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qbsol.sharepoint.com/sites/EcopetrolPrometeo/Shared Documents/Planning Space Implementation/3. Analysis &amp; Design/Design/FC22/DRR Jaime/Por presentar a ECP/Aprobados ECP/Cantagallo/Cristalina/"/>
    </mc:Choice>
  </mc:AlternateContent>
  <xr:revisionPtr revIDLastSave="12973" documentId="8_{08A2D012-4355-468F-9604-FBE77426E2A3}" xr6:coauthVersionLast="47" xr6:coauthVersionMax="47" xr10:uidLastSave="{7A9064E5-29C1-4DEC-B766-02E130B408CF}"/>
  <bookViews>
    <workbookView xWindow="28680" yWindow="-120" windowWidth="29040" windowHeight="15840" activeTab="1" xr2:uid="{E4BF8A98-1F5E-456D-95E8-8A40D558F7A2}"/>
  </bookViews>
  <sheets>
    <sheet name="Instrucciones" sheetId="6" r:id="rId1"/>
    <sheet name="BM" sheetId="2" r:id="rId2"/>
    <sheet name="Semifijos Activo_Anual" sheetId="7" state="hidden" r:id="rId3"/>
    <sheet name="Lista" sheetId="9" state="hidden" r:id="rId4"/>
    <sheet name="Formulas" sheetId="1" r:id="rId5"/>
    <sheet name="FormulasPS" sheetId="10" r:id="rId6"/>
  </sheets>
  <externalReferences>
    <externalReference r:id="rId7"/>
    <externalReference r:id="rId8"/>
  </externalReferences>
  <definedNames>
    <definedName name="_xlnm._FilterDatabase" localSheetId="1" hidden="1">BM!$A$2:$PC$38</definedName>
    <definedName name="_xlnm._FilterDatabase" localSheetId="4" hidden="1">Formulas!$A$1:$J$4203</definedName>
    <definedName name="_xlnm._FilterDatabase" localSheetId="5" hidden="1">FormulasPS!$A$1:$J$4203</definedName>
    <definedName name="Reserves_Category">Lista!$A$2:$A$6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R35" i="2" l="1"/>
  <c r="HV35" i="2"/>
  <c r="PC31" i="2"/>
  <c r="NQ31" i="2"/>
  <c r="ME31" i="2"/>
  <c r="KS31" i="2"/>
  <c r="JG31" i="2"/>
  <c r="HU31" i="2"/>
  <c r="GI31" i="2"/>
  <c r="EW31" i="2"/>
  <c r="DK31" i="2"/>
  <c r="BY31" i="2"/>
  <c r="AM31" i="2"/>
  <c r="PC30" i="2"/>
  <c r="NQ30" i="2"/>
  <c r="ME30" i="2"/>
  <c r="KS30" i="2"/>
  <c r="JG30" i="2"/>
  <c r="HU30" i="2"/>
  <c r="GI30" i="2"/>
  <c r="EW30" i="2"/>
  <c r="DK30" i="2"/>
  <c r="BY30" i="2"/>
  <c r="AM30" i="2"/>
  <c r="PC28" i="2"/>
  <c r="NQ28" i="2"/>
  <c r="ME28" i="2"/>
  <c r="KS28" i="2"/>
  <c r="JG28" i="2"/>
  <c r="HU28" i="2"/>
  <c r="GI28" i="2"/>
  <c r="EW28" i="2"/>
  <c r="DK28" i="2"/>
  <c r="BY28" i="2"/>
  <c r="AM28" i="2"/>
  <c r="PC27" i="2"/>
  <c r="NQ27" i="2"/>
  <c r="ME27" i="2"/>
  <c r="KS27" i="2"/>
  <c r="JG27" i="2"/>
  <c r="HU27" i="2"/>
  <c r="GI27" i="2"/>
  <c r="EW27" i="2"/>
  <c r="DK27" i="2"/>
  <c r="BY27" i="2"/>
  <c r="AM27" i="2"/>
  <c r="PC25" i="2"/>
  <c r="NQ25" i="2"/>
  <c r="ME25" i="2"/>
  <c r="KS25" i="2"/>
  <c r="JG25" i="2"/>
  <c r="HU25" i="2"/>
  <c r="GI25" i="2"/>
  <c r="EW25" i="2"/>
  <c r="DK25" i="2"/>
  <c r="BY25" i="2"/>
  <c r="AM25" i="2"/>
  <c r="PC24" i="2"/>
  <c r="NQ24" i="2"/>
  <c r="ME24" i="2"/>
  <c r="KS24" i="2"/>
  <c r="JG24" i="2"/>
  <c r="HU24" i="2"/>
  <c r="GI24" i="2"/>
  <c r="EW24" i="2"/>
  <c r="DK24" i="2"/>
  <c r="BY24" i="2"/>
  <c r="AM24" i="2"/>
  <c r="PC22" i="2"/>
  <c r="NQ22" i="2"/>
  <c r="ME22" i="2"/>
  <c r="KS22" i="2"/>
  <c r="JG22" i="2"/>
  <c r="HU22" i="2"/>
  <c r="GI22" i="2"/>
  <c r="EW22" i="2"/>
  <c r="DK22" i="2"/>
  <c r="BY22" i="2"/>
  <c r="AM22" i="2"/>
  <c r="PC21" i="2"/>
  <c r="NQ21" i="2"/>
  <c r="ME21" i="2"/>
  <c r="KS21" i="2"/>
  <c r="JG21" i="2"/>
  <c r="HU21" i="2"/>
  <c r="GI21" i="2"/>
  <c r="EW21" i="2"/>
  <c r="DK21" i="2"/>
  <c r="BY21" i="2"/>
  <c r="AM21" i="2"/>
  <c r="PC19" i="2"/>
  <c r="NQ19" i="2"/>
  <c r="ME19" i="2"/>
  <c r="KS19" i="2"/>
  <c r="JG19" i="2"/>
  <c r="HU19" i="2"/>
  <c r="GI19" i="2"/>
  <c r="EW19" i="2"/>
  <c r="DK19" i="2"/>
  <c r="BY19" i="2"/>
  <c r="AM19" i="2"/>
  <c r="PC18" i="2"/>
  <c r="NQ18" i="2"/>
  <c r="ME18" i="2"/>
  <c r="KS18" i="2"/>
  <c r="JG18" i="2"/>
  <c r="HU18" i="2"/>
  <c r="GI18" i="2"/>
  <c r="EW18" i="2"/>
  <c r="DK18" i="2"/>
  <c r="BY18" i="2"/>
  <c r="AM18" i="2"/>
  <c r="PC16" i="2"/>
  <c r="NQ16" i="2"/>
  <c r="ME16" i="2"/>
  <c r="KS16" i="2"/>
  <c r="JG16" i="2"/>
  <c r="HU16" i="2"/>
  <c r="GI16" i="2"/>
  <c r="EW16" i="2"/>
  <c r="DK16" i="2"/>
  <c r="BY16" i="2"/>
  <c r="AM16" i="2"/>
  <c r="PC15" i="2"/>
  <c r="NQ15" i="2"/>
  <c r="ME15" i="2"/>
  <c r="KS15" i="2"/>
  <c r="JG15" i="2"/>
  <c r="HU15" i="2"/>
  <c r="GI15" i="2"/>
  <c r="EW15" i="2"/>
  <c r="DK15" i="2"/>
  <c r="BY15" i="2"/>
  <c r="AM15" i="2"/>
  <c r="PC13" i="2"/>
  <c r="NQ13" i="2"/>
  <c r="ME13" i="2"/>
  <c r="KS13" i="2"/>
  <c r="JG13" i="2"/>
  <c r="HU13" i="2"/>
  <c r="GI13" i="2"/>
  <c r="EW13" i="2"/>
  <c r="DK13" i="2"/>
  <c r="BY13" i="2"/>
  <c r="AM13" i="2"/>
  <c r="PC12" i="2"/>
  <c r="NQ12" i="2"/>
  <c r="ME12" i="2"/>
  <c r="KS12" i="2"/>
  <c r="JG12" i="2"/>
  <c r="HU12" i="2"/>
  <c r="GI12" i="2"/>
  <c r="EW12" i="2"/>
  <c r="DK12" i="2"/>
  <c r="BY12" i="2"/>
  <c r="AM12" i="2"/>
  <c r="PC10" i="2"/>
  <c r="NQ10" i="2"/>
  <c r="ME10" i="2"/>
  <c r="KS10" i="2"/>
  <c r="JG10" i="2"/>
  <c r="HU10" i="2"/>
  <c r="GI10" i="2"/>
  <c r="EW10" i="2"/>
  <c r="DK10" i="2"/>
  <c r="BY10" i="2"/>
  <c r="AM10" i="2"/>
  <c r="PC9" i="2"/>
  <c r="NQ9" i="2"/>
  <c r="ME9" i="2"/>
  <c r="KS9" i="2"/>
  <c r="JG9" i="2"/>
  <c r="HU9" i="2"/>
  <c r="GI9" i="2"/>
  <c r="EW9" i="2"/>
  <c r="DK9" i="2"/>
  <c r="BY9" i="2"/>
  <c r="AM9" i="2"/>
  <c r="PC7" i="2"/>
  <c r="NQ7" i="2"/>
  <c r="ME7" i="2"/>
  <c r="KS7" i="2"/>
  <c r="JG7" i="2"/>
  <c r="HU7" i="2"/>
  <c r="GI7" i="2"/>
  <c r="EW7" i="2"/>
  <c r="DK7" i="2"/>
  <c r="BY7" i="2"/>
  <c r="AM7" i="2"/>
  <c r="PC6" i="2"/>
  <c r="NQ6" i="2"/>
  <c r="ME6" i="2"/>
  <c r="KS6" i="2"/>
  <c r="JG6" i="2"/>
  <c r="HU6" i="2"/>
  <c r="GI6" i="2"/>
  <c r="EW6" i="2"/>
  <c r="DK6" i="2"/>
  <c r="BY6" i="2"/>
  <c r="AM6" i="2"/>
  <c r="PC4" i="2"/>
  <c r="NQ4" i="2"/>
  <c r="ME4" i="2"/>
  <c r="KS4" i="2"/>
  <c r="JG4" i="2"/>
  <c r="HU4" i="2"/>
  <c r="GI4" i="2"/>
  <c r="EW4" i="2"/>
  <c r="DK4" i="2"/>
  <c r="BY4" i="2"/>
  <c r="AM4" i="2"/>
  <c r="PC3" i="2"/>
  <c r="NQ3" i="2"/>
  <c r="ME3" i="2"/>
  <c r="KS3" i="2"/>
  <c r="JG3" i="2"/>
  <c r="HU3" i="2"/>
  <c r="GI3" i="2"/>
  <c r="EW3" i="2"/>
  <c r="DK3" i="2"/>
  <c r="BY3" i="2"/>
  <c r="AM3" i="2"/>
  <c r="NR37" i="2"/>
  <c r="KT37" i="2"/>
  <c r="JH37" i="2"/>
  <c r="HV37" i="2"/>
  <c r="EX37" i="2"/>
  <c r="DL37" i="2"/>
  <c r="BZ37" i="2"/>
  <c r="AN37" i="2"/>
  <c r="B37" i="2"/>
  <c r="NR34" i="2"/>
  <c r="KT34" i="2"/>
  <c r="JH34" i="2"/>
  <c r="HV34" i="2"/>
  <c r="EX34" i="2"/>
  <c r="DL34" i="2"/>
  <c r="BZ34" i="2"/>
  <c r="AN34" i="2"/>
  <c r="B34" i="2"/>
  <c r="PB19" i="2"/>
  <c r="PA19" i="2"/>
  <c r="OZ19" i="2"/>
  <c r="OY19" i="2"/>
  <c r="OX19" i="2"/>
  <c r="OW19" i="2"/>
  <c r="OV19" i="2"/>
  <c r="OU19" i="2"/>
  <c r="OT19" i="2"/>
  <c r="OS19" i="2"/>
  <c r="OR19" i="2"/>
  <c r="OQ19" i="2"/>
  <c r="OP19" i="2"/>
  <c r="OO19" i="2"/>
  <c r="ON19" i="2"/>
  <c r="OM19" i="2"/>
  <c r="OL19" i="2"/>
  <c r="OK19" i="2"/>
  <c r="OJ19" i="2"/>
  <c r="OI19" i="2"/>
  <c r="OH19" i="2"/>
  <c r="OG19" i="2"/>
  <c r="OF19" i="2"/>
  <c r="OE19" i="2"/>
  <c r="OD19" i="2"/>
  <c r="OC19" i="2"/>
  <c r="OB19" i="2"/>
  <c r="OA19" i="2"/>
  <c r="NZ19" i="2"/>
  <c r="NY19" i="2"/>
  <c r="NX19" i="2"/>
  <c r="NW19" i="2"/>
  <c r="NV19" i="2"/>
  <c r="NU19" i="2"/>
  <c r="NT19" i="2"/>
  <c r="NS19" i="2"/>
  <c r="NR19" i="2"/>
  <c r="JF19" i="2"/>
  <c r="JE19" i="2"/>
  <c r="JD19" i="2"/>
  <c r="JC19" i="2"/>
  <c r="JB19" i="2"/>
  <c r="JA19" i="2"/>
  <c r="IZ19" i="2"/>
  <c r="IY19" i="2"/>
  <c r="IX19" i="2"/>
  <c r="IW19" i="2"/>
  <c r="IV19" i="2"/>
  <c r="IU19" i="2"/>
  <c r="IT19" i="2"/>
  <c r="IS19" i="2"/>
  <c r="IR19" i="2"/>
  <c r="IQ19" i="2"/>
  <c r="IP19" i="2"/>
  <c r="IO19" i="2"/>
  <c r="IN19" i="2"/>
  <c r="IM19" i="2"/>
  <c r="IL19" i="2"/>
  <c r="IK19" i="2"/>
  <c r="IJ19" i="2"/>
  <c r="II19" i="2"/>
  <c r="IH19" i="2"/>
  <c r="IG19" i="2"/>
  <c r="IF19" i="2"/>
  <c r="IE19" i="2"/>
  <c r="ID19" i="2"/>
  <c r="IC19" i="2"/>
  <c r="IB19" i="2"/>
  <c r="IA19" i="2"/>
  <c r="HZ19" i="2"/>
  <c r="HY19" i="2"/>
  <c r="HX19" i="2"/>
  <c r="HW19" i="2"/>
  <c r="HV19" i="2"/>
  <c r="DJ19" i="2"/>
  <c r="DI19" i="2"/>
  <c r="DH19" i="2"/>
  <c r="DG19" i="2"/>
  <c r="DF19" i="2"/>
  <c r="DE19" i="2"/>
  <c r="DD19" i="2"/>
  <c r="DC19" i="2"/>
  <c r="DB19" i="2"/>
  <c r="DA19" i="2"/>
  <c r="CZ19" i="2"/>
  <c r="CY19" i="2"/>
  <c r="CX19" i="2"/>
  <c r="CW19" i="2"/>
  <c r="CV19" i="2"/>
  <c r="CU19" i="2"/>
  <c r="CT19" i="2"/>
  <c r="CS19" i="2"/>
  <c r="CR19" i="2"/>
  <c r="CQ19" i="2"/>
  <c r="CP19" i="2"/>
  <c r="CO19" i="2"/>
  <c r="CN19" i="2"/>
  <c r="CM19" i="2"/>
  <c r="CL19" i="2"/>
  <c r="CK19" i="2"/>
  <c r="CJ19" i="2"/>
  <c r="CI19" i="2"/>
  <c r="CH19" i="2"/>
  <c r="CG19" i="2"/>
  <c r="CF19" i="2"/>
  <c r="CE19" i="2"/>
  <c r="CD19" i="2"/>
  <c r="CC19" i="2"/>
  <c r="CB19" i="2"/>
  <c r="CA19" i="2"/>
  <c r="BZ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PB4" i="2"/>
  <c r="PA4" i="2"/>
  <c r="OZ4" i="2"/>
  <c r="OY4" i="2"/>
  <c r="OX4" i="2"/>
  <c r="OW4" i="2"/>
  <c r="OV4" i="2"/>
  <c r="OU4" i="2"/>
  <c r="OT4" i="2"/>
  <c r="OS4" i="2"/>
  <c r="OR4" i="2"/>
  <c r="OQ4" i="2"/>
  <c r="OP4" i="2"/>
  <c r="OO4" i="2"/>
  <c r="ON4" i="2"/>
  <c r="OM4" i="2"/>
  <c r="OL4" i="2"/>
  <c r="OK4" i="2"/>
  <c r="OJ4" i="2"/>
  <c r="OI4" i="2"/>
  <c r="OH4" i="2"/>
  <c r="OG4" i="2"/>
  <c r="OF4" i="2"/>
  <c r="OE4" i="2"/>
  <c r="OD4" i="2"/>
  <c r="OC4" i="2"/>
  <c r="OB4" i="2"/>
  <c r="OA4" i="2"/>
  <c r="NZ4" i="2"/>
  <c r="NY4" i="2"/>
  <c r="NX4" i="2"/>
  <c r="NW4" i="2"/>
  <c r="NV4" i="2"/>
  <c r="NU4" i="2"/>
  <c r="NT4" i="2"/>
  <c r="NS4" i="2"/>
  <c r="NR4" i="2"/>
  <c r="JF4" i="2"/>
  <c r="JE4" i="2"/>
  <c r="JD4" i="2"/>
  <c r="JC4" i="2"/>
  <c r="JB4" i="2"/>
  <c r="JA4" i="2"/>
  <c r="IZ4" i="2"/>
  <c r="IY4" i="2"/>
  <c r="IX4" i="2"/>
  <c r="IW4" i="2"/>
  <c r="IV4" i="2"/>
  <c r="IU4" i="2"/>
  <c r="IT4" i="2"/>
  <c r="IS4" i="2"/>
  <c r="IR4" i="2"/>
  <c r="IQ4" i="2"/>
  <c r="IP4" i="2"/>
  <c r="IO4" i="2"/>
  <c r="IN4" i="2"/>
  <c r="IM4" i="2"/>
  <c r="IL4" i="2"/>
  <c r="IK4" i="2"/>
  <c r="IJ4" i="2"/>
  <c r="II4" i="2"/>
  <c r="IH4" i="2"/>
  <c r="IG4" i="2"/>
  <c r="IF4" i="2"/>
  <c r="IE4" i="2"/>
  <c r="ID4" i="2"/>
  <c r="IC4" i="2"/>
  <c r="IB4" i="2"/>
  <c r="IA4" i="2"/>
  <c r="HZ4" i="2"/>
  <c r="HY4" i="2"/>
  <c r="HX4" i="2"/>
  <c r="HW4" i="2"/>
  <c r="HV4" i="2"/>
  <c r="DJ4" i="2"/>
  <c r="DI4" i="2"/>
  <c r="DH4" i="2"/>
  <c r="DG4" i="2"/>
  <c r="DF4" i="2"/>
  <c r="DE4" i="2"/>
  <c r="DD4" i="2"/>
  <c r="DC4" i="2"/>
  <c r="DB4" i="2"/>
  <c r="DA4" i="2"/>
  <c r="CZ4" i="2"/>
  <c r="CY4" i="2"/>
  <c r="CX4" i="2"/>
  <c r="CW4" i="2"/>
  <c r="CV4" i="2"/>
  <c r="CU4" i="2"/>
  <c r="CT4" i="2"/>
  <c r="CS4" i="2"/>
  <c r="CR4" i="2"/>
  <c r="CQ4" i="2"/>
  <c r="CP4" i="2"/>
  <c r="CO4" i="2"/>
  <c r="CN4" i="2"/>
  <c r="CM4" i="2"/>
  <c r="CL4" i="2"/>
  <c r="CK4" i="2"/>
  <c r="CJ4" i="2"/>
  <c r="CI4" i="2"/>
  <c r="CH4" i="2"/>
  <c r="CG4" i="2"/>
  <c r="CF4" i="2"/>
  <c r="CE4" i="2"/>
  <c r="CD4" i="2"/>
  <c r="CC4" i="2"/>
  <c r="CB4" i="2"/>
  <c r="CA4" i="2"/>
  <c r="BZ4" i="2"/>
  <c r="BX4" i="2"/>
  <c r="BW4" i="2"/>
  <c r="BV4" i="2"/>
  <c r="BU4" i="2"/>
  <c r="BT4" i="2"/>
  <c r="BS4" i="2"/>
  <c r="BR4" i="2"/>
  <c r="BQ4" i="2"/>
  <c r="BP4" i="2"/>
  <c r="BO4" i="2"/>
  <c r="BN4" i="2"/>
  <c r="BM4" i="2"/>
  <c r="BL4" i="2"/>
  <c r="BK4" i="2"/>
  <c r="BJ4" i="2"/>
  <c r="BI4" i="2"/>
  <c r="BH4" i="2"/>
  <c r="BG4" i="2"/>
  <c r="BF4" i="2"/>
  <c r="BE4" i="2"/>
  <c r="BD4" i="2"/>
  <c r="BC4" i="2"/>
  <c r="BB4" i="2"/>
  <c r="BA4" i="2"/>
  <c r="AZ4" i="2"/>
  <c r="AY4" i="2"/>
  <c r="AX4" i="2"/>
  <c r="AW4" i="2"/>
  <c r="AV4" i="2"/>
  <c r="AU4" i="2"/>
  <c r="AT4" i="2"/>
  <c r="AS4" i="2"/>
  <c r="AR4" i="2"/>
  <c r="AQ4" i="2"/>
  <c r="AP4" i="2"/>
  <c r="AO4" i="2"/>
  <c r="AN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PB31" i="2"/>
  <c r="PA31" i="2"/>
  <c r="OZ31" i="2"/>
  <c r="OY31" i="2"/>
  <c r="OX31" i="2"/>
  <c r="OW31" i="2"/>
  <c r="OV31" i="2"/>
  <c r="OU31" i="2"/>
  <c r="OT31" i="2"/>
  <c r="OS31" i="2"/>
  <c r="OR31" i="2"/>
  <c r="OQ31" i="2"/>
  <c r="OP31" i="2"/>
  <c r="OO31" i="2"/>
  <c r="ON31" i="2"/>
  <c r="OM31" i="2"/>
  <c r="OL31" i="2"/>
  <c r="OK31" i="2"/>
  <c r="OJ31" i="2"/>
  <c r="OI31" i="2"/>
  <c r="OH31" i="2"/>
  <c r="OG31" i="2"/>
  <c r="OF31" i="2"/>
  <c r="OE31" i="2"/>
  <c r="OD31" i="2"/>
  <c r="OC31" i="2"/>
  <c r="OB31" i="2"/>
  <c r="OA31" i="2"/>
  <c r="NZ31" i="2"/>
  <c r="NY31" i="2"/>
  <c r="NX31" i="2"/>
  <c r="NW31" i="2"/>
  <c r="NV31" i="2"/>
  <c r="NU31" i="2"/>
  <c r="NT31" i="2"/>
  <c r="NS31" i="2"/>
  <c r="NR31" i="2"/>
  <c r="JF31" i="2"/>
  <c r="JE31" i="2"/>
  <c r="JD31" i="2"/>
  <c r="JC31" i="2"/>
  <c r="JB31" i="2"/>
  <c r="JA31" i="2"/>
  <c r="IZ31" i="2"/>
  <c r="IY31" i="2"/>
  <c r="IX31" i="2"/>
  <c r="IW31" i="2"/>
  <c r="IV31" i="2"/>
  <c r="IU31" i="2"/>
  <c r="IT31" i="2"/>
  <c r="IS31" i="2"/>
  <c r="IR31" i="2"/>
  <c r="IQ31" i="2"/>
  <c r="IP31" i="2"/>
  <c r="IO31" i="2"/>
  <c r="IN31" i="2"/>
  <c r="IM31" i="2"/>
  <c r="IL31" i="2"/>
  <c r="IK31" i="2"/>
  <c r="IJ31" i="2"/>
  <c r="II31" i="2"/>
  <c r="IH31" i="2"/>
  <c r="IG31" i="2"/>
  <c r="IF31" i="2"/>
  <c r="IE31" i="2"/>
  <c r="ID31" i="2"/>
  <c r="IC31" i="2"/>
  <c r="IB31" i="2"/>
  <c r="IA31" i="2"/>
  <c r="HZ31" i="2"/>
  <c r="HY31" i="2"/>
  <c r="HX31" i="2"/>
  <c r="HW31" i="2"/>
  <c r="HV31" i="2"/>
  <c r="DJ31" i="2"/>
  <c r="DI31" i="2"/>
  <c r="DH31" i="2"/>
  <c r="DG31" i="2"/>
  <c r="DF31" i="2"/>
  <c r="DE31" i="2"/>
  <c r="DD31" i="2"/>
  <c r="DC31" i="2"/>
  <c r="DB31" i="2"/>
  <c r="DA31" i="2"/>
  <c r="CZ31" i="2"/>
  <c r="CY31" i="2"/>
  <c r="CX31" i="2"/>
  <c r="CW31" i="2"/>
  <c r="CV31" i="2"/>
  <c r="CU31" i="2"/>
  <c r="CT31" i="2"/>
  <c r="CS31" i="2"/>
  <c r="CR31" i="2"/>
  <c r="CQ31" i="2"/>
  <c r="CP31" i="2"/>
  <c r="CO31" i="2"/>
  <c r="CN31" i="2"/>
  <c r="CM31" i="2"/>
  <c r="CL31" i="2"/>
  <c r="CK31" i="2"/>
  <c r="CJ31" i="2"/>
  <c r="CI31" i="2"/>
  <c r="CH31" i="2"/>
  <c r="CG31" i="2"/>
  <c r="CF31" i="2"/>
  <c r="CE31" i="2"/>
  <c r="CD31" i="2"/>
  <c r="CC31" i="2"/>
  <c r="CB31" i="2"/>
  <c r="CA31" i="2"/>
  <c r="BZ31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R31" i="2"/>
  <c r="AQ31" i="2"/>
  <c r="AP31" i="2"/>
  <c r="AO31" i="2"/>
  <c r="AN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PB28" i="2"/>
  <c r="PA28" i="2"/>
  <c r="OZ28" i="2"/>
  <c r="OY28" i="2"/>
  <c r="OX28" i="2"/>
  <c r="OW28" i="2"/>
  <c r="OV28" i="2"/>
  <c r="OU28" i="2"/>
  <c r="OT28" i="2"/>
  <c r="OS28" i="2"/>
  <c r="OR28" i="2"/>
  <c r="OQ28" i="2"/>
  <c r="OP28" i="2"/>
  <c r="OO28" i="2"/>
  <c r="ON28" i="2"/>
  <c r="OM28" i="2"/>
  <c r="OL28" i="2"/>
  <c r="OK28" i="2"/>
  <c r="OJ28" i="2"/>
  <c r="OI28" i="2"/>
  <c r="OH28" i="2"/>
  <c r="OG28" i="2"/>
  <c r="OF28" i="2"/>
  <c r="OE28" i="2"/>
  <c r="OD28" i="2"/>
  <c r="OC28" i="2"/>
  <c r="OB28" i="2"/>
  <c r="OA28" i="2"/>
  <c r="NZ28" i="2"/>
  <c r="NY28" i="2"/>
  <c r="NX28" i="2"/>
  <c r="NW28" i="2"/>
  <c r="NV28" i="2"/>
  <c r="NU28" i="2"/>
  <c r="NT28" i="2"/>
  <c r="NS28" i="2"/>
  <c r="NR28" i="2"/>
  <c r="JF28" i="2"/>
  <c r="JE28" i="2"/>
  <c r="JD28" i="2"/>
  <c r="JC28" i="2"/>
  <c r="JB28" i="2"/>
  <c r="JA28" i="2"/>
  <c r="IZ28" i="2"/>
  <c r="IY28" i="2"/>
  <c r="IX28" i="2"/>
  <c r="IW28" i="2"/>
  <c r="IV28" i="2"/>
  <c r="IU28" i="2"/>
  <c r="IT28" i="2"/>
  <c r="IS28" i="2"/>
  <c r="IR28" i="2"/>
  <c r="IQ28" i="2"/>
  <c r="IP28" i="2"/>
  <c r="IO28" i="2"/>
  <c r="IN28" i="2"/>
  <c r="IM28" i="2"/>
  <c r="IL28" i="2"/>
  <c r="IK28" i="2"/>
  <c r="IJ28" i="2"/>
  <c r="II28" i="2"/>
  <c r="IH28" i="2"/>
  <c r="IG28" i="2"/>
  <c r="IF28" i="2"/>
  <c r="IE28" i="2"/>
  <c r="ID28" i="2"/>
  <c r="IC28" i="2"/>
  <c r="IB28" i="2"/>
  <c r="IA28" i="2"/>
  <c r="HZ28" i="2"/>
  <c r="HY28" i="2"/>
  <c r="HX28" i="2"/>
  <c r="HW28" i="2"/>
  <c r="HV28" i="2"/>
  <c r="DJ28" i="2"/>
  <c r="DI28" i="2"/>
  <c r="DH28" i="2"/>
  <c r="DG28" i="2"/>
  <c r="DF28" i="2"/>
  <c r="DE28" i="2"/>
  <c r="DD28" i="2"/>
  <c r="DC28" i="2"/>
  <c r="DB28" i="2"/>
  <c r="DA28" i="2"/>
  <c r="CZ28" i="2"/>
  <c r="CY28" i="2"/>
  <c r="CX28" i="2"/>
  <c r="CW28" i="2"/>
  <c r="CV28" i="2"/>
  <c r="CU28" i="2"/>
  <c r="CT28" i="2"/>
  <c r="CS28" i="2"/>
  <c r="CR28" i="2"/>
  <c r="CQ28" i="2"/>
  <c r="CP28" i="2"/>
  <c r="CO28" i="2"/>
  <c r="CN28" i="2"/>
  <c r="CM28" i="2"/>
  <c r="CL28" i="2"/>
  <c r="CK28" i="2"/>
  <c r="CJ28" i="2"/>
  <c r="CI28" i="2"/>
  <c r="CH28" i="2"/>
  <c r="CG28" i="2"/>
  <c r="CF28" i="2"/>
  <c r="CE28" i="2"/>
  <c r="CD28" i="2"/>
  <c r="CC28" i="2"/>
  <c r="CB28" i="2"/>
  <c r="CA28" i="2"/>
  <c r="BZ28" i="2"/>
  <c r="BX28" i="2"/>
  <c r="BW28" i="2"/>
  <c r="BV28" i="2"/>
  <c r="BU28" i="2"/>
  <c r="BT28" i="2"/>
  <c r="BS28" i="2"/>
  <c r="BR28" i="2"/>
  <c r="BQ28" i="2"/>
  <c r="BP28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BB28" i="2"/>
  <c r="BA28" i="2"/>
  <c r="AZ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PB25" i="2"/>
  <c r="PA25" i="2"/>
  <c r="OZ25" i="2"/>
  <c r="OY25" i="2"/>
  <c r="OX25" i="2"/>
  <c r="OW25" i="2"/>
  <c r="OV25" i="2"/>
  <c r="OU25" i="2"/>
  <c r="OT25" i="2"/>
  <c r="OS25" i="2"/>
  <c r="OR25" i="2"/>
  <c r="OQ25" i="2"/>
  <c r="OP25" i="2"/>
  <c r="OO25" i="2"/>
  <c r="ON25" i="2"/>
  <c r="OM25" i="2"/>
  <c r="OL25" i="2"/>
  <c r="OK25" i="2"/>
  <c r="OJ25" i="2"/>
  <c r="OI25" i="2"/>
  <c r="OH25" i="2"/>
  <c r="OG25" i="2"/>
  <c r="OF25" i="2"/>
  <c r="OE25" i="2"/>
  <c r="OD25" i="2"/>
  <c r="OC25" i="2"/>
  <c r="OB25" i="2"/>
  <c r="OA25" i="2"/>
  <c r="NZ25" i="2"/>
  <c r="NY25" i="2"/>
  <c r="NX25" i="2"/>
  <c r="NW25" i="2"/>
  <c r="NV25" i="2"/>
  <c r="NU25" i="2"/>
  <c r="NT25" i="2"/>
  <c r="NS25" i="2"/>
  <c r="NR25" i="2"/>
  <c r="JF25" i="2"/>
  <c r="JE25" i="2"/>
  <c r="JD25" i="2"/>
  <c r="JC25" i="2"/>
  <c r="JB25" i="2"/>
  <c r="JA25" i="2"/>
  <c r="IZ25" i="2"/>
  <c r="IY25" i="2"/>
  <c r="IX25" i="2"/>
  <c r="IW25" i="2"/>
  <c r="IV25" i="2"/>
  <c r="IU25" i="2"/>
  <c r="IT25" i="2"/>
  <c r="IS25" i="2"/>
  <c r="IR25" i="2"/>
  <c r="IQ25" i="2"/>
  <c r="IP25" i="2"/>
  <c r="IO25" i="2"/>
  <c r="IN25" i="2"/>
  <c r="IM25" i="2"/>
  <c r="IL25" i="2"/>
  <c r="IK25" i="2"/>
  <c r="IJ25" i="2"/>
  <c r="II25" i="2"/>
  <c r="IH25" i="2"/>
  <c r="IG25" i="2"/>
  <c r="IF25" i="2"/>
  <c r="IE25" i="2"/>
  <c r="ID25" i="2"/>
  <c r="IC25" i="2"/>
  <c r="IB25" i="2"/>
  <c r="IA25" i="2"/>
  <c r="HZ25" i="2"/>
  <c r="HY25" i="2"/>
  <c r="HX25" i="2"/>
  <c r="HW25" i="2"/>
  <c r="HV25" i="2"/>
  <c r="DJ25" i="2"/>
  <c r="DI25" i="2"/>
  <c r="DH25" i="2"/>
  <c r="DG25" i="2"/>
  <c r="DF25" i="2"/>
  <c r="DE25" i="2"/>
  <c r="DD25" i="2"/>
  <c r="DC25" i="2"/>
  <c r="DB25" i="2"/>
  <c r="DA25" i="2"/>
  <c r="CZ25" i="2"/>
  <c r="CY25" i="2"/>
  <c r="CX25" i="2"/>
  <c r="CW25" i="2"/>
  <c r="CV25" i="2"/>
  <c r="CU25" i="2"/>
  <c r="CT25" i="2"/>
  <c r="CS25" i="2"/>
  <c r="CR25" i="2"/>
  <c r="CQ25" i="2"/>
  <c r="CP25" i="2"/>
  <c r="CO25" i="2"/>
  <c r="CN25" i="2"/>
  <c r="CM25" i="2"/>
  <c r="CL25" i="2"/>
  <c r="CK25" i="2"/>
  <c r="CJ25" i="2"/>
  <c r="CI25" i="2"/>
  <c r="CH25" i="2"/>
  <c r="CG25" i="2"/>
  <c r="CF25" i="2"/>
  <c r="CE25" i="2"/>
  <c r="CD25" i="2"/>
  <c r="CC25" i="2"/>
  <c r="CB25" i="2"/>
  <c r="CA25" i="2"/>
  <c r="BZ25" i="2"/>
  <c r="BX25" i="2"/>
  <c r="BW25" i="2"/>
  <c r="BV25" i="2"/>
  <c r="BU25" i="2"/>
  <c r="BT25" i="2"/>
  <c r="BS25" i="2"/>
  <c r="BR25" i="2"/>
  <c r="BQ25" i="2"/>
  <c r="BP25" i="2"/>
  <c r="BO25" i="2"/>
  <c r="BN25" i="2"/>
  <c r="BM25" i="2"/>
  <c r="BL25" i="2"/>
  <c r="BK25" i="2"/>
  <c r="BJ25" i="2"/>
  <c r="BI25" i="2"/>
  <c r="BH25" i="2"/>
  <c r="BG25" i="2"/>
  <c r="BF25" i="2"/>
  <c r="BE25" i="2"/>
  <c r="BD25" i="2"/>
  <c r="BC25" i="2"/>
  <c r="BB25" i="2"/>
  <c r="BA25" i="2"/>
  <c r="AZ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PB22" i="2"/>
  <c r="PA22" i="2"/>
  <c r="OZ22" i="2"/>
  <c r="OY22" i="2"/>
  <c r="OX22" i="2"/>
  <c r="OW22" i="2"/>
  <c r="OV22" i="2"/>
  <c r="OU22" i="2"/>
  <c r="OT22" i="2"/>
  <c r="OS22" i="2"/>
  <c r="OR22" i="2"/>
  <c r="OQ22" i="2"/>
  <c r="OP22" i="2"/>
  <c r="OO22" i="2"/>
  <c r="ON22" i="2"/>
  <c r="OM22" i="2"/>
  <c r="OL22" i="2"/>
  <c r="OK22" i="2"/>
  <c r="OJ22" i="2"/>
  <c r="OI22" i="2"/>
  <c r="OH22" i="2"/>
  <c r="OG22" i="2"/>
  <c r="OF22" i="2"/>
  <c r="OE22" i="2"/>
  <c r="OD22" i="2"/>
  <c r="OC22" i="2"/>
  <c r="OB22" i="2"/>
  <c r="OA22" i="2"/>
  <c r="NZ22" i="2"/>
  <c r="NY22" i="2"/>
  <c r="NX22" i="2"/>
  <c r="NW22" i="2"/>
  <c r="NV22" i="2"/>
  <c r="NU22" i="2"/>
  <c r="NT22" i="2"/>
  <c r="NS22" i="2"/>
  <c r="NR22" i="2"/>
  <c r="JF22" i="2"/>
  <c r="JE22" i="2"/>
  <c r="JD22" i="2"/>
  <c r="JC22" i="2"/>
  <c r="JB22" i="2"/>
  <c r="JA22" i="2"/>
  <c r="IZ22" i="2"/>
  <c r="IY22" i="2"/>
  <c r="IX22" i="2"/>
  <c r="IW22" i="2"/>
  <c r="IV22" i="2"/>
  <c r="IU22" i="2"/>
  <c r="IT22" i="2"/>
  <c r="IS22" i="2"/>
  <c r="IR22" i="2"/>
  <c r="IQ22" i="2"/>
  <c r="IP22" i="2"/>
  <c r="IO22" i="2"/>
  <c r="IN22" i="2"/>
  <c r="IM22" i="2"/>
  <c r="IL22" i="2"/>
  <c r="IK22" i="2"/>
  <c r="IJ22" i="2"/>
  <c r="II22" i="2"/>
  <c r="IH22" i="2"/>
  <c r="IG22" i="2"/>
  <c r="IF22" i="2"/>
  <c r="IE22" i="2"/>
  <c r="ID22" i="2"/>
  <c r="IC22" i="2"/>
  <c r="IB22" i="2"/>
  <c r="IA22" i="2"/>
  <c r="HZ22" i="2"/>
  <c r="HY22" i="2"/>
  <c r="HX22" i="2"/>
  <c r="HW22" i="2"/>
  <c r="HV22" i="2"/>
  <c r="DJ22" i="2"/>
  <c r="DI22" i="2"/>
  <c r="DH22" i="2"/>
  <c r="DG22" i="2"/>
  <c r="DF22" i="2"/>
  <c r="DE22" i="2"/>
  <c r="DD22" i="2"/>
  <c r="DC22" i="2"/>
  <c r="DB22" i="2"/>
  <c r="DA22" i="2"/>
  <c r="CZ22" i="2"/>
  <c r="CY22" i="2"/>
  <c r="CX22" i="2"/>
  <c r="CW22" i="2"/>
  <c r="CV22" i="2"/>
  <c r="CU22" i="2"/>
  <c r="CT22" i="2"/>
  <c r="CS22" i="2"/>
  <c r="CR22" i="2"/>
  <c r="CQ22" i="2"/>
  <c r="CP22" i="2"/>
  <c r="CO22" i="2"/>
  <c r="CN22" i="2"/>
  <c r="CM22" i="2"/>
  <c r="CL22" i="2"/>
  <c r="CK22" i="2"/>
  <c r="CJ22" i="2"/>
  <c r="CI22" i="2"/>
  <c r="CH22" i="2"/>
  <c r="CG22" i="2"/>
  <c r="CF22" i="2"/>
  <c r="CE22" i="2"/>
  <c r="CD22" i="2"/>
  <c r="CC22" i="2"/>
  <c r="CB22" i="2"/>
  <c r="CA22" i="2"/>
  <c r="BZ22" i="2"/>
  <c r="BX22" i="2"/>
  <c r="BW22" i="2"/>
  <c r="BV22" i="2"/>
  <c r="BU22" i="2"/>
  <c r="BT22" i="2"/>
  <c r="BS22" i="2"/>
  <c r="BR22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PB16" i="2"/>
  <c r="PA16" i="2"/>
  <c r="OZ16" i="2"/>
  <c r="OY16" i="2"/>
  <c r="OX16" i="2"/>
  <c r="OW16" i="2"/>
  <c r="OV16" i="2"/>
  <c r="OU16" i="2"/>
  <c r="OT16" i="2"/>
  <c r="OS16" i="2"/>
  <c r="OR16" i="2"/>
  <c r="OQ16" i="2"/>
  <c r="OP16" i="2"/>
  <c r="OO16" i="2"/>
  <c r="ON16" i="2"/>
  <c r="OM16" i="2"/>
  <c r="OL16" i="2"/>
  <c r="OK16" i="2"/>
  <c r="OJ16" i="2"/>
  <c r="OI16" i="2"/>
  <c r="OH16" i="2"/>
  <c r="OG16" i="2"/>
  <c r="OF16" i="2"/>
  <c r="OE16" i="2"/>
  <c r="OD16" i="2"/>
  <c r="OC16" i="2"/>
  <c r="OB16" i="2"/>
  <c r="OA16" i="2"/>
  <c r="NZ16" i="2"/>
  <c r="NY16" i="2"/>
  <c r="NX16" i="2"/>
  <c r="NW16" i="2"/>
  <c r="NV16" i="2"/>
  <c r="NU16" i="2"/>
  <c r="NT16" i="2"/>
  <c r="NS16" i="2"/>
  <c r="NR16" i="2"/>
  <c r="JF16" i="2"/>
  <c r="JE16" i="2"/>
  <c r="JD16" i="2"/>
  <c r="JC16" i="2"/>
  <c r="JB16" i="2"/>
  <c r="JA16" i="2"/>
  <c r="IZ16" i="2"/>
  <c r="IY16" i="2"/>
  <c r="IX16" i="2"/>
  <c r="IW16" i="2"/>
  <c r="IV16" i="2"/>
  <c r="IU16" i="2"/>
  <c r="IT16" i="2"/>
  <c r="IS16" i="2"/>
  <c r="IR16" i="2"/>
  <c r="IQ16" i="2"/>
  <c r="IP16" i="2"/>
  <c r="IO16" i="2"/>
  <c r="IN16" i="2"/>
  <c r="IM16" i="2"/>
  <c r="IL16" i="2"/>
  <c r="IK16" i="2"/>
  <c r="IJ16" i="2"/>
  <c r="II16" i="2"/>
  <c r="IH16" i="2"/>
  <c r="IG16" i="2"/>
  <c r="IF16" i="2"/>
  <c r="IE16" i="2"/>
  <c r="ID16" i="2"/>
  <c r="IC16" i="2"/>
  <c r="IB16" i="2"/>
  <c r="IA16" i="2"/>
  <c r="HZ16" i="2"/>
  <c r="HY16" i="2"/>
  <c r="HX16" i="2"/>
  <c r="HW16" i="2"/>
  <c r="HV16" i="2"/>
  <c r="DJ16" i="2"/>
  <c r="DI16" i="2"/>
  <c r="DH16" i="2"/>
  <c r="DG16" i="2"/>
  <c r="DF16" i="2"/>
  <c r="DE16" i="2"/>
  <c r="DD16" i="2"/>
  <c r="DC16" i="2"/>
  <c r="DB16" i="2"/>
  <c r="DA16" i="2"/>
  <c r="CZ16" i="2"/>
  <c r="CY16" i="2"/>
  <c r="CX16" i="2"/>
  <c r="CW16" i="2"/>
  <c r="CV16" i="2"/>
  <c r="CU16" i="2"/>
  <c r="CT16" i="2"/>
  <c r="CS16" i="2"/>
  <c r="CR16" i="2"/>
  <c r="CQ16" i="2"/>
  <c r="CP16" i="2"/>
  <c r="CO16" i="2"/>
  <c r="CN16" i="2"/>
  <c r="CM16" i="2"/>
  <c r="CL16" i="2"/>
  <c r="CK16" i="2"/>
  <c r="CJ16" i="2"/>
  <c r="CI16" i="2"/>
  <c r="CH16" i="2"/>
  <c r="CG16" i="2"/>
  <c r="CF16" i="2"/>
  <c r="CE16" i="2"/>
  <c r="CD16" i="2"/>
  <c r="CC16" i="2"/>
  <c r="CB16" i="2"/>
  <c r="CA16" i="2"/>
  <c r="BZ16" i="2"/>
  <c r="BX16" i="2"/>
  <c r="BW16" i="2"/>
  <c r="BV16" i="2"/>
  <c r="BU16" i="2"/>
  <c r="BT16" i="2"/>
  <c r="BS16" i="2"/>
  <c r="BR16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PB13" i="2"/>
  <c r="PA13" i="2"/>
  <c r="OZ13" i="2"/>
  <c r="OY13" i="2"/>
  <c r="OX13" i="2"/>
  <c r="OW13" i="2"/>
  <c r="OV13" i="2"/>
  <c r="OU13" i="2"/>
  <c r="OT13" i="2"/>
  <c r="OS13" i="2"/>
  <c r="OR13" i="2"/>
  <c r="OQ13" i="2"/>
  <c r="OP13" i="2"/>
  <c r="OO13" i="2"/>
  <c r="ON13" i="2"/>
  <c r="OM13" i="2"/>
  <c r="OL13" i="2"/>
  <c r="OK13" i="2"/>
  <c r="OJ13" i="2"/>
  <c r="OI13" i="2"/>
  <c r="OH13" i="2"/>
  <c r="OG13" i="2"/>
  <c r="OF13" i="2"/>
  <c r="OE13" i="2"/>
  <c r="OD13" i="2"/>
  <c r="OC13" i="2"/>
  <c r="OB13" i="2"/>
  <c r="OA13" i="2"/>
  <c r="NZ13" i="2"/>
  <c r="NY13" i="2"/>
  <c r="NX13" i="2"/>
  <c r="NW13" i="2"/>
  <c r="NV13" i="2"/>
  <c r="NU13" i="2"/>
  <c r="NT13" i="2"/>
  <c r="NS13" i="2"/>
  <c r="NR13" i="2"/>
  <c r="JF13" i="2"/>
  <c r="JE13" i="2"/>
  <c r="JD13" i="2"/>
  <c r="JC13" i="2"/>
  <c r="JB13" i="2"/>
  <c r="JA13" i="2"/>
  <c r="IZ13" i="2"/>
  <c r="IY13" i="2"/>
  <c r="IX13" i="2"/>
  <c r="IW13" i="2"/>
  <c r="IV13" i="2"/>
  <c r="IU13" i="2"/>
  <c r="IT13" i="2"/>
  <c r="IS13" i="2"/>
  <c r="IR13" i="2"/>
  <c r="IQ13" i="2"/>
  <c r="IP13" i="2"/>
  <c r="IO13" i="2"/>
  <c r="IN13" i="2"/>
  <c r="IM13" i="2"/>
  <c r="IL13" i="2"/>
  <c r="IK13" i="2"/>
  <c r="IJ13" i="2"/>
  <c r="II13" i="2"/>
  <c r="IH13" i="2"/>
  <c r="IG13" i="2"/>
  <c r="IF13" i="2"/>
  <c r="IE13" i="2"/>
  <c r="ID13" i="2"/>
  <c r="IC13" i="2"/>
  <c r="IB13" i="2"/>
  <c r="IA13" i="2"/>
  <c r="HZ13" i="2"/>
  <c r="HY13" i="2"/>
  <c r="HX13" i="2"/>
  <c r="HW13" i="2"/>
  <c r="HV13" i="2"/>
  <c r="DJ13" i="2"/>
  <c r="DI13" i="2"/>
  <c r="DH13" i="2"/>
  <c r="DG13" i="2"/>
  <c r="DF13" i="2"/>
  <c r="DE13" i="2"/>
  <c r="DD13" i="2"/>
  <c r="DC13" i="2"/>
  <c r="DB13" i="2"/>
  <c r="DA13" i="2"/>
  <c r="CZ13" i="2"/>
  <c r="CY13" i="2"/>
  <c r="CX13" i="2"/>
  <c r="CW13" i="2"/>
  <c r="CV13" i="2"/>
  <c r="CU13" i="2"/>
  <c r="CT13" i="2"/>
  <c r="CS13" i="2"/>
  <c r="CR13" i="2"/>
  <c r="CQ13" i="2"/>
  <c r="CP13" i="2"/>
  <c r="CO13" i="2"/>
  <c r="CN13" i="2"/>
  <c r="CM13" i="2"/>
  <c r="CL13" i="2"/>
  <c r="CK13" i="2"/>
  <c r="CJ13" i="2"/>
  <c r="CI13" i="2"/>
  <c r="CH13" i="2"/>
  <c r="CG13" i="2"/>
  <c r="CF13" i="2"/>
  <c r="CE13" i="2"/>
  <c r="CD13" i="2"/>
  <c r="CC13" i="2"/>
  <c r="CB13" i="2"/>
  <c r="CA13" i="2"/>
  <c r="BZ13" i="2"/>
  <c r="BX13" i="2"/>
  <c r="BW13" i="2"/>
  <c r="BV13" i="2"/>
  <c r="BU13" i="2"/>
  <c r="BT13" i="2"/>
  <c r="BS13" i="2"/>
  <c r="BR13" i="2"/>
  <c r="BQ13" i="2"/>
  <c r="BP13" i="2"/>
  <c r="BO13" i="2"/>
  <c r="BN13" i="2"/>
  <c r="BM13" i="2"/>
  <c r="BL13" i="2"/>
  <c r="BK13" i="2"/>
  <c r="BJ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PB10" i="2"/>
  <c r="PA10" i="2"/>
  <c r="OZ10" i="2"/>
  <c r="OY10" i="2"/>
  <c r="OX10" i="2"/>
  <c r="OW10" i="2"/>
  <c r="OV10" i="2"/>
  <c r="OU10" i="2"/>
  <c r="OT10" i="2"/>
  <c r="OS10" i="2"/>
  <c r="OR10" i="2"/>
  <c r="OQ10" i="2"/>
  <c r="OP10" i="2"/>
  <c r="OO10" i="2"/>
  <c r="ON10" i="2"/>
  <c r="OM10" i="2"/>
  <c r="OL10" i="2"/>
  <c r="OK10" i="2"/>
  <c r="OJ10" i="2"/>
  <c r="OI10" i="2"/>
  <c r="OH10" i="2"/>
  <c r="OG10" i="2"/>
  <c r="OF10" i="2"/>
  <c r="OE10" i="2"/>
  <c r="OD10" i="2"/>
  <c r="OC10" i="2"/>
  <c r="OB10" i="2"/>
  <c r="OA10" i="2"/>
  <c r="NZ10" i="2"/>
  <c r="NY10" i="2"/>
  <c r="NX10" i="2"/>
  <c r="NW10" i="2"/>
  <c r="NV10" i="2"/>
  <c r="NU10" i="2"/>
  <c r="NT10" i="2"/>
  <c r="NS10" i="2"/>
  <c r="NR10" i="2"/>
  <c r="JF10" i="2"/>
  <c r="JE10" i="2"/>
  <c r="JD10" i="2"/>
  <c r="JC10" i="2"/>
  <c r="JB10" i="2"/>
  <c r="JA10" i="2"/>
  <c r="IZ10" i="2"/>
  <c r="IY10" i="2"/>
  <c r="IX10" i="2"/>
  <c r="IW10" i="2"/>
  <c r="IV10" i="2"/>
  <c r="IU10" i="2"/>
  <c r="IT10" i="2"/>
  <c r="IS10" i="2"/>
  <c r="IR10" i="2"/>
  <c r="IQ10" i="2"/>
  <c r="IP10" i="2"/>
  <c r="IO10" i="2"/>
  <c r="IN10" i="2"/>
  <c r="IM10" i="2"/>
  <c r="IL10" i="2"/>
  <c r="IK10" i="2"/>
  <c r="IJ10" i="2"/>
  <c r="II10" i="2"/>
  <c r="IH10" i="2"/>
  <c r="IG10" i="2"/>
  <c r="IF10" i="2"/>
  <c r="IE10" i="2"/>
  <c r="ID10" i="2"/>
  <c r="IC10" i="2"/>
  <c r="IB10" i="2"/>
  <c r="IA10" i="2"/>
  <c r="HZ10" i="2"/>
  <c r="HY10" i="2"/>
  <c r="HX10" i="2"/>
  <c r="HW10" i="2"/>
  <c r="HV10" i="2"/>
  <c r="DJ10" i="2"/>
  <c r="DI10" i="2"/>
  <c r="DH10" i="2"/>
  <c r="DG10" i="2"/>
  <c r="DF10" i="2"/>
  <c r="DE10" i="2"/>
  <c r="DD10" i="2"/>
  <c r="DC10" i="2"/>
  <c r="DB10" i="2"/>
  <c r="DA10" i="2"/>
  <c r="CZ10" i="2"/>
  <c r="CY10" i="2"/>
  <c r="CX10" i="2"/>
  <c r="CW10" i="2"/>
  <c r="CV10" i="2"/>
  <c r="CU10" i="2"/>
  <c r="CT10" i="2"/>
  <c r="CS10" i="2"/>
  <c r="CR10" i="2"/>
  <c r="CQ10" i="2"/>
  <c r="CP10" i="2"/>
  <c r="CO10" i="2"/>
  <c r="CN10" i="2"/>
  <c r="CM10" i="2"/>
  <c r="CL10" i="2"/>
  <c r="CK10" i="2"/>
  <c r="CJ10" i="2"/>
  <c r="CI10" i="2"/>
  <c r="CH10" i="2"/>
  <c r="CG10" i="2"/>
  <c r="CF10" i="2"/>
  <c r="CE10" i="2"/>
  <c r="CD10" i="2"/>
  <c r="CC10" i="2"/>
  <c r="CB10" i="2"/>
  <c r="CA10" i="2"/>
  <c r="BZ10" i="2"/>
  <c r="BX10" i="2"/>
  <c r="BW10" i="2"/>
  <c r="BV10" i="2"/>
  <c r="BU10" i="2"/>
  <c r="BT10" i="2"/>
  <c r="BS10" i="2"/>
  <c r="BR10" i="2"/>
  <c r="BQ10" i="2"/>
  <c r="BP10" i="2"/>
  <c r="BO10" i="2"/>
  <c r="BN10" i="2"/>
  <c r="BM10" i="2"/>
  <c r="BL10" i="2"/>
  <c r="BK10" i="2"/>
  <c r="BJ10" i="2"/>
  <c r="BI10" i="2"/>
  <c r="BH10" i="2"/>
  <c r="BG10" i="2"/>
  <c r="BF10" i="2"/>
  <c r="BE10" i="2"/>
  <c r="BD10" i="2"/>
  <c r="BC10" i="2"/>
  <c r="BB10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PB7" i="2"/>
  <c r="PA7" i="2"/>
  <c r="OZ7" i="2"/>
  <c r="OY7" i="2"/>
  <c r="OX7" i="2"/>
  <c r="OW7" i="2"/>
  <c r="OV7" i="2"/>
  <c r="OU7" i="2"/>
  <c r="OT7" i="2"/>
  <c r="OS7" i="2"/>
  <c r="OR7" i="2"/>
  <c r="OQ7" i="2"/>
  <c r="OP7" i="2"/>
  <c r="OO7" i="2"/>
  <c r="ON7" i="2"/>
  <c r="OM7" i="2"/>
  <c r="OL7" i="2"/>
  <c r="OK7" i="2"/>
  <c r="OJ7" i="2"/>
  <c r="OI7" i="2"/>
  <c r="OH7" i="2"/>
  <c r="OG7" i="2"/>
  <c r="OF7" i="2"/>
  <c r="OE7" i="2"/>
  <c r="OD7" i="2"/>
  <c r="OC7" i="2"/>
  <c r="OB7" i="2"/>
  <c r="OA7" i="2"/>
  <c r="NZ7" i="2"/>
  <c r="NY7" i="2"/>
  <c r="NX7" i="2"/>
  <c r="NW7" i="2"/>
  <c r="NV7" i="2"/>
  <c r="NU7" i="2"/>
  <c r="NT7" i="2"/>
  <c r="NS7" i="2"/>
  <c r="NR7" i="2"/>
  <c r="JF7" i="2"/>
  <c r="JE7" i="2"/>
  <c r="JD7" i="2"/>
  <c r="JC7" i="2"/>
  <c r="JB7" i="2"/>
  <c r="JA7" i="2"/>
  <c r="IZ7" i="2"/>
  <c r="IY7" i="2"/>
  <c r="IX7" i="2"/>
  <c r="IW7" i="2"/>
  <c r="IV7" i="2"/>
  <c r="IU7" i="2"/>
  <c r="IT7" i="2"/>
  <c r="IS7" i="2"/>
  <c r="IR7" i="2"/>
  <c r="IQ7" i="2"/>
  <c r="IP7" i="2"/>
  <c r="IO7" i="2"/>
  <c r="IN7" i="2"/>
  <c r="IM7" i="2"/>
  <c r="IL7" i="2"/>
  <c r="IK7" i="2"/>
  <c r="IJ7" i="2"/>
  <c r="II7" i="2"/>
  <c r="IH7" i="2"/>
  <c r="IG7" i="2"/>
  <c r="IF7" i="2"/>
  <c r="IE7" i="2"/>
  <c r="ID7" i="2"/>
  <c r="IC7" i="2"/>
  <c r="IB7" i="2"/>
  <c r="IA7" i="2"/>
  <c r="HZ7" i="2"/>
  <c r="HY7" i="2"/>
  <c r="HX7" i="2"/>
  <c r="HW7" i="2"/>
  <c r="HV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NR36" i="2"/>
  <c r="MF36" i="2"/>
  <c r="KT36" i="2"/>
  <c r="JH36" i="2"/>
  <c r="HV36" i="2"/>
  <c r="GJ36" i="2"/>
  <c r="EX36" i="2"/>
  <c r="DL36" i="2"/>
  <c r="BZ36" i="2"/>
  <c r="AN36" i="2"/>
  <c r="B36" i="2"/>
  <c r="NR33" i="2"/>
  <c r="MF33" i="2"/>
  <c r="KT33" i="2"/>
  <c r="JH33" i="2"/>
  <c r="HV33" i="2"/>
  <c r="GJ33" i="2"/>
  <c r="EX33" i="2"/>
  <c r="DL33" i="2"/>
  <c r="BZ33" i="2"/>
  <c r="AN33" i="2"/>
  <c r="B33" i="2"/>
  <c r="PB18" i="2"/>
  <c r="PA18" i="2"/>
  <c r="OZ18" i="2"/>
  <c r="OY18" i="2"/>
  <c r="OX18" i="2"/>
  <c r="OW18" i="2"/>
  <c r="OV18" i="2"/>
  <c r="OU18" i="2"/>
  <c r="OT18" i="2"/>
  <c r="OS18" i="2"/>
  <c r="OR18" i="2"/>
  <c r="OQ18" i="2"/>
  <c r="OP18" i="2"/>
  <c r="OO18" i="2"/>
  <c r="ON18" i="2"/>
  <c r="OM18" i="2"/>
  <c r="OL18" i="2"/>
  <c r="OK18" i="2"/>
  <c r="OJ18" i="2"/>
  <c r="OI18" i="2"/>
  <c r="OH18" i="2"/>
  <c r="OG18" i="2"/>
  <c r="OF18" i="2"/>
  <c r="OE18" i="2"/>
  <c r="OD18" i="2"/>
  <c r="OC18" i="2"/>
  <c r="OB18" i="2"/>
  <c r="OA18" i="2"/>
  <c r="NZ18" i="2"/>
  <c r="NY18" i="2"/>
  <c r="NX18" i="2"/>
  <c r="NW18" i="2"/>
  <c r="NV18" i="2"/>
  <c r="NU18" i="2"/>
  <c r="NT18" i="2"/>
  <c r="NS18" i="2"/>
  <c r="NR18" i="2"/>
  <c r="JF18" i="2"/>
  <c r="JE18" i="2"/>
  <c r="JD18" i="2"/>
  <c r="JC18" i="2"/>
  <c r="JB18" i="2"/>
  <c r="JA18" i="2"/>
  <c r="IZ18" i="2"/>
  <c r="IY18" i="2"/>
  <c r="IX18" i="2"/>
  <c r="IW18" i="2"/>
  <c r="IV18" i="2"/>
  <c r="IU18" i="2"/>
  <c r="IT18" i="2"/>
  <c r="IS18" i="2"/>
  <c r="IR18" i="2"/>
  <c r="IQ18" i="2"/>
  <c r="IP18" i="2"/>
  <c r="IO18" i="2"/>
  <c r="IN18" i="2"/>
  <c r="IM18" i="2"/>
  <c r="IL18" i="2"/>
  <c r="IK18" i="2"/>
  <c r="IJ18" i="2"/>
  <c r="II18" i="2"/>
  <c r="IH18" i="2"/>
  <c r="IG18" i="2"/>
  <c r="IF18" i="2"/>
  <c r="IE18" i="2"/>
  <c r="ID18" i="2"/>
  <c r="IC18" i="2"/>
  <c r="IB18" i="2"/>
  <c r="IA18" i="2"/>
  <c r="HZ18" i="2"/>
  <c r="HY18" i="2"/>
  <c r="HX18" i="2"/>
  <c r="HW18" i="2"/>
  <c r="HV18" i="2"/>
  <c r="DJ18" i="2"/>
  <c r="DI18" i="2"/>
  <c r="DH18" i="2"/>
  <c r="DG18" i="2"/>
  <c r="DF18" i="2"/>
  <c r="DE18" i="2"/>
  <c r="DD18" i="2"/>
  <c r="DC18" i="2"/>
  <c r="DB18" i="2"/>
  <c r="DA18" i="2"/>
  <c r="CZ18" i="2"/>
  <c r="CY18" i="2"/>
  <c r="CX18" i="2"/>
  <c r="CW18" i="2"/>
  <c r="CV18" i="2"/>
  <c r="CU18" i="2"/>
  <c r="CT18" i="2"/>
  <c r="CS18" i="2"/>
  <c r="CR18" i="2"/>
  <c r="CQ18" i="2"/>
  <c r="CP18" i="2"/>
  <c r="CO18" i="2"/>
  <c r="CN18" i="2"/>
  <c r="CM18" i="2"/>
  <c r="CL18" i="2"/>
  <c r="CK18" i="2"/>
  <c r="CJ18" i="2"/>
  <c r="CI18" i="2"/>
  <c r="CH18" i="2"/>
  <c r="CG18" i="2"/>
  <c r="CF18" i="2"/>
  <c r="CE18" i="2"/>
  <c r="CD18" i="2"/>
  <c r="CC18" i="2"/>
  <c r="CB18" i="2"/>
  <c r="CA18" i="2"/>
  <c r="BZ18" i="2"/>
  <c r="BX18" i="2"/>
  <c r="BW18" i="2"/>
  <c r="BV18" i="2"/>
  <c r="BU18" i="2"/>
  <c r="BT18" i="2"/>
  <c r="BS18" i="2"/>
  <c r="BR18" i="2"/>
  <c r="BQ18" i="2"/>
  <c r="BP18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PB3" i="2"/>
  <c r="PA3" i="2"/>
  <c r="OZ3" i="2"/>
  <c r="OY3" i="2"/>
  <c r="OX3" i="2"/>
  <c r="OW3" i="2"/>
  <c r="OV3" i="2"/>
  <c r="OU3" i="2"/>
  <c r="OT3" i="2"/>
  <c r="OS3" i="2"/>
  <c r="OR3" i="2"/>
  <c r="OQ3" i="2"/>
  <c r="OP3" i="2"/>
  <c r="OO3" i="2"/>
  <c r="ON3" i="2"/>
  <c r="OM3" i="2"/>
  <c r="OL3" i="2"/>
  <c r="OK3" i="2"/>
  <c r="OJ3" i="2"/>
  <c r="OI3" i="2"/>
  <c r="OH3" i="2"/>
  <c r="OG3" i="2"/>
  <c r="OF3" i="2"/>
  <c r="OE3" i="2"/>
  <c r="OD3" i="2"/>
  <c r="OC3" i="2"/>
  <c r="OB3" i="2"/>
  <c r="OA3" i="2"/>
  <c r="NZ3" i="2"/>
  <c r="NY3" i="2"/>
  <c r="NX3" i="2"/>
  <c r="NW3" i="2"/>
  <c r="NV3" i="2"/>
  <c r="NU3" i="2"/>
  <c r="NT3" i="2"/>
  <c r="NS3" i="2"/>
  <c r="NR3" i="2"/>
  <c r="JF3" i="2"/>
  <c r="JE3" i="2"/>
  <c r="JD3" i="2"/>
  <c r="JC3" i="2"/>
  <c r="JB3" i="2"/>
  <c r="JA3" i="2"/>
  <c r="IZ3" i="2"/>
  <c r="IY3" i="2"/>
  <c r="IX3" i="2"/>
  <c r="IW3" i="2"/>
  <c r="IV3" i="2"/>
  <c r="IU3" i="2"/>
  <c r="IT3" i="2"/>
  <c r="IS3" i="2"/>
  <c r="IR3" i="2"/>
  <c r="IQ3" i="2"/>
  <c r="IP3" i="2"/>
  <c r="IO3" i="2"/>
  <c r="IN3" i="2"/>
  <c r="IM3" i="2"/>
  <c r="IL3" i="2"/>
  <c r="IK3" i="2"/>
  <c r="IJ3" i="2"/>
  <c r="II3" i="2"/>
  <c r="IH3" i="2"/>
  <c r="IG3" i="2"/>
  <c r="IF3" i="2"/>
  <c r="IE3" i="2"/>
  <c r="ID3" i="2"/>
  <c r="IC3" i="2"/>
  <c r="IB3" i="2"/>
  <c r="IA3" i="2"/>
  <c r="HZ3" i="2"/>
  <c r="HY3" i="2"/>
  <c r="HX3" i="2"/>
  <c r="HW3" i="2"/>
  <c r="HV3" i="2"/>
  <c r="DJ3" i="2"/>
  <c r="DI3" i="2"/>
  <c r="DH3" i="2"/>
  <c r="DG3" i="2"/>
  <c r="DF3" i="2"/>
  <c r="DE3" i="2"/>
  <c r="DD3" i="2"/>
  <c r="DC3" i="2"/>
  <c r="DB3" i="2"/>
  <c r="DA3" i="2"/>
  <c r="CZ3" i="2"/>
  <c r="CY3" i="2"/>
  <c r="CX3" i="2"/>
  <c r="CW3" i="2"/>
  <c r="CV3" i="2"/>
  <c r="CU3" i="2"/>
  <c r="CT3" i="2"/>
  <c r="CS3" i="2"/>
  <c r="CR3" i="2"/>
  <c r="CQ3" i="2"/>
  <c r="CP3" i="2"/>
  <c r="CO3" i="2"/>
  <c r="CN3" i="2"/>
  <c r="CM3" i="2"/>
  <c r="CL3" i="2"/>
  <c r="CK3" i="2"/>
  <c r="CJ3" i="2"/>
  <c r="CI3" i="2"/>
  <c r="CH3" i="2"/>
  <c r="CG3" i="2"/>
  <c r="CF3" i="2"/>
  <c r="CE3" i="2"/>
  <c r="CD3" i="2"/>
  <c r="CC3" i="2"/>
  <c r="CB3" i="2"/>
  <c r="CA3" i="2"/>
  <c r="BZ3" i="2"/>
  <c r="BX3" i="2"/>
  <c r="BW3" i="2"/>
  <c r="BV3" i="2"/>
  <c r="BU3" i="2"/>
  <c r="BT3" i="2"/>
  <c r="BS3" i="2"/>
  <c r="BR3" i="2"/>
  <c r="BQ3" i="2"/>
  <c r="BP3" i="2"/>
  <c r="BO3" i="2"/>
  <c r="BN3" i="2"/>
  <c r="BM3" i="2"/>
  <c r="BL3" i="2"/>
  <c r="BK3" i="2"/>
  <c r="BJ3" i="2"/>
  <c r="BI3" i="2"/>
  <c r="BH3" i="2"/>
  <c r="BG3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PB30" i="2"/>
  <c r="PA30" i="2"/>
  <c r="OZ30" i="2"/>
  <c r="OY30" i="2"/>
  <c r="OX30" i="2"/>
  <c r="OW30" i="2"/>
  <c r="OV30" i="2"/>
  <c r="OU30" i="2"/>
  <c r="OT30" i="2"/>
  <c r="OS30" i="2"/>
  <c r="OR30" i="2"/>
  <c r="OQ30" i="2"/>
  <c r="OP30" i="2"/>
  <c r="OO30" i="2"/>
  <c r="ON30" i="2"/>
  <c r="OM30" i="2"/>
  <c r="OL30" i="2"/>
  <c r="OK30" i="2"/>
  <c r="OJ30" i="2"/>
  <c r="OI30" i="2"/>
  <c r="OH30" i="2"/>
  <c r="OG30" i="2"/>
  <c r="OF30" i="2"/>
  <c r="OE30" i="2"/>
  <c r="OD30" i="2"/>
  <c r="OC30" i="2"/>
  <c r="OB30" i="2"/>
  <c r="OA30" i="2"/>
  <c r="NZ30" i="2"/>
  <c r="NY30" i="2"/>
  <c r="NX30" i="2"/>
  <c r="NW30" i="2"/>
  <c r="NV30" i="2"/>
  <c r="NU30" i="2"/>
  <c r="NT30" i="2"/>
  <c r="NS30" i="2"/>
  <c r="NR30" i="2"/>
  <c r="JF30" i="2"/>
  <c r="JE30" i="2"/>
  <c r="JD30" i="2"/>
  <c r="JC30" i="2"/>
  <c r="JB30" i="2"/>
  <c r="JA30" i="2"/>
  <c r="IZ30" i="2"/>
  <c r="IY30" i="2"/>
  <c r="IX30" i="2"/>
  <c r="IW30" i="2"/>
  <c r="IV30" i="2"/>
  <c r="IU30" i="2"/>
  <c r="IT30" i="2"/>
  <c r="IS30" i="2"/>
  <c r="IR30" i="2"/>
  <c r="IQ30" i="2"/>
  <c r="IP30" i="2"/>
  <c r="IO30" i="2"/>
  <c r="IN30" i="2"/>
  <c r="IM30" i="2"/>
  <c r="IL30" i="2"/>
  <c r="IK30" i="2"/>
  <c r="IJ30" i="2"/>
  <c r="II30" i="2"/>
  <c r="IH30" i="2"/>
  <c r="IG30" i="2"/>
  <c r="IF30" i="2"/>
  <c r="IE30" i="2"/>
  <c r="ID30" i="2"/>
  <c r="IC30" i="2"/>
  <c r="IB30" i="2"/>
  <c r="IA30" i="2"/>
  <c r="HZ30" i="2"/>
  <c r="HY30" i="2"/>
  <c r="HX30" i="2"/>
  <c r="HW30" i="2"/>
  <c r="HV30" i="2"/>
  <c r="DJ30" i="2"/>
  <c r="DI30" i="2"/>
  <c r="DH30" i="2"/>
  <c r="DG30" i="2"/>
  <c r="DF30" i="2"/>
  <c r="DE30" i="2"/>
  <c r="DD30" i="2"/>
  <c r="DC30" i="2"/>
  <c r="DB30" i="2"/>
  <c r="DA30" i="2"/>
  <c r="CZ30" i="2"/>
  <c r="CY30" i="2"/>
  <c r="CX30" i="2"/>
  <c r="CW30" i="2"/>
  <c r="CV30" i="2"/>
  <c r="CU30" i="2"/>
  <c r="CT30" i="2"/>
  <c r="CS30" i="2"/>
  <c r="CR30" i="2"/>
  <c r="CQ30" i="2"/>
  <c r="CP30" i="2"/>
  <c r="CO30" i="2"/>
  <c r="CN30" i="2"/>
  <c r="CM30" i="2"/>
  <c r="CL30" i="2"/>
  <c r="CK30" i="2"/>
  <c r="CJ30" i="2"/>
  <c r="CI30" i="2"/>
  <c r="CH30" i="2"/>
  <c r="CG30" i="2"/>
  <c r="CF30" i="2"/>
  <c r="CE30" i="2"/>
  <c r="CD30" i="2"/>
  <c r="CC30" i="2"/>
  <c r="CB30" i="2"/>
  <c r="CA30" i="2"/>
  <c r="BZ30" i="2"/>
  <c r="BX30" i="2"/>
  <c r="BW30" i="2"/>
  <c r="BV30" i="2"/>
  <c r="BU30" i="2"/>
  <c r="BT30" i="2"/>
  <c r="BS30" i="2"/>
  <c r="BR30" i="2"/>
  <c r="BQ30" i="2"/>
  <c r="BP30" i="2"/>
  <c r="BO30" i="2"/>
  <c r="BN30" i="2"/>
  <c r="BM30" i="2"/>
  <c r="BL30" i="2"/>
  <c r="BK30" i="2"/>
  <c r="BJ30" i="2"/>
  <c r="BI30" i="2"/>
  <c r="BH30" i="2"/>
  <c r="BG30" i="2"/>
  <c r="BF30" i="2"/>
  <c r="BE30" i="2"/>
  <c r="BD30" i="2"/>
  <c r="BC30" i="2"/>
  <c r="BB30" i="2"/>
  <c r="BA30" i="2"/>
  <c r="AZ30" i="2"/>
  <c r="AY30" i="2"/>
  <c r="AX30" i="2"/>
  <c r="AW30" i="2"/>
  <c r="AV30" i="2"/>
  <c r="AU30" i="2"/>
  <c r="AT30" i="2"/>
  <c r="AS30" i="2"/>
  <c r="AR30" i="2"/>
  <c r="AQ30" i="2"/>
  <c r="AP30" i="2"/>
  <c r="AO30" i="2"/>
  <c r="AN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PB27" i="2"/>
  <c r="PA27" i="2"/>
  <c r="OZ27" i="2"/>
  <c r="OY27" i="2"/>
  <c r="OX27" i="2"/>
  <c r="OW27" i="2"/>
  <c r="OV27" i="2"/>
  <c r="OU27" i="2"/>
  <c r="OT27" i="2"/>
  <c r="OS27" i="2"/>
  <c r="OR27" i="2"/>
  <c r="OQ27" i="2"/>
  <c r="OP27" i="2"/>
  <c r="OO27" i="2"/>
  <c r="ON27" i="2"/>
  <c r="OM27" i="2"/>
  <c r="OL27" i="2"/>
  <c r="OK27" i="2"/>
  <c r="OJ27" i="2"/>
  <c r="OI27" i="2"/>
  <c r="OH27" i="2"/>
  <c r="OG27" i="2"/>
  <c r="OF27" i="2"/>
  <c r="OE27" i="2"/>
  <c r="OD27" i="2"/>
  <c r="OC27" i="2"/>
  <c r="OB27" i="2"/>
  <c r="OA27" i="2"/>
  <c r="NZ27" i="2"/>
  <c r="NY27" i="2"/>
  <c r="NX27" i="2"/>
  <c r="NW27" i="2"/>
  <c r="NV27" i="2"/>
  <c r="NU27" i="2"/>
  <c r="NT27" i="2"/>
  <c r="NS27" i="2"/>
  <c r="NR27" i="2"/>
  <c r="JF27" i="2"/>
  <c r="JE27" i="2"/>
  <c r="JD27" i="2"/>
  <c r="JC27" i="2"/>
  <c r="JB27" i="2"/>
  <c r="JA27" i="2"/>
  <c r="IZ27" i="2"/>
  <c r="IY27" i="2"/>
  <c r="IX27" i="2"/>
  <c r="IW27" i="2"/>
  <c r="IV27" i="2"/>
  <c r="IU27" i="2"/>
  <c r="IT27" i="2"/>
  <c r="IS27" i="2"/>
  <c r="IR27" i="2"/>
  <c r="IQ27" i="2"/>
  <c r="IP27" i="2"/>
  <c r="IO27" i="2"/>
  <c r="IN27" i="2"/>
  <c r="IM27" i="2"/>
  <c r="IL27" i="2"/>
  <c r="IK27" i="2"/>
  <c r="IJ27" i="2"/>
  <c r="II27" i="2"/>
  <c r="IH27" i="2"/>
  <c r="IG27" i="2"/>
  <c r="IF27" i="2"/>
  <c r="IE27" i="2"/>
  <c r="ID27" i="2"/>
  <c r="IC27" i="2"/>
  <c r="IB27" i="2"/>
  <c r="IA27" i="2"/>
  <c r="HZ27" i="2"/>
  <c r="HY27" i="2"/>
  <c r="HX27" i="2"/>
  <c r="HW27" i="2"/>
  <c r="HV27" i="2"/>
  <c r="DJ27" i="2"/>
  <c r="DI27" i="2"/>
  <c r="DH27" i="2"/>
  <c r="DG27" i="2"/>
  <c r="DF27" i="2"/>
  <c r="DE27" i="2"/>
  <c r="DD27" i="2"/>
  <c r="DC27" i="2"/>
  <c r="DB27" i="2"/>
  <c r="DA27" i="2"/>
  <c r="CZ27" i="2"/>
  <c r="CY27" i="2"/>
  <c r="CX27" i="2"/>
  <c r="CW27" i="2"/>
  <c r="CV27" i="2"/>
  <c r="CU27" i="2"/>
  <c r="CT27" i="2"/>
  <c r="CS27" i="2"/>
  <c r="CR27" i="2"/>
  <c r="CQ27" i="2"/>
  <c r="CP27" i="2"/>
  <c r="CO27" i="2"/>
  <c r="CN27" i="2"/>
  <c r="CM27" i="2"/>
  <c r="CL27" i="2"/>
  <c r="CK27" i="2"/>
  <c r="CJ27" i="2"/>
  <c r="CI27" i="2"/>
  <c r="CH27" i="2"/>
  <c r="CG27" i="2"/>
  <c r="CF27" i="2"/>
  <c r="CE27" i="2"/>
  <c r="CD27" i="2"/>
  <c r="CC27" i="2"/>
  <c r="CB27" i="2"/>
  <c r="CA27" i="2"/>
  <c r="BZ27" i="2"/>
  <c r="BX27" i="2"/>
  <c r="BW27" i="2"/>
  <c r="BV27" i="2"/>
  <c r="BU27" i="2"/>
  <c r="BT27" i="2"/>
  <c r="BS27" i="2"/>
  <c r="BR27" i="2"/>
  <c r="BQ27" i="2"/>
  <c r="BP27" i="2"/>
  <c r="BO27" i="2"/>
  <c r="BN27" i="2"/>
  <c r="BM27" i="2"/>
  <c r="BL27" i="2"/>
  <c r="BK27" i="2"/>
  <c r="BJ27" i="2"/>
  <c r="BI27" i="2"/>
  <c r="BH27" i="2"/>
  <c r="BG27" i="2"/>
  <c r="BF27" i="2"/>
  <c r="BE27" i="2"/>
  <c r="BD27" i="2"/>
  <c r="BC27" i="2"/>
  <c r="BB27" i="2"/>
  <c r="BA27" i="2"/>
  <c r="AZ27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PB24" i="2"/>
  <c r="PA24" i="2"/>
  <c r="OZ24" i="2"/>
  <c r="OY24" i="2"/>
  <c r="OX24" i="2"/>
  <c r="OW24" i="2"/>
  <c r="OV24" i="2"/>
  <c r="OU24" i="2"/>
  <c r="OT24" i="2"/>
  <c r="OS24" i="2"/>
  <c r="OR24" i="2"/>
  <c r="OQ24" i="2"/>
  <c r="OP24" i="2"/>
  <c r="OO24" i="2"/>
  <c r="ON24" i="2"/>
  <c r="OM24" i="2"/>
  <c r="OL24" i="2"/>
  <c r="OK24" i="2"/>
  <c r="OJ24" i="2"/>
  <c r="OI24" i="2"/>
  <c r="OH24" i="2"/>
  <c r="OG24" i="2"/>
  <c r="OF24" i="2"/>
  <c r="OE24" i="2"/>
  <c r="OD24" i="2"/>
  <c r="OC24" i="2"/>
  <c r="OB24" i="2"/>
  <c r="OA24" i="2"/>
  <c r="NZ24" i="2"/>
  <c r="NY24" i="2"/>
  <c r="NX24" i="2"/>
  <c r="NW24" i="2"/>
  <c r="NV24" i="2"/>
  <c r="NU24" i="2"/>
  <c r="NT24" i="2"/>
  <c r="NS24" i="2"/>
  <c r="NR24" i="2"/>
  <c r="JF24" i="2"/>
  <c r="JE24" i="2"/>
  <c r="JD24" i="2"/>
  <c r="JC24" i="2"/>
  <c r="JB24" i="2"/>
  <c r="JA24" i="2"/>
  <c r="IZ24" i="2"/>
  <c r="IY24" i="2"/>
  <c r="IX24" i="2"/>
  <c r="IW24" i="2"/>
  <c r="IV24" i="2"/>
  <c r="IU24" i="2"/>
  <c r="IT24" i="2"/>
  <c r="IS24" i="2"/>
  <c r="IR24" i="2"/>
  <c r="IQ24" i="2"/>
  <c r="IP24" i="2"/>
  <c r="IO24" i="2"/>
  <c r="IN24" i="2"/>
  <c r="IM24" i="2"/>
  <c r="IL24" i="2"/>
  <c r="IK24" i="2"/>
  <c r="IJ24" i="2"/>
  <c r="II24" i="2"/>
  <c r="IH24" i="2"/>
  <c r="IG24" i="2"/>
  <c r="IF24" i="2"/>
  <c r="IE24" i="2"/>
  <c r="ID24" i="2"/>
  <c r="IC24" i="2"/>
  <c r="IB24" i="2"/>
  <c r="IA24" i="2"/>
  <c r="HZ24" i="2"/>
  <c r="HY24" i="2"/>
  <c r="HX24" i="2"/>
  <c r="HW24" i="2"/>
  <c r="HV24" i="2"/>
  <c r="DJ24" i="2"/>
  <c r="DI24" i="2"/>
  <c r="DH24" i="2"/>
  <c r="DG24" i="2"/>
  <c r="DF24" i="2"/>
  <c r="DE24" i="2"/>
  <c r="DD24" i="2"/>
  <c r="DC24" i="2"/>
  <c r="DB24" i="2"/>
  <c r="DA24" i="2"/>
  <c r="CZ24" i="2"/>
  <c r="CY24" i="2"/>
  <c r="CX24" i="2"/>
  <c r="CW24" i="2"/>
  <c r="CV24" i="2"/>
  <c r="CU24" i="2"/>
  <c r="CT24" i="2"/>
  <c r="CS24" i="2"/>
  <c r="CR24" i="2"/>
  <c r="CQ24" i="2"/>
  <c r="CP24" i="2"/>
  <c r="CO24" i="2"/>
  <c r="CN24" i="2"/>
  <c r="CM24" i="2"/>
  <c r="CL24" i="2"/>
  <c r="CK24" i="2"/>
  <c r="CJ24" i="2"/>
  <c r="CI24" i="2"/>
  <c r="CH24" i="2"/>
  <c r="CG24" i="2"/>
  <c r="CF24" i="2"/>
  <c r="CE24" i="2"/>
  <c r="CD24" i="2"/>
  <c r="CC24" i="2"/>
  <c r="CB24" i="2"/>
  <c r="CA24" i="2"/>
  <c r="BZ24" i="2"/>
  <c r="BX24" i="2"/>
  <c r="BW24" i="2"/>
  <c r="BV24" i="2"/>
  <c r="BU24" i="2"/>
  <c r="BT24" i="2"/>
  <c r="BS24" i="2"/>
  <c r="BR24" i="2"/>
  <c r="BQ24" i="2"/>
  <c r="BP24" i="2"/>
  <c r="BO24" i="2"/>
  <c r="BN24" i="2"/>
  <c r="BM24" i="2"/>
  <c r="BL24" i="2"/>
  <c r="BK24" i="2"/>
  <c r="BJ24" i="2"/>
  <c r="BI24" i="2"/>
  <c r="BH24" i="2"/>
  <c r="BG24" i="2"/>
  <c r="BF24" i="2"/>
  <c r="BE24" i="2"/>
  <c r="BD24" i="2"/>
  <c r="BC24" i="2"/>
  <c r="BB24" i="2"/>
  <c r="BA24" i="2"/>
  <c r="AZ24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PB21" i="2"/>
  <c r="PA21" i="2"/>
  <c r="OZ21" i="2"/>
  <c r="OY21" i="2"/>
  <c r="OX21" i="2"/>
  <c r="OW21" i="2"/>
  <c r="OV21" i="2"/>
  <c r="OU21" i="2"/>
  <c r="OT21" i="2"/>
  <c r="OS21" i="2"/>
  <c r="OR21" i="2"/>
  <c r="OQ21" i="2"/>
  <c r="OP21" i="2"/>
  <c r="OO21" i="2"/>
  <c r="ON21" i="2"/>
  <c r="OM21" i="2"/>
  <c r="OL21" i="2"/>
  <c r="OK21" i="2"/>
  <c r="OJ21" i="2"/>
  <c r="OI21" i="2"/>
  <c r="OH21" i="2"/>
  <c r="OG21" i="2"/>
  <c r="OF21" i="2"/>
  <c r="OE21" i="2"/>
  <c r="OD21" i="2"/>
  <c r="OC21" i="2"/>
  <c r="OB21" i="2"/>
  <c r="OA21" i="2"/>
  <c r="NZ21" i="2"/>
  <c r="NY21" i="2"/>
  <c r="NX21" i="2"/>
  <c r="NW21" i="2"/>
  <c r="NV21" i="2"/>
  <c r="NU21" i="2"/>
  <c r="NT21" i="2"/>
  <c r="NS21" i="2"/>
  <c r="NR21" i="2"/>
  <c r="JF21" i="2"/>
  <c r="JE21" i="2"/>
  <c r="JD21" i="2"/>
  <c r="JC21" i="2"/>
  <c r="JB21" i="2"/>
  <c r="JA21" i="2"/>
  <c r="IZ21" i="2"/>
  <c r="IY21" i="2"/>
  <c r="IX21" i="2"/>
  <c r="IW21" i="2"/>
  <c r="IV21" i="2"/>
  <c r="IU21" i="2"/>
  <c r="IT21" i="2"/>
  <c r="IS21" i="2"/>
  <c r="IR21" i="2"/>
  <c r="IQ21" i="2"/>
  <c r="IP21" i="2"/>
  <c r="IO21" i="2"/>
  <c r="IN21" i="2"/>
  <c r="IM21" i="2"/>
  <c r="IL21" i="2"/>
  <c r="IK21" i="2"/>
  <c r="IJ21" i="2"/>
  <c r="II21" i="2"/>
  <c r="IH21" i="2"/>
  <c r="IG21" i="2"/>
  <c r="IF21" i="2"/>
  <c r="IE21" i="2"/>
  <c r="ID21" i="2"/>
  <c r="IC21" i="2"/>
  <c r="IB21" i="2"/>
  <c r="IA21" i="2"/>
  <c r="HZ21" i="2"/>
  <c r="HY21" i="2"/>
  <c r="HX21" i="2"/>
  <c r="HW21" i="2"/>
  <c r="HV21" i="2"/>
  <c r="DJ21" i="2"/>
  <c r="DI21" i="2"/>
  <c r="DH21" i="2"/>
  <c r="DG21" i="2"/>
  <c r="DF21" i="2"/>
  <c r="DE21" i="2"/>
  <c r="DD21" i="2"/>
  <c r="DC21" i="2"/>
  <c r="DB21" i="2"/>
  <c r="DA21" i="2"/>
  <c r="CZ21" i="2"/>
  <c r="CY21" i="2"/>
  <c r="CX21" i="2"/>
  <c r="CW21" i="2"/>
  <c r="CV21" i="2"/>
  <c r="CU21" i="2"/>
  <c r="CT21" i="2"/>
  <c r="CS21" i="2"/>
  <c r="CR21" i="2"/>
  <c r="CQ21" i="2"/>
  <c r="CP21" i="2"/>
  <c r="CO21" i="2"/>
  <c r="CN21" i="2"/>
  <c r="CM21" i="2"/>
  <c r="CL21" i="2"/>
  <c r="CK21" i="2"/>
  <c r="CJ21" i="2"/>
  <c r="CI21" i="2"/>
  <c r="CH21" i="2"/>
  <c r="CG21" i="2"/>
  <c r="CF21" i="2"/>
  <c r="CE21" i="2"/>
  <c r="CD21" i="2"/>
  <c r="CC21" i="2"/>
  <c r="CB21" i="2"/>
  <c r="CA21" i="2"/>
  <c r="BZ21" i="2"/>
  <c r="BX21" i="2"/>
  <c r="BW21" i="2"/>
  <c r="BV21" i="2"/>
  <c r="BU21" i="2"/>
  <c r="BT21" i="2"/>
  <c r="BS21" i="2"/>
  <c r="BR21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PB15" i="2"/>
  <c r="PA15" i="2"/>
  <c r="OZ15" i="2"/>
  <c r="OY15" i="2"/>
  <c r="OX15" i="2"/>
  <c r="OW15" i="2"/>
  <c r="OV15" i="2"/>
  <c r="OU15" i="2"/>
  <c r="OT15" i="2"/>
  <c r="OS15" i="2"/>
  <c r="OR15" i="2"/>
  <c r="OQ15" i="2"/>
  <c r="OP15" i="2"/>
  <c r="OO15" i="2"/>
  <c r="ON15" i="2"/>
  <c r="OM15" i="2"/>
  <c r="OL15" i="2"/>
  <c r="OK15" i="2"/>
  <c r="OJ15" i="2"/>
  <c r="OI15" i="2"/>
  <c r="OH15" i="2"/>
  <c r="OG15" i="2"/>
  <c r="OF15" i="2"/>
  <c r="OE15" i="2"/>
  <c r="OD15" i="2"/>
  <c r="OC15" i="2"/>
  <c r="OB15" i="2"/>
  <c r="OA15" i="2"/>
  <c r="NZ15" i="2"/>
  <c r="NY15" i="2"/>
  <c r="NX15" i="2"/>
  <c r="NW15" i="2"/>
  <c r="NV15" i="2"/>
  <c r="NU15" i="2"/>
  <c r="NT15" i="2"/>
  <c r="NS15" i="2"/>
  <c r="NR15" i="2"/>
  <c r="JF15" i="2"/>
  <c r="JE15" i="2"/>
  <c r="JD15" i="2"/>
  <c r="JC15" i="2"/>
  <c r="JB15" i="2"/>
  <c r="JA15" i="2"/>
  <c r="IZ15" i="2"/>
  <c r="IY15" i="2"/>
  <c r="IX15" i="2"/>
  <c r="IW15" i="2"/>
  <c r="IV15" i="2"/>
  <c r="IU15" i="2"/>
  <c r="IT15" i="2"/>
  <c r="IS15" i="2"/>
  <c r="IR15" i="2"/>
  <c r="IQ15" i="2"/>
  <c r="IP15" i="2"/>
  <c r="IO15" i="2"/>
  <c r="IN15" i="2"/>
  <c r="IM15" i="2"/>
  <c r="IL15" i="2"/>
  <c r="IK15" i="2"/>
  <c r="IJ15" i="2"/>
  <c r="II15" i="2"/>
  <c r="IH15" i="2"/>
  <c r="IG15" i="2"/>
  <c r="IF15" i="2"/>
  <c r="IE15" i="2"/>
  <c r="ID15" i="2"/>
  <c r="IC15" i="2"/>
  <c r="IB15" i="2"/>
  <c r="IA15" i="2"/>
  <c r="HZ15" i="2"/>
  <c r="HY15" i="2"/>
  <c r="HX15" i="2"/>
  <c r="HW15" i="2"/>
  <c r="HV15" i="2"/>
  <c r="DJ15" i="2"/>
  <c r="DI15" i="2"/>
  <c r="DH15" i="2"/>
  <c r="DG15" i="2"/>
  <c r="DF15" i="2"/>
  <c r="DE15" i="2"/>
  <c r="DD15" i="2"/>
  <c r="DC15" i="2"/>
  <c r="DB15" i="2"/>
  <c r="DA15" i="2"/>
  <c r="CZ15" i="2"/>
  <c r="CY15" i="2"/>
  <c r="CX15" i="2"/>
  <c r="CW15" i="2"/>
  <c r="CV15" i="2"/>
  <c r="CU15" i="2"/>
  <c r="CT15" i="2"/>
  <c r="CS15" i="2"/>
  <c r="CR15" i="2"/>
  <c r="CQ15" i="2"/>
  <c r="CP15" i="2"/>
  <c r="CO15" i="2"/>
  <c r="CN15" i="2"/>
  <c r="CM15" i="2"/>
  <c r="CL15" i="2"/>
  <c r="CK15" i="2"/>
  <c r="CJ15" i="2"/>
  <c r="CI15" i="2"/>
  <c r="CH15" i="2"/>
  <c r="CG15" i="2"/>
  <c r="CF15" i="2"/>
  <c r="CE15" i="2"/>
  <c r="CD15" i="2"/>
  <c r="CC15" i="2"/>
  <c r="CB15" i="2"/>
  <c r="CA15" i="2"/>
  <c r="BZ15" i="2"/>
  <c r="BX15" i="2"/>
  <c r="BW15" i="2"/>
  <c r="BV15" i="2"/>
  <c r="BU15" i="2"/>
  <c r="BT15" i="2"/>
  <c r="BS15" i="2"/>
  <c r="BR15" i="2"/>
  <c r="BQ15" i="2"/>
  <c r="BP15" i="2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PB12" i="2"/>
  <c r="PA12" i="2"/>
  <c r="OZ12" i="2"/>
  <c r="OY12" i="2"/>
  <c r="OX12" i="2"/>
  <c r="OW12" i="2"/>
  <c r="OV12" i="2"/>
  <c r="OU12" i="2"/>
  <c r="OT12" i="2"/>
  <c r="OS12" i="2"/>
  <c r="OR12" i="2"/>
  <c r="OQ12" i="2"/>
  <c r="OP12" i="2"/>
  <c r="OO12" i="2"/>
  <c r="ON12" i="2"/>
  <c r="OM12" i="2"/>
  <c r="OL12" i="2"/>
  <c r="OK12" i="2"/>
  <c r="OJ12" i="2"/>
  <c r="OI12" i="2"/>
  <c r="OH12" i="2"/>
  <c r="OG12" i="2"/>
  <c r="OF12" i="2"/>
  <c r="OE12" i="2"/>
  <c r="OD12" i="2"/>
  <c r="OC12" i="2"/>
  <c r="OB12" i="2"/>
  <c r="OA12" i="2"/>
  <c r="NZ12" i="2"/>
  <c r="NY12" i="2"/>
  <c r="NX12" i="2"/>
  <c r="NW12" i="2"/>
  <c r="NV12" i="2"/>
  <c r="NU12" i="2"/>
  <c r="NT12" i="2"/>
  <c r="NS12" i="2"/>
  <c r="NR12" i="2"/>
  <c r="JF12" i="2"/>
  <c r="JE12" i="2"/>
  <c r="JD12" i="2"/>
  <c r="JC12" i="2"/>
  <c r="JB12" i="2"/>
  <c r="JA12" i="2"/>
  <c r="IZ12" i="2"/>
  <c r="IY12" i="2"/>
  <c r="IX12" i="2"/>
  <c r="IW12" i="2"/>
  <c r="IV12" i="2"/>
  <c r="IU12" i="2"/>
  <c r="IT12" i="2"/>
  <c r="IS12" i="2"/>
  <c r="IR12" i="2"/>
  <c r="IQ12" i="2"/>
  <c r="IP12" i="2"/>
  <c r="IO12" i="2"/>
  <c r="IN12" i="2"/>
  <c r="IM12" i="2"/>
  <c r="IL12" i="2"/>
  <c r="IK12" i="2"/>
  <c r="IJ12" i="2"/>
  <c r="II12" i="2"/>
  <c r="IH12" i="2"/>
  <c r="IG12" i="2"/>
  <c r="IF12" i="2"/>
  <c r="IE12" i="2"/>
  <c r="ID12" i="2"/>
  <c r="IC12" i="2"/>
  <c r="IB12" i="2"/>
  <c r="IA12" i="2"/>
  <c r="HZ12" i="2"/>
  <c r="HY12" i="2"/>
  <c r="HX12" i="2"/>
  <c r="HW12" i="2"/>
  <c r="HV12" i="2"/>
  <c r="DJ12" i="2"/>
  <c r="DI12" i="2"/>
  <c r="DH12" i="2"/>
  <c r="DG12" i="2"/>
  <c r="DF12" i="2"/>
  <c r="DE12" i="2"/>
  <c r="DD12" i="2"/>
  <c r="DC12" i="2"/>
  <c r="DB12" i="2"/>
  <c r="DA12" i="2"/>
  <c r="CZ12" i="2"/>
  <c r="CY12" i="2"/>
  <c r="CX12" i="2"/>
  <c r="CW12" i="2"/>
  <c r="CV12" i="2"/>
  <c r="CU12" i="2"/>
  <c r="CT12" i="2"/>
  <c r="CS12" i="2"/>
  <c r="CR12" i="2"/>
  <c r="CQ12" i="2"/>
  <c r="CP12" i="2"/>
  <c r="CO12" i="2"/>
  <c r="CN12" i="2"/>
  <c r="CM12" i="2"/>
  <c r="CL12" i="2"/>
  <c r="CK12" i="2"/>
  <c r="CJ12" i="2"/>
  <c r="CI12" i="2"/>
  <c r="CH12" i="2"/>
  <c r="CG12" i="2"/>
  <c r="CF12" i="2"/>
  <c r="CE12" i="2"/>
  <c r="CD12" i="2"/>
  <c r="CC12" i="2"/>
  <c r="CB12" i="2"/>
  <c r="CA12" i="2"/>
  <c r="BZ12" i="2"/>
  <c r="BX12" i="2"/>
  <c r="BW12" i="2"/>
  <c r="BV12" i="2"/>
  <c r="BU12" i="2"/>
  <c r="BT12" i="2"/>
  <c r="BS12" i="2"/>
  <c r="BR12" i="2"/>
  <c r="BQ12" i="2"/>
  <c r="BP12" i="2"/>
  <c r="BO12" i="2"/>
  <c r="BN12" i="2"/>
  <c r="BM12" i="2"/>
  <c r="BL12" i="2"/>
  <c r="BK12" i="2"/>
  <c r="BJ12" i="2"/>
  <c r="BI12" i="2"/>
  <c r="BH12" i="2"/>
  <c r="BG12" i="2"/>
  <c r="BF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PB9" i="2"/>
  <c r="PA9" i="2"/>
  <c r="OZ9" i="2"/>
  <c r="OY9" i="2"/>
  <c r="OX9" i="2"/>
  <c r="OW9" i="2"/>
  <c r="OV9" i="2"/>
  <c r="OU9" i="2"/>
  <c r="OT9" i="2"/>
  <c r="OS9" i="2"/>
  <c r="OR9" i="2"/>
  <c r="OQ9" i="2"/>
  <c r="OP9" i="2"/>
  <c r="OO9" i="2"/>
  <c r="ON9" i="2"/>
  <c r="OM9" i="2"/>
  <c r="OL9" i="2"/>
  <c r="OK9" i="2"/>
  <c r="OJ9" i="2"/>
  <c r="OI9" i="2"/>
  <c r="OH9" i="2"/>
  <c r="OG9" i="2"/>
  <c r="OF9" i="2"/>
  <c r="OE9" i="2"/>
  <c r="OD9" i="2"/>
  <c r="OC9" i="2"/>
  <c r="OB9" i="2"/>
  <c r="OA9" i="2"/>
  <c r="NZ9" i="2"/>
  <c r="NY9" i="2"/>
  <c r="NX9" i="2"/>
  <c r="NW9" i="2"/>
  <c r="NV9" i="2"/>
  <c r="NU9" i="2"/>
  <c r="NT9" i="2"/>
  <c r="NS9" i="2"/>
  <c r="NR9" i="2"/>
  <c r="JF9" i="2"/>
  <c r="JE9" i="2"/>
  <c r="JD9" i="2"/>
  <c r="JC9" i="2"/>
  <c r="JB9" i="2"/>
  <c r="JA9" i="2"/>
  <c r="IZ9" i="2"/>
  <c r="IY9" i="2"/>
  <c r="IX9" i="2"/>
  <c r="IW9" i="2"/>
  <c r="IV9" i="2"/>
  <c r="IU9" i="2"/>
  <c r="IT9" i="2"/>
  <c r="IS9" i="2"/>
  <c r="IR9" i="2"/>
  <c r="IQ9" i="2"/>
  <c r="IP9" i="2"/>
  <c r="IO9" i="2"/>
  <c r="IN9" i="2"/>
  <c r="IM9" i="2"/>
  <c r="IL9" i="2"/>
  <c r="IK9" i="2"/>
  <c r="IJ9" i="2"/>
  <c r="II9" i="2"/>
  <c r="IH9" i="2"/>
  <c r="IG9" i="2"/>
  <c r="IF9" i="2"/>
  <c r="IE9" i="2"/>
  <c r="ID9" i="2"/>
  <c r="IC9" i="2"/>
  <c r="IB9" i="2"/>
  <c r="IA9" i="2"/>
  <c r="HZ9" i="2"/>
  <c r="HY9" i="2"/>
  <c r="HX9" i="2"/>
  <c r="HW9" i="2"/>
  <c r="HV9" i="2"/>
  <c r="DJ9" i="2"/>
  <c r="DI9" i="2"/>
  <c r="DH9" i="2"/>
  <c r="DG9" i="2"/>
  <c r="DF9" i="2"/>
  <c r="DE9" i="2"/>
  <c r="DD9" i="2"/>
  <c r="DC9" i="2"/>
  <c r="DB9" i="2"/>
  <c r="DA9" i="2"/>
  <c r="CZ9" i="2"/>
  <c r="CY9" i="2"/>
  <c r="CX9" i="2"/>
  <c r="CW9" i="2"/>
  <c r="CV9" i="2"/>
  <c r="CU9" i="2"/>
  <c r="CT9" i="2"/>
  <c r="CS9" i="2"/>
  <c r="CR9" i="2"/>
  <c r="CQ9" i="2"/>
  <c r="CP9" i="2"/>
  <c r="CO9" i="2"/>
  <c r="CN9" i="2"/>
  <c r="CM9" i="2"/>
  <c r="CL9" i="2"/>
  <c r="CK9" i="2"/>
  <c r="CJ9" i="2"/>
  <c r="CI9" i="2"/>
  <c r="CH9" i="2"/>
  <c r="CG9" i="2"/>
  <c r="CF9" i="2"/>
  <c r="CE9" i="2"/>
  <c r="CD9" i="2"/>
  <c r="CC9" i="2"/>
  <c r="CB9" i="2"/>
  <c r="CA9" i="2"/>
  <c r="BZ9" i="2"/>
  <c r="BX9" i="2"/>
  <c r="BW9" i="2"/>
  <c r="BV9" i="2"/>
  <c r="BU9" i="2"/>
  <c r="BT9" i="2"/>
  <c r="BS9" i="2"/>
  <c r="BR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PB6" i="2"/>
  <c r="PA6" i="2"/>
  <c r="OZ6" i="2"/>
  <c r="OY6" i="2"/>
  <c r="OX6" i="2"/>
  <c r="OW6" i="2"/>
  <c r="OV6" i="2"/>
  <c r="OU6" i="2"/>
  <c r="OT6" i="2"/>
  <c r="OS6" i="2"/>
  <c r="OR6" i="2"/>
  <c r="OQ6" i="2"/>
  <c r="OP6" i="2"/>
  <c r="OO6" i="2"/>
  <c r="ON6" i="2"/>
  <c r="OM6" i="2"/>
  <c r="OL6" i="2"/>
  <c r="OK6" i="2"/>
  <c r="OJ6" i="2"/>
  <c r="OI6" i="2"/>
  <c r="OH6" i="2"/>
  <c r="OG6" i="2"/>
  <c r="OF6" i="2"/>
  <c r="OE6" i="2"/>
  <c r="OD6" i="2"/>
  <c r="OC6" i="2"/>
  <c r="OB6" i="2"/>
  <c r="OA6" i="2"/>
  <c r="NZ6" i="2"/>
  <c r="NY6" i="2"/>
  <c r="NX6" i="2"/>
  <c r="NW6" i="2"/>
  <c r="NV6" i="2"/>
  <c r="NU6" i="2"/>
  <c r="NT6" i="2"/>
  <c r="NS6" i="2"/>
  <c r="NR6" i="2"/>
  <c r="JF6" i="2"/>
  <c r="JE6" i="2"/>
  <c r="JD6" i="2"/>
  <c r="JC6" i="2"/>
  <c r="JB6" i="2"/>
  <c r="JA6" i="2"/>
  <c r="IZ6" i="2"/>
  <c r="IY6" i="2"/>
  <c r="IX6" i="2"/>
  <c r="IW6" i="2"/>
  <c r="IV6" i="2"/>
  <c r="IU6" i="2"/>
  <c r="IT6" i="2"/>
  <c r="IS6" i="2"/>
  <c r="IR6" i="2"/>
  <c r="IQ6" i="2"/>
  <c r="IP6" i="2"/>
  <c r="IO6" i="2"/>
  <c r="IN6" i="2"/>
  <c r="IM6" i="2"/>
  <c r="IL6" i="2"/>
  <c r="IK6" i="2"/>
  <c r="IJ6" i="2"/>
  <c r="II6" i="2"/>
  <c r="IH6" i="2"/>
  <c r="IG6" i="2"/>
  <c r="IF6" i="2"/>
  <c r="IE6" i="2"/>
  <c r="ID6" i="2"/>
  <c r="IC6" i="2"/>
  <c r="IB6" i="2"/>
  <c r="IA6" i="2"/>
  <c r="HZ6" i="2"/>
  <c r="HY6" i="2"/>
  <c r="HX6" i="2"/>
  <c r="HW6" i="2"/>
  <c r="HV6" i="2"/>
  <c r="DJ6" i="2"/>
  <c r="DI6" i="2"/>
  <c r="DH6" i="2"/>
  <c r="DG6" i="2"/>
  <c r="DF6" i="2"/>
  <c r="DE6" i="2"/>
  <c r="DD6" i="2"/>
  <c r="DC6" i="2"/>
  <c r="DB6" i="2"/>
  <c r="DA6" i="2"/>
  <c r="CZ6" i="2"/>
  <c r="CY6" i="2"/>
  <c r="CX6" i="2"/>
  <c r="CW6" i="2"/>
  <c r="CV6" i="2"/>
  <c r="CU6" i="2"/>
  <c r="CT6" i="2"/>
  <c r="CS6" i="2"/>
  <c r="CR6" i="2"/>
  <c r="CQ6" i="2"/>
  <c r="CP6" i="2"/>
  <c r="CO6" i="2"/>
  <c r="CN6" i="2"/>
  <c r="CM6" i="2"/>
  <c r="CL6" i="2"/>
  <c r="CK6" i="2"/>
  <c r="CJ6" i="2"/>
  <c r="CI6" i="2"/>
  <c r="CH6" i="2"/>
  <c r="CG6" i="2"/>
  <c r="CF6" i="2"/>
  <c r="CE6" i="2"/>
  <c r="CD6" i="2"/>
  <c r="CC6" i="2"/>
  <c r="CB6" i="2"/>
  <c r="CA6" i="2"/>
  <c r="BZ6" i="2"/>
  <c r="BX6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NR5" i="2" l="1"/>
  <c r="NS5" i="2"/>
  <c r="NT5" i="2"/>
  <c r="PC5" i="2" l="1"/>
  <c r="PC8" i="2"/>
  <c r="BZ38" i="2"/>
  <c r="HV38" i="2"/>
  <c r="NI20" i="2" l="1"/>
  <c r="HM26" i="2"/>
  <c r="MA8" i="2"/>
  <c r="GA8" i="2"/>
  <c r="NC5" i="2"/>
  <c r="ND5" i="2"/>
  <c r="NE5" i="2"/>
  <c r="NF5" i="2"/>
  <c r="NG5" i="2"/>
  <c r="NI5" i="2"/>
  <c r="NJ5" i="2"/>
  <c r="NN5" i="2"/>
  <c r="NK5" i="2"/>
  <c r="NL5" i="2"/>
  <c r="NM5" i="2"/>
  <c r="NO5" i="2"/>
  <c r="NE8" i="2"/>
  <c r="NI8" i="2"/>
  <c r="NJ8" i="2"/>
  <c r="NM8" i="2"/>
  <c r="ND8" i="2"/>
  <c r="NL8" i="2"/>
  <c r="NE11" i="2"/>
  <c r="NF11" i="2"/>
  <c r="NJ11" i="2"/>
  <c r="NM11" i="2"/>
  <c r="NN11" i="2"/>
  <c r="NC14" i="2"/>
  <c r="NF14" i="2"/>
  <c r="NG14" i="2"/>
  <c r="NK14" i="2"/>
  <c r="NN14" i="2"/>
  <c r="NO14" i="2"/>
  <c r="NC17" i="2"/>
  <c r="ND17" i="2"/>
  <c r="NF17" i="2"/>
  <c r="NG17" i="2"/>
  <c r="NH17" i="2"/>
  <c r="NJ17" i="2"/>
  <c r="NL17" i="2"/>
  <c r="NN17" i="2"/>
  <c r="NO17" i="2"/>
  <c r="NP17" i="2"/>
  <c r="NC20" i="2"/>
  <c r="ND20" i="2"/>
  <c r="NE20" i="2"/>
  <c r="NF20" i="2"/>
  <c r="NG20" i="2"/>
  <c r="NH20" i="2"/>
  <c r="NJ20" i="2"/>
  <c r="NK20" i="2"/>
  <c r="NL20" i="2"/>
  <c r="NM20" i="2"/>
  <c r="NN20" i="2"/>
  <c r="NO20" i="2"/>
  <c r="NP20" i="2"/>
  <c r="NC23" i="2"/>
  <c r="ND23" i="2"/>
  <c r="NE23" i="2"/>
  <c r="NG23" i="2"/>
  <c r="NH23" i="2"/>
  <c r="NI23" i="2"/>
  <c r="NK23" i="2"/>
  <c r="NL23" i="2"/>
  <c r="NM23" i="2"/>
  <c r="NO23" i="2"/>
  <c r="NP23" i="2"/>
  <c r="ND26" i="2"/>
  <c r="NF26" i="2"/>
  <c r="NH26" i="2"/>
  <c r="NI26" i="2"/>
  <c r="NJ26" i="2"/>
  <c r="NL26" i="2"/>
  <c r="NN26" i="2"/>
  <c r="NP26" i="2"/>
  <c r="ND29" i="2"/>
  <c r="NE29" i="2"/>
  <c r="NG29" i="2"/>
  <c r="NH29" i="2"/>
  <c r="NI29" i="2"/>
  <c r="NJ29" i="2"/>
  <c r="NL29" i="2"/>
  <c r="NO29" i="2"/>
  <c r="NP29" i="2"/>
  <c r="NC29" i="2"/>
  <c r="NK29" i="2"/>
  <c r="NM29" i="2"/>
  <c r="NC32" i="2"/>
  <c r="ND32" i="2"/>
  <c r="NE32" i="2"/>
  <c r="NF32" i="2"/>
  <c r="NH32" i="2"/>
  <c r="NM32" i="2"/>
  <c r="NN32" i="2"/>
  <c r="NP32" i="2"/>
  <c r="NI32" i="2"/>
  <c r="NJ32" i="2"/>
  <c r="NK32" i="2"/>
  <c r="NL32" i="2"/>
  <c r="LQ5" i="2"/>
  <c r="LR5" i="2"/>
  <c r="LT5" i="2"/>
  <c r="LU5" i="2"/>
  <c r="LV5" i="2"/>
  <c r="LX5" i="2"/>
  <c r="LY5" i="2"/>
  <c r="LZ5" i="2"/>
  <c r="MB5" i="2"/>
  <c r="MC5" i="2"/>
  <c r="MD5" i="2"/>
  <c r="LW5" i="2"/>
  <c r="LT8" i="2"/>
  <c r="LX8" i="2"/>
  <c r="LW8" i="2"/>
  <c r="MB8" i="2"/>
  <c r="LQ11" i="2"/>
  <c r="LS11" i="2"/>
  <c r="LT11" i="2"/>
  <c r="LU11" i="2"/>
  <c r="LW11" i="2"/>
  <c r="LX11" i="2"/>
  <c r="LY11" i="2"/>
  <c r="MB11" i="2"/>
  <c r="MC11" i="2"/>
  <c r="MA11" i="2"/>
  <c r="LQ14" i="2"/>
  <c r="LR14" i="2"/>
  <c r="LT14" i="2"/>
  <c r="LU14" i="2"/>
  <c r="LV14" i="2"/>
  <c r="LX14" i="2"/>
  <c r="LY14" i="2"/>
  <c r="LZ14" i="2"/>
  <c r="MB14" i="2"/>
  <c r="MC14" i="2"/>
  <c r="MD14" i="2"/>
  <c r="LQ17" i="2"/>
  <c r="LR17" i="2"/>
  <c r="LU17" i="2"/>
  <c r="LW17" i="2"/>
  <c r="LZ17" i="2"/>
  <c r="MA17" i="2"/>
  <c r="MC17" i="2"/>
  <c r="LS17" i="2"/>
  <c r="LY17" i="2"/>
  <c r="LQ20" i="2"/>
  <c r="LR20" i="2"/>
  <c r="LS20" i="2"/>
  <c r="LU20" i="2"/>
  <c r="LV20" i="2"/>
  <c r="LW20" i="2"/>
  <c r="LX20" i="2"/>
  <c r="LY20" i="2"/>
  <c r="LZ20" i="2"/>
  <c r="MA20" i="2"/>
  <c r="MC20" i="2"/>
  <c r="MD20" i="2"/>
  <c r="LR23" i="2"/>
  <c r="LS23" i="2"/>
  <c r="LT23" i="2"/>
  <c r="LV23" i="2"/>
  <c r="LX23" i="2"/>
  <c r="LZ23" i="2"/>
  <c r="MA23" i="2"/>
  <c r="MB23" i="2"/>
  <c r="MD23" i="2"/>
  <c r="LQ26" i="2"/>
  <c r="LR26" i="2"/>
  <c r="LS26" i="2"/>
  <c r="LT26" i="2"/>
  <c r="LU26" i="2"/>
  <c r="LV26" i="2"/>
  <c r="LW26" i="2"/>
  <c r="LY26" i="2"/>
  <c r="LZ26" i="2"/>
  <c r="MA26" i="2"/>
  <c r="MB26" i="2"/>
  <c r="MC26" i="2"/>
  <c r="MD26" i="2"/>
  <c r="LR29" i="2"/>
  <c r="LS29" i="2"/>
  <c r="LU29" i="2"/>
  <c r="LV29" i="2"/>
  <c r="LW29" i="2"/>
  <c r="LX29" i="2"/>
  <c r="LZ29" i="2"/>
  <c r="MA29" i="2"/>
  <c r="MC29" i="2"/>
  <c r="MD29" i="2"/>
  <c r="LT29" i="2"/>
  <c r="MB29" i="2"/>
  <c r="LQ32" i="2"/>
  <c r="LR32" i="2"/>
  <c r="LS32" i="2"/>
  <c r="LT32" i="2"/>
  <c r="LU32" i="2"/>
  <c r="LV32" i="2"/>
  <c r="LW32" i="2"/>
  <c r="LX32" i="2"/>
  <c r="LY32" i="2"/>
  <c r="LZ32" i="2"/>
  <c r="MA32" i="2"/>
  <c r="MB32" i="2"/>
  <c r="MC32" i="2"/>
  <c r="MD32" i="2"/>
  <c r="KE5" i="2"/>
  <c r="KF5" i="2"/>
  <c r="KG5" i="2"/>
  <c r="KH5" i="2"/>
  <c r="KI5" i="2"/>
  <c r="KJ5" i="2"/>
  <c r="KK5" i="2"/>
  <c r="KL5" i="2"/>
  <c r="KM5" i="2"/>
  <c r="KN5" i="2"/>
  <c r="KO5" i="2"/>
  <c r="KP5" i="2"/>
  <c r="KQ5" i="2"/>
  <c r="KR5" i="2"/>
  <c r="KE8" i="2"/>
  <c r="KH8" i="2"/>
  <c r="KI8" i="2"/>
  <c r="KM8" i="2"/>
  <c r="KP8" i="2"/>
  <c r="KQ8" i="2"/>
  <c r="KF11" i="2"/>
  <c r="KH11" i="2"/>
  <c r="KI11" i="2"/>
  <c r="KJ11" i="2"/>
  <c r="KL11" i="2"/>
  <c r="KN11" i="2"/>
  <c r="KP11" i="2"/>
  <c r="KQ11" i="2"/>
  <c r="KR11" i="2"/>
  <c r="KE14" i="2"/>
  <c r="KG14" i="2"/>
  <c r="KI14" i="2"/>
  <c r="KJ14" i="2"/>
  <c r="KK14" i="2"/>
  <c r="KM14" i="2"/>
  <c r="KO14" i="2"/>
  <c r="KQ14" i="2"/>
  <c r="KR14" i="2"/>
  <c r="KF17" i="2"/>
  <c r="KH17" i="2"/>
  <c r="KJ17" i="2"/>
  <c r="KK17" i="2"/>
  <c r="KL17" i="2"/>
  <c r="KN17" i="2"/>
  <c r="KP17" i="2"/>
  <c r="KR17" i="2"/>
  <c r="KF20" i="2"/>
  <c r="KG20" i="2"/>
  <c r="KH20" i="2"/>
  <c r="KI20" i="2"/>
  <c r="KJ20" i="2"/>
  <c r="KK20" i="2"/>
  <c r="KL20" i="2"/>
  <c r="KN20" i="2"/>
  <c r="KO20" i="2"/>
  <c r="KP20" i="2"/>
  <c r="KQ20" i="2"/>
  <c r="KR20" i="2"/>
  <c r="KE20" i="2"/>
  <c r="KM20" i="2"/>
  <c r="KE23" i="2"/>
  <c r="KG23" i="2"/>
  <c r="KI23" i="2"/>
  <c r="KK23" i="2"/>
  <c r="KL23" i="2"/>
  <c r="KM23" i="2"/>
  <c r="KO23" i="2"/>
  <c r="KQ23" i="2"/>
  <c r="KE26" i="2"/>
  <c r="KF26" i="2"/>
  <c r="KG26" i="2"/>
  <c r="KH26" i="2"/>
  <c r="KJ26" i="2"/>
  <c r="KK26" i="2"/>
  <c r="KL26" i="2"/>
  <c r="KM26" i="2"/>
  <c r="KN26" i="2"/>
  <c r="KO26" i="2"/>
  <c r="KP26" i="2"/>
  <c r="KR26" i="2"/>
  <c r="KE29" i="2"/>
  <c r="KF29" i="2"/>
  <c r="KG29" i="2"/>
  <c r="KH29" i="2"/>
  <c r="KI29" i="2"/>
  <c r="KJ29" i="2"/>
  <c r="KK29" i="2"/>
  <c r="KL29" i="2"/>
  <c r="KM29" i="2"/>
  <c r="KN29" i="2"/>
  <c r="KO29" i="2"/>
  <c r="KP29" i="2"/>
  <c r="KQ29" i="2"/>
  <c r="KR29" i="2"/>
  <c r="KE32" i="2"/>
  <c r="KF32" i="2"/>
  <c r="KG32" i="2"/>
  <c r="KH32" i="2"/>
  <c r="KI32" i="2"/>
  <c r="KJ32" i="2"/>
  <c r="KL32" i="2"/>
  <c r="KM32" i="2"/>
  <c r="KN32" i="2"/>
  <c r="KO32" i="2"/>
  <c r="KP32" i="2"/>
  <c r="KQ32" i="2"/>
  <c r="KR32" i="2"/>
  <c r="HG5" i="2"/>
  <c r="HH5" i="2"/>
  <c r="HI5" i="2"/>
  <c r="HJ5" i="2"/>
  <c r="HK5" i="2"/>
  <c r="HL5" i="2"/>
  <c r="HM5" i="2"/>
  <c r="HN5" i="2"/>
  <c r="HO5" i="2"/>
  <c r="HP5" i="2"/>
  <c r="HQ5" i="2"/>
  <c r="HR5" i="2"/>
  <c r="HS5" i="2"/>
  <c r="HT5" i="2"/>
  <c r="HG8" i="2"/>
  <c r="HI8" i="2"/>
  <c r="HK8" i="2"/>
  <c r="HL8" i="2"/>
  <c r="HO8" i="2"/>
  <c r="HQ8" i="2"/>
  <c r="HS8" i="2"/>
  <c r="HT8" i="2"/>
  <c r="HM8" i="2"/>
  <c r="HH11" i="2"/>
  <c r="HJ11" i="2"/>
  <c r="HL11" i="2"/>
  <c r="HM11" i="2"/>
  <c r="HN11" i="2"/>
  <c r="HP11" i="2"/>
  <c r="HR11" i="2"/>
  <c r="HT11" i="2"/>
  <c r="HG14" i="2"/>
  <c r="HI14" i="2"/>
  <c r="HK14" i="2"/>
  <c r="HM14" i="2"/>
  <c r="HN14" i="2"/>
  <c r="HO14" i="2"/>
  <c r="HQ14" i="2"/>
  <c r="HS14" i="2"/>
  <c r="HG17" i="2"/>
  <c r="HH17" i="2"/>
  <c r="HJ17" i="2"/>
  <c r="HL17" i="2"/>
  <c r="HN17" i="2"/>
  <c r="HO17" i="2"/>
  <c r="HP17" i="2"/>
  <c r="HR17" i="2"/>
  <c r="HT17" i="2"/>
  <c r="HG20" i="2"/>
  <c r="HH20" i="2"/>
  <c r="HI20" i="2"/>
  <c r="HJ20" i="2"/>
  <c r="HK20" i="2"/>
  <c r="HL20" i="2"/>
  <c r="HM20" i="2"/>
  <c r="HN20" i="2"/>
  <c r="HO20" i="2"/>
  <c r="HP20" i="2"/>
  <c r="HQ20" i="2"/>
  <c r="HR20" i="2"/>
  <c r="HS20" i="2"/>
  <c r="HT20" i="2"/>
  <c r="HG23" i="2"/>
  <c r="HH23" i="2"/>
  <c r="HI23" i="2"/>
  <c r="HK23" i="2"/>
  <c r="HM23" i="2"/>
  <c r="HO23" i="2"/>
  <c r="HP23" i="2"/>
  <c r="HQ23" i="2"/>
  <c r="HS23" i="2"/>
  <c r="HG26" i="2"/>
  <c r="HH26" i="2"/>
  <c r="HI26" i="2"/>
  <c r="HJ26" i="2"/>
  <c r="HK26" i="2"/>
  <c r="HL26" i="2"/>
  <c r="HN26" i="2"/>
  <c r="HO26" i="2"/>
  <c r="HP26" i="2"/>
  <c r="HQ26" i="2"/>
  <c r="HR26" i="2"/>
  <c r="HS26" i="2"/>
  <c r="HT26" i="2"/>
  <c r="HG29" i="2"/>
  <c r="HH29" i="2"/>
  <c r="HI29" i="2"/>
  <c r="HJ29" i="2"/>
  <c r="HK29" i="2"/>
  <c r="HL29" i="2"/>
  <c r="HM29" i="2"/>
  <c r="HO29" i="2"/>
  <c r="HP29" i="2"/>
  <c r="HQ29" i="2"/>
  <c r="HR29" i="2"/>
  <c r="HS29" i="2"/>
  <c r="HT29" i="2"/>
  <c r="HG32" i="2"/>
  <c r="HH32" i="2"/>
  <c r="HI32" i="2"/>
  <c r="HJ32" i="2"/>
  <c r="HK32" i="2"/>
  <c r="HL32" i="2"/>
  <c r="HM32" i="2"/>
  <c r="HN32" i="2"/>
  <c r="HO32" i="2"/>
  <c r="HP32" i="2"/>
  <c r="HQ32" i="2"/>
  <c r="HR32" i="2"/>
  <c r="HS32" i="2"/>
  <c r="HT32" i="2"/>
  <c r="FU5" i="2"/>
  <c r="FV5" i="2"/>
  <c r="FX5" i="2"/>
  <c r="FY5" i="2"/>
  <c r="FZ5" i="2"/>
  <c r="GA5" i="2"/>
  <c r="GB5" i="2"/>
  <c r="GC5" i="2"/>
  <c r="GD5" i="2"/>
  <c r="GE5" i="2"/>
  <c r="GF5" i="2"/>
  <c r="GG5" i="2"/>
  <c r="GH5" i="2"/>
  <c r="FV8" i="2"/>
  <c r="FW8" i="2"/>
  <c r="FX8" i="2"/>
  <c r="FZ8" i="2"/>
  <c r="GB8" i="2"/>
  <c r="GD8" i="2"/>
  <c r="GE8" i="2"/>
  <c r="GF8" i="2"/>
  <c r="GH8" i="2"/>
  <c r="FU11" i="2"/>
  <c r="FW11" i="2"/>
  <c r="FX11" i="2"/>
  <c r="FY11" i="2"/>
  <c r="GA11" i="2"/>
  <c r="GC11" i="2"/>
  <c r="GE11" i="2"/>
  <c r="GF11" i="2"/>
  <c r="GG11" i="2"/>
  <c r="FV14" i="2"/>
  <c r="FY14" i="2"/>
  <c r="FZ14" i="2"/>
  <c r="GB14" i="2"/>
  <c r="GD14" i="2"/>
  <c r="GF14" i="2"/>
  <c r="GG14" i="2"/>
  <c r="GH14" i="2"/>
  <c r="FU17" i="2"/>
  <c r="FW17" i="2"/>
  <c r="FY17" i="2"/>
  <c r="FZ17" i="2"/>
  <c r="GA17" i="2"/>
  <c r="GC17" i="2"/>
  <c r="GE17" i="2"/>
  <c r="GG17" i="2"/>
  <c r="GH17" i="2"/>
  <c r="FU20" i="2"/>
  <c r="FV20" i="2"/>
  <c r="FW20" i="2"/>
  <c r="FY20" i="2"/>
  <c r="FZ20" i="2"/>
  <c r="GA20" i="2"/>
  <c r="GB20" i="2"/>
  <c r="GC20" i="2"/>
  <c r="GD20" i="2"/>
  <c r="GE20" i="2"/>
  <c r="GF20" i="2"/>
  <c r="GG20" i="2"/>
  <c r="GH20" i="2"/>
  <c r="FU23" i="2"/>
  <c r="FX23" i="2"/>
  <c r="FY23" i="2"/>
  <c r="FZ23" i="2"/>
  <c r="GA23" i="2"/>
  <c r="GB23" i="2"/>
  <c r="GC23" i="2"/>
  <c r="GD23" i="2"/>
  <c r="GF23" i="2"/>
  <c r="GG23" i="2"/>
  <c r="GH23" i="2"/>
  <c r="FU26" i="2"/>
  <c r="FV26" i="2"/>
  <c r="FW26" i="2"/>
  <c r="FY26" i="2"/>
  <c r="FZ26" i="2"/>
  <c r="GA26" i="2"/>
  <c r="GB26" i="2"/>
  <c r="GC26" i="2"/>
  <c r="GD26" i="2"/>
  <c r="GE26" i="2"/>
  <c r="GF26" i="2"/>
  <c r="GG26" i="2"/>
  <c r="GH26" i="2"/>
  <c r="FU29" i="2"/>
  <c r="FW29" i="2"/>
  <c r="FX29" i="2"/>
  <c r="FY29" i="2"/>
  <c r="FZ29" i="2"/>
  <c r="GA29" i="2"/>
  <c r="GB29" i="2"/>
  <c r="GC29" i="2"/>
  <c r="GD29" i="2"/>
  <c r="GE29" i="2"/>
  <c r="GF29" i="2"/>
  <c r="GG29" i="2"/>
  <c r="GH29" i="2"/>
  <c r="FU32" i="2"/>
  <c r="FV32" i="2"/>
  <c r="FW32" i="2"/>
  <c r="FY32" i="2"/>
  <c r="FZ32" i="2"/>
  <c r="GB32" i="2"/>
  <c r="GC32" i="2"/>
  <c r="GD32" i="2"/>
  <c r="GE32" i="2"/>
  <c r="GF32" i="2"/>
  <c r="GG32" i="2"/>
  <c r="GH32" i="2"/>
  <c r="GA32" i="2"/>
  <c r="EI5" i="2"/>
  <c r="EJ5" i="2"/>
  <c r="EK5" i="2"/>
  <c r="EL5" i="2"/>
  <c r="EM5" i="2"/>
  <c r="EN5" i="2"/>
  <c r="EO5" i="2"/>
  <c r="EI8" i="2"/>
  <c r="EK8" i="2"/>
  <c r="EM8" i="2"/>
  <c r="EO8" i="2"/>
  <c r="EI11" i="2"/>
  <c r="EJ11" i="2"/>
  <c r="EL11" i="2"/>
  <c r="EN11" i="2"/>
  <c r="EI14" i="2"/>
  <c r="EJ14" i="2"/>
  <c r="EK14" i="2"/>
  <c r="EM14" i="2"/>
  <c r="EO14" i="2"/>
  <c r="EJ17" i="2"/>
  <c r="EK17" i="2"/>
  <c r="EL17" i="2"/>
  <c r="EN17" i="2"/>
  <c r="EI20" i="2"/>
  <c r="EJ20" i="2"/>
  <c r="EK20" i="2"/>
  <c r="EL20" i="2"/>
  <c r="EM20" i="2"/>
  <c r="EN20" i="2"/>
  <c r="EO20" i="2"/>
  <c r="EI23" i="2"/>
  <c r="EJ23" i="2"/>
  <c r="EK23" i="2"/>
  <c r="EL23" i="2"/>
  <c r="EM23" i="2"/>
  <c r="EN23" i="2"/>
  <c r="EO23" i="2"/>
  <c r="EI26" i="2"/>
  <c r="EJ26" i="2"/>
  <c r="EK26" i="2"/>
  <c r="EL26" i="2"/>
  <c r="EM26" i="2"/>
  <c r="EN26" i="2"/>
  <c r="EO26" i="2"/>
  <c r="EI29" i="2"/>
  <c r="EJ29" i="2"/>
  <c r="EK29" i="2"/>
  <c r="EL29" i="2"/>
  <c r="EM29" i="2"/>
  <c r="EN29" i="2"/>
  <c r="EO29" i="2"/>
  <c r="EI32" i="2"/>
  <c r="EJ32" i="2"/>
  <c r="EK32" i="2"/>
  <c r="EL32" i="2"/>
  <c r="EM32" i="2"/>
  <c r="EN32" i="2"/>
  <c r="EO32" i="2"/>
  <c r="DA8" i="2"/>
  <c r="DB8" i="2"/>
  <c r="DJ8" i="2"/>
  <c r="EL8" i="2" l="1"/>
  <c r="FV29" i="2"/>
  <c r="FX20" i="2"/>
  <c r="GD17" i="2"/>
  <c r="FV17" i="2"/>
  <c r="FX32" i="2"/>
  <c r="HK17" i="2"/>
  <c r="KN14" i="2"/>
  <c r="KF14" i="2"/>
  <c r="HS17" i="2"/>
  <c r="FX26" i="2"/>
  <c r="FV23" i="2"/>
  <c r="FX14" i="2"/>
  <c r="FW5" i="2"/>
  <c r="EO17" i="2"/>
  <c r="KK32" i="2"/>
  <c r="NI11" i="2"/>
  <c r="EM11" i="2"/>
  <c r="HQ11" i="2"/>
  <c r="HI11" i="2"/>
  <c r="HP8" i="2"/>
  <c r="HH8" i="2"/>
  <c r="KL8" i="2"/>
  <c r="NN29" i="2"/>
  <c r="NF29" i="2"/>
  <c r="NJ14" i="2"/>
  <c r="NP8" i="2"/>
  <c r="NH8" i="2"/>
  <c r="NL14" i="2"/>
  <c r="GE23" i="2"/>
  <c r="FW23" i="2"/>
  <c r="HR14" i="2"/>
  <c r="HJ14" i="2"/>
  <c r="KM11" i="2"/>
  <c r="KE11" i="2"/>
  <c r="NM26" i="2"/>
  <c r="NE26" i="2"/>
  <c r="NK17" i="2"/>
  <c r="EN14" i="2"/>
  <c r="KO17" i="2"/>
  <c r="KG17" i="2"/>
  <c r="LY29" i="2"/>
  <c r="LQ29" i="2"/>
  <c r="LX26" i="2"/>
  <c r="LW23" i="2"/>
  <c r="MD17" i="2"/>
  <c r="LV17" i="2"/>
  <c r="GB11" i="2"/>
  <c r="HT23" i="2"/>
  <c r="HL23" i="2"/>
  <c r="KP23" i="2"/>
  <c r="KH23" i="2"/>
  <c r="MB20" i="2"/>
  <c r="LT20" i="2"/>
  <c r="LS8" i="2"/>
  <c r="MA5" i="2"/>
  <c r="LS5" i="2"/>
  <c r="NO32" i="2"/>
  <c r="NG32" i="2"/>
  <c r="NP5" i="2"/>
  <c r="NH5" i="2"/>
  <c r="GC14" i="2"/>
  <c r="FU14" i="2"/>
  <c r="HN29" i="2"/>
  <c r="KQ26" i="2"/>
  <c r="KI26" i="2"/>
  <c r="EL14" i="2"/>
  <c r="KM17" i="2"/>
  <c r="KE17" i="2"/>
  <c r="KO8" i="2"/>
  <c r="KG8" i="2"/>
  <c r="MC23" i="2"/>
  <c r="LU23" i="2"/>
  <c r="MB17" i="2"/>
  <c r="LT17" i="2"/>
  <c r="KQ17" i="2"/>
  <c r="KI17" i="2"/>
  <c r="KK8" i="2"/>
  <c r="LY23" i="2"/>
  <c r="LQ23" i="2"/>
  <c r="LX17" i="2"/>
  <c r="MD8" i="2"/>
  <c r="LV8" i="2"/>
  <c r="NI14" i="2"/>
  <c r="NO8" i="2"/>
  <c r="NG8" i="2"/>
  <c r="NL11" i="2"/>
  <c r="ND11" i="2"/>
  <c r="LZ8" i="2"/>
  <c r="LR8" i="2"/>
  <c r="NM14" i="2"/>
  <c r="NE14" i="2"/>
  <c r="NK8" i="2"/>
  <c r="NC8" i="2"/>
  <c r="NP11" i="2"/>
  <c r="NH11" i="2"/>
  <c r="EO11" i="2"/>
  <c r="GB17" i="2"/>
  <c r="HM17" i="2"/>
  <c r="KP14" i="2"/>
  <c r="KH14" i="2"/>
  <c r="LW14" i="2"/>
  <c r="MD11" i="2"/>
  <c r="LV11" i="2"/>
  <c r="NN23" i="2"/>
  <c r="NF23" i="2"/>
  <c r="EI17" i="2"/>
  <c r="GD11" i="2"/>
  <c r="FV11" i="2"/>
  <c r="GC8" i="2"/>
  <c r="FU8" i="2"/>
  <c r="HN23" i="2"/>
  <c r="HO11" i="2"/>
  <c r="HG11" i="2"/>
  <c r="HN8" i="2"/>
  <c r="KR23" i="2"/>
  <c r="KJ23" i="2"/>
  <c r="KR8" i="2"/>
  <c r="KJ8" i="2"/>
  <c r="MC8" i="2"/>
  <c r="LU8" i="2"/>
  <c r="NO11" i="2"/>
  <c r="NG11" i="2"/>
  <c r="EJ8" i="2"/>
  <c r="GE14" i="2"/>
  <c r="FW14" i="2"/>
  <c r="HP14" i="2"/>
  <c r="HH14" i="2"/>
  <c r="KK11" i="2"/>
  <c r="NK26" i="2"/>
  <c r="NC26" i="2"/>
  <c r="NI17" i="2"/>
  <c r="NP14" i="2"/>
  <c r="NH14" i="2"/>
  <c r="EK11" i="2"/>
  <c r="GF17" i="2"/>
  <c r="FX17" i="2"/>
  <c r="HQ17" i="2"/>
  <c r="HI17" i="2"/>
  <c r="KL14" i="2"/>
  <c r="MA14" i="2"/>
  <c r="LS14" i="2"/>
  <c r="LZ11" i="2"/>
  <c r="LR11" i="2"/>
  <c r="NJ23" i="2"/>
  <c r="NN8" i="2"/>
  <c r="NF8" i="2"/>
  <c r="EM17" i="2"/>
  <c r="GH11" i="2"/>
  <c r="FZ11" i="2"/>
  <c r="GG8" i="2"/>
  <c r="FY8" i="2"/>
  <c r="HR23" i="2"/>
  <c r="HJ23" i="2"/>
  <c r="HS11" i="2"/>
  <c r="HK11" i="2"/>
  <c r="HR8" i="2"/>
  <c r="HJ8" i="2"/>
  <c r="KN23" i="2"/>
  <c r="KF23" i="2"/>
  <c r="KN8" i="2"/>
  <c r="KF8" i="2"/>
  <c r="LY8" i="2"/>
  <c r="LQ8" i="2"/>
  <c r="NK11" i="2"/>
  <c r="NC11" i="2"/>
  <c r="EN8" i="2"/>
  <c r="GA14" i="2"/>
  <c r="HT14" i="2"/>
  <c r="HL14" i="2"/>
  <c r="KO11" i="2"/>
  <c r="KG11" i="2"/>
  <c r="NO26" i="2"/>
  <c r="NG26" i="2"/>
  <c r="NM17" i="2"/>
  <c r="NE17" i="2"/>
  <c r="ND14" i="2"/>
  <c r="DI20" i="2"/>
  <c r="DA20" i="2"/>
  <c r="DC26" i="2"/>
  <c r="DC20" i="2"/>
  <c r="DJ29" i="2"/>
  <c r="BM5" i="2"/>
  <c r="BU5" i="2"/>
  <c r="CZ29" i="2"/>
  <c r="DI17" i="2"/>
  <c r="CX8" i="2"/>
  <c r="DD17" i="2"/>
  <c r="DF5" i="2"/>
  <c r="CX5" i="2"/>
  <c r="DB29" i="2"/>
  <c r="DH5" i="2"/>
  <c r="DF29" i="2"/>
  <c r="CX29" i="2"/>
  <c r="DE23" i="2"/>
  <c r="DC29" i="2"/>
  <c r="DD23" i="2"/>
  <c r="DE17" i="2"/>
  <c r="CW17" i="2"/>
  <c r="CW11" i="2"/>
  <c r="DG29" i="2"/>
  <c r="CY29" i="2"/>
  <c r="BT20" i="2"/>
  <c r="BL20" i="2"/>
  <c r="CY23" i="2"/>
  <c r="DG20" i="2"/>
  <c r="DC17" i="2"/>
  <c r="BU26" i="2"/>
  <c r="DG17" i="2"/>
  <c r="CY17" i="2"/>
  <c r="DG11" i="2"/>
  <c r="CY11" i="2"/>
  <c r="CZ5" i="2"/>
  <c r="DH17" i="2"/>
  <c r="CZ17" i="2"/>
  <c r="DI5" i="2"/>
  <c r="DA5" i="2"/>
  <c r="BP32" i="2"/>
  <c r="BX8" i="2"/>
  <c r="DA29" i="2"/>
  <c r="BL5" i="2"/>
  <c r="DI32" i="2"/>
  <c r="DA32" i="2"/>
  <c r="DF8" i="2"/>
  <c r="DC5" i="2"/>
  <c r="DJ5" i="2"/>
  <c r="BR26" i="2"/>
  <c r="BJ26" i="2"/>
  <c r="BX23" i="2"/>
  <c r="BQ14" i="2"/>
  <c r="CW23" i="2"/>
  <c r="DF11" i="2"/>
  <c r="CX11" i="2"/>
  <c r="DC8" i="2"/>
  <c r="DJ14" i="2"/>
  <c r="DB14" i="2"/>
  <c r="DD8" i="2"/>
  <c r="DI23" i="2"/>
  <c r="DA23" i="2"/>
  <c r="DD11" i="2"/>
  <c r="BV26" i="2"/>
  <c r="BN26" i="2"/>
  <c r="BR20" i="2"/>
  <c r="DG32" i="2"/>
  <c r="CY32" i="2"/>
  <c r="DJ26" i="2"/>
  <c r="DB26" i="2"/>
  <c r="DF20" i="2"/>
  <c r="CX20" i="2"/>
  <c r="DF14" i="2"/>
  <c r="CX14" i="2"/>
  <c r="DE11" i="2"/>
  <c r="DH8" i="2"/>
  <c r="CZ8" i="2"/>
  <c r="DF32" i="2"/>
  <c r="CX32" i="2"/>
  <c r="DG23" i="2"/>
  <c r="DG8" i="2"/>
  <c r="CY8" i="2"/>
  <c r="BU14" i="2"/>
  <c r="BN5" i="2"/>
  <c r="DI11" i="2"/>
  <c r="DA11" i="2"/>
  <c r="BW32" i="2"/>
  <c r="BS26" i="2"/>
  <c r="BK26" i="2"/>
  <c r="BW20" i="2"/>
  <c r="BO20" i="2"/>
  <c r="DI26" i="2"/>
  <c r="DA26" i="2"/>
  <c r="CY20" i="2"/>
  <c r="DG14" i="2"/>
  <c r="CY14" i="2"/>
  <c r="BR17" i="2"/>
  <c r="BJ17" i="2"/>
  <c r="DI29" i="2"/>
  <c r="DE20" i="2"/>
  <c r="CW20" i="2"/>
  <c r="DA17" i="2"/>
  <c r="DE14" i="2"/>
  <c r="CW14" i="2"/>
  <c r="DD5" i="2"/>
  <c r="BV29" i="2"/>
  <c r="BN29" i="2"/>
  <c r="BS23" i="2"/>
  <c r="BK23" i="2"/>
  <c r="BQ17" i="2"/>
  <c r="BW14" i="2"/>
  <c r="BO14" i="2"/>
  <c r="BK8" i="2"/>
  <c r="BR5" i="2"/>
  <c r="DD32" i="2"/>
  <c r="DH29" i="2"/>
  <c r="BV32" i="2"/>
  <c r="BN32" i="2"/>
  <c r="DH32" i="2"/>
  <c r="CZ32" i="2"/>
  <c r="DC23" i="2"/>
  <c r="DJ11" i="2"/>
  <c r="DB11" i="2"/>
  <c r="DH11" i="2"/>
  <c r="CZ11" i="2"/>
  <c r="DI8" i="2"/>
  <c r="BQ26" i="2"/>
  <c r="BT14" i="2"/>
  <c r="DE26" i="2"/>
  <c r="CW26" i="2"/>
  <c r="DC14" i="2"/>
  <c r="BW29" i="2"/>
  <c r="BO29" i="2"/>
  <c r="BU23" i="2"/>
  <c r="BK17" i="2"/>
  <c r="BW11" i="2"/>
  <c r="BO11" i="2"/>
  <c r="BM26" i="2"/>
  <c r="BX14" i="2"/>
  <c r="BS5" i="2"/>
  <c r="BK5" i="2"/>
  <c r="BJ5" i="2"/>
  <c r="DH14" i="2"/>
  <c r="CZ14" i="2"/>
  <c r="DB5" i="2"/>
  <c r="BU29" i="2"/>
  <c r="BM29" i="2"/>
  <c r="BT26" i="2"/>
  <c r="BL26" i="2"/>
  <c r="BS20" i="2"/>
  <c r="BK20" i="2"/>
  <c r="BJ20" i="2"/>
  <c r="DF17" i="2"/>
  <c r="CX17" i="2"/>
  <c r="BQ20" i="2"/>
  <c r="BV14" i="2"/>
  <c r="BN14" i="2"/>
  <c r="BT11" i="2"/>
  <c r="BL11" i="2"/>
  <c r="DE32" i="2"/>
  <c r="CW32" i="2"/>
  <c r="DG26" i="2"/>
  <c r="CY26" i="2"/>
  <c r="DJ23" i="2"/>
  <c r="DB23" i="2"/>
  <c r="DH23" i="2"/>
  <c r="CZ23" i="2"/>
  <c r="DD20" i="2"/>
  <c r="DJ20" i="2"/>
  <c r="DB20" i="2"/>
  <c r="DD14" i="2"/>
  <c r="BL14" i="2"/>
  <c r="BW5" i="2"/>
  <c r="BO5" i="2"/>
  <c r="DE29" i="2"/>
  <c r="CW29" i="2"/>
  <c r="DH26" i="2"/>
  <c r="CZ26" i="2"/>
  <c r="DF26" i="2"/>
  <c r="CX26" i="2"/>
  <c r="DJ17" i="2"/>
  <c r="DB17" i="2"/>
  <c r="DG5" i="2"/>
  <c r="CY5" i="2"/>
  <c r="BR29" i="2"/>
  <c r="BQ29" i="2"/>
  <c r="BX20" i="2"/>
  <c r="BP20" i="2"/>
  <c r="BV17" i="2"/>
  <c r="BN17" i="2"/>
  <c r="BW8" i="2"/>
  <c r="BV5" i="2"/>
  <c r="DC32" i="2"/>
  <c r="DD29" i="2"/>
  <c r="DF23" i="2"/>
  <c r="CX23" i="2"/>
  <c r="DH20" i="2"/>
  <c r="CZ20" i="2"/>
  <c r="DC11" i="2"/>
  <c r="DE8" i="2"/>
  <c r="CW8" i="2"/>
  <c r="BX29" i="2"/>
  <c r="BP29" i="2"/>
  <c r="BT17" i="2"/>
  <c r="BL17" i="2"/>
  <c r="BR14" i="2"/>
  <c r="BX11" i="2"/>
  <c r="BP11" i="2"/>
  <c r="DJ32" i="2"/>
  <c r="DB32" i="2"/>
  <c r="DD26" i="2"/>
  <c r="DI14" i="2"/>
  <c r="DA14" i="2"/>
  <c r="DE5" i="2"/>
  <c r="CW5" i="2"/>
  <c r="BX32" i="2"/>
  <c r="BS29" i="2"/>
  <c r="BK29" i="2"/>
  <c r="BJ29" i="2"/>
  <c r="BS17" i="2"/>
  <c r="BS14" i="2"/>
  <c r="BK14" i="2"/>
  <c r="BU11" i="2"/>
  <c r="BM11" i="2"/>
  <c r="BV8" i="2"/>
  <c r="BN8" i="2"/>
  <c r="BU8" i="2"/>
  <c r="BM8" i="2"/>
  <c r="BX5" i="2"/>
  <c r="BP5" i="2"/>
  <c r="BO32" i="2"/>
  <c r="BJ14" i="2"/>
  <c r="BP23" i="2"/>
  <c r="BW23" i="2"/>
  <c r="BO23" i="2"/>
  <c r="BP14" i="2"/>
  <c r="BQ11" i="2"/>
  <c r="BS8" i="2"/>
  <c r="BR8" i="2"/>
  <c r="BT32" i="2"/>
  <c r="BL32" i="2"/>
  <c r="BS32" i="2"/>
  <c r="BK32" i="2"/>
  <c r="BM23" i="2"/>
  <c r="BP8" i="2"/>
  <c r="BR32" i="2"/>
  <c r="BJ32" i="2"/>
  <c r="BT29" i="2"/>
  <c r="BL29" i="2"/>
  <c r="BT23" i="2"/>
  <c r="BL23" i="2"/>
  <c r="BU20" i="2"/>
  <c r="BM20" i="2"/>
  <c r="BM14" i="2"/>
  <c r="BV11" i="2"/>
  <c r="BN11" i="2"/>
  <c r="BO8" i="2"/>
  <c r="BQ5" i="2"/>
  <c r="BW17" i="2"/>
  <c r="BO17" i="2"/>
  <c r="BQ32" i="2"/>
  <c r="BR23" i="2"/>
  <c r="BJ23" i="2"/>
  <c r="BU17" i="2"/>
  <c r="BM17" i="2"/>
  <c r="BT8" i="2"/>
  <c r="BL8" i="2"/>
  <c r="BJ8" i="2"/>
  <c r="BQ23" i="2"/>
  <c r="BV20" i="2"/>
  <c r="BN20" i="2"/>
  <c r="BQ8" i="2"/>
  <c r="BU32" i="2"/>
  <c r="BM32" i="2"/>
  <c r="BX26" i="2"/>
  <c r="BP26" i="2"/>
  <c r="BV23" i="2"/>
  <c r="BN23" i="2"/>
  <c r="BS11" i="2"/>
  <c r="BK11" i="2"/>
  <c r="BT5" i="2"/>
  <c r="BW26" i="2"/>
  <c r="BO26" i="2"/>
  <c r="BX17" i="2"/>
  <c r="BP17" i="2"/>
  <c r="BR11" i="2"/>
  <c r="BJ11" i="2"/>
  <c r="Z8" i="2" l="1"/>
  <c r="AB8" i="2"/>
  <c r="AH8" i="2"/>
  <c r="AJ8" i="2"/>
  <c r="AI23" i="2"/>
  <c r="AC26" i="2"/>
  <c r="E4165" i="10"/>
  <c r="F4165" i="10" s="1"/>
  <c r="E4166" i="10"/>
  <c r="F4166" i="10" s="1"/>
  <c r="E4167" i="10"/>
  <c r="F4167" i="10" s="1"/>
  <c r="E4168" i="10"/>
  <c r="F4168" i="10" s="1"/>
  <c r="E4169" i="10"/>
  <c r="F4169" i="10" s="1"/>
  <c r="E4170" i="10"/>
  <c r="F4170" i="10" s="1"/>
  <c r="E4171" i="10"/>
  <c r="F4171" i="10" s="1"/>
  <c r="E4172" i="10"/>
  <c r="F4172" i="10" s="1"/>
  <c r="E4173" i="10"/>
  <c r="F4173" i="10" s="1"/>
  <c r="E4174" i="10"/>
  <c r="F4174" i="10" s="1"/>
  <c r="E4175" i="10"/>
  <c r="F4175" i="10" s="1"/>
  <c r="E4176" i="10"/>
  <c r="F4176" i="10" s="1"/>
  <c r="E4177" i="10"/>
  <c r="F4177" i="10" s="1"/>
  <c r="E4178" i="10"/>
  <c r="F4178" i="10" s="1"/>
  <c r="E4179" i="10"/>
  <c r="F4179" i="10" s="1"/>
  <c r="E4180" i="10"/>
  <c r="F4180" i="10" s="1"/>
  <c r="E4127" i="10"/>
  <c r="F4127" i="10" s="1"/>
  <c r="E4128" i="10"/>
  <c r="F4128" i="10" s="1"/>
  <c r="E4129" i="10"/>
  <c r="F4129" i="10" s="1"/>
  <c r="E4130" i="10"/>
  <c r="F4130" i="10" s="1"/>
  <c r="E4131" i="10"/>
  <c r="F4131" i="10" s="1"/>
  <c r="E4132" i="10"/>
  <c r="F4132" i="10" s="1"/>
  <c r="E4133" i="10"/>
  <c r="F4133" i="10" s="1"/>
  <c r="E4134" i="10"/>
  <c r="F4134" i="10" s="1"/>
  <c r="E4135" i="10"/>
  <c r="F4135" i="10" s="1"/>
  <c r="E4136" i="10"/>
  <c r="F4136" i="10" s="1"/>
  <c r="E4137" i="10"/>
  <c r="F4137" i="10" s="1"/>
  <c r="E4138" i="10"/>
  <c r="F4138" i="10" s="1"/>
  <c r="E4139" i="10"/>
  <c r="F4139" i="10" s="1"/>
  <c r="E4140" i="10"/>
  <c r="F4140" i="10" s="1"/>
  <c r="E4141" i="10"/>
  <c r="F4141" i="10" s="1"/>
  <c r="E4142" i="10"/>
  <c r="F4142" i="10" s="1"/>
  <c r="E4089" i="10"/>
  <c r="F4089" i="10" s="1"/>
  <c r="E4090" i="10"/>
  <c r="F4090" i="10" s="1"/>
  <c r="E4091" i="10"/>
  <c r="F4091" i="10" s="1"/>
  <c r="E4092" i="10"/>
  <c r="F4092" i="10" s="1"/>
  <c r="E4093" i="10"/>
  <c r="F4093" i="10" s="1"/>
  <c r="E4094" i="10"/>
  <c r="F4094" i="10" s="1"/>
  <c r="E4095" i="10"/>
  <c r="F4095" i="10" s="1"/>
  <c r="E4096" i="10"/>
  <c r="F4096" i="10" s="1"/>
  <c r="E4097" i="10"/>
  <c r="F4097" i="10" s="1"/>
  <c r="E4098" i="10"/>
  <c r="F4098" i="10" s="1"/>
  <c r="E4099" i="10"/>
  <c r="F4099" i="10" s="1"/>
  <c r="E4100" i="10"/>
  <c r="F4100" i="10" s="1"/>
  <c r="E4101" i="10"/>
  <c r="F4101" i="10" s="1"/>
  <c r="E4102" i="10"/>
  <c r="F4102" i="10" s="1"/>
  <c r="E4103" i="10"/>
  <c r="F4103" i="10" s="1"/>
  <c r="E4104" i="10"/>
  <c r="F4104" i="10" s="1"/>
  <c r="E4051" i="10"/>
  <c r="F4051" i="10" s="1"/>
  <c r="E4052" i="10"/>
  <c r="F4052" i="10" s="1"/>
  <c r="E4053" i="10"/>
  <c r="F4053" i="10" s="1"/>
  <c r="E4054" i="10"/>
  <c r="F4054" i="10" s="1"/>
  <c r="E4055" i="10"/>
  <c r="F4055" i="10" s="1"/>
  <c r="E4056" i="10"/>
  <c r="F4056" i="10" s="1"/>
  <c r="E4057" i="10"/>
  <c r="F4057" i="10" s="1"/>
  <c r="E4058" i="10"/>
  <c r="F4058" i="10" s="1"/>
  <c r="E4059" i="10"/>
  <c r="F4059" i="10" s="1"/>
  <c r="E4060" i="10"/>
  <c r="F4060" i="10" s="1"/>
  <c r="E4061" i="10"/>
  <c r="F4061" i="10" s="1"/>
  <c r="E4062" i="10"/>
  <c r="F4062" i="10" s="1"/>
  <c r="E4063" i="10"/>
  <c r="F4063" i="10" s="1"/>
  <c r="E4064" i="10"/>
  <c r="F4064" i="10" s="1"/>
  <c r="E4065" i="10"/>
  <c r="F4065" i="10" s="1"/>
  <c r="E4066" i="10"/>
  <c r="F4066" i="10" s="1"/>
  <c r="E4013" i="10"/>
  <c r="F4013" i="10" s="1"/>
  <c r="E4014" i="10"/>
  <c r="F4014" i="10" s="1"/>
  <c r="E4015" i="10"/>
  <c r="F4015" i="10" s="1"/>
  <c r="E4016" i="10"/>
  <c r="F4016" i="10" s="1"/>
  <c r="E4017" i="10"/>
  <c r="F4017" i="10" s="1"/>
  <c r="E4018" i="10"/>
  <c r="F4018" i="10" s="1"/>
  <c r="E4019" i="10"/>
  <c r="F4019" i="10" s="1"/>
  <c r="E4020" i="10"/>
  <c r="F4020" i="10" s="1"/>
  <c r="E4021" i="10"/>
  <c r="F4021" i="10" s="1"/>
  <c r="E4022" i="10"/>
  <c r="F4022" i="10" s="1"/>
  <c r="E4023" i="10"/>
  <c r="F4023" i="10" s="1"/>
  <c r="E4024" i="10"/>
  <c r="F4024" i="10" s="1"/>
  <c r="E4025" i="10"/>
  <c r="F4025" i="10" s="1"/>
  <c r="E4026" i="10"/>
  <c r="F4026" i="10" s="1"/>
  <c r="E4027" i="10"/>
  <c r="F4027" i="10" s="1"/>
  <c r="E4028" i="10"/>
  <c r="F4028" i="10" s="1"/>
  <c r="E3975" i="10"/>
  <c r="F3975" i="10" s="1"/>
  <c r="E3976" i="10"/>
  <c r="F3976" i="10" s="1"/>
  <c r="E3977" i="10"/>
  <c r="F3977" i="10" s="1"/>
  <c r="E3978" i="10"/>
  <c r="F3978" i="10" s="1"/>
  <c r="E3979" i="10"/>
  <c r="F3979" i="10" s="1"/>
  <c r="E3980" i="10"/>
  <c r="F3980" i="10" s="1"/>
  <c r="E3981" i="10"/>
  <c r="F3981" i="10" s="1"/>
  <c r="E3982" i="10"/>
  <c r="F3982" i="10" s="1"/>
  <c r="E3983" i="10"/>
  <c r="F3983" i="10" s="1"/>
  <c r="E3984" i="10"/>
  <c r="F3984" i="10" s="1"/>
  <c r="E3985" i="10"/>
  <c r="F3985" i="10" s="1"/>
  <c r="E3986" i="10"/>
  <c r="F3986" i="10" s="1"/>
  <c r="E3987" i="10"/>
  <c r="F3987" i="10" s="1"/>
  <c r="E3988" i="10"/>
  <c r="F3988" i="10" s="1"/>
  <c r="E3989" i="10"/>
  <c r="F3989" i="10" s="1"/>
  <c r="E3990" i="10"/>
  <c r="F3990" i="10" s="1"/>
  <c r="E3937" i="10"/>
  <c r="F3937" i="10" s="1"/>
  <c r="E3938" i="10"/>
  <c r="F3938" i="10" s="1"/>
  <c r="E3939" i="10"/>
  <c r="F3939" i="10" s="1"/>
  <c r="E3940" i="10"/>
  <c r="F3940" i="10" s="1"/>
  <c r="E3941" i="10"/>
  <c r="F3941" i="10" s="1"/>
  <c r="E3942" i="10"/>
  <c r="F3942" i="10" s="1"/>
  <c r="E3943" i="10"/>
  <c r="F3943" i="10" s="1"/>
  <c r="E3944" i="10"/>
  <c r="F3944" i="10" s="1"/>
  <c r="E3945" i="10"/>
  <c r="F3945" i="10" s="1"/>
  <c r="E3946" i="10"/>
  <c r="F3946" i="10" s="1"/>
  <c r="E3947" i="10"/>
  <c r="F3947" i="10" s="1"/>
  <c r="E3948" i="10"/>
  <c r="F3948" i="10" s="1"/>
  <c r="E3949" i="10"/>
  <c r="F3949" i="10" s="1"/>
  <c r="E3950" i="10"/>
  <c r="F3950" i="10" s="1"/>
  <c r="E3951" i="10"/>
  <c r="F3951" i="10" s="1"/>
  <c r="E3952" i="10"/>
  <c r="F3952" i="10" s="1"/>
  <c r="E3899" i="10"/>
  <c r="F3899" i="10" s="1"/>
  <c r="E3900" i="10"/>
  <c r="F3900" i="10" s="1"/>
  <c r="E3901" i="10"/>
  <c r="F3901" i="10" s="1"/>
  <c r="E3902" i="10"/>
  <c r="F3902" i="10" s="1"/>
  <c r="E3903" i="10"/>
  <c r="F3903" i="10" s="1"/>
  <c r="E3904" i="10"/>
  <c r="F3904" i="10" s="1"/>
  <c r="E3905" i="10"/>
  <c r="F3905" i="10" s="1"/>
  <c r="E3906" i="10"/>
  <c r="F3906" i="10" s="1"/>
  <c r="E3907" i="10"/>
  <c r="F3907" i="10" s="1"/>
  <c r="E3908" i="10"/>
  <c r="F3908" i="10" s="1"/>
  <c r="E3909" i="10"/>
  <c r="F3909" i="10" s="1"/>
  <c r="E3910" i="10"/>
  <c r="F3910" i="10" s="1"/>
  <c r="E3911" i="10"/>
  <c r="F3911" i="10" s="1"/>
  <c r="E3912" i="10"/>
  <c r="F3912" i="10" s="1"/>
  <c r="E3913" i="10"/>
  <c r="F3913" i="10" s="1"/>
  <c r="E3914" i="10"/>
  <c r="F3914" i="10" s="1"/>
  <c r="E3861" i="10"/>
  <c r="F3861" i="10" s="1"/>
  <c r="E3862" i="10"/>
  <c r="F3862" i="10" s="1"/>
  <c r="E3863" i="10"/>
  <c r="F3863" i="10" s="1"/>
  <c r="E3864" i="10"/>
  <c r="F3864" i="10" s="1"/>
  <c r="E3865" i="10"/>
  <c r="F3865" i="10" s="1"/>
  <c r="E3866" i="10"/>
  <c r="F3866" i="10" s="1"/>
  <c r="E3867" i="10"/>
  <c r="F3867" i="10" s="1"/>
  <c r="E3868" i="10"/>
  <c r="F3868" i="10" s="1"/>
  <c r="E3869" i="10"/>
  <c r="F3869" i="10" s="1"/>
  <c r="E3870" i="10"/>
  <c r="F3870" i="10" s="1"/>
  <c r="E3871" i="10"/>
  <c r="F3871" i="10" s="1"/>
  <c r="E3872" i="10"/>
  <c r="F3872" i="10" s="1"/>
  <c r="E3873" i="10"/>
  <c r="F3873" i="10" s="1"/>
  <c r="E3874" i="10"/>
  <c r="F3874" i="10" s="1"/>
  <c r="E3875" i="10"/>
  <c r="F3875" i="10" s="1"/>
  <c r="E3876" i="10"/>
  <c r="F3876" i="10" s="1"/>
  <c r="E3823" i="10"/>
  <c r="F3823" i="10" s="1"/>
  <c r="E3824" i="10"/>
  <c r="F3824" i="10" s="1"/>
  <c r="E3825" i="10"/>
  <c r="F3825" i="10" s="1"/>
  <c r="E3826" i="10"/>
  <c r="F3826" i="10" s="1"/>
  <c r="E3827" i="10"/>
  <c r="F3827" i="10" s="1"/>
  <c r="E3828" i="10"/>
  <c r="F3828" i="10" s="1"/>
  <c r="E3829" i="10"/>
  <c r="F3829" i="10" s="1"/>
  <c r="E3830" i="10"/>
  <c r="F3830" i="10" s="1"/>
  <c r="E3831" i="10"/>
  <c r="F3831" i="10" s="1"/>
  <c r="E3832" i="10"/>
  <c r="F3832" i="10" s="1"/>
  <c r="E3833" i="10"/>
  <c r="F3833" i="10" s="1"/>
  <c r="E3834" i="10"/>
  <c r="F3834" i="10" s="1"/>
  <c r="E3835" i="10"/>
  <c r="F3835" i="10" s="1"/>
  <c r="E3836" i="10"/>
  <c r="F3836" i="10" s="1"/>
  <c r="E3837" i="10"/>
  <c r="F3837" i="10" s="1"/>
  <c r="E3838" i="10"/>
  <c r="F3838" i="10" s="1"/>
  <c r="E3785" i="10"/>
  <c r="F3785" i="10" s="1"/>
  <c r="E3786" i="10"/>
  <c r="F3786" i="10" s="1"/>
  <c r="E3787" i="10"/>
  <c r="F3787" i="10" s="1"/>
  <c r="E3788" i="10"/>
  <c r="F3788" i="10" s="1"/>
  <c r="E3789" i="10"/>
  <c r="F3789" i="10" s="1"/>
  <c r="E3790" i="10"/>
  <c r="F3790" i="10" s="1"/>
  <c r="E3791" i="10"/>
  <c r="F3791" i="10" s="1"/>
  <c r="E3792" i="10"/>
  <c r="F3792" i="10" s="1"/>
  <c r="E3793" i="10"/>
  <c r="F3793" i="10" s="1"/>
  <c r="E3794" i="10"/>
  <c r="F3794" i="10" s="1"/>
  <c r="E3795" i="10"/>
  <c r="F3795" i="10" s="1"/>
  <c r="E3796" i="10"/>
  <c r="F3796" i="10" s="1"/>
  <c r="E3797" i="10"/>
  <c r="F3797" i="10" s="1"/>
  <c r="E3798" i="10"/>
  <c r="F3798" i="10" s="1"/>
  <c r="E3799" i="10"/>
  <c r="F3799" i="10" s="1"/>
  <c r="E3800" i="10"/>
  <c r="F3800" i="10" s="1"/>
  <c r="E3747" i="10"/>
  <c r="F3747" i="10" s="1"/>
  <c r="E3748" i="10"/>
  <c r="F3748" i="10" s="1"/>
  <c r="E3749" i="10"/>
  <c r="F3749" i="10" s="1"/>
  <c r="E3750" i="10"/>
  <c r="F3750" i="10" s="1"/>
  <c r="E3751" i="10"/>
  <c r="F3751" i="10" s="1"/>
  <c r="E3752" i="10"/>
  <c r="F3752" i="10" s="1"/>
  <c r="E3753" i="10"/>
  <c r="F3753" i="10" s="1"/>
  <c r="E3754" i="10"/>
  <c r="F3754" i="10" s="1"/>
  <c r="E3755" i="10"/>
  <c r="F3755" i="10" s="1"/>
  <c r="E3756" i="10"/>
  <c r="F3756" i="10" s="1"/>
  <c r="E3757" i="10"/>
  <c r="F3757" i="10" s="1"/>
  <c r="E3758" i="10"/>
  <c r="F3758" i="10" s="1"/>
  <c r="E3759" i="10"/>
  <c r="F3759" i="10" s="1"/>
  <c r="E3760" i="10"/>
  <c r="F3760" i="10" s="1"/>
  <c r="E3761" i="10"/>
  <c r="F3761" i="10" s="1"/>
  <c r="E3762" i="10"/>
  <c r="F3762" i="10" s="1"/>
  <c r="E3709" i="10"/>
  <c r="F3709" i="10" s="1"/>
  <c r="E3710" i="10"/>
  <c r="F3710" i="10" s="1"/>
  <c r="E3711" i="10"/>
  <c r="F3711" i="10" s="1"/>
  <c r="E3712" i="10"/>
  <c r="F3712" i="10" s="1"/>
  <c r="E3713" i="10"/>
  <c r="F3713" i="10" s="1"/>
  <c r="E3714" i="10"/>
  <c r="F3714" i="10" s="1"/>
  <c r="E3715" i="10"/>
  <c r="F3715" i="10" s="1"/>
  <c r="E3716" i="10"/>
  <c r="F3716" i="10" s="1"/>
  <c r="E3717" i="10"/>
  <c r="F3717" i="10" s="1"/>
  <c r="E3718" i="10"/>
  <c r="F3718" i="10" s="1"/>
  <c r="E3719" i="10"/>
  <c r="F3719" i="10" s="1"/>
  <c r="E3720" i="10"/>
  <c r="F3720" i="10" s="1"/>
  <c r="E3721" i="10"/>
  <c r="F3721" i="10" s="1"/>
  <c r="E3722" i="10"/>
  <c r="F3722" i="10" s="1"/>
  <c r="E3723" i="10"/>
  <c r="F3723" i="10" s="1"/>
  <c r="E3724" i="10"/>
  <c r="F3724" i="10" s="1"/>
  <c r="E3671" i="10"/>
  <c r="F3671" i="10" s="1"/>
  <c r="E3672" i="10"/>
  <c r="F3672" i="10" s="1"/>
  <c r="E3673" i="10"/>
  <c r="F3673" i="10" s="1"/>
  <c r="E3674" i="10"/>
  <c r="F3674" i="10" s="1"/>
  <c r="E3675" i="10"/>
  <c r="F3675" i="10" s="1"/>
  <c r="E3676" i="10"/>
  <c r="F3676" i="10" s="1"/>
  <c r="E3677" i="10"/>
  <c r="F3677" i="10" s="1"/>
  <c r="E3678" i="10"/>
  <c r="F3678" i="10" s="1"/>
  <c r="E3679" i="10"/>
  <c r="F3679" i="10" s="1"/>
  <c r="E3680" i="10"/>
  <c r="F3680" i="10" s="1"/>
  <c r="E3681" i="10"/>
  <c r="F3681" i="10" s="1"/>
  <c r="E3682" i="10"/>
  <c r="F3682" i="10" s="1"/>
  <c r="E3683" i="10"/>
  <c r="F3683" i="10" s="1"/>
  <c r="E3684" i="10"/>
  <c r="F3684" i="10" s="1"/>
  <c r="E3685" i="10"/>
  <c r="F3685" i="10" s="1"/>
  <c r="E3686" i="10"/>
  <c r="F3686" i="10" s="1"/>
  <c r="E3633" i="10"/>
  <c r="F3633" i="10" s="1"/>
  <c r="E3634" i="10"/>
  <c r="F3634" i="10" s="1"/>
  <c r="E3635" i="10"/>
  <c r="F3635" i="10" s="1"/>
  <c r="E3636" i="10"/>
  <c r="F3636" i="10" s="1"/>
  <c r="E3637" i="10"/>
  <c r="F3637" i="10" s="1"/>
  <c r="E3638" i="10"/>
  <c r="F3638" i="10" s="1"/>
  <c r="E3639" i="10"/>
  <c r="F3639" i="10" s="1"/>
  <c r="E3640" i="10"/>
  <c r="F3640" i="10" s="1"/>
  <c r="E3641" i="10"/>
  <c r="F3641" i="10" s="1"/>
  <c r="E3642" i="10"/>
  <c r="F3642" i="10" s="1"/>
  <c r="E3643" i="10"/>
  <c r="F3643" i="10" s="1"/>
  <c r="E3644" i="10"/>
  <c r="F3644" i="10" s="1"/>
  <c r="E3645" i="10"/>
  <c r="F3645" i="10" s="1"/>
  <c r="E3646" i="10"/>
  <c r="F3646" i="10" s="1"/>
  <c r="E3647" i="10"/>
  <c r="F3647" i="10" s="1"/>
  <c r="E3648" i="10"/>
  <c r="F3648" i="10" s="1"/>
  <c r="E3595" i="10"/>
  <c r="F3595" i="10" s="1"/>
  <c r="E3596" i="10"/>
  <c r="F3596" i="10" s="1"/>
  <c r="E3597" i="10"/>
  <c r="F3597" i="10" s="1"/>
  <c r="E3598" i="10"/>
  <c r="F3598" i="10" s="1"/>
  <c r="E3599" i="10"/>
  <c r="F3599" i="10" s="1"/>
  <c r="E3600" i="10"/>
  <c r="F3600" i="10" s="1"/>
  <c r="E3601" i="10"/>
  <c r="F3601" i="10" s="1"/>
  <c r="E3602" i="10"/>
  <c r="F3602" i="10" s="1"/>
  <c r="E3603" i="10"/>
  <c r="F3603" i="10" s="1"/>
  <c r="E3604" i="10"/>
  <c r="F3604" i="10" s="1"/>
  <c r="E3605" i="10"/>
  <c r="F3605" i="10" s="1"/>
  <c r="E3606" i="10"/>
  <c r="F3606" i="10" s="1"/>
  <c r="E3607" i="10"/>
  <c r="F3607" i="10" s="1"/>
  <c r="E3608" i="10"/>
  <c r="F3608" i="10" s="1"/>
  <c r="E3609" i="10"/>
  <c r="F3609" i="10" s="1"/>
  <c r="E3610" i="10"/>
  <c r="F3610" i="10" s="1"/>
  <c r="E3557" i="10"/>
  <c r="F3557" i="10" s="1"/>
  <c r="E3558" i="10"/>
  <c r="F3558" i="10" s="1"/>
  <c r="E3559" i="10"/>
  <c r="F3559" i="10" s="1"/>
  <c r="E3560" i="10"/>
  <c r="F3560" i="10" s="1"/>
  <c r="E3561" i="10"/>
  <c r="F3561" i="10" s="1"/>
  <c r="E3562" i="10"/>
  <c r="F3562" i="10" s="1"/>
  <c r="E3563" i="10"/>
  <c r="F3563" i="10" s="1"/>
  <c r="E3564" i="10"/>
  <c r="F3564" i="10" s="1"/>
  <c r="E3565" i="10"/>
  <c r="F3565" i="10" s="1"/>
  <c r="E3566" i="10"/>
  <c r="F3566" i="10" s="1"/>
  <c r="E3567" i="10"/>
  <c r="F3567" i="10" s="1"/>
  <c r="E3568" i="10"/>
  <c r="F3568" i="10" s="1"/>
  <c r="E3569" i="10"/>
  <c r="F3569" i="10" s="1"/>
  <c r="E3570" i="10"/>
  <c r="F3570" i="10" s="1"/>
  <c r="E3571" i="10"/>
  <c r="F3571" i="10" s="1"/>
  <c r="E3572" i="10"/>
  <c r="F3572" i="10" s="1"/>
  <c r="E3519" i="10"/>
  <c r="F3519" i="10" s="1"/>
  <c r="E3520" i="10"/>
  <c r="F3520" i="10" s="1"/>
  <c r="E3521" i="10"/>
  <c r="F3521" i="10" s="1"/>
  <c r="E3522" i="10"/>
  <c r="F3522" i="10" s="1"/>
  <c r="E3523" i="10"/>
  <c r="F3523" i="10" s="1"/>
  <c r="E3524" i="10"/>
  <c r="F3524" i="10" s="1"/>
  <c r="E3525" i="10"/>
  <c r="F3525" i="10" s="1"/>
  <c r="E3526" i="10"/>
  <c r="F3526" i="10" s="1"/>
  <c r="E3527" i="10"/>
  <c r="F3527" i="10" s="1"/>
  <c r="E3528" i="10"/>
  <c r="F3528" i="10" s="1"/>
  <c r="E3529" i="10"/>
  <c r="F3529" i="10" s="1"/>
  <c r="E3530" i="10"/>
  <c r="F3530" i="10" s="1"/>
  <c r="E3531" i="10"/>
  <c r="F3531" i="10" s="1"/>
  <c r="E3532" i="10"/>
  <c r="F3532" i="10" s="1"/>
  <c r="E3533" i="10"/>
  <c r="F3533" i="10" s="1"/>
  <c r="E3534" i="10"/>
  <c r="F3534" i="10" s="1"/>
  <c r="E3481" i="10"/>
  <c r="F3481" i="10" s="1"/>
  <c r="E3482" i="10"/>
  <c r="F3482" i="10" s="1"/>
  <c r="E3483" i="10"/>
  <c r="F3483" i="10" s="1"/>
  <c r="E3484" i="10"/>
  <c r="F3484" i="10" s="1"/>
  <c r="E3485" i="10"/>
  <c r="F3485" i="10" s="1"/>
  <c r="E3486" i="10"/>
  <c r="F3486" i="10" s="1"/>
  <c r="E3487" i="10"/>
  <c r="F3487" i="10" s="1"/>
  <c r="E3488" i="10"/>
  <c r="F3488" i="10" s="1"/>
  <c r="E3489" i="10"/>
  <c r="F3489" i="10" s="1"/>
  <c r="E3490" i="10"/>
  <c r="F3490" i="10" s="1"/>
  <c r="E3491" i="10"/>
  <c r="F3491" i="10" s="1"/>
  <c r="E3492" i="10"/>
  <c r="F3492" i="10" s="1"/>
  <c r="E3493" i="10"/>
  <c r="F3493" i="10" s="1"/>
  <c r="E3494" i="10"/>
  <c r="F3494" i="10" s="1"/>
  <c r="E3495" i="10"/>
  <c r="F3495" i="10" s="1"/>
  <c r="E3496" i="10"/>
  <c r="F3496" i="10" s="1"/>
  <c r="E3443" i="10"/>
  <c r="F3443" i="10" s="1"/>
  <c r="E3444" i="10"/>
  <c r="F3444" i="10" s="1"/>
  <c r="E3445" i="10"/>
  <c r="F3445" i="10" s="1"/>
  <c r="E3446" i="10"/>
  <c r="F3446" i="10" s="1"/>
  <c r="E3447" i="10"/>
  <c r="F3447" i="10" s="1"/>
  <c r="E3448" i="10"/>
  <c r="F3448" i="10" s="1"/>
  <c r="E3449" i="10"/>
  <c r="F3449" i="10" s="1"/>
  <c r="E3450" i="10"/>
  <c r="F3450" i="10" s="1"/>
  <c r="E3451" i="10"/>
  <c r="F3451" i="10" s="1"/>
  <c r="E3452" i="10"/>
  <c r="F3452" i="10" s="1"/>
  <c r="E3453" i="10"/>
  <c r="F3453" i="10" s="1"/>
  <c r="E3454" i="10"/>
  <c r="F3454" i="10" s="1"/>
  <c r="E3455" i="10"/>
  <c r="F3455" i="10" s="1"/>
  <c r="E3456" i="10"/>
  <c r="F3456" i="10" s="1"/>
  <c r="E3457" i="10"/>
  <c r="F3457" i="10" s="1"/>
  <c r="E3458" i="10"/>
  <c r="F3458" i="10" s="1"/>
  <c r="E3405" i="10"/>
  <c r="F3405" i="10" s="1"/>
  <c r="E3406" i="10"/>
  <c r="F3406" i="10" s="1"/>
  <c r="E3407" i="10"/>
  <c r="F3407" i="10" s="1"/>
  <c r="E3408" i="10"/>
  <c r="F3408" i="10" s="1"/>
  <c r="E3409" i="10"/>
  <c r="F3409" i="10" s="1"/>
  <c r="E3410" i="10"/>
  <c r="F3410" i="10" s="1"/>
  <c r="E3411" i="10"/>
  <c r="F3411" i="10" s="1"/>
  <c r="E3412" i="10"/>
  <c r="F3412" i="10" s="1"/>
  <c r="E3413" i="10"/>
  <c r="F3413" i="10" s="1"/>
  <c r="E3414" i="10"/>
  <c r="F3414" i="10" s="1"/>
  <c r="E3415" i="10"/>
  <c r="F3415" i="10" s="1"/>
  <c r="E3416" i="10"/>
  <c r="F3416" i="10" s="1"/>
  <c r="E3417" i="10"/>
  <c r="F3417" i="10" s="1"/>
  <c r="E3418" i="10"/>
  <c r="F3418" i="10" s="1"/>
  <c r="E3419" i="10"/>
  <c r="F3419" i="10" s="1"/>
  <c r="E3420" i="10"/>
  <c r="F3420" i="10" s="1"/>
  <c r="E3367" i="10"/>
  <c r="F3367" i="10" s="1"/>
  <c r="E3368" i="10"/>
  <c r="F3368" i="10" s="1"/>
  <c r="E3369" i="10"/>
  <c r="F3369" i="10" s="1"/>
  <c r="E3370" i="10"/>
  <c r="F3370" i="10" s="1"/>
  <c r="E3371" i="10"/>
  <c r="F3371" i="10" s="1"/>
  <c r="E3372" i="10"/>
  <c r="F3372" i="10" s="1"/>
  <c r="E3373" i="10"/>
  <c r="F3373" i="10" s="1"/>
  <c r="E3374" i="10"/>
  <c r="F3374" i="10" s="1"/>
  <c r="E3375" i="10"/>
  <c r="F3375" i="10" s="1"/>
  <c r="E3376" i="10"/>
  <c r="F3376" i="10" s="1"/>
  <c r="E3377" i="10"/>
  <c r="F3377" i="10" s="1"/>
  <c r="E3378" i="10"/>
  <c r="F3378" i="10" s="1"/>
  <c r="E3379" i="10"/>
  <c r="F3379" i="10" s="1"/>
  <c r="E3380" i="10"/>
  <c r="F3380" i="10" s="1"/>
  <c r="E3381" i="10"/>
  <c r="F3381" i="10" s="1"/>
  <c r="E3382" i="10"/>
  <c r="F3382" i="10" s="1"/>
  <c r="E3329" i="10"/>
  <c r="F3329" i="10" s="1"/>
  <c r="E3330" i="10"/>
  <c r="F3330" i="10" s="1"/>
  <c r="E3331" i="10"/>
  <c r="F3331" i="10" s="1"/>
  <c r="E3332" i="10"/>
  <c r="F3332" i="10" s="1"/>
  <c r="E3333" i="10"/>
  <c r="F3333" i="10" s="1"/>
  <c r="E3334" i="10"/>
  <c r="F3334" i="10" s="1"/>
  <c r="E3335" i="10"/>
  <c r="F3335" i="10" s="1"/>
  <c r="E3336" i="10"/>
  <c r="F3336" i="10" s="1"/>
  <c r="E3337" i="10"/>
  <c r="F3337" i="10" s="1"/>
  <c r="E3338" i="10"/>
  <c r="F3338" i="10" s="1"/>
  <c r="E3339" i="10"/>
  <c r="F3339" i="10" s="1"/>
  <c r="E3340" i="10"/>
  <c r="F3340" i="10" s="1"/>
  <c r="E3341" i="10"/>
  <c r="F3341" i="10" s="1"/>
  <c r="E3342" i="10"/>
  <c r="F3342" i="10" s="1"/>
  <c r="E3343" i="10"/>
  <c r="F3343" i="10" s="1"/>
  <c r="E3344" i="10"/>
  <c r="F3344" i="10" s="1"/>
  <c r="E3291" i="10"/>
  <c r="F3291" i="10" s="1"/>
  <c r="E3292" i="10"/>
  <c r="F3292" i="10" s="1"/>
  <c r="E3293" i="10"/>
  <c r="F3293" i="10" s="1"/>
  <c r="E3294" i="10"/>
  <c r="F3294" i="10" s="1"/>
  <c r="E3295" i="10"/>
  <c r="F3295" i="10" s="1"/>
  <c r="E3296" i="10"/>
  <c r="F3296" i="10" s="1"/>
  <c r="E3297" i="10"/>
  <c r="F3297" i="10" s="1"/>
  <c r="E3298" i="10"/>
  <c r="F3298" i="10" s="1"/>
  <c r="E3299" i="10"/>
  <c r="F3299" i="10" s="1"/>
  <c r="E3300" i="10"/>
  <c r="F3300" i="10" s="1"/>
  <c r="E3301" i="10"/>
  <c r="F3301" i="10" s="1"/>
  <c r="E3302" i="10"/>
  <c r="F3302" i="10" s="1"/>
  <c r="E3303" i="10"/>
  <c r="F3303" i="10" s="1"/>
  <c r="E3304" i="10"/>
  <c r="F3304" i="10" s="1"/>
  <c r="E3305" i="10"/>
  <c r="F3305" i="10" s="1"/>
  <c r="E3306" i="10"/>
  <c r="F3306" i="10" s="1"/>
  <c r="E3253" i="10"/>
  <c r="F3253" i="10" s="1"/>
  <c r="E3254" i="10"/>
  <c r="F3254" i="10" s="1"/>
  <c r="E3255" i="10"/>
  <c r="F3255" i="10" s="1"/>
  <c r="E3256" i="10"/>
  <c r="F3256" i="10" s="1"/>
  <c r="E3257" i="10"/>
  <c r="F3257" i="10" s="1"/>
  <c r="E3258" i="10"/>
  <c r="F3258" i="10" s="1"/>
  <c r="E3259" i="10"/>
  <c r="F3259" i="10" s="1"/>
  <c r="E3260" i="10"/>
  <c r="F3260" i="10" s="1"/>
  <c r="E3261" i="10"/>
  <c r="F3261" i="10" s="1"/>
  <c r="E3262" i="10"/>
  <c r="F3262" i="10" s="1"/>
  <c r="E3263" i="10"/>
  <c r="F3263" i="10" s="1"/>
  <c r="E3264" i="10"/>
  <c r="F3264" i="10" s="1"/>
  <c r="E3265" i="10"/>
  <c r="F3265" i="10" s="1"/>
  <c r="E3266" i="10"/>
  <c r="F3266" i="10" s="1"/>
  <c r="E3267" i="10"/>
  <c r="F3267" i="10" s="1"/>
  <c r="E3268" i="10"/>
  <c r="F3268" i="10" s="1"/>
  <c r="E3215" i="10"/>
  <c r="F3215" i="10" s="1"/>
  <c r="E3216" i="10"/>
  <c r="F3216" i="10" s="1"/>
  <c r="E3217" i="10"/>
  <c r="F3217" i="10" s="1"/>
  <c r="E3218" i="10"/>
  <c r="F3218" i="10" s="1"/>
  <c r="E3219" i="10"/>
  <c r="F3219" i="10" s="1"/>
  <c r="E3220" i="10"/>
  <c r="F3220" i="10" s="1"/>
  <c r="E3221" i="10"/>
  <c r="F3221" i="10" s="1"/>
  <c r="E3222" i="10"/>
  <c r="F3222" i="10" s="1"/>
  <c r="E3223" i="10"/>
  <c r="F3223" i="10" s="1"/>
  <c r="E3224" i="10"/>
  <c r="F3224" i="10" s="1"/>
  <c r="E3225" i="10"/>
  <c r="F3225" i="10" s="1"/>
  <c r="E3226" i="10"/>
  <c r="F3226" i="10" s="1"/>
  <c r="E3227" i="10"/>
  <c r="F3227" i="10" s="1"/>
  <c r="E3228" i="10"/>
  <c r="F3228" i="10" s="1"/>
  <c r="E3229" i="10"/>
  <c r="F3229" i="10" s="1"/>
  <c r="E3230" i="10"/>
  <c r="F3230" i="10" s="1"/>
  <c r="E3177" i="10"/>
  <c r="F3177" i="10" s="1"/>
  <c r="E3178" i="10"/>
  <c r="F3178" i="10" s="1"/>
  <c r="E3179" i="10"/>
  <c r="F3179" i="10" s="1"/>
  <c r="E3180" i="10"/>
  <c r="F3180" i="10" s="1"/>
  <c r="E3181" i="10"/>
  <c r="F3181" i="10" s="1"/>
  <c r="E3182" i="10"/>
  <c r="F3182" i="10" s="1"/>
  <c r="E3183" i="10"/>
  <c r="F3183" i="10" s="1"/>
  <c r="E3184" i="10"/>
  <c r="F3184" i="10" s="1"/>
  <c r="E3185" i="10"/>
  <c r="F3185" i="10" s="1"/>
  <c r="E3186" i="10"/>
  <c r="F3186" i="10" s="1"/>
  <c r="E3187" i="10"/>
  <c r="F3187" i="10" s="1"/>
  <c r="E3188" i="10"/>
  <c r="F3188" i="10" s="1"/>
  <c r="E3189" i="10"/>
  <c r="F3189" i="10" s="1"/>
  <c r="E3190" i="10"/>
  <c r="F3190" i="10" s="1"/>
  <c r="E3191" i="10"/>
  <c r="F3191" i="10" s="1"/>
  <c r="E3192" i="10"/>
  <c r="F3192" i="10" s="1"/>
  <c r="E3139" i="10"/>
  <c r="F3139" i="10" s="1"/>
  <c r="E3140" i="10"/>
  <c r="F3140" i="10" s="1"/>
  <c r="E3141" i="10"/>
  <c r="F3141" i="10" s="1"/>
  <c r="E3142" i="10"/>
  <c r="F3142" i="10" s="1"/>
  <c r="E3143" i="10"/>
  <c r="F3143" i="10" s="1"/>
  <c r="E3144" i="10"/>
  <c r="F3144" i="10" s="1"/>
  <c r="E3145" i="10"/>
  <c r="F3145" i="10" s="1"/>
  <c r="E3146" i="10"/>
  <c r="F3146" i="10" s="1"/>
  <c r="E3147" i="10"/>
  <c r="F3147" i="10" s="1"/>
  <c r="E3148" i="10"/>
  <c r="F3148" i="10" s="1"/>
  <c r="E3149" i="10"/>
  <c r="F3149" i="10" s="1"/>
  <c r="E3150" i="10"/>
  <c r="F3150" i="10" s="1"/>
  <c r="E3151" i="10"/>
  <c r="F3151" i="10" s="1"/>
  <c r="E3152" i="10"/>
  <c r="F3152" i="10" s="1"/>
  <c r="E3153" i="10"/>
  <c r="F3153" i="10" s="1"/>
  <c r="E3154" i="10"/>
  <c r="F3154" i="10" s="1"/>
  <c r="E3101" i="10"/>
  <c r="F3101" i="10" s="1"/>
  <c r="E3102" i="10"/>
  <c r="F3102" i="10" s="1"/>
  <c r="E3103" i="10"/>
  <c r="F3103" i="10" s="1"/>
  <c r="E3104" i="10"/>
  <c r="F3104" i="10" s="1"/>
  <c r="E3105" i="10"/>
  <c r="F3105" i="10" s="1"/>
  <c r="E3106" i="10"/>
  <c r="F3106" i="10" s="1"/>
  <c r="E3107" i="10"/>
  <c r="F3107" i="10" s="1"/>
  <c r="E3108" i="10"/>
  <c r="F3108" i="10" s="1"/>
  <c r="E3109" i="10"/>
  <c r="F3109" i="10" s="1"/>
  <c r="E3110" i="10"/>
  <c r="F3110" i="10" s="1"/>
  <c r="E3111" i="10"/>
  <c r="F3111" i="10" s="1"/>
  <c r="E3112" i="10"/>
  <c r="F3112" i="10" s="1"/>
  <c r="E3113" i="10"/>
  <c r="F3113" i="10" s="1"/>
  <c r="E3114" i="10"/>
  <c r="F3114" i="10" s="1"/>
  <c r="E3115" i="10"/>
  <c r="F3115" i="10" s="1"/>
  <c r="E3116" i="10"/>
  <c r="F3116" i="10" s="1"/>
  <c r="E3063" i="10"/>
  <c r="F3063" i="10" s="1"/>
  <c r="E3064" i="10"/>
  <c r="F3064" i="10" s="1"/>
  <c r="E3065" i="10"/>
  <c r="F3065" i="10" s="1"/>
  <c r="E3066" i="10"/>
  <c r="F3066" i="10" s="1"/>
  <c r="E3067" i="10"/>
  <c r="F3067" i="10" s="1"/>
  <c r="E3068" i="10"/>
  <c r="F3068" i="10" s="1"/>
  <c r="E3069" i="10"/>
  <c r="F3069" i="10" s="1"/>
  <c r="E3070" i="10"/>
  <c r="F3070" i="10" s="1"/>
  <c r="E3071" i="10"/>
  <c r="F3071" i="10" s="1"/>
  <c r="E3072" i="10"/>
  <c r="F3072" i="10" s="1"/>
  <c r="E3073" i="10"/>
  <c r="F3073" i="10" s="1"/>
  <c r="E3074" i="10"/>
  <c r="F3074" i="10" s="1"/>
  <c r="E3075" i="10"/>
  <c r="F3075" i="10" s="1"/>
  <c r="E3076" i="10"/>
  <c r="F3076" i="10" s="1"/>
  <c r="E3077" i="10"/>
  <c r="F3077" i="10" s="1"/>
  <c r="E3078" i="10"/>
  <c r="F3078" i="10" s="1"/>
  <c r="E3025" i="10"/>
  <c r="F3025" i="10" s="1"/>
  <c r="E3026" i="10"/>
  <c r="F3026" i="10" s="1"/>
  <c r="E3027" i="10"/>
  <c r="F3027" i="10" s="1"/>
  <c r="E3028" i="10"/>
  <c r="F3028" i="10" s="1"/>
  <c r="E3029" i="10"/>
  <c r="F3029" i="10" s="1"/>
  <c r="E3030" i="10"/>
  <c r="F3030" i="10" s="1"/>
  <c r="E3031" i="10"/>
  <c r="F3031" i="10" s="1"/>
  <c r="E3032" i="10"/>
  <c r="F3032" i="10" s="1"/>
  <c r="E3033" i="10"/>
  <c r="F3033" i="10" s="1"/>
  <c r="E3034" i="10"/>
  <c r="F3034" i="10" s="1"/>
  <c r="E3035" i="10"/>
  <c r="F3035" i="10" s="1"/>
  <c r="E3036" i="10"/>
  <c r="F3036" i="10" s="1"/>
  <c r="E3037" i="10"/>
  <c r="F3037" i="10" s="1"/>
  <c r="E3038" i="10"/>
  <c r="F3038" i="10" s="1"/>
  <c r="E3039" i="10"/>
  <c r="F3039" i="10" s="1"/>
  <c r="E3040" i="10"/>
  <c r="F3040" i="10" s="1"/>
  <c r="E2987" i="10"/>
  <c r="F2987" i="10" s="1"/>
  <c r="E2988" i="10"/>
  <c r="F2988" i="10" s="1"/>
  <c r="E2989" i="10"/>
  <c r="F2989" i="10" s="1"/>
  <c r="E2990" i="10"/>
  <c r="F2990" i="10" s="1"/>
  <c r="E2991" i="10"/>
  <c r="F2991" i="10" s="1"/>
  <c r="E2992" i="10"/>
  <c r="F2992" i="10" s="1"/>
  <c r="E2993" i="10"/>
  <c r="F2993" i="10" s="1"/>
  <c r="E2994" i="10"/>
  <c r="F2994" i="10" s="1"/>
  <c r="E2995" i="10"/>
  <c r="F2995" i="10" s="1"/>
  <c r="E2996" i="10"/>
  <c r="F2996" i="10" s="1"/>
  <c r="E2997" i="10"/>
  <c r="F2997" i="10" s="1"/>
  <c r="E2998" i="10"/>
  <c r="F2998" i="10" s="1"/>
  <c r="E2999" i="10"/>
  <c r="F2999" i="10" s="1"/>
  <c r="E3000" i="10"/>
  <c r="F3000" i="10" s="1"/>
  <c r="E3001" i="10"/>
  <c r="F3001" i="10" s="1"/>
  <c r="E3002" i="10"/>
  <c r="F3002" i="10" s="1"/>
  <c r="E2949" i="10"/>
  <c r="F2949" i="10" s="1"/>
  <c r="E2950" i="10"/>
  <c r="F2950" i="10" s="1"/>
  <c r="E2951" i="10"/>
  <c r="F2951" i="10" s="1"/>
  <c r="E2952" i="10"/>
  <c r="F2952" i="10" s="1"/>
  <c r="E2953" i="10"/>
  <c r="F2953" i="10" s="1"/>
  <c r="E2954" i="10"/>
  <c r="F2954" i="10" s="1"/>
  <c r="E2955" i="10"/>
  <c r="F2955" i="10" s="1"/>
  <c r="E2956" i="10"/>
  <c r="F2956" i="10" s="1"/>
  <c r="E2957" i="10"/>
  <c r="F2957" i="10" s="1"/>
  <c r="E2958" i="10"/>
  <c r="F2958" i="10" s="1"/>
  <c r="E2959" i="10"/>
  <c r="F2959" i="10" s="1"/>
  <c r="E2960" i="10"/>
  <c r="F2960" i="10" s="1"/>
  <c r="E2961" i="10"/>
  <c r="F2961" i="10" s="1"/>
  <c r="E2962" i="10"/>
  <c r="F2962" i="10" s="1"/>
  <c r="E2963" i="10"/>
  <c r="F2963" i="10" s="1"/>
  <c r="E2964" i="10"/>
  <c r="F2964" i="10" s="1"/>
  <c r="E2911" i="10"/>
  <c r="F2911" i="10" s="1"/>
  <c r="E2912" i="10"/>
  <c r="F2912" i="10" s="1"/>
  <c r="E2913" i="10"/>
  <c r="F2913" i="10" s="1"/>
  <c r="E2914" i="10"/>
  <c r="F2914" i="10" s="1"/>
  <c r="E2915" i="10"/>
  <c r="F2915" i="10" s="1"/>
  <c r="E2916" i="10"/>
  <c r="F2916" i="10" s="1"/>
  <c r="E2917" i="10"/>
  <c r="F2917" i="10" s="1"/>
  <c r="E2918" i="10"/>
  <c r="F2918" i="10" s="1"/>
  <c r="E2919" i="10"/>
  <c r="F2919" i="10" s="1"/>
  <c r="E2920" i="10"/>
  <c r="F2920" i="10" s="1"/>
  <c r="E2921" i="10"/>
  <c r="F2921" i="10" s="1"/>
  <c r="E2922" i="10"/>
  <c r="F2922" i="10" s="1"/>
  <c r="E2923" i="10"/>
  <c r="F2923" i="10" s="1"/>
  <c r="E2924" i="10"/>
  <c r="F2924" i="10" s="1"/>
  <c r="E2925" i="10"/>
  <c r="F2925" i="10" s="1"/>
  <c r="E2926" i="10"/>
  <c r="F2926" i="10" s="1"/>
  <c r="E2873" i="10"/>
  <c r="F2873" i="10" s="1"/>
  <c r="E2874" i="10"/>
  <c r="F2874" i="10" s="1"/>
  <c r="E2875" i="10"/>
  <c r="F2875" i="10" s="1"/>
  <c r="E2876" i="10"/>
  <c r="F2876" i="10" s="1"/>
  <c r="E2877" i="10"/>
  <c r="F2877" i="10" s="1"/>
  <c r="E2878" i="10"/>
  <c r="F2878" i="10" s="1"/>
  <c r="E2879" i="10"/>
  <c r="F2879" i="10" s="1"/>
  <c r="E2880" i="10"/>
  <c r="F2880" i="10" s="1"/>
  <c r="E2881" i="10"/>
  <c r="F2881" i="10" s="1"/>
  <c r="E2882" i="10"/>
  <c r="F2882" i="10" s="1"/>
  <c r="E2883" i="10"/>
  <c r="F2883" i="10" s="1"/>
  <c r="E2884" i="10"/>
  <c r="F2884" i="10" s="1"/>
  <c r="E2885" i="10"/>
  <c r="F2885" i="10" s="1"/>
  <c r="E2886" i="10"/>
  <c r="F2886" i="10" s="1"/>
  <c r="E2887" i="10"/>
  <c r="F2887" i="10" s="1"/>
  <c r="E2888" i="10"/>
  <c r="F2888" i="10" s="1"/>
  <c r="E2835" i="10"/>
  <c r="F2835" i="10" s="1"/>
  <c r="E2836" i="10"/>
  <c r="F2836" i="10" s="1"/>
  <c r="E2837" i="10"/>
  <c r="F2837" i="10" s="1"/>
  <c r="E2838" i="10"/>
  <c r="F2838" i="10" s="1"/>
  <c r="E2839" i="10"/>
  <c r="F2839" i="10" s="1"/>
  <c r="E2840" i="10"/>
  <c r="F2840" i="10" s="1"/>
  <c r="E2841" i="10"/>
  <c r="F2841" i="10" s="1"/>
  <c r="E2842" i="10"/>
  <c r="F2842" i="10" s="1"/>
  <c r="E2843" i="10"/>
  <c r="F2843" i="10" s="1"/>
  <c r="E2844" i="10"/>
  <c r="F2844" i="10" s="1"/>
  <c r="E2845" i="10"/>
  <c r="F2845" i="10" s="1"/>
  <c r="E2846" i="10"/>
  <c r="F2846" i="10" s="1"/>
  <c r="E2847" i="10"/>
  <c r="F2847" i="10" s="1"/>
  <c r="E2848" i="10"/>
  <c r="F2848" i="10" s="1"/>
  <c r="E2849" i="10"/>
  <c r="F2849" i="10" s="1"/>
  <c r="E2850" i="10"/>
  <c r="F2850" i="10" s="1"/>
  <c r="E2797" i="10"/>
  <c r="F2797" i="10" s="1"/>
  <c r="E2798" i="10"/>
  <c r="F2798" i="10" s="1"/>
  <c r="E2799" i="10"/>
  <c r="F2799" i="10" s="1"/>
  <c r="E2800" i="10"/>
  <c r="F2800" i="10" s="1"/>
  <c r="E2801" i="10"/>
  <c r="F2801" i="10" s="1"/>
  <c r="E2802" i="10"/>
  <c r="F2802" i="10" s="1"/>
  <c r="E2803" i="10"/>
  <c r="F2803" i="10" s="1"/>
  <c r="E2804" i="10"/>
  <c r="F2804" i="10" s="1"/>
  <c r="E2805" i="10"/>
  <c r="F2805" i="10" s="1"/>
  <c r="E2806" i="10"/>
  <c r="F2806" i="10" s="1"/>
  <c r="E2807" i="10"/>
  <c r="F2807" i="10" s="1"/>
  <c r="E2808" i="10"/>
  <c r="F2808" i="10" s="1"/>
  <c r="E2809" i="10"/>
  <c r="F2809" i="10" s="1"/>
  <c r="E2810" i="10"/>
  <c r="F2810" i="10" s="1"/>
  <c r="E2811" i="10"/>
  <c r="F2811" i="10" s="1"/>
  <c r="E2812" i="10"/>
  <c r="F2812" i="10" s="1"/>
  <c r="E2759" i="10"/>
  <c r="F2759" i="10" s="1"/>
  <c r="E2760" i="10"/>
  <c r="F2760" i="10" s="1"/>
  <c r="E2761" i="10"/>
  <c r="F2761" i="10" s="1"/>
  <c r="E2762" i="10"/>
  <c r="F2762" i="10" s="1"/>
  <c r="E2763" i="10"/>
  <c r="F2763" i="10" s="1"/>
  <c r="E2764" i="10"/>
  <c r="F2764" i="10" s="1"/>
  <c r="E2765" i="10"/>
  <c r="F2765" i="10" s="1"/>
  <c r="E2766" i="10"/>
  <c r="F2766" i="10" s="1"/>
  <c r="E2767" i="10"/>
  <c r="F2767" i="10" s="1"/>
  <c r="E2768" i="10"/>
  <c r="F2768" i="10" s="1"/>
  <c r="E2769" i="10"/>
  <c r="F2769" i="10" s="1"/>
  <c r="E2770" i="10"/>
  <c r="F2770" i="10" s="1"/>
  <c r="E2771" i="10"/>
  <c r="F2771" i="10" s="1"/>
  <c r="E2772" i="10"/>
  <c r="F2772" i="10" s="1"/>
  <c r="E2773" i="10"/>
  <c r="F2773" i="10" s="1"/>
  <c r="E2774" i="10"/>
  <c r="F2774" i="10" s="1"/>
  <c r="E2721" i="10"/>
  <c r="F2721" i="10" s="1"/>
  <c r="E2722" i="10"/>
  <c r="F2722" i="10" s="1"/>
  <c r="E2723" i="10"/>
  <c r="F2723" i="10" s="1"/>
  <c r="E2724" i="10"/>
  <c r="F2724" i="10" s="1"/>
  <c r="E2725" i="10"/>
  <c r="F2725" i="10" s="1"/>
  <c r="E2726" i="10"/>
  <c r="F2726" i="10" s="1"/>
  <c r="E2727" i="10"/>
  <c r="F2727" i="10" s="1"/>
  <c r="E2728" i="10"/>
  <c r="F2728" i="10" s="1"/>
  <c r="E2729" i="10"/>
  <c r="F2729" i="10" s="1"/>
  <c r="E2730" i="10"/>
  <c r="F2730" i="10" s="1"/>
  <c r="E2731" i="10"/>
  <c r="F2731" i="10" s="1"/>
  <c r="E2732" i="10"/>
  <c r="F2732" i="10" s="1"/>
  <c r="E2733" i="10"/>
  <c r="F2733" i="10" s="1"/>
  <c r="E2734" i="10"/>
  <c r="F2734" i="10" s="1"/>
  <c r="E2735" i="10"/>
  <c r="F2735" i="10" s="1"/>
  <c r="E2736" i="10"/>
  <c r="F2736" i="10" s="1"/>
  <c r="E2683" i="10"/>
  <c r="F2683" i="10" s="1"/>
  <c r="E2684" i="10"/>
  <c r="F2684" i="10" s="1"/>
  <c r="E2685" i="10"/>
  <c r="F2685" i="10" s="1"/>
  <c r="E2686" i="10"/>
  <c r="F2686" i="10" s="1"/>
  <c r="E2687" i="10"/>
  <c r="F2687" i="10" s="1"/>
  <c r="E2688" i="10"/>
  <c r="F2688" i="10" s="1"/>
  <c r="E2689" i="10"/>
  <c r="F2689" i="10" s="1"/>
  <c r="E2690" i="10"/>
  <c r="F2690" i="10" s="1"/>
  <c r="E2691" i="10"/>
  <c r="F2691" i="10" s="1"/>
  <c r="E2692" i="10"/>
  <c r="F2692" i="10" s="1"/>
  <c r="E2693" i="10"/>
  <c r="F2693" i="10" s="1"/>
  <c r="E2694" i="10"/>
  <c r="F2694" i="10" s="1"/>
  <c r="E2695" i="10"/>
  <c r="F2695" i="10" s="1"/>
  <c r="E2696" i="10"/>
  <c r="F2696" i="10" s="1"/>
  <c r="E2697" i="10"/>
  <c r="F2697" i="10" s="1"/>
  <c r="E2698" i="10"/>
  <c r="F2698" i="10" s="1"/>
  <c r="E2645" i="10"/>
  <c r="F2645" i="10" s="1"/>
  <c r="E2646" i="10"/>
  <c r="F2646" i="10" s="1"/>
  <c r="E2647" i="10"/>
  <c r="F2647" i="10" s="1"/>
  <c r="E2648" i="10"/>
  <c r="F2648" i="10" s="1"/>
  <c r="E2649" i="10"/>
  <c r="F2649" i="10" s="1"/>
  <c r="E2650" i="10"/>
  <c r="F2650" i="10" s="1"/>
  <c r="E2651" i="10"/>
  <c r="F2651" i="10" s="1"/>
  <c r="E2652" i="10"/>
  <c r="F2652" i="10" s="1"/>
  <c r="E2653" i="10"/>
  <c r="F2653" i="10" s="1"/>
  <c r="E2654" i="10"/>
  <c r="F2654" i="10" s="1"/>
  <c r="E2655" i="10"/>
  <c r="F2655" i="10" s="1"/>
  <c r="E2656" i="10"/>
  <c r="F2656" i="10" s="1"/>
  <c r="E2657" i="10"/>
  <c r="F2657" i="10" s="1"/>
  <c r="E2658" i="10"/>
  <c r="F2658" i="10" s="1"/>
  <c r="E2659" i="10"/>
  <c r="F2659" i="10" s="1"/>
  <c r="E2660" i="10"/>
  <c r="F2660" i="10" s="1"/>
  <c r="E2607" i="10"/>
  <c r="F2607" i="10" s="1"/>
  <c r="E2608" i="10"/>
  <c r="F2608" i="10" s="1"/>
  <c r="E2609" i="10"/>
  <c r="F2609" i="10" s="1"/>
  <c r="E2610" i="10"/>
  <c r="F2610" i="10" s="1"/>
  <c r="E2611" i="10"/>
  <c r="F2611" i="10" s="1"/>
  <c r="E2612" i="10"/>
  <c r="F2612" i="10" s="1"/>
  <c r="E2613" i="10"/>
  <c r="F2613" i="10" s="1"/>
  <c r="E2614" i="10"/>
  <c r="F2614" i="10" s="1"/>
  <c r="E2615" i="10"/>
  <c r="F2615" i="10" s="1"/>
  <c r="E2616" i="10"/>
  <c r="F2616" i="10" s="1"/>
  <c r="E2617" i="10"/>
  <c r="F2617" i="10" s="1"/>
  <c r="E2618" i="10"/>
  <c r="F2618" i="10" s="1"/>
  <c r="E2619" i="10"/>
  <c r="F2619" i="10" s="1"/>
  <c r="E2620" i="10"/>
  <c r="F2620" i="10" s="1"/>
  <c r="E2621" i="10"/>
  <c r="F2621" i="10" s="1"/>
  <c r="E2622" i="10"/>
  <c r="F2622" i="10" s="1"/>
  <c r="E2569" i="10"/>
  <c r="F2569" i="10" s="1"/>
  <c r="E2570" i="10"/>
  <c r="F2570" i="10" s="1"/>
  <c r="E2571" i="10"/>
  <c r="F2571" i="10" s="1"/>
  <c r="E2572" i="10"/>
  <c r="F2572" i="10" s="1"/>
  <c r="E2573" i="10"/>
  <c r="F2573" i="10" s="1"/>
  <c r="E2574" i="10"/>
  <c r="F2574" i="10" s="1"/>
  <c r="E2575" i="10"/>
  <c r="F2575" i="10" s="1"/>
  <c r="E2576" i="10"/>
  <c r="F2576" i="10" s="1"/>
  <c r="E2577" i="10"/>
  <c r="F2577" i="10" s="1"/>
  <c r="E2578" i="10"/>
  <c r="F2578" i="10" s="1"/>
  <c r="E2579" i="10"/>
  <c r="F2579" i="10" s="1"/>
  <c r="E2580" i="10"/>
  <c r="F2580" i="10" s="1"/>
  <c r="E2581" i="10"/>
  <c r="F2581" i="10" s="1"/>
  <c r="E2582" i="10"/>
  <c r="F2582" i="10" s="1"/>
  <c r="E2583" i="10"/>
  <c r="F2583" i="10" s="1"/>
  <c r="E2584" i="10"/>
  <c r="F2584" i="10" s="1"/>
  <c r="E2531" i="10"/>
  <c r="F2531" i="10" s="1"/>
  <c r="E2532" i="10"/>
  <c r="F2532" i="10" s="1"/>
  <c r="E2533" i="10"/>
  <c r="F2533" i="10" s="1"/>
  <c r="E2534" i="10"/>
  <c r="F2534" i="10" s="1"/>
  <c r="E2535" i="10"/>
  <c r="F2535" i="10" s="1"/>
  <c r="E2536" i="10"/>
  <c r="F2536" i="10" s="1"/>
  <c r="E2537" i="10"/>
  <c r="F2537" i="10" s="1"/>
  <c r="E2538" i="10"/>
  <c r="F2538" i="10" s="1"/>
  <c r="E2539" i="10"/>
  <c r="F2539" i="10" s="1"/>
  <c r="E2540" i="10"/>
  <c r="F2540" i="10" s="1"/>
  <c r="E2541" i="10"/>
  <c r="F2541" i="10" s="1"/>
  <c r="E2542" i="10"/>
  <c r="F2542" i="10" s="1"/>
  <c r="E2543" i="10"/>
  <c r="F2543" i="10" s="1"/>
  <c r="E2544" i="10"/>
  <c r="F2544" i="10" s="1"/>
  <c r="E2545" i="10"/>
  <c r="F2545" i="10" s="1"/>
  <c r="E2546" i="10"/>
  <c r="F2546" i="10" s="1"/>
  <c r="E2493" i="10"/>
  <c r="F2493" i="10" s="1"/>
  <c r="E2494" i="10"/>
  <c r="F2494" i="10" s="1"/>
  <c r="E2495" i="10"/>
  <c r="F2495" i="10" s="1"/>
  <c r="E2496" i="10"/>
  <c r="F2496" i="10" s="1"/>
  <c r="E2497" i="10"/>
  <c r="F2497" i="10" s="1"/>
  <c r="E2498" i="10"/>
  <c r="F2498" i="10" s="1"/>
  <c r="E2499" i="10"/>
  <c r="F2499" i="10" s="1"/>
  <c r="E2500" i="10"/>
  <c r="F2500" i="10" s="1"/>
  <c r="E2501" i="10"/>
  <c r="F2501" i="10" s="1"/>
  <c r="E2502" i="10"/>
  <c r="F2502" i="10" s="1"/>
  <c r="E2503" i="10"/>
  <c r="F2503" i="10" s="1"/>
  <c r="E2504" i="10"/>
  <c r="F2504" i="10" s="1"/>
  <c r="E2505" i="10"/>
  <c r="F2505" i="10" s="1"/>
  <c r="E2506" i="10"/>
  <c r="F2506" i="10" s="1"/>
  <c r="E2507" i="10"/>
  <c r="F2507" i="10" s="1"/>
  <c r="E2508" i="10"/>
  <c r="F2508" i="10" s="1"/>
  <c r="F2455" i="10"/>
  <c r="F2456" i="10"/>
  <c r="F2457" i="10"/>
  <c r="F2458" i="10"/>
  <c r="F2459" i="10"/>
  <c r="F2460" i="10"/>
  <c r="F2461" i="10"/>
  <c r="F2462" i="10"/>
  <c r="F2463" i="10"/>
  <c r="F2464" i="10"/>
  <c r="F2465" i="10"/>
  <c r="F2466" i="10"/>
  <c r="F2467" i="10"/>
  <c r="F2468" i="10"/>
  <c r="F2469" i="10"/>
  <c r="F2470" i="10"/>
  <c r="F2417" i="10"/>
  <c r="F2418" i="10"/>
  <c r="F2419" i="10"/>
  <c r="F2420" i="10"/>
  <c r="F2421" i="10"/>
  <c r="F2422" i="10"/>
  <c r="F2423" i="10"/>
  <c r="F2424" i="10"/>
  <c r="F2425" i="10"/>
  <c r="F2426" i="10"/>
  <c r="F2427" i="10"/>
  <c r="F2428" i="10"/>
  <c r="F2429" i="10"/>
  <c r="F2430" i="10"/>
  <c r="F2431" i="10"/>
  <c r="F2432" i="10"/>
  <c r="F2379" i="10"/>
  <c r="F2380" i="10"/>
  <c r="F2381" i="10"/>
  <c r="F2382" i="10"/>
  <c r="F2383" i="10"/>
  <c r="F2384" i="10"/>
  <c r="F2385" i="10"/>
  <c r="F2386" i="10"/>
  <c r="F2387" i="10"/>
  <c r="F2388" i="10"/>
  <c r="F2389" i="10"/>
  <c r="F2390" i="10"/>
  <c r="F2391" i="10"/>
  <c r="F2392" i="10"/>
  <c r="F2393" i="10"/>
  <c r="F2394" i="10"/>
  <c r="E2341" i="10"/>
  <c r="F2341" i="10" s="1"/>
  <c r="E2342" i="10"/>
  <c r="F2342" i="10" s="1"/>
  <c r="E2343" i="10"/>
  <c r="F2343" i="10" s="1"/>
  <c r="E2344" i="10"/>
  <c r="F2344" i="10" s="1"/>
  <c r="E2345" i="10"/>
  <c r="F2345" i="10" s="1"/>
  <c r="E2346" i="10"/>
  <c r="F2346" i="10" s="1"/>
  <c r="E2347" i="10"/>
  <c r="F2347" i="10" s="1"/>
  <c r="E2348" i="10"/>
  <c r="F2348" i="10" s="1"/>
  <c r="E2349" i="10"/>
  <c r="F2349" i="10" s="1"/>
  <c r="E2350" i="10"/>
  <c r="F2350" i="10" s="1"/>
  <c r="E2351" i="10"/>
  <c r="F2351" i="10" s="1"/>
  <c r="E2352" i="10"/>
  <c r="F2352" i="10" s="1"/>
  <c r="E2353" i="10"/>
  <c r="F2353" i="10" s="1"/>
  <c r="E2354" i="10"/>
  <c r="F2354" i="10" s="1"/>
  <c r="E2355" i="10"/>
  <c r="F2355" i="10" s="1"/>
  <c r="E2356" i="10"/>
  <c r="F2356" i="10" s="1"/>
  <c r="E2303" i="10"/>
  <c r="F2303" i="10" s="1"/>
  <c r="E2304" i="10"/>
  <c r="F2304" i="10" s="1"/>
  <c r="E2305" i="10"/>
  <c r="F2305" i="10" s="1"/>
  <c r="E2306" i="10"/>
  <c r="F2306" i="10" s="1"/>
  <c r="E2307" i="10"/>
  <c r="F2307" i="10" s="1"/>
  <c r="E2308" i="10"/>
  <c r="F2308" i="10" s="1"/>
  <c r="E2309" i="10"/>
  <c r="F2309" i="10" s="1"/>
  <c r="E2310" i="10"/>
  <c r="F2310" i="10" s="1"/>
  <c r="E2311" i="10"/>
  <c r="F2311" i="10" s="1"/>
  <c r="E2312" i="10"/>
  <c r="F2312" i="10" s="1"/>
  <c r="E2313" i="10"/>
  <c r="F2313" i="10" s="1"/>
  <c r="E2314" i="10"/>
  <c r="F2314" i="10" s="1"/>
  <c r="E2315" i="10"/>
  <c r="F2315" i="10" s="1"/>
  <c r="E2316" i="10"/>
  <c r="F2316" i="10" s="1"/>
  <c r="E2317" i="10"/>
  <c r="F2317" i="10" s="1"/>
  <c r="E2318" i="10"/>
  <c r="F2318" i="10" s="1"/>
  <c r="E2265" i="10"/>
  <c r="F2265" i="10" s="1"/>
  <c r="E2266" i="10"/>
  <c r="F2266" i="10" s="1"/>
  <c r="E2267" i="10"/>
  <c r="F2267" i="10" s="1"/>
  <c r="E2268" i="10"/>
  <c r="F2268" i="10" s="1"/>
  <c r="E2269" i="10"/>
  <c r="F2269" i="10" s="1"/>
  <c r="E2270" i="10"/>
  <c r="F2270" i="10" s="1"/>
  <c r="E2271" i="10"/>
  <c r="F2271" i="10" s="1"/>
  <c r="E2272" i="10"/>
  <c r="F2272" i="10" s="1"/>
  <c r="E2273" i="10"/>
  <c r="F2273" i="10" s="1"/>
  <c r="E2274" i="10"/>
  <c r="F2274" i="10" s="1"/>
  <c r="E2275" i="10"/>
  <c r="F2275" i="10" s="1"/>
  <c r="E2276" i="10"/>
  <c r="F2276" i="10" s="1"/>
  <c r="E2277" i="10"/>
  <c r="F2277" i="10" s="1"/>
  <c r="E2278" i="10"/>
  <c r="F2278" i="10" s="1"/>
  <c r="E2279" i="10"/>
  <c r="F2279" i="10" s="1"/>
  <c r="E2280" i="10"/>
  <c r="F2280" i="10" s="1"/>
  <c r="E2227" i="10"/>
  <c r="F2227" i="10" s="1"/>
  <c r="E2228" i="10"/>
  <c r="F2228" i="10" s="1"/>
  <c r="E2229" i="10"/>
  <c r="F2229" i="10" s="1"/>
  <c r="E2230" i="10"/>
  <c r="F2230" i="10" s="1"/>
  <c r="E2231" i="10"/>
  <c r="F2231" i="10" s="1"/>
  <c r="E2232" i="10"/>
  <c r="F2232" i="10" s="1"/>
  <c r="E2233" i="10"/>
  <c r="F2233" i="10" s="1"/>
  <c r="E2234" i="10"/>
  <c r="F2234" i="10" s="1"/>
  <c r="E2235" i="10"/>
  <c r="F2235" i="10" s="1"/>
  <c r="E2236" i="10"/>
  <c r="F2236" i="10" s="1"/>
  <c r="E2237" i="10"/>
  <c r="F2237" i="10" s="1"/>
  <c r="E2238" i="10"/>
  <c r="F2238" i="10" s="1"/>
  <c r="E2239" i="10"/>
  <c r="F2239" i="10" s="1"/>
  <c r="E2240" i="10"/>
  <c r="F2240" i="10" s="1"/>
  <c r="E2241" i="10"/>
  <c r="F2241" i="10" s="1"/>
  <c r="E2242" i="10"/>
  <c r="F2242" i="10" s="1"/>
  <c r="E2189" i="10"/>
  <c r="F2189" i="10" s="1"/>
  <c r="E2190" i="10"/>
  <c r="F2190" i="10" s="1"/>
  <c r="E2191" i="10"/>
  <c r="F2191" i="10" s="1"/>
  <c r="E2192" i="10"/>
  <c r="F2192" i="10" s="1"/>
  <c r="E2193" i="10"/>
  <c r="F2193" i="10" s="1"/>
  <c r="E2194" i="10"/>
  <c r="F2194" i="10" s="1"/>
  <c r="E2195" i="10"/>
  <c r="F2195" i="10" s="1"/>
  <c r="E2196" i="10"/>
  <c r="F2196" i="10" s="1"/>
  <c r="E2197" i="10"/>
  <c r="F2197" i="10" s="1"/>
  <c r="E2198" i="10"/>
  <c r="F2198" i="10" s="1"/>
  <c r="E2199" i="10"/>
  <c r="F2199" i="10" s="1"/>
  <c r="E2200" i="10"/>
  <c r="F2200" i="10" s="1"/>
  <c r="E2201" i="10"/>
  <c r="F2201" i="10" s="1"/>
  <c r="E2202" i="10"/>
  <c r="F2202" i="10" s="1"/>
  <c r="E2203" i="10"/>
  <c r="F2203" i="10" s="1"/>
  <c r="E2204" i="10"/>
  <c r="F2204" i="10" s="1"/>
  <c r="E2151" i="10"/>
  <c r="F2151" i="10" s="1"/>
  <c r="E2152" i="10"/>
  <c r="F2152" i="10" s="1"/>
  <c r="E2153" i="10"/>
  <c r="F2153" i="10" s="1"/>
  <c r="E2154" i="10"/>
  <c r="F2154" i="10" s="1"/>
  <c r="E2155" i="10"/>
  <c r="F2155" i="10" s="1"/>
  <c r="E2156" i="10"/>
  <c r="F2156" i="10" s="1"/>
  <c r="E2157" i="10"/>
  <c r="F2157" i="10" s="1"/>
  <c r="E2158" i="10"/>
  <c r="F2158" i="10" s="1"/>
  <c r="E2159" i="10"/>
  <c r="F2159" i="10" s="1"/>
  <c r="E2160" i="10"/>
  <c r="F2160" i="10" s="1"/>
  <c r="E2161" i="10"/>
  <c r="F2161" i="10" s="1"/>
  <c r="E2162" i="10"/>
  <c r="F2162" i="10" s="1"/>
  <c r="E2163" i="10"/>
  <c r="F2163" i="10" s="1"/>
  <c r="E2164" i="10"/>
  <c r="F2164" i="10" s="1"/>
  <c r="E2165" i="10"/>
  <c r="F2165" i="10" s="1"/>
  <c r="E2166" i="10"/>
  <c r="F2166" i="10" s="1"/>
  <c r="E2113" i="10"/>
  <c r="F2113" i="10" s="1"/>
  <c r="E2114" i="10"/>
  <c r="F2114" i="10" s="1"/>
  <c r="E2115" i="10"/>
  <c r="F2115" i="10" s="1"/>
  <c r="E2116" i="10"/>
  <c r="F2116" i="10" s="1"/>
  <c r="E2117" i="10"/>
  <c r="F2117" i="10" s="1"/>
  <c r="E2118" i="10"/>
  <c r="F2118" i="10" s="1"/>
  <c r="E2119" i="10"/>
  <c r="F2119" i="10" s="1"/>
  <c r="E2120" i="10"/>
  <c r="F2120" i="10" s="1"/>
  <c r="E2121" i="10"/>
  <c r="F2121" i="10" s="1"/>
  <c r="E2122" i="10"/>
  <c r="F2122" i="10" s="1"/>
  <c r="E2123" i="10"/>
  <c r="F2123" i="10" s="1"/>
  <c r="E2124" i="10"/>
  <c r="F2124" i="10" s="1"/>
  <c r="E2125" i="10"/>
  <c r="F2125" i="10" s="1"/>
  <c r="E2126" i="10"/>
  <c r="F2126" i="10" s="1"/>
  <c r="E2127" i="10"/>
  <c r="F2127" i="10" s="1"/>
  <c r="E2128" i="10"/>
  <c r="F2128" i="10" s="1"/>
  <c r="E2075" i="10"/>
  <c r="F2075" i="10" s="1"/>
  <c r="E2076" i="10"/>
  <c r="F2076" i="10" s="1"/>
  <c r="E2077" i="10"/>
  <c r="F2077" i="10" s="1"/>
  <c r="E2078" i="10"/>
  <c r="F2078" i="10" s="1"/>
  <c r="E2079" i="10"/>
  <c r="F2079" i="10" s="1"/>
  <c r="E2080" i="10"/>
  <c r="F2080" i="10" s="1"/>
  <c r="E2081" i="10"/>
  <c r="F2081" i="10" s="1"/>
  <c r="E2082" i="10"/>
  <c r="F2082" i="10" s="1"/>
  <c r="E2083" i="10"/>
  <c r="F2083" i="10" s="1"/>
  <c r="E2084" i="10"/>
  <c r="F2084" i="10" s="1"/>
  <c r="E2085" i="10"/>
  <c r="F2085" i="10" s="1"/>
  <c r="E2086" i="10"/>
  <c r="F2086" i="10" s="1"/>
  <c r="E2087" i="10"/>
  <c r="F2087" i="10" s="1"/>
  <c r="E2088" i="10"/>
  <c r="F2088" i="10" s="1"/>
  <c r="E2089" i="10"/>
  <c r="F2089" i="10" s="1"/>
  <c r="E2090" i="10"/>
  <c r="F2090" i="10" s="1"/>
  <c r="E2037" i="10"/>
  <c r="F2037" i="10" s="1"/>
  <c r="E2038" i="10"/>
  <c r="F2038" i="10" s="1"/>
  <c r="E2039" i="10"/>
  <c r="F2039" i="10" s="1"/>
  <c r="E2040" i="10"/>
  <c r="F2040" i="10" s="1"/>
  <c r="E2041" i="10"/>
  <c r="F2041" i="10" s="1"/>
  <c r="E2042" i="10"/>
  <c r="F2042" i="10" s="1"/>
  <c r="E2043" i="10"/>
  <c r="F2043" i="10" s="1"/>
  <c r="E2044" i="10"/>
  <c r="F2044" i="10" s="1"/>
  <c r="E2045" i="10"/>
  <c r="F2045" i="10" s="1"/>
  <c r="E2046" i="10"/>
  <c r="F2046" i="10" s="1"/>
  <c r="E2047" i="10"/>
  <c r="F2047" i="10" s="1"/>
  <c r="E2048" i="10"/>
  <c r="F2048" i="10" s="1"/>
  <c r="E2049" i="10"/>
  <c r="F2049" i="10" s="1"/>
  <c r="E2050" i="10"/>
  <c r="F2050" i="10" s="1"/>
  <c r="E2051" i="10"/>
  <c r="F2051" i="10" s="1"/>
  <c r="E2052" i="10"/>
  <c r="F2052" i="10" s="1"/>
  <c r="E1999" i="10"/>
  <c r="F1999" i="10" s="1"/>
  <c r="E2000" i="10"/>
  <c r="F2000" i="10" s="1"/>
  <c r="E2001" i="10"/>
  <c r="F2001" i="10" s="1"/>
  <c r="E2002" i="10"/>
  <c r="F2002" i="10" s="1"/>
  <c r="E2003" i="10"/>
  <c r="F2003" i="10" s="1"/>
  <c r="E2004" i="10"/>
  <c r="F2004" i="10" s="1"/>
  <c r="E2005" i="10"/>
  <c r="F2005" i="10" s="1"/>
  <c r="E2006" i="10"/>
  <c r="F2006" i="10" s="1"/>
  <c r="E2007" i="10"/>
  <c r="F2007" i="10" s="1"/>
  <c r="E2008" i="10"/>
  <c r="F2008" i="10" s="1"/>
  <c r="E2009" i="10"/>
  <c r="F2009" i="10" s="1"/>
  <c r="E2010" i="10"/>
  <c r="F2010" i="10" s="1"/>
  <c r="E2011" i="10"/>
  <c r="F2011" i="10" s="1"/>
  <c r="E2012" i="10"/>
  <c r="F2012" i="10" s="1"/>
  <c r="E2013" i="10"/>
  <c r="F2013" i="10" s="1"/>
  <c r="E2014" i="10"/>
  <c r="F2014" i="10" s="1"/>
  <c r="E1961" i="10"/>
  <c r="F1961" i="10" s="1"/>
  <c r="E1962" i="10"/>
  <c r="F1962" i="10" s="1"/>
  <c r="E1963" i="10"/>
  <c r="F1963" i="10" s="1"/>
  <c r="E1964" i="10"/>
  <c r="F1964" i="10" s="1"/>
  <c r="E1965" i="10"/>
  <c r="F1965" i="10" s="1"/>
  <c r="E1966" i="10"/>
  <c r="F1966" i="10" s="1"/>
  <c r="E1967" i="10"/>
  <c r="F1967" i="10" s="1"/>
  <c r="E1968" i="10"/>
  <c r="F1968" i="10" s="1"/>
  <c r="E1969" i="10"/>
  <c r="F1969" i="10" s="1"/>
  <c r="E1970" i="10"/>
  <c r="F1970" i="10" s="1"/>
  <c r="E1971" i="10"/>
  <c r="F1971" i="10" s="1"/>
  <c r="E1972" i="10"/>
  <c r="F1972" i="10" s="1"/>
  <c r="E1973" i="10"/>
  <c r="F1973" i="10" s="1"/>
  <c r="E1974" i="10"/>
  <c r="F1974" i="10" s="1"/>
  <c r="E1975" i="10"/>
  <c r="F1975" i="10" s="1"/>
  <c r="E1976" i="10"/>
  <c r="F1976" i="10" s="1"/>
  <c r="E1923" i="10"/>
  <c r="F1923" i="10" s="1"/>
  <c r="E1924" i="10"/>
  <c r="F1924" i="10" s="1"/>
  <c r="E1925" i="10"/>
  <c r="F1925" i="10" s="1"/>
  <c r="E1926" i="10"/>
  <c r="F1926" i="10" s="1"/>
  <c r="E1927" i="10"/>
  <c r="F1927" i="10" s="1"/>
  <c r="E1928" i="10"/>
  <c r="F1928" i="10" s="1"/>
  <c r="E1929" i="10"/>
  <c r="F1929" i="10" s="1"/>
  <c r="E1930" i="10"/>
  <c r="F1930" i="10" s="1"/>
  <c r="E1931" i="10"/>
  <c r="F1931" i="10" s="1"/>
  <c r="E1932" i="10"/>
  <c r="F1932" i="10" s="1"/>
  <c r="E1933" i="10"/>
  <c r="F1933" i="10" s="1"/>
  <c r="E1934" i="10"/>
  <c r="F1934" i="10" s="1"/>
  <c r="E1935" i="10"/>
  <c r="F1935" i="10" s="1"/>
  <c r="E1936" i="10"/>
  <c r="F1936" i="10" s="1"/>
  <c r="E1937" i="10"/>
  <c r="F1937" i="10" s="1"/>
  <c r="E1938" i="10"/>
  <c r="F1938" i="10" s="1"/>
  <c r="E1885" i="10"/>
  <c r="F1885" i="10" s="1"/>
  <c r="E1886" i="10"/>
  <c r="F1886" i="10" s="1"/>
  <c r="E1887" i="10"/>
  <c r="F1887" i="10" s="1"/>
  <c r="E1888" i="10"/>
  <c r="F1888" i="10" s="1"/>
  <c r="E1889" i="10"/>
  <c r="F1889" i="10" s="1"/>
  <c r="E1890" i="10"/>
  <c r="F1890" i="10" s="1"/>
  <c r="E1891" i="10"/>
  <c r="F1891" i="10" s="1"/>
  <c r="E1892" i="10"/>
  <c r="F1892" i="10" s="1"/>
  <c r="E1893" i="10"/>
  <c r="F1893" i="10" s="1"/>
  <c r="E1894" i="10"/>
  <c r="F1894" i="10" s="1"/>
  <c r="E1895" i="10"/>
  <c r="F1895" i="10" s="1"/>
  <c r="E1896" i="10"/>
  <c r="F1896" i="10" s="1"/>
  <c r="E1897" i="10"/>
  <c r="F1897" i="10" s="1"/>
  <c r="E1898" i="10"/>
  <c r="F1898" i="10" s="1"/>
  <c r="E1899" i="10"/>
  <c r="F1899" i="10" s="1"/>
  <c r="E1900" i="10"/>
  <c r="F1900" i="10" s="1"/>
  <c r="E1847" i="10"/>
  <c r="F1847" i="10" s="1"/>
  <c r="E1848" i="10"/>
  <c r="F1848" i="10" s="1"/>
  <c r="E1849" i="10"/>
  <c r="F1849" i="10" s="1"/>
  <c r="E1850" i="10"/>
  <c r="F1850" i="10" s="1"/>
  <c r="E1851" i="10"/>
  <c r="F1851" i="10" s="1"/>
  <c r="E1852" i="10"/>
  <c r="F1852" i="10" s="1"/>
  <c r="E1853" i="10"/>
  <c r="F1853" i="10" s="1"/>
  <c r="E1854" i="10"/>
  <c r="F1854" i="10" s="1"/>
  <c r="E1855" i="10"/>
  <c r="F1855" i="10" s="1"/>
  <c r="E1856" i="10"/>
  <c r="F1856" i="10" s="1"/>
  <c r="E1857" i="10"/>
  <c r="F1857" i="10" s="1"/>
  <c r="E1858" i="10"/>
  <c r="F1858" i="10" s="1"/>
  <c r="E1859" i="10"/>
  <c r="F1859" i="10" s="1"/>
  <c r="E1860" i="10"/>
  <c r="F1860" i="10" s="1"/>
  <c r="E1861" i="10"/>
  <c r="F1861" i="10" s="1"/>
  <c r="E1862" i="10"/>
  <c r="F1862" i="10" s="1"/>
  <c r="E1809" i="10"/>
  <c r="F1809" i="10" s="1"/>
  <c r="E1810" i="10"/>
  <c r="F1810" i="10" s="1"/>
  <c r="E1811" i="10"/>
  <c r="F1811" i="10" s="1"/>
  <c r="E1812" i="10"/>
  <c r="F1812" i="10" s="1"/>
  <c r="E1813" i="10"/>
  <c r="F1813" i="10" s="1"/>
  <c r="E1814" i="10"/>
  <c r="F1814" i="10" s="1"/>
  <c r="E1815" i="10"/>
  <c r="F1815" i="10" s="1"/>
  <c r="E1816" i="10"/>
  <c r="F1816" i="10" s="1"/>
  <c r="E1817" i="10"/>
  <c r="F1817" i="10" s="1"/>
  <c r="E1818" i="10"/>
  <c r="F1818" i="10" s="1"/>
  <c r="E1819" i="10"/>
  <c r="F1819" i="10" s="1"/>
  <c r="E1820" i="10"/>
  <c r="F1820" i="10" s="1"/>
  <c r="E1821" i="10"/>
  <c r="F1821" i="10" s="1"/>
  <c r="E1822" i="10"/>
  <c r="F1822" i="10" s="1"/>
  <c r="E1823" i="10"/>
  <c r="F1823" i="10" s="1"/>
  <c r="E1824" i="10"/>
  <c r="F1824" i="10" s="1"/>
  <c r="E1771" i="10"/>
  <c r="F1771" i="10" s="1"/>
  <c r="E1772" i="10"/>
  <c r="F1772" i="10" s="1"/>
  <c r="E1773" i="10"/>
  <c r="F1773" i="10" s="1"/>
  <c r="E1774" i="10"/>
  <c r="F1774" i="10" s="1"/>
  <c r="E1775" i="10"/>
  <c r="F1775" i="10" s="1"/>
  <c r="E1776" i="10"/>
  <c r="F1776" i="10" s="1"/>
  <c r="E1777" i="10"/>
  <c r="F1777" i="10" s="1"/>
  <c r="E1778" i="10"/>
  <c r="F1778" i="10" s="1"/>
  <c r="E1779" i="10"/>
  <c r="F1779" i="10" s="1"/>
  <c r="E1780" i="10"/>
  <c r="F1780" i="10" s="1"/>
  <c r="E1781" i="10"/>
  <c r="F1781" i="10" s="1"/>
  <c r="E1782" i="10"/>
  <c r="F1782" i="10" s="1"/>
  <c r="E1783" i="10"/>
  <c r="F1783" i="10" s="1"/>
  <c r="E1784" i="10"/>
  <c r="F1784" i="10" s="1"/>
  <c r="E1785" i="10"/>
  <c r="F1785" i="10" s="1"/>
  <c r="E1786" i="10"/>
  <c r="F1786" i="10" s="1"/>
  <c r="E1733" i="10"/>
  <c r="F1733" i="10" s="1"/>
  <c r="E1734" i="10"/>
  <c r="F1734" i="10" s="1"/>
  <c r="E1735" i="10"/>
  <c r="F1735" i="10" s="1"/>
  <c r="E1736" i="10"/>
  <c r="F1736" i="10" s="1"/>
  <c r="E1737" i="10"/>
  <c r="F1737" i="10" s="1"/>
  <c r="E1738" i="10"/>
  <c r="F1738" i="10" s="1"/>
  <c r="E1739" i="10"/>
  <c r="F1739" i="10" s="1"/>
  <c r="E1740" i="10"/>
  <c r="F1740" i="10" s="1"/>
  <c r="E1741" i="10"/>
  <c r="F1741" i="10" s="1"/>
  <c r="E1742" i="10"/>
  <c r="F1742" i="10" s="1"/>
  <c r="E1743" i="10"/>
  <c r="F1743" i="10" s="1"/>
  <c r="E1744" i="10"/>
  <c r="F1744" i="10" s="1"/>
  <c r="E1745" i="10"/>
  <c r="F1745" i="10" s="1"/>
  <c r="E1746" i="10"/>
  <c r="F1746" i="10" s="1"/>
  <c r="E1747" i="10"/>
  <c r="F1747" i="10" s="1"/>
  <c r="E1748" i="10"/>
  <c r="F1748" i="10" s="1"/>
  <c r="E1695" i="10"/>
  <c r="F1695" i="10" s="1"/>
  <c r="E1696" i="10"/>
  <c r="F1696" i="10" s="1"/>
  <c r="E1697" i="10"/>
  <c r="F1697" i="10" s="1"/>
  <c r="E1698" i="10"/>
  <c r="F1698" i="10" s="1"/>
  <c r="E1699" i="10"/>
  <c r="F1699" i="10" s="1"/>
  <c r="E1700" i="10"/>
  <c r="F1700" i="10" s="1"/>
  <c r="E1701" i="10"/>
  <c r="F1701" i="10" s="1"/>
  <c r="E1702" i="10"/>
  <c r="F1702" i="10" s="1"/>
  <c r="E1703" i="10"/>
  <c r="F1703" i="10" s="1"/>
  <c r="E1704" i="10"/>
  <c r="F1704" i="10" s="1"/>
  <c r="E1705" i="10"/>
  <c r="F1705" i="10" s="1"/>
  <c r="E1706" i="10"/>
  <c r="F1706" i="10" s="1"/>
  <c r="E1707" i="10"/>
  <c r="F1707" i="10" s="1"/>
  <c r="E1708" i="10"/>
  <c r="F1708" i="10" s="1"/>
  <c r="E1709" i="10"/>
  <c r="F1709" i="10" s="1"/>
  <c r="E1710" i="10"/>
  <c r="F1710" i="10" s="1"/>
  <c r="E1657" i="10"/>
  <c r="F1657" i="10" s="1"/>
  <c r="E1658" i="10"/>
  <c r="F1658" i="10" s="1"/>
  <c r="E1659" i="10"/>
  <c r="F1659" i="10" s="1"/>
  <c r="E1660" i="10"/>
  <c r="F1660" i="10" s="1"/>
  <c r="E1661" i="10"/>
  <c r="F1661" i="10" s="1"/>
  <c r="E1662" i="10"/>
  <c r="F1662" i="10" s="1"/>
  <c r="E1663" i="10"/>
  <c r="F1663" i="10" s="1"/>
  <c r="E1664" i="10"/>
  <c r="F1664" i="10" s="1"/>
  <c r="E1665" i="10"/>
  <c r="F1665" i="10" s="1"/>
  <c r="E1666" i="10"/>
  <c r="F1666" i="10" s="1"/>
  <c r="E1667" i="10"/>
  <c r="F1667" i="10" s="1"/>
  <c r="E1668" i="10"/>
  <c r="F1668" i="10" s="1"/>
  <c r="E1669" i="10"/>
  <c r="F1669" i="10" s="1"/>
  <c r="E1670" i="10"/>
  <c r="F1670" i="10" s="1"/>
  <c r="E1671" i="10"/>
  <c r="F1671" i="10" s="1"/>
  <c r="E1672" i="10"/>
  <c r="F1672" i="10" s="1"/>
  <c r="E1619" i="10"/>
  <c r="F1619" i="10" s="1"/>
  <c r="E1620" i="10"/>
  <c r="F1620" i="10" s="1"/>
  <c r="E1621" i="10"/>
  <c r="F1621" i="10" s="1"/>
  <c r="E1622" i="10"/>
  <c r="F1622" i="10" s="1"/>
  <c r="E1623" i="10"/>
  <c r="F1623" i="10" s="1"/>
  <c r="E1624" i="10"/>
  <c r="F1624" i="10" s="1"/>
  <c r="E1625" i="10"/>
  <c r="F1625" i="10" s="1"/>
  <c r="E1626" i="10"/>
  <c r="F1626" i="10" s="1"/>
  <c r="E1627" i="10"/>
  <c r="F1627" i="10" s="1"/>
  <c r="E1628" i="10"/>
  <c r="F1628" i="10" s="1"/>
  <c r="E1629" i="10"/>
  <c r="F1629" i="10" s="1"/>
  <c r="E1630" i="10"/>
  <c r="F1630" i="10" s="1"/>
  <c r="E1631" i="10"/>
  <c r="F1631" i="10" s="1"/>
  <c r="E1632" i="10"/>
  <c r="F1632" i="10" s="1"/>
  <c r="E1633" i="10"/>
  <c r="F1633" i="10" s="1"/>
  <c r="E1634" i="10"/>
  <c r="F1634" i="10" s="1"/>
  <c r="E1581" i="10"/>
  <c r="F1581" i="10" s="1"/>
  <c r="E1582" i="10"/>
  <c r="F1582" i="10" s="1"/>
  <c r="E1583" i="10"/>
  <c r="F1583" i="10" s="1"/>
  <c r="E1584" i="10"/>
  <c r="F1584" i="10" s="1"/>
  <c r="E1585" i="10"/>
  <c r="F1585" i="10" s="1"/>
  <c r="E1586" i="10"/>
  <c r="F1586" i="10" s="1"/>
  <c r="E1587" i="10"/>
  <c r="F1587" i="10" s="1"/>
  <c r="E1588" i="10"/>
  <c r="F1588" i="10" s="1"/>
  <c r="E1589" i="10"/>
  <c r="F1589" i="10" s="1"/>
  <c r="E1590" i="10"/>
  <c r="F1590" i="10" s="1"/>
  <c r="E1591" i="10"/>
  <c r="F1591" i="10" s="1"/>
  <c r="E1592" i="10"/>
  <c r="F1592" i="10" s="1"/>
  <c r="E1593" i="10"/>
  <c r="F1593" i="10" s="1"/>
  <c r="E1594" i="10"/>
  <c r="F1594" i="10" s="1"/>
  <c r="E1595" i="10"/>
  <c r="F1595" i="10" s="1"/>
  <c r="E1596" i="10"/>
  <c r="F1596" i="10" s="1"/>
  <c r="E1543" i="10"/>
  <c r="F1543" i="10" s="1"/>
  <c r="E1544" i="10"/>
  <c r="F1544" i="10" s="1"/>
  <c r="E1545" i="10"/>
  <c r="F1545" i="10" s="1"/>
  <c r="E1546" i="10"/>
  <c r="F1546" i="10" s="1"/>
  <c r="E1547" i="10"/>
  <c r="F1547" i="10" s="1"/>
  <c r="E1548" i="10"/>
  <c r="F1548" i="10" s="1"/>
  <c r="E1549" i="10"/>
  <c r="F1549" i="10" s="1"/>
  <c r="E1550" i="10"/>
  <c r="F1550" i="10" s="1"/>
  <c r="E1551" i="10"/>
  <c r="F1551" i="10" s="1"/>
  <c r="E1552" i="10"/>
  <c r="F1552" i="10" s="1"/>
  <c r="E1553" i="10"/>
  <c r="F1553" i="10" s="1"/>
  <c r="E1554" i="10"/>
  <c r="F1554" i="10" s="1"/>
  <c r="E1555" i="10"/>
  <c r="F1555" i="10" s="1"/>
  <c r="E1556" i="10"/>
  <c r="F1556" i="10" s="1"/>
  <c r="E1557" i="10"/>
  <c r="F1557" i="10" s="1"/>
  <c r="E1558" i="10"/>
  <c r="F1558" i="10" s="1"/>
  <c r="E1505" i="10"/>
  <c r="F1505" i="10" s="1"/>
  <c r="E1506" i="10"/>
  <c r="F1506" i="10" s="1"/>
  <c r="E1507" i="10"/>
  <c r="F1507" i="10" s="1"/>
  <c r="E1508" i="10"/>
  <c r="F1508" i="10" s="1"/>
  <c r="E1509" i="10"/>
  <c r="F1509" i="10" s="1"/>
  <c r="E1510" i="10"/>
  <c r="F1510" i="10" s="1"/>
  <c r="E1511" i="10"/>
  <c r="F1511" i="10" s="1"/>
  <c r="E1512" i="10"/>
  <c r="F1512" i="10" s="1"/>
  <c r="E1513" i="10"/>
  <c r="F1513" i="10" s="1"/>
  <c r="E1514" i="10"/>
  <c r="F1514" i="10" s="1"/>
  <c r="E1515" i="10"/>
  <c r="F1515" i="10" s="1"/>
  <c r="E1516" i="10"/>
  <c r="F1516" i="10" s="1"/>
  <c r="E1517" i="10"/>
  <c r="F1517" i="10" s="1"/>
  <c r="E1518" i="10"/>
  <c r="F1518" i="10" s="1"/>
  <c r="E1519" i="10"/>
  <c r="F1519" i="10" s="1"/>
  <c r="E1520" i="10"/>
  <c r="F1520" i="10" s="1"/>
  <c r="E1467" i="10"/>
  <c r="F1467" i="10" s="1"/>
  <c r="E1468" i="10"/>
  <c r="F1468" i="10" s="1"/>
  <c r="E1469" i="10"/>
  <c r="F1469" i="10" s="1"/>
  <c r="E1470" i="10"/>
  <c r="F1470" i="10" s="1"/>
  <c r="E1471" i="10"/>
  <c r="F1471" i="10" s="1"/>
  <c r="E1472" i="10"/>
  <c r="F1472" i="10" s="1"/>
  <c r="E1473" i="10"/>
  <c r="F1473" i="10" s="1"/>
  <c r="E1474" i="10"/>
  <c r="F1474" i="10" s="1"/>
  <c r="E1475" i="10"/>
  <c r="F1475" i="10" s="1"/>
  <c r="E1476" i="10"/>
  <c r="F1476" i="10" s="1"/>
  <c r="E1477" i="10"/>
  <c r="F1477" i="10" s="1"/>
  <c r="E1478" i="10"/>
  <c r="F1478" i="10" s="1"/>
  <c r="E1479" i="10"/>
  <c r="F1479" i="10" s="1"/>
  <c r="E1480" i="10"/>
  <c r="F1480" i="10" s="1"/>
  <c r="E1481" i="10"/>
  <c r="F1481" i="10" s="1"/>
  <c r="E1482" i="10"/>
  <c r="F1482" i="10" s="1"/>
  <c r="E1429" i="10"/>
  <c r="F1429" i="10" s="1"/>
  <c r="E1430" i="10"/>
  <c r="F1430" i="10" s="1"/>
  <c r="E1431" i="10"/>
  <c r="F1431" i="10" s="1"/>
  <c r="E1432" i="10"/>
  <c r="F1432" i="10" s="1"/>
  <c r="E1433" i="10"/>
  <c r="F1433" i="10" s="1"/>
  <c r="E1434" i="10"/>
  <c r="F1434" i="10" s="1"/>
  <c r="E1435" i="10"/>
  <c r="F1435" i="10" s="1"/>
  <c r="E1436" i="10"/>
  <c r="F1436" i="10" s="1"/>
  <c r="E1437" i="10"/>
  <c r="F1437" i="10" s="1"/>
  <c r="E1438" i="10"/>
  <c r="F1438" i="10" s="1"/>
  <c r="E1439" i="10"/>
  <c r="F1439" i="10" s="1"/>
  <c r="E1440" i="10"/>
  <c r="F1440" i="10" s="1"/>
  <c r="E1441" i="10"/>
  <c r="F1441" i="10" s="1"/>
  <c r="E1442" i="10"/>
  <c r="F1442" i="10" s="1"/>
  <c r="E1443" i="10"/>
  <c r="F1443" i="10" s="1"/>
  <c r="E1444" i="10"/>
  <c r="F1444" i="10" s="1"/>
  <c r="E1391" i="10"/>
  <c r="F1391" i="10" s="1"/>
  <c r="E1392" i="10"/>
  <c r="F1392" i="10" s="1"/>
  <c r="E1393" i="10"/>
  <c r="F1393" i="10" s="1"/>
  <c r="E1394" i="10"/>
  <c r="F1394" i="10" s="1"/>
  <c r="E1395" i="10"/>
  <c r="F1395" i="10" s="1"/>
  <c r="E1396" i="10"/>
  <c r="F1396" i="10" s="1"/>
  <c r="E1397" i="10"/>
  <c r="F1397" i="10" s="1"/>
  <c r="E1398" i="10"/>
  <c r="F1398" i="10" s="1"/>
  <c r="E1399" i="10"/>
  <c r="F1399" i="10" s="1"/>
  <c r="E1400" i="10"/>
  <c r="F1400" i="10" s="1"/>
  <c r="E1401" i="10"/>
  <c r="F1401" i="10" s="1"/>
  <c r="E1402" i="10"/>
  <c r="F1402" i="10" s="1"/>
  <c r="E1403" i="10"/>
  <c r="F1403" i="10" s="1"/>
  <c r="E1404" i="10"/>
  <c r="F1404" i="10" s="1"/>
  <c r="E1405" i="10"/>
  <c r="F1405" i="10" s="1"/>
  <c r="E1406" i="10"/>
  <c r="F1406" i="10" s="1"/>
  <c r="E1353" i="10"/>
  <c r="F1353" i="10" s="1"/>
  <c r="E1354" i="10"/>
  <c r="F1354" i="10" s="1"/>
  <c r="E1355" i="10"/>
  <c r="F1355" i="10" s="1"/>
  <c r="E1356" i="10"/>
  <c r="F1356" i="10" s="1"/>
  <c r="E1357" i="10"/>
  <c r="F1357" i="10" s="1"/>
  <c r="E1358" i="10"/>
  <c r="F1358" i="10" s="1"/>
  <c r="E1359" i="10"/>
  <c r="F1359" i="10" s="1"/>
  <c r="E1360" i="10"/>
  <c r="F1360" i="10" s="1"/>
  <c r="E1361" i="10"/>
  <c r="F1361" i="10" s="1"/>
  <c r="E1362" i="10"/>
  <c r="F1362" i="10" s="1"/>
  <c r="E1363" i="10"/>
  <c r="F1363" i="10" s="1"/>
  <c r="E1364" i="10"/>
  <c r="F1364" i="10" s="1"/>
  <c r="E1365" i="10"/>
  <c r="F1365" i="10" s="1"/>
  <c r="E1366" i="10"/>
  <c r="F1366" i="10" s="1"/>
  <c r="E1367" i="10"/>
  <c r="F1367" i="10" s="1"/>
  <c r="E1368" i="10"/>
  <c r="F1368" i="10" s="1"/>
  <c r="E1315" i="10"/>
  <c r="F1315" i="10" s="1"/>
  <c r="E1316" i="10"/>
  <c r="F1316" i="10" s="1"/>
  <c r="E1317" i="10"/>
  <c r="F1317" i="10" s="1"/>
  <c r="E1318" i="10"/>
  <c r="F1318" i="10" s="1"/>
  <c r="E1319" i="10"/>
  <c r="F1319" i="10" s="1"/>
  <c r="E1320" i="10"/>
  <c r="F1320" i="10" s="1"/>
  <c r="E1321" i="10"/>
  <c r="F1321" i="10" s="1"/>
  <c r="E1322" i="10"/>
  <c r="F1322" i="10" s="1"/>
  <c r="E1323" i="10"/>
  <c r="F1323" i="10" s="1"/>
  <c r="E1324" i="10"/>
  <c r="F1324" i="10" s="1"/>
  <c r="E1325" i="10"/>
  <c r="F1325" i="10" s="1"/>
  <c r="E1326" i="10"/>
  <c r="F1326" i="10" s="1"/>
  <c r="E1327" i="10"/>
  <c r="F1327" i="10" s="1"/>
  <c r="E1328" i="10"/>
  <c r="F1328" i="10" s="1"/>
  <c r="E1329" i="10"/>
  <c r="F1329" i="10" s="1"/>
  <c r="E1330" i="10"/>
  <c r="F1330" i="10" s="1"/>
  <c r="E1277" i="10"/>
  <c r="F1277" i="10" s="1"/>
  <c r="E1278" i="10"/>
  <c r="F1278" i="10" s="1"/>
  <c r="E1279" i="10"/>
  <c r="F1279" i="10" s="1"/>
  <c r="E1280" i="10"/>
  <c r="F1280" i="10" s="1"/>
  <c r="E1281" i="10"/>
  <c r="F1281" i="10" s="1"/>
  <c r="E1282" i="10"/>
  <c r="F1282" i="10" s="1"/>
  <c r="E1283" i="10"/>
  <c r="F1283" i="10" s="1"/>
  <c r="E1284" i="10"/>
  <c r="F1284" i="10" s="1"/>
  <c r="E1285" i="10"/>
  <c r="F1285" i="10" s="1"/>
  <c r="E1286" i="10"/>
  <c r="F1286" i="10" s="1"/>
  <c r="E1287" i="10"/>
  <c r="F1287" i="10" s="1"/>
  <c r="E1288" i="10"/>
  <c r="F1288" i="10" s="1"/>
  <c r="E1289" i="10"/>
  <c r="F1289" i="10" s="1"/>
  <c r="E1290" i="10"/>
  <c r="F1290" i="10" s="1"/>
  <c r="E1291" i="10"/>
  <c r="F1291" i="10" s="1"/>
  <c r="E1292" i="10"/>
  <c r="F1292" i="10" s="1"/>
  <c r="E1239" i="10"/>
  <c r="F1239" i="10" s="1"/>
  <c r="E1240" i="10"/>
  <c r="F1240" i="10" s="1"/>
  <c r="E1241" i="10"/>
  <c r="F1241" i="10" s="1"/>
  <c r="E1242" i="10"/>
  <c r="F1242" i="10" s="1"/>
  <c r="E1243" i="10"/>
  <c r="F1243" i="10" s="1"/>
  <c r="E1244" i="10"/>
  <c r="F1244" i="10" s="1"/>
  <c r="E1245" i="10"/>
  <c r="F1245" i="10" s="1"/>
  <c r="E1246" i="10"/>
  <c r="F1246" i="10" s="1"/>
  <c r="E1247" i="10"/>
  <c r="F1247" i="10" s="1"/>
  <c r="E1248" i="10"/>
  <c r="F1248" i="10" s="1"/>
  <c r="E1249" i="10"/>
  <c r="F1249" i="10" s="1"/>
  <c r="E1250" i="10"/>
  <c r="F1250" i="10" s="1"/>
  <c r="E1251" i="10"/>
  <c r="F1251" i="10" s="1"/>
  <c r="E1252" i="10"/>
  <c r="F1252" i="10" s="1"/>
  <c r="E1253" i="10"/>
  <c r="F1253" i="10" s="1"/>
  <c r="E1254" i="10"/>
  <c r="F1254" i="10" s="1"/>
  <c r="E1201" i="10"/>
  <c r="F1201" i="10" s="1"/>
  <c r="E1202" i="10"/>
  <c r="F1202" i="10" s="1"/>
  <c r="E1203" i="10"/>
  <c r="F1203" i="10" s="1"/>
  <c r="E1204" i="10"/>
  <c r="F1204" i="10" s="1"/>
  <c r="E1205" i="10"/>
  <c r="F1205" i="10" s="1"/>
  <c r="E1206" i="10"/>
  <c r="F1206" i="10" s="1"/>
  <c r="E1207" i="10"/>
  <c r="F1207" i="10" s="1"/>
  <c r="E1208" i="10"/>
  <c r="F1208" i="10" s="1"/>
  <c r="E1209" i="10"/>
  <c r="F1209" i="10" s="1"/>
  <c r="E1210" i="10"/>
  <c r="F1210" i="10" s="1"/>
  <c r="E1211" i="10"/>
  <c r="F1211" i="10" s="1"/>
  <c r="E1212" i="10"/>
  <c r="F1212" i="10" s="1"/>
  <c r="E1213" i="10"/>
  <c r="F1213" i="10" s="1"/>
  <c r="E1214" i="10"/>
  <c r="F1214" i="10" s="1"/>
  <c r="E1215" i="10"/>
  <c r="F1215" i="10" s="1"/>
  <c r="E1216" i="10"/>
  <c r="F1216" i="10" s="1"/>
  <c r="E1163" i="10"/>
  <c r="F1163" i="10" s="1"/>
  <c r="E1164" i="10"/>
  <c r="F1164" i="10" s="1"/>
  <c r="E1165" i="10"/>
  <c r="F1165" i="10" s="1"/>
  <c r="E1166" i="10"/>
  <c r="F1166" i="10" s="1"/>
  <c r="E1167" i="10"/>
  <c r="F1167" i="10" s="1"/>
  <c r="E1168" i="10"/>
  <c r="F1168" i="10" s="1"/>
  <c r="E1169" i="10"/>
  <c r="F1169" i="10" s="1"/>
  <c r="E1170" i="10"/>
  <c r="F1170" i="10" s="1"/>
  <c r="E1171" i="10"/>
  <c r="F1171" i="10" s="1"/>
  <c r="E1172" i="10"/>
  <c r="F1172" i="10" s="1"/>
  <c r="E1173" i="10"/>
  <c r="F1173" i="10" s="1"/>
  <c r="E1174" i="10"/>
  <c r="F1174" i="10" s="1"/>
  <c r="E1175" i="10"/>
  <c r="F1175" i="10" s="1"/>
  <c r="E1176" i="10"/>
  <c r="F1176" i="10" s="1"/>
  <c r="E1177" i="10"/>
  <c r="F1177" i="10" s="1"/>
  <c r="E1178" i="10"/>
  <c r="F1178" i="10" s="1"/>
  <c r="E1125" i="10"/>
  <c r="F1125" i="10" s="1"/>
  <c r="E1126" i="10"/>
  <c r="F1126" i="10" s="1"/>
  <c r="E1127" i="10"/>
  <c r="F1127" i="10" s="1"/>
  <c r="E1128" i="10"/>
  <c r="F1128" i="10" s="1"/>
  <c r="E1129" i="10"/>
  <c r="F1129" i="10" s="1"/>
  <c r="E1130" i="10"/>
  <c r="F1130" i="10" s="1"/>
  <c r="E1131" i="10"/>
  <c r="F1131" i="10" s="1"/>
  <c r="E1132" i="10"/>
  <c r="F1132" i="10" s="1"/>
  <c r="E1133" i="10"/>
  <c r="F1133" i="10" s="1"/>
  <c r="E1134" i="10"/>
  <c r="F1134" i="10" s="1"/>
  <c r="E1135" i="10"/>
  <c r="F1135" i="10" s="1"/>
  <c r="E1136" i="10"/>
  <c r="F1136" i="10" s="1"/>
  <c r="E1137" i="10"/>
  <c r="F1137" i="10" s="1"/>
  <c r="E1138" i="10"/>
  <c r="F1138" i="10" s="1"/>
  <c r="E1139" i="10"/>
  <c r="F1139" i="10" s="1"/>
  <c r="E1140" i="10"/>
  <c r="F1140" i="10" s="1"/>
  <c r="E1087" i="10"/>
  <c r="F1087" i="10" s="1"/>
  <c r="E1088" i="10"/>
  <c r="F1088" i="10" s="1"/>
  <c r="E1089" i="10"/>
  <c r="F1089" i="10" s="1"/>
  <c r="E1090" i="10"/>
  <c r="F1090" i="10" s="1"/>
  <c r="E1091" i="10"/>
  <c r="F1091" i="10" s="1"/>
  <c r="E1092" i="10"/>
  <c r="F1092" i="10" s="1"/>
  <c r="E1093" i="10"/>
  <c r="F1093" i="10" s="1"/>
  <c r="E1094" i="10"/>
  <c r="F1094" i="10" s="1"/>
  <c r="E1095" i="10"/>
  <c r="F1095" i="10" s="1"/>
  <c r="E1096" i="10"/>
  <c r="F1096" i="10" s="1"/>
  <c r="E1097" i="10"/>
  <c r="F1097" i="10" s="1"/>
  <c r="E1098" i="10"/>
  <c r="F1098" i="10" s="1"/>
  <c r="E1099" i="10"/>
  <c r="F1099" i="10" s="1"/>
  <c r="E1100" i="10"/>
  <c r="F1100" i="10" s="1"/>
  <c r="E1101" i="10"/>
  <c r="F1101" i="10" s="1"/>
  <c r="E1102" i="10"/>
  <c r="F1102" i="10" s="1"/>
  <c r="E1049" i="10"/>
  <c r="F1049" i="10" s="1"/>
  <c r="E1050" i="10"/>
  <c r="F1050" i="10" s="1"/>
  <c r="E1051" i="10"/>
  <c r="F1051" i="10" s="1"/>
  <c r="E1052" i="10"/>
  <c r="F1052" i="10" s="1"/>
  <c r="E1053" i="10"/>
  <c r="F1053" i="10" s="1"/>
  <c r="E1054" i="10"/>
  <c r="F1054" i="10" s="1"/>
  <c r="E1055" i="10"/>
  <c r="F1055" i="10" s="1"/>
  <c r="E1056" i="10"/>
  <c r="F1056" i="10" s="1"/>
  <c r="E1057" i="10"/>
  <c r="F1057" i="10" s="1"/>
  <c r="E1058" i="10"/>
  <c r="F1058" i="10" s="1"/>
  <c r="E1059" i="10"/>
  <c r="F1059" i="10" s="1"/>
  <c r="E1060" i="10"/>
  <c r="F1060" i="10" s="1"/>
  <c r="E1061" i="10"/>
  <c r="F1061" i="10" s="1"/>
  <c r="E1062" i="10"/>
  <c r="F1062" i="10" s="1"/>
  <c r="E1063" i="10"/>
  <c r="F1063" i="10" s="1"/>
  <c r="E1064" i="10"/>
  <c r="F1064" i="10" s="1"/>
  <c r="E1011" i="10"/>
  <c r="F1011" i="10" s="1"/>
  <c r="E1012" i="10"/>
  <c r="F1012" i="10" s="1"/>
  <c r="E1013" i="10"/>
  <c r="F1013" i="10" s="1"/>
  <c r="E1014" i="10"/>
  <c r="F1014" i="10" s="1"/>
  <c r="E1015" i="10"/>
  <c r="F1015" i="10" s="1"/>
  <c r="E1016" i="10"/>
  <c r="F1016" i="10" s="1"/>
  <c r="E1017" i="10"/>
  <c r="F1017" i="10" s="1"/>
  <c r="E1018" i="10"/>
  <c r="F1018" i="10" s="1"/>
  <c r="E1019" i="10"/>
  <c r="F1019" i="10" s="1"/>
  <c r="E1020" i="10"/>
  <c r="F1020" i="10" s="1"/>
  <c r="E1021" i="10"/>
  <c r="F1021" i="10" s="1"/>
  <c r="E1022" i="10"/>
  <c r="F1022" i="10" s="1"/>
  <c r="E1023" i="10"/>
  <c r="F1023" i="10" s="1"/>
  <c r="E1024" i="10"/>
  <c r="F1024" i="10" s="1"/>
  <c r="E1025" i="10"/>
  <c r="F1025" i="10" s="1"/>
  <c r="E1026" i="10"/>
  <c r="F1026" i="10" s="1"/>
  <c r="E973" i="10"/>
  <c r="F973" i="10" s="1"/>
  <c r="E974" i="10"/>
  <c r="F974" i="10" s="1"/>
  <c r="E975" i="10"/>
  <c r="F975" i="10" s="1"/>
  <c r="E976" i="10"/>
  <c r="F976" i="10" s="1"/>
  <c r="E977" i="10"/>
  <c r="F977" i="10" s="1"/>
  <c r="E978" i="10"/>
  <c r="F978" i="10" s="1"/>
  <c r="E979" i="10"/>
  <c r="F979" i="10" s="1"/>
  <c r="E980" i="10"/>
  <c r="F980" i="10" s="1"/>
  <c r="E981" i="10"/>
  <c r="F981" i="10" s="1"/>
  <c r="E982" i="10"/>
  <c r="F982" i="10" s="1"/>
  <c r="E983" i="10"/>
  <c r="F983" i="10" s="1"/>
  <c r="E984" i="10"/>
  <c r="F984" i="10" s="1"/>
  <c r="E985" i="10"/>
  <c r="F985" i="10" s="1"/>
  <c r="E986" i="10"/>
  <c r="F986" i="10" s="1"/>
  <c r="E987" i="10"/>
  <c r="F987" i="10" s="1"/>
  <c r="E988" i="10"/>
  <c r="F988" i="10" s="1"/>
  <c r="E935" i="10"/>
  <c r="F935" i="10" s="1"/>
  <c r="E936" i="10"/>
  <c r="F936" i="10" s="1"/>
  <c r="E937" i="10"/>
  <c r="F937" i="10" s="1"/>
  <c r="E938" i="10"/>
  <c r="F938" i="10" s="1"/>
  <c r="E939" i="10"/>
  <c r="F939" i="10" s="1"/>
  <c r="E940" i="10"/>
  <c r="F940" i="10" s="1"/>
  <c r="E941" i="10"/>
  <c r="F941" i="10" s="1"/>
  <c r="E942" i="10"/>
  <c r="F942" i="10" s="1"/>
  <c r="E943" i="10"/>
  <c r="F943" i="10" s="1"/>
  <c r="E944" i="10"/>
  <c r="F944" i="10" s="1"/>
  <c r="E945" i="10"/>
  <c r="F945" i="10" s="1"/>
  <c r="E946" i="10"/>
  <c r="F946" i="10" s="1"/>
  <c r="E947" i="10"/>
  <c r="F947" i="10" s="1"/>
  <c r="E948" i="10"/>
  <c r="F948" i="10" s="1"/>
  <c r="E949" i="10"/>
  <c r="F949" i="10" s="1"/>
  <c r="E950" i="10"/>
  <c r="F950" i="10" s="1"/>
  <c r="E897" i="10"/>
  <c r="F897" i="10" s="1"/>
  <c r="E898" i="10"/>
  <c r="F898" i="10" s="1"/>
  <c r="E899" i="10"/>
  <c r="F899" i="10" s="1"/>
  <c r="E900" i="10"/>
  <c r="F900" i="10" s="1"/>
  <c r="E901" i="10"/>
  <c r="F901" i="10" s="1"/>
  <c r="E902" i="10"/>
  <c r="F902" i="10" s="1"/>
  <c r="E903" i="10"/>
  <c r="F903" i="10" s="1"/>
  <c r="E904" i="10"/>
  <c r="F904" i="10" s="1"/>
  <c r="E905" i="10"/>
  <c r="F905" i="10" s="1"/>
  <c r="E906" i="10"/>
  <c r="F906" i="10" s="1"/>
  <c r="E907" i="10"/>
  <c r="F907" i="10" s="1"/>
  <c r="E908" i="10"/>
  <c r="F908" i="10" s="1"/>
  <c r="E909" i="10"/>
  <c r="F909" i="10" s="1"/>
  <c r="E910" i="10"/>
  <c r="F910" i="10" s="1"/>
  <c r="E911" i="10"/>
  <c r="F911" i="10" s="1"/>
  <c r="E912" i="10"/>
  <c r="F912" i="10" s="1"/>
  <c r="E859" i="10"/>
  <c r="F859" i="10" s="1"/>
  <c r="E860" i="10"/>
  <c r="F860" i="10" s="1"/>
  <c r="E861" i="10"/>
  <c r="F861" i="10" s="1"/>
  <c r="E862" i="10"/>
  <c r="F862" i="10" s="1"/>
  <c r="E863" i="10"/>
  <c r="F863" i="10" s="1"/>
  <c r="E864" i="10"/>
  <c r="F864" i="10" s="1"/>
  <c r="E865" i="10"/>
  <c r="F865" i="10" s="1"/>
  <c r="E866" i="10"/>
  <c r="F866" i="10" s="1"/>
  <c r="E867" i="10"/>
  <c r="F867" i="10" s="1"/>
  <c r="E868" i="10"/>
  <c r="F868" i="10" s="1"/>
  <c r="E869" i="10"/>
  <c r="F869" i="10" s="1"/>
  <c r="E870" i="10"/>
  <c r="F870" i="10" s="1"/>
  <c r="E871" i="10"/>
  <c r="F871" i="10" s="1"/>
  <c r="E872" i="10"/>
  <c r="F872" i="10" s="1"/>
  <c r="E873" i="10"/>
  <c r="F873" i="10" s="1"/>
  <c r="E874" i="10"/>
  <c r="F874" i="10" s="1"/>
  <c r="E821" i="10"/>
  <c r="F821" i="10" s="1"/>
  <c r="E822" i="10"/>
  <c r="F822" i="10" s="1"/>
  <c r="E823" i="10"/>
  <c r="F823" i="10" s="1"/>
  <c r="E824" i="10"/>
  <c r="F824" i="10" s="1"/>
  <c r="E825" i="10"/>
  <c r="F825" i="10" s="1"/>
  <c r="E826" i="10"/>
  <c r="F826" i="10" s="1"/>
  <c r="E827" i="10"/>
  <c r="F827" i="10" s="1"/>
  <c r="E828" i="10"/>
  <c r="F828" i="10" s="1"/>
  <c r="E829" i="10"/>
  <c r="F829" i="10" s="1"/>
  <c r="E830" i="10"/>
  <c r="F830" i="10" s="1"/>
  <c r="E831" i="10"/>
  <c r="F831" i="10" s="1"/>
  <c r="E832" i="10"/>
  <c r="F832" i="10" s="1"/>
  <c r="E833" i="10"/>
  <c r="F833" i="10" s="1"/>
  <c r="E834" i="10"/>
  <c r="F834" i="10" s="1"/>
  <c r="E835" i="10"/>
  <c r="F835" i="10" s="1"/>
  <c r="E836" i="10"/>
  <c r="F836" i="10" s="1"/>
  <c r="E783" i="10"/>
  <c r="F783" i="10" s="1"/>
  <c r="E784" i="10"/>
  <c r="F784" i="10" s="1"/>
  <c r="E785" i="10"/>
  <c r="F785" i="10" s="1"/>
  <c r="E786" i="10"/>
  <c r="F786" i="10" s="1"/>
  <c r="E787" i="10"/>
  <c r="F787" i="10" s="1"/>
  <c r="E788" i="10"/>
  <c r="F788" i="10" s="1"/>
  <c r="E789" i="10"/>
  <c r="F789" i="10" s="1"/>
  <c r="E790" i="10"/>
  <c r="F790" i="10" s="1"/>
  <c r="E791" i="10"/>
  <c r="F791" i="10" s="1"/>
  <c r="E792" i="10"/>
  <c r="F792" i="10" s="1"/>
  <c r="E793" i="10"/>
  <c r="F793" i="10" s="1"/>
  <c r="E794" i="10"/>
  <c r="F794" i="10" s="1"/>
  <c r="E795" i="10"/>
  <c r="F795" i="10" s="1"/>
  <c r="E796" i="10"/>
  <c r="F796" i="10" s="1"/>
  <c r="E797" i="10"/>
  <c r="F797" i="10" s="1"/>
  <c r="E798" i="10"/>
  <c r="F798" i="10" s="1"/>
  <c r="E745" i="10"/>
  <c r="F745" i="10" s="1"/>
  <c r="E746" i="10"/>
  <c r="F746" i="10" s="1"/>
  <c r="E747" i="10"/>
  <c r="F747" i="10" s="1"/>
  <c r="E748" i="10"/>
  <c r="F748" i="10" s="1"/>
  <c r="E749" i="10"/>
  <c r="F749" i="10" s="1"/>
  <c r="E750" i="10"/>
  <c r="F750" i="10" s="1"/>
  <c r="E751" i="10"/>
  <c r="F751" i="10" s="1"/>
  <c r="E752" i="10"/>
  <c r="F752" i="10" s="1"/>
  <c r="E753" i="10"/>
  <c r="F753" i="10" s="1"/>
  <c r="E754" i="10"/>
  <c r="F754" i="10" s="1"/>
  <c r="E755" i="10"/>
  <c r="F755" i="10" s="1"/>
  <c r="E756" i="10"/>
  <c r="F756" i="10" s="1"/>
  <c r="E757" i="10"/>
  <c r="F757" i="10" s="1"/>
  <c r="E758" i="10"/>
  <c r="F758" i="10" s="1"/>
  <c r="E759" i="10"/>
  <c r="F759" i="10" s="1"/>
  <c r="E760" i="10"/>
  <c r="F760" i="10" s="1"/>
  <c r="E707" i="10"/>
  <c r="F707" i="10" s="1"/>
  <c r="E708" i="10"/>
  <c r="F708" i="10" s="1"/>
  <c r="E709" i="10"/>
  <c r="F709" i="10" s="1"/>
  <c r="E710" i="10"/>
  <c r="F710" i="10" s="1"/>
  <c r="E711" i="10"/>
  <c r="F711" i="10" s="1"/>
  <c r="E712" i="10"/>
  <c r="F712" i="10" s="1"/>
  <c r="E713" i="10"/>
  <c r="F713" i="10" s="1"/>
  <c r="E714" i="10"/>
  <c r="F714" i="10" s="1"/>
  <c r="E715" i="10"/>
  <c r="F715" i="10" s="1"/>
  <c r="E716" i="10"/>
  <c r="F716" i="10" s="1"/>
  <c r="E717" i="10"/>
  <c r="F717" i="10" s="1"/>
  <c r="E718" i="10"/>
  <c r="F718" i="10" s="1"/>
  <c r="E719" i="10"/>
  <c r="F719" i="10" s="1"/>
  <c r="E720" i="10"/>
  <c r="F720" i="10" s="1"/>
  <c r="E721" i="10"/>
  <c r="F721" i="10" s="1"/>
  <c r="E722" i="10"/>
  <c r="F722" i="10" s="1"/>
  <c r="E669" i="10"/>
  <c r="F669" i="10" s="1"/>
  <c r="E670" i="10"/>
  <c r="F670" i="10" s="1"/>
  <c r="E671" i="10"/>
  <c r="F671" i="10" s="1"/>
  <c r="E672" i="10"/>
  <c r="F672" i="10" s="1"/>
  <c r="E673" i="10"/>
  <c r="F673" i="10" s="1"/>
  <c r="E674" i="10"/>
  <c r="F674" i="10" s="1"/>
  <c r="E675" i="10"/>
  <c r="F675" i="10" s="1"/>
  <c r="E676" i="10"/>
  <c r="F676" i="10" s="1"/>
  <c r="E677" i="10"/>
  <c r="F677" i="10" s="1"/>
  <c r="E678" i="10"/>
  <c r="F678" i="10" s="1"/>
  <c r="E679" i="10"/>
  <c r="F679" i="10" s="1"/>
  <c r="E680" i="10"/>
  <c r="F680" i="10" s="1"/>
  <c r="E681" i="10"/>
  <c r="F681" i="10" s="1"/>
  <c r="E682" i="10"/>
  <c r="F682" i="10" s="1"/>
  <c r="E683" i="10"/>
  <c r="F683" i="10" s="1"/>
  <c r="E684" i="10"/>
  <c r="F684" i="10" s="1"/>
  <c r="E631" i="10"/>
  <c r="F631" i="10" s="1"/>
  <c r="E632" i="10"/>
  <c r="F632" i="10" s="1"/>
  <c r="E633" i="10"/>
  <c r="F633" i="10" s="1"/>
  <c r="E634" i="10"/>
  <c r="F634" i="10" s="1"/>
  <c r="E635" i="10"/>
  <c r="F635" i="10" s="1"/>
  <c r="E636" i="10"/>
  <c r="F636" i="10" s="1"/>
  <c r="E637" i="10"/>
  <c r="F637" i="10" s="1"/>
  <c r="E638" i="10"/>
  <c r="F638" i="10" s="1"/>
  <c r="E639" i="10"/>
  <c r="F639" i="10" s="1"/>
  <c r="E640" i="10"/>
  <c r="F640" i="10" s="1"/>
  <c r="E641" i="10"/>
  <c r="F641" i="10" s="1"/>
  <c r="E642" i="10"/>
  <c r="F642" i="10" s="1"/>
  <c r="E643" i="10"/>
  <c r="F643" i="10" s="1"/>
  <c r="E644" i="10"/>
  <c r="F644" i="10" s="1"/>
  <c r="E645" i="10"/>
  <c r="F645" i="10" s="1"/>
  <c r="E646" i="10"/>
  <c r="F646" i="10" s="1"/>
  <c r="E593" i="10"/>
  <c r="F593" i="10" s="1"/>
  <c r="E594" i="10"/>
  <c r="F594" i="10" s="1"/>
  <c r="E595" i="10"/>
  <c r="F595" i="10" s="1"/>
  <c r="E596" i="10"/>
  <c r="F596" i="10" s="1"/>
  <c r="E597" i="10"/>
  <c r="F597" i="10" s="1"/>
  <c r="E598" i="10"/>
  <c r="F598" i="10" s="1"/>
  <c r="E599" i="10"/>
  <c r="F599" i="10" s="1"/>
  <c r="E600" i="10"/>
  <c r="F600" i="10" s="1"/>
  <c r="E601" i="10"/>
  <c r="F601" i="10" s="1"/>
  <c r="E602" i="10"/>
  <c r="F602" i="10" s="1"/>
  <c r="E603" i="10"/>
  <c r="F603" i="10" s="1"/>
  <c r="E604" i="10"/>
  <c r="F604" i="10" s="1"/>
  <c r="E605" i="10"/>
  <c r="F605" i="10" s="1"/>
  <c r="E606" i="10"/>
  <c r="F606" i="10" s="1"/>
  <c r="E607" i="10"/>
  <c r="F607" i="10" s="1"/>
  <c r="E608" i="10"/>
  <c r="F608" i="10" s="1"/>
  <c r="E555" i="10"/>
  <c r="F555" i="10" s="1"/>
  <c r="E556" i="10"/>
  <c r="F556" i="10" s="1"/>
  <c r="E557" i="10"/>
  <c r="F557" i="10" s="1"/>
  <c r="E558" i="10"/>
  <c r="F558" i="10" s="1"/>
  <c r="E559" i="10"/>
  <c r="F559" i="10" s="1"/>
  <c r="E560" i="10"/>
  <c r="F560" i="10" s="1"/>
  <c r="E561" i="10"/>
  <c r="F561" i="10" s="1"/>
  <c r="E562" i="10"/>
  <c r="F562" i="10" s="1"/>
  <c r="E563" i="10"/>
  <c r="F563" i="10" s="1"/>
  <c r="E564" i="10"/>
  <c r="F564" i="10" s="1"/>
  <c r="E565" i="10"/>
  <c r="F565" i="10" s="1"/>
  <c r="E566" i="10"/>
  <c r="F566" i="10" s="1"/>
  <c r="E567" i="10"/>
  <c r="F567" i="10" s="1"/>
  <c r="E568" i="10"/>
  <c r="F568" i="10" s="1"/>
  <c r="E569" i="10"/>
  <c r="F569" i="10" s="1"/>
  <c r="E570" i="10"/>
  <c r="F570" i="10" s="1"/>
  <c r="E517" i="10"/>
  <c r="F517" i="10" s="1"/>
  <c r="E518" i="10"/>
  <c r="F518" i="10" s="1"/>
  <c r="E519" i="10"/>
  <c r="F519" i="10" s="1"/>
  <c r="E520" i="10"/>
  <c r="F520" i="10" s="1"/>
  <c r="E521" i="10"/>
  <c r="F521" i="10" s="1"/>
  <c r="E522" i="10"/>
  <c r="F522" i="10" s="1"/>
  <c r="E523" i="10"/>
  <c r="F523" i="10" s="1"/>
  <c r="E524" i="10"/>
  <c r="F524" i="10" s="1"/>
  <c r="E525" i="10"/>
  <c r="F525" i="10" s="1"/>
  <c r="E526" i="10"/>
  <c r="F526" i="10" s="1"/>
  <c r="E527" i="10"/>
  <c r="F527" i="10" s="1"/>
  <c r="E528" i="10"/>
  <c r="F528" i="10" s="1"/>
  <c r="E529" i="10"/>
  <c r="F529" i="10" s="1"/>
  <c r="E530" i="10"/>
  <c r="F530" i="10" s="1"/>
  <c r="E531" i="10"/>
  <c r="F531" i="10" s="1"/>
  <c r="E532" i="10"/>
  <c r="F532" i="10" s="1"/>
  <c r="E479" i="10"/>
  <c r="F479" i="10" s="1"/>
  <c r="E480" i="10"/>
  <c r="F480" i="10" s="1"/>
  <c r="E481" i="10"/>
  <c r="F481" i="10" s="1"/>
  <c r="E482" i="10"/>
  <c r="F482" i="10" s="1"/>
  <c r="E483" i="10"/>
  <c r="F483" i="10" s="1"/>
  <c r="E484" i="10"/>
  <c r="F484" i="10" s="1"/>
  <c r="E485" i="10"/>
  <c r="F485" i="10" s="1"/>
  <c r="E486" i="10"/>
  <c r="F486" i="10" s="1"/>
  <c r="E487" i="10"/>
  <c r="F487" i="10" s="1"/>
  <c r="E488" i="10"/>
  <c r="F488" i="10" s="1"/>
  <c r="E489" i="10"/>
  <c r="F489" i="10" s="1"/>
  <c r="E490" i="10"/>
  <c r="F490" i="10" s="1"/>
  <c r="E491" i="10"/>
  <c r="F491" i="10" s="1"/>
  <c r="E492" i="10"/>
  <c r="F492" i="10" s="1"/>
  <c r="E493" i="10"/>
  <c r="F493" i="10" s="1"/>
  <c r="E494" i="10"/>
  <c r="F494" i="10" s="1"/>
  <c r="E441" i="10"/>
  <c r="F441" i="10" s="1"/>
  <c r="E442" i="10"/>
  <c r="F442" i="10" s="1"/>
  <c r="E443" i="10"/>
  <c r="F443" i="10" s="1"/>
  <c r="E444" i="10"/>
  <c r="F444" i="10" s="1"/>
  <c r="E445" i="10"/>
  <c r="F445" i="10" s="1"/>
  <c r="E446" i="10"/>
  <c r="F446" i="10" s="1"/>
  <c r="E447" i="10"/>
  <c r="F447" i="10" s="1"/>
  <c r="E448" i="10"/>
  <c r="F448" i="10" s="1"/>
  <c r="E449" i="10"/>
  <c r="F449" i="10" s="1"/>
  <c r="E450" i="10"/>
  <c r="F450" i="10" s="1"/>
  <c r="E451" i="10"/>
  <c r="F451" i="10" s="1"/>
  <c r="E452" i="10"/>
  <c r="F452" i="10" s="1"/>
  <c r="E453" i="10"/>
  <c r="F453" i="10" s="1"/>
  <c r="E454" i="10"/>
  <c r="F454" i="10" s="1"/>
  <c r="E455" i="10"/>
  <c r="F455" i="10" s="1"/>
  <c r="E456" i="10"/>
  <c r="F456" i="10" s="1"/>
  <c r="E403" i="10"/>
  <c r="F403" i="10" s="1"/>
  <c r="E404" i="10"/>
  <c r="F404" i="10" s="1"/>
  <c r="E405" i="10"/>
  <c r="F405" i="10" s="1"/>
  <c r="E406" i="10"/>
  <c r="F406" i="10" s="1"/>
  <c r="E407" i="10"/>
  <c r="F407" i="10" s="1"/>
  <c r="E408" i="10"/>
  <c r="F408" i="10" s="1"/>
  <c r="E409" i="10"/>
  <c r="F409" i="10" s="1"/>
  <c r="E410" i="10"/>
  <c r="F410" i="10" s="1"/>
  <c r="E411" i="10"/>
  <c r="F411" i="10" s="1"/>
  <c r="E412" i="10"/>
  <c r="F412" i="10" s="1"/>
  <c r="E413" i="10"/>
  <c r="F413" i="10" s="1"/>
  <c r="E414" i="10"/>
  <c r="F414" i="10" s="1"/>
  <c r="E415" i="10"/>
  <c r="F415" i="10" s="1"/>
  <c r="E416" i="10"/>
  <c r="F416" i="10" s="1"/>
  <c r="E417" i="10"/>
  <c r="F417" i="10" s="1"/>
  <c r="E418" i="10"/>
  <c r="F418" i="10" s="1"/>
  <c r="E365" i="10"/>
  <c r="F365" i="10" s="1"/>
  <c r="E366" i="10"/>
  <c r="F366" i="10" s="1"/>
  <c r="E367" i="10"/>
  <c r="F367" i="10" s="1"/>
  <c r="E368" i="10"/>
  <c r="F368" i="10" s="1"/>
  <c r="E369" i="10"/>
  <c r="F369" i="10" s="1"/>
  <c r="E370" i="10"/>
  <c r="F370" i="10" s="1"/>
  <c r="E371" i="10"/>
  <c r="F371" i="10" s="1"/>
  <c r="E372" i="10"/>
  <c r="F372" i="10" s="1"/>
  <c r="E373" i="10"/>
  <c r="F373" i="10" s="1"/>
  <c r="E374" i="10"/>
  <c r="F374" i="10" s="1"/>
  <c r="E375" i="10"/>
  <c r="F375" i="10" s="1"/>
  <c r="E376" i="10"/>
  <c r="F376" i="10" s="1"/>
  <c r="E377" i="10"/>
  <c r="F377" i="10" s="1"/>
  <c r="E378" i="10"/>
  <c r="F378" i="10" s="1"/>
  <c r="E379" i="10"/>
  <c r="F379" i="10" s="1"/>
  <c r="E380" i="10"/>
  <c r="F380" i="10" s="1"/>
  <c r="E327" i="10"/>
  <c r="F327" i="10" s="1"/>
  <c r="E328" i="10"/>
  <c r="F328" i="10" s="1"/>
  <c r="E329" i="10"/>
  <c r="F329" i="10" s="1"/>
  <c r="E330" i="10"/>
  <c r="F330" i="10" s="1"/>
  <c r="E331" i="10"/>
  <c r="F331" i="10" s="1"/>
  <c r="E332" i="10"/>
  <c r="F332" i="10" s="1"/>
  <c r="E333" i="10"/>
  <c r="F333" i="10" s="1"/>
  <c r="E334" i="10"/>
  <c r="F334" i="10" s="1"/>
  <c r="E335" i="10"/>
  <c r="F335" i="10" s="1"/>
  <c r="E336" i="10"/>
  <c r="F336" i="10" s="1"/>
  <c r="E337" i="10"/>
  <c r="F337" i="10" s="1"/>
  <c r="E338" i="10"/>
  <c r="F338" i="10" s="1"/>
  <c r="E339" i="10"/>
  <c r="F339" i="10" s="1"/>
  <c r="E340" i="10"/>
  <c r="F340" i="10" s="1"/>
  <c r="E341" i="10"/>
  <c r="F341" i="10" s="1"/>
  <c r="E342" i="10"/>
  <c r="F342" i="10" s="1"/>
  <c r="E343" i="10"/>
  <c r="E289" i="10"/>
  <c r="F289" i="10" s="1"/>
  <c r="E290" i="10"/>
  <c r="F290" i="10" s="1"/>
  <c r="E291" i="10"/>
  <c r="F291" i="10" s="1"/>
  <c r="E292" i="10"/>
  <c r="F292" i="10" s="1"/>
  <c r="E293" i="10"/>
  <c r="F293" i="10" s="1"/>
  <c r="E294" i="10"/>
  <c r="F294" i="10" s="1"/>
  <c r="E295" i="10"/>
  <c r="F295" i="10" s="1"/>
  <c r="E296" i="10"/>
  <c r="F296" i="10" s="1"/>
  <c r="E297" i="10"/>
  <c r="F297" i="10" s="1"/>
  <c r="E298" i="10"/>
  <c r="F298" i="10" s="1"/>
  <c r="E299" i="10"/>
  <c r="F299" i="10" s="1"/>
  <c r="E300" i="10"/>
  <c r="F300" i="10" s="1"/>
  <c r="E301" i="10"/>
  <c r="F301" i="10" s="1"/>
  <c r="E302" i="10"/>
  <c r="F302" i="10" s="1"/>
  <c r="E303" i="10"/>
  <c r="F303" i="10" s="1"/>
  <c r="E304" i="10"/>
  <c r="F304" i="10" s="1"/>
  <c r="E251" i="10"/>
  <c r="F251" i="10" s="1"/>
  <c r="E252" i="10"/>
  <c r="F252" i="10" s="1"/>
  <c r="E253" i="10"/>
  <c r="F253" i="10" s="1"/>
  <c r="E254" i="10"/>
  <c r="F254" i="10" s="1"/>
  <c r="E255" i="10"/>
  <c r="F255" i="10" s="1"/>
  <c r="E256" i="10"/>
  <c r="F256" i="10" s="1"/>
  <c r="E257" i="10"/>
  <c r="F257" i="10" s="1"/>
  <c r="E258" i="10"/>
  <c r="F258" i="10" s="1"/>
  <c r="E259" i="10"/>
  <c r="F259" i="10" s="1"/>
  <c r="E260" i="10"/>
  <c r="F260" i="10" s="1"/>
  <c r="E261" i="10"/>
  <c r="F261" i="10" s="1"/>
  <c r="E262" i="10"/>
  <c r="F262" i="10" s="1"/>
  <c r="E263" i="10"/>
  <c r="F263" i="10" s="1"/>
  <c r="E264" i="10"/>
  <c r="F264" i="10" s="1"/>
  <c r="E265" i="10"/>
  <c r="F265" i="10" s="1"/>
  <c r="E266" i="10"/>
  <c r="F266" i="10" s="1"/>
  <c r="E213" i="10"/>
  <c r="F213" i="10" s="1"/>
  <c r="E214" i="10"/>
  <c r="F214" i="10" s="1"/>
  <c r="E215" i="10"/>
  <c r="F215" i="10" s="1"/>
  <c r="E216" i="10"/>
  <c r="F216" i="10" s="1"/>
  <c r="E217" i="10"/>
  <c r="F217" i="10" s="1"/>
  <c r="E218" i="10"/>
  <c r="F218" i="10" s="1"/>
  <c r="E219" i="10"/>
  <c r="F219" i="10" s="1"/>
  <c r="E220" i="10"/>
  <c r="F220" i="10" s="1"/>
  <c r="E221" i="10"/>
  <c r="F221" i="10" s="1"/>
  <c r="E222" i="10"/>
  <c r="F222" i="10" s="1"/>
  <c r="E223" i="10"/>
  <c r="F223" i="10" s="1"/>
  <c r="E224" i="10"/>
  <c r="F224" i="10" s="1"/>
  <c r="E225" i="10"/>
  <c r="F225" i="10" s="1"/>
  <c r="E226" i="10"/>
  <c r="F226" i="10" s="1"/>
  <c r="E227" i="10"/>
  <c r="F227" i="10" s="1"/>
  <c r="E228" i="10"/>
  <c r="F228" i="10" s="1"/>
  <c r="E175" i="10"/>
  <c r="F175" i="10" s="1"/>
  <c r="E176" i="10"/>
  <c r="F176" i="10" s="1"/>
  <c r="E177" i="10"/>
  <c r="F177" i="10" s="1"/>
  <c r="E178" i="10"/>
  <c r="F178" i="10" s="1"/>
  <c r="E179" i="10"/>
  <c r="F179" i="10" s="1"/>
  <c r="E180" i="10"/>
  <c r="F180" i="10" s="1"/>
  <c r="E181" i="10"/>
  <c r="F181" i="10" s="1"/>
  <c r="E182" i="10"/>
  <c r="F182" i="10" s="1"/>
  <c r="E183" i="10"/>
  <c r="F183" i="10" s="1"/>
  <c r="E184" i="10"/>
  <c r="F184" i="10" s="1"/>
  <c r="E185" i="10"/>
  <c r="F185" i="10" s="1"/>
  <c r="E186" i="10"/>
  <c r="F186" i="10" s="1"/>
  <c r="E187" i="10"/>
  <c r="F187" i="10" s="1"/>
  <c r="E188" i="10"/>
  <c r="F188" i="10" s="1"/>
  <c r="E189" i="10"/>
  <c r="F189" i="10" s="1"/>
  <c r="E190" i="10"/>
  <c r="F190" i="10" s="1"/>
  <c r="E137" i="10"/>
  <c r="F137" i="10" s="1"/>
  <c r="E138" i="10"/>
  <c r="F138" i="10" s="1"/>
  <c r="E139" i="10"/>
  <c r="F139" i="10" s="1"/>
  <c r="E140" i="10"/>
  <c r="F140" i="10" s="1"/>
  <c r="E141" i="10"/>
  <c r="F141" i="10" s="1"/>
  <c r="E142" i="10"/>
  <c r="F142" i="10" s="1"/>
  <c r="E143" i="10"/>
  <c r="F143" i="10" s="1"/>
  <c r="E144" i="10"/>
  <c r="F144" i="10" s="1"/>
  <c r="E145" i="10"/>
  <c r="F145" i="10" s="1"/>
  <c r="E146" i="10"/>
  <c r="F146" i="10" s="1"/>
  <c r="E147" i="10"/>
  <c r="F147" i="10" s="1"/>
  <c r="E148" i="10"/>
  <c r="F148" i="10" s="1"/>
  <c r="E149" i="10"/>
  <c r="F149" i="10" s="1"/>
  <c r="E150" i="10"/>
  <c r="F150" i="10" s="1"/>
  <c r="E151" i="10"/>
  <c r="F151" i="10" s="1"/>
  <c r="E152" i="10"/>
  <c r="F152" i="10" s="1"/>
  <c r="E99" i="10"/>
  <c r="F99" i="10" s="1"/>
  <c r="E100" i="10"/>
  <c r="F100" i="10" s="1"/>
  <c r="E101" i="10"/>
  <c r="F101" i="10" s="1"/>
  <c r="E102" i="10"/>
  <c r="F102" i="10" s="1"/>
  <c r="E103" i="10"/>
  <c r="F103" i="10" s="1"/>
  <c r="E104" i="10"/>
  <c r="F104" i="10" s="1"/>
  <c r="E105" i="10"/>
  <c r="F105" i="10" s="1"/>
  <c r="E106" i="10"/>
  <c r="F106" i="10" s="1"/>
  <c r="E107" i="10"/>
  <c r="F107" i="10" s="1"/>
  <c r="E108" i="10"/>
  <c r="F108" i="10" s="1"/>
  <c r="E109" i="10"/>
  <c r="F109" i="10" s="1"/>
  <c r="E110" i="10"/>
  <c r="F110" i="10" s="1"/>
  <c r="E111" i="10"/>
  <c r="F111" i="10" s="1"/>
  <c r="E112" i="10"/>
  <c r="F112" i="10" s="1"/>
  <c r="E113" i="10"/>
  <c r="F113" i="10" s="1"/>
  <c r="E114" i="10"/>
  <c r="F114" i="10" s="1"/>
  <c r="E61" i="10"/>
  <c r="F61" i="10" s="1"/>
  <c r="E62" i="10"/>
  <c r="F62" i="10" s="1"/>
  <c r="E63" i="10"/>
  <c r="F63" i="10" s="1"/>
  <c r="E64" i="10"/>
  <c r="F64" i="10" s="1"/>
  <c r="E65" i="10"/>
  <c r="F65" i="10" s="1"/>
  <c r="E66" i="10"/>
  <c r="F66" i="10" s="1"/>
  <c r="E67" i="10"/>
  <c r="F67" i="10" s="1"/>
  <c r="E68" i="10"/>
  <c r="F68" i="10" s="1"/>
  <c r="E69" i="10"/>
  <c r="F69" i="10" s="1"/>
  <c r="E70" i="10"/>
  <c r="F70" i="10" s="1"/>
  <c r="E71" i="10"/>
  <c r="F71" i="10" s="1"/>
  <c r="E72" i="10"/>
  <c r="F72" i="10" s="1"/>
  <c r="E73" i="10"/>
  <c r="F73" i="10" s="1"/>
  <c r="E74" i="10"/>
  <c r="F74" i="10" s="1"/>
  <c r="E75" i="10"/>
  <c r="F75" i="10" s="1"/>
  <c r="E76" i="10"/>
  <c r="F76" i="10" s="1"/>
  <c r="E23" i="10"/>
  <c r="F23" i="10" s="1"/>
  <c r="E24" i="10"/>
  <c r="F24" i="10" s="1"/>
  <c r="E25" i="10"/>
  <c r="F25" i="10" s="1"/>
  <c r="E26" i="10"/>
  <c r="F26" i="10" s="1"/>
  <c r="E27" i="10"/>
  <c r="F27" i="10" s="1"/>
  <c r="E28" i="10"/>
  <c r="F28" i="10" s="1"/>
  <c r="E29" i="10"/>
  <c r="F29" i="10" s="1"/>
  <c r="E30" i="10"/>
  <c r="F30" i="10" s="1"/>
  <c r="E31" i="10"/>
  <c r="F31" i="10" s="1"/>
  <c r="E32" i="10"/>
  <c r="F32" i="10" s="1"/>
  <c r="E33" i="10"/>
  <c r="F33" i="10" s="1"/>
  <c r="E34" i="10"/>
  <c r="F34" i="10" s="1"/>
  <c r="E35" i="10"/>
  <c r="F35" i="10" s="1"/>
  <c r="E36" i="10"/>
  <c r="F36" i="10" s="1"/>
  <c r="E37" i="10"/>
  <c r="F37" i="10" s="1"/>
  <c r="E38" i="10"/>
  <c r="F38" i="10" s="1"/>
  <c r="E63" i="1"/>
  <c r="F63" i="1" s="1"/>
  <c r="E64" i="1"/>
  <c r="F64" i="1" s="1"/>
  <c r="E65" i="1"/>
  <c r="F65" i="1" s="1"/>
  <c r="E66" i="1"/>
  <c r="F66" i="1" s="1"/>
  <c r="E67" i="1"/>
  <c r="F67" i="1" s="1"/>
  <c r="E68" i="1"/>
  <c r="F68" i="1" s="1"/>
  <c r="E69" i="1"/>
  <c r="F69" i="1" s="1"/>
  <c r="E70" i="1"/>
  <c r="F70" i="1" s="1"/>
  <c r="E71" i="1"/>
  <c r="F71" i="1" s="1"/>
  <c r="E72" i="1"/>
  <c r="F72" i="1" s="1"/>
  <c r="E73" i="1"/>
  <c r="F73" i="1" s="1"/>
  <c r="E74" i="1"/>
  <c r="F74" i="1" s="1"/>
  <c r="E75" i="1"/>
  <c r="F75" i="1" s="1"/>
  <c r="E76" i="1"/>
  <c r="F76" i="1" s="1"/>
  <c r="E25" i="1"/>
  <c r="F25" i="1" s="1"/>
  <c r="E26" i="1"/>
  <c r="F26" i="1" s="1"/>
  <c r="E27" i="1"/>
  <c r="F27" i="1" s="1"/>
  <c r="E28" i="1"/>
  <c r="F28" i="1" s="1"/>
  <c r="E29" i="1"/>
  <c r="F29" i="1" s="1"/>
  <c r="E30" i="1"/>
  <c r="F30" i="1" s="1"/>
  <c r="E31" i="1"/>
  <c r="F31" i="1" s="1"/>
  <c r="E32" i="1"/>
  <c r="F32" i="1" s="1"/>
  <c r="E33" i="1"/>
  <c r="F33" i="1" s="1"/>
  <c r="E34" i="1"/>
  <c r="F34" i="1" s="1"/>
  <c r="E35" i="1"/>
  <c r="F35" i="1" s="1"/>
  <c r="E36" i="1"/>
  <c r="F36" i="1" s="1"/>
  <c r="E37" i="1"/>
  <c r="F37" i="1" s="1"/>
  <c r="E38" i="1"/>
  <c r="F38" i="1" s="1"/>
  <c r="E3481" i="1"/>
  <c r="F3481" i="1" s="1"/>
  <c r="E3482" i="1"/>
  <c r="F3482" i="1" s="1"/>
  <c r="E3483" i="1"/>
  <c r="F3483" i="1" s="1"/>
  <c r="E3484" i="1"/>
  <c r="F3484" i="1" s="1"/>
  <c r="E3485" i="1"/>
  <c r="F3485" i="1" s="1"/>
  <c r="E3486" i="1"/>
  <c r="F3486" i="1" s="1"/>
  <c r="E3487" i="1"/>
  <c r="F3487" i="1" s="1"/>
  <c r="E3488" i="1"/>
  <c r="F3488" i="1" s="1"/>
  <c r="E3489" i="1"/>
  <c r="F3489" i="1" s="1"/>
  <c r="E3490" i="1"/>
  <c r="F3490" i="1" s="1"/>
  <c r="E3491" i="1"/>
  <c r="F3491" i="1" s="1"/>
  <c r="E3492" i="1"/>
  <c r="F3492" i="1" s="1"/>
  <c r="E3493" i="1"/>
  <c r="F3493" i="1" s="1"/>
  <c r="E3494" i="1"/>
  <c r="F3494" i="1" s="1"/>
  <c r="E3495" i="1"/>
  <c r="F3495" i="1" s="1"/>
  <c r="E3496" i="1"/>
  <c r="F3496" i="1" s="1"/>
  <c r="E2835" i="1"/>
  <c r="F2835" i="1" s="1"/>
  <c r="E2836" i="1"/>
  <c r="F2836" i="1" s="1"/>
  <c r="E2837" i="1"/>
  <c r="F2837" i="1" s="1"/>
  <c r="E2838" i="1"/>
  <c r="F2838" i="1" s="1"/>
  <c r="E2839" i="1"/>
  <c r="F2839" i="1" s="1"/>
  <c r="E2840" i="1"/>
  <c r="F2840" i="1" s="1"/>
  <c r="E2841" i="1"/>
  <c r="F2841" i="1" s="1"/>
  <c r="E2842" i="1"/>
  <c r="F2842" i="1" s="1"/>
  <c r="E2843" i="1"/>
  <c r="F2843" i="1" s="1"/>
  <c r="E2844" i="1"/>
  <c r="F2844" i="1" s="1"/>
  <c r="E2845" i="1"/>
  <c r="F2845" i="1" s="1"/>
  <c r="E2846" i="1"/>
  <c r="F2846" i="1" s="1"/>
  <c r="E2847" i="1"/>
  <c r="F2847" i="1" s="1"/>
  <c r="E2848" i="1"/>
  <c r="F2848" i="1" s="1"/>
  <c r="E2849" i="1"/>
  <c r="F2849" i="1" s="1"/>
  <c r="E2850" i="1"/>
  <c r="F2850" i="1" s="1"/>
  <c r="E4165" i="1"/>
  <c r="F4165" i="1" s="1"/>
  <c r="E4166" i="1"/>
  <c r="F4166" i="1" s="1"/>
  <c r="E4167" i="1"/>
  <c r="F4167" i="1" s="1"/>
  <c r="E4168" i="1"/>
  <c r="F4168" i="1" s="1"/>
  <c r="E4169" i="1"/>
  <c r="F4169" i="1" s="1"/>
  <c r="E4170" i="1"/>
  <c r="F4170" i="1" s="1"/>
  <c r="E4171" i="1"/>
  <c r="F4171" i="1" s="1"/>
  <c r="E4172" i="1"/>
  <c r="F4172" i="1" s="1"/>
  <c r="E4173" i="1"/>
  <c r="F4173" i="1" s="1"/>
  <c r="E4174" i="1"/>
  <c r="F4174" i="1" s="1"/>
  <c r="E4175" i="1"/>
  <c r="F4175" i="1" s="1"/>
  <c r="E4176" i="1"/>
  <c r="F4176" i="1" s="1"/>
  <c r="E4177" i="1"/>
  <c r="F4177" i="1" s="1"/>
  <c r="E4178" i="1"/>
  <c r="F4178" i="1" s="1"/>
  <c r="E4179" i="1"/>
  <c r="F4179" i="1" s="1"/>
  <c r="E4180" i="1"/>
  <c r="F4180" i="1" s="1"/>
  <c r="E4127" i="1"/>
  <c r="F4127" i="1" s="1"/>
  <c r="E4128" i="1"/>
  <c r="F4128" i="1" s="1"/>
  <c r="E4129" i="1"/>
  <c r="F4129" i="1" s="1"/>
  <c r="E4130" i="1"/>
  <c r="F4130" i="1" s="1"/>
  <c r="E4131" i="1"/>
  <c r="F4131" i="1" s="1"/>
  <c r="E4132" i="1"/>
  <c r="F4132" i="1" s="1"/>
  <c r="E4133" i="1"/>
  <c r="F4133" i="1" s="1"/>
  <c r="E4134" i="1"/>
  <c r="F4134" i="1" s="1"/>
  <c r="E4135" i="1"/>
  <c r="F4135" i="1" s="1"/>
  <c r="E4136" i="1"/>
  <c r="F4136" i="1" s="1"/>
  <c r="E4137" i="1"/>
  <c r="F4137" i="1" s="1"/>
  <c r="E4138" i="1"/>
  <c r="F4138" i="1" s="1"/>
  <c r="E4139" i="1"/>
  <c r="F4139" i="1" s="1"/>
  <c r="E4140" i="1"/>
  <c r="F4140" i="1" s="1"/>
  <c r="E4141" i="1"/>
  <c r="F4141" i="1" s="1"/>
  <c r="E4142" i="1"/>
  <c r="F4142" i="1" s="1"/>
  <c r="E4089" i="1"/>
  <c r="F4089" i="1" s="1"/>
  <c r="E4090" i="1"/>
  <c r="F4090" i="1" s="1"/>
  <c r="E4091" i="1"/>
  <c r="F4091" i="1" s="1"/>
  <c r="E4092" i="1"/>
  <c r="F4092" i="1" s="1"/>
  <c r="E4093" i="1"/>
  <c r="F4093" i="1" s="1"/>
  <c r="E4094" i="1"/>
  <c r="F4094" i="1" s="1"/>
  <c r="E4095" i="1"/>
  <c r="F4095" i="1" s="1"/>
  <c r="E4096" i="1"/>
  <c r="F4096" i="1" s="1"/>
  <c r="E4097" i="1"/>
  <c r="F4097" i="1" s="1"/>
  <c r="E4098" i="1"/>
  <c r="F4098" i="1" s="1"/>
  <c r="E4099" i="1"/>
  <c r="F4099" i="1" s="1"/>
  <c r="E4100" i="1"/>
  <c r="F4100" i="1" s="1"/>
  <c r="E4101" i="1"/>
  <c r="F4101" i="1" s="1"/>
  <c r="E4102" i="1"/>
  <c r="F4102" i="1" s="1"/>
  <c r="E4103" i="1"/>
  <c r="F4103" i="1" s="1"/>
  <c r="E4104" i="1"/>
  <c r="F4104" i="1" s="1"/>
  <c r="E4051" i="1"/>
  <c r="F4051" i="1" s="1"/>
  <c r="E4052" i="1"/>
  <c r="F4052" i="1" s="1"/>
  <c r="E4053" i="1"/>
  <c r="F4053" i="1" s="1"/>
  <c r="E4054" i="1"/>
  <c r="F4054" i="1" s="1"/>
  <c r="E4055" i="1"/>
  <c r="F4055" i="1" s="1"/>
  <c r="E4056" i="1"/>
  <c r="F4056" i="1" s="1"/>
  <c r="E4057" i="1"/>
  <c r="F4057" i="1" s="1"/>
  <c r="E4058" i="1"/>
  <c r="F4058" i="1" s="1"/>
  <c r="E4059" i="1"/>
  <c r="F4059" i="1" s="1"/>
  <c r="E4060" i="1"/>
  <c r="F4060" i="1" s="1"/>
  <c r="E4061" i="1"/>
  <c r="F4061" i="1" s="1"/>
  <c r="E4062" i="1"/>
  <c r="F4062" i="1" s="1"/>
  <c r="E4063" i="1"/>
  <c r="F4063" i="1" s="1"/>
  <c r="E4064" i="1"/>
  <c r="F4064" i="1" s="1"/>
  <c r="E4065" i="1"/>
  <c r="F4065" i="1" s="1"/>
  <c r="E4066" i="1"/>
  <c r="F4066" i="1" s="1"/>
  <c r="E4013" i="1"/>
  <c r="F4013" i="1" s="1"/>
  <c r="E4014" i="1"/>
  <c r="F4014" i="1" s="1"/>
  <c r="E4015" i="1"/>
  <c r="F4015" i="1" s="1"/>
  <c r="E4016" i="1"/>
  <c r="F4016" i="1" s="1"/>
  <c r="E4017" i="1"/>
  <c r="F4017" i="1" s="1"/>
  <c r="E4018" i="1"/>
  <c r="F4018" i="1" s="1"/>
  <c r="E4019" i="1"/>
  <c r="F4019" i="1" s="1"/>
  <c r="E4020" i="1"/>
  <c r="F4020" i="1" s="1"/>
  <c r="E4021" i="1"/>
  <c r="F4021" i="1" s="1"/>
  <c r="E4022" i="1"/>
  <c r="F4022" i="1" s="1"/>
  <c r="E4023" i="1"/>
  <c r="F4023" i="1" s="1"/>
  <c r="E4024" i="1"/>
  <c r="F4024" i="1" s="1"/>
  <c r="E4025" i="1"/>
  <c r="F4025" i="1" s="1"/>
  <c r="E4026" i="1"/>
  <c r="F4026" i="1" s="1"/>
  <c r="E4027" i="1"/>
  <c r="F4027" i="1" s="1"/>
  <c r="E4028" i="1"/>
  <c r="F4028" i="1" s="1"/>
  <c r="E3975" i="1"/>
  <c r="F3975" i="1" s="1"/>
  <c r="E3976" i="1"/>
  <c r="F3976" i="1" s="1"/>
  <c r="E3977" i="1"/>
  <c r="F3977" i="1" s="1"/>
  <c r="E3978" i="1"/>
  <c r="F3978" i="1" s="1"/>
  <c r="E3979" i="1"/>
  <c r="F3979" i="1" s="1"/>
  <c r="E3980" i="1"/>
  <c r="F3980" i="1" s="1"/>
  <c r="E3981" i="1"/>
  <c r="F3981" i="1" s="1"/>
  <c r="E3982" i="1"/>
  <c r="F3982" i="1" s="1"/>
  <c r="E3983" i="1"/>
  <c r="F3983" i="1" s="1"/>
  <c r="E3984" i="1"/>
  <c r="F3984" i="1" s="1"/>
  <c r="E3985" i="1"/>
  <c r="F3985" i="1" s="1"/>
  <c r="E3986" i="1"/>
  <c r="F3986" i="1" s="1"/>
  <c r="E3987" i="1"/>
  <c r="F3987" i="1" s="1"/>
  <c r="E3988" i="1"/>
  <c r="F3988" i="1" s="1"/>
  <c r="E3989" i="1"/>
  <c r="F3989" i="1" s="1"/>
  <c r="E3990" i="1"/>
  <c r="F3990" i="1" s="1"/>
  <c r="E3937" i="1"/>
  <c r="F3937" i="1" s="1"/>
  <c r="E3938" i="1"/>
  <c r="F3938" i="1" s="1"/>
  <c r="E3939" i="1"/>
  <c r="F3939" i="1" s="1"/>
  <c r="E3940" i="1"/>
  <c r="F3940" i="1" s="1"/>
  <c r="E3941" i="1"/>
  <c r="F3941" i="1" s="1"/>
  <c r="E3942" i="1"/>
  <c r="F3942" i="1" s="1"/>
  <c r="E3943" i="1"/>
  <c r="F3943" i="1" s="1"/>
  <c r="E3944" i="1"/>
  <c r="F3944" i="1" s="1"/>
  <c r="E3945" i="1"/>
  <c r="F3945" i="1" s="1"/>
  <c r="E3946" i="1"/>
  <c r="F3946" i="1" s="1"/>
  <c r="E3947" i="1"/>
  <c r="F3947" i="1" s="1"/>
  <c r="E3948" i="1"/>
  <c r="F3948" i="1" s="1"/>
  <c r="E3949" i="1"/>
  <c r="F3949" i="1" s="1"/>
  <c r="E3950" i="1"/>
  <c r="F3950" i="1" s="1"/>
  <c r="E3951" i="1"/>
  <c r="F3951" i="1" s="1"/>
  <c r="E3952" i="1"/>
  <c r="F3952" i="1" s="1"/>
  <c r="E3899" i="1"/>
  <c r="F3899" i="1" s="1"/>
  <c r="E3900" i="1"/>
  <c r="F3900" i="1" s="1"/>
  <c r="E3901" i="1"/>
  <c r="F3901" i="1" s="1"/>
  <c r="E3902" i="1"/>
  <c r="F3902" i="1" s="1"/>
  <c r="E3903" i="1"/>
  <c r="F3903" i="1" s="1"/>
  <c r="E3904" i="1"/>
  <c r="F3904" i="1" s="1"/>
  <c r="E3905" i="1"/>
  <c r="F3905" i="1" s="1"/>
  <c r="E3906" i="1"/>
  <c r="F3906" i="1" s="1"/>
  <c r="E3907" i="1"/>
  <c r="F3907" i="1" s="1"/>
  <c r="E3908" i="1"/>
  <c r="F3908" i="1" s="1"/>
  <c r="E3909" i="1"/>
  <c r="F3909" i="1" s="1"/>
  <c r="E3910" i="1"/>
  <c r="F3910" i="1" s="1"/>
  <c r="E3911" i="1"/>
  <c r="F3911" i="1" s="1"/>
  <c r="E3912" i="1"/>
  <c r="F3912" i="1" s="1"/>
  <c r="E3913" i="1"/>
  <c r="F3913" i="1" s="1"/>
  <c r="E3914" i="1"/>
  <c r="F3914" i="1" s="1"/>
  <c r="E3861" i="1"/>
  <c r="F3861" i="1" s="1"/>
  <c r="E3862" i="1"/>
  <c r="F3862" i="1" s="1"/>
  <c r="E3863" i="1"/>
  <c r="F3863" i="1" s="1"/>
  <c r="E3864" i="1"/>
  <c r="F3864" i="1" s="1"/>
  <c r="E3865" i="1"/>
  <c r="F3865" i="1" s="1"/>
  <c r="E3866" i="1"/>
  <c r="F3866" i="1" s="1"/>
  <c r="E3867" i="1"/>
  <c r="F3867" i="1" s="1"/>
  <c r="E3868" i="1"/>
  <c r="F3868" i="1" s="1"/>
  <c r="E3869" i="1"/>
  <c r="F3869" i="1" s="1"/>
  <c r="E3870" i="1"/>
  <c r="F3870" i="1" s="1"/>
  <c r="E3871" i="1"/>
  <c r="F3871" i="1" s="1"/>
  <c r="E3872" i="1"/>
  <c r="F3872" i="1" s="1"/>
  <c r="E3873" i="1"/>
  <c r="F3873" i="1" s="1"/>
  <c r="E3874" i="1"/>
  <c r="F3874" i="1" s="1"/>
  <c r="E3875" i="1"/>
  <c r="F3875" i="1" s="1"/>
  <c r="E3876" i="1"/>
  <c r="F3876" i="1" s="1"/>
  <c r="E3823" i="1"/>
  <c r="F3823" i="1" s="1"/>
  <c r="E3824" i="1"/>
  <c r="F3824" i="1" s="1"/>
  <c r="E3825" i="1"/>
  <c r="F3825" i="1" s="1"/>
  <c r="E3826" i="1"/>
  <c r="F3826" i="1" s="1"/>
  <c r="E3827" i="1"/>
  <c r="F3827" i="1" s="1"/>
  <c r="E3828" i="1"/>
  <c r="F3828" i="1" s="1"/>
  <c r="E3829" i="1"/>
  <c r="F3829" i="1" s="1"/>
  <c r="E3830" i="1"/>
  <c r="F3830" i="1" s="1"/>
  <c r="E3831" i="1"/>
  <c r="F3831" i="1" s="1"/>
  <c r="E3832" i="1"/>
  <c r="F3832" i="1" s="1"/>
  <c r="E3833" i="1"/>
  <c r="F3833" i="1" s="1"/>
  <c r="E3834" i="1"/>
  <c r="F3834" i="1" s="1"/>
  <c r="E3835" i="1"/>
  <c r="F3835" i="1" s="1"/>
  <c r="E3836" i="1"/>
  <c r="F3836" i="1" s="1"/>
  <c r="E3837" i="1"/>
  <c r="F3837" i="1" s="1"/>
  <c r="E3838" i="1"/>
  <c r="F3838" i="1" s="1"/>
  <c r="E3785" i="1"/>
  <c r="F3785" i="1" s="1"/>
  <c r="E3786" i="1"/>
  <c r="F3786" i="1" s="1"/>
  <c r="E3787" i="1"/>
  <c r="F3787" i="1" s="1"/>
  <c r="E3788" i="1"/>
  <c r="F3788" i="1" s="1"/>
  <c r="E3789" i="1"/>
  <c r="F3789" i="1" s="1"/>
  <c r="E3790" i="1"/>
  <c r="F3790" i="1" s="1"/>
  <c r="E3791" i="1"/>
  <c r="F3791" i="1" s="1"/>
  <c r="E3792" i="1"/>
  <c r="F3792" i="1" s="1"/>
  <c r="E3793" i="1"/>
  <c r="F3793" i="1" s="1"/>
  <c r="E3794" i="1"/>
  <c r="F3794" i="1" s="1"/>
  <c r="E3795" i="1"/>
  <c r="F3795" i="1" s="1"/>
  <c r="E3796" i="1"/>
  <c r="F3796" i="1" s="1"/>
  <c r="E3797" i="1"/>
  <c r="F3797" i="1" s="1"/>
  <c r="E3798" i="1"/>
  <c r="F3798" i="1" s="1"/>
  <c r="E3799" i="1"/>
  <c r="F3799" i="1" s="1"/>
  <c r="E3800" i="1"/>
  <c r="F3800" i="1" s="1"/>
  <c r="E3747" i="1"/>
  <c r="F3747" i="1" s="1"/>
  <c r="E3748" i="1"/>
  <c r="F3748" i="1" s="1"/>
  <c r="E3749" i="1"/>
  <c r="F3749" i="1" s="1"/>
  <c r="E3750" i="1"/>
  <c r="F3750" i="1" s="1"/>
  <c r="E3751" i="1"/>
  <c r="F3751" i="1" s="1"/>
  <c r="E3752" i="1"/>
  <c r="F3752" i="1" s="1"/>
  <c r="E3753" i="1"/>
  <c r="F3753" i="1" s="1"/>
  <c r="E3754" i="1"/>
  <c r="F3754" i="1" s="1"/>
  <c r="E3755" i="1"/>
  <c r="F3755" i="1" s="1"/>
  <c r="E3756" i="1"/>
  <c r="F3756" i="1" s="1"/>
  <c r="E3757" i="1"/>
  <c r="F3757" i="1" s="1"/>
  <c r="E3758" i="1"/>
  <c r="F3758" i="1" s="1"/>
  <c r="E3759" i="1"/>
  <c r="F3759" i="1" s="1"/>
  <c r="E3760" i="1"/>
  <c r="F3760" i="1" s="1"/>
  <c r="E3761" i="1"/>
  <c r="F3761" i="1" s="1"/>
  <c r="E3762" i="1"/>
  <c r="F3762" i="1" s="1"/>
  <c r="E3709" i="1"/>
  <c r="F3709" i="1" s="1"/>
  <c r="E3710" i="1"/>
  <c r="F3710" i="1" s="1"/>
  <c r="E3711" i="1"/>
  <c r="F3711" i="1" s="1"/>
  <c r="E3712" i="1"/>
  <c r="F3712" i="1" s="1"/>
  <c r="E3713" i="1"/>
  <c r="F3713" i="1" s="1"/>
  <c r="E3714" i="1"/>
  <c r="F3714" i="1" s="1"/>
  <c r="E3715" i="1"/>
  <c r="F3715" i="1" s="1"/>
  <c r="E3716" i="1"/>
  <c r="F3716" i="1" s="1"/>
  <c r="E3717" i="1"/>
  <c r="F3717" i="1" s="1"/>
  <c r="E3718" i="1"/>
  <c r="F3718" i="1" s="1"/>
  <c r="E3719" i="1"/>
  <c r="F3719" i="1" s="1"/>
  <c r="E3720" i="1"/>
  <c r="F3720" i="1" s="1"/>
  <c r="E3721" i="1"/>
  <c r="F3721" i="1" s="1"/>
  <c r="E3722" i="1"/>
  <c r="F3722" i="1" s="1"/>
  <c r="E3723" i="1"/>
  <c r="F3723" i="1" s="1"/>
  <c r="E3724" i="1"/>
  <c r="F3724" i="1" s="1"/>
  <c r="E3671" i="1"/>
  <c r="F3671" i="1" s="1"/>
  <c r="E3672" i="1"/>
  <c r="F3672" i="1" s="1"/>
  <c r="E3673" i="1"/>
  <c r="F3673" i="1" s="1"/>
  <c r="E3674" i="1"/>
  <c r="F3674" i="1" s="1"/>
  <c r="E3675" i="1"/>
  <c r="F3675" i="1" s="1"/>
  <c r="E3676" i="1"/>
  <c r="F3676" i="1" s="1"/>
  <c r="E3677" i="1"/>
  <c r="F3677" i="1" s="1"/>
  <c r="E3678" i="1"/>
  <c r="F3678" i="1" s="1"/>
  <c r="E3679" i="1"/>
  <c r="F3679" i="1" s="1"/>
  <c r="E3680" i="1"/>
  <c r="F3680" i="1" s="1"/>
  <c r="E3681" i="1"/>
  <c r="F3681" i="1" s="1"/>
  <c r="E3682" i="1"/>
  <c r="F3682" i="1" s="1"/>
  <c r="E3683" i="1"/>
  <c r="F3683" i="1" s="1"/>
  <c r="E3684" i="1"/>
  <c r="F3684" i="1" s="1"/>
  <c r="E3685" i="1"/>
  <c r="F3685" i="1" s="1"/>
  <c r="E3686" i="1"/>
  <c r="F3686" i="1" s="1"/>
  <c r="E3633" i="1"/>
  <c r="F3633" i="1" s="1"/>
  <c r="E3634" i="1"/>
  <c r="F3634" i="1" s="1"/>
  <c r="E3635" i="1"/>
  <c r="F3635" i="1" s="1"/>
  <c r="E3636" i="1"/>
  <c r="F3636" i="1" s="1"/>
  <c r="E3637" i="1"/>
  <c r="F3637" i="1" s="1"/>
  <c r="E3638" i="1"/>
  <c r="F3638" i="1" s="1"/>
  <c r="E3639" i="1"/>
  <c r="F3639" i="1" s="1"/>
  <c r="E3640" i="1"/>
  <c r="F3640" i="1" s="1"/>
  <c r="E3641" i="1"/>
  <c r="F3641" i="1" s="1"/>
  <c r="E3642" i="1"/>
  <c r="F3642" i="1" s="1"/>
  <c r="E3643" i="1"/>
  <c r="F3643" i="1" s="1"/>
  <c r="E3644" i="1"/>
  <c r="F3644" i="1" s="1"/>
  <c r="E3645" i="1"/>
  <c r="F3645" i="1" s="1"/>
  <c r="E3646" i="1"/>
  <c r="F3646" i="1" s="1"/>
  <c r="E3647" i="1"/>
  <c r="F3647" i="1" s="1"/>
  <c r="E3648" i="1"/>
  <c r="F3648" i="1" s="1"/>
  <c r="E3595" i="1"/>
  <c r="F3595" i="1" s="1"/>
  <c r="E3596" i="1"/>
  <c r="F3596" i="1" s="1"/>
  <c r="E3597" i="1"/>
  <c r="F3597" i="1" s="1"/>
  <c r="E3598" i="1"/>
  <c r="F3598" i="1" s="1"/>
  <c r="E3599" i="1"/>
  <c r="F3599" i="1" s="1"/>
  <c r="E3600" i="1"/>
  <c r="F3600" i="1" s="1"/>
  <c r="E3601" i="1"/>
  <c r="F3601" i="1" s="1"/>
  <c r="E3602" i="1"/>
  <c r="F3602" i="1" s="1"/>
  <c r="E3603" i="1"/>
  <c r="F3603" i="1" s="1"/>
  <c r="E3604" i="1"/>
  <c r="F3604" i="1" s="1"/>
  <c r="E3605" i="1"/>
  <c r="F3605" i="1" s="1"/>
  <c r="E3606" i="1"/>
  <c r="F3606" i="1" s="1"/>
  <c r="E3607" i="1"/>
  <c r="F3607" i="1" s="1"/>
  <c r="E3608" i="1"/>
  <c r="F3608" i="1" s="1"/>
  <c r="E3609" i="1"/>
  <c r="F3609" i="1" s="1"/>
  <c r="E3610" i="1"/>
  <c r="F3610" i="1" s="1"/>
  <c r="E3557" i="1"/>
  <c r="F3557" i="1" s="1"/>
  <c r="E3558" i="1"/>
  <c r="F3558" i="1" s="1"/>
  <c r="E3559" i="1"/>
  <c r="F3559" i="1" s="1"/>
  <c r="E3560" i="1"/>
  <c r="F3560" i="1" s="1"/>
  <c r="E3561" i="1"/>
  <c r="F3561" i="1" s="1"/>
  <c r="E3562" i="1"/>
  <c r="F3562" i="1" s="1"/>
  <c r="E3563" i="1"/>
  <c r="F3563" i="1" s="1"/>
  <c r="E3564" i="1"/>
  <c r="F3564" i="1" s="1"/>
  <c r="E3565" i="1"/>
  <c r="F3565" i="1" s="1"/>
  <c r="E3566" i="1"/>
  <c r="F3566" i="1" s="1"/>
  <c r="E3567" i="1"/>
  <c r="F3567" i="1" s="1"/>
  <c r="E3568" i="1"/>
  <c r="F3568" i="1" s="1"/>
  <c r="E3569" i="1"/>
  <c r="F3569" i="1" s="1"/>
  <c r="E3570" i="1"/>
  <c r="F3570" i="1" s="1"/>
  <c r="E3571" i="1"/>
  <c r="F3571" i="1" s="1"/>
  <c r="E3572" i="1"/>
  <c r="F3572" i="1" s="1"/>
  <c r="E3519" i="1"/>
  <c r="F3519" i="1" s="1"/>
  <c r="E3520" i="1"/>
  <c r="F3520" i="1" s="1"/>
  <c r="E3521" i="1"/>
  <c r="F3521" i="1" s="1"/>
  <c r="E3522" i="1"/>
  <c r="F3522" i="1" s="1"/>
  <c r="E3523" i="1"/>
  <c r="F3523" i="1" s="1"/>
  <c r="E3524" i="1"/>
  <c r="F3524" i="1" s="1"/>
  <c r="E3525" i="1"/>
  <c r="F3525" i="1" s="1"/>
  <c r="E3526" i="1"/>
  <c r="F3526" i="1" s="1"/>
  <c r="E3527" i="1"/>
  <c r="F3527" i="1" s="1"/>
  <c r="E3528" i="1"/>
  <c r="F3528" i="1" s="1"/>
  <c r="E3529" i="1"/>
  <c r="F3529" i="1" s="1"/>
  <c r="E3530" i="1"/>
  <c r="F3530" i="1" s="1"/>
  <c r="E3531" i="1"/>
  <c r="F3531" i="1" s="1"/>
  <c r="E3532" i="1"/>
  <c r="F3532" i="1" s="1"/>
  <c r="E3533" i="1"/>
  <c r="F3533" i="1" s="1"/>
  <c r="E3534" i="1"/>
  <c r="F3534" i="1" s="1"/>
  <c r="E3443" i="1"/>
  <c r="F3443" i="1" s="1"/>
  <c r="E3444" i="1"/>
  <c r="F3444" i="1" s="1"/>
  <c r="E3445" i="1"/>
  <c r="F3445" i="1" s="1"/>
  <c r="E3446" i="1"/>
  <c r="F3446" i="1" s="1"/>
  <c r="E3447" i="1"/>
  <c r="F3447" i="1" s="1"/>
  <c r="E3448" i="1"/>
  <c r="F3448" i="1" s="1"/>
  <c r="E3449" i="1"/>
  <c r="F3449" i="1" s="1"/>
  <c r="E3450" i="1"/>
  <c r="F3450" i="1" s="1"/>
  <c r="E3451" i="1"/>
  <c r="F3451" i="1" s="1"/>
  <c r="E3452" i="1"/>
  <c r="F3452" i="1" s="1"/>
  <c r="E3453" i="1"/>
  <c r="F3453" i="1" s="1"/>
  <c r="E3454" i="1"/>
  <c r="F3454" i="1" s="1"/>
  <c r="E3455" i="1"/>
  <c r="F3455" i="1" s="1"/>
  <c r="E3456" i="1"/>
  <c r="F3456" i="1" s="1"/>
  <c r="E3457" i="1"/>
  <c r="F3457" i="1" s="1"/>
  <c r="E3458" i="1"/>
  <c r="F3458" i="1" s="1"/>
  <c r="E3405" i="1"/>
  <c r="F3405" i="1" s="1"/>
  <c r="E3406" i="1"/>
  <c r="F3406" i="1" s="1"/>
  <c r="E3407" i="1"/>
  <c r="F3407" i="1" s="1"/>
  <c r="E3408" i="1"/>
  <c r="F3408" i="1" s="1"/>
  <c r="E3409" i="1"/>
  <c r="F3409" i="1" s="1"/>
  <c r="E3410" i="1"/>
  <c r="F3410" i="1" s="1"/>
  <c r="E3411" i="1"/>
  <c r="F3411" i="1" s="1"/>
  <c r="E3412" i="1"/>
  <c r="F3412" i="1" s="1"/>
  <c r="E3413" i="1"/>
  <c r="F3413" i="1" s="1"/>
  <c r="E3414" i="1"/>
  <c r="F3414" i="1" s="1"/>
  <c r="E3415" i="1"/>
  <c r="F3415" i="1" s="1"/>
  <c r="E3416" i="1"/>
  <c r="F3416" i="1" s="1"/>
  <c r="E3417" i="1"/>
  <c r="F3417" i="1" s="1"/>
  <c r="E3418" i="1"/>
  <c r="F3418" i="1" s="1"/>
  <c r="E3419" i="1"/>
  <c r="F3419" i="1" s="1"/>
  <c r="E3420" i="1"/>
  <c r="F3420" i="1" s="1"/>
  <c r="E3367" i="1"/>
  <c r="F3367" i="1" s="1"/>
  <c r="E3368" i="1"/>
  <c r="F3368" i="1" s="1"/>
  <c r="E3369" i="1"/>
  <c r="F3369" i="1" s="1"/>
  <c r="E3370" i="1"/>
  <c r="F3370" i="1" s="1"/>
  <c r="E3371" i="1"/>
  <c r="F3371" i="1" s="1"/>
  <c r="E3372" i="1"/>
  <c r="F3372" i="1" s="1"/>
  <c r="E3373" i="1"/>
  <c r="F3373" i="1" s="1"/>
  <c r="E3374" i="1"/>
  <c r="F3374" i="1" s="1"/>
  <c r="E3375" i="1"/>
  <c r="F3375" i="1" s="1"/>
  <c r="E3376" i="1"/>
  <c r="F3376" i="1" s="1"/>
  <c r="E3377" i="1"/>
  <c r="F3377" i="1" s="1"/>
  <c r="E3378" i="1"/>
  <c r="F3378" i="1" s="1"/>
  <c r="E3379" i="1"/>
  <c r="F3379" i="1" s="1"/>
  <c r="E3380" i="1"/>
  <c r="F3380" i="1" s="1"/>
  <c r="E3381" i="1"/>
  <c r="F3381" i="1" s="1"/>
  <c r="E3382" i="1"/>
  <c r="F3382" i="1" s="1"/>
  <c r="E3329" i="1"/>
  <c r="F3329" i="1" s="1"/>
  <c r="E3330" i="1"/>
  <c r="F3330" i="1" s="1"/>
  <c r="E3331" i="1"/>
  <c r="F3331" i="1" s="1"/>
  <c r="E3332" i="1"/>
  <c r="F3332" i="1" s="1"/>
  <c r="E3333" i="1"/>
  <c r="F3333" i="1" s="1"/>
  <c r="E3334" i="1"/>
  <c r="F3334" i="1" s="1"/>
  <c r="E3335" i="1"/>
  <c r="F3335" i="1" s="1"/>
  <c r="E3336" i="1"/>
  <c r="F3336" i="1" s="1"/>
  <c r="E3337" i="1"/>
  <c r="F3337" i="1" s="1"/>
  <c r="E3338" i="1"/>
  <c r="F3338" i="1" s="1"/>
  <c r="E3339" i="1"/>
  <c r="F3339" i="1" s="1"/>
  <c r="E3340" i="1"/>
  <c r="F3340" i="1" s="1"/>
  <c r="E3341" i="1"/>
  <c r="F3341" i="1" s="1"/>
  <c r="E3342" i="1"/>
  <c r="F3342" i="1" s="1"/>
  <c r="E3343" i="1"/>
  <c r="F3343" i="1" s="1"/>
  <c r="E3344" i="1"/>
  <c r="F3344" i="1" s="1"/>
  <c r="E3291" i="1"/>
  <c r="F3291" i="1" s="1"/>
  <c r="E3292" i="1"/>
  <c r="F3292" i="1" s="1"/>
  <c r="E3293" i="1"/>
  <c r="F3293" i="1" s="1"/>
  <c r="E3294" i="1"/>
  <c r="F3294" i="1" s="1"/>
  <c r="E3295" i="1"/>
  <c r="F3295" i="1" s="1"/>
  <c r="E3296" i="1"/>
  <c r="F3296" i="1" s="1"/>
  <c r="E3297" i="1"/>
  <c r="F3297" i="1" s="1"/>
  <c r="E3298" i="1"/>
  <c r="F3298" i="1" s="1"/>
  <c r="E3299" i="1"/>
  <c r="F3299" i="1" s="1"/>
  <c r="E3300" i="1"/>
  <c r="F3300" i="1" s="1"/>
  <c r="E3301" i="1"/>
  <c r="F3301" i="1" s="1"/>
  <c r="E3302" i="1"/>
  <c r="F3302" i="1" s="1"/>
  <c r="E3303" i="1"/>
  <c r="F3303" i="1" s="1"/>
  <c r="E3304" i="1"/>
  <c r="F3304" i="1" s="1"/>
  <c r="E3305" i="1"/>
  <c r="F3305" i="1" s="1"/>
  <c r="E3306" i="1"/>
  <c r="F3306" i="1" s="1"/>
  <c r="E3253" i="1"/>
  <c r="F3253" i="1" s="1"/>
  <c r="E3254" i="1"/>
  <c r="F3254" i="1" s="1"/>
  <c r="E3255" i="1"/>
  <c r="F3255" i="1" s="1"/>
  <c r="E3256" i="1"/>
  <c r="F3256" i="1" s="1"/>
  <c r="E3257" i="1"/>
  <c r="F3257" i="1" s="1"/>
  <c r="E3258" i="1"/>
  <c r="F3258" i="1" s="1"/>
  <c r="E3259" i="1"/>
  <c r="F3259" i="1" s="1"/>
  <c r="E3260" i="1"/>
  <c r="F3260" i="1" s="1"/>
  <c r="E3261" i="1"/>
  <c r="F3261" i="1" s="1"/>
  <c r="E3262" i="1"/>
  <c r="F3262" i="1" s="1"/>
  <c r="E3263" i="1"/>
  <c r="F3263" i="1" s="1"/>
  <c r="E3264" i="1"/>
  <c r="F3264" i="1" s="1"/>
  <c r="E3265" i="1"/>
  <c r="F3265" i="1" s="1"/>
  <c r="E3266" i="1"/>
  <c r="F3266" i="1" s="1"/>
  <c r="E3267" i="1"/>
  <c r="F3267" i="1" s="1"/>
  <c r="E3268" i="1"/>
  <c r="F3268" i="1" s="1"/>
  <c r="E3215" i="1"/>
  <c r="F3215" i="1" s="1"/>
  <c r="E3216" i="1"/>
  <c r="F3216" i="1" s="1"/>
  <c r="E3217" i="1"/>
  <c r="F3217" i="1" s="1"/>
  <c r="E3218" i="1"/>
  <c r="F3218" i="1" s="1"/>
  <c r="E3219" i="1"/>
  <c r="F3219" i="1" s="1"/>
  <c r="E3220" i="1"/>
  <c r="F3220" i="1" s="1"/>
  <c r="E3221" i="1"/>
  <c r="F3221" i="1" s="1"/>
  <c r="E3222" i="1"/>
  <c r="F3222" i="1" s="1"/>
  <c r="E3223" i="1"/>
  <c r="F3223" i="1" s="1"/>
  <c r="E3224" i="1"/>
  <c r="F3224" i="1" s="1"/>
  <c r="E3225" i="1"/>
  <c r="F3225" i="1" s="1"/>
  <c r="E3226" i="1"/>
  <c r="F3226" i="1" s="1"/>
  <c r="E3227" i="1"/>
  <c r="F3227" i="1" s="1"/>
  <c r="E3228" i="1"/>
  <c r="F3228" i="1" s="1"/>
  <c r="E3229" i="1"/>
  <c r="F3229" i="1" s="1"/>
  <c r="E3230" i="1"/>
  <c r="F3230" i="1" s="1"/>
  <c r="E3177" i="1"/>
  <c r="F3177" i="1" s="1"/>
  <c r="E3178" i="1"/>
  <c r="F3178" i="1" s="1"/>
  <c r="E3179" i="1"/>
  <c r="F3179" i="1" s="1"/>
  <c r="E3180" i="1"/>
  <c r="F3180" i="1" s="1"/>
  <c r="E3181" i="1"/>
  <c r="F3181" i="1" s="1"/>
  <c r="E3182" i="1"/>
  <c r="F3182" i="1" s="1"/>
  <c r="E3183" i="1"/>
  <c r="F3183" i="1" s="1"/>
  <c r="E3184" i="1"/>
  <c r="F3184" i="1" s="1"/>
  <c r="E3185" i="1"/>
  <c r="F3185" i="1" s="1"/>
  <c r="E3186" i="1"/>
  <c r="F3186" i="1" s="1"/>
  <c r="E3187" i="1"/>
  <c r="F3187" i="1" s="1"/>
  <c r="E3188" i="1"/>
  <c r="F3188" i="1" s="1"/>
  <c r="E3189" i="1"/>
  <c r="F3189" i="1" s="1"/>
  <c r="E3190" i="1"/>
  <c r="F3190" i="1" s="1"/>
  <c r="E3191" i="1"/>
  <c r="F3191" i="1" s="1"/>
  <c r="E3192" i="1"/>
  <c r="F3192" i="1" s="1"/>
  <c r="E3139" i="1"/>
  <c r="F3139" i="1" s="1"/>
  <c r="E3140" i="1"/>
  <c r="F3140" i="1" s="1"/>
  <c r="E3141" i="1"/>
  <c r="F3141" i="1" s="1"/>
  <c r="E3142" i="1"/>
  <c r="F3142" i="1" s="1"/>
  <c r="E3143" i="1"/>
  <c r="F3143" i="1" s="1"/>
  <c r="E3144" i="1"/>
  <c r="F3144" i="1" s="1"/>
  <c r="E3145" i="1"/>
  <c r="F3145" i="1" s="1"/>
  <c r="E3146" i="1"/>
  <c r="F3146" i="1" s="1"/>
  <c r="E3147" i="1"/>
  <c r="F3147" i="1" s="1"/>
  <c r="E3148" i="1"/>
  <c r="F3148" i="1" s="1"/>
  <c r="E3149" i="1"/>
  <c r="F3149" i="1" s="1"/>
  <c r="E3150" i="1"/>
  <c r="F3150" i="1" s="1"/>
  <c r="E3151" i="1"/>
  <c r="F3151" i="1" s="1"/>
  <c r="E3152" i="1"/>
  <c r="F3152" i="1" s="1"/>
  <c r="E3153" i="1"/>
  <c r="F3153" i="1" s="1"/>
  <c r="E3154" i="1"/>
  <c r="F3154" i="1" s="1"/>
  <c r="E3101" i="1"/>
  <c r="F3101" i="1" s="1"/>
  <c r="E3102" i="1"/>
  <c r="F3102" i="1" s="1"/>
  <c r="E3103" i="1"/>
  <c r="F3103" i="1" s="1"/>
  <c r="E3104" i="1"/>
  <c r="F3104" i="1" s="1"/>
  <c r="E3105" i="1"/>
  <c r="F3105" i="1" s="1"/>
  <c r="E3106" i="1"/>
  <c r="F3106" i="1" s="1"/>
  <c r="E3107" i="1"/>
  <c r="F3107" i="1" s="1"/>
  <c r="E3108" i="1"/>
  <c r="F3108" i="1" s="1"/>
  <c r="E3109" i="1"/>
  <c r="F3109" i="1" s="1"/>
  <c r="E3110" i="1"/>
  <c r="F3110" i="1" s="1"/>
  <c r="E3111" i="1"/>
  <c r="F3111" i="1" s="1"/>
  <c r="E3112" i="1"/>
  <c r="F3112" i="1" s="1"/>
  <c r="E3113" i="1"/>
  <c r="F3113" i="1" s="1"/>
  <c r="E3114" i="1"/>
  <c r="F3114" i="1" s="1"/>
  <c r="E3115" i="1"/>
  <c r="F3115" i="1" s="1"/>
  <c r="E3116" i="1"/>
  <c r="F3116" i="1" s="1"/>
  <c r="E3063" i="1"/>
  <c r="F3063" i="1" s="1"/>
  <c r="E3064" i="1"/>
  <c r="F3064" i="1" s="1"/>
  <c r="E3065" i="1"/>
  <c r="F3065" i="1" s="1"/>
  <c r="E3066" i="1"/>
  <c r="F3066" i="1" s="1"/>
  <c r="E3067" i="1"/>
  <c r="F3067" i="1" s="1"/>
  <c r="E3068" i="1"/>
  <c r="F3068" i="1" s="1"/>
  <c r="E3069" i="1"/>
  <c r="F3069" i="1" s="1"/>
  <c r="E3070" i="1"/>
  <c r="F3070" i="1" s="1"/>
  <c r="E3071" i="1"/>
  <c r="F3071" i="1" s="1"/>
  <c r="E3072" i="1"/>
  <c r="F3072" i="1" s="1"/>
  <c r="E3073" i="1"/>
  <c r="F3073" i="1" s="1"/>
  <c r="E3074" i="1"/>
  <c r="F3074" i="1" s="1"/>
  <c r="E3075" i="1"/>
  <c r="F3075" i="1" s="1"/>
  <c r="E3076" i="1"/>
  <c r="F3076" i="1" s="1"/>
  <c r="E3077" i="1"/>
  <c r="F3077" i="1" s="1"/>
  <c r="E3078" i="1"/>
  <c r="F3078" i="1" s="1"/>
  <c r="E3025" i="1"/>
  <c r="F3025" i="1" s="1"/>
  <c r="E3026" i="1"/>
  <c r="F3026" i="1" s="1"/>
  <c r="E3027" i="1"/>
  <c r="F3027" i="1" s="1"/>
  <c r="E3028" i="1"/>
  <c r="F3028" i="1" s="1"/>
  <c r="E3029" i="1"/>
  <c r="F3029" i="1" s="1"/>
  <c r="E3030" i="1"/>
  <c r="F3030" i="1" s="1"/>
  <c r="E3031" i="1"/>
  <c r="F3031" i="1" s="1"/>
  <c r="E3032" i="1"/>
  <c r="F3032" i="1" s="1"/>
  <c r="E3033" i="1"/>
  <c r="F3033" i="1" s="1"/>
  <c r="E3034" i="1"/>
  <c r="F3034" i="1" s="1"/>
  <c r="E3035" i="1"/>
  <c r="F3035" i="1" s="1"/>
  <c r="E3036" i="1"/>
  <c r="F3036" i="1" s="1"/>
  <c r="E3037" i="1"/>
  <c r="F3037" i="1" s="1"/>
  <c r="E3038" i="1"/>
  <c r="F3038" i="1" s="1"/>
  <c r="E3039" i="1"/>
  <c r="F3039" i="1" s="1"/>
  <c r="E3040" i="1"/>
  <c r="F3040" i="1" s="1"/>
  <c r="E2987" i="1"/>
  <c r="F2987" i="1" s="1"/>
  <c r="E2988" i="1"/>
  <c r="F2988" i="1" s="1"/>
  <c r="E2989" i="1"/>
  <c r="F2989" i="1" s="1"/>
  <c r="E2990" i="1"/>
  <c r="F2990" i="1" s="1"/>
  <c r="E2991" i="1"/>
  <c r="F2991" i="1" s="1"/>
  <c r="E2992" i="1"/>
  <c r="F2992" i="1" s="1"/>
  <c r="E2993" i="1"/>
  <c r="F2993" i="1" s="1"/>
  <c r="E2994" i="1"/>
  <c r="F2994" i="1" s="1"/>
  <c r="E2995" i="1"/>
  <c r="F2995" i="1" s="1"/>
  <c r="E2996" i="1"/>
  <c r="F2996" i="1" s="1"/>
  <c r="E2997" i="1"/>
  <c r="F2997" i="1" s="1"/>
  <c r="E2998" i="1"/>
  <c r="F2998" i="1" s="1"/>
  <c r="E2999" i="1"/>
  <c r="F2999" i="1" s="1"/>
  <c r="E3000" i="1"/>
  <c r="F3000" i="1" s="1"/>
  <c r="E3001" i="1"/>
  <c r="F3001" i="1" s="1"/>
  <c r="E3002" i="1"/>
  <c r="F3002" i="1" s="1"/>
  <c r="E2949" i="1"/>
  <c r="F2949" i="1" s="1"/>
  <c r="E2950" i="1"/>
  <c r="F2950" i="1" s="1"/>
  <c r="E2951" i="1"/>
  <c r="F2951" i="1" s="1"/>
  <c r="E2952" i="1"/>
  <c r="F2952" i="1" s="1"/>
  <c r="E2953" i="1"/>
  <c r="F2953" i="1" s="1"/>
  <c r="E2954" i="1"/>
  <c r="F2954" i="1" s="1"/>
  <c r="E2955" i="1"/>
  <c r="F2955" i="1" s="1"/>
  <c r="E2956" i="1"/>
  <c r="F2956" i="1" s="1"/>
  <c r="E2957" i="1"/>
  <c r="F2957" i="1" s="1"/>
  <c r="E2958" i="1"/>
  <c r="F2958" i="1" s="1"/>
  <c r="E2959" i="1"/>
  <c r="F2959" i="1" s="1"/>
  <c r="E2960" i="1"/>
  <c r="F2960" i="1" s="1"/>
  <c r="E2961" i="1"/>
  <c r="F2961" i="1" s="1"/>
  <c r="E2962" i="1"/>
  <c r="F2962" i="1" s="1"/>
  <c r="E2963" i="1"/>
  <c r="F2963" i="1" s="1"/>
  <c r="E2964" i="1"/>
  <c r="F2964" i="1" s="1"/>
  <c r="E2911" i="1"/>
  <c r="F2911" i="1" s="1"/>
  <c r="E2912" i="1"/>
  <c r="F2912" i="1" s="1"/>
  <c r="E2913" i="1"/>
  <c r="F2913" i="1" s="1"/>
  <c r="E2914" i="1"/>
  <c r="F2914" i="1" s="1"/>
  <c r="E2915" i="1"/>
  <c r="F2915" i="1" s="1"/>
  <c r="E2916" i="1"/>
  <c r="F2916" i="1" s="1"/>
  <c r="E2917" i="1"/>
  <c r="F2917" i="1" s="1"/>
  <c r="E2918" i="1"/>
  <c r="F2918" i="1" s="1"/>
  <c r="E2919" i="1"/>
  <c r="F2919" i="1" s="1"/>
  <c r="E2920" i="1"/>
  <c r="F2920" i="1" s="1"/>
  <c r="E2921" i="1"/>
  <c r="F2921" i="1" s="1"/>
  <c r="E2922" i="1"/>
  <c r="F2922" i="1" s="1"/>
  <c r="E2923" i="1"/>
  <c r="F2923" i="1" s="1"/>
  <c r="E2924" i="1"/>
  <c r="F2924" i="1" s="1"/>
  <c r="E2925" i="1"/>
  <c r="F2925" i="1" s="1"/>
  <c r="E2926" i="1"/>
  <c r="F2926" i="1" s="1"/>
  <c r="E2873" i="1"/>
  <c r="F2873" i="1" s="1"/>
  <c r="E2874" i="1"/>
  <c r="F2874" i="1" s="1"/>
  <c r="E2875" i="1"/>
  <c r="F2875" i="1" s="1"/>
  <c r="E2876" i="1"/>
  <c r="F2876" i="1" s="1"/>
  <c r="E2877" i="1"/>
  <c r="F2877" i="1" s="1"/>
  <c r="E2878" i="1"/>
  <c r="F2878" i="1" s="1"/>
  <c r="E2879" i="1"/>
  <c r="F2879" i="1" s="1"/>
  <c r="E2880" i="1"/>
  <c r="F2880" i="1" s="1"/>
  <c r="E2881" i="1"/>
  <c r="F2881" i="1" s="1"/>
  <c r="E2882" i="1"/>
  <c r="F2882" i="1" s="1"/>
  <c r="E2883" i="1"/>
  <c r="F2883" i="1" s="1"/>
  <c r="E2884" i="1"/>
  <c r="F2884" i="1" s="1"/>
  <c r="E2885" i="1"/>
  <c r="F2885" i="1" s="1"/>
  <c r="E2886" i="1"/>
  <c r="F2886" i="1" s="1"/>
  <c r="E2887" i="1"/>
  <c r="F2887" i="1" s="1"/>
  <c r="E2888" i="1"/>
  <c r="F2888" i="1" s="1"/>
  <c r="E2797" i="1"/>
  <c r="F2797" i="1" s="1"/>
  <c r="E2798" i="1"/>
  <c r="F2798" i="1" s="1"/>
  <c r="E2799" i="1"/>
  <c r="F2799" i="1" s="1"/>
  <c r="E2800" i="1"/>
  <c r="F2800" i="1" s="1"/>
  <c r="E2801" i="1"/>
  <c r="F2801" i="1" s="1"/>
  <c r="E2802" i="1"/>
  <c r="F2802" i="1" s="1"/>
  <c r="E2803" i="1"/>
  <c r="F2803" i="1" s="1"/>
  <c r="E2804" i="1"/>
  <c r="F2804" i="1" s="1"/>
  <c r="E2805" i="1"/>
  <c r="F2805" i="1" s="1"/>
  <c r="E2806" i="1"/>
  <c r="F2806" i="1" s="1"/>
  <c r="E2807" i="1"/>
  <c r="F2807" i="1" s="1"/>
  <c r="E2808" i="1"/>
  <c r="F2808" i="1" s="1"/>
  <c r="E2809" i="1"/>
  <c r="F2809" i="1" s="1"/>
  <c r="E2810" i="1"/>
  <c r="F2810" i="1" s="1"/>
  <c r="E2811" i="1"/>
  <c r="F2811" i="1" s="1"/>
  <c r="E2812" i="1"/>
  <c r="F2812" i="1" s="1"/>
  <c r="E2759" i="1"/>
  <c r="F2759" i="1" s="1"/>
  <c r="E2760" i="1"/>
  <c r="F2760" i="1" s="1"/>
  <c r="E2761" i="1"/>
  <c r="F2761" i="1" s="1"/>
  <c r="E2762" i="1"/>
  <c r="F2762" i="1" s="1"/>
  <c r="E2763" i="1"/>
  <c r="F2763" i="1" s="1"/>
  <c r="E2764" i="1"/>
  <c r="F2764" i="1" s="1"/>
  <c r="E2765" i="1"/>
  <c r="F2765" i="1" s="1"/>
  <c r="E2766" i="1"/>
  <c r="F2766" i="1" s="1"/>
  <c r="E2767" i="1"/>
  <c r="F2767" i="1" s="1"/>
  <c r="E2768" i="1"/>
  <c r="F2768" i="1" s="1"/>
  <c r="E2769" i="1"/>
  <c r="F2769" i="1" s="1"/>
  <c r="E2770" i="1"/>
  <c r="F2770" i="1" s="1"/>
  <c r="E2771" i="1"/>
  <c r="F2771" i="1" s="1"/>
  <c r="E2772" i="1"/>
  <c r="F2772" i="1" s="1"/>
  <c r="E2773" i="1"/>
  <c r="F2773" i="1" s="1"/>
  <c r="E2774" i="1"/>
  <c r="F2774" i="1" s="1"/>
  <c r="E2721" i="1"/>
  <c r="F2721" i="1" s="1"/>
  <c r="E2722" i="1"/>
  <c r="F2722" i="1" s="1"/>
  <c r="E2723" i="1"/>
  <c r="F2723" i="1" s="1"/>
  <c r="E2724" i="1"/>
  <c r="F2724" i="1" s="1"/>
  <c r="E2725" i="1"/>
  <c r="F2725" i="1" s="1"/>
  <c r="E2726" i="1"/>
  <c r="F2726" i="1" s="1"/>
  <c r="E2727" i="1"/>
  <c r="F2727" i="1" s="1"/>
  <c r="E2728" i="1"/>
  <c r="F2728" i="1" s="1"/>
  <c r="E2729" i="1"/>
  <c r="F2729" i="1" s="1"/>
  <c r="E2730" i="1"/>
  <c r="F2730" i="1" s="1"/>
  <c r="E2731" i="1"/>
  <c r="F2731" i="1" s="1"/>
  <c r="E2732" i="1"/>
  <c r="F2732" i="1" s="1"/>
  <c r="E2733" i="1"/>
  <c r="F2733" i="1" s="1"/>
  <c r="E2734" i="1"/>
  <c r="F2734" i="1" s="1"/>
  <c r="E2735" i="1"/>
  <c r="F2735" i="1" s="1"/>
  <c r="E2736" i="1"/>
  <c r="F2736" i="1" s="1"/>
  <c r="E2683" i="1"/>
  <c r="F2683" i="1" s="1"/>
  <c r="E2684" i="1"/>
  <c r="F2684" i="1" s="1"/>
  <c r="E2685" i="1"/>
  <c r="F2685" i="1" s="1"/>
  <c r="E2686" i="1"/>
  <c r="F2686" i="1" s="1"/>
  <c r="E2687" i="1"/>
  <c r="F2687" i="1" s="1"/>
  <c r="E2688" i="1"/>
  <c r="F2688" i="1" s="1"/>
  <c r="E2689" i="1"/>
  <c r="F2689" i="1" s="1"/>
  <c r="E2690" i="1"/>
  <c r="F2690" i="1" s="1"/>
  <c r="E2691" i="1"/>
  <c r="F2691" i="1" s="1"/>
  <c r="E2692" i="1"/>
  <c r="F2692" i="1" s="1"/>
  <c r="E2693" i="1"/>
  <c r="F2693" i="1" s="1"/>
  <c r="E2694" i="1"/>
  <c r="F2694" i="1" s="1"/>
  <c r="E2695" i="1"/>
  <c r="F2695" i="1" s="1"/>
  <c r="E2696" i="1"/>
  <c r="F2696" i="1" s="1"/>
  <c r="E2697" i="1"/>
  <c r="F2697" i="1" s="1"/>
  <c r="E2698" i="1"/>
  <c r="F2698" i="1" s="1"/>
  <c r="E2645" i="1"/>
  <c r="F2645" i="1" s="1"/>
  <c r="E2646" i="1"/>
  <c r="F2646" i="1" s="1"/>
  <c r="E2647" i="1"/>
  <c r="F2647" i="1" s="1"/>
  <c r="E2648" i="1"/>
  <c r="F2648" i="1" s="1"/>
  <c r="E2649" i="1"/>
  <c r="F2649" i="1" s="1"/>
  <c r="E2650" i="1"/>
  <c r="F2650" i="1" s="1"/>
  <c r="E2651" i="1"/>
  <c r="F2651" i="1" s="1"/>
  <c r="E2652" i="1"/>
  <c r="F2652" i="1" s="1"/>
  <c r="E2653" i="1"/>
  <c r="F2653" i="1" s="1"/>
  <c r="E2654" i="1"/>
  <c r="F2654" i="1" s="1"/>
  <c r="E2655" i="1"/>
  <c r="F2655" i="1" s="1"/>
  <c r="E2656" i="1"/>
  <c r="F2656" i="1" s="1"/>
  <c r="E2657" i="1"/>
  <c r="F2657" i="1" s="1"/>
  <c r="E2658" i="1"/>
  <c r="F2658" i="1" s="1"/>
  <c r="E2659" i="1"/>
  <c r="F2659" i="1" s="1"/>
  <c r="E2660" i="1"/>
  <c r="F2660" i="1" s="1"/>
  <c r="E2607" i="1"/>
  <c r="F2607" i="1" s="1"/>
  <c r="E2608" i="1"/>
  <c r="F2608" i="1" s="1"/>
  <c r="E2609" i="1"/>
  <c r="F2609" i="1" s="1"/>
  <c r="E2610" i="1"/>
  <c r="F2610" i="1" s="1"/>
  <c r="E2611" i="1"/>
  <c r="F2611" i="1" s="1"/>
  <c r="E2612" i="1"/>
  <c r="F2612" i="1" s="1"/>
  <c r="E2613" i="1"/>
  <c r="F2613" i="1" s="1"/>
  <c r="E2614" i="1"/>
  <c r="F2614" i="1" s="1"/>
  <c r="E2615" i="1"/>
  <c r="F2615" i="1" s="1"/>
  <c r="E2616" i="1"/>
  <c r="F2616" i="1" s="1"/>
  <c r="E2617" i="1"/>
  <c r="F2617" i="1" s="1"/>
  <c r="E2618" i="1"/>
  <c r="F2618" i="1" s="1"/>
  <c r="E2619" i="1"/>
  <c r="F2619" i="1" s="1"/>
  <c r="E2620" i="1"/>
  <c r="F2620" i="1" s="1"/>
  <c r="E2621" i="1"/>
  <c r="F2621" i="1" s="1"/>
  <c r="E2622" i="1"/>
  <c r="F2622" i="1" s="1"/>
  <c r="E2569" i="1"/>
  <c r="F2569" i="1" s="1"/>
  <c r="E2570" i="1"/>
  <c r="F2570" i="1" s="1"/>
  <c r="E2571" i="1"/>
  <c r="F2571" i="1" s="1"/>
  <c r="E2572" i="1"/>
  <c r="F2572" i="1" s="1"/>
  <c r="E2573" i="1"/>
  <c r="F2573" i="1" s="1"/>
  <c r="E2574" i="1"/>
  <c r="F2574" i="1" s="1"/>
  <c r="E2575" i="1"/>
  <c r="F2575" i="1" s="1"/>
  <c r="E2576" i="1"/>
  <c r="F2576" i="1" s="1"/>
  <c r="E2577" i="1"/>
  <c r="F2577" i="1" s="1"/>
  <c r="E2578" i="1"/>
  <c r="F2578" i="1" s="1"/>
  <c r="E2579" i="1"/>
  <c r="F2579" i="1" s="1"/>
  <c r="E2580" i="1"/>
  <c r="F2580" i="1" s="1"/>
  <c r="E2581" i="1"/>
  <c r="F2581" i="1" s="1"/>
  <c r="E2582" i="1"/>
  <c r="F2582" i="1" s="1"/>
  <c r="E2583" i="1"/>
  <c r="F2583" i="1" s="1"/>
  <c r="E2584" i="1"/>
  <c r="F2584" i="1" s="1"/>
  <c r="E2531" i="1"/>
  <c r="F2531" i="1" s="1"/>
  <c r="E2532" i="1"/>
  <c r="F2532" i="1" s="1"/>
  <c r="E2533" i="1"/>
  <c r="F2533" i="1" s="1"/>
  <c r="E2534" i="1"/>
  <c r="F2534" i="1" s="1"/>
  <c r="E2535" i="1"/>
  <c r="F2535" i="1" s="1"/>
  <c r="E2536" i="1"/>
  <c r="F2536" i="1" s="1"/>
  <c r="E2537" i="1"/>
  <c r="F2537" i="1" s="1"/>
  <c r="E2538" i="1"/>
  <c r="F2538" i="1" s="1"/>
  <c r="E2539" i="1"/>
  <c r="F2539" i="1" s="1"/>
  <c r="E2540" i="1"/>
  <c r="F2540" i="1" s="1"/>
  <c r="E2541" i="1"/>
  <c r="F2541" i="1" s="1"/>
  <c r="E2542" i="1"/>
  <c r="F2542" i="1" s="1"/>
  <c r="E2543" i="1"/>
  <c r="F2543" i="1" s="1"/>
  <c r="E2544" i="1"/>
  <c r="F2544" i="1" s="1"/>
  <c r="E2545" i="1"/>
  <c r="F2545" i="1" s="1"/>
  <c r="E2546" i="1"/>
  <c r="F2546" i="1" s="1"/>
  <c r="E2493" i="1"/>
  <c r="F2493" i="1" s="1"/>
  <c r="E2494" i="1"/>
  <c r="F2494" i="1" s="1"/>
  <c r="E2495" i="1"/>
  <c r="F2495" i="1" s="1"/>
  <c r="E2496" i="1"/>
  <c r="F2496" i="1" s="1"/>
  <c r="E2497" i="1"/>
  <c r="F2497" i="1" s="1"/>
  <c r="E2498" i="1"/>
  <c r="F2498" i="1" s="1"/>
  <c r="E2499" i="1"/>
  <c r="F2499" i="1" s="1"/>
  <c r="E2500" i="1"/>
  <c r="F2500" i="1" s="1"/>
  <c r="E2501" i="1"/>
  <c r="F2501" i="1" s="1"/>
  <c r="E2502" i="1"/>
  <c r="F2502" i="1" s="1"/>
  <c r="E2503" i="1"/>
  <c r="F2503" i="1" s="1"/>
  <c r="E2504" i="1"/>
  <c r="F2504" i="1" s="1"/>
  <c r="E2505" i="1"/>
  <c r="F2505" i="1" s="1"/>
  <c r="E2506" i="1"/>
  <c r="F2506" i="1" s="1"/>
  <c r="E2507" i="1"/>
  <c r="F2507" i="1" s="1"/>
  <c r="E2508" i="1"/>
  <c r="F2508" i="1" s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E2341" i="1"/>
  <c r="F2341" i="1" s="1"/>
  <c r="E2342" i="1"/>
  <c r="F2342" i="1" s="1"/>
  <c r="E2343" i="1"/>
  <c r="F2343" i="1" s="1"/>
  <c r="E2344" i="1"/>
  <c r="F2344" i="1" s="1"/>
  <c r="E2345" i="1"/>
  <c r="F2345" i="1" s="1"/>
  <c r="E2346" i="1"/>
  <c r="F2346" i="1" s="1"/>
  <c r="E2347" i="1"/>
  <c r="F2347" i="1" s="1"/>
  <c r="E2348" i="1"/>
  <c r="F2348" i="1" s="1"/>
  <c r="E2349" i="1"/>
  <c r="F2349" i="1" s="1"/>
  <c r="E2350" i="1"/>
  <c r="F2350" i="1" s="1"/>
  <c r="E2351" i="1"/>
  <c r="F2351" i="1" s="1"/>
  <c r="E2352" i="1"/>
  <c r="F2352" i="1" s="1"/>
  <c r="E2353" i="1"/>
  <c r="F2353" i="1" s="1"/>
  <c r="E2354" i="1"/>
  <c r="F2354" i="1" s="1"/>
  <c r="E2355" i="1"/>
  <c r="F2355" i="1" s="1"/>
  <c r="E2356" i="1"/>
  <c r="F2356" i="1" s="1"/>
  <c r="E2303" i="1"/>
  <c r="F2303" i="1" s="1"/>
  <c r="E2304" i="1"/>
  <c r="F2304" i="1" s="1"/>
  <c r="E2305" i="1"/>
  <c r="F2305" i="1" s="1"/>
  <c r="E2306" i="1"/>
  <c r="F2306" i="1" s="1"/>
  <c r="E2307" i="1"/>
  <c r="F2307" i="1" s="1"/>
  <c r="E2308" i="1"/>
  <c r="F2308" i="1" s="1"/>
  <c r="E2309" i="1"/>
  <c r="F2309" i="1" s="1"/>
  <c r="E2310" i="1"/>
  <c r="F2310" i="1" s="1"/>
  <c r="E2311" i="1"/>
  <c r="F2311" i="1" s="1"/>
  <c r="E2312" i="1"/>
  <c r="F2312" i="1" s="1"/>
  <c r="E2313" i="1"/>
  <c r="F2313" i="1" s="1"/>
  <c r="E2314" i="1"/>
  <c r="F2314" i="1" s="1"/>
  <c r="E2315" i="1"/>
  <c r="F2315" i="1" s="1"/>
  <c r="E2316" i="1"/>
  <c r="F2316" i="1" s="1"/>
  <c r="E2317" i="1"/>
  <c r="F2317" i="1" s="1"/>
  <c r="E2318" i="1"/>
  <c r="F2318" i="1" s="1"/>
  <c r="E2265" i="1"/>
  <c r="F2265" i="1" s="1"/>
  <c r="E2266" i="1"/>
  <c r="F2266" i="1" s="1"/>
  <c r="E2267" i="1"/>
  <c r="F2267" i="1" s="1"/>
  <c r="E2268" i="1"/>
  <c r="F2268" i="1" s="1"/>
  <c r="E2269" i="1"/>
  <c r="F2269" i="1" s="1"/>
  <c r="E2270" i="1"/>
  <c r="F2270" i="1" s="1"/>
  <c r="E2271" i="1"/>
  <c r="F2271" i="1" s="1"/>
  <c r="E2272" i="1"/>
  <c r="F2272" i="1" s="1"/>
  <c r="E2273" i="1"/>
  <c r="F2273" i="1" s="1"/>
  <c r="E2274" i="1"/>
  <c r="F2274" i="1" s="1"/>
  <c r="E2275" i="1"/>
  <c r="F2275" i="1" s="1"/>
  <c r="E2276" i="1"/>
  <c r="F2276" i="1" s="1"/>
  <c r="E2277" i="1"/>
  <c r="F2277" i="1" s="1"/>
  <c r="E2278" i="1"/>
  <c r="F2278" i="1" s="1"/>
  <c r="E2279" i="1"/>
  <c r="F2279" i="1" s="1"/>
  <c r="E2280" i="1"/>
  <c r="F2280" i="1" s="1"/>
  <c r="E2227" i="1"/>
  <c r="F2227" i="1" s="1"/>
  <c r="E2228" i="1"/>
  <c r="F2228" i="1" s="1"/>
  <c r="E2229" i="1"/>
  <c r="F2229" i="1" s="1"/>
  <c r="E2230" i="1"/>
  <c r="F2230" i="1" s="1"/>
  <c r="E2231" i="1"/>
  <c r="F2231" i="1" s="1"/>
  <c r="E2232" i="1"/>
  <c r="F2232" i="1" s="1"/>
  <c r="E2233" i="1"/>
  <c r="F2233" i="1" s="1"/>
  <c r="E2234" i="1"/>
  <c r="F2234" i="1" s="1"/>
  <c r="E2235" i="1"/>
  <c r="F2235" i="1" s="1"/>
  <c r="E2236" i="1"/>
  <c r="F2236" i="1" s="1"/>
  <c r="E2237" i="1"/>
  <c r="F2237" i="1" s="1"/>
  <c r="E2238" i="1"/>
  <c r="F2238" i="1" s="1"/>
  <c r="E2239" i="1"/>
  <c r="F2239" i="1" s="1"/>
  <c r="E2240" i="1"/>
  <c r="F2240" i="1" s="1"/>
  <c r="E2241" i="1"/>
  <c r="F2241" i="1" s="1"/>
  <c r="E2242" i="1"/>
  <c r="F2242" i="1" s="1"/>
  <c r="E2189" i="1"/>
  <c r="F2189" i="1" s="1"/>
  <c r="E2190" i="1"/>
  <c r="F2190" i="1" s="1"/>
  <c r="E2191" i="1"/>
  <c r="F2191" i="1" s="1"/>
  <c r="E2192" i="1"/>
  <c r="F2192" i="1" s="1"/>
  <c r="E2193" i="1"/>
  <c r="F2193" i="1" s="1"/>
  <c r="E2194" i="1"/>
  <c r="F2194" i="1" s="1"/>
  <c r="E2195" i="1"/>
  <c r="F2195" i="1" s="1"/>
  <c r="E2196" i="1"/>
  <c r="F2196" i="1" s="1"/>
  <c r="E2197" i="1"/>
  <c r="F2197" i="1" s="1"/>
  <c r="E2198" i="1"/>
  <c r="F2198" i="1" s="1"/>
  <c r="E2199" i="1"/>
  <c r="F2199" i="1" s="1"/>
  <c r="E2200" i="1"/>
  <c r="F2200" i="1" s="1"/>
  <c r="E2201" i="1"/>
  <c r="F2201" i="1" s="1"/>
  <c r="E2202" i="1"/>
  <c r="F2202" i="1" s="1"/>
  <c r="E2203" i="1"/>
  <c r="F2203" i="1" s="1"/>
  <c r="E2204" i="1"/>
  <c r="F2204" i="1" s="1"/>
  <c r="E2151" i="1"/>
  <c r="F2151" i="1" s="1"/>
  <c r="E2152" i="1"/>
  <c r="F2152" i="1" s="1"/>
  <c r="E2153" i="1"/>
  <c r="F2153" i="1" s="1"/>
  <c r="E2154" i="1"/>
  <c r="F2154" i="1" s="1"/>
  <c r="E2155" i="1"/>
  <c r="F2155" i="1" s="1"/>
  <c r="E2156" i="1"/>
  <c r="F2156" i="1" s="1"/>
  <c r="E2157" i="1"/>
  <c r="F2157" i="1" s="1"/>
  <c r="E2158" i="1"/>
  <c r="F2158" i="1" s="1"/>
  <c r="E2159" i="1"/>
  <c r="F2159" i="1" s="1"/>
  <c r="E2160" i="1"/>
  <c r="F2160" i="1" s="1"/>
  <c r="E2161" i="1"/>
  <c r="F2161" i="1" s="1"/>
  <c r="E2162" i="1"/>
  <c r="F2162" i="1" s="1"/>
  <c r="E2163" i="1"/>
  <c r="F2163" i="1" s="1"/>
  <c r="E2164" i="1"/>
  <c r="F2164" i="1" s="1"/>
  <c r="E2165" i="1"/>
  <c r="F2165" i="1" s="1"/>
  <c r="E2166" i="1"/>
  <c r="F2166" i="1" s="1"/>
  <c r="E2113" i="1"/>
  <c r="F2113" i="1" s="1"/>
  <c r="E2114" i="1"/>
  <c r="F2114" i="1" s="1"/>
  <c r="E2115" i="1"/>
  <c r="F2115" i="1" s="1"/>
  <c r="E2116" i="1"/>
  <c r="F2116" i="1" s="1"/>
  <c r="E2117" i="1"/>
  <c r="F2117" i="1" s="1"/>
  <c r="E2118" i="1"/>
  <c r="F2118" i="1" s="1"/>
  <c r="E2119" i="1"/>
  <c r="F2119" i="1" s="1"/>
  <c r="E2120" i="1"/>
  <c r="F2120" i="1" s="1"/>
  <c r="E2121" i="1"/>
  <c r="F2121" i="1" s="1"/>
  <c r="E2122" i="1"/>
  <c r="F2122" i="1" s="1"/>
  <c r="E2123" i="1"/>
  <c r="F2123" i="1" s="1"/>
  <c r="E2124" i="1"/>
  <c r="F2124" i="1" s="1"/>
  <c r="E2125" i="1"/>
  <c r="F2125" i="1" s="1"/>
  <c r="E2126" i="1"/>
  <c r="F2126" i="1" s="1"/>
  <c r="E2127" i="1"/>
  <c r="F2127" i="1" s="1"/>
  <c r="E2128" i="1"/>
  <c r="F2128" i="1" s="1"/>
  <c r="E2075" i="1"/>
  <c r="F2075" i="1" s="1"/>
  <c r="E2076" i="1"/>
  <c r="F2076" i="1" s="1"/>
  <c r="E2077" i="1"/>
  <c r="F2077" i="1" s="1"/>
  <c r="E2078" i="1"/>
  <c r="F2078" i="1" s="1"/>
  <c r="E2079" i="1"/>
  <c r="F2079" i="1" s="1"/>
  <c r="E2080" i="1"/>
  <c r="F2080" i="1" s="1"/>
  <c r="E2081" i="1"/>
  <c r="F2081" i="1" s="1"/>
  <c r="E2082" i="1"/>
  <c r="F2082" i="1" s="1"/>
  <c r="E2083" i="1"/>
  <c r="F2083" i="1" s="1"/>
  <c r="E2084" i="1"/>
  <c r="F2084" i="1" s="1"/>
  <c r="E2085" i="1"/>
  <c r="F2085" i="1" s="1"/>
  <c r="E2086" i="1"/>
  <c r="F2086" i="1" s="1"/>
  <c r="E2087" i="1"/>
  <c r="F2087" i="1" s="1"/>
  <c r="E2088" i="1"/>
  <c r="F2088" i="1" s="1"/>
  <c r="E2089" i="1"/>
  <c r="F2089" i="1" s="1"/>
  <c r="E2090" i="1"/>
  <c r="F2090" i="1" s="1"/>
  <c r="E2037" i="1"/>
  <c r="F2037" i="1" s="1"/>
  <c r="E2038" i="1"/>
  <c r="F2038" i="1" s="1"/>
  <c r="E2039" i="1"/>
  <c r="F2039" i="1" s="1"/>
  <c r="E2040" i="1"/>
  <c r="F2040" i="1" s="1"/>
  <c r="E2041" i="1"/>
  <c r="F2041" i="1" s="1"/>
  <c r="E2042" i="1"/>
  <c r="F2042" i="1" s="1"/>
  <c r="E2043" i="1"/>
  <c r="F2043" i="1" s="1"/>
  <c r="E2044" i="1"/>
  <c r="F2044" i="1" s="1"/>
  <c r="E2045" i="1"/>
  <c r="F2045" i="1" s="1"/>
  <c r="E2046" i="1"/>
  <c r="F2046" i="1" s="1"/>
  <c r="E2047" i="1"/>
  <c r="F2047" i="1" s="1"/>
  <c r="E2048" i="1"/>
  <c r="F2048" i="1" s="1"/>
  <c r="E2049" i="1"/>
  <c r="F2049" i="1" s="1"/>
  <c r="E2050" i="1"/>
  <c r="F2050" i="1" s="1"/>
  <c r="E2051" i="1"/>
  <c r="F2051" i="1" s="1"/>
  <c r="E2052" i="1"/>
  <c r="F2052" i="1" s="1"/>
  <c r="E1999" i="1"/>
  <c r="F1999" i="1" s="1"/>
  <c r="E2000" i="1"/>
  <c r="F2000" i="1" s="1"/>
  <c r="E2001" i="1"/>
  <c r="F2001" i="1" s="1"/>
  <c r="E2002" i="1"/>
  <c r="F2002" i="1" s="1"/>
  <c r="E2003" i="1"/>
  <c r="F2003" i="1" s="1"/>
  <c r="E2004" i="1"/>
  <c r="F2004" i="1" s="1"/>
  <c r="E2005" i="1"/>
  <c r="F2005" i="1" s="1"/>
  <c r="E2006" i="1"/>
  <c r="F2006" i="1" s="1"/>
  <c r="E2007" i="1"/>
  <c r="F2007" i="1" s="1"/>
  <c r="E2008" i="1"/>
  <c r="F2008" i="1" s="1"/>
  <c r="E2009" i="1"/>
  <c r="F2009" i="1" s="1"/>
  <c r="E2010" i="1"/>
  <c r="F2010" i="1" s="1"/>
  <c r="E2011" i="1"/>
  <c r="F2011" i="1" s="1"/>
  <c r="E2012" i="1"/>
  <c r="F2012" i="1" s="1"/>
  <c r="E2013" i="1"/>
  <c r="F2013" i="1" s="1"/>
  <c r="E2014" i="1"/>
  <c r="F2014" i="1" s="1"/>
  <c r="E1961" i="1"/>
  <c r="F1961" i="1" s="1"/>
  <c r="E1962" i="1"/>
  <c r="F1962" i="1" s="1"/>
  <c r="E1963" i="1"/>
  <c r="F1963" i="1" s="1"/>
  <c r="E1964" i="1"/>
  <c r="F1964" i="1" s="1"/>
  <c r="E1965" i="1"/>
  <c r="F1965" i="1" s="1"/>
  <c r="E1966" i="1"/>
  <c r="F1966" i="1" s="1"/>
  <c r="E1967" i="1"/>
  <c r="F1967" i="1" s="1"/>
  <c r="E1968" i="1"/>
  <c r="F1968" i="1" s="1"/>
  <c r="E1969" i="1"/>
  <c r="F1969" i="1" s="1"/>
  <c r="E1970" i="1"/>
  <c r="F1970" i="1" s="1"/>
  <c r="E1971" i="1"/>
  <c r="F1971" i="1" s="1"/>
  <c r="E1972" i="1"/>
  <c r="F1972" i="1" s="1"/>
  <c r="E1973" i="1"/>
  <c r="F1973" i="1" s="1"/>
  <c r="E1974" i="1"/>
  <c r="F1974" i="1" s="1"/>
  <c r="E1975" i="1"/>
  <c r="F1975" i="1" s="1"/>
  <c r="E1976" i="1"/>
  <c r="F1976" i="1" s="1"/>
  <c r="E1923" i="1"/>
  <c r="F1923" i="1" s="1"/>
  <c r="E1924" i="1"/>
  <c r="F1924" i="1" s="1"/>
  <c r="E1925" i="1"/>
  <c r="F1925" i="1" s="1"/>
  <c r="E1926" i="1"/>
  <c r="F1926" i="1" s="1"/>
  <c r="E1927" i="1"/>
  <c r="F1927" i="1" s="1"/>
  <c r="E1928" i="1"/>
  <c r="F1928" i="1" s="1"/>
  <c r="E1929" i="1"/>
  <c r="F1929" i="1" s="1"/>
  <c r="E1930" i="1"/>
  <c r="F1930" i="1" s="1"/>
  <c r="E1931" i="1"/>
  <c r="F1931" i="1" s="1"/>
  <c r="E1932" i="1"/>
  <c r="F1932" i="1" s="1"/>
  <c r="E1933" i="1"/>
  <c r="F1933" i="1" s="1"/>
  <c r="E1934" i="1"/>
  <c r="F1934" i="1" s="1"/>
  <c r="E1935" i="1"/>
  <c r="F1935" i="1" s="1"/>
  <c r="E1936" i="1"/>
  <c r="F1936" i="1" s="1"/>
  <c r="E1937" i="1"/>
  <c r="F1937" i="1" s="1"/>
  <c r="E1938" i="1"/>
  <c r="F1938" i="1" s="1"/>
  <c r="E1885" i="1"/>
  <c r="F1885" i="1" s="1"/>
  <c r="E1886" i="1"/>
  <c r="F1886" i="1" s="1"/>
  <c r="E1887" i="1"/>
  <c r="F1887" i="1" s="1"/>
  <c r="E1888" i="1"/>
  <c r="F1888" i="1" s="1"/>
  <c r="E1889" i="1"/>
  <c r="F1889" i="1" s="1"/>
  <c r="E1890" i="1"/>
  <c r="F1890" i="1" s="1"/>
  <c r="E1891" i="1"/>
  <c r="F1891" i="1" s="1"/>
  <c r="E1892" i="1"/>
  <c r="F1892" i="1" s="1"/>
  <c r="E1893" i="1"/>
  <c r="F1893" i="1" s="1"/>
  <c r="E1894" i="1"/>
  <c r="F1894" i="1" s="1"/>
  <c r="E1895" i="1"/>
  <c r="F1895" i="1" s="1"/>
  <c r="E1896" i="1"/>
  <c r="F1896" i="1" s="1"/>
  <c r="E1897" i="1"/>
  <c r="F1897" i="1" s="1"/>
  <c r="E1898" i="1"/>
  <c r="F1898" i="1" s="1"/>
  <c r="E1899" i="1"/>
  <c r="F1899" i="1" s="1"/>
  <c r="E1900" i="1"/>
  <c r="F1900" i="1" s="1"/>
  <c r="E1847" i="1"/>
  <c r="F1847" i="1" s="1"/>
  <c r="E1848" i="1"/>
  <c r="F1848" i="1" s="1"/>
  <c r="E1849" i="1"/>
  <c r="F1849" i="1" s="1"/>
  <c r="E1850" i="1"/>
  <c r="F1850" i="1" s="1"/>
  <c r="E1851" i="1"/>
  <c r="F1851" i="1" s="1"/>
  <c r="E1852" i="1"/>
  <c r="F1852" i="1" s="1"/>
  <c r="E1853" i="1"/>
  <c r="F1853" i="1" s="1"/>
  <c r="E1854" i="1"/>
  <c r="F1854" i="1" s="1"/>
  <c r="E1855" i="1"/>
  <c r="F1855" i="1" s="1"/>
  <c r="E1856" i="1"/>
  <c r="F1856" i="1" s="1"/>
  <c r="E1857" i="1"/>
  <c r="F1857" i="1" s="1"/>
  <c r="E1858" i="1"/>
  <c r="F1858" i="1" s="1"/>
  <c r="E1859" i="1"/>
  <c r="F1859" i="1" s="1"/>
  <c r="E1860" i="1"/>
  <c r="F1860" i="1" s="1"/>
  <c r="E1861" i="1"/>
  <c r="F1861" i="1" s="1"/>
  <c r="E1862" i="1"/>
  <c r="F1862" i="1" s="1"/>
  <c r="E1809" i="1"/>
  <c r="F1809" i="1" s="1"/>
  <c r="E1810" i="1"/>
  <c r="F1810" i="1" s="1"/>
  <c r="E1811" i="1"/>
  <c r="F1811" i="1" s="1"/>
  <c r="E1812" i="1"/>
  <c r="F1812" i="1" s="1"/>
  <c r="E1813" i="1"/>
  <c r="F1813" i="1" s="1"/>
  <c r="E1814" i="1"/>
  <c r="F1814" i="1" s="1"/>
  <c r="E1815" i="1"/>
  <c r="F1815" i="1" s="1"/>
  <c r="E1816" i="1"/>
  <c r="F1816" i="1" s="1"/>
  <c r="E1817" i="1"/>
  <c r="F1817" i="1" s="1"/>
  <c r="E1818" i="1"/>
  <c r="F1818" i="1" s="1"/>
  <c r="E1819" i="1"/>
  <c r="F1819" i="1" s="1"/>
  <c r="E1820" i="1"/>
  <c r="F1820" i="1" s="1"/>
  <c r="E1821" i="1"/>
  <c r="F1821" i="1" s="1"/>
  <c r="E1822" i="1"/>
  <c r="F1822" i="1" s="1"/>
  <c r="E1823" i="1"/>
  <c r="F1823" i="1" s="1"/>
  <c r="E1824" i="1"/>
  <c r="F1824" i="1" s="1"/>
  <c r="E1771" i="1"/>
  <c r="F1771" i="1" s="1"/>
  <c r="E1772" i="1"/>
  <c r="F1772" i="1" s="1"/>
  <c r="E1773" i="1"/>
  <c r="F1773" i="1" s="1"/>
  <c r="E1774" i="1"/>
  <c r="F1774" i="1" s="1"/>
  <c r="E1775" i="1"/>
  <c r="F1775" i="1" s="1"/>
  <c r="E1776" i="1"/>
  <c r="F1776" i="1" s="1"/>
  <c r="E1777" i="1"/>
  <c r="F1777" i="1" s="1"/>
  <c r="E1778" i="1"/>
  <c r="F1778" i="1" s="1"/>
  <c r="E1779" i="1"/>
  <c r="F1779" i="1" s="1"/>
  <c r="E1780" i="1"/>
  <c r="F1780" i="1" s="1"/>
  <c r="E1781" i="1"/>
  <c r="F1781" i="1" s="1"/>
  <c r="E1782" i="1"/>
  <c r="F1782" i="1" s="1"/>
  <c r="E1783" i="1"/>
  <c r="F1783" i="1" s="1"/>
  <c r="E1784" i="1"/>
  <c r="F1784" i="1" s="1"/>
  <c r="E1785" i="1"/>
  <c r="F1785" i="1" s="1"/>
  <c r="E1786" i="1"/>
  <c r="F1786" i="1" s="1"/>
  <c r="E1733" i="1"/>
  <c r="F1733" i="1" s="1"/>
  <c r="E1734" i="1"/>
  <c r="F1734" i="1" s="1"/>
  <c r="E1735" i="1"/>
  <c r="F1735" i="1" s="1"/>
  <c r="E1736" i="1"/>
  <c r="F1736" i="1" s="1"/>
  <c r="E1737" i="1"/>
  <c r="F1737" i="1" s="1"/>
  <c r="E1738" i="1"/>
  <c r="F1738" i="1" s="1"/>
  <c r="E1739" i="1"/>
  <c r="F1739" i="1" s="1"/>
  <c r="E1740" i="1"/>
  <c r="F1740" i="1" s="1"/>
  <c r="E1741" i="1"/>
  <c r="F1741" i="1" s="1"/>
  <c r="E1742" i="1"/>
  <c r="F1742" i="1" s="1"/>
  <c r="E1743" i="1"/>
  <c r="F1743" i="1" s="1"/>
  <c r="E1744" i="1"/>
  <c r="F1744" i="1" s="1"/>
  <c r="E1745" i="1"/>
  <c r="F1745" i="1" s="1"/>
  <c r="E1746" i="1"/>
  <c r="F1746" i="1" s="1"/>
  <c r="E1747" i="1"/>
  <c r="F1747" i="1" s="1"/>
  <c r="E1748" i="1"/>
  <c r="F1748" i="1" s="1"/>
  <c r="E1695" i="1"/>
  <c r="F1695" i="1" s="1"/>
  <c r="E1696" i="1"/>
  <c r="F1696" i="1" s="1"/>
  <c r="E1697" i="1"/>
  <c r="F1697" i="1" s="1"/>
  <c r="E1698" i="1"/>
  <c r="F1698" i="1" s="1"/>
  <c r="E1699" i="1"/>
  <c r="F1699" i="1" s="1"/>
  <c r="E1700" i="1"/>
  <c r="F1700" i="1" s="1"/>
  <c r="E1701" i="1"/>
  <c r="F1701" i="1" s="1"/>
  <c r="E1702" i="1"/>
  <c r="F1702" i="1" s="1"/>
  <c r="E1703" i="1"/>
  <c r="F1703" i="1" s="1"/>
  <c r="E1704" i="1"/>
  <c r="F1704" i="1" s="1"/>
  <c r="E1705" i="1"/>
  <c r="F1705" i="1" s="1"/>
  <c r="E1706" i="1"/>
  <c r="F1706" i="1" s="1"/>
  <c r="E1707" i="1"/>
  <c r="F1707" i="1" s="1"/>
  <c r="E1708" i="1"/>
  <c r="F1708" i="1" s="1"/>
  <c r="E1709" i="1"/>
  <c r="F1709" i="1" s="1"/>
  <c r="E1710" i="1"/>
  <c r="F1710" i="1" s="1"/>
  <c r="E1657" i="1"/>
  <c r="F1657" i="1" s="1"/>
  <c r="E1658" i="1"/>
  <c r="F1658" i="1" s="1"/>
  <c r="E1659" i="1"/>
  <c r="F1659" i="1" s="1"/>
  <c r="E1660" i="1"/>
  <c r="F1660" i="1" s="1"/>
  <c r="E1661" i="1"/>
  <c r="F1661" i="1" s="1"/>
  <c r="E1662" i="1"/>
  <c r="F1662" i="1" s="1"/>
  <c r="E1663" i="1"/>
  <c r="F1663" i="1" s="1"/>
  <c r="E1664" i="1"/>
  <c r="F1664" i="1" s="1"/>
  <c r="E1665" i="1"/>
  <c r="F1665" i="1" s="1"/>
  <c r="E1666" i="1"/>
  <c r="F1666" i="1" s="1"/>
  <c r="E1667" i="1"/>
  <c r="F1667" i="1" s="1"/>
  <c r="E1668" i="1"/>
  <c r="F1668" i="1" s="1"/>
  <c r="E1669" i="1"/>
  <c r="F1669" i="1" s="1"/>
  <c r="E1670" i="1"/>
  <c r="F1670" i="1" s="1"/>
  <c r="E1671" i="1"/>
  <c r="F1671" i="1" s="1"/>
  <c r="E1672" i="1"/>
  <c r="F1672" i="1" s="1"/>
  <c r="E1619" i="1"/>
  <c r="F1619" i="1" s="1"/>
  <c r="E1620" i="1"/>
  <c r="F1620" i="1" s="1"/>
  <c r="E1621" i="1"/>
  <c r="F1621" i="1" s="1"/>
  <c r="E1622" i="1"/>
  <c r="F1622" i="1" s="1"/>
  <c r="E1623" i="1"/>
  <c r="F1623" i="1" s="1"/>
  <c r="E1624" i="1"/>
  <c r="F1624" i="1" s="1"/>
  <c r="E1625" i="1"/>
  <c r="F1625" i="1" s="1"/>
  <c r="E1626" i="1"/>
  <c r="F1626" i="1" s="1"/>
  <c r="E1627" i="1"/>
  <c r="F1627" i="1" s="1"/>
  <c r="E1628" i="1"/>
  <c r="F1628" i="1" s="1"/>
  <c r="E1629" i="1"/>
  <c r="F1629" i="1" s="1"/>
  <c r="E1630" i="1"/>
  <c r="F1630" i="1" s="1"/>
  <c r="E1631" i="1"/>
  <c r="F1631" i="1" s="1"/>
  <c r="E1632" i="1"/>
  <c r="F1632" i="1" s="1"/>
  <c r="E1633" i="1"/>
  <c r="F1633" i="1" s="1"/>
  <c r="E1634" i="1"/>
  <c r="F1634" i="1" s="1"/>
  <c r="E1581" i="1"/>
  <c r="F1581" i="1" s="1"/>
  <c r="E1582" i="1"/>
  <c r="F1582" i="1" s="1"/>
  <c r="E1583" i="1"/>
  <c r="F1583" i="1" s="1"/>
  <c r="E1584" i="1"/>
  <c r="F1584" i="1" s="1"/>
  <c r="E1585" i="1"/>
  <c r="F1585" i="1" s="1"/>
  <c r="E1586" i="1"/>
  <c r="F1586" i="1" s="1"/>
  <c r="E1587" i="1"/>
  <c r="F1587" i="1" s="1"/>
  <c r="E1588" i="1"/>
  <c r="F1588" i="1" s="1"/>
  <c r="E1589" i="1"/>
  <c r="F1589" i="1" s="1"/>
  <c r="E1590" i="1"/>
  <c r="F1590" i="1" s="1"/>
  <c r="E1591" i="1"/>
  <c r="F1591" i="1" s="1"/>
  <c r="E1592" i="1"/>
  <c r="F1592" i="1" s="1"/>
  <c r="E1593" i="1"/>
  <c r="F1593" i="1" s="1"/>
  <c r="E1594" i="1"/>
  <c r="F1594" i="1" s="1"/>
  <c r="E1595" i="1"/>
  <c r="F1595" i="1" s="1"/>
  <c r="E1596" i="1"/>
  <c r="F1596" i="1" s="1"/>
  <c r="E1543" i="1"/>
  <c r="F1543" i="1" s="1"/>
  <c r="E1544" i="1"/>
  <c r="F1544" i="1" s="1"/>
  <c r="E1545" i="1"/>
  <c r="F1545" i="1" s="1"/>
  <c r="E1546" i="1"/>
  <c r="F1546" i="1" s="1"/>
  <c r="E1547" i="1"/>
  <c r="F1547" i="1" s="1"/>
  <c r="E1548" i="1"/>
  <c r="F1548" i="1" s="1"/>
  <c r="E1549" i="1"/>
  <c r="F1549" i="1" s="1"/>
  <c r="E1550" i="1"/>
  <c r="F1550" i="1" s="1"/>
  <c r="E1551" i="1"/>
  <c r="F1551" i="1" s="1"/>
  <c r="E1552" i="1"/>
  <c r="F1552" i="1" s="1"/>
  <c r="E1553" i="1"/>
  <c r="F1553" i="1" s="1"/>
  <c r="E1554" i="1"/>
  <c r="F1554" i="1" s="1"/>
  <c r="E1555" i="1"/>
  <c r="F1555" i="1" s="1"/>
  <c r="E1556" i="1"/>
  <c r="F1556" i="1" s="1"/>
  <c r="E1557" i="1"/>
  <c r="F1557" i="1" s="1"/>
  <c r="E1558" i="1"/>
  <c r="F1558" i="1" s="1"/>
  <c r="E1505" i="1"/>
  <c r="F1505" i="1" s="1"/>
  <c r="E1506" i="1"/>
  <c r="F1506" i="1" s="1"/>
  <c r="E1507" i="1"/>
  <c r="F1507" i="1" s="1"/>
  <c r="E1508" i="1"/>
  <c r="F1508" i="1" s="1"/>
  <c r="E1509" i="1"/>
  <c r="F1509" i="1" s="1"/>
  <c r="E1510" i="1"/>
  <c r="F1510" i="1" s="1"/>
  <c r="E1511" i="1"/>
  <c r="F1511" i="1" s="1"/>
  <c r="E1512" i="1"/>
  <c r="F1512" i="1" s="1"/>
  <c r="E1513" i="1"/>
  <c r="F1513" i="1" s="1"/>
  <c r="E1514" i="1"/>
  <c r="F1514" i="1" s="1"/>
  <c r="E1515" i="1"/>
  <c r="F1515" i="1" s="1"/>
  <c r="E1516" i="1"/>
  <c r="F1516" i="1" s="1"/>
  <c r="E1517" i="1"/>
  <c r="F1517" i="1" s="1"/>
  <c r="E1518" i="1"/>
  <c r="F1518" i="1" s="1"/>
  <c r="E1519" i="1"/>
  <c r="F1519" i="1" s="1"/>
  <c r="E1520" i="1"/>
  <c r="F1520" i="1" s="1"/>
  <c r="E1467" i="1"/>
  <c r="F1467" i="1" s="1"/>
  <c r="E1468" i="1"/>
  <c r="F1468" i="1" s="1"/>
  <c r="E1469" i="1"/>
  <c r="F1469" i="1" s="1"/>
  <c r="E1470" i="1"/>
  <c r="F1470" i="1" s="1"/>
  <c r="E1471" i="1"/>
  <c r="F1471" i="1" s="1"/>
  <c r="E1472" i="1"/>
  <c r="F1472" i="1" s="1"/>
  <c r="E1473" i="1"/>
  <c r="F1473" i="1" s="1"/>
  <c r="E1474" i="1"/>
  <c r="F1474" i="1" s="1"/>
  <c r="E1475" i="1"/>
  <c r="F1475" i="1" s="1"/>
  <c r="E1476" i="1"/>
  <c r="F1476" i="1" s="1"/>
  <c r="E1477" i="1"/>
  <c r="F1477" i="1" s="1"/>
  <c r="E1478" i="1"/>
  <c r="F1478" i="1" s="1"/>
  <c r="E1479" i="1"/>
  <c r="F1479" i="1" s="1"/>
  <c r="E1480" i="1"/>
  <c r="F1480" i="1" s="1"/>
  <c r="E1481" i="1"/>
  <c r="F1481" i="1" s="1"/>
  <c r="E1482" i="1"/>
  <c r="F1482" i="1" s="1"/>
  <c r="E1429" i="1"/>
  <c r="F1429" i="1" s="1"/>
  <c r="E1430" i="1"/>
  <c r="F1430" i="1" s="1"/>
  <c r="E1431" i="1"/>
  <c r="F1431" i="1" s="1"/>
  <c r="E1432" i="1"/>
  <c r="F1432" i="1" s="1"/>
  <c r="E1433" i="1"/>
  <c r="F1433" i="1" s="1"/>
  <c r="E1434" i="1"/>
  <c r="F1434" i="1" s="1"/>
  <c r="E1435" i="1"/>
  <c r="F1435" i="1" s="1"/>
  <c r="E1436" i="1"/>
  <c r="F1436" i="1" s="1"/>
  <c r="E1437" i="1"/>
  <c r="F1437" i="1" s="1"/>
  <c r="E1438" i="1"/>
  <c r="F1438" i="1" s="1"/>
  <c r="E1439" i="1"/>
  <c r="F1439" i="1" s="1"/>
  <c r="E1440" i="1"/>
  <c r="F1440" i="1" s="1"/>
  <c r="E1441" i="1"/>
  <c r="F1441" i="1" s="1"/>
  <c r="E1442" i="1"/>
  <c r="F1442" i="1" s="1"/>
  <c r="E1443" i="1"/>
  <c r="F1443" i="1" s="1"/>
  <c r="E1444" i="1"/>
  <c r="F1444" i="1" s="1"/>
  <c r="E1391" i="1"/>
  <c r="F1391" i="1" s="1"/>
  <c r="E1392" i="1"/>
  <c r="F1392" i="1" s="1"/>
  <c r="E1393" i="1"/>
  <c r="F1393" i="1" s="1"/>
  <c r="E1394" i="1"/>
  <c r="F1394" i="1" s="1"/>
  <c r="E1395" i="1"/>
  <c r="F1395" i="1" s="1"/>
  <c r="E1396" i="1"/>
  <c r="F1396" i="1" s="1"/>
  <c r="E1397" i="1"/>
  <c r="F1397" i="1" s="1"/>
  <c r="E1398" i="1"/>
  <c r="F1398" i="1" s="1"/>
  <c r="E1399" i="1"/>
  <c r="F1399" i="1" s="1"/>
  <c r="E1400" i="1"/>
  <c r="F1400" i="1" s="1"/>
  <c r="E1401" i="1"/>
  <c r="F1401" i="1" s="1"/>
  <c r="E1402" i="1"/>
  <c r="F1402" i="1" s="1"/>
  <c r="E1403" i="1"/>
  <c r="F1403" i="1" s="1"/>
  <c r="E1404" i="1"/>
  <c r="F1404" i="1" s="1"/>
  <c r="E1405" i="1"/>
  <c r="F1405" i="1" s="1"/>
  <c r="E1406" i="1"/>
  <c r="F1406" i="1" s="1"/>
  <c r="E1353" i="1"/>
  <c r="F1353" i="1" s="1"/>
  <c r="E1354" i="1"/>
  <c r="F1354" i="1" s="1"/>
  <c r="E1355" i="1"/>
  <c r="F1355" i="1" s="1"/>
  <c r="E1356" i="1"/>
  <c r="F1356" i="1" s="1"/>
  <c r="E1357" i="1"/>
  <c r="F1357" i="1" s="1"/>
  <c r="E1358" i="1"/>
  <c r="F1358" i="1" s="1"/>
  <c r="E1359" i="1"/>
  <c r="F1359" i="1" s="1"/>
  <c r="E1360" i="1"/>
  <c r="F1360" i="1" s="1"/>
  <c r="E1361" i="1"/>
  <c r="F1361" i="1" s="1"/>
  <c r="E1362" i="1"/>
  <c r="F1362" i="1" s="1"/>
  <c r="E1363" i="1"/>
  <c r="F1363" i="1" s="1"/>
  <c r="E1364" i="1"/>
  <c r="F1364" i="1" s="1"/>
  <c r="E1365" i="1"/>
  <c r="F1365" i="1" s="1"/>
  <c r="E1366" i="1"/>
  <c r="F1366" i="1" s="1"/>
  <c r="E1367" i="1"/>
  <c r="F1367" i="1" s="1"/>
  <c r="E1368" i="1"/>
  <c r="F1368" i="1" s="1"/>
  <c r="E1315" i="1"/>
  <c r="F1315" i="1" s="1"/>
  <c r="E1316" i="1"/>
  <c r="F1316" i="1" s="1"/>
  <c r="E1317" i="1"/>
  <c r="F1317" i="1" s="1"/>
  <c r="E1318" i="1"/>
  <c r="F1318" i="1" s="1"/>
  <c r="E1319" i="1"/>
  <c r="F1319" i="1" s="1"/>
  <c r="E1320" i="1"/>
  <c r="F1320" i="1" s="1"/>
  <c r="E1321" i="1"/>
  <c r="F1321" i="1" s="1"/>
  <c r="E1322" i="1"/>
  <c r="F1322" i="1" s="1"/>
  <c r="E1323" i="1"/>
  <c r="F1323" i="1" s="1"/>
  <c r="E1324" i="1"/>
  <c r="F1324" i="1" s="1"/>
  <c r="E1325" i="1"/>
  <c r="F1325" i="1" s="1"/>
  <c r="E1326" i="1"/>
  <c r="F1326" i="1" s="1"/>
  <c r="E1327" i="1"/>
  <c r="F1327" i="1" s="1"/>
  <c r="E1328" i="1"/>
  <c r="F1328" i="1" s="1"/>
  <c r="E1329" i="1"/>
  <c r="F1329" i="1" s="1"/>
  <c r="E1330" i="1"/>
  <c r="F1330" i="1" s="1"/>
  <c r="E1277" i="1"/>
  <c r="F1277" i="1" s="1"/>
  <c r="E1278" i="1"/>
  <c r="F1278" i="1" s="1"/>
  <c r="E1279" i="1"/>
  <c r="F1279" i="1" s="1"/>
  <c r="E1280" i="1"/>
  <c r="F1280" i="1" s="1"/>
  <c r="E1281" i="1"/>
  <c r="F1281" i="1" s="1"/>
  <c r="E1282" i="1"/>
  <c r="F1282" i="1" s="1"/>
  <c r="E1283" i="1"/>
  <c r="F1283" i="1" s="1"/>
  <c r="E1284" i="1"/>
  <c r="F1284" i="1" s="1"/>
  <c r="E1285" i="1"/>
  <c r="F1285" i="1" s="1"/>
  <c r="E1286" i="1"/>
  <c r="F1286" i="1" s="1"/>
  <c r="E1287" i="1"/>
  <c r="F1287" i="1" s="1"/>
  <c r="E1288" i="1"/>
  <c r="F1288" i="1" s="1"/>
  <c r="E1289" i="1"/>
  <c r="F1289" i="1" s="1"/>
  <c r="E1290" i="1"/>
  <c r="F1290" i="1" s="1"/>
  <c r="E1291" i="1"/>
  <c r="F1291" i="1" s="1"/>
  <c r="E1292" i="1"/>
  <c r="F1292" i="1" s="1"/>
  <c r="E1239" i="1"/>
  <c r="F1239" i="1" s="1"/>
  <c r="E1240" i="1"/>
  <c r="F1240" i="1" s="1"/>
  <c r="E1241" i="1"/>
  <c r="F1241" i="1" s="1"/>
  <c r="E1242" i="1"/>
  <c r="F1242" i="1" s="1"/>
  <c r="E1243" i="1"/>
  <c r="F1243" i="1" s="1"/>
  <c r="E1244" i="1"/>
  <c r="F1244" i="1" s="1"/>
  <c r="E1245" i="1"/>
  <c r="F1245" i="1" s="1"/>
  <c r="E1246" i="1"/>
  <c r="F1246" i="1" s="1"/>
  <c r="E1247" i="1"/>
  <c r="F1247" i="1" s="1"/>
  <c r="E1248" i="1"/>
  <c r="F1248" i="1" s="1"/>
  <c r="E1249" i="1"/>
  <c r="F1249" i="1" s="1"/>
  <c r="E1250" i="1"/>
  <c r="F1250" i="1" s="1"/>
  <c r="E1251" i="1"/>
  <c r="F1251" i="1" s="1"/>
  <c r="E1252" i="1"/>
  <c r="F1252" i="1" s="1"/>
  <c r="E1253" i="1"/>
  <c r="F1253" i="1" s="1"/>
  <c r="E1254" i="1"/>
  <c r="F1254" i="1" s="1"/>
  <c r="E1201" i="1"/>
  <c r="F1201" i="1" s="1"/>
  <c r="E1202" i="1"/>
  <c r="F1202" i="1" s="1"/>
  <c r="E1203" i="1"/>
  <c r="F1203" i="1" s="1"/>
  <c r="E1204" i="1"/>
  <c r="F1204" i="1" s="1"/>
  <c r="E1205" i="1"/>
  <c r="F1205" i="1" s="1"/>
  <c r="E1206" i="1"/>
  <c r="F1206" i="1" s="1"/>
  <c r="E1207" i="1"/>
  <c r="F1207" i="1" s="1"/>
  <c r="E1208" i="1"/>
  <c r="F1208" i="1" s="1"/>
  <c r="E1209" i="1"/>
  <c r="F1209" i="1" s="1"/>
  <c r="E1210" i="1"/>
  <c r="F1210" i="1" s="1"/>
  <c r="E1211" i="1"/>
  <c r="F1211" i="1" s="1"/>
  <c r="E1212" i="1"/>
  <c r="F1212" i="1" s="1"/>
  <c r="E1213" i="1"/>
  <c r="F1213" i="1" s="1"/>
  <c r="E1214" i="1"/>
  <c r="F1214" i="1" s="1"/>
  <c r="E1215" i="1"/>
  <c r="F1215" i="1" s="1"/>
  <c r="E1216" i="1"/>
  <c r="F1216" i="1" s="1"/>
  <c r="E1163" i="1"/>
  <c r="F1163" i="1" s="1"/>
  <c r="E1164" i="1"/>
  <c r="F1164" i="1" s="1"/>
  <c r="E1165" i="1"/>
  <c r="F1165" i="1" s="1"/>
  <c r="E1166" i="1"/>
  <c r="F1166" i="1" s="1"/>
  <c r="E1167" i="1"/>
  <c r="F1167" i="1" s="1"/>
  <c r="E1168" i="1"/>
  <c r="F1168" i="1" s="1"/>
  <c r="E1169" i="1"/>
  <c r="F1169" i="1" s="1"/>
  <c r="E1170" i="1"/>
  <c r="F1170" i="1" s="1"/>
  <c r="E1171" i="1"/>
  <c r="F1171" i="1" s="1"/>
  <c r="E1172" i="1"/>
  <c r="F1172" i="1" s="1"/>
  <c r="E1173" i="1"/>
  <c r="F1173" i="1" s="1"/>
  <c r="E1174" i="1"/>
  <c r="F1174" i="1" s="1"/>
  <c r="E1175" i="1"/>
  <c r="F1175" i="1" s="1"/>
  <c r="E1176" i="1"/>
  <c r="F1176" i="1" s="1"/>
  <c r="E1177" i="1"/>
  <c r="F1177" i="1" s="1"/>
  <c r="E1178" i="1"/>
  <c r="F1178" i="1" s="1"/>
  <c r="E1125" i="1"/>
  <c r="F1125" i="1" s="1"/>
  <c r="E1126" i="1"/>
  <c r="F1126" i="1" s="1"/>
  <c r="E1127" i="1"/>
  <c r="F1127" i="1" s="1"/>
  <c r="E1128" i="1"/>
  <c r="F1128" i="1" s="1"/>
  <c r="E1129" i="1"/>
  <c r="F1129" i="1" s="1"/>
  <c r="E1130" i="1"/>
  <c r="F1130" i="1" s="1"/>
  <c r="E1131" i="1"/>
  <c r="F1131" i="1" s="1"/>
  <c r="E1132" i="1"/>
  <c r="F1132" i="1" s="1"/>
  <c r="E1133" i="1"/>
  <c r="F1133" i="1" s="1"/>
  <c r="E1134" i="1"/>
  <c r="F1134" i="1" s="1"/>
  <c r="E1135" i="1"/>
  <c r="F1135" i="1" s="1"/>
  <c r="E1136" i="1"/>
  <c r="F1136" i="1" s="1"/>
  <c r="E1137" i="1"/>
  <c r="F1137" i="1" s="1"/>
  <c r="E1138" i="1"/>
  <c r="F1138" i="1" s="1"/>
  <c r="E1139" i="1"/>
  <c r="F1139" i="1" s="1"/>
  <c r="E1140" i="1"/>
  <c r="F1140" i="1" s="1"/>
  <c r="E1087" i="1"/>
  <c r="F1087" i="1" s="1"/>
  <c r="E1088" i="1"/>
  <c r="F1088" i="1" s="1"/>
  <c r="E1089" i="1"/>
  <c r="F1089" i="1" s="1"/>
  <c r="E1090" i="1"/>
  <c r="F1090" i="1" s="1"/>
  <c r="E1091" i="1"/>
  <c r="F1091" i="1" s="1"/>
  <c r="E1092" i="1"/>
  <c r="F1092" i="1" s="1"/>
  <c r="E1093" i="1"/>
  <c r="F1093" i="1" s="1"/>
  <c r="E1094" i="1"/>
  <c r="F1094" i="1" s="1"/>
  <c r="E1095" i="1"/>
  <c r="F1095" i="1" s="1"/>
  <c r="E1096" i="1"/>
  <c r="F1096" i="1" s="1"/>
  <c r="E1097" i="1"/>
  <c r="F1097" i="1" s="1"/>
  <c r="E1098" i="1"/>
  <c r="F1098" i="1" s="1"/>
  <c r="E1099" i="1"/>
  <c r="F1099" i="1" s="1"/>
  <c r="E1100" i="1"/>
  <c r="F1100" i="1" s="1"/>
  <c r="E1101" i="1"/>
  <c r="F1101" i="1" s="1"/>
  <c r="E1102" i="1"/>
  <c r="F1102" i="1" s="1"/>
  <c r="E1049" i="1"/>
  <c r="F1049" i="1" s="1"/>
  <c r="E1050" i="1"/>
  <c r="F1050" i="1" s="1"/>
  <c r="E1051" i="1"/>
  <c r="F1051" i="1" s="1"/>
  <c r="E1052" i="1"/>
  <c r="F1052" i="1" s="1"/>
  <c r="E1053" i="1"/>
  <c r="F1053" i="1" s="1"/>
  <c r="E1054" i="1"/>
  <c r="F1054" i="1" s="1"/>
  <c r="E1055" i="1"/>
  <c r="F1055" i="1" s="1"/>
  <c r="E1056" i="1"/>
  <c r="F1056" i="1" s="1"/>
  <c r="E1057" i="1"/>
  <c r="F1057" i="1" s="1"/>
  <c r="E1058" i="1"/>
  <c r="F1058" i="1" s="1"/>
  <c r="E1059" i="1"/>
  <c r="F1059" i="1" s="1"/>
  <c r="E1060" i="1"/>
  <c r="F1060" i="1" s="1"/>
  <c r="E1061" i="1"/>
  <c r="F1061" i="1" s="1"/>
  <c r="E1062" i="1"/>
  <c r="F1062" i="1" s="1"/>
  <c r="E1063" i="1"/>
  <c r="F1063" i="1" s="1"/>
  <c r="E1064" i="1"/>
  <c r="F1064" i="1" s="1"/>
  <c r="E1011" i="1"/>
  <c r="F1011" i="1" s="1"/>
  <c r="E1012" i="1"/>
  <c r="F1012" i="1" s="1"/>
  <c r="E1013" i="1"/>
  <c r="F1013" i="1" s="1"/>
  <c r="E1014" i="1"/>
  <c r="F1014" i="1" s="1"/>
  <c r="E1015" i="1"/>
  <c r="F1015" i="1" s="1"/>
  <c r="E1016" i="1"/>
  <c r="F1016" i="1" s="1"/>
  <c r="E1017" i="1"/>
  <c r="F1017" i="1" s="1"/>
  <c r="E1018" i="1"/>
  <c r="F1018" i="1" s="1"/>
  <c r="E1019" i="1"/>
  <c r="F1019" i="1" s="1"/>
  <c r="E1020" i="1"/>
  <c r="F1020" i="1" s="1"/>
  <c r="E1021" i="1"/>
  <c r="F1021" i="1" s="1"/>
  <c r="E1022" i="1"/>
  <c r="F1022" i="1" s="1"/>
  <c r="E1023" i="1"/>
  <c r="F1023" i="1" s="1"/>
  <c r="E1024" i="1"/>
  <c r="F1024" i="1" s="1"/>
  <c r="E1025" i="1"/>
  <c r="F1025" i="1" s="1"/>
  <c r="E1026" i="1"/>
  <c r="F1026" i="1" s="1"/>
  <c r="E973" i="1"/>
  <c r="F973" i="1" s="1"/>
  <c r="E974" i="1"/>
  <c r="F974" i="1" s="1"/>
  <c r="E975" i="1"/>
  <c r="F975" i="1" s="1"/>
  <c r="E976" i="1"/>
  <c r="F976" i="1" s="1"/>
  <c r="E977" i="1"/>
  <c r="F977" i="1" s="1"/>
  <c r="E978" i="1"/>
  <c r="F978" i="1" s="1"/>
  <c r="E979" i="1"/>
  <c r="F979" i="1" s="1"/>
  <c r="E980" i="1"/>
  <c r="F980" i="1" s="1"/>
  <c r="E981" i="1"/>
  <c r="F981" i="1" s="1"/>
  <c r="E982" i="1"/>
  <c r="F982" i="1" s="1"/>
  <c r="E983" i="1"/>
  <c r="F983" i="1" s="1"/>
  <c r="E984" i="1"/>
  <c r="F984" i="1" s="1"/>
  <c r="E985" i="1"/>
  <c r="F985" i="1" s="1"/>
  <c r="E986" i="1"/>
  <c r="F986" i="1" s="1"/>
  <c r="E987" i="1"/>
  <c r="F987" i="1" s="1"/>
  <c r="E988" i="1"/>
  <c r="F988" i="1" s="1"/>
  <c r="E935" i="1"/>
  <c r="F935" i="1" s="1"/>
  <c r="E936" i="1"/>
  <c r="F936" i="1" s="1"/>
  <c r="E937" i="1"/>
  <c r="F937" i="1" s="1"/>
  <c r="E938" i="1"/>
  <c r="F938" i="1" s="1"/>
  <c r="E939" i="1"/>
  <c r="F939" i="1" s="1"/>
  <c r="E940" i="1"/>
  <c r="F940" i="1" s="1"/>
  <c r="E941" i="1"/>
  <c r="F941" i="1" s="1"/>
  <c r="E942" i="1"/>
  <c r="F942" i="1" s="1"/>
  <c r="E943" i="1"/>
  <c r="F943" i="1" s="1"/>
  <c r="E944" i="1"/>
  <c r="F944" i="1" s="1"/>
  <c r="E945" i="1"/>
  <c r="F945" i="1" s="1"/>
  <c r="E946" i="1"/>
  <c r="F946" i="1" s="1"/>
  <c r="E947" i="1"/>
  <c r="F947" i="1" s="1"/>
  <c r="E948" i="1"/>
  <c r="F948" i="1" s="1"/>
  <c r="E949" i="1"/>
  <c r="F949" i="1" s="1"/>
  <c r="E950" i="1"/>
  <c r="F950" i="1" s="1"/>
  <c r="E897" i="1"/>
  <c r="F897" i="1" s="1"/>
  <c r="E898" i="1"/>
  <c r="F898" i="1" s="1"/>
  <c r="E899" i="1"/>
  <c r="F899" i="1" s="1"/>
  <c r="E900" i="1"/>
  <c r="F900" i="1" s="1"/>
  <c r="E901" i="1"/>
  <c r="F901" i="1" s="1"/>
  <c r="E902" i="1"/>
  <c r="F902" i="1" s="1"/>
  <c r="E903" i="1"/>
  <c r="F903" i="1" s="1"/>
  <c r="E904" i="1"/>
  <c r="F904" i="1" s="1"/>
  <c r="E905" i="1"/>
  <c r="F905" i="1" s="1"/>
  <c r="E906" i="1"/>
  <c r="F906" i="1" s="1"/>
  <c r="E907" i="1"/>
  <c r="F907" i="1" s="1"/>
  <c r="E908" i="1"/>
  <c r="F908" i="1" s="1"/>
  <c r="E909" i="1"/>
  <c r="F909" i="1" s="1"/>
  <c r="E910" i="1"/>
  <c r="F910" i="1" s="1"/>
  <c r="E911" i="1"/>
  <c r="F911" i="1" s="1"/>
  <c r="E912" i="1"/>
  <c r="F912" i="1" s="1"/>
  <c r="E859" i="1"/>
  <c r="F859" i="1" s="1"/>
  <c r="E860" i="1"/>
  <c r="F860" i="1" s="1"/>
  <c r="E861" i="1"/>
  <c r="F861" i="1" s="1"/>
  <c r="E862" i="1"/>
  <c r="F862" i="1" s="1"/>
  <c r="E863" i="1"/>
  <c r="F863" i="1" s="1"/>
  <c r="E864" i="1"/>
  <c r="F864" i="1" s="1"/>
  <c r="E865" i="1"/>
  <c r="F865" i="1" s="1"/>
  <c r="E866" i="1"/>
  <c r="F866" i="1" s="1"/>
  <c r="E867" i="1"/>
  <c r="F867" i="1" s="1"/>
  <c r="E868" i="1"/>
  <c r="F868" i="1" s="1"/>
  <c r="E869" i="1"/>
  <c r="F869" i="1" s="1"/>
  <c r="E870" i="1"/>
  <c r="F870" i="1" s="1"/>
  <c r="E871" i="1"/>
  <c r="F871" i="1" s="1"/>
  <c r="E872" i="1"/>
  <c r="F872" i="1" s="1"/>
  <c r="E873" i="1"/>
  <c r="F873" i="1" s="1"/>
  <c r="E874" i="1"/>
  <c r="F874" i="1" s="1"/>
  <c r="E821" i="1"/>
  <c r="F821" i="1" s="1"/>
  <c r="E822" i="1"/>
  <c r="F822" i="1" s="1"/>
  <c r="E823" i="1"/>
  <c r="F823" i="1" s="1"/>
  <c r="E824" i="1"/>
  <c r="F824" i="1" s="1"/>
  <c r="E825" i="1"/>
  <c r="F825" i="1" s="1"/>
  <c r="E826" i="1"/>
  <c r="F826" i="1" s="1"/>
  <c r="E827" i="1"/>
  <c r="F827" i="1" s="1"/>
  <c r="E828" i="1"/>
  <c r="F828" i="1" s="1"/>
  <c r="E829" i="1"/>
  <c r="F829" i="1" s="1"/>
  <c r="E830" i="1"/>
  <c r="F830" i="1" s="1"/>
  <c r="E831" i="1"/>
  <c r="F831" i="1" s="1"/>
  <c r="E832" i="1"/>
  <c r="F832" i="1" s="1"/>
  <c r="E833" i="1"/>
  <c r="F833" i="1" s="1"/>
  <c r="E834" i="1"/>
  <c r="F834" i="1" s="1"/>
  <c r="E835" i="1"/>
  <c r="F835" i="1" s="1"/>
  <c r="E836" i="1"/>
  <c r="F836" i="1" s="1"/>
  <c r="E783" i="1"/>
  <c r="F783" i="1" s="1"/>
  <c r="E784" i="1"/>
  <c r="F784" i="1" s="1"/>
  <c r="E785" i="1"/>
  <c r="F785" i="1" s="1"/>
  <c r="E786" i="1"/>
  <c r="F786" i="1" s="1"/>
  <c r="E787" i="1"/>
  <c r="F787" i="1" s="1"/>
  <c r="E788" i="1"/>
  <c r="F788" i="1" s="1"/>
  <c r="E789" i="1"/>
  <c r="F789" i="1" s="1"/>
  <c r="E790" i="1"/>
  <c r="F790" i="1" s="1"/>
  <c r="E791" i="1"/>
  <c r="F791" i="1" s="1"/>
  <c r="E792" i="1"/>
  <c r="F792" i="1" s="1"/>
  <c r="E793" i="1"/>
  <c r="F793" i="1" s="1"/>
  <c r="E794" i="1"/>
  <c r="F794" i="1" s="1"/>
  <c r="E795" i="1"/>
  <c r="F795" i="1" s="1"/>
  <c r="E796" i="1"/>
  <c r="F796" i="1" s="1"/>
  <c r="E797" i="1"/>
  <c r="F797" i="1" s="1"/>
  <c r="E798" i="1"/>
  <c r="F798" i="1" s="1"/>
  <c r="E745" i="1"/>
  <c r="F745" i="1" s="1"/>
  <c r="E746" i="1"/>
  <c r="F746" i="1" s="1"/>
  <c r="E747" i="1"/>
  <c r="F747" i="1" s="1"/>
  <c r="E748" i="1"/>
  <c r="F748" i="1" s="1"/>
  <c r="E749" i="1"/>
  <c r="F749" i="1" s="1"/>
  <c r="E750" i="1"/>
  <c r="F750" i="1" s="1"/>
  <c r="E751" i="1"/>
  <c r="F751" i="1" s="1"/>
  <c r="E752" i="1"/>
  <c r="F752" i="1" s="1"/>
  <c r="E753" i="1"/>
  <c r="F753" i="1" s="1"/>
  <c r="E754" i="1"/>
  <c r="F754" i="1" s="1"/>
  <c r="E755" i="1"/>
  <c r="F755" i="1" s="1"/>
  <c r="E756" i="1"/>
  <c r="F756" i="1" s="1"/>
  <c r="E757" i="1"/>
  <c r="F757" i="1" s="1"/>
  <c r="E758" i="1"/>
  <c r="F758" i="1" s="1"/>
  <c r="E759" i="1"/>
  <c r="F759" i="1" s="1"/>
  <c r="E760" i="1"/>
  <c r="F760" i="1" s="1"/>
  <c r="E707" i="1"/>
  <c r="F707" i="1" s="1"/>
  <c r="E708" i="1"/>
  <c r="F708" i="1" s="1"/>
  <c r="E709" i="1"/>
  <c r="F709" i="1" s="1"/>
  <c r="E710" i="1"/>
  <c r="F710" i="1" s="1"/>
  <c r="E711" i="1"/>
  <c r="F711" i="1" s="1"/>
  <c r="E712" i="1"/>
  <c r="F712" i="1" s="1"/>
  <c r="E713" i="1"/>
  <c r="F713" i="1" s="1"/>
  <c r="E714" i="1"/>
  <c r="F714" i="1" s="1"/>
  <c r="E715" i="1"/>
  <c r="F715" i="1" s="1"/>
  <c r="E716" i="1"/>
  <c r="F716" i="1" s="1"/>
  <c r="E717" i="1"/>
  <c r="F717" i="1" s="1"/>
  <c r="E718" i="1"/>
  <c r="F718" i="1" s="1"/>
  <c r="E719" i="1"/>
  <c r="F719" i="1" s="1"/>
  <c r="E720" i="1"/>
  <c r="F720" i="1" s="1"/>
  <c r="E721" i="1"/>
  <c r="F721" i="1" s="1"/>
  <c r="E722" i="1"/>
  <c r="F722" i="1" s="1"/>
  <c r="E669" i="1"/>
  <c r="F669" i="1" s="1"/>
  <c r="E670" i="1"/>
  <c r="F670" i="1" s="1"/>
  <c r="E671" i="1"/>
  <c r="F671" i="1" s="1"/>
  <c r="E672" i="1"/>
  <c r="F672" i="1" s="1"/>
  <c r="E673" i="1"/>
  <c r="F673" i="1" s="1"/>
  <c r="E674" i="1"/>
  <c r="F674" i="1" s="1"/>
  <c r="E675" i="1"/>
  <c r="F675" i="1" s="1"/>
  <c r="E676" i="1"/>
  <c r="F676" i="1" s="1"/>
  <c r="E677" i="1"/>
  <c r="F677" i="1" s="1"/>
  <c r="E678" i="1"/>
  <c r="F678" i="1" s="1"/>
  <c r="E679" i="1"/>
  <c r="F679" i="1" s="1"/>
  <c r="E680" i="1"/>
  <c r="F680" i="1" s="1"/>
  <c r="E681" i="1"/>
  <c r="F681" i="1" s="1"/>
  <c r="E682" i="1"/>
  <c r="F682" i="1" s="1"/>
  <c r="E683" i="1"/>
  <c r="F683" i="1" s="1"/>
  <c r="E684" i="1"/>
  <c r="F684" i="1" s="1"/>
  <c r="E631" i="1"/>
  <c r="F631" i="1" s="1"/>
  <c r="E632" i="1"/>
  <c r="F632" i="1" s="1"/>
  <c r="E633" i="1"/>
  <c r="F633" i="1" s="1"/>
  <c r="E634" i="1"/>
  <c r="F634" i="1" s="1"/>
  <c r="E635" i="1"/>
  <c r="F635" i="1" s="1"/>
  <c r="E636" i="1"/>
  <c r="F636" i="1" s="1"/>
  <c r="E637" i="1"/>
  <c r="F637" i="1" s="1"/>
  <c r="E638" i="1"/>
  <c r="F638" i="1" s="1"/>
  <c r="E639" i="1"/>
  <c r="F639" i="1" s="1"/>
  <c r="E640" i="1"/>
  <c r="F640" i="1" s="1"/>
  <c r="E641" i="1"/>
  <c r="F641" i="1" s="1"/>
  <c r="E642" i="1"/>
  <c r="F642" i="1" s="1"/>
  <c r="E643" i="1"/>
  <c r="F643" i="1" s="1"/>
  <c r="E644" i="1"/>
  <c r="F644" i="1" s="1"/>
  <c r="E645" i="1"/>
  <c r="F645" i="1" s="1"/>
  <c r="E646" i="1"/>
  <c r="F646" i="1" s="1"/>
  <c r="E593" i="1"/>
  <c r="F593" i="1" s="1"/>
  <c r="E594" i="1"/>
  <c r="F594" i="1" s="1"/>
  <c r="E595" i="1"/>
  <c r="F595" i="1" s="1"/>
  <c r="E596" i="1"/>
  <c r="F596" i="1" s="1"/>
  <c r="E597" i="1"/>
  <c r="F597" i="1" s="1"/>
  <c r="E598" i="1"/>
  <c r="F598" i="1" s="1"/>
  <c r="E599" i="1"/>
  <c r="F599" i="1" s="1"/>
  <c r="E600" i="1"/>
  <c r="F600" i="1" s="1"/>
  <c r="E601" i="1"/>
  <c r="F601" i="1" s="1"/>
  <c r="E602" i="1"/>
  <c r="F602" i="1" s="1"/>
  <c r="E603" i="1"/>
  <c r="F603" i="1" s="1"/>
  <c r="E604" i="1"/>
  <c r="F604" i="1" s="1"/>
  <c r="E605" i="1"/>
  <c r="F605" i="1" s="1"/>
  <c r="E606" i="1"/>
  <c r="F606" i="1" s="1"/>
  <c r="E607" i="1"/>
  <c r="F607" i="1" s="1"/>
  <c r="E608" i="1"/>
  <c r="F608" i="1" s="1"/>
  <c r="E555" i="1"/>
  <c r="F555" i="1" s="1"/>
  <c r="E556" i="1"/>
  <c r="F556" i="1" s="1"/>
  <c r="E557" i="1"/>
  <c r="F557" i="1" s="1"/>
  <c r="E558" i="1"/>
  <c r="F558" i="1" s="1"/>
  <c r="E559" i="1"/>
  <c r="F559" i="1" s="1"/>
  <c r="E560" i="1"/>
  <c r="F560" i="1" s="1"/>
  <c r="E561" i="1"/>
  <c r="F561" i="1" s="1"/>
  <c r="E562" i="1"/>
  <c r="F562" i="1" s="1"/>
  <c r="E563" i="1"/>
  <c r="F563" i="1" s="1"/>
  <c r="E564" i="1"/>
  <c r="F564" i="1" s="1"/>
  <c r="E565" i="1"/>
  <c r="F565" i="1" s="1"/>
  <c r="E566" i="1"/>
  <c r="F566" i="1" s="1"/>
  <c r="E567" i="1"/>
  <c r="F567" i="1" s="1"/>
  <c r="E568" i="1"/>
  <c r="F568" i="1" s="1"/>
  <c r="E569" i="1"/>
  <c r="F569" i="1" s="1"/>
  <c r="E570" i="1"/>
  <c r="F570" i="1" s="1"/>
  <c r="E517" i="1"/>
  <c r="F517" i="1" s="1"/>
  <c r="E518" i="1"/>
  <c r="F518" i="1" s="1"/>
  <c r="E519" i="1"/>
  <c r="F519" i="1" s="1"/>
  <c r="E520" i="1"/>
  <c r="F520" i="1" s="1"/>
  <c r="E521" i="1"/>
  <c r="F521" i="1" s="1"/>
  <c r="E522" i="1"/>
  <c r="F522" i="1" s="1"/>
  <c r="E523" i="1"/>
  <c r="F523" i="1" s="1"/>
  <c r="E524" i="1"/>
  <c r="F524" i="1" s="1"/>
  <c r="E525" i="1"/>
  <c r="F525" i="1" s="1"/>
  <c r="E526" i="1"/>
  <c r="F526" i="1" s="1"/>
  <c r="E527" i="1"/>
  <c r="F527" i="1" s="1"/>
  <c r="E528" i="1"/>
  <c r="F528" i="1" s="1"/>
  <c r="E529" i="1"/>
  <c r="F529" i="1" s="1"/>
  <c r="E530" i="1"/>
  <c r="F530" i="1" s="1"/>
  <c r="E531" i="1"/>
  <c r="F531" i="1" s="1"/>
  <c r="E532" i="1"/>
  <c r="F532" i="1" s="1"/>
  <c r="E479" i="1"/>
  <c r="F479" i="1" s="1"/>
  <c r="E480" i="1"/>
  <c r="F480" i="1" s="1"/>
  <c r="E481" i="1"/>
  <c r="F481" i="1" s="1"/>
  <c r="E482" i="1"/>
  <c r="F482" i="1" s="1"/>
  <c r="E483" i="1"/>
  <c r="F483" i="1" s="1"/>
  <c r="E484" i="1"/>
  <c r="F484" i="1" s="1"/>
  <c r="E485" i="1"/>
  <c r="F485" i="1" s="1"/>
  <c r="E486" i="1"/>
  <c r="F486" i="1" s="1"/>
  <c r="E487" i="1"/>
  <c r="F487" i="1" s="1"/>
  <c r="E488" i="1"/>
  <c r="F488" i="1" s="1"/>
  <c r="E489" i="1"/>
  <c r="F489" i="1" s="1"/>
  <c r="E490" i="1"/>
  <c r="F490" i="1" s="1"/>
  <c r="E491" i="1"/>
  <c r="F491" i="1" s="1"/>
  <c r="E492" i="1"/>
  <c r="F492" i="1" s="1"/>
  <c r="E493" i="1"/>
  <c r="F493" i="1" s="1"/>
  <c r="E494" i="1"/>
  <c r="F494" i="1" s="1"/>
  <c r="E441" i="1"/>
  <c r="F441" i="1" s="1"/>
  <c r="E442" i="1"/>
  <c r="F442" i="1" s="1"/>
  <c r="E443" i="1"/>
  <c r="F443" i="1" s="1"/>
  <c r="E444" i="1"/>
  <c r="F444" i="1" s="1"/>
  <c r="E445" i="1"/>
  <c r="F445" i="1" s="1"/>
  <c r="E446" i="1"/>
  <c r="F446" i="1" s="1"/>
  <c r="E447" i="1"/>
  <c r="F447" i="1" s="1"/>
  <c r="E448" i="1"/>
  <c r="F448" i="1" s="1"/>
  <c r="E449" i="1"/>
  <c r="F449" i="1" s="1"/>
  <c r="E450" i="1"/>
  <c r="F450" i="1" s="1"/>
  <c r="E451" i="1"/>
  <c r="F451" i="1" s="1"/>
  <c r="E452" i="1"/>
  <c r="F452" i="1" s="1"/>
  <c r="E453" i="1"/>
  <c r="F453" i="1" s="1"/>
  <c r="E454" i="1"/>
  <c r="F454" i="1" s="1"/>
  <c r="E455" i="1"/>
  <c r="F455" i="1" s="1"/>
  <c r="E456" i="1"/>
  <c r="F456" i="1" s="1"/>
  <c r="E403" i="1"/>
  <c r="F403" i="1" s="1"/>
  <c r="E404" i="1"/>
  <c r="F404" i="1" s="1"/>
  <c r="E405" i="1"/>
  <c r="F405" i="1" s="1"/>
  <c r="E406" i="1"/>
  <c r="F406" i="1" s="1"/>
  <c r="E407" i="1"/>
  <c r="F407" i="1" s="1"/>
  <c r="E408" i="1"/>
  <c r="F408" i="1" s="1"/>
  <c r="E409" i="1"/>
  <c r="F409" i="1" s="1"/>
  <c r="E410" i="1"/>
  <c r="F410" i="1" s="1"/>
  <c r="E411" i="1"/>
  <c r="F411" i="1" s="1"/>
  <c r="E412" i="1"/>
  <c r="F412" i="1" s="1"/>
  <c r="E413" i="1"/>
  <c r="F413" i="1" s="1"/>
  <c r="E414" i="1"/>
  <c r="F414" i="1" s="1"/>
  <c r="E415" i="1"/>
  <c r="F415" i="1" s="1"/>
  <c r="E416" i="1"/>
  <c r="F416" i="1" s="1"/>
  <c r="E417" i="1"/>
  <c r="F417" i="1" s="1"/>
  <c r="E418" i="1"/>
  <c r="F418" i="1" s="1"/>
  <c r="E365" i="1"/>
  <c r="F365" i="1" s="1"/>
  <c r="E366" i="1"/>
  <c r="F366" i="1" s="1"/>
  <c r="E367" i="1"/>
  <c r="F367" i="1" s="1"/>
  <c r="E368" i="1"/>
  <c r="F368" i="1" s="1"/>
  <c r="E369" i="1"/>
  <c r="F369" i="1" s="1"/>
  <c r="E370" i="1"/>
  <c r="F370" i="1" s="1"/>
  <c r="E371" i="1"/>
  <c r="F371" i="1" s="1"/>
  <c r="E372" i="1"/>
  <c r="F372" i="1" s="1"/>
  <c r="E373" i="1"/>
  <c r="F373" i="1" s="1"/>
  <c r="E374" i="1"/>
  <c r="F374" i="1" s="1"/>
  <c r="E375" i="1"/>
  <c r="F375" i="1" s="1"/>
  <c r="E376" i="1"/>
  <c r="F376" i="1" s="1"/>
  <c r="E377" i="1"/>
  <c r="F377" i="1" s="1"/>
  <c r="E378" i="1"/>
  <c r="F378" i="1" s="1"/>
  <c r="E379" i="1"/>
  <c r="F379" i="1" s="1"/>
  <c r="E380" i="1"/>
  <c r="F380" i="1" s="1"/>
  <c r="E327" i="1"/>
  <c r="F327" i="1" s="1"/>
  <c r="E328" i="1"/>
  <c r="F328" i="1" s="1"/>
  <c r="E329" i="1"/>
  <c r="F329" i="1" s="1"/>
  <c r="E330" i="1"/>
  <c r="F330" i="1" s="1"/>
  <c r="E331" i="1"/>
  <c r="F331" i="1" s="1"/>
  <c r="E332" i="1"/>
  <c r="F332" i="1" s="1"/>
  <c r="E333" i="1"/>
  <c r="F333" i="1" s="1"/>
  <c r="E334" i="1"/>
  <c r="F334" i="1" s="1"/>
  <c r="E335" i="1"/>
  <c r="F335" i="1" s="1"/>
  <c r="E336" i="1"/>
  <c r="F336" i="1" s="1"/>
  <c r="E337" i="1"/>
  <c r="F337" i="1" s="1"/>
  <c r="E338" i="1"/>
  <c r="F338" i="1" s="1"/>
  <c r="E339" i="1"/>
  <c r="F339" i="1" s="1"/>
  <c r="E340" i="1"/>
  <c r="F340" i="1" s="1"/>
  <c r="E341" i="1"/>
  <c r="F341" i="1" s="1"/>
  <c r="E342" i="1"/>
  <c r="F342" i="1" s="1"/>
  <c r="E289" i="1"/>
  <c r="F289" i="1" s="1"/>
  <c r="E290" i="1"/>
  <c r="F290" i="1" s="1"/>
  <c r="E291" i="1"/>
  <c r="F291" i="1" s="1"/>
  <c r="E292" i="1"/>
  <c r="F292" i="1" s="1"/>
  <c r="E293" i="1"/>
  <c r="F293" i="1" s="1"/>
  <c r="E294" i="1"/>
  <c r="F294" i="1" s="1"/>
  <c r="E295" i="1"/>
  <c r="F295" i="1" s="1"/>
  <c r="E296" i="1"/>
  <c r="F296" i="1" s="1"/>
  <c r="E297" i="1"/>
  <c r="F297" i="1" s="1"/>
  <c r="E298" i="1"/>
  <c r="F298" i="1" s="1"/>
  <c r="E299" i="1"/>
  <c r="F299" i="1" s="1"/>
  <c r="E300" i="1"/>
  <c r="F300" i="1" s="1"/>
  <c r="E301" i="1"/>
  <c r="F301" i="1" s="1"/>
  <c r="E302" i="1"/>
  <c r="F302" i="1" s="1"/>
  <c r="E303" i="1"/>
  <c r="F303" i="1" s="1"/>
  <c r="E304" i="1"/>
  <c r="F304" i="1" s="1"/>
  <c r="E251" i="1"/>
  <c r="F251" i="1" s="1"/>
  <c r="E252" i="1"/>
  <c r="F252" i="1" s="1"/>
  <c r="E253" i="1"/>
  <c r="F253" i="1" s="1"/>
  <c r="E254" i="1"/>
  <c r="F254" i="1" s="1"/>
  <c r="E255" i="1"/>
  <c r="F255" i="1" s="1"/>
  <c r="E256" i="1"/>
  <c r="F256" i="1" s="1"/>
  <c r="E257" i="1"/>
  <c r="F257" i="1" s="1"/>
  <c r="E258" i="1"/>
  <c r="F258" i="1" s="1"/>
  <c r="E259" i="1"/>
  <c r="F259" i="1" s="1"/>
  <c r="E260" i="1"/>
  <c r="F260" i="1" s="1"/>
  <c r="E261" i="1"/>
  <c r="F261" i="1" s="1"/>
  <c r="E262" i="1"/>
  <c r="F262" i="1" s="1"/>
  <c r="E263" i="1"/>
  <c r="F263" i="1" s="1"/>
  <c r="E264" i="1"/>
  <c r="F264" i="1" s="1"/>
  <c r="E265" i="1"/>
  <c r="F265" i="1" s="1"/>
  <c r="E266" i="1"/>
  <c r="F266" i="1" s="1"/>
  <c r="E213" i="1"/>
  <c r="F213" i="1" s="1"/>
  <c r="E214" i="1"/>
  <c r="F214" i="1" s="1"/>
  <c r="E215" i="1"/>
  <c r="F215" i="1" s="1"/>
  <c r="E216" i="1"/>
  <c r="F216" i="1" s="1"/>
  <c r="E217" i="1"/>
  <c r="F217" i="1" s="1"/>
  <c r="E218" i="1"/>
  <c r="F218" i="1" s="1"/>
  <c r="E219" i="1"/>
  <c r="F219" i="1" s="1"/>
  <c r="E220" i="1"/>
  <c r="F220" i="1" s="1"/>
  <c r="E221" i="1"/>
  <c r="F221" i="1" s="1"/>
  <c r="E222" i="1"/>
  <c r="F222" i="1" s="1"/>
  <c r="E223" i="1"/>
  <c r="F223" i="1" s="1"/>
  <c r="E224" i="1"/>
  <c r="F224" i="1" s="1"/>
  <c r="E225" i="1"/>
  <c r="F225" i="1" s="1"/>
  <c r="E226" i="1"/>
  <c r="F226" i="1" s="1"/>
  <c r="E227" i="1"/>
  <c r="F227" i="1" s="1"/>
  <c r="E228" i="1"/>
  <c r="F228" i="1" s="1"/>
  <c r="E229" i="1"/>
  <c r="F229" i="1" s="1"/>
  <c r="E175" i="1"/>
  <c r="F175" i="1" s="1"/>
  <c r="E176" i="1"/>
  <c r="F176" i="1" s="1"/>
  <c r="E177" i="1"/>
  <c r="F177" i="1" s="1"/>
  <c r="E178" i="1"/>
  <c r="F178" i="1" s="1"/>
  <c r="E179" i="1"/>
  <c r="F179" i="1" s="1"/>
  <c r="E180" i="1"/>
  <c r="F180" i="1" s="1"/>
  <c r="E181" i="1"/>
  <c r="F181" i="1" s="1"/>
  <c r="E182" i="1"/>
  <c r="F182" i="1" s="1"/>
  <c r="E183" i="1"/>
  <c r="F183" i="1" s="1"/>
  <c r="E184" i="1"/>
  <c r="F184" i="1" s="1"/>
  <c r="E185" i="1"/>
  <c r="F185" i="1" s="1"/>
  <c r="E186" i="1"/>
  <c r="F186" i="1" s="1"/>
  <c r="E187" i="1"/>
  <c r="F187" i="1" s="1"/>
  <c r="E188" i="1"/>
  <c r="F188" i="1" s="1"/>
  <c r="E189" i="1"/>
  <c r="F189" i="1" s="1"/>
  <c r="E190" i="1"/>
  <c r="F190" i="1" s="1"/>
  <c r="E137" i="1"/>
  <c r="F137" i="1" s="1"/>
  <c r="E138" i="1"/>
  <c r="F138" i="1" s="1"/>
  <c r="E139" i="1"/>
  <c r="F139" i="1" s="1"/>
  <c r="E140" i="1"/>
  <c r="F140" i="1" s="1"/>
  <c r="E141" i="1"/>
  <c r="F141" i="1" s="1"/>
  <c r="E142" i="1"/>
  <c r="F142" i="1" s="1"/>
  <c r="E143" i="1"/>
  <c r="F143" i="1" s="1"/>
  <c r="E144" i="1"/>
  <c r="F144" i="1" s="1"/>
  <c r="E145" i="1"/>
  <c r="F145" i="1" s="1"/>
  <c r="E146" i="1"/>
  <c r="F146" i="1" s="1"/>
  <c r="E147" i="1"/>
  <c r="F147" i="1" s="1"/>
  <c r="E148" i="1"/>
  <c r="F148" i="1" s="1"/>
  <c r="E149" i="1"/>
  <c r="F149" i="1" s="1"/>
  <c r="E150" i="1"/>
  <c r="F150" i="1" s="1"/>
  <c r="E151" i="1"/>
  <c r="F151" i="1" s="1"/>
  <c r="E152" i="1"/>
  <c r="F152" i="1" s="1"/>
  <c r="E99" i="1"/>
  <c r="F99" i="1" s="1"/>
  <c r="E100" i="1"/>
  <c r="F100" i="1" s="1"/>
  <c r="E101" i="1"/>
  <c r="F101" i="1" s="1"/>
  <c r="E102" i="1"/>
  <c r="F102" i="1" s="1"/>
  <c r="E103" i="1"/>
  <c r="F103" i="1" s="1"/>
  <c r="E104" i="1"/>
  <c r="F104" i="1" s="1"/>
  <c r="E105" i="1"/>
  <c r="F105" i="1" s="1"/>
  <c r="E106" i="1"/>
  <c r="F106" i="1" s="1"/>
  <c r="E107" i="1"/>
  <c r="F107" i="1" s="1"/>
  <c r="E108" i="1"/>
  <c r="F108" i="1" s="1"/>
  <c r="E109" i="1"/>
  <c r="F109" i="1" s="1"/>
  <c r="E110" i="1"/>
  <c r="F110" i="1" s="1"/>
  <c r="E111" i="1"/>
  <c r="F111" i="1" s="1"/>
  <c r="E112" i="1"/>
  <c r="F112" i="1" s="1"/>
  <c r="E113" i="1"/>
  <c r="F113" i="1" s="1"/>
  <c r="E114" i="1"/>
  <c r="F114" i="1" s="1"/>
  <c r="ER20" i="2"/>
  <c r="EQ20" i="2"/>
  <c r="EP20" i="2"/>
  <c r="EV20" i="2"/>
  <c r="EU20" i="2"/>
  <c r="EQ5" i="2"/>
  <c r="EP5" i="2"/>
  <c r="EU5" i="2"/>
  <c r="EP32" i="2"/>
  <c r="EV32" i="2"/>
  <c r="EU32" i="2"/>
  <c r="ER29" i="2"/>
  <c r="EV29" i="2"/>
  <c r="EU29" i="2"/>
  <c r="ER26" i="2"/>
  <c r="EQ26" i="2"/>
  <c r="EV26" i="2"/>
  <c r="EU26" i="2"/>
  <c r="EQ23" i="2"/>
  <c r="EP23" i="2"/>
  <c r="EV23" i="2"/>
  <c r="EU23" i="2"/>
  <c r="ER17" i="2"/>
  <c r="EP17" i="2"/>
  <c r="EU17" i="2"/>
  <c r="ER14" i="2"/>
  <c r="EQ14" i="2"/>
  <c r="EV14" i="2"/>
  <c r="EQ11" i="2"/>
  <c r="EP11" i="2"/>
  <c r="EV11" i="2"/>
  <c r="EU11" i="2"/>
  <c r="ER8" i="2"/>
  <c r="EP8" i="2"/>
  <c r="EU8" i="2"/>
  <c r="IS26" i="2" l="1"/>
  <c r="ET32" i="2"/>
  <c r="ES14" i="2"/>
  <c r="EV8" i="2"/>
  <c r="EP14" i="2"/>
  <c r="EQ17" i="2"/>
  <c r="ER23" i="2"/>
  <c r="IS23" i="2"/>
  <c r="ET29" i="2"/>
  <c r="EV5" i="2"/>
  <c r="ET26" i="2"/>
  <c r="ET8" i="2"/>
  <c r="IS14" i="2"/>
  <c r="ET23" i="2"/>
  <c r="EQ8" i="2"/>
  <c r="ER11" i="2"/>
  <c r="IS11" i="2"/>
  <c r="ET17" i="2"/>
  <c r="IS20" i="2"/>
  <c r="IS8" i="2"/>
  <c r="ET14" i="2"/>
  <c r="EP29" i="2"/>
  <c r="EQ32" i="2"/>
  <c r="ER5" i="2"/>
  <c r="ET5" i="2"/>
  <c r="ET11" i="2"/>
  <c r="EU14" i="2"/>
  <c r="EV17" i="2"/>
  <c r="EP26" i="2"/>
  <c r="EQ29" i="2"/>
  <c r="ER32" i="2"/>
  <c r="IS32" i="2"/>
  <c r="ET20" i="2"/>
  <c r="AA23" i="2"/>
  <c r="AF11" i="2"/>
  <c r="OT26" i="2"/>
  <c r="PB26" i="2"/>
  <c r="OU26" i="2"/>
  <c r="OV26" i="2"/>
  <c r="PA26" i="2"/>
  <c r="OO26" i="2"/>
  <c r="OW26" i="2"/>
  <c r="OP26" i="2"/>
  <c r="OX26" i="2"/>
  <c r="OQ26" i="2"/>
  <c r="OY26" i="2"/>
  <c r="OR26" i="2"/>
  <c r="OZ26" i="2"/>
  <c r="OS26" i="2"/>
  <c r="OV20" i="2"/>
  <c r="OO20" i="2"/>
  <c r="OW20" i="2"/>
  <c r="OP20" i="2"/>
  <c r="OX20" i="2"/>
  <c r="OU20" i="2"/>
  <c r="OQ20" i="2"/>
  <c r="OY20" i="2"/>
  <c r="OR20" i="2"/>
  <c r="OZ20" i="2"/>
  <c r="OS20" i="2"/>
  <c r="PA20" i="2"/>
  <c r="OT20" i="2"/>
  <c r="PB20" i="2"/>
  <c r="OV8" i="2"/>
  <c r="OO8" i="2"/>
  <c r="OW8" i="2"/>
  <c r="OP8" i="2"/>
  <c r="OX8" i="2"/>
  <c r="OQ8" i="2"/>
  <c r="OY8" i="2"/>
  <c r="OR8" i="2"/>
  <c r="OZ8" i="2"/>
  <c r="OS8" i="2"/>
  <c r="PA8" i="2"/>
  <c r="OT8" i="2"/>
  <c r="PB8" i="2"/>
  <c r="OU8" i="2"/>
  <c r="OT23" i="2"/>
  <c r="PB23" i="2"/>
  <c r="OU23" i="2"/>
  <c r="OV23" i="2"/>
  <c r="PA23" i="2"/>
  <c r="OO23" i="2"/>
  <c r="OW23" i="2"/>
  <c r="OP23" i="2"/>
  <c r="OX23" i="2"/>
  <c r="OQ23" i="2"/>
  <c r="OY23" i="2"/>
  <c r="OR23" i="2"/>
  <c r="OZ23" i="2"/>
  <c r="OS23" i="2"/>
  <c r="OP5" i="2"/>
  <c r="OX5" i="2"/>
  <c r="OQ5" i="2"/>
  <c r="OY5" i="2"/>
  <c r="OR5" i="2"/>
  <c r="OZ5" i="2"/>
  <c r="OS5" i="2"/>
  <c r="PA5" i="2"/>
  <c r="OT5" i="2"/>
  <c r="PB5" i="2"/>
  <c r="OU5" i="2"/>
  <c r="OV5" i="2"/>
  <c r="OO5" i="2"/>
  <c r="OW5" i="2"/>
  <c r="OQ11" i="2"/>
  <c r="OY11" i="2"/>
  <c r="OR11" i="2"/>
  <c r="OZ11" i="2"/>
  <c r="OS11" i="2"/>
  <c r="PA11" i="2"/>
  <c r="OX11" i="2"/>
  <c r="OT11" i="2"/>
  <c r="PB11" i="2"/>
  <c r="OU11" i="2"/>
  <c r="OV11" i="2"/>
  <c r="OO11" i="2"/>
  <c r="OW11" i="2"/>
  <c r="OP11" i="2"/>
  <c r="OP17" i="2"/>
  <c r="OX17" i="2"/>
  <c r="OQ17" i="2"/>
  <c r="OY17" i="2"/>
  <c r="OR17" i="2"/>
  <c r="OZ17" i="2"/>
  <c r="OS17" i="2"/>
  <c r="PA17" i="2"/>
  <c r="OT17" i="2"/>
  <c r="PB17" i="2"/>
  <c r="OU17" i="2"/>
  <c r="OV17" i="2"/>
  <c r="OO17" i="2"/>
  <c r="OW17" i="2"/>
  <c r="OQ32" i="2"/>
  <c r="OY32" i="2"/>
  <c r="OX32" i="2"/>
  <c r="OR32" i="2"/>
  <c r="OZ32" i="2"/>
  <c r="OS32" i="2"/>
  <c r="PA32" i="2"/>
  <c r="OT32" i="2"/>
  <c r="PB32" i="2"/>
  <c r="OU32" i="2"/>
  <c r="OV32" i="2"/>
  <c r="OO32" i="2"/>
  <c r="OW32" i="2"/>
  <c r="OP32" i="2"/>
  <c r="OQ14" i="2"/>
  <c r="OY14" i="2"/>
  <c r="OR14" i="2"/>
  <c r="OZ14" i="2"/>
  <c r="OS14" i="2"/>
  <c r="PA14" i="2"/>
  <c r="OT14" i="2"/>
  <c r="PB14" i="2"/>
  <c r="OU14" i="2"/>
  <c r="OV14" i="2"/>
  <c r="OO14" i="2"/>
  <c r="OW14" i="2"/>
  <c r="OP14" i="2"/>
  <c r="OX14" i="2"/>
  <c r="OS29" i="2"/>
  <c r="PA29" i="2"/>
  <c r="OT29" i="2"/>
  <c r="PB29" i="2"/>
  <c r="OU29" i="2"/>
  <c r="OZ29" i="2"/>
  <c r="OV29" i="2"/>
  <c r="OO29" i="2"/>
  <c r="OW29" i="2"/>
  <c r="OR29" i="2"/>
  <c r="OP29" i="2"/>
  <c r="OX29" i="2"/>
  <c r="OQ29" i="2"/>
  <c r="OY29" i="2"/>
  <c r="JE11" i="2"/>
  <c r="JF11" i="2"/>
  <c r="JE26" i="2"/>
  <c r="JF26" i="2"/>
  <c r="JE20" i="2"/>
  <c r="JF20" i="2"/>
  <c r="JF8" i="2"/>
  <c r="JE8" i="2"/>
  <c r="JE23" i="2"/>
  <c r="JF23" i="2"/>
  <c r="IS5" i="2"/>
  <c r="JE5" i="2"/>
  <c r="JF5" i="2"/>
  <c r="JE17" i="2"/>
  <c r="JF17" i="2"/>
  <c r="IS17" i="2"/>
  <c r="JF32" i="2"/>
  <c r="JE32" i="2"/>
  <c r="JF14" i="2"/>
  <c r="JE14" i="2"/>
  <c r="IS29" i="2"/>
  <c r="JE29" i="2"/>
  <c r="JF29" i="2"/>
  <c r="AI26" i="2"/>
  <c r="AA26" i="2"/>
  <c r="AE23" i="2"/>
  <c r="AA20" i="2"/>
  <c r="AJ17" i="2"/>
  <c r="AF14" i="2"/>
  <c r="AH32" i="2"/>
  <c r="AJ5" i="2"/>
  <c r="AB5" i="2"/>
  <c r="AK14" i="2"/>
  <c r="AC14" i="2"/>
  <c r="AG11" i="2"/>
  <c r="Y11" i="2"/>
  <c r="AL5" i="2"/>
  <c r="AD5" i="2"/>
  <c r="AG14" i="2"/>
  <c r="Y14" i="2"/>
  <c r="AK11" i="2"/>
  <c r="AC11" i="2"/>
  <c r="AJ29" i="2"/>
  <c r="AB29" i="2"/>
  <c r="AE26" i="2"/>
  <c r="AE29" i="2"/>
  <c r="AF23" i="2"/>
  <c r="Z32" i="2"/>
  <c r="AI5" i="2"/>
  <c r="AA5" i="2"/>
  <c r="AH5" i="2"/>
  <c r="Z5" i="2"/>
  <c r="AK26" i="2"/>
  <c r="Y23" i="2"/>
  <c r="AL20" i="2"/>
  <c r="AD20" i="2"/>
  <c r="AA17" i="2"/>
  <c r="AK5" i="2"/>
  <c r="AH11" i="2"/>
  <c r="Z11" i="2"/>
  <c r="AL23" i="2"/>
  <c r="AD23" i="2"/>
  <c r="AI20" i="2"/>
  <c r="AJ14" i="2"/>
  <c r="AB14" i="2"/>
  <c r="AL26" i="2"/>
  <c r="AG8" i="2"/>
  <c r="Y8" i="2"/>
  <c r="AI32" i="2"/>
  <c r="AA32" i="2"/>
  <c r="AE14" i="2"/>
  <c r="AH17" i="2"/>
  <c r="AL14" i="2"/>
  <c r="AD14" i="2"/>
  <c r="AK29" i="2"/>
  <c r="AC29" i="2"/>
  <c r="AI29" i="2"/>
  <c r="AA29" i="2"/>
  <c r="AH20" i="2"/>
  <c r="Z20" i="2"/>
  <c r="AE17" i="2"/>
  <c r="AI8" i="2"/>
  <c r="AA8" i="2"/>
  <c r="IU29" i="2"/>
  <c r="AD26" i="2"/>
  <c r="AG20" i="2"/>
  <c r="Y20" i="2"/>
  <c r="AE8" i="2"/>
  <c r="IY11" i="2"/>
  <c r="AF8" i="2"/>
  <c r="AG32" i="2"/>
  <c r="Y32" i="2"/>
  <c r="AE20" i="2"/>
  <c r="AB17" i="2"/>
  <c r="AH14" i="2"/>
  <c r="Z14" i="2"/>
  <c r="AE11" i="2"/>
  <c r="AC5" i="2"/>
  <c r="AG23" i="2"/>
  <c r="AF20" i="2"/>
  <c r="AK17" i="2"/>
  <c r="AC17" i="2"/>
  <c r="AF26" i="2"/>
  <c r="AK20" i="2"/>
  <c r="AC20" i="2"/>
  <c r="AK23" i="2"/>
  <c r="AC23" i="2"/>
  <c r="AI17" i="2"/>
  <c r="AG17" i="2"/>
  <c r="Y17" i="2"/>
  <c r="AL11" i="2"/>
  <c r="AD11" i="2"/>
  <c r="X5" i="2"/>
  <c r="AK32" i="2"/>
  <c r="AC32" i="2"/>
  <c r="AJ23" i="2"/>
  <c r="AB23" i="2"/>
  <c r="Z17" i="2"/>
  <c r="AF17" i="2"/>
  <c r="AJ32" i="2"/>
  <c r="AB32" i="2"/>
  <c r="AL29" i="2"/>
  <c r="AD29" i="2"/>
  <c r="AJ11" i="2"/>
  <c r="AB11" i="2"/>
  <c r="AL8" i="2"/>
  <c r="AD8" i="2"/>
  <c r="AF5" i="2"/>
  <c r="AI14" i="2"/>
  <c r="AA14" i="2"/>
  <c r="AI11" i="2"/>
  <c r="AA11" i="2"/>
  <c r="AK8" i="2"/>
  <c r="AC8" i="2"/>
  <c r="AG5" i="2"/>
  <c r="Y5" i="2"/>
  <c r="AE5" i="2"/>
  <c r="HU20" i="2"/>
  <c r="AE32" i="2"/>
  <c r="AG29" i="2"/>
  <c r="Y29" i="2"/>
  <c r="AJ26" i="2"/>
  <c r="AB26" i="2"/>
  <c r="AH26" i="2"/>
  <c r="Z26" i="2"/>
  <c r="AH23" i="2"/>
  <c r="Z23" i="2"/>
  <c r="AJ20" i="2"/>
  <c r="AB20" i="2"/>
  <c r="AL17" i="2"/>
  <c r="AD17" i="2"/>
  <c r="AF32" i="2"/>
  <c r="AL32" i="2"/>
  <c r="AD32" i="2"/>
  <c r="AH29" i="2"/>
  <c r="Z29" i="2"/>
  <c r="AF29" i="2"/>
  <c r="AG26" i="2"/>
  <c r="Y26" i="2"/>
  <c r="JA5" i="2"/>
  <c r="JB8" i="2"/>
  <c r="JA17" i="2"/>
  <c r="KS20" i="2"/>
  <c r="IY29" i="2"/>
  <c r="IV11" i="2"/>
  <c r="IV8" i="2"/>
  <c r="NQ20" i="2"/>
  <c r="B38" i="2"/>
  <c r="NR38" i="2"/>
  <c r="E4203" i="1"/>
  <c r="F4203" i="1" s="1"/>
  <c r="I4203" i="1" s="1"/>
  <c r="E4202" i="1"/>
  <c r="E4201" i="1"/>
  <c r="F4201" i="1" s="1"/>
  <c r="I4201" i="1" s="1"/>
  <c r="E4200" i="1"/>
  <c r="F4200" i="1" s="1"/>
  <c r="I4200" i="1" s="1"/>
  <c r="E4199" i="1"/>
  <c r="F4199" i="1" s="1"/>
  <c r="I4199" i="1" s="1"/>
  <c r="E4198" i="1"/>
  <c r="E4197" i="1"/>
  <c r="F4197" i="1" s="1"/>
  <c r="I4197" i="1" s="1"/>
  <c r="E4196" i="1"/>
  <c r="F4196" i="1" s="1"/>
  <c r="I4196" i="1" s="1"/>
  <c r="E4195" i="1"/>
  <c r="F4195" i="1" s="1"/>
  <c r="I4195" i="1" s="1"/>
  <c r="E4194" i="1"/>
  <c r="F4194" i="1" s="1"/>
  <c r="E4193" i="1"/>
  <c r="F4193" i="1" s="1"/>
  <c r="E4192" i="1"/>
  <c r="F4192" i="1" s="1"/>
  <c r="E4191" i="1"/>
  <c r="E4190" i="1"/>
  <c r="F4190" i="1" s="1"/>
  <c r="E4189" i="1"/>
  <c r="F4189" i="1" s="1"/>
  <c r="E4188" i="1"/>
  <c r="F4188" i="1" s="1"/>
  <c r="E4187" i="1"/>
  <c r="E4186" i="1"/>
  <c r="F4186" i="1" s="1"/>
  <c r="E4185" i="1"/>
  <c r="F4185" i="1" s="1"/>
  <c r="E4184" i="1"/>
  <c r="F4184" i="1" s="1"/>
  <c r="E4183" i="1"/>
  <c r="F4183" i="1" s="1"/>
  <c r="E4182" i="1"/>
  <c r="F4182" i="1" s="1"/>
  <c r="I4182" i="1" s="1"/>
  <c r="AN38" i="2"/>
  <c r="F2454" i="1"/>
  <c r="F2453" i="1"/>
  <c r="F2452" i="1"/>
  <c r="F2451" i="1"/>
  <c r="F2450" i="1"/>
  <c r="F2449" i="1"/>
  <c r="F2448" i="1"/>
  <c r="F2447" i="1"/>
  <c r="F2446" i="1"/>
  <c r="F2445" i="1"/>
  <c r="F2444" i="1"/>
  <c r="F2443" i="1"/>
  <c r="F2442" i="1"/>
  <c r="F2441" i="1"/>
  <c r="F2440" i="1"/>
  <c r="F2439" i="1"/>
  <c r="F2438" i="1"/>
  <c r="F2437" i="1"/>
  <c r="F2436" i="1"/>
  <c r="F2435" i="1"/>
  <c r="F2434" i="1"/>
  <c r="F2416" i="1"/>
  <c r="F2415" i="1"/>
  <c r="F2414" i="1"/>
  <c r="F2413" i="1"/>
  <c r="F2412" i="1"/>
  <c r="F2411" i="1"/>
  <c r="F2410" i="1"/>
  <c r="F2409" i="1"/>
  <c r="F2408" i="1"/>
  <c r="F2407" i="1"/>
  <c r="F2406" i="1"/>
  <c r="F2405" i="1"/>
  <c r="F2404" i="1"/>
  <c r="F2403" i="1"/>
  <c r="F2402" i="1"/>
  <c r="F2401" i="1"/>
  <c r="F2400" i="1"/>
  <c r="F2399" i="1"/>
  <c r="F2398" i="1"/>
  <c r="F2397" i="1"/>
  <c r="F2396" i="1"/>
  <c r="F2378" i="1"/>
  <c r="F2377" i="1"/>
  <c r="F2376" i="1"/>
  <c r="F2375" i="1"/>
  <c r="F2374" i="1"/>
  <c r="F2373" i="1"/>
  <c r="F2372" i="1"/>
  <c r="F2371" i="1"/>
  <c r="F2370" i="1"/>
  <c r="F2369" i="1"/>
  <c r="F2368" i="1"/>
  <c r="F2367" i="1"/>
  <c r="F2366" i="1"/>
  <c r="F2365" i="1"/>
  <c r="F2364" i="1"/>
  <c r="F2363" i="1"/>
  <c r="F2362" i="1"/>
  <c r="F2361" i="1"/>
  <c r="F2360" i="1"/>
  <c r="F2359" i="1"/>
  <c r="F2358" i="1"/>
  <c r="F1407" i="1"/>
  <c r="F1369" i="1"/>
  <c r="F1331" i="1"/>
  <c r="F1293" i="1"/>
  <c r="F1255" i="1"/>
  <c r="F1217" i="1"/>
  <c r="F1179" i="1"/>
  <c r="F1141" i="1"/>
  <c r="F1103" i="1"/>
  <c r="F1065" i="1"/>
  <c r="F1027" i="1"/>
  <c r="F989" i="1"/>
  <c r="F951" i="1"/>
  <c r="F39" i="1"/>
  <c r="F77" i="1"/>
  <c r="F115" i="1"/>
  <c r="F153" i="1"/>
  <c r="F191" i="1"/>
  <c r="F267" i="1"/>
  <c r="F305" i="1"/>
  <c r="F343" i="1"/>
  <c r="F381" i="1"/>
  <c r="F419" i="1"/>
  <c r="F457" i="1"/>
  <c r="F495" i="1"/>
  <c r="ES26" i="2" l="1"/>
  <c r="ES23" i="2"/>
  <c r="ES32" i="2"/>
  <c r="ES5" i="2"/>
  <c r="ES8" i="2"/>
  <c r="ES17" i="2"/>
  <c r="ES29" i="2"/>
  <c r="EW20" i="2"/>
  <c r="ES20" i="2"/>
  <c r="ES11" i="2"/>
  <c r="JC32" i="2"/>
  <c r="IY20" i="2"/>
  <c r="IZ23" i="2"/>
  <c r="JD14" i="2"/>
  <c r="IW26" i="2"/>
  <c r="IW17" i="2"/>
  <c r="JD32" i="2"/>
  <c r="IX11" i="2"/>
  <c r="IU32" i="2"/>
  <c r="IW14" i="2"/>
  <c r="JB26" i="2"/>
  <c r="IZ17" i="2"/>
  <c r="JD17" i="2"/>
  <c r="JA26" i="2"/>
  <c r="IY32" i="2"/>
  <c r="JB17" i="2"/>
  <c r="JA14" i="2"/>
  <c r="IV26" i="2"/>
  <c r="JA23" i="2"/>
  <c r="IZ8" i="2"/>
  <c r="JC11" i="2"/>
  <c r="JC26" i="2"/>
  <c r="IX14" i="2"/>
  <c r="IX5" i="2"/>
  <c r="IZ20" i="2"/>
  <c r="IW5" i="2"/>
  <c r="JA32" i="2"/>
  <c r="IY26" i="2"/>
  <c r="IZ5" i="2"/>
  <c r="JD23" i="2"/>
  <c r="IZ14" i="2"/>
  <c r="JD5" i="2"/>
  <c r="JA8" i="2"/>
  <c r="IY5" i="2"/>
  <c r="IW11" i="2"/>
  <c r="IX26" i="2"/>
  <c r="IW32" i="2"/>
  <c r="JA20" i="2"/>
  <c r="IU17" i="2"/>
  <c r="IW29" i="2"/>
  <c r="IX32" i="2"/>
  <c r="IV32" i="2"/>
  <c r="IU5" i="2"/>
  <c r="IU14" i="2"/>
  <c r="JA11" i="2"/>
  <c r="JD20" i="2"/>
  <c r="JB5" i="2"/>
  <c r="IX23" i="2"/>
  <c r="IX29" i="2"/>
  <c r="IW20" i="2"/>
  <c r="IV5" i="2"/>
  <c r="IY17" i="2"/>
  <c r="JA29" i="2"/>
  <c r="IV20" i="2"/>
  <c r="IU8" i="2"/>
  <c r="IZ29" i="2"/>
  <c r="IZ32" i="2"/>
  <c r="IV17" i="2"/>
  <c r="JB14" i="2"/>
  <c r="IU23" i="2"/>
  <c r="IU20" i="2"/>
  <c r="IX17" i="2"/>
  <c r="JB11" i="2"/>
  <c r="JB23" i="2"/>
  <c r="IZ11" i="2"/>
  <c r="JB29" i="2"/>
  <c r="JD8" i="2"/>
  <c r="IZ26" i="2"/>
  <c r="JD11" i="2"/>
  <c r="JD29" i="2"/>
  <c r="IV23" i="2"/>
  <c r="IU11" i="2"/>
  <c r="JD26" i="2"/>
  <c r="IX8" i="2"/>
  <c r="IY14" i="2"/>
  <c r="IW8" i="2"/>
  <c r="JB32" i="2"/>
  <c r="IV14" i="2"/>
  <c r="JB20" i="2"/>
  <c r="IW23" i="2"/>
  <c r="IY8" i="2"/>
  <c r="JC5" i="2"/>
  <c r="JC20" i="2"/>
  <c r="IT5" i="2"/>
  <c r="IT17" i="2"/>
  <c r="IT32" i="2"/>
  <c r="IT14" i="2"/>
  <c r="IT29" i="2"/>
  <c r="IT8" i="2"/>
  <c r="IT20" i="2"/>
  <c r="IT11" i="2"/>
  <c r="IT26" i="2"/>
  <c r="IT23" i="2"/>
  <c r="BY20" i="2"/>
  <c r="DK20" i="2"/>
  <c r="AM20" i="2"/>
  <c r="PC20" i="2"/>
  <c r="GI20" i="2"/>
  <c r="ME20" i="2"/>
  <c r="I4183" i="1"/>
  <c r="I4188" i="1"/>
  <c r="I4184" i="1"/>
  <c r="I4185" i="1"/>
  <c r="I4186" i="1"/>
  <c r="E47" i="10"/>
  <c r="F47" i="10" s="1"/>
  <c r="JC8" i="2" l="1"/>
  <c r="JC14" i="2"/>
  <c r="JG20" i="2"/>
  <c r="JC23" i="2"/>
  <c r="IU26" i="2"/>
  <c r="JC17" i="2"/>
  <c r="IX20" i="2"/>
  <c r="IY23" i="2"/>
  <c r="IV29" i="2"/>
  <c r="JC29" i="2"/>
  <c r="I4189" i="1"/>
  <c r="BZ20" i="2"/>
  <c r="B20" i="2"/>
  <c r="KT20" i="2"/>
  <c r="AN20" i="2"/>
  <c r="MF20" i="2"/>
  <c r="GJ20" i="2"/>
  <c r="EX20" i="2"/>
  <c r="DL20" i="2"/>
  <c r="I4190" i="1" l="1"/>
  <c r="NR20" i="2"/>
  <c r="JH20" i="2"/>
  <c r="HV20" i="2"/>
  <c r="CB20" i="2"/>
  <c r="KV20" i="2"/>
  <c r="EY20" i="2"/>
  <c r="MG20" i="2"/>
  <c r="DM20" i="2"/>
  <c r="JJ20" i="2"/>
  <c r="EZ20" i="2"/>
  <c r="JI20" i="2"/>
  <c r="GL20" i="2"/>
  <c r="AP20" i="2"/>
  <c r="CA20" i="2"/>
  <c r="DN20" i="2"/>
  <c r="AO20" i="2"/>
  <c r="MH20" i="2"/>
  <c r="KU20" i="2"/>
  <c r="C20" i="2"/>
  <c r="GK20" i="2"/>
  <c r="D20" i="2"/>
  <c r="I4192" i="1" l="1"/>
  <c r="NT20" i="2"/>
  <c r="HW20" i="2"/>
  <c r="HX20" i="2"/>
  <c r="NS20" i="2"/>
  <c r="AQ20" i="2"/>
  <c r="MI20" i="2"/>
  <c r="FA20" i="2"/>
  <c r="E20" i="2"/>
  <c r="JK20" i="2"/>
  <c r="CC20" i="2"/>
  <c r="GM20" i="2"/>
  <c r="DO20" i="2"/>
  <c r="KW20" i="2"/>
  <c r="I4194" i="1" l="1"/>
  <c r="I4193" i="1"/>
  <c r="NU20" i="2"/>
  <c r="HY20" i="2"/>
  <c r="CD20" i="2"/>
  <c r="AR20" i="2"/>
  <c r="KX20" i="2"/>
  <c r="JL20" i="2"/>
  <c r="GN20" i="2"/>
  <c r="FB20" i="2"/>
  <c r="MJ20" i="2"/>
  <c r="F20" i="2"/>
  <c r="DP20" i="2"/>
  <c r="HZ20" i="2" l="1"/>
  <c r="NV20" i="2"/>
  <c r="G20" i="2"/>
  <c r="AS20" i="2"/>
  <c r="MK20" i="2"/>
  <c r="FC20" i="2"/>
  <c r="GO20" i="2"/>
  <c r="JM20" i="2"/>
  <c r="CE20" i="2"/>
  <c r="KY20" i="2"/>
  <c r="DQ20" i="2"/>
  <c r="IA20" i="2" l="1"/>
  <c r="NW20" i="2"/>
  <c r="KZ20" i="2"/>
  <c r="JN20" i="2"/>
  <c r="CF20" i="2"/>
  <c r="DR20" i="2"/>
  <c r="ML20" i="2"/>
  <c r="AT20" i="2"/>
  <c r="FD20" i="2"/>
  <c r="H20" i="2"/>
  <c r="GP20" i="2"/>
  <c r="NX20" i="2" l="1"/>
  <c r="IB20" i="2"/>
  <c r="LA20" i="2"/>
  <c r="AU20" i="2"/>
  <c r="DS20" i="2"/>
  <c r="JO20" i="2"/>
  <c r="I20" i="2"/>
  <c r="MM20" i="2"/>
  <c r="CG20" i="2"/>
  <c r="GQ20" i="2"/>
  <c r="FE20" i="2"/>
  <c r="IC20" i="2" l="1"/>
  <c r="NY20" i="2"/>
  <c r="MN20" i="2"/>
  <c r="J20" i="2"/>
  <c r="FF20" i="2"/>
  <c r="AV20" i="2"/>
  <c r="GR20" i="2"/>
  <c r="JP20" i="2"/>
  <c r="DT20" i="2"/>
  <c r="CH20" i="2"/>
  <c r="LB20" i="2"/>
  <c r="ID20" i="2" l="1"/>
  <c r="NZ20" i="2"/>
  <c r="FG20" i="2"/>
  <c r="AW20" i="2"/>
  <c r="MO20" i="2"/>
  <c r="CI20" i="2"/>
  <c r="K20" i="2"/>
  <c r="DU20" i="2"/>
  <c r="LC20" i="2"/>
  <c r="GS20" i="2"/>
  <c r="OA20" i="2" l="1"/>
  <c r="JQ20" i="2"/>
  <c r="IE20" i="2"/>
  <c r="AX20" i="2"/>
  <c r="MP20" i="2"/>
  <c r="L20" i="2"/>
  <c r="CJ20" i="2"/>
  <c r="FH20" i="2"/>
  <c r="LD20" i="2"/>
  <c r="GT20" i="2"/>
  <c r="JR20" i="2"/>
  <c r="DV20" i="2"/>
  <c r="IF20" i="2" l="1"/>
  <c r="OB20" i="2"/>
  <c r="FI20" i="2"/>
  <c r="M20" i="2"/>
  <c r="JS20" i="2"/>
  <c r="AY20" i="2"/>
  <c r="LE20" i="2"/>
  <c r="MQ20" i="2"/>
  <c r="GU20" i="2"/>
  <c r="CK20" i="2"/>
  <c r="IG20" i="2" l="1"/>
  <c r="DW20" i="2"/>
  <c r="OC20" i="2"/>
  <c r="LF20" i="2"/>
  <c r="CL20" i="2"/>
  <c r="N20" i="2"/>
  <c r="DX20" i="2"/>
  <c r="GV20" i="2"/>
  <c r="JT20" i="2"/>
  <c r="MR20" i="2"/>
  <c r="AZ20" i="2"/>
  <c r="FJ20" i="2"/>
  <c r="IH20" i="2" l="1"/>
  <c r="OD20" i="2"/>
  <c r="O20" i="2"/>
  <c r="LG20" i="2"/>
  <c r="DY20" i="2"/>
  <c r="BA20" i="2"/>
  <c r="GW20" i="2"/>
  <c r="JU20" i="2"/>
  <c r="MS20" i="2"/>
  <c r="CM20" i="2"/>
  <c r="FK20" i="2"/>
  <c r="OE20" i="2" l="1"/>
  <c r="II20" i="2"/>
  <c r="BB20" i="2"/>
  <c r="GX20" i="2"/>
  <c r="FL20" i="2"/>
  <c r="JV20" i="2"/>
  <c r="MT20" i="2"/>
  <c r="LH20" i="2"/>
  <c r="CN20" i="2"/>
  <c r="P20" i="2"/>
  <c r="DZ20" i="2"/>
  <c r="OF20" i="2" l="1"/>
  <c r="IJ20" i="2"/>
  <c r="Q20" i="2"/>
  <c r="CO20" i="2"/>
  <c r="BC20" i="2"/>
  <c r="LI20" i="2"/>
  <c r="FM20" i="2"/>
  <c r="GY20" i="2"/>
  <c r="EA20" i="2"/>
  <c r="MU20" i="2"/>
  <c r="OG20" i="2" l="1"/>
  <c r="JW20" i="2"/>
  <c r="IK20" i="2"/>
  <c r="R20" i="2"/>
  <c r="BD20" i="2"/>
  <c r="GZ20" i="2"/>
  <c r="EB20" i="2"/>
  <c r="CP20" i="2"/>
  <c r="LJ20" i="2"/>
  <c r="FN20" i="2"/>
  <c r="MV20" i="2"/>
  <c r="OH20" i="2" l="1"/>
  <c r="JX20" i="2"/>
  <c r="IL20" i="2"/>
  <c r="FO20" i="2"/>
  <c r="CQ20" i="2"/>
  <c r="JY20" i="2"/>
  <c r="EC20" i="2"/>
  <c r="LK20" i="2"/>
  <c r="MW20" i="2"/>
  <c r="S20" i="2"/>
  <c r="HA20" i="2"/>
  <c r="BE20" i="2"/>
  <c r="OI20" i="2" l="1"/>
  <c r="IM20" i="2"/>
  <c r="LL20" i="2"/>
  <c r="JZ20" i="2"/>
  <c r="CR20" i="2"/>
  <c r="FP20" i="2"/>
  <c r="MX20" i="2"/>
  <c r="HB20" i="2"/>
  <c r="BF20" i="2"/>
  <c r="T20" i="2"/>
  <c r="IN20" i="2" l="1"/>
  <c r="ED20" i="2"/>
  <c r="OJ20" i="2"/>
  <c r="MY20" i="2"/>
  <c r="U20" i="2"/>
  <c r="CS20" i="2"/>
  <c r="LM20" i="2"/>
  <c r="BG20" i="2"/>
  <c r="HC20" i="2"/>
  <c r="FQ20" i="2"/>
  <c r="EE20" i="2"/>
  <c r="KA20" i="2"/>
  <c r="OK20" i="2" l="1"/>
  <c r="IO20" i="2"/>
  <c r="BH20" i="2"/>
  <c r="HD20" i="2"/>
  <c r="MZ20" i="2"/>
  <c r="LN20" i="2"/>
  <c r="CT20" i="2"/>
  <c r="EF20" i="2"/>
  <c r="V20" i="2"/>
  <c r="KB20" i="2"/>
  <c r="FR20" i="2"/>
  <c r="OL20" i="2" l="1"/>
  <c r="IP20" i="2"/>
  <c r="EG20" i="2"/>
  <c r="NA20" i="2"/>
  <c r="LO20" i="2"/>
  <c r="BI20" i="2"/>
  <c r="KC20" i="2"/>
  <c r="CU20" i="2"/>
  <c r="HE20" i="2"/>
  <c r="FS20" i="2"/>
  <c r="W20" i="2"/>
  <c r="OM20" i="2" l="1"/>
  <c r="IQ20" i="2"/>
  <c r="EH20" i="2"/>
  <c r="X20" i="2"/>
  <c r="CV20" i="2"/>
  <c r="KD20" i="2"/>
  <c r="FT20" i="2"/>
  <c r="HF20" i="2"/>
  <c r="NB20" i="2"/>
  <c r="LP20" i="2"/>
  <c r="ON20" i="2" l="1"/>
  <c r="IR20" i="2"/>
  <c r="H4193" i="10" l="1"/>
  <c r="H4194" i="10" s="1"/>
  <c r="E4183" i="10"/>
  <c r="F4183" i="10" s="1"/>
  <c r="E4184" i="10"/>
  <c r="F4184" i="10" s="1"/>
  <c r="I4184" i="10" s="1"/>
  <c r="E4185" i="10"/>
  <c r="F4185" i="10" s="1"/>
  <c r="I4185" i="10" s="1"/>
  <c r="E4186" i="10"/>
  <c r="F4186" i="10" s="1"/>
  <c r="I4186" i="10" s="1"/>
  <c r="E4187" i="10"/>
  <c r="F4187" i="10" s="1"/>
  <c r="I4187" i="10" s="1"/>
  <c r="E4188" i="10"/>
  <c r="F4188" i="10" s="1"/>
  <c r="I4188" i="10" s="1"/>
  <c r="E4189" i="10"/>
  <c r="F4189" i="10" s="1"/>
  <c r="I4189" i="10" s="1"/>
  <c r="E4190" i="10"/>
  <c r="F4190" i="10" s="1"/>
  <c r="I4190" i="10" s="1"/>
  <c r="E4191" i="10"/>
  <c r="F4191" i="10" s="1"/>
  <c r="I4191" i="10" s="1"/>
  <c r="E4192" i="10"/>
  <c r="F4192" i="10" s="1"/>
  <c r="I4192" i="10" s="1"/>
  <c r="E4193" i="10"/>
  <c r="F4193" i="10" s="1"/>
  <c r="E4194" i="10"/>
  <c r="F4194" i="10" s="1"/>
  <c r="E4195" i="10"/>
  <c r="F4195" i="10" s="1"/>
  <c r="I4195" i="10" s="1"/>
  <c r="E4196" i="10"/>
  <c r="F4196" i="10" s="1"/>
  <c r="I4196" i="10" s="1"/>
  <c r="E4197" i="10"/>
  <c r="F4197" i="10" s="1"/>
  <c r="I4197" i="10" s="1"/>
  <c r="E4198" i="10"/>
  <c r="F4198" i="10" s="1"/>
  <c r="I4198" i="10" s="1"/>
  <c r="E4199" i="10"/>
  <c r="F4199" i="10" s="1"/>
  <c r="I4199" i="10" s="1"/>
  <c r="E4200" i="10"/>
  <c r="F4200" i="10" s="1"/>
  <c r="I4200" i="10" s="1"/>
  <c r="E4201" i="10"/>
  <c r="F4201" i="10" s="1"/>
  <c r="I4201" i="10" s="1"/>
  <c r="E4202" i="10"/>
  <c r="F4202" i="10" s="1"/>
  <c r="I4202" i="10" s="1"/>
  <c r="E4203" i="10"/>
  <c r="F4203" i="10" s="1"/>
  <c r="I4203" i="10" s="1"/>
  <c r="E4182" i="10"/>
  <c r="F4182" i="10" s="1"/>
  <c r="H4182" i="10"/>
  <c r="H4183" i="10" s="1"/>
  <c r="H3309" i="10"/>
  <c r="H3310" i="10" s="1"/>
  <c r="H3157" i="10"/>
  <c r="H3005" i="10"/>
  <c r="H3006" i="10" s="1"/>
  <c r="H2967" i="10"/>
  <c r="H2968" i="10" s="1"/>
  <c r="H2969" i="10" s="1"/>
  <c r="H2929" i="10"/>
  <c r="H2930" i="10" s="1"/>
  <c r="H2891" i="10"/>
  <c r="H2892" i="10" s="1"/>
  <c r="H2739" i="10"/>
  <c r="H2740" i="10" s="1"/>
  <c r="H2587" i="10"/>
  <c r="H2588" i="10" s="1"/>
  <c r="H2549" i="10"/>
  <c r="H2550" i="10" s="1"/>
  <c r="H2511" i="10"/>
  <c r="H2512" i="10" s="1"/>
  <c r="H2513" i="10" s="1"/>
  <c r="F2454" i="10"/>
  <c r="F2453" i="10"/>
  <c r="F2452" i="10"/>
  <c r="F2451" i="10"/>
  <c r="F2450" i="10"/>
  <c r="F2449" i="10"/>
  <c r="F2448" i="10"/>
  <c r="F2447" i="10"/>
  <c r="F2446" i="10"/>
  <c r="F2445" i="10"/>
  <c r="F2444" i="10"/>
  <c r="F2443" i="10"/>
  <c r="F2442" i="10"/>
  <c r="F2441" i="10"/>
  <c r="F2440" i="10"/>
  <c r="F2439" i="10"/>
  <c r="F2438" i="10"/>
  <c r="F2437" i="10"/>
  <c r="F2436" i="10"/>
  <c r="F2435" i="10"/>
  <c r="F2434" i="10"/>
  <c r="F2416" i="10"/>
  <c r="F2415" i="10"/>
  <c r="F2414" i="10"/>
  <c r="F2413" i="10"/>
  <c r="F2412" i="10"/>
  <c r="F2411" i="10"/>
  <c r="F2410" i="10"/>
  <c r="F2409" i="10"/>
  <c r="F2408" i="10"/>
  <c r="F2407" i="10"/>
  <c r="F2406" i="10"/>
  <c r="F2405" i="10"/>
  <c r="F2404" i="10"/>
  <c r="F2403" i="10"/>
  <c r="F2402" i="10"/>
  <c r="F2401" i="10"/>
  <c r="F2400" i="10"/>
  <c r="F2399" i="10"/>
  <c r="F2398" i="10"/>
  <c r="F2397" i="10"/>
  <c r="F2396" i="10"/>
  <c r="F2378" i="10"/>
  <c r="F2377" i="10"/>
  <c r="F2376" i="10"/>
  <c r="F2375" i="10"/>
  <c r="F2374" i="10"/>
  <c r="F2373" i="10"/>
  <c r="F2372" i="10"/>
  <c r="F2371" i="10"/>
  <c r="F2370" i="10"/>
  <c r="F2369" i="10"/>
  <c r="F2368" i="10"/>
  <c r="F2367" i="10"/>
  <c r="F2366" i="10"/>
  <c r="F2365" i="10"/>
  <c r="F2364" i="10"/>
  <c r="F2363" i="10"/>
  <c r="F2362" i="10"/>
  <c r="F2361" i="10"/>
  <c r="F2360" i="10"/>
  <c r="F2359" i="10"/>
  <c r="F2358" i="10"/>
  <c r="H2473" i="10"/>
  <c r="H2474" i="10" s="1"/>
  <c r="H2475" i="10" s="1"/>
  <c r="H2476" i="10" s="1"/>
  <c r="H2477" i="10" s="1"/>
  <c r="H2478" i="10" s="1"/>
  <c r="H2479" i="10" s="1"/>
  <c r="H2480" i="10" s="1"/>
  <c r="H2481" i="10" s="1"/>
  <c r="H2482" i="10" s="1"/>
  <c r="H2483" i="10" s="1"/>
  <c r="H2484" i="10" s="1"/>
  <c r="H2485" i="10" s="1"/>
  <c r="H2486" i="10" s="1"/>
  <c r="H2487" i="10" s="1"/>
  <c r="H2488" i="10" s="1"/>
  <c r="H2489" i="10" s="1"/>
  <c r="H2490" i="10" s="1"/>
  <c r="H2491" i="10" s="1"/>
  <c r="H2492" i="10" s="1"/>
  <c r="H2493" i="10" s="1"/>
  <c r="H2321" i="10"/>
  <c r="H2322" i="10" s="1"/>
  <c r="H2323" i="10" s="1"/>
  <c r="H2324" i="10" s="1"/>
  <c r="H2325" i="10" s="1"/>
  <c r="H2326" i="10" s="1"/>
  <c r="H2327" i="10" s="1"/>
  <c r="H2328" i="10" s="1"/>
  <c r="H2329" i="10" s="1"/>
  <c r="H2330" i="10" s="1"/>
  <c r="H2331" i="10" s="1"/>
  <c r="H2332" i="10" s="1"/>
  <c r="H2333" i="10" s="1"/>
  <c r="H2334" i="10" s="1"/>
  <c r="H2335" i="10" s="1"/>
  <c r="H2336" i="10" s="1"/>
  <c r="H2337" i="10" s="1"/>
  <c r="H2338" i="10" s="1"/>
  <c r="H2339" i="10" s="1"/>
  <c r="H2340" i="10" s="1"/>
  <c r="H2341" i="10" s="1"/>
  <c r="H2169" i="10"/>
  <c r="H2170" i="10" s="1"/>
  <c r="H2171" i="10" s="1"/>
  <c r="H2172" i="10" s="1"/>
  <c r="H2173" i="10" s="1"/>
  <c r="H2174" i="10" s="1"/>
  <c r="H2175" i="10" s="1"/>
  <c r="H2176" i="10" s="1"/>
  <c r="H2177" i="10" s="1"/>
  <c r="H2178" i="10" s="1"/>
  <c r="H2179" i="10" s="1"/>
  <c r="H2180" i="10" s="1"/>
  <c r="H2181" i="10" s="1"/>
  <c r="H2182" i="10" s="1"/>
  <c r="H2183" i="10" s="1"/>
  <c r="H2184" i="10" s="1"/>
  <c r="H2185" i="10" s="1"/>
  <c r="H2186" i="10" s="1"/>
  <c r="H2187" i="10" s="1"/>
  <c r="H2188" i="10" s="1"/>
  <c r="H2189" i="10" s="1"/>
  <c r="H2131" i="10"/>
  <c r="H2132" i="10" s="1"/>
  <c r="H2133" i="10" s="1"/>
  <c r="H2134" i="10" s="1"/>
  <c r="H2135" i="10" s="1"/>
  <c r="H2136" i="10" s="1"/>
  <c r="H2137" i="10" s="1"/>
  <c r="H2138" i="10" s="1"/>
  <c r="H2139" i="10" s="1"/>
  <c r="H2140" i="10" s="1"/>
  <c r="H2141" i="10" s="1"/>
  <c r="H2142" i="10" s="1"/>
  <c r="H2143" i="10" s="1"/>
  <c r="H2144" i="10" s="1"/>
  <c r="H2145" i="10" s="1"/>
  <c r="H2146" i="10" s="1"/>
  <c r="H2147" i="10" s="1"/>
  <c r="H2148" i="10" s="1"/>
  <c r="H2149" i="10" s="1"/>
  <c r="H2150" i="10" s="1"/>
  <c r="H2151" i="10" s="1"/>
  <c r="H2093" i="10"/>
  <c r="H2094" i="10" s="1"/>
  <c r="H2095" i="10" s="1"/>
  <c r="H2096" i="10" s="1"/>
  <c r="H2097" i="10" s="1"/>
  <c r="H2098" i="10" s="1"/>
  <c r="H2099" i="10" s="1"/>
  <c r="H2100" i="10" s="1"/>
  <c r="H2101" i="10" s="1"/>
  <c r="H2102" i="10" s="1"/>
  <c r="H2103" i="10" s="1"/>
  <c r="H2104" i="10" s="1"/>
  <c r="H2105" i="10" s="1"/>
  <c r="H2106" i="10" s="1"/>
  <c r="H2107" i="10" s="1"/>
  <c r="H2108" i="10" s="1"/>
  <c r="H2109" i="10" s="1"/>
  <c r="H2110" i="10" s="1"/>
  <c r="H2111" i="10" s="1"/>
  <c r="H2112" i="10" s="1"/>
  <c r="H2113" i="10" s="1"/>
  <c r="H2055" i="10"/>
  <c r="H2056" i="10" s="1"/>
  <c r="H2057" i="10" s="1"/>
  <c r="H2058" i="10" s="1"/>
  <c r="H1903" i="10"/>
  <c r="H1904" i="10" s="1"/>
  <c r="H1751" i="10"/>
  <c r="H1752" i="10" s="1"/>
  <c r="H1753" i="10" s="1"/>
  <c r="H1713" i="10"/>
  <c r="H1714" i="10" s="1"/>
  <c r="H1675" i="10"/>
  <c r="H4145" i="10"/>
  <c r="H4146" i="10" s="1"/>
  <c r="H4147" i="10" s="1"/>
  <c r="H4148" i="10" s="1"/>
  <c r="H3993" i="10"/>
  <c r="H3994" i="10" s="1"/>
  <c r="H3841" i="10"/>
  <c r="H3842" i="10" s="1"/>
  <c r="H3843" i="10" s="1"/>
  <c r="H3844" i="10" s="1"/>
  <c r="H3803" i="10"/>
  <c r="H3804" i="10" s="1"/>
  <c r="H3765" i="10"/>
  <c r="H3766" i="10" s="1"/>
  <c r="H3767" i="10" s="1"/>
  <c r="H1637" i="10"/>
  <c r="H1638" i="10" s="1"/>
  <c r="H1639" i="10" s="1"/>
  <c r="H1640" i="10" s="1"/>
  <c r="H1641" i="10" s="1"/>
  <c r="H1642" i="10" s="1"/>
  <c r="H1643" i="10" s="1"/>
  <c r="H1644" i="10" s="1"/>
  <c r="H1645" i="10" s="1"/>
  <c r="H1646" i="10" s="1"/>
  <c r="H1647" i="10" s="1"/>
  <c r="H1648" i="10" s="1"/>
  <c r="H1649" i="10" s="1"/>
  <c r="H1650" i="10" s="1"/>
  <c r="H1651" i="10" s="1"/>
  <c r="H1652" i="10" s="1"/>
  <c r="H1653" i="10" s="1"/>
  <c r="H1654" i="10" s="1"/>
  <c r="H1655" i="10" s="1"/>
  <c r="H1656" i="10" s="1"/>
  <c r="H1657" i="10" s="1"/>
  <c r="H1485" i="10"/>
  <c r="H1486" i="10" s="1"/>
  <c r="H1487" i="10" s="1"/>
  <c r="H1488" i="10" s="1"/>
  <c r="H1489" i="10" s="1"/>
  <c r="H1490" i="10" s="1"/>
  <c r="H1491" i="10" s="1"/>
  <c r="H1492" i="10" s="1"/>
  <c r="H1493" i="10" s="1"/>
  <c r="H1494" i="10" s="1"/>
  <c r="H1495" i="10" s="1"/>
  <c r="H1496" i="10" s="1"/>
  <c r="H1497" i="10" s="1"/>
  <c r="H1498" i="10" s="1"/>
  <c r="H1499" i="10" s="1"/>
  <c r="H1500" i="10" s="1"/>
  <c r="H1501" i="10" s="1"/>
  <c r="H1502" i="10" s="1"/>
  <c r="H1503" i="10" s="1"/>
  <c r="H1504" i="10" s="1"/>
  <c r="H1505" i="10" s="1"/>
  <c r="H1333" i="10"/>
  <c r="H1334" i="10" s="1"/>
  <c r="H1335" i="10" s="1"/>
  <c r="H1336" i="10" s="1"/>
  <c r="H1337" i="10" s="1"/>
  <c r="H1338" i="10" s="1"/>
  <c r="H1339" i="10" s="1"/>
  <c r="H1340" i="10" s="1"/>
  <c r="H1341" i="10" s="1"/>
  <c r="H1342" i="10" s="1"/>
  <c r="H1343" i="10" s="1"/>
  <c r="H1344" i="10" s="1"/>
  <c r="H1345" i="10" s="1"/>
  <c r="H1346" i="10" s="1"/>
  <c r="H1347" i="10" s="1"/>
  <c r="H1348" i="10" s="1"/>
  <c r="H1349" i="10" s="1"/>
  <c r="H1350" i="10" s="1"/>
  <c r="H1351" i="10" s="1"/>
  <c r="H1352" i="10" s="1"/>
  <c r="H1353" i="10" s="1"/>
  <c r="H1295" i="10"/>
  <c r="H1296" i="10" s="1"/>
  <c r="H1297" i="10" s="1"/>
  <c r="H1298" i="10" s="1"/>
  <c r="H1299" i="10" s="1"/>
  <c r="H1300" i="10" s="1"/>
  <c r="H1301" i="10" s="1"/>
  <c r="H1302" i="10" s="1"/>
  <c r="H1303" i="10" s="1"/>
  <c r="H1304" i="10" s="1"/>
  <c r="H1305" i="10" s="1"/>
  <c r="H1306" i="10" s="1"/>
  <c r="H1307" i="10" s="1"/>
  <c r="H1308" i="10" s="1"/>
  <c r="H1309" i="10" s="1"/>
  <c r="H1310" i="10" s="1"/>
  <c r="H1311" i="10" s="1"/>
  <c r="H1312" i="10" s="1"/>
  <c r="H1313" i="10" s="1"/>
  <c r="H1314" i="10" s="1"/>
  <c r="H1315" i="10" s="1"/>
  <c r="H1257" i="10"/>
  <c r="H1258" i="10" s="1"/>
  <c r="H1259" i="10" s="1"/>
  <c r="H1260" i="10" s="1"/>
  <c r="H1261" i="10" s="1"/>
  <c r="H1262" i="10" s="1"/>
  <c r="H1263" i="10" s="1"/>
  <c r="H1264" i="10" s="1"/>
  <c r="H1265" i="10" s="1"/>
  <c r="H1266" i="10" s="1"/>
  <c r="H1267" i="10" s="1"/>
  <c r="H1268" i="10" s="1"/>
  <c r="H1269" i="10" s="1"/>
  <c r="H1270" i="10" s="1"/>
  <c r="H1271" i="10" s="1"/>
  <c r="H1272" i="10" s="1"/>
  <c r="H1273" i="10" s="1"/>
  <c r="H1274" i="10" s="1"/>
  <c r="H1275" i="10" s="1"/>
  <c r="H1276" i="10" s="1"/>
  <c r="H1277" i="10" s="1"/>
  <c r="AM14" i="2"/>
  <c r="AM17" i="2"/>
  <c r="AM23" i="2"/>
  <c r="AM26" i="2"/>
  <c r="AM29" i="2"/>
  <c r="AM32" i="2"/>
  <c r="H1219" i="10"/>
  <c r="H1220" i="10" s="1"/>
  <c r="H1221" i="10" s="1"/>
  <c r="H1222" i="10" s="1"/>
  <c r="H1223" i="10" s="1"/>
  <c r="H1224" i="10" s="1"/>
  <c r="H1225" i="10" s="1"/>
  <c r="H1226" i="10" s="1"/>
  <c r="H1227" i="10" s="1"/>
  <c r="H1228" i="10" s="1"/>
  <c r="H1229" i="10" s="1"/>
  <c r="H1230" i="10" s="1"/>
  <c r="H1231" i="10" s="1"/>
  <c r="H1232" i="10" s="1"/>
  <c r="H1233" i="10" s="1"/>
  <c r="H1234" i="10" s="1"/>
  <c r="H1235" i="10" s="1"/>
  <c r="H1236" i="10" s="1"/>
  <c r="H1237" i="10" s="1"/>
  <c r="H1238" i="10" s="1"/>
  <c r="H1239" i="10" s="1"/>
  <c r="H1067" i="10"/>
  <c r="H1068" i="10" s="1"/>
  <c r="H1069" i="10" s="1"/>
  <c r="H1070" i="10" s="1"/>
  <c r="H1071" i="10" s="1"/>
  <c r="H1072" i="10" s="1"/>
  <c r="H1073" i="10" s="1"/>
  <c r="H1074" i="10" s="1"/>
  <c r="H1075" i="10" s="1"/>
  <c r="H1076" i="10" s="1"/>
  <c r="H1077" i="10" s="1"/>
  <c r="H1078" i="10" s="1"/>
  <c r="H1079" i="10" s="1"/>
  <c r="H1080" i="10" s="1"/>
  <c r="H1081" i="10" s="1"/>
  <c r="H1082" i="10" s="1"/>
  <c r="H1083" i="10" s="1"/>
  <c r="H1084" i="10" s="1"/>
  <c r="H1085" i="10" s="1"/>
  <c r="H1086" i="10" s="1"/>
  <c r="H1087" i="10" s="1"/>
  <c r="H915" i="10"/>
  <c r="H916" i="10" s="1"/>
  <c r="H917" i="10" s="1"/>
  <c r="H918" i="10" s="1"/>
  <c r="H919" i="10" s="1"/>
  <c r="H920" i="10" s="1"/>
  <c r="H921" i="10" s="1"/>
  <c r="H922" i="10" s="1"/>
  <c r="H923" i="10" s="1"/>
  <c r="H924" i="10" s="1"/>
  <c r="H925" i="10" s="1"/>
  <c r="H926" i="10" s="1"/>
  <c r="H927" i="10" s="1"/>
  <c r="H928" i="10" s="1"/>
  <c r="H929" i="10" s="1"/>
  <c r="H930" i="10" s="1"/>
  <c r="H931" i="10" s="1"/>
  <c r="H932" i="10" s="1"/>
  <c r="H933" i="10" s="1"/>
  <c r="H934" i="10" s="1"/>
  <c r="H935" i="10" s="1"/>
  <c r="H877" i="10"/>
  <c r="H878" i="10" s="1"/>
  <c r="H879" i="10" s="1"/>
  <c r="H880" i="10" s="1"/>
  <c r="H881" i="10" s="1"/>
  <c r="H882" i="10" s="1"/>
  <c r="H883" i="10" s="1"/>
  <c r="H884" i="10" s="1"/>
  <c r="H885" i="10" s="1"/>
  <c r="H886" i="10" s="1"/>
  <c r="H887" i="10" s="1"/>
  <c r="H888" i="10" s="1"/>
  <c r="H889" i="10" s="1"/>
  <c r="H890" i="10" s="1"/>
  <c r="H891" i="10" s="1"/>
  <c r="H892" i="10" s="1"/>
  <c r="H893" i="10" s="1"/>
  <c r="H894" i="10" s="1"/>
  <c r="H895" i="10" s="1"/>
  <c r="H896" i="10" s="1"/>
  <c r="H897" i="10" s="1"/>
  <c r="H839" i="10"/>
  <c r="H840" i="10" s="1"/>
  <c r="H841" i="10" s="1"/>
  <c r="H842" i="10" s="1"/>
  <c r="H843" i="10" s="1"/>
  <c r="H844" i="10" s="1"/>
  <c r="H845" i="10" s="1"/>
  <c r="H846" i="10" s="1"/>
  <c r="H847" i="10" s="1"/>
  <c r="H848" i="10" s="1"/>
  <c r="H849" i="10" s="1"/>
  <c r="H850" i="10" s="1"/>
  <c r="H851" i="10" s="1"/>
  <c r="H852" i="10" s="1"/>
  <c r="H853" i="10" s="1"/>
  <c r="H854" i="10" s="1"/>
  <c r="H855" i="10" s="1"/>
  <c r="H856" i="10" s="1"/>
  <c r="H857" i="10" s="1"/>
  <c r="H858" i="10" s="1"/>
  <c r="H859" i="10" s="1"/>
  <c r="H801" i="10"/>
  <c r="H802" i="10" s="1"/>
  <c r="H803" i="10" s="1"/>
  <c r="H804" i="10" s="1"/>
  <c r="H805" i="10" s="1"/>
  <c r="H806" i="10" s="1"/>
  <c r="H807" i="10" s="1"/>
  <c r="H808" i="10" s="1"/>
  <c r="H809" i="10" s="1"/>
  <c r="H810" i="10" s="1"/>
  <c r="H811" i="10" s="1"/>
  <c r="H812" i="10" s="1"/>
  <c r="H813" i="10" s="1"/>
  <c r="H814" i="10" s="1"/>
  <c r="H815" i="10" s="1"/>
  <c r="H816" i="10" s="1"/>
  <c r="H817" i="10" s="1"/>
  <c r="H818" i="10" s="1"/>
  <c r="H819" i="10" s="1"/>
  <c r="H820" i="10" s="1"/>
  <c r="H821" i="10" s="1"/>
  <c r="H649" i="10"/>
  <c r="H650" i="10" s="1"/>
  <c r="H651" i="10" s="1"/>
  <c r="H652" i="10" s="1"/>
  <c r="H653" i="10" s="1"/>
  <c r="H654" i="10" s="1"/>
  <c r="H655" i="10" s="1"/>
  <c r="H656" i="10" s="1"/>
  <c r="H657" i="10" s="1"/>
  <c r="H658" i="10" s="1"/>
  <c r="H659" i="10" s="1"/>
  <c r="H660" i="10" s="1"/>
  <c r="H661" i="10" s="1"/>
  <c r="H662" i="10" s="1"/>
  <c r="H663" i="10" s="1"/>
  <c r="H664" i="10" s="1"/>
  <c r="H665" i="10" s="1"/>
  <c r="H666" i="10" s="1"/>
  <c r="H667" i="10" s="1"/>
  <c r="H668" i="10" s="1"/>
  <c r="H669" i="10" s="1"/>
  <c r="H2494" i="10" l="1"/>
  <c r="I2493" i="10"/>
  <c r="H2342" i="10"/>
  <c r="I2341" i="10"/>
  <c r="H2190" i="10"/>
  <c r="I2189" i="10"/>
  <c r="H2152" i="10"/>
  <c r="I2151" i="10"/>
  <c r="H2114" i="10"/>
  <c r="I2113" i="10"/>
  <c r="H1658" i="10"/>
  <c r="I1657" i="10"/>
  <c r="H1506" i="10"/>
  <c r="I1505" i="10"/>
  <c r="H1354" i="10"/>
  <c r="I1353" i="10"/>
  <c r="H1316" i="10"/>
  <c r="I1315" i="10"/>
  <c r="H1278" i="10"/>
  <c r="I1277" i="10"/>
  <c r="H1240" i="10"/>
  <c r="I1239" i="10"/>
  <c r="H1088" i="10"/>
  <c r="I1087" i="10"/>
  <c r="H936" i="10"/>
  <c r="I935" i="10"/>
  <c r="H898" i="10"/>
  <c r="I897" i="10"/>
  <c r="H860" i="10"/>
  <c r="I859" i="10"/>
  <c r="H822" i="10"/>
  <c r="I821" i="10"/>
  <c r="H670" i="10"/>
  <c r="I669" i="10"/>
  <c r="I4194" i="10"/>
  <c r="I4193" i="10"/>
  <c r="I4182" i="10"/>
  <c r="I4183" i="10"/>
  <c r="H3158" i="10"/>
  <c r="H2970" i="10"/>
  <c r="H3007" i="10"/>
  <c r="H3311" i="10"/>
  <c r="H2931" i="10"/>
  <c r="H2741" i="10"/>
  <c r="H2514" i="10"/>
  <c r="H2589" i="10"/>
  <c r="H2551" i="10"/>
  <c r="H2893" i="10"/>
  <c r="H1676" i="10"/>
  <c r="H1677" i="10" s="1"/>
  <c r="H1678" i="10" s="1"/>
  <c r="H1679" i="10" s="1"/>
  <c r="H1715" i="10"/>
  <c r="H1905" i="10"/>
  <c r="H1754" i="10"/>
  <c r="H2059" i="10"/>
  <c r="H3995" i="10"/>
  <c r="H3768" i="10"/>
  <c r="H3845" i="10"/>
  <c r="H3805" i="10"/>
  <c r="H4149" i="10"/>
  <c r="H2495" i="10" l="1"/>
  <c r="I2494" i="10"/>
  <c r="H2343" i="10"/>
  <c r="I2342" i="10"/>
  <c r="H2191" i="10"/>
  <c r="I2190" i="10"/>
  <c r="H2153" i="10"/>
  <c r="I2152" i="10"/>
  <c r="H2115" i="10"/>
  <c r="I2114" i="10"/>
  <c r="H1659" i="10"/>
  <c r="I1658" i="10"/>
  <c r="H1507" i="10"/>
  <c r="I1506" i="10"/>
  <c r="I1354" i="10"/>
  <c r="H1355" i="10"/>
  <c r="H1317" i="10"/>
  <c r="I1316" i="10"/>
  <c r="H1279" i="10"/>
  <c r="I1278" i="10"/>
  <c r="H1241" i="10"/>
  <c r="I1240" i="10"/>
  <c r="H1089" i="10"/>
  <c r="I1088" i="10"/>
  <c r="H937" i="10"/>
  <c r="I936" i="10"/>
  <c r="H899" i="10"/>
  <c r="I898" i="10"/>
  <c r="H861" i="10"/>
  <c r="I860" i="10"/>
  <c r="H823" i="10"/>
  <c r="I822" i="10"/>
  <c r="H671" i="10"/>
  <c r="I670" i="10"/>
  <c r="H2971" i="10"/>
  <c r="H3008" i="10"/>
  <c r="H3159" i="10"/>
  <c r="H2932" i="10"/>
  <c r="H3312" i="10"/>
  <c r="H2590" i="10"/>
  <c r="H2894" i="10"/>
  <c r="H2515" i="10"/>
  <c r="H2552" i="10"/>
  <c r="H2742" i="10"/>
  <c r="H1906" i="10"/>
  <c r="H2060" i="10"/>
  <c r="H1755" i="10"/>
  <c r="H1680" i="10"/>
  <c r="H1716" i="10"/>
  <c r="H3846" i="10"/>
  <c r="H4150" i="10"/>
  <c r="H3769" i="10"/>
  <c r="H3806" i="10"/>
  <c r="H3996" i="10"/>
  <c r="H2496" i="10" l="1"/>
  <c r="I2495" i="10"/>
  <c r="H2344" i="10"/>
  <c r="I2343" i="10"/>
  <c r="H2192" i="10"/>
  <c r="I2191" i="10"/>
  <c r="H2154" i="10"/>
  <c r="I2153" i="10"/>
  <c r="H2116" i="10"/>
  <c r="I2115" i="10"/>
  <c r="H1660" i="10"/>
  <c r="I1659" i="10"/>
  <c r="H1508" i="10"/>
  <c r="I1507" i="10"/>
  <c r="H1356" i="10"/>
  <c r="I1355" i="10"/>
  <c r="H1318" i="10"/>
  <c r="I1317" i="10"/>
  <c r="H1280" i="10"/>
  <c r="I1279" i="10"/>
  <c r="H1242" i="10"/>
  <c r="I1241" i="10"/>
  <c r="H1090" i="10"/>
  <c r="I1089" i="10"/>
  <c r="H938" i="10"/>
  <c r="I937" i="10"/>
  <c r="H900" i="10"/>
  <c r="I899" i="10"/>
  <c r="H862" i="10"/>
  <c r="I861" i="10"/>
  <c r="H824" i="10"/>
  <c r="I823" i="10"/>
  <c r="H672" i="10"/>
  <c r="I671" i="10"/>
  <c r="H3009" i="10"/>
  <c r="H2933" i="10"/>
  <c r="H2972" i="10"/>
  <c r="H3160" i="10"/>
  <c r="H3313" i="10"/>
  <c r="H2895" i="10"/>
  <c r="H2743" i="10"/>
  <c r="H2591" i="10"/>
  <c r="H2516" i="10"/>
  <c r="H2553" i="10"/>
  <c r="H1907" i="10"/>
  <c r="H1717" i="10"/>
  <c r="H1681" i="10"/>
  <c r="H1756" i="10"/>
  <c r="H2061" i="10"/>
  <c r="H3997" i="10"/>
  <c r="H3807" i="10"/>
  <c r="H4151" i="10"/>
  <c r="H3770" i="10"/>
  <c r="H3847" i="10"/>
  <c r="H2497" i="10" l="1"/>
  <c r="I2496" i="10"/>
  <c r="H2345" i="10"/>
  <c r="I2344" i="10"/>
  <c r="H2193" i="10"/>
  <c r="I2192" i="10"/>
  <c r="I2154" i="10"/>
  <c r="H2155" i="10"/>
  <c r="H2117" i="10"/>
  <c r="I2116" i="10"/>
  <c r="H1661" i="10"/>
  <c r="I1660" i="10"/>
  <c r="H1509" i="10"/>
  <c r="I1508" i="10"/>
  <c r="H1357" i="10"/>
  <c r="I1356" i="10"/>
  <c r="H1319" i="10"/>
  <c r="I1318" i="10"/>
  <c r="H1281" i="10"/>
  <c r="I1280" i="10"/>
  <c r="H1243" i="10"/>
  <c r="I1242" i="10"/>
  <c r="I1090" i="10"/>
  <c r="H1091" i="10"/>
  <c r="I938" i="10"/>
  <c r="H939" i="10"/>
  <c r="H901" i="10"/>
  <c r="I900" i="10"/>
  <c r="H863" i="10"/>
  <c r="I862" i="10"/>
  <c r="H825" i="10"/>
  <c r="I824" i="10"/>
  <c r="H673" i="10"/>
  <c r="I672" i="10"/>
  <c r="H2973" i="10"/>
  <c r="H2934" i="10"/>
  <c r="H3161" i="10"/>
  <c r="H3314" i="10"/>
  <c r="H3010" i="10"/>
  <c r="H2592" i="10"/>
  <c r="H2554" i="10"/>
  <c r="H2896" i="10"/>
  <c r="H2744" i="10"/>
  <c r="H2517" i="10"/>
  <c r="H1757" i="10"/>
  <c r="H2062" i="10"/>
  <c r="H1718" i="10"/>
  <c r="H1908" i="10"/>
  <c r="H1682" i="10"/>
  <c r="H3998" i="10"/>
  <c r="H3848" i="10"/>
  <c r="H3808" i="10"/>
  <c r="H3771" i="10"/>
  <c r="H4152" i="10"/>
  <c r="H2498" i="10" l="1"/>
  <c r="I2497" i="10"/>
  <c r="H2346" i="10"/>
  <c r="I2345" i="10"/>
  <c r="H2194" i="10"/>
  <c r="I2193" i="10"/>
  <c r="H2156" i="10"/>
  <c r="I2155" i="10"/>
  <c r="H2118" i="10"/>
  <c r="I2117" i="10"/>
  <c r="H1662" i="10"/>
  <c r="I1661" i="10"/>
  <c r="H1510" i="10"/>
  <c r="I1509" i="10"/>
  <c r="H1358" i="10"/>
  <c r="I1357" i="10"/>
  <c r="H1320" i="10"/>
  <c r="I1319" i="10"/>
  <c r="H1282" i="10"/>
  <c r="I1281" i="10"/>
  <c r="H1244" i="10"/>
  <c r="I1243" i="10"/>
  <c r="H1092" i="10"/>
  <c r="I1091" i="10"/>
  <c r="H940" i="10"/>
  <c r="I939" i="10"/>
  <c r="H902" i="10"/>
  <c r="I901" i="10"/>
  <c r="H864" i="10"/>
  <c r="I863" i="10"/>
  <c r="H826" i="10"/>
  <c r="I825" i="10"/>
  <c r="H674" i="10"/>
  <c r="I673" i="10"/>
  <c r="H2935" i="10"/>
  <c r="H2974" i="10"/>
  <c r="H3011" i="10"/>
  <c r="H3315" i="10"/>
  <c r="H3162" i="10"/>
  <c r="H2745" i="10"/>
  <c r="H2897" i="10"/>
  <c r="H2518" i="10"/>
  <c r="H2593" i="10"/>
  <c r="H2555" i="10"/>
  <c r="H1758" i="10"/>
  <c r="H1683" i="10"/>
  <c r="H1719" i="10"/>
  <c r="H1909" i="10"/>
  <c r="H2063" i="10"/>
  <c r="H3999" i="10"/>
  <c r="H3772" i="10"/>
  <c r="H4153" i="10"/>
  <c r="H3849" i="10"/>
  <c r="H3809" i="10"/>
  <c r="H2499" i="10" l="1"/>
  <c r="I2498" i="10"/>
  <c r="I2346" i="10"/>
  <c r="H2347" i="10"/>
  <c r="H2195" i="10"/>
  <c r="I2194" i="10"/>
  <c r="H2157" i="10"/>
  <c r="I2156" i="10"/>
  <c r="H2119" i="10"/>
  <c r="I2118" i="10"/>
  <c r="H1663" i="10"/>
  <c r="I1662" i="10"/>
  <c r="H1511" i="10"/>
  <c r="I1510" i="10"/>
  <c r="H1359" i="10"/>
  <c r="I1358" i="10"/>
  <c r="H1321" i="10"/>
  <c r="I1320" i="10"/>
  <c r="H1283" i="10"/>
  <c r="I1282" i="10"/>
  <c r="H1245" i="10"/>
  <c r="I1244" i="10"/>
  <c r="I1092" i="10"/>
  <c r="H1093" i="10"/>
  <c r="H941" i="10"/>
  <c r="I940" i="10"/>
  <c r="H903" i="10"/>
  <c r="I902" i="10"/>
  <c r="H865" i="10"/>
  <c r="I864" i="10"/>
  <c r="H827" i="10"/>
  <c r="I826" i="10"/>
  <c r="H675" i="10"/>
  <c r="I674" i="10"/>
  <c r="H3163" i="10"/>
  <c r="H2975" i="10"/>
  <c r="H3316" i="10"/>
  <c r="H3012" i="10"/>
  <c r="H2936" i="10"/>
  <c r="H2519" i="10"/>
  <c r="H2898" i="10"/>
  <c r="H2594" i="10"/>
  <c r="H2556" i="10"/>
  <c r="H2746" i="10"/>
  <c r="H2064" i="10"/>
  <c r="H1910" i="10"/>
  <c r="H1720" i="10"/>
  <c r="H1759" i="10"/>
  <c r="H1684" i="10"/>
  <c r="H3850" i="10"/>
  <c r="H4000" i="10"/>
  <c r="H3810" i="10"/>
  <c r="H4154" i="10"/>
  <c r="H3773" i="10"/>
  <c r="H2500" i="10" l="1"/>
  <c r="I2499" i="10"/>
  <c r="H2348" i="10"/>
  <c r="I2347" i="10"/>
  <c r="H2196" i="10"/>
  <c r="I2195" i="10"/>
  <c r="I2157" i="10"/>
  <c r="H2158" i="10"/>
  <c r="H2120" i="10"/>
  <c r="I2119" i="10"/>
  <c r="H1664" i="10"/>
  <c r="I1663" i="10"/>
  <c r="H1512" i="10"/>
  <c r="I1511" i="10"/>
  <c r="H1360" i="10"/>
  <c r="I1359" i="10"/>
  <c r="H1322" i="10"/>
  <c r="I1321" i="10"/>
  <c r="I1283" i="10"/>
  <c r="H1284" i="10"/>
  <c r="H1246" i="10"/>
  <c r="I1245" i="10"/>
  <c r="I1093" i="10"/>
  <c r="H1094" i="10"/>
  <c r="H942" i="10"/>
  <c r="I941" i="10"/>
  <c r="H904" i="10"/>
  <c r="I903" i="10"/>
  <c r="H866" i="10"/>
  <c r="I865" i="10"/>
  <c r="H828" i="10"/>
  <c r="I827" i="10"/>
  <c r="H676" i="10"/>
  <c r="I675" i="10"/>
  <c r="H2937" i="10"/>
  <c r="H3013" i="10"/>
  <c r="H2976" i="10"/>
  <c r="H3164" i="10"/>
  <c r="H3317" i="10"/>
  <c r="H2557" i="10"/>
  <c r="H2747" i="10"/>
  <c r="H2595" i="10"/>
  <c r="H2899" i="10"/>
  <c r="H2520" i="10"/>
  <c r="H1721" i="10"/>
  <c r="H1760" i="10"/>
  <c r="H1685" i="10"/>
  <c r="H2065" i="10"/>
  <c r="H1911" i="10"/>
  <c r="H4155" i="10"/>
  <c r="H3851" i="10"/>
  <c r="H4001" i="10"/>
  <c r="H3774" i="10"/>
  <c r="H3811" i="10"/>
  <c r="H2501" i="10" l="1"/>
  <c r="I2500" i="10"/>
  <c r="H2349" i="10"/>
  <c r="I2348" i="10"/>
  <c r="H2197" i="10"/>
  <c r="I2196" i="10"/>
  <c r="H2159" i="10"/>
  <c r="I2158" i="10"/>
  <c r="H2121" i="10"/>
  <c r="I2120" i="10"/>
  <c r="H1665" i="10"/>
  <c r="I1664" i="10"/>
  <c r="H1513" i="10"/>
  <c r="I1512" i="10"/>
  <c r="H1361" i="10"/>
  <c r="I1360" i="10"/>
  <c r="H1323" i="10"/>
  <c r="I1322" i="10"/>
  <c r="H1285" i="10"/>
  <c r="I1284" i="10"/>
  <c r="H1247" i="10"/>
  <c r="I1246" i="10"/>
  <c r="H1095" i="10"/>
  <c r="I1094" i="10"/>
  <c r="H943" i="10"/>
  <c r="I942" i="10"/>
  <c r="H905" i="10"/>
  <c r="I904" i="10"/>
  <c r="H867" i="10"/>
  <c r="I866" i="10"/>
  <c r="H829" i="10"/>
  <c r="I828" i="10"/>
  <c r="H677" i="10"/>
  <c r="I676" i="10"/>
  <c r="H2938" i="10"/>
  <c r="H3165" i="10"/>
  <c r="H3318" i="10"/>
  <c r="H3014" i="10"/>
  <c r="H2977" i="10"/>
  <c r="H2748" i="10"/>
  <c r="H2521" i="10"/>
  <c r="H2596" i="10"/>
  <c r="H2900" i="10"/>
  <c r="H2558" i="10"/>
  <c r="H1686" i="10"/>
  <c r="H1761" i="10"/>
  <c r="H2066" i="10"/>
  <c r="H1722" i="10"/>
  <c r="H1912" i="10"/>
  <c r="H4156" i="10"/>
  <c r="H3852" i="10"/>
  <c r="H3812" i="10"/>
  <c r="H4002" i="10"/>
  <c r="H3775" i="10"/>
  <c r="H2502" i="10" l="1"/>
  <c r="I2501" i="10"/>
  <c r="H2350" i="10"/>
  <c r="I2349" i="10"/>
  <c r="I2197" i="10"/>
  <c r="H2198" i="10"/>
  <c r="H2160" i="10"/>
  <c r="I2159" i="10"/>
  <c r="H2122" i="10"/>
  <c r="I2121" i="10"/>
  <c r="H1666" i="10"/>
  <c r="I1665" i="10"/>
  <c r="H1514" i="10"/>
  <c r="I1513" i="10"/>
  <c r="H1362" i="10"/>
  <c r="I1361" i="10"/>
  <c r="H1324" i="10"/>
  <c r="I1323" i="10"/>
  <c r="I1285" i="10"/>
  <c r="H1286" i="10"/>
  <c r="H1248" i="10"/>
  <c r="I1247" i="10"/>
  <c r="H1096" i="10"/>
  <c r="I1095" i="10"/>
  <c r="I943" i="10"/>
  <c r="H944" i="10"/>
  <c r="H906" i="10"/>
  <c r="I905" i="10"/>
  <c r="H868" i="10"/>
  <c r="I867" i="10"/>
  <c r="H830" i="10"/>
  <c r="I829" i="10"/>
  <c r="H678" i="10"/>
  <c r="I677" i="10"/>
  <c r="H3015" i="10"/>
  <c r="H3166" i="10"/>
  <c r="H2978" i="10"/>
  <c r="H3319" i="10"/>
  <c r="H2939" i="10"/>
  <c r="H2597" i="10"/>
  <c r="H2522" i="10"/>
  <c r="H2559" i="10"/>
  <c r="H2901" i="10"/>
  <c r="H2749" i="10"/>
  <c r="H1723" i="10"/>
  <c r="H1913" i="10"/>
  <c r="H2067" i="10"/>
  <c r="H1762" i="10"/>
  <c r="H1687" i="10"/>
  <c r="H3853" i="10"/>
  <c r="H4003" i="10"/>
  <c r="H3776" i="10"/>
  <c r="H4157" i="10"/>
  <c r="H3813" i="10"/>
  <c r="H2503" i="10" l="1"/>
  <c r="I2502" i="10"/>
  <c r="H2351" i="10"/>
  <c r="I2350" i="10"/>
  <c r="I2198" i="10"/>
  <c r="H2199" i="10"/>
  <c r="H2161" i="10"/>
  <c r="I2160" i="10"/>
  <c r="H2123" i="10"/>
  <c r="I2122" i="10"/>
  <c r="H1667" i="10"/>
  <c r="I1666" i="10"/>
  <c r="H1515" i="10"/>
  <c r="I1514" i="10"/>
  <c r="H1363" i="10"/>
  <c r="I1362" i="10"/>
  <c r="H1325" i="10"/>
  <c r="I1324" i="10"/>
  <c r="I1286" i="10"/>
  <c r="H1287" i="10"/>
  <c r="H1249" i="10"/>
  <c r="I1248" i="10"/>
  <c r="H1097" i="10"/>
  <c r="I1096" i="10"/>
  <c r="H945" i="10"/>
  <c r="I944" i="10"/>
  <c r="H907" i="10"/>
  <c r="I906" i="10"/>
  <c r="H869" i="10"/>
  <c r="I868" i="10"/>
  <c r="H831" i="10"/>
  <c r="I830" i="10"/>
  <c r="H679" i="10"/>
  <c r="I678" i="10"/>
  <c r="H3320" i="10"/>
  <c r="H3167" i="10"/>
  <c r="H2979" i="10"/>
  <c r="H2940" i="10"/>
  <c r="H3016" i="10"/>
  <c r="H2523" i="10"/>
  <c r="H2750" i="10"/>
  <c r="H2598" i="10"/>
  <c r="H2560" i="10"/>
  <c r="H2902" i="10"/>
  <c r="H1688" i="10"/>
  <c r="H1763" i="10"/>
  <c r="H1914" i="10"/>
  <c r="H2068" i="10"/>
  <c r="H1724" i="10"/>
  <c r="H3777" i="10"/>
  <c r="H4158" i="10"/>
  <c r="H3814" i="10"/>
  <c r="H4004" i="10"/>
  <c r="H3854" i="10"/>
  <c r="H2504" i="10" l="1"/>
  <c r="I2503" i="10"/>
  <c r="H2352" i="10"/>
  <c r="I2351" i="10"/>
  <c r="I2199" i="10"/>
  <c r="H2200" i="10"/>
  <c r="H2162" i="10"/>
  <c r="I2161" i="10"/>
  <c r="H2124" i="10"/>
  <c r="I2123" i="10"/>
  <c r="H1668" i="10"/>
  <c r="I1667" i="10"/>
  <c r="H1516" i="10"/>
  <c r="I1515" i="10"/>
  <c r="I1363" i="10"/>
  <c r="H1364" i="10"/>
  <c r="H1326" i="10"/>
  <c r="I1325" i="10"/>
  <c r="H1288" i="10"/>
  <c r="I1287" i="10"/>
  <c r="H1250" i="10"/>
  <c r="I1249" i="10"/>
  <c r="H1098" i="10"/>
  <c r="I1097" i="10"/>
  <c r="H946" i="10"/>
  <c r="I945" i="10"/>
  <c r="H908" i="10"/>
  <c r="I907" i="10"/>
  <c r="H870" i="10"/>
  <c r="I869" i="10"/>
  <c r="H832" i="10"/>
  <c r="I831" i="10"/>
  <c r="H680" i="10"/>
  <c r="I679" i="10"/>
  <c r="H2980" i="10"/>
  <c r="H3017" i="10"/>
  <c r="H2941" i="10"/>
  <c r="H3168" i="10"/>
  <c r="H3321" i="10"/>
  <c r="H2903" i="10"/>
  <c r="H2751" i="10"/>
  <c r="H2599" i="10"/>
  <c r="H2561" i="10"/>
  <c r="H2524" i="10"/>
  <c r="H2069" i="10"/>
  <c r="H1725" i="10"/>
  <c r="H1915" i="10"/>
  <c r="H1764" i="10"/>
  <c r="H1689" i="10"/>
  <c r="H3855" i="10"/>
  <c r="H4159" i="10"/>
  <c r="H3778" i="10"/>
  <c r="H3815" i="10"/>
  <c r="H4005" i="10"/>
  <c r="H2505" i="10" l="1"/>
  <c r="I2504" i="10"/>
  <c r="H2353" i="10"/>
  <c r="I2352" i="10"/>
  <c r="I2200" i="10"/>
  <c r="H2201" i="10"/>
  <c r="H2163" i="10"/>
  <c r="I2162" i="10"/>
  <c r="H2125" i="10"/>
  <c r="I2124" i="10"/>
  <c r="H1669" i="10"/>
  <c r="I1668" i="10"/>
  <c r="H1517" i="10"/>
  <c r="I1516" i="10"/>
  <c r="H1365" i="10"/>
  <c r="I1364" i="10"/>
  <c r="H1327" i="10"/>
  <c r="I1326" i="10"/>
  <c r="I1288" i="10"/>
  <c r="H1289" i="10"/>
  <c r="H1251" i="10"/>
  <c r="I1250" i="10"/>
  <c r="H1099" i="10"/>
  <c r="I1098" i="10"/>
  <c r="H947" i="10"/>
  <c r="I946" i="10"/>
  <c r="H909" i="10"/>
  <c r="I908" i="10"/>
  <c r="H871" i="10"/>
  <c r="I870" i="10"/>
  <c r="H833" i="10"/>
  <c r="I832" i="10"/>
  <c r="H681" i="10"/>
  <c r="I680" i="10"/>
  <c r="H3322" i="10"/>
  <c r="H3018" i="10"/>
  <c r="H3169" i="10"/>
  <c r="H2942" i="10"/>
  <c r="H2981" i="10"/>
  <c r="H2600" i="10"/>
  <c r="H2752" i="10"/>
  <c r="H2525" i="10"/>
  <c r="H2562" i="10"/>
  <c r="H2904" i="10"/>
  <c r="H1765" i="10"/>
  <c r="H1726" i="10"/>
  <c r="H2070" i="10"/>
  <c r="H1916" i="10"/>
  <c r="H1690" i="10"/>
  <c r="H4006" i="10"/>
  <c r="H4160" i="10"/>
  <c r="H3779" i="10"/>
  <c r="H3856" i="10"/>
  <c r="H3816" i="10"/>
  <c r="H2506" i="10" l="1"/>
  <c r="I2505" i="10"/>
  <c r="H2354" i="10"/>
  <c r="I2353" i="10"/>
  <c r="H2202" i="10"/>
  <c r="I2201" i="10"/>
  <c r="H2164" i="10"/>
  <c r="I2163" i="10"/>
  <c r="H2126" i="10"/>
  <c r="I2125" i="10"/>
  <c r="H1670" i="10"/>
  <c r="I1669" i="10"/>
  <c r="H1518" i="10"/>
  <c r="I1517" i="10"/>
  <c r="H1366" i="10"/>
  <c r="I1365" i="10"/>
  <c r="H1328" i="10"/>
  <c r="I1327" i="10"/>
  <c r="I1289" i="10"/>
  <c r="H1290" i="10"/>
  <c r="H1252" i="10"/>
  <c r="I1251" i="10"/>
  <c r="H1100" i="10"/>
  <c r="I1099" i="10"/>
  <c r="I947" i="10"/>
  <c r="H948" i="10"/>
  <c r="H910" i="10"/>
  <c r="I909" i="10"/>
  <c r="H872" i="10"/>
  <c r="I871" i="10"/>
  <c r="H834" i="10"/>
  <c r="I833" i="10"/>
  <c r="H682" i="10"/>
  <c r="I681" i="10"/>
  <c r="H2943" i="10"/>
  <c r="H2982" i="10"/>
  <c r="H3323" i="10"/>
  <c r="H3170" i="10"/>
  <c r="H3019" i="10"/>
  <c r="H2526" i="10"/>
  <c r="H2905" i="10"/>
  <c r="H2601" i="10"/>
  <c r="H2563" i="10"/>
  <c r="H2753" i="10"/>
  <c r="H1691" i="10"/>
  <c r="H1766" i="10"/>
  <c r="H1727" i="10"/>
  <c r="H2071" i="10"/>
  <c r="H1917" i="10"/>
  <c r="H3857" i="10"/>
  <c r="H3780" i="10"/>
  <c r="H4161" i="10"/>
  <c r="H3817" i="10"/>
  <c r="H4007" i="10"/>
  <c r="H2507" i="10" l="1"/>
  <c r="I2506" i="10"/>
  <c r="H2355" i="10"/>
  <c r="I2354" i="10"/>
  <c r="H2203" i="10"/>
  <c r="I2202" i="10"/>
  <c r="H2165" i="10"/>
  <c r="I2164" i="10"/>
  <c r="H2127" i="10"/>
  <c r="I2126" i="10"/>
  <c r="H1671" i="10"/>
  <c r="I1670" i="10"/>
  <c r="H1519" i="10"/>
  <c r="I1518" i="10"/>
  <c r="H1367" i="10"/>
  <c r="I1366" i="10"/>
  <c r="H1329" i="10"/>
  <c r="I1328" i="10"/>
  <c r="H1291" i="10"/>
  <c r="I1290" i="10"/>
  <c r="H1253" i="10"/>
  <c r="I1252" i="10"/>
  <c r="I1100" i="10"/>
  <c r="H1101" i="10"/>
  <c r="I948" i="10"/>
  <c r="H949" i="10"/>
  <c r="H911" i="10"/>
  <c r="I910" i="10"/>
  <c r="H873" i="10"/>
  <c r="I872" i="10"/>
  <c r="H835" i="10"/>
  <c r="I834" i="10"/>
  <c r="H683" i="10"/>
  <c r="I682" i="10"/>
  <c r="H2983" i="10"/>
  <c r="H3020" i="10"/>
  <c r="H2944" i="10"/>
  <c r="H3171" i="10"/>
  <c r="H3324" i="10"/>
  <c r="H2754" i="10"/>
  <c r="H2906" i="10"/>
  <c r="H2602" i="10"/>
  <c r="H2527" i="10"/>
  <c r="H2564" i="10"/>
  <c r="H1728" i="10"/>
  <c r="H1692" i="10"/>
  <c r="H1918" i="10"/>
  <c r="H2072" i="10"/>
  <c r="H1767" i="10"/>
  <c r="H3818" i="10"/>
  <c r="H4008" i="10"/>
  <c r="H3781" i="10"/>
  <c r="H4162" i="10"/>
  <c r="H3858" i="10"/>
  <c r="H2508" i="10" l="1"/>
  <c r="I2508" i="10" s="1"/>
  <c r="I2507" i="10"/>
  <c r="H2356" i="10"/>
  <c r="I2356" i="10" s="1"/>
  <c r="I2355" i="10"/>
  <c r="H2204" i="10"/>
  <c r="I2204" i="10" s="1"/>
  <c r="I2203" i="10"/>
  <c r="I2165" i="10"/>
  <c r="H2166" i="10"/>
  <c r="I2166" i="10" s="1"/>
  <c r="H2128" i="10"/>
  <c r="I2128" i="10" s="1"/>
  <c r="I2127" i="10"/>
  <c r="H1672" i="10"/>
  <c r="I1672" i="10" s="1"/>
  <c r="I1671" i="10"/>
  <c r="H1520" i="10"/>
  <c r="I1520" i="10" s="1"/>
  <c r="I1519" i="10"/>
  <c r="H1368" i="10"/>
  <c r="I1368" i="10" s="1"/>
  <c r="I1367" i="10"/>
  <c r="H1330" i="10"/>
  <c r="I1330" i="10" s="1"/>
  <c r="I1329" i="10"/>
  <c r="I1291" i="10"/>
  <c r="H1292" i="10"/>
  <c r="I1292" i="10" s="1"/>
  <c r="H1254" i="10"/>
  <c r="I1254" i="10" s="1"/>
  <c r="I1253" i="10"/>
  <c r="H1102" i="10"/>
  <c r="I1102" i="10" s="1"/>
  <c r="I1101" i="10"/>
  <c r="H950" i="10"/>
  <c r="I950" i="10" s="1"/>
  <c r="I949" i="10"/>
  <c r="H912" i="10"/>
  <c r="I912" i="10" s="1"/>
  <c r="I911" i="10"/>
  <c r="H874" i="10"/>
  <c r="I874" i="10" s="1"/>
  <c r="I873" i="10"/>
  <c r="H836" i="10"/>
  <c r="I836" i="10" s="1"/>
  <c r="I835" i="10"/>
  <c r="H684" i="10"/>
  <c r="I684" i="10" s="1"/>
  <c r="I683" i="10"/>
  <c r="H2984" i="10"/>
  <c r="H3172" i="10"/>
  <c r="H2945" i="10"/>
  <c r="H3325" i="10"/>
  <c r="H3021" i="10"/>
  <c r="H2565" i="10"/>
  <c r="H2907" i="10"/>
  <c r="H2528" i="10"/>
  <c r="H2603" i="10"/>
  <c r="H2755" i="10"/>
  <c r="H1768" i="10"/>
  <c r="H1919" i="10"/>
  <c r="H1729" i="10"/>
  <c r="H2073" i="10"/>
  <c r="H1693" i="10"/>
  <c r="H3859" i="10"/>
  <c r="H4009" i="10"/>
  <c r="H3782" i="10"/>
  <c r="H3819" i="10"/>
  <c r="H4163" i="10"/>
  <c r="H3326" i="10" l="1"/>
  <c r="H2985" i="10"/>
  <c r="H3173" i="10"/>
  <c r="H2946" i="10"/>
  <c r="H3022" i="10"/>
  <c r="H2908" i="10"/>
  <c r="H2529" i="10"/>
  <c r="H2566" i="10"/>
  <c r="H2756" i="10"/>
  <c r="H2604" i="10"/>
  <c r="H1920" i="10"/>
  <c r="H1769" i="10"/>
  <c r="H1694" i="10"/>
  <c r="H1695" i="10" s="1"/>
  <c r="H2074" i="10"/>
  <c r="H2075" i="10" s="1"/>
  <c r="H1730" i="10"/>
  <c r="H3783" i="10"/>
  <c r="H4164" i="10"/>
  <c r="H4165" i="10" s="1"/>
  <c r="H4010" i="10"/>
  <c r="H3860" i="10"/>
  <c r="H3861" i="10" s="1"/>
  <c r="H3820" i="10"/>
  <c r="H4166" i="10" l="1"/>
  <c r="I4165" i="10"/>
  <c r="H3862" i="10"/>
  <c r="I3861" i="10"/>
  <c r="H2076" i="10"/>
  <c r="I2075" i="10"/>
  <c r="H1696" i="10"/>
  <c r="I1695" i="10"/>
  <c r="H3174" i="10"/>
  <c r="H2947" i="10"/>
  <c r="H2986" i="10"/>
  <c r="H2987" i="10" s="1"/>
  <c r="H3023" i="10"/>
  <c r="H3327" i="10"/>
  <c r="H2909" i="10"/>
  <c r="H2757" i="10"/>
  <c r="H2530" i="10"/>
  <c r="H2531" i="10" s="1"/>
  <c r="H2567" i="10"/>
  <c r="H2605" i="10"/>
  <c r="H1731" i="10"/>
  <c r="H1770" i="10"/>
  <c r="H1771" i="10" s="1"/>
  <c r="H1921" i="10"/>
  <c r="H4011" i="10"/>
  <c r="H3821" i="10"/>
  <c r="H3784" i="10"/>
  <c r="H3785" i="10" s="1"/>
  <c r="H4167" i="10" l="1"/>
  <c r="I4166" i="10"/>
  <c r="H3863" i="10"/>
  <c r="I3862" i="10"/>
  <c r="H3786" i="10"/>
  <c r="I3785" i="10"/>
  <c r="H2988" i="10"/>
  <c r="I2987" i="10"/>
  <c r="H2532" i="10"/>
  <c r="I2531" i="10"/>
  <c r="I2076" i="10"/>
  <c r="H2077" i="10"/>
  <c r="H1772" i="10"/>
  <c r="I1771" i="10"/>
  <c r="H1697" i="10"/>
  <c r="I1696" i="10"/>
  <c r="H3175" i="10"/>
  <c r="H3328" i="10"/>
  <c r="H3329" i="10" s="1"/>
  <c r="H3024" i="10"/>
  <c r="H3025" i="10" s="1"/>
  <c r="H2948" i="10"/>
  <c r="H2949" i="10" s="1"/>
  <c r="H2568" i="10"/>
  <c r="H2569" i="10" s="1"/>
  <c r="H2910" i="10"/>
  <c r="H2911" i="10" s="1"/>
  <c r="H2606" i="10"/>
  <c r="H2607" i="10" s="1"/>
  <c r="H2758" i="10"/>
  <c r="H2759" i="10" s="1"/>
  <c r="H1732" i="10"/>
  <c r="H1733" i="10" s="1"/>
  <c r="H1922" i="10"/>
  <c r="H1923" i="10" s="1"/>
  <c r="H4012" i="10"/>
  <c r="H4013" i="10" s="1"/>
  <c r="H3822" i="10"/>
  <c r="H3823" i="10" s="1"/>
  <c r="H4168" i="10" l="1"/>
  <c r="I4167" i="10"/>
  <c r="H4014" i="10"/>
  <c r="I4013" i="10"/>
  <c r="H3864" i="10"/>
  <c r="I3863" i="10"/>
  <c r="H3824" i="10"/>
  <c r="I3823" i="10"/>
  <c r="H3787" i="10"/>
  <c r="I3786" i="10"/>
  <c r="H3330" i="10"/>
  <c r="I3329" i="10"/>
  <c r="H3026" i="10"/>
  <c r="I3025" i="10"/>
  <c r="H2989" i="10"/>
  <c r="I2988" i="10"/>
  <c r="H2950" i="10"/>
  <c r="I2949" i="10"/>
  <c r="H2912" i="10"/>
  <c r="I2911" i="10"/>
  <c r="H2760" i="10"/>
  <c r="I2759" i="10"/>
  <c r="H2608" i="10"/>
  <c r="I2607" i="10"/>
  <c r="H2570" i="10"/>
  <c r="I2569" i="10"/>
  <c r="H2533" i="10"/>
  <c r="I2532" i="10"/>
  <c r="H2078" i="10"/>
  <c r="I2077" i="10"/>
  <c r="H1924" i="10"/>
  <c r="I1923" i="10"/>
  <c r="H1773" i="10"/>
  <c r="I1772" i="10"/>
  <c r="H1734" i="10"/>
  <c r="I1733" i="10"/>
  <c r="H1698" i="10"/>
  <c r="I1697" i="10"/>
  <c r="H3176" i="10"/>
  <c r="H3177" i="10" s="1"/>
  <c r="H4169" i="10" l="1"/>
  <c r="I4168" i="10"/>
  <c r="H4015" i="10"/>
  <c r="I4014" i="10"/>
  <c r="H3865" i="10"/>
  <c r="I3864" i="10"/>
  <c r="H3825" i="10"/>
  <c r="I3824" i="10"/>
  <c r="H3788" i="10"/>
  <c r="I3787" i="10"/>
  <c r="H3331" i="10"/>
  <c r="I3330" i="10"/>
  <c r="H3178" i="10"/>
  <c r="I3177" i="10"/>
  <c r="H3027" i="10"/>
  <c r="I3026" i="10"/>
  <c r="H2990" i="10"/>
  <c r="I2989" i="10"/>
  <c r="H2951" i="10"/>
  <c r="I2950" i="10"/>
  <c r="H2913" i="10"/>
  <c r="I2912" i="10"/>
  <c r="H2761" i="10"/>
  <c r="I2760" i="10"/>
  <c r="H2609" i="10"/>
  <c r="I2608" i="10"/>
  <c r="H2571" i="10"/>
  <c r="I2570" i="10"/>
  <c r="H2534" i="10"/>
  <c r="I2533" i="10"/>
  <c r="H2079" i="10"/>
  <c r="I2078" i="10"/>
  <c r="H1925" i="10"/>
  <c r="I1924" i="10"/>
  <c r="H1774" i="10"/>
  <c r="I1773" i="10"/>
  <c r="H1735" i="10"/>
  <c r="I1734" i="10"/>
  <c r="H1699" i="10"/>
  <c r="I1698" i="10"/>
  <c r="H4170" i="10" l="1"/>
  <c r="I4169" i="10"/>
  <c r="H4016" i="10"/>
  <c r="I4015" i="10"/>
  <c r="H3866" i="10"/>
  <c r="I3865" i="10"/>
  <c r="H3826" i="10"/>
  <c r="I3825" i="10"/>
  <c r="H3789" i="10"/>
  <c r="I3788" i="10"/>
  <c r="H3332" i="10"/>
  <c r="I3331" i="10"/>
  <c r="H3179" i="10"/>
  <c r="I3178" i="10"/>
  <c r="H3028" i="10"/>
  <c r="I3027" i="10"/>
  <c r="I2990" i="10"/>
  <c r="H2991" i="10"/>
  <c r="H2952" i="10"/>
  <c r="I2951" i="10"/>
  <c r="H2914" i="10"/>
  <c r="I2913" i="10"/>
  <c r="H2762" i="10"/>
  <c r="I2761" i="10"/>
  <c r="H2610" i="10"/>
  <c r="I2609" i="10"/>
  <c r="H2572" i="10"/>
  <c r="I2571" i="10"/>
  <c r="H2535" i="10"/>
  <c r="I2534" i="10"/>
  <c r="H2080" i="10"/>
  <c r="I2079" i="10"/>
  <c r="H1926" i="10"/>
  <c r="I1925" i="10"/>
  <c r="H1775" i="10"/>
  <c r="I1774" i="10"/>
  <c r="H1736" i="10"/>
  <c r="I1735" i="10"/>
  <c r="H1700" i="10"/>
  <c r="I1699" i="10"/>
  <c r="H4171" i="10" l="1"/>
  <c r="I4170" i="10"/>
  <c r="H4017" i="10"/>
  <c r="I4016" i="10"/>
  <c r="H3867" i="10"/>
  <c r="I3866" i="10"/>
  <c r="H3827" i="10"/>
  <c r="I3826" i="10"/>
  <c r="H3790" i="10"/>
  <c r="I3789" i="10"/>
  <c r="H3333" i="10"/>
  <c r="I3332" i="10"/>
  <c r="H3180" i="10"/>
  <c r="I3179" i="10"/>
  <c r="H3029" i="10"/>
  <c r="I3028" i="10"/>
  <c r="H2992" i="10"/>
  <c r="I2991" i="10"/>
  <c r="H2953" i="10"/>
  <c r="I2952" i="10"/>
  <c r="H2915" i="10"/>
  <c r="I2914" i="10"/>
  <c r="H2763" i="10"/>
  <c r="I2762" i="10"/>
  <c r="H2611" i="10"/>
  <c r="I2610" i="10"/>
  <c r="H2573" i="10"/>
  <c r="I2572" i="10"/>
  <c r="H2536" i="10"/>
  <c r="I2535" i="10"/>
  <c r="H2081" i="10"/>
  <c r="I2080" i="10"/>
  <c r="H1927" i="10"/>
  <c r="I1926" i="10"/>
  <c r="H1776" i="10"/>
  <c r="I1775" i="10"/>
  <c r="H1737" i="10"/>
  <c r="I1736" i="10"/>
  <c r="H1701" i="10"/>
  <c r="I1700" i="10"/>
  <c r="AM11" i="2"/>
  <c r="H497" i="10"/>
  <c r="H498" i="10" s="1"/>
  <c r="H499" i="10" s="1"/>
  <c r="H500" i="10" s="1"/>
  <c r="H501" i="10" s="1"/>
  <c r="H502" i="10" s="1"/>
  <c r="H503" i="10" s="1"/>
  <c r="H504" i="10" s="1"/>
  <c r="H505" i="10" s="1"/>
  <c r="H506" i="10" s="1"/>
  <c r="H507" i="10" s="1"/>
  <c r="H508" i="10" s="1"/>
  <c r="H509" i="10" s="1"/>
  <c r="H510" i="10" s="1"/>
  <c r="H511" i="10" s="1"/>
  <c r="H512" i="10" s="1"/>
  <c r="H513" i="10" s="1"/>
  <c r="H514" i="10" s="1"/>
  <c r="H515" i="10" s="1"/>
  <c r="H516" i="10" s="1"/>
  <c r="H517" i="10" s="1"/>
  <c r="H459" i="10"/>
  <c r="H460" i="10" s="1"/>
  <c r="H461" i="10" s="1"/>
  <c r="H462" i="10" s="1"/>
  <c r="H463" i="10" s="1"/>
  <c r="H464" i="10" s="1"/>
  <c r="H465" i="10" s="1"/>
  <c r="H466" i="10" s="1"/>
  <c r="H467" i="10" s="1"/>
  <c r="H468" i="10" s="1"/>
  <c r="H469" i="10" s="1"/>
  <c r="H470" i="10" s="1"/>
  <c r="H471" i="10" s="1"/>
  <c r="H472" i="10" s="1"/>
  <c r="H473" i="10" s="1"/>
  <c r="H474" i="10" s="1"/>
  <c r="H475" i="10" s="1"/>
  <c r="H476" i="10" s="1"/>
  <c r="H477" i="10" s="1"/>
  <c r="H478" i="10" s="1"/>
  <c r="H479" i="10" s="1"/>
  <c r="H421" i="10"/>
  <c r="H422" i="10" s="1"/>
  <c r="H423" i="10" s="1"/>
  <c r="H424" i="10" s="1"/>
  <c r="H425" i="10" s="1"/>
  <c r="H426" i="10" s="1"/>
  <c r="H427" i="10" s="1"/>
  <c r="H428" i="10" s="1"/>
  <c r="H429" i="10" s="1"/>
  <c r="H430" i="10" s="1"/>
  <c r="H431" i="10" s="1"/>
  <c r="H432" i="10" s="1"/>
  <c r="H433" i="10" s="1"/>
  <c r="H434" i="10" s="1"/>
  <c r="H435" i="10" s="1"/>
  <c r="H436" i="10" s="1"/>
  <c r="H437" i="10" s="1"/>
  <c r="H438" i="10" s="1"/>
  <c r="H439" i="10" s="1"/>
  <c r="H440" i="10" s="1"/>
  <c r="H441" i="10" s="1"/>
  <c r="H383" i="10"/>
  <c r="H384" i="10" s="1"/>
  <c r="H385" i="10" s="1"/>
  <c r="H386" i="10" s="1"/>
  <c r="H387" i="10" s="1"/>
  <c r="H388" i="10" s="1"/>
  <c r="H389" i="10" s="1"/>
  <c r="H390" i="10" s="1"/>
  <c r="H391" i="10" s="1"/>
  <c r="H392" i="10" s="1"/>
  <c r="H393" i="10" s="1"/>
  <c r="H394" i="10" s="1"/>
  <c r="H395" i="10" s="1"/>
  <c r="H396" i="10" s="1"/>
  <c r="H397" i="10" s="1"/>
  <c r="H398" i="10" s="1"/>
  <c r="H399" i="10" s="1"/>
  <c r="H400" i="10" s="1"/>
  <c r="H401" i="10" s="1"/>
  <c r="H402" i="10" s="1"/>
  <c r="H403" i="10" s="1"/>
  <c r="H231" i="10"/>
  <c r="H232" i="10" s="1"/>
  <c r="H233" i="10" s="1"/>
  <c r="H234" i="10" s="1"/>
  <c r="H235" i="10" s="1"/>
  <c r="H236" i="10" s="1"/>
  <c r="H237" i="10" s="1"/>
  <c r="H238" i="10" s="1"/>
  <c r="H239" i="10" s="1"/>
  <c r="H240" i="10" s="1"/>
  <c r="H241" i="10" s="1"/>
  <c r="H242" i="10" s="1"/>
  <c r="H243" i="10" s="1"/>
  <c r="H244" i="10" s="1"/>
  <c r="H245" i="10" s="1"/>
  <c r="H246" i="10" s="1"/>
  <c r="H247" i="10" s="1"/>
  <c r="H248" i="10" s="1"/>
  <c r="H249" i="10" s="1"/>
  <c r="H250" i="10" s="1"/>
  <c r="H251" i="10" s="1"/>
  <c r="H79" i="10"/>
  <c r="H80" i="10" s="1"/>
  <c r="H81" i="10" s="1"/>
  <c r="H82" i="10" s="1"/>
  <c r="H83" i="10" s="1"/>
  <c r="H84" i="10" s="1"/>
  <c r="H85" i="10" s="1"/>
  <c r="H86" i="10" s="1"/>
  <c r="H87" i="10" s="1"/>
  <c r="H88" i="10" s="1"/>
  <c r="H89" i="10" s="1"/>
  <c r="H90" i="10" s="1"/>
  <c r="H91" i="10" s="1"/>
  <c r="H92" i="10" s="1"/>
  <c r="H93" i="10" s="1"/>
  <c r="H94" i="10" s="1"/>
  <c r="H95" i="10" s="1"/>
  <c r="H96" i="10" s="1"/>
  <c r="H97" i="10" s="1"/>
  <c r="H98" i="10" s="1"/>
  <c r="H99" i="10" s="1"/>
  <c r="H41" i="10"/>
  <c r="H42" i="10" s="1"/>
  <c r="H43" i="10" s="1"/>
  <c r="H44" i="10" s="1"/>
  <c r="H45" i="10" s="1"/>
  <c r="H46" i="10" s="1"/>
  <c r="H3" i="10"/>
  <c r="H4" i="10" s="1"/>
  <c r="H5" i="10" s="1"/>
  <c r="H6" i="10" s="1"/>
  <c r="H7" i="10" s="1"/>
  <c r="H8" i="10" s="1"/>
  <c r="H9" i="10" s="1"/>
  <c r="H10" i="10" s="1"/>
  <c r="H11" i="10" s="1"/>
  <c r="H12" i="10" s="1"/>
  <c r="H13" i="10" s="1"/>
  <c r="H14" i="10" s="1"/>
  <c r="H15" i="10" s="1"/>
  <c r="H16" i="10" s="1"/>
  <c r="H17" i="10" s="1"/>
  <c r="H18" i="10" s="1"/>
  <c r="H19" i="10" s="1"/>
  <c r="H20" i="10" s="1"/>
  <c r="H21" i="10" s="1"/>
  <c r="H22" i="10" s="1"/>
  <c r="H23" i="10" s="1"/>
  <c r="H4172" i="10" l="1"/>
  <c r="I4171" i="10"/>
  <c r="H4018" i="10"/>
  <c r="I4017" i="10"/>
  <c r="I3867" i="10"/>
  <c r="H3868" i="10"/>
  <c r="H3828" i="10"/>
  <c r="I3827" i="10"/>
  <c r="H3791" i="10"/>
  <c r="I3790" i="10"/>
  <c r="H3334" i="10"/>
  <c r="I3333" i="10"/>
  <c r="H3181" i="10"/>
  <c r="I3180" i="10"/>
  <c r="H3030" i="10"/>
  <c r="I3029" i="10"/>
  <c r="H2993" i="10"/>
  <c r="I2992" i="10"/>
  <c r="H2954" i="10"/>
  <c r="I2953" i="10"/>
  <c r="H2916" i="10"/>
  <c r="I2915" i="10"/>
  <c r="H2764" i="10"/>
  <c r="I2763" i="10"/>
  <c r="H2612" i="10"/>
  <c r="I2611" i="10"/>
  <c r="H2574" i="10"/>
  <c r="I2573" i="10"/>
  <c r="H2537" i="10"/>
  <c r="I2536" i="10"/>
  <c r="H2082" i="10"/>
  <c r="I2081" i="10"/>
  <c r="H1928" i="10"/>
  <c r="I1927" i="10"/>
  <c r="H1777" i="10"/>
  <c r="I1776" i="10"/>
  <c r="H1738" i="10"/>
  <c r="I1737" i="10"/>
  <c r="H1702" i="10"/>
  <c r="I1701" i="10"/>
  <c r="H518" i="10"/>
  <c r="I517" i="10"/>
  <c r="H480" i="10"/>
  <c r="I479" i="10"/>
  <c r="H442" i="10"/>
  <c r="I441" i="10"/>
  <c r="H404" i="10"/>
  <c r="I403" i="10"/>
  <c r="H252" i="10"/>
  <c r="I251" i="10"/>
  <c r="H100" i="10"/>
  <c r="I99" i="10"/>
  <c r="H24" i="10"/>
  <c r="I23" i="10"/>
  <c r="H47" i="10"/>
  <c r="I47" i="10" s="1"/>
  <c r="H3726" i="10"/>
  <c r="H3727" i="10" s="1"/>
  <c r="H3728" i="10" s="1"/>
  <c r="H3729" i="10" s="1"/>
  <c r="H3730" i="10" s="1"/>
  <c r="H3731" i="10" s="1"/>
  <c r="H3732" i="10" s="1"/>
  <c r="H3733" i="10" s="1"/>
  <c r="H3734" i="10" s="1"/>
  <c r="H3735" i="10" s="1"/>
  <c r="H3736" i="10" s="1"/>
  <c r="H3737" i="10" s="1"/>
  <c r="H3738" i="10" s="1"/>
  <c r="H3739" i="10" s="1"/>
  <c r="H3740" i="10" s="1"/>
  <c r="H3741" i="10" s="1"/>
  <c r="H3742" i="10" s="1"/>
  <c r="H3743" i="10" s="1"/>
  <c r="H3744" i="10" s="1"/>
  <c r="H3745" i="10" s="1"/>
  <c r="H3746" i="10" s="1"/>
  <c r="H3747" i="10" s="1"/>
  <c r="H3574" i="10"/>
  <c r="H3575" i="10" s="1"/>
  <c r="H3576" i="10" s="1"/>
  <c r="H3577" i="10" s="1"/>
  <c r="H3578" i="10" s="1"/>
  <c r="H3579" i="10" s="1"/>
  <c r="H3580" i="10" s="1"/>
  <c r="H3581" i="10" s="1"/>
  <c r="H3582" i="10" s="1"/>
  <c r="H3583" i="10" s="1"/>
  <c r="H3584" i="10" s="1"/>
  <c r="H3585" i="10" s="1"/>
  <c r="H3586" i="10" s="1"/>
  <c r="H3587" i="10" s="1"/>
  <c r="H3588" i="10" s="1"/>
  <c r="H3589" i="10" s="1"/>
  <c r="H3590" i="10" s="1"/>
  <c r="H3591" i="10" s="1"/>
  <c r="H3592" i="10" s="1"/>
  <c r="H3593" i="10" s="1"/>
  <c r="H3594" i="10" s="1"/>
  <c r="H3595" i="10" s="1"/>
  <c r="H3422" i="10"/>
  <c r="H3423" i="10" s="1"/>
  <c r="H3424" i="10" s="1"/>
  <c r="H3425" i="10" s="1"/>
  <c r="H3426" i="10" s="1"/>
  <c r="H3427" i="10" s="1"/>
  <c r="H3428" i="10" s="1"/>
  <c r="H3384" i="10"/>
  <c r="H3385" i="10" s="1"/>
  <c r="H3346" i="10"/>
  <c r="H3347" i="10" s="1"/>
  <c r="H3348" i="10" s="1"/>
  <c r="E4164" i="10"/>
  <c r="F4164" i="10" s="1"/>
  <c r="I4164" i="10" s="1"/>
  <c r="E4163" i="10"/>
  <c r="F4163" i="10" s="1"/>
  <c r="I4163" i="10" s="1"/>
  <c r="E4162" i="10"/>
  <c r="F4162" i="10" s="1"/>
  <c r="I4162" i="10" s="1"/>
  <c r="E4161" i="10"/>
  <c r="F4161" i="10" s="1"/>
  <c r="I4161" i="10" s="1"/>
  <c r="E4160" i="10"/>
  <c r="F4160" i="10" s="1"/>
  <c r="I4160" i="10" s="1"/>
  <c r="E4159" i="10"/>
  <c r="F4159" i="10" s="1"/>
  <c r="I4159" i="10" s="1"/>
  <c r="E4158" i="10"/>
  <c r="F4158" i="10" s="1"/>
  <c r="I4158" i="10" s="1"/>
  <c r="E4157" i="10"/>
  <c r="F4157" i="10" s="1"/>
  <c r="I4157" i="10" s="1"/>
  <c r="E4156" i="10"/>
  <c r="F4156" i="10" s="1"/>
  <c r="I4156" i="10" s="1"/>
  <c r="E4155" i="10"/>
  <c r="F4155" i="10" s="1"/>
  <c r="I4155" i="10" s="1"/>
  <c r="E4154" i="10"/>
  <c r="F4154" i="10" s="1"/>
  <c r="I4154" i="10" s="1"/>
  <c r="E4153" i="10"/>
  <c r="F4153" i="10" s="1"/>
  <c r="I4153" i="10" s="1"/>
  <c r="E4152" i="10"/>
  <c r="F4152" i="10" s="1"/>
  <c r="I4152" i="10" s="1"/>
  <c r="E4151" i="10"/>
  <c r="F4151" i="10" s="1"/>
  <c r="I4151" i="10" s="1"/>
  <c r="E4150" i="10"/>
  <c r="F4150" i="10" s="1"/>
  <c r="I4150" i="10" s="1"/>
  <c r="E4149" i="10"/>
  <c r="F4149" i="10" s="1"/>
  <c r="I4149" i="10" s="1"/>
  <c r="E4148" i="10"/>
  <c r="F4148" i="10" s="1"/>
  <c r="I4148" i="10" s="1"/>
  <c r="E4147" i="10"/>
  <c r="F4147" i="10" s="1"/>
  <c r="I4147" i="10" s="1"/>
  <c r="E4146" i="10"/>
  <c r="F4146" i="10" s="1"/>
  <c r="I4146" i="10" s="1"/>
  <c r="E4145" i="10"/>
  <c r="F4145" i="10" s="1"/>
  <c r="I4145" i="10" s="1"/>
  <c r="B4145" i="10"/>
  <c r="B4146" i="10" s="1"/>
  <c r="B4147" i="10" s="1"/>
  <c r="B4148" i="10" s="1"/>
  <c r="B4149" i="10" s="1"/>
  <c r="B4150" i="10" s="1"/>
  <c r="B4151" i="10" s="1"/>
  <c r="B4152" i="10" s="1"/>
  <c r="B4153" i="10" s="1"/>
  <c r="B4154" i="10" s="1"/>
  <c r="B4155" i="10" s="1"/>
  <c r="B4156" i="10" s="1"/>
  <c r="B4157" i="10" s="1"/>
  <c r="B4158" i="10" s="1"/>
  <c r="B4159" i="10" s="1"/>
  <c r="B4160" i="10" s="1"/>
  <c r="B4161" i="10" s="1"/>
  <c r="B4162" i="10" s="1"/>
  <c r="B4163" i="10" s="1"/>
  <c r="B4164" i="10" s="1"/>
  <c r="B4165" i="10" s="1"/>
  <c r="B4166" i="10" s="1"/>
  <c r="B4167" i="10" s="1"/>
  <c r="B4168" i="10" s="1"/>
  <c r="B4169" i="10" s="1"/>
  <c r="B4170" i="10" s="1"/>
  <c r="B4171" i="10" s="1"/>
  <c r="B4172" i="10" s="1"/>
  <c r="B4173" i="10" s="1"/>
  <c r="B4174" i="10" s="1"/>
  <c r="B4175" i="10" s="1"/>
  <c r="B4176" i="10" s="1"/>
  <c r="B4177" i="10" s="1"/>
  <c r="B4178" i="10" s="1"/>
  <c r="B4179" i="10" s="1"/>
  <c r="B4180" i="10" s="1"/>
  <c r="E4144" i="10"/>
  <c r="F4144" i="10" s="1"/>
  <c r="I4144" i="10" s="1"/>
  <c r="E4126" i="10"/>
  <c r="F4126" i="10" s="1"/>
  <c r="E4125" i="10"/>
  <c r="F4125" i="10" s="1"/>
  <c r="E4124" i="10"/>
  <c r="F4124" i="10" s="1"/>
  <c r="E4123" i="10"/>
  <c r="F4123" i="10" s="1"/>
  <c r="E4122" i="10"/>
  <c r="F4122" i="10" s="1"/>
  <c r="E4121" i="10"/>
  <c r="F4121" i="10" s="1"/>
  <c r="E4120" i="10"/>
  <c r="F4120" i="10" s="1"/>
  <c r="E4119" i="10"/>
  <c r="F4119" i="10" s="1"/>
  <c r="E4118" i="10"/>
  <c r="F4118" i="10" s="1"/>
  <c r="E4117" i="10"/>
  <c r="F4117" i="10" s="1"/>
  <c r="E4116" i="10"/>
  <c r="F4116" i="10" s="1"/>
  <c r="E4115" i="10"/>
  <c r="F4115" i="10" s="1"/>
  <c r="E4114" i="10"/>
  <c r="F4114" i="10" s="1"/>
  <c r="E4113" i="10"/>
  <c r="F4113" i="10" s="1"/>
  <c r="E4112" i="10"/>
  <c r="F4112" i="10" s="1"/>
  <c r="E4111" i="10"/>
  <c r="F4111" i="10" s="1"/>
  <c r="E4110" i="10"/>
  <c r="F4110" i="10" s="1"/>
  <c r="E4109" i="10"/>
  <c r="F4109" i="10" s="1"/>
  <c r="E4108" i="10"/>
  <c r="F4108" i="10" s="1"/>
  <c r="E4107" i="10"/>
  <c r="F4107" i="10" s="1"/>
  <c r="B4107" i="10"/>
  <c r="B4108" i="10" s="1"/>
  <c r="B4109" i="10" s="1"/>
  <c r="B4110" i="10" s="1"/>
  <c r="B4111" i="10" s="1"/>
  <c r="B4112" i="10" s="1"/>
  <c r="B4113" i="10" s="1"/>
  <c r="B4114" i="10" s="1"/>
  <c r="B4115" i="10" s="1"/>
  <c r="B4116" i="10" s="1"/>
  <c r="B4117" i="10" s="1"/>
  <c r="B4118" i="10" s="1"/>
  <c r="B4119" i="10" s="1"/>
  <c r="B4120" i="10" s="1"/>
  <c r="B4121" i="10" s="1"/>
  <c r="B4122" i="10" s="1"/>
  <c r="B4123" i="10" s="1"/>
  <c r="B4124" i="10" s="1"/>
  <c r="B4125" i="10" s="1"/>
  <c r="B4126" i="10" s="1"/>
  <c r="B4127" i="10" s="1"/>
  <c r="B4128" i="10" s="1"/>
  <c r="B4129" i="10" s="1"/>
  <c r="B4130" i="10" s="1"/>
  <c r="B4131" i="10" s="1"/>
  <c r="B4132" i="10" s="1"/>
  <c r="B4133" i="10" s="1"/>
  <c r="B4134" i="10" s="1"/>
  <c r="B4135" i="10" s="1"/>
  <c r="B4136" i="10" s="1"/>
  <c r="B4137" i="10" s="1"/>
  <c r="B4138" i="10" s="1"/>
  <c r="B4139" i="10" s="1"/>
  <c r="B4140" i="10" s="1"/>
  <c r="B4141" i="10" s="1"/>
  <c r="B4142" i="10" s="1"/>
  <c r="E4106" i="10"/>
  <c r="F4106" i="10" s="1"/>
  <c r="E4088" i="10"/>
  <c r="F4088" i="10" s="1"/>
  <c r="E4087" i="10"/>
  <c r="F4087" i="10" s="1"/>
  <c r="E4086" i="10"/>
  <c r="F4086" i="10" s="1"/>
  <c r="E4085" i="10"/>
  <c r="F4085" i="10" s="1"/>
  <c r="E4084" i="10"/>
  <c r="F4084" i="10" s="1"/>
  <c r="E4083" i="10"/>
  <c r="F4083" i="10" s="1"/>
  <c r="E4082" i="10"/>
  <c r="F4082" i="10" s="1"/>
  <c r="E4081" i="10"/>
  <c r="F4081" i="10" s="1"/>
  <c r="E4080" i="10"/>
  <c r="F4080" i="10" s="1"/>
  <c r="E4079" i="10"/>
  <c r="F4079" i="10" s="1"/>
  <c r="E4078" i="10"/>
  <c r="F4078" i="10" s="1"/>
  <c r="E4077" i="10"/>
  <c r="F4077" i="10" s="1"/>
  <c r="E4076" i="10"/>
  <c r="F4076" i="10" s="1"/>
  <c r="E4075" i="10"/>
  <c r="F4075" i="10" s="1"/>
  <c r="E4074" i="10"/>
  <c r="F4074" i="10" s="1"/>
  <c r="E4073" i="10"/>
  <c r="F4073" i="10" s="1"/>
  <c r="E4072" i="10"/>
  <c r="F4072" i="10" s="1"/>
  <c r="E4071" i="10"/>
  <c r="F4071" i="10" s="1"/>
  <c r="E4070" i="10"/>
  <c r="F4070" i="10" s="1"/>
  <c r="E4069" i="10"/>
  <c r="F4069" i="10" s="1"/>
  <c r="B4069" i="10"/>
  <c r="B4070" i="10" s="1"/>
  <c r="B4071" i="10" s="1"/>
  <c r="B4072" i="10" s="1"/>
  <c r="B4073" i="10" s="1"/>
  <c r="B4074" i="10" s="1"/>
  <c r="B4075" i="10" s="1"/>
  <c r="B4076" i="10" s="1"/>
  <c r="B4077" i="10" s="1"/>
  <c r="B4078" i="10" s="1"/>
  <c r="B4079" i="10" s="1"/>
  <c r="B4080" i="10" s="1"/>
  <c r="B4081" i="10" s="1"/>
  <c r="B4082" i="10" s="1"/>
  <c r="B4083" i="10" s="1"/>
  <c r="B4084" i="10" s="1"/>
  <c r="B4085" i="10" s="1"/>
  <c r="B4086" i="10" s="1"/>
  <c r="B4087" i="10" s="1"/>
  <c r="B4088" i="10" s="1"/>
  <c r="B4089" i="10" s="1"/>
  <c r="B4090" i="10" s="1"/>
  <c r="B4091" i="10" s="1"/>
  <c r="B4092" i="10" s="1"/>
  <c r="B4093" i="10" s="1"/>
  <c r="B4094" i="10" s="1"/>
  <c r="B4095" i="10" s="1"/>
  <c r="B4096" i="10" s="1"/>
  <c r="B4097" i="10" s="1"/>
  <c r="B4098" i="10" s="1"/>
  <c r="B4099" i="10" s="1"/>
  <c r="B4100" i="10" s="1"/>
  <c r="B4101" i="10" s="1"/>
  <c r="B4102" i="10" s="1"/>
  <c r="B4103" i="10" s="1"/>
  <c r="B4104" i="10" s="1"/>
  <c r="E4068" i="10"/>
  <c r="F4068" i="10" s="1"/>
  <c r="E4050" i="10"/>
  <c r="F4050" i="10" s="1"/>
  <c r="E4049" i="10"/>
  <c r="F4049" i="10" s="1"/>
  <c r="E4048" i="10"/>
  <c r="F4048" i="10" s="1"/>
  <c r="E4047" i="10"/>
  <c r="F4047" i="10" s="1"/>
  <c r="E4046" i="10"/>
  <c r="F4046" i="10" s="1"/>
  <c r="E4045" i="10"/>
  <c r="F4045" i="10" s="1"/>
  <c r="E4044" i="10"/>
  <c r="F4044" i="10" s="1"/>
  <c r="E4043" i="10"/>
  <c r="F4043" i="10" s="1"/>
  <c r="E4042" i="10"/>
  <c r="F4042" i="10" s="1"/>
  <c r="E4041" i="10"/>
  <c r="F4041" i="10" s="1"/>
  <c r="E4040" i="10"/>
  <c r="F4040" i="10" s="1"/>
  <c r="E4039" i="10"/>
  <c r="F4039" i="10" s="1"/>
  <c r="E4038" i="10"/>
  <c r="F4038" i="10" s="1"/>
  <c r="E4037" i="10"/>
  <c r="F4037" i="10" s="1"/>
  <c r="E4036" i="10"/>
  <c r="F4036" i="10" s="1"/>
  <c r="E4035" i="10"/>
  <c r="F4035" i="10" s="1"/>
  <c r="E4034" i="10"/>
  <c r="F4034" i="10" s="1"/>
  <c r="E4033" i="10"/>
  <c r="F4033" i="10" s="1"/>
  <c r="E4032" i="10"/>
  <c r="F4032" i="10" s="1"/>
  <c r="E4031" i="10"/>
  <c r="F4031" i="10" s="1"/>
  <c r="B4031" i="10"/>
  <c r="B4032" i="10" s="1"/>
  <c r="B4033" i="10" s="1"/>
  <c r="B4034" i="10" s="1"/>
  <c r="B4035" i="10" s="1"/>
  <c r="B4036" i="10" s="1"/>
  <c r="B4037" i="10" s="1"/>
  <c r="B4038" i="10" s="1"/>
  <c r="B4039" i="10" s="1"/>
  <c r="B4040" i="10" s="1"/>
  <c r="B4041" i="10" s="1"/>
  <c r="B4042" i="10" s="1"/>
  <c r="B4043" i="10" s="1"/>
  <c r="B4044" i="10" s="1"/>
  <c r="B4045" i="10" s="1"/>
  <c r="B4046" i="10" s="1"/>
  <c r="B4047" i="10" s="1"/>
  <c r="B4048" i="10" s="1"/>
  <c r="B4049" i="10" s="1"/>
  <c r="B4050" i="10" s="1"/>
  <c r="B4051" i="10" s="1"/>
  <c r="B4052" i="10" s="1"/>
  <c r="B4053" i="10" s="1"/>
  <c r="B4054" i="10" s="1"/>
  <c r="B4055" i="10" s="1"/>
  <c r="B4056" i="10" s="1"/>
  <c r="B4057" i="10" s="1"/>
  <c r="B4058" i="10" s="1"/>
  <c r="B4059" i="10" s="1"/>
  <c r="B4060" i="10" s="1"/>
  <c r="B4061" i="10" s="1"/>
  <c r="B4062" i="10" s="1"/>
  <c r="B4063" i="10" s="1"/>
  <c r="B4064" i="10" s="1"/>
  <c r="B4065" i="10" s="1"/>
  <c r="B4066" i="10" s="1"/>
  <c r="E4030" i="10"/>
  <c r="F4030" i="10" s="1"/>
  <c r="E4012" i="10"/>
  <c r="F4012" i="10" s="1"/>
  <c r="I4012" i="10" s="1"/>
  <c r="E4011" i="10"/>
  <c r="F4011" i="10" s="1"/>
  <c r="I4011" i="10" s="1"/>
  <c r="E4010" i="10"/>
  <c r="F4010" i="10" s="1"/>
  <c r="I4010" i="10" s="1"/>
  <c r="E4009" i="10"/>
  <c r="F4009" i="10" s="1"/>
  <c r="I4009" i="10" s="1"/>
  <c r="E4008" i="10"/>
  <c r="F4008" i="10" s="1"/>
  <c r="I4008" i="10" s="1"/>
  <c r="E4007" i="10"/>
  <c r="F4007" i="10" s="1"/>
  <c r="I4007" i="10" s="1"/>
  <c r="E4006" i="10"/>
  <c r="F4006" i="10" s="1"/>
  <c r="I4006" i="10" s="1"/>
  <c r="E4005" i="10"/>
  <c r="F4005" i="10" s="1"/>
  <c r="I4005" i="10" s="1"/>
  <c r="E4004" i="10"/>
  <c r="F4004" i="10" s="1"/>
  <c r="I4004" i="10" s="1"/>
  <c r="E4003" i="10"/>
  <c r="F4003" i="10" s="1"/>
  <c r="I4003" i="10" s="1"/>
  <c r="E4002" i="10"/>
  <c r="F4002" i="10" s="1"/>
  <c r="I4002" i="10" s="1"/>
  <c r="E4001" i="10"/>
  <c r="F4001" i="10" s="1"/>
  <c r="I4001" i="10" s="1"/>
  <c r="E4000" i="10"/>
  <c r="F4000" i="10" s="1"/>
  <c r="I4000" i="10" s="1"/>
  <c r="E3999" i="10"/>
  <c r="F3999" i="10" s="1"/>
  <c r="I3999" i="10" s="1"/>
  <c r="E3998" i="10"/>
  <c r="F3998" i="10" s="1"/>
  <c r="I3998" i="10" s="1"/>
  <c r="E3997" i="10"/>
  <c r="F3997" i="10" s="1"/>
  <c r="I3997" i="10" s="1"/>
  <c r="E3996" i="10"/>
  <c r="F3996" i="10" s="1"/>
  <c r="I3996" i="10" s="1"/>
  <c r="E3995" i="10"/>
  <c r="F3995" i="10" s="1"/>
  <c r="I3995" i="10" s="1"/>
  <c r="E3994" i="10"/>
  <c r="F3994" i="10" s="1"/>
  <c r="I3994" i="10" s="1"/>
  <c r="E3993" i="10"/>
  <c r="F3993" i="10" s="1"/>
  <c r="I3993" i="10" s="1"/>
  <c r="B3993" i="10"/>
  <c r="B3994" i="10" s="1"/>
  <c r="B3995" i="10" s="1"/>
  <c r="B3996" i="10" s="1"/>
  <c r="B3997" i="10" s="1"/>
  <c r="B3998" i="10" s="1"/>
  <c r="B3999" i="10" s="1"/>
  <c r="B4000" i="10" s="1"/>
  <c r="B4001" i="10" s="1"/>
  <c r="B4002" i="10" s="1"/>
  <c r="B4003" i="10" s="1"/>
  <c r="B4004" i="10" s="1"/>
  <c r="B4005" i="10" s="1"/>
  <c r="B4006" i="10" s="1"/>
  <c r="B4007" i="10" s="1"/>
  <c r="B4008" i="10" s="1"/>
  <c r="B4009" i="10" s="1"/>
  <c r="B4010" i="10" s="1"/>
  <c r="B4011" i="10" s="1"/>
  <c r="B4012" i="10" s="1"/>
  <c r="B4013" i="10" s="1"/>
  <c r="B4014" i="10" s="1"/>
  <c r="B4015" i="10" s="1"/>
  <c r="B4016" i="10" s="1"/>
  <c r="B4017" i="10" s="1"/>
  <c r="B4018" i="10" s="1"/>
  <c r="B4019" i="10" s="1"/>
  <c r="B4020" i="10" s="1"/>
  <c r="B4021" i="10" s="1"/>
  <c r="B4022" i="10" s="1"/>
  <c r="B4023" i="10" s="1"/>
  <c r="B4024" i="10" s="1"/>
  <c r="B4025" i="10" s="1"/>
  <c r="B4026" i="10" s="1"/>
  <c r="B4027" i="10" s="1"/>
  <c r="B4028" i="10" s="1"/>
  <c r="E3992" i="10"/>
  <c r="F3992" i="10" s="1"/>
  <c r="I3992" i="10" s="1"/>
  <c r="E3974" i="10"/>
  <c r="F3974" i="10" s="1"/>
  <c r="E3973" i="10"/>
  <c r="F3973" i="10" s="1"/>
  <c r="E3972" i="10"/>
  <c r="F3972" i="10" s="1"/>
  <c r="E3971" i="10"/>
  <c r="F3971" i="10" s="1"/>
  <c r="E3970" i="10"/>
  <c r="F3970" i="10" s="1"/>
  <c r="E3969" i="10"/>
  <c r="F3969" i="10" s="1"/>
  <c r="E3968" i="10"/>
  <c r="F3968" i="10" s="1"/>
  <c r="E3967" i="10"/>
  <c r="F3967" i="10" s="1"/>
  <c r="E3966" i="10"/>
  <c r="F3966" i="10" s="1"/>
  <c r="E3965" i="10"/>
  <c r="F3965" i="10" s="1"/>
  <c r="E3964" i="10"/>
  <c r="F3964" i="10" s="1"/>
  <c r="E3963" i="10"/>
  <c r="F3963" i="10" s="1"/>
  <c r="E3962" i="10"/>
  <c r="F3962" i="10" s="1"/>
  <c r="E3961" i="10"/>
  <c r="F3961" i="10" s="1"/>
  <c r="E3960" i="10"/>
  <c r="F3960" i="10" s="1"/>
  <c r="E3959" i="10"/>
  <c r="F3959" i="10" s="1"/>
  <c r="E3958" i="10"/>
  <c r="F3958" i="10" s="1"/>
  <c r="E3957" i="10"/>
  <c r="F3957" i="10" s="1"/>
  <c r="E3956" i="10"/>
  <c r="F3956" i="10" s="1"/>
  <c r="E3955" i="10"/>
  <c r="F3955" i="10" s="1"/>
  <c r="B3955" i="10"/>
  <c r="B3956" i="10" s="1"/>
  <c r="B3957" i="10" s="1"/>
  <c r="B3958" i="10" s="1"/>
  <c r="B3959" i="10" s="1"/>
  <c r="B3960" i="10" s="1"/>
  <c r="B3961" i="10" s="1"/>
  <c r="B3962" i="10" s="1"/>
  <c r="B3963" i="10" s="1"/>
  <c r="B3964" i="10" s="1"/>
  <c r="B3965" i="10" s="1"/>
  <c r="B3966" i="10" s="1"/>
  <c r="B3967" i="10" s="1"/>
  <c r="B3968" i="10" s="1"/>
  <c r="B3969" i="10" s="1"/>
  <c r="B3970" i="10" s="1"/>
  <c r="B3971" i="10" s="1"/>
  <c r="B3972" i="10" s="1"/>
  <c r="B3973" i="10" s="1"/>
  <c r="B3974" i="10" s="1"/>
  <c r="B3975" i="10" s="1"/>
  <c r="B3976" i="10" s="1"/>
  <c r="B3977" i="10" s="1"/>
  <c r="B3978" i="10" s="1"/>
  <c r="B3979" i="10" s="1"/>
  <c r="B3980" i="10" s="1"/>
  <c r="B3981" i="10" s="1"/>
  <c r="B3982" i="10" s="1"/>
  <c r="B3983" i="10" s="1"/>
  <c r="B3984" i="10" s="1"/>
  <c r="B3985" i="10" s="1"/>
  <c r="B3986" i="10" s="1"/>
  <c r="B3987" i="10" s="1"/>
  <c r="B3988" i="10" s="1"/>
  <c r="B3989" i="10" s="1"/>
  <c r="B3990" i="10" s="1"/>
  <c r="E3954" i="10"/>
  <c r="F3954" i="10" s="1"/>
  <c r="E3936" i="10"/>
  <c r="F3936" i="10" s="1"/>
  <c r="E3935" i="10"/>
  <c r="F3935" i="10" s="1"/>
  <c r="E3934" i="10"/>
  <c r="F3934" i="10" s="1"/>
  <c r="E3933" i="10"/>
  <c r="F3933" i="10" s="1"/>
  <c r="E3932" i="10"/>
  <c r="F3932" i="10" s="1"/>
  <c r="E3931" i="10"/>
  <c r="F3931" i="10" s="1"/>
  <c r="E3930" i="10"/>
  <c r="F3930" i="10" s="1"/>
  <c r="E3929" i="10"/>
  <c r="F3929" i="10" s="1"/>
  <c r="E3928" i="10"/>
  <c r="F3928" i="10" s="1"/>
  <c r="E3927" i="10"/>
  <c r="F3927" i="10" s="1"/>
  <c r="E3926" i="10"/>
  <c r="F3926" i="10" s="1"/>
  <c r="E3925" i="10"/>
  <c r="F3925" i="10" s="1"/>
  <c r="E3924" i="10"/>
  <c r="F3924" i="10" s="1"/>
  <c r="E3923" i="10"/>
  <c r="F3923" i="10" s="1"/>
  <c r="E3922" i="10"/>
  <c r="F3922" i="10" s="1"/>
  <c r="E3921" i="10"/>
  <c r="F3921" i="10" s="1"/>
  <c r="E3920" i="10"/>
  <c r="F3920" i="10" s="1"/>
  <c r="E3919" i="10"/>
  <c r="F3919" i="10" s="1"/>
  <c r="E3918" i="10"/>
  <c r="F3918" i="10" s="1"/>
  <c r="E3917" i="10"/>
  <c r="F3917" i="10" s="1"/>
  <c r="B3917" i="10"/>
  <c r="B3918" i="10" s="1"/>
  <c r="B3919" i="10" s="1"/>
  <c r="B3920" i="10" s="1"/>
  <c r="B3921" i="10" s="1"/>
  <c r="B3922" i="10" s="1"/>
  <c r="B3923" i="10" s="1"/>
  <c r="B3924" i="10" s="1"/>
  <c r="B3925" i="10" s="1"/>
  <c r="B3926" i="10" s="1"/>
  <c r="B3927" i="10" s="1"/>
  <c r="B3928" i="10" s="1"/>
  <c r="B3929" i="10" s="1"/>
  <c r="B3930" i="10" s="1"/>
  <c r="B3931" i="10" s="1"/>
  <c r="B3932" i="10" s="1"/>
  <c r="B3933" i="10" s="1"/>
  <c r="B3934" i="10" s="1"/>
  <c r="B3935" i="10" s="1"/>
  <c r="B3936" i="10" s="1"/>
  <c r="B3937" i="10" s="1"/>
  <c r="B3938" i="10" s="1"/>
  <c r="B3939" i="10" s="1"/>
  <c r="B3940" i="10" s="1"/>
  <c r="B3941" i="10" s="1"/>
  <c r="B3942" i="10" s="1"/>
  <c r="B3943" i="10" s="1"/>
  <c r="B3944" i="10" s="1"/>
  <c r="B3945" i="10" s="1"/>
  <c r="B3946" i="10" s="1"/>
  <c r="B3947" i="10" s="1"/>
  <c r="B3948" i="10" s="1"/>
  <c r="B3949" i="10" s="1"/>
  <c r="B3950" i="10" s="1"/>
  <c r="B3951" i="10" s="1"/>
  <c r="B3952" i="10" s="1"/>
  <c r="E3916" i="10"/>
  <c r="F3916" i="10" s="1"/>
  <c r="E3898" i="10"/>
  <c r="F3898" i="10" s="1"/>
  <c r="E3897" i="10"/>
  <c r="F3897" i="10" s="1"/>
  <c r="E3896" i="10"/>
  <c r="F3896" i="10" s="1"/>
  <c r="E3895" i="10"/>
  <c r="F3895" i="10" s="1"/>
  <c r="E3894" i="10"/>
  <c r="F3894" i="10" s="1"/>
  <c r="E3893" i="10"/>
  <c r="F3893" i="10" s="1"/>
  <c r="E3892" i="10"/>
  <c r="F3892" i="10" s="1"/>
  <c r="E3891" i="10"/>
  <c r="F3891" i="10" s="1"/>
  <c r="E3890" i="10"/>
  <c r="F3890" i="10" s="1"/>
  <c r="E3889" i="10"/>
  <c r="F3889" i="10" s="1"/>
  <c r="E3888" i="10"/>
  <c r="F3888" i="10" s="1"/>
  <c r="E3887" i="10"/>
  <c r="F3887" i="10" s="1"/>
  <c r="E3886" i="10"/>
  <c r="F3886" i="10" s="1"/>
  <c r="E3885" i="10"/>
  <c r="F3885" i="10" s="1"/>
  <c r="E3884" i="10"/>
  <c r="F3884" i="10" s="1"/>
  <c r="E3883" i="10"/>
  <c r="F3883" i="10" s="1"/>
  <c r="E3882" i="10"/>
  <c r="F3882" i="10" s="1"/>
  <c r="E3881" i="10"/>
  <c r="F3881" i="10" s="1"/>
  <c r="E3880" i="10"/>
  <c r="F3880" i="10" s="1"/>
  <c r="E3879" i="10"/>
  <c r="F3879" i="10" s="1"/>
  <c r="B3879" i="10"/>
  <c r="B3880" i="10" s="1"/>
  <c r="B3881" i="10" s="1"/>
  <c r="B3882" i="10" s="1"/>
  <c r="B3883" i="10" s="1"/>
  <c r="B3884" i="10" s="1"/>
  <c r="B3885" i="10" s="1"/>
  <c r="B3886" i="10" s="1"/>
  <c r="B3887" i="10" s="1"/>
  <c r="B3888" i="10" s="1"/>
  <c r="B3889" i="10" s="1"/>
  <c r="B3890" i="10" s="1"/>
  <c r="B3891" i="10" s="1"/>
  <c r="B3892" i="10" s="1"/>
  <c r="B3893" i="10" s="1"/>
  <c r="B3894" i="10" s="1"/>
  <c r="B3895" i="10" s="1"/>
  <c r="B3896" i="10" s="1"/>
  <c r="B3897" i="10" s="1"/>
  <c r="B3898" i="10" s="1"/>
  <c r="B3899" i="10" s="1"/>
  <c r="B3900" i="10" s="1"/>
  <c r="B3901" i="10" s="1"/>
  <c r="B3902" i="10" s="1"/>
  <c r="B3903" i="10" s="1"/>
  <c r="B3904" i="10" s="1"/>
  <c r="B3905" i="10" s="1"/>
  <c r="B3906" i="10" s="1"/>
  <c r="B3907" i="10" s="1"/>
  <c r="B3908" i="10" s="1"/>
  <c r="B3909" i="10" s="1"/>
  <c r="B3910" i="10" s="1"/>
  <c r="B3911" i="10" s="1"/>
  <c r="B3912" i="10" s="1"/>
  <c r="B3913" i="10" s="1"/>
  <c r="B3914" i="10" s="1"/>
  <c r="E3878" i="10"/>
  <c r="F3878" i="10" s="1"/>
  <c r="E3860" i="10"/>
  <c r="F3860" i="10" s="1"/>
  <c r="I3860" i="10" s="1"/>
  <c r="E3859" i="10"/>
  <c r="F3859" i="10" s="1"/>
  <c r="I3859" i="10" s="1"/>
  <c r="E3858" i="10"/>
  <c r="F3858" i="10" s="1"/>
  <c r="I3858" i="10" s="1"/>
  <c r="E3857" i="10"/>
  <c r="F3857" i="10" s="1"/>
  <c r="I3857" i="10" s="1"/>
  <c r="E3856" i="10"/>
  <c r="F3856" i="10" s="1"/>
  <c r="I3856" i="10" s="1"/>
  <c r="E3855" i="10"/>
  <c r="F3855" i="10" s="1"/>
  <c r="I3855" i="10" s="1"/>
  <c r="E3854" i="10"/>
  <c r="F3854" i="10" s="1"/>
  <c r="I3854" i="10" s="1"/>
  <c r="E3853" i="10"/>
  <c r="F3853" i="10" s="1"/>
  <c r="I3853" i="10" s="1"/>
  <c r="E3852" i="10"/>
  <c r="F3852" i="10" s="1"/>
  <c r="I3852" i="10" s="1"/>
  <c r="E3851" i="10"/>
  <c r="F3851" i="10" s="1"/>
  <c r="I3851" i="10" s="1"/>
  <c r="E3850" i="10"/>
  <c r="F3850" i="10" s="1"/>
  <c r="I3850" i="10" s="1"/>
  <c r="E3849" i="10"/>
  <c r="F3849" i="10" s="1"/>
  <c r="I3849" i="10" s="1"/>
  <c r="E3848" i="10"/>
  <c r="F3848" i="10" s="1"/>
  <c r="I3848" i="10" s="1"/>
  <c r="E3847" i="10"/>
  <c r="F3847" i="10" s="1"/>
  <c r="I3847" i="10" s="1"/>
  <c r="E3846" i="10"/>
  <c r="F3846" i="10" s="1"/>
  <c r="I3846" i="10" s="1"/>
  <c r="E3845" i="10"/>
  <c r="F3845" i="10" s="1"/>
  <c r="I3845" i="10" s="1"/>
  <c r="E3844" i="10"/>
  <c r="F3844" i="10" s="1"/>
  <c r="I3844" i="10" s="1"/>
  <c r="E3843" i="10"/>
  <c r="F3843" i="10" s="1"/>
  <c r="I3843" i="10" s="1"/>
  <c r="E3842" i="10"/>
  <c r="F3842" i="10" s="1"/>
  <c r="I3842" i="10" s="1"/>
  <c r="E3841" i="10"/>
  <c r="F3841" i="10" s="1"/>
  <c r="I3841" i="10" s="1"/>
  <c r="B3841" i="10"/>
  <c r="B3842" i="10" s="1"/>
  <c r="B3843" i="10" s="1"/>
  <c r="B3844" i="10" s="1"/>
  <c r="B3845" i="10" s="1"/>
  <c r="B3846" i="10" s="1"/>
  <c r="B3847" i="10" s="1"/>
  <c r="B3848" i="10" s="1"/>
  <c r="B3849" i="10" s="1"/>
  <c r="B3850" i="10" s="1"/>
  <c r="B3851" i="10" s="1"/>
  <c r="B3852" i="10" s="1"/>
  <c r="B3853" i="10" s="1"/>
  <c r="B3854" i="10" s="1"/>
  <c r="B3855" i="10" s="1"/>
  <c r="B3856" i="10" s="1"/>
  <c r="B3857" i="10" s="1"/>
  <c r="B3858" i="10" s="1"/>
  <c r="B3859" i="10" s="1"/>
  <c r="B3860" i="10" s="1"/>
  <c r="B3861" i="10" s="1"/>
  <c r="B3862" i="10" s="1"/>
  <c r="B3863" i="10" s="1"/>
  <c r="B3864" i="10" s="1"/>
  <c r="B3865" i="10" s="1"/>
  <c r="B3866" i="10" s="1"/>
  <c r="B3867" i="10" s="1"/>
  <c r="B3868" i="10" s="1"/>
  <c r="B3869" i="10" s="1"/>
  <c r="B3870" i="10" s="1"/>
  <c r="B3871" i="10" s="1"/>
  <c r="B3872" i="10" s="1"/>
  <c r="B3873" i="10" s="1"/>
  <c r="B3874" i="10" s="1"/>
  <c r="B3875" i="10" s="1"/>
  <c r="B3876" i="10" s="1"/>
  <c r="E3840" i="10"/>
  <c r="F3840" i="10" s="1"/>
  <c r="I3840" i="10" s="1"/>
  <c r="E3822" i="10"/>
  <c r="F3822" i="10" s="1"/>
  <c r="I3822" i="10" s="1"/>
  <c r="E3821" i="10"/>
  <c r="F3821" i="10" s="1"/>
  <c r="I3821" i="10" s="1"/>
  <c r="E3820" i="10"/>
  <c r="F3820" i="10" s="1"/>
  <c r="I3820" i="10" s="1"/>
  <c r="E3819" i="10"/>
  <c r="F3819" i="10" s="1"/>
  <c r="I3819" i="10" s="1"/>
  <c r="E3818" i="10"/>
  <c r="F3818" i="10" s="1"/>
  <c r="I3818" i="10" s="1"/>
  <c r="E3817" i="10"/>
  <c r="F3817" i="10" s="1"/>
  <c r="I3817" i="10" s="1"/>
  <c r="E3816" i="10"/>
  <c r="F3816" i="10" s="1"/>
  <c r="I3816" i="10" s="1"/>
  <c r="E3815" i="10"/>
  <c r="F3815" i="10" s="1"/>
  <c r="I3815" i="10" s="1"/>
  <c r="E3814" i="10"/>
  <c r="F3814" i="10" s="1"/>
  <c r="I3814" i="10" s="1"/>
  <c r="E3813" i="10"/>
  <c r="F3813" i="10" s="1"/>
  <c r="I3813" i="10" s="1"/>
  <c r="E3812" i="10"/>
  <c r="F3812" i="10" s="1"/>
  <c r="I3812" i="10" s="1"/>
  <c r="E3811" i="10"/>
  <c r="F3811" i="10" s="1"/>
  <c r="I3811" i="10" s="1"/>
  <c r="E3810" i="10"/>
  <c r="F3810" i="10" s="1"/>
  <c r="I3810" i="10" s="1"/>
  <c r="E3809" i="10"/>
  <c r="F3809" i="10" s="1"/>
  <c r="I3809" i="10" s="1"/>
  <c r="E3808" i="10"/>
  <c r="F3808" i="10" s="1"/>
  <c r="I3808" i="10" s="1"/>
  <c r="E3807" i="10"/>
  <c r="F3807" i="10" s="1"/>
  <c r="I3807" i="10" s="1"/>
  <c r="E3806" i="10"/>
  <c r="F3806" i="10" s="1"/>
  <c r="I3806" i="10" s="1"/>
  <c r="E3805" i="10"/>
  <c r="F3805" i="10" s="1"/>
  <c r="I3805" i="10" s="1"/>
  <c r="E3804" i="10"/>
  <c r="F3804" i="10" s="1"/>
  <c r="I3804" i="10" s="1"/>
  <c r="E3803" i="10"/>
  <c r="F3803" i="10" s="1"/>
  <c r="I3803" i="10" s="1"/>
  <c r="B3803" i="10"/>
  <c r="B3804" i="10" s="1"/>
  <c r="B3805" i="10" s="1"/>
  <c r="B3806" i="10" s="1"/>
  <c r="B3807" i="10" s="1"/>
  <c r="B3808" i="10" s="1"/>
  <c r="B3809" i="10" s="1"/>
  <c r="B3810" i="10" s="1"/>
  <c r="B3811" i="10" s="1"/>
  <c r="B3812" i="10" s="1"/>
  <c r="B3813" i="10" s="1"/>
  <c r="B3814" i="10" s="1"/>
  <c r="B3815" i="10" s="1"/>
  <c r="B3816" i="10" s="1"/>
  <c r="B3817" i="10" s="1"/>
  <c r="B3818" i="10" s="1"/>
  <c r="B3819" i="10" s="1"/>
  <c r="B3820" i="10" s="1"/>
  <c r="B3821" i="10" s="1"/>
  <c r="B3822" i="10" s="1"/>
  <c r="B3823" i="10" s="1"/>
  <c r="B3824" i="10" s="1"/>
  <c r="B3825" i="10" s="1"/>
  <c r="B3826" i="10" s="1"/>
  <c r="B3827" i="10" s="1"/>
  <c r="B3828" i="10" s="1"/>
  <c r="B3829" i="10" s="1"/>
  <c r="B3830" i="10" s="1"/>
  <c r="B3831" i="10" s="1"/>
  <c r="B3832" i="10" s="1"/>
  <c r="B3833" i="10" s="1"/>
  <c r="B3834" i="10" s="1"/>
  <c r="B3835" i="10" s="1"/>
  <c r="B3836" i="10" s="1"/>
  <c r="B3837" i="10" s="1"/>
  <c r="B3838" i="10" s="1"/>
  <c r="E3802" i="10"/>
  <c r="F3802" i="10" s="1"/>
  <c r="I3802" i="10" s="1"/>
  <c r="E3801" i="10"/>
  <c r="E3784" i="10"/>
  <c r="F3784" i="10" s="1"/>
  <c r="I3784" i="10" s="1"/>
  <c r="E3783" i="10"/>
  <c r="F3783" i="10" s="1"/>
  <c r="I3783" i="10" s="1"/>
  <c r="E3782" i="10"/>
  <c r="F3782" i="10" s="1"/>
  <c r="I3782" i="10" s="1"/>
  <c r="E3781" i="10"/>
  <c r="F3781" i="10" s="1"/>
  <c r="I3781" i="10" s="1"/>
  <c r="E3780" i="10"/>
  <c r="F3780" i="10" s="1"/>
  <c r="I3780" i="10" s="1"/>
  <c r="E3779" i="10"/>
  <c r="F3779" i="10" s="1"/>
  <c r="I3779" i="10" s="1"/>
  <c r="E3778" i="10"/>
  <c r="F3778" i="10" s="1"/>
  <c r="I3778" i="10" s="1"/>
  <c r="E3777" i="10"/>
  <c r="F3777" i="10" s="1"/>
  <c r="I3777" i="10" s="1"/>
  <c r="E3776" i="10"/>
  <c r="F3776" i="10" s="1"/>
  <c r="I3776" i="10" s="1"/>
  <c r="E3775" i="10"/>
  <c r="F3775" i="10" s="1"/>
  <c r="I3775" i="10" s="1"/>
  <c r="E3774" i="10"/>
  <c r="F3774" i="10" s="1"/>
  <c r="I3774" i="10" s="1"/>
  <c r="E3773" i="10"/>
  <c r="F3773" i="10" s="1"/>
  <c r="I3773" i="10" s="1"/>
  <c r="E3772" i="10"/>
  <c r="F3772" i="10" s="1"/>
  <c r="I3772" i="10" s="1"/>
  <c r="E3771" i="10"/>
  <c r="F3771" i="10" s="1"/>
  <c r="I3771" i="10" s="1"/>
  <c r="E3770" i="10"/>
  <c r="F3770" i="10" s="1"/>
  <c r="I3770" i="10" s="1"/>
  <c r="E3769" i="10"/>
  <c r="F3769" i="10" s="1"/>
  <c r="I3769" i="10" s="1"/>
  <c r="E3768" i="10"/>
  <c r="F3768" i="10" s="1"/>
  <c r="I3768" i="10" s="1"/>
  <c r="E3767" i="10"/>
  <c r="F3767" i="10" s="1"/>
  <c r="I3767" i="10" s="1"/>
  <c r="E3766" i="10"/>
  <c r="F3766" i="10" s="1"/>
  <c r="I3766" i="10" s="1"/>
  <c r="E3765" i="10"/>
  <c r="F3765" i="10" s="1"/>
  <c r="I3765" i="10" s="1"/>
  <c r="B3765" i="10"/>
  <c r="B3766" i="10" s="1"/>
  <c r="B3767" i="10" s="1"/>
  <c r="B3768" i="10" s="1"/>
  <c r="B3769" i="10" s="1"/>
  <c r="B3770" i="10" s="1"/>
  <c r="B3771" i="10" s="1"/>
  <c r="B3772" i="10" s="1"/>
  <c r="B3773" i="10" s="1"/>
  <c r="B3774" i="10" s="1"/>
  <c r="B3775" i="10" s="1"/>
  <c r="B3776" i="10" s="1"/>
  <c r="B3777" i="10" s="1"/>
  <c r="B3778" i="10" s="1"/>
  <c r="B3779" i="10" s="1"/>
  <c r="B3780" i="10" s="1"/>
  <c r="B3781" i="10" s="1"/>
  <c r="B3782" i="10" s="1"/>
  <c r="B3783" i="10" s="1"/>
  <c r="B3784" i="10" s="1"/>
  <c r="B3785" i="10" s="1"/>
  <c r="B3786" i="10" s="1"/>
  <c r="B3787" i="10" s="1"/>
  <c r="B3788" i="10" s="1"/>
  <c r="B3789" i="10" s="1"/>
  <c r="B3790" i="10" s="1"/>
  <c r="B3791" i="10" s="1"/>
  <c r="B3792" i="10" s="1"/>
  <c r="B3793" i="10" s="1"/>
  <c r="B3794" i="10" s="1"/>
  <c r="B3795" i="10" s="1"/>
  <c r="B3796" i="10" s="1"/>
  <c r="B3797" i="10" s="1"/>
  <c r="B3798" i="10" s="1"/>
  <c r="B3799" i="10" s="1"/>
  <c r="B3800" i="10" s="1"/>
  <c r="E3764" i="10"/>
  <c r="F3764" i="10" s="1"/>
  <c r="I3764" i="10" s="1"/>
  <c r="E3746" i="10"/>
  <c r="F3746" i="10" s="1"/>
  <c r="E3745" i="10"/>
  <c r="F3745" i="10" s="1"/>
  <c r="E3744" i="10"/>
  <c r="F3744" i="10" s="1"/>
  <c r="E3743" i="10"/>
  <c r="F3743" i="10" s="1"/>
  <c r="E3742" i="10"/>
  <c r="F3742" i="10" s="1"/>
  <c r="E3741" i="10"/>
  <c r="F3741" i="10" s="1"/>
  <c r="E3740" i="10"/>
  <c r="F3740" i="10" s="1"/>
  <c r="E3739" i="10"/>
  <c r="F3739" i="10" s="1"/>
  <c r="E3738" i="10"/>
  <c r="F3738" i="10" s="1"/>
  <c r="E3737" i="10"/>
  <c r="F3737" i="10" s="1"/>
  <c r="E3736" i="10"/>
  <c r="F3736" i="10" s="1"/>
  <c r="E3735" i="10"/>
  <c r="F3735" i="10" s="1"/>
  <c r="E3734" i="10"/>
  <c r="F3734" i="10" s="1"/>
  <c r="E3733" i="10"/>
  <c r="F3733" i="10" s="1"/>
  <c r="E3732" i="10"/>
  <c r="F3732" i="10" s="1"/>
  <c r="E3731" i="10"/>
  <c r="F3731" i="10" s="1"/>
  <c r="E3730" i="10"/>
  <c r="F3730" i="10" s="1"/>
  <c r="E3729" i="10"/>
  <c r="F3729" i="10" s="1"/>
  <c r="E3728" i="10"/>
  <c r="F3728" i="10" s="1"/>
  <c r="E3727" i="10"/>
  <c r="F3727" i="10" s="1"/>
  <c r="B3727" i="10"/>
  <c r="B3728" i="10" s="1"/>
  <c r="B3729" i="10" s="1"/>
  <c r="B3730" i="10" s="1"/>
  <c r="B3731" i="10" s="1"/>
  <c r="B3732" i="10" s="1"/>
  <c r="B3733" i="10" s="1"/>
  <c r="B3734" i="10" s="1"/>
  <c r="B3735" i="10" s="1"/>
  <c r="B3736" i="10" s="1"/>
  <c r="B3737" i="10" s="1"/>
  <c r="B3738" i="10" s="1"/>
  <c r="B3739" i="10" s="1"/>
  <c r="B3740" i="10" s="1"/>
  <c r="B3741" i="10" s="1"/>
  <c r="B3742" i="10" s="1"/>
  <c r="B3743" i="10" s="1"/>
  <c r="B3744" i="10" s="1"/>
  <c r="B3745" i="10" s="1"/>
  <c r="B3746" i="10" s="1"/>
  <c r="B3747" i="10" s="1"/>
  <c r="B3748" i="10" s="1"/>
  <c r="B3749" i="10" s="1"/>
  <c r="B3750" i="10" s="1"/>
  <c r="B3751" i="10" s="1"/>
  <c r="B3752" i="10" s="1"/>
  <c r="B3753" i="10" s="1"/>
  <c r="B3754" i="10" s="1"/>
  <c r="B3755" i="10" s="1"/>
  <c r="B3756" i="10" s="1"/>
  <c r="B3757" i="10" s="1"/>
  <c r="B3758" i="10" s="1"/>
  <c r="B3759" i="10" s="1"/>
  <c r="B3760" i="10" s="1"/>
  <c r="B3761" i="10" s="1"/>
  <c r="B3762" i="10" s="1"/>
  <c r="E3726" i="10"/>
  <c r="F3726" i="10" s="1"/>
  <c r="E3708" i="10"/>
  <c r="F3708" i="10" s="1"/>
  <c r="E3707" i="10"/>
  <c r="F3707" i="10" s="1"/>
  <c r="E3706" i="10"/>
  <c r="F3706" i="10" s="1"/>
  <c r="E3705" i="10"/>
  <c r="F3705" i="10" s="1"/>
  <c r="E3704" i="10"/>
  <c r="F3704" i="10" s="1"/>
  <c r="E3703" i="10"/>
  <c r="F3703" i="10" s="1"/>
  <c r="E3702" i="10"/>
  <c r="F3702" i="10" s="1"/>
  <c r="E3701" i="10"/>
  <c r="F3701" i="10" s="1"/>
  <c r="E3700" i="10"/>
  <c r="F3700" i="10" s="1"/>
  <c r="E3699" i="10"/>
  <c r="F3699" i="10" s="1"/>
  <c r="E3698" i="10"/>
  <c r="F3698" i="10" s="1"/>
  <c r="E3697" i="10"/>
  <c r="F3697" i="10" s="1"/>
  <c r="E3696" i="10"/>
  <c r="F3696" i="10" s="1"/>
  <c r="E3695" i="10"/>
  <c r="F3695" i="10" s="1"/>
  <c r="E3694" i="10"/>
  <c r="F3694" i="10" s="1"/>
  <c r="E3693" i="10"/>
  <c r="F3693" i="10" s="1"/>
  <c r="E3692" i="10"/>
  <c r="F3692" i="10" s="1"/>
  <c r="E3691" i="10"/>
  <c r="F3691" i="10" s="1"/>
  <c r="E3690" i="10"/>
  <c r="F3690" i="10" s="1"/>
  <c r="E3689" i="10"/>
  <c r="F3689" i="10" s="1"/>
  <c r="B3689" i="10"/>
  <c r="B3690" i="10" s="1"/>
  <c r="B3691" i="10" s="1"/>
  <c r="B3692" i="10" s="1"/>
  <c r="B3693" i="10" s="1"/>
  <c r="B3694" i="10" s="1"/>
  <c r="B3695" i="10" s="1"/>
  <c r="B3696" i="10" s="1"/>
  <c r="B3697" i="10" s="1"/>
  <c r="B3698" i="10" s="1"/>
  <c r="B3699" i="10" s="1"/>
  <c r="B3700" i="10" s="1"/>
  <c r="B3701" i="10" s="1"/>
  <c r="B3702" i="10" s="1"/>
  <c r="B3703" i="10" s="1"/>
  <c r="B3704" i="10" s="1"/>
  <c r="B3705" i="10" s="1"/>
  <c r="B3706" i="10" s="1"/>
  <c r="B3707" i="10" s="1"/>
  <c r="B3708" i="10" s="1"/>
  <c r="B3709" i="10" s="1"/>
  <c r="B3710" i="10" s="1"/>
  <c r="B3711" i="10" s="1"/>
  <c r="B3712" i="10" s="1"/>
  <c r="B3713" i="10" s="1"/>
  <c r="B3714" i="10" s="1"/>
  <c r="B3715" i="10" s="1"/>
  <c r="B3716" i="10" s="1"/>
  <c r="B3717" i="10" s="1"/>
  <c r="B3718" i="10" s="1"/>
  <c r="B3719" i="10" s="1"/>
  <c r="B3720" i="10" s="1"/>
  <c r="B3721" i="10" s="1"/>
  <c r="B3722" i="10" s="1"/>
  <c r="B3723" i="10" s="1"/>
  <c r="B3724" i="10" s="1"/>
  <c r="E3688" i="10"/>
  <c r="F3688" i="10" s="1"/>
  <c r="E3670" i="10"/>
  <c r="F3670" i="10" s="1"/>
  <c r="E3669" i="10"/>
  <c r="F3669" i="10" s="1"/>
  <c r="E3668" i="10"/>
  <c r="F3668" i="10" s="1"/>
  <c r="E3667" i="10"/>
  <c r="F3667" i="10" s="1"/>
  <c r="E3666" i="10"/>
  <c r="F3666" i="10" s="1"/>
  <c r="E3665" i="10"/>
  <c r="F3665" i="10" s="1"/>
  <c r="E3664" i="10"/>
  <c r="F3664" i="10" s="1"/>
  <c r="E3663" i="10"/>
  <c r="F3663" i="10" s="1"/>
  <c r="E3662" i="10"/>
  <c r="F3662" i="10" s="1"/>
  <c r="E3661" i="10"/>
  <c r="F3661" i="10" s="1"/>
  <c r="E3660" i="10"/>
  <c r="F3660" i="10" s="1"/>
  <c r="E3659" i="10"/>
  <c r="F3659" i="10" s="1"/>
  <c r="E3658" i="10"/>
  <c r="F3658" i="10" s="1"/>
  <c r="E3657" i="10"/>
  <c r="F3657" i="10" s="1"/>
  <c r="E3656" i="10"/>
  <c r="F3656" i="10" s="1"/>
  <c r="E3655" i="10"/>
  <c r="F3655" i="10" s="1"/>
  <c r="E3654" i="10"/>
  <c r="F3654" i="10" s="1"/>
  <c r="E3653" i="10"/>
  <c r="F3653" i="10" s="1"/>
  <c r="E3652" i="10"/>
  <c r="F3652" i="10" s="1"/>
  <c r="E3651" i="10"/>
  <c r="F3651" i="10" s="1"/>
  <c r="B3651" i="10"/>
  <c r="B3652" i="10" s="1"/>
  <c r="B3653" i="10" s="1"/>
  <c r="B3654" i="10" s="1"/>
  <c r="B3655" i="10" s="1"/>
  <c r="B3656" i="10" s="1"/>
  <c r="B3657" i="10" s="1"/>
  <c r="B3658" i="10" s="1"/>
  <c r="B3659" i="10" s="1"/>
  <c r="B3660" i="10" s="1"/>
  <c r="B3661" i="10" s="1"/>
  <c r="B3662" i="10" s="1"/>
  <c r="B3663" i="10" s="1"/>
  <c r="B3664" i="10" s="1"/>
  <c r="B3665" i="10" s="1"/>
  <c r="B3666" i="10" s="1"/>
  <c r="B3667" i="10" s="1"/>
  <c r="B3668" i="10" s="1"/>
  <c r="B3669" i="10" s="1"/>
  <c r="B3670" i="10" s="1"/>
  <c r="B3671" i="10" s="1"/>
  <c r="B3672" i="10" s="1"/>
  <c r="B3673" i="10" s="1"/>
  <c r="B3674" i="10" s="1"/>
  <c r="B3675" i="10" s="1"/>
  <c r="B3676" i="10" s="1"/>
  <c r="B3677" i="10" s="1"/>
  <c r="B3678" i="10" s="1"/>
  <c r="B3679" i="10" s="1"/>
  <c r="B3680" i="10" s="1"/>
  <c r="B3681" i="10" s="1"/>
  <c r="B3682" i="10" s="1"/>
  <c r="B3683" i="10" s="1"/>
  <c r="B3684" i="10" s="1"/>
  <c r="B3685" i="10" s="1"/>
  <c r="B3686" i="10" s="1"/>
  <c r="E3650" i="10"/>
  <c r="F3650" i="10" s="1"/>
  <c r="E3632" i="10"/>
  <c r="F3632" i="10" s="1"/>
  <c r="E3631" i="10"/>
  <c r="F3631" i="10" s="1"/>
  <c r="E3630" i="10"/>
  <c r="F3630" i="10" s="1"/>
  <c r="E3629" i="10"/>
  <c r="F3629" i="10" s="1"/>
  <c r="E3628" i="10"/>
  <c r="F3628" i="10" s="1"/>
  <c r="E3627" i="10"/>
  <c r="F3627" i="10" s="1"/>
  <c r="E3626" i="10"/>
  <c r="F3626" i="10" s="1"/>
  <c r="E3625" i="10"/>
  <c r="F3625" i="10" s="1"/>
  <c r="E3624" i="10"/>
  <c r="F3624" i="10" s="1"/>
  <c r="E3623" i="10"/>
  <c r="F3623" i="10" s="1"/>
  <c r="E3622" i="10"/>
  <c r="F3622" i="10" s="1"/>
  <c r="E3621" i="10"/>
  <c r="F3621" i="10" s="1"/>
  <c r="E3620" i="10"/>
  <c r="F3620" i="10" s="1"/>
  <c r="E3619" i="10"/>
  <c r="F3619" i="10" s="1"/>
  <c r="E3618" i="10"/>
  <c r="F3618" i="10" s="1"/>
  <c r="E3617" i="10"/>
  <c r="F3617" i="10" s="1"/>
  <c r="E3616" i="10"/>
  <c r="F3616" i="10" s="1"/>
  <c r="E3615" i="10"/>
  <c r="F3615" i="10" s="1"/>
  <c r="E3614" i="10"/>
  <c r="F3614" i="10" s="1"/>
  <c r="E3613" i="10"/>
  <c r="F3613" i="10" s="1"/>
  <c r="B3613" i="10"/>
  <c r="B3614" i="10" s="1"/>
  <c r="B3615" i="10" s="1"/>
  <c r="B3616" i="10" s="1"/>
  <c r="B3617" i="10" s="1"/>
  <c r="B3618" i="10" s="1"/>
  <c r="B3619" i="10" s="1"/>
  <c r="B3620" i="10" s="1"/>
  <c r="B3621" i="10" s="1"/>
  <c r="B3622" i="10" s="1"/>
  <c r="B3623" i="10" s="1"/>
  <c r="B3624" i="10" s="1"/>
  <c r="B3625" i="10" s="1"/>
  <c r="B3626" i="10" s="1"/>
  <c r="B3627" i="10" s="1"/>
  <c r="B3628" i="10" s="1"/>
  <c r="B3629" i="10" s="1"/>
  <c r="B3630" i="10" s="1"/>
  <c r="B3631" i="10" s="1"/>
  <c r="B3632" i="10" s="1"/>
  <c r="B3633" i="10" s="1"/>
  <c r="B3634" i="10" s="1"/>
  <c r="B3635" i="10" s="1"/>
  <c r="B3636" i="10" s="1"/>
  <c r="B3637" i="10" s="1"/>
  <c r="B3638" i="10" s="1"/>
  <c r="B3639" i="10" s="1"/>
  <c r="B3640" i="10" s="1"/>
  <c r="B3641" i="10" s="1"/>
  <c r="B3642" i="10" s="1"/>
  <c r="B3643" i="10" s="1"/>
  <c r="B3644" i="10" s="1"/>
  <c r="B3645" i="10" s="1"/>
  <c r="B3646" i="10" s="1"/>
  <c r="B3647" i="10" s="1"/>
  <c r="B3648" i="10" s="1"/>
  <c r="E3612" i="10"/>
  <c r="F3612" i="10" s="1"/>
  <c r="E3594" i="10"/>
  <c r="F3594" i="10" s="1"/>
  <c r="E3593" i="10"/>
  <c r="F3593" i="10" s="1"/>
  <c r="E3592" i="10"/>
  <c r="F3592" i="10" s="1"/>
  <c r="E3591" i="10"/>
  <c r="F3591" i="10" s="1"/>
  <c r="E3590" i="10"/>
  <c r="F3590" i="10" s="1"/>
  <c r="E3589" i="10"/>
  <c r="F3589" i="10" s="1"/>
  <c r="E3588" i="10"/>
  <c r="F3588" i="10" s="1"/>
  <c r="I3588" i="10" s="1"/>
  <c r="E3587" i="10"/>
  <c r="F3587" i="10" s="1"/>
  <c r="E3586" i="10"/>
  <c r="F3586" i="10" s="1"/>
  <c r="E3585" i="10"/>
  <c r="F3585" i="10" s="1"/>
  <c r="E3584" i="10"/>
  <c r="F3584" i="10" s="1"/>
  <c r="E3583" i="10"/>
  <c r="F3583" i="10" s="1"/>
  <c r="E3582" i="10"/>
  <c r="F3582" i="10" s="1"/>
  <c r="E3581" i="10"/>
  <c r="F3581" i="10" s="1"/>
  <c r="E3580" i="10"/>
  <c r="F3580" i="10" s="1"/>
  <c r="I3580" i="10" s="1"/>
  <c r="E3579" i="10"/>
  <c r="F3579" i="10" s="1"/>
  <c r="E3578" i="10"/>
  <c r="F3578" i="10" s="1"/>
  <c r="E3577" i="10"/>
  <c r="F3577" i="10" s="1"/>
  <c r="E3576" i="10"/>
  <c r="F3576" i="10" s="1"/>
  <c r="E3575" i="10"/>
  <c r="F3575" i="10" s="1"/>
  <c r="B3575" i="10"/>
  <c r="B3576" i="10" s="1"/>
  <c r="B3577" i="10" s="1"/>
  <c r="B3578" i="10" s="1"/>
  <c r="B3579" i="10" s="1"/>
  <c r="B3580" i="10" s="1"/>
  <c r="B3581" i="10" s="1"/>
  <c r="B3582" i="10" s="1"/>
  <c r="B3583" i="10" s="1"/>
  <c r="B3584" i="10" s="1"/>
  <c r="B3585" i="10" s="1"/>
  <c r="B3586" i="10" s="1"/>
  <c r="B3587" i="10" s="1"/>
  <c r="B3588" i="10" s="1"/>
  <c r="B3589" i="10" s="1"/>
  <c r="B3590" i="10" s="1"/>
  <c r="B3591" i="10" s="1"/>
  <c r="B3592" i="10" s="1"/>
  <c r="B3593" i="10" s="1"/>
  <c r="B3594" i="10" s="1"/>
  <c r="B3595" i="10" s="1"/>
  <c r="B3596" i="10" s="1"/>
  <c r="B3597" i="10" s="1"/>
  <c r="B3598" i="10" s="1"/>
  <c r="B3599" i="10" s="1"/>
  <c r="B3600" i="10" s="1"/>
  <c r="B3601" i="10" s="1"/>
  <c r="B3602" i="10" s="1"/>
  <c r="B3603" i="10" s="1"/>
  <c r="B3604" i="10" s="1"/>
  <c r="B3605" i="10" s="1"/>
  <c r="B3606" i="10" s="1"/>
  <c r="B3607" i="10" s="1"/>
  <c r="B3608" i="10" s="1"/>
  <c r="B3609" i="10" s="1"/>
  <c r="B3610" i="10" s="1"/>
  <c r="E3574" i="10"/>
  <c r="F3574" i="10" s="1"/>
  <c r="E3556" i="10"/>
  <c r="F3556" i="10" s="1"/>
  <c r="E3555" i="10"/>
  <c r="F3555" i="10" s="1"/>
  <c r="E3554" i="10"/>
  <c r="F3554" i="10" s="1"/>
  <c r="E3553" i="10"/>
  <c r="F3553" i="10" s="1"/>
  <c r="E3552" i="10"/>
  <c r="F3552" i="10" s="1"/>
  <c r="E3551" i="10"/>
  <c r="F3551" i="10" s="1"/>
  <c r="E3550" i="10"/>
  <c r="F3550" i="10" s="1"/>
  <c r="E3549" i="10"/>
  <c r="F3549" i="10" s="1"/>
  <c r="E3548" i="10"/>
  <c r="F3548" i="10" s="1"/>
  <c r="E3547" i="10"/>
  <c r="F3547" i="10" s="1"/>
  <c r="E3546" i="10"/>
  <c r="F3546" i="10" s="1"/>
  <c r="E3545" i="10"/>
  <c r="F3545" i="10" s="1"/>
  <c r="E3544" i="10"/>
  <c r="F3544" i="10" s="1"/>
  <c r="E3543" i="10"/>
  <c r="F3543" i="10" s="1"/>
  <c r="E3542" i="10"/>
  <c r="F3542" i="10" s="1"/>
  <c r="E3541" i="10"/>
  <c r="F3541" i="10" s="1"/>
  <c r="E3540" i="10"/>
  <c r="F3540" i="10" s="1"/>
  <c r="E3539" i="10"/>
  <c r="F3539" i="10" s="1"/>
  <c r="E3538" i="10"/>
  <c r="F3538" i="10" s="1"/>
  <c r="E3537" i="10"/>
  <c r="F3537" i="10" s="1"/>
  <c r="B3537" i="10"/>
  <c r="B3538" i="10" s="1"/>
  <c r="B3539" i="10" s="1"/>
  <c r="B3540" i="10" s="1"/>
  <c r="B3541" i="10" s="1"/>
  <c r="B3542" i="10" s="1"/>
  <c r="B3543" i="10" s="1"/>
  <c r="B3544" i="10" s="1"/>
  <c r="B3545" i="10" s="1"/>
  <c r="B3546" i="10" s="1"/>
  <c r="B3547" i="10" s="1"/>
  <c r="B3548" i="10" s="1"/>
  <c r="B3549" i="10" s="1"/>
  <c r="B3550" i="10" s="1"/>
  <c r="B3551" i="10" s="1"/>
  <c r="B3552" i="10" s="1"/>
  <c r="B3553" i="10" s="1"/>
  <c r="B3554" i="10" s="1"/>
  <c r="B3555" i="10" s="1"/>
  <c r="B3556" i="10" s="1"/>
  <c r="B3557" i="10" s="1"/>
  <c r="B3558" i="10" s="1"/>
  <c r="B3559" i="10" s="1"/>
  <c r="B3560" i="10" s="1"/>
  <c r="B3561" i="10" s="1"/>
  <c r="B3562" i="10" s="1"/>
  <c r="B3563" i="10" s="1"/>
  <c r="B3564" i="10" s="1"/>
  <c r="B3565" i="10" s="1"/>
  <c r="B3566" i="10" s="1"/>
  <c r="B3567" i="10" s="1"/>
  <c r="B3568" i="10" s="1"/>
  <c r="B3569" i="10" s="1"/>
  <c r="B3570" i="10" s="1"/>
  <c r="B3571" i="10" s="1"/>
  <c r="B3572" i="10" s="1"/>
  <c r="E3536" i="10"/>
  <c r="F3536" i="10" s="1"/>
  <c r="E3518" i="10"/>
  <c r="F3518" i="10" s="1"/>
  <c r="E3517" i="10"/>
  <c r="F3517" i="10" s="1"/>
  <c r="E3516" i="10"/>
  <c r="F3516" i="10" s="1"/>
  <c r="E3515" i="10"/>
  <c r="F3515" i="10" s="1"/>
  <c r="E3514" i="10"/>
  <c r="F3514" i="10" s="1"/>
  <c r="E3513" i="10"/>
  <c r="F3513" i="10" s="1"/>
  <c r="E3512" i="10"/>
  <c r="F3512" i="10" s="1"/>
  <c r="E3511" i="10"/>
  <c r="F3511" i="10" s="1"/>
  <c r="E3510" i="10"/>
  <c r="F3510" i="10" s="1"/>
  <c r="E3509" i="10"/>
  <c r="F3509" i="10" s="1"/>
  <c r="E3508" i="10"/>
  <c r="F3508" i="10" s="1"/>
  <c r="E3507" i="10"/>
  <c r="F3507" i="10" s="1"/>
  <c r="E3506" i="10"/>
  <c r="F3506" i="10" s="1"/>
  <c r="E3505" i="10"/>
  <c r="F3505" i="10" s="1"/>
  <c r="E3504" i="10"/>
  <c r="F3504" i="10" s="1"/>
  <c r="E3503" i="10"/>
  <c r="F3503" i="10" s="1"/>
  <c r="E3502" i="10"/>
  <c r="F3502" i="10" s="1"/>
  <c r="E3501" i="10"/>
  <c r="F3501" i="10" s="1"/>
  <c r="E3500" i="10"/>
  <c r="F3500" i="10" s="1"/>
  <c r="E3499" i="10"/>
  <c r="F3499" i="10" s="1"/>
  <c r="B3499" i="10"/>
  <c r="B3500" i="10" s="1"/>
  <c r="B3501" i="10" s="1"/>
  <c r="B3502" i="10" s="1"/>
  <c r="B3503" i="10" s="1"/>
  <c r="B3504" i="10" s="1"/>
  <c r="B3505" i="10" s="1"/>
  <c r="B3506" i="10" s="1"/>
  <c r="B3507" i="10" s="1"/>
  <c r="B3508" i="10" s="1"/>
  <c r="B3509" i="10" s="1"/>
  <c r="B3510" i="10" s="1"/>
  <c r="B3511" i="10" s="1"/>
  <c r="B3512" i="10" s="1"/>
  <c r="B3513" i="10" s="1"/>
  <c r="B3514" i="10" s="1"/>
  <c r="B3515" i="10" s="1"/>
  <c r="B3516" i="10" s="1"/>
  <c r="B3517" i="10" s="1"/>
  <c r="B3518" i="10" s="1"/>
  <c r="B3519" i="10" s="1"/>
  <c r="B3520" i="10" s="1"/>
  <c r="B3521" i="10" s="1"/>
  <c r="B3522" i="10" s="1"/>
  <c r="B3523" i="10" s="1"/>
  <c r="B3524" i="10" s="1"/>
  <c r="B3525" i="10" s="1"/>
  <c r="B3526" i="10" s="1"/>
  <c r="B3527" i="10" s="1"/>
  <c r="B3528" i="10" s="1"/>
  <c r="B3529" i="10" s="1"/>
  <c r="B3530" i="10" s="1"/>
  <c r="B3531" i="10" s="1"/>
  <c r="B3532" i="10" s="1"/>
  <c r="B3533" i="10" s="1"/>
  <c r="B3534" i="10" s="1"/>
  <c r="E3498" i="10"/>
  <c r="F3498" i="10" s="1"/>
  <c r="E3480" i="10"/>
  <c r="F3480" i="10" s="1"/>
  <c r="E3479" i="10"/>
  <c r="F3479" i="10" s="1"/>
  <c r="E3478" i="10"/>
  <c r="F3478" i="10" s="1"/>
  <c r="E3477" i="10"/>
  <c r="F3477" i="10" s="1"/>
  <c r="E3476" i="10"/>
  <c r="F3476" i="10" s="1"/>
  <c r="E3475" i="10"/>
  <c r="F3475" i="10" s="1"/>
  <c r="E3474" i="10"/>
  <c r="F3474" i="10" s="1"/>
  <c r="E3473" i="10"/>
  <c r="F3473" i="10" s="1"/>
  <c r="E3472" i="10"/>
  <c r="F3472" i="10" s="1"/>
  <c r="E3471" i="10"/>
  <c r="F3471" i="10" s="1"/>
  <c r="E3470" i="10"/>
  <c r="F3470" i="10" s="1"/>
  <c r="E3469" i="10"/>
  <c r="F3469" i="10" s="1"/>
  <c r="E3468" i="10"/>
  <c r="F3468" i="10" s="1"/>
  <c r="E3467" i="10"/>
  <c r="F3467" i="10" s="1"/>
  <c r="E3466" i="10"/>
  <c r="F3466" i="10" s="1"/>
  <c r="E3465" i="10"/>
  <c r="F3465" i="10" s="1"/>
  <c r="E3464" i="10"/>
  <c r="F3464" i="10" s="1"/>
  <c r="E3463" i="10"/>
  <c r="F3463" i="10" s="1"/>
  <c r="E3462" i="10"/>
  <c r="F3462" i="10" s="1"/>
  <c r="E3461" i="10"/>
  <c r="F3461" i="10" s="1"/>
  <c r="B3461" i="10"/>
  <c r="B3462" i="10" s="1"/>
  <c r="B3463" i="10" s="1"/>
  <c r="B3464" i="10" s="1"/>
  <c r="B3465" i="10" s="1"/>
  <c r="B3466" i="10" s="1"/>
  <c r="B3467" i="10" s="1"/>
  <c r="B3468" i="10" s="1"/>
  <c r="B3469" i="10" s="1"/>
  <c r="B3470" i="10" s="1"/>
  <c r="B3471" i="10" s="1"/>
  <c r="B3472" i="10" s="1"/>
  <c r="B3473" i="10" s="1"/>
  <c r="B3474" i="10" s="1"/>
  <c r="B3475" i="10" s="1"/>
  <c r="B3476" i="10" s="1"/>
  <c r="B3477" i="10" s="1"/>
  <c r="B3478" i="10" s="1"/>
  <c r="B3479" i="10" s="1"/>
  <c r="B3480" i="10" s="1"/>
  <c r="B3481" i="10" s="1"/>
  <c r="B3482" i="10" s="1"/>
  <c r="B3483" i="10" s="1"/>
  <c r="B3484" i="10" s="1"/>
  <c r="B3485" i="10" s="1"/>
  <c r="B3486" i="10" s="1"/>
  <c r="B3487" i="10" s="1"/>
  <c r="B3488" i="10" s="1"/>
  <c r="B3489" i="10" s="1"/>
  <c r="B3490" i="10" s="1"/>
  <c r="B3491" i="10" s="1"/>
  <c r="B3492" i="10" s="1"/>
  <c r="B3493" i="10" s="1"/>
  <c r="B3494" i="10" s="1"/>
  <c r="B3495" i="10" s="1"/>
  <c r="B3496" i="10" s="1"/>
  <c r="E3460" i="10"/>
  <c r="F3460" i="10" s="1"/>
  <c r="E3442" i="10"/>
  <c r="F3442" i="10" s="1"/>
  <c r="E3441" i="10"/>
  <c r="F3441" i="10" s="1"/>
  <c r="E3440" i="10"/>
  <c r="F3440" i="10" s="1"/>
  <c r="E3439" i="10"/>
  <c r="F3439" i="10" s="1"/>
  <c r="E3438" i="10"/>
  <c r="F3438" i="10" s="1"/>
  <c r="E3437" i="10"/>
  <c r="F3437" i="10" s="1"/>
  <c r="E3436" i="10"/>
  <c r="F3436" i="10" s="1"/>
  <c r="E3435" i="10"/>
  <c r="F3435" i="10" s="1"/>
  <c r="E3434" i="10"/>
  <c r="F3434" i="10" s="1"/>
  <c r="E3433" i="10"/>
  <c r="F3433" i="10" s="1"/>
  <c r="E3432" i="10"/>
  <c r="F3432" i="10" s="1"/>
  <c r="E3431" i="10"/>
  <c r="F3431" i="10" s="1"/>
  <c r="E3430" i="10"/>
  <c r="F3430" i="10" s="1"/>
  <c r="E3429" i="10"/>
  <c r="F3429" i="10" s="1"/>
  <c r="E3428" i="10"/>
  <c r="F3428" i="10" s="1"/>
  <c r="E3427" i="10"/>
  <c r="F3427" i="10" s="1"/>
  <c r="E3426" i="10"/>
  <c r="F3426" i="10" s="1"/>
  <c r="E3425" i="10"/>
  <c r="F3425" i="10" s="1"/>
  <c r="E3424" i="10"/>
  <c r="F3424" i="10" s="1"/>
  <c r="E3423" i="10"/>
  <c r="F3423" i="10" s="1"/>
  <c r="B3423" i="10"/>
  <c r="B3424" i="10" s="1"/>
  <c r="B3425" i="10" s="1"/>
  <c r="B3426" i="10" s="1"/>
  <c r="B3427" i="10" s="1"/>
  <c r="B3428" i="10" s="1"/>
  <c r="B3429" i="10" s="1"/>
  <c r="B3430" i="10" s="1"/>
  <c r="B3431" i="10" s="1"/>
  <c r="B3432" i="10" s="1"/>
  <c r="B3433" i="10" s="1"/>
  <c r="B3434" i="10" s="1"/>
  <c r="B3435" i="10" s="1"/>
  <c r="B3436" i="10" s="1"/>
  <c r="B3437" i="10" s="1"/>
  <c r="B3438" i="10" s="1"/>
  <c r="B3439" i="10" s="1"/>
  <c r="B3440" i="10" s="1"/>
  <c r="B3441" i="10" s="1"/>
  <c r="B3442" i="10" s="1"/>
  <c r="B3443" i="10" s="1"/>
  <c r="B3444" i="10" s="1"/>
  <c r="B3445" i="10" s="1"/>
  <c r="B3446" i="10" s="1"/>
  <c r="B3447" i="10" s="1"/>
  <c r="B3448" i="10" s="1"/>
  <c r="B3449" i="10" s="1"/>
  <c r="B3450" i="10" s="1"/>
  <c r="B3451" i="10" s="1"/>
  <c r="B3452" i="10" s="1"/>
  <c r="B3453" i="10" s="1"/>
  <c r="B3454" i="10" s="1"/>
  <c r="B3455" i="10" s="1"/>
  <c r="B3456" i="10" s="1"/>
  <c r="B3457" i="10" s="1"/>
  <c r="B3458" i="10" s="1"/>
  <c r="E3422" i="10"/>
  <c r="F3422" i="10" s="1"/>
  <c r="E3404" i="10"/>
  <c r="F3404" i="10" s="1"/>
  <c r="E3403" i="10"/>
  <c r="F3403" i="10" s="1"/>
  <c r="E3402" i="10"/>
  <c r="F3402" i="10" s="1"/>
  <c r="E3401" i="10"/>
  <c r="F3401" i="10" s="1"/>
  <c r="E3400" i="10"/>
  <c r="F3400" i="10" s="1"/>
  <c r="E3399" i="10"/>
  <c r="F3399" i="10" s="1"/>
  <c r="E3398" i="10"/>
  <c r="F3398" i="10" s="1"/>
  <c r="E3397" i="10"/>
  <c r="F3397" i="10" s="1"/>
  <c r="E3396" i="10"/>
  <c r="F3396" i="10" s="1"/>
  <c r="E3395" i="10"/>
  <c r="F3395" i="10" s="1"/>
  <c r="E3394" i="10"/>
  <c r="F3394" i="10" s="1"/>
  <c r="E3393" i="10"/>
  <c r="F3393" i="10" s="1"/>
  <c r="E3392" i="10"/>
  <c r="F3392" i="10" s="1"/>
  <c r="E3391" i="10"/>
  <c r="F3391" i="10" s="1"/>
  <c r="E3390" i="10"/>
  <c r="F3390" i="10" s="1"/>
  <c r="E3389" i="10"/>
  <c r="F3389" i="10" s="1"/>
  <c r="E3388" i="10"/>
  <c r="F3388" i="10" s="1"/>
  <c r="E3387" i="10"/>
  <c r="F3387" i="10" s="1"/>
  <c r="E3386" i="10"/>
  <c r="F3386" i="10" s="1"/>
  <c r="E3385" i="10"/>
  <c r="F3385" i="10" s="1"/>
  <c r="B3385" i="10"/>
  <c r="B3386" i="10" s="1"/>
  <c r="B3387" i="10" s="1"/>
  <c r="B3388" i="10" s="1"/>
  <c r="B3389" i="10" s="1"/>
  <c r="B3390" i="10" s="1"/>
  <c r="B3391" i="10" s="1"/>
  <c r="B3392" i="10" s="1"/>
  <c r="B3393" i="10" s="1"/>
  <c r="B3394" i="10" s="1"/>
  <c r="B3395" i="10" s="1"/>
  <c r="B3396" i="10" s="1"/>
  <c r="B3397" i="10" s="1"/>
  <c r="B3398" i="10" s="1"/>
  <c r="B3399" i="10" s="1"/>
  <c r="B3400" i="10" s="1"/>
  <c r="B3401" i="10" s="1"/>
  <c r="B3402" i="10" s="1"/>
  <c r="B3403" i="10" s="1"/>
  <c r="B3404" i="10" s="1"/>
  <c r="B3405" i="10" s="1"/>
  <c r="B3406" i="10" s="1"/>
  <c r="B3407" i="10" s="1"/>
  <c r="B3408" i="10" s="1"/>
  <c r="B3409" i="10" s="1"/>
  <c r="B3410" i="10" s="1"/>
  <c r="B3411" i="10" s="1"/>
  <c r="B3412" i="10" s="1"/>
  <c r="B3413" i="10" s="1"/>
  <c r="B3414" i="10" s="1"/>
  <c r="B3415" i="10" s="1"/>
  <c r="B3416" i="10" s="1"/>
  <c r="B3417" i="10" s="1"/>
  <c r="B3418" i="10" s="1"/>
  <c r="B3419" i="10" s="1"/>
  <c r="B3420" i="10" s="1"/>
  <c r="E3384" i="10"/>
  <c r="F3384" i="10" s="1"/>
  <c r="E3383" i="10"/>
  <c r="E3366" i="10"/>
  <c r="F3366" i="10" s="1"/>
  <c r="E3365" i="10"/>
  <c r="F3365" i="10" s="1"/>
  <c r="E3364" i="10"/>
  <c r="F3364" i="10" s="1"/>
  <c r="E3363" i="10"/>
  <c r="F3363" i="10" s="1"/>
  <c r="E3362" i="10"/>
  <c r="F3362" i="10" s="1"/>
  <c r="E3361" i="10"/>
  <c r="F3361" i="10" s="1"/>
  <c r="E3360" i="10"/>
  <c r="F3360" i="10" s="1"/>
  <c r="E3359" i="10"/>
  <c r="F3359" i="10" s="1"/>
  <c r="E3358" i="10"/>
  <c r="F3358" i="10" s="1"/>
  <c r="E3357" i="10"/>
  <c r="F3357" i="10" s="1"/>
  <c r="E3356" i="10"/>
  <c r="F3356" i="10" s="1"/>
  <c r="E3355" i="10"/>
  <c r="F3355" i="10" s="1"/>
  <c r="E3354" i="10"/>
  <c r="F3354" i="10" s="1"/>
  <c r="E3353" i="10"/>
  <c r="F3353" i="10" s="1"/>
  <c r="E3352" i="10"/>
  <c r="F3352" i="10" s="1"/>
  <c r="E3351" i="10"/>
  <c r="F3351" i="10" s="1"/>
  <c r="E3350" i="10"/>
  <c r="F3350" i="10" s="1"/>
  <c r="E3349" i="10"/>
  <c r="F3349" i="10" s="1"/>
  <c r="E3348" i="10"/>
  <c r="F3348" i="10" s="1"/>
  <c r="E3347" i="10"/>
  <c r="F3347" i="10" s="1"/>
  <c r="B3347" i="10"/>
  <c r="B3348" i="10" s="1"/>
  <c r="B3349" i="10" s="1"/>
  <c r="B3350" i="10" s="1"/>
  <c r="B3351" i="10" s="1"/>
  <c r="B3352" i="10" s="1"/>
  <c r="B3353" i="10" s="1"/>
  <c r="B3354" i="10" s="1"/>
  <c r="B3355" i="10" s="1"/>
  <c r="B3356" i="10" s="1"/>
  <c r="B3357" i="10" s="1"/>
  <c r="B3358" i="10" s="1"/>
  <c r="B3359" i="10" s="1"/>
  <c r="B3360" i="10" s="1"/>
  <c r="B3361" i="10" s="1"/>
  <c r="B3362" i="10" s="1"/>
  <c r="B3363" i="10" s="1"/>
  <c r="B3364" i="10" s="1"/>
  <c r="B3365" i="10" s="1"/>
  <c r="B3366" i="10" s="1"/>
  <c r="B3367" i="10" s="1"/>
  <c r="B3368" i="10" s="1"/>
  <c r="B3369" i="10" s="1"/>
  <c r="B3370" i="10" s="1"/>
  <c r="B3371" i="10" s="1"/>
  <c r="B3372" i="10" s="1"/>
  <c r="B3373" i="10" s="1"/>
  <c r="B3374" i="10" s="1"/>
  <c r="B3375" i="10" s="1"/>
  <c r="B3376" i="10" s="1"/>
  <c r="B3377" i="10" s="1"/>
  <c r="B3378" i="10" s="1"/>
  <c r="B3379" i="10" s="1"/>
  <c r="B3380" i="10" s="1"/>
  <c r="B3381" i="10" s="1"/>
  <c r="B3382" i="10" s="1"/>
  <c r="E3346" i="10"/>
  <c r="F3346" i="10" s="1"/>
  <c r="E3345" i="10"/>
  <c r="E3328" i="10"/>
  <c r="F3328" i="10" s="1"/>
  <c r="I3328" i="10" s="1"/>
  <c r="E3327" i="10"/>
  <c r="F3327" i="10" s="1"/>
  <c r="I3327" i="10" s="1"/>
  <c r="E3326" i="10"/>
  <c r="F3326" i="10" s="1"/>
  <c r="I3326" i="10" s="1"/>
  <c r="E3325" i="10"/>
  <c r="F3325" i="10" s="1"/>
  <c r="I3325" i="10" s="1"/>
  <c r="E3324" i="10"/>
  <c r="F3324" i="10" s="1"/>
  <c r="I3324" i="10" s="1"/>
  <c r="E3323" i="10"/>
  <c r="F3323" i="10" s="1"/>
  <c r="I3323" i="10" s="1"/>
  <c r="E3322" i="10"/>
  <c r="F3322" i="10" s="1"/>
  <c r="I3322" i="10" s="1"/>
  <c r="E3321" i="10"/>
  <c r="F3321" i="10" s="1"/>
  <c r="I3321" i="10" s="1"/>
  <c r="E3320" i="10"/>
  <c r="F3320" i="10" s="1"/>
  <c r="I3320" i="10" s="1"/>
  <c r="E3319" i="10"/>
  <c r="F3319" i="10" s="1"/>
  <c r="I3319" i="10" s="1"/>
  <c r="E3318" i="10"/>
  <c r="F3318" i="10" s="1"/>
  <c r="I3318" i="10" s="1"/>
  <c r="E3317" i="10"/>
  <c r="F3317" i="10" s="1"/>
  <c r="I3317" i="10" s="1"/>
  <c r="E3316" i="10"/>
  <c r="F3316" i="10" s="1"/>
  <c r="I3316" i="10" s="1"/>
  <c r="E3315" i="10"/>
  <c r="F3315" i="10" s="1"/>
  <c r="I3315" i="10" s="1"/>
  <c r="E3314" i="10"/>
  <c r="F3314" i="10" s="1"/>
  <c r="I3314" i="10" s="1"/>
  <c r="E3313" i="10"/>
  <c r="F3313" i="10" s="1"/>
  <c r="I3313" i="10" s="1"/>
  <c r="E3312" i="10"/>
  <c r="F3312" i="10" s="1"/>
  <c r="I3312" i="10" s="1"/>
  <c r="E3311" i="10"/>
  <c r="F3311" i="10" s="1"/>
  <c r="I3311" i="10" s="1"/>
  <c r="E3310" i="10"/>
  <c r="F3310" i="10" s="1"/>
  <c r="I3310" i="10" s="1"/>
  <c r="E3309" i="10"/>
  <c r="F3309" i="10" s="1"/>
  <c r="I3309" i="10" s="1"/>
  <c r="B3309" i="10"/>
  <c r="B3310" i="10" s="1"/>
  <c r="B3311" i="10" s="1"/>
  <c r="B3312" i="10" s="1"/>
  <c r="B3313" i="10" s="1"/>
  <c r="B3314" i="10" s="1"/>
  <c r="B3315" i="10" s="1"/>
  <c r="B3316" i="10" s="1"/>
  <c r="B3317" i="10" s="1"/>
  <c r="B3318" i="10" s="1"/>
  <c r="B3319" i="10" s="1"/>
  <c r="B3320" i="10" s="1"/>
  <c r="B3321" i="10" s="1"/>
  <c r="B3322" i="10" s="1"/>
  <c r="B3323" i="10" s="1"/>
  <c r="B3324" i="10" s="1"/>
  <c r="B3325" i="10" s="1"/>
  <c r="B3326" i="10" s="1"/>
  <c r="B3327" i="10" s="1"/>
  <c r="B3328" i="10" s="1"/>
  <c r="B3329" i="10" s="1"/>
  <c r="B3330" i="10" s="1"/>
  <c r="B3331" i="10" s="1"/>
  <c r="B3332" i="10" s="1"/>
  <c r="B3333" i="10" s="1"/>
  <c r="B3334" i="10" s="1"/>
  <c r="B3335" i="10" s="1"/>
  <c r="B3336" i="10" s="1"/>
  <c r="B3337" i="10" s="1"/>
  <c r="B3338" i="10" s="1"/>
  <c r="B3339" i="10" s="1"/>
  <c r="B3340" i="10" s="1"/>
  <c r="B3341" i="10" s="1"/>
  <c r="B3342" i="10" s="1"/>
  <c r="B3343" i="10" s="1"/>
  <c r="B3344" i="10" s="1"/>
  <c r="E3308" i="10"/>
  <c r="F3308" i="10" s="1"/>
  <c r="I3308" i="10" s="1"/>
  <c r="E3307" i="10"/>
  <c r="E3290" i="10"/>
  <c r="F3290" i="10" s="1"/>
  <c r="E3289" i="10"/>
  <c r="F3289" i="10" s="1"/>
  <c r="E3288" i="10"/>
  <c r="F3288" i="10" s="1"/>
  <c r="E3287" i="10"/>
  <c r="F3287" i="10" s="1"/>
  <c r="E3286" i="10"/>
  <c r="F3286" i="10" s="1"/>
  <c r="E3285" i="10"/>
  <c r="F3285" i="10" s="1"/>
  <c r="E3284" i="10"/>
  <c r="F3284" i="10" s="1"/>
  <c r="E3283" i="10"/>
  <c r="F3283" i="10" s="1"/>
  <c r="E3282" i="10"/>
  <c r="F3282" i="10" s="1"/>
  <c r="E3281" i="10"/>
  <c r="F3281" i="10" s="1"/>
  <c r="E3280" i="10"/>
  <c r="F3280" i="10" s="1"/>
  <c r="E3279" i="10"/>
  <c r="F3279" i="10" s="1"/>
  <c r="E3278" i="10"/>
  <c r="F3278" i="10" s="1"/>
  <c r="E3277" i="10"/>
  <c r="F3277" i="10" s="1"/>
  <c r="E3276" i="10"/>
  <c r="F3276" i="10" s="1"/>
  <c r="E3275" i="10"/>
  <c r="F3275" i="10" s="1"/>
  <c r="E3274" i="10"/>
  <c r="F3274" i="10" s="1"/>
  <c r="E3273" i="10"/>
  <c r="F3273" i="10" s="1"/>
  <c r="E3272" i="10"/>
  <c r="F3272" i="10" s="1"/>
  <c r="E3271" i="10"/>
  <c r="F3271" i="10" s="1"/>
  <c r="B3271" i="10"/>
  <c r="B3272" i="10" s="1"/>
  <c r="B3273" i="10" s="1"/>
  <c r="B3274" i="10" s="1"/>
  <c r="B3275" i="10" s="1"/>
  <c r="B3276" i="10" s="1"/>
  <c r="B3277" i="10" s="1"/>
  <c r="B3278" i="10" s="1"/>
  <c r="B3279" i="10" s="1"/>
  <c r="B3280" i="10" s="1"/>
  <c r="B3281" i="10" s="1"/>
  <c r="B3282" i="10" s="1"/>
  <c r="B3283" i="10" s="1"/>
  <c r="B3284" i="10" s="1"/>
  <c r="B3285" i="10" s="1"/>
  <c r="B3286" i="10" s="1"/>
  <c r="B3287" i="10" s="1"/>
  <c r="B3288" i="10" s="1"/>
  <c r="B3289" i="10" s="1"/>
  <c r="B3290" i="10" s="1"/>
  <c r="B3291" i="10" s="1"/>
  <c r="B3292" i="10" s="1"/>
  <c r="B3293" i="10" s="1"/>
  <c r="B3294" i="10" s="1"/>
  <c r="B3295" i="10" s="1"/>
  <c r="B3296" i="10" s="1"/>
  <c r="B3297" i="10" s="1"/>
  <c r="B3298" i="10" s="1"/>
  <c r="B3299" i="10" s="1"/>
  <c r="B3300" i="10" s="1"/>
  <c r="B3301" i="10" s="1"/>
  <c r="B3302" i="10" s="1"/>
  <c r="B3303" i="10" s="1"/>
  <c r="B3304" i="10" s="1"/>
  <c r="B3305" i="10" s="1"/>
  <c r="B3306" i="10" s="1"/>
  <c r="E3270" i="10"/>
  <c r="F3270" i="10" s="1"/>
  <c r="E3269" i="10"/>
  <c r="E3252" i="10"/>
  <c r="F3252" i="10" s="1"/>
  <c r="E3251" i="10"/>
  <c r="F3251" i="10" s="1"/>
  <c r="E3250" i="10"/>
  <c r="F3250" i="10" s="1"/>
  <c r="E3249" i="10"/>
  <c r="F3249" i="10" s="1"/>
  <c r="E3248" i="10"/>
  <c r="F3248" i="10" s="1"/>
  <c r="E3247" i="10"/>
  <c r="F3247" i="10" s="1"/>
  <c r="E3246" i="10"/>
  <c r="F3246" i="10" s="1"/>
  <c r="E3245" i="10"/>
  <c r="F3245" i="10" s="1"/>
  <c r="E3244" i="10"/>
  <c r="F3244" i="10" s="1"/>
  <c r="E3243" i="10"/>
  <c r="F3243" i="10" s="1"/>
  <c r="E3242" i="10"/>
  <c r="F3242" i="10" s="1"/>
  <c r="E3241" i="10"/>
  <c r="F3241" i="10" s="1"/>
  <c r="E3240" i="10"/>
  <c r="F3240" i="10" s="1"/>
  <c r="E3239" i="10"/>
  <c r="F3239" i="10" s="1"/>
  <c r="E3238" i="10"/>
  <c r="F3238" i="10" s="1"/>
  <c r="E3237" i="10"/>
  <c r="F3237" i="10" s="1"/>
  <c r="E3236" i="10"/>
  <c r="F3236" i="10" s="1"/>
  <c r="E3235" i="10"/>
  <c r="F3235" i="10" s="1"/>
  <c r="E3234" i="10"/>
  <c r="F3234" i="10" s="1"/>
  <c r="E3233" i="10"/>
  <c r="F3233" i="10" s="1"/>
  <c r="B3233" i="10"/>
  <c r="B3234" i="10" s="1"/>
  <c r="B3235" i="10" s="1"/>
  <c r="B3236" i="10" s="1"/>
  <c r="B3237" i="10" s="1"/>
  <c r="B3238" i="10" s="1"/>
  <c r="B3239" i="10" s="1"/>
  <c r="B3240" i="10" s="1"/>
  <c r="B3241" i="10" s="1"/>
  <c r="B3242" i="10" s="1"/>
  <c r="B3243" i="10" s="1"/>
  <c r="B3244" i="10" s="1"/>
  <c r="B3245" i="10" s="1"/>
  <c r="B3246" i="10" s="1"/>
  <c r="B3247" i="10" s="1"/>
  <c r="B3248" i="10" s="1"/>
  <c r="B3249" i="10" s="1"/>
  <c r="B3250" i="10" s="1"/>
  <c r="B3251" i="10" s="1"/>
  <c r="B3252" i="10" s="1"/>
  <c r="B3253" i="10" s="1"/>
  <c r="B3254" i="10" s="1"/>
  <c r="B3255" i="10" s="1"/>
  <c r="B3256" i="10" s="1"/>
  <c r="B3257" i="10" s="1"/>
  <c r="B3258" i="10" s="1"/>
  <c r="B3259" i="10" s="1"/>
  <c r="B3260" i="10" s="1"/>
  <c r="B3261" i="10" s="1"/>
  <c r="B3262" i="10" s="1"/>
  <c r="B3263" i="10" s="1"/>
  <c r="B3264" i="10" s="1"/>
  <c r="B3265" i="10" s="1"/>
  <c r="B3266" i="10" s="1"/>
  <c r="B3267" i="10" s="1"/>
  <c r="B3268" i="10" s="1"/>
  <c r="E3232" i="10"/>
  <c r="F3232" i="10" s="1"/>
  <c r="E3231" i="10"/>
  <c r="E3214" i="10"/>
  <c r="F3214" i="10" s="1"/>
  <c r="E3213" i="10"/>
  <c r="F3213" i="10" s="1"/>
  <c r="E3212" i="10"/>
  <c r="F3212" i="10" s="1"/>
  <c r="E3211" i="10"/>
  <c r="F3211" i="10" s="1"/>
  <c r="E3210" i="10"/>
  <c r="F3210" i="10" s="1"/>
  <c r="E3209" i="10"/>
  <c r="F3209" i="10" s="1"/>
  <c r="E3208" i="10"/>
  <c r="F3208" i="10" s="1"/>
  <c r="E3207" i="10"/>
  <c r="F3207" i="10" s="1"/>
  <c r="E3206" i="10"/>
  <c r="F3206" i="10" s="1"/>
  <c r="E3205" i="10"/>
  <c r="F3205" i="10" s="1"/>
  <c r="E3204" i="10"/>
  <c r="F3204" i="10" s="1"/>
  <c r="E3203" i="10"/>
  <c r="F3203" i="10" s="1"/>
  <c r="E3202" i="10"/>
  <c r="F3202" i="10" s="1"/>
  <c r="E3201" i="10"/>
  <c r="F3201" i="10" s="1"/>
  <c r="E3200" i="10"/>
  <c r="F3200" i="10" s="1"/>
  <c r="E3199" i="10"/>
  <c r="F3199" i="10" s="1"/>
  <c r="E3198" i="10"/>
  <c r="F3198" i="10" s="1"/>
  <c r="E3197" i="10"/>
  <c r="F3197" i="10" s="1"/>
  <c r="E3196" i="10"/>
  <c r="F3196" i="10" s="1"/>
  <c r="E3195" i="10"/>
  <c r="F3195" i="10" s="1"/>
  <c r="B3195" i="10"/>
  <c r="B3196" i="10" s="1"/>
  <c r="B3197" i="10" s="1"/>
  <c r="B3198" i="10" s="1"/>
  <c r="B3199" i="10" s="1"/>
  <c r="B3200" i="10" s="1"/>
  <c r="B3201" i="10" s="1"/>
  <c r="B3202" i="10" s="1"/>
  <c r="B3203" i="10" s="1"/>
  <c r="B3204" i="10" s="1"/>
  <c r="B3205" i="10" s="1"/>
  <c r="B3206" i="10" s="1"/>
  <c r="B3207" i="10" s="1"/>
  <c r="B3208" i="10" s="1"/>
  <c r="B3209" i="10" s="1"/>
  <c r="B3210" i="10" s="1"/>
  <c r="B3211" i="10" s="1"/>
  <c r="B3212" i="10" s="1"/>
  <c r="B3213" i="10" s="1"/>
  <c r="B3214" i="10" s="1"/>
  <c r="B3215" i="10" s="1"/>
  <c r="B3216" i="10" s="1"/>
  <c r="B3217" i="10" s="1"/>
  <c r="B3218" i="10" s="1"/>
  <c r="B3219" i="10" s="1"/>
  <c r="B3220" i="10" s="1"/>
  <c r="B3221" i="10" s="1"/>
  <c r="B3222" i="10" s="1"/>
  <c r="B3223" i="10" s="1"/>
  <c r="B3224" i="10" s="1"/>
  <c r="B3225" i="10" s="1"/>
  <c r="B3226" i="10" s="1"/>
  <c r="B3227" i="10" s="1"/>
  <c r="B3228" i="10" s="1"/>
  <c r="B3229" i="10" s="1"/>
  <c r="B3230" i="10" s="1"/>
  <c r="E3194" i="10"/>
  <c r="F3194" i="10" s="1"/>
  <c r="E3176" i="10"/>
  <c r="F3176" i="10" s="1"/>
  <c r="I3176" i="10" s="1"/>
  <c r="E3175" i="10"/>
  <c r="F3175" i="10" s="1"/>
  <c r="I3175" i="10" s="1"/>
  <c r="E3174" i="10"/>
  <c r="F3174" i="10" s="1"/>
  <c r="I3174" i="10" s="1"/>
  <c r="E3173" i="10"/>
  <c r="F3173" i="10" s="1"/>
  <c r="I3173" i="10" s="1"/>
  <c r="E3172" i="10"/>
  <c r="F3172" i="10" s="1"/>
  <c r="I3172" i="10" s="1"/>
  <c r="E3171" i="10"/>
  <c r="F3171" i="10" s="1"/>
  <c r="I3171" i="10" s="1"/>
  <c r="E3170" i="10"/>
  <c r="F3170" i="10" s="1"/>
  <c r="I3170" i="10" s="1"/>
  <c r="E3169" i="10"/>
  <c r="F3169" i="10" s="1"/>
  <c r="I3169" i="10" s="1"/>
  <c r="E3168" i="10"/>
  <c r="F3168" i="10" s="1"/>
  <c r="I3168" i="10" s="1"/>
  <c r="E3167" i="10"/>
  <c r="F3167" i="10" s="1"/>
  <c r="I3167" i="10" s="1"/>
  <c r="E3166" i="10"/>
  <c r="F3166" i="10" s="1"/>
  <c r="I3166" i="10" s="1"/>
  <c r="E3165" i="10"/>
  <c r="F3165" i="10" s="1"/>
  <c r="I3165" i="10" s="1"/>
  <c r="E3164" i="10"/>
  <c r="F3164" i="10" s="1"/>
  <c r="I3164" i="10" s="1"/>
  <c r="E3163" i="10"/>
  <c r="F3163" i="10" s="1"/>
  <c r="I3163" i="10" s="1"/>
  <c r="E3162" i="10"/>
  <c r="F3162" i="10" s="1"/>
  <c r="I3162" i="10" s="1"/>
  <c r="E3161" i="10"/>
  <c r="F3161" i="10" s="1"/>
  <c r="I3161" i="10" s="1"/>
  <c r="E3160" i="10"/>
  <c r="F3160" i="10" s="1"/>
  <c r="I3160" i="10" s="1"/>
  <c r="E3159" i="10"/>
  <c r="F3159" i="10" s="1"/>
  <c r="I3159" i="10" s="1"/>
  <c r="E3158" i="10"/>
  <c r="F3158" i="10" s="1"/>
  <c r="I3158" i="10" s="1"/>
  <c r="E3157" i="10"/>
  <c r="F3157" i="10" s="1"/>
  <c r="I3157" i="10" s="1"/>
  <c r="B3157" i="10"/>
  <c r="B3158" i="10" s="1"/>
  <c r="B3159" i="10" s="1"/>
  <c r="B3160" i="10" s="1"/>
  <c r="B3161" i="10" s="1"/>
  <c r="B3162" i="10" s="1"/>
  <c r="B3163" i="10" s="1"/>
  <c r="B3164" i="10" s="1"/>
  <c r="B3165" i="10" s="1"/>
  <c r="B3166" i="10" s="1"/>
  <c r="B3167" i="10" s="1"/>
  <c r="B3168" i="10" s="1"/>
  <c r="B3169" i="10" s="1"/>
  <c r="B3170" i="10" s="1"/>
  <c r="B3171" i="10" s="1"/>
  <c r="B3172" i="10" s="1"/>
  <c r="B3173" i="10" s="1"/>
  <c r="B3174" i="10" s="1"/>
  <c r="B3175" i="10" s="1"/>
  <c r="B3176" i="10" s="1"/>
  <c r="B3177" i="10" s="1"/>
  <c r="B3178" i="10" s="1"/>
  <c r="B3179" i="10" s="1"/>
  <c r="B3180" i="10" s="1"/>
  <c r="B3181" i="10" s="1"/>
  <c r="B3182" i="10" s="1"/>
  <c r="B3183" i="10" s="1"/>
  <c r="B3184" i="10" s="1"/>
  <c r="B3185" i="10" s="1"/>
  <c r="B3186" i="10" s="1"/>
  <c r="B3187" i="10" s="1"/>
  <c r="B3188" i="10" s="1"/>
  <c r="B3189" i="10" s="1"/>
  <c r="B3190" i="10" s="1"/>
  <c r="B3191" i="10" s="1"/>
  <c r="B3192" i="10" s="1"/>
  <c r="E3156" i="10"/>
  <c r="F3156" i="10" s="1"/>
  <c r="I3156" i="10" s="1"/>
  <c r="E3138" i="10"/>
  <c r="F3138" i="10" s="1"/>
  <c r="E3137" i="10"/>
  <c r="F3137" i="10" s="1"/>
  <c r="E3136" i="10"/>
  <c r="F3136" i="10" s="1"/>
  <c r="E3135" i="10"/>
  <c r="F3135" i="10" s="1"/>
  <c r="E3134" i="10"/>
  <c r="F3134" i="10" s="1"/>
  <c r="E3133" i="10"/>
  <c r="F3133" i="10" s="1"/>
  <c r="E3132" i="10"/>
  <c r="F3132" i="10" s="1"/>
  <c r="E3131" i="10"/>
  <c r="F3131" i="10" s="1"/>
  <c r="E3130" i="10"/>
  <c r="F3130" i="10" s="1"/>
  <c r="E3129" i="10"/>
  <c r="F3129" i="10" s="1"/>
  <c r="E3128" i="10"/>
  <c r="F3128" i="10" s="1"/>
  <c r="E3127" i="10"/>
  <c r="F3127" i="10" s="1"/>
  <c r="E3126" i="10"/>
  <c r="F3126" i="10" s="1"/>
  <c r="E3125" i="10"/>
  <c r="F3125" i="10" s="1"/>
  <c r="E3124" i="10"/>
  <c r="F3124" i="10" s="1"/>
  <c r="E3123" i="10"/>
  <c r="F3123" i="10" s="1"/>
  <c r="E3122" i="10"/>
  <c r="F3122" i="10" s="1"/>
  <c r="E3121" i="10"/>
  <c r="F3121" i="10" s="1"/>
  <c r="E3120" i="10"/>
  <c r="F3120" i="10" s="1"/>
  <c r="E3119" i="10"/>
  <c r="F3119" i="10" s="1"/>
  <c r="B3119" i="10"/>
  <c r="B3120" i="10" s="1"/>
  <c r="B3121" i="10" s="1"/>
  <c r="B3122" i="10" s="1"/>
  <c r="B3123" i="10" s="1"/>
  <c r="B3124" i="10" s="1"/>
  <c r="B3125" i="10" s="1"/>
  <c r="B3126" i="10" s="1"/>
  <c r="B3127" i="10" s="1"/>
  <c r="B3128" i="10" s="1"/>
  <c r="B3129" i="10" s="1"/>
  <c r="B3130" i="10" s="1"/>
  <c r="B3131" i="10" s="1"/>
  <c r="B3132" i="10" s="1"/>
  <c r="B3133" i="10" s="1"/>
  <c r="B3134" i="10" s="1"/>
  <c r="B3135" i="10" s="1"/>
  <c r="B3136" i="10" s="1"/>
  <c r="B3137" i="10" s="1"/>
  <c r="B3138" i="10" s="1"/>
  <c r="B3139" i="10" s="1"/>
  <c r="B3140" i="10" s="1"/>
  <c r="B3141" i="10" s="1"/>
  <c r="B3142" i="10" s="1"/>
  <c r="B3143" i="10" s="1"/>
  <c r="B3144" i="10" s="1"/>
  <c r="B3145" i="10" s="1"/>
  <c r="B3146" i="10" s="1"/>
  <c r="B3147" i="10" s="1"/>
  <c r="B3148" i="10" s="1"/>
  <c r="B3149" i="10" s="1"/>
  <c r="B3150" i="10" s="1"/>
  <c r="B3151" i="10" s="1"/>
  <c r="B3152" i="10" s="1"/>
  <c r="B3153" i="10" s="1"/>
  <c r="B3154" i="10" s="1"/>
  <c r="E3118" i="10"/>
  <c r="F3118" i="10" s="1"/>
  <c r="E3100" i="10"/>
  <c r="F3100" i="10" s="1"/>
  <c r="E3099" i="10"/>
  <c r="F3099" i="10" s="1"/>
  <c r="E3098" i="10"/>
  <c r="F3098" i="10" s="1"/>
  <c r="E3097" i="10"/>
  <c r="F3097" i="10" s="1"/>
  <c r="E3096" i="10"/>
  <c r="F3096" i="10" s="1"/>
  <c r="E3095" i="10"/>
  <c r="F3095" i="10" s="1"/>
  <c r="E3094" i="10"/>
  <c r="F3094" i="10" s="1"/>
  <c r="E3093" i="10"/>
  <c r="F3093" i="10" s="1"/>
  <c r="E3092" i="10"/>
  <c r="F3092" i="10" s="1"/>
  <c r="E3091" i="10"/>
  <c r="F3091" i="10" s="1"/>
  <c r="E3090" i="10"/>
  <c r="F3090" i="10" s="1"/>
  <c r="E3089" i="10"/>
  <c r="F3089" i="10" s="1"/>
  <c r="E3088" i="10"/>
  <c r="F3088" i="10" s="1"/>
  <c r="E3087" i="10"/>
  <c r="F3087" i="10" s="1"/>
  <c r="E3086" i="10"/>
  <c r="F3086" i="10" s="1"/>
  <c r="E3085" i="10"/>
  <c r="F3085" i="10" s="1"/>
  <c r="E3084" i="10"/>
  <c r="F3084" i="10" s="1"/>
  <c r="E3083" i="10"/>
  <c r="F3083" i="10" s="1"/>
  <c r="E3082" i="10"/>
  <c r="F3082" i="10" s="1"/>
  <c r="E3081" i="10"/>
  <c r="F3081" i="10" s="1"/>
  <c r="B3081" i="10"/>
  <c r="B3082" i="10" s="1"/>
  <c r="B3083" i="10" s="1"/>
  <c r="B3084" i="10" s="1"/>
  <c r="B3085" i="10" s="1"/>
  <c r="B3086" i="10" s="1"/>
  <c r="B3087" i="10" s="1"/>
  <c r="B3088" i="10" s="1"/>
  <c r="B3089" i="10" s="1"/>
  <c r="B3090" i="10" s="1"/>
  <c r="B3091" i="10" s="1"/>
  <c r="B3092" i="10" s="1"/>
  <c r="B3093" i="10" s="1"/>
  <c r="B3094" i="10" s="1"/>
  <c r="B3095" i="10" s="1"/>
  <c r="B3096" i="10" s="1"/>
  <c r="B3097" i="10" s="1"/>
  <c r="B3098" i="10" s="1"/>
  <c r="B3099" i="10" s="1"/>
  <c r="B3100" i="10" s="1"/>
  <c r="B3101" i="10" s="1"/>
  <c r="B3102" i="10" s="1"/>
  <c r="B3103" i="10" s="1"/>
  <c r="B3104" i="10" s="1"/>
  <c r="B3105" i="10" s="1"/>
  <c r="B3106" i="10" s="1"/>
  <c r="B3107" i="10" s="1"/>
  <c r="B3108" i="10" s="1"/>
  <c r="B3109" i="10" s="1"/>
  <c r="B3110" i="10" s="1"/>
  <c r="B3111" i="10" s="1"/>
  <c r="B3112" i="10" s="1"/>
  <c r="B3113" i="10" s="1"/>
  <c r="B3114" i="10" s="1"/>
  <c r="B3115" i="10" s="1"/>
  <c r="B3116" i="10" s="1"/>
  <c r="E3080" i="10"/>
  <c r="F3080" i="10" s="1"/>
  <c r="E3062" i="10"/>
  <c r="F3062" i="10" s="1"/>
  <c r="E3061" i="10"/>
  <c r="F3061" i="10" s="1"/>
  <c r="E3060" i="10"/>
  <c r="F3060" i="10" s="1"/>
  <c r="E3059" i="10"/>
  <c r="F3059" i="10" s="1"/>
  <c r="E3058" i="10"/>
  <c r="F3058" i="10" s="1"/>
  <c r="E3057" i="10"/>
  <c r="F3057" i="10" s="1"/>
  <c r="E3056" i="10"/>
  <c r="F3056" i="10" s="1"/>
  <c r="E3055" i="10"/>
  <c r="F3055" i="10" s="1"/>
  <c r="E3054" i="10"/>
  <c r="F3054" i="10" s="1"/>
  <c r="E3053" i="10"/>
  <c r="F3053" i="10" s="1"/>
  <c r="E3052" i="10"/>
  <c r="F3052" i="10" s="1"/>
  <c r="E3051" i="10"/>
  <c r="F3051" i="10" s="1"/>
  <c r="E3050" i="10"/>
  <c r="F3050" i="10" s="1"/>
  <c r="E3049" i="10"/>
  <c r="F3049" i="10" s="1"/>
  <c r="E3048" i="10"/>
  <c r="F3048" i="10" s="1"/>
  <c r="E3047" i="10"/>
  <c r="F3047" i="10" s="1"/>
  <c r="E3046" i="10"/>
  <c r="F3046" i="10" s="1"/>
  <c r="E3045" i="10"/>
  <c r="F3045" i="10" s="1"/>
  <c r="E3044" i="10"/>
  <c r="F3044" i="10" s="1"/>
  <c r="E3043" i="10"/>
  <c r="F3043" i="10" s="1"/>
  <c r="B3043" i="10"/>
  <c r="B3044" i="10" s="1"/>
  <c r="B3045" i="10" s="1"/>
  <c r="B3046" i="10" s="1"/>
  <c r="B3047" i="10" s="1"/>
  <c r="B3048" i="10" s="1"/>
  <c r="B3049" i="10" s="1"/>
  <c r="B3050" i="10" s="1"/>
  <c r="B3051" i="10" s="1"/>
  <c r="B3052" i="10" s="1"/>
  <c r="B3053" i="10" s="1"/>
  <c r="B3054" i="10" s="1"/>
  <c r="B3055" i="10" s="1"/>
  <c r="B3056" i="10" s="1"/>
  <c r="B3057" i="10" s="1"/>
  <c r="B3058" i="10" s="1"/>
  <c r="B3059" i="10" s="1"/>
  <c r="B3060" i="10" s="1"/>
  <c r="B3061" i="10" s="1"/>
  <c r="B3062" i="10" s="1"/>
  <c r="B3063" i="10" s="1"/>
  <c r="B3064" i="10" s="1"/>
  <c r="B3065" i="10" s="1"/>
  <c r="B3066" i="10" s="1"/>
  <c r="B3067" i="10" s="1"/>
  <c r="B3068" i="10" s="1"/>
  <c r="B3069" i="10" s="1"/>
  <c r="B3070" i="10" s="1"/>
  <c r="B3071" i="10" s="1"/>
  <c r="B3072" i="10" s="1"/>
  <c r="B3073" i="10" s="1"/>
  <c r="B3074" i="10" s="1"/>
  <c r="B3075" i="10" s="1"/>
  <c r="B3076" i="10" s="1"/>
  <c r="B3077" i="10" s="1"/>
  <c r="B3078" i="10" s="1"/>
  <c r="E3042" i="10"/>
  <c r="F3042" i="10" s="1"/>
  <c r="E3024" i="10"/>
  <c r="F3024" i="10" s="1"/>
  <c r="I3024" i="10" s="1"/>
  <c r="E3023" i="10"/>
  <c r="F3023" i="10" s="1"/>
  <c r="I3023" i="10" s="1"/>
  <c r="E3022" i="10"/>
  <c r="F3022" i="10" s="1"/>
  <c r="I3022" i="10" s="1"/>
  <c r="E3021" i="10"/>
  <c r="F3021" i="10" s="1"/>
  <c r="I3021" i="10" s="1"/>
  <c r="E3020" i="10"/>
  <c r="F3020" i="10" s="1"/>
  <c r="I3020" i="10" s="1"/>
  <c r="E3019" i="10"/>
  <c r="F3019" i="10" s="1"/>
  <c r="I3019" i="10" s="1"/>
  <c r="E3018" i="10"/>
  <c r="F3018" i="10" s="1"/>
  <c r="I3018" i="10" s="1"/>
  <c r="E3017" i="10"/>
  <c r="F3017" i="10" s="1"/>
  <c r="I3017" i="10" s="1"/>
  <c r="E3016" i="10"/>
  <c r="F3016" i="10" s="1"/>
  <c r="I3016" i="10" s="1"/>
  <c r="E3015" i="10"/>
  <c r="F3015" i="10" s="1"/>
  <c r="I3015" i="10" s="1"/>
  <c r="E3014" i="10"/>
  <c r="F3014" i="10" s="1"/>
  <c r="I3014" i="10" s="1"/>
  <c r="E3013" i="10"/>
  <c r="F3013" i="10" s="1"/>
  <c r="I3013" i="10" s="1"/>
  <c r="E3012" i="10"/>
  <c r="F3012" i="10" s="1"/>
  <c r="I3012" i="10" s="1"/>
  <c r="E3011" i="10"/>
  <c r="F3011" i="10" s="1"/>
  <c r="I3011" i="10" s="1"/>
  <c r="E3010" i="10"/>
  <c r="F3010" i="10" s="1"/>
  <c r="I3010" i="10" s="1"/>
  <c r="E3009" i="10"/>
  <c r="F3009" i="10" s="1"/>
  <c r="I3009" i="10" s="1"/>
  <c r="E3008" i="10"/>
  <c r="F3008" i="10" s="1"/>
  <c r="I3008" i="10" s="1"/>
  <c r="E3007" i="10"/>
  <c r="F3007" i="10" s="1"/>
  <c r="I3007" i="10" s="1"/>
  <c r="E3006" i="10"/>
  <c r="F3006" i="10" s="1"/>
  <c r="I3006" i="10" s="1"/>
  <c r="E3005" i="10"/>
  <c r="F3005" i="10" s="1"/>
  <c r="I3005" i="10" s="1"/>
  <c r="B3005" i="10"/>
  <c r="B3006" i="10" s="1"/>
  <c r="B3007" i="10" s="1"/>
  <c r="B3008" i="10" s="1"/>
  <c r="B3009" i="10" s="1"/>
  <c r="B3010" i="10" s="1"/>
  <c r="B3011" i="10" s="1"/>
  <c r="B3012" i="10" s="1"/>
  <c r="B3013" i="10" s="1"/>
  <c r="B3014" i="10" s="1"/>
  <c r="B3015" i="10" s="1"/>
  <c r="B3016" i="10" s="1"/>
  <c r="B3017" i="10" s="1"/>
  <c r="B3018" i="10" s="1"/>
  <c r="B3019" i="10" s="1"/>
  <c r="B3020" i="10" s="1"/>
  <c r="B3021" i="10" s="1"/>
  <c r="B3022" i="10" s="1"/>
  <c r="B3023" i="10" s="1"/>
  <c r="B3024" i="10" s="1"/>
  <c r="B3025" i="10" s="1"/>
  <c r="B3026" i="10" s="1"/>
  <c r="B3027" i="10" s="1"/>
  <c r="B3028" i="10" s="1"/>
  <c r="B3029" i="10" s="1"/>
  <c r="B3030" i="10" s="1"/>
  <c r="B3031" i="10" s="1"/>
  <c r="B3032" i="10" s="1"/>
  <c r="B3033" i="10" s="1"/>
  <c r="B3034" i="10" s="1"/>
  <c r="B3035" i="10" s="1"/>
  <c r="B3036" i="10" s="1"/>
  <c r="B3037" i="10" s="1"/>
  <c r="B3038" i="10" s="1"/>
  <c r="B3039" i="10" s="1"/>
  <c r="B3040" i="10" s="1"/>
  <c r="E3004" i="10"/>
  <c r="F3004" i="10" s="1"/>
  <c r="I3004" i="10" s="1"/>
  <c r="E2986" i="10"/>
  <c r="F2986" i="10" s="1"/>
  <c r="I2986" i="10" s="1"/>
  <c r="E2985" i="10"/>
  <c r="F2985" i="10" s="1"/>
  <c r="I2985" i="10" s="1"/>
  <c r="E2984" i="10"/>
  <c r="F2984" i="10" s="1"/>
  <c r="I2984" i="10" s="1"/>
  <c r="E2983" i="10"/>
  <c r="F2983" i="10" s="1"/>
  <c r="I2983" i="10" s="1"/>
  <c r="E2982" i="10"/>
  <c r="F2982" i="10" s="1"/>
  <c r="I2982" i="10" s="1"/>
  <c r="E2981" i="10"/>
  <c r="F2981" i="10" s="1"/>
  <c r="I2981" i="10" s="1"/>
  <c r="E2980" i="10"/>
  <c r="F2980" i="10" s="1"/>
  <c r="I2980" i="10" s="1"/>
  <c r="E2979" i="10"/>
  <c r="F2979" i="10" s="1"/>
  <c r="I2979" i="10" s="1"/>
  <c r="E2978" i="10"/>
  <c r="F2978" i="10" s="1"/>
  <c r="I2978" i="10" s="1"/>
  <c r="E2977" i="10"/>
  <c r="F2977" i="10" s="1"/>
  <c r="I2977" i="10" s="1"/>
  <c r="E2976" i="10"/>
  <c r="F2976" i="10" s="1"/>
  <c r="I2976" i="10" s="1"/>
  <c r="E2975" i="10"/>
  <c r="F2975" i="10" s="1"/>
  <c r="I2975" i="10" s="1"/>
  <c r="E2974" i="10"/>
  <c r="F2974" i="10" s="1"/>
  <c r="I2974" i="10" s="1"/>
  <c r="E2973" i="10"/>
  <c r="F2973" i="10" s="1"/>
  <c r="I2973" i="10" s="1"/>
  <c r="E2972" i="10"/>
  <c r="F2972" i="10" s="1"/>
  <c r="I2972" i="10" s="1"/>
  <c r="E2971" i="10"/>
  <c r="F2971" i="10" s="1"/>
  <c r="I2971" i="10" s="1"/>
  <c r="E2970" i="10"/>
  <c r="F2970" i="10" s="1"/>
  <c r="I2970" i="10" s="1"/>
  <c r="E2969" i="10"/>
  <c r="F2969" i="10" s="1"/>
  <c r="I2969" i="10" s="1"/>
  <c r="E2968" i="10"/>
  <c r="F2968" i="10" s="1"/>
  <c r="I2968" i="10" s="1"/>
  <c r="E2967" i="10"/>
  <c r="F2967" i="10" s="1"/>
  <c r="I2967" i="10" s="1"/>
  <c r="B2967" i="10"/>
  <c r="B2968" i="10" s="1"/>
  <c r="B2969" i="10" s="1"/>
  <c r="B2970" i="10" s="1"/>
  <c r="B2971" i="10" s="1"/>
  <c r="B2972" i="10" s="1"/>
  <c r="B2973" i="10" s="1"/>
  <c r="B2974" i="10" s="1"/>
  <c r="B2975" i="10" s="1"/>
  <c r="B2976" i="10" s="1"/>
  <c r="B2977" i="10" s="1"/>
  <c r="B2978" i="10" s="1"/>
  <c r="B2979" i="10" s="1"/>
  <c r="B2980" i="10" s="1"/>
  <c r="B2981" i="10" s="1"/>
  <c r="B2982" i="10" s="1"/>
  <c r="B2983" i="10" s="1"/>
  <c r="B2984" i="10" s="1"/>
  <c r="B2985" i="10" s="1"/>
  <c r="B2986" i="10" s="1"/>
  <c r="B2987" i="10" s="1"/>
  <c r="B2988" i="10" s="1"/>
  <c r="B2989" i="10" s="1"/>
  <c r="B2990" i="10" s="1"/>
  <c r="B2991" i="10" s="1"/>
  <c r="B2992" i="10" s="1"/>
  <c r="B2993" i="10" s="1"/>
  <c r="B2994" i="10" s="1"/>
  <c r="B2995" i="10" s="1"/>
  <c r="B2996" i="10" s="1"/>
  <c r="B2997" i="10" s="1"/>
  <c r="B2998" i="10" s="1"/>
  <c r="B2999" i="10" s="1"/>
  <c r="B3000" i="10" s="1"/>
  <c r="B3001" i="10" s="1"/>
  <c r="B3002" i="10" s="1"/>
  <c r="E2966" i="10"/>
  <c r="F2966" i="10" s="1"/>
  <c r="I2966" i="10" s="1"/>
  <c r="E2948" i="10"/>
  <c r="F2948" i="10" s="1"/>
  <c r="I2948" i="10" s="1"/>
  <c r="E2947" i="10"/>
  <c r="F2947" i="10" s="1"/>
  <c r="I2947" i="10" s="1"/>
  <c r="E2946" i="10"/>
  <c r="F2946" i="10" s="1"/>
  <c r="I2946" i="10" s="1"/>
  <c r="E2945" i="10"/>
  <c r="F2945" i="10" s="1"/>
  <c r="I2945" i="10" s="1"/>
  <c r="E2944" i="10"/>
  <c r="F2944" i="10" s="1"/>
  <c r="I2944" i="10" s="1"/>
  <c r="E2943" i="10"/>
  <c r="F2943" i="10" s="1"/>
  <c r="I2943" i="10" s="1"/>
  <c r="E2942" i="10"/>
  <c r="F2942" i="10" s="1"/>
  <c r="I2942" i="10" s="1"/>
  <c r="E2941" i="10"/>
  <c r="F2941" i="10" s="1"/>
  <c r="I2941" i="10" s="1"/>
  <c r="E2940" i="10"/>
  <c r="F2940" i="10" s="1"/>
  <c r="I2940" i="10" s="1"/>
  <c r="E2939" i="10"/>
  <c r="F2939" i="10" s="1"/>
  <c r="I2939" i="10" s="1"/>
  <c r="E2938" i="10"/>
  <c r="F2938" i="10" s="1"/>
  <c r="I2938" i="10" s="1"/>
  <c r="E2937" i="10"/>
  <c r="F2937" i="10" s="1"/>
  <c r="I2937" i="10" s="1"/>
  <c r="E2936" i="10"/>
  <c r="F2936" i="10" s="1"/>
  <c r="I2936" i="10" s="1"/>
  <c r="E2935" i="10"/>
  <c r="F2935" i="10" s="1"/>
  <c r="I2935" i="10" s="1"/>
  <c r="E2934" i="10"/>
  <c r="F2934" i="10" s="1"/>
  <c r="I2934" i="10" s="1"/>
  <c r="E2933" i="10"/>
  <c r="F2933" i="10" s="1"/>
  <c r="I2933" i="10" s="1"/>
  <c r="E2932" i="10"/>
  <c r="F2932" i="10" s="1"/>
  <c r="I2932" i="10" s="1"/>
  <c r="E2931" i="10"/>
  <c r="F2931" i="10" s="1"/>
  <c r="I2931" i="10" s="1"/>
  <c r="E2930" i="10"/>
  <c r="F2930" i="10" s="1"/>
  <c r="I2930" i="10" s="1"/>
  <c r="E2929" i="10"/>
  <c r="F2929" i="10" s="1"/>
  <c r="I2929" i="10" s="1"/>
  <c r="B2929" i="10"/>
  <c r="B2930" i="10" s="1"/>
  <c r="B2931" i="10" s="1"/>
  <c r="B2932" i="10" s="1"/>
  <c r="B2933" i="10" s="1"/>
  <c r="B2934" i="10" s="1"/>
  <c r="B2935" i="10" s="1"/>
  <c r="B2936" i="10" s="1"/>
  <c r="B2937" i="10" s="1"/>
  <c r="B2938" i="10" s="1"/>
  <c r="B2939" i="10" s="1"/>
  <c r="B2940" i="10" s="1"/>
  <c r="B2941" i="10" s="1"/>
  <c r="B2942" i="10" s="1"/>
  <c r="B2943" i="10" s="1"/>
  <c r="B2944" i="10" s="1"/>
  <c r="B2945" i="10" s="1"/>
  <c r="B2946" i="10" s="1"/>
  <c r="B2947" i="10" s="1"/>
  <c r="B2948" i="10" s="1"/>
  <c r="B2949" i="10" s="1"/>
  <c r="B2950" i="10" s="1"/>
  <c r="B2951" i="10" s="1"/>
  <c r="B2952" i="10" s="1"/>
  <c r="B2953" i="10" s="1"/>
  <c r="B2954" i="10" s="1"/>
  <c r="B2955" i="10" s="1"/>
  <c r="B2956" i="10" s="1"/>
  <c r="B2957" i="10" s="1"/>
  <c r="B2958" i="10" s="1"/>
  <c r="B2959" i="10" s="1"/>
  <c r="B2960" i="10" s="1"/>
  <c r="B2961" i="10" s="1"/>
  <c r="B2962" i="10" s="1"/>
  <c r="B2963" i="10" s="1"/>
  <c r="B2964" i="10" s="1"/>
  <c r="E2928" i="10"/>
  <c r="F2928" i="10" s="1"/>
  <c r="I2928" i="10" s="1"/>
  <c r="E2910" i="10"/>
  <c r="F2910" i="10" s="1"/>
  <c r="I2910" i="10" s="1"/>
  <c r="E2909" i="10"/>
  <c r="F2909" i="10" s="1"/>
  <c r="I2909" i="10" s="1"/>
  <c r="E2908" i="10"/>
  <c r="F2908" i="10" s="1"/>
  <c r="I2908" i="10" s="1"/>
  <c r="E2907" i="10"/>
  <c r="F2907" i="10" s="1"/>
  <c r="I2907" i="10" s="1"/>
  <c r="E2906" i="10"/>
  <c r="F2906" i="10" s="1"/>
  <c r="I2906" i="10" s="1"/>
  <c r="E2905" i="10"/>
  <c r="F2905" i="10" s="1"/>
  <c r="I2905" i="10" s="1"/>
  <c r="E2904" i="10"/>
  <c r="F2904" i="10" s="1"/>
  <c r="I2904" i="10" s="1"/>
  <c r="E2903" i="10"/>
  <c r="F2903" i="10" s="1"/>
  <c r="I2903" i="10" s="1"/>
  <c r="E2902" i="10"/>
  <c r="F2902" i="10" s="1"/>
  <c r="I2902" i="10" s="1"/>
  <c r="E2901" i="10"/>
  <c r="F2901" i="10" s="1"/>
  <c r="I2901" i="10" s="1"/>
  <c r="E2900" i="10"/>
  <c r="F2900" i="10" s="1"/>
  <c r="I2900" i="10" s="1"/>
  <c r="E2899" i="10"/>
  <c r="F2899" i="10" s="1"/>
  <c r="I2899" i="10" s="1"/>
  <c r="E2898" i="10"/>
  <c r="F2898" i="10" s="1"/>
  <c r="I2898" i="10" s="1"/>
  <c r="E2897" i="10"/>
  <c r="F2897" i="10" s="1"/>
  <c r="I2897" i="10" s="1"/>
  <c r="E2896" i="10"/>
  <c r="F2896" i="10" s="1"/>
  <c r="I2896" i="10" s="1"/>
  <c r="E2895" i="10"/>
  <c r="F2895" i="10" s="1"/>
  <c r="I2895" i="10" s="1"/>
  <c r="E2894" i="10"/>
  <c r="F2894" i="10" s="1"/>
  <c r="I2894" i="10" s="1"/>
  <c r="E2893" i="10"/>
  <c r="F2893" i="10" s="1"/>
  <c r="I2893" i="10" s="1"/>
  <c r="E2892" i="10"/>
  <c r="F2892" i="10" s="1"/>
  <c r="I2892" i="10" s="1"/>
  <c r="E2891" i="10"/>
  <c r="F2891" i="10" s="1"/>
  <c r="I2891" i="10" s="1"/>
  <c r="B2891" i="10"/>
  <c r="B2892" i="10" s="1"/>
  <c r="B2893" i="10" s="1"/>
  <c r="B2894" i="10" s="1"/>
  <c r="B2895" i="10" s="1"/>
  <c r="B2896" i="10" s="1"/>
  <c r="B2897" i="10" s="1"/>
  <c r="B2898" i="10" s="1"/>
  <c r="B2899" i="10" s="1"/>
  <c r="B2900" i="10" s="1"/>
  <c r="B2901" i="10" s="1"/>
  <c r="B2902" i="10" s="1"/>
  <c r="B2903" i="10" s="1"/>
  <c r="B2904" i="10" s="1"/>
  <c r="B2905" i="10" s="1"/>
  <c r="B2906" i="10" s="1"/>
  <c r="B2907" i="10" s="1"/>
  <c r="B2908" i="10" s="1"/>
  <c r="B2909" i="10" s="1"/>
  <c r="B2910" i="10" s="1"/>
  <c r="B2911" i="10" s="1"/>
  <c r="B2912" i="10" s="1"/>
  <c r="B2913" i="10" s="1"/>
  <c r="B2914" i="10" s="1"/>
  <c r="B2915" i="10" s="1"/>
  <c r="B2916" i="10" s="1"/>
  <c r="B2917" i="10" s="1"/>
  <c r="B2918" i="10" s="1"/>
  <c r="B2919" i="10" s="1"/>
  <c r="B2920" i="10" s="1"/>
  <c r="B2921" i="10" s="1"/>
  <c r="B2922" i="10" s="1"/>
  <c r="B2923" i="10" s="1"/>
  <c r="B2924" i="10" s="1"/>
  <c r="B2925" i="10" s="1"/>
  <c r="B2926" i="10" s="1"/>
  <c r="E2890" i="10"/>
  <c r="F2890" i="10" s="1"/>
  <c r="I2890" i="10" s="1"/>
  <c r="E2872" i="10"/>
  <c r="F2872" i="10" s="1"/>
  <c r="E2871" i="10"/>
  <c r="F2871" i="10" s="1"/>
  <c r="E2870" i="10"/>
  <c r="F2870" i="10" s="1"/>
  <c r="E2869" i="10"/>
  <c r="F2869" i="10" s="1"/>
  <c r="E2868" i="10"/>
  <c r="F2868" i="10" s="1"/>
  <c r="E2867" i="10"/>
  <c r="F2867" i="10" s="1"/>
  <c r="E2866" i="10"/>
  <c r="F2866" i="10" s="1"/>
  <c r="E2865" i="10"/>
  <c r="F2865" i="10" s="1"/>
  <c r="E2864" i="10"/>
  <c r="F2864" i="10" s="1"/>
  <c r="E2863" i="10"/>
  <c r="F2863" i="10" s="1"/>
  <c r="E2862" i="10"/>
  <c r="F2862" i="10" s="1"/>
  <c r="E2861" i="10"/>
  <c r="F2861" i="10" s="1"/>
  <c r="E2860" i="10"/>
  <c r="F2860" i="10" s="1"/>
  <c r="E2859" i="10"/>
  <c r="F2859" i="10" s="1"/>
  <c r="E2858" i="10"/>
  <c r="F2858" i="10" s="1"/>
  <c r="E2857" i="10"/>
  <c r="F2857" i="10" s="1"/>
  <c r="E2856" i="10"/>
  <c r="F2856" i="10" s="1"/>
  <c r="E2855" i="10"/>
  <c r="F2855" i="10" s="1"/>
  <c r="E2854" i="10"/>
  <c r="F2854" i="10" s="1"/>
  <c r="E2853" i="10"/>
  <c r="F2853" i="10" s="1"/>
  <c r="B2853" i="10"/>
  <c r="B2854" i="10" s="1"/>
  <c r="B2855" i="10" s="1"/>
  <c r="B2856" i="10" s="1"/>
  <c r="B2857" i="10" s="1"/>
  <c r="B2858" i="10" s="1"/>
  <c r="B2859" i="10" s="1"/>
  <c r="B2860" i="10" s="1"/>
  <c r="B2861" i="10" s="1"/>
  <c r="B2862" i="10" s="1"/>
  <c r="B2863" i="10" s="1"/>
  <c r="B2864" i="10" s="1"/>
  <c r="B2865" i="10" s="1"/>
  <c r="B2866" i="10" s="1"/>
  <c r="B2867" i="10" s="1"/>
  <c r="B2868" i="10" s="1"/>
  <c r="B2869" i="10" s="1"/>
  <c r="B2870" i="10" s="1"/>
  <c r="B2871" i="10" s="1"/>
  <c r="B2872" i="10" s="1"/>
  <c r="B2873" i="10" s="1"/>
  <c r="B2874" i="10" s="1"/>
  <c r="B2875" i="10" s="1"/>
  <c r="B2876" i="10" s="1"/>
  <c r="B2877" i="10" s="1"/>
  <c r="B2878" i="10" s="1"/>
  <c r="B2879" i="10" s="1"/>
  <c r="B2880" i="10" s="1"/>
  <c r="B2881" i="10" s="1"/>
  <c r="B2882" i="10" s="1"/>
  <c r="B2883" i="10" s="1"/>
  <c r="B2884" i="10" s="1"/>
  <c r="B2885" i="10" s="1"/>
  <c r="B2886" i="10" s="1"/>
  <c r="B2887" i="10" s="1"/>
  <c r="B2888" i="10" s="1"/>
  <c r="E2852" i="10"/>
  <c r="F2852" i="10" s="1"/>
  <c r="E2834" i="10"/>
  <c r="F2834" i="10" s="1"/>
  <c r="E2833" i="10"/>
  <c r="F2833" i="10" s="1"/>
  <c r="E2832" i="10"/>
  <c r="F2832" i="10" s="1"/>
  <c r="E2831" i="10"/>
  <c r="F2831" i="10" s="1"/>
  <c r="E2830" i="10"/>
  <c r="F2830" i="10" s="1"/>
  <c r="E2829" i="10"/>
  <c r="F2829" i="10" s="1"/>
  <c r="E2828" i="10"/>
  <c r="F2828" i="10" s="1"/>
  <c r="E2827" i="10"/>
  <c r="F2827" i="10" s="1"/>
  <c r="E2826" i="10"/>
  <c r="F2826" i="10" s="1"/>
  <c r="E2825" i="10"/>
  <c r="F2825" i="10" s="1"/>
  <c r="E2824" i="10"/>
  <c r="F2824" i="10" s="1"/>
  <c r="E2823" i="10"/>
  <c r="F2823" i="10" s="1"/>
  <c r="E2822" i="10"/>
  <c r="F2822" i="10" s="1"/>
  <c r="E2821" i="10"/>
  <c r="F2821" i="10" s="1"/>
  <c r="E2820" i="10"/>
  <c r="F2820" i="10" s="1"/>
  <c r="E2819" i="10"/>
  <c r="F2819" i="10" s="1"/>
  <c r="E2818" i="10"/>
  <c r="F2818" i="10" s="1"/>
  <c r="E2817" i="10"/>
  <c r="F2817" i="10" s="1"/>
  <c r="E2816" i="10"/>
  <c r="F2816" i="10" s="1"/>
  <c r="E2815" i="10"/>
  <c r="F2815" i="10" s="1"/>
  <c r="B2815" i="10"/>
  <c r="B2816" i="10" s="1"/>
  <c r="B2817" i="10" s="1"/>
  <c r="B2818" i="10" s="1"/>
  <c r="B2819" i="10" s="1"/>
  <c r="B2820" i="10" s="1"/>
  <c r="B2821" i="10" s="1"/>
  <c r="B2822" i="10" s="1"/>
  <c r="B2823" i="10" s="1"/>
  <c r="B2824" i="10" s="1"/>
  <c r="B2825" i="10" s="1"/>
  <c r="B2826" i="10" s="1"/>
  <c r="B2827" i="10" s="1"/>
  <c r="B2828" i="10" s="1"/>
  <c r="B2829" i="10" s="1"/>
  <c r="B2830" i="10" s="1"/>
  <c r="B2831" i="10" s="1"/>
  <c r="B2832" i="10" s="1"/>
  <c r="B2833" i="10" s="1"/>
  <c r="B2834" i="10" s="1"/>
  <c r="B2835" i="10" s="1"/>
  <c r="B2836" i="10" s="1"/>
  <c r="B2837" i="10" s="1"/>
  <c r="B2838" i="10" s="1"/>
  <c r="B2839" i="10" s="1"/>
  <c r="B2840" i="10" s="1"/>
  <c r="B2841" i="10" s="1"/>
  <c r="B2842" i="10" s="1"/>
  <c r="B2843" i="10" s="1"/>
  <c r="B2844" i="10" s="1"/>
  <c r="B2845" i="10" s="1"/>
  <c r="B2846" i="10" s="1"/>
  <c r="B2847" i="10" s="1"/>
  <c r="B2848" i="10" s="1"/>
  <c r="B2849" i="10" s="1"/>
  <c r="B2850" i="10" s="1"/>
  <c r="E2814" i="10"/>
  <c r="F2814" i="10" s="1"/>
  <c r="E2796" i="10"/>
  <c r="F2796" i="10" s="1"/>
  <c r="E2795" i="10"/>
  <c r="F2795" i="10" s="1"/>
  <c r="E2794" i="10"/>
  <c r="F2794" i="10" s="1"/>
  <c r="E2793" i="10"/>
  <c r="F2793" i="10" s="1"/>
  <c r="E2792" i="10"/>
  <c r="F2792" i="10" s="1"/>
  <c r="E2791" i="10"/>
  <c r="F2791" i="10" s="1"/>
  <c r="E2790" i="10"/>
  <c r="F2790" i="10" s="1"/>
  <c r="E2789" i="10"/>
  <c r="F2789" i="10" s="1"/>
  <c r="E2788" i="10"/>
  <c r="F2788" i="10" s="1"/>
  <c r="E2787" i="10"/>
  <c r="F2787" i="10" s="1"/>
  <c r="E2786" i="10"/>
  <c r="F2786" i="10" s="1"/>
  <c r="E2785" i="10"/>
  <c r="F2785" i="10" s="1"/>
  <c r="E2784" i="10"/>
  <c r="F2784" i="10" s="1"/>
  <c r="E2783" i="10"/>
  <c r="F2783" i="10" s="1"/>
  <c r="E2782" i="10"/>
  <c r="F2782" i="10" s="1"/>
  <c r="E2781" i="10"/>
  <c r="F2781" i="10" s="1"/>
  <c r="E2780" i="10"/>
  <c r="F2780" i="10" s="1"/>
  <c r="E2779" i="10"/>
  <c r="F2779" i="10" s="1"/>
  <c r="E2778" i="10"/>
  <c r="F2778" i="10" s="1"/>
  <c r="E2777" i="10"/>
  <c r="F2777" i="10" s="1"/>
  <c r="B2777" i="10"/>
  <c r="B2778" i="10" s="1"/>
  <c r="B2779" i="10" s="1"/>
  <c r="B2780" i="10" s="1"/>
  <c r="B2781" i="10" s="1"/>
  <c r="B2782" i="10" s="1"/>
  <c r="B2783" i="10" s="1"/>
  <c r="B2784" i="10" s="1"/>
  <c r="B2785" i="10" s="1"/>
  <c r="B2786" i="10" s="1"/>
  <c r="B2787" i="10" s="1"/>
  <c r="B2788" i="10" s="1"/>
  <c r="B2789" i="10" s="1"/>
  <c r="B2790" i="10" s="1"/>
  <c r="B2791" i="10" s="1"/>
  <c r="B2792" i="10" s="1"/>
  <c r="B2793" i="10" s="1"/>
  <c r="B2794" i="10" s="1"/>
  <c r="B2795" i="10" s="1"/>
  <c r="B2796" i="10" s="1"/>
  <c r="B2797" i="10" s="1"/>
  <c r="B2798" i="10" s="1"/>
  <c r="B2799" i="10" s="1"/>
  <c r="B2800" i="10" s="1"/>
  <c r="B2801" i="10" s="1"/>
  <c r="B2802" i="10" s="1"/>
  <c r="B2803" i="10" s="1"/>
  <c r="B2804" i="10" s="1"/>
  <c r="B2805" i="10" s="1"/>
  <c r="B2806" i="10" s="1"/>
  <c r="B2807" i="10" s="1"/>
  <c r="B2808" i="10" s="1"/>
  <c r="B2809" i="10" s="1"/>
  <c r="B2810" i="10" s="1"/>
  <c r="B2811" i="10" s="1"/>
  <c r="B2812" i="10" s="1"/>
  <c r="E2776" i="10"/>
  <c r="F2776" i="10" s="1"/>
  <c r="E2758" i="10"/>
  <c r="F2758" i="10" s="1"/>
  <c r="I2758" i="10" s="1"/>
  <c r="E2757" i="10"/>
  <c r="F2757" i="10" s="1"/>
  <c r="I2757" i="10" s="1"/>
  <c r="E2756" i="10"/>
  <c r="F2756" i="10" s="1"/>
  <c r="I2756" i="10" s="1"/>
  <c r="E2755" i="10"/>
  <c r="F2755" i="10" s="1"/>
  <c r="I2755" i="10" s="1"/>
  <c r="E2754" i="10"/>
  <c r="F2754" i="10" s="1"/>
  <c r="I2754" i="10" s="1"/>
  <c r="E2753" i="10"/>
  <c r="F2753" i="10" s="1"/>
  <c r="I2753" i="10" s="1"/>
  <c r="E2752" i="10"/>
  <c r="F2752" i="10" s="1"/>
  <c r="I2752" i="10" s="1"/>
  <c r="E2751" i="10"/>
  <c r="F2751" i="10" s="1"/>
  <c r="I2751" i="10" s="1"/>
  <c r="E2750" i="10"/>
  <c r="F2750" i="10" s="1"/>
  <c r="I2750" i="10" s="1"/>
  <c r="E2749" i="10"/>
  <c r="F2749" i="10" s="1"/>
  <c r="I2749" i="10" s="1"/>
  <c r="E2748" i="10"/>
  <c r="F2748" i="10" s="1"/>
  <c r="I2748" i="10" s="1"/>
  <c r="E2747" i="10"/>
  <c r="F2747" i="10" s="1"/>
  <c r="I2747" i="10" s="1"/>
  <c r="E2746" i="10"/>
  <c r="F2746" i="10" s="1"/>
  <c r="I2746" i="10" s="1"/>
  <c r="E2745" i="10"/>
  <c r="F2745" i="10" s="1"/>
  <c r="I2745" i="10" s="1"/>
  <c r="E2744" i="10"/>
  <c r="F2744" i="10" s="1"/>
  <c r="I2744" i="10" s="1"/>
  <c r="E2743" i="10"/>
  <c r="F2743" i="10" s="1"/>
  <c r="I2743" i="10" s="1"/>
  <c r="E2742" i="10"/>
  <c r="F2742" i="10" s="1"/>
  <c r="I2742" i="10" s="1"/>
  <c r="E2741" i="10"/>
  <c r="F2741" i="10" s="1"/>
  <c r="I2741" i="10" s="1"/>
  <c r="E2740" i="10"/>
  <c r="F2740" i="10" s="1"/>
  <c r="I2740" i="10" s="1"/>
  <c r="E2739" i="10"/>
  <c r="F2739" i="10" s="1"/>
  <c r="I2739" i="10" s="1"/>
  <c r="B2739" i="10"/>
  <c r="B2740" i="10" s="1"/>
  <c r="B2741" i="10" s="1"/>
  <c r="B2742" i="10" s="1"/>
  <c r="B2743" i="10" s="1"/>
  <c r="B2744" i="10" s="1"/>
  <c r="B2745" i="10" s="1"/>
  <c r="B2746" i="10" s="1"/>
  <c r="B2747" i="10" s="1"/>
  <c r="B2748" i="10" s="1"/>
  <c r="B2749" i="10" s="1"/>
  <c r="B2750" i="10" s="1"/>
  <c r="B2751" i="10" s="1"/>
  <c r="B2752" i="10" s="1"/>
  <c r="B2753" i="10" s="1"/>
  <c r="B2754" i="10" s="1"/>
  <c r="B2755" i="10" s="1"/>
  <c r="B2756" i="10" s="1"/>
  <c r="B2757" i="10" s="1"/>
  <c r="B2758" i="10" s="1"/>
  <c r="B2759" i="10" s="1"/>
  <c r="B2760" i="10" s="1"/>
  <c r="B2761" i="10" s="1"/>
  <c r="B2762" i="10" s="1"/>
  <c r="B2763" i="10" s="1"/>
  <c r="B2764" i="10" s="1"/>
  <c r="B2765" i="10" s="1"/>
  <c r="B2766" i="10" s="1"/>
  <c r="B2767" i="10" s="1"/>
  <c r="B2768" i="10" s="1"/>
  <c r="B2769" i="10" s="1"/>
  <c r="B2770" i="10" s="1"/>
  <c r="B2771" i="10" s="1"/>
  <c r="B2772" i="10" s="1"/>
  <c r="B2773" i="10" s="1"/>
  <c r="B2774" i="10" s="1"/>
  <c r="E2738" i="10"/>
  <c r="F2738" i="10" s="1"/>
  <c r="I2738" i="10" s="1"/>
  <c r="E2720" i="10"/>
  <c r="F2720" i="10" s="1"/>
  <c r="E2719" i="10"/>
  <c r="F2719" i="10" s="1"/>
  <c r="E2718" i="10"/>
  <c r="F2718" i="10" s="1"/>
  <c r="E2717" i="10"/>
  <c r="F2717" i="10" s="1"/>
  <c r="E2716" i="10"/>
  <c r="F2716" i="10" s="1"/>
  <c r="E2715" i="10"/>
  <c r="F2715" i="10" s="1"/>
  <c r="E2714" i="10"/>
  <c r="F2714" i="10" s="1"/>
  <c r="E2713" i="10"/>
  <c r="F2713" i="10" s="1"/>
  <c r="E2712" i="10"/>
  <c r="F2712" i="10" s="1"/>
  <c r="E2711" i="10"/>
  <c r="F2711" i="10" s="1"/>
  <c r="E2710" i="10"/>
  <c r="F2710" i="10" s="1"/>
  <c r="E2709" i="10"/>
  <c r="F2709" i="10" s="1"/>
  <c r="E2708" i="10"/>
  <c r="F2708" i="10" s="1"/>
  <c r="E2707" i="10"/>
  <c r="F2707" i="10" s="1"/>
  <c r="E2706" i="10"/>
  <c r="F2706" i="10" s="1"/>
  <c r="E2705" i="10"/>
  <c r="F2705" i="10" s="1"/>
  <c r="E2704" i="10"/>
  <c r="F2704" i="10" s="1"/>
  <c r="E2703" i="10"/>
  <c r="F2703" i="10" s="1"/>
  <c r="E2702" i="10"/>
  <c r="F2702" i="10" s="1"/>
  <c r="E2701" i="10"/>
  <c r="F2701" i="10" s="1"/>
  <c r="B2701" i="10"/>
  <c r="B2702" i="10" s="1"/>
  <c r="B2703" i="10" s="1"/>
  <c r="B2704" i="10" s="1"/>
  <c r="B2705" i="10" s="1"/>
  <c r="B2706" i="10" s="1"/>
  <c r="B2707" i="10" s="1"/>
  <c r="B2708" i="10" s="1"/>
  <c r="B2709" i="10" s="1"/>
  <c r="B2710" i="10" s="1"/>
  <c r="B2711" i="10" s="1"/>
  <c r="B2712" i="10" s="1"/>
  <c r="B2713" i="10" s="1"/>
  <c r="B2714" i="10" s="1"/>
  <c r="B2715" i="10" s="1"/>
  <c r="B2716" i="10" s="1"/>
  <c r="B2717" i="10" s="1"/>
  <c r="B2718" i="10" s="1"/>
  <c r="B2719" i="10" s="1"/>
  <c r="B2720" i="10" s="1"/>
  <c r="B2721" i="10" s="1"/>
  <c r="B2722" i="10" s="1"/>
  <c r="B2723" i="10" s="1"/>
  <c r="B2724" i="10" s="1"/>
  <c r="B2725" i="10" s="1"/>
  <c r="B2726" i="10" s="1"/>
  <c r="B2727" i="10" s="1"/>
  <c r="B2728" i="10" s="1"/>
  <c r="B2729" i="10" s="1"/>
  <c r="B2730" i="10" s="1"/>
  <c r="B2731" i="10" s="1"/>
  <c r="B2732" i="10" s="1"/>
  <c r="B2733" i="10" s="1"/>
  <c r="B2734" i="10" s="1"/>
  <c r="B2735" i="10" s="1"/>
  <c r="B2736" i="10" s="1"/>
  <c r="E2700" i="10"/>
  <c r="F2700" i="10" s="1"/>
  <c r="E2682" i="10"/>
  <c r="F2682" i="10" s="1"/>
  <c r="E2681" i="10"/>
  <c r="F2681" i="10" s="1"/>
  <c r="E2680" i="10"/>
  <c r="F2680" i="10" s="1"/>
  <c r="E2679" i="10"/>
  <c r="F2679" i="10" s="1"/>
  <c r="E2678" i="10"/>
  <c r="F2678" i="10" s="1"/>
  <c r="E2677" i="10"/>
  <c r="F2677" i="10" s="1"/>
  <c r="E2676" i="10"/>
  <c r="F2676" i="10" s="1"/>
  <c r="E2675" i="10"/>
  <c r="F2675" i="10" s="1"/>
  <c r="E2674" i="10"/>
  <c r="F2674" i="10" s="1"/>
  <c r="E2673" i="10"/>
  <c r="F2673" i="10" s="1"/>
  <c r="E2672" i="10"/>
  <c r="F2672" i="10" s="1"/>
  <c r="E2671" i="10"/>
  <c r="F2671" i="10" s="1"/>
  <c r="E2670" i="10"/>
  <c r="F2670" i="10" s="1"/>
  <c r="E2669" i="10"/>
  <c r="F2669" i="10" s="1"/>
  <c r="E2668" i="10"/>
  <c r="F2668" i="10" s="1"/>
  <c r="E2667" i="10"/>
  <c r="F2667" i="10" s="1"/>
  <c r="E2666" i="10"/>
  <c r="F2666" i="10" s="1"/>
  <c r="E2665" i="10"/>
  <c r="F2665" i="10" s="1"/>
  <c r="E2664" i="10"/>
  <c r="F2664" i="10" s="1"/>
  <c r="E2663" i="10"/>
  <c r="F2663" i="10" s="1"/>
  <c r="B2663" i="10"/>
  <c r="B2664" i="10" s="1"/>
  <c r="B2665" i="10" s="1"/>
  <c r="B2666" i="10" s="1"/>
  <c r="B2667" i="10" s="1"/>
  <c r="B2668" i="10" s="1"/>
  <c r="B2669" i="10" s="1"/>
  <c r="B2670" i="10" s="1"/>
  <c r="B2671" i="10" s="1"/>
  <c r="B2672" i="10" s="1"/>
  <c r="B2673" i="10" s="1"/>
  <c r="B2674" i="10" s="1"/>
  <c r="B2675" i="10" s="1"/>
  <c r="B2676" i="10" s="1"/>
  <c r="B2677" i="10" s="1"/>
  <c r="B2678" i="10" s="1"/>
  <c r="B2679" i="10" s="1"/>
  <c r="B2680" i="10" s="1"/>
  <c r="B2681" i="10" s="1"/>
  <c r="B2682" i="10" s="1"/>
  <c r="B2683" i="10" s="1"/>
  <c r="B2684" i="10" s="1"/>
  <c r="B2685" i="10" s="1"/>
  <c r="B2686" i="10" s="1"/>
  <c r="B2687" i="10" s="1"/>
  <c r="B2688" i="10" s="1"/>
  <c r="B2689" i="10" s="1"/>
  <c r="B2690" i="10" s="1"/>
  <c r="B2691" i="10" s="1"/>
  <c r="B2692" i="10" s="1"/>
  <c r="B2693" i="10" s="1"/>
  <c r="B2694" i="10" s="1"/>
  <c r="B2695" i="10" s="1"/>
  <c r="B2696" i="10" s="1"/>
  <c r="B2697" i="10" s="1"/>
  <c r="B2698" i="10" s="1"/>
  <c r="E2662" i="10"/>
  <c r="F2662" i="10" s="1"/>
  <c r="E2644" i="10"/>
  <c r="F2644" i="10" s="1"/>
  <c r="E2643" i="10"/>
  <c r="F2643" i="10" s="1"/>
  <c r="E2642" i="10"/>
  <c r="F2642" i="10" s="1"/>
  <c r="E2641" i="10"/>
  <c r="F2641" i="10" s="1"/>
  <c r="E2640" i="10"/>
  <c r="F2640" i="10" s="1"/>
  <c r="E2639" i="10"/>
  <c r="F2639" i="10" s="1"/>
  <c r="E2638" i="10"/>
  <c r="F2638" i="10" s="1"/>
  <c r="E2637" i="10"/>
  <c r="F2637" i="10" s="1"/>
  <c r="E2636" i="10"/>
  <c r="F2636" i="10" s="1"/>
  <c r="E2635" i="10"/>
  <c r="F2635" i="10" s="1"/>
  <c r="E2634" i="10"/>
  <c r="F2634" i="10" s="1"/>
  <c r="E2633" i="10"/>
  <c r="F2633" i="10" s="1"/>
  <c r="E2632" i="10"/>
  <c r="F2632" i="10" s="1"/>
  <c r="E2631" i="10"/>
  <c r="F2631" i="10" s="1"/>
  <c r="E2630" i="10"/>
  <c r="F2630" i="10" s="1"/>
  <c r="E2629" i="10"/>
  <c r="F2629" i="10" s="1"/>
  <c r="E2628" i="10"/>
  <c r="F2628" i="10" s="1"/>
  <c r="E2627" i="10"/>
  <c r="F2627" i="10" s="1"/>
  <c r="E2626" i="10"/>
  <c r="F2626" i="10" s="1"/>
  <c r="E2625" i="10"/>
  <c r="F2625" i="10" s="1"/>
  <c r="B2625" i="10"/>
  <c r="B2626" i="10" s="1"/>
  <c r="B2627" i="10" s="1"/>
  <c r="B2628" i="10" s="1"/>
  <c r="B2629" i="10" s="1"/>
  <c r="B2630" i="10" s="1"/>
  <c r="B2631" i="10" s="1"/>
  <c r="B2632" i="10" s="1"/>
  <c r="B2633" i="10" s="1"/>
  <c r="B2634" i="10" s="1"/>
  <c r="B2635" i="10" s="1"/>
  <c r="B2636" i="10" s="1"/>
  <c r="B2637" i="10" s="1"/>
  <c r="B2638" i="10" s="1"/>
  <c r="B2639" i="10" s="1"/>
  <c r="B2640" i="10" s="1"/>
  <c r="B2641" i="10" s="1"/>
  <c r="B2642" i="10" s="1"/>
  <c r="B2643" i="10" s="1"/>
  <c r="B2644" i="10" s="1"/>
  <c r="B2645" i="10" s="1"/>
  <c r="B2646" i="10" s="1"/>
  <c r="B2647" i="10" s="1"/>
  <c r="B2648" i="10" s="1"/>
  <c r="B2649" i="10" s="1"/>
  <c r="B2650" i="10" s="1"/>
  <c r="B2651" i="10" s="1"/>
  <c r="B2652" i="10" s="1"/>
  <c r="B2653" i="10" s="1"/>
  <c r="B2654" i="10" s="1"/>
  <c r="B2655" i="10" s="1"/>
  <c r="B2656" i="10" s="1"/>
  <c r="B2657" i="10" s="1"/>
  <c r="B2658" i="10" s="1"/>
  <c r="B2659" i="10" s="1"/>
  <c r="B2660" i="10" s="1"/>
  <c r="E2624" i="10"/>
  <c r="F2624" i="10" s="1"/>
  <c r="E2606" i="10"/>
  <c r="F2606" i="10" s="1"/>
  <c r="I2606" i="10" s="1"/>
  <c r="E2605" i="10"/>
  <c r="F2605" i="10" s="1"/>
  <c r="I2605" i="10" s="1"/>
  <c r="E2604" i="10"/>
  <c r="F2604" i="10" s="1"/>
  <c r="I2604" i="10" s="1"/>
  <c r="E2603" i="10"/>
  <c r="F2603" i="10" s="1"/>
  <c r="I2603" i="10" s="1"/>
  <c r="E2602" i="10"/>
  <c r="F2602" i="10" s="1"/>
  <c r="I2602" i="10" s="1"/>
  <c r="E2601" i="10"/>
  <c r="F2601" i="10" s="1"/>
  <c r="I2601" i="10" s="1"/>
  <c r="E2600" i="10"/>
  <c r="F2600" i="10" s="1"/>
  <c r="I2600" i="10" s="1"/>
  <c r="E2599" i="10"/>
  <c r="F2599" i="10" s="1"/>
  <c r="I2599" i="10" s="1"/>
  <c r="E2598" i="10"/>
  <c r="F2598" i="10" s="1"/>
  <c r="I2598" i="10" s="1"/>
  <c r="E2597" i="10"/>
  <c r="F2597" i="10" s="1"/>
  <c r="I2597" i="10" s="1"/>
  <c r="E2596" i="10"/>
  <c r="F2596" i="10" s="1"/>
  <c r="I2596" i="10" s="1"/>
  <c r="E2595" i="10"/>
  <c r="F2595" i="10" s="1"/>
  <c r="I2595" i="10" s="1"/>
  <c r="E2594" i="10"/>
  <c r="F2594" i="10" s="1"/>
  <c r="I2594" i="10" s="1"/>
  <c r="E2593" i="10"/>
  <c r="F2593" i="10" s="1"/>
  <c r="I2593" i="10" s="1"/>
  <c r="E2592" i="10"/>
  <c r="F2592" i="10" s="1"/>
  <c r="I2592" i="10" s="1"/>
  <c r="E2591" i="10"/>
  <c r="F2591" i="10" s="1"/>
  <c r="I2591" i="10" s="1"/>
  <c r="E2590" i="10"/>
  <c r="F2590" i="10" s="1"/>
  <c r="I2590" i="10" s="1"/>
  <c r="E2589" i="10"/>
  <c r="F2589" i="10" s="1"/>
  <c r="I2589" i="10" s="1"/>
  <c r="E2588" i="10"/>
  <c r="F2588" i="10" s="1"/>
  <c r="I2588" i="10" s="1"/>
  <c r="E2587" i="10"/>
  <c r="F2587" i="10" s="1"/>
  <c r="I2587" i="10" s="1"/>
  <c r="B2587" i="10"/>
  <c r="B2588" i="10" s="1"/>
  <c r="B2589" i="10" s="1"/>
  <c r="B2590" i="10" s="1"/>
  <c r="B2591" i="10" s="1"/>
  <c r="B2592" i="10" s="1"/>
  <c r="B2593" i="10" s="1"/>
  <c r="B2594" i="10" s="1"/>
  <c r="B2595" i="10" s="1"/>
  <c r="B2596" i="10" s="1"/>
  <c r="B2597" i="10" s="1"/>
  <c r="B2598" i="10" s="1"/>
  <c r="B2599" i="10" s="1"/>
  <c r="B2600" i="10" s="1"/>
  <c r="B2601" i="10" s="1"/>
  <c r="B2602" i="10" s="1"/>
  <c r="B2603" i="10" s="1"/>
  <c r="B2604" i="10" s="1"/>
  <c r="B2605" i="10" s="1"/>
  <c r="B2606" i="10" s="1"/>
  <c r="B2607" i="10" s="1"/>
  <c r="B2608" i="10" s="1"/>
  <c r="B2609" i="10" s="1"/>
  <c r="B2610" i="10" s="1"/>
  <c r="B2611" i="10" s="1"/>
  <c r="B2612" i="10" s="1"/>
  <c r="B2613" i="10" s="1"/>
  <c r="B2614" i="10" s="1"/>
  <c r="B2615" i="10" s="1"/>
  <c r="B2616" i="10" s="1"/>
  <c r="B2617" i="10" s="1"/>
  <c r="B2618" i="10" s="1"/>
  <c r="B2619" i="10" s="1"/>
  <c r="B2620" i="10" s="1"/>
  <c r="B2621" i="10" s="1"/>
  <c r="B2622" i="10" s="1"/>
  <c r="E2586" i="10"/>
  <c r="F2586" i="10" s="1"/>
  <c r="I2586" i="10" s="1"/>
  <c r="E2568" i="10"/>
  <c r="F2568" i="10" s="1"/>
  <c r="I2568" i="10" s="1"/>
  <c r="E2567" i="10"/>
  <c r="F2567" i="10" s="1"/>
  <c r="I2567" i="10" s="1"/>
  <c r="E2566" i="10"/>
  <c r="F2566" i="10" s="1"/>
  <c r="I2566" i="10" s="1"/>
  <c r="E2565" i="10"/>
  <c r="F2565" i="10" s="1"/>
  <c r="I2565" i="10" s="1"/>
  <c r="E2564" i="10"/>
  <c r="F2564" i="10" s="1"/>
  <c r="I2564" i="10" s="1"/>
  <c r="E2563" i="10"/>
  <c r="F2563" i="10" s="1"/>
  <c r="I2563" i="10" s="1"/>
  <c r="E2562" i="10"/>
  <c r="F2562" i="10" s="1"/>
  <c r="I2562" i="10" s="1"/>
  <c r="E2561" i="10"/>
  <c r="F2561" i="10" s="1"/>
  <c r="I2561" i="10" s="1"/>
  <c r="E2560" i="10"/>
  <c r="F2560" i="10" s="1"/>
  <c r="I2560" i="10" s="1"/>
  <c r="E2559" i="10"/>
  <c r="F2559" i="10" s="1"/>
  <c r="I2559" i="10" s="1"/>
  <c r="E2558" i="10"/>
  <c r="F2558" i="10" s="1"/>
  <c r="I2558" i="10" s="1"/>
  <c r="E2557" i="10"/>
  <c r="F2557" i="10" s="1"/>
  <c r="I2557" i="10" s="1"/>
  <c r="E2556" i="10"/>
  <c r="F2556" i="10" s="1"/>
  <c r="I2556" i="10" s="1"/>
  <c r="E2555" i="10"/>
  <c r="F2555" i="10" s="1"/>
  <c r="I2555" i="10" s="1"/>
  <c r="E2554" i="10"/>
  <c r="F2554" i="10" s="1"/>
  <c r="I2554" i="10" s="1"/>
  <c r="E2553" i="10"/>
  <c r="F2553" i="10" s="1"/>
  <c r="I2553" i="10" s="1"/>
  <c r="E2552" i="10"/>
  <c r="F2552" i="10" s="1"/>
  <c r="I2552" i="10" s="1"/>
  <c r="E2551" i="10"/>
  <c r="F2551" i="10" s="1"/>
  <c r="I2551" i="10" s="1"/>
  <c r="E2550" i="10"/>
  <c r="F2550" i="10" s="1"/>
  <c r="I2550" i="10" s="1"/>
  <c r="E2549" i="10"/>
  <c r="F2549" i="10" s="1"/>
  <c r="I2549" i="10" s="1"/>
  <c r="B2549" i="10"/>
  <c r="B2550" i="10" s="1"/>
  <c r="B2551" i="10" s="1"/>
  <c r="B2552" i="10" s="1"/>
  <c r="B2553" i="10" s="1"/>
  <c r="B2554" i="10" s="1"/>
  <c r="B2555" i="10" s="1"/>
  <c r="B2556" i="10" s="1"/>
  <c r="B2557" i="10" s="1"/>
  <c r="B2558" i="10" s="1"/>
  <c r="B2559" i="10" s="1"/>
  <c r="B2560" i="10" s="1"/>
  <c r="B2561" i="10" s="1"/>
  <c r="B2562" i="10" s="1"/>
  <c r="B2563" i="10" s="1"/>
  <c r="B2564" i="10" s="1"/>
  <c r="B2565" i="10" s="1"/>
  <c r="B2566" i="10" s="1"/>
  <c r="B2567" i="10" s="1"/>
  <c r="B2568" i="10" s="1"/>
  <c r="B2569" i="10" s="1"/>
  <c r="B2570" i="10" s="1"/>
  <c r="B2571" i="10" s="1"/>
  <c r="B2572" i="10" s="1"/>
  <c r="B2573" i="10" s="1"/>
  <c r="B2574" i="10" s="1"/>
  <c r="B2575" i="10" s="1"/>
  <c r="B2576" i="10" s="1"/>
  <c r="B2577" i="10" s="1"/>
  <c r="B2578" i="10" s="1"/>
  <c r="B2579" i="10" s="1"/>
  <c r="B2580" i="10" s="1"/>
  <c r="B2581" i="10" s="1"/>
  <c r="B2582" i="10" s="1"/>
  <c r="B2583" i="10" s="1"/>
  <c r="B2584" i="10" s="1"/>
  <c r="E2548" i="10"/>
  <c r="F2548" i="10" s="1"/>
  <c r="I2548" i="10" s="1"/>
  <c r="E2530" i="10"/>
  <c r="F2530" i="10" s="1"/>
  <c r="I2530" i="10" s="1"/>
  <c r="E2529" i="10"/>
  <c r="F2529" i="10" s="1"/>
  <c r="I2529" i="10" s="1"/>
  <c r="E2528" i="10"/>
  <c r="F2528" i="10" s="1"/>
  <c r="I2528" i="10" s="1"/>
  <c r="E2527" i="10"/>
  <c r="F2527" i="10" s="1"/>
  <c r="I2527" i="10" s="1"/>
  <c r="E2526" i="10"/>
  <c r="F2526" i="10" s="1"/>
  <c r="I2526" i="10" s="1"/>
  <c r="E2525" i="10"/>
  <c r="F2525" i="10" s="1"/>
  <c r="I2525" i="10" s="1"/>
  <c r="E2524" i="10"/>
  <c r="F2524" i="10" s="1"/>
  <c r="I2524" i="10" s="1"/>
  <c r="E2523" i="10"/>
  <c r="F2523" i="10" s="1"/>
  <c r="I2523" i="10" s="1"/>
  <c r="E2522" i="10"/>
  <c r="F2522" i="10" s="1"/>
  <c r="I2522" i="10" s="1"/>
  <c r="E2521" i="10"/>
  <c r="F2521" i="10" s="1"/>
  <c r="I2521" i="10" s="1"/>
  <c r="E2520" i="10"/>
  <c r="F2520" i="10" s="1"/>
  <c r="I2520" i="10" s="1"/>
  <c r="E2519" i="10"/>
  <c r="F2519" i="10" s="1"/>
  <c r="I2519" i="10" s="1"/>
  <c r="E2518" i="10"/>
  <c r="F2518" i="10" s="1"/>
  <c r="I2518" i="10" s="1"/>
  <c r="E2517" i="10"/>
  <c r="F2517" i="10" s="1"/>
  <c r="I2517" i="10" s="1"/>
  <c r="E2516" i="10"/>
  <c r="F2516" i="10" s="1"/>
  <c r="I2516" i="10" s="1"/>
  <c r="E2515" i="10"/>
  <c r="F2515" i="10" s="1"/>
  <c r="I2515" i="10" s="1"/>
  <c r="E2514" i="10"/>
  <c r="F2514" i="10" s="1"/>
  <c r="I2514" i="10" s="1"/>
  <c r="E2513" i="10"/>
  <c r="F2513" i="10" s="1"/>
  <c r="I2513" i="10" s="1"/>
  <c r="E2512" i="10"/>
  <c r="F2512" i="10" s="1"/>
  <c r="I2512" i="10" s="1"/>
  <c r="E2511" i="10"/>
  <c r="F2511" i="10" s="1"/>
  <c r="I2511" i="10" s="1"/>
  <c r="B2511" i="10"/>
  <c r="B2512" i="10" s="1"/>
  <c r="B2513" i="10" s="1"/>
  <c r="B2514" i="10" s="1"/>
  <c r="B2515" i="10" s="1"/>
  <c r="B2516" i="10" s="1"/>
  <c r="B2517" i="10" s="1"/>
  <c r="B2518" i="10" s="1"/>
  <c r="B2519" i="10" s="1"/>
  <c r="B2520" i="10" s="1"/>
  <c r="B2521" i="10" s="1"/>
  <c r="B2522" i="10" s="1"/>
  <c r="B2523" i="10" s="1"/>
  <c r="B2524" i="10" s="1"/>
  <c r="B2525" i="10" s="1"/>
  <c r="B2526" i="10" s="1"/>
  <c r="B2527" i="10" s="1"/>
  <c r="B2528" i="10" s="1"/>
  <c r="B2529" i="10" s="1"/>
  <c r="B2530" i="10" s="1"/>
  <c r="B2531" i="10" s="1"/>
  <c r="B2532" i="10" s="1"/>
  <c r="B2533" i="10" s="1"/>
  <c r="B2534" i="10" s="1"/>
  <c r="B2535" i="10" s="1"/>
  <c r="B2536" i="10" s="1"/>
  <c r="B2537" i="10" s="1"/>
  <c r="B2538" i="10" s="1"/>
  <c r="B2539" i="10" s="1"/>
  <c r="B2540" i="10" s="1"/>
  <c r="B2541" i="10" s="1"/>
  <c r="B2542" i="10" s="1"/>
  <c r="B2543" i="10" s="1"/>
  <c r="B2544" i="10" s="1"/>
  <c r="B2545" i="10" s="1"/>
  <c r="B2546" i="10" s="1"/>
  <c r="E2510" i="10"/>
  <c r="F2510" i="10" s="1"/>
  <c r="I2510" i="10" s="1"/>
  <c r="E2492" i="10"/>
  <c r="F2492" i="10" s="1"/>
  <c r="I2492" i="10" s="1"/>
  <c r="E2491" i="10"/>
  <c r="F2491" i="10" s="1"/>
  <c r="I2491" i="10" s="1"/>
  <c r="E2490" i="10"/>
  <c r="F2490" i="10" s="1"/>
  <c r="I2490" i="10" s="1"/>
  <c r="E2489" i="10"/>
  <c r="F2489" i="10" s="1"/>
  <c r="I2489" i="10" s="1"/>
  <c r="E2488" i="10"/>
  <c r="F2488" i="10" s="1"/>
  <c r="I2488" i="10" s="1"/>
  <c r="E2487" i="10"/>
  <c r="F2487" i="10" s="1"/>
  <c r="I2487" i="10" s="1"/>
  <c r="E2486" i="10"/>
  <c r="F2486" i="10" s="1"/>
  <c r="I2486" i="10" s="1"/>
  <c r="E2485" i="10"/>
  <c r="F2485" i="10" s="1"/>
  <c r="I2485" i="10" s="1"/>
  <c r="E2484" i="10"/>
  <c r="F2484" i="10" s="1"/>
  <c r="I2484" i="10" s="1"/>
  <c r="E2483" i="10"/>
  <c r="F2483" i="10" s="1"/>
  <c r="I2483" i="10" s="1"/>
  <c r="E2482" i="10"/>
  <c r="F2482" i="10" s="1"/>
  <c r="I2482" i="10" s="1"/>
  <c r="E2481" i="10"/>
  <c r="F2481" i="10" s="1"/>
  <c r="I2481" i="10" s="1"/>
  <c r="E2480" i="10"/>
  <c r="F2480" i="10" s="1"/>
  <c r="I2480" i="10" s="1"/>
  <c r="E2479" i="10"/>
  <c r="F2479" i="10" s="1"/>
  <c r="I2479" i="10" s="1"/>
  <c r="E2478" i="10"/>
  <c r="F2478" i="10" s="1"/>
  <c r="I2478" i="10" s="1"/>
  <c r="E2477" i="10"/>
  <c r="F2477" i="10" s="1"/>
  <c r="I2477" i="10" s="1"/>
  <c r="E2476" i="10"/>
  <c r="F2476" i="10" s="1"/>
  <c r="I2476" i="10" s="1"/>
  <c r="E2475" i="10"/>
  <c r="F2475" i="10" s="1"/>
  <c r="I2475" i="10" s="1"/>
  <c r="E2474" i="10"/>
  <c r="F2474" i="10" s="1"/>
  <c r="I2474" i="10" s="1"/>
  <c r="E2473" i="10"/>
  <c r="F2473" i="10" s="1"/>
  <c r="I2473" i="10" s="1"/>
  <c r="B2473" i="10"/>
  <c r="B2474" i="10" s="1"/>
  <c r="B2475" i="10" s="1"/>
  <c r="B2476" i="10" s="1"/>
  <c r="B2477" i="10" s="1"/>
  <c r="B2478" i="10" s="1"/>
  <c r="B2479" i="10" s="1"/>
  <c r="B2480" i="10" s="1"/>
  <c r="B2481" i="10" s="1"/>
  <c r="B2482" i="10" s="1"/>
  <c r="B2483" i="10" s="1"/>
  <c r="B2484" i="10" s="1"/>
  <c r="B2485" i="10" s="1"/>
  <c r="B2486" i="10" s="1"/>
  <c r="B2487" i="10" s="1"/>
  <c r="B2488" i="10" s="1"/>
  <c r="B2489" i="10" s="1"/>
  <c r="B2490" i="10" s="1"/>
  <c r="B2491" i="10" s="1"/>
  <c r="B2492" i="10" s="1"/>
  <c r="B2493" i="10" s="1"/>
  <c r="B2494" i="10" s="1"/>
  <c r="B2495" i="10" s="1"/>
  <c r="B2496" i="10" s="1"/>
  <c r="B2497" i="10" s="1"/>
  <c r="B2498" i="10" s="1"/>
  <c r="B2499" i="10" s="1"/>
  <c r="B2500" i="10" s="1"/>
  <c r="B2501" i="10" s="1"/>
  <c r="B2502" i="10" s="1"/>
  <c r="B2503" i="10" s="1"/>
  <c r="B2504" i="10" s="1"/>
  <c r="B2505" i="10" s="1"/>
  <c r="B2506" i="10" s="1"/>
  <c r="B2507" i="10" s="1"/>
  <c r="B2508" i="10" s="1"/>
  <c r="E2472" i="10"/>
  <c r="F2472" i="10" s="1"/>
  <c r="I2472" i="10" s="1"/>
  <c r="E2340" i="10"/>
  <c r="F2340" i="10" s="1"/>
  <c r="I2340" i="10" s="1"/>
  <c r="E2339" i="10"/>
  <c r="F2339" i="10" s="1"/>
  <c r="I2339" i="10" s="1"/>
  <c r="E2338" i="10"/>
  <c r="F2338" i="10" s="1"/>
  <c r="I2338" i="10" s="1"/>
  <c r="E2337" i="10"/>
  <c r="F2337" i="10" s="1"/>
  <c r="I2337" i="10" s="1"/>
  <c r="E2336" i="10"/>
  <c r="F2336" i="10" s="1"/>
  <c r="I2336" i="10" s="1"/>
  <c r="E2335" i="10"/>
  <c r="F2335" i="10" s="1"/>
  <c r="I2335" i="10" s="1"/>
  <c r="E2334" i="10"/>
  <c r="F2334" i="10" s="1"/>
  <c r="I2334" i="10" s="1"/>
  <c r="E2333" i="10"/>
  <c r="F2333" i="10" s="1"/>
  <c r="I2333" i="10" s="1"/>
  <c r="E2332" i="10"/>
  <c r="F2332" i="10" s="1"/>
  <c r="I2332" i="10" s="1"/>
  <c r="E2331" i="10"/>
  <c r="F2331" i="10" s="1"/>
  <c r="I2331" i="10" s="1"/>
  <c r="E2330" i="10"/>
  <c r="F2330" i="10" s="1"/>
  <c r="I2330" i="10" s="1"/>
  <c r="E2329" i="10"/>
  <c r="F2329" i="10" s="1"/>
  <c r="I2329" i="10" s="1"/>
  <c r="E2328" i="10"/>
  <c r="F2328" i="10" s="1"/>
  <c r="I2328" i="10" s="1"/>
  <c r="E2327" i="10"/>
  <c r="F2327" i="10" s="1"/>
  <c r="I2327" i="10" s="1"/>
  <c r="E2326" i="10"/>
  <c r="F2326" i="10" s="1"/>
  <c r="I2326" i="10" s="1"/>
  <c r="E2325" i="10"/>
  <c r="F2325" i="10" s="1"/>
  <c r="I2325" i="10" s="1"/>
  <c r="E2324" i="10"/>
  <c r="F2324" i="10" s="1"/>
  <c r="I2324" i="10" s="1"/>
  <c r="E2323" i="10"/>
  <c r="F2323" i="10" s="1"/>
  <c r="I2323" i="10" s="1"/>
  <c r="E2322" i="10"/>
  <c r="F2322" i="10" s="1"/>
  <c r="I2322" i="10" s="1"/>
  <c r="E2321" i="10"/>
  <c r="F2321" i="10" s="1"/>
  <c r="I2321" i="10" s="1"/>
  <c r="B2321" i="10"/>
  <c r="B2322" i="10" s="1"/>
  <c r="B2323" i="10" s="1"/>
  <c r="B2324" i="10" s="1"/>
  <c r="B2325" i="10" s="1"/>
  <c r="B2326" i="10" s="1"/>
  <c r="B2327" i="10" s="1"/>
  <c r="B2328" i="10" s="1"/>
  <c r="B2329" i="10" s="1"/>
  <c r="B2330" i="10" s="1"/>
  <c r="B2331" i="10" s="1"/>
  <c r="B2332" i="10" s="1"/>
  <c r="B2333" i="10" s="1"/>
  <c r="B2334" i="10" s="1"/>
  <c r="B2335" i="10" s="1"/>
  <c r="B2336" i="10" s="1"/>
  <c r="B2337" i="10" s="1"/>
  <c r="B2338" i="10" s="1"/>
  <c r="B2339" i="10" s="1"/>
  <c r="B2340" i="10" s="1"/>
  <c r="B2341" i="10" s="1"/>
  <c r="B2342" i="10" s="1"/>
  <c r="B2343" i="10" s="1"/>
  <c r="B2344" i="10" s="1"/>
  <c r="B2345" i="10" s="1"/>
  <c r="B2346" i="10" s="1"/>
  <c r="B2347" i="10" s="1"/>
  <c r="B2348" i="10" s="1"/>
  <c r="B2349" i="10" s="1"/>
  <c r="B2350" i="10" s="1"/>
  <c r="B2351" i="10" s="1"/>
  <c r="B2352" i="10" s="1"/>
  <c r="B2353" i="10" s="1"/>
  <c r="B2354" i="10" s="1"/>
  <c r="B2355" i="10" s="1"/>
  <c r="B2356" i="10" s="1"/>
  <c r="E2320" i="10"/>
  <c r="F2320" i="10" s="1"/>
  <c r="I2320" i="10" s="1"/>
  <c r="E2302" i="10"/>
  <c r="F2302" i="10" s="1"/>
  <c r="E2301" i="10"/>
  <c r="F2301" i="10" s="1"/>
  <c r="E2300" i="10"/>
  <c r="F2300" i="10" s="1"/>
  <c r="E2299" i="10"/>
  <c r="F2299" i="10" s="1"/>
  <c r="E2298" i="10"/>
  <c r="F2298" i="10" s="1"/>
  <c r="E2297" i="10"/>
  <c r="F2297" i="10" s="1"/>
  <c r="E2296" i="10"/>
  <c r="F2296" i="10" s="1"/>
  <c r="E2295" i="10"/>
  <c r="F2295" i="10" s="1"/>
  <c r="E2294" i="10"/>
  <c r="F2294" i="10" s="1"/>
  <c r="E2293" i="10"/>
  <c r="F2293" i="10" s="1"/>
  <c r="E2292" i="10"/>
  <c r="F2292" i="10" s="1"/>
  <c r="E2291" i="10"/>
  <c r="F2291" i="10" s="1"/>
  <c r="E2290" i="10"/>
  <c r="F2290" i="10" s="1"/>
  <c r="E2289" i="10"/>
  <c r="F2289" i="10" s="1"/>
  <c r="E2288" i="10"/>
  <c r="F2288" i="10" s="1"/>
  <c r="E2287" i="10"/>
  <c r="F2287" i="10" s="1"/>
  <c r="E2286" i="10"/>
  <c r="F2286" i="10" s="1"/>
  <c r="E2285" i="10"/>
  <c r="F2285" i="10" s="1"/>
  <c r="E2284" i="10"/>
  <c r="F2284" i="10" s="1"/>
  <c r="E2283" i="10"/>
  <c r="F2283" i="10" s="1"/>
  <c r="B2283" i="10"/>
  <c r="B2284" i="10" s="1"/>
  <c r="B2285" i="10" s="1"/>
  <c r="B2286" i="10" s="1"/>
  <c r="B2287" i="10" s="1"/>
  <c r="B2288" i="10" s="1"/>
  <c r="B2289" i="10" s="1"/>
  <c r="B2290" i="10" s="1"/>
  <c r="B2291" i="10" s="1"/>
  <c r="B2292" i="10" s="1"/>
  <c r="B2293" i="10" s="1"/>
  <c r="B2294" i="10" s="1"/>
  <c r="B2295" i="10" s="1"/>
  <c r="B2296" i="10" s="1"/>
  <c r="B2297" i="10" s="1"/>
  <c r="B2298" i="10" s="1"/>
  <c r="B2299" i="10" s="1"/>
  <c r="B2300" i="10" s="1"/>
  <c r="B2301" i="10" s="1"/>
  <c r="B2302" i="10" s="1"/>
  <c r="B2303" i="10" s="1"/>
  <c r="B2304" i="10" s="1"/>
  <c r="B2305" i="10" s="1"/>
  <c r="B2306" i="10" s="1"/>
  <c r="B2307" i="10" s="1"/>
  <c r="B2308" i="10" s="1"/>
  <c r="B2309" i="10" s="1"/>
  <c r="B2310" i="10" s="1"/>
  <c r="B2311" i="10" s="1"/>
  <c r="B2312" i="10" s="1"/>
  <c r="B2313" i="10" s="1"/>
  <c r="B2314" i="10" s="1"/>
  <c r="B2315" i="10" s="1"/>
  <c r="B2316" i="10" s="1"/>
  <c r="B2317" i="10" s="1"/>
  <c r="B2318" i="10" s="1"/>
  <c r="E2282" i="10"/>
  <c r="F2282" i="10" s="1"/>
  <c r="E2264" i="10"/>
  <c r="F2264" i="10" s="1"/>
  <c r="E2263" i="10"/>
  <c r="F2263" i="10" s="1"/>
  <c r="E2262" i="10"/>
  <c r="F2262" i="10" s="1"/>
  <c r="E2261" i="10"/>
  <c r="F2261" i="10" s="1"/>
  <c r="E2260" i="10"/>
  <c r="F2260" i="10" s="1"/>
  <c r="E2259" i="10"/>
  <c r="F2259" i="10" s="1"/>
  <c r="E2258" i="10"/>
  <c r="F2258" i="10" s="1"/>
  <c r="E2257" i="10"/>
  <c r="F2257" i="10" s="1"/>
  <c r="E2256" i="10"/>
  <c r="F2256" i="10" s="1"/>
  <c r="E2255" i="10"/>
  <c r="F2255" i="10" s="1"/>
  <c r="E2254" i="10"/>
  <c r="F2254" i="10" s="1"/>
  <c r="E2253" i="10"/>
  <c r="F2253" i="10" s="1"/>
  <c r="E2252" i="10"/>
  <c r="F2252" i="10" s="1"/>
  <c r="E2251" i="10"/>
  <c r="F2251" i="10" s="1"/>
  <c r="E2250" i="10"/>
  <c r="F2250" i="10" s="1"/>
  <c r="E2249" i="10"/>
  <c r="F2249" i="10" s="1"/>
  <c r="E2248" i="10"/>
  <c r="F2248" i="10" s="1"/>
  <c r="E2247" i="10"/>
  <c r="F2247" i="10" s="1"/>
  <c r="E2246" i="10"/>
  <c r="F2246" i="10" s="1"/>
  <c r="E2245" i="10"/>
  <c r="F2245" i="10" s="1"/>
  <c r="B2245" i="10"/>
  <c r="B2246" i="10" s="1"/>
  <c r="B2247" i="10" s="1"/>
  <c r="B2248" i="10" s="1"/>
  <c r="B2249" i="10" s="1"/>
  <c r="B2250" i="10" s="1"/>
  <c r="B2251" i="10" s="1"/>
  <c r="B2252" i="10" s="1"/>
  <c r="B2253" i="10" s="1"/>
  <c r="B2254" i="10" s="1"/>
  <c r="B2255" i="10" s="1"/>
  <c r="B2256" i="10" s="1"/>
  <c r="B2257" i="10" s="1"/>
  <c r="B2258" i="10" s="1"/>
  <c r="B2259" i="10" s="1"/>
  <c r="B2260" i="10" s="1"/>
  <c r="B2261" i="10" s="1"/>
  <c r="B2262" i="10" s="1"/>
  <c r="B2263" i="10" s="1"/>
  <c r="B2264" i="10" s="1"/>
  <c r="B2265" i="10" s="1"/>
  <c r="B2266" i="10" s="1"/>
  <c r="B2267" i="10" s="1"/>
  <c r="B2268" i="10" s="1"/>
  <c r="B2269" i="10" s="1"/>
  <c r="B2270" i="10" s="1"/>
  <c r="B2271" i="10" s="1"/>
  <c r="B2272" i="10" s="1"/>
  <c r="B2273" i="10" s="1"/>
  <c r="B2274" i="10" s="1"/>
  <c r="B2275" i="10" s="1"/>
  <c r="B2276" i="10" s="1"/>
  <c r="B2277" i="10" s="1"/>
  <c r="B2278" i="10" s="1"/>
  <c r="B2279" i="10" s="1"/>
  <c r="B2280" i="10" s="1"/>
  <c r="E2244" i="10"/>
  <c r="F2244" i="10" s="1"/>
  <c r="E2226" i="10"/>
  <c r="F2226" i="10" s="1"/>
  <c r="E2225" i="10"/>
  <c r="F2225" i="10" s="1"/>
  <c r="E2224" i="10"/>
  <c r="F2224" i="10" s="1"/>
  <c r="E2223" i="10"/>
  <c r="F2223" i="10" s="1"/>
  <c r="E2222" i="10"/>
  <c r="F2222" i="10" s="1"/>
  <c r="E2221" i="10"/>
  <c r="F2221" i="10" s="1"/>
  <c r="E2220" i="10"/>
  <c r="F2220" i="10" s="1"/>
  <c r="E2219" i="10"/>
  <c r="F2219" i="10" s="1"/>
  <c r="E2218" i="10"/>
  <c r="F2218" i="10" s="1"/>
  <c r="E2217" i="10"/>
  <c r="F2217" i="10" s="1"/>
  <c r="E2216" i="10"/>
  <c r="F2216" i="10" s="1"/>
  <c r="E2215" i="10"/>
  <c r="F2215" i="10" s="1"/>
  <c r="E2214" i="10"/>
  <c r="F2214" i="10" s="1"/>
  <c r="E2213" i="10"/>
  <c r="F2213" i="10" s="1"/>
  <c r="E2212" i="10"/>
  <c r="F2212" i="10" s="1"/>
  <c r="E2211" i="10"/>
  <c r="F2211" i="10" s="1"/>
  <c r="E2210" i="10"/>
  <c r="F2210" i="10" s="1"/>
  <c r="E2209" i="10"/>
  <c r="F2209" i="10" s="1"/>
  <c r="E2208" i="10"/>
  <c r="F2208" i="10" s="1"/>
  <c r="E2207" i="10"/>
  <c r="F2207" i="10" s="1"/>
  <c r="B2207" i="10"/>
  <c r="B2208" i="10" s="1"/>
  <c r="B2209" i="10" s="1"/>
  <c r="B2210" i="10" s="1"/>
  <c r="B2211" i="10" s="1"/>
  <c r="B2212" i="10" s="1"/>
  <c r="B2213" i="10" s="1"/>
  <c r="B2214" i="10" s="1"/>
  <c r="B2215" i="10" s="1"/>
  <c r="B2216" i="10" s="1"/>
  <c r="B2217" i="10" s="1"/>
  <c r="B2218" i="10" s="1"/>
  <c r="B2219" i="10" s="1"/>
  <c r="B2220" i="10" s="1"/>
  <c r="B2221" i="10" s="1"/>
  <c r="B2222" i="10" s="1"/>
  <c r="B2223" i="10" s="1"/>
  <c r="B2224" i="10" s="1"/>
  <c r="B2225" i="10" s="1"/>
  <c r="B2226" i="10" s="1"/>
  <c r="B2227" i="10" s="1"/>
  <c r="B2228" i="10" s="1"/>
  <c r="B2229" i="10" s="1"/>
  <c r="B2230" i="10" s="1"/>
  <c r="B2231" i="10" s="1"/>
  <c r="B2232" i="10" s="1"/>
  <c r="B2233" i="10" s="1"/>
  <c r="B2234" i="10" s="1"/>
  <c r="B2235" i="10" s="1"/>
  <c r="B2236" i="10" s="1"/>
  <c r="B2237" i="10" s="1"/>
  <c r="B2238" i="10" s="1"/>
  <c r="B2239" i="10" s="1"/>
  <c r="B2240" i="10" s="1"/>
  <c r="B2241" i="10" s="1"/>
  <c r="B2242" i="10" s="1"/>
  <c r="E2206" i="10"/>
  <c r="F2206" i="10" s="1"/>
  <c r="E2188" i="10"/>
  <c r="F2188" i="10" s="1"/>
  <c r="I2188" i="10" s="1"/>
  <c r="E2187" i="10"/>
  <c r="F2187" i="10" s="1"/>
  <c r="I2187" i="10" s="1"/>
  <c r="E2186" i="10"/>
  <c r="F2186" i="10" s="1"/>
  <c r="I2186" i="10" s="1"/>
  <c r="E2185" i="10"/>
  <c r="F2185" i="10" s="1"/>
  <c r="I2185" i="10" s="1"/>
  <c r="E2184" i="10"/>
  <c r="F2184" i="10" s="1"/>
  <c r="I2184" i="10" s="1"/>
  <c r="E2183" i="10"/>
  <c r="F2183" i="10" s="1"/>
  <c r="I2183" i="10" s="1"/>
  <c r="E2182" i="10"/>
  <c r="F2182" i="10" s="1"/>
  <c r="I2182" i="10" s="1"/>
  <c r="E2181" i="10"/>
  <c r="F2181" i="10" s="1"/>
  <c r="I2181" i="10" s="1"/>
  <c r="E2180" i="10"/>
  <c r="F2180" i="10" s="1"/>
  <c r="I2180" i="10" s="1"/>
  <c r="E2179" i="10"/>
  <c r="F2179" i="10" s="1"/>
  <c r="I2179" i="10" s="1"/>
  <c r="E2178" i="10"/>
  <c r="F2178" i="10" s="1"/>
  <c r="I2178" i="10" s="1"/>
  <c r="E2177" i="10"/>
  <c r="F2177" i="10" s="1"/>
  <c r="I2177" i="10" s="1"/>
  <c r="E2176" i="10"/>
  <c r="F2176" i="10" s="1"/>
  <c r="I2176" i="10" s="1"/>
  <c r="E2175" i="10"/>
  <c r="F2175" i="10" s="1"/>
  <c r="I2175" i="10" s="1"/>
  <c r="E2174" i="10"/>
  <c r="F2174" i="10" s="1"/>
  <c r="I2174" i="10" s="1"/>
  <c r="E2173" i="10"/>
  <c r="F2173" i="10" s="1"/>
  <c r="I2173" i="10" s="1"/>
  <c r="E2172" i="10"/>
  <c r="F2172" i="10" s="1"/>
  <c r="I2172" i="10" s="1"/>
  <c r="E2171" i="10"/>
  <c r="F2171" i="10" s="1"/>
  <c r="I2171" i="10" s="1"/>
  <c r="E2170" i="10"/>
  <c r="F2170" i="10" s="1"/>
  <c r="I2170" i="10" s="1"/>
  <c r="E2169" i="10"/>
  <c r="F2169" i="10" s="1"/>
  <c r="I2169" i="10" s="1"/>
  <c r="B2169" i="10"/>
  <c r="B2170" i="10" s="1"/>
  <c r="B2171" i="10" s="1"/>
  <c r="B2172" i="10" s="1"/>
  <c r="B2173" i="10" s="1"/>
  <c r="B2174" i="10" s="1"/>
  <c r="B2175" i="10" s="1"/>
  <c r="B2176" i="10" s="1"/>
  <c r="B2177" i="10" s="1"/>
  <c r="B2178" i="10" s="1"/>
  <c r="B2179" i="10" s="1"/>
  <c r="B2180" i="10" s="1"/>
  <c r="B2181" i="10" s="1"/>
  <c r="B2182" i="10" s="1"/>
  <c r="B2183" i="10" s="1"/>
  <c r="B2184" i="10" s="1"/>
  <c r="B2185" i="10" s="1"/>
  <c r="B2186" i="10" s="1"/>
  <c r="B2187" i="10" s="1"/>
  <c r="B2188" i="10" s="1"/>
  <c r="B2189" i="10" s="1"/>
  <c r="B2190" i="10" s="1"/>
  <c r="B2191" i="10" s="1"/>
  <c r="B2192" i="10" s="1"/>
  <c r="B2193" i="10" s="1"/>
  <c r="B2194" i="10" s="1"/>
  <c r="B2195" i="10" s="1"/>
  <c r="B2196" i="10" s="1"/>
  <c r="B2197" i="10" s="1"/>
  <c r="B2198" i="10" s="1"/>
  <c r="B2199" i="10" s="1"/>
  <c r="B2200" i="10" s="1"/>
  <c r="B2201" i="10" s="1"/>
  <c r="B2202" i="10" s="1"/>
  <c r="B2203" i="10" s="1"/>
  <c r="B2204" i="10" s="1"/>
  <c r="E2168" i="10"/>
  <c r="F2168" i="10" s="1"/>
  <c r="I2168" i="10" s="1"/>
  <c r="E2150" i="10"/>
  <c r="F2150" i="10" s="1"/>
  <c r="I2150" i="10" s="1"/>
  <c r="E2149" i="10"/>
  <c r="F2149" i="10" s="1"/>
  <c r="I2149" i="10" s="1"/>
  <c r="E2148" i="10"/>
  <c r="F2148" i="10" s="1"/>
  <c r="I2148" i="10" s="1"/>
  <c r="E2147" i="10"/>
  <c r="F2147" i="10" s="1"/>
  <c r="I2147" i="10" s="1"/>
  <c r="E2146" i="10"/>
  <c r="F2146" i="10" s="1"/>
  <c r="I2146" i="10" s="1"/>
  <c r="E2145" i="10"/>
  <c r="F2145" i="10" s="1"/>
  <c r="I2145" i="10" s="1"/>
  <c r="E2144" i="10"/>
  <c r="F2144" i="10" s="1"/>
  <c r="I2144" i="10" s="1"/>
  <c r="E2143" i="10"/>
  <c r="F2143" i="10" s="1"/>
  <c r="I2143" i="10" s="1"/>
  <c r="E2142" i="10"/>
  <c r="F2142" i="10" s="1"/>
  <c r="I2142" i="10" s="1"/>
  <c r="E2141" i="10"/>
  <c r="F2141" i="10" s="1"/>
  <c r="I2141" i="10" s="1"/>
  <c r="E2140" i="10"/>
  <c r="F2140" i="10" s="1"/>
  <c r="I2140" i="10" s="1"/>
  <c r="E2139" i="10"/>
  <c r="F2139" i="10" s="1"/>
  <c r="I2139" i="10" s="1"/>
  <c r="E2138" i="10"/>
  <c r="F2138" i="10" s="1"/>
  <c r="I2138" i="10" s="1"/>
  <c r="E2137" i="10"/>
  <c r="F2137" i="10" s="1"/>
  <c r="I2137" i="10" s="1"/>
  <c r="E2136" i="10"/>
  <c r="F2136" i="10" s="1"/>
  <c r="I2136" i="10" s="1"/>
  <c r="E2135" i="10"/>
  <c r="F2135" i="10" s="1"/>
  <c r="I2135" i="10" s="1"/>
  <c r="E2134" i="10"/>
  <c r="F2134" i="10" s="1"/>
  <c r="I2134" i="10" s="1"/>
  <c r="E2133" i="10"/>
  <c r="F2133" i="10" s="1"/>
  <c r="I2133" i="10" s="1"/>
  <c r="E2132" i="10"/>
  <c r="F2132" i="10" s="1"/>
  <c r="I2132" i="10" s="1"/>
  <c r="E2131" i="10"/>
  <c r="F2131" i="10" s="1"/>
  <c r="I2131" i="10" s="1"/>
  <c r="B2131" i="10"/>
  <c r="B2132" i="10" s="1"/>
  <c r="B2133" i="10" s="1"/>
  <c r="B2134" i="10" s="1"/>
  <c r="B2135" i="10" s="1"/>
  <c r="B2136" i="10" s="1"/>
  <c r="B2137" i="10" s="1"/>
  <c r="B2138" i="10" s="1"/>
  <c r="B2139" i="10" s="1"/>
  <c r="B2140" i="10" s="1"/>
  <c r="B2141" i="10" s="1"/>
  <c r="B2142" i="10" s="1"/>
  <c r="B2143" i="10" s="1"/>
  <c r="B2144" i="10" s="1"/>
  <c r="B2145" i="10" s="1"/>
  <c r="B2146" i="10" s="1"/>
  <c r="B2147" i="10" s="1"/>
  <c r="B2148" i="10" s="1"/>
  <c r="B2149" i="10" s="1"/>
  <c r="B2150" i="10" s="1"/>
  <c r="B2151" i="10" s="1"/>
  <c r="B2152" i="10" s="1"/>
  <c r="B2153" i="10" s="1"/>
  <c r="B2154" i="10" s="1"/>
  <c r="B2155" i="10" s="1"/>
  <c r="B2156" i="10" s="1"/>
  <c r="B2157" i="10" s="1"/>
  <c r="B2158" i="10" s="1"/>
  <c r="B2159" i="10" s="1"/>
  <c r="B2160" i="10" s="1"/>
  <c r="B2161" i="10" s="1"/>
  <c r="B2162" i="10" s="1"/>
  <c r="B2163" i="10" s="1"/>
  <c r="B2164" i="10" s="1"/>
  <c r="B2165" i="10" s="1"/>
  <c r="B2166" i="10" s="1"/>
  <c r="E2130" i="10"/>
  <c r="F2130" i="10" s="1"/>
  <c r="I2130" i="10" s="1"/>
  <c r="E2112" i="10"/>
  <c r="F2112" i="10" s="1"/>
  <c r="I2112" i="10" s="1"/>
  <c r="E2111" i="10"/>
  <c r="F2111" i="10" s="1"/>
  <c r="I2111" i="10" s="1"/>
  <c r="E2110" i="10"/>
  <c r="F2110" i="10" s="1"/>
  <c r="I2110" i="10" s="1"/>
  <c r="E2109" i="10"/>
  <c r="F2109" i="10" s="1"/>
  <c r="I2109" i="10" s="1"/>
  <c r="E2108" i="10"/>
  <c r="F2108" i="10" s="1"/>
  <c r="I2108" i="10" s="1"/>
  <c r="E2107" i="10"/>
  <c r="F2107" i="10" s="1"/>
  <c r="I2107" i="10" s="1"/>
  <c r="E2106" i="10"/>
  <c r="F2106" i="10" s="1"/>
  <c r="I2106" i="10" s="1"/>
  <c r="E2105" i="10"/>
  <c r="F2105" i="10" s="1"/>
  <c r="I2105" i="10" s="1"/>
  <c r="E2104" i="10"/>
  <c r="F2104" i="10" s="1"/>
  <c r="I2104" i="10" s="1"/>
  <c r="E2103" i="10"/>
  <c r="F2103" i="10" s="1"/>
  <c r="I2103" i="10" s="1"/>
  <c r="E2102" i="10"/>
  <c r="F2102" i="10" s="1"/>
  <c r="I2102" i="10" s="1"/>
  <c r="E2101" i="10"/>
  <c r="F2101" i="10" s="1"/>
  <c r="I2101" i="10" s="1"/>
  <c r="E2100" i="10"/>
  <c r="F2100" i="10" s="1"/>
  <c r="I2100" i="10" s="1"/>
  <c r="E2099" i="10"/>
  <c r="F2099" i="10" s="1"/>
  <c r="I2099" i="10" s="1"/>
  <c r="E2098" i="10"/>
  <c r="F2098" i="10" s="1"/>
  <c r="I2098" i="10" s="1"/>
  <c r="E2097" i="10"/>
  <c r="F2097" i="10" s="1"/>
  <c r="I2097" i="10" s="1"/>
  <c r="E2096" i="10"/>
  <c r="F2096" i="10" s="1"/>
  <c r="I2096" i="10" s="1"/>
  <c r="E2095" i="10"/>
  <c r="F2095" i="10" s="1"/>
  <c r="I2095" i="10" s="1"/>
  <c r="E2094" i="10"/>
  <c r="F2094" i="10" s="1"/>
  <c r="I2094" i="10" s="1"/>
  <c r="E2093" i="10"/>
  <c r="F2093" i="10" s="1"/>
  <c r="I2093" i="10" s="1"/>
  <c r="B2093" i="10"/>
  <c r="B2094" i="10" s="1"/>
  <c r="B2095" i="10" s="1"/>
  <c r="B2096" i="10" s="1"/>
  <c r="B2097" i="10" s="1"/>
  <c r="B2098" i="10" s="1"/>
  <c r="B2099" i="10" s="1"/>
  <c r="B2100" i="10" s="1"/>
  <c r="B2101" i="10" s="1"/>
  <c r="B2102" i="10" s="1"/>
  <c r="B2103" i="10" s="1"/>
  <c r="B2104" i="10" s="1"/>
  <c r="B2105" i="10" s="1"/>
  <c r="B2106" i="10" s="1"/>
  <c r="B2107" i="10" s="1"/>
  <c r="B2108" i="10" s="1"/>
  <c r="B2109" i="10" s="1"/>
  <c r="B2110" i="10" s="1"/>
  <c r="B2111" i="10" s="1"/>
  <c r="B2112" i="10" s="1"/>
  <c r="B2113" i="10" s="1"/>
  <c r="B2114" i="10" s="1"/>
  <c r="B2115" i="10" s="1"/>
  <c r="B2116" i="10" s="1"/>
  <c r="B2117" i="10" s="1"/>
  <c r="B2118" i="10" s="1"/>
  <c r="B2119" i="10" s="1"/>
  <c r="B2120" i="10" s="1"/>
  <c r="B2121" i="10" s="1"/>
  <c r="B2122" i="10" s="1"/>
  <c r="B2123" i="10" s="1"/>
  <c r="B2124" i="10" s="1"/>
  <c r="B2125" i="10" s="1"/>
  <c r="B2126" i="10" s="1"/>
  <c r="B2127" i="10" s="1"/>
  <c r="B2128" i="10" s="1"/>
  <c r="E2092" i="10"/>
  <c r="F2092" i="10" s="1"/>
  <c r="I2092" i="10" s="1"/>
  <c r="E2074" i="10"/>
  <c r="F2074" i="10" s="1"/>
  <c r="I2074" i="10" s="1"/>
  <c r="E2073" i="10"/>
  <c r="F2073" i="10" s="1"/>
  <c r="I2073" i="10" s="1"/>
  <c r="E2072" i="10"/>
  <c r="F2072" i="10" s="1"/>
  <c r="I2072" i="10" s="1"/>
  <c r="E2071" i="10"/>
  <c r="F2071" i="10" s="1"/>
  <c r="I2071" i="10" s="1"/>
  <c r="E2070" i="10"/>
  <c r="F2070" i="10" s="1"/>
  <c r="I2070" i="10" s="1"/>
  <c r="E2069" i="10"/>
  <c r="F2069" i="10" s="1"/>
  <c r="I2069" i="10" s="1"/>
  <c r="E2068" i="10"/>
  <c r="F2068" i="10" s="1"/>
  <c r="I2068" i="10" s="1"/>
  <c r="E2067" i="10"/>
  <c r="F2067" i="10" s="1"/>
  <c r="I2067" i="10" s="1"/>
  <c r="E2066" i="10"/>
  <c r="F2066" i="10" s="1"/>
  <c r="I2066" i="10" s="1"/>
  <c r="E2065" i="10"/>
  <c r="F2065" i="10" s="1"/>
  <c r="I2065" i="10" s="1"/>
  <c r="E2064" i="10"/>
  <c r="F2064" i="10" s="1"/>
  <c r="I2064" i="10" s="1"/>
  <c r="E2063" i="10"/>
  <c r="F2063" i="10" s="1"/>
  <c r="I2063" i="10" s="1"/>
  <c r="E2062" i="10"/>
  <c r="F2062" i="10" s="1"/>
  <c r="I2062" i="10" s="1"/>
  <c r="E2061" i="10"/>
  <c r="F2061" i="10" s="1"/>
  <c r="I2061" i="10" s="1"/>
  <c r="E2060" i="10"/>
  <c r="F2060" i="10" s="1"/>
  <c r="I2060" i="10" s="1"/>
  <c r="E2059" i="10"/>
  <c r="F2059" i="10" s="1"/>
  <c r="I2059" i="10" s="1"/>
  <c r="E2058" i="10"/>
  <c r="F2058" i="10" s="1"/>
  <c r="I2058" i="10" s="1"/>
  <c r="E2057" i="10"/>
  <c r="F2057" i="10" s="1"/>
  <c r="I2057" i="10" s="1"/>
  <c r="E2056" i="10"/>
  <c r="F2056" i="10" s="1"/>
  <c r="I2056" i="10" s="1"/>
  <c r="E2055" i="10"/>
  <c r="F2055" i="10" s="1"/>
  <c r="I2055" i="10" s="1"/>
  <c r="B2055" i="10"/>
  <c r="B2056" i="10" s="1"/>
  <c r="B2057" i="10" s="1"/>
  <c r="B2058" i="10" s="1"/>
  <c r="B2059" i="10" s="1"/>
  <c r="B2060" i="10" s="1"/>
  <c r="B2061" i="10" s="1"/>
  <c r="B2062" i="10" s="1"/>
  <c r="B2063" i="10" s="1"/>
  <c r="B2064" i="10" s="1"/>
  <c r="B2065" i="10" s="1"/>
  <c r="B2066" i="10" s="1"/>
  <c r="B2067" i="10" s="1"/>
  <c r="B2068" i="10" s="1"/>
  <c r="B2069" i="10" s="1"/>
  <c r="B2070" i="10" s="1"/>
  <c r="B2071" i="10" s="1"/>
  <c r="B2072" i="10" s="1"/>
  <c r="B2073" i="10" s="1"/>
  <c r="B2074" i="10" s="1"/>
  <c r="B2075" i="10" s="1"/>
  <c r="B2076" i="10" s="1"/>
  <c r="B2077" i="10" s="1"/>
  <c r="B2078" i="10" s="1"/>
  <c r="B2079" i="10" s="1"/>
  <c r="B2080" i="10" s="1"/>
  <c r="B2081" i="10" s="1"/>
  <c r="B2082" i="10" s="1"/>
  <c r="B2083" i="10" s="1"/>
  <c r="B2084" i="10" s="1"/>
  <c r="B2085" i="10" s="1"/>
  <c r="B2086" i="10" s="1"/>
  <c r="B2087" i="10" s="1"/>
  <c r="B2088" i="10" s="1"/>
  <c r="B2089" i="10" s="1"/>
  <c r="B2090" i="10" s="1"/>
  <c r="E2054" i="10"/>
  <c r="F2054" i="10" s="1"/>
  <c r="I2054" i="10" s="1"/>
  <c r="E2036" i="10"/>
  <c r="F2036" i="10" s="1"/>
  <c r="E2035" i="10"/>
  <c r="F2035" i="10" s="1"/>
  <c r="E2034" i="10"/>
  <c r="F2034" i="10" s="1"/>
  <c r="E2033" i="10"/>
  <c r="F2033" i="10" s="1"/>
  <c r="E2032" i="10"/>
  <c r="F2032" i="10" s="1"/>
  <c r="E2031" i="10"/>
  <c r="F2031" i="10" s="1"/>
  <c r="E2030" i="10"/>
  <c r="F2030" i="10" s="1"/>
  <c r="E2029" i="10"/>
  <c r="F2029" i="10" s="1"/>
  <c r="E2028" i="10"/>
  <c r="F2028" i="10" s="1"/>
  <c r="E2027" i="10"/>
  <c r="F2027" i="10" s="1"/>
  <c r="E2026" i="10"/>
  <c r="F2026" i="10" s="1"/>
  <c r="E2025" i="10"/>
  <c r="F2025" i="10" s="1"/>
  <c r="E2024" i="10"/>
  <c r="F2024" i="10" s="1"/>
  <c r="E2023" i="10"/>
  <c r="F2023" i="10" s="1"/>
  <c r="E2022" i="10"/>
  <c r="F2022" i="10" s="1"/>
  <c r="E2021" i="10"/>
  <c r="F2021" i="10" s="1"/>
  <c r="E2020" i="10"/>
  <c r="F2020" i="10" s="1"/>
  <c r="E2019" i="10"/>
  <c r="F2019" i="10" s="1"/>
  <c r="E2018" i="10"/>
  <c r="F2018" i="10" s="1"/>
  <c r="E2017" i="10"/>
  <c r="F2017" i="10" s="1"/>
  <c r="B2017" i="10"/>
  <c r="B2018" i="10" s="1"/>
  <c r="B2019" i="10" s="1"/>
  <c r="B2020" i="10" s="1"/>
  <c r="B2021" i="10" s="1"/>
  <c r="B2022" i="10" s="1"/>
  <c r="B2023" i="10" s="1"/>
  <c r="B2024" i="10" s="1"/>
  <c r="B2025" i="10" s="1"/>
  <c r="B2026" i="10" s="1"/>
  <c r="B2027" i="10" s="1"/>
  <c r="B2028" i="10" s="1"/>
  <c r="B2029" i="10" s="1"/>
  <c r="B2030" i="10" s="1"/>
  <c r="B2031" i="10" s="1"/>
  <c r="B2032" i="10" s="1"/>
  <c r="B2033" i="10" s="1"/>
  <c r="B2034" i="10" s="1"/>
  <c r="B2035" i="10" s="1"/>
  <c r="B2036" i="10" s="1"/>
  <c r="B2037" i="10" s="1"/>
  <c r="B2038" i="10" s="1"/>
  <c r="B2039" i="10" s="1"/>
  <c r="B2040" i="10" s="1"/>
  <c r="B2041" i="10" s="1"/>
  <c r="B2042" i="10" s="1"/>
  <c r="B2043" i="10" s="1"/>
  <c r="B2044" i="10" s="1"/>
  <c r="B2045" i="10" s="1"/>
  <c r="B2046" i="10" s="1"/>
  <c r="B2047" i="10" s="1"/>
  <c r="B2048" i="10" s="1"/>
  <c r="B2049" i="10" s="1"/>
  <c r="B2050" i="10" s="1"/>
  <c r="B2051" i="10" s="1"/>
  <c r="B2052" i="10" s="1"/>
  <c r="E2016" i="10"/>
  <c r="F2016" i="10" s="1"/>
  <c r="E1998" i="10"/>
  <c r="F1998" i="10" s="1"/>
  <c r="E1997" i="10"/>
  <c r="F1997" i="10" s="1"/>
  <c r="E1996" i="10"/>
  <c r="F1996" i="10" s="1"/>
  <c r="E1995" i="10"/>
  <c r="F1995" i="10" s="1"/>
  <c r="E1994" i="10"/>
  <c r="F1994" i="10" s="1"/>
  <c r="E1993" i="10"/>
  <c r="F1993" i="10" s="1"/>
  <c r="E1992" i="10"/>
  <c r="F1992" i="10" s="1"/>
  <c r="E1991" i="10"/>
  <c r="F1991" i="10" s="1"/>
  <c r="E1990" i="10"/>
  <c r="F1990" i="10" s="1"/>
  <c r="E1989" i="10"/>
  <c r="F1989" i="10" s="1"/>
  <c r="E1988" i="10"/>
  <c r="F1988" i="10" s="1"/>
  <c r="E1987" i="10"/>
  <c r="F1987" i="10" s="1"/>
  <c r="E1986" i="10"/>
  <c r="F1986" i="10" s="1"/>
  <c r="E1985" i="10"/>
  <c r="F1985" i="10" s="1"/>
  <c r="E1984" i="10"/>
  <c r="F1984" i="10" s="1"/>
  <c r="E1983" i="10"/>
  <c r="F1983" i="10" s="1"/>
  <c r="E1982" i="10"/>
  <c r="F1982" i="10" s="1"/>
  <c r="E1981" i="10"/>
  <c r="F1981" i="10" s="1"/>
  <c r="E1980" i="10"/>
  <c r="F1980" i="10" s="1"/>
  <c r="E1979" i="10"/>
  <c r="F1979" i="10" s="1"/>
  <c r="B1979" i="10"/>
  <c r="B1980" i="10" s="1"/>
  <c r="B1981" i="10" s="1"/>
  <c r="B1982" i="10" s="1"/>
  <c r="B1983" i="10" s="1"/>
  <c r="B1984" i="10" s="1"/>
  <c r="B1985" i="10" s="1"/>
  <c r="B1986" i="10" s="1"/>
  <c r="B1987" i="10" s="1"/>
  <c r="B1988" i="10" s="1"/>
  <c r="B1989" i="10" s="1"/>
  <c r="B1990" i="10" s="1"/>
  <c r="B1991" i="10" s="1"/>
  <c r="B1992" i="10" s="1"/>
  <c r="B1993" i="10" s="1"/>
  <c r="B1994" i="10" s="1"/>
  <c r="B1995" i="10" s="1"/>
  <c r="B1996" i="10" s="1"/>
  <c r="B1997" i="10" s="1"/>
  <c r="B1998" i="10" s="1"/>
  <c r="B1999" i="10" s="1"/>
  <c r="B2000" i="10" s="1"/>
  <c r="B2001" i="10" s="1"/>
  <c r="B2002" i="10" s="1"/>
  <c r="B2003" i="10" s="1"/>
  <c r="B2004" i="10" s="1"/>
  <c r="B2005" i="10" s="1"/>
  <c r="B2006" i="10" s="1"/>
  <c r="B2007" i="10" s="1"/>
  <c r="B2008" i="10" s="1"/>
  <c r="B2009" i="10" s="1"/>
  <c r="B2010" i="10" s="1"/>
  <c r="B2011" i="10" s="1"/>
  <c r="B2012" i="10" s="1"/>
  <c r="B2013" i="10" s="1"/>
  <c r="B2014" i="10" s="1"/>
  <c r="E1978" i="10"/>
  <c r="F1978" i="10" s="1"/>
  <c r="E1960" i="10"/>
  <c r="F1960" i="10" s="1"/>
  <c r="E1959" i="10"/>
  <c r="F1959" i="10" s="1"/>
  <c r="E1958" i="10"/>
  <c r="F1958" i="10" s="1"/>
  <c r="E1957" i="10"/>
  <c r="F1957" i="10" s="1"/>
  <c r="E1956" i="10"/>
  <c r="F1956" i="10" s="1"/>
  <c r="E1955" i="10"/>
  <c r="F1955" i="10" s="1"/>
  <c r="E1954" i="10"/>
  <c r="F1954" i="10" s="1"/>
  <c r="E1953" i="10"/>
  <c r="F1953" i="10" s="1"/>
  <c r="E1952" i="10"/>
  <c r="F1952" i="10" s="1"/>
  <c r="E1951" i="10"/>
  <c r="F1951" i="10" s="1"/>
  <c r="E1950" i="10"/>
  <c r="F1950" i="10" s="1"/>
  <c r="E1949" i="10"/>
  <c r="F1949" i="10" s="1"/>
  <c r="E1948" i="10"/>
  <c r="F1948" i="10" s="1"/>
  <c r="E1947" i="10"/>
  <c r="F1947" i="10" s="1"/>
  <c r="E1946" i="10"/>
  <c r="F1946" i="10" s="1"/>
  <c r="E1945" i="10"/>
  <c r="F1945" i="10" s="1"/>
  <c r="E1944" i="10"/>
  <c r="F1944" i="10" s="1"/>
  <c r="E1943" i="10"/>
  <c r="F1943" i="10" s="1"/>
  <c r="E1942" i="10"/>
  <c r="F1942" i="10" s="1"/>
  <c r="E1941" i="10"/>
  <c r="F1941" i="10" s="1"/>
  <c r="B1941" i="10"/>
  <c r="B1942" i="10" s="1"/>
  <c r="B1943" i="10" s="1"/>
  <c r="B1944" i="10" s="1"/>
  <c r="B1945" i="10" s="1"/>
  <c r="B1946" i="10" s="1"/>
  <c r="B1947" i="10" s="1"/>
  <c r="B1948" i="10" s="1"/>
  <c r="B1949" i="10" s="1"/>
  <c r="B1950" i="10" s="1"/>
  <c r="B1951" i="10" s="1"/>
  <c r="B1952" i="10" s="1"/>
  <c r="B1953" i="10" s="1"/>
  <c r="B1954" i="10" s="1"/>
  <c r="B1955" i="10" s="1"/>
  <c r="B1956" i="10" s="1"/>
  <c r="B1957" i="10" s="1"/>
  <c r="B1958" i="10" s="1"/>
  <c r="B1959" i="10" s="1"/>
  <c r="B1960" i="10" s="1"/>
  <c r="B1961" i="10" s="1"/>
  <c r="B1962" i="10" s="1"/>
  <c r="B1963" i="10" s="1"/>
  <c r="B1964" i="10" s="1"/>
  <c r="B1965" i="10" s="1"/>
  <c r="B1966" i="10" s="1"/>
  <c r="B1967" i="10" s="1"/>
  <c r="B1968" i="10" s="1"/>
  <c r="B1969" i="10" s="1"/>
  <c r="B1970" i="10" s="1"/>
  <c r="B1971" i="10" s="1"/>
  <c r="B1972" i="10" s="1"/>
  <c r="B1973" i="10" s="1"/>
  <c r="B1974" i="10" s="1"/>
  <c r="B1975" i="10" s="1"/>
  <c r="B1976" i="10" s="1"/>
  <c r="E1940" i="10"/>
  <c r="F1940" i="10" s="1"/>
  <c r="E1922" i="10"/>
  <c r="F1922" i="10" s="1"/>
  <c r="I1922" i="10" s="1"/>
  <c r="E1921" i="10"/>
  <c r="F1921" i="10" s="1"/>
  <c r="I1921" i="10" s="1"/>
  <c r="E1920" i="10"/>
  <c r="F1920" i="10" s="1"/>
  <c r="I1920" i="10" s="1"/>
  <c r="E1919" i="10"/>
  <c r="F1919" i="10" s="1"/>
  <c r="I1919" i="10" s="1"/>
  <c r="E1918" i="10"/>
  <c r="F1918" i="10" s="1"/>
  <c r="I1918" i="10" s="1"/>
  <c r="E1917" i="10"/>
  <c r="F1917" i="10" s="1"/>
  <c r="I1917" i="10" s="1"/>
  <c r="E1916" i="10"/>
  <c r="F1916" i="10" s="1"/>
  <c r="I1916" i="10" s="1"/>
  <c r="E1915" i="10"/>
  <c r="F1915" i="10" s="1"/>
  <c r="I1915" i="10" s="1"/>
  <c r="E1914" i="10"/>
  <c r="F1914" i="10" s="1"/>
  <c r="I1914" i="10" s="1"/>
  <c r="E1913" i="10"/>
  <c r="F1913" i="10" s="1"/>
  <c r="I1913" i="10" s="1"/>
  <c r="E1912" i="10"/>
  <c r="F1912" i="10" s="1"/>
  <c r="I1912" i="10" s="1"/>
  <c r="E1911" i="10"/>
  <c r="F1911" i="10" s="1"/>
  <c r="I1911" i="10" s="1"/>
  <c r="E1910" i="10"/>
  <c r="F1910" i="10" s="1"/>
  <c r="I1910" i="10" s="1"/>
  <c r="E1909" i="10"/>
  <c r="F1909" i="10" s="1"/>
  <c r="I1909" i="10" s="1"/>
  <c r="E1908" i="10"/>
  <c r="F1908" i="10" s="1"/>
  <c r="I1908" i="10" s="1"/>
  <c r="E1907" i="10"/>
  <c r="F1907" i="10" s="1"/>
  <c r="I1907" i="10" s="1"/>
  <c r="E1906" i="10"/>
  <c r="F1906" i="10" s="1"/>
  <c r="I1906" i="10" s="1"/>
  <c r="E1905" i="10"/>
  <c r="F1905" i="10" s="1"/>
  <c r="I1905" i="10" s="1"/>
  <c r="E1904" i="10"/>
  <c r="F1904" i="10" s="1"/>
  <c r="I1904" i="10" s="1"/>
  <c r="E1903" i="10"/>
  <c r="F1903" i="10" s="1"/>
  <c r="I1903" i="10" s="1"/>
  <c r="B1903" i="10"/>
  <c r="B1904" i="10" s="1"/>
  <c r="B1905" i="10" s="1"/>
  <c r="B1906" i="10" s="1"/>
  <c r="B1907" i="10" s="1"/>
  <c r="B1908" i="10" s="1"/>
  <c r="B1909" i="10" s="1"/>
  <c r="B1910" i="10" s="1"/>
  <c r="B1911" i="10" s="1"/>
  <c r="B1912" i="10" s="1"/>
  <c r="B1913" i="10" s="1"/>
  <c r="B1914" i="10" s="1"/>
  <c r="B1915" i="10" s="1"/>
  <c r="B1916" i="10" s="1"/>
  <c r="B1917" i="10" s="1"/>
  <c r="B1918" i="10" s="1"/>
  <c r="B1919" i="10" s="1"/>
  <c r="B1920" i="10" s="1"/>
  <c r="B1921" i="10" s="1"/>
  <c r="B1922" i="10" s="1"/>
  <c r="B1923" i="10" s="1"/>
  <c r="B1924" i="10" s="1"/>
  <c r="B1925" i="10" s="1"/>
  <c r="B1926" i="10" s="1"/>
  <c r="B1927" i="10" s="1"/>
  <c r="B1928" i="10" s="1"/>
  <c r="B1929" i="10" s="1"/>
  <c r="B1930" i="10" s="1"/>
  <c r="B1931" i="10" s="1"/>
  <c r="B1932" i="10" s="1"/>
  <c r="B1933" i="10" s="1"/>
  <c r="B1934" i="10" s="1"/>
  <c r="B1935" i="10" s="1"/>
  <c r="B1936" i="10" s="1"/>
  <c r="B1937" i="10" s="1"/>
  <c r="B1938" i="10" s="1"/>
  <c r="E1902" i="10"/>
  <c r="F1902" i="10" s="1"/>
  <c r="I1902" i="10" s="1"/>
  <c r="E1884" i="10"/>
  <c r="F1884" i="10" s="1"/>
  <c r="E1883" i="10"/>
  <c r="F1883" i="10" s="1"/>
  <c r="E1882" i="10"/>
  <c r="F1882" i="10" s="1"/>
  <c r="E1881" i="10"/>
  <c r="F1881" i="10" s="1"/>
  <c r="E1880" i="10"/>
  <c r="F1880" i="10" s="1"/>
  <c r="E1879" i="10"/>
  <c r="F1879" i="10" s="1"/>
  <c r="E1878" i="10"/>
  <c r="F1878" i="10" s="1"/>
  <c r="E1877" i="10"/>
  <c r="F1877" i="10" s="1"/>
  <c r="E1876" i="10"/>
  <c r="F1876" i="10" s="1"/>
  <c r="E1875" i="10"/>
  <c r="F1875" i="10" s="1"/>
  <c r="E1874" i="10"/>
  <c r="F1874" i="10" s="1"/>
  <c r="E1873" i="10"/>
  <c r="F1873" i="10" s="1"/>
  <c r="E1872" i="10"/>
  <c r="F1872" i="10" s="1"/>
  <c r="E1871" i="10"/>
  <c r="F1871" i="10" s="1"/>
  <c r="E1870" i="10"/>
  <c r="F1870" i="10" s="1"/>
  <c r="E1869" i="10"/>
  <c r="F1869" i="10" s="1"/>
  <c r="E1868" i="10"/>
  <c r="F1868" i="10" s="1"/>
  <c r="E1867" i="10"/>
  <c r="F1867" i="10" s="1"/>
  <c r="E1866" i="10"/>
  <c r="F1866" i="10" s="1"/>
  <c r="E1865" i="10"/>
  <c r="F1865" i="10" s="1"/>
  <c r="B1865" i="10"/>
  <c r="B1866" i="10" s="1"/>
  <c r="B1867" i="10" s="1"/>
  <c r="B1868" i="10" s="1"/>
  <c r="B1869" i="10" s="1"/>
  <c r="B1870" i="10" s="1"/>
  <c r="B1871" i="10" s="1"/>
  <c r="B1872" i="10" s="1"/>
  <c r="B1873" i="10" s="1"/>
  <c r="B1874" i="10" s="1"/>
  <c r="B1875" i="10" s="1"/>
  <c r="B1876" i="10" s="1"/>
  <c r="B1877" i="10" s="1"/>
  <c r="B1878" i="10" s="1"/>
  <c r="B1879" i="10" s="1"/>
  <c r="B1880" i="10" s="1"/>
  <c r="B1881" i="10" s="1"/>
  <c r="B1882" i="10" s="1"/>
  <c r="B1883" i="10" s="1"/>
  <c r="B1884" i="10" s="1"/>
  <c r="B1885" i="10" s="1"/>
  <c r="B1886" i="10" s="1"/>
  <c r="B1887" i="10" s="1"/>
  <c r="B1888" i="10" s="1"/>
  <c r="B1889" i="10" s="1"/>
  <c r="B1890" i="10" s="1"/>
  <c r="B1891" i="10" s="1"/>
  <c r="B1892" i="10" s="1"/>
  <c r="B1893" i="10" s="1"/>
  <c r="B1894" i="10" s="1"/>
  <c r="B1895" i="10" s="1"/>
  <c r="B1896" i="10" s="1"/>
  <c r="B1897" i="10" s="1"/>
  <c r="B1898" i="10" s="1"/>
  <c r="B1899" i="10" s="1"/>
  <c r="B1900" i="10" s="1"/>
  <c r="E1864" i="10"/>
  <c r="F1864" i="10" s="1"/>
  <c r="E1846" i="10"/>
  <c r="F1846" i="10" s="1"/>
  <c r="E1845" i="10"/>
  <c r="F1845" i="10" s="1"/>
  <c r="E1844" i="10"/>
  <c r="F1844" i="10" s="1"/>
  <c r="E1843" i="10"/>
  <c r="F1843" i="10" s="1"/>
  <c r="E1842" i="10"/>
  <c r="F1842" i="10" s="1"/>
  <c r="E1841" i="10"/>
  <c r="F1841" i="10" s="1"/>
  <c r="E1840" i="10"/>
  <c r="F1840" i="10" s="1"/>
  <c r="E1839" i="10"/>
  <c r="F1839" i="10" s="1"/>
  <c r="E1838" i="10"/>
  <c r="F1838" i="10" s="1"/>
  <c r="E1837" i="10"/>
  <c r="F1837" i="10" s="1"/>
  <c r="E1836" i="10"/>
  <c r="F1836" i="10" s="1"/>
  <c r="E1835" i="10"/>
  <c r="F1835" i="10" s="1"/>
  <c r="E1834" i="10"/>
  <c r="F1834" i="10" s="1"/>
  <c r="E1833" i="10"/>
  <c r="F1833" i="10" s="1"/>
  <c r="E1832" i="10"/>
  <c r="F1832" i="10" s="1"/>
  <c r="E1831" i="10"/>
  <c r="F1831" i="10" s="1"/>
  <c r="E1830" i="10"/>
  <c r="F1830" i="10" s="1"/>
  <c r="E1829" i="10"/>
  <c r="F1829" i="10" s="1"/>
  <c r="E1828" i="10"/>
  <c r="F1828" i="10" s="1"/>
  <c r="E1827" i="10"/>
  <c r="F1827" i="10" s="1"/>
  <c r="B1827" i="10"/>
  <c r="B1828" i="10" s="1"/>
  <c r="B1829" i="10" s="1"/>
  <c r="B1830" i="10" s="1"/>
  <c r="B1831" i="10" s="1"/>
  <c r="B1832" i="10" s="1"/>
  <c r="B1833" i="10" s="1"/>
  <c r="B1834" i="10" s="1"/>
  <c r="B1835" i="10" s="1"/>
  <c r="B1836" i="10" s="1"/>
  <c r="B1837" i="10" s="1"/>
  <c r="B1838" i="10" s="1"/>
  <c r="B1839" i="10" s="1"/>
  <c r="B1840" i="10" s="1"/>
  <c r="B1841" i="10" s="1"/>
  <c r="B1842" i="10" s="1"/>
  <c r="B1843" i="10" s="1"/>
  <c r="B1844" i="10" s="1"/>
  <c r="B1845" i="10" s="1"/>
  <c r="B1846" i="10" s="1"/>
  <c r="B1847" i="10" s="1"/>
  <c r="B1848" i="10" s="1"/>
  <c r="B1849" i="10" s="1"/>
  <c r="B1850" i="10" s="1"/>
  <c r="B1851" i="10" s="1"/>
  <c r="B1852" i="10" s="1"/>
  <c r="B1853" i="10" s="1"/>
  <c r="B1854" i="10" s="1"/>
  <c r="B1855" i="10" s="1"/>
  <c r="B1856" i="10" s="1"/>
  <c r="B1857" i="10" s="1"/>
  <c r="B1858" i="10" s="1"/>
  <c r="B1859" i="10" s="1"/>
  <c r="B1860" i="10" s="1"/>
  <c r="B1861" i="10" s="1"/>
  <c r="B1862" i="10" s="1"/>
  <c r="E1826" i="10"/>
  <c r="F1826" i="10" s="1"/>
  <c r="E1808" i="10"/>
  <c r="F1808" i="10" s="1"/>
  <c r="E1807" i="10"/>
  <c r="F1807" i="10" s="1"/>
  <c r="E1806" i="10"/>
  <c r="F1806" i="10" s="1"/>
  <c r="E1805" i="10"/>
  <c r="F1805" i="10" s="1"/>
  <c r="E1804" i="10"/>
  <c r="F1804" i="10" s="1"/>
  <c r="E1803" i="10"/>
  <c r="F1803" i="10" s="1"/>
  <c r="E1802" i="10"/>
  <c r="F1802" i="10" s="1"/>
  <c r="E1801" i="10"/>
  <c r="F1801" i="10" s="1"/>
  <c r="E1800" i="10"/>
  <c r="F1800" i="10" s="1"/>
  <c r="E1799" i="10"/>
  <c r="F1799" i="10" s="1"/>
  <c r="E1798" i="10"/>
  <c r="F1798" i="10" s="1"/>
  <c r="E1797" i="10"/>
  <c r="F1797" i="10" s="1"/>
  <c r="E1796" i="10"/>
  <c r="F1796" i="10" s="1"/>
  <c r="E1795" i="10"/>
  <c r="F1795" i="10" s="1"/>
  <c r="E1794" i="10"/>
  <c r="F1794" i="10" s="1"/>
  <c r="E1793" i="10"/>
  <c r="F1793" i="10" s="1"/>
  <c r="E1792" i="10"/>
  <c r="F1792" i="10" s="1"/>
  <c r="E1791" i="10"/>
  <c r="F1791" i="10" s="1"/>
  <c r="E1790" i="10"/>
  <c r="F1790" i="10" s="1"/>
  <c r="E1789" i="10"/>
  <c r="F1789" i="10" s="1"/>
  <c r="B1789" i="10"/>
  <c r="B1790" i="10" s="1"/>
  <c r="B1791" i="10" s="1"/>
  <c r="B1792" i="10" s="1"/>
  <c r="B1793" i="10" s="1"/>
  <c r="B1794" i="10" s="1"/>
  <c r="B1795" i="10" s="1"/>
  <c r="B1796" i="10" s="1"/>
  <c r="B1797" i="10" s="1"/>
  <c r="B1798" i="10" s="1"/>
  <c r="B1799" i="10" s="1"/>
  <c r="B1800" i="10" s="1"/>
  <c r="B1801" i="10" s="1"/>
  <c r="B1802" i="10" s="1"/>
  <c r="B1803" i="10" s="1"/>
  <c r="B1804" i="10" s="1"/>
  <c r="B1805" i="10" s="1"/>
  <c r="B1806" i="10" s="1"/>
  <c r="B1807" i="10" s="1"/>
  <c r="B1808" i="10" s="1"/>
  <c r="B1809" i="10" s="1"/>
  <c r="B1810" i="10" s="1"/>
  <c r="B1811" i="10" s="1"/>
  <c r="B1812" i="10" s="1"/>
  <c r="B1813" i="10" s="1"/>
  <c r="B1814" i="10" s="1"/>
  <c r="B1815" i="10" s="1"/>
  <c r="B1816" i="10" s="1"/>
  <c r="B1817" i="10" s="1"/>
  <c r="B1818" i="10" s="1"/>
  <c r="B1819" i="10" s="1"/>
  <c r="B1820" i="10" s="1"/>
  <c r="B1821" i="10" s="1"/>
  <c r="B1822" i="10" s="1"/>
  <c r="B1823" i="10" s="1"/>
  <c r="B1824" i="10" s="1"/>
  <c r="E1788" i="10"/>
  <c r="F1788" i="10" s="1"/>
  <c r="E1770" i="10"/>
  <c r="F1770" i="10" s="1"/>
  <c r="I1770" i="10" s="1"/>
  <c r="E1769" i="10"/>
  <c r="F1769" i="10" s="1"/>
  <c r="I1769" i="10" s="1"/>
  <c r="E1768" i="10"/>
  <c r="F1768" i="10" s="1"/>
  <c r="I1768" i="10" s="1"/>
  <c r="E1767" i="10"/>
  <c r="F1767" i="10" s="1"/>
  <c r="I1767" i="10" s="1"/>
  <c r="E1766" i="10"/>
  <c r="F1766" i="10" s="1"/>
  <c r="I1766" i="10" s="1"/>
  <c r="E1765" i="10"/>
  <c r="F1765" i="10" s="1"/>
  <c r="I1765" i="10" s="1"/>
  <c r="E1764" i="10"/>
  <c r="F1764" i="10" s="1"/>
  <c r="I1764" i="10" s="1"/>
  <c r="E1763" i="10"/>
  <c r="F1763" i="10" s="1"/>
  <c r="I1763" i="10" s="1"/>
  <c r="E1762" i="10"/>
  <c r="F1762" i="10" s="1"/>
  <c r="I1762" i="10" s="1"/>
  <c r="E1761" i="10"/>
  <c r="F1761" i="10" s="1"/>
  <c r="I1761" i="10" s="1"/>
  <c r="E1760" i="10"/>
  <c r="F1760" i="10" s="1"/>
  <c r="I1760" i="10" s="1"/>
  <c r="E1759" i="10"/>
  <c r="F1759" i="10" s="1"/>
  <c r="I1759" i="10" s="1"/>
  <c r="E1758" i="10"/>
  <c r="F1758" i="10" s="1"/>
  <c r="I1758" i="10" s="1"/>
  <c r="E1757" i="10"/>
  <c r="F1757" i="10" s="1"/>
  <c r="I1757" i="10" s="1"/>
  <c r="E1756" i="10"/>
  <c r="F1756" i="10" s="1"/>
  <c r="I1756" i="10" s="1"/>
  <c r="E1755" i="10"/>
  <c r="F1755" i="10" s="1"/>
  <c r="I1755" i="10" s="1"/>
  <c r="E1754" i="10"/>
  <c r="F1754" i="10" s="1"/>
  <c r="I1754" i="10" s="1"/>
  <c r="E1753" i="10"/>
  <c r="F1753" i="10" s="1"/>
  <c r="I1753" i="10" s="1"/>
  <c r="E1752" i="10"/>
  <c r="F1752" i="10" s="1"/>
  <c r="I1752" i="10" s="1"/>
  <c r="E1751" i="10"/>
  <c r="F1751" i="10" s="1"/>
  <c r="I1751" i="10" s="1"/>
  <c r="B1751" i="10"/>
  <c r="B1752" i="10" s="1"/>
  <c r="B1753" i="10" s="1"/>
  <c r="B1754" i="10" s="1"/>
  <c r="B1755" i="10" s="1"/>
  <c r="B1756" i="10" s="1"/>
  <c r="B1757" i="10" s="1"/>
  <c r="B1758" i="10" s="1"/>
  <c r="B1759" i="10" s="1"/>
  <c r="B1760" i="10" s="1"/>
  <c r="B1761" i="10" s="1"/>
  <c r="B1762" i="10" s="1"/>
  <c r="B1763" i="10" s="1"/>
  <c r="B1764" i="10" s="1"/>
  <c r="B1765" i="10" s="1"/>
  <c r="B1766" i="10" s="1"/>
  <c r="B1767" i="10" s="1"/>
  <c r="B1768" i="10" s="1"/>
  <c r="B1769" i="10" s="1"/>
  <c r="B1770" i="10" s="1"/>
  <c r="B1771" i="10" s="1"/>
  <c r="B1772" i="10" s="1"/>
  <c r="B1773" i="10" s="1"/>
  <c r="B1774" i="10" s="1"/>
  <c r="B1775" i="10" s="1"/>
  <c r="B1776" i="10" s="1"/>
  <c r="B1777" i="10" s="1"/>
  <c r="B1778" i="10" s="1"/>
  <c r="B1779" i="10" s="1"/>
  <c r="B1780" i="10" s="1"/>
  <c r="B1781" i="10" s="1"/>
  <c r="B1782" i="10" s="1"/>
  <c r="B1783" i="10" s="1"/>
  <c r="B1784" i="10" s="1"/>
  <c r="B1785" i="10" s="1"/>
  <c r="B1786" i="10" s="1"/>
  <c r="E1750" i="10"/>
  <c r="F1750" i="10" s="1"/>
  <c r="I1750" i="10" s="1"/>
  <c r="E1732" i="10"/>
  <c r="F1732" i="10" s="1"/>
  <c r="I1732" i="10" s="1"/>
  <c r="E1731" i="10"/>
  <c r="F1731" i="10" s="1"/>
  <c r="I1731" i="10" s="1"/>
  <c r="E1730" i="10"/>
  <c r="F1730" i="10" s="1"/>
  <c r="I1730" i="10" s="1"/>
  <c r="E1729" i="10"/>
  <c r="F1729" i="10" s="1"/>
  <c r="I1729" i="10" s="1"/>
  <c r="E1728" i="10"/>
  <c r="F1728" i="10" s="1"/>
  <c r="I1728" i="10" s="1"/>
  <c r="E1727" i="10"/>
  <c r="F1727" i="10" s="1"/>
  <c r="I1727" i="10" s="1"/>
  <c r="E1726" i="10"/>
  <c r="F1726" i="10" s="1"/>
  <c r="I1726" i="10" s="1"/>
  <c r="E1725" i="10"/>
  <c r="F1725" i="10" s="1"/>
  <c r="I1725" i="10" s="1"/>
  <c r="E1724" i="10"/>
  <c r="F1724" i="10" s="1"/>
  <c r="I1724" i="10" s="1"/>
  <c r="E1723" i="10"/>
  <c r="F1723" i="10" s="1"/>
  <c r="I1723" i="10" s="1"/>
  <c r="E1722" i="10"/>
  <c r="F1722" i="10" s="1"/>
  <c r="I1722" i="10" s="1"/>
  <c r="E1721" i="10"/>
  <c r="F1721" i="10" s="1"/>
  <c r="I1721" i="10" s="1"/>
  <c r="E1720" i="10"/>
  <c r="F1720" i="10" s="1"/>
  <c r="I1720" i="10" s="1"/>
  <c r="E1719" i="10"/>
  <c r="F1719" i="10" s="1"/>
  <c r="I1719" i="10" s="1"/>
  <c r="E1718" i="10"/>
  <c r="F1718" i="10" s="1"/>
  <c r="I1718" i="10" s="1"/>
  <c r="E1717" i="10"/>
  <c r="F1717" i="10" s="1"/>
  <c r="I1717" i="10" s="1"/>
  <c r="E1716" i="10"/>
  <c r="F1716" i="10" s="1"/>
  <c r="I1716" i="10" s="1"/>
  <c r="E1715" i="10"/>
  <c r="F1715" i="10" s="1"/>
  <c r="I1715" i="10" s="1"/>
  <c r="E1714" i="10"/>
  <c r="F1714" i="10" s="1"/>
  <c r="I1714" i="10" s="1"/>
  <c r="E1713" i="10"/>
  <c r="F1713" i="10" s="1"/>
  <c r="I1713" i="10" s="1"/>
  <c r="B1713" i="10"/>
  <c r="B1714" i="10" s="1"/>
  <c r="B1715" i="10" s="1"/>
  <c r="B1716" i="10" s="1"/>
  <c r="B1717" i="10" s="1"/>
  <c r="B1718" i="10" s="1"/>
  <c r="B1719" i="10" s="1"/>
  <c r="B1720" i="10" s="1"/>
  <c r="B1721" i="10" s="1"/>
  <c r="B1722" i="10" s="1"/>
  <c r="B1723" i="10" s="1"/>
  <c r="B1724" i="10" s="1"/>
  <c r="B1725" i="10" s="1"/>
  <c r="B1726" i="10" s="1"/>
  <c r="B1727" i="10" s="1"/>
  <c r="B1728" i="10" s="1"/>
  <c r="B1729" i="10" s="1"/>
  <c r="B1730" i="10" s="1"/>
  <c r="B1731" i="10" s="1"/>
  <c r="B1732" i="10" s="1"/>
  <c r="B1733" i="10" s="1"/>
  <c r="B1734" i="10" s="1"/>
  <c r="B1735" i="10" s="1"/>
  <c r="B1736" i="10" s="1"/>
  <c r="B1737" i="10" s="1"/>
  <c r="B1738" i="10" s="1"/>
  <c r="B1739" i="10" s="1"/>
  <c r="B1740" i="10" s="1"/>
  <c r="B1741" i="10" s="1"/>
  <c r="B1742" i="10" s="1"/>
  <c r="B1743" i="10" s="1"/>
  <c r="B1744" i="10" s="1"/>
  <c r="B1745" i="10" s="1"/>
  <c r="B1746" i="10" s="1"/>
  <c r="B1747" i="10" s="1"/>
  <c r="B1748" i="10" s="1"/>
  <c r="E1712" i="10"/>
  <c r="F1712" i="10" s="1"/>
  <c r="I1712" i="10" s="1"/>
  <c r="E1694" i="10"/>
  <c r="F1694" i="10" s="1"/>
  <c r="I1694" i="10" s="1"/>
  <c r="E1693" i="10"/>
  <c r="F1693" i="10" s="1"/>
  <c r="I1693" i="10" s="1"/>
  <c r="E1692" i="10"/>
  <c r="F1692" i="10" s="1"/>
  <c r="I1692" i="10" s="1"/>
  <c r="E1691" i="10"/>
  <c r="F1691" i="10" s="1"/>
  <c r="I1691" i="10" s="1"/>
  <c r="E1690" i="10"/>
  <c r="F1690" i="10" s="1"/>
  <c r="I1690" i="10" s="1"/>
  <c r="E1689" i="10"/>
  <c r="F1689" i="10" s="1"/>
  <c r="I1689" i="10" s="1"/>
  <c r="E1688" i="10"/>
  <c r="F1688" i="10" s="1"/>
  <c r="I1688" i="10" s="1"/>
  <c r="E1687" i="10"/>
  <c r="F1687" i="10" s="1"/>
  <c r="I1687" i="10" s="1"/>
  <c r="E1686" i="10"/>
  <c r="F1686" i="10" s="1"/>
  <c r="I1686" i="10" s="1"/>
  <c r="E1685" i="10"/>
  <c r="F1685" i="10" s="1"/>
  <c r="I1685" i="10" s="1"/>
  <c r="E1684" i="10"/>
  <c r="F1684" i="10" s="1"/>
  <c r="I1684" i="10" s="1"/>
  <c r="E1683" i="10"/>
  <c r="F1683" i="10" s="1"/>
  <c r="I1683" i="10" s="1"/>
  <c r="E1682" i="10"/>
  <c r="F1682" i="10" s="1"/>
  <c r="I1682" i="10" s="1"/>
  <c r="E1681" i="10"/>
  <c r="F1681" i="10" s="1"/>
  <c r="I1681" i="10" s="1"/>
  <c r="E1680" i="10"/>
  <c r="F1680" i="10" s="1"/>
  <c r="I1680" i="10" s="1"/>
  <c r="E1679" i="10"/>
  <c r="F1679" i="10" s="1"/>
  <c r="I1679" i="10" s="1"/>
  <c r="E1678" i="10"/>
  <c r="F1678" i="10" s="1"/>
  <c r="I1678" i="10" s="1"/>
  <c r="E1677" i="10"/>
  <c r="F1677" i="10" s="1"/>
  <c r="I1677" i="10" s="1"/>
  <c r="E1676" i="10"/>
  <c r="F1676" i="10" s="1"/>
  <c r="I1676" i="10" s="1"/>
  <c r="E1675" i="10"/>
  <c r="F1675" i="10" s="1"/>
  <c r="I1675" i="10" s="1"/>
  <c r="B1675" i="10"/>
  <c r="B1676" i="10" s="1"/>
  <c r="B1677" i="10" s="1"/>
  <c r="B1678" i="10" s="1"/>
  <c r="B1679" i="10" s="1"/>
  <c r="B1680" i="10" s="1"/>
  <c r="B1681" i="10" s="1"/>
  <c r="B1682" i="10" s="1"/>
  <c r="B1683" i="10" s="1"/>
  <c r="B1684" i="10" s="1"/>
  <c r="B1685" i="10" s="1"/>
  <c r="B1686" i="10" s="1"/>
  <c r="B1687" i="10" s="1"/>
  <c r="B1688" i="10" s="1"/>
  <c r="B1689" i="10" s="1"/>
  <c r="B1690" i="10" s="1"/>
  <c r="B1691" i="10" s="1"/>
  <c r="B1692" i="10" s="1"/>
  <c r="B1693" i="10" s="1"/>
  <c r="B1694" i="10" s="1"/>
  <c r="B1695" i="10" s="1"/>
  <c r="B1696" i="10" s="1"/>
  <c r="B1697" i="10" s="1"/>
  <c r="B1698" i="10" s="1"/>
  <c r="B1699" i="10" s="1"/>
  <c r="B1700" i="10" s="1"/>
  <c r="B1701" i="10" s="1"/>
  <c r="B1702" i="10" s="1"/>
  <c r="B1703" i="10" s="1"/>
  <c r="B1704" i="10" s="1"/>
  <c r="B1705" i="10" s="1"/>
  <c r="B1706" i="10" s="1"/>
  <c r="B1707" i="10" s="1"/>
  <c r="B1708" i="10" s="1"/>
  <c r="B1709" i="10" s="1"/>
  <c r="B1710" i="10" s="1"/>
  <c r="E1674" i="10"/>
  <c r="F1674" i="10" s="1"/>
  <c r="I1674" i="10" s="1"/>
  <c r="E1656" i="10"/>
  <c r="F1656" i="10" s="1"/>
  <c r="I1656" i="10" s="1"/>
  <c r="E1655" i="10"/>
  <c r="F1655" i="10" s="1"/>
  <c r="I1655" i="10" s="1"/>
  <c r="E1654" i="10"/>
  <c r="F1654" i="10" s="1"/>
  <c r="I1654" i="10" s="1"/>
  <c r="E1653" i="10"/>
  <c r="F1653" i="10" s="1"/>
  <c r="I1653" i="10" s="1"/>
  <c r="E1652" i="10"/>
  <c r="F1652" i="10" s="1"/>
  <c r="I1652" i="10" s="1"/>
  <c r="E1651" i="10"/>
  <c r="F1651" i="10" s="1"/>
  <c r="I1651" i="10" s="1"/>
  <c r="E1650" i="10"/>
  <c r="F1650" i="10" s="1"/>
  <c r="I1650" i="10" s="1"/>
  <c r="E1649" i="10"/>
  <c r="F1649" i="10" s="1"/>
  <c r="I1649" i="10" s="1"/>
  <c r="E1648" i="10"/>
  <c r="F1648" i="10" s="1"/>
  <c r="I1648" i="10" s="1"/>
  <c r="E1647" i="10"/>
  <c r="F1647" i="10" s="1"/>
  <c r="I1647" i="10" s="1"/>
  <c r="E1646" i="10"/>
  <c r="F1646" i="10" s="1"/>
  <c r="I1646" i="10" s="1"/>
  <c r="E1645" i="10"/>
  <c r="F1645" i="10" s="1"/>
  <c r="I1645" i="10" s="1"/>
  <c r="E1644" i="10"/>
  <c r="F1644" i="10" s="1"/>
  <c r="I1644" i="10" s="1"/>
  <c r="E1643" i="10"/>
  <c r="F1643" i="10" s="1"/>
  <c r="I1643" i="10" s="1"/>
  <c r="E1642" i="10"/>
  <c r="F1642" i="10" s="1"/>
  <c r="I1642" i="10" s="1"/>
  <c r="E1641" i="10"/>
  <c r="F1641" i="10" s="1"/>
  <c r="I1641" i="10" s="1"/>
  <c r="E1640" i="10"/>
  <c r="F1640" i="10" s="1"/>
  <c r="I1640" i="10" s="1"/>
  <c r="E1639" i="10"/>
  <c r="F1639" i="10" s="1"/>
  <c r="I1639" i="10" s="1"/>
  <c r="E1638" i="10"/>
  <c r="F1638" i="10" s="1"/>
  <c r="I1638" i="10" s="1"/>
  <c r="E1637" i="10"/>
  <c r="F1637" i="10" s="1"/>
  <c r="I1637" i="10" s="1"/>
  <c r="B1637" i="10"/>
  <c r="B1638" i="10" s="1"/>
  <c r="B1639" i="10" s="1"/>
  <c r="B1640" i="10" s="1"/>
  <c r="B1641" i="10" s="1"/>
  <c r="B1642" i="10" s="1"/>
  <c r="B1643" i="10" s="1"/>
  <c r="B1644" i="10" s="1"/>
  <c r="B1645" i="10" s="1"/>
  <c r="B1646" i="10" s="1"/>
  <c r="B1647" i="10" s="1"/>
  <c r="B1648" i="10" s="1"/>
  <c r="B1649" i="10" s="1"/>
  <c r="B1650" i="10" s="1"/>
  <c r="B1651" i="10" s="1"/>
  <c r="B1652" i="10" s="1"/>
  <c r="B1653" i="10" s="1"/>
  <c r="B1654" i="10" s="1"/>
  <c r="B1655" i="10" s="1"/>
  <c r="B1656" i="10" s="1"/>
  <c r="B1657" i="10" s="1"/>
  <c r="B1658" i="10" s="1"/>
  <c r="B1659" i="10" s="1"/>
  <c r="B1660" i="10" s="1"/>
  <c r="B1661" i="10" s="1"/>
  <c r="B1662" i="10" s="1"/>
  <c r="B1663" i="10" s="1"/>
  <c r="B1664" i="10" s="1"/>
  <c r="B1665" i="10" s="1"/>
  <c r="B1666" i="10" s="1"/>
  <c r="B1667" i="10" s="1"/>
  <c r="B1668" i="10" s="1"/>
  <c r="B1669" i="10" s="1"/>
  <c r="B1670" i="10" s="1"/>
  <c r="B1671" i="10" s="1"/>
  <c r="B1672" i="10" s="1"/>
  <c r="E1636" i="10"/>
  <c r="F1636" i="10" s="1"/>
  <c r="I1636" i="10" s="1"/>
  <c r="E1618" i="10"/>
  <c r="F1618" i="10" s="1"/>
  <c r="E1617" i="10"/>
  <c r="F1617" i="10" s="1"/>
  <c r="E1616" i="10"/>
  <c r="F1616" i="10" s="1"/>
  <c r="E1615" i="10"/>
  <c r="F1615" i="10" s="1"/>
  <c r="E1614" i="10"/>
  <c r="F1614" i="10" s="1"/>
  <c r="E1613" i="10"/>
  <c r="F1613" i="10" s="1"/>
  <c r="E1612" i="10"/>
  <c r="F1612" i="10" s="1"/>
  <c r="E1611" i="10"/>
  <c r="F1611" i="10" s="1"/>
  <c r="E1610" i="10"/>
  <c r="F1610" i="10" s="1"/>
  <c r="E1609" i="10"/>
  <c r="F1609" i="10" s="1"/>
  <c r="E1608" i="10"/>
  <c r="F1608" i="10" s="1"/>
  <c r="E1607" i="10"/>
  <c r="F1607" i="10" s="1"/>
  <c r="E1606" i="10"/>
  <c r="F1606" i="10" s="1"/>
  <c r="E1605" i="10"/>
  <c r="F1605" i="10" s="1"/>
  <c r="E1604" i="10"/>
  <c r="F1604" i="10" s="1"/>
  <c r="E1603" i="10"/>
  <c r="F1603" i="10" s="1"/>
  <c r="E1602" i="10"/>
  <c r="F1602" i="10" s="1"/>
  <c r="E1601" i="10"/>
  <c r="F1601" i="10" s="1"/>
  <c r="E1600" i="10"/>
  <c r="F1600" i="10" s="1"/>
  <c r="E1599" i="10"/>
  <c r="F1599" i="10" s="1"/>
  <c r="B1599" i="10"/>
  <c r="B1600" i="10" s="1"/>
  <c r="B1601" i="10" s="1"/>
  <c r="B1602" i="10" s="1"/>
  <c r="B1603" i="10" s="1"/>
  <c r="B1604" i="10" s="1"/>
  <c r="B1605" i="10" s="1"/>
  <c r="B1606" i="10" s="1"/>
  <c r="B1607" i="10" s="1"/>
  <c r="B1608" i="10" s="1"/>
  <c r="B1609" i="10" s="1"/>
  <c r="B1610" i="10" s="1"/>
  <c r="B1611" i="10" s="1"/>
  <c r="B1612" i="10" s="1"/>
  <c r="B1613" i="10" s="1"/>
  <c r="B1614" i="10" s="1"/>
  <c r="B1615" i="10" s="1"/>
  <c r="B1616" i="10" s="1"/>
  <c r="B1617" i="10" s="1"/>
  <c r="B1618" i="10" s="1"/>
  <c r="B1619" i="10" s="1"/>
  <c r="B1620" i="10" s="1"/>
  <c r="B1621" i="10" s="1"/>
  <c r="B1622" i="10" s="1"/>
  <c r="B1623" i="10" s="1"/>
  <c r="B1624" i="10" s="1"/>
  <c r="B1625" i="10" s="1"/>
  <c r="B1626" i="10" s="1"/>
  <c r="B1627" i="10" s="1"/>
  <c r="B1628" i="10" s="1"/>
  <c r="B1629" i="10" s="1"/>
  <c r="B1630" i="10" s="1"/>
  <c r="B1631" i="10" s="1"/>
  <c r="B1632" i="10" s="1"/>
  <c r="B1633" i="10" s="1"/>
  <c r="B1634" i="10" s="1"/>
  <c r="E1598" i="10"/>
  <c r="F1598" i="10" s="1"/>
  <c r="E1580" i="10"/>
  <c r="F1580" i="10" s="1"/>
  <c r="E1579" i="10"/>
  <c r="F1579" i="10" s="1"/>
  <c r="E1578" i="10"/>
  <c r="F1578" i="10" s="1"/>
  <c r="E1577" i="10"/>
  <c r="F1577" i="10" s="1"/>
  <c r="E1576" i="10"/>
  <c r="F1576" i="10" s="1"/>
  <c r="E1575" i="10"/>
  <c r="F1575" i="10" s="1"/>
  <c r="E1574" i="10"/>
  <c r="F1574" i="10" s="1"/>
  <c r="E1573" i="10"/>
  <c r="F1573" i="10" s="1"/>
  <c r="E1572" i="10"/>
  <c r="F1572" i="10" s="1"/>
  <c r="E1571" i="10"/>
  <c r="F1571" i="10" s="1"/>
  <c r="E1570" i="10"/>
  <c r="F1570" i="10" s="1"/>
  <c r="E1569" i="10"/>
  <c r="F1569" i="10" s="1"/>
  <c r="E1568" i="10"/>
  <c r="F1568" i="10" s="1"/>
  <c r="E1567" i="10"/>
  <c r="F1567" i="10" s="1"/>
  <c r="E1566" i="10"/>
  <c r="F1566" i="10" s="1"/>
  <c r="E1565" i="10"/>
  <c r="F1565" i="10" s="1"/>
  <c r="E1564" i="10"/>
  <c r="F1564" i="10" s="1"/>
  <c r="E1563" i="10"/>
  <c r="F1563" i="10" s="1"/>
  <c r="E1562" i="10"/>
  <c r="F1562" i="10" s="1"/>
  <c r="E1561" i="10"/>
  <c r="F1561" i="10" s="1"/>
  <c r="B1561" i="10"/>
  <c r="B1562" i="10" s="1"/>
  <c r="B1563" i="10" s="1"/>
  <c r="B1564" i="10" s="1"/>
  <c r="B1565" i="10" s="1"/>
  <c r="B1566" i="10" s="1"/>
  <c r="B1567" i="10" s="1"/>
  <c r="B1568" i="10" s="1"/>
  <c r="B1569" i="10" s="1"/>
  <c r="B1570" i="10" s="1"/>
  <c r="B1571" i="10" s="1"/>
  <c r="B1572" i="10" s="1"/>
  <c r="B1573" i="10" s="1"/>
  <c r="B1574" i="10" s="1"/>
  <c r="B1575" i="10" s="1"/>
  <c r="B1576" i="10" s="1"/>
  <c r="B1577" i="10" s="1"/>
  <c r="B1578" i="10" s="1"/>
  <c r="B1579" i="10" s="1"/>
  <c r="B1580" i="10" s="1"/>
  <c r="B1581" i="10" s="1"/>
  <c r="B1582" i="10" s="1"/>
  <c r="B1583" i="10" s="1"/>
  <c r="B1584" i="10" s="1"/>
  <c r="B1585" i="10" s="1"/>
  <c r="B1586" i="10" s="1"/>
  <c r="B1587" i="10" s="1"/>
  <c r="B1588" i="10" s="1"/>
  <c r="B1589" i="10" s="1"/>
  <c r="B1590" i="10" s="1"/>
  <c r="B1591" i="10" s="1"/>
  <c r="B1592" i="10" s="1"/>
  <c r="B1593" i="10" s="1"/>
  <c r="B1594" i="10" s="1"/>
  <c r="B1595" i="10" s="1"/>
  <c r="B1596" i="10" s="1"/>
  <c r="E1560" i="10"/>
  <c r="F1560" i="10" s="1"/>
  <c r="E1542" i="10"/>
  <c r="F1542" i="10" s="1"/>
  <c r="E1541" i="10"/>
  <c r="F1541" i="10" s="1"/>
  <c r="E1540" i="10"/>
  <c r="F1540" i="10" s="1"/>
  <c r="E1539" i="10"/>
  <c r="F1539" i="10" s="1"/>
  <c r="E1538" i="10"/>
  <c r="F1538" i="10" s="1"/>
  <c r="E1537" i="10"/>
  <c r="F1537" i="10" s="1"/>
  <c r="E1536" i="10"/>
  <c r="F1536" i="10" s="1"/>
  <c r="E1535" i="10"/>
  <c r="F1535" i="10" s="1"/>
  <c r="E1534" i="10"/>
  <c r="F1534" i="10" s="1"/>
  <c r="E1533" i="10"/>
  <c r="F1533" i="10" s="1"/>
  <c r="E1532" i="10"/>
  <c r="F1532" i="10" s="1"/>
  <c r="E1531" i="10"/>
  <c r="F1531" i="10" s="1"/>
  <c r="E1530" i="10"/>
  <c r="F1530" i="10" s="1"/>
  <c r="E1529" i="10"/>
  <c r="F1529" i="10" s="1"/>
  <c r="E1528" i="10"/>
  <c r="F1528" i="10" s="1"/>
  <c r="E1527" i="10"/>
  <c r="F1527" i="10" s="1"/>
  <c r="E1526" i="10"/>
  <c r="F1526" i="10" s="1"/>
  <c r="E1525" i="10"/>
  <c r="F1525" i="10" s="1"/>
  <c r="E1524" i="10"/>
  <c r="F1524" i="10" s="1"/>
  <c r="E1523" i="10"/>
  <c r="F1523" i="10" s="1"/>
  <c r="B1523" i="10"/>
  <c r="B1524" i="10" s="1"/>
  <c r="B1525" i="10" s="1"/>
  <c r="B1526" i="10" s="1"/>
  <c r="B1527" i="10" s="1"/>
  <c r="B1528" i="10" s="1"/>
  <c r="B1529" i="10" s="1"/>
  <c r="B1530" i="10" s="1"/>
  <c r="B1531" i="10" s="1"/>
  <c r="B1532" i="10" s="1"/>
  <c r="B1533" i="10" s="1"/>
  <c r="B1534" i="10" s="1"/>
  <c r="B1535" i="10" s="1"/>
  <c r="B1536" i="10" s="1"/>
  <c r="B1537" i="10" s="1"/>
  <c r="B1538" i="10" s="1"/>
  <c r="B1539" i="10" s="1"/>
  <c r="B1540" i="10" s="1"/>
  <c r="B1541" i="10" s="1"/>
  <c r="B1542" i="10" s="1"/>
  <c r="B1543" i="10" s="1"/>
  <c r="B1544" i="10" s="1"/>
  <c r="B1545" i="10" s="1"/>
  <c r="B1546" i="10" s="1"/>
  <c r="B1547" i="10" s="1"/>
  <c r="B1548" i="10" s="1"/>
  <c r="B1549" i="10" s="1"/>
  <c r="B1550" i="10" s="1"/>
  <c r="B1551" i="10" s="1"/>
  <c r="B1552" i="10" s="1"/>
  <c r="B1553" i="10" s="1"/>
  <c r="B1554" i="10" s="1"/>
  <c r="B1555" i="10" s="1"/>
  <c r="B1556" i="10" s="1"/>
  <c r="B1557" i="10" s="1"/>
  <c r="B1558" i="10" s="1"/>
  <c r="E1522" i="10"/>
  <c r="F1522" i="10" s="1"/>
  <c r="E1504" i="10"/>
  <c r="F1504" i="10" s="1"/>
  <c r="I1504" i="10" s="1"/>
  <c r="E1503" i="10"/>
  <c r="F1503" i="10" s="1"/>
  <c r="I1503" i="10" s="1"/>
  <c r="E1502" i="10"/>
  <c r="F1502" i="10" s="1"/>
  <c r="I1502" i="10" s="1"/>
  <c r="E1501" i="10"/>
  <c r="F1501" i="10" s="1"/>
  <c r="I1501" i="10" s="1"/>
  <c r="E1500" i="10"/>
  <c r="F1500" i="10" s="1"/>
  <c r="I1500" i="10" s="1"/>
  <c r="E1499" i="10"/>
  <c r="F1499" i="10" s="1"/>
  <c r="I1499" i="10" s="1"/>
  <c r="E1498" i="10"/>
  <c r="F1498" i="10" s="1"/>
  <c r="I1498" i="10" s="1"/>
  <c r="E1497" i="10"/>
  <c r="F1497" i="10" s="1"/>
  <c r="I1497" i="10" s="1"/>
  <c r="E1496" i="10"/>
  <c r="F1496" i="10" s="1"/>
  <c r="I1496" i="10" s="1"/>
  <c r="E1495" i="10"/>
  <c r="F1495" i="10" s="1"/>
  <c r="I1495" i="10" s="1"/>
  <c r="E1494" i="10"/>
  <c r="F1494" i="10" s="1"/>
  <c r="I1494" i="10" s="1"/>
  <c r="E1493" i="10"/>
  <c r="F1493" i="10" s="1"/>
  <c r="I1493" i="10" s="1"/>
  <c r="E1492" i="10"/>
  <c r="F1492" i="10" s="1"/>
  <c r="I1492" i="10" s="1"/>
  <c r="E1491" i="10"/>
  <c r="F1491" i="10" s="1"/>
  <c r="I1491" i="10" s="1"/>
  <c r="E1490" i="10"/>
  <c r="F1490" i="10" s="1"/>
  <c r="I1490" i="10" s="1"/>
  <c r="E1489" i="10"/>
  <c r="F1489" i="10" s="1"/>
  <c r="I1489" i="10" s="1"/>
  <c r="E1488" i="10"/>
  <c r="F1488" i="10" s="1"/>
  <c r="I1488" i="10" s="1"/>
  <c r="E1487" i="10"/>
  <c r="F1487" i="10" s="1"/>
  <c r="I1487" i="10" s="1"/>
  <c r="E1486" i="10"/>
  <c r="F1486" i="10" s="1"/>
  <c r="I1486" i="10" s="1"/>
  <c r="E1485" i="10"/>
  <c r="F1485" i="10" s="1"/>
  <c r="I1485" i="10" s="1"/>
  <c r="B1485" i="10"/>
  <c r="B1486" i="10" s="1"/>
  <c r="B1487" i="10" s="1"/>
  <c r="B1488" i="10" s="1"/>
  <c r="B1489" i="10" s="1"/>
  <c r="B1490" i="10" s="1"/>
  <c r="B1491" i="10" s="1"/>
  <c r="B1492" i="10" s="1"/>
  <c r="B1493" i="10" s="1"/>
  <c r="B1494" i="10" s="1"/>
  <c r="B1495" i="10" s="1"/>
  <c r="B1496" i="10" s="1"/>
  <c r="B1497" i="10" s="1"/>
  <c r="B1498" i="10" s="1"/>
  <c r="B1499" i="10" s="1"/>
  <c r="B1500" i="10" s="1"/>
  <c r="B1501" i="10" s="1"/>
  <c r="B1502" i="10" s="1"/>
  <c r="B1503" i="10" s="1"/>
  <c r="B1504" i="10" s="1"/>
  <c r="B1505" i="10" s="1"/>
  <c r="B1506" i="10" s="1"/>
  <c r="B1507" i="10" s="1"/>
  <c r="B1508" i="10" s="1"/>
  <c r="B1509" i="10" s="1"/>
  <c r="B1510" i="10" s="1"/>
  <c r="B1511" i="10" s="1"/>
  <c r="B1512" i="10" s="1"/>
  <c r="B1513" i="10" s="1"/>
  <c r="B1514" i="10" s="1"/>
  <c r="B1515" i="10" s="1"/>
  <c r="B1516" i="10" s="1"/>
  <c r="B1517" i="10" s="1"/>
  <c r="B1518" i="10" s="1"/>
  <c r="B1519" i="10" s="1"/>
  <c r="B1520" i="10" s="1"/>
  <c r="E1484" i="10"/>
  <c r="F1484" i="10" s="1"/>
  <c r="I1484" i="10" s="1"/>
  <c r="E1466" i="10"/>
  <c r="F1466" i="10" s="1"/>
  <c r="E1465" i="10"/>
  <c r="F1465" i="10" s="1"/>
  <c r="E1464" i="10"/>
  <c r="F1464" i="10" s="1"/>
  <c r="E1463" i="10"/>
  <c r="F1463" i="10" s="1"/>
  <c r="E1462" i="10"/>
  <c r="F1462" i="10" s="1"/>
  <c r="E1461" i="10"/>
  <c r="F1461" i="10" s="1"/>
  <c r="E1460" i="10"/>
  <c r="F1460" i="10" s="1"/>
  <c r="E1459" i="10"/>
  <c r="F1459" i="10" s="1"/>
  <c r="E1458" i="10"/>
  <c r="F1458" i="10" s="1"/>
  <c r="E1457" i="10"/>
  <c r="F1457" i="10" s="1"/>
  <c r="E1456" i="10"/>
  <c r="F1456" i="10" s="1"/>
  <c r="E1455" i="10"/>
  <c r="F1455" i="10" s="1"/>
  <c r="E1454" i="10"/>
  <c r="F1454" i="10" s="1"/>
  <c r="E1453" i="10"/>
  <c r="F1453" i="10" s="1"/>
  <c r="E1452" i="10"/>
  <c r="F1452" i="10" s="1"/>
  <c r="E1451" i="10"/>
  <c r="F1451" i="10" s="1"/>
  <c r="E1450" i="10"/>
  <c r="F1450" i="10" s="1"/>
  <c r="E1449" i="10"/>
  <c r="F1449" i="10" s="1"/>
  <c r="E1448" i="10"/>
  <c r="F1448" i="10" s="1"/>
  <c r="E1447" i="10"/>
  <c r="F1447" i="10" s="1"/>
  <c r="B1447" i="10"/>
  <c r="B1448" i="10" s="1"/>
  <c r="B1449" i="10" s="1"/>
  <c r="B1450" i="10" s="1"/>
  <c r="B1451" i="10" s="1"/>
  <c r="B1452" i="10" s="1"/>
  <c r="B1453" i="10" s="1"/>
  <c r="B1454" i="10" s="1"/>
  <c r="B1455" i="10" s="1"/>
  <c r="B1456" i="10" s="1"/>
  <c r="B1457" i="10" s="1"/>
  <c r="B1458" i="10" s="1"/>
  <c r="B1459" i="10" s="1"/>
  <c r="B1460" i="10" s="1"/>
  <c r="B1461" i="10" s="1"/>
  <c r="B1462" i="10" s="1"/>
  <c r="B1463" i="10" s="1"/>
  <c r="B1464" i="10" s="1"/>
  <c r="B1465" i="10" s="1"/>
  <c r="B1466" i="10" s="1"/>
  <c r="B1467" i="10" s="1"/>
  <c r="B1468" i="10" s="1"/>
  <c r="B1469" i="10" s="1"/>
  <c r="B1470" i="10" s="1"/>
  <c r="B1471" i="10" s="1"/>
  <c r="B1472" i="10" s="1"/>
  <c r="B1473" i="10" s="1"/>
  <c r="B1474" i="10" s="1"/>
  <c r="B1475" i="10" s="1"/>
  <c r="B1476" i="10" s="1"/>
  <c r="B1477" i="10" s="1"/>
  <c r="B1478" i="10" s="1"/>
  <c r="B1479" i="10" s="1"/>
  <c r="B1480" i="10" s="1"/>
  <c r="B1481" i="10" s="1"/>
  <c r="B1482" i="10" s="1"/>
  <c r="E1446" i="10"/>
  <c r="F1446" i="10" s="1"/>
  <c r="E1428" i="10"/>
  <c r="F1428" i="10" s="1"/>
  <c r="E1427" i="10"/>
  <c r="F1427" i="10" s="1"/>
  <c r="E1426" i="10"/>
  <c r="F1426" i="10" s="1"/>
  <c r="E1425" i="10"/>
  <c r="F1425" i="10" s="1"/>
  <c r="E1424" i="10"/>
  <c r="F1424" i="10" s="1"/>
  <c r="E1423" i="10"/>
  <c r="F1423" i="10" s="1"/>
  <c r="E1422" i="10"/>
  <c r="F1422" i="10" s="1"/>
  <c r="E1421" i="10"/>
  <c r="F1421" i="10" s="1"/>
  <c r="E1420" i="10"/>
  <c r="F1420" i="10" s="1"/>
  <c r="E1419" i="10"/>
  <c r="F1419" i="10" s="1"/>
  <c r="E1418" i="10"/>
  <c r="F1418" i="10" s="1"/>
  <c r="E1417" i="10"/>
  <c r="F1417" i="10" s="1"/>
  <c r="E1416" i="10"/>
  <c r="F1416" i="10" s="1"/>
  <c r="E1415" i="10"/>
  <c r="F1415" i="10" s="1"/>
  <c r="E1414" i="10"/>
  <c r="F1414" i="10" s="1"/>
  <c r="E1413" i="10"/>
  <c r="F1413" i="10" s="1"/>
  <c r="E1412" i="10"/>
  <c r="F1412" i="10" s="1"/>
  <c r="E1411" i="10"/>
  <c r="F1411" i="10" s="1"/>
  <c r="E1410" i="10"/>
  <c r="F1410" i="10" s="1"/>
  <c r="E1409" i="10"/>
  <c r="F1409" i="10" s="1"/>
  <c r="B1409" i="10"/>
  <c r="B1410" i="10" s="1"/>
  <c r="B1411" i="10" s="1"/>
  <c r="B1412" i="10" s="1"/>
  <c r="B1413" i="10" s="1"/>
  <c r="B1414" i="10" s="1"/>
  <c r="B1415" i="10" s="1"/>
  <c r="B1416" i="10" s="1"/>
  <c r="B1417" i="10" s="1"/>
  <c r="B1418" i="10" s="1"/>
  <c r="B1419" i="10" s="1"/>
  <c r="B1420" i="10" s="1"/>
  <c r="B1421" i="10" s="1"/>
  <c r="B1422" i="10" s="1"/>
  <c r="B1423" i="10" s="1"/>
  <c r="B1424" i="10" s="1"/>
  <c r="B1425" i="10" s="1"/>
  <c r="B1426" i="10" s="1"/>
  <c r="B1427" i="10" s="1"/>
  <c r="B1428" i="10" s="1"/>
  <c r="B1429" i="10" s="1"/>
  <c r="B1430" i="10" s="1"/>
  <c r="B1431" i="10" s="1"/>
  <c r="B1432" i="10" s="1"/>
  <c r="B1433" i="10" s="1"/>
  <c r="B1434" i="10" s="1"/>
  <c r="B1435" i="10" s="1"/>
  <c r="B1436" i="10" s="1"/>
  <c r="B1437" i="10" s="1"/>
  <c r="B1438" i="10" s="1"/>
  <c r="B1439" i="10" s="1"/>
  <c r="B1440" i="10" s="1"/>
  <c r="B1441" i="10" s="1"/>
  <c r="B1442" i="10" s="1"/>
  <c r="B1443" i="10" s="1"/>
  <c r="B1444" i="10" s="1"/>
  <c r="E1408" i="10"/>
  <c r="F1408" i="10" s="1"/>
  <c r="E1390" i="10"/>
  <c r="F1390" i="10" s="1"/>
  <c r="E1389" i="10"/>
  <c r="F1389" i="10" s="1"/>
  <c r="E1388" i="10"/>
  <c r="F1388" i="10" s="1"/>
  <c r="E1387" i="10"/>
  <c r="F1387" i="10" s="1"/>
  <c r="E1386" i="10"/>
  <c r="F1386" i="10" s="1"/>
  <c r="E1385" i="10"/>
  <c r="F1385" i="10" s="1"/>
  <c r="E1384" i="10"/>
  <c r="F1384" i="10" s="1"/>
  <c r="E1383" i="10"/>
  <c r="F1383" i="10" s="1"/>
  <c r="E1382" i="10"/>
  <c r="F1382" i="10" s="1"/>
  <c r="E1381" i="10"/>
  <c r="F1381" i="10" s="1"/>
  <c r="E1380" i="10"/>
  <c r="F1380" i="10" s="1"/>
  <c r="E1379" i="10"/>
  <c r="F1379" i="10" s="1"/>
  <c r="E1378" i="10"/>
  <c r="F1378" i="10" s="1"/>
  <c r="E1377" i="10"/>
  <c r="F1377" i="10" s="1"/>
  <c r="E1376" i="10"/>
  <c r="F1376" i="10" s="1"/>
  <c r="E1375" i="10"/>
  <c r="F1375" i="10" s="1"/>
  <c r="E1374" i="10"/>
  <c r="F1374" i="10" s="1"/>
  <c r="E1373" i="10"/>
  <c r="F1373" i="10" s="1"/>
  <c r="E1372" i="10"/>
  <c r="F1372" i="10" s="1"/>
  <c r="E1371" i="10"/>
  <c r="F1371" i="10" s="1"/>
  <c r="B1371" i="10"/>
  <c r="B1372" i="10" s="1"/>
  <c r="B1373" i="10" s="1"/>
  <c r="B1374" i="10" s="1"/>
  <c r="B1375" i="10" s="1"/>
  <c r="B1376" i="10" s="1"/>
  <c r="B1377" i="10" s="1"/>
  <c r="B1378" i="10" s="1"/>
  <c r="B1379" i="10" s="1"/>
  <c r="B1380" i="10" s="1"/>
  <c r="B1381" i="10" s="1"/>
  <c r="B1382" i="10" s="1"/>
  <c r="B1383" i="10" s="1"/>
  <c r="B1384" i="10" s="1"/>
  <c r="B1385" i="10" s="1"/>
  <c r="B1386" i="10" s="1"/>
  <c r="B1387" i="10" s="1"/>
  <c r="B1388" i="10" s="1"/>
  <c r="B1389" i="10" s="1"/>
  <c r="B1390" i="10" s="1"/>
  <c r="B1391" i="10" s="1"/>
  <c r="B1392" i="10" s="1"/>
  <c r="B1393" i="10" s="1"/>
  <c r="B1394" i="10" s="1"/>
  <c r="B1395" i="10" s="1"/>
  <c r="B1396" i="10" s="1"/>
  <c r="B1397" i="10" s="1"/>
  <c r="B1398" i="10" s="1"/>
  <c r="B1399" i="10" s="1"/>
  <c r="B1400" i="10" s="1"/>
  <c r="B1401" i="10" s="1"/>
  <c r="B1402" i="10" s="1"/>
  <c r="B1403" i="10" s="1"/>
  <c r="B1404" i="10" s="1"/>
  <c r="B1405" i="10" s="1"/>
  <c r="B1406" i="10" s="1"/>
  <c r="E1370" i="10"/>
  <c r="F1370" i="10" s="1"/>
  <c r="E1352" i="10"/>
  <c r="F1352" i="10" s="1"/>
  <c r="I1352" i="10" s="1"/>
  <c r="E1351" i="10"/>
  <c r="F1351" i="10" s="1"/>
  <c r="I1351" i="10" s="1"/>
  <c r="E1350" i="10"/>
  <c r="F1350" i="10" s="1"/>
  <c r="I1350" i="10" s="1"/>
  <c r="E1349" i="10"/>
  <c r="F1349" i="10" s="1"/>
  <c r="I1349" i="10" s="1"/>
  <c r="E1348" i="10"/>
  <c r="F1348" i="10" s="1"/>
  <c r="I1348" i="10" s="1"/>
  <c r="E1347" i="10"/>
  <c r="F1347" i="10" s="1"/>
  <c r="I1347" i="10" s="1"/>
  <c r="E1346" i="10"/>
  <c r="F1346" i="10" s="1"/>
  <c r="I1346" i="10" s="1"/>
  <c r="E1345" i="10"/>
  <c r="F1345" i="10" s="1"/>
  <c r="I1345" i="10" s="1"/>
  <c r="E1344" i="10"/>
  <c r="F1344" i="10" s="1"/>
  <c r="I1344" i="10" s="1"/>
  <c r="E1343" i="10"/>
  <c r="F1343" i="10" s="1"/>
  <c r="I1343" i="10" s="1"/>
  <c r="E1342" i="10"/>
  <c r="F1342" i="10" s="1"/>
  <c r="I1342" i="10" s="1"/>
  <c r="E1341" i="10"/>
  <c r="F1341" i="10" s="1"/>
  <c r="I1341" i="10" s="1"/>
  <c r="E1340" i="10"/>
  <c r="F1340" i="10" s="1"/>
  <c r="I1340" i="10" s="1"/>
  <c r="E1339" i="10"/>
  <c r="F1339" i="10" s="1"/>
  <c r="I1339" i="10" s="1"/>
  <c r="E1338" i="10"/>
  <c r="F1338" i="10" s="1"/>
  <c r="I1338" i="10" s="1"/>
  <c r="E1337" i="10"/>
  <c r="F1337" i="10" s="1"/>
  <c r="I1337" i="10" s="1"/>
  <c r="E1336" i="10"/>
  <c r="F1336" i="10" s="1"/>
  <c r="I1336" i="10" s="1"/>
  <c r="E1335" i="10"/>
  <c r="F1335" i="10" s="1"/>
  <c r="I1335" i="10" s="1"/>
  <c r="E1334" i="10"/>
  <c r="F1334" i="10" s="1"/>
  <c r="I1334" i="10" s="1"/>
  <c r="E1333" i="10"/>
  <c r="F1333" i="10" s="1"/>
  <c r="I1333" i="10" s="1"/>
  <c r="B1333" i="10"/>
  <c r="B1334" i="10" s="1"/>
  <c r="B1335" i="10" s="1"/>
  <c r="B1336" i="10" s="1"/>
  <c r="B1337" i="10" s="1"/>
  <c r="B1338" i="10" s="1"/>
  <c r="B1339" i="10" s="1"/>
  <c r="B1340" i="10" s="1"/>
  <c r="B1341" i="10" s="1"/>
  <c r="B1342" i="10" s="1"/>
  <c r="B1343" i="10" s="1"/>
  <c r="B1344" i="10" s="1"/>
  <c r="B1345" i="10" s="1"/>
  <c r="B1346" i="10" s="1"/>
  <c r="B1347" i="10" s="1"/>
  <c r="B1348" i="10" s="1"/>
  <c r="B1349" i="10" s="1"/>
  <c r="B1350" i="10" s="1"/>
  <c r="B1351" i="10" s="1"/>
  <c r="B1352" i="10" s="1"/>
  <c r="B1353" i="10" s="1"/>
  <c r="B1354" i="10" s="1"/>
  <c r="B1355" i="10" s="1"/>
  <c r="B1356" i="10" s="1"/>
  <c r="B1357" i="10" s="1"/>
  <c r="B1358" i="10" s="1"/>
  <c r="B1359" i="10" s="1"/>
  <c r="B1360" i="10" s="1"/>
  <c r="B1361" i="10" s="1"/>
  <c r="B1362" i="10" s="1"/>
  <c r="B1363" i="10" s="1"/>
  <c r="B1364" i="10" s="1"/>
  <c r="B1365" i="10" s="1"/>
  <c r="B1366" i="10" s="1"/>
  <c r="B1367" i="10" s="1"/>
  <c r="B1368" i="10" s="1"/>
  <c r="E1332" i="10"/>
  <c r="F1332" i="10" s="1"/>
  <c r="I1332" i="10" s="1"/>
  <c r="E1314" i="10"/>
  <c r="F1314" i="10" s="1"/>
  <c r="I1314" i="10" s="1"/>
  <c r="E1313" i="10"/>
  <c r="F1313" i="10" s="1"/>
  <c r="I1313" i="10" s="1"/>
  <c r="E1312" i="10"/>
  <c r="F1312" i="10" s="1"/>
  <c r="I1312" i="10" s="1"/>
  <c r="E1311" i="10"/>
  <c r="F1311" i="10" s="1"/>
  <c r="I1311" i="10" s="1"/>
  <c r="E1310" i="10"/>
  <c r="F1310" i="10" s="1"/>
  <c r="I1310" i="10" s="1"/>
  <c r="E1309" i="10"/>
  <c r="F1309" i="10" s="1"/>
  <c r="I1309" i="10" s="1"/>
  <c r="E1308" i="10"/>
  <c r="F1308" i="10" s="1"/>
  <c r="I1308" i="10" s="1"/>
  <c r="E1307" i="10"/>
  <c r="F1307" i="10" s="1"/>
  <c r="I1307" i="10" s="1"/>
  <c r="E1306" i="10"/>
  <c r="F1306" i="10" s="1"/>
  <c r="I1306" i="10" s="1"/>
  <c r="E1305" i="10"/>
  <c r="F1305" i="10" s="1"/>
  <c r="I1305" i="10" s="1"/>
  <c r="E1304" i="10"/>
  <c r="F1304" i="10" s="1"/>
  <c r="I1304" i="10" s="1"/>
  <c r="E1303" i="10"/>
  <c r="F1303" i="10" s="1"/>
  <c r="I1303" i="10" s="1"/>
  <c r="E1302" i="10"/>
  <c r="F1302" i="10" s="1"/>
  <c r="I1302" i="10" s="1"/>
  <c r="E1301" i="10"/>
  <c r="F1301" i="10" s="1"/>
  <c r="I1301" i="10" s="1"/>
  <c r="E1300" i="10"/>
  <c r="F1300" i="10" s="1"/>
  <c r="I1300" i="10" s="1"/>
  <c r="E1299" i="10"/>
  <c r="F1299" i="10" s="1"/>
  <c r="I1299" i="10" s="1"/>
  <c r="E1298" i="10"/>
  <c r="F1298" i="10" s="1"/>
  <c r="I1298" i="10" s="1"/>
  <c r="E1297" i="10"/>
  <c r="F1297" i="10" s="1"/>
  <c r="I1297" i="10" s="1"/>
  <c r="E1296" i="10"/>
  <c r="F1296" i="10" s="1"/>
  <c r="I1296" i="10" s="1"/>
  <c r="E1295" i="10"/>
  <c r="F1295" i="10" s="1"/>
  <c r="I1295" i="10" s="1"/>
  <c r="B1295" i="10"/>
  <c r="B1296" i="10" s="1"/>
  <c r="B1297" i="10" s="1"/>
  <c r="B1298" i="10" s="1"/>
  <c r="B1299" i="10" s="1"/>
  <c r="B1300" i="10" s="1"/>
  <c r="B1301" i="10" s="1"/>
  <c r="B1302" i="10" s="1"/>
  <c r="B1303" i="10" s="1"/>
  <c r="B1304" i="10" s="1"/>
  <c r="B1305" i="10" s="1"/>
  <c r="B1306" i="10" s="1"/>
  <c r="B1307" i="10" s="1"/>
  <c r="B1308" i="10" s="1"/>
  <c r="B1309" i="10" s="1"/>
  <c r="B1310" i="10" s="1"/>
  <c r="B1311" i="10" s="1"/>
  <c r="B1312" i="10" s="1"/>
  <c r="B1313" i="10" s="1"/>
  <c r="B1314" i="10" s="1"/>
  <c r="B1315" i="10" s="1"/>
  <c r="B1316" i="10" s="1"/>
  <c r="B1317" i="10" s="1"/>
  <c r="B1318" i="10" s="1"/>
  <c r="B1319" i="10" s="1"/>
  <c r="B1320" i="10" s="1"/>
  <c r="B1321" i="10" s="1"/>
  <c r="B1322" i="10" s="1"/>
  <c r="B1323" i="10" s="1"/>
  <c r="B1324" i="10" s="1"/>
  <c r="B1325" i="10" s="1"/>
  <c r="B1326" i="10" s="1"/>
  <c r="B1327" i="10" s="1"/>
  <c r="B1328" i="10" s="1"/>
  <c r="B1329" i="10" s="1"/>
  <c r="B1330" i="10" s="1"/>
  <c r="E1294" i="10"/>
  <c r="F1294" i="10" s="1"/>
  <c r="I1294" i="10" s="1"/>
  <c r="E1276" i="10"/>
  <c r="F1276" i="10" s="1"/>
  <c r="I1276" i="10" s="1"/>
  <c r="E1275" i="10"/>
  <c r="F1275" i="10" s="1"/>
  <c r="I1275" i="10" s="1"/>
  <c r="E1274" i="10"/>
  <c r="F1274" i="10" s="1"/>
  <c r="I1274" i="10" s="1"/>
  <c r="E1273" i="10"/>
  <c r="F1273" i="10" s="1"/>
  <c r="I1273" i="10" s="1"/>
  <c r="E1272" i="10"/>
  <c r="F1272" i="10" s="1"/>
  <c r="I1272" i="10" s="1"/>
  <c r="E1271" i="10"/>
  <c r="F1271" i="10" s="1"/>
  <c r="I1271" i="10" s="1"/>
  <c r="E1270" i="10"/>
  <c r="F1270" i="10" s="1"/>
  <c r="I1270" i="10" s="1"/>
  <c r="E1269" i="10"/>
  <c r="F1269" i="10" s="1"/>
  <c r="I1269" i="10" s="1"/>
  <c r="E1268" i="10"/>
  <c r="F1268" i="10" s="1"/>
  <c r="I1268" i="10" s="1"/>
  <c r="E1267" i="10"/>
  <c r="F1267" i="10" s="1"/>
  <c r="I1267" i="10" s="1"/>
  <c r="E1266" i="10"/>
  <c r="F1266" i="10" s="1"/>
  <c r="I1266" i="10" s="1"/>
  <c r="E1265" i="10"/>
  <c r="F1265" i="10" s="1"/>
  <c r="I1265" i="10" s="1"/>
  <c r="E1264" i="10"/>
  <c r="F1264" i="10" s="1"/>
  <c r="I1264" i="10" s="1"/>
  <c r="E1263" i="10"/>
  <c r="F1263" i="10" s="1"/>
  <c r="I1263" i="10" s="1"/>
  <c r="E1262" i="10"/>
  <c r="F1262" i="10" s="1"/>
  <c r="I1262" i="10" s="1"/>
  <c r="E1261" i="10"/>
  <c r="F1261" i="10" s="1"/>
  <c r="I1261" i="10" s="1"/>
  <c r="E1260" i="10"/>
  <c r="F1260" i="10" s="1"/>
  <c r="I1260" i="10" s="1"/>
  <c r="E1259" i="10"/>
  <c r="F1259" i="10" s="1"/>
  <c r="I1259" i="10" s="1"/>
  <c r="E1258" i="10"/>
  <c r="F1258" i="10" s="1"/>
  <c r="I1258" i="10" s="1"/>
  <c r="E1257" i="10"/>
  <c r="F1257" i="10" s="1"/>
  <c r="I1257" i="10" s="1"/>
  <c r="B1257" i="10"/>
  <c r="B1258" i="10" s="1"/>
  <c r="B1259" i="10" s="1"/>
  <c r="B1260" i="10" s="1"/>
  <c r="B1261" i="10" s="1"/>
  <c r="B1262" i="10" s="1"/>
  <c r="B1263" i="10" s="1"/>
  <c r="B1264" i="10" s="1"/>
  <c r="B1265" i="10" s="1"/>
  <c r="B1266" i="10" s="1"/>
  <c r="B1267" i="10" s="1"/>
  <c r="B1268" i="10" s="1"/>
  <c r="B1269" i="10" s="1"/>
  <c r="B1270" i="10" s="1"/>
  <c r="B1271" i="10" s="1"/>
  <c r="B1272" i="10" s="1"/>
  <c r="B1273" i="10" s="1"/>
  <c r="B1274" i="10" s="1"/>
  <c r="B1275" i="10" s="1"/>
  <c r="B1276" i="10" s="1"/>
  <c r="B1277" i="10" s="1"/>
  <c r="B1278" i="10" s="1"/>
  <c r="B1279" i="10" s="1"/>
  <c r="B1280" i="10" s="1"/>
  <c r="B1281" i="10" s="1"/>
  <c r="B1282" i="10" s="1"/>
  <c r="B1283" i="10" s="1"/>
  <c r="B1284" i="10" s="1"/>
  <c r="B1285" i="10" s="1"/>
  <c r="B1286" i="10" s="1"/>
  <c r="B1287" i="10" s="1"/>
  <c r="B1288" i="10" s="1"/>
  <c r="B1289" i="10" s="1"/>
  <c r="B1290" i="10" s="1"/>
  <c r="B1291" i="10" s="1"/>
  <c r="B1292" i="10" s="1"/>
  <c r="E1256" i="10"/>
  <c r="F1256" i="10" s="1"/>
  <c r="I1256" i="10" s="1"/>
  <c r="E1238" i="10"/>
  <c r="F1238" i="10" s="1"/>
  <c r="E1237" i="10"/>
  <c r="F1237" i="10" s="1"/>
  <c r="E1236" i="10"/>
  <c r="F1236" i="10" s="1"/>
  <c r="E1235" i="10"/>
  <c r="F1235" i="10" s="1"/>
  <c r="E1234" i="10"/>
  <c r="F1234" i="10" s="1"/>
  <c r="E1233" i="10"/>
  <c r="F1233" i="10" s="1"/>
  <c r="E1232" i="10"/>
  <c r="F1232" i="10" s="1"/>
  <c r="E1231" i="10"/>
  <c r="F1231" i="10" s="1"/>
  <c r="E1230" i="10"/>
  <c r="F1230" i="10" s="1"/>
  <c r="E1229" i="10"/>
  <c r="F1229" i="10" s="1"/>
  <c r="E1228" i="10"/>
  <c r="F1228" i="10" s="1"/>
  <c r="E1227" i="10"/>
  <c r="F1227" i="10" s="1"/>
  <c r="E1226" i="10"/>
  <c r="F1226" i="10" s="1"/>
  <c r="E1225" i="10"/>
  <c r="F1225" i="10" s="1"/>
  <c r="E1224" i="10"/>
  <c r="F1224" i="10" s="1"/>
  <c r="E1223" i="10"/>
  <c r="F1223" i="10" s="1"/>
  <c r="E1222" i="10"/>
  <c r="F1222" i="10" s="1"/>
  <c r="E1221" i="10"/>
  <c r="F1221" i="10" s="1"/>
  <c r="E1220" i="10"/>
  <c r="F1220" i="10" s="1"/>
  <c r="E1219" i="10"/>
  <c r="F1219" i="10" s="1"/>
  <c r="B1219" i="10"/>
  <c r="B1220" i="10" s="1"/>
  <c r="B1221" i="10" s="1"/>
  <c r="B1222" i="10" s="1"/>
  <c r="B1223" i="10" s="1"/>
  <c r="B1224" i="10" s="1"/>
  <c r="B1225" i="10" s="1"/>
  <c r="B1226" i="10" s="1"/>
  <c r="B1227" i="10" s="1"/>
  <c r="B1228" i="10" s="1"/>
  <c r="B1229" i="10" s="1"/>
  <c r="B1230" i="10" s="1"/>
  <c r="B1231" i="10" s="1"/>
  <c r="B1232" i="10" s="1"/>
  <c r="B1233" i="10" s="1"/>
  <c r="B1234" i="10" s="1"/>
  <c r="B1235" i="10" s="1"/>
  <c r="B1236" i="10" s="1"/>
  <c r="B1237" i="10" s="1"/>
  <c r="B1238" i="10" s="1"/>
  <c r="B1239" i="10" s="1"/>
  <c r="B1240" i="10" s="1"/>
  <c r="B1241" i="10" s="1"/>
  <c r="B1242" i="10" s="1"/>
  <c r="B1243" i="10" s="1"/>
  <c r="B1244" i="10" s="1"/>
  <c r="B1245" i="10" s="1"/>
  <c r="B1246" i="10" s="1"/>
  <c r="B1247" i="10" s="1"/>
  <c r="B1248" i="10" s="1"/>
  <c r="B1249" i="10" s="1"/>
  <c r="B1250" i="10" s="1"/>
  <c r="B1251" i="10" s="1"/>
  <c r="B1252" i="10" s="1"/>
  <c r="B1253" i="10" s="1"/>
  <c r="B1254" i="10" s="1"/>
  <c r="E1218" i="10"/>
  <c r="F1218" i="10" s="1"/>
  <c r="E1200" i="10"/>
  <c r="F1200" i="10" s="1"/>
  <c r="E1199" i="10"/>
  <c r="F1199" i="10" s="1"/>
  <c r="E1198" i="10"/>
  <c r="F1198" i="10" s="1"/>
  <c r="E1197" i="10"/>
  <c r="F1197" i="10" s="1"/>
  <c r="E1196" i="10"/>
  <c r="F1196" i="10" s="1"/>
  <c r="E1195" i="10"/>
  <c r="F1195" i="10" s="1"/>
  <c r="E1194" i="10"/>
  <c r="F1194" i="10" s="1"/>
  <c r="E1193" i="10"/>
  <c r="F1193" i="10" s="1"/>
  <c r="E1192" i="10"/>
  <c r="F1192" i="10" s="1"/>
  <c r="E1191" i="10"/>
  <c r="F1191" i="10" s="1"/>
  <c r="E1190" i="10"/>
  <c r="F1190" i="10" s="1"/>
  <c r="E1189" i="10"/>
  <c r="F1189" i="10" s="1"/>
  <c r="E1188" i="10"/>
  <c r="F1188" i="10" s="1"/>
  <c r="E1187" i="10"/>
  <c r="F1187" i="10" s="1"/>
  <c r="E1186" i="10"/>
  <c r="F1186" i="10" s="1"/>
  <c r="E1185" i="10"/>
  <c r="F1185" i="10" s="1"/>
  <c r="E1184" i="10"/>
  <c r="F1184" i="10" s="1"/>
  <c r="E1183" i="10"/>
  <c r="F1183" i="10" s="1"/>
  <c r="E1182" i="10"/>
  <c r="F1182" i="10" s="1"/>
  <c r="E1181" i="10"/>
  <c r="F1181" i="10" s="1"/>
  <c r="B1181" i="10"/>
  <c r="B1182" i="10" s="1"/>
  <c r="B1183" i="10" s="1"/>
  <c r="B1184" i="10" s="1"/>
  <c r="B1185" i="10" s="1"/>
  <c r="B1186" i="10" s="1"/>
  <c r="B1187" i="10" s="1"/>
  <c r="B1188" i="10" s="1"/>
  <c r="B1189" i="10" s="1"/>
  <c r="B1190" i="10" s="1"/>
  <c r="B1191" i="10" s="1"/>
  <c r="B1192" i="10" s="1"/>
  <c r="B1193" i="10" s="1"/>
  <c r="B1194" i="10" s="1"/>
  <c r="B1195" i="10" s="1"/>
  <c r="B1196" i="10" s="1"/>
  <c r="B1197" i="10" s="1"/>
  <c r="B1198" i="10" s="1"/>
  <c r="B1199" i="10" s="1"/>
  <c r="B1200" i="10" s="1"/>
  <c r="B1201" i="10" s="1"/>
  <c r="B1202" i="10" s="1"/>
  <c r="B1203" i="10" s="1"/>
  <c r="B1204" i="10" s="1"/>
  <c r="B1205" i="10" s="1"/>
  <c r="B1206" i="10" s="1"/>
  <c r="B1207" i="10" s="1"/>
  <c r="B1208" i="10" s="1"/>
  <c r="B1209" i="10" s="1"/>
  <c r="B1210" i="10" s="1"/>
  <c r="B1211" i="10" s="1"/>
  <c r="B1212" i="10" s="1"/>
  <c r="B1213" i="10" s="1"/>
  <c r="B1214" i="10" s="1"/>
  <c r="B1215" i="10" s="1"/>
  <c r="B1216" i="10" s="1"/>
  <c r="E1180" i="10"/>
  <c r="F1180" i="10" s="1"/>
  <c r="E1162" i="10"/>
  <c r="F1162" i="10" s="1"/>
  <c r="E1161" i="10"/>
  <c r="F1161" i="10" s="1"/>
  <c r="E1160" i="10"/>
  <c r="F1160" i="10" s="1"/>
  <c r="E1159" i="10"/>
  <c r="F1159" i="10" s="1"/>
  <c r="E1158" i="10"/>
  <c r="F1158" i="10" s="1"/>
  <c r="E1157" i="10"/>
  <c r="F1157" i="10" s="1"/>
  <c r="E1156" i="10"/>
  <c r="F1156" i="10" s="1"/>
  <c r="E1155" i="10"/>
  <c r="F1155" i="10" s="1"/>
  <c r="E1154" i="10"/>
  <c r="F1154" i="10" s="1"/>
  <c r="E1153" i="10"/>
  <c r="F1153" i="10" s="1"/>
  <c r="E1152" i="10"/>
  <c r="F1152" i="10" s="1"/>
  <c r="E1151" i="10"/>
  <c r="F1151" i="10" s="1"/>
  <c r="E1150" i="10"/>
  <c r="F1150" i="10" s="1"/>
  <c r="E1149" i="10"/>
  <c r="F1149" i="10" s="1"/>
  <c r="E1148" i="10"/>
  <c r="F1148" i="10" s="1"/>
  <c r="E1147" i="10"/>
  <c r="F1147" i="10" s="1"/>
  <c r="E1146" i="10"/>
  <c r="F1146" i="10" s="1"/>
  <c r="E1145" i="10"/>
  <c r="F1145" i="10" s="1"/>
  <c r="E1144" i="10"/>
  <c r="F1144" i="10" s="1"/>
  <c r="E1143" i="10"/>
  <c r="F1143" i="10" s="1"/>
  <c r="B1143" i="10"/>
  <c r="B1144" i="10" s="1"/>
  <c r="B1145" i="10" s="1"/>
  <c r="B1146" i="10" s="1"/>
  <c r="B1147" i="10" s="1"/>
  <c r="B1148" i="10" s="1"/>
  <c r="B1149" i="10" s="1"/>
  <c r="B1150" i="10" s="1"/>
  <c r="B1151" i="10" s="1"/>
  <c r="B1152" i="10" s="1"/>
  <c r="B1153" i="10" s="1"/>
  <c r="B1154" i="10" s="1"/>
  <c r="B1155" i="10" s="1"/>
  <c r="B1156" i="10" s="1"/>
  <c r="B1157" i="10" s="1"/>
  <c r="B1158" i="10" s="1"/>
  <c r="B1159" i="10" s="1"/>
  <c r="B1160" i="10" s="1"/>
  <c r="B1161" i="10" s="1"/>
  <c r="B1162" i="10" s="1"/>
  <c r="B1163" i="10" s="1"/>
  <c r="B1164" i="10" s="1"/>
  <c r="B1165" i="10" s="1"/>
  <c r="B1166" i="10" s="1"/>
  <c r="B1167" i="10" s="1"/>
  <c r="B1168" i="10" s="1"/>
  <c r="B1169" i="10" s="1"/>
  <c r="B1170" i="10" s="1"/>
  <c r="B1171" i="10" s="1"/>
  <c r="B1172" i="10" s="1"/>
  <c r="B1173" i="10" s="1"/>
  <c r="B1174" i="10" s="1"/>
  <c r="B1175" i="10" s="1"/>
  <c r="B1176" i="10" s="1"/>
  <c r="B1177" i="10" s="1"/>
  <c r="B1178" i="10" s="1"/>
  <c r="E1142" i="10"/>
  <c r="F1142" i="10" s="1"/>
  <c r="E1124" i="10"/>
  <c r="F1124" i="10" s="1"/>
  <c r="E1123" i="10"/>
  <c r="F1123" i="10" s="1"/>
  <c r="E1122" i="10"/>
  <c r="F1122" i="10" s="1"/>
  <c r="E1121" i="10"/>
  <c r="F1121" i="10" s="1"/>
  <c r="E1120" i="10"/>
  <c r="F1120" i="10" s="1"/>
  <c r="E1119" i="10"/>
  <c r="F1119" i="10" s="1"/>
  <c r="E1118" i="10"/>
  <c r="F1118" i="10" s="1"/>
  <c r="E1117" i="10"/>
  <c r="F1117" i="10" s="1"/>
  <c r="E1116" i="10"/>
  <c r="F1116" i="10" s="1"/>
  <c r="E1115" i="10"/>
  <c r="F1115" i="10" s="1"/>
  <c r="E1114" i="10"/>
  <c r="F1114" i="10" s="1"/>
  <c r="E1113" i="10"/>
  <c r="F1113" i="10" s="1"/>
  <c r="E1112" i="10"/>
  <c r="F1112" i="10" s="1"/>
  <c r="E1111" i="10"/>
  <c r="F1111" i="10" s="1"/>
  <c r="E1110" i="10"/>
  <c r="F1110" i="10" s="1"/>
  <c r="E1109" i="10"/>
  <c r="F1109" i="10" s="1"/>
  <c r="E1108" i="10"/>
  <c r="F1108" i="10" s="1"/>
  <c r="E1107" i="10"/>
  <c r="F1107" i="10" s="1"/>
  <c r="E1106" i="10"/>
  <c r="F1106" i="10" s="1"/>
  <c r="E1105" i="10"/>
  <c r="F1105" i="10" s="1"/>
  <c r="B1105" i="10"/>
  <c r="B1106" i="10" s="1"/>
  <c r="B1107" i="10" s="1"/>
  <c r="B1108" i="10" s="1"/>
  <c r="B1109" i="10" s="1"/>
  <c r="B1110" i="10" s="1"/>
  <c r="B1111" i="10" s="1"/>
  <c r="B1112" i="10" s="1"/>
  <c r="B1113" i="10" s="1"/>
  <c r="B1114" i="10" s="1"/>
  <c r="B1115" i="10" s="1"/>
  <c r="B1116" i="10" s="1"/>
  <c r="B1117" i="10" s="1"/>
  <c r="B1118" i="10" s="1"/>
  <c r="B1119" i="10" s="1"/>
  <c r="B1120" i="10" s="1"/>
  <c r="B1121" i="10" s="1"/>
  <c r="B1122" i="10" s="1"/>
  <c r="B1123" i="10" s="1"/>
  <c r="B1124" i="10" s="1"/>
  <c r="B1125" i="10" s="1"/>
  <c r="B1126" i="10" s="1"/>
  <c r="B1127" i="10" s="1"/>
  <c r="B1128" i="10" s="1"/>
  <c r="B1129" i="10" s="1"/>
  <c r="B1130" i="10" s="1"/>
  <c r="B1131" i="10" s="1"/>
  <c r="B1132" i="10" s="1"/>
  <c r="B1133" i="10" s="1"/>
  <c r="B1134" i="10" s="1"/>
  <c r="B1135" i="10" s="1"/>
  <c r="B1136" i="10" s="1"/>
  <c r="B1137" i="10" s="1"/>
  <c r="B1138" i="10" s="1"/>
  <c r="B1139" i="10" s="1"/>
  <c r="B1140" i="10" s="1"/>
  <c r="E1104" i="10"/>
  <c r="F1104" i="10" s="1"/>
  <c r="E1086" i="10"/>
  <c r="F1086" i="10" s="1"/>
  <c r="E1085" i="10"/>
  <c r="F1085" i="10" s="1"/>
  <c r="E1084" i="10"/>
  <c r="F1084" i="10" s="1"/>
  <c r="E1083" i="10"/>
  <c r="F1083" i="10" s="1"/>
  <c r="E1082" i="10"/>
  <c r="F1082" i="10" s="1"/>
  <c r="E1081" i="10"/>
  <c r="F1081" i="10" s="1"/>
  <c r="E1080" i="10"/>
  <c r="F1080" i="10" s="1"/>
  <c r="E1079" i="10"/>
  <c r="F1079" i="10" s="1"/>
  <c r="E1078" i="10"/>
  <c r="F1078" i="10" s="1"/>
  <c r="E1077" i="10"/>
  <c r="F1077" i="10" s="1"/>
  <c r="E1076" i="10"/>
  <c r="F1076" i="10" s="1"/>
  <c r="E1075" i="10"/>
  <c r="F1075" i="10" s="1"/>
  <c r="E1074" i="10"/>
  <c r="F1074" i="10" s="1"/>
  <c r="E1073" i="10"/>
  <c r="F1073" i="10" s="1"/>
  <c r="E1072" i="10"/>
  <c r="F1072" i="10" s="1"/>
  <c r="E1071" i="10"/>
  <c r="F1071" i="10" s="1"/>
  <c r="E1070" i="10"/>
  <c r="F1070" i="10" s="1"/>
  <c r="E1069" i="10"/>
  <c r="F1069" i="10" s="1"/>
  <c r="E1068" i="10"/>
  <c r="F1068" i="10" s="1"/>
  <c r="E1067" i="10"/>
  <c r="F1067" i="10" s="1"/>
  <c r="B1067" i="10"/>
  <c r="B1068" i="10" s="1"/>
  <c r="B1069" i="10" s="1"/>
  <c r="B1070" i="10" s="1"/>
  <c r="B1071" i="10" s="1"/>
  <c r="B1072" i="10" s="1"/>
  <c r="B1073" i="10" s="1"/>
  <c r="B1074" i="10" s="1"/>
  <c r="B1075" i="10" s="1"/>
  <c r="B1076" i="10" s="1"/>
  <c r="B1077" i="10" s="1"/>
  <c r="B1078" i="10" s="1"/>
  <c r="B1079" i="10" s="1"/>
  <c r="B1080" i="10" s="1"/>
  <c r="B1081" i="10" s="1"/>
  <c r="B1082" i="10" s="1"/>
  <c r="B1083" i="10" s="1"/>
  <c r="B1084" i="10" s="1"/>
  <c r="B1085" i="10" s="1"/>
  <c r="B1086" i="10" s="1"/>
  <c r="B1087" i="10" s="1"/>
  <c r="B1088" i="10" s="1"/>
  <c r="B1089" i="10" s="1"/>
  <c r="B1090" i="10" s="1"/>
  <c r="B1091" i="10" s="1"/>
  <c r="B1092" i="10" s="1"/>
  <c r="B1093" i="10" s="1"/>
  <c r="B1094" i="10" s="1"/>
  <c r="B1095" i="10" s="1"/>
  <c r="B1096" i="10" s="1"/>
  <c r="B1097" i="10" s="1"/>
  <c r="B1098" i="10" s="1"/>
  <c r="B1099" i="10" s="1"/>
  <c r="B1100" i="10" s="1"/>
  <c r="B1101" i="10" s="1"/>
  <c r="B1102" i="10" s="1"/>
  <c r="E1066" i="10"/>
  <c r="F1066" i="10" s="1"/>
  <c r="E1048" i="10"/>
  <c r="F1048" i="10" s="1"/>
  <c r="E1047" i="10"/>
  <c r="F1047" i="10" s="1"/>
  <c r="E1046" i="10"/>
  <c r="F1046" i="10" s="1"/>
  <c r="E1045" i="10"/>
  <c r="F1045" i="10" s="1"/>
  <c r="E1044" i="10"/>
  <c r="F1044" i="10" s="1"/>
  <c r="E1043" i="10"/>
  <c r="F1043" i="10" s="1"/>
  <c r="E1042" i="10"/>
  <c r="F1042" i="10" s="1"/>
  <c r="E1041" i="10"/>
  <c r="F1041" i="10" s="1"/>
  <c r="E1040" i="10"/>
  <c r="F1040" i="10" s="1"/>
  <c r="E1039" i="10"/>
  <c r="F1039" i="10" s="1"/>
  <c r="E1038" i="10"/>
  <c r="F1038" i="10" s="1"/>
  <c r="E1037" i="10"/>
  <c r="F1037" i="10" s="1"/>
  <c r="E1036" i="10"/>
  <c r="F1036" i="10" s="1"/>
  <c r="E1035" i="10"/>
  <c r="F1035" i="10" s="1"/>
  <c r="E1034" i="10"/>
  <c r="F1034" i="10" s="1"/>
  <c r="E1033" i="10"/>
  <c r="F1033" i="10" s="1"/>
  <c r="E1032" i="10"/>
  <c r="F1032" i="10" s="1"/>
  <c r="E1031" i="10"/>
  <c r="F1031" i="10" s="1"/>
  <c r="E1030" i="10"/>
  <c r="F1030" i="10" s="1"/>
  <c r="E1029" i="10"/>
  <c r="F1029" i="10" s="1"/>
  <c r="B1029" i="10"/>
  <c r="B1030" i="10" s="1"/>
  <c r="B1031" i="10" s="1"/>
  <c r="B1032" i="10" s="1"/>
  <c r="B1033" i="10" s="1"/>
  <c r="B1034" i="10" s="1"/>
  <c r="B1035" i="10" s="1"/>
  <c r="B1036" i="10" s="1"/>
  <c r="B1037" i="10" s="1"/>
  <c r="B1038" i="10" s="1"/>
  <c r="B1039" i="10" s="1"/>
  <c r="B1040" i="10" s="1"/>
  <c r="B1041" i="10" s="1"/>
  <c r="B1042" i="10" s="1"/>
  <c r="B1043" i="10" s="1"/>
  <c r="B1044" i="10" s="1"/>
  <c r="B1045" i="10" s="1"/>
  <c r="B1046" i="10" s="1"/>
  <c r="B1047" i="10" s="1"/>
  <c r="B1048" i="10" s="1"/>
  <c r="B1049" i="10" s="1"/>
  <c r="B1050" i="10" s="1"/>
  <c r="B1051" i="10" s="1"/>
  <c r="B1052" i="10" s="1"/>
  <c r="B1053" i="10" s="1"/>
  <c r="B1054" i="10" s="1"/>
  <c r="B1055" i="10" s="1"/>
  <c r="B1056" i="10" s="1"/>
  <c r="B1057" i="10" s="1"/>
  <c r="B1058" i="10" s="1"/>
  <c r="B1059" i="10" s="1"/>
  <c r="B1060" i="10" s="1"/>
  <c r="B1061" i="10" s="1"/>
  <c r="B1062" i="10" s="1"/>
  <c r="B1063" i="10" s="1"/>
  <c r="B1064" i="10" s="1"/>
  <c r="E1028" i="10"/>
  <c r="F1028" i="10" s="1"/>
  <c r="E1010" i="10"/>
  <c r="F1010" i="10" s="1"/>
  <c r="E1009" i="10"/>
  <c r="F1009" i="10" s="1"/>
  <c r="E1008" i="10"/>
  <c r="F1008" i="10" s="1"/>
  <c r="E1007" i="10"/>
  <c r="F1007" i="10" s="1"/>
  <c r="E1006" i="10"/>
  <c r="F1006" i="10" s="1"/>
  <c r="E1005" i="10"/>
  <c r="F1005" i="10" s="1"/>
  <c r="E1004" i="10"/>
  <c r="F1004" i="10" s="1"/>
  <c r="E1003" i="10"/>
  <c r="F1003" i="10" s="1"/>
  <c r="E1002" i="10"/>
  <c r="F1002" i="10" s="1"/>
  <c r="E1001" i="10"/>
  <c r="F1001" i="10" s="1"/>
  <c r="E1000" i="10"/>
  <c r="F1000" i="10" s="1"/>
  <c r="E999" i="10"/>
  <c r="F999" i="10" s="1"/>
  <c r="E998" i="10"/>
  <c r="F998" i="10" s="1"/>
  <c r="E997" i="10"/>
  <c r="F997" i="10" s="1"/>
  <c r="E996" i="10"/>
  <c r="F996" i="10" s="1"/>
  <c r="E995" i="10"/>
  <c r="F995" i="10" s="1"/>
  <c r="E994" i="10"/>
  <c r="F994" i="10" s="1"/>
  <c r="E993" i="10"/>
  <c r="F993" i="10" s="1"/>
  <c r="E992" i="10"/>
  <c r="F992" i="10" s="1"/>
  <c r="E991" i="10"/>
  <c r="F991" i="10" s="1"/>
  <c r="B991" i="10"/>
  <c r="B992" i="10" s="1"/>
  <c r="B993" i="10" s="1"/>
  <c r="B994" i="10" s="1"/>
  <c r="B995" i="10" s="1"/>
  <c r="B996" i="10" s="1"/>
  <c r="B997" i="10" s="1"/>
  <c r="B998" i="10" s="1"/>
  <c r="B999" i="10" s="1"/>
  <c r="B1000" i="10" s="1"/>
  <c r="B1001" i="10" s="1"/>
  <c r="B1002" i="10" s="1"/>
  <c r="B1003" i="10" s="1"/>
  <c r="B1004" i="10" s="1"/>
  <c r="B1005" i="10" s="1"/>
  <c r="B1006" i="10" s="1"/>
  <c r="B1007" i="10" s="1"/>
  <c r="B1008" i="10" s="1"/>
  <c r="B1009" i="10" s="1"/>
  <c r="B1010" i="10" s="1"/>
  <c r="B1011" i="10" s="1"/>
  <c r="B1012" i="10" s="1"/>
  <c r="B1013" i="10" s="1"/>
  <c r="B1014" i="10" s="1"/>
  <c r="B1015" i="10" s="1"/>
  <c r="B1016" i="10" s="1"/>
  <c r="B1017" i="10" s="1"/>
  <c r="B1018" i="10" s="1"/>
  <c r="B1019" i="10" s="1"/>
  <c r="B1020" i="10" s="1"/>
  <c r="B1021" i="10" s="1"/>
  <c r="B1022" i="10" s="1"/>
  <c r="B1023" i="10" s="1"/>
  <c r="B1024" i="10" s="1"/>
  <c r="B1025" i="10" s="1"/>
  <c r="B1026" i="10" s="1"/>
  <c r="E990" i="10"/>
  <c r="F990" i="10" s="1"/>
  <c r="E972" i="10"/>
  <c r="F972" i="10" s="1"/>
  <c r="E971" i="10"/>
  <c r="F971" i="10" s="1"/>
  <c r="E970" i="10"/>
  <c r="F970" i="10" s="1"/>
  <c r="E969" i="10"/>
  <c r="F969" i="10" s="1"/>
  <c r="E968" i="10"/>
  <c r="F968" i="10" s="1"/>
  <c r="E967" i="10"/>
  <c r="F967" i="10" s="1"/>
  <c r="E966" i="10"/>
  <c r="F966" i="10" s="1"/>
  <c r="E965" i="10"/>
  <c r="F965" i="10" s="1"/>
  <c r="E964" i="10"/>
  <c r="F964" i="10" s="1"/>
  <c r="E963" i="10"/>
  <c r="F963" i="10" s="1"/>
  <c r="E962" i="10"/>
  <c r="F962" i="10" s="1"/>
  <c r="E961" i="10"/>
  <c r="F961" i="10" s="1"/>
  <c r="E960" i="10"/>
  <c r="F960" i="10" s="1"/>
  <c r="E959" i="10"/>
  <c r="F959" i="10" s="1"/>
  <c r="E958" i="10"/>
  <c r="F958" i="10" s="1"/>
  <c r="E957" i="10"/>
  <c r="F957" i="10" s="1"/>
  <c r="E956" i="10"/>
  <c r="F956" i="10" s="1"/>
  <c r="E955" i="10"/>
  <c r="F955" i="10" s="1"/>
  <c r="E954" i="10"/>
  <c r="F954" i="10" s="1"/>
  <c r="E953" i="10"/>
  <c r="F953" i="10" s="1"/>
  <c r="B953" i="10"/>
  <c r="B954" i="10" s="1"/>
  <c r="B955" i="10" s="1"/>
  <c r="B956" i="10" s="1"/>
  <c r="B957" i="10" s="1"/>
  <c r="B958" i="10" s="1"/>
  <c r="B959" i="10" s="1"/>
  <c r="B960" i="10" s="1"/>
  <c r="B961" i="10" s="1"/>
  <c r="B962" i="10" s="1"/>
  <c r="B963" i="10" s="1"/>
  <c r="B964" i="10" s="1"/>
  <c r="B965" i="10" s="1"/>
  <c r="B966" i="10" s="1"/>
  <c r="B967" i="10" s="1"/>
  <c r="B968" i="10" s="1"/>
  <c r="B969" i="10" s="1"/>
  <c r="B970" i="10" s="1"/>
  <c r="B971" i="10" s="1"/>
  <c r="B972" i="10" s="1"/>
  <c r="B973" i="10" s="1"/>
  <c r="B974" i="10" s="1"/>
  <c r="B975" i="10" s="1"/>
  <c r="B976" i="10" s="1"/>
  <c r="B977" i="10" s="1"/>
  <c r="B978" i="10" s="1"/>
  <c r="B979" i="10" s="1"/>
  <c r="B980" i="10" s="1"/>
  <c r="B981" i="10" s="1"/>
  <c r="B982" i="10" s="1"/>
  <c r="B983" i="10" s="1"/>
  <c r="B984" i="10" s="1"/>
  <c r="B985" i="10" s="1"/>
  <c r="B986" i="10" s="1"/>
  <c r="B987" i="10" s="1"/>
  <c r="B988" i="10" s="1"/>
  <c r="E952" i="10"/>
  <c r="F952" i="10" s="1"/>
  <c r="E934" i="10"/>
  <c r="F934" i="10" s="1"/>
  <c r="E933" i="10"/>
  <c r="F933" i="10" s="1"/>
  <c r="E932" i="10"/>
  <c r="F932" i="10" s="1"/>
  <c r="E931" i="10"/>
  <c r="F931" i="10" s="1"/>
  <c r="E930" i="10"/>
  <c r="F930" i="10" s="1"/>
  <c r="E929" i="10"/>
  <c r="F929" i="10" s="1"/>
  <c r="E928" i="10"/>
  <c r="F928" i="10" s="1"/>
  <c r="E927" i="10"/>
  <c r="F927" i="10" s="1"/>
  <c r="E926" i="10"/>
  <c r="F926" i="10" s="1"/>
  <c r="E925" i="10"/>
  <c r="F925" i="10" s="1"/>
  <c r="E924" i="10"/>
  <c r="F924" i="10" s="1"/>
  <c r="E923" i="10"/>
  <c r="F923" i="10" s="1"/>
  <c r="E922" i="10"/>
  <c r="F922" i="10" s="1"/>
  <c r="E921" i="10"/>
  <c r="F921" i="10" s="1"/>
  <c r="E920" i="10"/>
  <c r="F920" i="10" s="1"/>
  <c r="E919" i="10"/>
  <c r="F919" i="10" s="1"/>
  <c r="E918" i="10"/>
  <c r="F918" i="10" s="1"/>
  <c r="E917" i="10"/>
  <c r="F917" i="10" s="1"/>
  <c r="E916" i="10"/>
  <c r="F916" i="10" s="1"/>
  <c r="E915" i="10"/>
  <c r="F915" i="10" s="1"/>
  <c r="B915" i="10"/>
  <c r="B916" i="10" s="1"/>
  <c r="B917" i="10" s="1"/>
  <c r="B918" i="10" s="1"/>
  <c r="B919" i="10" s="1"/>
  <c r="B920" i="10" s="1"/>
  <c r="B921" i="10" s="1"/>
  <c r="B922" i="10" s="1"/>
  <c r="B923" i="10" s="1"/>
  <c r="B924" i="10" s="1"/>
  <c r="B925" i="10" s="1"/>
  <c r="B926" i="10" s="1"/>
  <c r="B927" i="10" s="1"/>
  <c r="B928" i="10" s="1"/>
  <c r="B929" i="10" s="1"/>
  <c r="B930" i="10" s="1"/>
  <c r="B931" i="10" s="1"/>
  <c r="B932" i="10" s="1"/>
  <c r="B933" i="10" s="1"/>
  <c r="B934" i="10" s="1"/>
  <c r="B935" i="10" s="1"/>
  <c r="B936" i="10" s="1"/>
  <c r="B937" i="10" s="1"/>
  <c r="B938" i="10" s="1"/>
  <c r="B939" i="10" s="1"/>
  <c r="B940" i="10" s="1"/>
  <c r="B941" i="10" s="1"/>
  <c r="B942" i="10" s="1"/>
  <c r="B943" i="10" s="1"/>
  <c r="B944" i="10" s="1"/>
  <c r="B945" i="10" s="1"/>
  <c r="B946" i="10" s="1"/>
  <c r="B947" i="10" s="1"/>
  <c r="B948" i="10" s="1"/>
  <c r="B949" i="10" s="1"/>
  <c r="B950" i="10" s="1"/>
  <c r="E914" i="10"/>
  <c r="F914" i="10" s="1"/>
  <c r="E896" i="10"/>
  <c r="F896" i="10" s="1"/>
  <c r="E895" i="10"/>
  <c r="F895" i="10" s="1"/>
  <c r="E894" i="10"/>
  <c r="F894" i="10" s="1"/>
  <c r="E893" i="10"/>
  <c r="F893" i="10" s="1"/>
  <c r="E892" i="10"/>
  <c r="F892" i="10" s="1"/>
  <c r="E891" i="10"/>
  <c r="F891" i="10" s="1"/>
  <c r="E890" i="10"/>
  <c r="F890" i="10" s="1"/>
  <c r="E889" i="10"/>
  <c r="F889" i="10" s="1"/>
  <c r="E888" i="10"/>
  <c r="F888" i="10" s="1"/>
  <c r="E887" i="10"/>
  <c r="F887" i="10" s="1"/>
  <c r="E886" i="10"/>
  <c r="F886" i="10" s="1"/>
  <c r="E885" i="10"/>
  <c r="F885" i="10" s="1"/>
  <c r="E884" i="10"/>
  <c r="F884" i="10" s="1"/>
  <c r="E883" i="10"/>
  <c r="F883" i="10" s="1"/>
  <c r="E882" i="10"/>
  <c r="F882" i="10" s="1"/>
  <c r="E881" i="10"/>
  <c r="F881" i="10" s="1"/>
  <c r="E880" i="10"/>
  <c r="F880" i="10" s="1"/>
  <c r="E879" i="10"/>
  <c r="F879" i="10" s="1"/>
  <c r="E878" i="10"/>
  <c r="F878" i="10" s="1"/>
  <c r="E877" i="10"/>
  <c r="F877" i="10" s="1"/>
  <c r="B877" i="10"/>
  <c r="B878" i="10" s="1"/>
  <c r="B879" i="10" s="1"/>
  <c r="B880" i="10" s="1"/>
  <c r="B881" i="10" s="1"/>
  <c r="B882" i="10" s="1"/>
  <c r="B883" i="10" s="1"/>
  <c r="B884" i="10" s="1"/>
  <c r="B885" i="10" s="1"/>
  <c r="B886" i="10" s="1"/>
  <c r="B887" i="10" s="1"/>
  <c r="B888" i="10" s="1"/>
  <c r="B889" i="10" s="1"/>
  <c r="B890" i="10" s="1"/>
  <c r="B891" i="10" s="1"/>
  <c r="B892" i="10" s="1"/>
  <c r="B893" i="10" s="1"/>
  <c r="B894" i="10" s="1"/>
  <c r="B895" i="10" s="1"/>
  <c r="B896" i="10" s="1"/>
  <c r="B897" i="10" s="1"/>
  <c r="B898" i="10" s="1"/>
  <c r="B899" i="10" s="1"/>
  <c r="B900" i="10" s="1"/>
  <c r="B901" i="10" s="1"/>
  <c r="B902" i="10" s="1"/>
  <c r="B903" i="10" s="1"/>
  <c r="B904" i="10" s="1"/>
  <c r="B905" i="10" s="1"/>
  <c r="B906" i="10" s="1"/>
  <c r="B907" i="10" s="1"/>
  <c r="B908" i="10" s="1"/>
  <c r="B909" i="10" s="1"/>
  <c r="B910" i="10" s="1"/>
  <c r="B911" i="10" s="1"/>
  <c r="B912" i="10" s="1"/>
  <c r="E876" i="10"/>
  <c r="F876" i="10" s="1"/>
  <c r="E858" i="10"/>
  <c r="F858" i="10" s="1"/>
  <c r="E857" i="10"/>
  <c r="F857" i="10" s="1"/>
  <c r="E856" i="10"/>
  <c r="F856" i="10" s="1"/>
  <c r="E855" i="10"/>
  <c r="F855" i="10" s="1"/>
  <c r="E854" i="10"/>
  <c r="F854" i="10" s="1"/>
  <c r="E853" i="10"/>
  <c r="F853" i="10" s="1"/>
  <c r="E852" i="10"/>
  <c r="F852" i="10" s="1"/>
  <c r="E851" i="10"/>
  <c r="F851" i="10" s="1"/>
  <c r="E850" i="10"/>
  <c r="F850" i="10" s="1"/>
  <c r="E849" i="10"/>
  <c r="F849" i="10" s="1"/>
  <c r="E848" i="10"/>
  <c r="F848" i="10" s="1"/>
  <c r="E847" i="10"/>
  <c r="F847" i="10" s="1"/>
  <c r="E846" i="10"/>
  <c r="F846" i="10" s="1"/>
  <c r="E845" i="10"/>
  <c r="F845" i="10" s="1"/>
  <c r="E844" i="10"/>
  <c r="F844" i="10" s="1"/>
  <c r="E843" i="10"/>
  <c r="F843" i="10" s="1"/>
  <c r="E842" i="10"/>
  <c r="F842" i="10" s="1"/>
  <c r="E841" i="10"/>
  <c r="F841" i="10" s="1"/>
  <c r="E840" i="10"/>
  <c r="F840" i="10" s="1"/>
  <c r="E839" i="10"/>
  <c r="F839" i="10" s="1"/>
  <c r="B839" i="10"/>
  <c r="B840" i="10" s="1"/>
  <c r="B841" i="10" s="1"/>
  <c r="B842" i="10" s="1"/>
  <c r="B843" i="10" s="1"/>
  <c r="B844" i="10" s="1"/>
  <c r="B845" i="10" s="1"/>
  <c r="B846" i="10" s="1"/>
  <c r="B847" i="10" s="1"/>
  <c r="B848" i="10" s="1"/>
  <c r="B849" i="10" s="1"/>
  <c r="B850" i="10" s="1"/>
  <c r="B851" i="10" s="1"/>
  <c r="B852" i="10" s="1"/>
  <c r="B853" i="10" s="1"/>
  <c r="B854" i="10" s="1"/>
  <c r="B855" i="10" s="1"/>
  <c r="B856" i="10" s="1"/>
  <c r="B857" i="10" s="1"/>
  <c r="B858" i="10" s="1"/>
  <c r="B859" i="10" s="1"/>
  <c r="B860" i="10" s="1"/>
  <c r="B861" i="10" s="1"/>
  <c r="B862" i="10" s="1"/>
  <c r="B863" i="10" s="1"/>
  <c r="B864" i="10" s="1"/>
  <c r="B865" i="10" s="1"/>
  <c r="B866" i="10" s="1"/>
  <c r="B867" i="10" s="1"/>
  <c r="B868" i="10" s="1"/>
  <c r="B869" i="10" s="1"/>
  <c r="B870" i="10" s="1"/>
  <c r="B871" i="10" s="1"/>
  <c r="B872" i="10" s="1"/>
  <c r="B873" i="10" s="1"/>
  <c r="B874" i="10" s="1"/>
  <c r="E838" i="10"/>
  <c r="F838" i="10" s="1"/>
  <c r="E820" i="10"/>
  <c r="F820" i="10" s="1"/>
  <c r="E819" i="10"/>
  <c r="F819" i="10" s="1"/>
  <c r="E818" i="10"/>
  <c r="F818" i="10" s="1"/>
  <c r="E817" i="10"/>
  <c r="F817" i="10" s="1"/>
  <c r="E816" i="10"/>
  <c r="F816" i="10" s="1"/>
  <c r="E815" i="10"/>
  <c r="F815" i="10" s="1"/>
  <c r="E814" i="10"/>
  <c r="F814" i="10" s="1"/>
  <c r="E813" i="10"/>
  <c r="F813" i="10" s="1"/>
  <c r="E812" i="10"/>
  <c r="F812" i="10" s="1"/>
  <c r="E811" i="10"/>
  <c r="F811" i="10" s="1"/>
  <c r="E810" i="10"/>
  <c r="F810" i="10" s="1"/>
  <c r="E809" i="10"/>
  <c r="F809" i="10" s="1"/>
  <c r="E808" i="10"/>
  <c r="F808" i="10" s="1"/>
  <c r="E807" i="10"/>
  <c r="F807" i="10" s="1"/>
  <c r="E806" i="10"/>
  <c r="F806" i="10" s="1"/>
  <c r="E805" i="10"/>
  <c r="F805" i="10" s="1"/>
  <c r="E804" i="10"/>
  <c r="F804" i="10" s="1"/>
  <c r="E803" i="10"/>
  <c r="F803" i="10" s="1"/>
  <c r="E802" i="10"/>
  <c r="F802" i="10" s="1"/>
  <c r="E801" i="10"/>
  <c r="F801" i="10" s="1"/>
  <c r="B801" i="10"/>
  <c r="B802" i="10" s="1"/>
  <c r="B803" i="10" s="1"/>
  <c r="B804" i="10" s="1"/>
  <c r="B805" i="10" s="1"/>
  <c r="B806" i="10" s="1"/>
  <c r="B807" i="10" s="1"/>
  <c r="B808" i="10" s="1"/>
  <c r="B809" i="10" s="1"/>
  <c r="B810" i="10" s="1"/>
  <c r="B811" i="10" s="1"/>
  <c r="B812" i="10" s="1"/>
  <c r="B813" i="10" s="1"/>
  <c r="B814" i="10" s="1"/>
  <c r="B815" i="10" s="1"/>
  <c r="B816" i="10" s="1"/>
  <c r="B817" i="10" s="1"/>
  <c r="B818" i="10" s="1"/>
  <c r="B819" i="10" s="1"/>
  <c r="B820" i="10" s="1"/>
  <c r="B821" i="10" s="1"/>
  <c r="B822" i="10" s="1"/>
  <c r="B823" i="10" s="1"/>
  <c r="B824" i="10" s="1"/>
  <c r="B825" i="10" s="1"/>
  <c r="B826" i="10" s="1"/>
  <c r="B827" i="10" s="1"/>
  <c r="B828" i="10" s="1"/>
  <c r="B829" i="10" s="1"/>
  <c r="B830" i="10" s="1"/>
  <c r="B831" i="10" s="1"/>
  <c r="B832" i="10" s="1"/>
  <c r="B833" i="10" s="1"/>
  <c r="B834" i="10" s="1"/>
  <c r="B835" i="10" s="1"/>
  <c r="B836" i="10" s="1"/>
  <c r="E800" i="10"/>
  <c r="F800" i="10" s="1"/>
  <c r="E782" i="10"/>
  <c r="F782" i="10" s="1"/>
  <c r="E781" i="10"/>
  <c r="F781" i="10" s="1"/>
  <c r="E780" i="10"/>
  <c r="F780" i="10" s="1"/>
  <c r="E779" i="10"/>
  <c r="F779" i="10" s="1"/>
  <c r="E778" i="10"/>
  <c r="F778" i="10" s="1"/>
  <c r="E777" i="10"/>
  <c r="F777" i="10" s="1"/>
  <c r="E776" i="10"/>
  <c r="F776" i="10" s="1"/>
  <c r="E775" i="10"/>
  <c r="F775" i="10" s="1"/>
  <c r="E774" i="10"/>
  <c r="F774" i="10" s="1"/>
  <c r="E773" i="10"/>
  <c r="F773" i="10" s="1"/>
  <c r="E772" i="10"/>
  <c r="F772" i="10" s="1"/>
  <c r="E771" i="10"/>
  <c r="F771" i="10" s="1"/>
  <c r="E770" i="10"/>
  <c r="F770" i="10" s="1"/>
  <c r="E769" i="10"/>
  <c r="F769" i="10" s="1"/>
  <c r="E768" i="10"/>
  <c r="F768" i="10" s="1"/>
  <c r="E767" i="10"/>
  <c r="F767" i="10" s="1"/>
  <c r="E766" i="10"/>
  <c r="F766" i="10" s="1"/>
  <c r="E765" i="10"/>
  <c r="F765" i="10" s="1"/>
  <c r="E764" i="10"/>
  <c r="F764" i="10" s="1"/>
  <c r="E763" i="10"/>
  <c r="F763" i="10" s="1"/>
  <c r="B763" i="10"/>
  <c r="B764" i="10" s="1"/>
  <c r="B765" i="10" s="1"/>
  <c r="B766" i="10" s="1"/>
  <c r="B767" i="10" s="1"/>
  <c r="B768" i="10" s="1"/>
  <c r="B769" i="10" s="1"/>
  <c r="B770" i="10" s="1"/>
  <c r="B771" i="10" s="1"/>
  <c r="B772" i="10" s="1"/>
  <c r="B773" i="10" s="1"/>
  <c r="B774" i="10" s="1"/>
  <c r="B775" i="10" s="1"/>
  <c r="B776" i="10" s="1"/>
  <c r="B777" i="10" s="1"/>
  <c r="B778" i="10" s="1"/>
  <c r="B779" i="10" s="1"/>
  <c r="B780" i="10" s="1"/>
  <c r="B781" i="10" s="1"/>
  <c r="B782" i="10" s="1"/>
  <c r="B783" i="10" s="1"/>
  <c r="B784" i="10" s="1"/>
  <c r="B785" i="10" s="1"/>
  <c r="B786" i="10" s="1"/>
  <c r="B787" i="10" s="1"/>
  <c r="B788" i="10" s="1"/>
  <c r="B789" i="10" s="1"/>
  <c r="B790" i="10" s="1"/>
  <c r="B791" i="10" s="1"/>
  <c r="B792" i="10" s="1"/>
  <c r="B793" i="10" s="1"/>
  <c r="B794" i="10" s="1"/>
  <c r="B795" i="10" s="1"/>
  <c r="B796" i="10" s="1"/>
  <c r="B797" i="10" s="1"/>
  <c r="B798" i="10" s="1"/>
  <c r="E762" i="10"/>
  <c r="F762" i="10" s="1"/>
  <c r="E744" i="10"/>
  <c r="F744" i="10" s="1"/>
  <c r="E743" i="10"/>
  <c r="F743" i="10" s="1"/>
  <c r="E742" i="10"/>
  <c r="F742" i="10" s="1"/>
  <c r="E741" i="10"/>
  <c r="F741" i="10" s="1"/>
  <c r="E740" i="10"/>
  <c r="F740" i="10" s="1"/>
  <c r="E739" i="10"/>
  <c r="F739" i="10" s="1"/>
  <c r="E738" i="10"/>
  <c r="F738" i="10" s="1"/>
  <c r="E737" i="10"/>
  <c r="F737" i="10" s="1"/>
  <c r="E736" i="10"/>
  <c r="F736" i="10" s="1"/>
  <c r="E735" i="10"/>
  <c r="F735" i="10" s="1"/>
  <c r="E734" i="10"/>
  <c r="F734" i="10" s="1"/>
  <c r="E733" i="10"/>
  <c r="F733" i="10" s="1"/>
  <c r="E732" i="10"/>
  <c r="F732" i="10" s="1"/>
  <c r="E731" i="10"/>
  <c r="F731" i="10" s="1"/>
  <c r="E730" i="10"/>
  <c r="F730" i="10" s="1"/>
  <c r="E729" i="10"/>
  <c r="F729" i="10" s="1"/>
  <c r="E728" i="10"/>
  <c r="F728" i="10" s="1"/>
  <c r="E727" i="10"/>
  <c r="F727" i="10" s="1"/>
  <c r="E726" i="10"/>
  <c r="F726" i="10" s="1"/>
  <c r="E725" i="10"/>
  <c r="F725" i="10" s="1"/>
  <c r="B725" i="10"/>
  <c r="B726" i="10" s="1"/>
  <c r="B727" i="10" s="1"/>
  <c r="B728" i="10" s="1"/>
  <c r="B729" i="10" s="1"/>
  <c r="B730" i="10" s="1"/>
  <c r="B731" i="10" s="1"/>
  <c r="B732" i="10" s="1"/>
  <c r="B733" i="10" s="1"/>
  <c r="B734" i="10" s="1"/>
  <c r="B735" i="10" s="1"/>
  <c r="B736" i="10" s="1"/>
  <c r="B737" i="10" s="1"/>
  <c r="B738" i="10" s="1"/>
  <c r="B739" i="10" s="1"/>
  <c r="B740" i="10" s="1"/>
  <c r="B741" i="10" s="1"/>
  <c r="B742" i="10" s="1"/>
  <c r="B743" i="10" s="1"/>
  <c r="B744" i="10" s="1"/>
  <c r="B745" i="10" s="1"/>
  <c r="B746" i="10" s="1"/>
  <c r="B747" i="10" s="1"/>
  <c r="B748" i="10" s="1"/>
  <c r="B749" i="10" s="1"/>
  <c r="B750" i="10" s="1"/>
  <c r="B751" i="10" s="1"/>
  <c r="B752" i="10" s="1"/>
  <c r="B753" i="10" s="1"/>
  <c r="B754" i="10" s="1"/>
  <c r="B755" i="10" s="1"/>
  <c r="B756" i="10" s="1"/>
  <c r="B757" i="10" s="1"/>
  <c r="B758" i="10" s="1"/>
  <c r="B759" i="10" s="1"/>
  <c r="B760" i="10" s="1"/>
  <c r="E724" i="10"/>
  <c r="F724" i="10" s="1"/>
  <c r="E706" i="10"/>
  <c r="F706" i="10" s="1"/>
  <c r="E705" i="10"/>
  <c r="F705" i="10" s="1"/>
  <c r="E704" i="10"/>
  <c r="F704" i="10" s="1"/>
  <c r="E703" i="10"/>
  <c r="F703" i="10" s="1"/>
  <c r="E702" i="10"/>
  <c r="F702" i="10" s="1"/>
  <c r="E701" i="10"/>
  <c r="F701" i="10" s="1"/>
  <c r="E700" i="10"/>
  <c r="F700" i="10" s="1"/>
  <c r="E699" i="10"/>
  <c r="F699" i="10" s="1"/>
  <c r="E698" i="10"/>
  <c r="F698" i="10" s="1"/>
  <c r="E697" i="10"/>
  <c r="F697" i="10" s="1"/>
  <c r="E696" i="10"/>
  <c r="F696" i="10" s="1"/>
  <c r="E695" i="10"/>
  <c r="F695" i="10" s="1"/>
  <c r="E694" i="10"/>
  <c r="F694" i="10" s="1"/>
  <c r="E693" i="10"/>
  <c r="F693" i="10" s="1"/>
  <c r="E692" i="10"/>
  <c r="F692" i="10" s="1"/>
  <c r="E691" i="10"/>
  <c r="F691" i="10" s="1"/>
  <c r="E690" i="10"/>
  <c r="F690" i="10" s="1"/>
  <c r="E689" i="10"/>
  <c r="F689" i="10" s="1"/>
  <c r="E688" i="10"/>
  <c r="F688" i="10" s="1"/>
  <c r="E687" i="10"/>
  <c r="F687" i="10" s="1"/>
  <c r="B687" i="10"/>
  <c r="B688" i="10" s="1"/>
  <c r="B689" i="10" s="1"/>
  <c r="B690" i="10" s="1"/>
  <c r="B691" i="10" s="1"/>
  <c r="B692" i="10" s="1"/>
  <c r="B693" i="10" s="1"/>
  <c r="B694" i="10" s="1"/>
  <c r="B695" i="10" s="1"/>
  <c r="B696" i="10" s="1"/>
  <c r="B697" i="10" s="1"/>
  <c r="B698" i="10" s="1"/>
  <c r="B699" i="10" s="1"/>
  <c r="B700" i="10" s="1"/>
  <c r="B701" i="10" s="1"/>
  <c r="B702" i="10" s="1"/>
  <c r="B703" i="10" s="1"/>
  <c r="B704" i="10" s="1"/>
  <c r="B705" i="10" s="1"/>
  <c r="B706" i="10" s="1"/>
  <c r="B707" i="10" s="1"/>
  <c r="B708" i="10" s="1"/>
  <c r="B709" i="10" s="1"/>
  <c r="B710" i="10" s="1"/>
  <c r="B711" i="10" s="1"/>
  <c r="B712" i="10" s="1"/>
  <c r="B713" i="10" s="1"/>
  <c r="B714" i="10" s="1"/>
  <c r="B715" i="10" s="1"/>
  <c r="B716" i="10" s="1"/>
  <c r="B717" i="10" s="1"/>
  <c r="B718" i="10" s="1"/>
  <c r="B719" i="10" s="1"/>
  <c r="B720" i="10" s="1"/>
  <c r="B721" i="10" s="1"/>
  <c r="B722" i="10" s="1"/>
  <c r="E686" i="10"/>
  <c r="F686" i="10" s="1"/>
  <c r="E668" i="10"/>
  <c r="F668" i="10" s="1"/>
  <c r="E667" i="10"/>
  <c r="F667" i="10" s="1"/>
  <c r="E666" i="10"/>
  <c r="F666" i="10" s="1"/>
  <c r="E665" i="10"/>
  <c r="F665" i="10" s="1"/>
  <c r="E664" i="10"/>
  <c r="F664" i="10" s="1"/>
  <c r="E663" i="10"/>
  <c r="F663" i="10" s="1"/>
  <c r="E662" i="10"/>
  <c r="F662" i="10" s="1"/>
  <c r="E661" i="10"/>
  <c r="F661" i="10" s="1"/>
  <c r="E660" i="10"/>
  <c r="F660" i="10" s="1"/>
  <c r="E659" i="10"/>
  <c r="F659" i="10" s="1"/>
  <c r="E658" i="10"/>
  <c r="F658" i="10" s="1"/>
  <c r="E657" i="10"/>
  <c r="F657" i="10" s="1"/>
  <c r="E656" i="10"/>
  <c r="F656" i="10" s="1"/>
  <c r="E655" i="10"/>
  <c r="F655" i="10" s="1"/>
  <c r="E654" i="10"/>
  <c r="F654" i="10" s="1"/>
  <c r="E653" i="10"/>
  <c r="F653" i="10" s="1"/>
  <c r="E652" i="10"/>
  <c r="F652" i="10" s="1"/>
  <c r="E651" i="10"/>
  <c r="F651" i="10" s="1"/>
  <c r="E650" i="10"/>
  <c r="F650" i="10" s="1"/>
  <c r="E649" i="10"/>
  <c r="F649" i="10" s="1"/>
  <c r="B649" i="10"/>
  <c r="B650" i="10" s="1"/>
  <c r="B651" i="10" s="1"/>
  <c r="B652" i="10" s="1"/>
  <c r="B653" i="10" s="1"/>
  <c r="B654" i="10" s="1"/>
  <c r="B655" i="10" s="1"/>
  <c r="B656" i="10" s="1"/>
  <c r="B657" i="10" s="1"/>
  <c r="B658" i="10" s="1"/>
  <c r="B659" i="10" s="1"/>
  <c r="B660" i="10" s="1"/>
  <c r="B661" i="10" s="1"/>
  <c r="B662" i="10" s="1"/>
  <c r="B663" i="10" s="1"/>
  <c r="B664" i="10" s="1"/>
  <c r="B665" i="10" s="1"/>
  <c r="B666" i="10" s="1"/>
  <c r="B667" i="10" s="1"/>
  <c r="B668" i="10" s="1"/>
  <c r="B669" i="10" s="1"/>
  <c r="B670" i="10" s="1"/>
  <c r="B671" i="10" s="1"/>
  <c r="B672" i="10" s="1"/>
  <c r="B673" i="10" s="1"/>
  <c r="B674" i="10" s="1"/>
  <c r="B675" i="10" s="1"/>
  <c r="B676" i="10" s="1"/>
  <c r="B677" i="10" s="1"/>
  <c r="B678" i="10" s="1"/>
  <c r="B679" i="10" s="1"/>
  <c r="B680" i="10" s="1"/>
  <c r="B681" i="10" s="1"/>
  <c r="B682" i="10" s="1"/>
  <c r="B683" i="10" s="1"/>
  <c r="B684" i="10" s="1"/>
  <c r="E648" i="10"/>
  <c r="F648" i="10" s="1"/>
  <c r="E630" i="10"/>
  <c r="F630" i="10" s="1"/>
  <c r="E629" i="10"/>
  <c r="F629" i="10" s="1"/>
  <c r="E628" i="10"/>
  <c r="F628" i="10" s="1"/>
  <c r="E627" i="10"/>
  <c r="F627" i="10" s="1"/>
  <c r="E626" i="10"/>
  <c r="F626" i="10" s="1"/>
  <c r="E625" i="10"/>
  <c r="F625" i="10" s="1"/>
  <c r="E624" i="10"/>
  <c r="F624" i="10" s="1"/>
  <c r="E623" i="10"/>
  <c r="F623" i="10" s="1"/>
  <c r="E622" i="10"/>
  <c r="F622" i="10" s="1"/>
  <c r="E621" i="10"/>
  <c r="F621" i="10" s="1"/>
  <c r="E620" i="10"/>
  <c r="F620" i="10" s="1"/>
  <c r="E619" i="10"/>
  <c r="F619" i="10" s="1"/>
  <c r="E618" i="10"/>
  <c r="F618" i="10" s="1"/>
  <c r="E617" i="10"/>
  <c r="F617" i="10" s="1"/>
  <c r="E616" i="10"/>
  <c r="F616" i="10" s="1"/>
  <c r="E615" i="10"/>
  <c r="F615" i="10" s="1"/>
  <c r="E614" i="10"/>
  <c r="F614" i="10" s="1"/>
  <c r="E613" i="10"/>
  <c r="F613" i="10" s="1"/>
  <c r="E612" i="10"/>
  <c r="F612" i="10" s="1"/>
  <c r="E611" i="10"/>
  <c r="F611" i="10" s="1"/>
  <c r="B611" i="10"/>
  <c r="B612" i="10" s="1"/>
  <c r="B613" i="10" s="1"/>
  <c r="B614" i="10" s="1"/>
  <c r="B615" i="10" s="1"/>
  <c r="B616" i="10" s="1"/>
  <c r="B617" i="10" s="1"/>
  <c r="B618" i="10" s="1"/>
  <c r="B619" i="10" s="1"/>
  <c r="B620" i="10" s="1"/>
  <c r="B621" i="10" s="1"/>
  <c r="B622" i="10" s="1"/>
  <c r="B623" i="10" s="1"/>
  <c r="B624" i="10" s="1"/>
  <c r="B625" i="10" s="1"/>
  <c r="B626" i="10" s="1"/>
  <c r="B627" i="10" s="1"/>
  <c r="B628" i="10" s="1"/>
  <c r="B629" i="10" s="1"/>
  <c r="B630" i="10" s="1"/>
  <c r="B631" i="10" s="1"/>
  <c r="B632" i="10" s="1"/>
  <c r="B633" i="10" s="1"/>
  <c r="B634" i="10" s="1"/>
  <c r="B635" i="10" s="1"/>
  <c r="B636" i="10" s="1"/>
  <c r="B637" i="10" s="1"/>
  <c r="B638" i="10" s="1"/>
  <c r="B639" i="10" s="1"/>
  <c r="B640" i="10" s="1"/>
  <c r="B641" i="10" s="1"/>
  <c r="B642" i="10" s="1"/>
  <c r="B643" i="10" s="1"/>
  <c r="B644" i="10" s="1"/>
  <c r="B645" i="10" s="1"/>
  <c r="B646" i="10" s="1"/>
  <c r="E610" i="10"/>
  <c r="F610" i="10" s="1"/>
  <c r="E592" i="10"/>
  <c r="F592" i="10" s="1"/>
  <c r="E591" i="10"/>
  <c r="F591" i="10" s="1"/>
  <c r="E590" i="10"/>
  <c r="F590" i="10" s="1"/>
  <c r="E589" i="10"/>
  <c r="F589" i="10" s="1"/>
  <c r="E588" i="10"/>
  <c r="F588" i="10" s="1"/>
  <c r="E587" i="10"/>
  <c r="F587" i="10" s="1"/>
  <c r="E586" i="10"/>
  <c r="F586" i="10" s="1"/>
  <c r="E585" i="10"/>
  <c r="F585" i="10" s="1"/>
  <c r="E584" i="10"/>
  <c r="F584" i="10" s="1"/>
  <c r="E583" i="10"/>
  <c r="F583" i="10" s="1"/>
  <c r="E582" i="10"/>
  <c r="F582" i="10" s="1"/>
  <c r="E581" i="10"/>
  <c r="F581" i="10" s="1"/>
  <c r="E580" i="10"/>
  <c r="F580" i="10" s="1"/>
  <c r="E579" i="10"/>
  <c r="F579" i="10" s="1"/>
  <c r="E578" i="10"/>
  <c r="F578" i="10" s="1"/>
  <c r="E577" i="10"/>
  <c r="F577" i="10" s="1"/>
  <c r="E576" i="10"/>
  <c r="F576" i="10" s="1"/>
  <c r="E575" i="10"/>
  <c r="F575" i="10" s="1"/>
  <c r="E574" i="10"/>
  <c r="F574" i="10" s="1"/>
  <c r="E573" i="10"/>
  <c r="F573" i="10" s="1"/>
  <c r="B573" i="10"/>
  <c r="B574" i="10" s="1"/>
  <c r="B575" i="10" s="1"/>
  <c r="B576" i="10" s="1"/>
  <c r="B577" i="10" s="1"/>
  <c r="B578" i="10" s="1"/>
  <c r="B579" i="10" s="1"/>
  <c r="B580" i="10" s="1"/>
  <c r="B581" i="10" s="1"/>
  <c r="B582" i="10" s="1"/>
  <c r="B583" i="10" s="1"/>
  <c r="B584" i="10" s="1"/>
  <c r="B585" i="10" s="1"/>
  <c r="B586" i="10" s="1"/>
  <c r="B587" i="10" s="1"/>
  <c r="B588" i="10" s="1"/>
  <c r="B589" i="10" s="1"/>
  <c r="B590" i="10" s="1"/>
  <c r="B591" i="10" s="1"/>
  <c r="B592" i="10" s="1"/>
  <c r="B593" i="10" s="1"/>
  <c r="B594" i="10" s="1"/>
  <c r="B595" i="10" s="1"/>
  <c r="B596" i="10" s="1"/>
  <c r="B597" i="10" s="1"/>
  <c r="B598" i="10" s="1"/>
  <c r="B599" i="10" s="1"/>
  <c r="B600" i="10" s="1"/>
  <c r="B601" i="10" s="1"/>
  <c r="B602" i="10" s="1"/>
  <c r="B603" i="10" s="1"/>
  <c r="B604" i="10" s="1"/>
  <c r="B605" i="10" s="1"/>
  <c r="B606" i="10" s="1"/>
  <c r="B607" i="10" s="1"/>
  <c r="B608" i="10" s="1"/>
  <c r="E572" i="10"/>
  <c r="F572" i="10" s="1"/>
  <c r="E554" i="10"/>
  <c r="F554" i="10" s="1"/>
  <c r="E553" i="10"/>
  <c r="F553" i="10" s="1"/>
  <c r="E552" i="10"/>
  <c r="F552" i="10" s="1"/>
  <c r="E551" i="10"/>
  <c r="F551" i="10" s="1"/>
  <c r="E550" i="10"/>
  <c r="F550" i="10" s="1"/>
  <c r="E549" i="10"/>
  <c r="F549" i="10" s="1"/>
  <c r="E548" i="10"/>
  <c r="F548" i="10" s="1"/>
  <c r="E547" i="10"/>
  <c r="F547" i="10" s="1"/>
  <c r="E546" i="10"/>
  <c r="F546" i="10" s="1"/>
  <c r="E545" i="10"/>
  <c r="F545" i="10" s="1"/>
  <c r="E544" i="10"/>
  <c r="F544" i="10" s="1"/>
  <c r="E543" i="10"/>
  <c r="F543" i="10" s="1"/>
  <c r="E542" i="10"/>
  <c r="F542" i="10" s="1"/>
  <c r="E541" i="10"/>
  <c r="F541" i="10" s="1"/>
  <c r="E540" i="10"/>
  <c r="F540" i="10" s="1"/>
  <c r="E539" i="10"/>
  <c r="F539" i="10" s="1"/>
  <c r="E538" i="10"/>
  <c r="F538" i="10" s="1"/>
  <c r="E537" i="10"/>
  <c r="F537" i="10" s="1"/>
  <c r="E536" i="10"/>
  <c r="F536" i="10" s="1"/>
  <c r="E535" i="10"/>
  <c r="F535" i="10" s="1"/>
  <c r="B535" i="10"/>
  <c r="B536" i="10" s="1"/>
  <c r="B537" i="10" s="1"/>
  <c r="B538" i="10" s="1"/>
  <c r="B539" i="10" s="1"/>
  <c r="B540" i="10" s="1"/>
  <c r="B541" i="10" s="1"/>
  <c r="B542" i="10" s="1"/>
  <c r="B543" i="10" s="1"/>
  <c r="B544" i="10" s="1"/>
  <c r="B545" i="10" s="1"/>
  <c r="B546" i="10" s="1"/>
  <c r="B547" i="10" s="1"/>
  <c r="B548" i="10" s="1"/>
  <c r="B549" i="10" s="1"/>
  <c r="B550" i="10" s="1"/>
  <c r="B551" i="10" s="1"/>
  <c r="B552" i="10" s="1"/>
  <c r="B553" i="10" s="1"/>
  <c r="B554" i="10" s="1"/>
  <c r="B555" i="10" s="1"/>
  <c r="B556" i="10" s="1"/>
  <c r="B557" i="10" s="1"/>
  <c r="B558" i="10" s="1"/>
  <c r="B559" i="10" s="1"/>
  <c r="B560" i="10" s="1"/>
  <c r="B561" i="10" s="1"/>
  <c r="B562" i="10" s="1"/>
  <c r="B563" i="10" s="1"/>
  <c r="B564" i="10" s="1"/>
  <c r="B565" i="10" s="1"/>
  <c r="B566" i="10" s="1"/>
  <c r="B567" i="10" s="1"/>
  <c r="B568" i="10" s="1"/>
  <c r="B569" i="10" s="1"/>
  <c r="B570" i="10" s="1"/>
  <c r="E534" i="10"/>
  <c r="F534" i="10" s="1"/>
  <c r="E516" i="10"/>
  <c r="F516" i="10" s="1"/>
  <c r="I516" i="10" s="1"/>
  <c r="E515" i="10"/>
  <c r="F515" i="10" s="1"/>
  <c r="I515" i="10" s="1"/>
  <c r="E514" i="10"/>
  <c r="F514" i="10" s="1"/>
  <c r="I514" i="10" s="1"/>
  <c r="E513" i="10"/>
  <c r="F513" i="10" s="1"/>
  <c r="I513" i="10" s="1"/>
  <c r="E512" i="10"/>
  <c r="F512" i="10" s="1"/>
  <c r="I512" i="10" s="1"/>
  <c r="E511" i="10"/>
  <c r="F511" i="10" s="1"/>
  <c r="I511" i="10" s="1"/>
  <c r="E510" i="10"/>
  <c r="F510" i="10" s="1"/>
  <c r="I510" i="10" s="1"/>
  <c r="E509" i="10"/>
  <c r="F509" i="10" s="1"/>
  <c r="I509" i="10" s="1"/>
  <c r="E508" i="10"/>
  <c r="F508" i="10" s="1"/>
  <c r="I508" i="10" s="1"/>
  <c r="E507" i="10"/>
  <c r="F507" i="10" s="1"/>
  <c r="I507" i="10" s="1"/>
  <c r="E506" i="10"/>
  <c r="F506" i="10" s="1"/>
  <c r="I506" i="10" s="1"/>
  <c r="E505" i="10"/>
  <c r="F505" i="10" s="1"/>
  <c r="I505" i="10" s="1"/>
  <c r="E504" i="10"/>
  <c r="F504" i="10" s="1"/>
  <c r="I504" i="10" s="1"/>
  <c r="E503" i="10"/>
  <c r="F503" i="10" s="1"/>
  <c r="I503" i="10" s="1"/>
  <c r="E502" i="10"/>
  <c r="F502" i="10" s="1"/>
  <c r="I502" i="10" s="1"/>
  <c r="E501" i="10"/>
  <c r="F501" i="10" s="1"/>
  <c r="I501" i="10" s="1"/>
  <c r="E500" i="10"/>
  <c r="F500" i="10" s="1"/>
  <c r="I500" i="10" s="1"/>
  <c r="E499" i="10"/>
  <c r="F499" i="10" s="1"/>
  <c r="I499" i="10" s="1"/>
  <c r="E498" i="10"/>
  <c r="F498" i="10" s="1"/>
  <c r="I498" i="10" s="1"/>
  <c r="E497" i="10"/>
  <c r="F497" i="10" s="1"/>
  <c r="I497" i="10" s="1"/>
  <c r="B497" i="10"/>
  <c r="B498" i="10" s="1"/>
  <c r="B499" i="10" s="1"/>
  <c r="B500" i="10" s="1"/>
  <c r="B501" i="10" s="1"/>
  <c r="B502" i="10" s="1"/>
  <c r="B503" i="10" s="1"/>
  <c r="B504" i="10" s="1"/>
  <c r="B505" i="10" s="1"/>
  <c r="B506" i="10" s="1"/>
  <c r="B507" i="10" s="1"/>
  <c r="B508" i="10" s="1"/>
  <c r="B509" i="10" s="1"/>
  <c r="B510" i="10" s="1"/>
  <c r="B511" i="10" s="1"/>
  <c r="B512" i="10" s="1"/>
  <c r="B513" i="10" s="1"/>
  <c r="B514" i="10" s="1"/>
  <c r="B515" i="10" s="1"/>
  <c r="B516" i="10" s="1"/>
  <c r="B517" i="10" s="1"/>
  <c r="B518" i="10" s="1"/>
  <c r="B519" i="10" s="1"/>
  <c r="B520" i="10" s="1"/>
  <c r="B521" i="10" s="1"/>
  <c r="B522" i="10" s="1"/>
  <c r="B523" i="10" s="1"/>
  <c r="B524" i="10" s="1"/>
  <c r="B525" i="10" s="1"/>
  <c r="B526" i="10" s="1"/>
  <c r="B527" i="10" s="1"/>
  <c r="B528" i="10" s="1"/>
  <c r="B529" i="10" s="1"/>
  <c r="B530" i="10" s="1"/>
  <c r="B531" i="10" s="1"/>
  <c r="B532" i="10" s="1"/>
  <c r="E496" i="10"/>
  <c r="F496" i="10" s="1"/>
  <c r="I496" i="10" s="1"/>
  <c r="E478" i="10"/>
  <c r="F478" i="10" s="1"/>
  <c r="I478" i="10" s="1"/>
  <c r="E477" i="10"/>
  <c r="F477" i="10" s="1"/>
  <c r="I477" i="10" s="1"/>
  <c r="E476" i="10"/>
  <c r="F476" i="10" s="1"/>
  <c r="I476" i="10" s="1"/>
  <c r="E475" i="10"/>
  <c r="F475" i="10" s="1"/>
  <c r="I475" i="10" s="1"/>
  <c r="E474" i="10"/>
  <c r="F474" i="10" s="1"/>
  <c r="I474" i="10" s="1"/>
  <c r="E473" i="10"/>
  <c r="F473" i="10" s="1"/>
  <c r="I473" i="10" s="1"/>
  <c r="E472" i="10"/>
  <c r="F472" i="10" s="1"/>
  <c r="I472" i="10" s="1"/>
  <c r="E471" i="10"/>
  <c r="F471" i="10" s="1"/>
  <c r="I471" i="10" s="1"/>
  <c r="E470" i="10"/>
  <c r="F470" i="10" s="1"/>
  <c r="I470" i="10" s="1"/>
  <c r="E469" i="10"/>
  <c r="F469" i="10" s="1"/>
  <c r="I469" i="10" s="1"/>
  <c r="E468" i="10"/>
  <c r="F468" i="10" s="1"/>
  <c r="I468" i="10" s="1"/>
  <c r="E467" i="10"/>
  <c r="F467" i="10" s="1"/>
  <c r="I467" i="10" s="1"/>
  <c r="E466" i="10"/>
  <c r="F466" i="10" s="1"/>
  <c r="I466" i="10" s="1"/>
  <c r="E465" i="10"/>
  <c r="F465" i="10" s="1"/>
  <c r="I465" i="10" s="1"/>
  <c r="E464" i="10"/>
  <c r="F464" i="10" s="1"/>
  <c r="I464" i="10" s="1"/>
  <c r="E463" i="10"/>
  <c r="F463" i="10" s="1"/>
  <c r="I463" i="10" s="1"/>
  <c r="E462" i="10"/>
  <c r="F462" i="10" s="1"/>
  <c r="I462" i="10" s="1"/>
  <c r="E461" i="10"/>
  <c r="F461" i="10" s="1"/>
  <c r="I461" i="10" s="1"/>
  <c r="E460" i="10"/>
  <c r="F460" i="10" s="1"/>
  <c r="I460" i="10" s="1"/>
  <c r="E459" i="10"/>
  <c r="F459" i="10" s="1"/>
  <c r="I459" i="10" s="1"/>
  <c r="B459" i="10"/>
  <c r="B460" i="10" s="1"/>
  <c r="B461" i="10" s="1"/>
  <c r="B462" i="10" s="1"/>
  <c r="B463" i="10" s="1"/>
  <c r="B464" i="10" s="1"/>
  <c r="B465" i="10" s="1"/>
  <c r="B466" i="10" s="1"/>
  <c r="B467" i="10" s="1"/>
  <c r="B468" i="10" s="1"/>
  <c r="B469" i="10" s="1"/>
  <c r="B470" i="10" s="1"/>
  <c r="B471" i="10" s="1"/>
  <c r="B472" i="10" s="1"/>
  <c r="B473" i="10" s="1"/>
  <c r="B474" i="10" s="1"/>
  <c r="B475" i="10" s="1"/>
  <c r="B476" i="10" s="1"/>
  <c r="B477" i="10" s="1"/>
  <c r="B478" i="10" s="1"/>
  <c r="B479" i="10" s="1"/>
  <c r="B480" i="10" s="1"/>
  <c r="B481" i="10" s="1"/>
  <c r="B482" i="10" s="1"/>
  <c r="B483" i="10" s="1"/>
  <c r="B484" i="10" s="1"/>
  <c r="B485" i="10" s="1"/>
  <c r="B486" i="10" s="1"/>
  <c r="B487" i="10" s="1"/>
  <c r="B488" i="10" s="1"/>
  <c r="B489" i="10" s="1"/>
  <c r="B490" i="10" s="1"/>
  <c r="B491" i="10" s="1"/>
  <c r="B492" i="10" s="1"/>
  <c r="B493" i="10" s="1"/>
  <c r="B494" i="10" s="1"/>
  <c r="E458" i="10"/>
  <c r="F458" i="10" s="1"/>
  <c r="I458" i="10" s="1"/>
  <c r="E440" i="10"/>
  <c r="F440" i="10" s="1"/>
  <c r="I440" i="10" s="1"/>
  <c r="E439" i="10"/>
  <c r="F439" i="10" s="1"/>
  <c r="I439" i="10" s="1"/>
  <c r="E438" i="10"/>
  <c r="F438" i="10" s="1"/>
  <c r="I438" i="10" s="1"/>
  <c r="E437" i="10"/>
  <c r="F437" i="10" s="1"/>
  <c r="I437" i="10" s="1"/>
  <c r="E436" i="10"/>
  <c r="F436" i="10" s="1"/>
  <c r="I436" i="10" s="1"/>
  <c r="E435" i="10"/>
  <c r="F435" i="10" s="1"/>
  <c r="I435" i="10" s="1"/>
  <c r="E434" i="10"/>
  <c r="F434" i="10" s="1"/>
  <c r="I434" i="10" s="1"/>
  <c r="E433" i="10"/>
  <c r="F433" i="10" s="1"/>
  <c r="I433" i="10" s="1"/>
  <c r="E432" i="10"/>
  <c r="F432" i="10" s="1"/>
  <c r="I432" i="10" s="1"/>
  <c r="E431" i="10"/>
  <c r="F431" i="10" s="1"/>
  <c r="I431" i="10" s="1"/>
  <c r="E430" i="10"/>
  <c r="F430" i="10" s="1"/>
  <c r="I430" i="10" s="1"/>
  <c r="E429" i="10"/>
  <c r="F429" i="10" s="1"/>
  <c r="I429" i="10" s="1"/>
  <c r="E428" i="10"/>
  <c r="F428" i="10" s="1"/>
  <c r="I428" i="10" s="1"/>
  <c r="E427" i="10"/>
  <c r="F427" i="10" s="1"/>
  <c r="I427" i="10" s="1"/>
  <c r="E426" i="10"/>
  <c r="F426" i="10" s="1"/>
  <c r="I426" i="10" s="1"/>
  <c r="E425" i="10"/>
  <c r="F425" i="10" s="1"/>
  <c r="I425" i="10" s="1"/>
  <c r="E424" i="10"/>
  <c r="F424" i="10" s="1"/>
  <c r="I424" i="10" s="1"/>
  <c r="E423" i="10"/>
  <c r="F423" i="10" s="1"/>
  <c r="I423" i="10" s="1"/>
  <c r="E422" i="10"/>
  <c r="F422" i="10" s="1"/>
  <c r="I422" i="10" s="1"/>
  <c r="E421" i="10"/>
  <c r="F421" i="10" s="1"/>
  <c r="I421" i="10" s="1"/>
  <c r="B421" i="10"/>
  <c r="B422" i="10" s="1"/>
  <c r="B423" i="10" s="1"/>
  <c r="B424" i="10" s="1"/>
  <c r="B425" i="10" s="1"/>
  <c r="B426" i="10" s="1"/>
  <c r="B427" i="10" s="1"/>
  <c r="B428" i="10" s="1"/>
  <c r="B429" i="10" s="1"/>
  <c r="B430" i="10" s="1"/>
  <c r="B431" i="10" s="1"/>
  <c r="B432" i="10" s="1"/>
  <c r="B433" i="10" s="1"/>
  <c r="B434" i="10" s="1"/>
  <c r="B435" i="10" s="1"/>
  <c r="B436" i="10" s="1"/>
  <c r="B437" i="10" s="1"/>
  <c r="B438" i="10" s="1"/>
  <c r="B439" i="10" s="1"/>
  <c r="B440" i="10" s="1"/>
  <c r="B441" i="10" s="1"/>
  <c r="B442" i="10" s="1"/>
  <c r="B443" i="10" s="1"/>
  <c r="B444" i="10" s="1"/>
  <c r="B445" i="10" s="1"/>
  <c r="B446" i="10" s="1"/>
  <c r="B447" i="10" s="1"/>
  <c r="B448" i="10" s="1"/>
  <c r="B449" i="10" s="1"/>
  <c r="B450" i="10" s="1"/>
  <c r="B451" i="10" s="1"/>
  <c r="B452" i="10" s="1"/>
  <c r="B453" i="10" s="1"/>
  <c r="B454" i="10" s="1"/>
  <c r="B455" i="10" s="1"/>
  <c r="B456" i="10" s="1"/>
  <c r="E420" i="10"/>
  <c r="F420" i="10" s="1"/>
  <c r="I420" i="10" s="1"/>
  <c r="E402" i="10"/>
  <c r="F402" i="10" s="1"/>
  <c r="E401" i="10"/>
  <c r="F401" i="10" s="1"/>
  <c r="E400" i="10"/>
  <c r="F400" i="10" s="1"/>
  <c r="E399" i="10"/>
  <c r="F399" i="10" s="1"/>
  <c r="E398" i="10"/>
  <c r="F398" i="10" s="1"/>
  <c r="E397" i="10"/>
  <c r="F397" i="10" s="1"/>
  <c r="E396" i="10"/>
  <c r="F396" i="10" s="1"/>
  <c r="E395" i="10"/>
  <c r="F395" i="10" s="1"/>
  <c r="E394" i="10"/>
  <c r="F394" i="10" s="1"/>
  <c r="E393" i="10"/>
  <c r="F393" i="10" s="1"/>
  <c r="E392" i="10"/>
  <c r="F392" i="10" s="1"/>
  <c r="E391" i="10"/>
  <c r="F391" i="10" s="1"/>
  <c r="E390" i="10"/>
  <c r="F390" i="10" s="1"/>
  <c r="E389" i="10"/>
  <c r="F389" i="10" s="1"/>
  <c r="E388" i="10"/>
  <c r="F388" i="10" s="1"/>
  <c r="E387" i="10"/>
  <c r="F387" i="10" s="1"/>
  <c r="E386" i="10"/>
  <c r="F386" i="10" s="1"/>
  <c r="E385" i="10"/>
  <c r="F385" i="10" s="1"/>
  <c r="E384" i="10"/>
  <c r="F384" i="10" s="1"/>
  <c r="E383" i="10"/>
  <c r="F383" i="10" s="1"/>
  <c r="B383" i="10"/>
  <c r="B384" i="10" s="1"/>
  <c r="B385" i="10" s="1"/>
  <c r="B386" i="10" s="1"/>
  <c r="B387" i="10" s="1"/>
  <c r="B388" i="10" s="1"/>
  <c r="B389" i="10" s="1"/>
  <c r="B390" i="10" s="1"/>
  <c r="B391" i="10" s="1"/>
  <c r="B392" i="10" s="1"/>
  <c r="B393" i="10" s="1"/>
  <c r="B394" i="10" s="1"/>
  <c r="B395" i="10" s="1"/>
  <c r="B396" i="10" s="1"/>
  <c r="B397" i="10" s="1"/>
  <c r="B398" i="10" s="1"/>
  <c r="B399" i="10" s="1"/>
  <c r="B400" i="10" s="1"/>
  <c r="B401" i="10" s="1"/>
  <c r="B402" i="10" s="1"/>
  <c r="B403" i="10" s="1"/>
  <c r="B404" i="10" s="1"/>
  <c r="B405" i="10" s="1"/>
  <c r="B406" i="10" s="1"/>
  <c r="B407" i="10" s="1"/>
  <c r="B408" i="10" s="1"/>
  <c r="B409" i="10" s="1"/>
  <c r="B410" i="10" s="1"/>
  <c r="B411" i="10" s="1"/>
  <c r="B412" i="10" s="1"/>
  <c r="B413" i="10" s="1"/>
  <c r="B414" i="10" s="1"/>
  <c r="B415" i="10" s="1"/>
  <c r="B416" i="10" s="1"/>
  <c r="B417" i="10" s="1"/>
  <c r="B418" i="10" s="1"/>
  <c r="E382" i="10"/>
  <c r="F382" i="10" s="1"/>
  <c r="E364" i="10"/>
  <c r="F364" i="10" s="1"/>
  <c r="E363" i="10"/>
  <c r="F363" i="10" s="1"/>
  <c r="E362" i="10"/>
  <c r="F362" i="10" s="1"/>
  <c r="E361" i="10"/>
  <c r="F361" i="10" s="1"/>
  <c r="E360" i="10"/>
  <c r="F360" i="10" s="1"/>
  <c r="E359" i="10"/>
  <c r="F359" i="10" s="1"/>
  <c r="E358" i="10"/>
  <c r="F358" i="10" s="1"/>
  <c r="E357" i="10"/>
  <c r="F357" i="10" s="1"/>
  <c r="E356" i="10"/>
  <c r="F356" i="10" s="1"/>
  <c r="E355" i="10"/>
  <c r="F355" i="10" s="1"/>
  <c r="E354" i="10"/>
  <c r="F354" i="10" s="1"/>
  <c r="E353" i="10"/>
  <c r="F353" i="10" s="1"/>
  <c r="E352" i="10"/>
  <c r="F352" i="10" s="1"/>
  <c r="E351" i="10"/>
  <c r="F351" i="10" s="1"/>
  <c r="E350" i="10"/>
  <c r="F350" i="10" s="1"/>
  <c r="E349" i="10"/>
  <c r="F349" i="10" s="1"/>
  <c r="E348" i="10"/>
  <c r="F348" i="10" s="1"/>
  <c r="E347" i="10"/>
  <c r="F347" i="10" s="1"/>
  <c r="E346" i="10"/>
  <c r="F346" i="10" s="1"/>
  <c r="E345" i="10"/>
  <c r="F345" i="10" s="1"/>
  <c r="B345" i="10"/>
  <c r="B346" i="10" s="1"/>
  <c r="B347" i="10" s="1"/>
  <c r="B348" i="10" s="1"/>
  <c r="B349" i="10" s="1"/>
  <c r="B350" i="10" s="1"/>
  <c r="B351" i="10" s="1"/>
  <c r="B352" i="10" s="1"/>
  <c r="B353" i="10" s="1"/>
  <c r="B354" i="10" s="1"/>
  <c r="B355" i="10" s="1"/>
  <c r="B356" i="10" s="1"/>
  <c r="B357" i="10" s="1"/>
  <c r="B358" i="10" s="1"/>
  <c r="B359" i="10" s="1"/>
  <c r="B360" i="10" s="1"/>
  <c r="B361" i="10" s="1"/>
  <c r="B362" i="10" s="1"/>
  <c r="B363" i="10" s="1"/>
  <c r="B364" i="10" s="1"/>
  <c r="B365" i="10" s="1"/>
  <c r="B366" i="10" s="1"/>
  <c r="B367" i="10" s="1"/>
  <c r="B368" i="10" s="1"/>
  <c r="B369" i="10" s="1"/>
  <c r="B370" i="10" s="1"/>
  <c r="B371" i="10" s="1"/>
  <c r="B372" i="10" s="1"/>
  <c r="B373" i="10" s="1"/>
  <c r="B374" i="10" s="1"/>
  <c r="B375" i="10" s="1"/>
  <c r="B376" i="10" s="1"/>
  <c r="B377" i="10" s="1"/>
  <c r="B378" i="10" s="1"/>
  <c r="B379" i="10" s="1"/>
  <c r="B380" i="10" s="1"/>
  <c r="E344" i="10"/>
  <c r="F344" i="10" s="1"/>
  <c r="E326" i="10"/>
  <c r="F326" i="10" s="1"/>
  <c r="E325" i="10"/>
  <c r="F325" i="10" s="1"/>
  <c r="E324" i="10"/>
  <c r="F324" i="10" s="1"/>
  <c r="E323" i="10"/>
  <c r="F323" i="10" s="1"/>
  <c r="E322" i="10"/>
  <c r="F322" i="10" s="1"/>
  <c r="E321" i="10"/>
  <c r="F321" i="10" s="1"/>
  <c r="E320" i="10"/>
  <c r="F320" i="10" s="1"/>
  <c r="E319" i="10"/>
  <c r="F319" i="10" s="1"/>
  <c r="E318" i="10"/>
  <c r="F318" i="10" s="1"/>
  <c r="E317" i="10"/>
  <c r="F317" i="10" s="1"/>
  <c r="E316" i="10"/>
  <c r="F316" i="10" s="1"/>
  <c r="E315" i="10"/>
  <c r="F315" i="10" s="1"/>
  <c r="E314" i="10"/>
  <c r="F314" i="10" s="1"/>
  <c r="E313" i="10"/>
  <c r="F313" i="10" s="1"/>
  <c r="E312" i="10"/>
  <c r="F312" i="10" s="1"/>
  <c r="E311" i="10"/>
  <c r="F311" i="10" s="1"/>
  <c r="E310" i="10"/>
  <c r="F310" i="10" s="1"/>
  <c r="E309" i="10"/>
  <c r="F309" i="10" s="1"/>
  <c r="E308" i="10"/>
  <c r="F308" i="10" s="1"/>
  <c r="E307" i="10"/>
  <c r="F307" i="10" s="1"/>
  <c r="B307" i="10"/>
  <c r="B308" i="10" s="1"/>
  <c r="B309" i="10" s="1"/>
  <c r="B310" i="10" s="1"/>
  <c r="B311" i="10" s="1"/>
  <c r="B312" i="10" s="1"/>
  <c r="B313" i="10" s="1"/>
  <c r="B314" i="10" s="1"/>
  <c r="B315" i="10" s="1"/>
  <c r="B316" i="10" s="1"/>
  <c r="B317" i="10" s="1"/>
  <c r="B318" i="10" s="1"/>
  <c r="B319" i="10" s="1"/>
  <c r="B320" i="10" s="1"/>
  <c r="B321" i="10" s="1"/>
  <c r="B322" i="10" s="1"/>
  <c r="B323" i="10" s="1"/>
  <c r="B324" i="10" s="1"/>
  <c r="B325" i="10" s="1"/>
  <c r="B326" i="10" s="1"/>
  <c r="B327" i="10" s="1"/>
  <c r="B328" i="10" s="1"/>
  <c r="B329" i="10" s="1"/>
  <c r="B330" i="10" s="1"/>
  <c r="B331" i="10" s="1"/>
  <c r="B332" i="10" s="1"/>
  <c r="B333" i="10" s="1"/>
  <c r="B334" i="10" s="1"/>
  <c r="B335" i="10" s="1"/>
  <c r="B336" i="10" s="1"/>
  <c r="B337" i="10" s="1"/>
  <c r="B338" i="10" s="1"/>
  <c r="B339" i="10" s="1"/>
  <c r="B340" i="10" s="1"/>
  <c r="B341" i="10" s="1"/>
  <c r="B342" i="10" s="1"/>
  <c r="E306" i="10"/>
  <c r="F306" i="10" s="1"/>
  <c r="E288" i="10"/>
  <c r="F288" i="10" s="1"/>
  <c r="E287" i="10"/>
  <c r="F287" i="10" s="1"/>
  <c r="E286" i="10"/>
  <c r="F286" i="10" s="1"/>
  <c r="E285" i="10"/>
  <c r="F285" i="10" s="1"/>
  <c r="E284" i="10"/>
  <c r="F284" i="10" s="1"/>
  <c r="E283" i="10"/>
  <c r="F283" i="10" s="1"/>
  <c r="E282" i="10"/>
  <c r="F282" i="10" s="1"/>
  <c r="E281" i="10"/>
  <c r="F281" i="10" s="1"/>
  <c r="E280" i="10"/>
  <c r="F280" i="10" s="1"/>
  <c r="E279" i="10"/>
  <c r="F279" i="10" s="1"/>
  <c r="E278" i="10"/>
  <c r="F278" i="10" s="1"/>
  <c r="E277" i="10"/>
  <c r="F277" i="10" s="1"/>
  <c r="E276" i="10"/>
  <c r="F276" i="10" s="1"/>
  <c r="E275" i="10"/>
  <c r="F275" i="10" s="1"/>
  <c r="E274" i="10"/>
  <c r="F274" i="10" s="1"/>
  <c r="E273" i="10"/>
  <c r="F273" i="10" s="1"/>
  <c r="E272" i="10"/>
  <c r="F272" i="10" s="1"/>
  <c r="E271" i="10"/>
  <c r="F271" i="10" s="1"/>
  <c r="E270" i="10"/>
  <c r="F270" i="10" s="1"/>
  <c r="E269" i="10"/>
  <c r="F269" i="10" s="1"/>
  <c r="B269" i="10"/>
  <c r="B270" i="10" s="1"/>
  <c r="B271" i="10" s="1"/>
  <c r="B272" i="10" s="1"/>
  <c r="B273" i="10" s="1"/>
  <c r="B274" i="10" s="1"/>
  <c r="B275" i="10" s="1"/>
  <c r="B276" i="10" s="1"/>
  <c r="B277" i="10" s="1"/>
  <c r="B278" i="10" s="1"/>
  <c r="B279" i="10" s="1"/>
  <c r="B280" i="10" s="1"/>
  <c r="B281" i="10" s="1"/>
  <c r="B282" i="10" s="1"/>
  <c r="B283" i="10" s="1"/>
  <c r="B284" i="10" s="1"/>
  <c r="B285" i="10" s="1"/>
  <c r="B286" i="10" s="1"/>
  <c r="B287" i="10" s="1"/>
  <c r="B288" i="10" s="1"/>
  <c r="B289" i="10" s="1"/>
  <c r="B290" i="10" s="1"/>
  <c r="B291" i="10" s="1"/>
  <c r="B292" i="10" s="1"/>
  <c r="B293" i="10" s="1"/>
  <c r="B294" i="10" s="1"/>
  <c r="B295" i="10" s="1"/>
  <c r="B296" i="10" s="1"/>
  <c r="B297" i="10" s="1"/>
  <c r="B298" i="10" s="1"/>
  <c r="B299" i="10" s="1"/>
  <c r="B300" i="10" s="1"/>
  <c r="B301" i="10" s="1"/>
  <c r="B302" i="10" s="1"/>
  <c r="B303" i="10" s="1"/>
  <c r="B304" i="10" s="1"/>
  <c r="E268" i="10"/>
  <c r="F268" i="10" s="1"/>
  <c r="E250" i="10"/>
  <c r="F250" i="10" s="1"/>
  <c r="E249" i="10"/>
  <c r="F249" i="10" s="1"/>
  <c r="E248" i="10"/>
  <c r="F248" i="10" s="1"/>
  <c r="E247" i="10"/>
  <c r="F247" i="10" s="1"/>
  <c r="E246" i="10"/>
  <c r="F246" i="10" s="1"/>
  <c r="E245" i="10"/>
  <c r="F245" i="10" s="1"/>
  <c r="E244" i="10"/>
  <c r="F244" i="10" s="1"/>
  <c r="E243" i="10"/>
  <c r="F243" i="10" s="1"/>
  <c r="E242" i="10"/>
  <c r="F242" i="10" s="1"/>
  <c r="E241" i="10"/>
  <c r="F241" i="10" s="1"/>
  <c r="E240" i="10"/>
  <c r="F240" i="10" s="1"/>
  <c r="E239" i="10"/>
  <c r="F239" i="10" s="1"/>
  <c r="E238" i="10"/>
  <c r="F238" i="10" s="1"/>
  <c r="E237" i="10"/>
  <c r="F237" i="10" s="1"/>
  <c r="E236" i="10"/>
  <c r="F236" i="10" s="1"/>
  <c r="E235" i="10"/>
  <c r="F235" i="10" s="1"/>
  <c r="E234" i="10"/>
  <c r="F234" i="10" s="1"/>
  <c r="E233" i="10"/>
  <c r="F233" i="10" s="1"/>
  <c r="E232" i="10"/>
  <c r="F232" i="10" s="1"/>
  <c r="E231" i="10"/>
  <c r="F231" i="10" s="1"/>
  <c r="B231" i="10"/>
  <c r="B232" i="10" s="1"/>
  <c r="B233" i="10" s="1"/>
  <c r="B234" i="10" s="1"/>
  <c r="B235" i="10" s="1"/>
  <c r="B236" i="10" s="1"/>
  <c r="B237" i="10" s="1"/>
  <c r="B238" i="10" s="1"/>
  <c r="B239" i="10" s="1"/>
  <c r="B240" i="10" s="1"/>
  <c r="B241" i="10" s="1"/>
  <c r="B242" i="10" s="1"/>
  <c r="B243" i="10" s="1"/>
  <c r="B244" i="10" s="1"/>
  <c r="B245" i="10" s="1"/>
  <c r="B246" i="10" s="1"/>
  <c r="B247" i="10" s="1"/>
  <c r="B248" i="10" s="1"/>
  <c r="B249" i="10" s="1"/>
  <c r="B250" i="10" s="1"/>
  <c r="B251" i="10" s="1"/>
  <c r="B252" i="10" s="1"/>
  <c r="B253" i="10" s="1"/>
  <c r="B254" i="10" s="1"/>
  <c r="B255" i="10" s="1"/>
  <c r="B256" i="10" s="1"/>
  <c r="B257" i="10" s="1"/>
  <c r="B258" i="10" s="1"/>
  <c r="B259" i="10" s="1"/>
  <c r="B260" i="10" s="1"/>
  <c r="B261" i="10" s="1"/>
  <c r="B262" i="10" s="1"/>
  <c r="B263" i="10" s="1"/>
  <c r="B264" i="10" s="1"/>
  <c r="B265" i="10" s="1"/>
  <c r="B266" i="10" s="1"/>
  <c r="E230" i="10"/>
  <c r="F230" i="10" s="1"/>
  <c r="E212" i="10"/>
  <c r="F212" i="10" s="1"/>
  <c r="E211" i="10"/>
  <c r="F211" i="10" s="1"/>
  <c r="E210" i="10"/>
  <c r="F210" i="10" s="1"/>
  <c r="E209" i="10"/>
  <c r="F209" i="10" s="1"/>
  <c r="E208" i="10"/>
  <c r="F208" i="10" s="1"/>
  <c r="E207" i="10"/>
  <c r="F207" i="10" s="1"/>
  <c r="E206" i="10"/>
  <c r="F206" i="10" s="1"/>
  <c r="E205" i="10"/>
  <c r="F205" i="10" s="1"/>
  <c r="E204" i="10"/>
  <c r="F204" i="10" s="1"/>
  <c r="E203" i="10"/>
  <c r="F203" i="10" s="1"/>
  <c r="E202" i="10"/>
  <c r="F202" i="10" s="1"/>
  <c r="E201" i="10"/>
  <c r="F201" i="10" s="1"/>
  <c r="E200" i="10"/>
  <c r="F200" i="10" s="1"/>
  <c r="E199" i="10"/>
  <c r="F199" i="10" s="1"/>
  <c r="E198" i="10"/>
  <c r="F198" i="10" s="1"/>
  <c r="E197" i="10"/>
  <c r="F197" i="10" s="1"/>
  <c r="E196" i="10"/>
  <c r="F196" i="10" s="1"/>
  <c r="E195" i="10"/>
  <c r="F195" i="10" s="1"/>
  <c r="E194" i="10"/>
  <c r="F194" i="10" s="1"/>
  <c r="E193" i="10"/>
  <c r="F193" i="10" s="1"/>
  <c r="B193" i="10"/>
  <c r="B194" i="10" s="1"/>
  <c r="B195" i="10" s="1"/>
  <c r="B196" i="10" s="1"/>
  <c r="B197" i="10" s="1"/>
  <c r="B198" i="10" s="1"/>
  <c r="B199" i="10" s="1"/>
  <c r="B200" i="10" s="1"/>
  <c r="B201" i="10" s="1"/>
  <c r="B202" i="10" s="1"/>
  <c r="B203" i="10" s="1"/>
  <c r="B204" i="10" s="1"/>
  <c r="B205" i="10" s="1"/>
  <c r="B206" i="10" s="1"/>
  <c r="B207" i="10" s="1"/>
  <c r="B208" i="10" s="1"/>
  <c r="B209" i="10" s="1"/>
  <c r="B210" i="10" s="1"/>
  <c r="B211" i="10" s="1"/>
  <c r="B212" i="10" s="1"/>
  <c r="B213" i="10" s="1"/>
  <c r="B214" i="10" s="1"/>
  <c r="B215" i="10" s="1"/>
  <c r="B216" i="10" s="1"/>
  <c r="B217" i="10" s="1"/>
  <c r="B218" i="10" s="1"/>
  <c r="B219" i="10" s="1"/>
  <c r="B220" i="10" s="1"/>
  <c r="B221" i="10" s="1"/>
  <c r="B222" i="10" s="1"/>
  <c r="B223" i="10" s="1"/>
  <c r="B224" i="10" s="1"/>
  <c r="B225" i="10" s="1"/>
  <c r="B226" i="10" s="1"/>
  <c r="B227" i="10" s="1"/>
  <c r="B228" i="10" s="1"/>
  <c r="E192" i="10"/>
  <c r="F192" i="10" s="1"/>
  <c r="E174" i="10"/>
  <c r="F174" i="10" s="1"/>
  <c r="E173" i="10"/>
  <c r="F173" i="10" s="1"/>
  <c r="E172" i="10"/>
  <c r="F172" i="10" s="1"/>
  <c r="E171" i="10"/>
  <c r="F171" i="10" s="1"/>
  <c r="E170" i="10"/>
  <c r="F170" i="10" s="1"/>
  <c r="E169" i="10"/>
  <c r="F169" i="10" s="1"/>
  <c r="E168" i="10"/>
  <c r="F168" i="10" s="1"/>
  <c r="E167" i="10"/>
  <c r="F167" i="10" s="1"/>
  <c r="E166" i="10"/>
  <c r="F166" i="10" s="1"/>
  <c r="E165" i="10"/>
  <c r="F165" i="10" s="1"/>
  <c r="E164" i="10"/>
  <c r="F164" i="10" s="1"/>
  <c r="E163" i="10"/>
  <c r="F163" i="10" s="1"/>
  <c r="E162" i="10"/>
  <c r="F162" i="10" s="1"/>
  <c r="E161" i="10"/>
  <c r="F161" i="10" s="1"/>
  <c r="E160" i="10"/>
  <c r="F160" i="10" s="1"/>
  <c r="E159" i="10"/>
  <c r="F159" i="10" s="1"/>
  <c r="E158" i="10"/>
  <c r="F158" i="10" s="1"/>
  <c r="E157" i="10"/>
  <c r="F157" i="10" s="1"/>
  <c r="E156" i="10"/>
  <c r="F156" i="10" s="1"/>
  <c r="E155" i="10"/>
  <c r="F155" i="10" s="1"/>
  <c r="B155" i="10"/>
  <c r="B156" i="10" s="1"/>
  <c r="B157" i="10" s="1"/>
  <c r="B158" i="10" s="1"/>
  <c r="B159" i="10" s="1"/>
  <c r="B160" i="10" s="1"/>
  <c r="B161" i="10" s="1"/>
  <c r="B162" i="10" s="1"/>
  <c r="B163" i="10" s="1"/>
  <c r="B164" i="10" s="1"/>
  <c r="B165" i="10" s="1"/>
  <c r="B166" i="10" s="1"/>
  <c r="B167" i="10" s="1"/>
  <c r="B168" i="10" s="1"/>
  <c r="B169" i="10" s="1"/>
  <c r="B170" i="10" s="1"/>
  <c r="B171" i="10" s="1"/>
  <c r="B172" i="10" s="1"/>
  <c r="B173" i="10" s="1"/>
  <c r="B174" i="10" s="1"/>
  <c r="B175" i="10" s="1"/>
  <c r="B176" i="10" s="1"/>
  <c r="B177" i="10" s="1"/>
  <c r="B178" i="10" s="1"/>
  <c r="B179" i="10" s="1"/>
  <c r="B180" i="10" s="1"/>
  <c r="B181" i="10" s="1"/>
  <c r="B182" i="10" s="1"/>
  <c r="B183" i="10" s="1"/>
  <c r="B184" i="10" s="1"/>
  <c r="B185" i="10" s="1"/>
  <c r="B186" i="10" s="1"/>
  <c r="B187" i="10" s="1"/>
  <c r="B188" i="10" s="1"/>
  <c r="B189" i="10" s="1"/>
  <c r="B190" i="10" s="1"/>
  <c r="E154" i="10"/>
  <c r="F154" i="10" s="1"/>
  <c r="E136" i="10"/>
  <c r="F136" i="10" s="1"/>
  <c r="E135" i="10"/>
  <c r="F135" i="10" s="1"/>
  <c r="E134" i="10"/>
  <c r="F134" i="10" s="1"/>
  <c r="E133" i="10"/>
  <c r="F133" i="10" s="1"/>
  <c r="E132" i="10"/>
  <c r="F132" i="10" s="1"/>
  <c r="E131" i="10"/>
  <c r="F131" i="10" s="1"/>
  <c r="E130" i="10"/>
  <c r="F130" i="10" s="1"/>
  <c r="E129" i="10"/>
  <c r="F129" i="10" s="1"/>
  <c r="E128" i="10"/>
  <c r="F128" i="10" s="1"/>
  <c r="E127" i="10"/>
  <c r="F127" i="10" s="1"/>
  <c r="E126" i="10"/>
  <c r="F126" i="10" s="1"/>
  <c r="E125" i="10"/>
  <c r="F125" i="10" s="1"/>
  <c r="E124" i="10"/>
  <c r="F124" i="10" s="1"/>
  <c r="E123" i="10"/>
  <c r="F123" i="10" s="1"/>
  <c r="E122" i="10"/>
  <c r="F122" i="10" s="1"/>
  <c r="E121" i="10"/>
  <c r="F121" i="10" s="1"/>
  <c r="E120" i="10"/>
  <c r="F120" i="10" s="1"/>
  <c r="E119" i="10"/>
  <c r="F119" i="10" s="1"/>
  <c r="E118" i="10"/>
  <c r="F118" i="10" s="1"/>
  <c r="E117" i="10"/>
  <c r="F117" i="10" s="1"/>
  <c r="B117" i="10"/>
  <c r="B118" i="10" s="1"/>
  <c r="B119" i="10" s="1"/>
  <c r="B120" i="10" s="1"/>
  <c r="B121" i="10" s="1"/>
  <c r="B122" i="10" s="1"/>
  <c r="B123" i="10" s="1"/>
  <c r="B124" i="10" s="1"/>
  <c r="B125" i="10" s="1"/>
  <c r="B126" i="10" s="1"/>
  <c r="B127" i="10" s="1"/>
  <c r="B128" i="10" s="1"/>
  <c r="B129" i="10" s="1"/>
  <c r="B130" i="10" s="1"/>
  <c r="B131" i="10" s="1"/>
  <c r="B132" i="10" s="1"/>
  <c r="B133" i="10" s="1"/>
  <c r="B134" i="10" s="1"/>
  <c r="B135" i="10" s="1"/>
  <c r="B136" i="10" s="1"/>
  <c r="B137" i="10" s="1"/>
  <c r="B138" i="10" s="1"/>
  <c r="B139" i="10" s="1"/>
  <c r="B140" i="10" s="1"/>
  <c r="B141" i="10" s="1"/>
  <c r="B142" i="10" s="1"/>
  <c r="B143" i="10" s="1"/>
  <c r="B144" i="10" s="1"/>
  <c r="B145" i="10" s="1"/>
  <c r="B146" i="10" s="1"/>
  <c r="B147" i="10" s="1"/>
  <c r="B148" i="10" s="1"/>
  <c r="B149" i="10" s="1"/>
  <c r="B150" i="10" s="1"/>
  <c r="B151" i="10" s="1"/>
  <c r="B152" i="10" s="1"/>
  <c r="E116" i="10"/>
  <c r="F116" i="10" s="1"/>
  <c r="E98" i="10"/>
  <c r="F98" i="10" s="1"/>
  <c r="E97" i="10"/>
  <c r="F97" i="10" s="1"/>
  <c r="E96" i="10"/>
  <c r="F96" i="10" s="1"/>
  <c r="E95" i="10"/>
  <c r="F95" i="10" s="1"/>
  <c r="E94" i="10"/>
  <c r="F94" i="10" s="1"/>
  <c r="E93" i="10"/>
  <c r="F93" i="10" s="1"/>
  <c r="E92" i="10"/>
  <c r="F92" i="10" s="1"/>
  <c r="E91" i="10"/>
  <c r="F91" i="10" s="1"/>
  <c r="E90" i="10"/>
  <c r="F90" i="10" s="1"/>
  <c r="E89" i="10"/>
  <c r="F89" i="10" s="1"/>
  <c r="E88" i="10"/>
  <c r="F88" i="10" s="1"/>
  <c r="E87" i="10"/>
  <c r="F87" i="10" s="1"/>
  <c r="E86" i="10"/>
  <c r="F86" i="10" s="1"/>
  <c r="E85" i="10"/>
  <c r="F85" i="10" s="1"/>
  <c r="E84" i="10"/>
  <c r="F84" i="10" s="1"/>
  <c r="E83" i="10"/>
  <c r="F83" i="10" s="1"/>
  <c r="E82" i="10"/>
  <c r="F82" i="10" s="1"/>
  <c r="E81" i="10"/>
  <c r="F81" i="10" s="1"/>
  <c r="E80" i="10"/>
  <c r="F80" i="10" s="1"/>
  <c r="E79" i="10"/>
  <c r="F79" i="10" s="1"/>
  <c r="B79" i="10"/>
  <c r="B80" i="10" s="1"/>
  <c r="B81" i="10" s="1"/>
  <c r="B82" i="10" s="1"/>
  <c r="B83" i="10" s="1"/>
  <c r="B84" i="10" s="1"/>
  <c r="B85" i="10" s="1"/>
  <c r="B86" i="10" s="1"/>
  <c r="B87" i="10" s="1"/>
  <c r="B88" i="10" s="1"/>
  <c r="B89" i="10" s="1"/>
  <c r="B90" i="10" s="1"/>
  <c r="B91" i="10" s="1"/>
  <c r="B92" i="10" s="1"/>
  <c r="B93" i="10" s="1"/>
  <c r="B94" i="10" s="1"/>
  <c r="B95" i="10" s="1"/>
  <c r="B96" i="10" s="1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E78" i="10"/>
  <c r="F78" i="10" s="1"/>
  <c r="E60" i="10"/>
  <c r="F60" i="10" s="1"/>
  <c r="E59" i="10"/>
  <c r="F59" i="10" s="1"/>
  <c r="E58" i="10"/>
  <c r="F58" i="10" s="1"/>
  <c r="E57" i="10"/>
  <c r="F57" i="10" s="1"/>
  <c r="E56" i="10"/>
  <c r="F56" i="10" s="1"/>
  <c r="E55" i="10"/>
  <c r="F55" i="10" s="1"/>
  <c r="E54" i="10"/>
  <c r="F54" i="10" s="1"/>
  <c r="E53" i="10"/>
  <c r="F53" i="10" s="1"/>
  <c r="E52" i="10"/>
  <c r="F52" i="10" s="1"/>
  <c r="E51" i="10"/>
  <c r="F51" i="10" s="1"/>
  <c r="E50" i="10"/>
  <c r="F50" i="10" s="1"/>
  <c r="E49" i="10"/>
  <c r="F49" i="10" s="1"/>
  <c r="E48" i="10"/>
  <c r="F48" i="10" s="1"/>
  <c r="E46" i="10"/>
  <c r="F46" i="10" s="1"/>
  <c r="E45" i="10"/>
  <c r="F45" i="10" s="1"/>
  <c r="E44" i="10"/>
  <c r="F44" i="10" s="1"/>
  <c r="E43" i="10"/>
  <c r="F43" i="10" s="1"/>
  <c r="E42" i="10"/>
  <c r="F42" i="10" s="1"/>
  <c r="E41" i="10"/>
  <c r="F41" i="10" s="1"/>
  <c r="I41" i="10" s="1"/>
  <c r="B41" i="10"/>
  <c r="B42" i="10" s="1"/>
  <c r="B43" i="10" s="1"/>
  <c r="B44" i="10" s="1"/>
  <c r="B45" i="10" s="1"/>
  <c r="B46" i="10" s="1"/>
  <c r="B47" i="10" s="1"/>
  <c r="B48" i="10" s="1"/>
  <c r="B49" i="10" s="1"/>
  <c r="B50" i="10" s="1"/>
  <c r="B51" i="10" s="1"/>
  <c r="B52" i="10" s="1"/>
  <c r="B53" i="10" s="1"/>
  <c r="B54" i="10" s="1"/>
  <c r="B55" i="10" s="1"/>
  <c r="B56" i="10" s="1"/>
  <c r="B57" i="10" s="1"/>
  <c r="B58" i="10" s="1"/>
  <c r="B59" i="10" s="1"/>
  <c r="B60" i="10" s="1"/>
  <c r="B61" i="10" s="1"/>
  <c r="B62" i="10" s="1"/>
  <c r="B63" i="10" s="1"/>
  <c r="B64" i="10" s="1"/>
  <c r="B65" i="10" s="1"/>
  <c r="B66" i="10" s="1"/>
  <c r="B67" i="10" s="1"/>
  <c r="B68" i="10" s="1"/>
  <c r="B69" i="10" s="1"/>
  <c r="B70" i="10" s="1"/>
  <c r="B71" i="10" s="1"/>
  <c r="B72" i="10" s="1"/>
  <c r="B73" i="10" s="1"/>
  <c r="B74" i="10" s="1"/>
  <c r="B75" i="10" s="1"/>
  <c r="B76" i="10" s="1"/>
  <c r="E40" i="10"/>
  <c r="F40" i="10" s="1"/>
  <c r="E22" i="10"/>
  <c r="F22" i="10" s="1"/>
  <c r="E21" i="10"/>
  <c r="F21" i="10" s="1"/>
  <c r="E20" i="10"/>
  <c r="F20" i="10" s="1"/>
  <c r="E19" i="10"/>
  <c r="F19" i="10" s="1"/>
  <c r="E18" i="10"/>
  <c r="F18" i="10" s="1"/>
  <c r="E17" i="10"/>
  <c r="F17" i="10" s="1"/>
  <c r="E16" i="10"/>
  <c r="F16" i="10" s="1"/>
  <c r="E15" i="10"/>
  <c r="F15" i="10" s="1"/>
  <c r="E14" i="10"/>
  <c r="F14" i="10" s="1"/>
  <c r="E13" i="10"/>
  <c r="F13" i="10" s="1"/>
  <c r="E12" i="10"/>
  <c r="F12" i="10" s="1"/>
  <c r="E11" i="10"/>
  <c r="F11" i="10" s="1"/>
  <c r="E10" i="10"/>
  <c r="F10" i="10" s="1"/>
  <c r="E9" i="10"/>
  <c r="F9" i="10" s="1"/>
  <c r="E8" i="10"/>
  <c r="F8" i="10" s="1"/>
  <c r="E7" i="10"/>
  <c r="F7" i="10" s="1"/>
  <c r="E6" i="10"/>
  <c r="F6" i="10" s="1"/>
  <c r="E5" i="10"/>
  <c r="F5" i="10" s="1"/>
  <c r="E4" i="10"/>
  <c r="F4" i="10" s="1"/>
  <c r="E3" i="10"/>
  <c r="F3" i="10" s="1"/>
  <c r="B3" i="10"/>
  <c r="B4" i="10" s="1"/>
  <c r="B5" i="10" s="1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E2" i="10"/>
  <c r="F2" i="10" s="1"/>
  <c r="I2" i="10" s="1"/>
  <c r="H4173" i="10" l="1"/>
  <c r="I4172" i="10"/>
  <c r="H4019" i="10"/>
  <c r="I4018" i="10"/>
  <c r="I3868" i="10"/>
  <c r="H3869" i="10"/>
  <c r="H3829" i="10"/>
  <c r="I3828" i="10"/>
  <c r="H3792" i="10"/>
  <c r="I3791" i="10"/>
  <c r="H3748" i="10"/>
  <c r="I3747" i="10"/>
  <c r="I3728" i="10"/>
  <c r="I3736" i="10"/>
  <c r="I3744" i="10"/>
  <c r="H3596" i="10"/>
  <c r="I3595" i="10"/>
  <c r="H3335" i="10"/>
  <c r="I3334" i="10"/>
  <c r="H3182" i="10"/>
  <c r="I3181" i="10"/>
  <c r="H3031" i="10"/>
  <c r="I3030" i="10"/>
  <c r="I2993" i="10"/>
  <c r="H2994" i="10"/>
  <c r="H2955" i="10"/>
  <c r="I2954" i="10"/>
  <c r="H2917" i="10"/>
  <c r="I2916" i="10"/>
  <c r="H2765" i="10"/>
  <c r="I2764" i="10"/>
  <c r="H2613" i="10"/>
  <c r="I2612" i="10"/>
  <c r="H2575" i="10"/>
  <c r="I2574" i="10"/>
  <c r="H2538" i="10"/>
  <c r="I2537" i="10"/>
  <c r="I2082" i="10"/>
  <c r="H2083" i="10"/>
  <c r="I3730" i="10"/>
  <c r="I3738" i="10"/>
  <c r="H1929" i="10"/>
  <c r="I1928" i="10"/>
  <c r="H1778" i="10"/>
  <c r="I1777" i="10"/>
  <c r="H1739" i="10"/>
  <c r="I1738" i="10"/>
  <c r="H1703" i="10"/>
  <c r="I1702" i="10"/>
  <c r="H519" i="10"/>
  <c r="I518" i="10"/>
  <c r="H481" i="10"/>
  <c r="I480" i="10"/>
  <c r="H443" i="10"/>
  <c r="I442" i="10"/>
  <c r="H405" i="10"/>
  <c r="I404" i="10"/>
  <c r="I3727" i="10"/>
  <c r="I3735" i="10"/>
  <c r="H253" i="10"/>
  <c r="I252" i="10"/>
  <c r="H101" i="10"/>
  <c r="I100" i="10"/>
  <c r="I3574" i="10"/>
  <c r="I3581" i="10"/>
  <c r="I3589" i="10"/>
  <c r="I3582" i="10"/>
  <c r="I3590" i="10"/>
  <c r="I3575" i="10"/>
  <c r="I3583" i="10"/>
  <c r="I3591" i="10"/>
  <c r="I3576" i="10"/>
  <c r="I3584" i="10"/>
  <c r="I3592" i="10"/>
  <c r="I3577" i="10"/>
  <c r="I3585" i="10"/>
  <c r="I3593" i="10"/>
  <c r="I3578" i="10"/>
  <c r="I3586" i="10"/>
  <c r="I3594" i="10"/>
  <c r="I3579" i="10"/>
  <c r="I3587" i="10"/>
  <c r="H25" i="10"/>
  <c r="I24" i="10"/>
  <c r="H48" i="10"/>
  <c r="H49" i="10" s="1"/>
  <c r="H50" i="10" s="1"/>
  <c r="H51" i="10" s="1"/>
  <c r="H52" i="10" s="1"/>
  <c r="H53" i="10" s="1"/>
  <c r="H54" i="10" s="1"/>
  <c r="H55" i="10" s="1"/>
  <c r="H56" i="10" s="1"/>
  <c r="H57" i="10" s="1"/>
  <c r="H58" i="10" s="1"/>
  <c r="H59" i="10" s="1"/>
  <c r="H60" i="10" s="1"/>
  <c r="H61" i="10" s="1"/>
  <c r="I3729" i="10"/>
  <c r="I3737" i="10"/>
  <c r="I3731" i="10"/>
  <c r="I3739" i="10"/>
  <c r="I3732" i="10"/>
  <c r="I3740" i="10"/>
  <c r="I3726" i="10"/>
  <c r="I3733" i="10"/>
  <c r="I3741" i="10"/>
  <c r="I3734" i="10"/>
  <c r="I3742" i="10"/>
  <c r="I3346" i="10"/>
  <c r="I3347" i="10"/>
  <c r="I3428" i="10"/>
  <c r="I648" i="10"/>
  <c r="I3348" i="10"/>
  <c r="I1066" i="10"/>
  <c r="I800" i="10"/>
  <c r="I3743" i="10"/>
  <c r="I1224" i="10"/>
  <c r="I3745" i="10"/>
  <c r="I876" i="10"/>
  <c r="I3746" i="10"/>
  <c r="I804" i="10"/>
  <c r="I651" i="10"/>
  <c r="I4" i="10"/>
  <c r="I1221" i="10"/>
  <c r="I5" i="10"/>
  <c r="I808" i="10"/>
  <c r="I652" i="10"/>
  <c r="I668" i="10"/>
  <c r="I40" i="10"/>
  <c r="I649" i="10"/>
  <c r="I1223" i="10"/>
  <c r="I3422" i="10"/>
  <c r="I382" i="10"/>
  <c r="I914" i="10"/>
  <c r="I3423" i="10"/>
  <c r="I3424" i="10"/>
  <c r="I78" i="10"/>
  <c r="I803" i="10"/>
  <c r="I879" i="10"/>
  <c r="I231" i="10"/>
  <c r="I877" i="10"/>
  <c r="I878" i="10"/>
  <c r="I806" i="10"/>
  <c r="I819" i="10"/>
  <c r="I915" i="10"/>
  <c r="I1068" i="10"/>
  <c r="I820" i="10"/>
  <c r="I385" i="10"/>
  <c r="I814" i="10"/>
  <c r="I9" i="10"/>
  <c r="I81" i="10"/>
  <c r="I815" i="10"/>
  <c r="I839" i="10"/>
  <c r="I230" i="10"/>
  <c r="I801" i="10"/>
  <c r="I11" i="10"/>
  <c r="I383" i="10"/>
  <c r="I10" i="10"/>
  <c r="I3" i="10"/>
  <c r="I79" i="10"/>
  <c r="I817" i="10"/>
  <c r="I6" i="10"/>
  <c r="I234" i="10"/>
  <c r="I807" i="10"/>
  <c r="I812" i="10"/>
  <c r="I1067" i="10"/>
  <c r="H3386" i="10"/>
  <c r="H3387" i="10" s="1"/>
  <c r="H3388" i="10" s="1"/>
  <c r="H3389" i="10" s="1"/>
  <c r="I3385" i="10"/>
  <c r="I809" i="10"/>
  <c r="I7" i="10"/>
  <c r="I384" i="10"/>
  <c r="I838" i="10"/>
  <c r="I1220" i="10"/>
  <c r="I1225" i="10"/>
  <c r="I3384" i="10"/>
  <c r="I42" i="10"/>
  <c r="I235" i="10"/>
  <c r="I12" i="10"/>
  <c r="I8" i="10"/>
  <c r="I232" i="10"/>
  <c r="I43" i="10"/>
  <c r="I233" i="10"/>
  <c r="I82" i="10"/>
  <c r="I80" i="10"/>
  <c r="I805" i="10"/>
  <c r="I810" i="10"/>
  <c r="I918" i="10"/>
  <c r="I811" i="10"/>
  <c r="I816" i="10"/>
  <c r="I1072" i="10"/>
  <c r="I1071" i="10"/>
  <c r="I650" i="10"/>
  <c r="I802" i="10"/>
  <c r="I813" i="10"/>
  <c r="I818" i="10"/>
  <c r="I840" i="10"/>
  <c r="I919" i="10"/>
  <c r="I1218" i="10"/>
  <c r="I916" i="10"/>
  <c r="I1069" i="10"/>
  <c r="I1219" i="10"/>
  <c r="I1222" i="10"/>
  <c r="I917" i="10"/>
  <c r="I1070" i="10"/>
  <c r="H3349" i="10"/>
  <c r="H3350" i="10" s="1"/>
  <c r="H3351" i="10" s="1"/>
  <c r="H3352" i="10" s="1"/>
  <c r="I3352" i="10" s="1"/>
  <c r="H3429" i="10"/>
  <c r="I3426" i="10"/>
  <c r="I3427" i="10"/>
  <c r="I3425" i="10"/>
  <c r="H4174" i="10" l="1"/>
  <c r="I4173" i="10"/>
  <c r="H4020" i="10"/>
  <c r="I4019" i="10"/>
  <c r="I3869" i="10"/>
  <c r="H3870" i="10"/>
  <c r="H3830" i="10"/>
  <c r="I3829" i="10"/>
  <c r="H3793" i="10"/>
  <c r="I3792" i="10"/>
  <c r="H3749" i="10"/>
  <c r="I3748" i="10"/>
  <c r="H3597" i="10"/>
  <c r="I3596" i="10"/>
  <c r="H3336" i="10"/>
  <c r="I3335" i="10"/>
  <c r="H3183" i="10"/>
  <c r="I3182" i="10"/>
  <c r="H3032" i="10"/>
  <c r="I3031" i="10"/>
  <c r="I2994" i="10"/>
  <c r="H2995" i="10"/>
  <c r="H2956" i="10"/>
  <c r="I2955" i="10"/>
  <c r="H2918" i="10"/>
  <c r="I2917" i="10"/>
  <c r="H2766" i="10"/>
  <c r="I2765" i="10"/>
  <c r="H2614" i="10"/>
  <c r="I2613" i="10"/>
  <c r="H2576" i="10"/>
  <c r="I2575" i="10"/>
  <c r="H2539" i="10"/>
  <c r="I2538" i="10"/>
  <c r="H2084" i="10"/>
  <c r="I2083" i="10"/>
  <c r="I1929" i="10"/>
  <c r="H1930" i="10"/>
  <c r="H1779" i="10"/>
  <c r="I1778" i="10"/>
  <c r="I1739" i="10"/>
  <c r="H1740" i="10"/>
  <c r="H1704" i="10"/>
  <c r="I1703" i="10"/>
  <c r="H520" i="10"/>
  <c r="I519" i="10"/>
  <c r="H482" i="10"/>
  <c r="I481" i="10"/>
  <c r="H444" i="10"/>
  <c r="I443" i="10"/>
  <c r="H406" i="10"/>
  <c r="I405" i="10"/>
  <c r="H254" i="10"/>
  <c r="I253" i="10"/>
  <c r="H102" i="10"/>
  <c r="I101" i="10"/>
  <c r="H62" i="10"/>
  <c r="I61" i="10"/>
  <c r="H26" i="10"/>
  <c r="I25" i="10"/>
  <c r="I653" i="10"/>
  <c r="I658" i="10"/>
  <c r="I654" i="10"/>
  <c r="I1074" i="10"/>
  <c r="I666" i="10"/>
  <c r="I665" i="10"/>
  <c r="I656" i="10"/>
  <c r="I661" i="10"/>
  <c r="I664" i="10"/>
  <c r="I1227" i="10"/>
  <c r="I19" i="10"/>
  <c r="I14" i="10"/>
  <c r="I15" i="10"/>
  <c r="I3350" i="10"/>
  <c r="I18" i="10"/>
  <c r="I44" i="10"/>
  <c r="I17" i="10"/>
  <c r="I3351" i="10"/>
  <c r="I3349" i="10"/>
  <c r="I13" i="10"/>
  <c r="I1073" i="10"/>
  <c r="I663" i="10"/>
  <c r="I50" i="10"/>
  <c r="I881" i="10"/>
  <c r="I655" i="10"/>
  <c r="I659" i="10"/>
  <c r="I1075" i="10"/>
  <c r="I3387" i="10"/>
  <c r="I882" i="10"/>
  <c r="I49" i="10"/>
  <c r="I657" i="10"/>
  <c r="I880" i="10"/>
  <c r="I667" i="10"/>
  <c r="I662" i="10"/>
  <c r="I45" i="10"/>
  <c r="I16" i="10"/>
  <c r="I660" i="10"/>
  <c r="I390" i="10"/>
  <c r="I389" i="10"/>
  <c r="I3389" i="10"/>
  <c r="H3390" i="10"/>
  <c r="I3388" i="10"/>
  <c r="I3386" i="10"/>
  <c r="I387" i="10"/>
  <c r="I1226" i="10"/>
  <c r="I83" i="10"/>
  <c r="I84" i="10"/>
  <c r="I386" i="10"/>
  <c r="I388" i="10"/>
  <c r="H3353" i="10"/>
  <c r="I3353" i="10" s="1"/>
  <c r="I883" i="10"/>
  <c r="I1229" i="10"/>
  <c r="I1228" i="10"/>
  <c r="I85" i="10"/>
  <c r="I841" i="10"/>
  <c r="I236" i="10"/>
  <c r="I922" i="10"/>
  <c r="I921" i="10"/>
  <c r="I920" i="10"/>
  <c r="H3430" i="10"/>
  <c r="I3429" i="10"/>
  <c r="I1076" i="10"/>
  <c r="I48" i="10"/>
  <c r="I46" i="10"/>
  <c r="I87" i="10"/>
  <c r="I20" i="10"/>
  <c r="I89" i="10"/>
  <c r="I88" i="10"/>
  <c r="I86" i="10"/>
  <c r="I90" i="10"/>
  <c r="I51" i="10"/>
  <c r="H4175" i="10" l="1"/>
  <c r="I4174" i="10"/>
  <c r="H4021" i="10"/>
  <c r="I4020" i="10"/>
  <c r="H3871" i="10"/>
  <c r="I3870" i="10"/>
  <c r="H3831" i="10"/>
  <c r="I3830" i="10"/>
  <c r="H3794" i="10"/>
  <c r="I3793" i="10"/>
  <c r="H3750" i="10"/>
  <c r="I3749" i="10"/>
  <c r="H3598" i="10"/>
  <c r="I3597" i="10"/>
  <c r="H3337" i="10"/>
  <c r="I3336" i="10"/>
  <c r="H3184" i="10"/>
  <c r="I3183" i="10"/>
  <c r="H3033" i="10"/>
  <c r="I3032" i="10"/>
  <c r="H2996" i="10"/>
  <c r="I2995" i="10"/>
  <c r="H2957" i="10"/>
  <c r="I2956" i="10"/>
  <c r="H2919" i="10"/>
  <c r="I2918" i="10"/>
  <c r="H2767" i="10"/>
  <c r="I2766" i="10"/>
  <c r="H2615" i="10"/>
  <c r="I2614" i="10"/>
  <c r="H2577" i="10"/>
  <c r="I2576" i="10"/>
  <c r="H2540" i="10"/>
  <c r="I2539" i="10"/>
  <c r="H2085" i="10"/>
  <c r="I2084" i="10"/>
  <c r="H1931" i="10"/>
  <c r="I1930" i="10"/>
  <c r="H1780" i="10"/>
  <c r="I1779" i="10"/>
  <c r="H1741" i="10"/>
  <c r="I1740" i="10"/>
  <c r="H1705" i="10"/>
  <c r="I1704" i="10"/>
  <c r="H521" i="10"/>
  <c r="I520" i="10"/>
  <c r="H483" i="10"/>
  <c r="I482" i="10"/>
  <c r="H445" i="10"/>
  <c r="I444" i="10"/>
  <c r="H407" i="10"/>
  <c r="I406" i="10"/>
  <c r="H255" i="10"/>
  <c r="I254" i="10"/>
  <c r="H103" i="10"/>
  <c r="I102" i="10"/>
  <c r="H63" i="10"/>
  <c r="I62" i="10"/>
  <c r="H27" i="10"/>
  <c r="I26" i="10"/>
  <c r="H3391" i="10"/>
  <c r="I3390" i="10"/>
  <c r="I391" i="10"/>
  <c r="I91" i="10"/>
  <c r="H3431" i="10"/>
  <c r="I3430" i="10"/>
  <c r="I842" i="10"/>
  <c r="I1077" i="10"/>
  <c r="I923" i="10"/>
  <c r="I237" i="10"/>
  <c r="I52" i="10"/>
  <c r="H3354" i="10"/>
  <c r="I3354" i="10" s="1"/>
  <c r="I884" i="10"/>
  <c r="I21" i="10"/>
  <c r="I1230" i="10"/>
  <c r="H4176" i="10" l="1"/>
  <c r="I4175" i="10"/>
  <c r="H4022" i="10"/>
  <c r="I4021" i="10"/>
  <c r="H3872" i="10"/>
  <c r="I3871" i="10"/>
  <c r="H3832" i="10"/>
  <c r="I3831" i="10"/>
  <c r="H3795" i="10"/>
  <c r="I3794" i="10"/>
  <c r="H3751" i="10"/>
  <c r="I3750" i="10"/>
  <c r="H3599" i="10"/>
  <c r="I3598" i="10"/>
  <c r="H3338" i="10"/>
  <c r="I3337" i="10"/>
  <c r="H3185" i="10"/>
  <c r="I3184" i="10"/>
  <c r="H3034" i="10"/>
  <c r="I3033" i="10"/>
  <c r="I2996" i="10"/>
  <c r="H2997" i="10"/>
  <c r="H2958" i="10"/>
  <c r="I2957" i="10"/>
  <c r="H2920" i="10"/>
  <c r="I2919" i="10"/>
  <c r="H2768" i="10"/>
  <c r="I2767" i="10"/>
  <c r="H2616" i="10"/>
  <c r="I2615" i="10"/>
  <c r="H2578" i="10"/>
  <c r="I2577" i="10"/>
  <c r="H2541" i="10"/>
  <c r="I2540" i="10"/>
  <c r="H2086" i="10"/>
  <c r="I2085" i="10"/>
  <c r="H1932" i="10"/>
  <c r="I1931" i="10"/>
  <c r="H1781" i="10"/>
  <c r="I1780" i="10"/>
  <c r="I1741" i="10"/>
  <c r="H1742" i="10"/>
  <c r="H1706" i="10"/>
  <c r="I1705" i="10"/>
  <c r="H522" i="10"/>
  <c r="I521" i="10"/>
  <c r="H484" i="10"/>
  <c r="I483" i="10"/>
  <c r="H446" i="10"/>
  <c r="I445" i="10"/>
  <c r="H408" i="10"/>
  <c r="I407" i="10"/>
  <c r="H256" i="10"/>
  <c r="I255" i="10"/>
  <c r="H104" i="10"/>
  <c r="I103" i="10"/>
  <c r="H64" i="10"/>
  <c r="I63" i="10"/>
  <c r="H28" i="10"/>
  <c r="I27" i="10"/>
  <c r="I392" i="10"/>
  <c r="H3392" i="10"/>
  <c r="I3391" i="10"/>
  <c r="H3355" i="10"/>
  <c r="I3355" i="10" s="1"/>
  <c r="I1078" i="10"/>
  <c r="I885" i="10"/>
  <c r="I238" i="10"/>
  <c r="H3432" i="10"/>
  <c r="I3431" i="10"/>
  <c r="I22" i="10"/>
  <c r="I843" i="10"/>
  <c r="I1231" i="10"/>
  <c r="I53" i="10"/>
  <c r="I924" i="10"/>
  <c r="I92" i="10"/>
  <c r="H4177" i="10" l="1"/>
  <c r="I4176" i="10"/>
  <c r="H4023" i="10"/>
  <c r="I4022" i="10"/>
  <c r="H3873" i="10"/>
  <c r="I3872" i="10"/>
  <c r="H3833" i="10"/>
  <c r="I3832" i="10"/>
  <c r="H3796" i="10"/>
  <c r="I3795" i="10"/>
  <c r="H3752" i="10"/>
  <c r="I3751" i="10"/>
  <c r="H3600" i="10"/>
  <c r="I3599" i="10"/>
  <c r="H3339" i="10"/>
  <c r="I3338" i="10"/>
  <c r="H3186" i="10"/>
  <c r="I3185" i="10"/>
  <c r="H3035" i="10"/>
  <c r="I3034" i="10"/>
  <c r="H2998" i="10"/>
  <c r="I2997" i="10"/>
  <c r="H2959" i="10"/>
  <c r="I2958" i="10"/>
  <c r="H2921" i="10"/>
  <c r="I2920" i="10"/>
  <c r="H2769" i="10"/>
  <c r="I2768" i="10"/>
  <c r="H2617" i="10"/>
  <c r="I2616" i="10"/>
  <c r="H2579" i="10"/>
  <c r="I2578" i="10"/>
  <c r="H2542" i="10"/>
  <c r="I2541" i="10"/>
  <c r="H2087" i="10"/>
  <c r="I2086" i="10"/>
  <c r="H1933" i="10"/>
  <c r="I1932" i="10"/>
  <c r="H1782" i="10"/>
  <c r="I1781" i="10"/>
  <c r="I1742" i="10"/>
  <c r="H1743" i="10"/>
  <c r="H1707" i="10"/>
  <c r="I1706" i="10"/>
  <c r="H523" i="10"/>
  <c r="I522" i="10"/>
  <c r="H485" i="10"/>
  <c r="I484" i="10"/>
  <c r="H447" i="10"/>
  <c r="I446" i="10"/>
  <c r="H409" i="10"/>
  <c r="I408" i="10"/>
  <c r="H257" i="10"/>
  <c r="I256" i="10"/>
  <c r="H105" i="10"/>
  <c r="I104" i="10"/>
  <c r="H65" i="10"/>
  <c r="I64" i="10"/>
  <c r="H29" i="10"/>
  <c r="I28" i="10"/>
  <c r="H3393" i="10"/>
  <c r="I3392" i="10"/>
  <c r="I393" i="10"/>
  <c r="I239" i="10"/>
  <c r="I54" i="10"/>
  <c r="I1232" i="10"/>
  <c r="I1079" i="10"/>
  <c r="H3356" i="10"/>
  <c r="I3356" i="10" s="1"/>
  <c r="I93" i="10"/>
  <c r="I844" i="10"/>
  <c r="I925" i="10"/>
  <c r="H3433" i="10"/>
  <c r="I3432" i="10"/>
  <c r="I886" i="10"/>
  <c r="H4178" i="10" l="1"/>
  <c r="I4177" i="10"/>
  <c r="H4024" i="10"/>
  <c r="I4023" i="10"/>
  <c r="I3873" i="10"/>
  <c r="H3874" i="10"/>
  <c r="H3834" i="10"/>
  <c r="I3833" i="10"/>
  <c r="H3797" i="10"/>
  <c r="I3796" i="10"/>
  <c r="H3753" i="10"/>
  <c r="I3752" i="10"/>
  <c r="H3601" i="10"/>
  <c r="I3600" i="10"/>
  <c r="H3340" i="10"/>
  <c r="I3339" i="10"/>
  <c r="H3187" i="10"/>
  <c r="I3186" i="10"/>
  <c r="H3036" i="10"/>
  <c r="I3035" i="10"/>
  <c r="H2999" i="10"/>
  <c r="I2998" i="10"/>
  <c r="H2960" i="10"/>
  <c r="I2959" i="10"/>
  <c r="H2922" i="10"/>
  <c r="I2921" i="10"/>
  <c r="H2770" i="10"/>
  <c r="I2769" i="10"/>
  <c r="H2618" i="10"/>
  <c r="I2617" i="10"/>
  <c r="H2580" i="10"/>
  <c r="I2579" i="10"/>
  <c r="H2543" i="10"/>
  <c r="I2542" i="10"/>
  <c r="H2088" i="10"/>
  <c r="I2087" i="10"/>
  <c r="H1934" i="10"/>
  <c r="I1933" i="10"/>
  <c r="H1783" i="10"/>
  <c r="I1782" i="10"/>
  <c r="H1744" i="10"/>
  <c r="I1743" i="10"/>
  <c r="H1708" i="10"/>
  <c r="I1707" i="10"/>
  <c r="H524" i="10"/>
  <c r="I523" i="10"/>
  <c r="H486" i="10"/>
  <c r="I485" i="10"/>
  <c r="I447" i="10"/>
  <c r="H448" i="10"/>
  <c r="H410" i="10"/>
  <c r="I409" i="10"/>
  <c r="H258" i="10"/>
  <c r="I257" i="10"/>
  <c r="H106" i="10"/>
  <c r="I105" i="10"/>
  <c r="H66" i="10"/>
  <c r="I65" i="10"/>
  <c r="H30" i="10"/>
  <c r="I29" i="10"/>
  <c r="I394" i="10"/>
  <c r="H3394" i="10"/>
  <c r="I3393" i="10"/>
  <c r="I845" i="10"/>
  <c r="I926" i="10"/>
  <c r="I240" i="10"/>
  <c r="I887" i="10"/>
  <c r="H3357" i="10"/>
  <c r="I3357" i="10" s="1"/>
  <c r="I1233" i="10"/>
  <c r="H3434" i="10"/>
  <c r="I3433" i="10"/>
  <c r="I94" i="10"/>
  <c r="I1080" i="10"/>
  <c r="I55" i="10"/>
  <c r="H4179" i="10" l="1"/>
  <c r="I4178" i="10"/>
  <c r="H4025" i="10"/>
  <c r="I4024" i="10"/>
  <c r="I3874" i="10"/>
  <c r="H3875" i="10"/>
  <c r="H3835" i="10"/>
  <c r="I3834" i="10"/>
  <c r="H3798" i="10"/>
  <c r="I3797" i="10"/>
  <c r="H3754" i="10"/>
  <c r="I3753" i="10"/>
  <c r="H3602" i="10"/>
  <c r="I3601" i="10"/>
  <c r="H3341" i="10"/>
  <c r="I3340" i="10"/>
  <c r="H3188" i="10"/>
  <c r="I3187" i="10"/>
  <c r="H3037" i="10"/>
  <c r="I3036" i="10"/>
  <c r="H3000" i="10"/>
  <c r="I2999" i="10"/>
  <c r="H2961" i="10"/>
  <c r="I2960" i="10"/>
  <c r="H2923" i="10"/>
  <c r="I2922" i="10"/>
  <c r="H2771" i="10"/>
  <c r="I2770" i="10"/>
  <c r="H2619" i="10"/>
  <c r="I2618" i="10"/>
  <c r="H2581" i="10"/>
  <c r="I2580" i="10"/>
  <c r="H2544" i="10"/>
  <c r="I2543" i="10"/>
  <c r="H2089" i="10"/>
  <c r="I2088" i="10"/>
  <c r="H1935" i="10"/>
  <c r="I1934" i="10"/>
  <c r="H1784" i="10"/>
  <c r="I1783" i="10"/>
  <c r="I1744" i="10"/>
  <c r="H1745" i="10"/>
  <c r="H1709" i="10"/>
  <c r="I1708" i="10"/>
  <c r="H525" i="10"/>
  <c r="I524" i="10"/>
  <c r="H487" i="10"/>
  <c r="I486" i="10"/>
  <c r="I448" i="10"/>
  <c r="H449" i="10"/>
  <c r="H411" i="10"/>
  <c r="I410" i="10"/>
  <c r="H259" i="10"/>
  <c r="I258" i="10"/>
  <c r="H107" i="10"/>
  <c r="I106" i="10"/>
  <c r="H67" i="10"/>
  <c r="I66" i="10"/>
  <c r="H31" i="10"/>
  <c r="I30" i="10"/>
  <c r="H3395" i="10"/>
  <c r="I3394" i="10"/>
  <c r="I395" i="10"/>
  <c r="I927" i="10"/>
  <c r="I1081" i="10"/>
  <c r="H3358" i="10"/>
  <c r="I3358" i="10" s="1"/>
  <c r="I95" i="10"/>
  <c r="H3435" i="10"/>
  <c r="I3434" i="10"/>
  <c r="I241" i="10"/>
  <c r="I1234" i="10"/>
  <c r="I888" i="10"/>
  <c r="I56" i="10"/>
  <c r="I846" i="10"/>
  <c r="H4180" i="10" l="1"/>
  <c r="I4180" i="10" s="1"/>
  <c r="I4179" i="10"/>
  <c r="H4026" i="10"/>
  <c r="I4025" i="10"/>
  <c r="H3876" i="10"/>
  <c r="I3876" i="10" s="1"/>
  <c r="I3875" i="10"/>
  <c r="H3836" i="10"/>
  <c r="I3835" i="10"/>
  <c r="H3799" i="10"/>
  <c r="I3798" i="10"/>
  <c r="H3755" i="10"/>
  <c r="I3754" i="10"/>
  <c r="H3603" i="10"/>
  <c r="I3602" i="10"/>
  <c r="H3342" i="10"/>
  <c r="I3341" i="10"/>
  <c r="H3189" i="10"/>
  <c r="I3188" i="10"/>
  <c r="H3038" i="10"/>
  <c r="I3037" i="10"/>
  <c r="H3001" i="10"/>
  <c r="I3000" i="10"/>
  <c r="H2962" i="10"/>
  <c r="I2961" i="10"/>
  <c r="H2924" i="10"/>
  <c r="I2923" i="10"/>
  <c r="H2772" i="10"/>
  <c r="I2771" i="10"/>
  <c r="H2620" i="10"/>
  <c r="I2619" i="10"/>
  <c r="H2582" i="10"/>
  <c r="I2581" i="10"/>
  <c r="H2545" i="10"/>
  <c r="I2544" i="10"/>
  <c r="H2090" i="10"/>
  <c r="I2090" i="10" s="1"/>
  <c r="I2089" i="10"/>
  <c r="H1936" i="10"/>
  <c r="I1935" i="10"/>
  <c r="H1785" i="10"/>
  <c r="I1784" i="10"/>
  <c r="H1746" i="10"/>
  <c r="I1745" i="10"/>
  <c r="H1710" i="10"/>
  <c r="I1710" i="10" s="1"/>
  <c r="I1709" i="10"/>
  <c r="H526" i="10"/>
  <c r="I525" i="10"/>
  <c r="H488" i="10"/>
  <c r="I487" i="10"/>
  <c r="H450" i="10"/>
  <c r="I449" i="10"/>
  <c r="H412" i="10"/>
  <c r="I411" i="10"/>
  <c r="H260" i="10"/>
  <c r="I259" i="10"/>
  <c r="H108" i="10"/>
  <c r="I107" i="10"/>
  <c r="H68" i="10"/>
  <c r="I67" i="10"/>
  <c r="H32" i="10"/>
  <c r="I31" i="10"/>
  <c r="I396" i="10"/>
  <c r="H3396" i="10"/>
  <c r="I3395" i="10"/>
  <c r="H3436" i="10"/>
  <c r="I3435" i="10"/>
  <c r="I928" i="10"/>
  <c r="I847" i="10"/>
  <c r="I57" i="10"/>
  <c r="I96" i="10"/>
  <c r="I889" i="10"/>
  <c r="I242" i="10"/>
  <c r="H3359" i="10"/>
  <c r="I3359" i="10" s="1"/>
  <c r="I1082" i="10"/>
  <c r="I1235" i="10"/>
  <c r="H4027" i="10" l="1"/>
  <c r="I4026" i="10"/>
  <c r="H3837" i="10"/>
  <c r="I3836" i="10"/>
  <c r="H3800" i="10"/>
  <c r="I3800" i="10" s="1"/>
  <c r="I3799" i="10"/>
  <c r="H3756" i="10"/>
  <c r="I3755" i="10"/>
  <c r="H3604" i="10"/>
  <c r="I3603" i="10"/>
  <c r="H3343" i="10"/>
  <c r="I3342" i="10"/>
  <c r="H3190" i="10"/>
  <c r="I3189" i="10"/>
  <c r="H3039" i="10"/>
  <c r="I3038" i="10"/>
  <c r="H3002" i="10"/>
  <c r="I3002" i="10" s="1"/>
  <c r="I3001" i="10"/>
  <c r="H2963" i="10"/>
  <c r="I2962" i="10"/>
  <c r="H2925" i="10"/>
  <c r="I2924" i="10"/>
  <c r="H2773" i="10"/>
  <c r="I2772" i="10"/>
  <c r="H2621" i="10"/>
  <c r="I2620" i="10"/>
  <c r="H2583" i="10"/>
  <c r="I2582" i="10"/>
  <c r="H2546" i="10"/>
  <c r="I2546" i="10" s="1"/>
  <c r="I2545" i="10"/>
  <c r="H1937" i="10"/>
  <c r="I1936" i="10"/>
  <c r="H1786" i="10"/>
  <c r="I1786" i="10" s="1"/>
  <c r="I1785" i="10"/>
  <c r="H1747" i="10"/>
  <c r="I1746" i="10"/>
  <c r="H527" i="10"/>
  <c r="I526" i="10"/>
  <c r="H489" i="10"/>
  <c r="I488" i="10"/>
  <c r="H451" i="10"/>
  <c r="I450" i="10"/>
  <c r="H413" i="10"/>
  <c r="I412" i="10"/>
  <c r="H261" i="10"/>
  <c r="I260" i="10"/>
  <c r="H109" i="10"/>
  <c r="I108" i="10"/>
  <c r="H69" i="10"/>
  <c r="I68" i="10"/>
  <c r="H33" i="10"/>
  <c r="I32" i="10"/>
  <c r="H3397" i="10"/>
  <c r="I3396" i="10"/>
  <c r="I397" i="10"/>
  <c r="H3360" i="10"/>
  <c r="I3360" i="10" s="1"/>
  <c r="I890" i="10"/>
  <c r="I97" i="10"/>
  <c r="I1236" i="10"/>
  <c r="I848" i="10"/>
  <c r="I929" i="10"/>
  <c r="I1083" i="10"/>
  <c r="I243" i="10"/>
  <c r="I58" i="10"/>
  <c r="H3437" i="10"/>
  <c r="I3436" i="10"/>
  <c r="H4028" i="10" l="1"/>
  <c r="I4028" i="10" s="1"/>
  <c r="I4027" i="10"/>
  <c r="H3838" i="10"/>
  <c r="I3838" i="10" s="1"/>
  <c r="I3837" i="10"/>
  <c r="H3757" i="10"/>
  <c r="I3756" i="10"/>
  <c r="H3605" i="10"/>
  <c r="I3604" i="10"/>
  <c r="H3344" i="10"/>
  <c r="I3344" i="10" s="1"/>
  <c r="I3343" i="10"/>
  <c r="H3191" i="10"/>
  <c r="I3190" i="10"/>
  <c r="H3040" i="10"/>
  <c r="I3040" i="10" s="1"/>
  <c r="I3039" i="10"/>
  <c r="H2964" i="10"/>
  <c r="I2964" i="10" s="1"/>
  <c r="I2963" i="10"/>
  <c r="H2926" i="10"/>
  <c r="I2926" i="10" s="1"/>
  <c r="I2925" i="10"/>
  <c r="H2774" i="10"/>
  <c r="I2774" i="10" s="1"/>
  <c r="I2773" i="10"/>
  <c r="H2622" i="10"/>
  <c r="I2622" i="10" s="1"/>
  <c r="I2621" i="10"/>
  <c r="H2584" i="10"/>
  <c r="I2584" i="10" s="1"/>
  <c r="I2583" i="10"/>
  <c r="H1938" i="10"/>
  <c r="I1938" i="10" s="1"/>
  <c r="I1937" i="10"/>
  <c r="H1748" i="10"/>
  <c r="I1748" i="10" s="1"/>
  <c r="I1747" i="10"/>
  <c r="H528" i="10"/>
  <c r="I527" i="10"/>
  <c r="H490" i="10"/>
  <c r="I489" i="10"/>
  <c r="I451" i="10"/>
  <c r="H452" i="10"/>
  <c r="H414" i="10"/>
  <c r="I413" i="10"/>
  <c r="H262" i="10"/>
  <c r="I261" i="10"/>
  <c r="H110" i="10"/>
  <c r="I109" i="10"/>
  <c r="H70" i="10"/>
  <c r="I69" i="10"/>
  <c r="H34" i="10"/>
  <c r="I33" i="10"/>
  <c r="I398" i="10"/>
  <c r="H3398" i="10"/>
  <c r="I3397" i="10"/>
  <c r="I3437" i="10"/>
  <c r="H3438" i="10"/>
  <c r="I930" i="10"/>
  <c r="I98" i="10"/>
  <c r="I244" i="10"/>
  <c r="I849" i="10"/>
  <c r="I59" i="10"/>
  <c r="I1084" i="10"/>
  <c r="I891" i="10"/>
  <c r="I1237" i="10"/>
  <c r="H3361" i="10"/>
  <c r="I3361" i="10" s="1"/>
  <c r="H3758" i="10" l="1"/>
  <c r="I3757" i="10"/>
  <c r="H3606" i="10"/>
  <c r="I3605" i="10"/>
  <c r="H3192" i="10"/>
  <c r="I3192" i="10" s="1"/>
  <c r="I3191" i="10"/>
  <c r="H529" i="10"/>
  <c r="I528" i="10"/>
  <c r="H491" i="10"/>
  <c r="I490" i="10"/>
  <c r="I452" i="10"/>
  <c r="H453" i="10"/>
  <c r="H415" i="10"/>
  <c r="I414" i="10"/>
  <c r="H263" i="10"/>
  <c r="I262" i="10"/>
  <c r="H111" i="10"/>
  <c r="I110" i="10"/>
  <c r="H71" i="10"/>
  <c r="I70" i="10"/>
  <c r="H35" i="10"/>
  <c r="I34" i="10"/>
  <c r="I3398" i="10"/>
  <c r="H3399" i="10"/>
  <c r="I399" i="10"/>
  <c r="I1085" i="10"/>
  <c r="I245" i="10"/>
  <c r="I931" i="10"/>
  <c r="H3362" i="10"/>
  <c r="I3362" i="10" s="1"/>
  <c r="I60" i="10"/>
  <c r="H3439" i="10"/>
  <c r="I3438" i="10"/>
  <c r="I1238" i="10"/>
  <c r="I892" i="10"/>
  <c r="I850" i="10"/>
  <c r="H3759" i="10" l="1"/>
  <c r="I3758" i="10"/>
  <c r="H3607" i="10"/>
  <c r="I3606" i="10"/>
  <c r="H530" i="10"/>
  <c r="I529" i="10"/>
  <c r="H492" i="10"/>
  <c r="I491" i="10"/>
  <c r="I453" i="10"/>
  <c r="H454" i="10"/>
  <c r="H416" i="10"/>
  <c r="I415" i="10"/>
  <c r="H264" i="10"/>
  <c r="I263" i="10"/>
  <c r="H112" i="10"/>
  <c r="I111" i="10"/>
  <c r="H72" i="10"/>
  <c r="I71" i="10"/>
  <c r="H36" i="10"/>
  <c r="I35" i="10"/>
  <c r="I400" i="10"/>
  <c r="H3400" i="10"/>
  <c r="I3399" i="10"/>
  <c r="I246" i="10"/>
  <c r="I893" i="10"/>
  <c r="I932" i="10"/>
  <c r="I851" i="10"/>
  <c r="H3440" i="10"/>
  <c r="I3439" i="10"/>
  <c r="H3363" i="10"/>
  <c r="I3363" i="10" s="1"/>
  <c r="I1086" i="10"/>
  <c r="H3760" i="10" l="1"/>
  <c r="I3759" i="10"/>
  <c r="H3608" i="10"/>
  <c r="I3607" i="10"/>
  <c r="H531" i="10"/>
  <c r="I530" i="10"/>
  <c r="H493" i="10"/>
  <c r="I492" i="10"/>
  <c r="I454" i="10"/>
  <c r="H455" i="10"/>
  <c r="H417" i="10"/>
  <c r="I416" i="10"/>
  <c r="H265" i="10"/>
  <c r="I264" i="10"/>
  <c r="H113" i="10"/>
  <c r="I112" i="10"/>
  <c r="H73" i="10"/>
  <c r="I72" i="10"/>
  <c r="H37" i="10"/>
  <c r="I36" i="10"/>
  <c r="H3401" i="10"/>
  <c r="I3400" i="10"/>
  <c r="I401" i="10"/>
  <c r="I852" i="10"/>
  <c r="I247" i="10"/>
  <c r="I894" i="10"/>
  <c r="H3364" i="10"/>
  <c r="I3364" i="10" s="1"/>
  <c r="I933" i="10"/>
  <c r="H3441" i="10"/>
  <c r="I3440" i="10"/>
  <c r="H3761" i="10" l="1"/>
  <c r="I3760" i="10"/>
  <c r="H3609" i="10"/>
  <c r="I3608" i="10"/>
  <c r="H532" i="10"/>
  <c r="I532" i="10" s="1"/>
  <c r="I531" i="10"/>
  <c r="H494" i="10"/>
  <c r="I494" i="10" s="1"/>
  <c r="I493" i="10"/>
  <c r="I455" i="10"/>
  <c r="H456" i="10"/>
  <c r="I456" i="10" s="1"/>
  <c r="H418" i="10"/>
  <c r="I418" i="10" s="1"/>
  <c r="I417" i="10"/>
  <c r="H266" i="10"/>
  <c r="I266" i="10" s="1"/>
  <c r="I265" i="10"/>
  <c r="H114" i="10"/>
  <c r="I114" i="10" s="1"/>
  <c r="I113" i="10"/>
  <c r="H74" i="10"/>
  <c r="I73" i="10"/>
  <c r="H38" i="10"/>
  <c r="I38" i="10" s="1"/>
  <c r="I37" i="10"/>
  <c r="I402" i="10"/>
  <c r="H3402" i="10"/>
  <c r="I3401" i="10"/>
  <c r="I3441" i="10"/>
  <c r="H3442" i="10"/>
  <c r="H3443" i="10" s="1"/>
  <c r="H3365" i="10"/>
  <c r="I3365" i="10" s="1"/>
  <c r="I853" i="10"/>
  <c r="I934" i="10"/>
  <c r="I248" i="10"/>
  <c r="I895" i="10"/>
  <c r="H3762" i="10" l="1"/>
  <c r="I3762" i="10" s="1"/>
  <c r="I3761" i="10"/>
  <c r="H3610" i="10"/>
  <c r="I3610" i="10" s="1"/>
  <c r="I3609" i="10"/>
  <c r="H3444" i="10"/>
  <c r="I3443" i="10"/>
  <c r="H75" i="10"/>
  <c r="I74" i="10"/>
  <c r="I3402" i="10"/>
  <c r="H3403" i="10"/>
  <c r="I249" i="10"/>
  <c r="H3366" i="10"/>
  <c r="I854" i="10"/>
  <c r="I3442" i="10"/>
  <c r="I896" i="10"/>
  <c r="H3445" i="10" l="1"/>
  <c r="I3444" i="10"/>
  <c r="I3366" i="10"/>
  <c r="H3367" i="10"/>
  <c r="H76" i="10"/>
  <c r="I76" i="10" s="1"/>
  <c r="I75" i="10"/>
  <c r="H3404" i="10"/>
  <c r="H3405" i="10" s="1"/>
  <c r="I3403" i="10"/>
  <c r="I855" i="10"/>
  <c r="I250" i="10"/>
  <c r="H3446" i="10" l="1"/>
  <c r="I3445" i="10"/>
  <c r="H3406" i="10"/>
  <c r="I3405" i="10"/>
  <c r="H3368" i="10"/>
  <c r="I3367" i="10"/>
  <c r="I3404" i="10"/>
  <c r="I856" i="10"/>
  <c r="H3447" i="10" l="1"/>
  <c r="I3446" i="10"/>
  <c r="H3407" i="10"/>
  <c r="I3406" i="10"/>
  <c r="H3369" i="10"/>
  <c r="I3368" i="10"/>
  <c r="I857" i="10"/>
  <c r="H3448" i="10" l="1"/>
  <c r="I3447" i="10"/>
  <c r="H3408" i="10"/>
  <c r="I3407" i="10"/>
  <c r="H3370" i="10"/>
  <c r="I3369" i="10"/>
  <c r="I858" i="10"/>
  <c r="H3449" i="10" l="1"/>
  <c r="I3448" i="10"/>
  <c r="H3409" i="10"/>
  <c r="I3408" i="10"/>
  <c r="H3371" i="10"/>
  <c r="I3370" i="10"/>
  <c r="KS32" i="2"/>
  <c r="KS29" i="2"/>
  <c r="KS26" i="2"/>
  <c r="KS23" i="2"/>
  <c r="KS17" i="2"/>
  <c r="KS14" i="2"/>
  <c r="KS11" i="2"/>
  <c r="KS8" i="2"/>
  <c r="ME32" i="2"/>
  <c r="ME29" i="2"/>
  <c r="ME23" i="2"/>
  <c r="ME17" i="2"/>
  <c r="ME14" i="2"/>
  <c r="ME11" i="2"/>
  <c r="ME8" i="2"/>
  <c r="NQ32" i="2"/>
  <c r="NQ29" i="2"/>
  <c r="NQ26" i="2"/>
  <c r="NQ23" i="2"/>
  <c r="NQ17" i="2"/>
  <c r="NQ14" i="2"/>
  <c r="NQ11" i="2"/>
  <c r="NQ8" i="2"/>
  <c r="NQ5" i="2"/>
  <c r="EW32" i="2"/>
  <c r="EW29" i="2"/>
  <c r="EW26" i="2"/>
  <c r="EW23" i="2"/>
  <c r="EW17" i="2"/>
  <c r="EW14" i="2"/>
  <c r="EW11" i="2"/>
  <c r="EW8" i="2"/>
  <c r="EW5" i="2"/>
  <c r="GI32" i="2"/>
  <c r="GI29" i="2"/>
  <c r="GI26" i="2"/>
  <c r="GI23" i="2"/>
  <c r="GI17" i="2"/>
  <c r="GI14" i="2"/>
  <c r="GI11" i="2"/>
  <c r="GI8" i="2"/>
  <c r="GI5" i="2"/>
  <c r="HU32" i="2"/>
  <c r="HU29" i="2"/>
  <c r="HU26" i="2"/>
  <c r="HU23" i="2"/>
  <c r="HU17" i="2"/>
  <c r="HU14" i="2"/>
  <c r="HU11" i="2"/>
  <c r="HU8" i="2"/>
  <c r="HU5" i="2"/>
  <c r="E4050" i="1"/>
  <c r="F4050" i="1" s="1"/>
  <c r="E4049" i="1"/>
  <c r="F4049" i="1" s="1"/>
  <c r="E4048" i="1"/>
  <c r="F4048" i="1" s="1"/>
  <c r="E4047" i="1"/>
  <c r="F4047" i="1" s="1"/>
  <c r="E4046" i="1"/>
  <c r="F4046" i="1" s="1"/>
  <c r="E4045" i="1"/>
  <c r="F4045" i="1" s="1"/>
  <c r="E4044" i="1"/>
  <c r="F4044" i="1" s="1"/>
  <c r="E4043" i="1"/>
  <c r="F4043" i="1" s="1"/>
  <c r="E4042" i="1"/>
  <c r="F4042" i="1" s="1"/>
  <c r="E4041" i="1"/>
  <c r="F4041" i="1" s="1"/>
  <c r="E4040" i="1"/>
  <c r="F4040" i="1" s="1"/>
  <c r="E4039" i="1"/>
  <c r="F4039" i="1" s="1"/>
  <c r="E4038" i="1"/>
  <c r="F4038" i="1" s="1"/>
  <c r="E4037" i="1"/>
  <c r="F4037" i="1" s="1"/>
  <c r="E4036" i="1"/>
  <c r="F4036" i="1" s="1"/>
  <c r="E4035" i="1"/>
  <c r="F4035" i="1" s="1"/>
  <c r="E4034" i="1"/>
  <c r="F4034" i="1" s="1"/>
  <c r="E4033" i="1"/>
  <c r="F4033" i="1" s="1"/>
  <c r="E4032" i="1"/>
  <c r="F4032" i="1" s="1"/>
  <c r="E4031" i="1"/>
  <c r="F4031" i="1" s="1"/>
  <c r="B4031" i="1"/>
  <c r="B4032" i="1" s="1"/>
  <c r="B4033" i="1" s="1"/>
  <c r="B4034" i="1" s="1"/>
  <c r="B4035" i="1" s="1"/>
  <c r="B4036" i="1" s="1"/>
  <c r="B4037" i="1" s="1"/>
  <c r="B4038" i="1" s="1"/>
  <c r="B4039" i="1" s="1"/>
  <c r="B4040" i="1" s="1"/>
  <c r="B4041" i="1" s="1"/>
  <c r="B4042" i="1" s="1"/>
  <c r="B4043" i="1" s="1"/>
  <c r="B4044" i="1" s="1"/>
  <c r="B4045" i="1" s="1"/>
  <c r="B4046" i="1" s="1"/>
  <c r="B4047" i="1" s="1"/>
  <c r="B4048" i="1" s="1"/>
  <c r="B4049" i="1" s="1"/>
  <c r="B4050" i="1" s="1"/>
  <c r="B4051" i="1" s="1"/>
  <c r="B4052" i="1" s="1"/>
  <c r="B4053" i="1" s="1"/>
  <c r="B4054" i="1" s="1"/>
  <c r="B4055" i="1" s="1"/>
  <c r="B4056" i="1" s="1"/>
  <c r="B4057" i="1" s="1"/>
  <c r="B4058" i="1" s="1"/>
  <c r="B4059" i="1" s="1"/>
  <c r="B4060" i="1" s="1"/>
  <c r="B4061" i="1" s="1"/>
  <c r="B4062" i="1" s="1"/>
  <c r="B4063" i="1" s="1"/>
  <c r="B4064" i="1" s="1"/>
  <c r="B4065" i="1" s="1"/>
  <c r="B4066" i="1" s="1"/>
  <c r="E4030" i="1"/>
  <c r="F4030" i="1" s="1"/>
  <c r="E4088" i="1"/>
  <c r="F4088" i="1" s="1"/>
  <c r="E4087" i="1"/>
  <c r="F4087" i="1" s="1"/>
  <c r="E4086" i="1"/>
  <c r="F4086" i="1" s="1"/>
  <c r="E4085" i="1"/>
  <c r="F4085" i="1" s="1"/>
  <c r="E4084" i="1"/>
  <c r="F4084" i="1" s="1"/>
  <c r="E4083" i="1"/>
  <c r="F4083" i="1" s="1"/>
  <c r="E4082" i="1"/>
  <c r="F4082" i="1" s="1"/>
  <c r="E4081" i="1"/>
  <c r="F4081" i="1" s="1"/>
  <c r="E4080" i="1"/>
  <c r="F4080" i="1" s="1"/>
  <c r="E4079" i="1"/>
  <c r="F4079" i="1" s="1"/>
  <c r="E4078" i="1"/>
  <c r="F4078" i="1" s="1"/>
  <c r="E4077" i="1"/>
  <c r="F4077" i="1" s="1"/>
  <c r="E4076" i="1"/>
  <c r="F4076" i="1" s="1"/>
  <c r="E4075" i="1"/>
  <c r="F4075" i="1" s="1"/>
  <c r="E4074" i="1"/>
  <c r="F4074" i="1" s="1"/>
  <c r="E4073" i="1"/>
  <c r="F4073" i="1" s="1"/>
  <c r="E4072" i="1"/>
  <c r="F4072" i="1" s="1"/>
  <c r="E4071" i="1"/>
  <c r="F4071" i="1" s="1"/>
  <c r="E4070" i="1"/>
  <c r="F4070" i="1" s="1"/>
  <c r="E4069" i="1"/>
  <c r="F4069" i="1" s="1"/>
  <c r="B4069" i="1"/>
  <c r="B4070" i="1" s="1"/>
  <c r="B4071" i="1" s="1"/>
  <c r="B4072" i="1" s="1"/>
  <c r="B4073" i="1" s="1"/>
  <c r="B4074" i="1" s="1"/>
  <c r="B4075" i="1" s="1"/>
  <c r="B4076" i="1" s="1"/>
  <c r="B4077" i="1" s="1"/>
  <c r="B4078" i="1" s="1"/>
  <c r="B4079" i="1" s="1"/>
  <c r="B4080" i="1" s="1"/>
  <c r="B4081" i="1" s="1"/>
  <c r="B4082" i="1" s="1"/>
  <c r="B4083" i="1" s="1"/>
  <c r="B4084" i="1" s="1"/>
  <c r="B4085" i="1" s="1"/>
  <c r="B4086" i="1" s="1"/>
  <c r="B4087" i="1" s="1"/>
  <c r="B4088" i="1" s="1"/>
  <c r="B4089" i="1" s="1"/>
  <c r="B4090" i="1" s="1"/>
  <c r="B4091" i="1" s="1"/>
  <c r="B4092" i="1" s="1"/>
  <c r="B4093" i="1" s="1"/>
  <c r="B4094" i="1" s="1"/>
  <c r="B4095" i="1" s="1"/>
  <c r="B4096" i="1" s="1"/>
  <c r="B4097" i="1" s="1"/>
  <c r="B4098" i="1" s="1"/>
  <c r="B4099" i="1" s="1"/>
  <c r="B4100" i="1" s="1"/>
  <c r="B4101" i="1" s="1"/>
  <c r="B4102" i="1" s="1"/>
  <c r="B4103" i="1" s="1"/>
  <c r="B4104" i="1" s="1"/>
  <c r="E4068" i="1"/>
  <c r="F4068" i="1" s="1"/>
  <c r="E4126" i="1"/>
  <c r="F4126" i="1" s="1"/>
  <c r="E4125" i="1"/>
  <c r="F4125" i="1" s="1"/>
  <c r="E4124" i="1"/>
  <c r="F4124" i="1" s="1"/>
  <c r="E4123" i="1"/>
  <c r="F4123" i="1" s="1"/>
  <c r="E4122" i="1"/>
  <c r="F4122" i="1" s="1"/>
  <c r="E4121" i="1"/>
  <c r="F4121" i="1" s="1"/>
  <c r="E4120" i="1"/>
  <c r="F4120" i="1" s="1"/>
  <c r="E4119" i="1"/>
  <c r="F4119" i="1" s="1"/>
  <c r="E4118" i="1"/>
  <c r="F4118" i="1" s="1"/>
  <c r="E4117" i="1"/>
  <c r="F4117" i="1" s="1"/>
  <c r="E4116" i="1"/>
  <c r="F4116" i="1" s="1"/>
  <c r="E4115" i="1"/>
  <c r="F4115" i="1" s="1"/>
  <c r="E4114" i="1"/>
  <c r="F4114" i="1" s="1"/>
  <c r="E4113" i="1"/>
  <c r="F4113" i="1" s="1"/>
  <c r="E4112" i="1"/>
  <c r="F4112" i="1" s="1"/>
  <c r="E4111" i="1"/>
  <c r="F4111" i="1" s="1"/>
  <c r="E4110" i="1"/>
  <c r="F4110" i="1" s="1"/>
  <c r="E4109" i="1"/>
  <c r="F4109" i="1" s="1"/>
  <c r="E4108" i="1"/>
  <c r="F4108" i="1" s="1"/>
  <c r="E4107" i="1"/>
  <c r="F4107" i="1" s="1"/>
  <c r="B4107" i="1"/>
  <c r="B4108" i="1" s="1"/>
  <c r="B4109" i="1" s="1"/>
  <c r="B4110" i="1" s="1"/>
  <c r="B4111" i="1" s="1"/>
  <c r="B4112" i="1" s="1"/>
  <c r="B4113" i="1" s="1"/>
  <c r="B4114" i="1" s="1"/>
  <c r="B4115" i="1" s="1"/>
  <c r="B4116" i="1" s="1"/>
  <c r="B4117" i="1" s="1"/>
  <c r="B4118" i="1" s="1"/>
  <c r="B4119" i="1" s="1"/>
  <c r="B4120" i="1" s="1"/>
  <c r="B4121" i="1" s="1"/>
  <c r="B4122" i="1" s="1"/>
  <c r="B4123" i="1" s="1"/>
  <c r="B4124" i="1" s="1"/>
  <c r="B4125" i="1" s="1"/>
  <c r="B4126" i="1" s="1"/>
  <c r="B4127" i="1" s="1"/>
  <c r="B4128" i="1" s="1"/>
  <c r="B4129" i="1" s="1"/>
  <c r="B4130" i="1" s="1"/>
  <c r="B4131" i="1" s="1"/>
  <c r="B4132" i="1" s="1"/>
  <c r="B4133" i="1" s="1"/>
  <c r="B4134" i="1" s="1"/>
  <c r="B4135" i="1" s="1"/>
  <c r="B4136" i="1" s="1"/>
  <c r="B4137" i="1" s="1"/>
  <c r="B4138" i="1" s="1"/>
  <c r="B4139" i="1" s="1"/>
  <c r="B4140" i="1" s="1"/>
  <c r="B4141" i="1" s="1"/>
  <c r="B4142" i="1" s="1"/>
  <c r="E4106" i="1"/>
  <c r="F4106" i="1" s="1"/>
  <c r="E3898" i="1"/>
  <c r="F3898" i="1" s="1"/>
  <c r="E3897" i="1"/>
  <c r="F3897" i="1" s="1"/>
  <c r="E3896" i="1"/>
  <c r="F3896" i="1" s="1"/>
  <c r="E3895" i="1"/>
  <c r="F3895" i="1" s="1"/>
  <c r="E3894" i="1"/>
  <c r="F3894" i="1" s="1"/>
  <c r="E3893" i="1"/>
  <c r="F3893" i="1" s="1"/>
  <c r="E3892" i="1"/>
  <c r="F3892" i="1" s="1"/>
  <c r="E3891" i="1"/>
  <c r="F3891" i="1" s="1"/>
  <c r="E3890" i="1"/>
  <c r="F3890" i="1" s="1"/>
  <c r="E3889" i="1"/>
  <c r="F3889" i="1" s="1"/>
  <c r="E3888" i="1"/>
  <c r="F3888" i="1" s="1"/>
  <c r="E3887" i="1"/>
  <c r="F3887" i="1" s="1"/>
  <c r="E3886" i="1"/>
  <c r="F3886" i="1" s="1"/>
  <c r="E3885" i="1"/>
  <c r="F3885" i="1" s="1"/>
  <c r="E3884" i="1"/>
  <c r="F3884" i="1" s="1"/>
  <c r="E3883" i="1"/>
  <c r="F3883" i="1" s="1"/>
  <c r="E3882" i="1"/>
  <c r="F3882" i="1" s="1"/>
  <c r="E3881" i="1"/>
  <c r="F3881" i="1" s="1"/>
  <c r="E3880" i="1"/>
  <c r="F3880" i="1" s="1"/>
  <c r="E3879" i="1"/>
  <c r="F3879" i="1" s="1"/>
  <c r="B3879" i="1"/>
  <c r="B3880" i="1" s="1"/>
  <c r="B3881" i="1" s="1"/>
  <c r="B3882" i="1" s="1"/>
  <c r="B3883" i="1" s="1"/>
  <c r="B3884" i="1" s="1"/>
  <c r="B3885" i="1" s="1"/>
  <c r="B3886" i="1" s="1"/>
  <c r="B3887" i="1" s="1"/>
  <c r="B3888" i="1" s="1"/>
  <c r="B3889" i="1" s="1"/>
  <c r="B3890" i="1" s="1"/>
  <c r="B3891" i="1" s="1"/>
  <c r="B3892" i="1" s="1"/>
  <c r="B3893" i="1" s="1"/>
  <c r="B3894" i="1" s="1"/>
  <c r="B3895" i="1" s="1"/>
  <c r="B3896" i="1" s="1"/>
  <c r="B3897" i="1" s="1"/>
  <c r="B3898" i="1" s="1"/>
  <c r="B3899" i="1" s="1"/>
  <c r="B3900" i="1" s="1"/>
  <c r="B3901" i="1" s="1"/>
  <c r="B3902" i="1" s="1"/>
  <c r="B3903" i="1" s="1"/>
  <c r="B3904" i="1" s="1"/>
  <c r="B3905" i="1" s="1"/>
  <c r="B3906" i="1" s="1"/>
  <c r="B3907" i="1" s="1"/>
  <c r="B3908" i="1" s="1"/>
  <c r="B3909" i="1" s="1"/>
  <c r="B3910" i="1" s="1"/>
  <c r="B3911" i="1" s="1"/>
  <c r="B3912" i="1" s="1"/>
  <c r="B3913" i="1" s="1"/>
  <c r="B3914" i="1" s="1"/>
  <c r="E3878" i="1"/>
  <c r="F3878" i="1" s="1"/>
  <c r="E3936" i="1"/>
  <c r="F3936" i="1" s="1"/>
  <c r="E3935" i="1"/>
  <c r="F3935" i="1" s="1"/>
  <c r="E3934" i="1"/>
  <c r="F3934" i="1" s="1"/>
  <c r="E3933" i="1"/>
  <c r="F3933" i="1" s="1"/>
  <c r="E3932" i="1"/>
  <c r="F3932" i="1" s="1"/>
  <c r="E3931" i="1"/>
  <c r="F3931" i="1" s="1"/>
  <c r="E3930" i="1"/>
  <c r="F3930" i="1" s="1"/>
  <c r="E3929" i="1"/>
  <c r="F3929" i="1" s="1"/>
  <c r="E3928" i="1"/>
  <c r="F3928" i="1" s="1"/>
  <c r="E3927" i="1"/>
  <c r="F3927" i="1" s="1"/>
  <c r="E3926" i="1"/>
  <c r="F3926" i="1" s="1"/>
  <c r="E3925" i="1"/>
  <c r="F3925" i="1" s="1"/>
  <c r="E3924" i="1"/>
  <c r="F3924" i="1" s="1"/>
  <c r="E3923" i="1"/>
  <c r="F3923" i="1" s="1"/>
  <c r="E3922" i="1"/>
  <c r="F3922" i="1" s="1"/>
  <c r="E3921" i="1"/>
  <c r="F3921" i="1" s="1"/>
  <c r="E3920" i="1"/>
  <c r="F3920" i="1" s="1"/>
  <c r="E3919" i="1"/>
  <c r="F3919" i="1" s="1"/>
  <c r="E3918" i="1"/>
  <c r="F3918" i="1" s="1"/>
  <c r="E3917" i="1"/>
  <c r="F3917" i="1" s="1"/>
  <c r="B3917" i="1"/>
  <c r="B3918" i="1" s="1"/>
  <c r="B3919" i="1" s="1"/>
  <c r="B3920" i="1" s="1"/>
  <c r="B3921" i="1" s="1"/>
  <c r="B3922" i="1" s="1"/>
  <c r="B3923" i="1" s="1"/>
  <c r="B3924" i="1" s="1"/>
  <c r="B3925" i="1" s="1"/>
  <c r="B3926" i="1" s="1"/>
  <c r="B3927" i="1" s="1"/>
  <c r="B3928" i="1" s="1"/>
  <c r="B3929" i="1" s="1"/>
  <c r="B3930" i="1" s="1"/>
  <c r="B3931" i="1" s="1"/>
  <c r="B3932" i="1" s="1"/>
  <c r="B3933" i="1" s="1"/>
  <c r="B3934" i="1" s="1"/>
  <c r="B3935" i="1" s="1"/>
  <c r="B3936" i="1" s="1"/>
  <c r="B3937" i="1" s="1"/>
  <c r="B3938" i="1" s="1"/>
  <c r="B3939" i="1" s="1"/>
  <c r="B3940" i="1" s="1"/>
  <c r="B3941" i="1" s="1"/>
  <c r="B3942" i="1" s="1"/>
  <c r="B3943" i="1" s="1"/>
  <c r="B3944" i="1" s="1"/>
  <c r="B3945" i="1" s="1"/>
  <c r="B3946" i="1" s="1"/>
  <c r="B3947" i="1" s="1"/>
  <c r="B3948" i="1" s="1"/>
  <c r="B3949" i="1" s="1"/>
  <c r="B3950" i="1" s="1"/>
  <c r="B3951" i="1" s="1"/>
  <c r="B3952" i="1" s="1"/>
  <c r="E3916" i="1"/>
  <c r="F3916" i="1" s="1"/>
  <c r="E3974" i="1"/>
  <c r="F3974" i="1" s="1"/>
  <c r="E3973" i="1"/>
  <c r="F3973" i="1" s="1"/>
  <c r="E3972" i="1"/>
  <c r="F3972" i="1" s="1"/>
  <c r="E3971" i="1"/>
  <c r="F3971" i="1" s="1"/>
  <c r="E3970" i="1"/>
  <c r="F3970" i="1" s="1"/>
  <c r="E3969" i="1"/>
  <c r="F3969" i="1" s="1"/>
  <c r="E3968" i="1"/>
  <c r="F3968" i="1" s="1"/>
  <c r="E3967" i="1"/>
  <c r="F3967" i="1" s="1"/>
  <c r="E3966" i="1"/>
  <c r="F3966" i="1" s="1"/>
  <c r="E3965" i="1"/>
  <c r="F3965" i="1" s="1"/>
  <c r="E3964" i="1"/>
  <c r="F3964" i="1" s="1"/>
  <c r="E3963" i="1"/>
  <c r="F3963" i="1" s="1"/>
  <c r="E3962" i="1"/>
  <c r="F3962" i="1" s="1"/>
  <c r="E3961" i="1"/>
  <c r="F3961" i="1" s="1"/>
  <c r="E3960" i="1"/>
  <c r="F3960" i="1" s="1"/>
  <c r="E3959" i="1"/>
  <c r="F3959" i="1" s="1"/>
  <c r="E3958" i="1"/>
  <c r="F3958" i="1" s="1"/>
  <c r="E3957" i="1"/>
  <c r="F3957" i="1" s="1"/>
  <c r="E3956" i="1"/>
  <c r="F3956" i="1" s="1"/>
  <c r="E3955" i="1"/>
  <c r="F3955" i="1" s="1"/>
  <c r="B3955" i="1"/>
  <c r="B3956" i="1" s="1"/>
  <c r="B3957" i="1" s="1"/>
  <c r="B3958" i="1" s="1"/>
  <c r="B3959" i="1" s="1"/>
  <c r="B3960" i="1" s="1"/>
  <c r="B3961" i="1" s="1"/>
  <c r="B3962" i="1" s="1"/>
  <c r="B3963" i="1" s="1"/>
  <c r="B3964" i="1" s="1"/>
  <c r="B3965" i="1" s="1"/>
  <c r="B3966" i="1" s="1"/>
  <c r="B3967" i="1" s="1"/>
  <c r="B3968" i="1" s="1"/>
  <c r="B3969" i="1" s="1"/>
  <c r="B3970" i="1" s="1"/>
  <c r="B3971" i="1" s="1"/>
  <c r="B3972" i="1" s="1"/>
  <c r="B3973" i="1" s="1"/>
  <c r="B3974" i="1" s="1"/>
  <c r="B3975" i="1" s="1"/>
  <c r="B3976" i="1" s="1"/>
  <c r="B3977" i="1" s="1"/>
  <c r="B3978" i="1" s="1"/>
  <c r="B3979" i="1" s="1"/>
  <c r="B3980" i="1" s="1"/>
  <c r="B3981" i="1" s="1"/>
  <c r="B3982" i="1" s="1"/>
  <c r="B3983" i="1" s="1"/>
  <c r="B3984" i="1" s="1"/>
  <c r="B3985" i="1" s="1"/>
  <c r="B3986" i="1" s="1"/>
  <c r="B3987" i="1" s="1"/>
  <c r="B3988" i="1" s="1"/>
  <c r="B3989" i="1" s="1"/>
  <c r="B3990" i="1" s="1"/>
  <c r="E3954" i="1"/>
  <c r="F3954" i="1" s="1"/>
  <c r="E3632" i="1"/>
  <c r="F3632" i="1" s="1"/>
  <c r="E3631" i="1"/>
  <c r="F3631" i="1" s="1"/>
  <c r="E3630" i="1"/>
  <c r="F3630" i="1" s="1"/>
  <c r="E3629" i="1"/>
  <c r="F3629" i="1" s="1"/>
  <c r="E3628" i="1"/>
  <c r="F3628" i="1" s="1"/>
  <c r="E3627" i="1"/>
  <c r="F3627" i="1" s="1"/>
  <c r="E3626" i="1"/>
  <c r="F3626" i="1" s="1"/>
  <c r="E3625" i="1"/>
  <c r="F3625" i="1" s="1"/>
  <c r="E3624" i="1"/>
  <c r="F3624" i="1" s="1"/>
  <c r="E3623" i="1"/>
  <c r="F3623" i="1" s="1"/>
  <c r="E3622" i="1"/>
  <c r="F3622" i="1" s="1"/>
  <c r="E3621" i="1"/>
  <c r="F3621" i="1" s="1"/>
  <c r="E3620" i="1"/>
  <c r="F3620" i="1" s="1"/>
  <c r="E3619" i="1"/>
  <c r="F3619" i="1" s="1"/>
  <c r="E3618" i="1"/>
  <c r="F3618" i="1" s="1"/>
  <c r="E3617" i="1"/>
  <c r="F3617" i="1" s="1"/>
  <c r="E3616" i="1"/>
  <c r="F3616" i="1" s="1"/>
  <c r="E3615" i="1"/>
  <c r="F3615" i="1" s="1"/>
  <c r="E3614" i="1"/>
  <c r="F3614" i="1" s="1"/>
  <c r="E3613" i="1"/>
  <c r="F3613" i="1" s="1"/>
  <c r="B3613" i="1"/>
  <c r="B3614" i="1" s="1"/>
  <c r="B3615" i="1" s="1"/>
  <c r="B3616" i="1" s="1"/>
  <c r="B3617" i="1" s="1"/>
  <c r="B3618" i="1" s="1"/>
  <c r="B3619" i="1" s="1"/>
  <c r="B3620" i="1" s="1"/>
  <c r="B3621" i="1" s="1"/>
  <c r="B3622" i="1" s="1"/>
  <c r="B3623" i="1" s="1"/>
  <c r="B3624" i="1" s="1"/>
  <c r="B3625" i="1" s="1"/>
  <c r="B3626" i="1" s="1"/>
  <c r="B3627" i="1" s="1"/>
  <c r="B3628" i="1" s="1"/>
  <c r="B3629" i="1" s="1"/>
  <c r="B3630" i="1" s="1"/>
  <c r="B3631" i="1" s="1"/>
  <c r="B3632" i="1" s="1"/>
  <c r="B3633" i="1" s="1"/>
  <c r="B3634" i="1" s="1"/>
  <c r="B3635" i="1" s="1"/>
  <c r="B3636" i="1" s="1"/>
  <c r="B3637" i="1" s="1"/>
  <c r="B3638" i="1" s="1"/>
  <c r="B3639" i="1" s="1"/>
  <c r="B3640" i="1" s="1"/>
  <c r="B3641" i="1" s="1"/>
  <c r="B3642" i="1" s="1"/>
  <c r="B3643" i="1" s="1"/>
  <c r="B3644" i="1" s="1"/>
  <c r="B3645" i="1" s="1"/>
  <c r="B3646" i="1" s="1"/>
  <c r="B3647" i="1" s="1"/>
  <c r="B3648" i="1" s="1"/>
  <c r="E3612" i="1"/>
  <c r="F3612" i="1" s="1"/>
  <c r="E3670" i="1"/>
  <c r="F3670" i="1" s="1"/>
  <c r="E3669" i="1"/>
  <c r="F3669" i="1" s="1"/>
  <c r="E3668" i="1"/>
  <c r="F3668" i="1" s="1"/>
  <c r="E3667" i="1"/>
  <c r="F3667" i="1" s="1"/>
  <c r="E3666" i="1"/>
  <c r="F3666" i="1" s="1"/>
  <c r="E3665" i="1"/>
  <c r="F3665" i="1" s="1"/>
  <c r="E3664" i="1"/>
  <c r="F3664" i="1" s="1"/>
  <c r="E3663" i="1"/>
  <c r="F3663" i="1" s="1"/>
  <c r="E3662" i="1"/>
  <c r="F3662" i="1" s="1"/>
  <c r="E3661" i="1"/>
  <c r="F3661" i="1" s="1"/>
  <c r="E3660" i="1"/>
  <c r="F3660" i="1" s="1"/>
  <c r="E3659" i="1"/>
  <c r="F3659" i="1" s="1"/>
  <c r="E3658" i="1"/>
  <c r="F3658" i="1" s="1"/>
  <c r="E3657" i="1"/>
  <c r="F3657" i="1" s="1"/>
  <c r="E3656" i="1"/>
  <c r="F3656" i="1" s="1"/>
  <c r="E3655" i="1"/>
  <c r="F3655" i="1" s="1"/>
  <c r="E3654" i="1"/>
  <c r="F3654" i="1" s="1"/>
  <c r="E3653" i="1"/>
  <c r="F3653" i="1" s="1"/>
  <c r="E3652" i="1"/>
  <c r="F3652" i="1" s="1"/>
  <c r="E3651" i="1"/>
  <c r="F3651" i="1" s="1"/>
  <c r="B3651" i="1"/>
  <c r="B3652" i="1" s="1"/>
  <c r="B3653" i="1" s="1"/>
  <c r="B3654" i="1" s="1"/>
  <c r="B3655" i="1" s="1"/>
  <c r="B3656" i="1" s="1"/>
  <c r="B3657" i="1" s="1"/>
  <c r="B3658" i="1" s="1"/>
  <c r="B3659" i="1" s="1"/>
  <c r="B3660" i="1" s="1"/>
  <c r="B3661" i="1" s="1"/>
  <c r="B3662" i="1" s="1"/>
  <c r="B3663" i="1" s="1"/>
  <c r="B3664" i="1" s="1"/>
  <c r="B3665" i="1" s="1"/>
  <c r="B3666" i="1" s="1"/>
  <c r="B3667" i="1" s="1"/>
  <c r="B3668" i="1" s="1"/>
  <c r="B3669" i="1" s="1"/>
  <c r="B3670" i="1" s="1"/>
  <c r="B3671" i="1" s="1"/>
  <c r="B3672" i="1" s="1"/>
  <c r="B3673" i="1" s="1"/>
  <c r="B3674" i="1" s="1"/>
  <c r="B3675" i="1" s="1"/>
  <c r="B3676" i="1" s="1"/>
  <c r="B3677" i="1" s="1"/>
  <c r="B3678" i="1" s="1"/>
  <c r="B3679" i="1" s="1"/>
  <c r="B3680" i="1" s="1"/>
  <c r="B3681" i="1" s="1"/>
  <c r="B3682" i="1" s="1"/>
  <c r="B3683" i="1" s="1"/>
  <c r="B3684" i="1" s="1"/>
  <c r="B3685" i="1" s="1"/>
  <c r="B3686" i="1" s="1"/>
  <c r="E3650" i="1"/>
  <c r="F3650" i="1" s="1"/>
  <c r="E3708" i="1"/>
  <c r="F3708" i="1" s="1"/>
  <c r="E3707" i="1"/>
  <c r="F3707" i="1" s="1"/>
  <c r="E3706" i="1"/>
  <c r="F3706" i="1" s="1"/>
  <c r="E3705" i="1"/>
  <c r="F3705" i="1" s="1"/>
  <c r="E3704" i="1"/>
  <c r="F3704" i="1" s="1"/>
  <c r="E3703" i="1"/>
  <c r="F3703" i="1" s="1"/>
  <c r="E3702" i="1"/>
  <c r="F3702" i="1" s="1"/>
  <c r="E3701" i="1"/>
  <c r="F3701" i="1" s="1"/>
  <c r="E3700" i="1"/>
  <c r="F3700" i="1" s="1"/>
  <c r="E3699" i="1"/>
  <c r="F3699" i="1" s="1"/>
  <c r="E3698" i="1"/>
  <c r="F3698" i="1" s="1"/>
  <c r="E3697" i="1"/>
  <c r="F3697" i="1" s="1"/>
  <c r="E3696" i="1"/>
  <c r="F3696" i="1" s="1"/>
  <c r="E3695" i="1"/>
  <c r="F3695" i="1" s="1"/>
  <c r="E3694" i="1"/>
  <c r="F3694" i="1" s="1"/>
  <c r="E3693" i="1"/>
  <c r="F3693" i="1" s="1"/>
  <c r="E3692" i="1"/>
  <c r="F3692" i="1" s="1"/>
  <c r="E3691" i="1"/>
  <c r="F3691" i="1" s="1"/>
  <c r="E3690" i="1"/>
  <c r="F3690" i="1" s="1"/>
  <c r="E3689" i="1"/>
  <c r="F3689" i="1" s="1"/>
  <c r="B3689" i="1"/>
  <c r="B3690" i="1" s="1"/>
  <c r="B3691" i="1" s="1"/>
  <c r="B3692" i="1" s="1"/>
  <c r="B3693" i="1" s="1"/>
  <c r="B3694" i="1" s="1"/>
  <c r="B3695" i="1" s="1"/>
  <c r="B3696" i="1" s="1"/>
  <c r="B3697" i="1" s="1"/>
  <c r="B3698" i="1" s="1"/>
  <c r="B3699" i="1" s="1"/>
  <c r="B3700" i="1" s="1"/>
  <c r="B3701" i="1" s="1"/>
  <c r="B3702" i="1" s="1"/>
  <c r="B3703" i="1" s="1"/>
  <c r="B3704" i="1" s="1"/>
  <c r="B3705" i="1" s="1"/>
  <c r="B3706" i="1" s="1"/>
  <c r="B3707" i="1" s="1"/>
  <c r="B3708" i="1" s="1"/>
  <c r="B3709" i="1" s="1"/>
  <c r="B3710" i="1" s="1"/>
  <c r="B3711" i="1" s="1"/>
  <c r="B3712" i="1" s="1"/>
  <c r="B3713" i="1" s="1"/>
  <c r="B3714" i="1" s="1"/>
  <c r="B3715" i="1" s="1"/>
  <c r="B3716" i="1" s="1"/>
  <c r="B3717" i="1" s="1"/>
  <c r="B3718" i="1" s="1"/>
  <c r="B3719" i="1" s="1"/>
  <c r="B3720" i="1" s="1"/>
  <c r="B3721" i="1" s="1"/>
  <c r="B3722" i="1" s="1"/>
  <c r="B3723" i="1" s="1"/>
  <c r="B3724" i="1" s="1"/>
  <c r="E3688" i="1"/>
  <c r="F3688" i="1" s="1"/>
  <c r="E3480" i="1"/>
  <c r="F3480" i="1" s="1"/>
  <c r="E3479" i="1"/>
  <c r="F3479" i="1" s="1"/>
  <c r="E3478" i="1"/>
  <c r="F3478" i="1" s="1"/>
  <c r="E3477" i="1"/>
  <c r="F3477" i="1" s="1"/>
  <c r="E3476" i="1"/>
  <c r="F3476" i="1" s="1"/>
  <c r="E3475" i="1"/>
  <c r="F3475" i="1" s="1"/>
  <c r="E3474" i="1"/>
  <c r="F3474" i="1" s="1"/>
  <c r="E3473" i="1"/>
  <c r="F3473" i="1" s="1"/>
  <c r="E3472" i="1"/>
  <c r="F3472" i="1" s="1"/>
  <c r="E3471" i="1"/>
  <c r="F3471" i="1" s="1"/>
  <c r="E3470" i="1"/>
  <c r="F3470" i="1" s="1"/>
  <c r="E3469" i="1"/>
  <c r="F3469" i="1" s="1"/>
  <c r="E3468" i="1"/>
  <c r="F3468" i="1" s="1"/>
  <c r="E3467" i="1"/>
  <c r="F3467" i="1" s="1"/>
  <c r="E3466" i="1"/>
  <c r="F3466" i="1" s="1"/>
  <c r="E3465" i="1"/>
  <c r="F3465" i="1" s="1"/>
  <c r="E3464" i="1"/>
  <c r="F3464" i="1" s="1"/>
  <c r="E3463" i="1"/>
  <c r="F3463" i="1" s="1"/>
  <c r="E3462" i="1"/>
  <c r="F3462" i="1" s="1"/>
  <c r="E3461" i="1"/>
  <c r="F3461" i="1" s="1"/>
  <c r="B3461" i="1"/>
  <c r="B3462" i="1" s="1"/>
  <c r="B3463" i="1" s="1"/>
  <c r="B3464" i="1" s="1"/>
  <c r="B3465" i="1" s="1"/>
  <c r="B3466" i="1" s="1"/>
  <c r="B3467" i="1" s="1"/>
  <c r="B3468" i="1" s="1"/>
  <c r="B3469" i="1" s="1"/>
  <c r="B3470" i="1" s="1"/>
  <c r="B3471" i="1" s="1"/>
  <c r="B3472" i="1" s="1"/>
  <c r="B3473" i="1" s="1"/>
  <c r="B3474" i="1" s="1"/>
  <c r="B3475" i="1" s="1"/>
  <c r="B3476" i="1" s="1"/>
  <c r="B3477" i="1" s="1"/>
  <c r="B3478" i="1" s="1"/>
  <c r="B3479" i="1" s="1"/>
  <c r="B3480" i="1" s="1"/>
  <c r="B3481" i="1" s="1"/>
  <c r="B3482" i="1" s="1"/>
  <c r="B3483" i="1" s="1"/>
  <c r="B3484" i="1" s="1"/>
  <c r="B3485" i="1" s="1"/>
  <c r="B3486" i="1" s="1"/>
  <c r="B3487" i="1" s="1"/>
  <c r="B3488" i="1" s="1"/>
  <c r="B3489" i="1" s="1"/>
  <c r="B3490" i="1" s="1"/>
  <c r="B3491" i="1" s="1"/>
  <c r="B3492" i="1" s="1"/>
  <c r="B3493" i="1" s="1"/>
  <c r="B3494" i="1" s="1"/>
  <c r="B3495" i="1" s="1"/>
  <c r="B3496" i="1" s="1"/>
  <c r="E3460" i="1"/>
  <c r="F3460" i="1" s="1"/>
  <c r="E3518" i="1"/>
  <c r="F3518" i="1" s="1"/>
  <c r="E3517" i="1"/>
  <c r="F3517" i="1" s="1"/>
  <c r="E3516" i="1"/>
  <c r="F3516" i="1" s="1"/>
  <c r="E3515" i="1"/>
  <c r="F3515" i="1" s="1"/>
  <c r="E3514" i="1"/>
  <c r="F3514" i="1" s="1"/>
  <c r="E3513" i="1"/>
  <c r="F3513" i="1" s="1"/>
  <c r="E3512" i="1"/>
  <c r="F3512" i="1" s="1"/>
  <c r="E3511" i="1"/>
  <c r="F3511" i="1" s="1"/>
  <c r="E3510" i="1"/>
  <c r="F3510" i="1" s="1"/>
  <c r="E3509" i="1"/>
  <c r="F3509" i="1" s="1"/>
  <c r="E3508" i="1"/>
  <c r="F3508" i="1" s="1"/>
  <c r="E3507" i="1"/>
  <c r="F3507" i="1" s="1"/>
  <c r="E3506" i="1"/>
  <c r="F3506" i="1" s="1"/>
  <c r="E3505" i="1"/>
  <c r="F3505" i="1" s="1"/>
  <c r="E3504" i="1"/>
  <c r="F3504" i="1" s="1"/>
  <c r="E3503" i="1"/>
  <c r="F3503" i="1" s="1"/>
  <c r="E3502" i="1"/>
  <c r="F3502" i="1" s="1"/>
  <c r="E3501" i="1"/>
  <c r="F3501" i="1" s="1"/>
  <c r="E3500" i="1"/>
  <c r="F3500" i="1" s="1"/>
  <c r="E3499" i="1"/>
  <c r="F3499" i="1" s="1"/>
  <c r="B3499" i="1"/>
  <c r="B3500" i="1" s="1"/>
  <c r="B3501" i="1" s="1"/>
  <c r="B3502" i="1" s="1"/>
  <c r="B3503" i="1" s="1"/>
  <c r="B3504" i="1" s="1"/>
  <c r="B3505" i="1" s="1"/>
  <c r="B3506" i="1" s="1"/>
  <c r="B3507" i="1" s="1"/>
  <c r="B3508" i="1" s="1"/>
  <c r="B3509" i="1" s="1"/>
  <c r="B3510" i="1" s="1"/>
  <c r="B3511" i="1" s="1"/>
  <c r="B3512" i="1" s="1"/>
  <c r="B3513" i="1" s="1"/>
  <c r="B3514" i="1" s="1"/>
  <c r="B3515" i="1" s="1"/>
  <c r="B3516" i="1" s="1"/>
  <c r="B3517" i="1" s="1"/>
  <c r="B3518" i="1" s="1"/>
  <c r="B3519" i="1" s="1"/>
  <c r="B3520" i="1" s="1"/>
  <c r="B3521" i="1" s="1"/>
  <c r="B3522" i="1" s="1"/>
  <c r="B3523" i="1" s="1"/>
  <c r="B3524" i="1" s="1"/>
  <c r="B3525" i="1" s="1"/>
  <c r="B3526" i="1" s="1"/>
  <c r="B3527" i="1" s="1"/>
  <c r="B3528" i="1" s="1"/>
  <c r="B3529" i="1" s="1"/>
  <c r="B3530" i="1" s="1"/>
  <c r="B3531" i="1" s="1"/>
  <c r="B3532" i="1" s="1"/>
  <c r="B3533" i="1" s="1"/>
  <c r="B3534" i="1" s="1"/>
  <c r="E3498" i="1"/>
  <c r="F3498" i="1" s="1"/>
  <c r="E3556" i="1"/>
  <c r="F3556" i="1" s="1"/>
  <c r="E3555" i="1"/>
  <c r="F3555" i="1" s="1"/>
  <c r="E3554" i="1"/>
  <c r="F3554" i="1" s="1"/>
  <c r="E3553" i="1"/>
  <c r="F3553" i="1" s="1"/>
  <c r="E3552" i="1"/>
  <c r="F3552" i="1" s="1"/>
  <c r="E3551" i="1"/>
  <c r="F3551" i="1" s="1"/>
  <c r="E3550" i="1"/>
  <c r="F3550" i="1" s="1"/>
  <c r="E3549" i="1"/>
  <c r="F3549" i="1" s="1"/>
  <c r="E3548" i="1"/>
  <c r="F3548" i="1" s="1"/>
  <c r="E3547" i="1"/>
  <c r="F3547" i="1" s="1"/>
  <c r="E3546" i="1"/>
  <c r="F3546" i="1" s="1"/>
  <c r="E3545" i="1"/>
  <c r="F3545" i="1" s="1"/>
  <c r="E3544" i="1"/>
  <c r="F3544" i="1" s="1"/>
  <c r="E3543" i="1"/>
  <c r="F3543" i="1" s="1"/>
  <c r="E3542" i="1"/>
  <c r="F3542" i="1" s="1"/>
  <c r="E3541" i="1"/>
  <c r="F3541" i="1" s="1"/>
  <c r="E3540" i="1"/>
  <c r="F3540" i="1" s="1"/>
  <c r="E3539" i="1"/>
  <c r="F3539" i="1" s="1"/>
  <c r="E3538" i="1"/>
  <c r="F3538" i="1" s="1"/>
  <c r="E3537" i="1"/>
  <c r="F3537" i="1" s="1"/>
  <c r="B3537" i="1"/>
  <c r="B3538" i="1" s="1"/>
  <c r="B3539" i="1" s="1"/>
  <c r="B3540" i="1" s="1"/>
  <c r="B3541" i="1" s="1"/>
  <c r="B3542" i="1" s="1"/>
  <c r="B3543" i="1" s="1"/>
  <c r="B3544" i="1" s="1"/>
  <c r="B3545" i="1" s="1"/>
  <c r="B3546" i="1" s="1"/>
  <c r="B3547" i="1" s="1"/>
  <c r="B3548" i="1" s="1"/>
  <c r="B3549" i="1" s="1"/>
  <c r="B3550" i="1" s="1"/>
  <c r="B3551" i="1" s="1"/>
  <c r="B3552" i="1" s="1"/>
  <c r="B3553" i="1" s="1"/>
  <c r="B3554" i="1" s="1"/>
  <c r="B3555" i="1" s="1"/>
  <c r="B3556" i="1" s="1"/>
  <c r="B3557" i="1" s="1"/>
  <c r="B3558" i="1" s="1"/>
  <c r="B3559" i="1" s="1"/>
  <c r="B3560" i="1" s="1"/>
  <c r="B3561" i="1" s="1"/>
  <c r="B3562" i="1" s="1"/>
  <c r="B3563" i="1" s="1"/>
  <c r="B3564" i="1" s="1"/>
  <c r="B3565" i="1" s="1"/>
  <c r="B3566" i="1" s="1"/>
  <c r="B3567" i="1" s="1"/>
  <c r="B3568" i="1" s="1"/>
  <c r="B3569" i="1" s="1"/>
  <c r="B3570" i="1" s="1"/>
  <c r="B3571" i="1" s="1"/>
  <c r="B3572" i="1" s="1"/>
  <c r="E3536" i="1"/>
  <c r="F3536" i="1" s="1"/>
  <c r="E3231" i="1"/>
  <c r="E3214" i="1"/>
  <c r="F3214" i="1" s="1"/>
  <c r="E3213" i="1"/>
  <c r="F3213" i="1" s="1"/>
  <c r="E3212" i="1"/>
  <c r="F3212" i="1" s="1"/>
  <c r="E3211" i="1"/>
  <c r="F3211" i="1" s="1"/>
  <c r="E3210" i="1"/>
  <c r="F3210" i="1" s="1"/>
  <c r="E3209" i="1"/>
  <c r="F3209" i="1" s="1"/>
  <c r="E3208" i="1"/>
  <c r="F3208" i="1" s="1"/>
  <c r="E3207" i="1"/>
  <c r="F3207" i="1" s="1"/>
  <c r="E3206" i="1"/>
  <c r="F3206" i="1" s="1"/>
  <c r="E3205" i="1"/>
  <c r="F3205" i="1" s="1"/>
  <c r="E3204" i="1"/>
  <c r="F3204" i="1" s="1"/>
  <c r="E3203" i="1"/>
  <c r="F3203" i="1" s="1"/>
  <c r="E3202" i="1"/>
  <c r="F3202" i="1" s="1"/>
  <c r="E3201" i="1"/>
  <c r="F3201" i="1" s="1"/>
  <c r="E3200" i="1"/>
  <c r="F3200" i="1" s="1"/>
  <c r="E3199" i="1"/>
  <c r="F3199" i="1" s="1"/>
  <c r="E3198" i="1"/>
  <c r="F3198" i="1" s="1"/>
  <c r="E3197" i="1"/>
  <c r="F3197" i="1" s="1"/>
  <c r="E3196" i="1"/>
  <c r="F3196" i="1" s="1"/>
  <c r="E3195" i="1"/>
  <c r="F3195" i="1" s="1"/>
  <c r="B3195" i="1"/>
  <c r="B3196" i="1" s="1"/>
  <c r="B3197" i="1" s="1"/>
  <c r="B3198" i="1" s="1"/>
  <c r="B3199" i="1" s="1"/>
  <c r="B3200" i="1" s="1"/>
  <c r="B3201" i="1" s="1"/>
  <c r="B3202" i="1" s="1"/>
  <c r="B3203" i="1" s="1"/>
  <c r="B3204" i="1" s="1"/>
  <c r="B3205" i="1" s="1"/>
  <c r="B3206" i="1" s="1"/>
  <c r="B3207" i="1" s="1"/>
  <c r="B3208" i="1" s="1"/>
  <c r="B3209" i="1" s="1"/>
  <c r="B3210" i="1" s="1"/>
  <c r="B3211" i="1" s="1"/>
  <c r="B3212" i="1" s="1"/>
  <c r="B3213" i="1" s="1"/>
  <c r="B3214" i="1" s="1"/>
  <c r="B3215" i="1" s="1"/>
  <c r="B3216" i="1" s="1"/>
  <c r="B3217" i="1" s="1"/>
  <c r="B3218" i="1" s="1"/>
  <c r="B3219" i="1" s="1"/>
  <c r="B3220" i="1" s="1"/>
  <c r="B3221" i="1" s="1"/>
  <c r="B3222" i="1" s="1"/>
  <c r="B3223" i="1" s="1"/>
  <c r="B3224" i="1" s="1"/>
  <c r="B3225" i="1" s="1"/>
  <c r="B3226" i="1" s="1"/>
  <c r="B3227" i="1" s="1"/>
  <c r="B3228" i="1" s="1"/>
  <c r="B3229" i="1" s="1"/>
  <c r="B3230" i="1" s="1"/>
  <c r="E3194" i="1"/>
  <c r="F3194" i="1" s="1"/>
  <c r="E3269" i="1"/>
  <c r="E3252" i="1"/>
  <c r="F3252" i="1" s="1"/>
  <c r="E3251" i="1"/>
  <c r="F3251" i="1" s="1"/>
  <c r="E3250" i="1"/>
  <c r="F3250" i="1" s="1"/>
  <c r="E3249" i="1"/>
  <c r="F3249" i="1" s="1"/>
  <c r="E3248" i="1"/>
  <c r="F3248" i="1" s="1"/>
  <c r="E3247" i="1"/>
  <c r="F3247" i="1" s="1"/>
  <c r="E3246" i="1"/>
  <c r="F3246" i="1" s="1"/>
  <c r="E3245" i="1"/>
  <c r="F3245" i="1" s="1"/>
  <c r="E3244" i="1"/>
  <c r="F3244" i="1" s="1"/>
  <c r="E3243" i="1"/>
  <c r="F3243" i="1" s="1"/>
  <c r="E3242" i="1"/>
  <c r="F3242" i="1" s="1"/>
  <c r="E3241" i="1"/>
  <c r="F3241" i="1" s="1"/>
  <c r="E3240" i="1"/>
  <c r="F3240" i="1" s="1"/>
  <c r="E3239" i="1"/>
  <c r="F3239" i="1" s="1"/>
  <c r="E3238" i="1"/>
  <c r="F3238" i="1" s="1"/>
  <c r="E3237" i="1"/>
  <c r="F3237" i="1" s="1"/>
  <c r="E3236" i="1"/>
  <c r="F3236" i="1" s="1"/>
  <c r="E3235" i="1"/>
  <c r="F3235" i="1" s="1"/>
  <c r="E3234" i="1"/>
  <c r="F3234" i="1" s="1"/>
  <c r="E3233" i="1"/>
  <c r="F3233" i="1" s="1"/>
  <c r="B3233" i="1"/>
  <c r="B3234" i="1" s="1"/>
  <c r="B3235" i="1" s="1"/>
  <c r="B3236" i="1" s="1"/>
  <c r="B3237" i="1" s="1"/>
  <c r="B3238" i="1" s="1"/>
  <c r="B3239" i="1" s="1"/>
  <c r="B3240" i="1" s="1"/>
  <c r="B3241" i="1" s="1"/>
  <c r="B3242" i="1" s="1"/>
  <c r="B3243" i="1" s="1"/>
  <c r="B3244" i="1" s="1"/>
  <c r="B3245" i="1" s="1"/>
  <c r="B3246" i="1" s="1"/>
  <c r="B3247" i="1" s="1"/>
  <c r="B3248" i="1" s="1"/>
  <c r="B3249" i="1" s="1"/>
  <c r="B3250" i="1" s="1"/>
  <c r="B3251" i="1" s="1"/>
  <c r="B3252" i="1" s="1"/>
  <c r="B3253" i="1" s="1"/>
  <c r="B3254" i="1" s="1"/>
  <c r="B3255" i="1" s="1"/>
  <c r="B3256" i="1" s="1"/>
  <c r="B3257" i="1" s="1"/>
  <c r="B3258" i="1" s="1"/>
  <c r="B3259" i="1" s="1"/>
  <c r="B3260" i="1" s="1"/>
  <c r="B3261" i="1" s="1"/>
  <c r="B3262" i="1" s="1"/>
  <c r="B3263" i="1" s="1"/>
  <c r="B3264" i="1" s="1"/>
  <c r="B3265" i="1" s="1"/>
  <c r="B3266" i="1" s="1"/>
  <c r="B3267" i="1" s="1"/>
  <c r="B3268" i="1" s="1"/>
  <c r="E3232" i="1"/>
  <c r="F3232" i="1" s="1"/>
  <c r="E3307" i="1"/>
  <c r="E3290" i="1"/>
  <c r="F3290" i="1" s="1"/>
  <c r="E3289" i="1"/>
  <c r="F3289" i="1" s="1"/>
  <c r="E3288" i="1"/>
  <c r="F3288" i="1" s="1"/>
  <c r="E3287" i="1"/>
  <c r="F3287" i="1" s="1"/>
  <c r="E3286" i="1"/>
  <c r="F3286" i="1" s="1"/>
  <c r="E3285" i="1"/>
  <c r="F3285" i="1" s="1"/>
  <c r="E3284" i="1"/>
  <c r="F3284" i="1" s="1"/>
  <c r="E3283" i="1"/>
  <c r="F3283" i="1" s="1"/>
  <c r="E3282" i="1"/>
  <c r="F3282" i="1" s="1"/>
  <c r="E3281" i="1"/>
  <c r="F3281" i="1" s="1"/>
  <c r="E3280" i="1"/>
  <c r="F3280" i="1" s="1"/>
  <c r="E3279" i="1"/>
  <c r="F3279" i="1" s="1"/>
  <c r="E3278" i="1"/>
  <c r="F3278" i="1" s="1"/>
  <c r="E3277" i="1"/>
  <c r="F3277" i="1" s="1"/>
  <c r="E3276" i="1"/>
  <c r="F3276" i="1" s="1"/>
  <c r="E3275" i="1"/>
  <c r="F3275" i="1" s="1"/>
  <c r="E3274" i="1"/>
  <c r="F3274" i="1" s="1"/>
  <c r="E3273" i="1"/>
  <c r="F3273" i="1" s="1"/>
  <c r="E3272" i="1"/>
  <c r="F3272" i="1" s="1"/>
  <c r="E3271" i="1"/>
  <c r="F3271" i="1" s="1"/>
  <c r="B3271" i="1"/>
  <c r="B3272" i="1" s="1"/>
  <c r="B3273" i="1" s="1"/>
  <c r="B3274" i="1" s="1"/>
  <c r="B3275" i="1" s="1"/>
  <c r="B3276" i="1" s="1"/>
  <c r="B3277" i="1" s="1"/>
  <c r="B3278" i="1" s="1"/>
  <c r="B3279" i="1" s="1"/>
  <c r="B3280" i="1" s="1"/>
  <c r="B3281" i="1" s="1"/>
  <c r="B3282" i="1" s="1"/>
  <c r="B3283" i="1" s="1"/>
  <c r="B3284" i="1" s="1"/>
  <c r="B3285" i="1" s="1"/>
  <c r="B3286" i="1" s="1"/>
  <c r="B3287" i="1" s="1"/>
  <c r="B3288" i="1" s="1"/>
  <c r="B3289" i="1" s="1"/>
  <c r="B3290" i="1" s="1"/>
  <c r="B3291" i="1" s="1"/>
  <c r="B3292" i="1" s="1"/>
  <c r="B3293" i="1" s="1"/>
  <c r="B3294" i="1" s="1"/>
  <c r="B3295" i="1" s="1"/>
  <c r="B3296" i="1" s="1"/>
  <c r="B3297" i="1" s="1"/>
  <c r="B3298" i="1" s="1"/>
  <c r="B3299" i="1" s="1"/>
  <c r="B3300" i="1" s="1"/>
  <c r="B3301" i="1" s="1"/>
  <c r="B3302" i="1" s="1"/>
  <c r="B3303" i="1" s="1"/>
  <c r="B3304" i="1" s="1"/>
  <c r="B3305" i="1" s="1"/>
  <c r="B3306" i="1" s="1"/>
  <c r="E3270" i="1"/>
  <c r="F3270" i="1" s="1"/>
  <c r="E3062" i="1"/>
  <c r="F3062" i="1" s="1"/>
  <c r="E3061" i="1"/>
  <c r="F3061" i="1" s="1"/>
  <c r="E3060" i="1"/>
  <c r="F3060" i="1" s="1"/>
  <c r="E3059" i="1"/>
  <c r="F3059" i="1" s="1"/>
  <c r="E3058" i="1"/>
  <c r="F3058" i="1" s="1"/>
  <c r="E3057" i="1"/>
  <c r="F3057" i="1" s="1"/>
  <c r="E3056" i="1"/>
  <c r="F3056" i="1" s="1"/>
  <c r="E3055" i="1"/>
  <c r="F3055" i="1" s="1"/>
  <c r="E3054" i="1"/>
  <c r="F3054" i="1" s="1"/>
  <c r="E3053" i="1"/>
  <c r="F3053" i="1" s="1"/>
  <c r="E3052" i="1"/>
  <c r="F3052" i="1" s="1"/>
  <c r="E3051" i="1"/>
  <c r="F3051" i="1" s="1"/>
  <c r="E3050" i="1"/>
  <c r="F3050" i="1" s="1"/>
  <c r="E3049" i="1"/>
  <c r="F3049" i="1" s="1"/>
  <c r="E3048" i="1"/>
  <c r="F3048" i="1" s="1"/>
  <c r="E3047" i="1"/>
  <c r="F3047" i="1" s="1"/>
  <c r="E3046" i="1"/>
  <c r="F3046" i="1" s="1"/>
  <c r="E3045" i="1"/>
  <c r="F3045" i="1" s="1"/>
  <c r="E3044" i="1"/>
  <c r="F3044" i="1" s="1"/>
  <c r="E3043" i="1"/>
  <c r="F3043" i="1" s="1"/>
  <c r="B3043" i="1"/>
  <c r="B3044" i="1" s="1"/>
  <c r="B3045" i="1" s="1"/>
  <c r="B3046" i="1" s="1"/>
  <c r="B3047" i="1" s="1"/>
  <c r="B3048" i="1" s="1"/>
  <c r="B3049" i="1" s="1"/>
  <c r="B3050" i="1" s="1"/>
  <c r="B3051" i="1" s="1"/>
  <c r="B3052" i="1" s="1"/>
  <c r="B3053" i="1" s="1"/>
  <c r="B3054" i="1" s="1"/>
  <c r="B3055" i="1" s="1"/>
  <c r="B3056" i="1" s="1"/>
  <c r="B3057" i="1" s="1"/>
  <c r="B3058" i="1" s="1"/>
  <c r="B3059" i="1" s="1"/>
  <c r="B3060" i="1" s="1"/>
  <c r="B3061" i="1" s="1"/>
  <c r="B3062" i="1" s="1"/>
  <c r="B3063" i="1" s="1"/>
  <c r="B3064" i="1" s="1"/>
  <c r="B3065" i="1" s="1"/>
  <c r="B3066" i="1" s="1"/>
  <c r="B3067" i="1" s="1"/>
  <c r="B3068" i="1" s="1"/>
  <c r="B3069" i="1" s="1"/>
  <c r="B3070" i="1" s="1"/>
  <c r="B3071" i="1" s="1"/>
  <c r="B3072" i="1" s="1"/>
  <c r="B3073" i="1" s="1"/>
  <c r="B3074" i="1" s="1"/>
  <c r="B3075" i="1" s="1"/>
  <c r="B3076" i="1" s="1"/>
  <c r="B3077" i="1" s="1"/>
  <c r="B3078" i="1" s="1"/>
  <c r="E3042" i="1"/>
  <c r="F3042" i="1" s="1"/>
  <c r="E3100" i="1"/>
  <c r="F3100" i="1" s="1"/>
  <c r="E3099" i="1"/>
  <c r="F3099" i="1" s="1"/>
  <c r="E3098" i="1"/>
  <c r="F3098" i="1" s="1"/>
  <c r="E3097" i="1"/>
  <c r="F3097" i="1" s="1"/>
  <c r="E3096" i="1"/>
  <c r="F3096" i="1" s="1"/>
  <c r="E3095" i="1"/>
  <c r="F3095" i="1" s="1"/>
  <c r="E3094" i="1"/>
  <c r="F3094" i="1" s="1"/>
  <c r="E3093" i="1"/>
  <c r="F3093" i="1" s="1"/>
  <c r="E3092" i="1"/>
  <c r="F3092" i="1" s="1"/>
  <c r="E3091" i="1"/>
  <c r="F3091" i="1" s="1"/>
  <c r="E3090" i="1"/>
  <c r="F3090" i="1" s="1"/>
  <c r="E3089" i="1"/>
  <c r="F3089" i="1" s="1"/>
  <c r="E3088" i="1"/>
  <c r="F3088" i="1" s="1"/>
  <c r="E3087" i="1"/>
  <c r="F3087" i="1" s="1"/>
  <c r="E3086" i="1"/>
  <c r="F3086" i="1" s="1"/>
  <c r="E3085" i="1"/>
  <c r="F3085" i="1" s="1"/>
  <c r="E3084" i="1"/>
  <c r="F3084" i="1" s="1"/>
  <c r="E3083" i="1"/>
  <c r="F3083" i="1" s="1"/>
  <c r="E3082" i="1"/>
  <c r="F3082" i="1" s="1"/>
  <c r="E3081" i="1"/>
  <c r="F3081" i="1" s="1"/>
  <c r="B3081" i="1"/>
  <c r="B3082" i="1" s="1"/>
  <c r="B3083" i="1" s="1"/>
  <c r="B3084" i="1" s="1"/>
  <c r="B3085" i="1" s="1"/>
  <c r="B3086" i="1" s="1"/>
  <c r="B3087" i="1" s="1"/>
  <c r="B3088" i="1" s="1"/>
  <c r="B3089" i="1" s="1"/>
  <c r="B3090" i="1" s="1"/>
  <c r="B3091" i="1" s="1"/>
  <c r="B3092" i="1" s="1"/>
  <c r="B3093" i="1" s="1"/>
  <c r="B3094" i="1" s="1"/>
  <c r="B3095" i="1" s="1"/>
  <c r="B3096" i="1" s="1"/>
  <c r="B3097" i="1" s="1"/>
  <c r="B3098" i="1" s="1"/>
  <c r="B3099" i="1" s="1"/>
  <c r="B3100" i="1" s="1"/>
  <c r="B3101" i="1" s="1"/>
  <c r="B3102" i="1" s="1"/>
  <c r="B3103" i="1" s="1"/>
  <c r="B3104" i="1" s="1"/>
  <c r="B3105" i="1" s="1"/>
  <c r="B3106" i="1" s="1"/>
  <c r="B3107" i="1" s="1"/>
  <c r="B3108" i="1" s="1"/>
  <c r="B3109" i="1" s="1"/>
  <c r="B3110" i="1" s="1"/>
  <c r="B3111" i="1" s="1"/>
  <c r="B3112" i="1" s="1"/>
  <c r="B3113" i="1" s="1"/>
  <c r="B3114" i="1" s="1"/>
  <c r="B3115" i="1" s="1"/>
  <c r="B3116" i="1" s="1"/>
  <c r="E3080" i="1"/>
  <c r="F3080" i="1" s="1"/>
  <c r="E3138" i="1"/>
  <c r="F3138" i="1" s="1"/>
  <c r="E3137" i="1"/>
  <c r="F3137" i="1" s="1"/>
  <c r="E3136" i="1"/>
  <c r="F3136" i="1" s="1"/>
  <c r="E3135" i="1"/>
  <c r="F3135" i="1" s="1"/>
  <c r="E3134" i="1"/>
  <c r="F3134" i="1" s="1"/>
  <c r="E3133" i="1"/>
  <c r="F3133" i="1" s="1"/>
  <c r="E3132" i="1"/>
  <c r="F3132" i="1" s="1"/>
  <c r="E3131" i="1"/>
  <c r="F3131" i="1" s="1"/>
  <c r="E3130" i="1"/>
  <c r="F3130" i="1" s="1"/>
  <c r="E3129" i="1"/>
  <c r="F3129" i="1" s="1"/>
  <c r="E3128" i="1"/>
  <c r="F3128" i="1" s="1"/>
  <c r="E3127" i="1"/>
  <c r="F3127" i="1" s="1"/>
  <c r="E3126" i="1"/>
  <c r="F3126" i="1" s="1"/>
  <c r="E3125" i="1"/>
  <c r="F3125" i="1" s="1"/>
  <c r="E3124" i="1"/>
  <c r="F3124" i="1" s="1"/>
  <c r="E3123" i="1"/>
  <c r="F3123" i="1" s="1"/>
  <c r="E3122" i="1"/>
  <c r="F3122" i="1" s="1"/>
  <c r="E3121" i="1"/>
  <c r="F3121" i="1" s="1"/>
  <c r="E3120" i="1"/>
  <c r="F3120" i="1" s="1"/>
  <c r="E3119" i="1"/>
  <c r="F3119" i="1" s="1"/>
  <c r="B3119" i="1"/>
  <c r="B3120" i="1" s="1"/>
  <c r="B3121" i="1" s="1"/>
  <c r="B3122" i="1" s="1"/>
  <c r="B3123" i="1" s="1"/>
  <c r="B3124" i="1" s="1"/>
  <c r="B3125" i="1" s="1"/>
  <c r="B3126" i="1" s="1"/>
  <c r="B3127" i="1" s="1"/>
  <c r="B3128" i="1" s="1"/>
  <c r="B3129" i="1" s="1"/>
  <c r="B3130" i="1" s="1"/>
  <c r="B3131" i="1" s="1"/>
  <c r="B3132" i="1" s="1"/>
  <c r="B3133" i="1" s="1"/>
  <c r="B3134" i="1" s="1"/>
  <c r="B3135" i="1" s="1"/>
  <c r="B3136" i="1" s="1"/>
  <c r="B3137" i="1" s="1"/>
  <c r="B3138" i="1" s="1"/>
  <c r="B3139" i="1" s="1"/>
  <c r="B3140" i="1" s="1"/>
  <c r="B3141" i="1" s="1"/>
  <c r="B3142" i="1" s="1"/>
  <c r="B3143" i="1" s="1"/>
  <c r="B3144" i="1" s="1"/>
  <c r="B3145" i="1" s="1"/>
  <c r="B3146" i="1" s="1"/>
  <c r="B3147" i="1" s="1"/>
  <c r="B3148" i="1" s="1"/>
  <c r="B3149" i="1" s="1"/>
  <c r="B3150" i="1" s="1"/>
  <c r="B3151" i="1" s="1"/>
  <c r="B3152" i="1" s="1"/>
  <c r="B3153" i="1" s="1"/>
  <c r="B3154" i="1" s="1"/>
  <c r="E3118" i="1"/>
  <c r="F3118" i="1" s="1"/>
  <c r="E2796" i="1"/>
  <c r="F2796" i="1" s="1"/>
  <c r="E2795" i="1"/>
  <c r="F2795" i="1" s="1"/>
  <c r="E2794" i="1"/>
  <c r="F2794" i="1" s="1"/>
  <c r="E2793" i="1"/>
  <c r="F2793" i="1" s="1"/>
  <c r="E2792" i="1"/>
  <c r="F2792" i="1" s="1"/>
  <c r="E2791" i="1"/>
  <c r="F2791" i="1" s="1"/>
  <c r="E2790" i="1"/>
  <c r="F2790" i="1" s="1"/>
  <c r="E2789" i="1"/>
  <c r="F2789" i="1" s="1"/>
  <c r="E2788" i="1"/>
  <c r="F2788" i="1" s="1"/>
  <c r="E2787" i="1"/>
  <c r="F2787" i="1" s="1"/>
  <c r="E2786" i="1"/>
  <c r="F2786" i="1" s="1"/>
  <c r="E2785" i="1"/>
  <c r="F2785" i="1" s="1"/>
  <c r="E2784" i="1"/>
  <c r="F2784" i="1" s="1"/>
  <c r="E2783" i="1"/>
  <c r="F2783" i="1" s="1"/>
  <c r="E2782" i="1"/>
  <c r="F2782" i="1" s="1"/>
  <c r="E2781" i="1"/>
  <c r="F2781" i="1" s="1"/>
  <c r="E2780" i="1"/>
  <c r="F2780" i="1" s="1"/>
  <c r="E2779" i="1"/>
  <c r="F2779" i="1" s="1"/>
  <c r="E2778" i="1"/>
  <c r="F2778" i="1" s="1"/>
  <c r="E2777" i="1"/>
  <c r="F2777" i="1" s="1"/>
  <c r="B2777" i="1"/>
  <c r="B2778" i="1" s="1"/>
  <c r="B2779" i="1" s="1"/>
  <c r="B2780" i="1" s="1"/>
  <c r="B2781" i="1" s="1"/>
  <c r="B2782" i="1" s="1"/>
  <c r="B2783" i="1" s="1"/>
  <c r="B2784" i="1" s="1"/>
  <c r="B2785" i="1" s="1"/>
  <c r="B2786" i="1" s="1"/>
  <c r="B2787" i="1" s="1"/>
  <c r="B2788" i="1" s="1"/>
  <c r="B2789" i="1" s="1"/>
  <c r="B2790" i="1" s="1"/>
  <c r="B2791" i="1" s="1"/>
  <c r="B2792" i="1" s="1"/>
  <c r="B2793" i="1" s="1"/>
  <c r="B2794" i="1" s="1"/>
  <c r="B2795" i="1" s="1"/>
  <c r="B2796" i="1" s="1"/>
  <c r="B2797" i="1" s="1"/>
  <c r="B2798" i="1" s="1"/>
  <c r="B2799" i="1" s="1"/>
  <c r="B2800" i="1" s="1"/>
  <c r="B2801" i="1" s="1"/>
  <c r="B2802" i="1" s="1"/>
  <c r="B2803" i="1" s="1"/>
  <c r="B2804" i="1" s="1"/>
  <c r="B2805" i="1" s="1"/>
  <c r="B2806" i="1" s="1"/>
  <c r="B2807" i="1" s="1"/>
  <c r="B2808" i="1" s="1"/>
  <c r="B2809" i="1" s="1"/>
  <c r="B2810" i="1" s="1"/>
  <c r="B2811" i="1" s="1"/>
  <c r="B2812" i="1" s="1"/>
  <c r="E2776" i="1"/>
  <c r="F2776" i="1" s="1"/>
  <c r="E2834" i="1"/>
  <c r="F2834" i="1" s="1"/>
  <c r="E2833" i="1"/>
  <c r="F2833" i="1" s="1"/>
  <c r="E2832" i="1"/>
  <c r="F2832" i="1" s="1"/>
  <c r="E2831" i="1"/>
  <c r="F2831" i="1" s="1"/>
  <c r="E2830" i="1"/>
  <c r="F2830" i="1" s="1"/>
  <c r="E2829" i="1"/>
  <c r="F2829" i="1" s="1"/>
  <c r="E2828" i="1"/>
  <c r="F2828" i="1" s="1"/>
  <c r="E2827" i="1"/>
  <c r="F2827" i="1" s="1"/>
  <c r="E2826" i="1"/>
  <c r="F2826" i="1" s="1"/>
  <c r="E2825" i="1"/>
  <c r="F2825" i="1" s="1"/>
  <c r="E2824" i="1"/>
  <c r="F2824" i="1" s="1"/>
  <c r="E2823" i="1"/>
  <c r="F2823" i="1" s="1"/>
  <c r="E2822" i="1"/>
  <c r="F2822" i="1" s="1"/>
  <c r="E2821" i="1"/>
  <c r="F2821" i="1" s="1"/>
  <c r="E2820" i="1"/>
  <c r="F2820" i="1" s="1"/>
  <c r="E2819" i="1"/>
  <c r="F2819" i="1" s="1"/>
  <c r="E2818" i="1"/>
  <c r="F2818" i="1" s="1"/>
  <c r="E2817" i="1"/>
  <c r="F2817" i="1" s="1"/>
  <c r="E2816" i="1"/>
  <c r="F2816" i="1" s="1"/>
  <c r="E2815" i="1"/>
  <c r="F2815" i="1" s="1"/>
  <c r="B2815" i="1"/>
  <c r="B2816" i="1" s="1"/>
  <c r="B2817" i="1" s="1"/>
  <c r="B2818" i="1" s="1"/>
  <c r="B2819" i="1" s="1"/>
  <c r="B2820" i="1" s="1"/>
  <c r="B2821" i="1" s="1"/>
  <c r="B2822" i="1" s="1"/>
  <c r="B2823" i="1" s="1"/>
  <c r="B2824" i="1" s="1"/>
  <c r="B2825" i="1" s="1"/>
  <c r="B2826" i="1" s="1"/>
  <c r="B2827" i="1" s="1"/>
  <c r="B2828" i="1" s="1"/>
  <c r="B2829" i="1" s="1"/>
  <c r="B2830" i="1" s="1"/>
  <c r="B2831" i="1" s="1"/>
  <c r="B2832" i="1" s="1"/>
  <c r="B2833" i="1" s="1"/>
  <c r="B2834" i="1" s="1"/>
  <c r="B2835" i="1" s="1"/>
  <c r="B2836" i="1" s="1"/>
  <c r="B2837" i="1" s="1"/>
  <c r="B2838" i="1" s="1"/>
  <c r="B2839" i="1" s="1"/>
  <c r="B2840" i="1" s="1"/>
  <c r="B2841" i="1" s="1"/>
  <c r="B2842" i="1" s="1"/>
  <c r="B2843" i="1" s="1"/>
  <c r="B2844" i="1" s="1"/>
  <c r="B2845" i="1" s="1"/>
  <c r="B2846" i="1" s="1"/>
  <c r="B2847" i="1" s="1"/>
  <c r="B2848" i="1" s="1"/>
  <c r="B2849" i="1" s="1"/>
  <c r="B2850" i="1" s="1"/>
  <c r="E2814" i="1"/>
  <c r="F2814" i="1" s="1"/>
  <c r="E2872" i="1"/>
  <c r="F2872" i="1" s="1"/>
  <c r="E2871" i="1"/>
  <c r="F2871" i="1" s="1"/>
  <c r="E2870" i="1"/>
  <c r="F2870" i="1" s="1"/>
  <c r="E2869" i="1"/>
  <c r="F2869" i="1" s="1"/>
  <c r="E2868" i="1"/>
  <c r="F2868" i="1" s="1"/>
  <c r="E2867" i="1"/>
  <c r="F2867" i="1" s="1"/>
  <c r="E2866" i="1"/>
  <c r="F2866" i="1" s="1"/>
  <c r="E2865" i="1"/>
  <c r="F2865" i="1" s="1"/>
  <c r="E2864" i="1"/>
  <c r="F2864" i="1" s="1"/>
  <c r="E2863" i="1"/>
  <c r="F2863" i="1" s="1"/>
  <c r="E2862" i="1"/>
  <c r="F2862" i="1" s="1"/>
  <c r="E2861" i="1"/>
  <c r="F2861" i="1" s="1"/>
  <c r="E2860" i="1"/>
  <c r="F2860" i="1" s="1"/>
  <c r="E2859" i="1"/>
  <c r="F2859" i="1" s="1"/>
  <c r="E2858" i="1"/>
  <c r="F2858" i="1" s="1"/>
  <c r="E2857" i="1"/>
  <c r="F2857" i="1" s="1"/>
  <c r="E2856" i="1"/>
  <c r="F2856" i="1" s="1"/>
  <c r="E2855" i="1"/>
  <c r="F2855" i="1" s="1"/>
  <c r="E2854" i="1"/>
  <c r="F2854" i="1" s="1"/>
  <c r="E2853" i="1"/>
  <c r="F2853" i="1" s="1"/>
  <c r="B2853" i="1"/>
  <c r="B2854" i="1" s="1"/>
  <c r="B2855" i="1" s="1"/>
  <c r="B2856" i="1" s="1"/>
  <c r="B2857" i="1" s="1"/>
  <c r="B2858" i="1" s="1"/>
  <c r="B2859" i="1" s="1"/>
  <c r="B2860" i="1" s="1"/>
  <c r="B2861" i="1" s="1"/>
  <c r="B2862" i="1" s="1"/>
  <c r="B2863" i="1" s="1"/>
  <c r="B2864" i="1" s="1"/>
  <c r="B2865" i="1" s="1"/>
  <c r="B2866" i="1" s="1"/>
  <c r="B2867" i="1" s="1"/>
  <c r="B2868" i="1" s="1"/>
  <c r="B2869" i="1" s="1"/>
  <c r="B2870" i="1" s="1"/>
  <c r="B2871" i="1" s="1"/>
  <c r="B2872" i="1" s="1"/>
  <c r="B2873" i="1" s="1"/>
  <c r="B2874" i="1" s="1"/>
  <c r="B2875" i="1" s="1"/>
  <c r="B2876" i="1" s="1"/>
  <c r="B2877" i="1" s="1"/>
  <c r="B2878" i="1" s="1"/>
  <c r="B2879" i="1" s="1"/>
  <c r="B2880" i="1" s="1"/>
  <c r="B2881" i="1" s="1"/>
  <c r="B2882" i="1" s="1"/>
  <c r="B2883" i="1" s="1"/>
  <c r="B2884" i="1" s="1"/>
  <c r="B2885" i="1" s="1"/>
  <c r="B2886" i="1" s="1"/>
  <c r="B2887" i="1" s="1"/>
  <c r="B2888" i="1" s="1"/>
  <c r="E2852" i="1"/>
  <c r="F2852" i="1" s="1"/>
  <c r="E2644" i="1"/>
  <c r="F2644" i="1" s="1"/>
  <c r="E2643" i="1"/>
  <c r="F2643" i="1" s="1"/>
  <c r="E2642" i="1"/>
  <c r="F2642" i="1" s="1"/>
  <c r="E2641" i="1"/>
  <c r="F2641" i="1" s="1"/>
  <c r="E2640" i="1"/>
  <c r="F2640" i="1" s="1"/>
  <c r="E2639" i="1"/>
  <c r="F2639" i="1" s="1"/>
  <c r="E2638" i="1"/>
  <c r="F2638" i="1" s="1"/>
  <c r="E2637" i="1"/>
  <c r="F2637" i="1" s="1"/>
  <c r="E2636" i="1"/>
  <c r="F2636" i="1" s="1"/>
  <c r="E2635" i="1"/>
  <c r="F2635" i="1" s="1"/>
  <c r="E2634" i="1"/>
  <c r="F2634" i="1" s="1"/>
  <c r="E2633" i="1"/>
  <c r="F2633" i="1" s="1"/>
  <c r="E2632" i="1"/>
  <c r="F2632" i="1" s="1"/>
  <c r="E2631" i="1"/>
  <c r="F2631" i="1" s="1"/>
  <c r="E2630" i="1"/>
  <c r="F2630" i="1" s="1"/>
  <c r="E2629" i="1"/>
  <c r="F2629" i="1" s="1"/>
  <c r="E2628" i="1"/>
  <c r="F2628" i="1" s="1"/>
  <c r="E2627" i="1"/>
  <c r="F2627" i="1" s="1"/>
  <c r="E2626" i="1"/>
  <c r="F2626" i="1" s="1"/>
  <c r="E2625" i="1"/>
  <c r="F2625" i="1" s="1"/>
  <c r="B2625" i="1"/>
  <c r="B2626" i="1" s="1"/>
  <c r="B2627" i="1" s="1"/>
  <c r="B2628" i="1" s="1"/>
  <c r="B2629" i="1" s="1"/>
  <c r="B2630" i="1" s="1"/>
  <c r="B2631" i="1" s="1"/>
  <c r="B2632" i="1" s="1"/>
  <c r="B2633" i="1" s="1"/>
  <c r="B2634" i="1" s="1"/>
  <c r="B2635" i="1" s="1"/>
  <c r="B2636" i="1" s="1"/>
  <c r="B2637" i="1" s="1"/>
  <c r="B2638" i="1" s="1"/>
  <c r="B2639" i="1" s="1"/>
  <c r="B2640" i="1" s="1"/>
  <c r="B2641" i="1" s="1"/>
  <c r="B2642" i="1" s="1"/>
  <c r="B2643" i="1" s="1"/>
  <c r="B2644" i="1" s="1"/>
  <c r="B2645" i="1" s="1"/>
  <c r="B2646" i="1" s="1"/>
  <c r="B2647" i="1" s="1"/>
  <c r="B2648" i="1" s="1"/>
  <c r="B2649" i="1" s="1"/>
  <c r="B2650" i="1" s="1"/>
  <c r="B2651" i="1" s="1"/>
  <c r="B2652" i="1" s="1"/>
  <c r="B2653" i="1" s="1"/>
  <c r="B2654" i="1" s="1"/>
  <c r="B2655" i="1" s="1"/>
  <c r="B2656" i="1" s="1"/>
  <c r="B2657" i="1" s="1"/>
  <c r="B2658" i="1" s="1"/>
  <c r="B2659" i="1" s="1"/>
  <c r="B2660" i="1" s="1"/>
  <c r="E2624" i="1"/>
  <c r="F2624" i="1" s="1"/>
  <c r="E2682" i="1"/>
  <c r="F2682" i="1" s="1"/>
  <c r="E2681" i="1"/>
  <c r="F2681" i="1" s="1"/>
  <c r="E2680" i="1"/>
  <c r="F2680" i="1" s="1"/>
  <c r="E2679" i="1"/>
  <c r="F2679" i="1" s="1"/>
  <c r="E2678" i="1"/>
  <c r="F2678" i="1" s="1"/>
  <c r="E2677" i="1"/>
  <c r="F2677" i="1" s="1"/>
  <c r="E2676" i="1"/>
  <c r="F2676" i="1" s="1"/>
  <c r="E2675" i="1"/>
  <c r="F2675" i="1" s="1"/>
  <c r="E2674" i="1"/>
  <c r="F2674" i="1" s="1"/>
  <c r="E2673" i="1"/>
  <c r="F2673" i="1" s="1"/>
  <c r="E2672" i="1"/>
  <c r="F2672" i="1" s="1"/>
  <c r="E2671" i="1"/>
  <c r="F2671" i="1" s="1"/>
  <c r="E2670" i="1"/>
  <c r="F2670" i="1" s="1"/>
  <c r="E2669" i="1"/>
  <c r="F2669" i="1" s="1"/>
  <c r="E2668" i="1"/>
  <c r="F2668" i="1" s="1"/>
  <c r="E2667" i="1"/>
  <c r="F2667" i="1" s="1"/>
  <c r="E2666" i="1"/>
  <c r="F2666" i="1" s="1"/>
  <c r="E2665" i="1"/>
  <c r="F2665" i="1" s="1"/>
  <c r="E2664" i="1"/>
  <c r="F2664" i="1" s="1"/>
  <c r="E2663" i="1"/>
  <c r="F2663" i="1" s="1"/>
  <c r="B2663" i="1"/>
  <c r="B2664" i="1" s="1"/>
  <c r="B2665" i="1" s="1"/>
  <c r="B2666" i="1" s="1"/>
  <c r="B2667" i="1" s="1"/>
  <c r="B2668" i="1" s="1"/>
  <c r="B2669" i="1" s="1"/>
  <c r="B2670" i="1" s="1"/>
  <c r="B2671" i="1" s="1"/>
  <c r="B2672" i="1" s="1"/>
  <c r="B2673" i="1" s="1"/>
  <c r="B2674" i="1" s="1"/>
  <c r="B2675" i="1" s="1"/>
  <c r="B2676" i="1" s="1"/>
  <c r="B2677" i="1" s="1"/>
  <c r="B2678" i="1" s="1"/>
  <c r="B2679" i="1" s="1"/>
  <c r="B2680" i="1" s="1"/>
  <c r="B2681" i="1" s="1"/>
  <c r="B2682" i="1" s="1"/>
  <c r="B2683" i="1" s="1"/>
  <c r="B2684" i="1" s="1"/>
  <c r="B2685" i="1" s="1"/>
  <c r="B2686" i="1" s="1"/>
  <c r="B2687" i="1" s="1"/>
  <c r="B2688" i="1" s="1"/>
  <c r="B2689" i="1" s="1"/>
  <c r="B2690" i="1" s="1"/>
  <c r="B2691" i="1" s="1"/>
  <c r="B2692" i="1" s="1"/>
  <c r="B2693" i="1" s="1"/>
  <c r="B2694" i="1" s="1"/>
  <c r="B2695" i="1" s="1"/>
  <c r="B2696" i="1" s="1"/>
  <c r="B2697" i="1" s="1"/>
  <c r="B2698" i="1" s="1"/>
  <c r="E2662" i="1"/>
  <c r="F2662" i="1" s="1"/>
  <c r="E2720" i="1"/>
  <c r="F2720" i="1" s="1"/>
  <c r="E2719" i="1"/>
  <c r="F2719" i="1" s="1"/>
  <c r="E2718" i="1"/>
  <c r="F2718" i="1" s="1"/>
  <c r="E2717" i="1"/>
  <c r="F2717" i="1" s="1"/>
  <c r="E2716" i="1"/>
  <c r="F2716" i="1" s="1"/>
  <c r="E2715" i="1"/>
  <c r="F2715" i="1" s="1"/>
  <c r="E2714" i="1"/>
  <c r="F2714" i="1" s="1"/>
  <c r="E2713" i="1"/>
  <c r="F2713" i="1" s="1"/>
  <c r="E2712" i="1"/>
  <c r="F2712" i="1" s="1"/>
  <c r="E2711" i="1"/>
  <c r="F2711" i="1" s="1"/>
  <c r="E2710" i="1"/>
  <c r="F2710" i="1" s="1"/>
  <c r="E2709" i="1"/>
  <c r="F2709" i="1" s="1"/>
  <c r="E2708" i="1"/>
  <c r="F2708" i="1" s="1"/>
  <c r="E2707" i="1"/>
  <c r="F2707" i="1" s="1"/>
  <c r="E2706" i="1"/>
  <c r="F2706" i="1" s="1"/>
  <c r="E2705" i="1"/>
  <c r="F2705" i="1" s="1"/>
  <c r="E2704" i="1"/>
  <c r="F2704" i="1" s="1"/>
  <c r="E2703" i="1"/>
  <c r="F2703" i="1" s="1"/>
  <c r="E2702" i="1"/>
  <c r="F2702" i="1" s="1"/>
  <c r="E2701" i="1"/>
  <c r="F2701" i="1" s="1"/>
  <c r="B2701" i="1"/>
  <c r="B2702" i="1" s="1"/>
  <c r="B2703" i="1" s="1"/>
  <c r="B2704" i="1" s="1"/>
  <c r="B2705" i="1" s="1"/>
  <c r="B2706" i="1" s="1"/>
  <c r="B2707" i="1" s="1"/>
  <c r="B2708" i="1" s="1"/>
  <c r="B2709" i="1" s="1"/>
  <c r="B2710" i="1" s="1"/>
  <c r="B2711" i="1" s="1"/>
  <c r="B2712" i="1" s="1"/>
  <c r="B2713" i="1" s="1"/>
  <c r="B2714" i="1" s="1"/>
  <c r="B2715" i="1" s="1"/>
  <c r="B2716" i="1" s="1"/>
  <c r="B2717" i="1" s="1"/>
  <c r="B2718" i="1" s="1"/>
  <c r="B2719" i="1" s="1"/>
  <c r="B2720" i="1" s="1"/>
  <c r="B2721" i="1" s="1"/>
  <c r="B2722" i="1" s="1"/>
  <c r="B2723" i="1" s="1"/>
  <c r="B2724" i="1" s="1"/>
  <c r="B2725" i="1" s="1"/>
  <c r="B2726" i="1" s="1"/>
  <c r="B2727" i="1" s="1"/>
  <c r="B2728" i="1" s="1"/>
  <c r="B2729" i="1" s="1"/>
  <c r="B2730" i="1" s="1"/>
  <c r="B2731" i="1" s="1"/>
  <c r="B2732" i="1" s="1"/>
  <c r="B2733" i="1" s="1"/>
  <c r="B2734" i="1" s="1"/>
  <c r="B2735" i="1" s="1"/>
  <c r="B2736" i="1" s="1"/>
  <c r="E2700" i="1"/>
  <c r="F2700" i="1" s="1"/>
  <c r="E2530" i="1"/>
  <c r="F2530" i="1" s="1"/>
  <c r="E2529" i="1"/>
  <c r="F2529" i="1" s="1"/>
  <c r="E2528" i="1"/>
  <c r="F2528" i="1" s="1"/>
  <c r="E2527" i="1"/>
  <c r="F2527" i="1" s="1"/>
  <c r="E2526" i="1"/>
  <c r="F2526" i="1" s="1"/>
  <c r="E2525" i="1"/>
  <c r="F2525" i="1" s="1"/>
  <c r="E2524" i="1"/>
  <c r="F2524" i="1" s="1"/>
  <c r="E2523" i="1"/>
  <c r="F2523" i="1" s="1"/>
  <c r="E2522" i="1"/>
  <c r="F2522" i="1" s="1"/>
  <c r="E2521" i="1"/>
  <c r="F2521" i="1" s="1"/>
  <c r="E2520" i="1"/>
  <c r="F2520" i="1" s="1"/>
  <c r="E2519" i="1"/>
  <c r="F2519" i="1" s="1"/>
  <c r="E2518" i="1"/>
  <c r="F2518" i="1" s="1"/>
  <c r="E2517" i="1"/>
  <c r="F2517" i="1" s="1"/>
  <c r="E2516" i="1"/>
  <c r="F2516" i="1" s="1"/>
  <c r="E2515" i="1"/>
  <c r="F2515" i="1" s="1"/>
  <c r="E2514" i="1"/>
  <c r="F2514" i="1" s="1"/>
  <c r="E2513" i="1"/>
  <c r="F2513" i="1" s="1"/>
  <c r="E2512" i="1"/>
  <c r="F2512" i="1" s="1"/>
  <c r="E2511" i="1"/>
  <c r="F2511" i="1" s="1"/>
  <c r="B2511" i="1"/>
  <c r="B2512" i="1" s="1"/>
  <c r="B2513" i="1" s="1"/>
  <c r="B2514" i="1" s="1"/>
  <c r="B2515" i="1" s="1"/>
  <c r="B2516" i="1" s="1"/>
  <c r="B2517" i="1" s="1"/>
  <c r="B2518" i="1" s="1"/>
  <c r="B2519" i="1" s="1"/>
  <c r="B2520" i="1" s="1"/>
  <c r="B2521" i="1" s="1"/>
  <c r="B2522" i="1" s="1"/>
  <c r="B2523" i="1" s="1"/>
  <c r="B2524" i="1" s="1"/>
  <c r="B2525" i="1" s="1"/>
  <c r="B2526" i="1" s="1"/>
  <c r="B2527" i="1" s="1"/>
  <c r="B2528" i="1" s="1"/>
  <c r="B2529" i="1" s="1"/>
  <c r="B2530" i="1" s="1"/>
  <c r="B2531" i="1" s="1"/>
  <c r="B2532" i="1" s="1"/>
  <c r="B2533" i="1" s="1"/>
  <c r="B2534" i="1" s="1"/>
  <c r="B2535" i="1" s="1"/>
  <c r="B2536" i="1" s="1"/>
  <c r="B2537" i="1" s="1"/>
  <c r="B2538" i="1" s="1"/>
  <c r="B2539" i="1" s="1"/>
  <c r="B2540" i="1" s="1"/>
  <c r="B2541" i="1" s="1"/>
  <c r="B2542" i="1" s="1"/>
  <c r="B2543" i="1" s="1"/>
  <c r="B2544" i="1" s="1"/>
  <c r="B2545" i="1" s="1"/>
  <c r="B2546" i="1" s="1"/>
  <c r="H2510" i="1"/>
  <c r="H2511" i="1" s="1"/>
  <c r="H2512" i="1" s="1"/>
  <c r="H2513" i="1" s="1"/>
  <c r="H2514" i="1" s="1"/>
  <c r="H2515" i="1" s="1"/>
  <c r="H2516" i="1" s="1"/>
  <c r="H2517" i="1" s="1"/>
  <c r="H2518" i="1" s="1"/>
  <c r="H2519" i="1" s="1"/>
  <c r="H2520" i="1" s="1"/>
  <c r="H2521" i="1" s="1"/>
  <c r="H2522" i="1" s="1"/>
  <c r="H2523" i="1" s="1"/>
  <c r="H2524" i="1" s="1"/>
  <c r="H2525" i="1" s="1"/>
  <c r="H2526" i="1" s="1"/>
  <c r="H2527" i="1" s="1"/>
  <c r="H2528" i="1" s="1"/>
  <c r="H2529" i="1" s="1"/>
  <c r="H2530" i="1" s="1"/>
  <c r="H2531" i="1" s="1"/>
  <c r="E2510" i="1"/>
  <c r="F2510" i="1" s="1"/>
  <c r="E2548" i="1"/>
  <c r="F2548" i="1" s="1"/>
  <c r="H2548" i="1"/>
  <c r="H2549" i="1" s="1"/>
  <c r="H2550" i="1" s="1"/>
  <c r="B2549" i="1"/>
  <c r="B2550" i="1" s="1"/>
  <c r="B2551" i="1" s="1"/>
  <c r="B2552" i="1" s="1"/>
  <c r="B2553" i="1" s="1"/>
  <c r="B2554" i="1" s="1"/>
  <c r="B2555" i="1" s="1"/>
  <c r="B2556" i="1" s="1"/>
  <c r="B2557" i="1" s="1"/>
  <c r="B2558" i="1" s="1"/>
  <c r="B2559" i="1" s="1"/>
  <c r="B2560" i="1" s="1"/>
  <c r="B2561" i="1" s="1"/>
  <c r="B2562" i="1" s="1"/>
  <c r="B2563" i="1" s="1"/>
  <c r="B2564" i="1" s="1"/>
  <c r="B2565" i="1" s="1"/>
  <c r="B2566" i="1" s="1"/>
  <c r="B2567" i="1" s="1"/>
  <c r="B2568" i="1" s="1"/>
  <c r="B2569" i="1" s="1"/>
  <c r="B2570" i="1" s="1"/>
  <c r="B2571" i="1" s="1"/>
  <c r="B2572" i="1" s="1"/>
  <c r="B2573" i="1" s="1"/>
  <c r="B2574" i="1" s="1"/>
  <c r="B2575" i="1" s="1"/>
  <c r="B2576" i="1" s="1"/>
  <c r="B2577" i="1" s="1"/>
  <c r="B2578" i="1" s="1"/>
  <c r="B2579" i="1" s="1"/>
  <c r="B2580" i="1" s="1"/>
  <c r="B2581" i="1" s="1"/>
  <c r="B2582" i="1" s="1"/>
  <c r="B2583" i="1" s="1"/>
  <c r="B2584" i="1" s="1"/>
  <c r="E2549" i="1"/>
  <c r="F2549" i="1" s="1"/>
  <c r="E2550" i="1"/>
  <c r="F2550" i="1" s="1"/>
  <c r="E2551" i="1"/>
  <c r="F2551" i="1" s="1"/>
  <c r="E2552" i="1"/>
  <c r="F2552" i="1" s="1"/>
  <c r="E2553" i="1"/>
  <c r="F2553" i="1" s="1"/>
  <c r="E2554" i="1"/>
  <c r="F2554" i="1" s="1"/>
  <c r="E2555" i="1"/>
  <c r="F2555" i="1" s="1"/>
  <c r="E2556" i="1"/>
  <c r="F2556" i="1" s="1"/>
  <c r="E2557" i="1"/>
  <c r="F2557" i="1" s="1"/>
  <c r="E2558" i="1"/>
  <c r="F2558" i="1" s="1"/>
  <c r="E2559" i="1"/>
  <c r="F2559" i="1" s="1"/>
  <c r="E2560" i="1"/>
  <c r="F2560" i="1" s="1"/>
  <c r="E2561" i="1"/>
  <c r="F2561" i="1" s="1"/>
  <c r="E2562" i="1"/>
  <c r="F2562" i="1" s="1"/>
  <c r="E2563" i="1"/>
  <c r="F2563" i="1" s="1"/>
  <c r="E2564" i="1"/>
  <c r="F2564" i="1" s="1"/>
  <c r="E2565" i="1"/>
  <c r="F2565" i="1" s="1"/>
  <c r="E2566" i="1"/>
  <c r="F2566" i="1" s="1"/>
  <c r="E2567" i="1"/>
  <c r="F2567" i="1" s="1"/>
  <c r="E2568" i="1"/>
  <c r="F2568" i="1" s="1"/>
  <c r="E2492" i="1"/>
  <c r="F2492" i="1" s="1"/>
  <c r="E2491" i="1"/>
  <c r="F2491" i="1" s="1"/>
  <c r="E2490" i="1"/>
  <c r="F2490" i="1" s="1"/>
  <c r="E2489" i="1"/>
  <c r="F2489" i="1" s="1"/>
  <c r="E2488" i="1"/>
  <c r="F2488" i="1" s="1"/>
  <c r="E2487" i="1"/>
  <c r="F2487" i="1" s="1"/>
  <c r="E2486" i="1"/>
  <c r="F2486" i="1" s="1"/>
  <c r="E2485" i="1"/>
  <c r="F2485" i="1" s="1"/>
  <c r="E2484" i="1"/>
  <c r="F2484" i="1" s="1"/>
  <c r="E2483" i="1"/>
  <c r="F2483" i="1" s="1"/>
  <c r="E2482" i="1"/>
  <c r="F2482" i="1" s="1"/>
  <c r="E2481" i="1"/>
  <c r="F2481" i="1" s="1"/>
  <c r="E2480" i="1"/>
  <c r="F2480" i="1" s="1"/>
  <c r="E2479" i="1"/>
  <c r="F2479" i="1" s="1"/>
  <c r="E2478" i="1"/>
  <c r="F2478" i="1" s="1"/>
  <c r="E2477" i="1"/>
  <c r="F2477" i="1" s="1"/>
  <c r="E2476" i="1"/>
  <c r="F2476" i="1" s="1"/>
  <c r="E2475" i="1"/>
  <c r="F2475" i="1" s="1"/>
  <c r="E2474" i="1"/>
  <c r="F2474" i="1" s="1"/>
  <c r="E2473" i="1"/>
  <c r="F2473" i="1" s="1"/>
  <c r="B2473" i="1"/>
  <c r="B2474" i="1" s="1"/>
  <c r="B2475" i="1" s="1"/>
  <c r="B2476" i="1" s="1"/>
  <c r="B2477" i="1" s="1"/>
  <c r="B2478" i="1" s="1"/>
  <c r="B2479" i="1" s="1"/>
  <c r="B2480" i="1" s="1"/>
  <c r="B2481" i="1" s="1"/>
  <c r="B2482" i="1" s="1"/>
  <c r="B2483" i="1" s="1"/>
  <c r="B2484" i="1" s="1"/>
  <c r="B2485" i="1" s="1"/>
  <c r="B2486" i="1" s="1"/>
  <c r="B2487" i="1" s="1"/>
  <c r="B2488" i="1" s="1"/>
  <c r="B2489" i="1" s="1"/>
  <c r="B2490" i="1" s="1"/>
  <c r="B2491" i="1" s="1"/>
  <c r="B2492" i="1" s="1"/>
  <c r="B2493" i="1" s="1"/>
  <c r="B2494" i="1" s="1"/>
  <c r="B2495" i="1" s="1"/>
  <c r="B2496" i="1" s="1"/>
  <c r="B2497" i="1" s="1"/>
  <c r="B2498" i="1" s="1"/>
  <c r="B2499" i="1" s="1"/>
  <c r="B2500" i="1" s="1"/>
  <c r="B2501" i="1" s="1"/>
  <c r="B2502" i="1" s="1"/>
  <c r="B2503" i="1" s="1"/>
  <c r="B2504" i="1" s="1"/>
  <c r="B2505" i="1" s="1"/>
  <c r="B2506" i="1" s="1"/>
  <c r="B2507" i="1" s="1"/>
  <c r="B2508" i="1" s="1"/>
  <c r="H2472" i="1"/>
  <c r="H2473" i="1" s="1"/>
  <c r="H2474" i="1" s="1"/>
  <c r="H2475" i="1" s="1"/>
  <c r="H2476" i="1" s="1"/>
  <c r="H2477" i="1" s="1"/>
  <c r="H2478" i="1" s="1"/>
  <c r="H2479" i="1" s="1"/>
  <c r="H2480" i="1" s="1"/>
  <c r="E2472" i="1"/>
  <c r="F2472" i="1" s="1"/>
  <c r="E2302" i="1"/>
  <c r="F2302" i="1" s="1"/>
  <c r="E2301" i="1"/>
  <c r="F2301" i="1" s="1"/>
  <c r="E2300" i="1"/>
  <c r="F2300" i="1" s="1"/>
  <c r="E2299" i="1"/>
  <c r="F2299" i="1" s="1"/>
  <c r="E2298" i="1"/>
  <c r="F2298" i="1" s="1"/>
  <c r="E2297" i="1"/>
  <c r="F2297" i="1" s="1"/>
  <c r="E2296" i="1"/>
  <c r="F2296" i="1" s="1"/>
  <c r="E2295" i="1"/>
  <c r="F2295" i="1" s="1"/>
  <c r="E2294" i="1"/>
  <c r="F2294" i="1" s="1"/>
  <c r="E2293" i="1"/>
  <c r="F2293" i="1" s="1"/>
  <c r="E2292" i="1"/>
  <c r="F2292" i="1" s="1"/>
  <c r="E2291" i="1"/>
  <c r="F2291" i="1" s="1"/>
  <c r="E2290" i="1"/>
  <c r="F2290" i="1" s="1"/>
  <c r="E2289" i="1"/>
  <c r="F2289" i="1" s="1"/>
  <c r="E2288" i="1"/>
  <c r="F2288" i="1" s="1"/>
  <c r="E2287" i="1"/>
  <c r="F2287" i="1" s="1"/>
  <c r="E2286" i="1"/>
  <c r="F2286" i="1" s="1"/>
  <c r="E2285" i="1"/>
  <c r="F2285" i="1" s="1"/>
  <c r="E2284" i="1"/>
  <c r="F2284" i="1" s="1"/>
  <c r="E2283" i="1"/>
  <c r="F2283" i="1" s="1"/>
  <c r="B2283" i="1"/>
  <c r="B2284" i="1" s="1"/>
  <c r="B2285" i="1" s="1"/>
  <c r="B2286" i="1" s="1"/>
  <c r="B2287" i="1" s="1"/>
  <c r="B2288" i="1" s="1"/>
  <c r="B2289" i="1" s="1"/>
  <c r="B2290" i="1" s="1"/>
  <c r="B2291" i="1" s="1"/>
  <c r="B2292" i="1" s="1"/>
  <c r="B2293" i="1" s="1"/>
  <c r="B2294" i="1" s="1"/>
  <c r="B2295" i="1" s="1"/>
  <c r="B2296" i="1" s="1"/>
  <c r="B2297" i="1" s="1"/>
  <c r="B2298" i="1" s="1"/>
  <c r="B2299" i="1" s="1"/>
  <c r="B2300" i="1" s="1"/>
  <c r="B2301" i="1" s="1"/>
  <c r="B2302" i="1" s="1"/>
  <c r="B2303" i="1" s="1"/>
  <c r="B2304" i="1" s="1"/>
  <c r="B2305" i="1" s="1"/>
  <c r="B2306" i="1" s="1"/>
  <c r="B2307" i="1" s="1"/>
  <c r="B2308" i="1" s="1"/>
  <c r="B2309" i="1" s="1"/>
  <c r="B2310" i="1" s="1"/>
  <c r="B2311" i="1" s="1"/>
  <c r="B2312" i="1" s="1"/>
  <c r="B2313" i="1" s="1"/>
  <c r="B2314" i="1" s="1"/>
  <c r="B2315" i="1" s="1"/>
  <c r="B2316" i="1" s="1"/>
  <c r="B2317" i="1" s="1"/>
  <c r="B2318" i="1" s="1"/>
  <c r="E2282" i="1"/>
  <c r="F2282" i="1" s="1"/>
  <c r="E2264" i="1"/>
  <c r="F2264" i="1" s="1"/>
  <c r="E2263" i="1"/>
  <c r="F2263" i="1" s="1"/>
  <c r="E2262" i="1"/>
  <c r="F2262" i="1" s="1"/>
  <c r="E2261" i="1"/>
  <c r="F2261" i="1" s="1"/>
  <c r="E2260" i="1"/>
  <c r="F2260" i="1" s="1"/>
  <c r="E2259" i="1"/>
  <c r="F2259" i="1" s="1"/>
  <c r="E2258" i="1"/>
  <c r="F2258" i="1" s="1"/>
  <c r="E2257" i="1"/>
  <c r="F2257" i="1" s="1"/>
  <c r="E2256" i="1"/>
  <c r="F2256" i="1" s="1"/>
  <c r="E2255" i="1"/>
  <c r="F2255" i="1" s="1"/>
  <c r="E2254" i="1"/>
  <c r="F2254" i="1" s="1"/>
  <c r="E2253" i="1"/>
  <c r="F2253" i="1" s="1"/>
  <c r="E2252" i="1"/>
  <c r="F2252" i="1" s="1"/>
  <c r="E2251" i="1"/>
  <c r="F2251" i="1" s="1"/>
  <c r="E2250" i="1"/>
  <c r="F2250" i="1" s="1"/>
  <c r="E2249" i="1"/>
  <c r="F2249" i="1" s="1"/>
  <c r="E2248" i="1"/>
  <c r="F2248" i="1" s="1"/>
  <c r="E2247" i="1"/>
  <c r="F2247" i="1" s="1"/>
  <c r="E2246" i="1"/>
  <c r="F2246" i="1" s="1"/>
  <c r="E2245" i="1"/>
  <c r="F2245" i="1" s="1"/>
  <c r="B2245" i="1"/>
  <c r="B2246" i="1" s="1"/>
  <c r="B2247" i="1" s="1"/>
  <c r="B2248" i="1" s="1"/>
  <c r="B2249" i="1" s="1"/>
  <c r="B2250" i="1" s="1"/>
  <c r="B2251" i="1" s="1"/>
  <c r="B2252" i="1" s="1"/>
  <c r="B2253" i="1" s="1"/>
  <c r="B2254" i="1" s="1"/>
  <c r="B2255" i="1" s="1"/>
  <c r="B2256" i="1" s="1"/>
  <c r="B2257" i="1" s="1"/>
  <c r="B2258" i="1" s="1"/>
  <c r="B2259" i="1" s="1"/>
  <c r="B2260" i="1" s="1"/>
  <c r="B2261" i="1" s="1"/>
  <c r="B2262" i="1" s="1"/>
  <c r="B2263" i="1" s="1"/>
  <c r="B2264" i="1" s="1"/>
  <c r="B2265" i="1" s="1"/>
  <c r="B2266" i="1" s="1"/>
  <c r="B2267" i="1" s="1"/>
  <c r="B2268" i="1" s="1"/>
  <c r="B2269" i="1" s="1"/>
  <c r="B2270" i="1" s="1"/>
  <c r="B2271" i="1" s="1"/>
  <c r="B2272" i="1" s="1"/>
  <c r="B2273" i="1" s="1"/>
  <c r="B2274" i="1" s="1"/>
  <c r="B2275" i="1" s="1"/>
  <c r="B2276" i="1" s="1"/>
  <c r="B2277" i="1" s="1"/>
  <c r="B2278" i="1" s="1"/>
  <c r="B2279" i="1" s="1"/>
  <c r="B2280" i="1" s="1"/>
  <c r="E2244" i="1"/>
  <c r="F2244" i="1" s="1"/>
  <c r="E2226" i="1"/>
  <c r="F2226" i="1" s="1"/>
  <c r="E2225" i="1"/>
  <c r="F2225" i="1" s="1"/>
  <c r="E2224" i="1"/>
  <c r="F2224" i="1" s="1"/>
  <c r="E2223" i="1"/>
  <c r="F2223" i="1" s="1"/>
  <c r="E2222" i="1"/>
  <c r="F2222" i="1" s="1"/>
  <c r="E2221" i="1"/>
  <c r="F2221" i="1" s="1"/>
  <c r="E2220" i="1"/>
  <c r="F2220" i="1" s="1"/>
  <c r="E2219" i="1"/>
  <c r="F2219" i="1" s="1"/>
  <c r="E2218" i="1"/>
  <c r="F2218" i="1" s="1"/>
  <c r="E2217" i="1"/>
  <c r="F2217" i="1" s="1"/>
  <c r="E2216" i="1"/>
  <c r="F2216" i="1" s="1"/>
  <c r="E2215" i="1"/>
  <c r="F2215" i="1" s="1"/>
  <c r="E2214" i="1"/>
  <c r="F2214" i="1" s="1"/>
  <c r="E2213" i="1"/>
  <c r="F2213" i="1" s="1"/>
  <c r="E2212" i="1"/>
  <c r="F2212" i="1" s="1"/>
  <c r="E2211" i="1"/>
  <c r="F2211" i="1" s="1"/>
  <c r="E2210" i="1"/>
  <c r="F2210" i="1" s="1"/>
  <c r="E2209" i="1"/>
  <c r="F2209" i="1" s="1"/>
  <c r="E2208" i="1"/>
  <c r="F2208" i="1" s="1"/>
  <c r="E2207" i="1"/>
  <c r="F2207" i="1" s="1"/>
  <c r="B2207" i="1"/>
  <c r="B2208" i="1" s="1"/>
  <c r="B2209" i="1" s="1"/>
  <c r="B2210" i="1" s="1"/>
  <c r="B2211" i="1" s="1"/>
  <c r="B2212" i="1" s="1"/>
  <c r="B2213" i="1" s="1"/>
  <c r="B2214" i="1" s="1"/>
  <c r="B2215" i="1" s="1"/>
  <c r="B2216" i="1" s="1"/>
  <c r="B2217" i="1" s="1"/>
  <c r="B2218" i="1" s="1"/>
  <c r="B2219" i="1" s="1"/>
  <c r="B2220" i="1" s="1"/>
  <c r="B2221" i="1" s="1"/>
  <c r="B2222" i="1" s="1"/>
  <c r="B2223" i="1" s="1"/>
  <c r="B2224" i="1" s="1"/>
  <c r="B2225" i="1" s="1"/>
  <c r="B2226" i="1" s="1"/>
  <c r="B2227" i="1" s="1"/>
  <c r="B2228" i="1" s="1"/>
  <c r="B2229" i="1" s="1"/>
  <c r="B2230" i="1" s="1"/>
  <c r="B2231" i="1" s="1"/>
  <c r="B2232" i="1" s="1"/>
  <c r="B2233" i="1" s="1"/>
  <c r="B2234" i="1" s="1"/>
  <c r="B2235" i="1" s="1"/>
  <c r="B2236" i="1" s="1"/>
  <c r="B2237" i="1" s="1"/>
  <c r="B2238" i="1" s="1"/>
  <c r="B2239" i="1" s="1"/>
  <c r="B2240" i="1" s="1"/>
  <c r="B2241" i="1" s="1"/>
  <c r="B2242" i="1" s="1"/>
  <c r="E2206" i="1"/>
  <c r="F2206" i="1" s="1"/>
  <c r="E2320" i="1"/>
  <c r="F2320" i="1" s="1"/>
  <c r="H2320" i="1"/>
  <c r="H2321" i="1" s="1"/>
  <c r="H2322" i="1" s="1"/>
  <c r="H2323" i="1" s="1"/>
  <c r="H2324" i="1" s="1"/>
  <c r="B2321" i="1"/>
  <c r="B2322" i="1" s="1"/>
  <c r="B2323" i="1" s="1"/>
  <c r="B2324" i="1" s="1"/>
  <c r="B2325" i="1" s="1"/>
  <c r="B2326" i="1" s="1"/>
  <c r="B2327" i="1" s="1"/>
  <c r="B2328" i="1" s="1"/>
  <c r="B2329" i="1" s="1"/>
  <c r="B2330" i="1" s="1"/>
  <c r="B2331" i="1" s="1"/>
  <c r="B2332" i="1" s="1"/>
  <c r="B2333" i="1" s="1"/>
  <c r="B2334" i="1" s="1"/>
  <c r="B2335" i="1" s="1"/>
  <c r="B2336" i="1" s="1"/>
  <c r="B2337" i="1" s="1"/>
  <c r="B2338" i="1" s="1"/>
  <c r="B2339" i="1" s="1"/>
  <c r="B2340" i="1" s="1"/>
  <c r="B2341" i="1" s="1"/>
  <c r="B2342" i="1" s="1"/>
  <c r="B2343" i="1" s="1"/>
  <c r="B2344" i="1" s="1"/>
  <c r="B2345" i="1" s="1"/>
  <c r="B2346" i="1" s="1"/>
  <c r="B2347" i="1" s="1"/>
  <c r="B2348" i="1" s="1"/>
  <c r="B2349" i="1" s="1"/>
  <c r="B2350" i="1" s="1"/>
  <c r="B2351" i="1" s="1"/>
  <c r="B2352" i="1" s="1"/>
  <c r="B2353" i="1" s="1"/>
  <c r="B2354" i="1" s="1"/>
  <c r="B2355" i="1" s="1"/>
  <c r="B2356" i="1" s="1"/>
  <c r="E2321" i="1"/>
  <c r="F2321" i="1" s="1"/>
  <c r="E2322" i="1"/>
  <c r="F2322" i="1" s="1"/>
  <c r="E2323" i="1"/>
  <c r="F2323" i="1" s="1"/>
  <c r="E2324" i="1"/>
  <c r="F2324" i="1" s="1"/>
  <c r="E2325" i="1"/>
  <c r="F2325" i="1" s="1"/>
  <c r="E2326" i="1"/>
  <c r="F2326" i="1" s="1"/>
  <c r="E2327" i="1"/>
  <c r="F2327" i="1" s="1"/>
  <c r="E2328" i="1"/>
  <c r="F2328" i="1" s="1"/>
  <c r="E2329" i="1"/>
  <c r="F2329" i="1" s="1"/>
  <c r="E2330" i="1"/>
  <c r="F2330" i="1" s="1"/>
  <c r="E2331" i="1"/>
  <c r="F2331" i="1" s="1"/>
  <c r="E2332" i="1"/>
  <c r="F2332" i="1" s="1"/>
  <c r="E2333" i="1"/>
  <c r="F2333" i="1" s="1"/>
  <c r="E2334" i="1"/>
  <c r="F2334" i="1" s="1"/>
  <c r="E2335" i="1"/>
  <c r="F2335" i="1" s="1"/>
  <c r="E2336" i="1"/>
  <c r="F2336" i="1" s="1"/>
  <c r="E2337" i="1"/>
  <c r="F2337" i="1" s="1"/>
  <c r="E2338" i="1"/>
  <c r="F2338" i="1" s="1"/>
  <c r="E2339" i="1"/>
  <c r="F2339" i="1" s="1"/>
  <c r="E2340" i="1"/>
  <c r="F2340" i="1" s="1"/>
  <c r="E2036" i="1"/>
  <c r="F2036" i="1" s="1"/>
  <c r="E2035" i="1"/>
  <c r="F2035" i="1" s="1"/>
  <c r="E2034" i="1"/>
  <c r="F2034" i="1" s="1"/>
  <c r="E2033" i="1"/>
  <c r="F2033" i="1" s="1"/>
  <c r="E2032" i="1"/>
  <c r="F2032" i="1" s="1"/>
  <c r="E2031" i="1"/>
  <c r="F2031" i="1" s="1"/>
  <c r="E2030" i="1"/>
  <c r="F2030" i="1" s="1"/>
  <c r="E2029" i="1"/>
  <c r="F2029" i="1" s="1"/>
  <c r="E2028" i="1"/>
  <c r="F2028" i="1" s="1"/>
  <c r="E2027" i="1"/>
  <c r="F2027" i="1" s="1"/>
  <c r="E2026" i="1"/>
  <c r="F2026" i="1" s="1"/>
  <c r="E2025" i="1"/>
  <c r="F2025" i="1" s="1"/>
  <c r="E2024" i="1"/>
  <c r="F2024" i="1" s="1"/>
  <c r="E2023" i="1"/>
  <c r="F2023" i="1" s="1"/>
  <c r="E2022" i="1"/>
  <c r="F2022" i="1" s="1"/>
  <c r="E2021" i="1"/>
  <c r="F2021" i="1" s="1"/>
  <c r="E2020" i="1"/>
  <c r="F2020" i="1" s="1"/>
  <c r="E2019" i="1"/>
  <c r="F2019" i="1" s="1"/>
  <c r="E2018" i="1"/>
  <c r="F2018" i="1" s="1"/>
  <c r="E2017" i="1"/>
  <c r="F2017" i="1" s="1"/>
  <c r="B2017" i="1"/>
  <c r="B2018" i="1" s="1"/>
  <c r="B2019" i="1" s="1"/>
  <c r="B2020" i="1" s="1"/>
  <c r="B2021" i="1" s="1"/>
  <c r="B2022" i="1" s="1"/>
  <c r="B2023" i="1" s="1"/>
  <c r="B2024" i="1" s="1"/>
  <c r="B2025" i="1" s="1"/>
  <c r="B2026" i="1" s="1"/>
  <c r="B2027" i="1" s="1"/>
  <c r="B2028" i="1" s="1"/>
  <c r="B2029" i="1" s="1"/>
  <c r="B2030" i="1" s="1"/>
  <c r="B2031" i="1" s="1"/>
  <c r="B2032" i="1" s="1"/>
  <c r="B2033" i="1" s="1"/>
  <c r="B2034" i="1" s="1"/>
  <c r="B2035" i="1" s="1"/>
  <c r="B2036" i="1" s="1"/>
  <c r="B2037" i="1" s="1"/>
  <c r="B2038" i="1" s="1"/>
  <c r="B2039" i="1" s="1"/>
  <c r="B2040" i="1" s="1"/>
  <c r="B2041" i="1" s="1"/>
  <c r="B2042" i="1" s="1"/>
  <c r="B2043" i="1" s="1"/>
  <c r="B2044" i="1" s="1"/>
  <c r="B2045" i="1" s="1"/>
  <c r="B2046" i="1" s="1"/>
  <c r="B2047" i="1" s="1"/>
  <c r="B2048" i="1" s="1"/>
  <c r="B2049" i="1" s="1"/>
  <c r="B2050" i="1" s="1"/>
  <c r="B2051" i="1" s="1"/>
  <c r="B2052" i="1" s="1"/>
  <c r="E2016" i="1"/>
  <c r="F2016" i="1" s="1"/>
  <c r="E1998" i="1"/>
  <c r="F1998" i="1" s="1"/>
  <c r="E1997" i="1"/>
  <c r="F1997" i="1" s="1"/>
  <c r="E1996" i="1"/>
  <c r="F1996" i="1" s="1"/>
  <c r="E1995" i="1"/>
  <c r="F1995" i="1" s="1"/>
  <c r="E1994" i="1"/>
  <c r="F1994" i="1" s="1"/>
  <c r="E1993" i="1"/>
  <c r="F1993" i="1" s="1"/>
  <c r="E1992" i="1"/>
  <c r="F1992" i="1" s="1"/>
  <c r="E1991" i="1"/>
  <c r="F1991" i="1" s="1"/>
  <c r="E1990" i="1"/>
  <c r="F1990" i="1" s="1"/>
  <c r="E1989" i="1"/>
  <c r="F1989" i="1" s="1"/>
  <c r="E1988" i="1"/>
  <c r="F1988" i="1" s="1"/>
  <c r="E1987" i="1"/>
  <c r="F1987" i="1" s="1"/>
  <c r="E1986" i="1"/>
  <c r="F1986" i="1" s="1"/>
  <c r="E1985" i="1"/>
  <c r="F1985" i="1" s="1"/>
  <c r="E1984" i="1"/>
  <c r="F1984" i="1" s="1"/>
  <c r="E1983" i="1"/>
  <c r="F1983" i="1" s="1"/>
  <c r="E1982" i="1"/>
  <c r="F1982" i="1" s="1"/>
  <c r="E1981" i="1"/>
  <c r="F1981" i="1" s="1"/>
  <c r="E1980" i="1"/>
  <c r="F1980" i="1" s="1"/>
  <c r="E1979" i="1"/>
  <c r="F1979" i="1" s="1"/>
  <c r="B1979" i="1"/>
  <c r="B1980" i="1" s="1"/>
  <c r="B1981" i="1" s="1"/>
  <c r="B1982" i="1" s="1"/>
  <c r="B1983" i="1" s="1"/>
  <c r="B1984" i="1" s="1"/>
  <c r="B1985" i="1" s="1"/>
  <c r="B1986" i="1" s="1"/>
  <c r="B1987" i="1" s="1"/>
  <c r="B1988" i="1" s="1"/>
  <c r="B1989" i="1" s="1"/>
  <c r="B1990" i="1" s="1"/>
  <c r="B1991" i="1" s="1"/>
  <c r="B1992" i="1" s="1"/>
  <c r="B1993" i="1" s="1"/>
  <c r="B1994" i="1" s="1"/>
  <c r="B1995" i="1" s="1"/>
  <c r="B1996" i="1" s="1"/>
  <c r="B1997" i="1" s="1"/>
  <c r="B1998" i="1" s="1"/>
  <c r="B1999" i="1" s="1"/>
  <c r="B2000" i="1" s="1"/>
  <c r="B2001" i="1" s="1"/>
  <c r="B2002" i="1" s="1"/>
  <c r="B2003" i="1" s="1"/>
  <c r="B2004" i="1" s="1"/>
  <c r="B2005" i="1" s="1"/>
  <c r="B2006" i="1" s="1"/>
  <c r="B2007" i="1" s="1"/>
  <c r="B2008" i="1" s="1"/>
  <c r="B2009" i="1" s="1"/>
  <c r="B2010" i="1" s="1"/>
  <c r="B2011" i="1" s="1"/>
  <c r="B2012" i="1" s="1"/>
  <c r="B2013" i="1" s="1"/>
  <c r="B2014" i="1" s="1"/>
  <c r="E1978" i="1"/>
  <c r="F1978" i="1" s="1"/>
  <c r="E1960" i="1"/>
  <c r="F1960" i="1" s="1"/>
  <c r="E1959" i="1"/>
  <c r="F1959" i="1" s="1"/>
  <c r="E1958" i="1"/>
  <c r="F1958" i="1" s="1"/>
  <c r="E1957" i="1"/>
  <c r="F1957" i="1" s="1"/>
  <c r="E1956" i="1"/>
  <c r="F1956" i="1" s="1"/>
  <c r="E1955" i="1"/>
  <c r="F1955" i="1" s="1"/>
  <c r="E1954" i="1"/>
  <c r="F1954" i="1" s="1"/>
  <c r="E1953" i="1"/>
  <c r="F1953" i="1" s="1"/>
  <c r="E1952" i="1"/>
  <c r="F1952" i="1" s="1"/>
  <c r="E1951" i="1"/>
  <c r="F1951" i="1" s="1"/>
  <c r="E1950" i="1"/>
  <c r="F1950" i="1" s="1"/>
  <c r="E1949" i="1"/>
  <c r="F1949" i="1" s="1"/>
  <c r="E1948" i="1"/>
  <c r="F1948" i="1" s="1"/>
  <c r="E1947" i="1"/>
  <c r="F1947" i="1" s="1"/>
  <c r="E1946" i="1"/>
  <c r="F1946" i="1" s="1"/>
  <c r="E1945" i="1"/>
  <c r="F1945" i="1" s="1"/>
  <c r="E1944" i="1"/>
  <c r="F1944" i="1" s="1"/>
  <c r="E1943" i="1"/>
  <c r="F1943" i="1" s="1"/>
  <c r="E1942" i="1"/>
  <c r="F1942" i="1" s="1"/>
  <c r="E1941" i="1"/>
  <c r="F1941" i="1" s="1"/>
  <c r="B1941" i="1"/>
  <c r="B1942" i="1" s="1"/>
  <c r="B1943" i="1" s="1"/>
  <c r="B1944" i="1" s="1"/>
  <c r="B1945" i="1" s="1"/>
  <c r="B1946" i="1" s="1"/>
  <c r="B1947" i="1" s="1"/>
  <c r="B1948" i="1" s="1"/>
  <c r="B1949" i="1" s="1"/>
  <c r="B1950" i="1" s="1"/>
  <c r="B1951" i="1" s="1"/>
  <c r="B1952" i="1" s="1"/>
  <c r="B1953" i="1" s="1"/>
  <c r="B1954" i="1" s="1"/>
  <c r="B1955" i="1" s="1"/>
  <c r="B1956" i="1" s="1"/>
  <c r="B1957" i="1" s="1"/>
  <c r="B1958" i="1" s="1"/>
  <c r="B1959" i="1" s="1"/>
  <c r="B1960" i="1" s="1"/>
  <c r="B1961" i="1" s="1"/>
  <c r="B1962" i="1" s="1"/>
  <c r="B1963" i="1" s="1"/>
  <c r="B1964" i="1" s="1"/>
  <c r="B1965" i="1" s="1"/>
  <c r="B1966" i="1" s="1"/>
  <c r="B1967" i="1" s="1"/>
  <c r="B1968" i="1" s="1"/>
  <c r="B1969" i="1" s="1"/>
  <c r="B1970" i="1" s="1"/>
  <c r="B1971" i="1" s="1"/>
  <c r="B1972" i="1" s="1"/>
  <c r="B1973" i="1" s="1"/>
  <c r="B1974" i="1" s="1"/>
  <c r="B1975" i="1" s="1"/>
  <c r="B1976" i="1" s="1"/>
  <c r="E1940" i="1"/>
  <c r="F1940" i="1" s="1"/>
  <c r="E1884" i="1"/>
  <c r="F1884" i="1" s="1"/>
  <c r="E1883" i="1"/>
  <c r="F1883" i="1" s="1"/>
  <c r="E1882" i="1"/>
  <c r="F1882" i="1" s="1"/>
  <c r="E1881" i="1"/>
  <c r="F1881" i="1" s="1"/>
  <c r="E1880" i="1"/>
  <c r="F1880" i="1" s="1"/>
  <c r="E1879" i="1"/>
  <c r="F1879" i="1" s="1"/>
  <c r="E1878" i="1"/>
  <c r="F1878" i="1" s="1"/>
  <c r="E1877" i="1"/>
  <c r="F1877" i="1" s="1"/>
  <c r="E1876" i="1"/>
  <c r="F1876" i="1" s="1"/>
  <c r="E1875" i="1"/>
  <c r="F1875" i="1" s="1"/>
  <c r="E1874" i="1"/>
  <c r="F1874" i="1" s="1"/>
  <c r="E1873" i="1"/>
  <c r="F1873" i="1" s="1"/>
  <c r="E1872" i="1"/>
  <c r="F1872" i="1" s="1"/>
  <c r="E1871" i="1"/>
  <c r="F1871" i="1" s="1"/>
  <c r="E1870" i="1"/>
  <c r="F1870" i="1" s="1"/>
  <c r="E1869" i="1"/>
  <c r="F1869" i="1" s="1"/>
  <c r="E1868" i="1"/>
  <c r="F1868" i="1" s="1"/>
  <c r="E1867" i="1"/>
  <c r="F1867" i="1" s="1"/>
  <c r="E1866" i="1"/>
  <c r="F1866" i="1" s="1"/>
  <c r="E1865" i="1"/>
  <c r="F1865" i="1" s="1"/>
  <c r="B1865" i="1"/>
  <c r="B1866" i="1" s="1"/>
  <c r="B1867" i="1" s="1"/>
  <c r="B1868" i="1" s="1"/>
  <c r="B1869" i="1" s="1"/>
  <c r="B1870" i="1" s="1"/>
  <c r="B1871" i="1" s="1"/>
  <c r="B1872" i="1" s="1"/>
  <c r="B1873" i="1" s="1"/>
  <c r="B1874" i="1" s="1"/>
  <c r="B1875" i="1" s="1"/>
  <c r="B1876" i="1" s="1"/>
  <c r="B1877" i="1" s="1"/>
  <c r="B1878" i="1" s="1"/>
  <c r="B1879" i="1" s="1"/>
  <c r="B1880" i="1" s="1"/>
  <c r="B1881" i="1" s="1"/>
  <c r="B1882" i="1" s="1"/>
  <c r="B1883" i="1" s="1"/>
  <c r="B1884" i="1" s="1"/>
  <c r="B1885" i="1" s="1"/>
  <c r="B1886" i="1" s="1"/>
  <c r="B1887" i="1" s="1"/>
  <c r="B1888" i="1" s="1"/>
  <c r="B1889" i="1" s="1"/>
  <c r="B1890" i="1" s="1"/>
  <c r="B1891" i="1" s="1"/>
  <c r="B1892" i="1" s="1"/>
  <c r="B1893" i="1" s="1"/>
  <c r="B1894" i="1" s="1"/>
  <c r="B1895" i="1" s="1"/>
  <c r="B1896" i="1" s="1"/>
  <c r="B1897" i="1" s="1"/>
  <c r="B1898" i="1" s="1"/>
  <c r="B1899" i="1" s="1"/>
  <c r="B1900" i="1" s="1"/>
  <c r="E1864" i="1"/>
  <c r="F1864" i="1" s="1"/>
  <c r="E1846" i="1"/>
  <c r="F1846" i="1" s="1"/>
  <c r="E1845" i="1"/>
  <c r="F1845" i="1" s="1"/>
  <c r="E1844" i="1"/>
  <c r="F1844" i="1" s="1"/>
  <c r="E1843" i="1"/>
  <c r="F1843" i="1" s="1"/>
  <c r="E1842" i="1"/>
  <c r="F1842" i="1" s="1"/>
  <c r="E1841" i="1"/>
  <c r="F1841" i="1" s="1"/>
  <c r="E1840" i="1"/>
  <c r="F1840" i="1" s="1"/>
  <c r="E1839" i="1"/>
  <c r="F1839" i="1" s="1"/>
  <c r="E1838" i="1"/>
  <c r="F1838" i="1" s="1"/>
  <c r="E1837" i="1"/>
  <c r="F1837" i="1" s="1"/>
  <c r="E1836" i="1"/>
  <c r="F1836" i="1" s="1"/>
  <c r="E1835" i="1"/>
  <c r="F1835" i="1" s="1"/>
  <c r="E1834" i="1"/>
  <c r="F1834" i="1" s="1"/>
  <c r="E1833" i="1"/>
  <c r="F1833" i="1" s="1"/>
  <c r="E1832" i="1"/>
  <c r="F1832" i="1" s="1"/>
  <c r="E1831" i="1"/>
  <c r="F1831" i="1" s="1"/>
  <c r="E1830" i="1"/>
  <c r="F1830" i="1" s="1"/>
  <c r="E1829" i="1"/>
  <c r="F1829" i="1" s="1"/>
  <c r="E1828" i="1"/>
  <c r="F1828" i="1" s="1"/>
  <c r="E1827" i="1"/>
  <c r="F1827" i="1" s="1"/>
  <c r="B1827" i="1"/>
  <c r="B1828" i="1" s="1"/>
  <c r="B1829" i="1" s="1"/>
  <c r="B1830" i="1" s="1"/>
  <c r="B1831" i="1" s="1"/>
  <c r="B1832" i="1" s="1"/>
  <c r="B1833" i="1" s="1"/>
  <c r="B1834" i="1" s="1"/>
  <c r="B1835" i="1" s="1"/>
  <c r="B1836" i="1" s="1"/>
  <c r="B1837" i="1" s="1"/>
  <c r="B1838" i="1" s="1"/>
  <c r="B1839" i="1" s="1"/>
  <c r="B1840" i="1" s="1"/>
  <c r="B1841" i="1" s="1"/>
  <c r="B1842" i="1" s="1"/>
  <c r="B1843" i="1" s="1"/>
  <c r="B1844" i="1" s="1"/>
  <c r="B1845" i="1" s="1"/>
  <c r="B1846" i="1" s="1"/>
  <c r="B1847" i="1" s="1"/>
  <c r="B1848" i="1" s="1"/>
  <c r="B1849" i="1" s="1"/>
  <c r="B1850" i="1" s="1"/>
  <c r="B1851" i="1" s="1"/>
  <c r="B1852" i="1" s="1"/>
  <c r="B1853" i="1" s="1"/>
  <c r="B1854" i="1" s="1"/>
  <c r="B1855" i="1" s="1"/>
  <c r="B1856" i="1" s="1"/>
  <c r="B1857" i="1" s="1"/>
  <c r="B1858" i="1" s="1"/>
  <c r="B1859" i="1" s="1"/>
  <c r="B1860" i="1" s="1"/>
  <c r="B1861" i="1" s="1"/>
  <c r="B1862" i="1" s="1"/>
  <c r="E1826" i="1"/>
  <c r="F1826" i="1" s="1"/>
  <c r="E1808" i="1"/>
  <c r="F1808" i="1" s="1"/>
  <c r="E1807" i="1"/>
  <c r="F1807" i="1" s="1"/>
  <c r="E1806" i="1"/>
  <c r="F1806" i="1" s="1"/>
  <c r="E1805" i="1"/>
  <c r="F1805" i="1" s="1"/>
  <c r="E1804" i="1"/>
  <c r="F1804" i="1" s="1"/>
  <c r="E1803" i="1"/>
  <c r="F1803" i="1" s="1"/>
  <c r="E1802" i="1"/>
  <c r="F1802" i="1" s="1"/>
  <c r="E1801" i="1"/>
  <c r="F1801" i="1" s="1"/>
  <c r="E1800" i="1"/>
  <c r="F1800" i="1" s="1"/>
  <c r="E1799" i="1"/>
  <c r="F1799" i="1" s="1"/>
  <c r="E1798" i="1"/>
  <c r="F1798" i="1" s="1"/>
  <c r="E1797" i="1"/>
  <c r="F1797" i="1" s="1"/>
  <c r="E1796" i="1"/>
  <c r="F1796" i="1" s="1"/>
  <c r="E1795" i="1"/>
  <c r="F1795" i="1" s="1"/>
  <c r="E1794" i="1"/>
  <c r="F1794" i="1" s="1"/>
  <c r="E1793" i="1"/>
  <c r="F1793" i="1" s="1"/>
  <c r="E1792" i="1"/>
  <c r="F1792" i="1" s="1"/>
  <c r="E1791" i="1"/>
  <c r="F1791" i="1" s="1"/>
  <c r="E1790" i="1"/>
  <c r="F1790" i="1" s="1"/>
  <c r="E1789" i="1"/>
  <c r="F1789" i="1" s="1"/>
  <c r="B1789" i="1"/>
  <c r="B1790" i="1" s="1"/>
  <c r="B1791" i="1" s="1"/>
  <c r="B1792" i="1" s="1"/>
  <c r="B1793" i="1" s="1"/>
  <c r="B1794" i="1" s="1"/>
  <c r="B1795" i="1" s="1"/>
  <c r="B1796" i="1" s="1"/>
  <c r="B1797" i="1" s="1"/>
  <c r="B1798" i="1" s="1"/>
  <c r="B1799" i="1" s="1"/>
  <c r="B1800" i="1" s="1"/>
  <c r="B1801" i="1" s="1"/>
  <c r="B1802" i="1" s="1"/>
  <c r="B1803" i="1" s="1"/>
  <c r="B1804" i="1" s="1"/>
  <c r="B1805" i="1" s="1"/>
  <c r="B1806" i="1" s="1"/>
  <c r="B1807" i="1" s="1"/>
  <c r="B1808" i="1" s="1"/>
  <c r="B1809" i="1" s="1"/>
  <c r="B1810" i="1" s="1"/>
  <c r="B1811" i="1" s="1"/>
  <c r="B1812" i="1" s="1"/>
  <c r="B1813" i="1" s="1"/>
  <c r="B1814" i="1" s="1"/>
  <c r="B1815" i="1" s="1"/>
  <c r="B1816" i="1" s="1"/>
  <c r="B1817" i="1" s="1"/>
  <c r="B1818" i="1" s="1"/>
  <c r="B1819" i="1" s="1"/>
  <c r="B1820" i="1" s="1"/>
  <c r="B1821" i="1" s="1"/>
  <c r="B1822" i="1" s="1"/>
  <c r="B1823" i="1" s="1"/>
  <c r="B1824" i="1" s="1"/>
  <c r="E1788" i="1"/>
  <c r="F1788" i="1" s="1"/>
  <c r="E1618" i="1"/>
  <c r="F1618" i="1" s="1"/>
  <c r="E1617" i="1"/>
  <c r="F1617" i="1" s="1"/>
  <c r="E1616" i="1"/>
  <c r="F1616" i="1" s="1"/>
  <c r="E1615" i="1"/>
  <c r="F1615" i="1" s="1"/>
  <c r="E1614" i="1"/>
  <c r="F1614" i="1" s="1"/>
  <c r="E1613" i="1"/>
  <c r="F1613" i="1" s="1"/>
  <c r="E1612" i="1"/>
  <c r="F1612" i="1" s="1"/>
  <c r="E1611" i="1"/>
  <c r="F1611" i="1" s="1"/>
  <c r="E1610" i="1"/>
  <c r="F1610" i="1" s="1"/>
  <c r="E1609" i="1"/>
  <c r="F1609" i="1" s="1"/>
  <c r="E1608" i="1"/>
  <c r="F1608" i="1" s="1"/>
  <c r="E1607" i="1"/>
  <c r="F1607" i="1" s="1"/>
  <c r="E1606" i="1"/>
  <c r="F1606" i="1" s="1"/>
  <c r="E1605" i="1"/>
  <c r="F1605" i="1" s="1"/>
  <c r="E1604" i="1"/>
  <c r="F1604" i="1" s="1"/>
  <c r="E1603" i="1"/>
  <c r="F1603" i="1" s="1"/>
  <c r="E1602" i="1"/>
  <c r="F1602" i="1" s="1"/>
  <c r="E1601" i="1"/>
  <c r="F1601" i="1" s="1"/>
  <c r="E1600" i="1"/>
  <c r="F1600" i="1" s="1"/>
  <c r="E1599" i="1"/>
  <c r="F1599" i="1" s="1"/>
  <c r="B1599" i="1"/>
  <c r="B1600" i="1" s="1"/>
  <c r="B1601" i="1" s="1"/>
  <c r="B1602" i="1" s="1"/>
  <c r="B1603" i="1" s="1"/>
  <c r="B1604" i="1" s="1"/>
  <c r="B1605" i="1" s="1"/>
  <c r="B1606" i="1" s="1"/>
  <c r="B1607" i="1" s="1"/>
  <c r="B1608" i="1" s="1"/>
  <c r="B1609" i="1" s="1"/>
  <c r="B1610" i="1" s="1"/>
  <c r="B1611" i="1" s="1"/>
  <c r="B1612" i="1" s="1"/>
  <c r="B1613" i="1" s="1"/>
  <c r="B1614" i="1" s="1"/>
  <c r="B1615" i="1" s="1"/>
  <c r="B1616" i="1" s="1"/>
  <c r="B1617" i="1" s="1"/>
  <c r="B1618" i="1" s="1"/>
  <c r="B1619" i="1" s="1"/>
  <c r="B1620" i="1" s="1"/>
  <c r="B1621" i="1" s="1"/>
  <c r="B1622" i="1" s="1"/>
  <c r="B1623" i="1" s="1"/>
  <c r="B1624" i="1" s="1"/>
  <c r="B1625" i="1" s="1"/>
  <c r="B1626" i="1" s="1"/>
  <c r="B1627" i="1" s="1"/>
  <c r="B1628" i="1" s="1"/>
  <c r="B1629" i="1" s="1"/>
  <c r="B1630" i="1" s="1"/>
  <c r="B1631" i="1" s="1"/>
  <c r="B1632" i="1" s="1"/>
  <c r="B1633" i="1" s="1"/>
  <c r="B1634" i="1" s="1"/>
  <c r="E1598" i="1"/>
  <c r="F1598" i="1" s="1"/>
  <c r="E1580" i="1"/>
  <c r="F1580" i="1" s="1"/>
  <c r="E1579" i="1"/>
  <c r="F1579" i="1" s="1"/>
  <c r="E1578" i="1"/>
  <c r="F1578" i="1" s="1"/>
  <c r="E1577" i="1"/>
  <c r="F1577" i="1" s="1"/>
  <c r="E1576" i="1"/>
  <c r="F1576" i="1" s="1"/>
  <c r="E1575" i="1"/>
  <c r="F1575" i="1" s="1"/>
  <c r="E1574" i="1"/>
  <c r="F1574" i="1" s="1"/>
  <c r="E1573" i="1"/>
  <c r="F1573" i="1" s="1"/>
  <c r="E1572" i="1"/>
  <c r="F1572" i="1" s="1"/>
  <c r="E1571" i="1"/>
  <c r="F1571" i="1" s="1"/>
  <c r="E1570" i="1"/>
  <c r="F1570" i="1" s="1"/>
  <c r="E1569" i="1"/>
  <c r="F1569" i="1" s="1"/>
  <c r="E1568" i="1"/>
  <c r="F1568" i="1" s="1"/>
  <c r="E1567" i="1"/>
  <c r="F1567" i="1" s="1"/>
  <c r="E1566" i="1"/>
  <c r="F1566" i="1" s="1"/>
  <c r="E1565" i="1"/>
  <c r="F1565" i="1" s="1"/>
  <c r="E1564" i="1"/>
  <c r="F1564" i="1" s="1"/>
  <c r="E1563" i="1"/>
  <c r="F1563" i="1" s="1"/>
  <c r="E1562" i="1"/>
  <c r="F1562" i="1" s="1"/>
  <c r="E1561" i="1"/>
  <c r="F1561" i="1" s="1"/>
  <c r="B1561" i="1"/>
  <c r="B1562" i="1" s="1"/>
  <c r="B1563" i="1" s="1"/>
  <c r="B1564" i="1" s="1"/>
  <c r="B1565" i="1" s="1"/>
  <c r="B1566" i="1" s="1"/>
  <c r="B1567" i="1" s="1"/>
  <c r="B1568" i="1" s="1"/>
  <c r="B1569" i="1" s="1"/>
  <c r="B1570" i="1" s="1"/>
  <c r="B1571" i="1" s="1"/>
  <c r="B1572" i="1" s="1"/>
  <c r="B1573" i="1" s="1"/>
  <c r="B1574" i="1" s="1"/>
  <c r="B1575" i="1" s="1"/>
  <c r="B1576" i="1" s="1"/>
  <c r="B1577" i="1" s="1"/>
  <c r="B1578" i="1" s="1"/>
  <c r="B1579" i="1" s="1"/>
  <c r="B1580" i="1" s="1"/>
  <c r="B1581" i="1" s="1"/>
  <c r="B1582" i="1" s="1"/>
  <c r="B1583" i="1" s="1"/>
  <c r="B1584" i="1" s="1"/>
  <c r="B1585" i="1" s="1"/>
  <c r="B1586" i="1" s="1"/>
  <c r="B1587" i="1" s="1"/>
  <c r="B1588" i="1" s="1"/>
  <c r="B1589" i="1" s="1"/>
  <c r="B1590" i="1" s="1"/>
  <c r="B1591" i="1" s="1"/>
  <c r="B1592" i="1" s="1"/>
  <c r="B1593" i="1" s="1"/>
  <c r="B1594" i="1" s="1"/>
  <c r="B1595" i="1" s="1"/>
  <c r="B1596" i="1" s="1"/>
  <c r="E1560" i="1"/>
  <c r="F1560" i="1" s="1"/>
  <c r="E1542" i="1"/>
  <c r="F1542" i="1" s="1"/>
  <c r="E1541" i="1"/>
  <c r="F1541" i="1" s="1"/>
  <c r="E1540" i="1"/>
  <c r="F1540" i="1" s="1"/>
  <c r="E1539" i="1"/>
  <c r="F1539" i="1" s="1"/>
  <c r="E1538" i="1"/>
  <c r="F1538" i="1" s="1"/>
  <c r="E1537" i="1"/>
  <c r="F1537" i="1" s="1"/>
  <c r="E1536" i="1"/>
  <c r="F1536" i="1" s="1"/>
  <c r="E1535" i="1"/>
  <c r="F1535" i="1" s="1"/>
  <c r="E1534" i="1"/>
  <c r="F1534" i="1" s="1"/>
  <c r="E1533" i="1"/>
  <c r="F1533" i="1" s="1"/>
  <c r="E1532" i="1"/>
  <c r="F1532" i="1" s="1"/>
  <c r="E1531" i="1"/>
  <c r="F1531" i="1" s="1"/>
  <c r="E1530" i="1"/>
  <c r="F1530" i="1" s="1"/>
  <c r="E1529" i="1"/>
  <c r="F1529" i="1" s="1"/>
  <c r="E1528" i="1"/>
  <c r="F1528" i="1" s="1"/>
  <c r="E1527" i="1"/>
  <c r="F1527" i="1" s="1"/>
  <c r="E1526" i="1"/>
  <c r="F1526" i="1" s="1"/>
  <c r="E1525" i="1"/>
  <c r="F1525" i="1" s="1"/>
  <c r="E1524" i="1"/>
  <c r="F1524" i="1" s="1"/>
  <c r="E1523" i="1"/>
  <c r="F1523" i="1" s="1"/>
  <c r="B1523" i="1"/>
  <c r="B1524" i="1" s="1"/>
  <c r="B1525" i="1" s="1"/>
  <c r="B1526" i="1" s="1"/>
  <c r="B1527" i="1" s="1"/>
  <c r="B1528" i="1" s="1"/>
  <c r="B1529" i="1" s="1"/>
  <c r="B1530" i="1" s="1"/>
  <c r="B1531" i="1" s="1"/>
  <c r="B1532" i="1" s="1"/>
  <c r="B1533" i="1" s="1"/>
  <c r="B1534" i="1" s="1"/>
  <c r="B1535" i="1" s="1"/>
  <c r="B1536" i="1" s="1"/>
  <c r="B1537" i="1" s="1"/>
  <c r="B1538" i="1" s="1"/>
  <c r="B1539" i="1" s="1"/>
  <c r="B1540" i="1" s="1"/>
  <c r="B1541" i="1" s="1"/>
  <c r="B1542" i="1" s="1"/>
  <c r="B1543" i="1" s="1"/>
  <c r="B1544" i="1" s="1"/>
  <c r="B1545" i="1" s="1"/>
  <c r="B1546" i="1" s="1"/>
  <c r="B1547" i="1" s="1"/>
  <c r="B1548" i="1" s="1"/>
  <c r="B1549" i="1" s="1"/>
  <c r="B1550" i="1" s="1"/>
  <c r="B1551" i="1" s="1"/>
  <c r="B1552" i="1" s="1"/>
  <c r="B1553" i="1" s="1"/>
  <c r="B1554" i="1" s="1"/>
  <c r="B1555" i="1" s="1"/>
  <c r="B1556" i="1" s="1"/>
  <c r="B1557" i="1" s="1"/>
  <c r="B1558" i="1" s="1"/>
  <c r="E1522" i="1"/>
  <c r="F1522" i="1" s="1"/>
  <c r="E1466" i="1"/>
  <c r="F1466" i="1" s="1"/>
  <c r="E1465" i="1"/>
  <c r="F1465" i="1" s="1"/>
  <c r="E1464" i="1"/>
  <c r="F1464" i="1" s="1"/>
  <c r="E1463" i="1"/>
  <c r="F1463" i="1" s="1"/>
  <c r="E1462" i="1"/>
  <c r="F1462" i="1" s="1"/>
  <c r="E1461" i="1"/>
  <c r="F1461" i="1" s="1"/>
  <c r="E1460" i="1"/>
  <c r="F1460" i="1" s="1"/>
  <c r="E1459" i="1"/>
  <c r="F1459" i="1" s="1"/>
  <c r="E1458" i="1"/>
  <c r="F1458" i="1" s="1"/>
  <c r="E1457" i="1"/>
  <c r="F1457" i="1" s="1"/>
  <c r="E1456" i="1"/>
  <c r="F1456" i="1" s="1"/>
  <c r="E1455" i="1"/>
  <c r="F1455" i="1" s="1"/>
  <c r="E1454" i="1"/>
  <c r="F1454" i="1" s="1"/>
  <c r="E1453" i="1"/>
  <c r="F1453" i="1" s="1"/>
  <c r="E1452" i="1"/>
  <c r="F1452" i="1" s="1"/>
  <c r="E1451" i="1"/>
  <c r="F1451" i="1" s="1"/>
  <c r="E1450" i="1"/>
  <c r="F1450" i="1" s="1"/>
  <c r="E1449" i="1"/>
  <c r="F1449" i="1" s="1"/>
  <c r="E1448" i="1"/>
  <c r="F1448" i="1" s="1"/>
  <c r="E1447" i="1"/>
  <c r="F1447" i="1" s="1"/>
  <c r="B1447" i="1"/>
  <c r="B1448" i="1" s="1"/>
  <c r="B1449" i="1" s="1"/>
  <c r="B1450" i="1" s="1"/>
  <c r="B1451" i="1" s="1"/>
  <c r="B1452" i="1" s="1"/>
  <c r="B1453" i="1" s="1"/>
  <c r="B1454" i="1" s="1"/>
  <c r="B1455" i="1" s="1"/>
  <c r="B1456" i="1" s="1"/>
  <c r="B1457" i="1" s="1"/>
  <c r="B1458" i="1" s="1"/>
  <c r="B1459" i="1" s="1"/>
  <c r="B1460" i="1" s="1"/>
  <c r="B1461" i="1" s="1"/>
  <c r="B1462" i="1" s="1"/>
  <c r="B1463" i="1" s="1"/>
  <c r="B1464" i="1" s="1"/>
  <c r="B1465" i="1" s="1"/>
  <c r="B1466" i="1" s="1"/>
  <c r="B1467" i="1" s="1"/>
  <c r="B1468" i="1" s="1"/>
  <c r="B1469" i="1" s="1"/>
  <c r="B1470" i="1" s="1"/>
  <c r="B1471" i="1" s="1"/>
  <c r="B1472" i="1" s="1"/>
  <c r="B1473" i="1" s="1"/>
  <c r="B1474" i="1" s="1"/>
  <c r="B1475" i="1" s="1"/>
  <c r="B1476" i="1" s="1"/>
  <c r="B1477" i="1" s="1"/>
  <c r="B1478" i="1" s="1"/>
  <c r="B1479" i="1" s="1"/>
  <c r="B1480" i="1" s="1"/>
  <c r="B1481" i="1" s="1"/>
  <c r="B1482" i="1" s="1"/>
  <c r="E1446" i="1"/>
  <c r="F1446" i="1" s="1"/>
  <c r="E1428" i="1"/>
  <c r="F1428" i="1" s="1"/>
  <c r="E1427" i="1"/>
  <c r="F1427" i="1" s="1"/>
  <c r="E1426" i="1"/>
  <c r="F1426" i="1" s="1"/>
  <c r="E1425" i="1"/>
  <c r="F1425" i="1" s="1"/>
  <c r="E1424" i="1"/>
  <c r="F1424" i="1" s="1"/>
  <c r="E1423" i="1"/>
  <c r="F1423" i="1" s="1"/>
  <c r="E1422" i="1"/>
  <c r="F1422" i="1" s="1"/>
  <c r="E1421" i="1"/>
  <c r="F1421" i="1" s="1"/>
  <c r="E1420" i="1"/>
  <c r="F1420" i="1" s="1"/>
  <c r="E1419" i="1"/>
  <c r="F1419" i="1" s="1"/>
  <c r="E1418" i="1"/>
  <c r="F1418" i="1" s="1"/>
  <c r="E1417" i="1"/>
  <c r="F1417" i="1" s="1"/>
  <c r="E1416" i="1"/>
  <c r="F1416" i="1" s="1"/>
  <c r="E1415" i="1"/>
  <c r="F1415" i="1" s="1"/>
  <c r="E1414" i="1"/>
  <c r="F1414" i="1" s="1"/>
  <c r="E1413" i="1"/>
  <c r="F1413" i="1" s="1"/>
  <c r="E1412" i="1"/>
  <c r="F1412" i="1" s="1"/>
  <c r="E1411" i="1"/>
  <c r="F1411" i="1" s="1"/>
  <c r="E1410" i="1"/>
  <c r="F1410" i="1" s="1"/>
  <c r="E1409" i="1"/>
  <c r="F1409" i="1" s="1"/>
  <c r="B1409" i="1"/>
  <c r="B1410" i="1" s="1"/>
  <c r="B1411" i="1" s="1"/>
  <c r="B1412" i="1" s="1"/>
  <c r="B1413" i="1" s="1"/>
  <c r="B1414" i="1" s="1"/>
  <c r="B1415" i="1" s="1"/>
  <c r="B1416" i="1" s="1"/>
  <c r="B1417" i="1" s="1"/>
  <c r="B1418" i="1" s="1"/>
  <c r="B1419" i="1" s="1"/>
  <c r="B1420" i="1" s="1"/>
  <c r="B1421" i="1" s="1"/>
  <c r="B1422" i="1" s="1"/>
  <c r="B1423" i="1" s="1"/>
  <c r="B1424" i="1" s="1"/>
  <c r="B1425" i="1" s="1"/>
  <c r="B1426" i="1" s="1"/>
  <c r="B1427" i="1" s="1"/>
  <c r="B1428" i="1" s="1"/>
  <c r="B1429" i="1" s="1"/>
  <c r="B1430" i="1" s="1"/>
  <c r="B1431" i="1" s="1"/>
  <c r="B1432" i="1" s="1"/>
  <c r="B1433" i="1" s="1"/>
  <c r="B1434" i="1" s="1"/>
  <c r="B1435" i="1" s="1"/>
  <c r="B1436" i="1" s="1"/>
  <c r="B1437" i="1" s="1"/>
  <c r="B1438" i="1" s="1"/>
  <c r="B1439" i="1" s="1"/>
  <c r="B1440" i="1" s="1"/>
  <c r="B1441" i="1" s="1"/>
  <c r="B1442" i="1" s="1"/>
  <c r="B1443" i="1" s="1"/>
  <c r="B1444" i="1" s="1"/>
  <c r="E1408" i="1"/>
  <c r="F1408" i="1" s="1"/>
  <c r="E1390" i="1"/>
  <c r="F1390" i="1" s="1"/>
  <c r="E1389" i="1"/>
  <c r="F1389" i="1" s="1"/>
  <c r="E1388" i="1"/>
  <c r="F1388" i="1" s="1"/>
  <c r="E1387" i="1"/>
  <c r="F1387" i="1" s="1"/>
  <c r="E1386" i="1"/>
  <c r="F1386" i="1" s="1"/>
  <c r="E1385" i="1"/>
  <c r="F1385" i="1" s="1"/>
  <c r="E1384" i="1"/>
  <c r="F1384" i="1" s="1"/>
  <c r="E1383" i="1"/>
  <c r="F1383" i="1" s="1"/>
  <c r="E1382" i="1"/>
  <c r="F1382" i="1" s="1"/>
  <c r="E1381" i="1"/>
  <c r="F1381" i="1" s="1"/>
  <c r="E1380" i="1"/>
  <c r="F1380" i="1" s="1"/>
  <c r="E1379" i="1"/>
  <c r="F1379" i="1" s="1"/>
  <c r="E1378" i="1"/>
  <c r="F1378" i="1" s="1"/>
  <c r="E1377" i="1"/>
  <c r="F1377" i="1" s="1"/>
  <c r="E1376" i="1"/>
  <c r="F1376" i="1" s="1"/>
  <c r="E1375" i="1"/>
  <c r="F1375" i="1" s="1"/>
  <c r="E1374" i="1"/>
  <c r="F1374" i="1" s="1"/>
  <c r="E1373" i="1"/>
  <c r="F1373" i="1" s="1"/>
  <c r="E1372" i="1"/>
  <c r="F1372" i="1" s="1"/>
  <c r="E1371" i="1"/>
  <c r="F1371" i="1" s="1"/>
  <c r="B1371" i="1"/>
  <c r="B1372" i="1" s="1"/>
  <c r="B1373" i="1" s="1"/>
  <c r="B1374" i="1" s="1"/>
  <c r="B1375" i="1" s="1"/>
  <c r="B1376" i="1" s="1"/>
  <c r="B1377" i="1" s="1"/>
  <c r="B1378" i="1" s="1"/>
  <c r="B1379" i="1" s="1"/>
  <c r="B1380" i="1" s="1"/>
  <c r="B1381" i="1" s="1"/>
  <c r="B1382" i="1" s="1"/>
  <c r="B1383" i="1" s="1"/>
  <c r="B1384" i="1" s="1"/>
  <c r="B1385" i="1" s="1"/>
  <c r="B1386" i="1" s="1"/>
  <c r="B1387" i="1" s="1"/>
  <c r="B1388" i="1" s="1"/>
  <c r="B1389" i="1" s="1"/>
  <c r="B1390" i="1" s="1"/>
  <c r="B1391" i="1" s="1"/>
  <c r="B1392" i="1" s="1"/>
  <c r="B1393" i="1" s="1"/>
  <c r="B1394" i="1" s="1"/>
  <c r="B1395" i="1" s="1"/>
  <c r="B1396" i="1" s="1"/>
  <c r="B1397" i="1" s="1"/>
  <c r="B1398" i="1" s="1"/>
  <c r="B1399" i="1" s="1"/>
  <c r="B1400" i="1" s="1"/>
  <c r="B1401" i="1" s="1"/>
  <c r="B1402" i="1" s="1"/>
  <c r="B1403" i="1" s="1"/>
  <c r="B1404" i="1" s="1"/>
  <c r="B1405" i="1" s="1"/>
  <c r="B1406" i="1" s="1"/>
  <c r="E1370" i="1"/>
  <c r="F1370" i="1" s="1"/>
  <c r="E1200" i="1"/>
  <c r="F1200" i="1" s="1"/>
  <c r="E1199" i="1"/>
  <c r="F1199" i="1" s="1"/>
  <c r="E1198" i="1"/>
  <c r="F1198" i="1" s="1"/>
  <c r="E1197" i="1"/>
  <c r="F1197" i="1" s="1"/>
  <c r="E1196" i="1"/>
  <c r="F1196" i="1" s="1"/>
  <c r="E1195" i="1"/>
  <c r="F1195" i="1" s="1"/>
  <c r="E1194" i="1"/>
  <c r="F1194" i="1" s="1"/>
  <c r="E1193" i="1"/>
  <c r="F1193" i="1" s="1"/>
  <c r="E1192" i="1"/>
  <c r="F1192" i="1" s="1"/>
  <c r="E1191" i="1"/>
  <c r="F1191" i="1" s="1"/>
  <c r="E1190" i="1"/>
  <c r="F1190" i="1" s="1"/>
  <c r="E1189" i="1"/>
  <c r="F1189" i="1" s="1"/>
  <c r="E1188" i="1"/>
  <c r="F1188" i="1" s="1"/>
  <c r="E1187" i="1"/>
  <c r="F1187" i="1" s="1"/>
  <c r="E1186" i="1"/>
  <c r="F1186" i="1" s="1"/>
  <c r="E1185" i="1"/>
  <c r="F1185" i="1" s="1"/>
  <c r="E1184" i="1"/>
  <c r="F1184" i="1" s="1"/>
  <c r="E1183" i="1"/>
  <c r="F1183" i="1" s="1"/>
  <c r="E1182" i="1"/>
  <c r="F1182" i="1" s="1"/>
  <c r="E1181" i="1"/>
  <c r="F1181" i="1" s="1"/>
  <c r="B1181" i="1"/>
  <c r="B1182" i="1" s="1"/>
  <c r="B1183" i="1" s="1"/>
  <c r="B1184" i="1" s="1"/>
  <c r="B1185" i="1" s="1"/>
  <c r="B1186" i="1" s="1"/>
  <c r="B1187" i="1" s="1"/>
  <c r="B1188" i="1" s="1"/>
  <c r="B1189" i="1" s="1"/>
  <c r="B1190" i="1" s="1"/>
  <c r="B1191" i="1" s="1"/>
  <c r="B1192" i="1" s="1"/>
  <c r="B1193" i="1" s="1"/>
  <c r="B1194" i="1" s="1"/>
  <c r="B1195" i="1" s="1"/>
  <c r="B1196" i="1" s="1"/>
  <c r="B1197" i="1" s="1"/>
  <c r="B1198" i="1" s="1"/>
  <c r="B1199" i="1" s="1"/>
  <c r="B1200" i="1" s="1"/>
  <c r="B1201" i="1" s="1"/>
  <c r="B1202" i="1" s="1"/>
  <c r="B1203" i="1" s="1"/>
  <c r="B1204" i="1" s="1"/>
  <c r="B1205" i="1" s="1"/>
  <c r="B1206" i="1" s="1"/>
  <c r="B1207" i="1" s="1"/>
  <c r="B1208" i="1" s="1"/>
  <c r="B1209" i="1" s="1"/>
  <c r="B1210" i="1" s="1"/>
  <c r="B1211" i="1" s="1"/>
  <c r="B1212" i="1" s="1"/>
  <c r="B1213" i="1" s="1"/>
  <c r="B1214" i="1" s="1"/>
  <c r="B1215" i="1" s="1"/>
  <c r="B1216" i="1" s="1"/>
  <c r="E1180" i="1"/>
  <c r="F1180" i="1" s="1"/>
  <c r="E1162" i="1"/>
  <c r="F1162" i="1" s="1"/>
  <c r="E1161" i="1"/>
  <c r="F1161" i="1" s="1"/>
  <c r="E1160" i="1"/>
  <c r="F1160" i="1" s="1"/>
  <c r="E1159" i="1"/>
  <c r="F1159" i="1" s="1"/>
  <c r="E1158" i="1"/>
  <c r="F1158" i="1" s="1"/>
  <c r="E1157" i="1"/>
  <c r="F1157" i="1" s="1"/>
  <c r="E1156" i="1"/>
  <c r="F1156" i="1" s="1"/>
  <c r="E1155" i="1"/>
  <c r="F1155" i="1" s="1"/>
  <c r="E1154" i="1"/>
  <c r="F1154" i="1" s="1"/>
  <c r="E1153" i="1"/>
  <c r="F1153" i="1" s="1"/>
  <c r="E1152" i="1"/>
  <c r="F1152" i="1" s="1"/>
  <c r="E1151" i="1"/>
  <c r="F1151" i="1" s="1"/>
  <c r="E1150" i="1"/>
  <c r="F1150" i="1" s="1"/>
  <c r="E1149" i="1"/>
  <c r="F1149" i="1" s="1"/>
  <c r="E1148" i="1"/>
  <c r="F1148" i="1" s="1"/>
  <c r="E1147" i="1"/>
  <c r="F1147" i="1" s="1"/>
  <c r="E1146" i="1"/>
  <c r="F1146" i="1" s="1"/>
  <c r="E1145" i="1"/>
  <c r="F1145" i="1" s="1"/>
  <c r="E1144" i="1"/>
  <c r="F1144" i="1" s="1"/>
  <c r="E1143" i="1"/>
  <c r="F1143" i="1" s="1"/>
  <c r="B1143" i="1"/>
  <c r="B1144" i="1" s="1"/>
  <c r="B1145" i="1" s="1"/>
  <c r="B1146" i="1" s="1"/>
  <c r="B1147" i="1" s="1"/>
  <c r="B1148" i="1" s="1"/>
  <c r="B1149" i="1" s="1"/>
  <c r="B1150" i="1" s="1"/>
  <c r="B1151" i="1" s="1"/>
  <c r="B1152" i="1" s="1"/>
  <c r="B1153" i="1" s="1"/>
  <c r="B1154" i="1" s="1"/>
  <c r="B1155" i="1" s="1"/>
  <c r="B1156" i="1" s="1"/>
  <c r="B1157" i="1" s="1"/>
  <c r="B1158" i="1" s="1"/>
  <c r="B1159" i="1" s="1"/>
  <c r="B1160" i="1" s="1"/>
  <c r="B1161" i="1" s="1"/>
  <c r="B1162" i="1" s="1"/>
  <c r="B1163" i="1" s="1"/>
  <c r="B1164" i="1" s="1"/>
  <c r="B1165" i="1" s="1"/>
  <c r="B1166" i="1" s="1"/>
  <c r="B1167" i="1" s="1"/>
  <c r="B1168" i="1" s="1"/>
  <c r="B1169" i="1" s="1"/>
  <c r="B1170" i="1" s="1"/>
  <c r="B1171" i="1" s="1"/>
  <c r="B1172" i="1" s="1"/>
  <c r="B1173" i="1" s="1"/>
  <c r="B1174" i="1" s="1"/>
  <c r="B1175" i="1" s="1"/>
  <c r="B1176" i="1" s="1"/>
  <c r="B1177" i="1" s="1"/>
  <c r="B1178" i="1" s="1"/>
  <c r="E1142" i="1"/>
  <c r="F1142" i="1" s="1"/>
  <c r="E1124" i="1"/>
  <c r="F1124" i="1" s="1"/>
  <c r="E1123" i="1"/>
  <c r="F1123" i="1" s="1"/>
  <c r="E1122" i="1"/>
  <c r="F1122" i="1" s="1"/>
  <c r="E1121" i="1"/>
  <c r="F1121" i="1" s="1"/>
  <c r="E1120" i="1"/>
  <c r="F1120" i="1" s="1"/>
  <c r="E1119" i="1"/>
  <c r="F1119" i="1" s="1"/>
  <c r="E1118" i="1"/>
  <c r="F1118" i="1" s="1"/>
  <c r="E1117" i="1"/>
  <c r="F1117" i="1" s="1"/>
  <c r="E1116" i="1"/>
  <c r="F1116" i="1" s="1"/>
  <c r="E1115" i="1"/>
  <c r="F1115" i="1" s="1"/>
  <c r="E1114" i="1"/>
  <c r="F1114" i="1" s="1"/>
  <c r="E1113" i="1"/>
  <c r="F1113" i="1" s="1"/>
  <c r="E1112" i="1"/>
  <c r="F1112" i="1" s="1"/>
  <c r="E1111" i="1"/>
  <c r="F1111" i="1" s="1"/>
  <c r="E1110" i="1"/>
  <c r="F1110" i="1" s="1"/>
  <c r="E1109" i="1"/>
  <c r="F1109" i="1" s="1"/>
  <c r="E1108" i="1"/>
  <c r="F1108" i="1" s="1"/>
  <c r="E1107" i="1"/>
  <c r="F1107" i="1" s="1"/>
  <c r="E1106" i="1"/>
  <c r="F1106" i="1" s="1"/>
  <c r="E1105" i="1"/>
  <c r="F1105" i="1" s="1"/>
  <c r="B1105" i="1"/>
  <c r="B1106" i="1" s="1"/>
  <c r="B1107" i="1" s="1"/>
  <c r="B1108" i="1" s="1"/>
  <c r="B1109" i="1" s="1"/>
  <c r="B1110" i="1" s="1"/>
  <c r="B1111" i="1" s="1"/>
  <c r="B1112" i="1" s="1"/>
  <c r="B1113" i="1" s="1"/>
  <c r="B1114" i="1" s="1"/>
  <c r="B1115" i="1" s="1"/>
  <c r="B1116" i="1" s="1"/>
  <c r="B1117" i="1" s="1"/>
  <c r="B1118" i="1" s="1"/>
  <c r="B1119" i="1" s="1"/>
  <c r="B1120" i="1" s="1"/>
  <c r="B1121" i="1" s="1"/>
  <c r="B1122" i="1" s="1"/>
  <c r="B1123" i="1" s="1"/>
  <c r="B1124" i="1" s="1"/>
  <c r="B1125" i="1" s="1"/>
  <c r="B1126" i="1" s="1"/>
  <c r="B1127" i="1" s="1"/>
  <c r="B1128" i="1" s="1"/>
  <c r="B1129" i="1" s="1"/>
  <c r="B1130" i="1" s="1"/>
  <c r="B1131" i="1" s="1"/>
  <c r="B1132" i="1" s="1"/>
  <c r="B1133" i="1" s="1"/>
  <c r="B1134" i="1" s="1"/>
  <c r="B1135" i="1" s="1"/>
  <c r="B1136" i="1" s="1"/>
  <c r="B1137" i="1" s="1"/>
  <c r="B1138" i="1" s="1"/>
  <c r="B1139" i="1" s="1"/>
  <c r="B1140" i="1" s="1"/>
  <c r="E1104" i="1"/>
  <c r="F1104" i="1" s="1"/>
  <c r="E1048" i="1"/>
  <c r="F1048" i="1" s="1"/>
  <c r="E1047" i="1"/>
  <c r="F1047" i="1" s="1"/>
  <c r="E1046" i="1"/>
  <c r="F1046" i="1" s="1"/>
  <c r="E1045" i="1"/>
  <c r="F1045" i="1" s="1"/>
  <c r="E1044" i="1"/>
  <c r="F1044" i="1" s="1"/>
  <c r="E1043" i="1"/>
  <c r="F1043" i="1" s="1"/>
  <c r="E1042" i="1"/>
  <c r="F1042" i="1" s="1"/>
  <c r="E1041" i="1"/>
  <c r="F1041" i="1" s="1"/>
  <c r="E1040" i="1"/>
  <c r="F1040" i="1" s="1"/>
  <c r="E1039" i="1"/>
  <c r="F1039" i="1" s="1"/>
  <c r="E1038" i="1"/>
  <c r="F1038" i="1" s="1"/>
  <c r="E1037" i="1"/>
  <c r="F1037" i="1" s="1"/>
  <c r="E1036" i="1"/>
  <c r="F1036" i="1" s="1"/>
  <c r="E1035" i="1"/>
  <c r="F1035" i="1" s="1"/>
  <c r="E1034" i="1"/>
  <c r="F1034" i="1" s="1"/>
  <c r="E1033" i="1"/>
  <c r="F1033" i="1" s="1"/>
  <c r="E1032" i="1"/>
  <c r="F1032" i="1" s="1"/>
  <c r="E1031" i="1"/>
  <c r="F1031" i="1" s="1"/>
  <c r="E1030" i="1"/>
  <c r="F1030" i="1" s="1"/>
  <c r="E1029" i="1"/>
  <c r="F1029" i="1" s="1"/>
  <c r="B1029" i="1"/>
  <c r="B1030" i="1" s="1"/>
  <c r="B1031" i="1" s="1"/>
  <c r="B1032" i="1" s="1"/>
  <c r="B1033" i="1" s="1"/>
  <c r="B1034" i="1" s="1"/>
  <c r="B1035" i="1" s="1"/>
  <c r="B1036" i="1" s="1"/>
  <c r="B1037" i="1" s="1"/>
  <c r="B1038" i="1" s="1"/>
  <c r="B1039" i="1" s="1"/>
  <c r="B1040" i="1" s="1"/>
  <c r="B1041" i="1" s="1"/>
  <c r="B1042" i="1" s="1"/>
  <c r="B1043" i="1" s="1"/>
  <c r="B1044" i="1" s="1"/>
  <c r="B1045" i="1" s="1"/>
  <c r="B1046" i="1" s="1"/>
  <c r="B1047" i="1" s="1"/>
  <c r="B1048" i="1" s="1"/>
  <c r="B1049" i="1" s="1"/>
  <c r="B1050" i="1" s="1"/>
  <c r="B1051" i="1" s="1"/>
  <c r="B1052" i="1" s="1"/>
  <c r="B1053" i="1" s="1"/>
  <c r="B1054" i="1" s="1"/>
  <c r="B1055" i="1" s="1"/>
  <c r="B1056" i="1" s="1"/>
  <c r="B1057" i="1" s="1"/>
  <c r="B1058" i="1" s="1"/>
  <c r="B1059" i="1" s="1"/>
  <c r="B1060" i="1" s="1"/>
  <c r="B1061" i="1" s="1"/>
  <c r="B1062" i="1" s="1"/>
  <c r="B1063" i="1" s="1"/>
  <c r="B1064" i="1" s="1"/>
  <c r="E1028" i="1"/>
  <c r="F1028" i="1" s="1"/>
  <c r="E1010" i="1"/>
  <c r="F1010" i="1" s="1"/>
  <c r="E1009" i="1"/>
  <c r="F1009" i="1" s="1"/>
  <c r="E1008" i="1"/>
  <c r="F1008" i="1" s="1"/>
  <c r="E1007" i="1"/>
  <c r="F1007" i="1" s="1"/>
  <c r="E1006" i="1"/>
  <c r="F1006" i="1" s="1"/>
  <c r="E1005" i="1"/>
  <c r="F1005" i="1" s="1"/>
  <c r="E1004" i="1"/>
  <c r="F1004" i="1" s="1"/>
  <c r="E1003" i="1"/>
  <c r="F1003" i="1" s="1"/>
  <c r="E1002" i="1"/>
  <c r="F1002" i="1" s="1"/>
  <c r="E1001" i="1"/>
  <c r="F1001" i="1" s="1"/>
  <c r="E1000" i="1"/>
  <c r="F1000" i="1" s="1"/>
  <c r="E999" i="1"/>
  <c r="F999" i="1" s="1"/>
  <c r="E998" i="1"/>
  <c r="F998" i="1" s="1"/>
  <c r="E997" i="1"/>
  <c r="F997" i="1" s="1"/>
  <c r="E996" i="1"/>
  <c r="F996" i="1" s="1"/>
  <c r="E995" i="1"/>
  <c r="F995" i="1" s="1"/>
  <c r="E994" i="1"/>
  <c r="F994" i="1" s="1"/>
  <c r="E993" i="1"/>
  <c r="F993" i="1" s="1"/>
  <c r="E992" i="1"/>
  <c r="F992" i="1" s="1"/>
  <c r="E991" i="1"/>
  <c r="F991" i="1" s="1"/>
  <c r="B991" i="1"/>
  <c r="B992" i="1" s="1"/>
  <c r="B993" i="1" s="1"/>
  <c r="B994" i="1" s="1"/>
  <c r="B995" i="1" s="1"/>
  <c r="B996" i="1" s="1"/>
  <c r="B997" i="1" s="1"/>
  <c r="B998" i="1" s="1"/>
  <c r="B999" i="1" s="1"/>
  <c r="B1000" i="1" s="1"/>
  <c r="B1001" i="1" s="1"/>
  <c r="B1002" i="1" s="1"/>
  <c r="B1003" i="1" s="1"/>
  <c r="B1004" i="1" s="1"/>
  <c r="B1005" i="1" s="1"/>
  <c r="B1006" i="1" s="1"/>
  <c r="B1007" i="1" s="1"/>
  <c r="B1008" i="1" s="1"/>
  <c r="B1009" i="1" s="1"/>
  <c r="B1010" i="1" s="1"/>
  <c r="B1011" i="1" s="1"/>
  <c r="B1012" i="1" s="1"/>
  <c r="B1013" i="1" s="1"/>
  <c r="B1014" i="1" s="1"/>
  <c r="B1015" i="1" s="1"/>
  <c r="B1016" i="1" s="1"/>
  <c r="B1017" i="1" s="1"/>
  <c r="B1018" i="1" s="1"/>
  <c r="B1019" i="1" s="1"/>
  <c r="B1020" i="1" s="1"/>
  <c r="B1021" i="1" s="1"/>
  <c r="B1022" i="1" s="1"/>
  <c r="B1023" i="1" s="1"/>
  <c r="B1024" i="1" s="1"/>
  <c r="B1025" i="1" s="1"/>
  <c r="B1026" i="1" s="1"/>
  <c r="E990" i="1"/>
  <c r="F990" i="1" s="1"/>
  <c r="E972" i="1"/>
  <c r="F972" i="1" s="1"/>
  <c r="E971" i="1"/>
  <c r="F971" i="1" s="1"/>
  <c r="E970" i="1"/>
  <c r="F970" i="1" s="1"/>
  <c r="E969" i="1"/>
  <c r="F969" i="1" s="1"/>
  <c r="E968" i="1"/>
  <c r="F968" i="1" s="1"/>
  <c r="E967" i="1"/>
  <c r="F967" i="1" s="1"/>
  <c r="E966" i="1"/>
  <c r="F966" i="1" s="1"/>
  <c r="E965" i="1"/>
  <c r="F965" i="1" s="1"/>
  <c r="E964" i="1"/>
  <c r="F964" i="1" s="1"/>
  <c r="E963" i="1"/>
  <c r="F963" i="1" s="1"/>
  <c r="E962" i="1"/>
  <c r="F962" i="1" s="1"/>
  <c r="E961" i="1"/>
  <c r="F961" i="1" s="1"/>
  <c r="E960" i="1"/>
  <c r="F960" i="1" s="1"/>
  <c r="E959" i="1"/>
  <c r="F959" i="1" s="1"/>
  <c r="E958" i="1"/>
  <c r="F958" i="1" s="1"/>
  <c r="E957" i="1"/>
  <c r="F957" i="1" s="1"/>
  <c r="E956" i="1"/>
  <c r="F956" i="1" s="1"/>
  <c r="E955" i="1"/>
  <c r="F955" i="1" s="1"/>
  <c r="E954" i="1"/>
  <c r="F954" i="1" s="1"/>
  <c r="E953" i="1"/>
  <c r="F953" i="1" s="1"/>
  <c r="B953" i="1"/>
  <c r="B954" i="1" s="1"/>
  <c r="B955" i="1" s="1"/>
  <c r="B956" i="1" s="1"/>
  <c r="B957" i="1" s="1"/>
  <c r="B958" i="1" s="1"/>
  <c r="B959" i="1" s="1"/>
  <c r="B960" i="1" s="1"/>
  <c r="B961" i="1" s="1"/>
  <c r="B962" i="1" s="1"/>
  <c r="B963" i="1" s="1"/>
  <c r="B964" i="1" s="1"/>
  <c r="B965" i="1" s="1"/>
  <c r="B966" i="1" s="1"/>
  <c r="B967" i="1" s="1"/>
  <c r="B968" i="1" s="1"/>
  <c r="B969" i="1" s="1"/>
  <c r="B970" i="1" s="1"/>
  <c r="B971" i="1" s="1"/>
  <c r="B972" i="1" s="1"/>
  <c r="B973" i="1" s="1"/>
  <c r="B974" i="1" s="1"/>
  <c r="B975" i="1" s="1"/>
  <c r="B976" i="1" s="1"/>
  <c r="B977" i="1" s="1"/>
  <c r="B978" i="1" s="1"/>
  <c r="B979" i="1" s="1"/>
  <c r="B980" i="1" s="1"/>
  <c r="B981" i="1" s="1"/>
  <c r="B982" i="1" s="1"/>
  <c r="B983" i="1" s="1"/>
  <c r="B984" i="1" s="1"/>
  <c r="B985" i="1" s="1"/>
  <c r="B986" i="1" s="1"/>
  <c r="B987" i="1" s="1"/>
  <c r="B988" i="1" s="1"/>
  <c r="E952" i="1"/>
  <c r="F952" i="1" s="1"/>
  <c r="E782" i="1"/>
  <c r="F782" i="1" s="1"/>
  <c r="E781" i="1"/>
  <c r="F781" i="1" s="1"/>
  <c r="E780" i="1"/>
  <c r="F780" i="1" s="1"/>
  <c r="E779" i="1"/>
  <c r="F779" i="1" s="1"/>
  <c r="E778" i="1"/>
  <c r="F778" i="1" s="1"/>
  <c r="E777" i="1"/>
  <c r="F777" i="1" s="1"/>
  <c r="E776" i="1"/>
  <c r="F776" i="1" s="1"/>
  <c r="E775" i="1"/>
  <c r="F775" i="1" s="1"/>
  <c r="E774" i="1"/>
  <c r="F774" i="1" s="1"/>
  <c r="E773" i="1"/>
  <c r="F773" i="1" s="1"/>
  <c r="E772" i="1"/>
  <c r="F772" i="1" s="1"/>
  <c r="E771" i="1"/>
  <c r="F771" i="1" s="1"/>
  <c r="E770" i="1"/>
  <c r="F770" i="1" s="1"/>
  <c r="E769" i="1"/>
  <c r="F769" i="1" s="1"/>
  <c r="E768" i="1"/>
  <c r="F768" i="1" s="1"/>
  <c r="E767" i="1"/>
  <c r="F767" i="1" s="1"/>
  <c r="E766" i="1"/>
  <c r="F766" i="1" s="1"/>
  <c r="E765" i="1"/>
  <c r="F765" i="1" s="1"/>
  <c r="E764" i="1"/>
  <c r="F764" i="1" s="1"/>
  <c r="E763" i="1"/>
  <c r="F763" i="1" s="1"/>
  <c r="B763" i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B775" i="1" s="1"/>
  <c r="B776" i="1" s="1"/>
  <c r="B777" i="1" s="1"/>
  <c r="B778" i="1" s="1"/>
  <c r="B779" i="1" s="1"/>
  <c r="B780" i="1" s="1"/>
  <c r="B781" i="1" s="1"/>
  <c r="B782" i="1" s="1"/>
  <c r="B783" i="1" s="1"/>
  <c r="B784" i="1" s="1"/>
  <c r="B785" i="1" s="1"/>
  <c r="B786" i="1" s="1"/>
  <c r="B787" i="1" s="1"/>
  <c r="B788" i="1" s="1"/>
  <c r="B789" i="1" s="1"/>
  <c r="B790" i="1" s="1"/>
  <c r="B791" i="1" s="1"/>
  <c r="B792" i="1" s="1"/>
  <c r="B793" i="1" s="1"/>
  <c r="B794" i="1" s="1"/>
  <c r="B795" i="1" s="1"/>
  <c r="B796" i="1" s="1"/>
  <c r="B797" i="1" s="1"/>
  <c r="B798" i="1" s="1"/>
  <c r="E762" i="1"/>
  <c r="F762" i="1" s="1"/>
  <c r="E744" i="1"/>
  <c r="F744" i="1" s="1"/>
  <c r="E743" i="1"/>
  <c r="F743" i="1" s="1"/>
  <c r="E742" i="1"/>
  <c r="F742" i="1" s="1"/>
  <c r="E741" i="1"/>
  <c r="F741" i="1" s="1"/>
  <c r="E740" i="1"/>
  <c r="F740" i="1" s="1"/>
  <c r="E739" i="1"/>
  <c r="F739" i="1" s="1"/>
  <c r="E738" i="1"/>
  <c r="F738" i="1" s="1"/>
  <c r="E737" i="1"/>
  <c r="F737" i="1" s="1"/>
  <c r="E736" i="1"/>
  <c r="F736" i="1" s="1"/>
  <c r="E735" i="1"/>
  <c r="F735" i="1" s="1"/>
  <c r="E734" i="1"/>
  <c r="F734" i="1" s="1"/>
  <c r="E733" i="1"/>
  <c r="F733" i="1" s="1"/>
  <c r="E732" i="1"/>
  <c r="F732" i="1" s="1"/>
  <c r="E731" i="1"/>
  <c r="F731" i="1" s="1"/>
  <c r="E730" i="1"/>
  <c r="F730" i="1" s="1"/>
  <c r="E729" i="1"/>
  <c r="F729" i="1" s="1"/>
  <c r="E728" i="1"/>
  <c r="F728" i="1" s="1"/>
  <c r="E727" i="1"/>
  <c r="F727" i="1" s="1"/>
  <c r="E726" i="1"/>
  <c r="F726" i="1" s="1"/>
  <c r="E725" i="1"/>
  <c r="F725" i="1" s="1"/>
  <c r="B725" i="1"/>
  <c r="B726" i="1" s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B742" i="1" s="1"/>
  <c r="B743" i="1" s="1"/>
  <c r="B744" i="1" s="1"/>
  <c r="B745" i="1" s="1"/>
  <c r="B746" i="1" s="1"/>
  <c r="B747" i="1" s="1"/>
  <c r="B748" i="1" s="1"/>
  <c r="B749" i="1" s="1"/>
  <c r="B750" i="1" s="1"/>
  <c r="B751" i="1" s="1"/>
  <c r="B752" i="1" s="1"/>
  <c r="B753" i="1" s="1"/>
  <c r="B754" i="1" s="1"/>
  <c r="B755" i="1" s="1"/>
  <c r="B756" i="1" s="1"/>
  <c r="B757" i="1" s="1"/>
  <c r="B758" i="1" s="1"/>
  <c r="B759" i="1" s="1"/>
  <c r="B760" i="1" s="1"/>
  <c r="E724" i="1"/>
  <c r="F724" i="1" s="1"/>
  <c r="E706" i="1"/>
  <c r="F706" i="1" s="1"/>
  <c r="E705" i="1"/>
  <c r="F705" i="1" s="1"/>
  <c r="E704" i="1"/>
  <c r="F704" i="1" s="1"/>
  <c r="E703" i="1"/>
  <c r="F703" i="1" s="1"/>
  <c r="E702" i="1"/>
  <c r="F702" i="1" s="1"/>
  <c r="E701" i="1"/>
  <c r="F701" i="1" s="1"/>
  <c r="E700" i="1"/>
  <c r="F700" i="1" s="1"/>
  <c r="E699" i="1"/>
  <c r="F699" i="1" s="1"/>
  <c r="E698" i="1"/>
  <c r="F698" i="1" s="1"/>
  <c r="E697" i="1"/>
  <c r="F697" i="1" s="1"/>
  <c r="E696" i="1"/>
  <c r="F696" i="1" s="1"/>
  <c r="E695" i="1"/>
  <c r="F695" i="1" s="1"/>
  <c r="E694" i="1"/>
  <c r="F694" i="1" s="1"/>
  <c r="E693" i="1"/>
  <c r="F693" i="1" s="1"/>
  <c r="E692" i="1"/>
  <c r="F692" i="1" s="1"/>
  <c r="E691" i="1"/>
  <c r="F691" i="1" s="1"/>
  <c r="E690" i="1"/>
  <c r="F690" i="1" s="1"/>
  <c r="E689" i="1"/>
  <c r="F689" i="1" s="1"/>
  <c r="E688" i="1"/>
  <c r="F688" i="1" s="1"/>
  <c r="E687" i="1"/>
  <c r="F687" i="1" s="1"/>
  <c r="B687" i="1"/>
  <c r="B688" i="1" s="1"/>
  <c r="B689" i="1" s="1"/>
  <c r="B690" i="1" s="1"/>
  <c r="B691" i="1" s="1"/>
  <c r="B692" i="1" s="1"/>
  <c r="B693" i="1" s="1"/>
  <c r="B694" i="1" s="1"/>
  <c r="B695" i="1" s="1"/>
  <c r="B696" i="1" s="1"/>
  <c r="B697" i="1" s="1"/>
  <c r="B698" i="1" s="1"/>
  <c r="B699" i="1" s="1"/>
  <c r="B700" i="1" s="1"/>
  <c r="B701" i="1" s="1"/>
  <c r="B702" i="1" s="1"/>
  <c r="B703" i="1" s="1"/>
  <c r="B704" i="1" s="1"/>
  <c r="B705" i="1" s="1"/>
  <c r="B706" i="1" s="1"/>
  <c r="B707" i="1" s="1"/>
  <c r="B708" i="1" s="1"/>
  <c r="B709" i="1" s="1"/>
  <c r="B710" i="1" s="1"/>
  <c r="B711" i="1" s="1"/>
  <c r="B712" i="1" s="1"/>
  <c r="B713" i="1" s="1"/>
  <c r="B714" i="1" s="1"/>
  <c r="B715" i="1" s="1"/>
  <c r="B716" i="1" s="1"/>
  <c r="B717" i="1" s="1"/>
  <c r="B718" i="1" s="1"/>
  <c r="B719" i="1" s="1"/>
  <c r="B720" i="1" s="1"/>
  <c r="B721" i="1" s="1"/>
  <c r="B722" i="1" s="1"/>
  <c r="E686" i="1"/>
  <c r="F686" i="1" s="1"/>
  <c r="E630" i="1"/>
  <c r="F630" i="1" s="1"/>
  <c r="E629" i="1"/>
  <c r="F629" i="1" s="1"/>
  <c r="E628" i="1"/>
  <c r="F628" i="1" s="1"/>
  <c r="E627" i="1"/>
  <c r="F627" i="1" s="1"/>
  <c r="E626" i="1"/>
  <c r="F626" i="1" s="1"/>
  <c r="E625" i="1"/>
  <c r="F625" i="1" s="1"/>
  <c r="E624" i="1"/>
  <c r="F624" i="1" s="1"/>
  <c r="E623" i="1"/>
  <c r="F623" i="1" s="1"/>
  <c r="E622" i="1"/>
  <c r="F622" i="1" s="1"/>
  <c r="E621" i="1"/>
  <c r="F621" i="1" s="1"/>
  <c r="E620" i="1"/>
  <c r="F620" i="1" s="1"/>
  <c r="E619" i="1"/>
  <c r="F619" i="1" s="1"/>
  <c r="E618" i="1"/>
  <c r="F618" i="1" s="1"/>
  <c r="E617" i="1"/>
  <c r="F617" i="1" s="1"/>
  <c r="E616" i="1"/>
  <c r="F616" i="1" s="1"/>
  <c r="E615" i="1"/>
  <c r="F615" i="1" s="1"/>
  <c r="E614" i="1"/>
  <c r="F614" i="1" s="1"/>
  <c r="E613" i="1"/>
  <c r="F613" i="1" s="1"/>
  <c r="E612" i="1"/>
  <c r="F612" i="1" s="1"/>
  <c r="E611" i="1"/>
  <c r="F611" i="1" s="1"/>
  <c r="B611" i="1"/>
  <c r="B612" i="1" s="1"/>
  <c r="B613" i="1" s="1"/>
  <c r="B614" i="1" s="1"/>
  <c r="B615" i="1" s="1"/>
  <c r="B616" i="1" s="1"/>
  <c r="B617" i="1" s="1"/>
  <c r="B618" i="1" s="1"/>
  <c r="B619" i="1" s="1"/>
  <c r="B620" i="1" s="1"/>
  <c r="B621" i="1" s="1"/>
  <c r="B622" i="1" s="1"/>
  <c r="B623" i="1" s="1"/>
  <c r="B624" i="1" s="1"/>
  <c r="B625" i="1" s="1"/>
  <c r="B626" i="1" s="1"/>
  <c r="B627" i="1" s="1"/>
  <c r="B628" i="1" s="1"/>
  <c r="B629" i="1" s="1"/>
  <c r="B630" i="1" s="1"/>
  <c r="B631" i="1" s="1"/>
  <c r="B632" i="1" s="1"/>
  <c r="B633" i="1" s="1"/>
  <c r="B634" i="1" s="1"/>
  <c r="B635" i="1" s="1"/>
  <c r="B636" i="1" s="1"/>
  <c r="B637" i="1" s="1"/>
  <c r="B638" i="1" s="1"/>
  <c r="B639" i="1" s="1"/>
  <c r="B640" i="1" s="1"/>
  <c r="B641" i="1" s="1"/>
  <c r="B642" i="1" s="1"/>
  <c r="B643" i="1" s="1"/>
  <c r="B644" i="1" s="1"/>
  <c r="B645" i="1" s="1"/>
  <c r="B646" i="1" s="1"/>
  <c r="E610" i="1"/>
  <c r="F610" i="1" s="1"/>
  <c r="E592" i="1"/>
  <c r="F592" i="1" s="1"/>
  <c r="E591" i="1"/>
  <c r="F591" i="1" s="1"/>
  <c r="E590" i="1"/>
  <c r="F590" i="1" s="1"/>
  <c r="E589" i="1"/>
  <c r="F589" i="1" s="1"/>
  <c r="E588" i="1"/>
  <c r="F588" i="1" s="1"/>
  <c r="E587" i="1"/>
  <c r="F587" i="1" s="1"/>
  <c r="E586" i="1"/>
  <c r="F586" i="1" s="1"/>
  <c r="E585" i="1"/>
  <c r="F585" i="1" s="1"/>
  <c r="E584" i="1"/>
  <c r="F584" i="1" s="1"/>
  <c r="E583" i="1"/>
  <c r="F583" i="1" s="1"/>
  <c r="E582" i="1"/>
  <c r="F582" i="1" s="1"/>
  <c r="E581" i="1"/>
  <c r="F581" i="1" s="1"/>
  <c r="E580" i="1"/>
  <c r="F580" i="1" s="1"/>
  <c r="E579" i="1"/>
  <c r="F579" i="1" s="1"/>
  <c r="E578" i="1"/>
  <c r="F578" i="1" s="1"/>
  <c r="E577" i="1"/>
  <c r="F577" i="1" s="1"/>
  <c r="E576" i="1"/>
  <c r="F576" i="1" s="1"/>
  <c r="E575" i="1"/>
  <c r="F575" i="1" s="1"/>
  <c r="E574" i="1"/>
  <c r="F574" i="1" s="1"/>
  <c r="E573" i="1"/>
  <c r="F573" i="1" s="1"/>
  <c r="B573" i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592" i="1" s="1"/>
  <c r="B593" i="1" s="1"/>
  <c r="B594" i="1" s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B606" i="1" s="1"/>
  <c r="B607" i="1" s="1"/>
  <c r="B608" i="1" s="1"/>
  <c r="E572" i="1"/>
  <c r="F572" i="1" s="1"/>
  <c r="E554" i="1"/>
  <c r="F554" i="1" s="1"/>
  <c r="E553" i="1"/>
  <c r="F553" i="1" s="1"/>
  <c r="E552" i="1"/>
  <c r="F552" i="1" s="1"/>
  <c r="E551" i="1"/>
  <c r="F551" i="1" s="1"/>
  <c r="E550" i="1"/>
  <c r="F550" i="1" s="1"/>
  <c r="E549" i="1"/>
  <c r="F549" i="1" s="1"/>
  <c r="E548" i="1"/>
  <c r="F548" i="1" s="1"/>
  <c r="E547" i="1"/>
  <c r="F547" i="1" s="1"/>
  <c r="E546" i="1"/>
  <c r="F546" i="1" s="1"/>
  <c r="E545" i="1"/>
  <c r="F545" i="1" s="1"/>
  <c r="E544" i="1"/>
  <c r="F544" i="1" s="1"/>
  <c r="E543" i="1"/>
  <c r="F543" i="1" s="1"/>
  <c r="E542" i="1"/>
  <c r="F542" i="1" s="1"/>
  <c r="E541" i="1"/>
  <c r="F541" i="1" s="1"/>
  <c r="E540" i="1"/>
  <c r="F540" i="1" s="1"/>
  <c r="E539" i="1"/>
  <c r="F539" i="1" s="1"/>
  <c r="E538" i="1"/>
  <c r="F538" i="1" s="1"/>
  <c r="E537" i="1"/>
  <c r="F537" i="1" s="1"/>
  <c r="E536" i="1"/>
  <c r="F536" i="1" s="1"/>
  <c r="E535" i="1"/>
  <c r="F535" i="1" s="1"/>
  <c r="B535" i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E534" i="1"/>
  <c r="F534" i="1" s="1"/>
  <c r="E288" i="1"/>
  <c r="F288" i="1" s="1"/>
  <c r="E287" i="1"/>
  <c r="F287" i="1" s="1"/>
  <c r="E286" i="1"/>
  <c r="F286" i="1" s="1"/>
  <c r="E285" i="1"/>
  <c r="F285" i="1" s="1"/>
  <c r="E284" i="1"/>
  <c r="F284" i="1" s="1"/>
  <c r="E283" i="1"/>
  <c r="F283" i="1" s="1"/>
  <c r="E282" i="1"/>
  <c r="F282" i="1" s="1"/>
  <c r="E281" i="1"/>
  <c r="F281" i="1" s="1"/>
  <c r="E280" i="1"/>
  <c r="F280" i="1" s="1"/>
  <c r="E279" i="1"/>
  <c r="F279" i="1" s="1"/>
  <c r="E278" i="1"/>
  <c r="F278" i="1" s="1"/>
  <c r="E277" i="1"/>
  <c r="F277" i="1" s="1"/>
  <c r="E276" i="1"/>
  <c r="F276" i="1" s="1"/>
  <c r="E275" i="1"/>
  <c r="F275" i="1" s="1"/>
  <c r="E274" i="1"/>
  <c r="F274" i="1" s="1"/>
  <c r="E273" i="1"/>
  <c r="F273" i="1" s="1"/>
  <c r="E272" i="1"/>
  <c r="F272" i="1" s="1"/>
  <c r="E271" i="1"/>
  <c r="F271" i="1" s="1"/>
  <c r="E270" i="1"/>
  <c r="F270" i="1" s="1"/>
  <c r="E269" i="1"/>
  <c r="F269" i="1" s="1"/>
  <c r="B269" i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E268" i="1"/>
  <c r="F268" i="1" s="1"/>
  <c r="E326" i="1"/>
  <c r="F326" i="1" s="1"/>
  <c r="E325" i="1"/>
  <c r="F325" i="1" s="1"/>
  <c r="E324" i="1"/>
  <c r="F324" i="1" s="1"/>
  <c r="E323" i="1"/>
  <c r="F323" i="1" s="1"/>
  <c r="E322" i="1"/>
  <c r="F322" i="1" s="1"/>
  <c r="E321" i="1"/>
  <c r="F321" i="1" s="1"/>
  <c r="E320" i="1"/>
  <c r="F320" i="1" s="1"/>
  <c r="E319" i="1"/>
  <c r="F319" i="1" s="1"/>
  <c r="E318" i="1"/>
  <c r="F318" i="1" s="1"/>
  <c r="E317" i="1"/>
  <c r="F317" i="1" s="1"/>
  <c r="E316" i="1"/>
  <c r="F316" i="1" s="1"/>
  <c r="E315" i="1"/>
  <c r="F315" i="1" s="1"/>
  <c r="E314" i="1"/>
  <c r="F314" i="1" s="1"/>
  <c r="E313" i="1"/>
  <c r="F313" i="1" s="1"/>
  <c r="E312" i="1"/>
  <c r="F312" i="1" s="1"/>
  <c r="E311" i="1"/>
  <c r="F311" i="1" s="1"/>
  <c r="E310" i="1"/>
  <c r="F310" i="1" s="1"/>
  <c r="E309" i="1"/>
  <c r="F309" i="1" s="1"/>
  <c r="E308" i="1"/>
  <c r="F308" i="1" s="1"/>
  <c r="E307" i="1"/>
  <c r="F307" i="1" s="1"/>
  <c r="B307" i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E306" i="1"/>
  <c r="F306" i="1" s="1"/>
  <c r="E364" i="1"/>
  <c r="F364" i="1" s="1"/>
  <c r="E363" i="1"/>
  <c r="F363" i="1" s="1"/>
  <c r="E362" i="1"/>
  <c r="F362" i="1" s="1"/>
  <c r="E361" i="1"/>
  <c r="F361" i="1" s="1"/>
  <c r="E360" i="1"/>
  <c r="F360" i="1" s="1"/>
  <c r="E359" i="1"/>
  <c r="F359" i="1" s="1"/>
  <c r="E358" i="1"/>
  <c r="F358" i="1" s="1"/>
  <c r="E357" i="1"/>
  <c r="F357" i="1" s="1"/>
  <c r="E356" i="1"/>
  <c r="F356" i="1" s="1"/>
  <c r="E355" i="1"/>
  <c r="F355" i="1" s="1"/>
  <c r="E354" i="1"/>
  <c r="F354" i="1" s="1"/>
  <c r="E353" i="1"/>
  <c r="F353" i="1" s="1"/>
  <c r="E352" i="1"/>
  <c r="F352" i="1" s="1"/>
  <c r="E351" i="1"/>
  <c r="F351" i="1" s="1"/>
  <c r="E350" i="1"/>
  <c r="F350" i="1" s="1"/>
  <c r="E349" i="1"/>
  <c r="F349" i="1" s="1"/>
  <c r="E348" i="1"/>
  <c r="F348" i="1" s="1"/>
  <c r="E347" i="1"/>
  <c r="F347" i="1" s="1"/>
  <c r="E346" i="1"/>
  <c r="F346" i="1" s="1"/>
  <c r="E345" i="1"/>
  <c r="F345" i="1" s="1"/>
  <c r="B345" i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E344" i="1"/>
  <c r="F344" i="1" s="1"/>
  <c r="E136" i="1"/>
  <c r="F136" i="1" s="1"/>
  <c r="E135" i="1"/>
  <c r="F135" i="1" s="1"/>
  <c r="E134" i="1"/>
  <c r="F134" i="1" s="1"/>
  <c r="E133" i="1"/>
  <c r="F133" i="1" s="1"/>
  <c r="E132" i="1"/>
  <c r="F132" i="1" s="1"/>
  <c r="E131" i="1"/>
  <c r="F131" i="1" s="1"/>
  <c r="E130" i="1"/>
  <c r="F130" i="1" s="1"/>
  <c r="E129" i="1"/>
  <c r="F129" i="1" s="1"/>
  <c r="E128" i="1"/>
  <c r="F128" i="1" s="1"/>
  <c r="E127" i="1"/>
  <c r="F127" i="1" s="1"/>
  <c r="E126" i="1"/>
  <c r="F126" i="1" s="1"/>
  <c r="E125" i="1"/>
  <c r="F125" i="1" s="1"/>
  <c r="E124" i="1"/>
  <c r="F124" i="1" s="1"/>
  <c r="E123" i="1"/>
  <c r="F123" i="1" s="1"/>
  <c r="E122" i="1"/>
  <c r="F122" i="1" s="1"/>
  <c r="E121" i="1"/>
  <c r="F121" i="1" s="1"/>
  <c r="E120" i="1"/>
  <c r="F120" i="1" s="1"/>
  <c r="E119" i="1"/>
  <c r="F119" i="1" s="1"/>
  <c r="E118" i="1"/>
  <c r="F118" i="1" s="1"/>
  <c r="E117" i="1"/>
  <c r="F117" i="1" s="1"/>
  <c r="B117" i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E116" i="1"/>
  <c r="F116" i="1" s="1"/>
  <c r="E174" i="1"/>
  <c r="F174" i="1" s="1"/>
  <c r="E173" i="1"/>
  <c r="F173" i="1" s="1"/>
  <c r="E172" i="1"/>
  <c r="F172" i="1" s="1"/>
  <c r="E171" i="1"/>
  <c r="F171" i="1" s="1"/>
  <c r="E170" i="1"/>
  <c r="F170" i="1" s="1"/>
  <c r="E169" i="1"/>
  <c r="F169" i="1" s="1"/>
  <c r="E168" i="1"/>
  <c r="F168" i="1" s="1"/>
  <c r="E167" i="1"/>
  <c r="F167" i="1" s="1"/>
  <c r="E166" i="1"/>
  <c r="F166" i="1" s="1"/>
  <c r="E165" i="1"/>
  <c r="F165" i="1" s="1"/>
  <c r="E164" i="1"/>
  <c r="F164" i="1" s="1"/>
  <c r="E163" i="1"/>
  <c r="F163" i="1" s="1"/>
  <c r="E162" i="1"/>
  <c r="F162" i="1" s="1"/>
  <c r="E161" i="1"/>
  <c r="F161" i="1" s="1"/>
  <c r="E160" i="1"/>
  <c r="F160" i="1" s="1"/>
  <c r="E159" i="1"/>
  <c r="F159" i="1" s="1"/>
  <c r="E158" i="1"/>
  <c r="F158" i="1" s="1"/>
  <c r="E157" i="1"/>
  <c r="F157" i="1" s="1"/>
  <c r="E156" i="1"/>
  <c r="F156" i="1" s="1"/>
  <c r="E155" i="1"/>
  <c r="F155" i="1" s="1"/>
  <c r="B155" i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E154" i="1"/>
  <c r="F154" i="1" s="1"/>
  <c r="E212" i="1"/>
  <c r="F212" i="1" s="1"/>
  <c r="E211" i="1"/>
  <c r="F211" i="1" s="1"/>
  <c r="E210" i="1"/>
  <c r="F210" i="1" s="1"/>
  <c r="E209" i="1"/>
  <c r="F209" i="1" s="1"/>
  <c r="E208" i="1"/>
  <c r="F208" i="1" s="1"/>
  <c r="E207" i="1"/>
  <c r="F207" i="1" s="1"/>
  <c r="E206" i="1"/>
  <c r="F206" i="1" s="1"/>
  <c r="E205" i="1"/>
  <c r="F205" i="1" s="1"/>
  <c r="E204" i="1"/>
  <c r="F204" i="1" s="1"/>
  <c r="E203" i="1"/>
  <c r="F203" i="1" s="1"/>
  <c r="E202" i="1"/>
  <c r="F202" i="1" s="1"/>
  <c r="E201" i="1"/>
  <c r="F201" i="1" s="1"/>
  <c r="E200" i="1"/>
  <c r="F200" i="1" s="1"/>
  <c r="E199" i="1"/>
  <c r="F199" i="1" s="1"/>
  <c r="E198" i="1"/>
  <c r="F198" i="1" s="1"/>
  <c r="E197" i="1"/>
  <c r="F197" i="1" s="1"/>
  <c r="E196" i="1"/>
  <c r="F196" i="1" s="1"/>
  <c r="E195" i="1"/>
  <c r="F195" i="1" s="1"/>
  <c r="E194" i="1"/>
  <c r="F194" i="1" s="1"/>
  <c r="E193" i="1"/>
  <c r="F193" i="1" s="1"/>
  <c r="B193" i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E192" i="1"/>
  <c r="F192" i="1" s="1"/>
  <c r="E4164" i="1"/>
  <c r="F4164" i="1" s="1"/>
  <c r="E4163" i="1"/>
  <c r="F4163" i="1" s="1"/>
  <c r="E4162" i="1"/>
  <c r="F4162" i="1" s="1"/>
  <c r="E4161" i="1"/>
  <c r="F4161" i="1" s="1"/>
  <c r="E4160" i="1"/>
  <c r="F4160" i="1" s="1"/>
  <c r="E4159" i="1"/>
  <c r="F4159" i="1" s="1"/>
  <c r="E4158" i="1"/>
  <c r="F4158" i="1" s="1"/>
  <c r="E4157" i="1"/>
  <c r="F4157" i="1" s="1"/>
  <c r="E4156" i="1"/>
  <c r="F4156" i="1" s="1"/>
  <c r="E4155" i="1"/>
  <c r="F4155" i="1" s="1"/>
  <c r="E4154" i="1"/>
  <c r="F4154" i="1" s="1"/>
  <c r="E4153" i="1"/>
  <c r="F4153" i="1" s="1"/>
  <c r="E4152" i="1"/>
  <c r="F4152" i="1" s="1"/>
  <c r="E4151" i="1"/>
  <c r="F4151" i="1" s="1"/>
  <c r="E4150" i="1"/>
  <c r="F4150" i="1" s="1"/>
  <c r="E4149" i="1"/>
  <c r="F4149" i="1" s="1"/>
  <c r="E4148" i="1"/>
  <c r="F4148" i="1" s="1"/>
  <c r="E4147" i="1"/>
  <c r="F4147" i="1" s="1"/>
  <c r="E4146" i="1"/>
  <c r="F4146" i="1" s="1"/>
  <c r="E4145" i="1"/>
  <c r="F4145" i="1" s="1"/>
  <c r="B4145" i="1"/>
  <c r="B4146" i="1" s="1"/>
  <c r="B4147" i="1" s="1"/>
  <c r="B4148" i="1" s="1"/>
  <c r="B4149" i="1" s="1"/>
  <c r="B4150" i="1" s="1"/>
  <c r="B4151" i="1" s="1"/>
  <c r="B4152" i="1" s="1"/>
  <c r="B4153" i="1" s="1"/>
  <c r="B4154" i="1" s="1"/>
  <c r="B4155" i="1" s="1"/>
  <c r="B4156" i="1" s="1"/>
  <c r="B4157" i="1" s="1"/>
  <c r="B4158" i="1" s="1"/>
  <c r="B4159" i="1" s="1"/>
  <c r="B4160" i="1" s="1"/>
  <c r="B4161" i="1" s="1"/>
  <c r="B4162" i="1" s="1"/>
  <c r="B4163" i="1" s="1"/>
  <c r="B4164" i="1" s="1"/>
  <c r="B4165" i="1" s="1"/>
  <c r="B4166" i="1" s="1"/>
  <c r="B4167" i="1" s="1"/>
  <c r="B4168" i="1" s="1"/>
  <c r="B4169" i="1" s="1"/>
  <c r="B4170" i="1" s="1"/>
  <c r="B4171" i="1" s="1"/>
  <c r="B4172" i="1" s="1"/>
  <c r="B4173" i="1" s="1"/>
  <c r="B4174" i="1" s="1"/>
  <c r="B4175" i="1" s="1"/>
  <c r="B4176" i="1" s="1"/>
  <c r="B4177" i="1" s="1"/>
  <c r="B4178" i="1" s="1"/>
  <c r="B4179" i="1" s="1"/>
  <c r="B4180" i="1" s="1"/>
  <c r="H4144" i="1"/>
  <c r="H4145" i="1" s="1"/>
  <c r="H4146" i="1" s="1"/>
  <c r="H4147" i="1" s="1"/>
  <c r="H4148" i="1" s="1"/>
  <c r="H4149" i="1" s="1"/>
  <c r="H4150" i="1" s="1"/>
  <c r="H4151" i="1" s="1"/>
  <c r="H4152" i="1" s="1"/>
  <c r="E4144" i="1"/>
  <c r="F4144" i="1" s="1"/>
  <c r="E4012" i="1"/>
  <c r="F4012" i="1" s="1"/>
  <c r="E4011" i="1"/>
  <c r="F4011" i="1" s="1"/>
  <c r="E4010" i="1"/>
  <c r="F4010" i="1" s="1"/>
  <c r="E4009" i="1"/>
  <c r="F4009" i="1" s="1"/>
  <c r="E4008" i="1"/>
  <c r="F4008" i="1" s="1"/>
  <c r="E4007" i="1"/>
  <c r="F4007" i="1" s="1"/>
  <c r="E4006" i="1"/>
  <c r="F4006" i="1" s="1"/>
  <c r="E4005" i="1"/>
  <c r="F4005" i="1" s="1"/>
  <c r="E4004" i="1"/>
  <c r="F4004" i="1" s="1"/>
  <c r="E4003" i="1"/>
  <c r="F4003" i="1" s="1"/>
  <c r="E4002" i="1"/>
  <c r="F4002" i="1" s="1"/>
  <c r="E4001" i="1"/>
  <c r="F4001" i="1" s="1"/>
  <c r="E4000" i="1"/>
  <c r="F4000" i="1" s="1"/>
  <c r="E3999" i="1"/>
  <c r="F3999" i="1" s="1"/>
  <c r="E3998" i="1"/>
  <c r="F3998" i="1" s="1"/>
  <c r="E3997" i="1"/>
  <c r="F3997" i="1" s="1"/>
  <c r="E3996" i="1"/>
  <c r="F3996" i="1" s="1"/>
  <c r="E3995" i="1"/>
  <c r="F3995" i="1" s="1"/>
  <c r="E3994" i="1"/>
  <c r="F3994" i="1" s="1"/>
  <c r="E3993" i="1"/>
  <c r="F3993" i="1" s="1"/>
  <c r="B3993" i="1"/>
  <c r="B3994" i="1" s="1"/>
  <c r="B3995" i="1" s="1"/>
  <c r="B3996" i="1" s="1"/>
  <c r="B3997" i="1" s="1"/>
  <c r="B3998" i="1" s="1"/>
  <c r="B3999" i="1" s="1"/>
  <c r="B4000" i="1" s="1"/>
  <c r="B4001" i="1" s="1"/>
  <c r="B4002" i="1" s="1"/>
  <c r="B4003" i="1" s="1"/>
  <c r="B4004" i="1" s="1"/>
  <c r="B4005" i="1" s="1"/>
  <c r="B4006" i="1" s="1"/>
  <c r="B4007" i="1" s="1"/>
  <c r="B4008" i="1" s="1"/>
  <c r="B4009" i="1" s="1"/>
  <c r="B4010" i="1" s="1"/>
  <c r="B4011" i="1" s="1"/>
  <c r="B4012" i="1" s="1"/>
  <c r="B4013" i="1" s="1"/>
  <c r="B4014" i="1" s="1"/>
  <c r="B4015" i="1" s="1"/>
  <c r="B4016" i="1" s="1"/>
  <c r="B4017" i="1" s="1"/>
  <c r="B4018" i="1" s="1"/>
  <c r="B4019" i="1" s="1"/>
  <c r="B4020" i="1" s="1"/>
  <c r="B4021" i="1" s="1"/>
  <c r="B4022" i="1" s="1"/>
  <c r="B4023" i="1" s="1"/>
  <c r="B4024" i="1" s="1"/>
  <c r="B4025" i="1" s="1"/>
  <c r="B4026" i="1" s="1"/>
  <c r="B4027" i="1" s="1"/>
  <c r="B4028" i="1" s="1"/>
  <c r="H3992" i="1"/>
  <c r="H3993" i="1" s="1"/>
  <c r="H3994" i="1" s="1"/>
  <c r="H3995" i="1" s="1"/>
  <c r="H3996" i="1" s="1"/>
  <c r="H3997" i="1" s="1"/>
  <c r="H3998" i="1" s="1"/>
  <c r="H3999" i="1" s="1"/>
  <c r="E3992" i="1"/>
  <c r="F3992" i="1" s="1"/>
  <c r="E3860" i="1"/>
  <c r="F3860" i="1" s="1"/>
  <c r="E3859" i="1"/>
  <c r="F3859" i="1" s="1"/>
  <c r="E3858" i="1"/>
  <c r="F3858" i="1" s="1"/>
  <c r="E3857" i="1"/>
  <c r="F3857" i="1" s="1"/>
  <c r="E3856" i="1"/>
  <c r="F3856" i="1" s="1"/>
  <c r="E3855" i="1"/>
  <c r="F3855" i="1" s="1"/>
  <c r="E3854" i="1"/>
  <c r="F3854" i="1" s="1"/>
  <c r="E3853" i="1"/>
  <c r="F3853" i="1" s="1"/>
  <c r="E3852" i="1"/>
  <c r="F3852" i="1" s="1"/>
  <c r="E3851" i="1"/>
  <c r="F3851" i="1" s="1"/>
  <c r="E3850" i="1"/>
  <c r="F3850" i="1" s="1"/>
  <c r="E3849" i="1"/>
  <c r="F3849" i="1" s="1"/>
  <c r="E3848" i="1"/>
  <c r="F3848" i="1" s="1"/>
  <c r="E3847" i="1"/>
  <c r="F3847" i="1" s="1"/>
  <c r="E3846" i="1"/>
  <c r="F3846" i="1" s="1"/>
  <c r="E3845" i="1"/>
  <c r="F3845" i="1" s="1"/>
  <c r="E3844" i="1"/>
  <c r="F3844" i="1" s="1"/>
  <c r="E3843" i="1"/>
  <c r="F3843" i="1" s="1"/>
  <c r="E3842" i="1"/>
  <c r="F3842" i="1" s="1"/>
  <c r="E3841" i="1"/>
  <c r="F3841" i="1" s="1"/>
  <c r="B3841" i="1"/>
  <c r="B3842" i="1" s="1"/>
  <c r="B3843" i="1" s="1"/>
  <c r="B3844" i="1" s="1"/>
  <c r="B3845" i="1" s="1"/>
  <c r="B3846" i="1" s="1"/>
  <c r="B3847" i="1" s="1"/>
  <c r="B3848" i="1" s="1"/>
  <c r="B3849" i="1" s="1"/>
  <c r="B3850" i="1" s="1"/>
  <c r="B3851" i="1" s="1"/>
  <c r="B3852" i="1" s="1"/>
  <c r="B3853" i="1" s="1"/>
  <c r="B3854" i="1" s="1"/>
  <c r="B3855" i="1" s="1"/>
  <c r="B3856" i="1" s="1"/>
  <c r="B3857" i="1" s="1"/>
  <c r="B3858" i="1" s="1"/>
  <c r="B3859" i="1" s="1"/>
  <c r="B3860" i="1" s="1"/>
  <c r="B3861" i="1" s="1"/>
  <c r="B3862" i="1" s="1"/>
  <c r="B3863" i="1" s="1"/>
  <c r="B3864" i="1" s="1"/>
  <c r="B3865" i="1" s="1"/>
  <c r="B3866" i="1" s="1"/>
  <c r="B3867" i="1" s="1"/>
  <c r="B3868" i="1" s="1"/>
  <c r="B3869" i="1" s="1"/>
  <c r="B3870" i="1" s="1"/>
  <c r="B3871" i="1" s="1"/>
  <c r="B3872" i="1" s="1"/>
  <c r="B3873" i="1" s="1"/>
  <c r="B3874" i="1" s="1"/>
  <c r="B3875" i="1" s="1"/>
  <c r="B3876" i="1" s="1"/>
  <c r="H3840" i="1"/>
  <c r="H3841" i="1" s="1"/>
  <c r="H3842" i="1" s="1"/>
  <c r="H3843" i="1" s="1"/>
  <c r="H3844" i="1" s="1"/>
  <c r="H3845" i="1" s="1"/>
  <c r="H3846" i="1" s="1"/>
  <c r="E3840" i="1"/>
  <c r="F3840" i="1" s="1"/>
  <c r="E3822" i="1"/>
  <c r="F3822" i="1" s="1"/>
  <c r="E3821" i="1"/>
  <c r="F3821" i="1" s="1"/>
  <c r="E3820" i="1"/>
  <c r="F3820" i="1" s="1"/>
  <c r="E3819" i="1"/>
  <c r="F3819" i="1" s="1"/>
  <c r="E3818" i="1"/>
  <c r="F3818" i="1" s="1"/>
  <c r="E3817" i="1"/>
  <c r="F3817" i="1" s="1"/>
  <c r="E3816" i="1"/>
  <c r="F3816" i="1" s="1"/>
  <c r="E3815" i="1"/>
  <c r="F3815" i="1" s="1"/>
  <c r="E3814" i="1"/>
  <c r="F3814" i="1" s="1"/>
  <c r="E3813" i="1"/>
  <c r="F3813" i="1" s="1"/>
  <c r="E3812" i="1"/>
  <c r="F3812" i="1" s="1"/>
  <c r="E3811" i="1"/>
  <c r="F3811" i="1" s="1"/>
  <c r="E3810" i="1"/>
  <c r="F3810" i="1" s="1"/>
  <c r="E3809" i="1"/>
  <c r="F3809" i="1" s="1"/>
  <c r="E3808" i="1"/>
  <c r="F3808" i="1" s="1"/>
  <c r="E3807" i="1"/>
  <c r="F3807" i="1" s="1"/>
  <c r="E3806" i="1"/>
  <c r="F3806" i="1" s="1"/>
  <c r="E3805" i="1"/>
  <c r="F3805" i="1" s="1"/>
  <c r="E3804" i="1"/>
  <c r="F3804" i="1" s="1"/>
  <c r="E3803" i="1"/>
  <c r="F3803" i="1" s="1"/>
  <c r="B3803" i="1"/>
  <c r="B3804" i="1" s="1"/>
  <c r="B3805" i="1" s="1"/>
  <c r="B3806" i="1" s="1"/>
  <c r="B3807" i="1" s="1"/>
  <c r="B3808" i="1" s="1"/>
  <c r="B3809" i="1" s="1"/>
  <c r="B3810" i="1" s="1"/>
  <c r="B3811" i="1" s="1"/>
  <c r="B3812" i="1" s="1"/>
  <c r="B3813" i="1" s="1"/>
  <c r="B3814" i="1" s="1"/>
  <c r="B3815" i="1" s="1"/>
  <c r="B3816" i="1" s="1"/>
  <c r="B3817" i="1" s="1"/>
  <c r="B3818" i="1" s="1"/>
  <c r="B3819" i="1" s="1"/>
  <c r="B3820" i="1" s="1"/>
  <c r="B3821" i="1" s="1"/>
  <c r="B3822" i="1" s="1"/>
  <c r="B3823" i="1" s="1"/>
  <c r="B3824" i="1" s="1"/>
  <c r="B3825" i="1" s="1"/>
  <c r="B3826" i="1" s="1"/>
  <c r="B3827" i="1" s="1"/>
  <c r="B3828" i="1" s="1"/>
  <c r="B3829" i="1" s="1"/>
  <c r="B3830" i="1" s="1"/>
  <c r="B3831" i="1" s="1"/>
  <c r="B3832" i="1" s="1"/>
  <c r="B3833" i="1" s="1"/>
  <c r="B3834" i="1" s="1"/>
  <c r="B3835" i="1" s="1"/>
  <c r="B3836" i="1" s="1"/>
  <c r="B3837" i="1" s="1"/>
  <c r="B3838" i="1" s="1"/>
  <c r="H3802" i="1"/>
  <c r="H3803" i="1" s="1"/>
  <c r="H3804" i="1" s="1"/>
  <c r="H3805" i="1" s="1"/>
  <c r="H3806" i="1" s="1"/>
  <c r="H3807" i="1" s="1"/>
  <c r="E3802" i="1"/>
  <c r="F3802" i="1" s="1"/>
  <c r="E3801" i="1"/>
  <c r="E3784" i="1"/>
  <c r="F3784" i="1" s="1"/>
  <c r="E3783" i="1"/>
  <c r="F3783" i="1" s="1"/>
  <c r="E3782" i="1"/>
  <c r="F3782" i="1" s="1"/>
  <c r="E3781" i="1"/>
  <c r="F3781" i="1" s="1"/>
  <c r="E3780" i="1"/>
  <c r="F3780" i="1" s="1"/>
  <c r="E3779" i="1"/>
  <c r="F3779" i="1" s="1"/>
  <c r="E3778" i="1"/>
  <c r="F3778" i="1" s="1"/>
  <c r="E3777" i="1"/>
  <c r="F3777" i="1" s="1"/>
  <c r="E3776" i="1"/>
  <c r="F3776" i="1" s="1"/>
  <c r="E3775" i="1"/>
  <c r="F3775" i="1" s="1"/>
  <c r="E3774" i="1"/>
  <c r="F3774" i="1" s="1"/>
  <c r="E3773" i="1"/>
  <c r="F3773" i="1" s="1"/>
  <c r="E3772" i="1"/>
  <c r="F3772" i="1" s="1"/>
  <c r="E3771" i="1"/>
  <c r="F3771" i="1" s="1"/>
  <c r="E3770" i="1"/>
  <c r="F3770" i="1" s="1"/>
  <c r="E3769" i="1"/>
  <c r="F3769" i="1" s="1"/>
  <c r="E3768" i="1"/>
  <c r="F3768" i="1" s="1"/>
  <c r="E3767" i="1"/>
  <c r="F3767" i="1" s="1"/>
  <c r="E3766" i="1"/>
  <c r="F3766" i="1" s="1"/>
  <c r="E3765" i="1"/>
  <c r="F3765" i="1" s="1"/>
  <c r="B3765" i="1"/>
  <c r="B3766" i="1" s="1"/>
  <c r="B3767" i="1" s="1"/>
  <c r="B3768" i="1" s="1"/>
  <c r="B3769" i="1" s="1"/>
  <c r="B3770" i="1" s="1"/>
  <c r="B3771" i="1" s="1"/>
  <c r="B3772" i="1" s="1"/>
  <c r="B3773" i="1" s="1"/>
  <c r="B3774" i="1" s="1"/>
  <c r="B3775" i="1" s="1"/>
  <c r="B3776" i="1" s="1"/>
  <c r="B3777" i="1" s="1"/>
  <c r="B3778" i="1" s="1"/>
  <c r="B3779" i="1" s="1"/>
  <c r="B3780" i="1" s="1"/>
  <c r="B3781" i="1" s="1"/>
  <c r="B3782" i="1" s="1"/>
  <c r="B3783" i="1" s="1"/>
  <c r="B3784" i="1" s="1"/>
  <c r="B3785" i="1" s="1"/>
  <c r="B3786" i="1" s="1"/>
  <c r="B3787" i="1" s="1"/>
  <c r="B3788" i="1" s="1"/>
  <c r="B3789" i="1" s="1"/>
  <c r="B3790" i="1" s="1"/>
  <c r="B3791" i="1" s="1"/>
  <c r="B3792" i="1" s="1"/>
  <c r="B3793" i="1" s="1"/>
  <c r="B3794" i="1" s="1"/>
  <c r="B3795" i="1" s="1"/>
  <c r="B3796" i="1" s="1"/>
  <c r="B3797" i="1" s="1"/>
  <c r="B3798" i="1" s="1"/>
  <c r="B3799" i="1" s="1"/>
  <c r="B3800" i="1" s="1"/>
  <c r="H3764" i="1"/>
  <c r="H3765" i="1" s="1"/>
  <c r="H3766" i="1" s="1"/>
  <c r="H3767" i="1" s="1"/>
  <c r="H3768" i="1" s="1"/>
  <c r="E3764" i="1"/>
  <c r="F3764" i="1" s="1"/>
  <c r="E3746" i="1"/>
  <c r="F3746" i="1" s="1"/>
  <c r="E3745" i="1"/>
  <c r="F3745" i="1" s="1"/>
  <c r="E3744" i="1"/>
  <c r="F3744" i="1" s="1"/>
  <c r="E3743" i="1"/>
  <c r="F3743" i="1" s="1"/>
  <c r="E3742" i="1"/>
  <c r="F3742" i="1" s="1"/>
  <c r="E3741" i="1"/>
  <c r="F3741" i="1" s="1"/>
  <c r="E3740" i="1"/>
  <c r="F3740" i="1" s="1"/>
  <c r="E3739" i="1"/>
  <c r="F3739" i="1" s="1"/>
  <c r="E3738" i="1"/>
  <c r="F3738" i="1" s="1"/>
  <c r="E3737" i="1"/>
  <c r="F3737" i="1" s="1"/>
  <c r="E3736" i="1"/>
  <c r="F3736" i="1" s="1"/>
  <c r="E3735" i="1"/>
  <c r="F3735" i="1" s="1"/>
  <c r="E3734" i="1"/>
  <c r="F3734" i="1" s="1"/>
  <c r="E3733" i="1"/>
  <c r="F3733" i="1" s="1"/>
  <c r="E3732" i="1"/>
  <c r="F3732" i="1" s="1"/>
  <c r="E3731" i="1"/>
  <c r="F3731" i="1" s="1"/>
  <c r="E3730" i="1"/>
  <c r="F3730" i="1" s="1"/>
  <c r="E3729" i="1"/>
  <c r="F3729" i="1" s="1"/>
  <c r="E3728" i="1"/>
  <c r="F3728" i="1" s="1"/>
  <c r="E3727" i="1"/>
  <c r="F3727" i="1" s="1"/>
  <c r="B3727" i="1"/>
  <c r="B3728" i="1" s="1"/>
  <c r="B3729" i="1" s="1"/>
  <c r="B3730" i="1" s="1"/>
  <c r="B3731" i="1" s="1"/>
  <c r="B3732" i="1" s="1"/>
  <c r="B3733" i="1" s="1"/>
  <c r="B3734" i="1" s="1"/>
  <c r="B3735" i="1" s="1"/>
  <c r="B3736" i="1" s="1"/>
  <c r="B3737" i="1" s="1"/>
  <c r="B3738" i="1" s="1"/>
  <c r="B3739" i="1" s="1"/>
  <c r="B3740" i="1" s="1"/>
  <c r="B3741" i="1" s="1"/>
  <c r="B3742" i="1" s="1"/>
  <c r="B3743" i="1" s="1"/>
  <c r="B3744" i="1" s="1"/>
  <c r="B3745" i="1" s="1"/>
  <c r="B3746" i="1" s="1"/>
  <c r="B3747" i="1" s="1"/>
  <c r="B3748" i="1" s="1"/>
  <c r="B3749" i="1" s="1"/>
  <c r="B3750" i="1" s="1"/>
  <c r="B3751" i="1" s="1"/>
  <c r="B3752" i="1" s="1"/>
  <c r="B3753" i="1" s="1"/>
  <c r="B3754" i="1" s="1"/>
  <c r="B3755" i="1" s="1"/>
  <c r="B3756" i="1" s="1"/>
  <c r="B3757" i="1" s="1"/>
  <c r="B3758" i="1" s="1"/>
  <c r="B3759" i="1" s="1"/>
  <c r="B3760" i="1" s="1"/>
  <c r="B3761" i="1" s="1"/>
  <c r="B3762" i="1" s="1"/>
  <c r="H3726" i="1"/>
  <c r="E3726" i="1"/>
  <c r="F3726" i="1" s="1"/>
  <c r="E3594" i="1"/>
  <c r="F3594" i="1" s="1"/>
  <c r="E3593" i="1"/>
  <c r="F3593" i="1" s="1"/>
  <c r="E3592" i="1"/>
  <c r="F3592" i="1" s="1"/>
  <c r="E3591" i="1"/>
  <c r="F3591" i="1" s="1"/>
  <c r="E3590" i="1"/>
  <c r="F3590" i="1" s="1"/>
  <c r="E3589" i="1"/>
  <c r="F3589" i="1" s="1"/>
  <c r="E3588" i="1"/>
  <c r="F3588" i="1" s="1"/>
  <c r="E3587" i="1"/>
  <c r="F3587" i="1" s="1"/>
  <c r="E3586" i="1"/>
  <c r="F3586" i="1" s="1"/>
  <c r="E3585" i="1"/>
  <c r="F3585" i="1" s="1"/>
  <c r="E3584" i="1"/>
  <c r="F3584" i="1" s="1"/>
  <c r="E3583" i="1"/>
  <c r="F3583" i="1" s="1"/>
  <c r="E3582" i="1"/>
  <c r="F3582" i="1" s="1"/>
  <c r="E3581" i="1"/>
  <c r="F3581" i="1" s="1"/>
  <c r="E3580" i="1"/>
  <c r="F3580" i="1" s="1"/>
  <c r="E3579" i="1"/>
  <c r="F3579" i="1" s="1"/>
  <c r="E3578" i="1"/>
  <c r="F3578" i="1" s="1"/>
  <c r="E3577" i="1"/>
  <c r="F3577" i="1" s="1"/>
  <c r="E3576" i="1"/>
  <c r="F3576" i="1" s="1"/>
  <c r="E3575" i="1"/>
  <c r="F3575" i="1" s="1"/>
  <c r="B3575" i="1"/>
  <c r="B3576" i="1" s="1"/>
  <c r="B3577" i="1" s="1"/>
  <c r="B3578" i="1" s="1"/>
  <c r="B3579" i="1" s="1"/>
  <c r="B3580" i="1" s="1"/>
  <c r="B3581" i="1" s="1"/>
  <c r="B3582" i="1" s="1"/>
  <c r="B3583" i="1" s="1"/>
  <c r="B3584" i="1" s="1"/>
  <c r="B3585" i="1" s="1"/>
  <c r="B3586" i="1" s="1"/>
  <c r="B3587" i="1" s="1"/>
  <c r="B3588" i="1" s="1"/>
  <c r="B3589" i="1" s="1"/>
  <c r="B3590" i="1" s="1"/>
  <c r="B3591" i="1" s="1"/>
  <c r="B3592" i="1" s="1"/>
  <c r="B3593" i="1" s="1"/>
  <c r="B3594" i="1" s="1"/>
  <c r="B3595" i="1" s="1"/>
  <c r="B3596" i="1" s="1"/>
  <c r="B3597" i="1" s="1"/>
  <c r="B3598" i="1" s="1"/>
  <c r="B3599" i="1" s="1"/>
  <c r="B3600" i="1" s="1"/>
  <c r="B3601" i="1" s="1"/>
  <c r="B3602" i="1" s="1"/>
  <c r="B3603" i="1" s="1"/>
  <c r="B3604" i="1" s="1"/>
  <c r="B3605" i="1" s="1"/>
  <c r="B3606" i="1" s="1"/>
  <c r="B3607" i="1" s="1"/>
  <c r="B3608" i="1" s="1"/>
  <c r="B3609" i="1" s="1"/>
  <c r="B3610" i="1" s="1"/>
  <c r="H3574" i="1"/>
  <c r="H3575" i="1" s="1"/>
  <c r="H3576" i="1" s="1"/>
  <c r="E3574" i="1"/>
  <c r="F3574" i="1" s="1"/>
  <c r="E3442" i="1"/>
  <c r="F3442" i="1" s="1"/>
  <c r="E3441" i="1"/>
  <c r="F3441" i="1" s="1"/>
  <c r="E3440" i="1"/>
  <c r="F3440" i="1" s="1"/>
  <c r="E3439" i="1"/>
  <c r="F3439" i="1" s="1"/>
  <c r="E3438" i="1"/>
  <c r="F3438" i="1" s="1"/>
  <c r="E3437" i="1"/>
  <c r="F3437" i="1" s="1"/>
  <c r="E3436" i="1"/>
  <c r="F3436" i="1" s="1"/>
  <c r="E3435" i="1"/>
  <c r="F3435" i="1" s="1"/>
  <c r="E3434" i="1"/>
  <c r="F3434" i="1" s="1"/>
  <c r="E3433" i="1"/>
  <c r="F3433" i="1" s="1"/>
  <c r="E3432" i="1"/>
  <c r="F3432" i="1" s="1"/>
  <c r="E3431" i="1"/>
  <c r="F3431" i="1" s="1"/>
  <c r="E3430" i="1"/>
  <c r="F3430" i="1" s="1"/>
  <c r="E3429" i="1"/>
  <c r="F3429" i="1" s="1"/>
  <c r="E3428" i="1"/>
  <c r="F3428" i="1" s="1"/>
  <c r="E3427" i="1"/>
  <c r="F3427" i="1" s="1"/>
  <c r="E3426" i="1"/>
  <c r="F3426" i="1" s="1"/>
  <c r="E3425" i="1"/>
  <c r="F3425" i="1" s="1"/>
  <c r="E3424" i="1"/>
  <c r="F3424" i="1" s="1"/>
  <c r="E3423" i="1"/>
  <c r="F3423" i="1" s="1"/>
  <c r="B3423" i="1"/>
  <c r="B3424" i="1" s="1"/>
  <c r="B3425" i="1" s="1"/>
  <c r="B3426" i="1" s="1"/>
  <c r="B3427" i="1" s="1"/>
  <c r="B3428" i="1" s="1"/>
  <c r="B3429" i="1" s="1"/>
  <c r="B3430" i="1" s="1"/>
  <c r="B3431" i="1" s="1"/>
  <c r="B3432" i="1" s="1"/>
  <c r="B3433" i="1" s="1"/>
  <c r="B3434" i="1" s="1"/>
  <c r="B3435" i="1" s="1"/>
  <c r="B3436" i="1" s="1"/>
  <c r="B3437" i="1" s="1"/>
  <c r="B3438" i="1" s="1"/>
  <c r="B3439" i="1" s="1"/>
  <c r="B3440" i="1" s="1"/>
  <c r="B3441" i="1" s="1"/>
  <c r="B3442" i="1" s="1"/>
  <c r="B3443" i="1" s="1"/>
  <c r="B3444" i="1" s="1"/>
  <c r="B3445" i="1" s="1"/>
  <c r="B3446" i="1" s="1"/>
  <c r="B3447" i="1" s="1"/>
  <c r="B3448" i="1" s="1"/>
  <c r="B3449" i="1" s="1"/>
  <c r="B3450" i="1" s="1"/>
  <c r="B3451" i="1" s="1"/>
  <c r="B3452" i="1" s="1"/>
  <c r="B3453" i="1" s="1"/>
  <c r="B3454" i="1" s="1"/>
  <c r="B3455" i="1" s="1"/>
  <c r="B3456" i="1" s="1"/>
  <c r="B3457" i="1" s="1"/>
  <c r="B3458" i="1" s="1"/>
  <c r="H3422" i="1"/>
  <c r="E3422" i="1"/>
  <c r="F3422" i="1" s="1"/>
  <c r="E3404" i="1"/>
  <c r="F3404" i="1" s="1"/>
  <c r="E3403" i="1"/>
  <c r="F3403" i="1" s="1"/>
  <c r="E3402" i="1"/>
  <c r="F3402" i="1" s="1"/>
  <c r="E3401" i="1"/>
  <c r="F3401" i="1" s="1"/>
  <c r="E3400" i="1"/>
  <c r="F3400" i="1" s="1"/>
  <c r="E3399" i="1"/>
  <c r="F3399" i="1" s="1"/>
  <c r="E3398" i="1"/>
  <c r="F3398" i="1" s="1"/>
  <c r="E3397" i="1"/>
  <c r="F3397" i="1" s="1"/>
  <c r="E3396" i="1"/>
  <c r="F3396" i="1" s="1"/>
  <c r="E3395" i="1"/>
  <c r="F3395" i="1" s="1"/>
  <c r="E3394" i="1"/>
  <c r="F3394" i="1" s="1"/>
  <c r="E3393" i="1"/>
  <c r="F3393" i="1" s="1"/>
  <c r="E3392" i="1"/>
  <c r="F3392" i="1" s="1"/>
  <c r="E3391" i="1"/>
  <c r="F3391" i="1" s="1"/>
  <c r="E3390" i="1"/>
  <c r="F3390" i="1" s="1"/>
  <c r="E3389" i="1"/>
  <c r="F3389" i="1" s="1"/>
  <c r="E3388" i="1"/>
  <c r="F3388" i="1" s="1"/>
  <c r="E3387" i="1"/>
  <c r="F3387" i="1" s="1"/>
  <c r="E3386" i="1"/>
  <c r="F3386" i="1" s="1"/>
  <c r="E3385" i="1"/>
  <c r="F3385" i="1" s="1"/>
  <c r="B3385" i="1"/>
  <c r="B3386" i="1" s="1"/>
  <c r="B3387" i="1" s="1"/>
  <c r="B3388" i="1" s="1"/>
  <c r="B3389" i="1" s="1"/>
  <c r="B3390" i="1" s="1"/>
  <c r="B3391" i="1" s="1"/>
  <c r="B3392" i="1" s="1"/>
  <c r="B3393" i="1" s="1"/>
  <c r="B3394" i="1" s="1"/>
  <c r="B3395" i="1" s="1"/>
  <c r="B3396" i="1" s="1"/>
  <c r="B3397" i="1" s="1"/>
  <c r="B3398" i="1" s="1"/>
  <c r="B3399" i="1" s="1"/>
  <c r="B3400" i="1" s="1"/>
  <c r="B3401" i="1" s="1"/>
  <c r="B3402" i="1" s="1"/>
  <c r="B3403" i="1" s="1"/>
  <c r="B3404" i="1" s="1"/>
  <c r="B3405" i="1" s="1"/>
  <c r="B3406" i="1" s="1"/>
  <c r="B3407" i="1" s="1"/>
  <c r="B3408" i="1" s="1"/>
  <c r="B3409" i="1" s="1"/>
  <c r="B3410" i="1" s="1"/>
  <c r="B3411" i="1" s="1"/>
  <c r="B3412" i="1" s="1"/>
  <c r="B3413" i="1" s="1"/>
  <c r="B3414" i="1" s="1"/>
  <c r="B3415" i="1" s="1"/>
  <c r="B3416" i="1" s="1"/>
  <c r="B3417" i="1" s="1"/>
  <c r="B3418" i="1" s="1"/>
  <c r="B3419" i="1" s="1"/>
  <c r="B3420" i="1" s="1"/>
  <c r="H3384" i="1"/>
  <c r="H3385" i="1" s="1"/>
  <c r="H3386" i="1" s="1"/>
  <c r="E3384" i="1"/>
  <c r="F3384" i="1" s="1"/>
  <c r="E3383" i="1"/>
  <c r="E3366" i="1"/>
  <c r="F3366" i="1" s="1"/>
  <c r="E3365" i="1"/>
  <c r="F3365" i="1" s="1"/>
  <c r="E3364" i="1"/>
  <c r="F3364" i="1" s="1"/>
  <c r="E3363" i="1"/>
  <c r="F3363" i="1" s="1"/>
  <c r="E3362" i="1"/>
  <c r="F3362" i="1" s="1"/>
  <c r="E3361" i="1"/>
  <c r="F3361" i="1" s="1"/>
  <c r="E3360" i="1"/>
  <c r="F3360" i="1" s="1"/>
  <c r="E3359" i="1"/>
  <c r="F3359" i="1" s="1"/>
  <c r="E3358" i="1"/>
  <c r="F3358" i="1" s="1"/>
  <c r="E3357" i="1"/>
  <c r="F3357" i="1" s="1"/>
  <c r="E3356" i="1"/>
  <c r="F3356" i="1" s="1"/>
  <c r="E3355" i="1"/>
  <c r="F3355" i="1" s="1"/>
  <c r="E3354" i="1"/>
  <c r="F3354" i="1" s="1"/>
  <c r="E3353" i="1"/>
  <c r="F3353" i="1" s="1"/>
  <c r="E3352" i="1"/>
  <c r="F3352" i="1" s="1"/>
  <c r="E3351" i="1"/>
  <c r="F3351" i="1" s="1"/>
  <c r="E3350" i="1"/>
  <c r="F3350" i="1" s="1"/>
  <c r="E3349" i="1"/>
  <c r="F3349" i="1" s="1"/>
  <c r="E3348" i="1"/>
  <c r="F3348" i="1" s="1"/>
  <c r="E3347" i="1"/>
  <c r="F3347" i="1" s="1"/>
  <c r="B3347" i="1"/>
  <c r="B3348" i="1" s="1"/>
  <c r="B3349" i="1" s="1"/>
  <c r="B3350" i="1" s="1"/>
  <c r="B3351" i="1" s="1"/>
  <c r="B3352" i="1" s="1"/>
  <c r="B3353" i="1" s="1"/>
  <c r="B3354" i="1" s="1"/>
  <c r="B3355" i="1" s="1"/>
  <c r="B3356" i="1" s="1"/>
  <c r="B3357" i="1" s="1"/>
  <c r="B3358" i="1" s="1"/>
  <c r="B3359" i="1" s="1"/>
  <c r="B3360" i="1" s="1"/>
  <c r="B3361" i="1" s="1"/>
  <c r="B3362" i="1" s="1"/>
  <c r="B3363" i="1" s="1"/>
  <c r="B3364" i="1" s="1"/>
  <c r="B3365" i="1" s="1"/>
  <c r="B3366" i="1" s="1"/>
  <c r="B3367" i="1" s="1"/>
  <c r="B3368" i="1" s="1"/>
  <c r="B3369" i="1" s="1"/>
  <c r="B3370" i="1" s="1"/>
  <c r="B3371" i="1" s="1"/>
  <c r="B3372" i="1" s="1"/>
  <c r="B3373" i="1" s="1"/>
  <c r="B3374" i="1" s="1"/>
  <c r="B3375" i="1" s="1"/>
  <c r="B3376" i="1" s="1"/>
  <c r="B3377" i="1" s="1"/>
  <c r="B3378" i="1" s="1"/>
  <c r="B3379" i="1" s="1"/>
  <c r="B3380" i="1" s="1"/>
  <c r="B3381" i="1" s="1"/>
  <c r="B3382" i="1" s="1"/>
  <c r="H3346" i="1"/>
  <c r="H3347" i="1" s="1"/>
  <c r="H3348" i="1" s="1"/>
  <c r="H3349" i="1" s="1"/>
  <c r="H3350" i="1" s="1"/>
  <c r="E3346" i="1"/>
  <c r="F3346" i="1" s="1"/>
  <c r="H3450" i="10" l="1"/>
  <c r="I3449" i="10"/>
  <c r="H3410" i="10"/>
  <c r="I3409" i="10"/>
  <c r="H3372" i="10"/>
  <c r="I3371" i="10"/>
  <c r="H2532" i="1"/>
  <c r="I2531" i="1"/>
  <c r="I2548" i="1"/>
  <c r="I2510" i="1"/>
  <c r="I2549" i="1"/>
  <c r="I2528" i="1"/>
  <c r="I2522" i="1"/>
  <c r="I2517" i="1"/>
  <c r="I2523" i="1"/>
  <c r="I2512" i="1"/>
  <c r="I2527" i="1"/>
  <c r="I2513" i="1"/>
  <c r="I2529" i="1"/>
  <c r="I2518" i="1"/>
  <c r="I2524" i="1"/>
  <c r="I2514" i="1"/>
  <c r="I2519" i="1"/>
  <c r="I2511" i="1"/>
  <c r="I2530" i="1"/>
  <c r="I2520" i="1"/>
  <c r="I2525" i="1"/>
  <c r="I2515" i="1"/>
  <c r="I2521" i="1"/>
  <c r="I2516" i="1"/>
  <c r="I2526" i="1"/>
  <c r="I2550" i="1"/>
  <c r="H2551" i="1"/>
  <c r="H2552" i="1" s="1"/>
  <c r="I2476" i="1"/>
  <c r="I2477" i="1"/>
  <c r="I2479" i="1"/>
  <c r="H2481" i="1"/>
  <c r="H2482" i="1" s="1"/>
  <c r="H2483" i="1" s="1"/>
  <c r="H2484" i="1" s="1"/>
  <c r="H2485" i="1" s="1"/>
  <c r="H2486" i="1" s="1"/>
  <c r="H2487" i="1" s="1"/>
  <c r="H2488" i="1" s="1"/>
  <c r="I2480" i="1"/>
  <c r="I2478" i="1"/>
  <c r="I2473" i="1"/>
  <c r="I2474" i="1"/>
  <c r="I2475" i="1"/>
  <c r="I2472" i="1"/>
  <c r="I2320" i="1"/>
  <c r="I2321" i="1"/>
  <c r="H2325" i="1"/>
  <c r="H2326" i="1" s="1"/>
  <c r="H2327" i="1" s="1"/>
  <c r="H2328" i="1" s="1"/>
  <c r="I2324" i="1"/>
  <c r="I2323" i="1"/>
  <c r="I2322" i="1"/>
  <c r="I3346" i="1"/>
  <c r="I3384" i="1"/>
  <c r="I3995" i="1"/>
  <c r="I3843" i="1"/>
  <c r="I4146" i="1"/>
  <c r="I3992" i="1"/>
  <c r="I3841" i="1"/>
  <c r="I4150" i="1"/>
  <c r="I3386" i="1"/>
  <c r="I3996" i="1"/>
  <c r="I3803" i="1"/>
  <c r="I3767" i="1"/>
  <c r="I3802" i="1"/>
  <c r="I3845" i="1"/>
  <c r="I3840" i="1"/>
  <c r="I3993" i="1"/>
  <c r="I3844" i="1"/>
  <c r="I3385" i="1"/>
  <c r="I3575" i="1"/>
  <c r="I3994" i="1"/>
  <c r="I3997" i="1"/>
  <c r="H3387" i="1"/>
  <c r="H3388" i="1" s="1"/>
  <c r="H3389" i="1" s="1"/>
  <c r="H3390" i="1" s="1"/>
  <c r="H3391" i="1" s="1"/>
  <c r="H3392" i="1" s="1"/>
  <c r="H3393" i="1" s="1"/>
  <c r="I3842" i="1"/>
  <c r="I3574" i="1"/>
  <c r="I3764" i="1"/>
  <c r="I3766" i="1"/>
  <c r="I3804" i="1"/>
  <c r="H3808" i="1"/>
  <c r="H3809" i="1" s="1"/>
  <c r="H3810" i="1" s="1"/>
  <c r="I3807" i="1"/>
  <c r="I3805" i="1"/>
  <c r="I4151" i="1"/>
  <c r="I3806" i="1"/>
  <c r="I4147" i="1"/>
  <c r="H4153" i="1"/>
  <c r="H4154" i="1" s="1"/>
  <c r="H4155" i="1" s="1"/>
  <c r="H4156" i="1" s="1"/>
  <c r="H4157" i="1" s="1"/>
  <c r="H4158" i="1" s="1"/>
  <c r="H4159" i="1" s="1"/>
  <c r="H4160" i="1" s="1"/>
  <c r="I4152" i="1"/>
  <c r="H3769" i="1"/>
  <c r="H3770" i="1" s="1"/>
  <c r="H3771" i="1" s="1"/>
  <c r="H3772" i="1" s="1"/>
  <c r="H3773" i="1" s="1"/>
  <c r="I3768" i="1"/>
  <c r="H4000" i="1"/>
  <c r="H4001" i="1" s="1"/>
  <c r="H4002" i="1" s="1"/>
  <c r="H4003" i="1" s="1"/>
  <c r="H4004" i="1" s="1"/>
  <c r="H4005" i="1" s="1"/>
  <c r="H4006" i="1" s="1"/>
  <c r="H4007" i="1" s="1"/>
  <c r="I3999" i="1"/>
  <c r="I4148" i="1"/>
  <c r="I4145" i="1"/>
  <c r="H3847" i="1"/>
  <c r="H3848" i="1" s="1"/>
  <c r="H3849" i="1" s="1"/>
  <c r="I3846" i="1"/>
  <c r="I3998" i="1"/>
  <c r="I4149" i="1"/>
  <c r="I4144" i="1"/>
  <c r="I3765" i="1"/>
  <c r="H3351" i="1"/>
  <c r="I3350" i="1"/>
  <c r="I3422" i="1"/>
  <c r="H3423" i="1"/>
  <c r="H3424" i="1" s="1"/>
  <c r="H3425" i="1" s="1"/>
  <c r="H3426" i="1" s="1"/>
  <c r="I3347" i="1"/>
  <c r="I3348" i="1"/>
  <c r="H3577" i="1"/>
  <c r="H3578" i="1" s="1"/>
  <c r="H3579" i="1" s="1"/>
  <c r="H3580" i="1" s="1"/>
  <c r="I3576" i="1"/>
  <c r="H3727" i="1"/>
  <c r="H3728" i="1" s="1"/>
  <c r="H3729" i="1" s="1"/>
  <c r="H3730" i="1" s="1"/>
  <c r="I3726" i="1"/>
  <c r="I3349" i="1"/>
  <c r="H3451" i="10" l="1"/>
  <c r="I3450" i="10"/>
  <c r="H3411" i="10"/>
  <c r="I3410" i="10"/>
  <c r="H3373" i="10"/>
  <c r="I3372" i="10"/>
  <c r="H2533" i="1"/>
  <c r="I2532" i="1"/>
  <c r="I2484" i="1"/>
  <c r="I2486" i="1"/>
  <c r="I2552" i="1"/>
  <c r="H2553" i="1"/>
  <c r="I2551" i="1"/>
  <c r="I2481" i="1"/>
  <c r="I2485" i="1"/>
  <c r="H2489" i="1"/>
  <c r="I2488" i="1"/>
  <c r="I2487" i="1"/>
  <c r="I2482" i="1"/>
  <c r="I2483" i="1"/>
  <c r="H2329" i="1"/>
  <c r="I2328" i="1"/>
  <c r="I2325" i="1"/>
  <c r="I2326" i="1"/>
  <c r="I2327" i="1"/>
  <c r="I3769" i="1"/>
  <c r="I3772" i="1"/>
  <c r="I3770" i="1"/>
  <c r="I3388" i="1"/>
  <c r="I4003" i="1"/>
  <c r="I4156" i="1"/>
  <c r="I4154" i="1"/>
  <c r="I3727" i="1"/>
  <c r="I3390" i="1"/>
  <c r="I3389" i="1"/>
  <c r="I3729" i="1"/>
  <c r="I3728" i="1"/>
  <c r="I3387" i="1"/>
  <c r="I4000" i="1"/>
  <c r="I4005" i="1"/>
  <c r="I3810" i="1"/>
  <c r="H3811" i="1"/>
  <c r="I3848" i="1"/>
  <c r="I4002" i="1"/>
  <c r="H3850" i="1"/>
  <c r="I3849" i="1"/>
  <c r="I4158" i="1"/>
  <c r="I4155" i="1"/>
  <c r="I3808" i="1"/>
  <c r="H4008" i="1"/>
  <c r="I4007" i="1"/>
  <c r="I4004" i="1"/>
  <c r="H4161" i="1"/>
  <c r="I4160" i="1"/>
  <c r="I3847" i="1"/>
  <c r="I4159" i="1"/>
  <c r="I3809" i="1"/>
  <c r="I4153" i="1"/>
  <c r="I4001" i="1"/>
  <c r="H3774" i="1"/>
  <c r="I3773" i="1"/>
  <c r="I4006" i="1"/>
  <c r="I4157" i="1"/>
  <c r="I3771" i="1"/>
  <c r="I3392" i="1"/>
  <c r="I3393" i="1"/>
  <c r="H3394" i="1"/>
  <c r="H3427" i="1"/>
  <c r="I3426" i="1"/>
  <c r="I3578" i="1"/>
  <c r="I3424" i="1"/>
  <c r="I3391" i="1"/>
  <c r="I3730" i="1"/>
  <c r="H3731" i="1"/>
  <c r="I3425" i="1"/>
  <c r="I3580" i="1"/>
  <c r="H3581" i="1"/>
  <c r="I3579" i="1"/>
  <c r="I3577" i="1"/>
  <c r="I3423" i="1"/>
  <c r="H3352" i="1"/>
  <c r="I3351" i="1"/>
  <c r="H3452" i="10" l="1"/>
  <c r="I3451" i="10"/>
  <c r="H3412" i="10"/>
  <c r="I3411" i="10"/>
  <c r="H3374" i="10"/>
  <c r="I3373" i="10"/>
  <c r="H2534" i="1"/>
  <c r="I2533" i="1"/>
  <c r="H2554" i="1"/>
  <c r="I2553" i="1"/>
  <c r="H2490" i="1"/>
  <c r="I2489" i="1"/>
  <c r="H2330" i="1"/>
  <c r="I2329" i="1"/>
  <c r="H4162" i="1"/>
  <c r="I4161" i="1"/>
  <c r="H3775" i="1"/>
  <c r="I3774" i="1"/>
  <c r="H4009" i="1"/>
  <c r="I4008" i="1"/>
  <c r="H3812" i="1"/>
  <c r="I3811" i="1"/>
  <c r="H3851" i="1"/>
  <c r="I3850" i="1"/>
  <c r="H3582" i="1"/>
  <c r="I3581" i="1"/>
  <c r="H3428" i="1"/>
  <c r="I3427" i="1"/>
  <c r="I3394" i="1"/>
  <c r="H3395" i="1"/>
  <c r="H3732" i="1"/>
  <c r="I3731" i="1"/>
  <c r="H3353" i="1"/>
  <c r="I3352" i="1"/>
  <c r="H3453" i="10" l="1"/>
  <c r="I3452" i="10"/>
  <c r="I3412" i="10"/>
  <c r="H3413" i="10"/>
  <c r="H3375" i="10"/>
  <c r="I3374" i="10"/>
  <c r="H2535" i="1"/>
  <c r="I2534" i="1"/>
  <c r="H2555" i="1"/>
  <c r="I2554" i="1"/>
  <c r="H2491" i="1"/>
  <c r="I2490" i="1"/>
  <c r="H2331" i="1"/>
  <c r="I2330" i="1"/>
  <c r="H3776" i="1"/>
  <c r="I3775" i="1"/>
  <c r="H3813" i="1"/>
  <c r="I3812" i="1"/>
  <c r="H4010" i="1"/>
  <c r="I4009" i="1"/>
  <c r="H3852" i="1"/>
  <c r="I3851" i="1"/>
  <c r="H4163" i="1"/>
  <c r="I4162" i="1"/>
  <c r="H3429" i="1"/>
  <c r="I3428" i="1"/>
  <c r="H3396" i="1"/>
  <c r="I3395" i="1"/>
  <c r="H3733" i="1"/>
  <c r="I3732" i="1"/>
  <c r="H3354" i="1"/>
  <c r="I3353" i="1"/>
  <c r="H3583" i="1"/>
  <c r="I3582" i="1"/>
  <c r="H3454" i="10" l="1"/>
  <c r="I3453" i="10"/>
  <c r="I3413" i="10"/>
  <c r="H3414" i="10"/>
  <c r="H3376" i="10"/>
  <c r="I3375" i="10"/>
  <c r="H2536" i="1"/>
  <c r="I2535" i="1"/>
  <c r="I2555" i="1"/>
  <c r="H2556" i="1"/>
  <c r="H2492" i="1"/>
  <c r="H2493" i="1" s="1"/>
  <c r="I2491" i="1"/>
  <c r="H2332" i="1"/>
  <c r="I2331" i="1"/>
  <c r="H3853" i="1"/>
  <c r="I3852" i="1"/>
  <c r="H3777" i="1"/>
  <c r="I3776" i="1"/>
  <c r="H4011" i="1"/>
  <c r="I4010" i="1"/>
  <c r="H4164" i="1"/>
  <c r="H4165" i="1" s="1"/>
  <c r="I4163" i="1"/>
  <c r="H3814" i="1"/>
  <c r="I3813" i="1"/>
  <c r="H3355" i="1"/>
  <c r="I3354" i="1"/>
  <c r="H3584" i="1"/>
  <c r="I3583" i="1"/>
  <c r="H3430" i="1"/>
  <c r="I3429" i="1"/>
  <c r="H3734" i="1"/>
  <c r="I3733" i="1"/>
  <c r="H3397" i="1"/>
  <c r="I3396" i="1"/>
  <c r="H3455" i="10" l="1"/>
  <c r="I3454" i="10"/>
  <c r="H3415" i="10"/>
  <c r="I3414" i="10"/>
  <c r="H3377" i="10"/>
  <c r="I3376" i="10"/>
  <c r="H4166" i="1"/>
  <c r="I4165" i="1"/>
  <c r="H2537" i="1"/>
  <c r="I2536" i="1"/>
  <c r="H2494" i="1"/>
  <c r="I2493" i="1"/>
  <c r="H2557" i="1"/>
  <c r="I2556" i="1"/>
  <c r="I2492" i="1"/>
  <c r="H2333" i="1"/>
  <c r="I2332" i="1"/>
  <c r="I4164" i="1"/>
  <c r="H4012" i="1"/>
  <c r="H4013" i="1" s="1"/>
  <c r="I4011" i="1"/>
  <c r="H3778" i="1"/>
  <c r="I3777" i="1"/>
  <c r="H3815" i="1"/>
  <c r="I3814" i="1"/>
  <c r="H3854" i="1"/>
  <c r="I3853" i="1"/>
  <c r="H3398" i="1"/>
  <c r="I3397" i="1"/>
  <c r="I3355" i="1"/>
  <c r="H3356" i="1"/>
  <c r="H3735" i="1"/>
  <c r="I3734" i="1"/>
  <c r="I3430" i="1"/>
  <c r="H3431" i="1"/>
  <c r="H3585" i="1"/>
  <c r="I3584" i="1"/>
  <c r="H3456" i="10" l="1"/>
  <c r="I3455" i="10"/>
  <c r="H3416" i="10"/>
  <c r="I3415" i="10"/>
  <c r="H3378" i="10"/>
  <c r="I3377" i="10"/>
  <c r="H4167" i="1"/>
  <c r="I4166" i="1"/>
  <c r="H4014" i="1"/>
  <c r="I4013" i="1"/>
  <c r="H2538" i="1"/>
  <c r="I2537" i="1"/>
  <c r="H2495" i="1"/>
  <c r="I2494" i="1"/>
  <c r="H2558" i="1"/>
  <c r="I2557" i="1"/>
  <c r="H2334" i="1"/>
  <c r="I2333" i="1"/>
  <c r="H3816" i="1"/>
  <c r="I3815" i="1"/>
  <c r="H3779" i="1"/>
  <c r="I3778" i="1"/>
  <c r="I4012" i="1"/>
  <c r="H3855" i="1"/>
  <c r="I3854" i="1"/>
  <c r="H3432" i="1"/>
  <c r="I3431" i="1"/>
  <c r="H3736" i="1"/>
  <c r="I3735" i="1"/>
  <c r="H3357" i="1"/>
  <c r="I3356" i="1"/>
  <c r="H3586" i="1"/>
  <c r="I3585" i="1"/>
  <c r="H3399" i="1"/>
  <c r="I3398" i="1"/>
  <c r="H3457" i="10" l="1"/>
  <c r="I3456" i="10"/>
  <c r="H3417" i="10"/>
  <c r="I3416" i="10"/>
  <c r="H3379" i="10"/>
  <c r="I3378" i="10"/>
  <c r="H4168" i="1"/>
  <c r="I4167" i="1"/>
  <c r="H4015" i="1"/>
  <c r="I4014" i="1"/>
  <c r="H2539" i="1"/>
  <c r="I2538" i="1"/>
  <c r="H2496" i="1"/>
  <c r="I2495" i="1"/>
  <c r="I2558" i="1"/>
  <c r="H2559" i="1"/>
  <c r="H2335" i="1"/>
  <c r="I2334" i="1"/>
  <c r="H3817" i="1"/>
  <c r="I3816" i="1"/>
  <c r="H3856" i="1"/>
  <c r="I3855" i="1"/>
  <c r="H3780" i="1"/>
  <c r="I3779" i="1"/>
  <c r="H3587" i="1"/>
  <c r="I3586" i="1"/>
  <c r="H3358" i="1"/>
  <c r="I3357" i="1"/>
  <c r="H3737" i="1"/>
  <c r="I3736" i="1"/>
  <c r="H3400" i="1"/>
  <c r="I3399" i="1"/>
  <c r="H3433" i="1"/>
  <c r="I3432" i="1"/>
  <c r="H3458" i="10" l="1"/>
  <c r="I3458" i="10" s="1"/>
  <c r="I3457" i="10"/>
  <c r="H3418" i="10"/>
  <c r="I3417" i="10"/>
  <c r="H3380" i="10"/>
  <c r="I3379" i="10"/>
  <c r="H4169" i="1"/>
  <c r="I4168" i="1"/>
  <c r="H4016" i="1"/>
  <c r="I4015" i="1"/>
  <c r="H2540" i="1"/>
  <c r="I2539" i="1"/>
  <c r="H2497" i="1"/>
  <c r="I2496" i="1"/>
  <c r="H2560" i="1"/>
  <c r="I2559" i="1"/>
  <c r="H2336" i="1"/>
  <c r="I2335" i="1"/>
  <c r="H3781" i="1"/>
  <c r="I3780" i="1"/>
  <c r="H3857" i="1"/>
  <c r="I3856" i="1"/>
  <c r="H3818" i="1"/>
  <c r="I3817" i="1"/>
  <c r="H3401" i="1"/>
  <c r="I3400" i="1"/>
  <c r="H3434" i="1"/>
  <c r="I3433" i="1"/>
  <c r="H3588" i="1"/>
  <c r="I3587" i="1"/>
  <c r="H3738" i="1"/>
  <c r="I3737" i="1"/>
  <c r="H3359" i="1"/>
  <c r="I3358" i="1"/>
  <c r="I3418" i="10" l="1"/>
  <c r="H3419" i="10"/>
  <c r="H3381" i="10"/>
  <c r="I3380" i="10"/>
  <c r="H4170" i="1"/>
  <c r="I4169" i="1"/>
  <c r="I4016" i="1"/>
  <c r="H4017" i="1"/>
  <c r="H2541" i="1"/>
  <c r="I2540" i="1"/>
  <c r="H2498" i="1"/>
  <c r="I2497" i="1"/>
  <c r="I2560" i="1"/>
  <c r="H2561" i="1"/>
  <c r="H2337" i="1"/>
  <c r="I2336" i="1"/>
  <c r="H3819" i="1"/>
  <c r="I3818" i="1"/>
  <c r="H3858" i="1"/>
  <c r="I3857" i="1"/>
  <c r="H3782" i="1"/>
  <c r="I3781" i="1"/>
  <c r="I3738" i="1"/>
  <c r="H3739" i="1"/>
  <c r="H3402" i="1"/>
  <c r="I3401" i="1"/>
  <c r="I3588" i="1"/>
  <c r="H3589" i="1"/>
  <c r="H3360" i="1"/>
  <c r="I3359" i="1"/>
  <c r="H3435" i="1"/>
  <c r="I3434" i="1"/>
  <c r="H3420" i="10" l="1"/>
  <c r="I3420" i="10" s="1"/>
  <c r="I3419" i="10"/>
  <c r="H3382" i="10"/>
  <c r="I3382" i="10" s="1"/>
  <c r="I3381" i="10"/>
  <c r="H4171" i="1"/>
  <c r="I4170" i="1"/>
  <c r="H4018" i="1"/>
  <c r="I4017" i="1"/>
  <c r="H2542" i="1"/>
  <c r="I2541" i="1"/>
  <c r="H2499" i="1"/>
  <c r="I2498" i="1"/>
  <c r="H2562" i="1"/>
  <c r="I2561" i="1"/>
  <c r="H2338" i="1"/>
  <c r="I2337" i="1"/>
  <c r="H3783" i="1"/>
  <c r="I3782" i="1"/>
  <c r="H3859" i="1"/>
  <c r="I3858" i="1"/>
  <c r="H3820" i="1"/>
  <c r="I3819" i="1"/>
  <c r="H3361" i="1"/>
  <c r="I3360" i="1"/>
  <c r="H3590" i="1"/>
  <c r="I3589" i="1"/>
  <c r="I3402" i="1"/>
  <c r="H3403" i="1"/>
  <c r="H3740" i="1"/>
  <c r="I3739" i="1"/>
  <c r="H3436" i="1"/>
  <c r="I3435" i="1"/>
  <c r="H4172" i="1" l="1"/>
  <c r="I4171" i="1"/>
  <c r="I4018" i="1"/>
  <c r="H4019" i="1"/>
  <c r="H2543" i="1"/>
  <c r="I2542" i="1"/>
  <c r="H2500" i="1"/>
  <c r="I2499" i="1"/>
  <c r="H2563" i="1"/>
  <c r="I2562" i="1"/>
  <c r="H2339" i="1"/>
  <c r="I2338" i="1"/>
  <c r="H3821" i="1"/>
  <c r="I3820" i="1"/>
  <c r="H3860" i="1"/>
  <c r="H3861" i="1" s="1"/>
  <c r="I3859" i="1"/>
  <c r="H3784" i="1"/>
  <c r="H3785" i="1" s="1"/>
  <c r="I3783" i="1"/>
  <c r="H3741" i="1"/>
  <c r="I3740" i="1"/>
  <c r="H3404" i="1"/>
  <c r="H3405" i="1" s="1"/>
  <c r="I3403" i="1"/>
  <c r="H3591" i="1"/>
  <c r="I3590" i="1"/>
  <c r="H3437" i="1"/>
  <c r="I3436" i="1"/>
  <c r="H3362" i="1"/>
  <c r="I3361" i="1"/>
  <c r="I4172" i="1" l="1"/>
  <c r="H4173" i="1"/>
  <c r="H4020" i="1"/>
  <c r="I4019" i="1"/>
  <c r="H3862" i="1"/>
  <c r="I3861" i="1"/>
  <c r="H3786" i="1"/>
  <c r="I3785" i="1"/>
  <c r="H3406" i="1"/>
  <c r="I3405" i="1"/>
  <c r="H2544" i="1"/>
  <c r="I2543" i="1"/>
  <c r="H2501" i="1"/>
  <c r="I2500" i="1"/>
  <c r="I2563" i="1"/>
  <c r="H2564" i="1"/>
  <c r="H2340" i="1"/>
  <c r="H2341" i="1" s="1"/>
  <c r="I2339" i="1"/>
  <c r="I3784" i="1"/>
  <c r="I3860" i="1"/>
  <c r="H3822" i="1"/>
  <c r="H3823" i="1" s="1"/>
  <c r="I3821" i="1"/>
  <c r="H3438" i="1"/>
  <c r="I3437" i="1"/>
  <c r="H3592" i="1"/>
  <c r="I3591" i="1"/>
  <c r="I3404" i="1"/>
  <c r="H3363" i="1"/>
  <c r="I3362" i="1"/>
  <c r="H3742" i="1"/>
  <c r="I3741" i="1"/>
  <c r="H4174" i="1" l="1"/>
  <c r="I4173" i="1"/>
  <c r="H4021" i="1"/>
  <c r="I4020" i="1"/>
  <c r="H3863" i="1"/>
  <c r="I3862" i="1"/>
  <c r="H3824" i="1"/>
  <c r="I3823" i="1"/>
  <c r="H3787" i="1"/>
  <c r="I3786" i="1"/>
  <c r="H3407" i="1"/>
  <c r="I3406" i="1"/>
  <c r="H2545" i="1"/>
  <c r="I2544" i="1"/>
  <c r="H2502" i="1"/>
  <c r="I2501" i="1"/>
  <c r="H2342" i="1"/>
  <c r="I2341" i="1"/>
  <c r="H2565" i="1"/>
  <c r="I2564" i="1"/>
  <c r="I2340" i="1"/>
  <c r="I3822" i="1"/>
  <c r="I3363" i="1"/>
  <c r="H3364" i="1"/>
  <c r="H3593" i="1"/>
  <c r="I3592" i="1"/>
  <c r="H3743" i="1"/>
  <c r="I3742" i="1"/>
  <c r="I3438" i="1"/>
  <c r="H3439" i="1"/>
  <c r="H4175" i="1" l="1"/>
  <c r="I4174" i="1"/>
  <c r="I4021" i="1"/>
  <c r="H4022" i="1"/>
  <c r="H3864" i="1"/>
  <c r="I3863" i="1"/>
  <c r="H3825" i="1"/>
  <c r="I3824" i="1"/>
  <c r="H3788" i="1"/>
  <c r="I3787" i="1"/>
  <c r="H3408" i="1"/>
  <c r="I3407" i="1"/>
  <c r="H2546" i="1"/>
  <c r="I2546" i="1" s="1"/>
  <c r="I2545" i="1"/>
  <c r="H2503" i="1"/>
  <c r="I2502" i="1"/>
  <c r="H2343" i="1"/>
  <c r="I2342" i="1"/>
  <c r="H2566" i="1"/>
  <c r="I2565" i="1"/>
  <c r="H3744" i="1"/>
  <c r="I3743" i="1"/>
  <c r="H3594" i="1"/>
  <c r="H3595" i="1" s="1"/>
  <c r="I3593" i="1"/>
  <c r="H3440" i="1"/>
  <c r="I3439" i="1"/>
  <c r="H3365" i="1"/>
  <c r="I3364" i="1"/>
  <c r="H4176" i="1" l="1"/>
  <c r="I4175" i="1"/>
  <c r="H4023" i="1"/>
  <c r="I4022" i="1"/>
  <c r="H3865" i="1"/>
  <c r="I3864" i="1"/>
  <c r="H3826" i="1"/>
  <c r="I3825" i="1"/>
  <c r="H3789" i="1"/>
  <c r="I3788" i="1"/>
  <c r="H3596" i="1"/>
  <c r="I3595" i="1"/>
  <c r="H3409" i="1"/>
  <c r="I3408" i="1"/>
  <c r="H2504" i="1"/>
  <c r="I2503" i="1"/>
  <c r="H2344" i="1"/>
  <c r="I2343" i="1"/>
  <c r="H2567" i="1"/>
  <c r="I2566" i="1"/>
  <c r="H3366" i="1"/>
  <c r="H3367" i="1" s="1"/>
  <c r="I3365" i="1"/>
  <c r="H3441" i="1"/>
  <c r="I3440" i="1"/>
  <c r="I3594" i="1"/>
  <c r="H3745" i="1"/>
  <c r="I3744" i="1"/>
  <c r="H4177" i="1" l="1"/>
  <c r="I4176" i="1"/>
  <c r="H4024" i="1"/>
  <c r="I4023" i="1"/>
  <c r="H3866" i="1"/>
  <c r="I3865" i="1"/>
  <c r="H3827" i="1"/>
  <c r="I3826" i="1"/>
  <c r="H3790" i="1"/>
  <c r="I3789" i="1"/>
  <c r="H3597" i="1"/>
  <c r="I3596" i="1"/>
  <c r="H3410" i="1"/>
  <c r="I3409" i="1"/>
  <c r="H3368" i="1"/>
  <c r="I3367" i="1"/>
  <c r="H2505" i="1"/>
  <c r="I2504" i="1"/>
  <c r="H2345" i="1"/>
  <c r="I2344" i="1"/>
  <c r="H2568" i="1"/>
  <c r="H2569" i="1" s="1"/>
  <c r="I2567" i="1"/>
  <c r="H3746" i="1"/>
  <c r="H3747" i="1" s="1"/>
  <c r="I3745" i="1"/>
  <c r="H3442" i="1"/>
  <c r="H3443" i="1" s="1"/>
  <c r="I3441" i="1"/>
  <c r="I3366" i="1"/>
  <c r="H4178" i="1" l="1"/>
  <c r="I4177" i="1"/>
  <c r="H4025" i="1"/>
  <c r="I4024" i="1"/>
  <c r="H3867" i="1"/>
  <c r="I3866" i="1"/>
  <c r="H3828" i="1"/>
  <c r="I3827" i="1"/>
  <c r="H3791" i="1"/>
  <c r="I3790" i="1"/>
  <c r="H3748" i="1"/>
  <c r="I3747" i="1"/>
  <c r="H3598" i="1"/>
  <c r="I3597" i="1"/>
  <c r="H3444" i="1"/>
  <c r="I3443" i="1"/>
  <c r="H3411" i="1"/>
  <c r="I3410" i="1"/>
  <c r="H3369" i="1"/>
  <c r="I3368" i="1"/>
  <c r="H2570" i="1"/>
  <c r="I2569" i="1"/>
  <c r="H2506" i="1"/>
  <c r="I2505" i="1"/>
  <c r="H2346" i="1"/>
  <c r="I2345" i="1"/>
  <c r="I2568" i="1"/>
  <c r="I3442" i="1"/>
  <c r="I3746" i="1"/>
  <c r="I4178" i="1" l="1"/>
  <c r="H4179" i="1"/>
  <c r="H4026" i="1"/>
  <c r="I4025" i="1"/>
  <c r="H3868" i="1"/>
  <c r="I3867" i="1"/>
  <c r="H3829" i="1"/>
  <c r="I3828" i="1"/>
  <c r="H3792" i="1"/>
  <c r="I3791" i="1"/>
  <c r="H3749" i="1"/>
  <c r="I3748" i="1"/>
  <c r="H3599" i="1"/>
  <c r="I3598" i="1"/>
  <c r="H3445" i="1"/>
  <c r="I3444" i="1"/>
  <c r="H3412" i="1"/>
  <c r="I3411" i="1"/>
  <c r="H3370" i="1"/>
  <c r="I3369" i="1"/>
  <c r="H2571" i="1"/>
  <c r="I2570" i="1"/>
  <c r="H2507" i="1"/>
  <c r="I2506" i="1"/>
  <c r="I2346" i="1"/>
  <c r="H2347" i="1"/>
  <c r="H4180" i="1" l="1"/>
  <c r="I4180" i="1" s="1"/>
  <c r="I4179" i="1"/>
  <c r="H4027" i="1"/>
  <c r="I4026" i="1"/>
  <c r="H3869" i="1"/>
  <c r="I3868" i="1"/>
  <c r="H3830" i="1"/>
  <c r="I3829" i="1"/>
  <c r="H3793" i="1"/>
  <c r="I3792" i="1"/>
  <c r="H3750" i="1"/>
  <c r="I3749" i="1"/>
  <c r="H3600" i="1"/>
  <c r="I3599" i="1"/>
  <c r="H3446" i="1"/>
  <c r="I3445" i="1"/>
  <c r="H3413" i="1"/>
  <c r="I3412" i="1"/>
  <c r="I3370" i="1"/>
  <c r="H3371" i="1"/>
  <c r="H2572" i="1"/>
  <c r="I2571" i="1"/>
  <c r="H2508" i="1"/>
  <c r="I2508" i="1" s="1"/>
  <c r="I2507" i="1"/>
  <c r="H2348" i="1"/>
  <c r="I2347" i="1"/>
  <c r="DK8" i="2"/>
  <c r="DK11" i="2"/>
  <c r="DK32" i="2"/>
  <c r="BY8" i="2"/>
  <c r="BY32" i="2"/>
  <c r="BY14" i="2"/>
  <c r="PC17" i="2"/>
  <c r="E3345" i="1"/>
  <c r="H4028" i="1" l="1"/>
  <c r="I4028" i="1" s="1"/>
  <c r="I4027" i="1"/>
  <c r="H3870" i="1"/>
  <c r="I3869" i="1"/>
  <c r="H3831" i="1"/>
  <c r="I3830" i="1"/>
  <c r="H3794" i="1"/>
  <c r="I3793" i="1"/>
  <c r="H3751" i="1"/>
  <c r="I3750" i="1"/>
  <c r="H3601" i="1"/>
  <c r="I3600" i="1"/>
  <c r="H3447" i="1"/>
  <c r="I3446" i="1"/>
  <c r="H3414" i="1"/>
  <c r="I3413" i="1"/>
  <c r="H3372" i="1"/>
  <c r="I3371" i="1"/>
  <c r="H2573" i="1"/>
  <c r="I2572" i="1"/>
  <c r="H2349" i="1"/>
  <c r="I2348" i="1"/>
  <c r="PC32" i="2"/>
  <c r="BY11" i="2"/>
  <c r="JG8" i="2"/>
  <c r="BY5" i="2"/>
  <c r="DK5" i="2"/>
  <c r="JG5" i="2"/>
  <c r="DK17" i="2"/>
  <c r="BY29" i="2"/>
  <c r="BY17" i="2"/>
  <c r="PC29" i="2"/>
  <c r="DK29" i="2"/>
  <c r="DK14" i="2"/>
  <c r="PC14" i="2"/>
  <c r="JG11" i="2"/>
  <c r="JG17" i="2"/>
  <c r="H3871" i="1" l="1"/>
  <c r="I3870" i="1"/>
  <c r="H3832" i="1"/>
  <c r="I3831" i="1"/>
  <c r="H3795" i="1"/>
  <c r="I3794" i="1"/>
  <c r="H3752" i="1"/>
  <c r="I3751" i="1"/>
  <c r="H3602" i="1"/>
  <c r="I3601" i="1"/>
  <c r="H3448" i="1"/>
  <c r="I3447" i="1"/>
  <c r="H3415" i="1"/>
  <c r="I3414" i="1"/>
  <c r="I3372" i="1"/>
  <c r="H3373" i="1"/>
  <c r="H2574" i="1"/>
  <c r="I2573" i="1"/>
  <c r="H2350" i="1"/>
  <c r="I2349" i="1"/>
  <c r="JG32" i="2"/>
  <c r="BY23" i="2"/>
  <c r="BY26" i="2"/>
  <c r="JG29" i="2"/>
  <c r="JG14" i="2"/>
  <c r="H3872" i="1" l="1"/>
  <c r="I3871" i="1"/>
  <c r="H3833" i="1"/>
  <c r="I3832" i="1"/>
  <c r="H3796" i="1"/>
  <c r="I3795" i="1"/>
  <c r="H3753" i="1"/>
  <c r="I3752" i="1"/>
  <c r="H3603" i="1"/>
  <c r="I3602" i="1"/>
  <c r="H3449" i="1"/>
  <c r="I3448" i="1"/>
  <c r="H3416" i="1"/>
  <c r="I3415" i="1"/>
  <c r="H3374" i="1"/>
  <c r="I3373" i="1"/>
  <c r="H2575" i="1"/>
  <c r="I2574" i="1"/>
  <c r="I2350" i="1"/>
  <c r="H2351" i="1"/>
  <c r="DK26" i="2"/>
  <c r="PC26" i="2"/>
  <c r="PC23" i="2"/>
  <c r="DK23" i="2"/>
  <c r="H3873" i="1" l="1"/>
  <c r="I3872" i="1"/>
  <c r="H3834" i="1"/>
  <c r="I3833" i="1"/>
  <c r="H3797" i="1"/>
  <c r="I3796" i="1"/>
  <c r="H3754" i="1"/>
  <c r="I3753" i="1"/>
  <c r="I3603" i="1"/>
  <c r="H3604" i="1"/>
  <c r="H3450" i="1"/>
  <c r="I3449" i="1"/>
  <c r="H3417" i="1"/>
  <c r="I3416" i="1"/>
  <c r="H3375" i="1"/>
  <c r="I3374" i="1"/>
  <c r="H2576" i="1"/>
  <c r="I2575" i="1"/>
  <c r="H2352" i="1"/>
  <c r="I2351" i="1"/>
  <c r="JG23" i="2"/>
  <c r="JG26" i="2"/>
  <c r="H3874" i="1" l="1"/>
  <c r="I3873" i="1"/>
  <c r="H3835" i="1"/>
  <c r="I3834" i="1"/>
  <c r="H3798" i="1"/>
  <c r="I3797" i="1"/>
  <c r="H3755" i="1"/>
  <c r="I3754" i="1"/>
  <c r="I3604" i="1"/>
  <c r="H3605" i="1"/>
  <c r="H3451" i="1"/>
  <c r="I3450" i="1"/>
  <c r="H3418" i="1"/>
  <c r="I3417" i="1"/>
  <c r="I3375" i="1"/>
  <c r="H3376" i="1"/>
  <c r="H2577" i="1"/>
  <c r="I2576" i="1"/>
  <c r="H2353" i="1"/>
  <c r="I2352" i="1"/>
  <c r="E3328" i="1"/>
  <c r="F3328" i="1" s="1"/>
  <c r="E3327" i="1"/>
  <c r="F3327" i="1" s="1"/>
  <c r="E3326" i="1"/>
  <c r="F3326" i="1" s="1"/>
  <c r="E3325" i="1"/>
  <c r="F3325" i="1" s="1"/>
  <c r="E3324" i="1"/>
  <c r="F3324" i="1" s="1"/>
  <c r="E3323" i="1"/>
  <c r="F3323" i="1" s="1"/>
  <c r="E3322" i="1"/>
  <c r="F3322" i="1" s="1"/>
  <c r="E3321" i="1"/>
  <c r="F3321" i="1" s="1"/>
  <c r="E3320" i="1"/>
  <c r="F3320" i="1" s="1"/>
  <c r="E3319" i="1"/>
  <c r="F3319" i="1" s="1"/>
  <c r="E3318" i="1"/>
  <c r="F3318" i="1" s="1"/>
  <c r="E3317" i="1"/>
  <c r="F3317" i="1" s="1"/>
  <c r="E3316" i="1"/>
  <c r="F3316" i="1" s="1"/>
  <c r="E3315" i="1"/>
  <c r="F3315" i="1" s="1"/>
  <c r="E3314" i="1"/>
  <c r="F3314" i="1" s="1"/>
  <c r="E3313" i="1"/>
  <c r="F3313" i="1" s="1"/>
  <c r="E3312" i="1"/>
  <c r="F3312" i="1" s="1"/>
  <c r="E3311" i="1"/>
  <c r="F3311" i="1" s="1"/>
  <c r="E3310" i="1"/>
  <c r="F3310" i="1" s="1"/>
  <c r="E3309" i="1"/>
  <c r="F3309" i="1" s="1"/>
  <c r="B3309" i="1"/>
  <c r="B3310" i="1" s="1"/>
  <c r="B3311" i="1" s="1"/>
  <c r="B3312" i="1" s="1"/>
  <c r="B3313" i="1" s="1"/>
  <c r="B3314" i="1" s="1"/>
  <c r="B3315" i="1" s="1"/>
  <c r="B3316" i="1" s="1"/>
  <c r="B3317" i="1" s="1"/>
  <c r="B3318" i="1" s="1"/>
  <c r="B3319" i="1" s="1"/>
  <c r="B3320" i="1" s="1"/>
  <c r="B3321" i="1" s="1"/>
  <c r="B3322" i="1" s="1"/>
  <c r="B3323" i="1" s="1"/>
  <c r="B3324" i="1" s="1"/>
  <c r="B3325" i="1" s="1"/>
  <c r="B3326" i="1" s="1"/>
  <c r="B3327" i="1" s="1"/>
  <c r="B3328" i="1" s="1"/>
  <c r="B3329" i="1" s="1"/>
  <c r="B3330" i="1" s="1"/>
  <c r="B3331" i="1" s="1"/>
  <c r="B3332" i="1" s="1"/>
  <c r="B3333" i="1" s="1"/>
  <c r="B3334" i="1" s="1"/>
  <c r="B3335" i="1" s="1"/>
  <c r="B3336" i="1" s="1"/>
  <c r="B3337" i="1" s="1"/>
  <c r="B3338" i="1" s="1"/>
  <c r="B3339" i="1" s="1"/>
  <c r="B3340" i="1" s="1"/>
  <c r="B3341" i="1" s="1"/>
  <c r="B3342" i="1" s="1"/>
  <c r="B3343" i="1" s="1"/>
  <c r="B3344" i="1" s="1"/>
  <c r="H3308" i="1"/>
  <c r="H3309" i="1" s="1"/>
  <c r="H3310" i="1" s="1"/>
  <c r="H3311" i="1" s="1"/>
  <c r="H3312" i="1" s="1"/>
  <c r="H3313" i="1" s="1"/>
  <c r="H3314" i="1" s="1"/>
  <c r="H3315" i="1" s="1"/>
  <c r="H3316" i="1" s="1"/>
  <c r="E3308" i="1"/>
  <c r="F3308" i="1" s="1"/>
  <c r="E3176" i="1"/>
  <c r="F3176" i="1" s="1"/>
  <c r="E3175" i="1"/>
  <c r="F3175" i="1" s="1"/>
  <c r="E3174" i="1"/>
  <c r="F3174" i="1" s="1"/>
  <c r="E3173" i="1"/>
  <c r="F3173" i="1" s="1"/>
  <c r="E3172" i="1"/>
  <c r="F3172" i="1" s="1"/>
  <c r="E3171" i="1"/>
  <c r="F3171" i="1" s="1"/>
  <c r="E3170" i="1"/>
  <c r="F3170" i="1" s="1"/>
  <c r="E3169" i="1"/>
  <c r="F3169" i="1" s="1"/>
  <c r="E3168" i="1"/>
  <c r="F3168" i="1" s="1"/>
  <c r="E3167" i="1"/>
  <c r="F3167" i="1" s="1"/>
  <c r="E3166" i="1"/>
  <c r="F3166" i="1" s="1"/>
  <c r="E3165" i="1"/>
  <c r="F3165" i="1" s="1"/>
  <c r="E3164" i="1"/>
  <c r="F3164" i="1" s="1"/>
  <c r="E3163" i="1"/>
  <c r="F3163" i="1" s="1"/>
  <c r="E3162" i="1"/>
  <c r="F3162" i="1" s="1"/>
  <c r="E3161" i="1"/>
  <c r="F3161" i="1" s="1"/>
  <c r="E3160" i="1"/>
  <c r="F3160" i="1" s="1"/>
  <c r="E3159" i="1"/>
  <c r="F3159" i="1" s="1"/>
  <c r="E3158" i="1"/>
  <c r="F3158" i="1" s="1"/>
  <c r="E3157" i="1"/>
  <c r="F3157" i="1" s="1"/>
  <c r="B3157" i="1"/>
  <c r="B3158" i="1" s="1"/>
  <c r="B3159" i="1" s="1"/>
  <c r="B3160" i="1" s="1"/>
  <c r="B3161" i="1" s="1"/>
  <c r="B3162" i="1" s="1"/>
  <c r="B3163" i="1" s="1"/>
  <c r="B3164" i="1" s="1"/>
  <c r="B3165" i="1" s="1"/>
  <c r="B3166" i="1" s="1"/>
  <c r="B3167" i="1" s="1"/>
  <c r="B3168" i="1" s="1"/>
  <c r="B3169" i="1" s="1"/>
  <c r="B3170" i="1" s="1"/>
  <c r="B3171" i="1" s="1"/>
  <c r="B3172" i="1" s="1"/>
  <c r="B3173" i="1" s="1"/>
  <c r="B3174" i="1" s="1"/>
  <c r="B3175" i="1" s="1"/>
  <c r="B3176" i="1" s="1"/>
  <c r="B3177" i="1" s="1"/>
  <c r="B3178" i="1" s="1"/>
  <c r="B3179" i="1" s="1"/>
  <c r="B3180" i="1" s="1"/>
  <c r="B3181" i="1" s="1"/>
  <c r="B3182" i="1" s="1"/>
  <c r="B3183" i="1" s="1"/>
  <c r="B3184" i="1" s="1"/>
  <c r="B3185" i="1" s="1"/>
  <c r="B3186" i="1" s="1"/>
  <c r="B3187" i="1" s="1"/>
  <c r="B3188" i="1" s="1"/>
  <c r="B3189" i="1" s="1"/>
  <c r="B3190" i="1" s="1"/>
  <c r="B3191" i="1" s="1"/>
  <c r="B3192" i="1" s="1"/>
  <c r="H3156" i="1"/>
  <c r="H3157" i="1" s="1"/>
  <c r="H3158" i="1" s="1"/>
  <c r="H3159" i="1" s="1"/>
  <c r="H3160" i="1" s="1"/>
  <c r="H3161" i="1" s="1"/>
  <c r="H3162" i="1" s="1"/>
  <c r="H3163" i="1" s="1"/>
  <c r="H3164" i="1" s="1"/>
  <c r="H3165" i="1" s="1"/>
  <c r="H3166" i="1" s="1"/>
  <c r="E3156" i="1"/>
  <c r="F3156" i="1" s="1"/>
  <c r="E3024" i="1"/>
  <c r="F3024" i="1" s="1"/>
  <c r="E3023" i="1"/>
  <c r="F3023" i="1" s="1"/>
  <c r="E3022" i="1"/>
  <c r="F3022" i="1" s="1"/>
  <c r="E3021" i="1"/>
  <c r="F3021" i="1" s="1"/>
  <c r="E3020" i="1"/>
  <c r="F3020" i="1" s="1"/>
  <c r="E3019" i="1"/>
  <c r="F3019" i="1" s="1"/>
  <c r="E3018" i="1"/>
  <c r="F3018" i="1" s="1"/>
  <c r="E3017" i="1"/>
  <c r="F3017" i="1" s="1"/>
  <c r="E3016" i="1"/>
  <c r="F3016" i="1" s="1"/>
  <c r="E3015" i="1"/>
  <c r="F3015" i="1" s="1"/>
  <c r="E3014" i="1"/>
  <c r="F3014" i="1" s="1"/>
  <c r="E3013" i="1"/>
  <c r="F3013" i="1" s="1"/>
  <c r="E3012" i="1"/>
  <c r="F3012" i="1" s="1"/>
  <c r="E3011" i="1"/>
  <c r="F3011" i="1" s="1"/>
  <c r="E3010" i="1"/>
  <c r="F3010" i="1" s="1"/>
  <c r="E3009" i="1"/>
  <c r="F3009" i="1" s="1"/>
  <c r="E3008" i="1"/>
  <c r="F3008" i="1" s="1"/>
  <c r="E3007" i="1"/>
  <c r="F3007" i="1" s="1"/>
  <c r="E3006" i="1"/>
  <c r="F3006" i="1" s="1"/>
  <c r="E3005" i="1"/>
  <c r="F3005" i="1" s="1"/>
  <c r="B3005" i="1"/>
  <c r="B3006" i="1" s="1"/>
  <c r="B3007" i="1" s="1"/>
  <c r="B3008" i="1" s="1"/>
  <c r="B3009" i="1" s="1"/>
  <c r="B3010" i="1" s="1"/>
  <c r="B3011" i="1" s="1"/>
  <c r="B3012" i="1" s="1"/>
  <c r="B3013" i="1" s="1"/>
  <c r="B3014" i="1" s="1"/>
  <c r="B3015" i="1" s="1"/>
  <c r="B3016" i="1" s="1"/>
  <c r="B3017" i="1" s="1"/>
  <c r="B3018" i="1" s="1"/>
  <c r="B3019" i="1" s="1"/>
  <c r="B3020" i="1" s="1"/>
  <c r="B3021" i="1" s="1"/>
  <c r="B3022" i="1" s="1"/>
  <c r="B3023" i="1" s="1"/>
  <c r="B3024" i="1" s="1"/>
  <c r="B3025" i="1" s="1"/>
  <c r="B3026" i="1" s="1"/>
  <c r="B3027" i="1" s="1"/>
  <c r="B3028" i="1" s="1"/>
  <c r="B3029" i="1" s="1"/>
  <c r="B3030" i="1" s="1"/>
  <c r="B3031" i="1" s="1"/>
  <c r="B3032" i="1" s="1"/>
  <c r="B3033" i="1" s="1"/>
  <c r="B3034" i="1" s="1"/>
  <c r="B3035" i="1" s="1"/>
  <c r="B3036" i="1" s="1"/>
  <c r="B3037" i="1" s="1"/>
  <c r="B3038" i="1" s="1"/>
  <c r="B3039" i="1" s="1"/>
  <c r="B3040" i="1" s="1"/>
  <c r="H3004" i="1"/>
  <c r="H3005" i="1" s="1"/>
  <c r="H3006" i="1" s="1"/>
  <c r="H3007" i="1" s="1"/>
  <c r="H3008" i="1" s="1"/>
  <c r="H3009" i="1" s="1"/>
  <c r="H3010" i="1" s="1"/>
  <c r="H3011" i="1" s="1"/>
  <c r="H3012" i="1" s="1"/>
  <c r="H3013" i="1" s="1"/>
  <c r="H3014" i="1" s="1"/>
  <c r="H3015" i="1" s="1"/>
  <c r="H3016" i="1" s="1"/>
  <c r="E3004" i="1"/>
  <c r="F3004" i="1" s="1"/>
  <c r="E2986" i="1"/>
  <c r="F2986" i="1" s="1"/>
  <c r="E2985" i="1"/>
  <c r="F2985" i="1" s="1"/>
  <c r="E2984" i="1"/>
  <c r="F2984" i="1" s="1"/>
  <c r="E2983" i="1"/>
  <c r="F2983" i="1" s="1"/>
  <c r="E2982" i="1"/>
  <c r="F2982" i="1" s="1"/>
  <c r="E2981" i="1"/>
  <c r="F2981" i="1" s="1"/>
  <c r="E2980" i="1"/>
  <c r="F2980" i="1" s="1"/>
  <c r="E2979" i="1"/>
  <c r="F2979" i="1" s="1"/>
  <c r="E2978" i="1"/>
  <c r="F2978" i="1" s="1"/>
  <c r="E2977" i="1"/>
  <c r="F2977" i="1" s="1"/>
  <c r="E2976" i="1"/>
  <c r="F2976" i="1" s="1"/>
  <c r="E2975" i="1"/>
  <c r="F2975" i="1" s="1"/>
  <c r="E2974" i="1"/>
  <c r="F2974" i="1" s="1"/>
  <c r="E2973" i="1"/>
  <c r="F2973" i="1" s="1"/>
  <c r="E2972" i="1"/>
  <c r="F2972" i="1" s="1"/>
  <c r="E2971" i="1"/>
  <c r="F2971" i="1" s="1"/>
  <c r="E2970" i="1"/>
  <c r="F2970" i="1" s="1"/>
  <c r="E2969" i="1"/>
  <c r="F2969" i="1" s="1"/>
  <c r="E2968" i="1"/>
  <c r="F2968" i="1" s="1"/>
  <c r="E2967" i="1"/>
  <c r="F2967" i="1" s="1"/>
  <c r="B2967" i="1"/>
  <c r="B2968" i="1" s="1"/>
  <c r="B2969" i="1" s="1"/>
  <c r="B2970" i="1" s="1"/>
  <c r="B2971" i="1" s="1"/>
  <c r="B2972" i="1" s="1"/>
  <c r="B2973" i="1" s="1"/>
  <c r="B2974" i="1" s="1"/>
  <c r="B2975" i="1" s="1"/>
  <c r="B2976" i="1" s="1"/>
  <c r="B2977" i="1" s="1"/>
  <c r="B2978" i="1" s="1"/>
  <c r="B2979" i="1" s="1"/>
  <c r="B2980" i="1" s="1"/>
  <c r="B2981" i="1" s="1"/>
  <c r="B2982" i="1" s="1"/>
  <c r="B2983" i="1" s="1"/>
  <c r="B2984" i="1" s="1"/>
  <c r="B2985" i="1" s="1"/>
  <c r="B2986" i="1" s="1"/>
  <c r="B2987" i="1" s="1"/>
  <c r="B2988" i="1" s="1"/>
  <c r="B2989" i="1" s="1"/>
  <c r="B2990" i="1" s="1"/>
  <c r="B2991" i="1" s="1"/>
  <c r="B2992" i="1" s="1"/>
  <c r="B2993" i="1" s="1"/>
  <c r="B2994" i="1" s="1"/>
  <c r="B2995" i="1" s="1"/>
  <c r="B2996" i="1" s="1"/>
  <c r="B2997" i="1" s="1"/>
  <c r="B2998" i="1" s="1"/>
  <c r="B2999" i="1" s="1"/>
  <c r="B3000" i="1" s="1"/>
  <c r="B3001" i="1" s="1"/>
  <c r="B3002" i="1" s="1"/>
  <c r="H2966" i="1"/>
  <c r="H2967" i="1" s="1"/>
  <c r="H2968" i="1" s="1"/>
  <c r="H2969" i="1" s="1"/>
  <c r="H2970" i="1" s="1"/>
  <c r="H2971" i="1" s="1"/>
  <c r="H2972" i="1" s="1"/>
  <c r="H2973" i="1" s="1"/>
  <c r="H2974" i="1" s="1"/>
  <c r="H2975" i="1" s="1"/>
  <c r="H2976" i="1" s="1"/>
  <c r="H2977" i="1" s="1"/>
  <c r="H2978" i="1" s="1"/>
  <c r="H2979" i="1" s="1"/>
  <c r="H2980" i="1" s="1"/>
  <c r="H2981" i="1" s="1"/>
  <c r="H2982" i="1" s="1"/>
  <c r="H2983" i="1" s="1"/>
  <c r="H2984" i="1" s="1"/>
  <c r="H2985" i="1" s="1"/>
  <c r="H2986" i="1" s="1"/>
  <c r="H2987" i="1" s="1"/>
  <c r="E2966" i="1"/>
  <c r="F2966" i="1" s="1"/>
  <c r="E2948" i="1"/>
  <c r="F2948" i="1" s="1"/>
  <c r="E2947" i="1"/>
  <c r="F2947" i="1" s="1"/>
  <c r="E2946" i="1"/>
  <c r="F2946" i="1" s="1"/>
  <c r="E2945" i="1"/>
  <c r="F2945" i="1" s="1"/>
  <c r="E2944" i="1"/>
  <c r="F2944" i="1" s="1"/>
  <c r="E2943" i="1"/>
  <c r="F2943" i="1" s="1"/>
  <c r="E2942" i="1"/>
  <c r="F2942" i="1" s="1"/>
  <c r="E2941" i="1"/>
  <c r="F2941" i="1" s="1"/>
  <c r="E2940" i="1"/>
  <c r="F2940" i="1" s="1"/>
  <c r="E2939" i="1"/>
  <c r="F2939" i="1" s="1"/>
  <c r="E2938" i="1"/>
  <c r="F2938" i="1" s="1"/>
  <c r="E2937" i="1"/>
  <c r="F2937" i="1" s="1"/>
  <c r="E2936" i="1"/>
  <c r="F2936" i="1" s="1"/>
  <c r="E2935" i="1"/>
  <c r="F2935" i="1" s="1"/>
  <c r="E2934" i="1"/>
  <c r="F2934" i="1" s="1"/>
  <c r="E2933" i="1"/>
  <c r="F2933" i="1" s="1"/>
  <c r="E2932" i="1"/>
  <c r="F2932" i="1" s="1"/>
  <c r="E2931" i="1"/>
  <c r="F2931" i="1" s="1"/>
  <c r="E2930" i="1"/>
  <c r="F2930" i="1" s="1"/>
  <c r="E2929" i="1"/>
  <c r="F2929" i="1" s="1"/>
  <c r="B2929" i="1"/>
  <c r="B2930" i="1" s="1"/>
  <c r="B2931" i="1" s="1"/>
  <c r="B2932" i="1" s="1"/>
  <c r="B2933" i="1" s="1"/>
  <c r="B2934" i="1" s="1"/>
  <c r="B2935" i="1" s="1"/>
  <c r="B2936" i="1" s="1"/>
  <c r="B2937" i="1" s="1"/>
  <c r="B2938" i="1" s="1"/>
  <c r="B2939" i="1" s="1"/>
  <c r="B2940" i="1" s="1"/>
  <c r="B2941" i="1" s="1"/>
  <c r="B2942" i="1" s="1"/>
  <c r="B2943" i="1" s="1"/>
  <c r="B2944" i="1" s="1"/>
  <c r="B2945" i="1" s="1"/>
  <c r="B2946" i="1" s="1"/>
  <c r="B2947" i="1" s="1"/>
  <c r="B2948" i="1" s="1"/>
  <c r="B2949" i="1" s="1"/>
  <c r="B2950" i="1" s="1"/>
  <c r="B2951" i="1" s="1"/>
  <c r="B2952" i="1" s="1"/>
  <c r="B2953" i="1" s="1"/>
  <c r="B2954" i="1" s="1"/>
  <c r="B2955" i="1" s="1"/>
  <c r="B2956" i="1" s="1"/>
  <c r="B2957" i="1" s="1"/>
  <c r="B2958" i="1" s="1"/>
  <c r="B2959" i="1" s="1"/>
  <c r="B2960" i="1" s="1"/>
  <c r="B2961" i="1" s="1"/>
  <c r="B2962" i="1" s="1"/>
  <c r="B2963" i="1" s="1"/>
  <c r="B2964" i="1" s="1"/>
  <c r="H2928" i="1"/>
  <c r="H2929" i="1" s="1"/>
  <c r="H2930" i="1" s="1"/>
  <c r="H2931" i="1" s="1"/>
  <c r="H2932" i="1" s="1"/>
  <c r="H2933" i="1" s="1"/>
  <c r="H2934" i="1" s="1"/>
  <c r="H2935" i="1" s="1"/>
  <c r="H2936" i="1" s="1"/>
  <c r="H2937" i="1" s="1"/>
  <c r="H2938" i="1" s="1"/>
  <c r="H2939" i="1" s="1"/>
  <c r="H2940" i="1" s="1"/>
  <c r="H2941" i="1" s="1"/>
  <c r="H2942" i="1" s="1"/>
  <c r="H2943" i="1" s="1"/>
  <c r="H2944" i="1" s="1"/>
  <c r="H2945" i="1" s="1"/>
  <c r="H2946" i="1" s="1"/>
  <c r="H2947" i="1" s="1"/>
  <c r="H2948" i="1" s="1"/>
  <c r="H2949" i="1" s="1"/>
  <c r="E2928" i="1"/>
  <c r="F2928" i="1" s="1"/>
  <c r="E2910" i="1"/>
  <c r="F2910" i="1" s="1"/>
  <c r="E2909" i="1"/>
  <c r="F2909" i="1" s="1"/>
  <c r="E2908" i="1"/>
  <c r="F2908" i="1" s="1"/>
  <c r="E2907" i="1"/>
  <c r="F2907" i="1" s="1"/>
  <c r="E2906" i="1"/>
  <c r="F2906" i="1" s="1"/>
  <c r="E2905" i="1"/>
  <c r="F2905" i="1" s="1"/>
  <c r="E2904" i="1"/>
  <c r="F2904" i="1" s="1"/>
  <c r="E2903" i="1"/>
  <c r="F2903" i="1" s="1"/>
  <c r="E2902" i="1"/>
  <c r="F2902" i="1" s="1"/>
  <c r="E2901" i="1"/>
  <c r="F2901" i="1" s="1"/>
  <c r="E2900" i="1"/>
  <c r="F2900" i="1" s="1"/>
  <c r="E2899" i="1"/>
  <c r="F2899" i="1" s="1"/>
  <c r="E2898" i="1"/>
  <c r="F2898" i="1" s="1"/>
  <c r="E2897" i="1"/>
  <c r="F2897" i="1" s="1"/>
  <c r="E2896" i="1"/>
  <c r="F2896" i="1" s="1"/>
  <c r="E2895" i="1"/>
  <c r="F2895" i="1" s="1"/>
  <c r="E2894" i="1"/>
  <c r="F2894" i="1" s="1"/>
  <c r="E2893" i="1"/>
  <c r="F2893" i="1" s="1"/>
  <c r="E2892" i="1"/>
  <c r="F2892" i="1" s="1"/>
  <c r="E2891" i="1"/>
  <c r="F2891" i="1" s="1"/>
  <c r="B2891" i="1"/>
  <c r="B2892" i="1" s="1"/>
  <c r="B2893" i="1" s="1"/>
  <c r="B2894" i="1" s="1"/>
  <c r="B2895" i="1" s="1"/>
  <c r="B2896" i="1" s="1"/>
  <c r="B2897" i="1" s="1"/>
  <c r="B2898" i="1" s="1"/>
  <c r="B2899" i="1" s="1"/>
  <c r="B2900" i="1" s="1"/>
  <c r="B2901" i="1" s="1"/>
  <c r="B2902" i="1" s="1"/>
  <c r="B2903" i="1" s="1"/>
  <c r="B2904" i="1" s="1"/>
  <c r="B2905" i="1" s="1"/>
  <c r="B2906" i="1" s="1"/>
  <c r="B2907" i="1" s="1"/>
  <c r="B2908" i="1" s="1"/>
  <c r="B2909" i="1" s="1"/>
  <c r="B2910" i="1" s="1"/>
  <c r="B2911" i="1" s="1"/>
  <c r="B2912" i="1" s="1"/>
  <c r="B2913" i="1" s="1"/>
  <c r="B2914" i="1" s="1"/>
  <c r="B2915" i="1" s="1"/>
  <c r="B2916" i="1" s="1"/>
  <c r="B2917" i="1" s="1"/>
  <c r="B2918" i="1" s="1"/>
  <c r="B2919" i="1" s="1"/>
  <c r="B2920" i="1" s="1"/>
  <c r="B2921" i="1" s="1"/>
  <c r="B2922" i="1" s="1"/>
  <c r="B2923" i="1" s="1"/>
  <c r="B2924" i="1" s="1"/>
  <c r="B2925" i="1" s="1"/>
  <c r="B2926" i="1" s="1"/>
  <c r="H2890" i="1"/>
  <c r="E2890" i="1"/>
  <c r="F2890" i="1" s="1"/>
  <c r="E2758" i="1"/>
  <c r="F2758" i="1" s="1"/>
  <c r="E2757" i="1"/>
  <c r="F2757" i="1" s="1"/>
  <c r="E2756" i="1"/>
  <c r="F2756" i="1" s="1"/>
  <c r="E2755" i="1"/>
  <c r="F2755" i="1" s="1"/>
  <c r="E2754" i="1"/>
  <c r="F2754" i="1" s="1"/>
  <c r="E2753" i="1"/>
  <c r="F2753" i="1" s="1"/>
  <c r="E2752" i="1"/>
  <c r="F2752" i="1" s="1"/>
  <c r="E2751" i="1"/>
  <c r="F2751" i="1" s="1"/>
  <c r="E2750" i="1"/>
  <c r="F2750" i="1" s="1"/>
  <c r="E2749" i="1"/>
  <c r="F2749" i="1" s="1"/>
  <c r="E2748" i="1"/>
  <c r="F2748" i="1" s="1"/>
  <c r="E2747" i="1"/>
  <c r="F2747" i="1" s="1"/>
  <c r="E2746" i="1"/>
  <c r="F2746" i="1" s="1"/>
  <c r="E2745" i="1"/>
  <c r="F2745" i="1" s="1"/>
  <c r="E2744" i="1"/>
  <c r="F2744" i="1" s="1"/>
  <c r="E2743" i="1"/>
  <c r="F2743" i="1" s="1"/>
  <c r="E2742" i="1"/>
  <c r="F2742" i="1" s="1"/>
  <c r="E2741" i="1"/>
  <c r="F2741" i="1" s="1"/>
  <c r="E2740" i="1"/>
  <c r="F2740" i="1" s="1"/>
  <c r="E2739" i="1"/>
  <c r="F2739" i="1" s="1"/>
  <c r="B2739" i="1"/>
  <c r="B2740" i="1" s="1"/>
  <c r="B2741" i="1" s="1"/>
  <c r="B2742" i="1" s="1"/>
  <c r="B2743" i="1" s="1"/>
  <c r="B2744" i="1" s="1"/>
  <c r="B2745" i="1" s="1"/>
  <c r="B2746" i="1" s="1"/>
  <c r="B2747" i="1" s="1"/>
  <c r="B2748" i="1" s="1"/>
  <c r="B2749" i="1" s="1"/>
  <c r="B2750" i="1" s="1"/>
  <c r="B2751" i="1" s="1"/>
  <c r="B2752" i="1" s="1"/>
  <c r="B2753" i="1" s="1"/>
  <c r="B2754" i="1" s="1"/>
  <c r="B2755" i="1" s="1"/>
  <c r="B2756" i="1" s="1"/>
  <c r="B2757" i="1" s="1"/>
  <c r="B2758" i="1" s="1"/>
  <c r="B2759" i="1" s="1"/>
  <c r="B2760" i="1" s="1"/>
  <c r="B2761" i="1" s="1"/>
  <c r="B2762" i="1" s="1"/>
  <c r="B2763" i="1" s="1"/>
  <c r="B2764" i="1" s="1"/>
  <c r="B2765" i="1" s="1"/>
  <c r="B2766" i="1" s="1"/>
  <c r="B2767" i="1" s="1"/>
  <c r="B2768" i="1" s="1"/>
  <c r="B2769" i="1" s="1"/>
  <c r="B2770" i="1" s="1"/>
  <c r="B2771" i="1" s="1"/>
  <c r="B2772" i="1" s="1"/>
  <c r="B2773" i="1" s="1"/>
  <c r="B2774" i="1" s="1"/>
  <c r="H2738" i="1"/>
  <c r="H2739" i="1" s="1"/>
  <c r="H2740" i="1" s="1"/>
  <c r="E2738" i="1"/>
  <c r="F2738" i="1" s="1"/>
  <c r="E2606" i="1"/>
  <c r="F2606" i="1" s="1"/>
  <c r="E2605" i="1"/>
  <c r="F2605" i="1" s="1"/>
  <c r="E2604" i="1"/>
  <c r="F2604" i="1" s="1"/>
  <c r="E2603" i="1"/>
  <c r="F2603" i="1" s="1"/>
  <c r="E2602" i="1"/>
  <c r="F2602" i="1" s="1"/>
  <c r="E2601" i="1"/>
  <c r="F2601" i="1" s="1"/>
  <c r="E2600" i="1"/>
  <c r="F2600" i="1" s="1"/>
  <c r="E2599" i="1"/>
  <c r="F2599" i="1" s="1"/>
  <c r="E2598" i="1"/>
  <c r="F2598" i="1" s="1"/>
  <c r="E2597" i="1"/>
  <c r="F2597" i="1" s="1"/>
  <c r="E2596" i="1"/>
  <c r="F2596" i="1" s="1"/>
  <c r="E2595" i="1"/>
  <c r="F2595" i="1" s="1"/>
  <c r="E2594" i="1"/>
  <c r="F2594" i="1" s="1"/>
  <c r="E2593" i="1"/>
  <c r="F2593" i="1" s="1"/>
  <c r="E2592" i="1"/>
  <c r="F2592" i="1" s="1"/>
  <c r="E2591" i="1"/>
  <c r="F2591" i="1" s="1"/>
  <c r="E2590" i="1"/>
  <c r="F2590" i="1" s="1"/>
  <c r="E2589" i="1"/>
  <c r="F2589" i="1" s="1"/>
  <c r="E2588" i="1"/>
  <c r="F2588" i="1" s="1"/>
  <c r="E2587" i="1"/>
  <c r="F2587" i="1" s="1"/>
  <c r="B2587" i="1"/>
  <c r="B2588" i="1" s="1"/>
  <c r="B2589" i="1" s="1"/>
  <c r="B2590" i="1" s="1"/>
  <c r="B2591" i="1" s="1"/>
  <c r="B2592" i="1" s="1"/>
  <c r="B2593" i="1" s="1"/>
  <c r="B2594" i="1" s="1"/>
  <c r="B2595" i="1" s="1"/>
  <c r="B2596" i="1" s="1"/>
  <c r="B2597" i="1" s="1"/>
  <c r="B2598" i="1" s="1"/>
  <c r="B2599" i="1" s="1"/>
  <c r="B2600" i="1" s="1"/>
  <c r="B2601" i="1" s="1"/>
  <c r="B2602" i="1" s="1"/>
  <c r="B2603" i="1" s="1"/>
  <c r="B2604" i="1" s="1"/>
  <c r="B2605" i="1" s="1"/>
  <c r="B2606" i="1" s="1"/>
  <c r="B2607" i="1" s="1"/>
  <c r="B2608" i="1" s="1"/>
  <c r="B2609" i="1" s="1"/>
  <c r="B2610" i="1" s="1"/>
  <c r="B2611" i="1" s="1"/>
  <c r="B2612" i="1" s="1"/>
  <c r="B2613" i="1" s="1"/>
  <c r="B2614" i="1" s="1"/>
  <c r="B2615" i="1" s="1"/>
  <c r="B2616" i="1" s="1"/>
  <c r="B2617" i="1" s="1"/>
  <c r="B2618" i="1" s="1"/>
  <c r="B2619" i="1" s="1"/>
  <c r="B2620" i="1" s="1"/>
  <c r="B2621" i="1" s="1"/>
  <c r="B2622" i="1" s="1"/>
  <c r="H2586" i="1"/>
  <c r="H2587" i="1" s="1"/>
  <c r="H2588" i="1" s="1"/>
  <c r="E2586" i="1"/>
  <c r="F2586" i="1" s="1"/>
  <c r="E2188" i="1"/>
  <c r="F2188" i="1" s="1"/>
  <c r="E2187" i="1"/>
  <c r="F2187" i="1" s="1"/>
  <c r="E2186" i="1"/>
  <c r="F2186" i="1" s="1"/>
  <c r="E2185" i="1"/>
  <c r="F2185" i="1" s="1"/>
  <c r="E2184" i="1"/>
  <c r="F2184" i="1" s="1"/>
  <c r="E2183" i="1"/>
  <c r="F2183" i="1" s="1"/>
  <c r="E2182" i="1"/>
  <c r="F2182" i="1" s="1"/>
  <c r="E2181" i="1"/>
  <c r="F2181" i="1" s="1"/>
  <c r="E2180" i="1"/>
  <c r="F2180" i="1" s="1"/>
  <c r="E2179" i="1"/>
  <c r="F2179" i="1" s="1"/>
  <c r="E2178" i="1"/>
  <c r="F2178" i="1" s="1"/>
  <c r="E2177" i="1"/>
  <c r="F2177" i="1" s="1"/>
  <c r="E2176" i="1"/>
  <c r="F2176" i="1" s="1"/>
  <c r="E2175" i="1"/>
  <c r="F2175" i="1" s="1"/>
  <c r="E2174" i="1"/>
  <c r="F2174" i="1" s="1"/>
  <c r="E2173" i="1"/>
  <c r="F2173" i="1" s="1"/>
  <c r="E2172" i="1"/>
  <c r="F2172" i="1" s="1"/>
  <c r="E2171" i="1"/>
  <c r="F2171" i="1" s="1"/>
  <c r="E2170" i="1"/>
  <c r="F2170" i="1" s="1"/>
  <c r="E2169" i="1"/>
  <c r="F2169" i="1" s="1"/>
  <c r="B2169" i="1"/>
  <c r="B2170" i="1" s="1"/>
  <c r="B2171" i="1" s="1"/>
  <c r="B2172" i="1" s="1"/>
  <c r="B2173" i="1" s="1"/>
  <c r="B2174" i="1" s="1"/>
  <c r="B2175" i="1" s="1"/>
  <c r="B2176" i="1" s="1"/>
  <c r="B2177" i="1" s="1"/>
  <c r="B2178" i="1" s="1"/>
  <c r="B2179" i="1" s="1"/>
  <c r="B2180" i="1" s="1"/>
  <c r="B2181" i="1" s="1"/>
  <c r="B2182" i="1" s="1"/>
  <c r="B2183" i="1" s="1"/>
  <c r="B2184" i="1" s="1"/>
  <c r="B2185" i="1" s="1"/>
  <c r="B2186" i="1" s="1"/>
  <c r="B2187" i="1" s="1"/>
  <c r="B2188" i="1" s="1"/>
  <c r="B2189" i="1" s="1"/>
  <c r="B2190" i="1" s="1"/>
  <c r="B2191" i="1" s="1"/>
  <c r="B2192" i="1" s="1"/>
  <c r="B2193" i="1" s="1"/>
  <c r="B2194" i="1" s="1"/>
  <c r="B2195" i="1" s="1"/>
  <c r="B2196" i="1" s="1"/>
  <c r="B2197" i="1" s="1"/>
  <c r="B2198" i="1" s="1"/>
  <c r="B2199" i="1" s="1"/>
  <c r="B2200" i="1" s="1"/>
  <c r="B2201" i="1" s="1"/>
  <c r="B2202" i="1" s="1"/>
  <c r="B2203" i="1" s="1"/>
  <c r="B2204" i="1" s="1"/>
  <c r="H2168" i="1"/>
  <c r="H2169" i="1" s="1"/>
  <c r="H2170" i="1" s="1"/>
  <c r="H2171" i="1" s="1"/>
  <c r="H2172" i="1" s="1"/>
  <c r="E2168" i="1"/>
  <c r="F2168" i="1" s="1"/>
  <c r="E2150" i="1"/>
  <c r="F2150" i="1" s="1"/>
  <c r="E2149" i="1"/>
  <c r="F2149" i="1" s="1"/>
  <c r="E2148" i="1"/>
  <c r="F2148" i="1" s="1"/>
  <c r="E2147" i="1"/>
  <c r="F2147" i="1" s="1"/>
  <c r="E2146" i="1"/>
  <c r="F2146" i="1" s="1"/>
  <c r="E2145" i="1"/>
  <c r="F2145" i="1" s="1"/>
  <c r="E2144" i="1"/>
  <c r="F2144" i="1" s="1"/>
  <c r="E2143" i="1"/>
  <c r="F2143" i="1" s="1"/>
  <c r="E2142" i="1"/>
  <c r="F2142" i="1" s="1"/>
  <c r="E2141" i="1"/>
  <c r="F2141" i="1" s="1"/>
  <c r="E2140" i="1"/>
  <c r="F2140" i="1" s="1"/>
  <c r="E2139" i="1"/>
  <c r="F2139" i="1" s="1"/>
  <c r="E2138" i="1"/>
  <c r="F2138" i="1" s="1"/>
  <c r="E2137" i="1"/>
  <c r="F2137" i="1" s="1"/>
  <c r="E2136" i="1"/>
  <c r="F2136" i="1" s="1"/>
  <c r="E2135" i="1"/>
  <c r="F2135" i="1" s="1"/>
  <c r="E2134" i="1"/>
  <c r="F2134" i="1" s="1"/>
  <c r="E2133" i="1"/>
  <c r="F2133" i="1" s="1"/>
  <c r="E2132" i="1"/>
  <c r="F2132" i="1" s="1"/>
  <c r="E2131" i="1"/>
  <c r="F2131" i="1" s="1"/>
  <c r="B2131" i="1"/>
  <c r="B2132" i="1" s="1"/>
  <c r="B2133" i="1" s="1"/>
  <c r="B2134" i="1" s="1"/>
  <c r="B2135" i="1" s="1"/>
  <c r="B2136" i="1" s="1"/>
  <c r="B2137" i="1" s="1"/>
  <c r="B2138" i="1" s="1"/>
  <c r="B2139" i="1" s="1"/>
  <c r="B2140" i="1" s="1"/>
  <c r="B2141" i="1" s="1"/>
  <c r="B2142" i="1" s="1"/>
  <c r="B2143" i="1" s="1"/>
  <c r="B2144" i="1" s="1"/>
  <c r="B2145" i="1" s="1"/>
  <c r="B2146" i="1" s="1"/>
  <c r="B2147" i="1" s="1"/>
  <c r="B2148" i="1" s="1"/>
  <c r="B2149" i="1" s="1"/>
  <c r="B2150" i="1" s="1"/>
  <c r="B2151" i="1" s="1"/>
  <c r="B2152" i="1" s="1"/>
  <c r="B2153" i="1" s="1"/>
  <c r="B2154" i="1" s="1"/>
  <c r="B2155" i="1" s="1"/>
  <c r="B2156" i="1" s="1"/>
  <c r="B2157" i="1" s="1"/>
  <c r="B2158" i="1" s="1"/>
  <c r="B2159" i="1" s="1"/>
  <c r="B2160" i="1" s="1"/>
  <c r="B2161" i="1" s="1"/>
  <c r="B2162" i="1" s="1"/>
  <c r="B2163" i="1" s="1"/>
  <c r="B2164" i="1" s="1"/>
  <c r="B2165" i="1" s="1"/>
  <c r="B2166" i="1" s="1"/>
  <c r="H2130" i="1"/>
  <c r="H2131" i="1" s="1"/>
  <c r="H2132" i="1" s="1"/>
  <c r="E2130" i="1"/>
  <c r="F2130" i="1" s="1"/>
  <c r="E2112" i="1"/>
  <c r="F2112" i="1" s="1"/>
  <c r="E2111" i="1"/>
  <c r="F2111" i="1" s="1"/>
  <c r="E2110" i="1"/>
  <c r="F2110" i="1" s="1"/>
  <c r="E2109" i="1"/>
  <c r="F2109" i="1" s="1"/>
  <c r="E2108" i="1"/>
  <c r="F2108" i="1" s="1"/>
  <c r="E2107" i="1"/>
  <c r="F2107" i="1" s="1"/>
  <c r="E2106" i="1"/>
  <c r="F2106" i="1" s="1"/>
  <c r="E2105" i="1"/>
  <c r="F2105" i="1" s="1"/>
  <c r="E2104" i="1"/>
  <c r="F2104" i="1" s="1"/>
  <c r="E2103" i="1"/>
  <c r="F2103" i="1" s="1"/>
  <c r="E2102" i="1"/>
  <c r="F2102" i="1" s="1"/>
  <c r="E2101" i="1"/>
  <c r="F2101" i="1" s="1"/>
  <c r="E2100" i="1"/>
  <c r="F2100" i="1" s="1"/>
  <c r="E2099" i="1"/>
  <c r="F2099" i="1" s="1"/>
  <c r="E2098" i="1"/>
  <c r="F2098" i="1" s="1"/>
  <c r="E2097" i="1"/>
  <c r="F2097" i="1" s="1"/>
  <c r="E2096" i="1"/>
  <c r="F2096" i="1" s="1"/>
  <c r="E2095" i="1"/>
  <c r="F2095" i="1" s="1"/>
  <c r="E2094" i="1"/>
  <c r="F2094" i="1" s="1"/>
  <c r="E2093" i="1"/>
  <c r="F2093" i="1" s="1"/>
  <c r="B2093" i="1"/>
  <c r="B2094" i="1" s="1"/>
  <c r="B2095" i="1" s="1"/>
  <c r="B2096" i="1" s="1"/>
  <c r="B2097" i="1" s="1"/>
  <c r="B2098" i="1" s="1"/>
  <c r="B2099" i="1" s="1"/>
  <c r="B2100" i="1" s="1"/>
  <c r="B2101" i="1" s="1"/>
  <c r="B2102" i="1" s="1"/>
  <c r="B2103" i="1" s="1"/>
  <c r="B2104" i="1" s="1"/>
  <c r="B2105" i="1" s="1"/>
  <c r="B2106" i="1" s="1"/>
  <c r="B2107" i="1" s="1"/>
  <c r="B2108" i="1" s="1"/>
  <c r="B2109" i="1" s="1"/>
  <c r="B2110" i="1" s="1"/>
  <c r="B2111" i="1" s="1"/>
  <c r="B2112" i="1" s="1"/>
  <c r="B2113" i="1" s="1"/>
  <c r="B2114" i="1" s="1"/>
  <c r="B2115" i="1" s="1"/>
  <c r="B2116" i="1" s="1"/>
  <c r="B2117" i="1" s="1"/>
  <c r="B2118" i="1" s="1"/>
  <c r="B2119" i="1" s="1"/>
  <c r="B2120" i="1" s="1"/>
  <c r="B2121" i="1" s="1"/>
  <c r="B2122" i="1" s="1"/>
  <c r="B2123" i="1" s="1"/>
  <c r="B2124" i="1" s="1"/>
  <c r="B2125" i="1" s="1"/>
  <c r="B2126" i="1" s="1"/>
  <c r="B2127" i="1" s="1"/>
  <c r="B2128" i="1" s="1"/>
  <c r="H2092" i="1"/>
  <c r="H2093" i="1" s="1"/>
  <c r="H2094" i="1" s="1"/>
  <c r="H2095" i="1" s="1"/>
  <c r="H2096" i="1" s="1"/>
  <c r="E2092" i="1"/>
  <c r="F2092" i="1" s="1"/>
  <c r="E2074" i="1"/>
  <c r="F2074" i="1" s="1"/>
  <c r="E2073" i="1"/>
  <c r="F2073" i="1" s="1"/>
  <c r="E2072" i="1"/>
  <c r="F2072" i="1" s="1"/>
  <c r="E2071" i="1"/>
  <c r="F2071" i="1" s="1"/>
  <c r="E2070" i="1"/>
  <c r="F2070" i="1" s="1"/>
  <c r="E2069" i="1"/>
  <c r="F2069" i="1" s="1"/>
  <c r="E2068" i="1"/>
  <c r="F2068" i="1" s="1"/>
  <c r="E2067" i="1"/>
  <c r="F2067" i="1" s="1"/>
  <c r="E2066" i="1"/>
  <c r="F2066" i="1" s="1"/>
  <c r="E2065" i="1"/>
  <c r="F2065" i="1" s="1"/>
  <c r="E2064" i="1"/>
  <c r="F2064" i="1" s="1"/>
  <c r="E2063" i="1"/>
  <c r="F2063" i="1" s="1"/>
  <c r="E2062" i="1"/>
  <c r="F2062" i="1" s="1"/>
  <c r="E2061" i="1"/>
  <c r="F2061" i="1" s="1"/>
  <c r="E2060" i="1"/>
  <c r="F2060" i="1" s="1"/>
  <c r="E2059" i="1"/>
  <c r="F2059" i="1" s="1"/>
  <c r="E2058" i="1"/>
  <c r="F2058" i="1" s="1"/>
  <c r="E2057" i="1"/>
  <c r="F2057" i="1" s="1"/>
  <c r="E2056" i="1"/>
  <c r="F2056" i="1" s="1"/>
  <c r="E2055" i="1"/>
  <c r="F2055" i="1" s="1"/>
  <c r="B2055" i="1"/>
  <c r="B2056" i="1" s="1"/>
  <c r="B2057" i="1" s="1"/>
  <c r="B2058" i="1" s="1"/>
  <c r="B2059" i="1" s="1"/>
  <c r="B2060" i="1" s="1"/>
  <c r="B2061" i="1" s="1"/>
  <c r="B2062" i="1" s="1"/>
  <c r="B2063" i="1" s="1"/>
  <c r="B2064" i="1" s="1"/>
  <c r="B2065" i="1" s="1"/>
  <c r="B2066" i="1" s="1"/>
  <c r="B2067" i="1" s="1"/>
  <c r="B2068" i="1" s="1"/>
  <c r="B2069" i="1" s="1"/>
  <c r="B2070" i="1" s="1"/>
  <c r="B2071" i="1" s="1"/>
  <c r="B2072" i="1" s="1"/>
  <c r="B2073" i="1" s="1"/>
  <c r="B2074" i="1" s="1"/>
  <c r="B2075" i="1" s="1"/>
  <c r="B2076" i="1" s="1"/>
  <c r="B2077" i="1" s="1"/>
  <c r="B2078" i="1" s="1"/>
  <c r="B2079" i="1" s="1"/>
  <c r="B2080" i="1" s="1"/>
  <c r="B2081" i="1" s="1"/>
  <c r="B2082" i="1" s="1"/>
  <c r="B2083" i="1" s="1"/>
  <c r="B2084" i="1" s="1"/>
  <c r="B2085" i="1" s="1"/>
  <c r="B2086" i="1" s="1"/>
  <c r="B2087" i="1" s="1"/>
  <c r="B2088" i="1" s="1"/>
  <c r="B2089" i="1" s="1"/>
  <c r="B2090" i="1" s="1"/>
  <c r="H2054" i="1"/>
  <c r="H2055" i="1" s="1"/>
  <c r="H2056" i="1" s="1"/>
  <c r="H2057" i="1" s="1"/>
  <c r="H2058" i="1" s="1"/>
  <c r="H2059" i="1" s="1"/>
  <c r="H2060" i="1" s="1"/>
  <c r="H2061" i="1" s="1"/>
  <c r="H2062" i="1" s="1"/>
  <c r="E2054" i="1"/>
  <c r="F2054" i="1" s="1"/>
  <c r="E1922" i="1"/>
  <c r="F1922" i="1" s="1"/>
  <c r="E1921" i="1"/>
  <c r="F1921" i="1" s="1"/>
  <c r="E1920" i="1"/>
  <c r="F1920" i="1" s="1"/>
  <c r="E1919" i="1"/>
  <c r="F1919" i="1" s="1"/>
  <c r="E1918" i="1"/>
  <c r="F1918" i="1" s="1"/>
  <c r="E1917" i="1"/>
  <c r="F1917" i="1" s="1"/>
  <c r="E1916" i="1"/>
  <c r="F1916" i="1" s="1"/>
  <c r="E1915" i="1"/>
  <c r="F1915" i="1" s="1"/>
  <c r="E1914" i="1"/>
  <c r="F1914" i="1" s="1"/>
  <c r="E1913" i="1"/>
  <c r="F1913" i="1" s="1"/>
  <c r="E1912" i="1"/>
  <c r="F1912" i="1" s="1"/>
  <c r="E1911" i="1"/>
  <c r="F1911" i="1" s="1"/>
  <c r="E1910" i="1"/>
  <c r="F1910" i="1" s="1"/>
  <c r="E1909" i="1"/>
  <c r="F1909" i="1" s="1"/>
  <c r="E1908" i="1"/>
  <c r="F1908" i="1" s="1"/>
  <c r="E1907" i="1"/>
  <c r="F1907" i="1" s="1"/>
  <c r="E1906" i="1"/>
  <c r="F1906" i="1" s="1"/>
  <c r="E1905" i="1"/>
  <c r="F1905" i="1" s="1"/>
  <c r="E1904" i="1"/>
  <c r="F1904" i="1" s="1"/>
  <c r="E1903" i="1"/>
  <c r="F1903" i="1" s="1"/>
  <c r="B1903" i="1"/>
  <c r="B1904" i="1" s="1"/>
  <c r="B1905" i="1" s="1"/>
  <c r="B1906" i="1" s="1"/>
  <c r="B1907" i="1" s="1"/>
  <c r="B1908" i="1" s="1"/>
  <c r="B1909" i="1" s="1"/>
  <c r="B1910" i="1" s="1"/>
  <c r="B1911" i="1" s="1"/>
  <c r="B1912" i="1" s="1"/>
  <c r="B1913" i="1" s="1"/>
  <c r="B1914" i="1" s="1"/>
  <c r="B1915" i="1" s="1"/>
  <c r="B1916" i="1" s="1"/>
  <c r="B1917" i="1" s="1"/>
  <c r="B1918" i="1" s="1"/>
  <c r="B1919" i="1" s="1"/>
  <c r="B1920" i="1" s="1"/>
  <c r="B1921" i="1" s="1"/>
  <c r="B1922" i="1" s="1"/>
  <c r="B1923" i="1" s="1"/>
  <c r="B1924" i="1" s="1"/>
  <c r="B1925" i="1" s="1"/>
  <c r="B1926" i="1" s="1"/>
  <c r="B1927" i="1" s="1"/>
  <c r="B1928" i="1" s="1"/>
  <c r="B1929" i="1" s="1"/>
  <c r="B1930" i="1" s="1"/>
  <c r="B1931" i="1" s="1"/>
  <c r="B1932" i="1" s="1"/>
  <c r="B1933" i="1" s="1"/>
  <c r="B1934" i="1" s="1"/>
  <c r="B1935" i="1" s="1"/>
  <c r="B1936" i="1" s="1"/>
  <c r="B1937" i="1" s="1"/>
  <c r="B1938" i="1" s="1"/>
  <c r="H1902" i="1"/>
  <c r="H1903" i="1" s="1"/>
  <c r="H1904" i="1" s="1"/>
  <c r="E1902" i="1"/>
  <c r="F1902" i="1" s="1"/>
  <c r="E1770" i="1"/>
  <c r="F1770" i="1" s="1"/>
  <c r="E1769" i="1"/>
  <c r="F1769" i="1" s="1"/>
  <c r="E1768" i="1"/>
  <c r="F1768" i="1" s="1"/>
  <c r="E1767" i="1"/>
  <c r="F1767" i="1" s="1"/>
  <c r="E1766" i="1"/>
  <c r="F1766" i="1" s="1"/>
  <c r="E1765" i="1"/>
  <c r="F1765" i="1" s="1"/>
  <c r="E1764" i="1"/>
  <c r="F1764" i="1" s="1"/>
  <c r="E1763" i="1"/>
  <c r="F1763" i="1" s="1"/>
  <c r="E1762" i="1"/>
  <c r="F1762" i="1" s="1"/>
  <c r="E1761" i="1"/>
  <c r="F1761" i="1" s="1"/>
  <c r="E1760" i="1"/>
  <c r="F1760" i="1" s="1"/>
  <c r="E1759" i="1"/>
  <c r="F1759" i="1" s="1"/>
  <c r="E1758" i="1"/>
  <c r="F1758" i="1" s="1"/>
  <c r="E1757" i="1"/>
  <c r="F1757" i="1" s="1"/>
  <c r="E1756" i="1"/>
  <c r="F1756" i="1" s="1"/>
  <c r="E1755" i="1"/>
  <c r="F1755" i="1" s="1"/>
  <c r="E1754" i="1"/>
  <c r="F1754" i="1" s="1"/>
  <c r="E1753" i="1"/>
  <c r="F1753" i="1" s="1"/>
  <c r="E1752" i="1"/>
  <c r="F1752" i="1" s="1"/>
  <c r="E1751" i="1"/>
  <c r="F1751" i="1" s="1"/>
  <c r="B1751" i="1"/>
  <c r="B1752" i="1" s="1"/>
  <c r="B1753" i="1" s="1"/>
  <c r="B1754" i="1" s="1"/>
  <c r="B1755" i="1" s="1"/>
  <c r="B1756" i="1" s="1"/>
  <c r="B1757" i="1" s="1"/>
  <c r="B1758" i="1" s="1"/>
  <c r="B1759" i="1" s="1"/>
  <c r="B1760" i="1" s="1"/>
  <c r="B1761" i="1" s="1"/>
  <c r="B1762" i="1" s="1"/>
  <c r="B1763" i="1" s="1"/>
  <c r="B1764" i="1" s="1"/>
  <c r="B1765" i="1" s="1"/>
  <c r="B1766" i="1" s="1"/>
  <c r="B1767" i="1" s="1"/>
  <c r="B1768" i="1" s="1"/>
  <c r="B1769" i="1" s="1"/>
  <c r="B1770" i="1" s="1"/>
  <c r="B1771" i="1" s="1"/>
  <c r="B1772" i="1" s="1"/>
  <c r="B1773" i="1" s="1"/>
  <c r="B1774" i="1" s="1"/>
  <c r="B1775" i="1" s="1"/>
  <c r="B1776" i="1" s="1"/>
  <c r="B1777" i="1" s="1"/>
  <c r="B1778" i="1" s="1"/>
  <c r="B1779" i="1" s="1"/>
  <c r="B1780" i="1" s="1"/>
  <c r="B1781" i="1" s="1"/>
  <c r="B1782" i="1" s="1"/>
  <c r="B1783" i="1" s="1"/>
  <c r="B1784" i="1" s="1"/>
  <c r="B1785" i="1" s="1"/>
  <c r="B1786" i="1" s="1"/>
  <c r="H1750" i="1"/>
  <c r="H1751" i="1" s="1"/>
  <c r="H1752" i="1" s="1"/>
  <c r="H1753" i="1" s="1"/>
  <c r="H1754" i="1" s="1"/>
  <c r="E1750" i="1"/>
  <c r="F1750" i="1" s="1"/>
  <c r="E1732" i="1"/>
  <c r="F1732" i="1" s="1"/>
  <c r="E1731" i="1"/>
  <c r="F1731" i="1" s="1"/>
  <c r="E1730" i="1"/>
  <c r="F1730" i="1" s="1"/>
  <c r="E1729" i="1"/>
  <c r="F1729" i="1" s="1"/>
  <c r="E1728" i="1"/>
  <c r="F1728" i="1" s="1"/>
  <c r="E1727" i="1"/>
  <c r="F1727" i="1" s="1"/>
  <c r="E1726" i="1"/>
  <c r="F1726" i="1" s="1"/>
  <c r="E1725" i="1"/>
  <c r="F1725" i="1" s="1"/>
  <c r="E1724" i="1"/>
  <c r="F1724" i="1" s="1"/>
  <c r="E1723" i="1"/>
  <c r="F1723" i="1" s="1"/>
  <c r="E1722" i="1"/>
  <c r="F1722" i="1" s="1"/>
  <c r="E1721" i="1"/>
  <c r="F1721" i="1" s="1"/>
  <c r="E1720" i="1"/>
  <c r="F1720" i="1" s="1"/>
  <c r="E1719" i="1"/>
  <c r="F1719" i="1" s="1"/>
  <c r="E1718" i="1"/>
  <c r="F1718" i="1" s="1"/>
  <c r="E1717" i="1"/>
  <c r="F1717" i="1" s="1"/>
  <c r="E1716" i="1"/>
  <c r="F1716" i="1" s="1"/>
  <c r="E1715" i="1"/>
  <c r="F1715" i="1" s="1"/>
  <c r="E1714" i="1"/>
  <c r="F1714" i="1" s="1"/>
  <c r="E1713" i="1"/>
  <c r="F1713" i="1" s="1"/>
  <c r="B1713" i="1"/>
  <c r="B1714" i="1" s="1"/>
  <c r="B1715" i="1" s="1"/>
  <c r="B1716" i="1" s="1"/>
  <c r="B1717" i="1" s="1"/>
  <c r="B1718" i="1" s="1"/>
  <c r="B1719" i="1" s="1"/>
  <c r="B1720" i="1" s="1"/>
  <c r="B1721" i="1" s="1"/>
  <c r="B1722" i="1" s="1"/>
  <c r="B1723" i="1" s="1"/>
  <c r="B1724" i="1" s="1"/>
  <c r="B1725" i="1" s="1"/>
  <c r="B1726" i="1" s="1"/>
  <c r="B1727" i="1" s="1"/>
  <c r="B1728" i="1" s="1"/>
  <c r="B1729" i="1" s="1"/>
  <c r="B1730" i="1" s="1"/>
  <c r="B1731" i="1" s="1"/>
  <c r="B1732" i="1" s="1"/>
  <c r="B1733" i="1" s="1"/>
  <c r="B1734" i="1" s="1"/>
  <c r="B1735" i="1" s="1"/>
  <c r="B1736" i="1" s="1"/>
  <c r="B1737" i="1" s="1"/>
  <c r="B1738" i="1" s="1"/>
  <c r="B1739" i="1" s="1"/>
  <c r="B1740" i="1" s="1"/>
  <c r="B1741" i="1" s="1"/>
  <c r="B1742" i="1" s="1"/>
  <c r="B1743" i="1" s="1"/>
  <c r="B1744" i="1" s="1"/>
  <c r="B1745" i="1" s="1"/>
  <c r="B1746" i="1" s="1"/>
  <c r="B1747" i="1" s="1"/>
  <c r="B1748" i="1" s="1"/>
  <c r="H1712" i="1"/>
  <c r="H1713" i="1" s="1"/>
  <c r="H1714" i="1" s="1"/>
  <c r="H1715" i="1" s="1"/>
  <c r="H1716" i="1" s="1"/>
  <c r="H1717" i="1" s="1"/>
  <c r="H1718" i="1" s="1"/>
  <c r="E1712" i="1"/>
  <c r="F1712" i="1" s="1"/>
  <c r="E1694" i="1"/>
  <c r="F1694" i="1" s="1"/>
  <c r="E1693" i="1"/>
  <c r="F1693" i="1" s="1"/>
  <c r="E1692" i="1"/>
  <c r="F1692" i="1" s="1"/>
  <c r="E1691" i="1"/>
  <c r="F1691" i="1" s="1"/>
  <c r="E1690" i="1"/>
  <c r="F1690" i="1" s="1"/>
  <c r="E1689" i="1"/>
  <c r="F1689" i="1" s="1"/>
  <c r="E1688" i="1"/>
  <c r="F1688" i="1" s="1"/>
  <c r="E1687" i="1"/>
  <c r="F1687" i="1" s="1"/>
  <c r="E1686" i="1"/>
  <c r="F1686" i="1" s="1"/>
  <c r="E1685" i="1"/>
  <c r="F1685" i="1" s="1"/>
  <c r="E1684" i="1"/>
  <c r="F1684" i="1" s="1"/>
  <c r="E1683" i="1"/>
  <c r="F1683" i="1" s="1"/>
  <c r="E1682" i="1"/>
  <c r="F1682" i="1" s="1"/>
  <c r="E1681" i="1"/>
  <c r="F1681" i="1" s="1"/>
  <c r="E1680" i="1"/>
  <c r="F1680" i="1" s="1"/>
  <c r="E1679" i="1"/>
  <c r="F1679" i="1" s="1"/>
  <c r="E1678" i="1"/>
  <c r="F1678" i="1" s="1"/>
  <c r="E1677" i="1"/>
  <c r="F1677" i="1" s="1"/>
  <c r="E1676" i="1"/>
  <c r="F1676" i="1" s="1"/>
  <c r="E1675" i="1"/>
  <c r="F1675" i="1" s="1"/>
  <c r="B1675" i="1"/>
  <c r="B1676" i="1" s="1"/>
  <c r="B1677" i="1" s="1"/>
  <c r="B1678" i="1" s="1"/>
  <c r="B1679" i="1" s="1"/>
  <c r="B1680" i="1" s="1"/>
  <c r="B1681" i="1" s="1"/>
  <c r="B1682" i="1" s="1"/>
  <c r="B1683" i="1" s="1"/>
  <c r="B1684" i="1" s="1"/>
  <c r="B1685" i="1" s="1"/>
  <c r="B1686" i="1" s="1"/>
  <c r="B1687" i="1" s="1"/>
  <c r="B1688" i="1" s="1"/>
  <c r="B1689" i="1" s="1"/>
  <c r="B1690" i="1" s="1"/>
  <c r="B1691" i="1" s="1"/>
  <c r="B1692" i="1" s="1"/>
  <c r="B1693" i="1" s="1"/>
  <c r="B1694" i="1" s="1"/>
  <c r="B1695" i="1" s="1"/>
  <c r="B1696" i="1" s="1"/>
  <c r="B1697" i="1" s="1"/>
  <c r="B1698" i="1" s="1"/>
  <c r="B1699" i="1" s="1"/>
  <c r="B1700" i="1" s="1"/>
  <c r="B1701" i="1" s="1"/>
  <c r="B1702" i="1" s="1"/>
  <c r="B1703" i="1" s="1"/>
  <c r="B1704" i="1" s="1"/>
  <c r="B1705" i="1" s="1"/>
  <c r="B1706" i="1" s="1"/>
  <c r="B1707" i="1" s="1"/>
  <c r="B1708" i="1" s="1"/>
  <c r="B1709" i="1" s="1"/>
  <c r="B1710" i="1" s="1"/>
  <c r="H1674" i="1"/>
  <c r="H1675" i="1" s="1"/>
  <c r="H1676" i="1" s="1"/>
  <c r="H1677" i="1" s="1"/>
  <c r="H1678" i="1" s="1"/>
  <c r="H1679" i="1" s="1"/>
  <c r="H1680" i="1" s="1"/>
  <c r="H1681" i="1" s="1"/>
  <c r="H1682" i="1" s="1"/>
  <c r="E1674" i="1"/>
  <c r="F1674" i="1" s="1"/>
  <c r="E1656" i="1"/>
  <c r="F1656" i="1" s="1"/>
  <c r="E1655" i="1"/>
  <c r="F1655" i="1" s="1"/>
  <c r="E1654" i="1"/>
  <c r="F1654" i="1" s="1"/>
  <c r="E1653" i="1"/>
  <c r="F1653" i="1" s="1"/>
  <c r="E1652" i="1"/>
  <c r="F1652" i="1" s="1"/>
  <c r="E1651" i="1"/>
  <c r="F1651" i="1" s="1"/>
  <c r="E1650" i="1"/>
  <c r="F1650" i="1" s="1"/>
  <c r="E1649" i="1"/>
  <c r="F1649" i="1" s="1"/>
  <c r="E1648" i="1"/>
  <c r="F1648" i="1" s="1"/>
  <c r="E1647" i="1"/>
  <c r="F1647" i="1" s="1"/>
  <c r="E1646" i="1"/>
  <c r="F1646" i="1" s="1"/>
  <c r="E1645" i="1"/>
  <c r="F1645" i="1" s="1"/>
  <c r="E1644" i="1"/>
  <c r="F1644" i="1" s="1"/>
  <c r="E1643" i="1"/>
  <c r="F1643" i="1" s="1"/>
  <c r="E1642" i="1"/>
  <c r="F1642" i="1" s="1"/>
  <c r="E1641" i="1"/>
  <c r="F1641" i="1" s="1"/>
  <c r="E1640" i="1"/>
  <c r="F1640" i="1" s="1"/>
  <c r="E1639" i="1"/>
  <c r="F1639" i="1" s="1"/>
  <c r="E1638" i="1"/>
  <c r="F1638" i="1" s="1"/>
  <c r="E1637" i="1"/>
  <c r="F1637" i="1" s="1"/>
  <c r="B1637" i="1"/>
  <c r="B1638" i="1" s="1"/>
  <c r="B1639" i="1" s="1"/>
  <c r="B1640" i="1" s="1"/>
  <c r="B1641" i="1" s="1"/>
  <c r="B1642" i="1" s="1"/>
  <c r="B1643" i="1" s="1"/>
  <c r="B1644" i="1" s="1"/>
  <c r="B1645" i="1" s="1"/>
  <c r="B1646" i="1" s="1"/>
  <c r="B1647" i="1" s="1"/>
  <c r="B1648" i="1" s="1"/>
  <c r="B1649" i="1" s="1"/>
  <c r="B1650" i="1" s="1"/>
  <c r="B1651" i="1" s="1"/>
  <c r="B1652" i="1" s="1"/>
  <c r="B1653" i="1" s="1"/>
  <c r="B1654" i="1" s="1"/>
  <c r="B1655" i="1" s="1"/>
  <c r="B1656" i="1" s="1"/>
  <c r="B1657" i="1" s="1"/>
  <c r="B1658" i="1" s="1"/>
  <c r="B1659" i="1" s="1"/>
  <c r="B1660" i="1" s="1"/>
  <c r="B1661" i="1" s="1"/>
  <c r="B1662" i="1" s="1"/>
  <c r="B1663" i="1" s="1"/>
  <c r="B1664" i="1" s="1"/>
  <c r="B1665" i="1" s="1"/>
  <c r="B1666" i="1" s="1"/>
  <c r="B1667" i="1" s="1"/>
  <c r="B1668" i="1" s="1"/>
  <c r="B1669" i="1" s="1"/>
  <c r="B1670" i="1" s="1"/>
  <c r="B1671" i="1" s="1"/>
  <c r="B1672" i="1" s="1"/>
  <c r="H1636" i="1"/>
  <c r="E1636" i="1"/>
  <c r="F1636" i="1" s="1"/>
  <c r="E1504" i="1"/>
  <c r="F1504" i="1" s="1"/>
  <c r="E1503" i="1"/>
  <c r="F1503" i="1" s="1"/>
  <c r="E1502" i="1"/>
  <c r="F1502" i="1" s="1"/>
  <c r="E1501" i="1"/>
  <c r="F1501" i="1" s="1"/>
  <c r="E1500" i="1"/>
  <c r="F1500" i="1" s="1"/>
  <c r="E1499" i="1"/>
  <c r="F1499" i="1" s="1"/>
  <c r="E1498" i="1"/>
  <c r="F1498" i="1" s="1"/>
  <c r="E1497" i="1"/>
  <c r="F1497" i="1" s="1"/>
  <c r="E1496" i="1"/>
  <c r="F1496" i="1" s="1"/>
  <c r="E1495" i="1"/>
  <c r="F1495" i="1" s="1"/>
  <c r="E1494" i="1"/>
  <c r="F1494" i="1" s="1"/>
  <c r="E1493" i="1"/>
  <c r="F1493" i="1" s="1"/>
  <c r="E1492" i="1"/>
  <c r="F1492" i="1" s="1"/>
  <c r="E1491" i="1"/>
  <c r="F1491" i="1" s="1"/>
  <c r="E1490" i="1"/>
  <c r="F1490" i="1" s="1"/>
  <c r="E1489" i="1"/>
  <c r="F1489" i="1" s="1"/>
  <c r="E1488" i="1"/>
  <c r="F1488" i="1" s="1"/>
  <c r="E1487" i="1"/>
  <c r="F1487" i="1" s="1"/>
  <c r="E1486" i="1"/>
  <c r="F1486" i="1" s="1"/>
  <c r="E1485" i="1"/>
  <c r="F1485" i="1" s="1"/>
  <c r="B1485" i="1"/>
  <c r="B1486" i="1" s="1"/>
  <c r="B1487" i="1" s="1"/>
  <c r="B1488" i="1" s="1"/>
  <c r="B1489" i="1" s="1"/>
  <c r="B1490" i="1" s="1"/>
  <c r="B1491" i="1" s="1"/>
  <c r="B1492" i="1" s="1"/>
  <c r="B1493" i="1" s="1"/>
  <c r="B1494" i="1" s="1"/>
  <c r="B1495" i="1" s="1"/>
  <c r="B1496" i="1" s="1"/>
  <c r="B1497" i="1" s="1"/>
  <c r="B1498" i="1" s="1"/>
  <c r="B1499" i="1" s="1"/>
  <c r="B1500" i="1" s="1"/>
  <c r="B1501" i="1" s="1"/>
  <c r="B1502" i="1" s="1"/>
  <c r="B1503" i="1" s="1"/>
  <c r="B1504" i="1" s="1"/>
  <c r="B1505" i="1" s="1"/>
  <c r="B1506" i="1" s="1"/>
  <c r="B1507" i="1" s="1"/>
  <c r="B1508" i="1" s="1"/>
  <c r="B1509" i="1" s="1"/>
  <c r="B1510" i="1" s="1"/>
  <c r="B1511" i="1" s="1"/>
  <c r="B1512" i="1" s="1"/>
  <c r="B1513" i="1" s="1"/>
  <c r="B1514" i="1" s="1"/>
  <c r="B1515" i="1" s="1"/>
  <c r="B1516" i="1" s="1"/>
  <c r="B1517" i="1" s="1"/>
  <c r="B1518" i="1" s="1"/>
  <c r="B1519" i="1" s="1"/>
  <c r="B1520" i="1" s="1"/>
  <c r="H1484" i="1"/>
  <c r="H1485" i="1" s="1"/>
  <c r="H1486" i="1" s="1"/>
  <c r="E1484" i="1"/>
  <c r="F1484" i="1" s="1"/>
  <c r="E1352" i="1"/>
  <c r="F1352" i="1" s="1"/>
  <c r="E1351" i="1"/>
  <c r="F1351" i="1" s="1"/>
  <c r="E1350" i="1"/>
  <c r="F1350" i="1" s="1"/>
  <c r="E1349" i="1"/>
  <c r="F1349" i="1" s="1"/>
  <c r="E1348" i="1"/>
  <c r="F1348" i="1" s="1"/>
  <c r="E1347" i="1"/>
  <c r="F1347" i="1" s="1"/>
  <c r="E1346" i="1"/>
  <c r="F1346" i="1" s="1"/>
  <c r="E1345" i="1"/>
  <c r="F1345" i="1" s="1"/>
  <c r="E1344" i="1"/>
  <c r="F1344" i="1" s="1"/>
  <c r="E1343" i="1"/>
  <c r="F1343" i="1" s="1"/>
  <c r="E1342" i="1"/>
  <c r="F1342" i="1" s="1"/>
  <c r="E1341" i="1"/>
  <c r="F1341" i="1" s="1"/>
  <c r="E1340" i="1"/>
  <c r="F1340" i="1" s="1"/>
  <c r="E1339" i="1"/>
  <c r="F1339" i="1" s="1"/>
  <c r="E1338" i="1"/>
  <c r="F1338" i="1" s="1"/>
  <c r="E1337" i="1"/>
  <c r="F1337" i="1" s="1"/>
  <c r="E1336" i="1"/>
  <c r="F1336" i="1" s="1"/>
  <c r="E1335" i="1"/>
  <c r="F1335" i="1" s="1"/>
  <c r="E1334" i="1"/>
  <c r="F1334" i="1" s="1"/>
  <c r="E1333" i="1"/>
  <c r="F1333" i="1" s="1"/>
  <c r="B1333" i="1"/>
  <c r="B1334" i="1" s="1"/>
  <c r="B1335" i="1" s="1"/>
  <c r="B1336" i="1" s="1"/>
  <c r="B1337" i="1" s="1"/>
  <c r="B1338" i="1" s="1"/>
  <c r="B1339" i="1" s="1"/>
  <c r="B1340" i="1" s="1"/>
  <c r="B1341" i="1" s="1"/>
  <c r="B1342" i="1" s="1"/>
  <c r="B1343" i="1" s="1"/>
  <c r="B1344" i="1" s="1"/>
  <c r="B1345" i="1" s="1"/>
  <c r="B1346" i="1" s="1"/>
  <c r="B1347" i="1" s="1"/>
  <c r="B1348" i="1" s="1"/>
  <c r="B1349" i="1" s="1"/>
  <c r="B1350" i="1" s="1"/>
  <c r="B1351" i="1" s="1"/>
  <c r="B1352" i="1" s="1"/>
  <c r="B1353" i="1" s="1"/>
  <c r="B1354" i="1" s="1"/>
  <c r="B1355" i="1" s="1"/>
  <c r="B1356" i="1" s="1"/>
  <c r="B1357" i="1" s="1"/>
  <c r="B1358" i="1" s="1"/>
  <c r="B1359" i="1" s="1"/>
  <c r="B1360" i="1" s="1"/>
  <c r="B1361" i="1" s="1"/>
  <c r="B1362" i="1" s="1"/>
  <c r="B1363" i="1" s="1"/>
  <c r="B1364" i="1" s="1"/>
  <c r="B1365" i="1" s="1"/>
  <c r="B1366" i="1" s="1"/>
  <c r="B1367" i="1" s="1"/>
  <c r="B1368" i="1" s="1"/>
  <c r="H1332" i="1"/>
  <c r="H1333" i="1" s="1"/>
  <c r="H1334" i="1" s="1"/>
  <c r="H1335" i="1" s="1"/>
  <c r="H1336" i="1" s="1"/>
  <c r="H1337" i="1" s="1"/>
  <c r="H1338" i="1" s="1"/>
  <c r="H1339" i="1" s="1"/>
  <c r="H1340" i="1" s="1"/>
  <c r="H1341" i="1" s="1"/>
  <c r="H1342" i="1" s="1"/>
  <c r="H1343" i="1" s="1"/>
  <c r="H1344" i="1" s="1"/>
  <c r="H1345" i="1" s="1"/>
  <c r="H1346" i="1" s="1"/>
  <c r="H1347" i="1" s="1"/>
  <c r="H1348" i="1" s="1"/>
  <c r="H1349" i="1" s="1"/>
  <c r="H1350" i="1" s="1"/>
  <c r="H1351" i="1" s="1"/>
  <c r="H1352" i="1" s="1"/>
  <c r="H1353" i="1" s="1"/>
  <c r="E1332" i="1"/>
  <c r="F1332" i="1" s="1"/>
  <c r="E1314" i="1"/>
  <c r="F1314" i="1" s="1"/>
  <c r="E1313" i="1"/>
  <c r="F1313" i="1" s="1"/>
  <c r="E1312" i="1"/>
  <c r="F1312" i="1" s="1"/>
  <c r="E1311" i="1"/>
  <c r="F1311" i="1" s="1"/>
  <c r="E1310" i="1"/>
  <c r="F1310" i="1" s="1"/>
  <c r="E1309" i="1"/>
  <c r="F1309" i="1" s="1"/>
  <c r="E1308" i="1"/>
  <c r="F1308" i="1" s="1"/>
  <c r="E1307" i="1"/>
  <c r="F1307" i="1" s="1"/>
  <c r="E1306" i="1"/>
  <c r="F1306" i="1" s="1"/>
  <c r="E1305" i="1"/>
  <c r="F1305" i="1" s="1"/>
  <c r="E1304" i="1"/>
  <c r="F1304" i="1" s="1"/>
  <c r="E1303" i="1"/>
  <c r="F1303" i="1" s="1"/>
  <c r="E1302" i="1"/>
  <c r="F1302" i="1" s="1"/>
  <c r="E1301" i="1"/>
  <c r="F1301" i="1" s="1"/>
  <c r="E1300" i="1"/>
  <c r="F1300" i="1" s="1"/>
  <c r="E1299" i="1"/>
  <c r="F1299" i="1" s="1"/>
  <c r="E1298" i="1"/>
  <c r="F1298" i="1" s="1"/>
  <c r="E1297" i="1"/>
  <c r="F1297" i="1" s="1"/>
  <c r="E1296" i="1"/>
  <c r="F1296" i="1" s="1"/>
  <c r="E1295" i="1"/>
  <c r="F1295" i="1" s="1"/>
  <c r="B1295" i="1"/>
  <c r="B1296" i="1" s="1"/>
  <c r="B1297" i="1" s="1"/>
  <c r="B1298" i="1" s="1"/>
  <c r="B1299" i="1" s="1"/>
  <c r="B1300" i="1" s="1"/>
  <c r="B1301" i="1" s="1"/>
  <c r="B1302" i="1" s="1"/>
  <c r="B1303" i="1" s="1"/>
  <c r="B1304" i="1" s="1"/>
  <c r="B1305" i="1" s="1"/>
  <c r="B1306" i="1" s="1"/>
  <c r="B1307" i="1" s="1"/>
  <c r="B1308" i="1" s="1"/>
  <c r="B1309" i="1" s="1"/>
  <c r="B1310" i="1" s="1"/>
  <c r="B1311" i="1" s="1"/>
  <c r="B1312" i="1" s="1"/>
  <c r="B1313" i="1" s="1"/>
  <c r="B1314" i="1" s="1"/>
  <c r="B1315" i="1" s="1"/>
  <c r="B1316" i="1" s="1"/>
  <c r="B1317" i="1" s="1"/>
  <c r="B1318" i="1" s="1"/>
  <c r="B1319" i="1" s="1"/>
  <c r="B1320" i="1" s="1"/>
  <c r="B1321" i="1" s="1"/>
  <c r="B1322" i="1" s="1"/>
  <c r="B1323" i="1" s="1"/>
  <c r="B1324" i="1" s="1"/>
  <c r="B1325" i="1" s="1"/>
  <c r="B1326" i="1" s="1"/>
  <c r="B1327" i="1" s="1"/>
  <c r="B1328" i="1" s="1"/>
  <c r="B1329" i="1" s="1"/>
  <c r="B1330" i="1" s="1"/>
  <c r="H1294" i="1"/>
  <c r="H1295" i="1" s="1"/>
  <c r="H1296" i="1" s="1"/>
  <c r="H1297" i="1" s="1"/>
  <c r="H1298" i="1" s="1"/>
  <c r="H1299" i="1" s="1"/>
  <c r="H1300" i="1" s="1"/>
  <c r="E1294" i="1"/>
  <c r="F1294" i="1" s="1"/>
  <c r="E1276" i="1"/>
  <c r="F1276" i="1" s="1"/>
  <c r="E1275" i="1"/>
  <c r="F1275" i="1" s="1"/>
  <c r="E1274" i="1"/>
  <c r="F1274" i="1" s="1"/>
  <c r="E1273" i="1"/>
  <c r="F1273" i="1" s="1"/>
  <c r="E1272" i="1"/>
  <c r="F1272" i="1" s="1"/>
  <c r="E1271" i="1"/>
  <c r="F1271" i="1" s="1"/>
  <c r="E1270" i="1"/>
  <c r="F1270" i="1" s="1"/>
  <c r="E1269" i="1"/>
  <c r="F1269" i="1" s="1"/>
  <c r="E1268" i="1"/>
  <c r="F1268" i="1" s="1"/>
  <c r="E1267" i="1"/>
  <c r="F1267" i="1" s="1"/>
  <c r="E1266" i="1"/>
  <c r="F1266" i="1" s="1"/>
  <c r="E1265" i="1"/>
  <c r="F1265" i="1" s="1"/>
  <c r="E1264" i="1"/>
  <c r="F1264" i="1" s="1"/>
  <c r="E1263" i="1"/>
  <c r="F1263" i="1" s="1"/>
  <c r="E1262" i="1"/>
  <c r="F1262" i="1" s="1"/>
  <c r="E1261" i="1"/>
  <c r="F1261" i="1" s="1"/>
  <c r="E1260" i="1"/>
  <c r="F1260" i="1" s="1"/>
  <c r="E1259" i="1"/>
  <c r="F1259" i="1" s="1"/>
  <c r="E1258" i="1"/>
  <c r="F1258" i="1" s="1"/>
  <c r="E1257" i="1"/>
  <c r="F1257" i="1" s="1"/>
  <c r="B1257" i="1"/>
  <c r="B1258" i="1" s="1"/>
  <c r="B1259" i="1" s="1"/>
  <c r="B1260" i="1" s="1"/>
  <c r="B1261" i="1" s="1"/>
  <c r="B1262" i="1" s="1"/>
  <c r="B1263" i="1" s="1"/>
  <c r="B1264" i="1" s="1"/>
  <c r="B1265" i="1" s="1"/>
  <c r="B1266" i="1" s="1"/>
  <c r="B1267" i="1" s="1"/>
  <c r="B1268" i="1" s="1"/>
  <c r="B1269" i="1" s="1"/>
  <c r="B1270" i="1" s="1"/>
  <c r="B1271" i="1" s="1"/>
  <c r="B1272" i="1" s="1"/>
  <c r="B1273" i="1" s="1"/>
  <c r="B1274" i="1" s="1"/>
  <c r="B1275" i="1" s="1"/>
  <c r="B1276" i="1" s="1"/>
  <c r="B1277" i="1" s="1"/>
  <c r="B1278" i="1" s="1"/>
  <c r="B1279" i="1" s="1"/>
  <c r="B1280" i="1" s="1"/>
  <c r="B1281" i="1" s="1"/>
  <c r="B1282" i="1" s="1"/>
  <c r="B1283" i="1" s="1"/>
  <c r="B1284" i="1" s="1"/>
  <c r="B1285" i="1" s="1"/>
  <c r="B1286" i="1" s="1"/>
  <c r="B1287" i="1" s="1"/>
  <c r="B1288" i="1" s="1"/>
  <c r="B1289" i="1" s="1"/>
  <c r="B1290" i="1" s="1"/>
  <c r="B1291" i="1" s="1"/>
  <c r="B1292" i="1" s="1"/>
  <c r="H1256" i="1"/>
  <c r="H1257" i="1" s="1"/>
  <c r="H1258" i="1" s="1"/>
  <c r="H1259" i="1" s="1"/>
  <c r="H1260" i="1" s="1"/>
  <c r="H1261" i="1" s="1"/>
  <c r="H1262" i="1" s="1"/>
  <c r="H1263" i="1" s="1"/>
  <c r="H1264" i="1" s="1"/>
  <c r="H1265" i="1" s="1"/>
  <c r="H1266" i="1" s="1"/>
  <c r="H1267" i="1" s="1"/>
  <c r="E1256" i="1"/>
  <c r="F1256" i="1" s="1"/>
  <c r="E1238" i="1"/>
  <c r="F1238" i="1" s="1"/>
  <c r="E1237" i="1"/>
  <c r="F1237" i="1" s="1"/>
  <c r="E1236" i="1"/>
  <c r="F1236" i="1" s="1"/>
  <c r="E1235" i="1"/>
  <c r="F1235" i="1" s="1"/>
  <c r="E1234" i="1"/>
  <c r="F1234" i="1" s="1"/>
  <c r="E1233" i="1"/>
  <c r="F1233" i="1" s="1"/>
  <c r="E1232" i="1"/>
  <c r="F1232" i="1" s="1"/>
  <c r="E1231" i="1"/>
  <c r="F1231" i="1" s="1"/>
  <c r="E1230" i="1"/>
  <c r="F1230" i="1" s="1"/>
  <c r="E1229" i="1"/>
  <c r="F1229" i="1" s="1"/>
  <c r="E1228" i="1"/>
  <c r="F1228" i="1" s="1"/>
  <c r="E1227" i="1"/>
  <c r="F1227" i="1" s="1"/>
  <c r="E1226" i="1"/>
  <c r="F1226" i="1" s="1"/>
  <c r="E1225" i="1"/>
  <c r="F1225" i="1" s="1"/>
  <c r="E1224" i="1"/>
  <c r="F1224" i="1" s="1"/>
  <c r="E1223" i="1"/>
  <c r="F1223" i="1" s="1"/>
  <c r="E1222" i="1"/>
  <c r="F1222" i="1" s="1"/>
  <c r="E1221" i="1"/>
  <c r="F1221" i="1" s="1"/>
  <c r="E1220" i="1"/>
  <c r="F1220" i="1" s="1"/>
  <c r="E1219" i="1"/>
  <c r="F1219" i="1" s="1"/>
  <c r="B1219" i="1"/>
  <c r="B1220" i="1" s="1"/>
  <c r="B1221" i="1" s="1"/>
  <c r="B1222" i="1" s="1"/>
  <c r="B1223" i="1" s="1"/>
  <c r="B1224" i="1" s="1"/>
  <c r="B1225" i="1" s="1"/>
  <c r="B1226" i="1" s="1"/>
  <c r="B1227" i="1" s="1"/>
  <c r="B1228" i="1" s="1"/>
  <c r="B1229" i="1" s="1"/>
  <c r="B1230" i="1" s="1"/>
  <c r="B1231" i="1" s="1"/>
  <c r="B1232" i="1" s="1"/>
  <c r="B1233" i="1" s="1"/>
  <c r="B1234" i="1" s="1"/>
  <c r="B1235" i="1" s="1"/>
  <c r="B1236" i="1" s="1"/>
  <c r="B1237" i="1" s="1"/>
  <c r="B1238" i="1" s="1"/>
  <c r="B1239" i="1" s="1"/>
  <c r="B1240" i="1" s="1"/>
  <c r="B1241" i="1" s="1"/>
  <c r="B1242" i="1" s="1"/>
  <c r="B1243" i="1" s="1"/>
  <c r="B1244" i="1" s="1"/>
  <c r="B1245" i="1" s="1"/>
  <c r="B1246" i="1" s="1"/>
  <c r="B1247" i="1" s="1"/>
  <c r="B1248" i="1" s="1"/>
  <c r="B1249" i="1" s="1"/>
  <c r="B1250" i="1" s="1"/>
  <c r="B1251" i="1" s="1"/>
  <c r="B1252" i="1" s="1"/>
  <c r="B1253" i="1" s="1"/>
  <c r="B1254" i="1" s="1"/>
  <c r="H1218" i="1"/>
  <c r="H1219" i="1" s="1"/>
  <c r="H1220" i="1" s="1"/>
  <c r="H1221" i="1" s="1"/>
  <c r="H1222" i="1" s="1"/>
  <c r="H1223" i="1" s="1"/>
  <c r="H1224" i="1" s="1"/>
  <c r="H1225" i="1" s="1"/>
  <c r="H1226" i="1" s="1"/>
  <c r="E1218" i="1"/>
  <c r="F1218" i="1" s="1"/>
  <c r="E1086" i="1"/>
  <c r="F1086" i="1" s="1"/>
  <c r="E1085" i="1"/>
  <c r="F1085" i="1" s="1"/>
  <c r="E1084" i="1"/>
  <c r="F1084" i="1" s="1"/>
  <c r="E1083" i="1"/>
  <c r="F1083" i="1" s="1"/>
  <c r="E1082" i="1"/>
  <c r="F1082" i="1" s="1"/>
  <c r="E1081" i="1"/>
  <c r="F1081" i="1" s="1"/>
  <c r="E1080" i="1"/>
  <c r="F1080" i="1" s="1"/>
  <c r="E1079" i="1"/>
  <c r="F1079" i="1" s="1"/>
  <c r="E1078" i="1"/>
  <c r="F1078" i="1" s="1"/>
  <c r="E1077" i="1"/>
  <c r="F1077" i="1" s="1"/>
  <c r="E1076" i="1"/>
  <c r="F1076" i="1" s="1"/>
  <c r="E1075" i="1"/>
  <c r="F1075" i="1" s="1"/>
  <c r="E1074" i="1"/>
  <c r="F1074" i="1" s="1"/>
  <c r="E1073" i="1"/>
  <c r="F1073" i="1" s="1"/>
  <c r="E1072" i="1"/>
  <c r="F1072" i="1" s="1"/>
  <c r="E1071" i="1"/>
  <c r="F1071" i="1" s="1"/>
  <c r="E1070" i="1"/>
  <c r="F1070" i="1" s="1"/>
  <c r="E1069" i="1"/>
  <c r="F1069" i="1" s="1"/>
  <c r="E1068" i="1"/>
  <c r="F1068" i="1" s="1"/>
  <c r="E1067" i="1"/>
  <c r="F1067" i="1" s="1"/>
  <c r="B1067" i="1"/>
  <c r="B1068" i="1" s="1"/>
  <c r="B1069" i="1" s="1"/>
  <c r="B1070" i="1" s="1"/>
  <c r="B1071" i="1" s="1"/>
  <c r="B1072" i="1" s="1"/>
  <c r="B1073" i="1" s="1"/>
  <c r="B1074" i="1" s="1"/>
  <c r="B1075" i="1" s="1"/>
  <c r="B1076" i="1" s="1"/>
  <c r="B1077" i="1" s="1"/>
  <c r="B1078" i="1" s="1"/>
  <c r="B1079" i="1" s="1"/>
  <c r="B1080" i="1" s="1"/>
  <c r="B1081" i="1" s="1"/>
  <c r="B1082" i="1" s="1"/>
  <c r="B1083" i="1" s="1"/>
  <c r="B1084" i="1" s="1"/>
  <c r="B1085" i="1" s="1"/>
  <c r="B1086" i="1" s="1"/>
  <c r="B1087" i="1" s="1"/>
  <c r="B1088" i="1" s="1"/>
  <c r="B1089" i="1" s="1"/>
  <c r="B1090" i="1" s="1"/>
  <c r="B1091" i="1" s="1"/>
  <c r="B1092" i="1" s="1"/>
  <c r="B1093" i="1" s="1"/>
  <c r="B1094" i="1" s="1"/>
  <c r="B1095" i="1" s="1"/>
  <c r="B1096" i="1" s="1"/>
  <c r="B1097" i="1" s="1"/>
  <c r="B1098" i="1" s="1"/>
  <c r="B1099" i="1" s="1"/>
  <c r="B1100" i="1" s="1"/>
  <c r="B1101" i="1" s="1"/>
  <c r="B1102" i="1" s="1"/>
  <c r="H1066" i="1"/>
  <c r="H1067" i="1" s="1"/>
  <c r="H1068" i="1" s="1"/>
  <c r="H1069" i="1" s="1"/>
  <c r="H1070" i="1" s="1"/>
  <c r="H1071" i="1" s="1"/>
  <c r="H1072" i="1" s="1"/>
  <c r="H1073" i="1" s="1"/>
  <c r="H1074" i="1" s="1"/>
  <c r="H1075" i="1" s="1"/>
  <c r="H1076" i="1" s="1"/>
  <c r="E1066" i="1"/>
  <c r="F1066" i="1" s="1"/>
  <c r="E934" i="1"/>
  <c r="F934" i="1" s="1"/>
  <c r="E933" i="1"/>
  <c r="F933" i="1" s="1"/>
  <c r="E932" i="1"/>
  <c r="F932" i="1" s="1"/>
  <c r="E931" i="1"/>
  <c r="F931" i="1" s="1"/>
  <c r="E930" i="1"/>
  <c r="F930" i="1" s="1"/>
  <c r="E929" i="1"/>
  <c r="F929" i="1" s="1"/>
  <c r="E928" i="1"/>
  <c r="F928" i="1" s="1"/>
  <c r="E927" i="1"/>
  <c r="F927" i="1" s="1"/>
  <c r="E926" i="1"/>
  <c r="F926" i="1" s="1"/>
  <c r="E925" i="1"/>
  <c r="F925" i="1" s="1"/>
  <c r="E924" i="1"/>
  <c r="F924" i="1" s="1"/>
  <c r="E923" i="1"/>
  <c r="F923" i="1" s="1"/>
  <c r="E922" i="1"/>
  <c r="F922" i="1" s="1"/>
  <c r="E921" i="1"/>
  <c r="F921" i="1" s="1"/>
  <c r="E920" i="1"/>
  <c r="F920" i="1" s="1"/>
  <c r="E919" i="1"/>
  <c r="F919" i="1" s="1"/>
  <c r="E918" i="1"/>
  <c r="F918" i="1" s="1"/>
  <c r="E917" i="1"/>
  <c r="F917" i="1" s="1"/>
  <c r="E916" i="1"/>
  <c r="F916" i="1" s="1"/>
  <c r="E915" i="1"/>
  <c r="F915" i="1" s="1"/>
  <c r="B915" i="1"/>
  <c r="B916" i="1" s="1"/>
  <c r="B917" i="1" s="1"/>
  <c r="B918" i="1" s="1"/>
  <c r="B919" i="1" s="1"/>
  <c r="B920" i="1" s="1"/>
  <c r="B921" i="1" s="1"/>
  <c r="B922" i="1" s="1"/>
  <c r="B923" i="1" s="1"/>
  <c r="B924" i="1" s="1"/>
  <c r="B925" i="1" s="1"/>
  <c r="B926" i="1" s="1"/>
  <c r="B927" i="1" s="1"/>
  <c r="B928" i="1" s="1"/>
  <c r="B929" i="1" s="1"/>
  <c r="B930" i="1" s="1"/>
  <c r="B931" i="1" s="1"/>
  <c r="B932" i="1" s="1"/>
  <c r="B933" i="1" s="1"/>
  <c r="B934" i="1" s="1"/>
  <c r="B935" i="1" s="1"/>
  <c r="B936" i="1" s="1"/>
  <c r="B937" i="1" s="1"/>
  <c r="B938" i="1" s="1"/>
  <c r="B939" i="1" s="1"/>
  <c r="B940" i="1" s="1"/>
  <c r="B941" i="1" s="1"/>
  <c r="B942" i="1" s="1"/>
  <c r="B943" i="1" s="1"/>
  <c r="B944" i="1" s="1"/>
  <c r="B945" i="1" s="1"/>
  <c r="B946" i="1" s="1"/>
  <c r="B947" i="1" s="1"/>
  <c r="B948" i="1" s="1"/>
  <c r="B949" i="1" s="1"/>
  <c r="B950" i="1" s="1"/>
  <c r="H914" i="1"/>
  <c r="H915" i="1" s="1"/>
  <c r="H916" i="1" s="1"/>
  <c r="H917" i="1" s="1"/>
  <c r="H918" i="1" s="1"/>
  <c r="E914" i="1"/>
  <c r="F914" i="1" s="1"/>
  <c r="E896" i="1"/>
  <c r="F896" i="1" s="1"/>
  <c r="E895" i="1"/>
  <c r="F895" i="1" s="1"/>
  <c r="E894" i="1"/>
  <c r="F894" i="1" s="1"/>
  <c r="E893" i="1"/>
  <c r="F893" i="1" s="1"/>
  <c r="E892" i="1"/>
  <c r="F892" i="1" s="1"/>
  <c r="E891" i="1"/>
  <c r="F891" i="1" s="1"/>
  <c r="E890" i="1"/>
  <c r="F890" i="1" s="1"/>
  <c r="E889" i="1"/>
  <c r="F889" i="1" s="1"/>
  <c r="E888" i="1"/>
  <c r="F888" i="1" s="1"/>
  <c r="E887" i="1"/>
  <c r="F887" i="1" s="1"/>
  <c r="E886" i="1"/>
  <c r="F886" i="1" s="1"/>
  <c r="E885" i="1"/>
  <c r="F885" i="1" s="1"/>
  <c r="E884" i="1"/>
  <c r="F884" i="1" s="1"/>
  <c r="E883" i="1"/>
  <c r="F883" i="1" s="1"/>
  <c r="E882" i="1"/>
  <c r="F882" i="1" s="1"/>
  <c r="E881" i="1"/>
  <c r="F881" i="1" s="1"/>
  <c r="E880" i="1"/>
  <c r="F880" i="1" s="1"/>
  <c r="E879" i="1"/>
  <c r="F879" i="1" s="1"/>
  <c r="E878" i="1"/>
  <c r="F878" i="1" s="1"/>
  <c r="E877" i="1"/>
  <c r="F877" i="1" s="1"/>
  <c r="B877" i="1"/>
  <c r="B878" i="1" s="1"/>
  <c r="B879" i="1" s="1"/>
  <c r="B880" i="1" s="1"/>
  <c r="B881" i="1" s="1"/>
  <c r="B882" i="1" s="1"/>
  <c r="B883" i="1" s="1"/>
  <c r="B884" i="1" s="1"/>
  <c r="B885" i="1" s="1"/>
  <c r="B886" i="1" s="1"/>
  <c r="B887" i="1" s="1"/>
  <c r="B888" i="1" s="1"/>
  <c r="B889" i="1" s="1"/>
  <c r="B890" i="1" s="1"/>
  <c r="B891" i="1" s="1"/>
  <c r="B892" i="1" s="1"/>
  <c r="B893" i="1" s="1"/>
  <c r="B894" i="1" s="1"/>
  <c r="B895" i="1" s="1"/>
  <c r="B896" i="1" s="1"/>
  <c r="B897" i="1" s="1"/>
  <c r="B898" i="1" s="1"/>
  <c r="B899" i="1" s="1"/>
  <c r="B900" i="1" s="1"/>
  <c r="B901" i="1" s="1"/>
  <c r="B902" i="1" s="1"/>
  <c r="B903" i="1" s="1"/>
  <c r="B904" i="1" s="1"/>
  <c r="B905" i="1" s="1"/>
  <c r="B906" i="1" s="1"/>
  <c r="B907" i="1" s="1"/>
  <c r="B908" i="1" s="1"/>
  <c r="B909" i="1" s="1"/>
  <c r="B910" i="1" s="1"/>
  <c r="B911" i="1" s="1"/>
  <c r="B912" i="1" s="1"/>
  <c r="H876" i="1"/>
  <c r="H877" i="1" s="1"/>
  <c r="H878" i="1" s="1"/>
  <c r="H879" i="1" s="1"/>
  <c r="H880" i="1" s="1"/>
  <c r="E876" i="1"/>
  <c r="F876" i="1" s="1"/>
  <c r="E858" i="1"/>
  <c r="F858" i="1" s="1"/>
  <c r="E857" i="1"/>
  <c r="F857" i="1" s="1"/>
  <c r="E856" i="1"/>
  <c r="F856" i="1" s="1"/>
  <c r="E855" i="1"/>
  <c r="F855" i="1" s="1"/>
  <c r="E854" i="1"/>
  <c r="F854" i="1" s="1"/>
  <c r="E853" i="1"/>
  <c r="F853" i="1" s="1"/>
  <c r="E852" i="1"/>
  <c r="F852" i="1" s="1"/>
  <c r="E851" i="1"/>
  <c r="F851" i="1" s="1"/>
  <c r="E850" i="1"/>
  <c r="F850" i="1" s="1"/>
  <c r="E849" i="1"/>
  <c r="F849" i="1" s="1"/>
  <c r="E848" i="1"/>
  <c r="F848" i="1" s="1"/>
  <c r="E847" i="1"/>
  <c r="F847" i="1" s="1"/>
  <c r="E846" i="1"/>
  <c r="F846" i="1" s="1"/>
  <c r="E845" i="1"/>
  <c r="F845" i="1" s="1"/>
  <c r="E844" i="1"/>
  <c r="F844" i="1" s="1"/>
  <c r="E843" i="1"/>
  <c r="F843" i="1" s="1"/>
  <c r="E842" i="1"/>
  <c r="F842" i="1" s="1"/>
  <c r="E841" i="1"/>
  <c r="F841" i="1" s="1"/>
  <c r="E840" i="1"/>
  <c r="F840" i="1" s="1"/>
  <c r="E839" i="1"/>
  <c r="F839" i="1" s="1"/>
  <c r="B839" i="1"/>
  <c r="B840" i="1" s="1"/>
  <c r="B841" i="1" s="1"/>
  <c r="B842" i="1" s="1"/>
  <c r="B843" i="1" s="1"/>
  <c r="B844" i="1" s="1"/>
  <c r="B845" i="1" s="1"/>
  <c r="B846" i="1" s="1"/>
  <c r="B847" i="1" s="1"/>
  <c r="B848" i="1" s="1"/>
  <c r="B849" i="1" s="1"/>
  <c r="B850" i="1" s="1"/>
  <c r="B851" i="1" s="1"/>
  <c r="B852" i="1" s="1"/>
  <c r="B853" i="1" s="1"/>
  <c r="B854" i="1" s="1"/>
  <c r="B855" i="1" s="1"/>
  <c r="B856" i="1" s="1"/>
  <c r="B857" i="1" s="1"/>
  <c r="B858" i="1" s="1"/>
  <c r="B859" i="1" s="1"/>
  <c r="B860" i="1" s="1"/>
  <c r="B861" i="1" s="1"/>
  <c r="B862" i="1" s="1"/>
  <c r="B863" i="1" s="1"/>
  <c r="B864" i="1" s="1"/>
  <c r="B865" i="1" s="1"/>
  <c r="B866" i="1" s="1"/>
  <c r="B867" i="1" s="1"/>
  <c r="B868" i="1" s="1"/>
  <c r="B869" i="1" s="1"/>
  <c r="B870" i="1" s="1"/>
  <c r="B871" i="1" s="1"/>
  <c r="B872" i="1" s="1"/>
  <c r="B873" i="1" s="1"/>
  <c r="B874" i="1" s="1"/>
  <c r="H838" i="1"/>
  <c r="H839" i="1" s="1"/>
  <c r="H840" i="1" s="1"/>
  <c r="H841" i="1" s="1"/>
  <c r="H842" i="1" s="1"/>
  <c r="H843" i="1" s="1"/>
  <c r="H844" i="1" s="1"/>
  <c r="E838" i="1"/>
  <c r="F838" i="1" s="1"/>
  <c r="E820" i="1"/>
  <c r="F820" i="1" s="1"/>
  <c r="E819" i="1"/>
  <c r="F819" i="1" s="1"/>
  <c r="E818" i="1"/>
  <c r="F818" i="1" s="1"/>
  <c r="E817" i="1"/>
  <c r="F817" i="1" s="1"/>
  <c r="E816" i="1"/>
  <c r="F816" i="1" s="1"/>
  <c r="E815" i="1"/>
  <c r="F815" i="1" s="1"/>
  <c r="E814" i="1"/>
  <c r="F814" i="1" s="1"/>
  <c r="E813" i="1"/>
  <c r="F813" i="1" s="1"/>
  <c r="E812" i="1"/>
  <c r="F812" i="1" s="1"/>
  <c r="E811" i="1"/>
  <c r="F811" i="1" s="1"/>
  <c r="E810" i="1"/>
  <c r="F810" i="1" s="1"/>
  <c r="E809" i="1"/>
  <c r="F809" i="1" s="1"/>
  <c r="E808" i="1"/>
  <c r="F808" i="1" s="1"/>
  <c r="E807" i="1"/>
  <c r="F807" i="1" s="1"/>
  <c r="E806" i="1"/>
  <c r="F806" i="1" s="1"/>
  <c r="E805" i="1"/>
  <c r="F805" i="1" s="1"/>
  <c r="E804" i="1"/>
  <c r="F804" i="1" s="1"/>
  <c r="E803" i="1"/>
  <c r="F803" i="1" s="1"/>
  <c r="E802" i="1"/>
  <c r="F802" i="1" s="1"/>
  <c r="E801" i="1"/>
  <c r="F801" i="1" s="1"/>
  <c r="B801" i="1"/>
  <c r="B802" i="1" s="1"/>
  <c r="B803" i="1" s="1"/>
  <c r="B804" i="1" s="1"/>
  <c r="B805" i="1" s="1"/>
  <c r="B806" i="1" s="1"/>
  <c r="B807" i="1" s="1"/>
  <c r="B808" i="1" s="1"/>
  <c r="B809" i="1" s="1"/>
  <c r="B810" i="1" s="1"/>
  <c r="B811" i="1" s="1"/>
  <c r="B812" i="1" s="1"/>
  <c r="B813" i="1" s="1"/>
  <c r="B814" i="1" s="1"/>
  <c r="B815" i="1" s="1"/>
  <c r="B816" i="1" s="1"/>
  <c r="B817" i="1" s="1"/>
  <c r="B818" i="1" s="1"/>
  <c r="B819" i="1" s="1"/>
  <c r="B820" i="1" s="1"/>
  <c r="B821" i="1" s="1"/>
  <c r="B822" i="1" s="1"/>
  <c r="B823" i="1" s="1"/>
  <c r="B824" i="1" s="1"/>
  <c r="B825" i="1" s="1"/>
  <c r="B826" i="1" s="1"/>
  <c r="B827" i="1" s="1"/>
  <c r="B828" i="1" s="1"/>
  <c r="B829" i="1" s="1"/>
  <c r="B830" i="1" s="1"/>
  <c r="B831" i="1" s="1"/>
  <c r="B832" i="1" s="1"/>
  <c r="B833" i="1" s="1"/>
  <c r="B834" i="1" s="1"/>
  <c r="B835" i="1" s="1"/>
  <c r="B836" i="1" s="1"/>
  <c r="H800" i="1"/>
  <c r="H801" i="1" s="1"/>
  <c r="H802" i="1" s="1"/>
  <c r="H803" i="1" s="1"/>
  <c r="H804" i="1" s="1"/>
  <c r="H805" i="1" s="1"/>
  <c r="H806" i="1" s="1"/>
  <c r="H807" i="1" s="1"/>
  <c r="H808" i="1" s="1"/>
  <c r="H809" i="1" s="1"/>
  <c r="H810" i="1" s="1"/>
  <c r="H811" i="1" s="1"/>
  <c r="H812" i="1" s="1"/>
  <c r="H813" i="1" s="1"/>
  <c r="H814" i="1" s="1"/>
  <c r="H815" i="1" s="1"/>
  <c r="H816" i="1" s="1"/>
  <c r="H817" i="1" s="1"/>
  <c r="H818" i="1" s="1"/>
  <c r="H819" i="1" s="1"/>
  <c r="H820" i="1" s="1"/>
  <c r="H821" i="1" s="1"/>
  <c r="E800" i="1"/>
  <c r="F800" i="1" s="1"/>
  <c r="E668" i="1"/>
  <c r="F668" i="1" s="1"/>
  <c r="E667" i="1"/>
  <c r="F667" i="1" s="1"/>
  <c r="E666" i="1"/>
  <c r="F666" i="1" s="1"/>
  <c r="E665" i="1"/>
  <c r="F665" i="1" s="1"/>
  <c r="E664" i="1"/>
  <c r="F664" i="1" s="1"/>
  <c r="E663" i="1"/>
  <c r="F663" i="1" s="1"/>
  <c r="E662" i="1"/>
  <c r="F662" i="1" s="1"/>
  <c r="E661" i="1"/>
  <c r="F661" i="1" s="1"/>
  <c r="E660" i="1"/>
  <c r="F660" i="1" s="1"/>
  <c r="E659" i="1"/>
  <c r="F659" i="1" s="1"/>
  <c r="E658" i="1"/>
  <c r="F658" i="1" s="1"/>
  <c r="E657" i="1"/>
  <c r="F657" i="1" s="1"/>
  <c r="E656" i="1"/>
  <c r="F656" i="1" s="1"/>
  <c r="E655" i="1"/>
  <c r="F655" i="1" s="1"/>
  <c r="E654" i="1"/>
  <c r="F654" i="1" s="1"/>
  <c r="E653" i="1"/>
  <c r="F653" i="1" s="1"/>
  <c r="E652" i="1"/>
  <c r="F652" i="1" s="1"/>
  <c r="E651" i="1"/>
  <c r="F651" i="1" s="1"/>
  <c r="E650" i="1"/>
  <c r="F650" i="1" s="1"/>
  <c r="E649" i="1"/>
  <c r="F649" i="1" s="1"/>
  <c r="B649" i="1"/>
  <c r="B650" i="1" s="1"/>
  <c r="B651" i="1" s="1"/>
  <c r="B652" i="1" s="1"/>
  <c r="B653" i="1" s="1"/>
  <c r="B654" i="1" s="1"/>
  <c r="B655" i="1" s="1"/>
  <c r="B656" i="1" s="1"/>
  <c r="B657" i="1" s="1"/>
  <c r="B658" i="1" s="1"/>
  <c r="B659" i="1" s="1"/>
  <c r="B660" i="1" s="1"/>
  <c r="B661" i="1" s="1"/>
  <c r="B662" i="1" s="1"/>
  <c r="B663" i="1" s="1"/>
  <c r="B664" i="1" s="1"/>
  <c r="B665" i="1" s="1"/>
  <c r="B666" i="1" s="1"/>
  <c r="B667" i="1" s="1"/>
  <c r="B668" i="1" s="1"/>
  <c r="B669" i="1" s="1"/>
  <c r="B670" i="1" s="1"/>
  <c r="B671" i="1" s="1"/>
  <c r="B672" i="1" s="1"/>
  <c r="B673" i="1" s="1"/>
  <c r="B674" i="1" s="1"/>
  <c r="B675" i="1" s="1"/>
  <c r="B676" i="1" s="1"/>
  <c r="B677" i="1" s="1"/>
  <c r="B678" i="1" s="1"/>
  <c r="B679" i="1" s="1"/>
  <c r="B680" i="1" s="1"/>
  <c r="B681" i="1" s="1"/>
  <c r="B682" i="1" s="1"/>
  <c r="B683" i="1" s="1"/>
  <c r="B684" i="1" s="1"/>
  <c r="H648" i="1"/>
  <c r="H649" i="1" s="1"/>
  <c r="H650" i="1" s="1"/>
  <c r="H651" i="1" s="1"/>
  <c r="H652" i="1" s="1"/>
  <c r="H653" i="1" s="1"/>
  <c r="H654" i="1" s="1"/>
  <c r="H655" i="1" s="1"/>
  <c r="H656" i="1" s="1"/>
  <c r="H657" i="1" s="1"/>
  <c r="H658" i="1" s="1"/>
  <c r="H659" i="1" s="1"/>
  <c r="H660" i="1" s="1"/>
  <c r="H661" i="1" s="1"/>
  <c r="H662" i="1" s="1"/>
  <c r="H663" i="1" s="1"/>
  <c r="H664" i="1" s="1"/>
  <c r="H665" i="1" s="1"/>
  <c r="H666" i="1" s="1"/>
  <c r="H667" i="1" s="1"/>
  <c r="H668" i="1" s="1"/>
  <c r="H669" i="1" s="1"/>
  <c r="E648" i="1"/>
  <c r="F648" i="1" s="1"/>
  <c r="E516" i="1"/>
  <c r="F516" i="1" s="1"/>
  <c r="E515" i="1"/>
  <c r="F515" i="1" s="1"/>
  <c r="E514" i="1"/>
  <c r="F514" i="1" s="1"/>
  <c r="E513" i="1"/>
  <c r="F513" i="1" s="1"/>
  <c r="E512" i="1"/>
  <c r="F512" i="1" s="1"/>
  <c r="E511" i="1"/>
  <c r="F511" i="1" s="1"/>
  <c r="E510" i="1"/>
  <c r="F510" i="1" s="1"/>
  <c r="E509" i="1"/>
  <c r="F509" i="1" s="1"/>
  <c r="E508" i="1"/>
  <c r="F508" i="1" s="1"/>
  <c r="E507" i="1"/>
  <c r="F507" i="1" s="1"/>
  <c r="E506" i="1"/>
  <c r="F506" i="1" s="1"/>
  <c r="E505" i="1"/>
  <c r="F505" i="1" s="1"/>
  <c r="E504" i="1"/>
  <c r="F504" i="1" s="1"/>
  <c r="E503" i="1"/>
  <c r="F503" i="1" s="1"/>
  <c r="E502" i="1"/>
  <c r="F502" i="1" s="1"/>
  <c r="E501" i="1"/>
  <c r="F501" i="1" s="1"/>
  <c r="E500" i="1"/>
  <c r="F500" i="1" s="1"/>
  <c r="E499" i="1"/>
  <c r="F499" i="1" s="1"/>
  <c r="E498" i="1"/>
  <c r="F498" i="1" s="1"/>
  <c r="E497" i="1"/>
  <c r="F497" i="1" s="1"/>
  <c r="B497" i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H496" i="1"/>
  <c r="H497" i="1" s="1"/>
  <c r="H498" i="1" s="1"/>
  <c r="H499" i="1" s="1"/>
  <c r="H500" i="1" s="1"/>
  <c r="H501" i="1" s="1"/>
  <c r="H502" i="1" s="1"/>
  <c r="H503" i="1" s="1"/>
  <c r="H504" i="1" s="1"/>
  <c r="H505" i="1" s="1"/>
  <c r="H506" i="1" s="1"/>
  <c r="H507" i="1" s="1"/>
  <c r="H508" i="1" s="1"/>
  <c r="H509" i="1" s="1"/>
  <c r="H510" i="1" s="1"/>
  <c r="H511" i="1" s="1"/>
  <c r="H512" i="1" s="1"/>
  <c r="H513" i="1" s="1"/>
  <c r="H514" i="1" s="1"/>
  <c r="H515" i="1" s="1"/>
  <c r="H516" i="1" s="1"/>
  <c r="H517" i="1" s="1"/>
  <c r="E496" i="1"/>
  <c r="F496" i="1" s="1"/>
  <c r="E478" i="1"/>
  <c r="F478" i="1" s="1"/>
  <c r="E477" i="1"/>
  <c r="F477" i="1" s="1"/>
  <c r="E476" i="1"/>
  <c r="F476" i="1" s="1"/>
  <c r="E475" i="1"/>
  <c r="F475" i="1" s="1"/>
  <c r="E474" i="1"/>
  <c r="F474" i="1" s="1"/>
  <c r="E473" i="1"/>
  <c r="F473" i="1" s="1"/>
  <c r="E472" i="1"/>
  <c r="F472" i="1" s="1"/>
  <c r="E471" i="1"/>
  <c r="F471" i="1" s="1"/>
  <c r="E470" i="1"/>
  <c r="F470" i="1" s="1"/>
  <c r="E469" i="1"/>
  <c r="F469" i="1" s="1"/>
  <c r="E468" i="1"/>
  <c r="F468" i="1" s="1"/>
  <c r="E467" i="1"/>
  <c r="F467" i="1" s="1"/>
  <c r="E466" i="1"/>
  <c r="F466" i="1" s="1"/>
  <c r="E465" i="1"/>
  <c r="F465" i="1" s="1"/>
  <c r="E464" i="1"/>
  <c r="F464" i="1" s="1"/>
  <c r="E463" i="1"/>
  <c r="F463" i="1" s="1"/>
  <c r="E462" i="1"/>
  <c r="F462" i="1" s="1"/>
  <c r="E461" i="1"/>
  <c r="F461" i="1" s="1"/>
  <c r="E460" i="1"/>
  <c r="F460" i="1" s="1"/>
  <c r="E459" i="1"/>
  <c r="F459" i="1" s="1"/>
  <c r="B459" i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H458" i="1"/>
  <c r="H459" i="1" s="1"/>
  <c r="H460" i="1" s="1"/>
  <c r="H461" i="1" s="1"/>
  <c r="H462" i="1" s="1"/>
  <c r="H463" i="1" s="1"/>
  <c r="H464" i="1" s="1"/>
  <c r="H465" i="1" s="1"/>
  <c r="H466" i="1" s="1"/>
  <c r="H467" i="1" s="1"/>
  <c r="H468" i="1" s="1"/>
  <c r="H469" i="1" s="1"/>
  <c r="H470" i="1" s="1"/>
  <c r="H471" i="1" s="1"/>
  <c r="H472" i="1" s="1"/>
  <c r="H473" i="1" s="1"/>
  <c r="H474" i="1" s="1"/>
  <c r="H475" i="1" s="1"/>
  <c r="H476" i="1" s="1"/>
  <c r="H477" i="1" s="1"/>
  <c r="H478" i="1" s="1"/>
  <c r="H479" i="1" s="1"/>
  <c r="E458" i="1"/>
  <c r="F458" i="1" s="1"/>
  <c r="E440" i="1"/>
  <c r="F440" i="1" s="1"/>
  <c r="E439" i="1"/>
  <c r="F439" i="1" s="1"/>
  <c r="E438" i="1"/>
  <c r="F438" i="1" s="1"/>
  <c r="E437" i="1"/>
  <c r="F437" i="1" s="1"/>
  <c r="E436" i="1"/>
  <c r="F436" i="1" s="1"/>
  <c r="E435" i="1"/>
  <c r="F435" i="1" s="1"/>
  <c r="E434" i="1"/>
  <c r="F434" i="1" s="1"/>
  <c r="E433" i="1"/>
  <c r="F433" i="1" s="1"/>
  <c r="E432" i="1"/>
  <c r="F432" i="1" s="1"/>
  <c r="E431" i="1"/>
  <c r="F431" i="1" s="1"/>
  <c r="E430" i="1"/>
  <c r="F430" i="1" s="1"/>
  <c r="E429" i="1"/>
  <c r="F429" i="1" s="1"/>
  <c r="E428" i="1"/>
  <c r="F428" i="1" s="1"/>
  <c r="E427" i="1"/>
  <c r="F427" i="1" s="1"/>
  <c r="E426" i="1"/>
  <c r="F426" i="1" s="1"/>
  <c r="E425" i="1"/>
  <c r="F425" i="1" s="1"/>
  <c r="E424" i="1"/>
  <c r="F424" i="1" s="1"/>
  <c r="E423" i="1"/>
  <c r="F423" i="1" s="1"/>
  <c r="E422" i="1"/>
  <c r="F422" i="1" s="1"/>
  <c r="E421" i="1"/>
  <c r="F421" i="1" s="1"/>
  <c r="B421" i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H420" i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H438" i="1" s="1"/>
  <c r="H439" i="1" s="1"/>
  <c r="H440" i="1" s="1"/>
  <c r="H441" i="1" s="1"/>
  <c r="E420" i="1"/>
  <c r="F420" i="1" s="1"/>
  <c r="E402" i="1"/>
  <c r="F402" i="1" s="1"/>
  <c r="E401" i="1"/>
  <c r="F401" i="1" s="1"/>
  <c r="E400" i="1"/>
  <c r="F400" i="1" s="1"/>
  <c r="E399" i="1"/>
  <c r="F399" i="1" s="1"/>
  <c r="E398" i="1"/>
  <c r="F398" i="1" s="1"/>
  <c r="E397" i="1"/>
  <c r="F397" i="1" s="1"/>
  <c r="E396" i="1"/>
  <c r="F396" i="1" s="1"/>
  <c r="E395" i="1"/>
  <c r="F395" i="1" s="1"/>
  <c r="E394" i="1"/>
  <c r="F394" i="1" s="1"/>
  <c r="E393" i="1"/>
  <c r="F393" i="1" s="1"/>
  <c r="E392" i="1"/>
  <c r="F392" i="1" s="1"/>
  <c r="E391" i="1"/>
  <c r="F391" i="1" s="1"/>
  <c r="E390" i="1"/>
  <c r="F390" i="1" s="1"/>
  <c r="E389" i="1"/>
  <c r="F389" i="1" s="1"/>
  <c r="E388" i="1"/>
  <c r="F388" i="1" s="1"/>
  <c r="E387" i="1"/>
  <c r="F387" i="1" s="1"/>
  <c r="E386" i="1"/>
  <c r="F386" i="1" s="1"/>
  <c r="E385" i="1"/>
  <c r="F385" i="1" s="1"/>
  <c r="E384" i="1"/>
  <c r="F384" i="1" s="1"/>
  <c r="E383" i="1"/>
  <c r="F383" i="1" s="1"/>
  <c r="B383" i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H382" i="1"/>
  <c r="H383" i="1" s="1"/>
  <c r="H384" i="1" s="1"/>
  <c r="H385" i="1" s="1"/>
  <c r="H386" i="1" s="1"/>
  <c r="E382" i="1"/>
  <c r="F382" i="1" s="1"/>
  <c r="E250" i="1"/>
  <c r="F250" i="1" s="1"/>
  <c r="E249" i="1"/>
  <c r="F249" i="1" s="1"/>
  <c r="E248" i="1"/>
  <c r="F248" i="1" s="1"/>
  <c r="E247" i="1"/>
  <c r="F247" i="1" s="1"/>
  <c r="E246" i="1"/>
  <c r="F246" i="1" s="1"/>
  <c r="E245" i="1"/>
  <c r="F245" i="1" s="1"/>
  <c r="E244" i="1"/>
  <c r="F244" i="1" s="1"/>
  <c r="E243" i="1"/>
  <c r="F243" i="1" s="1"/>
  <c r="E242" i="1"/>
  <c r="F242" i="1" s="1"/>
  <c r="E241" i="1"/>
  <c r="F241" i="1" s="1"/>
  <c r="E240" i="1"/>
  <c r="F240" i="1" s="1"/>
  <c r="E239" i="1"/>
  <c r="F239" i="1" s="1"/>
  <c r="E238" i="1"/>
  <c r="F238" i="1" s="1"/>
  <c r="E237" i="1"/>
  <c r="F237" i="1" s="1"/>
  <c r="E236" i="1"/>
  <c r="F236" i="1" s="1"/>
  <c r="E235" i="1"/>
  <c r="F235" i="1" s="1"/>
  <c r="E234" i="1"/>
  <c r="F234" i="1" s="1"/>
  <c r="E233" i="1"/>
  <c r="F233" i="1" s="1"/>
  <c r="E232" i="1"/>
  <c r="F232" i="1" s="1"/>
  <c r="E231" i="1"/>
  <c r="F231" i="1" s="1"/>
  <c r="B231" i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H230" i="1"/>
  <c r="H231" i="1" s="1"/>
  <c r="E230" i="1"/>
  <c r="F230" i="1" s="1"/>
  <c r="E98" i="1"/>
  <c r="F98" i="1" s="1"/>
  <c r="E97" i="1"/>
  <c r="F97" i="1" s="1"/>
  <c r="E96" i="1"/>
  <c r="F96" i="1" s="1"/>
  <c r="E95" i="1"/>
  <c r="F95" i="1" s="1"/>
  <c r="E94" i="1"/>
  <c r="F94" i="1" s="1"/>
  <c r="E93" i="1"/>
  <c r="F93" i="1" s="1"/>
  <c r="E92" i="1"/>
  <c r="F92" i="1" s="1"/>
  <c r="E91" i="1"/>
  <c r="F91" i="1" s="1"/>
  <c r="E90" i="1"/>
  <c r="F90" i="1" s="1"/>
  <c r="E89" i="1"/>
  <c r="F89" i="1" s="1"/>
  <c r="E88" i="1"/>
  <c r="F88" i="1" s="1"/>
  <c r="E87" i="1"/>
  <c r="F87" i="1" s="1"/>
  <c r="E86" i="1"/>
  <c r="F86" i="1" s="1"/>
  <c r="E85" i="1"/>
  <c r="F85" i="1" s="1"/>
  <c r="E84" i="1"/>
  <c r="F84" i="1" s="1"/>
  <c r="E83" i="1"/>
  <c r="F83" i="1" s="1"/>
  <c r="E82" i="1"/>
  <c r="F82" i="1" s="1"/>
  <c r="E81" i="1"/>
  <c r="F81" i="1" s="1"/>
  <c r="E80" i="1"/>
  <c r="F80" i="1" s="1"/>
  <c r="E79" i="1"/>
  <c r="F79" i="1" s="1"/>
  <c r="B79" i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H78" i="1"/>
  <c r="H79" i="1" s="1"/>
  <c r="H80" i="1" s="1"/>
  <c r="E78" i="1"/>
  <c r="F78" i="1" s="1"/>
  <c r="E62" i="1"/>
  <c r="F62" i="1" s="1"/>
  <c r="E61" i="1"/>
  <c r="F61" i="1" s="1"/>
  <c r="E60" i="1"/>
  <c r="F60" i="1" s="1"/>
  <c r="E59" i="1"/>
  <c r="F59" i="1" s="1"/>
  <c r="E58" i="1"/>
  <c r="F58" i="1" s="1"/>
  <c r="E57" i="1"/>
  <c r="F57" i="1" s="1"/>
  <c r="E56" i="1"/>
  <c r="F56" i="1" s="1"/>
  <c r="E55" i="1"/>
  <c r="F55" i="1" s="1"/>
  <c r="E54" i="1"/>
  <c r="F54" i="1" s="1"/>
  <c r="E53" i="1"/>
  <c r="F53" i="1" s="1"/>
  <c r="E52" i="1"/>
  <c r="F52" i="1" s="1"/>
  <c r="E51" i="1"/>
  <c r="F51" i="1" s="1"/>
  <c r="E50" i="1"/>
  <c r="F50" i="1" s="1"/>
  <c r="E49" i="1"/>
  <c r="F49" i="1" s="1"/>
  <c r="E48" i="1"/>
  <c r="F48" i="1" s="1"/>
  <c r="E47" i="1"/>
  <c r="F47" i="1" s="1"/>
  <c r="E46" i="1"/>
  <c r="F46" i="1" s="1"/>
  <c r="E45" i="1"/>
  <c r="F45" i="1" s="1"/>
  <c r="E44" i="1"/>
  <c r="F44" i="1" s="1"/>
  <c r="E43" i="1"/>
  <c r="F43" i="1" s="1"/>
  <c r="E42" i="1"/>
  <c r="F42" i="1" s="1"/>
  <c r="E41" i="1"/>
  <c r="F41" i="1" s="1"/>
  <c r="B41" i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H40" i="1"/>
  <c r="H41" i="1" s="1"/>
  <c r="H42" i="1" s="1"/>
  <c r="E40" i="1"/>
  <c r="F40" i="1" s="1"/>
  <c r="E24" i="1"/>
  <c r="F24" i="1" s="1"/>
  <c r="E23" i="1"/>
  <c r="F23" i="1" s="1"/>
  <c r="E22" i="1"/>
  <c r="F22" i="1" s="1"/>
  <c r="E21" i="1"/>
  <c r="F21" i="1" s="1"/>
  <c r="E20" i="1"/>
  <c r="F20" i="1" s="1"/>
  <c r="E19" i="1"/>
  <c r="F19" i="1" s="1"/>
  <c r="E18" i="1"/>
  <c r="F18" i="1" s="1"/>
  <c r="E17" i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E11" i="1"/>
  <c r="F11" i="1" s="1"/>
  <c r="E10" i="1"/>
  <c r="F10" i="1" s="1"/>
  <c r="E9" i="1"/>
  <c r="F9" i="1" s="1"/>
  <c r="E8" i="1"/>
  <c r="F8" i="1" s="1"/>
  <c r="E7" i="1"/>
  <c r="F7" i="1" s="1"/>
  <c r="E6" i="1"/>
  <c r="F6" i="1" s="1"/>
  <c r="E5" i="1"/>
  <c r="F5" i="1" s="1"/>
  <c r="E4" i="1"/>
  <c r="F4" i="1" s="1"/>
  <c r="E3" i="1"/>
  <c r="F3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H3" i="1"/>
  <c r="H4" i="1" s="1"/>
  <c r="H5" i="1" s="1"/>
  <c r="H6" i="1" s="1"/>
  <c r="E2" i="1"/>
  <c r="F2" i="1" s="1"/>
  <c r="I2" i="1" s="1"/>
  <c r="AN35" i="2"/>
  <c r="H3875" i="1" l="1"/>
  <c r="I3874" i="1"/>
  <c r="H3836" i="1"/>
  <c r="I3835" i="1"/>
  <c r="H3799" i="1"/>
  <c r="I3798" i="1"/>
  <c r="H3756" i="1"/>
  <c r="I3755" i="1"/>
  <c r="H3606" i="1"/>
  <c r="I3605" i="1"/>
  <c r="H3452" i="1"/>
  <c r="I3451" i="1"/>
  <c r="H3419" i="1"/>
  <c r="I3418" i="1"/>
  <c r="H3377" i="1"/>
  <c r="I3376" i="1"/>
  <c r="H2988" i="1"/>
  <c r="I2987" i="1"/>
  <c r="H2950" i="1"/>
  <c r="I2949" i="1"/>
  <c r="H2578" i="1"/>
  <c r="I2577" i="1"/>
  <c r="H2354" i="1"/>
  <c r="I2353" i="1"/>
  <c r="H1354" i="1"/>
  <c r="I1353" i="1"/>
  <c r="H822" i="1"/>
  <c r="I821" i="1"/>
  <c r="H670" i="1"/>
  <c r="I669" i="1"/>
  <c r="H518" i="1"/>
  <c r="I517" i="1"/>
  <c r="H480" i="1"/>
  <c r="I479" i="1"/>
  <c r="H442" i="1"/>
  <c r="I441" i="1"/>
  <c r="I3005" i="1"/>
  <c r="I1256" i="1"/>
  <c r="I2168" i="1"/>
  <c r="I878" i="1"/>
  <c r="I2928" i="1"/>
  <c r="I1715" i="1"/>
  <c r="I1259" i="1"/>
  <c r="I2738" i="1"/>
  <c r="I839" i="1"/>
  <c r="I914" i="1"/>
  <c r="I842" i="1"/>
  <c r="I423" i="1"/>
  <c r="I420" i="1"/>
  <c r="I843" i="1"/>
  <c r="I1332" i="1"/>
  <c r="I2130" i="1"/>
  <c r="I499" i="1"/>
  <c r="I503" i="1"/>
  <c r="I428" i="1"/>
  <c r="I2059" i="1"/>
  <c r="I231" i="1"/>
  <c r="I1679" i="1"/>
  <c r="I1484" i="1"/>
  <c r="I1485" i="1"/>
  <c r="I78" i="1"/>
  <c r="I1676" i="1"/>
  <c r="I2170" i="1"/>
  <c r="I815" i="1"/>
  <c r="I1258" i="1"/>
  <c r="I1295" i="1"/>
  <c r="I876" i="1"/>
  <c r="I915" i="1"/>
  <c r="I1712" i="1"/>
  <c r="I1751" i="1"/>
  <c r="I3156" i="1"/>
  <c r="I800" i="1"/>
  <c r="I1333" i="1"/>
  <c r="I1678" i="1"/>
  <c r="I2060" i="1"/>
  <c r="I2930" i="1"/>
  <c r="I3004" i="1"/>
  <c r="I79" i="1"/>
  <c r="I2055" i="1"/>
  <c r="I916" i="1"/>
  <c r="I2056" i="1"/>
  <c r="I3313" i="1"/>
  <c r="H232" i="1"/>
  <c r="H233" i="1" s="1"/>
  <c r="H234" i="1" s="1"/>
  <c r="H235" i="1" s="1"/>
  <c r="H236" i="1" s="1"/>
  <c r="I236" i="1" s="1"/>
  <c r="I382" i="1"/>
  <c r="I1294" i="1"/>
  <c r="I1296" i="1"/>
  <c r="I1680" i="1"/>
  <c r="I879" i="1"/>
  <c r="I1072" i="1"/>
  <c r="I1675" i="1"/>
  <c r="I2586" i="1"/>
  <c r="I2890" i="1"/>
  <c r="I2095" i="1"/>
  <c r="I803" i="1"/>
  <c r="I809" i="1"/>
  <c r="I2092" i="1"/>
  <c r="I651" i="1"/>
  <c r="I1299" i="1"/>
  <c r="I3163" i="1"/>
  <c r="I430" i="1"/>
  <c r="I467" i="1"/>
  <c r="I230" i="1"/>
  <c r="I425" i="1"/>
  <c r="I458" i="1"/>
  <c r="I463" i="1"/>
  <c r="I667" i="1"/>
  <c r="I2966" i="1"/>
  <c r="I436" i="1"/>
  <c r="I1347" i="1"/>
  <c r="I421" i="1"/>
  <c r="I801" i="1"/>
  <c r="I1067" i="1"/>
  <c r="I1073" i="1"/>
  <c r="I1902" i="1"/>
  <c r="I661" i="1"/>
  <c r="H1301" i="1"/>
  <c r="H1302" i="1" s="1"/>
  <c r="H1303" i="1" s="1"/>
  <c r="I1300" i="1"/>
  <c r="I1336" i="1"/>
  <c r="I3159" i="1"/>
  <c r="I433" i="1"/>
  <c r="I438" i="1"/>
  <c r="I459" i="1"/>
  <c r="I819" i="1"/>
  <c r="I40" i="1"/>
  <c r="I432" i="1"/>
  <c r="I462" i="1"/>
  <c r="I478" i="1"/>
  <c r="I498" i="1"/>
  <c r="I514" i="1"/>
  <c r="I648" i="1"/>
  <c r="I657" i="1"/>
  <c r="I814" i="1"/>
  <c r="I1071" i="1"/>
  <c r="I1335" i="1"/>
  <c r="I2169" i="1"/>
  <c r="I41" i="1"/>
  <c r="I840" i="1"/>
  <c r="I917" i="1"/>
  <c r="I1681" i="1"/>
  <c r="I2739" i="1"/>
  <c r="I2935" i="1"/>
  <c r="I2947" i="1"/>
  <c r="I3160" i="1"/>
  <c r="I3310" i="1"/>
  <c r="I424" i="1"/>
  <c r="I496" i="1"/>
  <c r="I841" i="1"/>
  <c r="I1713" i="1"/>
  <c r="I2941" i="1"/>
  <c r="I2967" i="1"/>
  <c r="I3161" i="1"/>
  <c r="I3311" i="1"/>
  <c r="I807" i="1"/>
  <c r="I811" i="1"/>
  <c r="I817" i="1"/>
  <c r="I1343" i="1"/>
  <c r="I2093" i="1"/>
  <c r="I2171" i="1"/>
  <c r="I2587" i="1"/>
  <c r="I3157" i="1"/>
  <c r="I877" i="1"/>
  <c r="I1066" i="1"/>
  <c r="I1069" i="1"/>
  <c r="I1075" i="1"/>
  <c r="I1334" i="1"/>
  <c r="I1750" i="1"/>
  <c r="I2131" i="1"/>
  <c r="I4" i="1"/>
  <c r="I422" i="1"/>
  <c r="I802" i="1"/>
  <c r="I1297" i="1"/>
  <c r="I1714" i="1"/>
  <c r="I2970" i="1"/>
  <c r="I2976" i="1"/>
  <c r="I3010" i="1"/>
  <c r="I2939" i="1"/>
  <c r="I2944" i="1"/>
  <c r="I2968" i="1"/>
  <c r="I2974" i="1"/>
  <c r="I2985" i="1"/>
  <c r="I3013" i="1"/>
  <c r="I2933" i="1"/>
  <c r="I2945" i="1"/>
  <c r="I2975" i="1"/>
  <c r="I2980" i="1"/>
  <c r="I2986" i="1"/>
  <c r="I3008" i="1"/>
  <c r="I3014" i="1"/>
  <c r="H3167" i="1"/>
  <c r="H3168" i="1" s="1"/>
  <c r="H3169" i="1" s="1"/>
  <c r="H3170" i="1" s="1"/>
  <c r="H3171" i="1" s="1"/>
  <c r="H3172" i="1" s="1"/>
  <c r="H3173" i="1" s="1"/>
  <c r="H3174" i="1" s="1"/>
  <c r="I3166" i="1"/>
  <c r="I3164" i="1"/>
  <c r="I3309" i="1"/>
  <c r="I3314" i="1"/>
  <c r="I2929" i="1"/>
  <c r="I2934" i="1"/>
  <c r="I2940" i="1"/>
  <c r="I2946" i="1"/>
  <c r="I2969" i="1"/>
  <c r="I2981" i="1"/>
  <c r="I3009" i="1"/>
  <c r="I3015" i="1"/>
  <c r="I3165" i="1"/>
  <c r="I3315" i="1"/>
  <c r="I2977" i="1"/>
  <c r="I3006" i="1"/>
  <c r="H3017" i="1"/>
  <c r="H3018" i="1" s="1"/>
  <c r="H3019" i="1" s="1"/>
  <c r="H3020" i="1" s="1"/>
  <c r="H3021" i="1" s="1"/>
  <c r="H3022" i="1" s="1"/>
  <c r="H3023" i="1" s="1"/>
  <c r="H3024" i="1" s="1"/>
  <c r="H3025" i="1" s="1"/>
  <c r="I3016" i="1"/>
  <c r="I2971" i="1"/>
  <c r="I2931" i="1"/>
  <c r="I2936" i="1"/>
  <c r="I2942" i="1"/>
  <c r="I2948" i="1"/>
  <c r="I2937" i="1"/>
  <c r="I2943" i="1"/>
  <c r="I2972" i="1"/>
  <c r="I2978" i="1"/>
  <c r="I2984" i="1"/>
  <c r="I3012" i="1"/>
  <c r="I3162" i="1"/>
  <c r="I3312" i="1"/>
  <c r="I2982" i="1"/>
  <c r="I2983" i="1"/>
  <c r="I3011" i="1"/>
  <c r="I2932" i="1"/>
  <c r="I2938" i="1"/>
  <c r="I2973" i="1"/>
  <c r="I2979" i="1"/>
  <c r="I3007" i="1"/>
  <c r="H3317" i="1"/>
  <c r="H3318" i="1" s="1"/>
  <c r="H3319" i="1" s="1"/>
  <c r="H3320" i="1" s="1"/>
  <c r="H3321" i="1" s="1"/>
  <c r="H3322" i="1" s="1"/>
  <c r="H3323" i="1" s="1"/>
  <c r="H3324" i="1" s="1"/>
  <c r="I3316" i="1"/>
  <c r="I3158" i="1"/>
  <c r="I3308" i="1"/>
  <c r="H2741" i="1"/>
  <c r="H2742" i="1" s="1"/>
  <c r="H2743" i="1" s="1"/>
  <c r="H2744" i="1" s="1"/>
  <c r="H2745" i="1" s="1"/>
  <c r="H2746" i="1" s="1"/>
  <c r="I2740" i="1"/>
  <c r="I2588" i="1"/>
  <c r="H2589" i="1"/>
  <c r="H2590" i="1" s="1"/>
  <c r="H2891" i="1"/>
  <c r="H2892" i="1" s="1"/>
  <c r="H2893" i="1" s="1"/>
  <c r="H2894" i="1" s="1"/>
  <c r="H2895" i="1" s="1"/>
  <c r="H2896" i="1" s="1"/>
  <c r="H2897" i="1" s="1"/>
  <c r="H2898" i="1" s="1"/>
  <c r="I2096" i="1"/>
  <c r="H2097" i="1"/>
  <c r="H2098" i="1" s="1"/>
  <c r="H2099" i="1" s="1"/>
  <c r="H2100" i="1" s="1"/>
  <c r="I2132" i="1"/>
  <c r="H2133" i="1"/>
  <c r="H2134" i="1" s="1"/>
  <c r="H2135" i="1" s="1"/>
  <c r="H2136" i="1" s="1"/>
  <c r="I2094" i="1"/>
  <c r="H2173" i="1"/>
  <c r="H2174" i="1" s="1"/>
  <c r="H2175" i="1" s="1"/>
  <c r="H2176" i="1" s="1"/>
  <c r="I2172" i="1"/>
  <c r="I2061" i="1"/>
  <c r="H1905" i="1"/>
  <c r="H1906" i="1" s="1"/>
  <c r="H1907" i="1" s="1"/>
  <c r="H1908" i="1" s="1"/>
  <c r="H1909" i="1" s="1"/>
  <c r="H1910" i="1" s="1"/>
  <c r="H1911" i="1" s="1"/>
  <c r="H1912" i="1" s="1"/>
  <c r="I1904" i="1"/>
  <c r="H1719" i="1"/>
  <c r="H1720" i="1" s="1"/>
  <c r="H1721" i="1" s="1"/>
  <c r="H1722" i="1" s="1"/>
  <c r="H1723" i="1" s="1"/>
  <c r="H1724" i="1" s="1"/>
  <c r="H1725" i="1" s="1"/>
  <c r="H1726" i="1" s="1"/>
  <c r="I1718" i="1"/>
  <c r="H1755" i="1"/>
  <c r="H1756" i="1" s="1"/>
  <c r="H1757" i="1" s="1"/>
  <c r="H1758" i="1" s="1"/>
  <c r="H1759" i="1" s="1"/>
  <c r="H1760" i="1" s="1"/>
  <c r="H1761" i="1" s="1"/>
  <c r="H1762" i="1" s="1"/>
  <c r="I1754" i="1"/>
  <c r="I2057" i="1"/>
  <c r="I1716" i="1"/>
  <c r="I1752" i="1"/>
  <c r="I1903" i="1"/>
  <c r="H2063" i="1"/>
  <c r="H2064" i="1" s="1"/>
  <c r="H2065" i="1" s="1"/>
  <c r="H2066" i="1" s="1"/>
  <c r="H2067" i="1" s="1"/>
  <c r="H2068" i="1" s="1"/>
  <c r="H2069" i="1" s="1"/>
  <c r="H2070" i="1" s="1"/>
  <c r="I2062" i="1"/>
  <c r="I1677" i="1"/>
  <c r="I1717" i="1"/>
  <c r="I1753" i="1"/>
  <c r="I2058" i="1"/>
  <c r="H1683" i="1"/>
  <c r="H1684" i="1" s="1"/>
  <c r="H1685" i="1" s="1"/>
  <c r="H1686" i="1" s="1"/>
  <c r="H1687" i="1" s="1"/>
  <c r="H1688" i="1" s="1"/>
  <c r="H1689" i="1" s="1"/>
  <c r="H1690" i="1" s="1"/>
  <c r="I1682" i="1"/>
  <c r="I1674" i="1"/>
  <c r="I2054" i="1"/>
  <c r="I1352" i="1"/>
  <c r="I1266" i="1"/>
  <c r="H1268" i="1"/>
  <c r="H1269" i="1" s="1"/>
  <c r="H1270" i="1" s="1"/>
  <c r="H1271" i="1" s="1"/>
  <c r="H1272" i="1" s="1"/>
  <c r="I1267" i="1"/>
  <c r="I1264" i="1"/>
  <c r="H1637" i="1"/>
  <c r="H1638" i="1" s="1"/>
  <c r="H1639" i="1" s="1"/>
  <c r="I1636" i="1"/>
  <c r="I1262" i="1"/>
  <c r="I1339" i="1"/>
  <c r="I1344" i="1"/>
  <c r="I1348" i="1"/>
  <c r="I1257" i="1"/>
  <c r="I1263" i="1"/>
  <c r="I1340" i="1"/>
  <c r="I1345" i="1"/>
  <c r="I1349" i="1"/>
  <c r="H1487" i="1"/>
  <c r="H1488" i="1" s="1"/>
  <c r="H1489" i="1" s="1"/>
  <c r="I1486" i="1"/>
  <c r="I1265" i="1"/>
  <c r="I1346" i="1"/>
  <c r="I1350" i="1"/>
  <c r="I1261" i="1"/>
  <c r="I1260" i="1"/>
  <c r="I1298" i="1"/>
  <c r="I1337" i="1"/>
  <c r="I1341" i="1"/>
  <c r="I1338" i="1"/>
  <c r="I1342" i="1"/>
  <c r="I1351" i="1"/>
  <c r="H1227" i="1"/>
  <c r="H1228" i="1" s="1"/>
  <c r="H1229" i="1" s="1"/>
  <c r="H1230" i="1" s="1"/>
  <c r="H1231" i="1" s="1"/>
  <c r="H1232" i="1" s="1"/>
  <c r="H1233" i="1" s="1"/>
  <c r="H1234" i="1" s="1"/>
  <c r="I1226" i="1"/>
  <c r="I1223" i="1"/>
  <c r="I1224" i="1"/>
  <c r="H1077" i="1"/>
  <c r="H1078" i="1" s="1"/>
  <c r="H1079" i="1" s="1"/>
  <c r="H1080" i="1" s="1"/>
  <c r="H1081" i="1" s="1"/>
  <c r="H1082" i="1" s="1"/>
  <c r="H1083" i="1" s="1"/>
  <c r="H1084" i="1" s="1"/>
  <c r="I1076" i="1"/>
  <c r="I1074" i="1"/>
  <c r="I1219" i="1"/>
  <c r="I1225" i="1"/>
  <c r="I844" i="1"/>
  <c r="H845" i="1"/>
  <c r="H846" i="1" s="1"/>
  <c r="I880" i="1"/>
  <c r="H881" i="1"/>
  <c r="H882" i="1" s="1"/>
  <c r="H919" i="1"/>
  <c r="H920" i="1" s="1"/>
  <c r="H921" i="1" s="1"/>
  <c r="H922" i="1" s="1"/>
  <c r="H923" i="1" s="1"/>
  <c r="H924" i="1" s="1"/>
  <c r="H925" i="1" s="1"/>
  <c r="H926" i="1" s="1"/>
  <c r="I918" i="1"/>
  <c r="I1070" i="1"/>
  <c r="I1220" i="1"/>
  <c r="I1221" i="1"/>
  <c r="I1222" i="1"/>
  <c r="I838" i="1"/>
  <c r="I1068" i="1"/>
  <c r="I1218" i="1"/>
  <c r="I465" i="1"/>
  <c r="I471" i="1"/>
  <c r="I475" i="1"/>
  <c r="I507" i="1"/>
  <c r="I511" i="1"/>
  <c r="I654" i="1"/>
  <c r="I426" i="1"/>
  <c r="I460" i="1"/>
  <c r="I476" i="1"/>
  <c r="I512" i="1"/>
  <c r="I650" i="1"/>
  <c r="I655" i="1"/>
  <c r="I660" i="1"/>
  <c r="I666" i="1"/>
  <c r="I812" i="1"/>
  <c r="I501" i="1"/>
  <c r="I427" i="1"/>
  <c r="I431" i="1"/>
  <c r="I437" i="1"/>
  <c r="I461" i="1"/>
  <c r="I466" i="1"/>
  <c r="I472" i="1"/>
  <c r="I477" i="1"/>
  <c r="I497" i="1"/>
  <c r="I502" i="1"/>
  <c r="I508" i="1"/>
  <c r="I513" i="1"/>
  <c r="I656" i="1"/>
  <c r="I808" i="1"/>
  <c r="I813" i="1"/>
  <c r="I818" i="1"/>
  <c r="I509" i="1"/>
  <c r="I662" i="1"/>
  <c r="I434" i="1"/>
  <c r="I468" i="1"/>
  <c r="I504" i="1"/>
  <c r="I652" i="1"/>
  <c r="I658" i="1"/>
  <c r="I663" i="1"/>
  <c r="I668" i="1"/>
  <c r="I804" i="1"/>
  <c r="I820" i="1"/>
  <c r="I429" i="1"/>
  <c r="I435" i="1"/>
  <c r="I439" i="1"/>
  <c r="I464" i="1"/>
  <c r="I469" i="1"/>
  <c r="I474" i="1"/>
  <c r="I500" i="1"/>
  <c r="I505" i="1"/>
  <c r="I510" i="1"/>
  <c r="I516" i="1"/>
  <c r="I649" i="1"/>
  <c r="I664" i="1"/>
  <c r="I805" i="1"/>
  <c r="I810" i="1"/>
  <c r="I816" i="1"/>
  <c r="I473" i="1"/>
  <c r="I515" i="1"/>
  <c r="I440" i="1"/>
  <c r="I470" i="1"/>
  <c r="I506" i="1"/>
  <c r="I653" i="1"/>
  <c r="I659" i="1"/>
  <c r="I665" i="1"/>
  <c r="I806" i="1"/>
  <c r="I386" i="1"/>
  <c r="H387" i="1"/>
  <c r="H388" i="1" s="1"/>
  <c r="H389" i="1" s="1"/>
  <c r="I5" i="1"/>
  <c r="I80" i="1"/>
  <c r="H81" i="1"/>
  <c r="I384" i="1"/>
  <c r="I383" i="1"/>
  <c r="I42" i="1"/>
  <c r="H43" i="1"/>
  <c r="H44" i="1" s="1"/>
  <c r="I385" i="1"/>
  <c r="I6" i="1"/>
  <c r="H7" i="1"/>
  <c r="H8" i="1" s="1"/>
  <c r="I3" i="1"/>
  <c r="H3876" i="1" l="1"/>
  <c r="I3876" i="1" s="1"/>
  <c r="I3875" i="1"/>
  <c r="H3837" i="1"/>
  <c r="I3836" i="1"/>
  <c r="H3800" i="1"/>
  <c r="I3800" i="1" s="1"/>
  <c r="I3799" i="1"/>
  <c r="H3757" i="1"/>
  <c r="I3756" i="1"/>
  <c r="H3607" i="1"/>
  <c r="I3606" i="1"/>
  <c r="H3453" i="1"/>
  <c r="I3452" i="1"/>
  <c r="H3420" i="1"/>
  <c r="I3420" i="1" s="1"/>
  <c r="I3419" i="1"/>
  <c r="H3378" i="1"/>
  <c r="I3377" i="1"/>
  <c r="H3026" i="1"/>
  <c r="I3025" i="1"/>
  <c r="H2989" i="1"/>
  <c r="I2988" i="1"/>
  <c r="H2951" i="1"/>
  <c r="I2950" i="1"/>
  <c r="H2579" i="1"/>
  <c r="I2578" i="1"/>
  <c r="H2355" i="1"/>
  <c r="I2354" i="1"/>
  <c r="H1355" i="1"/>
  <c r="I1354" i="1"/>
  <c r="H823" i="1"/>
  <c r="I822" i="1"/>
  <c r="H671" i="1"/>
  <c r="I670" i="1"/>
  <c r="H519" i="1"/>
  <c r="I518" i="1"/>
  <c r="H481" i="1"/>
  <c r="I480" i="1"/>
  <c r="H443" i="1"/>
  <c r="I442" i="1"/>
  <c r="I232" i="1"/>
  <c r="I3172" i="1"/>
  <c r="I1638" i="1"/>
  <c r="I1689" i="1"/>
  <c r="I3018" i="1"/>
  <c r="I3023" i="1"/>
  <c r="I3017" i="1"/>
  <c r="I1908" i="1"/>
  <c r="I3169" i="1"/>
  <c r="I1910" i="1"/>
  <c r="I3019" i="1"/>
  <c r="I3170" i="1"/>
  <c r="I3022" i="1"/>
  <c r="I1271" i="1"/>
  <c r="I1720" i="1"/>
  <c r="H237" i="1"/>
  <c r="H238" i="1" s="1"/>
  <c r="H239" i="1" s="1"/>
  <c r="I239" i="1" s="1"/>
  <c r="I234" i="1"/>
  <c r="I1723" i="1"/>
  <c r="I3167" i="1"/>
  <c r="I235" i="1"/>
  <c r="I1227" i="1"/>
  <c r="I1721" i="1"/>
  <c r="I233" i="1"/>
  <c r="I924" i="1"/>
  <c r="I1684" i="1"/>
  <c r="I1268" i="1"/>
  <c r="I925" i="1"/>
  <c r="I923" i="1"/>
  <c r="I1270" i="1"/>
  <c r="I1687" i="1"/>
  <c r="I920" i="1"/>
  <c r="I3323" i="1"/>
  <c r="H1304" i="1"/>
  <c r="I1303" i="1"/>
  <c r="I845" i="1"/>
  <c r="I1081" i="1"/>
  <c r="I2894" i="1"/>
  <c r="I1906" i="1"/>
  <c r="I2741" i="1"/>
  <c r="I1688" i="1"/>
  <c r="I1722" i="1"/>
  <c r="I1685" i="1"/>
  <c r="I2174" i="1"/>
  <c r="I2175" i="1"/>
  <c r="I3168" i="1"/>
  <c r="I1302" i="1"/>
  <c r="I1301" i="1"/>
  <c r="I2895" i="1"/>
  <c r="I1082" i="1"/>
  <c r="I1905" i="1"/>
  <c r="I7" i="1"/>
  <c r="I921" i="1"/>
  <c r="I2065" i="1"/>
  <c r="I1911" i="1"/>
  <c r="I1907" i="1"/>
  <c r="I2173" i="1"/>
  <c r="I2893" i="1"/>
  <c r="I3171" i="1"/>
  <c r="I1909" i="1"/>
  <c r="I2897" i="1"/>
  <c r="I922" i="1"/>
  <c r="I1228" i="1"/>
  <c r="I1269" i="1"/>
  <c r="I2064" i="1"/>
  <c r="I2063" i="1"/>
  <c r="I2069" i="1"/>
  <c r="I2134" i="1"/>
  <c r="I2892" i="1"/>
  <c r="I3173" i="1"/>
  <c r="I3020" i="1"/>
  <c r="I3021" i="1"/>
  <c r="I3317" i="1"/>
  <c r="I3319" i="1"/>
  <c r="I3318" i="1"/>
  <c r="I3321" i="1"/>
  <c r="H3325" i="1"/>
  <c r="I3324" i="1"/>
  <c r="I3322" i="1"/>
  <c r="H3175" i="1"/>
  <c r="I3174" i="1"/>
  <c r="I3024" i="1"/>
  <c r="I3320" i="1"/>
  <c r="I2589" i="1"/>
  <c r="I2746" i="1"/>
  <c r="H2747" i="1"/>
  <c r="I2744" i="1"/>
  <c r="I2742" i="1"/>
  <c r="H2899" i="1"/>
  <c r="I2898" i="1"/>
  <c r="I2743" i="1"/>
  <c r="H2591" i="1"/>
  <c r="I2590" i="1"/>
  <c r="I2745" i="1"/>
  <c r="I2891" i="1"/>
  <c r="I2896" i="1"/>
  <c r="I2176" i="1"/>
  <c r="H2177" i="1"/>
  <c r="H2137" i="1"/>
  <c r="I2136" i="1"/>
  <c r="I2097" i="1"/>
  <c r="I2098" i="1"/>
  <c r="I2135" i="1"/>
  <c r="I2133" i="1"/>
  <c r="H2101" i="1"/>
  <c r="I2100" i="1"/>
  <c r="I2099" i="1"/>
  <c r="I1759" i="1"/>
  <c r="I2068" i="1"/>
  <c r="H2071" i="1"/>
  <c r="I2070" i="1"/>
  <c r="I2067" i="1"/>
  <c r="H1763" i="1"/>
  <c r="I1762" i="1"/>
  <c r="H1727" i="1"/>
  <c r="I1726" i="1"/>
  <c r="I1686" i="1"/>
  <c r="I1760" i="1"/>
  <c r="I1755" i="1"/>
  <c r="I1756" i="1"/>
  <c r="H1691" i="1"/>
  <c r="I1690" i="1"/>
  <c r="I1758" i="1"/>
  <c r="I1757" i="1"/>
  <c r="I2066" i="1"/>
  <c r="H1913" i="1"/>
  <c r="I1912" i="1"/>
  <c r="I1725" i="1"/>
  <c r="I1761" i="1"/>
  <c r="I1724" i="1"/>
  <c r="I1719" i="1"/>
  <c r="I1683" i="1"/>
  <c r="I1488" i="1"/>
  <c r="I1487" i="1"/>
  <c r="H1490" i="1"/>
  <c r="I1489" i="1"/>
  <c r="H1640" i="1"/>
  <c r="I1639" i="1"/>
  <c r="H1273" i="1"/>
  <c r="I1272" i="1"/>
  <c r="I1637" i="1"/>
  <c r="H883" i="1"/>
  <c r="I882" i="1"/>
  <c r="I1083" i="1"/>
  <c r="H1235" i="1"/>
  <c r="I1234" i="1"/>
  <c r="H847" i="1"/>
  <c r="I846" i="1"/>
  <c r="I1232" i="1"/>
  <c r="H927" i="1"/>
  <c r="I926" i="1"/>
  <c r="I1080" i="1"/>
  <c r="I1077" i="1"/>
  <c r="I1078" i="1"/>
  <c r="I1233" i="1"/>
  <c r="I1230" i="1"/>
  <c r="I1229" i="1"/>
  <c r="I919" i="1"/>
  <c r="I881" i="1"/>
  <c r="I1231" i="1"/>
  <c r="I1079" i="1"/>
  <c r="H1085" i="1"/>
  <c r="I1084" i="1"/>
  <c r="I388" i="1"/>
  <c r="I8" i="1"/>
  <c r="H9" i="1"/>
  <c r="I44" i="1"/>
  <c r="H45" i="1"/>
  <c r="I81" i="1"/>
  <c r="H82" i="1"/>
  <c r="I387" i="1"/>
  <c r="I389" i="1"/>
  <c r="H390" i="1"/>
  <c r="I43" i="1"/>
  <c r="H3838" i="1" l="1"/>
  <c r="I3838" i="1" s="1"/>
  <c r="I3837" i="1"/>
  <c r="H3758" i="1"/>
  <c r="I3757" i="1"/>
  <c r="H3608" i="1"/>
  <c r="I3607" i="1"/>
  <c r="H3454" i="1"/>
  <c r="I3453" i="1"/>
  <c r="H3379" i="1"/>
  <c r="I3378" i="1"/>
  <c r="H3027" i="1"/>
  <c r="I3026" i="1"/>
  <c r="H2990" i="1"/>
  <c r="I2989" i="1"/>
  <c r="H2952" i="1"/>
  <c r="I2951" i="1"/>
  <c r="H2580" i="1"/>
  <c r="I2579" i="1"/>
  <c r="H2356" i="1"/>
  <c r="I2356" i="1" s="1"/>
  <c r="I2355" i="1"/>
  <c r="H1356" i="1"/>
  <c r="I1355" i="1"/>
  <c r="H824" i="1"/>
  <c r="I823" i="1"/>
  <c r="H672" i="1"/>
  <c r="I671" i="1"/>
  <c r="H520" i="1"/>
  <c r="I519" i="1"/>
  <c r="H482" i="1"/>
  <c r="I481" i="1"/>
  <c r="H444" i="1"/>
  <c r="I443" i="1"/>
  <c r="I237" i="1"/>
  <c r="I238" i="1"/>
  <c r="H240" i="1"/>
  <c r="I240" i="1" s="1"/>
  <c r="H1305" i="1"/>
  <c r="I1304" i="1"/>
  <c r="H3326" i="1"/>
  <c r="I3325" i="1"/>
  <c r="H3176" i="1"/>
  <c r="H3177" i="1" s="1"/>
  <c r="I3175" i="1"/>
  <c r="H2592" i="1"/>
  <c r="I2591" i="1"/>
  <c r="H2748" i="1"/>
  <c r="I2747" i="1"/>
  <c r="H2900" i="1"/>
  <c r="I2899" i="1"/>
  <c r="H2102" i="1"/>
  <c r="I2101" i="1"/>
  <c r="H2138" i="1"/>
  <c r="I2137" i="1"/>
  <c r="H2178" i="1"/>
  <c r="I2177" i="1"/>
  <c r="H1764" i="1"/>
  <c r="I1763" i="1"/>
  <c r="H1728" i="1"/>
  <c r="I1727" i="1"/>
  <c r="H2072" i="1"/>
  <c r="I2071" i="1"/>
  <c r="H1692" i="1"/>
  <c r="I1691" i="1"/>
  <c r="H1914" i="1"/>
  <c r="I1913" i="1"/>
  <c r="H1491" i="1"/>
  <c r="I1490" i="1"/>
  <c r="H1641" i="1"/>
  <c r="I1640" i="1"/>
  <c r="H1274" i="1"/>
  <c r="I1273" i="1"/>
  <c r="H848" i="1"/>
  <c r="I847" i="1"/>
  <c r="H1086" i="1"/>
  <c r="H1087" i="1" s="1"/>
  <c r="I1085" i="1"/>
  <c r="H1236" i="1"/>
  <c r="I1235" i="1"/>
  <c r="H928" i="1"/>
  <c r="I927" i="1"/>
  <c r="H884" i="1"/>
  <c r="I883" i="1"/>
  <c r="I45" i="1"/>
  <c r="H46" i="1"/>
  <c r="H391" i="1"/>
  <c r="I390" i="1"/>
  <c r="I9" i="1"/>
  <c r="H10" i="1"/>
  <c r="H83" i="1"/>
  <c r="I82" i="1"/>
  <c r="H3759" i="1" l="1"/>
  <c r="I3758" i="1"/>
  <c r="I3608" i="1"/>
  <c r="H3609" i="1"/>
  <c r="H3455" i="1"/>
  <c r="I3454" i="1"/>
  <c r="I3379" i="1"/>
  <c r="H3380" i="1"/>
  <c r="H3178" i="1"/>
  <c r="I3177" i="1"/>
  <c r="H3028" i="1"/>
  <c r="I3027" i="1"/>
  <c r="H2991" i="1"/>
  <c r="I2990" i="1"/>
  <c r="H2953" i="1"/>
  <c r="I2952" i="1"/>
  <c r="H2581" i="1"/>
  <c r="I2580" i="1"/>
  <c r="H1357" i="1"/>
  <c r="I1356" i="1"/>
  <c r="H1088" i="1"/>
  <c r="I1087" i="1"/>
  <c r="H825" i="1"/>
  <c r="I824" i="1"/>
  <c r="H673" i="1"/>
  <c r="I672" i="1"/>
  <c r="H521" i="1"/>
  <c r="I520" i="1"/>
  <c r="H483" i="1"/>
  <c r="I482" i="1"/>
  <c r="H445" i="1"/>
  <c r="I444" i="1"/>
  <c r="H241" i="1"/>
  <c r="H242" i="1" s="1"/>
  <c r="H1306" i="1"/>
  <c r="I1305" i="1"/>
  <c r="I3176" i="1"/>
  <c r="H3327" i="1"/>
  <c r="I3326" i="1"/>
  <c r="H2749" i="1"/>
  <c r="I2748" i="1"/>
  <c r="H2593" i="1"/>
  <c r="I2592" i="1"/>
  <c r="H2901" i="1"/>
  <c r="I2900" i="1"/>
  <c r="H2139" i="1"/>
  <c r="I2138" i="1"/>
  <c r="H2179" i="1"/>
  <c r="I2178" i="1"/>
  <c r="H2103" i="1"/>
  <c r="I2102" i="1"/>
  <c r="H1693" i="1"/>
  <c r="I1692" i="1"/>
  <c r="H1729" i="1"/>
  <c r="I1728" i="1"/>
  <c r="H2073" i="1"/>
  <c r="I2072" i="1"/>
  <c r="H1915" i="1"/>
  <c r="I1914" i="1"/>
  <c r="H1765" i="1"/>
  <c r="I1764" i="1"/>
  <c r="H1275" i="1"/>
  <c r="I1274" i="1"/>
  <c r="H1642" i="1"/>
  <c r="I1641" i="1"/>
  <c r="H1492" i="1"/>
  <c r="I1491" i="1"/>
  <c r="I1086" i="1"/>
  <c r="H929" i="1"/>
  <c r="I928" i="1"/>
  <c r="H1237" i="1"/>
  <c r="I1236" i="1"/>
  <c r="H885" i="1"/>
  <c r="I884" i="1"/>
  <c r="H849" i="1"/>
  <c r="I848" i="1"/>
  <c r="H11" i="1"/>
  <c r="I10" i="1"/>
  <c r="H392" i="1"/>
  <c r="I391" i="1"/>
  <c r="H47" i="1"/>
  <c r="I46" i="1"/>
  <c r="H84" i="1"/>
  <c r="I83" i="1"/>
  <c r="H3760" i="1" l="1"/>
  <c r="I3759" i="1"/>
  <c r="H3610" i="1"/>
  <c r="I3610" i="1" s="1"/>
  <c r="I3609" i="1"/>
  <c r="H3456" i="1"/>
  <c r="I3455" i="1"/>
  <c r="H3381" i="1"/>
  <c r="I3380" i="1"/>
  <c r="H3179" i="1"/>
  <c r="I3178" i="1"/>
  <c r="H3029" i="1"/>
  <c r="I3028" i="1"/>
  <c r="H2992" i="1"/>
  <c r="I2991" i="1"/>
  <c r="H2954" i="1"/>
  <c r="I2953" i="1"/>
  <c r="H2582" i="1"/>
  <c r="I2581" i="1"/>
  <c r="H1358" i="1"/>
  <c r="I1357" i="1"/>
  <c r="H1089" i="1"/>
  <c r="I1088" i="1"/>
  <c r="H826" i="1"/>
  <c r="I825" i="1"/>
  <c r="H674" i="1"/>
  <c r="I673" i="1"/>
  <c r="H522" i="1"/>
  <c r="I521" i="1"/>
  <c r="H484" i="1"/>
  <c r="I483" i="1"/>
  <c r="H446" i="1"/>
  <c r="I445" i="1"/>
  <c r="I241" i="1"/>
  <c r="H1307" i="1"/>
  <c r="I1306" i="1"/>
  <c r="H3328" i="1"/>
  <c r="H3329" i="1" s="1"/>
  <c r="I3327" i="1"/>
  <c r="H2902" i="1"/>
  <c r="I2901" i="1"/>
  <c r="H2594" i="1"/>
  <c r="I2593" i="1"/>
  <c r="H2750" i="1"/>
  <c r="I2749" i="1"/>
  <c r="H2180" i="1"/>
  <c r="I2179" i="1"/>
  <c r="H2140" i="1"/>
  <c r="I2139" i="1"/>
  <c r="H2104" i="1"/>
  <c r="I2103" i="1"/>
  <c r="H1730" i="1"/>
  <c r="I1729" i="1"/>
  <c r="H2074" i="1"/>
  <c r="H2075" i="1" s="1"/>
  <c r="I2073" i="1"/>
  <c r="H1916" i="1"/>
  <c r="I1915" i="1"/>
  <c r="H1766" i="1"/>
  <c r="I1765" i="1"/>
  <c r="H1694" i="1"/>
  <c r="H1695" i="1" s="1"/>
  <c r="I1693" i="1"/>
  <c r="H1493" i="1"/>
  <c r="I1492" i="1"/>
  <c r="H1643" i="1"/>
  <c r="I1642" i="1"/>
  <c r="H1276" i="1"/>
  <c r="H1277" i="1" s="1"/>
  <c r="I1275" i="1"/>
  <c r="H886" i="1"/>
  <c r="I885" i="1"/>
  <c r="H1238" i="1"/>
  <c r="H1239" i="1" s="1"/>
  <c r="I1237" i="1"/>
  <c r="H930" i="1"/>
  <c r="I929" i="1"/>
  <c r="H850" i="1"/>
  <c r="I849" i="1"/>
  <c r="H393" i="1"/>
  <c r="I392" i="1"/>
  <c r="H48" i="1"/>
  <c r="I47" i="1"/>
  <c r="H243" i="1"/>
  <c r="I242" i="1"/>
  <c r="H85" i="1"/>
  <c r="I84" i="1"/>
  <c r="H12" i="1"/>
  <c r="I11" i="1"/>
  <c r="H3761" i="1" l="1"/>
  <c r="I3760" i="1"/>
  <c r="H3457" i="1"/>
  <c r="I3456" i="1"/>
  <c r="I3381" i="1"/>
  <c r="H3382" i="1"/>
  <c r="I3382" i="1" s="1"/>
  <c r="H3330" i="1"/>
  <c r="I3329" i="1"/>
  <c r="H3180" i="1"/>
  <c r="I3179" i="1"/>
  <c r="H3030" i="1"/>
  <c r="I3029" i="1"/>
  <c r="H2993" i="1"/>
  <c r="I2992" i="1"/>
  <c r="H2955" i="1"/>
  <c r="I2954" i="1"/>
  <c r="H2583" i="1"/>
  <c r="I2582" i="1"/>
  <c r="H2076" i="1"/>
  <c r="I2075" i="1"/>
  <c r="H1696" i="1"/>
  <c r="I1695" i="1"/>
  <c r="I1358" i="1"/>
  <c r="H1359" i="1"/>
  <c r="H1278" i="1"/>
  <c r="I1277" i="1"/>
  <c r="H1240" i="1"/>
  <c r="I1239" i="1"/>
  <c r="H1090" i="1"/>
  <c r="I1089" i="1"/>
  <c r="H827" i="1"/>
  <c r="I826" i="1"/>
  <c r="H675" i="1"/>
  <c r="I674" i="1"/>
  <c r="H523" i="1"/>
  <c r="I522" i="1"/>
  <c r="H485" i="1"/>
  <c r="I484" i="1"/>
  <c r="H447" i="1"/>
  <c r="I446" i="1"/>
  <c r="H1308" i="1"/>
  <c r="I1307" i="1"/>
  <c r="I3328" i="1"/>
  <c r="H2595" i="1"/>
  <c r="I2594" i="1"/>
  <c r="H2751" i="1"/>
  <c r="I2750" i="1"/>
  <c r="H2903" i="1"/>
  <c r="I2902" i="1"/>
  <c r="I2104" i="1"/>
  <c r="H2105" i="1"/>
  <c r="I2140" i="1"/>
  <c r="H2141" i="1"/>
  <c r="H2181" i="1"/>
  <c r="I2180" i="1"/>
  <c r="H1767" i="1"/>
  <c r="I1766" i="1"/>
  <c r="H1917" i="1"/>
  <c r="I1916" i="1"/>
  <c r="I2074" i="1"/>
  <c r="I1694" i="1"/>
  <c r="H1731" i="1"/>
  <c r="I1730" i="1"/>
  <c r="I1276" i="1"/>
  <c r="H1644" i="1"/>
  <c r="I1643" i="1"/>
  <c r="H1494" i="1"/>
  <c r="I1493" i="1"/>
  <c r="H851" i="1"/>
  <c r="I850" i="1"/>
  <c r="H931" i="1"/>
  <c r="I930" i="1"/>
  <c r="I1238" i="1"/>
  <c r="H887" i="1"/>
  <c r="I886" i="1"/>
  <c r="H394" i="1"/>
  <c r="I393" i="1"/>
  <c r="H86" i="1"/>
  <c r="I85" i="1"/>
  <c r="H13" i="1"/>
  <c r="I12" i="1"/>
  <c r="H49" i="1"/>
  <c r="I48" i="1"/>
  <c r="H244" i="1"/>
  <c r="I243" i="1"/>
  <c r="H3762" i="1" l="1"/>
  <c r="I3762" i="1" s="1"/>
  <c r="I3761" i="1"/>
  <c r="H3458" i="1"/>
  <c r="I3458" i="1" s="1"/>
  <c r="I3457" i="1"/>
  <c r="H3331" i="1"/>
  <c r="I3330" i="1"/>
  <c r="H3181" i="1"/>
  <c r="I3180" i="1"/>
  <c r="I3030" i="1"/>
  <c r="H3031" i="1"/>
  <c r="H2994" i="1"/>
  <c r="I2993" i="1"/>
  <c r="H2956" i="1"/>
  <c r="I2955" i="1"/>
  <c r="H2584" i="1"/>
  <c r="I2584" i="1" s="1"/>
  <c r="I2583" i="1"/>
  <c r="H2077" i="1"/>
  <c r="I2076" i="1"/>
  <c r="H1697" i="1"/>
  <c r="I1696" i="1"/>
  <c r="I1359" i="1"/>
  <c r="H1360" i="1"/>
  <c r="H1279" i="1"/>
  <c r="I1278" i="1"/>
  <c r="H1241" i="1"/>
  <c r="I1240" i="1"/>
  <c r="H1091" i="1"/>
  <c r="I1090" i="1"/>
  <c r="H828" i="1"/>
  <c r="I827" i="1"/>
  <c r="H676" i="1"/>
  <c r="I675" i="1"/>
  <c r="H524" i="1"/>
  <c r="I523" i="1"/>
  <c r="H486" i="1"/>
  <c r="I485" i="1"/>
  <c r="H448" i="1"/>
  <c r="I447" i="1"/>
  <c r="H1309" i="1"/>
  <c r="I1308" i="1"/>
  <c r="H2752" i="1"/>
  <c r="I2751" i="1"/>
  <c r="H2596" i="1"/>
  <c r="I2595" i="1"/>
  <c r="H2904" i="1"/>
  <c r="I2903" i="1"/>
  <c r="H2142" i="1"/>
  <c r="I2141" i="1"/>
  <c r="H2106" i="1"/>
  <c r="I2105" i="1"/>
  <c r="H2182" i="1"/>
  <c r="I2181" i="1"/>
  <c r="H1918" i="1"/>
  <c r="I1917" i="1"/>
  <c r="H1732" i="1"/>
  <c r="H1733" i="1" s="1"/>
  <c r="I1731" i="1"/>
  <c r="H1768" i="1"/>
  <c r="I1767" i="1"/>
  <c r="H1645" i="1"/>
  <c r="I1644" i="1"/>
  <c r="H1495" i="1"/>
  <c r="I1494" i="1"/>
  <c r="H888" i="1"/>
  <c r="I887" i="1"/>
  <c r="H932" i="1"/>
  <c r="I931" i="1"/>
  <c r="H852" i="1"/>
  <c r="I851" i="1"/>
  <c r="H50" i="1"/>
  <c r="I49" i="1"/>
  <c r="I86" i="1"/>
  <c r="H87" i="1"/>
  <c r="H14" i="1"/>
  <c r="I13" i="1"/>
  <c r="I244" i="1"/>
  <c r="H245" i="1"/>
  <c r="I394" i="1"/>
  <c r="H395" i="1"/>
  <c r="H3332" i="1" l="1"/>
  <c r="I3331" i="1"/>
  <c r="H3182" i="1"/>
  <c r="I3181" i="1"/>
  <c r="H3032" i="1"/>
  <c r="I3031" i="1"/>
  <c r="H2995" i="1"/>
  <c r="I2994" i="1"/>
  <c r="H2957" i="1"/>
  <c r="I2956" i="1"/>
  <c r="H2078" i="1"/>
  <c r="I2077" i="1"/>
  <c r="H1734" i="1"/>
  <c r="I1733" i="1"/>
  <c r="H1698" i="1"/>
  <c r="I1697" i="1"/>
  <c r="I1360" i="1"/>
  <c r="H1361" i="1"/>
  <c r="H1280" i="1"/>
  <c r="I1279" i="1"/>
  <c r="H1242" i="1"/>
  <c r="I1241" i="1"/>
  <c r="H1092" i="1"/>
  <c r="I1091" i="1"/>
  <c r="H829" i="1"/>
  <c r="I828" i="1"/>
  <c r="H677" i="1"/>
  <c r="I676" i="1"/>
  <c r="I524" i="1"/>
  <c r="H525" i="1"/>
  <c r="H487" i="1"/>
  <c r="I486" i="1"/>
  <c r="H449" i="1"/>
  <c r="I448" i="1"/>
  <c r="H1310" i="1"/>
  <c r="I1309" i="1"/>
  <c r="H2905" i="1"/>
  <c r="I2904" i="1"/>
  <c r="I2596" i="1"/>
  <c r="H2597" i="1"/>
  <c r="H2753" i="1"/>
  <c r="I2752" i="1"/>
  <c r="H2107" i="1"/>
  <c r="I2106" i="1"/>
  <c r="H2143" i="1"/>
  <c r="I2142" i="1"/>
  <c r="H2183" i="1"/>
  <c r="I2182" i="1"/>
  <c r="I1732" i="1"/>
  <c r="H1919" i="1"/>
  <c r="I1918" i="1"/>
  <c r="H1769" i="1"/>
  <c r="I1768" i="1"/>
  <c r="H1496" i="1"/>
  <c r="I1495" i="1"/>
  <c r="H1646" i="1"/>
  <c r="I1645" i="1"/>
  <c r="I852" i="1"/>
  <c r="H853" i="1"/>
  <c r="H933" i="1"/>
  <c r="I932" i="1"/>
  <c r="I888" i="1"/>
  <c r="H889" i="1"/>
  <c r="H246" i="1"/>
  <c r="I245" i="1"/>
  <c r="H88" i="1"/>
  <c r="I87" i="1"/>
  <c r="H396" i="1"/>
  <c r="I395" i="1"/>
  <c r="I14" i="1"/>
  <c r="H15" i="1"/>
  <c r="I50" i="1"/>
  <c r="H51" i="1"/>
  <c r="H3333" i="1" l="1"/>
  <c r="I3332" i="1"/>
  <c r="H3183" i="1"/>
  <c r="I3182" i="1"/>
  <c r="H3033" i="1"/>
  <c r="I3032" i="1"/>
  <c r="H2996" i="1"/>
  <c r="I2995" i="1"/>
  <c r="H2958" i="1"/>
  <c r="I2957" i="1"/>
  <c r="H2079" i="1"/>
  <c r="I2078" i="1"/>
  <c r="H1735" i="1"/>
  <c r="I1734" i="1"/>
  <c r="H1699" i="1"/>
  <c r="I1698" i="1"/>
  <c r="I1361" i="1"/>
  <c r="H1362" i="1"/>
  <c r="I1280" i="1"/>
  <c r="H1281" i="1"/>
  <c r="H1243" i="1"/>
  <c r="I1242" i="1"/>
  <c r="H1093" i="1"/>
  <c r="I1092" i="1"/>
  <c r="H830" i="1"/>
  <c r="I829" i="1"/>
  <c r="H678" i="1"/>
  <c r="I677" i="1"/>
  <c r="H526" i="1"/>
  <c r="I525" i="1"/>
  <c r="H488" i="1"/>
  <c r="I487" i="1"/>
  <c r="H450" i="1"/>
  <c r="I449" i="1"/>
  <c r="H1311" i="1"/>
  <c r="I1310" i="1"/>
  <c r="H2598" i="1"/>
  <c r="I2597" i="1"/>
  <c r="H2754" i="1"/>
  <c r="I2753" i="1"/>
  <c r="H2906" i="1"/>
  <c r="I2905" i="1"/>
  <c r="H2184" i="1"/>
  <c r="I2183" i="1"/>
  <c r="H2144" i="1"/>
  <c r="I2143" i="1"/>
  <c r="H2108" i="1"/>
  <c r="I2107" i="1"/>
  <c r="H1770" i="1"/>
  <c r="H1771" i="1" s="1"/>
  <c r="I1769" i="1"/>
  <c r="H1920" i="1"/>
  <c r="I1919" i="1"/>
  <c r="H1647" i="1"/>
  <c r="I1646" i="1"/>
  <c r="H1497" i="1"/>
  <c r="I1496" i="1"/>
  <c r="H890" i="1"/>
  <c r="I889" i="1"/>
  <c r="H934" i="1"/>
  <c r="H935" i="1" s="1"/>
  <c r="I933" i="1"/>
  <c r="H854" i="1"/>
  <c r="I853" i="1"/>
  <c r="H16" i="1"/>
  <c r="I15" i="1"/>
  <c r="I88" i="1"/>
  <c r="H89" i="1"/>
  <c r="H397" i="1"/>
  <c r="I396" i="1"/>
  <c r="H52" i="1"/>
  <c r="I51" i="1"/>
  <c r="H247" i="1"/>
  <c r="I246" i="1"/>
  <c r="H3334" i="1" l="1"/>
  <c r="I3333" i="1"/>
  <c r="H3184" i="1"/>
  <c r="I3183" i="1"/>
  <c r="H3034" i="1"/>
  <c r="I3033" i="1"/>
  <c r="H2997" i="1"/>
  <c r="I2996" i="1"/>
  <c r="H2959" i="1"/>
  <c r="I2958" i="1"/>
  <c r="H2080" i="1"/>
  <c r="I2079" i="1"/>
  <c r="H1772" i="1"/>
  <c r="I1771" i="1"/>
  <c r="H1736" i="1"/>
  <c r="I1735" i="1"/>
  <c r="H1700" i="1"/>
  <c r="I1699" i="1"/>
  <c r="H1363" i="1"/>
  <c r="I1362" i="1"/>
  <c r="H1282" i="1"/>
  <c r="I1281" i="1"/>
  <c r="H1244" i="1"/>
  <c r="I1243" i="1"/>
  <c r="H1094" i="1"/>
  <c r="I1093" i="1"/>
  <c r="H936" i="1"/>
  <c r="I935" i="1"/>
  <c r="H831" i="1"/>
  <c r="I830" i="1"/>
  <c r="H679" i="1"/>
  <c r="I678" i="1"/>
  <c r="I526" i="1"/>
  <c r="H527" i="1"/>
  <c r="H489" i="1"/>
  <c r="I488" i="1"/>
  <c r="H451" i="1"/>
  <c r="I450" i="1"/>
  <c r="H1312" i="1"/>
  <c r="I1311" i="1"/>
  <c r="I2754" i="1"/>
  <c r="H2755" i="1"/>
  <c r="H2907" i="1"/>
  <c r="I2906" i="1"/>
  <c r="I2598" i="1"/>
  <c r="H2599" i="1"/>
  <c r="H2145" i="1"/>
  <c r="I2144" i="1"/>
  <c r="H2109" i="1"/>
  <c r="I2108" i="1"/>
  <c r="I2184" i="1"/>
  <c r="H2185" i="1"/>
  <c r="H1921" i="1"/>
  <c r="I1920" i="1"/>
  <c r="I1770" i="1"/>
  <c r="H1498" i="1"/>
  <c r="I1497" i="1"/>
  <c r="H1648" i="1"/>
  <c r="I1647" i="1"/>
  <c r="H855" i="1"/>
  <c r="I854" i="1"/>
  <c r="I934" i="1"/>
  <c r="H891" i="1"/>
  <c r="I890" i="1"/>
  <c r="I52" i="1"/>
  <c r="H53" i="1"/>
  <c r="I89" i="1"/>
  <c r="H90" i="1"/>
  <c r="I397" i="1"/>
  <c r="H398" i="1"/>
  <c r="I247" i="1"/>
  <c r="H248" i="1"/>
  <c r="I16" i="1"/>
  <c r="H17" i="1"/>
  <c r="H3335" i="1" l="1"/>
  <c r="I3334" i="1"/>
  <c r="I3184" i="1"/>
  <c r="H3185" i="1"/>
  <c r="H3035" i="1"/>
  <c r="I3034" i="1"/>
  <c r="H2998" i="1"/>
  <c r="I2997" i="1"/>
  <c r="H2960" i="1"/>
  <c r="I2959" i="1"/>
  <c r="H2081" i="1"/>
  <c r="I2080" i="1"/>
  <c r="H1773" i="1"/>
  <c r="I1772" i="1"/>
  <c r="H1737" i="1"/>
  <c r="I1736" i="1"/>
  <c r="H1701" i="1"/>
  <c r="I1700" i="1"/>
  <c r="H1364" i="1"/>
  <c r="I1363" i="1"/>
  <c r="H1283" i="1"/>
  <c r="I1282" i="1"/>
  <c r="H1245" i="1"/>
  <c r="I1244" i="1"/>
  <c r="H1095" i="1"/>
  <c r="I1094" i="1"/>
  <c r="H937" i="1"/>
  <c r="I936" i="1"/>
  <c r="H832" i="1"/>
  <c r="I831" i="1"/>
  <c r="H680" i="1"/>
  <c r="I679" i="1"/>
  <c r="H528" i="1"/>
  <c r="I527" i="1"/>
  <c r="H490" i="1"/>
  <c r="I489" i="1"/>
  <c r="H452" i="1"/>
  <c r="I451" i="1"/>
  <c r="H1313" i="1"/>
  <c r="I1312" i="1"/>
  <c r="H2908" i="1"/>
  <c r="I2907" i="1"/>
  <c r="H2756" i="1"/>
  <c r="I2755" i="1"/>
  <c r="H2600" i="1"/>
  <c r="I2599" i="1"/>
  <c r="H2110" i="1"/>
  <c r="I2109" i="1"/>
  <c r="H2146" i="1"/>
  <c r="I2145" i="1"/>
  <c r="H2186" i="1"/>
  <c r="I2185" i="1"/>
  <c r="H1922" i="1"/>
  <c r="H1923" i="1" s="1"/>
  <c r="I1921" i="1"/>
  <c r="H1649" i="1"/>
  <c r="I1648" i="1"/>
  <c r="H1499" i="1"/>
  <c r="I1498" i="1"/>
  <c r="H892" i="1"/>
  <c r="I891" i="1"/>
  <c r="H856" i="1"/>
  <c r="I855" i="1"/>
  <c r="H249" i="1"/>
  <c r="I248" i="1"/>
  <c r="H399" i="1"/>
  <c r="I398" i="1"/>
  <c r="H91" i="1"/>
  <c r="I90" i="1"/>
  <c r="I17" i="1"/>
  <c r="H18" i="1"/>
  <c r="I53" i="1"/>
  <c r="H54" i="1"/>
  <c r="H3336" i="1" l="1"/>
  <c r="I3335" i="1"/>
  <c r="H3186" i="1"/>
  <c r="I3185" i="1"/>
  <c r="H3036" i="1"/>
  <c r="I3035" i="1"/>
  <c r="H2999" i="1"/>
  <c r="I2998" i="1"/>
  <c r="H2961" i="1"/>
  <c r="I2960" i="1"/>
  <c r="H2082" i="1"/>
  <c r="I2081" i="1"/>
  <c r="H1924" i="1"/>
  <c r="I1923" i="1"/>
  <c r="H1774" i="1"/>
  <c r="I1773" i="1"/>
  <c r="H1738" i="1"/>
  <c r="I1737" i="1"/>
  <c r="H1702" i="1"/>
  <c r="I1701" i="1"/>
  <c r="I1364" i="1"/>
  <c r="H1365" i="1"/>
  <c r="I1283" i="1"/>
  <c r="H1284" i="1"/>
  <c r="I1245" i="1"/>
  <c r="H1246" i="1"/>
  <c r="H1096" i="1"/>
  <c r="I1095" i="1"/>
  <c r="H938" i="1"/>
  <c r="I937" i="1"/>
  <c r="H833" i="1"/>
  <c r="I832" i="1"/>
  <c r="H681" i="1"/>
  <c r="I680" i="1"/>
  <c r="I528" i="1"/>
  <c r="H529" i="1"/>
  <c r="H491" i="1"/>
  <c r="I490" i="1"/>
  <c r="H453" i="1"/>
  <c r="I452" i="1"/>
  <c r="H1314" i="1"/>
  <c r="H1315" i="1" s="1"/>
  <c r="I1313" i="1"/>
  <c r="H2757" i="1"/>
  <c r="I2756" i="1"/>
  <c r="H2601" i="1"/>
  <c r="I2600" i="1"/>
  <c r="H2909" i="1"/>
  <c r="I2908" i="1"/>
  <c r="H2187" i="1"/>
  <c r="I2186" i="1"/>
  <c r="H2147" i="1"/>
  <c r="I2146" i="1"/>
  <c r="H2111" i="1"/>
  <c r="I2110" i="1"/>
  <c r="I1922" i="1"/>
  <c r="H1500" i="1"/>
  <c r="I1499" i="1"/>
  <c r="H1650" i="1"/>
  <c r="I1649" i="1"/>
  <c r="H857" i="1"/>
  <c r="I856" i="1"/>
  <c r="H893" i="1"/>
  <c r="I892" i="1"/>
  <c r="H19" i="1"/>
  <c r="I18" i="1"/>
  <c r="H92" i="1"/>
  <c r="I91" i="1"/>
  <c r="H400" i="1"/>
  <c r="I399" i="1"/>
  <c r="H55" i="1"/>
  <c r="I54" i="1"/>
  <c r="H250" i="1"/>
  <c r="H251" i="1" s="1"/>
  <c r="I249" i="1"/>
  <c r="H3337" i="1" l="1"/>
  <c r="I3336" i="1"/>
  <c r="I3186" i="1"/>
  <c r="H3187" i="1"/>
  <c r="I3036" i="1"/>
  <c r="H3037" i="1"/>
  <c r="H3000" i="1"/>
  <c r="I2999" i="1"/>
  <c r="H2962" i="1"/>
  <c r="I2961" i="1"/>
  <c r="H2083" i="1"/>
  <c r="I2082" i="1"/>
  <c r="H1925" i="1"/>
  <c r="I1924" i="1"/>
  <c r="H1775" i="1"/>
  <c r="I1774" i="1"/>
  <c r="H1739" i="1"/>
  <c r="I1738" i="1"/>
  <c r="H1703" i="1"/>
  <c r="I1702" i="1"/>
  <c r="H1366" i="1"/>
  <c r="I1365" i="1"/>
  <c r="H1316" i="1"/>
  <c r="I1315" i="1"/>
  <c r="H1285" i="1"/>
  <c r="I1284" i="1"/>
  <c r="I1246" i="1"/>
  <c r="H1247" i="1"/>
  <c r="H1097" i="1"/>
  <c r="I1096" i="1"/>
  <c r="H939" i="1"/>
  <c r="I938" i="1"/>
  <c r="H834" i="1"/>
  <c r="I833" i="1"/>
  <c r="H682" i="1"/>
  <c r="I681" i="1"/>
  <c r="H530" i="1"/>
  <c r="I529" i="1"/>
  <c r="H492" i="1"/>
  <c r="I491" i="1"/>
  <c r="H454" i="1"/>
  <c r="I453" i="1"/>
  <c r="H252" i="1"/>
  <c r="I251" i="1"/>
  <c r="I1314" i="1"/>
  <c r="H2602" i="1"/>
  <c r="I2601" i="1"/>
  <c r="H2910" i="1"/>
  <c r="H2911" i="1" s="1"/>
  <c r="I2909" i="1"/>
  <c r="H2758" i="1"/>
  <c r="H2759" i="1" s="1"/>
  <c r="I2757" i="1"/>
  <c r="H2148" i="1"/>
  <c r="I2147" i="1"/>
  <c r="H2112" i="1"/>
  <c r="H2113" i="1" s="1"/>
  <c r="I2111" i="1"/>
  <c r="H2188" i="1"/>
  <c r="H2189" i="1" s="1"/>
  <c r="I2187" i="1"/>
  <c r="H1651" i="1"/>
  <c r="I1650" i="1"/>
  <c r="H1501" i="1"/>
  <c r="I1500" i="1"/>
  <c r="H894" i="1"/>
  <c r="I893" i="1"/>
  <c r="H858" i="1"/>
  <c r="H859" i="1" s="1"/>
  <c r="I857" i="1"/>
  <c r="H56" i="1"/>
  <c r="I55" i="1"/>
  <c r="H401" i="1"/>
  <c r="I400" i="1"/>
  <c r="H93" i="1"/>
  <c r="I92" i="1"/>
  <c r="I250" i="1"/>
  <c r="H20" i="1"/>
  <c r="I19" i="1"/>
  <c r="H3338" i="1" l="1"/>
  <c r="I3337" i="1"/>
  <c r="H3188" i="1"/>
  <c r="I3187" i="1"/>
  <c r="H3038" i="1"/>
  <c r="I3037" i="1"/>
  <c r="H3001" i="1"/>
  <c r="I3000" i="1"/>
  <c r="H2963" i="1"/>
  <c r="I2962" i="1"/>
  <c r="H2912" i="1"/>
  <c r="I2911" i="1"/>
  <c r="H2760" i="1"/>
  <c r="I2759" i="1"/>
  <c r="H2190" i="1"/>
  <c r="I2189" i="1"/>
  <c r="H2114" i="1"/>
  <c r="I2113" i="1"/>
  <c r="H2084" i="1"/>
  <c r="I2083" i="1"/>
  <c r="H1926" i="1"/>
  <c r="I1925" i="1"/>
  <c r="H1776" i="1"/>
  <c r="I1775" i="1"/>
  <c r="H1740" i="1"/>
  <c r="I1739" i="1"/>
  <c r="H1704" i="1"/>
  <c r="I1703" i="1"/>
  <c r="I1366" i="1"/>
  <c r="H1367" i="1"/>
  <c r="H1317" i="1"/>
  <c r="I1316" i="1"/>
  <c r="H1286" i="1"/>
  <c r="I1285" i="1"/>
  <c r="H1248" i="1"/>
  <c r="I1247" i="1"/>
  <c r="H1098" i="1"/>
  <c r="I1097" i="1"/>
  <c r="H940" i="1"/>
  <c r="I939" i="1"/>
  <c r="H860" i="1"/>
  <c r="I859" i="1"/>
  <c r="H835" i="1"/>
  <c r="I834" i="1"/>
  <c r="H683" i="1"/>
  <c r="I682" i="1"/>
  <c r="I530" i="1"/>
  <c r="H531" i="1"/>
  <c r="H493" i="1"/>
  <c r="I492" i="1"/>
  <c r="H455" i="1"/>
  <c r="I454" i="1"/>
  <c r="H253" i="1"/>
  <c r="I252" i="1"/>
  <c r="I2910" i="1"/>
  <c r="H2603" i="1"/>
  <c r="I2602" i="1"/>
  <c r="I2758" i="1"/>
  <c r="I2112" i="1"/>
  <c r="I2148" i="1"/>
  <c r="H2149" i="1"/>
  <c r="I2188" i="1"/>
  <c r="H1502" i="1"/>
  <c r="I1501" i="1"/>
  <c r="H1652" i="1"/>
  <c r="I1651" i="1"/>
  <c r="I858" i="1"/>
  <c r="H895" i="1"/>
  <c r="I894" i="1"/>
  <c r="H94" i="1"/>
  <c r="I93" i="1"/>
  <c r="H402" i="1"/>
  <c r="H403" i="1" s="1"/>
  <c r="I401" i="1"/>
  <c r="H21" i="1"/>
  <c r="I20" i="1"/>
  <c r="H57" i="1"/>
  <c r="I56" i="1"/>
  <c r="H3339" i="1" l="1"/>
  <c r="I3338" i="1"/>
  <c r="I3188" i="1"/>
  <c r="H3189" i="1"/>
  <c r="I3038" i="1"/>
  <c r="H3039" i="1"/>
  <c r="H3002" i="1"/>
  <c r="I3002" i="1" s="1"/>
  <c r="I3001" i="1"/>
  <c r="H2964" i="1"/>
  <c r="I2964" i="1" s="1"/>
  <c r="I2963" i="1"/>
  <c r="H2913" i="1"/>
  <c r="I2912" i="1"/>
  <c r="I2760" i="1"/>
  <c r="H2761" i="1"/>
  <c r="H2191" i="1"/>
  <c r="I2190" i="1"/>
  <c r="I2114" i="1"/>
  <c r="H2115" i="1"/>
  <c r="H2085" i="1"/>
  <c r="I2084" i="1"/>
  <c r="H1927" i="1"/>
  <c r="I1926" i="1"/>
  <c r="I1776" i="1"/>
  <c r="H1777" i="1"/>
  <c r="H1741" i="1"/>
  <c r="I1740" i="1"/>
  <c r="H1705" i="1"/>
  <c r="I1704" i="1"/>
  <c r="H1368" i="1"/>
  <c r="I1368" i="1" s="1"/>
  <c r="I1367" i="1"/>
  <c r="H1318" i="1"/>
  <c r="I1317" i="1"/>
  <c r="I1286" i="1"/>
  <c r="H1287" i="1"/>
  <c r="H1249" i="1"/>
  <c r="I1248" i="1"/>
  <c r="H1099" i="1"/>
  <c r="I1098" i="1"/>
  <c r="H941" i="1"/>
  <c r="I940" i="1"/>
  <c r="H861" i="1"/>
  <c r="I860" i="1"/>
  <c r="H836" i="1"/>
  <c r="I836" i="1" s="1"/>
  <c r="I835" i="1"/>
  <c r="H684" i="1"/>
  <c r="I684" i="1" s="1"/>
  <c r="I683" i="1"/>
  <c r="H532" i="1"/>
  <c r="I532" i="1" s="1"/>
  <c r="I531" i="1"/>
  <c r="H494" i="1"/>
  <c r="I494" i="1" s="1"/>
  <c r="I493" i="1"/>
  <c r="H456" i="1"/>
  <c r="I456" i="1" s="1"/>
  <c r="I455" i="1"/>
  <c r="H404" i="1"/>
  <c r="I403" i="1"/>
  <c r="H254" i="1"/>
  <c r="I253" i="1"/>
  <c r="H2604" i="1"/>
  <c r="I2603" i="1"/>
  <c r="H2150" i="1"/>
  <c r="H2151" i="1" s="1"/>
  <c r="I2149" i="1"/>
  <c r="H1653" i="1"/>
  <c r="I1652" i="1"/>
  <c r="H1503" i="1"/>
  <c r="I1502" i="1"/>
  <c r="H896" i="1"/>
  <c r="H897" i="1" s="1"/>
  <c r="I895" i="1"/>
  <c r="H22" i="1"/>
  <c r="I21" i="1"/>
  <c r="I402" i="1"/>
  <c r="I94" i="1"/>
  <c r="H95" i="1"/>
  <c r="H58" i="1"/>
  <c r="I57" i="1"/>
  <c r="H3340" i="1" l="1"/>
  <c r="I3339" i="1"/>
  <c r="H3190" i="1"/>
  <c r="I3189" i="1"/>
  <c r="H3040" i="1"/>
  <c r="I3040" i="1" s="1"/>
  <c r="I3039" i="1"/>
  <c r="H2914" i="1"/>
  <c r="I2913" i="1"/>
  <c r="H2762" i="1"/>
  <c r="I2761" i="1"/>
  <c r="H2192" i="1"/>
  <c r="I2191" i="1"/>
  <c r="H2152" i="1"/>
  <c r="I2151" i="1"/>
  <c r="H2116" i="1"/>
  <c r="I2115" i="1"/>
  <c r="H2086" i="1"/>
  <c r="I2085" i="1"/>
  <c r="H1928" i="1"/>
  <c r="I1927" i="1"/>
  <c r="I1777" i="1"/>
  <c r="H1778" i="1"/>
  <c r="H1742" i="1"/>
  <c r="I1741" i="1"/>
  <c r="H1706" i="1"/>
  <c r="I1705" i="1"/>
  <c r="H1319" i="1"/>
  <c r="I1318" i="1"/>
  <c r="H1288" i="1"/>
  <c r="I1287" i="1"/>
  <c r="H1250" i="1"/>
  <c r="I1249" i="1"/>
  <c r="H1100" i="1"/>
  <c r="I1099" i="1"/>
  <c r="H942" i="1"/>
  <c r="I941" i="1"/>
  <c r="H898" i="1"/>
  <c r="I897" i="1"/>
  <c r="H862" i="1"/>
  <c r="I861" i="1"/>
  <c r="H405" i="1"/>
  <c r="I404" i="1"/>
  <c r="H255" i="1"/>
  <c r="I254" i="1"/>
  <c r="I2604" i="1"/>
  <c r="H2605" i="1"/>
  <c r="I2150" i="1"/>
  <c r="H1504" i="1"/>
  <c r="H1505" i="1" s="1"/>
  <c r="I1503" i="1"/>
  <c r="H1654" i="1"/>
  <c r="I1653" i="1"/>
  <c r="I896" i="1"/>
  <c r="I58" i="1"/>
  <c r="H59" i="1"/>
  <c r="H96" i="1"/>
  <c r="I95" i="1"/>
  <c r="I22" i="1"/>
  <c r="H23" i="1"/>
  <c r="H3341" i="1" l="1"/>
  <c r="I3340" i="1"/>
  <c r="I3190" i="1"/>
  <c r="H3191" i="1"/>
  <c r="H2915" i="1"/>
  <c r="I2914" i="1"/>
  <c r="H2763" i="1"/>
  <c r="I2762" i="1"/>
  <c r="H2193" i="1"/>
  <c r="I2192" i="1"/>
  <c r="H2153" i="1"/>
  <c r="I2152" i="1"/>
  <c r="I2116" i="1"/>
  <c r="H2117" i="1"/>
  <c r="I2086" i="1"/>
  <c r="H2087" i="1"/>
  <c r="H1929" i="1"/>
  <c r="I1928" i="1"/>
  <c r="H1779" i="1"/>
  <c r="I1778" i="1"/>
  <c r="H1743" i="1"/>
  <c r="I1742" i="1"/>
  <c r="H1707" i="1"/>
  <c r="I1706" i="1"/>
  <c r="H1506" i="1"/>
  <c r="I1505" i="1"/>
  <c r="H1320" i="1"/>
  <c r="I1319" i="1"/>
  <c r="I1288" i="1"/>
  <c r="H1289" i="1"/>
  <c r="I1250" i="1"/>
  <c r="H1251" i="1"/>
  <c r="H1101" i="1"/>
  <c r="I1100" i="1"/>
  <c r="I942" i="1"/>
  <c r="H943" i="1"/>
  <c r="H899" i="1"/>
  <c r="I898" i="1"/>
  <c r="I862" i="1"/>
  <c r="H863" i="1"/>
  <c r="H406" i="1"/>
  <c r="I405" i="1"/>
  <c r="H256" i="1"/>
  <c r="I255" i="1"/>
  <c r="H2606" i="1"/>
  <c r="H2607" i="1" s="1"/>
  <c r="I2605" i="1"/>
  <c r="H1655" i="1"/>
  <c r="I1654" i="1"/>
  <c r="I1504" i="1"/>
  <c r="H24" i="1"/>
  <c r="I23" i="1"/>
  <c r="H60" i="1"/>
  <c r="I59" i="1"/>
  <c r="H97" i="1"/>
  <c r="I96" i="1"/>
  <c r="I24" i="1" l="1"/>
  <c r="H25" i="1"/>
  <c r="H3342" i="1"/>
  <c r="I3341" i="1"/>
  <c r="H3192" i="1"/>
  <c r="I3192" i="1" s="1"/>
  <c r="I3191" i="1"/>
  <c r="H2916" i="1"/>
  <c r="I2915" i="1"/>
  <c r="H2764" i="1"/>
  <c r="I2763" i="1"/>
  <c r="H2608" i="1"/>
  <c r="I2607" i="1"/>
  <c r="H2194" i="1"/>
  <c r="I2193" i="1"/>
  <c r="H2154" i="1"/>
  <c r="I2153" i="1"/>
  <c r="H2118" i="1"/>
  <c r="I2117" i="1"/>
  <c r="I2087" i="1"/>
  <c r="H2088" i="1"/>
  <c r="H1930" i="1"/>
  <c r="I1929" i="1"/>
  <c r="H1780" i="1"/>
  <c r="I1779" i="1"/>
  <c r="H1744" i="1"/>
  <c r="I1743" i="1"/>
  <c r="H1708" i="1"/>
  <c r="I1707" i="1"/>
  <c r="H1507" i="1"/>
  <c r="I1506" i="1"/>
  <c r="H1321" i="1"/>
  <c r="I1320" i="1"/>
  <c r="H1290" i="1"/>
  <c r="I1289" i="1"/>
  <c r="H1252" i="1"/>
  <c r="I1251" i="1"/>
  <c r="H1102" i="1"/>
  <c r="I1102" i="1" s="1"/>
  <c r="I1101" i="1"/>
  <c r="H944" i="1"/>
  <c r="I943" i="1"/>
  <c r="H900" i="1"/>
  <c r="I899" i="1"/>
  <c r="H864" i="1"/>
  <c r="I863" i="1"/>
  <c r="H407" i="1"/>
  <c r="I406" i="1"/>
  <c r="H257" i="1"/>
  <c r="I256" i="1"/>
  <c r="I2606" i="1"/>
  <c r="H1656" i="1"/>
  <c r="H1657" i="1" s="1"/>
  <c r="I1655" i="1"/>
  <c r="I60" i="1"/>
  <c r="H61" i="1"/>
  <c r="I97" i="1"/>
  <c r="H98" i="1"/>
  <c r="H99" i="1" s="1"/>
  <c r="H26" i="1" l="1"/>
  <c r="I25" i="1"/>
  <c r="H3343" i="1"/>
  <c r="I3342" i="1"/>
  <c r="H2917" i="1"/>
  <c r="I2916" i="1"/>
  <c r="I2764" i="1"/>
  <c r="H2765" i="1"/>
  <c r="H2609" i="1"/>
  <c r="I2608" i="1"/>
  <c r="H2195" i="1"/>
  <c r="I2194" i="1"/>
  <c r="H2155" i="1"/>
  <c r="I2154" i="1"/>
  <c r="I2118" i="1"/>
  <c r="H2119" i="1"/>
  <c r="H2089" i="1"/>
  <c r="I2088" i="1"/>
  <c r="H1931" i="1"/>
  <c r="I1930" i="1"/>
  <c r="H1781" i="1"/>
  <c r="I1780" i="1"/>
  <c r="H1745" i="1"/>
  <c r="I1744" i="1"/>
  <c r="H1709" i="1"/>
  <c r="I1708" i="1"/>
  <c r="H1658" i="1"/>
  <c r="I1657" i="1"/>
  <c r="H1508" i="1"/>
  <c r="I1507" i="1"/>
  <c r="H1322" i="1"/>
  <c r="I1321" i="1"/>
  <c r="H1291" i="1"/>
  <c r="I1290" i="1"/>
  <c r="H1253" i="1"/>
  <c r="I1252" i="1"/>
  <c r="H945" i="1"/>
  <c r="I944" i="1"/>
  <c r="I900" i="1"/>
  <c r="H901" i="1"/>
  <c r="H865" i="1"/>
  <c r="I864" i="1"/>
  <c r="H408" i="1"/>
  <c r="I407" i="1"/>
  <c r="H258" i="1"/>
  <c r="I257" i="1"/>
  <c r="H100" i="1"/>
  <c r="I99" i="1"/>
  <c r="I1656" i="1"/>
  <c r="I98" i="1"/>
  <c r="I61" i="1"/>
  <c r="H62" i="1"/>
  <c r="H27" i="1" l="1"/>
  <c r="I26" i="1"/>
  <c r="I62" i="1"/>
  <c r="H63" i="1"/>
  <c r="H3344" i="1"/>
  <c r="I3344" i="1" s="1"/>
  <c r="I3343" i="1"/>
  <c r="H2918" i="1"/>
  <c r="I2917" i="1"/>
  <c r="H2766" i="1"/>
  <c r="I2765" i="1"/>
  <c r="H2610" i="1"/>
  <c r="I2609" i="1"/>
  <c r="H2196" i="1"/>
  <c r="I2195" i="1"/>
  <c r="H2156" i="1"/>
  <c r="I2155" i="1"/>
  <c r="I2119" i="1"/>
  <c r="H2120" i="1"/>
  <c r="I2089" i="1"/>
  <c r="H2090" i="1"/>
  <c r="I2090" i="1" s="1"/>
  <c r="H1932" i="1"/>
  <c r="I1931" i="1"/>
  <c r="I1781" i="1"/>
  <c r="H1782" i="1"/>
  <c r="H1746" i="1"/>
  <c r="I1745" i="1"/>
  <c r="H1710" i="1"/>
  <c r="I1710" i="1" s="1"/>
  <c r="I1709" i="1"/>
  <c r="H1659" i="1"/>
  <c r="I1658" i="1"/>
  <c r="H1509" i="1"/>
  <c r="I1508" i="1"/>
  <c r="I1322" i="1"/>
  <c r="H1323" i="1"/>
  <c r="H1292" i="1"/>
  <c r="I1292" i="1" s="1"/>
  <c r="I1291" i="1"/>
  <c r="H1254" i="1"/>
  <c r="I1254" i="1" s="1"/>
  <c r="I1253" i="1"/>
  <c r="H946" i="1"/>
  <c r="I945" i="1"/>
  <c r="H902" i="1"/>
  <c r="I901" i="1"/>
  <c r="H866" i="1"/>
  <c r="I865" i="1"/>
  <c r="H409" i="1"/>
  <c r="I408" i="1"/>
  <c r="H259" i="1"/>
  <c r="I258" i="1"/>
  <c r="H101" i="1"/>
  <c r="I100" i="1"/>
  <c r="H64" i="1" l="1"/>
  <c r="I63" i="1"/>
  <c r="H28" i="1"/>
  <c r="I27" i="1"/>
  <c r="H2919" i="1"/>
  <c r="I2918" i="1"/>
  <c r="I2766" i="1"/>
  <c r="H2767" i="1"/>
  <c r="H2611" i="1"/>
  <c r="I2610" i="1"/>
  <c r="H2197" i="1"/>
  <c r="I2196" i="1"/>
  <c r="H2157" i="1"/>
  <c r="I2156" i="1"/>
  <c r="H2121" i="1"/>
  <c r="I2120" i="1"/>
  <c r="H1933" i="1"/>
  <c r="I1932" i="1"/>
  <c r="I1782" i="1"/>
  <c r="H1783" i="1"/>
  <c r="H1747" i="1"/>
  <c r="I1746" i="1"/>
  <c r="H1660" i="1"/>
  <c r="I1659" i="1"/>
  <c r="H1510" i="1"/>
  <c r="I1509" i="1"/>
  <c r="H1324" i="1"/>
  <c r="I1323" i="1"/>
  <c r="H947" i="1"/>
  <c r="I946" i="1"/>
  <c r="H903" i="1"/>
  <c r="I902" i="1"/>
  <c r="H867" i="1"/>
  <c r="I866" i="1"/>
  <c r="H410" i="1"/>
  <c r="I409" i="1"/>
  <c r="H260" i="1"/>
  <c r="I259" i="1"/>
  <c r="H102" i="1"/>
  <c r="I101" i="1"/>
  <c r="KU26" i="2"/>
  <c r="KT26" i="2"/>
  <c r="MG26" i="2"/>
  <c r="HV29" i="2"/>
  <c r="HW23" i="2"/>
  <c r="HV8" i="2"/>
  <c r="KU23" i="2"/>
  <c r="C26" i="2"/>
  <c r="GK23" i="2"/>
  <c r="C17" i="2"/>
  <c r="JI23" i="2"/>
  <c r="BZ23" i="2"/>
  <c r="MG32" i="2"/>
  <c r="JH11" i="2"/>
  <c r="C23" i="2"/>
  <c r="DM26" i="2"/>
  <c r="AN26" i="2"/>
  <c r="GK14" i="2"/>
  <c r="AN11" i="2"/>
  <c r="C29" i="2"/>
  <c r="DM11" i="2"/>
  <c r="HV17" i="2"/>
  <c r="BZ26" i="2"/>
  <c r="HV5" i="2"/>
  <c r="JI14" i="2"/>
  <c r="KT32" i="2"/>
  <c r="AO5" i="2"/>
  <c r="EX29" i="2"/>
  <c r="KT11" i="2"/>
  <c r="EX14" i="2"/>
  <c r="NR23" i="2"/>
  <c r="B29" i="2"/>
  <c r="EY17" i="2"/>
  <c r="MF32" i="2"/>
  <c r="KT23" i="2"/>
  <c r="EX8" i="2"/>
  <c r="EX11" i="2"/>
  <c r="BZ17" i="2"/>
  <c r="EY26" i="2"/>
  <c r="BZ8" i="2"/>
  <c r="AO23" i="2"/>
  <c r="GK26" i="2"/>
  <c r="MG11" i="2"/>
  <c r="DL8" i="2"/>
  <c r="GK11" i="2"/>
  <c r="EY14" i="2"/>
  <c r="AN29" i="2"/>
  <c r="GJ14" i="2"/>
  <c r="JI32" i="2"/>
  <c r="GJ17" i="2"/>
  <c r="MF11" i="2"/>
  <c r="JH8" i="2"/>
  <c r="NR32" i="2"/>
  <c r="BZ29" i="2"/>
  <c r="KU32" i="2"/>
  <c r="MF8" i="2"/>
  <c r="AN17" i="2"/>
  <c r="C8" i="2"/>
  <c r="GJ32" i="2"/>
  <c r="MF17" i="2"/>
  <c r="AN23" i="2"/>
  <c r="JH17" i="2"/>
  <c r="GJ26" i="2"/>
  <c r="EX5" i="2"/>
  <c r="CA14" i="2"/>
  <c r="GJ11" i="2"/>
  <c r="EY23" i="2"/>
  <c r="HW26" i="2"/>
  <c r="B26" i="2"/>
  <c r="GJ5" i="2"/>
  <c r="MG14" i="2"/>
  <c r="HW5" i="2"/>
  <c r="C14" i="2"/>
  <c r="MG23" i="2"/>
  <c r="EY32" i="2"/>
  <c r="GJ29" i="2"/>
  <c r="CA17" i="2"/>
  <c r="JH29" i="2"/>
  <c r="JH32" i="2"/>
  <c r="C5" i="2"/>
  <c r="AO29" i="2"/>
  <c r="AO14" i="2"/>
  <c r="DM17" i="2"/>
  <c r="B17" i="2"/>
  <c r="KU14" i="2"/>
  <c r="DM8" i="2"/>
  <c r="AO11" i="2"/>
  <c r="KU11" i="2"/>
  <c r="KT17" i="2"/>
  <c r="DL29" i="2"/>
  <c r="GK32" i="2"/>
  <c r="DL26" i="2"/>
  <c r="AN8" i="2"/>
  <c r="BZ32" i="2"/>
  <c r="GK8" i="2"/>
  <c r="NR14" i="2"/>
  <c r="AO8" i="2"/>
  <c r="AO17" i="2"/>
  <c r="BZ14" i="2"/>
  <c r="MF14" i="2"/>
  <c r="EX23" i="2"/>
  <c r="CA29" i="2"/>
  <c r="BZ5" i="2"/>
  <c r="C11" i="2"/>
  <c r="DM32" i="2"/>
  <c r="AO32" i="2"/>
  <c r="DL17" i="2"/>
  <c r="EX26" i="2"/>
  <c r="DL5" i="2"/>
  <c r="JI11" i="2"/>
  <c r="AO26" i="2"/>
  <c r="HW29" i="2"/>
  <c r="HV14" i="2"/>
  <c r="NR8" i="2"/>
  <c r="KU29" i="2"/>
  <c r="MG17" i="2"/>
  <c r="CA8" i="2"/>
  <c r="B23" i="2"/>
  <c r="DL14" i="2"/>
  <c r="C32" i="2"/>
  <c r="KU8" i="2"/>
  <c r="JI17" i="2"/>
  <c r="DM5" i="2"/>
  <c r="DL23" i="2"/>
  <c r="HW32" i="2"/>
  <c r="B32" i="2"/>
  <c r="GK5" i="2"/>
  <c r="HV23" i="2"/>
  <c r="HV26" i="2"/>
  <c r="AN32" i="2"/>
  <c r="B11" i="2"/>
  <c r="GJ8" i="2"/>
  <c r="HW17" i="2"/>
  <c r="HV11" i="2"/>
  <c r="KT29" i="2"/>
  <c r="B14" i="2"/>
  <c r="EY8" i="2"/>
  <c r="JH23" i="2"/>
  <c r="MF5" i="2"/>
  <c r="DM29" i="2"/>
  <c r="MF29" i="2"/>
  <c r="AN14" i="2"/>
  <c r="EY29" i="2"/>
  <c r="KT14" i="2"/>
  <c r="CA11" i="2"/>
  <c r="HW14" i="2"/>
  <c r="EY5" i="2"/>
  <c r="KT8" i="2"/>
  <c r="DM23" i="2"/>
  <c r="JI8" i="2"/>
  <c r="GK17" i="2"/>
  <c r="JI29" i="2"/>
  <c r="HW11" i="2"/>
  <c r="MF23" i="2"/>
  <c r="CA23" i="2"/>
  <c r="HW8" i="2"/>
  <c r="BZ11" i="2"/>
  <c r="AN5" i="2"/>
  <c r="EY11" i="2"/>
  <c r="DM14" i="2"/>
  <c r="EX17" i="2"/>
  <c r="HV32" i="2"/>
  <c r="GJ23" i="2"/>
  <c r="CA26" i="2"/>
  <c r="MG8" i="2"/>
  <c r="DL11" i="2"/>
  <c r="DL32" i="2"/>
  <c r="CA5" i="2"/>
  <c r="CA32" i="2"/>
  <c r="EX32" i="2"/>
  <c r="MG5" i="2"/>
  <c r="GK29" i="2"/>
  <c r="JH14" i="2"/>
  <c r="H29" i="1" l="1"/>
  <c r="I28" i="1"/>
  <c r="H65" i="1"/>
  <c r="I64" i="1"/>
  <c r="H2920" i="1"/>
  <c r="I2919" i="1"/>
  <c r="H2768" i="1"/>
  <c r="I2767" i="1"/>
  <c r="H2612" i="1"/>
  <c r="I2611" i="1"/>
  <c r="H2198" i="1"/>
  <c r="I2197" i="1"/>
  <c r="I2157" i="1"/>
  <c r="H2158" i="1"/>
  <c r="H2122" i="1"/>
  <c r="I2121" i="1"/>
  <c r="H1934" i="1"/>
  <c r="I1933" i="1"/>
  <c r="I1783" i="1"/>
  <c r="H1784" i="1"/>
  <c r="H1748" i="1"/>
  <c r="I1748" i="1" s="1"/>
  <c r="I1747" i="1"/>
  <c r="H1661" i="1"/>
  <c r="I1660" i="1"/>
  <c r="H1511" i="1"/>
  <c r="I1510" i="1"/>
  <c r="H1325" i="1"/>
  <c r="I1324" i="1"/>
  <c r="H948" i="1"/>
  <c r="I947" i="1"/>
  <c r="I903" i="1"/>
  <c r="H904" i="1"/>
  <c r="H868" i="1"/>
  <c r="I867" i="1"/>
  <c r="H411" i="1"/>
  <c r="I410" i="1"/>
  <c r="H261" i="1"/>
  <c r="I260" i="1"/>
  <c r="H103" i="1"/>
  <c r="I102" i="1"/>
  <c r="MI26" i="2"/>
  <c r="KW26" i="2"/>
  <c r="KV26" i="2"/>
  <c r="JH26" i="2"/>
  <c r="JI26" i="2"/>
  <c r="KV32" i="2"/>
  <c r="NU11" i="2"/>
  <c r="KV17" i="2"/>
  <c r="DO32" i="2"/>
  <c r="AP5" i="2"/>
  <c r="CC14" i="2"/>
  <c r="GM5" i="2"/>
  <c r="NT23" i="2"/>
  <c r="HX14" i="2"/>
  <c r="HY8" i="2"/>
  <c r="FA26" i="2"/>
  <c r="AQ5" i="2"/>
  <c r="CB26" i="2"/>
  <c r="KV14" i="2"/>
  <c r="MI14" i="2"/>
  <c r="EZ11" i="2"/>
  <c r="CC23" i="2"/>
  <c r="CB32" i="2"/>
  <c r="CB11" i="2"/>
  <c r="EZ17" i="2"/>
  <c r="DN5" i="2"/>
  <c r="NU14" i="2"/>
  <c r="NT32" i="2"/>
  <c r="JK23" i="2"/>
  <c r="MH29" i="2"/>
  <c r="AP14" i="2"/>
  <c r="NU5" i="2"/>
  <c r="CC26" i="2"/>
  <c r="EZ5" i="2"/>
  <c r="MH32" i="2"/>
  <c r="MI11" i="2"/>
  <c r="HY11" i="2"/>
  <c r="GL5" i="2"/>
  <c r="HX5" i="2"/>
  <c r="AQ11" i="2"/>
  <c r="CB29" i="2"/>
  <c r="E32" i="2"/>
  <c r="GL17" i="2"/>
  <c r="CB5" i="2"/>
  <c r="DN8" i="2"/>
  <c r="GM32" i="2"/>
  <c r="E17" i="2"/>
  <c r="E26" i="2"/>
  <c r="DO23" i="2"/>
  <c r="E8" i="2"/>
  <c r="MI8" i="2"/>
  <c r="CC11" i="2"/>
  <c r="DO26" i="2"/>
  <c r="D23" i="2"/>
  <c r="DN11" i="2"/>
  <c r="FA23" i="2"/>
  <c r="MI17" i="2"/>
  <c r="HY32" i="2"/>
  <c r="NU29" i="2"/>
  <c r="HX32" i="2"/>
  <c r="NT8" i="2"/>
  <c r="CC5" i="2"/>
  <c r="DN26" i="2"/>
  <c r="NU8" i="2"/>
  <c r="EZ23" i="2"/>
  <c r="E23" i="2"/>
  <c r="MI5" i="2"/>
  <c r="EZ26" i="2"/>
  <c r="FA8" i="2"/>
  <c r="JJ8" i="2"/>
  <c r="AQ8" i="2"/>
  <c r="EZ8" i="2"/>
  <c r="GM17" i="2"/>
  <c r="EZ29" i="2"/>
  <c r="EZ14" i="2"/>
  <c r="NU32" i="2"/>
  <c r="MH17" i="2"/>
  <c r="CC29" i="2"/>
  <c r="NT14" i="2"/>
  <c r="E14" i="2"/>
  <c r="KV29" i="2"/>
  <c r="JK32" i="2"/>
  <c r="JJ32" i="2"/>
  <c r="JK11" i="2"/>
  <c r="D26" i="2"/>
  <c r="NU17" i="2"/>
  <c r="DN17" i="2"/>
  <c r="GM8" i="2"/>
  <c r="KV8" i="2"/>
  <c r="CB8" i="2"/>
  <c r="KW23" i="2"/>
  <c r="D17" i="2"/>
  <c r="CB14" i="2"/>
  <c r="GM11" i="2"/>
  <c r="DO14" i="2"/>
  <c r="HX11" i="2"/>
  <c r="DN29" i="2"/>
  <c r="DN14" i="2"/>
  <c r="E11" i="2"/>
  <c r="AP32" i="2"/>
  <c r="FA32" i="2"/>
  <c r="HY17" i="2"/>
  <c r="HY14" i="2"/>
  <c r="KW8" i="2"/>
  <c r="KW11" i="2"/>
  <c r="JJ17" i="2"/>
  <c r="D29" i="2"/>
  <c r="MH23" i="2"/>
  <c r="HX26" i="2"/>
  <c r="MH11" i="2"/>
  <c r="HY23" i="2"/>
  <c r="DN23" i="2"/>
  <c r="AQ26" i="2"/>
  <c r="NU23" i="2"/>
  <c r="MH5" i="2"/>
  <c r="MH8" i="2"/>
  <c r="KW14" i="2"/>
  <c r="D11" i="2"/>
  <c r="AP17" i="2"/>
  <c r="MI23" i="2"/>
  <c r="EZ32" i="2"/>
  <c r="FA11" i="2"/>
  <c r="AP29" i="2"/>
  <c r="GL11" i="2"/>
  <c r="AQ23" i="2"/>
  <c r="FA5" i="2"/>
  <c r="GM14" i="2"/>
  <c r="KV11" i="2"/>
  <c r="GL32" i="2"/>
  <c r="KV5" i="2"/>
  <c r="AQ32" i="2"/>
  <c r="GL23" i="2"/>
  <c r="GM26" i="2"/>
  <c r="D32" i="2"/>
  <c r="MH14" i="2"/>
  <c r="DO5" i="2"/>
  <c r="GL29" i="2"/>
  <c r="JK14" i="2"/>
  <c r="HY5" i="2"/>
  <c r="GL26" i="2"/>
  <c r="HY29" i="2"/>
  <c r="AQ17" i="2"/>
  <c r="HY26" i="2"/>
  <c r="D5" i="2"/>
  <c r="E29" i="2"/>
  <c r="AP23" i="2"/>
  <c r="D14" i="2"/>
  <c r="AQ29" i="2"/>
  <c r="HX23" i="2"/>
  <c r="FA14" i="2"/>
  <c r="GM29" i="2"/>
  <c r="CB23" i="2"/>
  <c r="GL8" i="2"/>
  <c r="JK8" i="2"/>
  <c r="KW17" i="2"/>
  <c r="MI32" i="2"/>
  <c r="HX17" i="2"/>
  <c r="CC17" i="2"/>
  <c r="KW29" i="2"/>
  <c r="HX29" i="2"/>
  <c r="JK17" i="2"/>
  <c r="JJ29" i="2"/>
  <c r="CC8" i="2"/>
  <c r="D8" i="2"/>
  <c r="HX8" i="2"/>
  <c r="DO11" i="2"/>
  <c r="AP26" i="2"/>
  <c r="JJ11" i="2"/>
  <c r="DN32" i="2"/>
  <c r="KW32" i="2"/>
  <c r="GM23" i="2"/>
  <c r="AP8" i="2"/>
  <c r="AP11" i="2"/>
  <c r="MI29" i="2"/>
  <c r="JJ23" i="2"/>
  <c r="AQ14" i="2"/>
  <c r="GL14" i="2"/>
  <c r="DO17" i="2"/>
  <c r="DO29" i="2"/>
  <c r="E5" i="2"/>
  <c r="CB17" i="2"/>
  <c r="FA17" i="2"/>
  <c r="FA29" i="2"/>
  <c r="KV23" i="2"/>
  <c r="JK29" i="2"/>
  <c r="CC32" i="2"/>
  <c r="JJ14" i="2"/>
  <c r="NT11" i="2"/>
  <c r="DO8" i="2"/>
  <c r="NR11" i="2"/>
  <c r="B5" i="2"/>
  <c r="B8" i="2"/>
  <c r="H66" i="1" l="1"/>
  <c r="I65" i="1"/>
  <c r="H30" i="1"/>
  <c r="I29" i="1"/>
  <c r="H2921" i="1"/>
  <c r="I2920" i="1"/>
  <c r="I2768" i="1"/>
  <c r="H2769" i="1"/>
  <c r="H2613" i="1"/>
  <c r="I2612" i="1"/>
  <c r="H2199" i="1"/>
  <c r="I2198" i="1"/>
  <c r="H2159" i="1"/>
  <c r="I2158" i="1"/>
  <c r="H2123" i="1"/>
  <c r="I2122" i="1"/>
  <c r="H1935" i="1"/>
  <c r="I1934" i="1"/>
  <c r="I1784" i="1"/>
  <c r="H1785" i="1"/>
  <c r="H1662" i="1"/>
  <c r="I1661" i="1"/>
  <c r="H1512" i="1"/>
  <c r="I1511" i="1"/>
  <c r="H1326" i="1"/>
  <c r="I1325" i="1"/>
  <c r="H949" i="1"/>
  <c r="I948" i="1"/>
  <c r="H905" i="1"/>
  <c r="I904" i="1"/>
  <c r="I868" i="1"/>
  <c r="H869" i="1"/>
  <c r="H412" i="1"/>
  <c r="I411" i="1"/>
  <c r="H262" i="1"/>
  <c r="I261" i="1"/>
  <c r="H104" i="1"/>
  <c r="I103" i="1"/>
  <c r="NU26" i="2"/>
  <c r="KX26" i="2"/>
  <c r="MJ26" i="2"/>
  <c r="JK26" i="2"/>
  <c r="JJ26" i="2"/>
  <c r="CD8" i="2"/>
  <c r="CD5" i="2"/>
  <c r="DP32" i="2"/>
  <c r="GN5" i="2"/>
  <c r="DP11" i="2"/>
  <c r="FB23" i="2"/>
  <c r="HZ32" i="2"/>
  <c r="HZ5" i="2"/>
  <c r="AR14" i="2"/>
  <c r="KX14" i="2"/>
  <c r="AR11" i="2"/>
  <c r="MJ32" i="2"/>
  <c r="CD26" i="2"/>
  <c r="HZ29" i="2"/>
  <c r="F26" i="2"/>
  <c r="GN32" i="2"/>
  <c r="MJ5" i="2"/>
  <c r="JL32" i="2"/>
  <c r="FB11" i="2"/>
  <c r="KX29" i="2"/>
  <c r="KX11" i="2"/>
  <c r="NV8" i="2"/>
  <c r="AR17" i="2"/>
  <c r="FB8" i="2"/>
  <c r="JL29" i="2"/>
  <c r="DP14" i="2"/>
  <c r="FB32" i="2"/>
  <c r="F11" i="2"/>
  <c r="HZ26" i="2"/>
  <c r="JL11" i="2"/>
  <c r="DP26" i="2"/>
  <c r="CD32" i="2"/>
  <c r="HZ11" i="2"/>
  <c r="MJ17" i="2"/>
  <c r="DP5" i="2"/>
  <c r="KX32" i="2"/>
  <c r="MJ11" i="2"/>
  <c r="JL23" i="2"/>
  <c r="NV14" i="2"/>
  <c r="NV32" i="2"/>
  <c r="GN26" i="2"/>
  <c r="F23" i="2"/>
  <c r="AR8" i="2"/>
  <c r="MJ14" i="2"/>
  <c r="FB29" i="2"/>
  <c r="FB14" i="2"/>
  <c r="GN29" i="2"/>
  <c r="CD23" i="2"/>
  <c r="AR23" i="2"/>
  <c r="GN23" i="2"/>
  <c r="JL17" i="2"/>
  <c r="DP8" i="2"/>
  <c r="FB17" i="2"/>
  <c r="GN11" i="2"/>
  <c r="KX5" i="2"/>
  <c r="HZ17" i="2"/>
  <c r="F32" i="2"/>
  <c r="F8" i="2"/>
  <c r="F14" i="2"/>
  <c r="CD14" i="2"/>
  <c r="HZ8" i="2"/>
  <c r="F17" i="2"/>
  <c r="AR26" i="2"/>
  <c r="JL8" i="2"/>
  <c r="DP23" i="2"/>
  <c r="MJ8" i="2"/>
  <c r="F29" i="2"/>
  <c r="NV23" i="2"/>
  <c r="FB26" i="2"/>
  <c r="KX8" i="2"/>
  <c r="GN17" i="2"/>
  <c r="HZ23" i="2"/>
  <c r="CD17" i="2"/>
  <c r="DP29" i="2"/>
  <c r="HZ14" i="2"/>
  <c r="FB5" i="2"/>
  <c r="DP17" i="2"/>
  <c r="KX23" i="2"/>
  <c r="GN8" i="2"/>
  <c r="AR29" i="2"/>
  <c r="GN14" i="2"/>
  <c r="MJ23" i="2"/>
  <c r="AR32" i="2"/>
  <c r="CD11" i="2"/>
  <c r="AR5" i="2"/>
  <c r="CD29" i="2"/>
  <c r="JL14" i="2"/>
  <c r="H67" i="1" l="1"/>
  <c r="I66" i="1"/>
  <c r="H31" i="1"/>
  <c r="I30" i="1"/>
  <c r="H2922" i="1"/>
  <c r="I2921" i="1"/>
  <c r="H2770" i="1"/>
  <c r="I2769" i="1"/>
  <c r="H2614" i="1"/>
  <c r="I2613" i="1"/>
  <c r="H2200" i="1"/>
  <c r="I2199" i="1"/>
  <c r="H2160" i="1"/>
  <c r="I2159" i="1"/>
  <c r="H2124" i="1"/>
  <c r="I2123" i="1"/>
  <c r="H1936" i="1"/>
  <c r="I1935" i="1"/>
  <c r="H1786" i="1"/>
  <c r="I1786" i="1" s="1"/>
  <c r="I1785" i="1"/>
  <c r="H1663" i="1"/>
  <c r="I1662" i="1"/>
  <c r="H1513" i="1"/>
  <c r="I1512" i="1"/>
  <c r="I1326" i="1"/>
  <c r="H1327" i="1"/>
  <c r="H950" i="1"/>
  <c r="I950" i="1" s="1"/>
  <c r="I949" i="1"/>
  <c r="H906" i="1"/>
  <c r="I905" i="1"/>
  <c r="I869" i="1"/>
  <c r="H870" i="1"/>
  <c r="H413" i="1"/>
  <c r="I412" i="1"/>
  <c r="H263" i="1"/>
  <c r="I262" i="1"/>
  <c r="H105" i="1"/>
  <c r="I104" i="1"/>
  <c r="NV26" i="2"/>
  <c r="MK26" i="2"/>
  <c r="KY26" i="2"/>
  <c r="JL26" i="2"/>
  <c r="G11" i="2"/>
  <c r="CE5" i="2"/>
  <c r="FC11" i="2"/>
  <c r="CE11" i="2"/>
  <c r="MK23" i="2"/>
  <c r="G8" i="2"/>
  <c r="NW14" i="2"/>
  <c r="IA26" i="2"/>
  <c r="CE8" i="2"/>
  <c r="FC5" i="2"/>
  <c r="IA32" i="2"/>
  <c r="FC32" i="2"/>
  <c r="IA5" i="2"/>
  <c r="AS17" i="2"/>
  <c r="DQ11" i="2"/>
  <c r="KY29" i="2"/>
  <c r="GO32" i="2"/>
  <c r="GO11" i="2"/>
  <c r="DQ23" i="2"/>
  <c r="DQ17" i="2"/>
  <c r="IA14" i="2"/>
  <c r="GO29" i="2"/>
  <c r="FC23" i="2"/>
  <c r="JM11" i="2"/>
  <c r="KY8" i="2"/>
  <c r="AS11" i="2"/>
  <c r="MK29" i="2"/>
  <c r="G14" i="2"/>
  <c r="AS8" i="2"/>
  <c r="KY11" i="2"/>
  <c r="NW29" i="2"/>
  <c r="CE14" i="2"/>
  <c r="MK17" i="2"/>
  <c r="MK5" i="2"/>
  <c r="G29" i="2"/>
  <c r="JM8" i="2"/>
  <c r="AS32" i="2"/>
  <c r="AS23" i="2"/>
  <c r="DQ14" i="2"/>
  <c r="KY23" i="2"/>
  <c r="DQ29" i="2"/>
  <c r="JM14" i="2"/>
  <c r="AS5" i="2"/>
  <c r="G26" i="2"/>
  <c r="FC8" i="2"/>
  <c r="NW11" i="2"/>
  <c r="GO23" i="2"/>
  <c r="KY14" i="2"/>
  <c r="G23" i="2"/>
  <c r="FC14" i="2"/>
  <c r="MK11" i="2"/>
  <c r="DQ26" i="2"/>
  <c r="IA17" i="2"/>
  <c r="JM32" i="2"/>
  <c r="KY17" i="2"/>
  <c r="NW23" i="2"/>
  <c r="NW17" i="2"/>
  <c r="MK14" i="2"/>
  <c r="GO8" i="2"/>
  <c r="GO5" i="2"/>
  <c r="GO17" i="2"/>
  <c r="G17" i="2"/>
  <c r="IA8" i="2"/>
  <c r="IA11" i="2"/>
  <c r="IA29" i="2"/>
  <c r="IA23" i="2"/>
  <c r="DQ32" i="2"/>
  <c r="G32" i="2"/>
  <c r="JM29" i="2"/>
  <c r="CE26" i="2"/>
  <c r="FC26" i="2"/>
  <c r="CE29" i="2"/>
  <c r="CE32" i="2"/>
  <c r="NW5" i="2"/>
  <c r="KY32" i="2"/>
  <c r="MK32" i="2"/>
  <c r="MK8" i="2"/>
  <c r="CE23" i="2"/>
  <c r="FC29" i="2"/>
  <c r="AS14" i="2"/>
  <c r="G5" i="2"/>
  <c r="JM23" i="2"/>
  <c r="CE17" i="2"/>
  <c r="AS26" i="2"/>
  <c r="AS29" i="2"/>
  <c r="NW32" i="2"/>
  <c r="GO14" i="2"/>
  <c r="DQ5" i="2"/>
  <c r="FC17" i="2"/>
  <c r="GO26" i="2"/>
  <c r="DQ8" i="2"/>
  <c r="JM17" i="2"/>
  <c r="NV11" i="2"/>
  <c r="F5" i="2"/>
  <c r="H68" i="1" l="1"/>
  <c r="I67" i="1"/>
  <c r="H32" i="1"/>
  <c r="I31" i="1"/>
  <c r="H2923" i="1"/>
  <c r="I2922" i="1"/>
  <c r="I2770" i="1"/>
  <c r="H2771" i="1"/>
  <c r="H2615" i="1"/>
  <c r="I2614" i="1"/>
  <c r="H2201" i="1"/>
  <c r="I2200" i="1"/>
  <c r="H2161" i="1"/>
  <c r="I2160" i="1"/>
  <c r="H2125" i="1"/>
  <c r="I2124" i="1"/>
  <c r="H1937" i="1"/>
  <c r="I1936" i="1"/>
  <c r="H1664" i="1"/>
  <c r="I1663" i="1"/>
  <c r="H1514" i="1"/>
  <c r="I1513" i="1"/>
  <c r="H1328" i="1"/>
  <c r="I1327" i="1"/>
  <c r="I906" i="1"/>
  <c r="H907" i="1"/>
  <c r="I870" i="1"/>
  <c r="H871" i="1"/>
  <c r="H414" i="1"/>
  <c r="I413" i="1"/>
  <c r="H264" i="1"/>
  <c r="I263" i="1"/>
  <c r="H106" i="1"/>
  <c r="I105" i="1"/>
  <c r="NW26" i="2"/>
  <c r="KZ26" i="2"/>
  <c r="ML26" i="2"/>
  <c r="JM26" i="2"/>
  <c r="ML23" i="2"/>
  <c r="AT26" i="2"/>
  <c r="AT8" i="2"/>
  <c r="CF17" i="2"/>
  <c r="DR26" i="2"/>
  <c r="CF8" i="2"/>
  <c r="GP26" i="2"/>
  <c r="JN29" i="2"/>
  <c r="KZ8" i="2"/>
  <c r="KZ29" i="2"/>
  <c r="H14" i="2"/>
  <c r="KZ5" i="2"/>
  <c r="GP32" i="2"/>
  <c r="CF11" i="2"/>
  <c r="AT14" i="2"/>
  <c r="GP17" i="2"/>
  <c r="AT5" i="2"/>
  <c r="DR14" i="2"/>
  <c r="DR5" i="2"/>
  <c r="GP5" i="2"/>
  <c r="IB32" i="2"/>
  <c r="AT11" i="2"/>
  <c r="NX17" i="2"/>
  <c r="FD23" i="2"/>
  <c r="H29" i="2"/>
  <c r="IB14" i="2"/>
  <c r="DR8" i="2"/>
  <c r="NX11" i="2"/>
  <c r="AT17" i="2"/>
  <c r="JN23" i="2"/>
  <c r="FD32" i="2"/>
  <c r="AT29" i="2"/>
  <c r="FD26" i="2"/>
  <c r="IB8" i="2"/>
  <c r="DR32" i="2"/>
  <c r="DR11" i="2"/>
  <c r="CF5" i="2"/>
  <c r="KZ32" i="2"/>
  <c r="IB23" i="2"/>
  <c r="CF14" i="2"/>
  <c r="IB29" i="2"/>
  <c r="KZ14" i="2"/>
  <c r="H17" i="2"/>
  <c r="GP23" i="2"/>
  <c r="NX14" i="2"/>
  <c r="FD14" i="2"/>
  <c r="KZ17" i="2"/>
  <c r="ML5" i="2"/>
  <c r="H11" i="2"/>
  <c r="ML17" i="2"/>
  <c r="JN32" i="2"/>
  <c r="CF23" i="2"/>
  <c r="IB26" i="2"/>
  <c r="GP29" i="2"/>
  <c r="H32" i="2"/>
  <c r="CF26" i="2"/>
  <c r="ML11" i="2"/>
  <c r="DR17" i="2"/>
  <c r="NX23" i="2"/>
  <c r="FD29" i="2"/>
  <c r="AT23" i="2"/>
  <c r="IB11" i="2"/>
  <c r="FD8" i="2"/>
  <c r="JN8" i="2"/>
  <c r="GP14" i="2"/>
  <c r="FD5" i="2"/>
  <c r="FD11" i="2"/>
  <c r="CF29" i="2"/>
  <c r="JN14" i="2"/>
  <c r="FD17" i="2"/>
  <c r="JN17" i="2"/>
  <c r="IB5" i="2"/>
  <c r="H5" i="2"/>
  <c r="KZ11" i="2"/>
  <c r="H8" i="2"/>
  <c r="AT32" i="2"/>
  <c r="DR29" i="2"/>
  <c r="ML14" i="2"/>
  <c r="GP8" i="2"/>
  <c r="ML32" i="2"/>
  <c r="H23" i="2"/>
  <c r="NX5" i="2"/>
  <c r="GP11" i="2"/>
  <c r="KZ23" i="2"/>
  <c r="JN11" i="2"/>
  <c r="IB17" i="2"/>
  <c r="DR23" i="2"/>
  <c r="CF32" i="2"/>
  <c r="H26" i="2"/>
  <c r="NX32" i="2"/>
  <c r="I68" i="1" l="1"/>
  <c r="H69" i="1"/>
  <c r="H33" i="1"/>
  <c r="I32" i="1"/>
  <c r="H2924" i="1"/>
  <c r="I2923" i="1"/>
  <c r="I2771" i="1"/>
  <c r="H2772" i="1"/>
  <c r="H2616" i="1"/>
  <c r="I2615" i="1"/>
  <c r="H2202" i="1"/>
  <c r="I2201" i="1"/>
  <c r="H2162" i="1"/>
  <c r="I2161" i="1"/>
  <c r="H2126" i="1"/>
  <c r="I2125" i="1"/>
  <c r="H1938" i="1"/>
  <c r="I1938" i="1" s="1"/>
  <c r="I1937" i="1"/>
  <c r="I1664" i="1"/>
  <c r="H1665" i="1"/>
  <c r="H1515" i="1"/>
  <c r="I1514" i="1"/>
  <c r="H1329" i="1"/>
  <c r="I1328" i="1"/>
  <c r="H908" i="1"/>
  <c r="I907" i="1"/>
  <c r="I871" i="1"/>
  <c r="H872" i="1"/>
  <c r="H415" i="1"/>
  <c r="I414" i="1"/>
  <c r="H265" i="1"/>
  <c r="I264" i="1"/>
  <c r="H107" i="1"/>
  <c r="I106" i="1"/>
  <c r="NX26" i="2"/>
  <c r="MM26" i="2"/>
  <c r="LA26" i="2"/>
  <c r="JN26" i="2"/>
  <c r="MM11" i="2"/>
  <c r="AU32" i="2"/>
  <c r="GQ11" i="2"/>
  <c r="CG8" i="2"/>
  <c r="LA29" i="2"/>
  <c r="NY23" i="2"/>
  <c r="DS23" i="2"/>
  <c r="JO17" i="2"/>
  <c r="IC29" i="2"/>
  <c r="GQ14" i="2"/>
  <c r="DS8" i="2"/>
  <c r="DS29" i="2"/>
  <c r="DS14" i="2"/>
  <c r="AU23" i="2"/>
  <c r="I23" i="2"/>
  <c r="MM8" i="2"/>
  <c r="JO29" i="2"/>
  <c r="AU5" i="2"/>
  <c r="NY29" i="2"/>
  <c r="NY14" i="2"/>
  <c r="NY32" i="2"/>
  <c r="FE26" i="2"/>
  <c r="GQ23" i="2"/>
  <c r="I32" i="2"/>
  <c r="CG14" i="2"/>
  <c r="NY17" i="2"/>
  <c r="CG26" i="2"/>
  <c r="JO11" i="2"/>
  <c r="AU11" i="2"/>
  <c r="JO23" i="2"/>
  <c r="GQ17" i="2"/>
  <c r="I11" i="2"/>
  <c r="MM17" i="2"/>
  <c r="LA8" i="2"/>
  <c r="AU17" i="2"/>
  <c r="JO14" i="2"/>
  <c r="JO32" i="2"/>
  <c r="CG23" i="2"/>
  <c r="FE8" i="2"/>
  <c r="GQ8" i="2"/>
  <c r="FE23" i="2"/>
  <c r="CG32" i="2"/>
  <c r="GQ29" i="2"/>
  <c r="AU26" i="2"/>
  <c r="LA23" i="2"/>
  <c r="I17" i="2"/>
  <c r="CG11" i="2"/>
  <c r="LA14" i="2"/>
  <c r="IC17" i="2"/>
  <c r="IC11" i="2"/>
  <c r="GQ32" i="2"/>
  <c r="LA17" i="2"/>
  <c r="IC23" i="2"/>
  <c r="FE32" i="2"/>
  <c r="IC8" i="2"/>
  <c r="NY8" i="2"/>
  <c r="MM29" i="2"/>
  <c r="FE14" i="2"/>
  <c r="CG5" i="2"/>
  <c r="I14" i="2"/>
  <c r="GQ26" i="2"/>
  <c r="AU8" i="2"/>
  <c r="NY5" i="2"/>
  <c r="DS11" i="2"/>
  <c r="AU29" i="2"/>
  <c r="IC32" i="2"/>
  <c r="DS32" i="2"/>
  <c r="FE5" i="2"/>
  <c r="CG29" i="2"/>
  <c r="AU14" i="2"/>
  <c r="GQ5" i="2"/>
  <c r="LA11" i="2"/>
  <c r="FE29" i="2"/>
  <c r="CG17" i="2"/>
  <c r="MM23" i="2"/>
  <c r="DS5" i="2"/>
  <c r="DS26" i="2"/>
  <c r="MM14" i="2"/>
  <c r="DS17" i="2"/>
  <c r="IC14" i="2"/>
  <c r="FE17" i="2"/>
  <c r="IC5" i="2"/>
  <c r="FE11" i="2"/>
  <c r="IC26" i="2"/>
  <c r="LA32" i="2"/>
  <c r="I26" i="2"/>
  <c r="I29" i="2"/>
  <c r="H70" i="1" l="1"/>
  <c r="I69" i="1"/>
  <c r="H34" i="1"/>
  <c r="I33" i="1"/>
  <c r="H2925" i="1"/>
  <c r="I2924" i="1"/>
  <c r="H2773" i="1"/>
  <c r="I2772" i="1"/>
  <c r="H2617" i="1"/>
  <c r="I2616" i="1"/>
  <c r="H2203" i="1"/>
  <c r="I2202" i="1"/>
  <c r="I2162" i="1"/>
  <c r="H2163" i="1"/>
  <c r="I2126" i="1"/>
  <c r="H2127" i="1"/>
  <c r="H1666" i="1"/>
  <c r="I1665" i="1"/>
  <c r="H1516" i="1"/>
  <c r="I1515" i="1"/>
  <c r="H1330" i="1"/>
  <c r="I1330" i="1" s="1"/>
  <c r="I1329" i="1"/>
  <c r="H909" i="1"/>
  <c r="I908" i="1"/>
  <c r="H873" i="1"/>
  <c r="I872" i="1"/>
  <c r="H416" i="1"/>
  <c r="I415" i="1"/>
  <c r="H266" i="1"/>
  <c r="I266" i="1" s="1"/>
  <c r="I265" i="1"/>
  <c r="H108" i="1"/>
  <c r="I107" i="1"/>
  <c r="LB26" i="2"/>
  <c r="MN26" i="2"/>
  <c r="NY26" i="2"/>
  <c r="JO26" i="2"/>
  <c r="JP8" i="2"/>
  <c r="AV26" i="2"/>
  <c r="J32" i="2"/>
  <c r="DT29" i="2"/>
  <c r="ID14" i="2"/>
  <c r="GR32" i="2"/>
  <c r="FF11" i="2"/>
  <c r="NZ5" i="2"/>
  <c r="CH26" i="2"/>
  <c r="CH8" i="2"/>
  <c r="CH32" i="2"/>
  <c r="AV8" i="2"/>
  <c r="FF26" i="2"/>
  <c r="DT23" i="2"/>
  <c r="FF32" i="2"/>
  <c r="JP11" i="2"/>
  <c r="CH5" i="2"/>
  <c r="CH11" i="2"/>
  <c r="DT5" i="2"/>
  <c r="MN23" i="2"/>
  <c r="DT8" i="2"/>
  <c r="J5" i="2"/>
  <c r="AV32" i="2"/>
  <c r="ID32" i="2"/>
  <c r="AV11" i="2"/>
  <c r="MN5" i="2"/>
  <c r="AV14" i="2"/>
  <c r="ID11" i="2"/>
  <c r="LB8" i="2"/>
  <c r="J29" i="2"/>
  <c r="ID29" i="2"/>
  <c r="CH17" i="2"/>
  <c r="J23" i="2"/>
  <c r="CH14" i="2"/>
  <c r="JP23" i="2"/>
  <c r="DT11" i="2"/>
  <c r="LB32" i="2"/>
  <c r="J17" i="2"/>
  <c r="AV29" i="2"/>
  <c r="GR14" i="2"/>
  <c r="DT32" i="2"/>
  <c r="AV17" i="2"/>
  <c r="CH29" i="2"/>
  <c r="JP14" i="2"/>
  <c r="LB14" i="2"/>
  <c r="JP32" i="2"/>
  <c r="GR29" i="2"/>
  <c r="NZ14" i="2"/>
  <c r="MN17" i="2"/>
  <c r="J8" i="2"/>
  <c r="GR23" i="2"/>
  <c r="JP29" i="2"/>
  <c r="DT14" i="2"/>
  <c r="AV23" i="2"/>
  <c r="DT26" i="2"/>
  <c r="DT17" i="2"/>
  <c r="MN32" i="2"/>
  <c r="FF17" i="2"/>
  <c r="MN14" i="2"/>
  <c r="FF29" i="2"/>
  <c r="LB29" i="2"/>
  <c r="J14" i="2"/>
  <c r="GR26" i="2"/>
  <c r="FF23" i="2"/>
  <c r="ID5" i="2"/>
  <c r="ID26" i="2"/>
  <c r="ID17" i="2"/>
  <c r="LB17" i="2"/>
  <c r="GR17" i="2"/>
  <c r="J26" i="2"/>
  <c r="NZ23" i="2"/>
  <c r="MN11" i="2"/>
  <c r="JP17" i="2"/>
  <c r="ID23" i="2"/>
  <c r="GR11" i="2"/>
  <c r="AV5" i="2"/>
  <c r="MN8" i="2"/>
  <c r="NZ17" i="2"/>
  <c r="LB23" i="2"/>
  <c r="ID8" i="2"/>
  <c r="LB11" i="2"/>
  <c r="CH23" i="2"/>
  <c r="NZ8" i="2"/>
  <c r="NZ11" i="2"/>
  <c r="FF8" i="2"/>
  <c r="J11" i="2"/>
  <c r="GR8" i="2"/>
  <c r="FF5" i="2"/>
  <c r="GR5" i="2"/>
  <c r="NZ32" i="2"/>
  <c r="FF14" i="2"/>
  <c r="NY11" i="2"/>
  <c r="I8" i="2"/>
  <c r="I5" i="2"/>
  <c r="H71" i="1" l="1"/>
  <c r="I70" i="1"/>
  <c r="H35" i="1"/>
  <c r="I34" i="1"/>
  <c r="H2926" i="1"/>
  <c r="I2926" i="1" s="1"/>
  <c r="I2925" i="1"/>
  <c r="H2774" i="1"/>
  <c r="I2774" i="1" s="1"/>
  <c r="I2773" i="1"/>
  <c r="H2618" i="1"/>
  <c r="I2617" i="1"/>
  <c r="H2204" i="1"/>
  <c r="I2204" i="1" s="1"/>
  <c r="I2203" i="1"/>
  <c r="I2163" i="1"/>
  <c r="H2164" i="1"/>
  <c r="H2128" i="1"/>
  <c r="I2128" i="1" s="1"/>
  <c r="I2127" i="1"/>
  <c r="H1667" i="1"/>
  <c r="I1666" i="1"/>
  <c r="H1517" i="1"/>
  <c r="I1516" i="1"/>
  <c r="H910" i="1"/>
  <c r="I909" i="1"/>
  <c r="I873" i="1"/>
  <c r="H874" i="1"/>
  <c r="I874" i="1" s="1"/>
  <c r="H417" i="1"/>
  <c r="I416" i="1"/>
  <c r="H109" i="1"/>
  <c r="I108" i="1"/>
  <c r="NZ26" i="2"/>
  <c r="LC26" i="2"/>
  <c r="MO26" i="2"/>
  <c r="JP26" i="2"/>
  <c r="AW17" i="2"/>
  <c r="OA29" i="2"/>
  <c r="AW29" i="2"/>
  <c r="AW32" i="2"/>
  <c r="GS11" i="2"/>
  <c r="GS17" i="2"/>
  <c r="GS26" i="2"/>
  <c r="AW26" i="2"/>
  <c r="CI17" i="2"/>
  <c r="IE23" i="2"/>
  <c r="DU32" i="2"/>
  <c r="IE29" i="2"/>
  <c r="K23" i="2"/>
  <c r="CI32" i="2"/>
  <c r="JQ29" i="2"/>
  <c r="LC17" i="2"/>
  <c r="MO11" i="2"/>
  <c r="FG14" i="2"/>
  <c r="JQ17" i="2"/>
  <c r="GS14" i="2"/>
  <c r="DU29" i="2"/>
  <c r="IE11" i="2"/>
  <c r="MO23" i="2"/>
  <c r="K32" i="2"/>
  <c r="OA14" i="2"/>
  <c r="CI26" i="2"/>
  <c r="DU5" i="2"/>
  <c r="GS32" i="2"/>
  <c r="MO8" i="2"/>
  <c r="GS8" i="2"/>
  <c r="K29" i="2"/>
  <c r="AW14" i="2"/>
  <c r="FG23" i="2"/>
  <c r="OA17" i="2"/>
  <c r="IE32" i="2"/>
  <c r="FG11" i="2"/>
  <c r="AW8" i="2"/>
  <c r="DU11" i="2"/>
  <c r="OA8" i="2"/>
  <c r="AW11" i="2"/>
  <c r="CI14" i="2"/>
  <c r="IE26" i="2"/>
  <c r="IE14" i="2"/>
  <c r="K26" i="2"/>
  <c r="DU14" i="2"/>
  <c r="MO5" i="2"/>
  <c r="AW5" i="2"/>
  <c r="FG26" i="2"/>
  <c r="CI5" i="2"/>
  <c r="GS5" i="2"/>
  <c r="DU8" i="2"/>
  <c r="OA5" i="2"/>
  <c r="JQ11" i="2"/>
  <c r="FG17" i="2"/>
  <c r="DU23" i="2"/>
  <c r="CI29" i="2"/>
  <c r="CI23" i="2"/>
  <c r="K17" i="2"/>
  <c r="DU26" i="2"/>
  <c r="DU17" i="2"/>
  <c r="GS29" i="2"/>
  <c r="MO29" i="2"/>
  <c r="K8" i="2"/>
  <c r="MO17" i="2"/>
  <c r="K14" i="2"/>
  <c r="OA23" i="2"/>
  <c r="FG32" i="2"/>
  <c r="IE8" i="2"/>
  <c r="IE17" i="2"/>
  <c r="CI8" i="2"/>
  <c r="LC32" i="2"/>
  <c r="FG5" i="2"/>
  <c r="FG8" i="2"/>
  <c r="LC11" i="2"/>
  <c r="K11" i="2"/>
  <c r="JQ23" i="2"/>
  <c r="MO32" i="2"/>
  <c r="LC29" i="2"/>
  <c r="LC5" i="2"/>
  <c r="CI11" i="2"/>
  <c r="JQ14" i="2"/>
  <c r="MO14" i="2"/>
  <c r="IE5" i="2"/>
  <c r="LC8" i="2"/>
  <c r="LC14" i="2"/>
  <c r="JQ32" i="2"/>
  <c r="AW23" i="2"/>
  <c r="OA32" i="2"/>
  <c r="GS23" i="2"/>
  <c r="FG29" i="2"/>
  <c r="LC23" i="2"/>
  <c r="JQ8" i="2"/>
  <c r="H36" i="1" l="1"/>
  <c r="I35" i="1"/>
  <c r="H72" i="1"/>
  <c r="I71" i="1"/>
  <c r="H2619" i="1"/>
  <c r="I2618" i="1"/>
  <c r="I2164" i="1"/>
  <c r="H2165" i="1"/>
  <c r="H1668" i="1"/>
  <c r="I1667" i="1"/>
  <c r="H1518" i="1"/>
  <c r="I1517" i="1"/>
  <c r="I910" i="1"/>
  <c r="H911" i="1"/>
  <c r="H418" i="1"/>
  <c r="I418" i="1" s="1"/>
  <c r="I417" i="1"/>
  <c r="H110" i="1"/>
  <c r="I109" i="1"/>
  <c r="LD26" i="2"/>
  <c r="MP26" i="2"/>
  <c r="OA26" i="2"/>
  <c r="JQ26" i="2"/>
  <c r="L11" i="2"/>
  <c r="CJ11" i="2"/>
  <c r="DV17" i="2"/>
  <c r="IF8" i="2"/>
  <c r="OB17" i="2"/>
  <c r="CJ5" i="2"/>
  <c r="GT26" i="2"/>
  <c r="GT14" i="2"/>
  <c r="LD14" i="2"/>
  <c r="LD32" i="2"/>
  <c r="IF11" i="2"/>
  <c r="AX17" i="2"/>
  <c r="FH32" i="2"/>
  <c r="CJ8" i="2"/>
  <c r="CJ23" i="2"/>
  <c r="CJ26" i="2"/>
  <c r="DV23" i="2"/>
  <c r="FH11" i="2"/>
  <c r="AX29" i="2"/>
  <c r="FH8" i="2"/>
  <c r="GT23" i="2"/>
  <c r="CJ17" i="2"/>
  <c r="MP11" i="2"/>
  <c r="DV32" i="2"/>
  <c r="AX26" i="2"/>
  <c r="DV11" i="2"/>
  <c r="FH14" i="2"/>
  <c r="LD11" i="2"/>
  <c r="DV14" i="2"/>
  <c r="L8" i="2"/>
  <c r="AX23" i="2"/>
  <c r="AX5" i="2"/>
  <c r="LD5" i="2"/>
  <c r="JR29" i="2"/>
  <c r="AX32" i="2"/>
  <c r="FH23" i="2"/>
  <c r="GT32" i="2"/>
  <c r="L29" i="2"/>
  <c r="OB14" i="2"/>
  <c r="CJ32" i="2"/>
  <c r="MP14" i="2"/>
  <c r="JR23" i="2"/>
  <c r="GT17" i="2"/>
  <c r="FH17" i="2"/>
  <c r="MP23" i="2"/>
  <c r="JR11" i="2"/>
  <c r="DV26" i="2"/>
  <c r="FH26" i="2"/>
  <c r="AX14" i="2"/>
  <c r="IF23" i="2"/>
  <c r="DV5" i="2"/>
  <c r="IF29" i="2"/>
  <c r="CJ14" i="2"/>
  <c r="GT8" i="2"/>
  <c r="L23" i="2"/>
  <c r="LD8" i="2"/>
  <c r="MP17" i="2"/>
  <c r="GT5" i="2"/>
  <c r="IF17" i="2"/>
  <c r="LD29" i="2"/>
  <c r="IF5" i="2"/>
  <c r="DV8" i="2"/>
  <c r="OB23" i="2"/>
  <c r="CJ29" i="2"/>
  <c r="LD23" i="2"/>
  <c r="GT29" i="2"/>
  <c r="MP5" i="2"/>
  <c r="L26" i="2"/>
  <c r="AX8" i="2"/>
  <c r="LD17" i="2"/>
  <c r="FH29" i="2"/>
  <c r="JR17" i="2"/>
  <c r="MP29" i="2"/>
  <c r="OB29" i="2"/>
  <c r="DV29" i="2"/>
  <c r="GT11" i="2"/>
  <c r="MP8" i="2"/>
  <c r="L17" i="2"/>
  <c r="L14" i="2"/>
  <c r="L32" i="2"/>
  <c r="JR14" i="2"/>
  <c r="JR32" i="2"/>
  <c r="OB5" i="2"/>
  <c r="IF14" i="2"/>
  <c r="IF32" i="2"/>
  <c r="AX11" i="2"/>
  <c r="FH5" i="2"/>
  <c r="L5" i="2"/>
  <c r="OB11" i="2"/>
  <c r="IF26" i="2"/>
  <c r="OA11" i="2"/>
  <c r="K5" i="2"/>
  <c r="H37" i="1" l="1"/>
  <c r="I36" i="1"/>
  <c r="I72" i="1"/>
  <c r="H73" i="1"/>
  <c r="H2620" i="1"/>
  <c r="I2619" i="1"/>
  <c r="H2166" i="1"/>
  <c r="I2166" i="1" s="1"/>
  <c r="I2165" i="1"/>
  <c r="H1669" i="1"/>
  <c r="I1668" i="1"/>
  <c r="H1519" i="1"/>
  <c r="I1518" i="1"/>
  <c r="H912" i="1"/>
  <c r="I912" i="1" s="1"/>
  <c r="I911" i="1"/>
  <c r="H111" i="1"/>
  <c r="I110" i="1"/>
  <c r="OB26" i="2"/>
  <c r="MQ26" i="2"/>
  <c r="LE26" i="2"/>
  <c r="JR26" i="2"/>
  <c r="DW23" i="2"/>
  <c r="FI8" i="2"/>
  <c r="CK23" i="2"/>
  <c r="OC17" i="2"/>
  <c r="IG26" i="2"/>
  <c r="JS32" i="2"/>
  <c r="IG5" i="2"/>
  <c r="JS11" i="2"/>
  <c r="MQ17" i="2"/>
  <c r="OC5" i="2"/>
  <c r="M32" i="2"/>
  <c r="DW14" i="2"/>
  <c r="AY23" i="2"/>
  <c r="LE11" i="2"/>
  <c r="CK14" i="2"/>
  <c r="DW8" i="2"/>
  <c r="IG23" i="2"/>
  <c r="CK11" i="2"/>
  <c r="GU26" i="2"/>
  <c r="DW29" i="2"/>
  <c r="OC8" i="2"/>
  <c r="M26" i="2"/>
  <c r="JS17" i="2"/>
  <c r="OC32" i="2"/>
  <c r="M5" i="2"/>
  <c r="GU23" i="2"/>
  <c r="AY32" i="2"/>
  <c r="JS14" i="2"/>
  <c r="AY8" i="2"/>
  <c r="IG11" i="2"/>
  <c r="JS23" i="2"/>
  <c r="AY17" i="2"/>
  <c r="DW17" i="2"/>
  <c r="FI11" i="2"/>
  <c r="FI17" i="2"/>
  <c r="DW26" i="2"/>
  <c r="CK8" i="2"/>
  <c r="DW5" i="2"/>
  <c r="CK26" i="2"/>
  <c r="GU32" i="2"/>
  <c r="FI14" i="2"/>
  <c r="FI29" i="2"/>
  <c r="CK5" i="2"/>
  <c r="M29" i="2"/>
  <c r="GU8" i="2"/>
  <c r="MQ11" i="2"/>
  <c r="MQ29" i="2"/>
  <c r="IG8" i="2"/>
  <c r="DW11" i="2"/>
  <c r="GU11" i="2"/>
  <c r="GU17" i="2"/>
  <c r="MQ23" i="2"/>
  <c r="DW32" i="2"/>
  <c r="LE23" i="2"/>
  <c r="LE32" i="2"/>
  <c r="CK17" i="2"/>
  <c r="AY5" i="2"/>
  <c r="OC23" i="2"/>
  <c r="OC11" i="2"/>
  <c r="LE14" i="2"/>
  <c r="M8" i="2"/>
  <c r="AY14" i="2"/>
  <c r="FI26" i="2"/>
  <c r="M11" i="2"/>
  <c r="M17" i="2"/>
  <c r="M23" i="2"/>
  <c r="MQ32" i="2"/>
  <c r="AY29" i="2"/>
  <c r="IG29" i="2"/>
  <c r="CK32" i="2"/>
  <c r="MQ14" i="2"/>
  <c r="JS8" i="2"/>
  <c r="JS29" i="2"/>
  <c r="GU14" i="2"/>
  <c r="FI32" i="2"/>
  <c r="FI5" i="2"/>
  <c r="AY26" i="2"/>
  <c r="IG17" i="2"/>
  <c r="LE17" i="2"/>
  <c r="GU29" i="2"/>
  <c r="MQ5" i="2"/>
  <c r="OC29" i="2"/>
  <c r="OC14" i="2"/>
  <c r="MQ8" i="2"/>
  <c r="LE29" i="2"/>
  <c r="AY11" i="2"/>
  <c r="IG14" i="2"/>
  <c r="IG32" i="2"/>
  <c r="GU5" i="2"/>
  <c r="FI23" i="2"/>
  <c r="M14" i="2"/>
  <c r="LE8" i="2"/>
  <c r="CK29" i="2"/>
  <c r="H38" i="1" l="1"/>
  <c r="I38" i="1" s="1"/>
  <c r="I37" i="1"/>
  <c r="H74" i="1"/>
  <c r="I73" i="1"/>
  <c r="I2620" i="1"/>
  <c r="H2621" i="1"/>
  <c r="H1670" i="1"/>
  <c r="I1669" i="1"/>
  <c r="H1520" i="1"/>
  <c r="I1520" i="1" s="1"/>
  <c r="I1519" i="1"/>
  <c r="H112" i="1"/>
  <c r="I111" i="1"/>
  <c r="OC26" i="2"/>
  <c r="MR26" i="2"/>
  <c r="LF26" i="2"/>
  <c r="JS26" i="2"/>
  <c r="MR17" i="2"/>
  <c r="CL17" i="2"/>
  <c r="N5" i="2"/>
  <c r="LF11" i="2"/>
  <c r="AZ29" i="2"/>
  <c r="N29" i="2"/>
  <c r="DX23" i="2"/>
  <c r="MR29" i="2"/>
  <c r="JT32" i="2"/>
  <c r="AZ32" i="2"/>
  <c r="JT29" i="2"/>
  <c r="CL29" i="2"/>
  <c r="IH26" i="2"/>
  <c r="GV17" i="2"/>
  <c r="DX26" i="2"/>
  <c r="N14" i="2"/>
  <c r="CL5" i="2"/>
  <c r="CL8" i="2"/>
  <c r="GV23" i="2"/>
  <c r="DX29" i="2"/>
  <c r="OD5" i="2"/>
  <c r="CL14" i="2"/>
  <c r="FJ29" i="2"/>
  <c r="AZ23" i="2"/>
  <c r="LF23" i="2"/>
  <c r="N8" i="2"/>
  <c r="CL26" i="2"/>
  <c r="FJ17" i="2"/>
  <c r="OD17" i="2"/>
  <c r="IH5" i="2"/>
  <c r="CL23" i="2"/>
  <c r="MR8" i="2"/>
  <c r="LF8" i="2"/>
  <c r="IH29" i="2"/>
  <c r="GV29" i="2"/>
  <c r="JT11" i="2"/>
  <c r="LF17" i="2"/>
  <c r="N23" i="2"/>
  <c r="DX8" i="2"/>
  <c r="CL32" i="2"/>
  <c r="LF29" i="2"/>
  <c r="GV8" i="2"/>
  <c r="IH11" i="2"/>
  <c r="AZ5" i="2"/>
  <c r="JT8" i="2"/>
  <c r="OD23" i="2"/>
  <c r="IH17" i="2"/>
  <c r="GV14" i="2"/>
  <c r="LF5" i="2"/>
  <c r="AZ8" i="2"/>
  <c r="GV11" i="2"/>
  <c r="N17" i="2"/>
  <c r="FJ23" i="2"/>
  <c r="AZ14" i="2"/>
  <c r="N26" i="2"/>
  <c r="IH14" i="2"/>
  <c r="GV5" i="2"/>
  <c r="CL11" i="2"/>
  <c r="MR23" i="2"/>
  <c r="FJ5" i="2"/>
  <c r="DX14" i="2"/>
  <c r="DX32" i="2"/>
  <c r="FJ14" i="2"/>
  <c r="OD11" i="2"/>
  <c r="DX11" i="2"/>
  <c r="N32" i="2"/>
  <c r="DX17" i="2"/>
  <c r="JT17" i="2"/>
  <c r="DX5" i="2"/>
  <c r="IH23" i="2"/>
  <c r="GV26" i="2"/>
  <c r="LF14" i="2"/>
  <c r="IH32" i="2"/>
  <c r="AZ11" i="2"/>
  <c r="OD14" i="2"/>
  <c r="AZ26" i="2"/>
  <c r="MR14" i="2"/>
  <c r="FJ32" i="2"/>
  <c r="GV32" i="2"/>
  <c r="JT14" i="2"/>
  <c r="MR5" i="2"/>
  <c r="IH8" i="2"/>
  <c r="AZ17" i="2"/>
  <c r="LF32" i="2"/>
  <c r="FJ26" i="2"/>
  <c r="OD8" i="2"/>
  <c r="JT23" i="2"/>
  <c r="FJ8" i="2"/>
  <c r="MR11" i="2"/>
  <c r="OD29" i="2"/>
  <c r="N11" i="2"/>
  <c r="FJ11" i="2"/>
  <c r="H75" i="1" l="1"/>
  <c r="I74" i="1"/>
  <c r="H2622" i="1"/>
  <c r="I2622" i="1" s="1"/>
  <c r="I2621" i="1"/>
  <c r="H1671" i="1"/>
  <c r="I1670" i="1"/>
  <c r="H113" i="1"/>
  <c r="I112" i="1"/>
  <c r="OD26" i="2"/>
  <c r="LG26" i="2"/>
  <c r="MS26" i="2"/>
  <c r="JT26" i="2"/>
  <c r="FK11" i="2"/>
  <c r="LG17" i="2"/>
  <c r="DY17" i="2"/>
  <c r="MS5" i="2"/>
  <c r="OE23" i="2"/>
  <c r="DY23" i="2"/>
  <c r="II17" i="2"/>
  <c r="BA14" i="2"/>
  <c r="FK23" i="2"/>
  <c r="GW26" i="2"/>
  <c r="DY26" i="2"/>
  <c r="MS17" i="2"/>
  <c r="OE29" i="2"/>
  <c r="CM5" i="2"/>
  <c r="MS29" i="2"/>
  <c r="MS14" i="2"/>
  <c r="BA32" i="2"/>
  <c r="JU32" i="2"/>
  <c r="JU8" i="2"/>
  <c r="CM29" i="2"/>
  <c r="MS11" i="2"/>
  <c r="II26" i="2"/>
  <c r="CM8" i="2"/>
  <c r="BA8" i="2"/>
  <c r="LG29" i="2"/>
  <c r="GW32" i="2"/>
  <c r="BA17" i="2"/>
  <c r="BA5" i="2"/>
  <c r="LG8" i="2"/>
  <c r="JU29" i="2"/>
  <c r="DY32" i="2"/>
  <c r="II11" i="2"/>
  <c r="GW29" i="2"/>
  <c r="CM23" i="2"/>
  <c r="OE32" i="2"/>
  <c r="GW14" i="2"/>
  <c r="FK8" i="2"/>
  <c r="II29" i="2"/>
  <c r="OE14" i="2"/>
  <c r="DY8" i="2"/>
  <c r="DY29" i="2"/>
  <c r="FK29" i="2"/>
  <c r="CM17" i="2"/>
  <c r="CM14" i="2"/>
  <c r="O8" i="2"/>
  <c r="DY11" i="2"/>
  <c r="II23" i="2"/>
  <c r="CM26" i="2"/>
  <c r="LG5" i="2"/>
  <c r="FK17" i="2"/>
  <c r="II5" i="2"/>
  <c r="O32" i="2"/>
  <c r="GW5" i="2"/>
  <c r="JU23" i="2"/>
  <c r="O5" i="2"/>
  <c r="JU17" i="2"/>
  <c r="O23" i="2"/>
  <c r="LG11" i="2"/>
  <c r="MS23" i="2"/>
  <c r="GW8" i="2"/>
  <c r="OE11" i="2"/>
  <c r="LG32" i="2"/>
  <c r="GW17" i="2"/>
  <c r="OE5" i="2"/>
  <c r="CM11" i="2"/>
  <c r="JU14" i="2"/>
  <c r="O17" i="2"/>
  <c r="DY5" i="2"/>
  <c r="BA29" i="2"/>
  <c r="II32" i="2"/>
  <c r="FK5" i="2"/>
  <c r="BA26" i="2"/>
  <c r="FK26" i="2"/>
  <c r="OE17" i="2"/>
  <c r="O14" i="2"/>
  <c r="GW11" i="2"/>
  <c r="CM32" i="2"/>
  <c r="FK32" i="2"/>
  <c r="FK14" i="2"/>
  <c r="MS32" i="2"/>
  <c r="LG14" i="2"/>
  <c r="BA23" i="2"/>
  <c r="MS8" i="2"/>
  <c r="O29" i="2"/>
  <c r="II14" i="2"/>
  <c r="DY14" i="2"/>
  <c r="II8" i="2"/>
  <c r="O11" i="2"/>
  <c r="GW23" i="2"/>
  <c r="O26" i="2"/>
  <c r="BA11" i="2"/>
  <c r="H76" i="1" l="1"/>
  <c r="I76" i="1" s="1"/>
  <c r="I75" i="1"/>
  <c r="I1671" i="1"/>
  <c r="H1672" i="1"/>
  <c r="I1672" i="1" s="1"/>
  <c r="H114" i="1"/>
  <c r="I114" i="1" s="1"/>
  <c r="I113" i="1"/>
  <c r="LH26" i="2"/>
  <c r="MT26" i="2"/>
  <c r="OE26" i="2"/>
  <c r="JU26" i="2"/>
  <c r="GX32" i="2"/>
  <c r="DZ26" i="2"/>
  <c r="P11" i="2"/>
  <c r="IJ29" i="2"/>
  <c r="LH14" i="2"/>
  <c r="GX23" i="2"/>
  <c r="BB32" i="2"/>
  <c r="DZ8" i="2"/>
  <c r="BB17" i="2"/>
  <c r="CN32" i="2"/>
  <c r="IJ17" i="2"/>
  <c r="DZ11" i="2"/>
  <c r="JV32" i="2"/>
  <c r="OF23" i="2"/>
  <c r="FL5" i="2"/>
  <c r="BB8" i="2"/>
  <c r="BB5" i="2"/>
  <c r="P29" i="2"/>
  <c r="DZ14" i="2"/>
  <c r="CN29" i="2"/>
  <c r="CN17" i="2"/>
  <c r="JV8" i="2"/>
  <c r="DZ5" i="2"/>
  <c r="MT17" i="2"/>
  <c r="GX26" i="2"/>
  <c r="IJ8" i="2"/>
  <c r="CN11" i="2"/>
  <c r="MT14" i="2"/>
  <c r="JV23" i="2"/>
  <c r="FL17" i="2"/>
  <c r="BB29" i="2"/>
  <c r="GX14" i="2"/>
  <c r="MT5" i="2"/>
  <c r="OF11" i="2"/>
  <c r="LH29" i="2"/>
  <c r="P14" i="2"/>
  <c r="OF17" i="2"/>
  <c r="JV14" i="2"/>
  <c r="FL26" i="2"/>
  <c r="MT23" i="2"/>
  <c r="IJ32" i="2"/>
  <c r="BB11" i="2"/>
  <c r="FL8" i="2"/>
  <c r="IJ5" i="2"/>
  <c r="GX8" i="2"/>
  <c r="OF5" i="2"/>
  <c r="BB26" i="2"/>
  <c r="LH23" i="2"/>
  <c r="FL32" i="2"/>
  <c r="CN23" i="2"/>
  <c r="GX17" i="2"/>
  <c r="GX5" i="2"/>
  <c r="DZ29" i="2"/>
  <c r="OF29" i="2"/>
  <c r="MT29" i="2"/>
  <c r="BB14" i="2"/>
  <c r="FL23" i="2"/>
  <c r="LH32" i="2"/>
  <c r="LH8" i="2"/>
  <c r="LH5" i="2"/>
  <c r="LH17" i="2"/>
  <c r="CN5" i="2"/>
  <c r="IJ11" i="2"/>
  <c r="GX11" i="2"/>
  <c r="IJ23" i="2"/>
  <c r="CN8" i="2"/>
  <c r="P5" i="2"/>
  <c r="JV17" i="2"/>
  <c r="DZ23" i="2"/>
  <c r="JV29" i="2"/>
  <c r="FL14" i="2"/>
  <c r="DZ32" i="2"/>
  <c r="P8" i="2"/>
  <c r="P17" i="2"/>
  <c r="FL11" i="2"/>
  <c r="FL29" i="2"/>
  <c r="OF14" i="2"/>
  <c r="CN26" i="2"/>
  <c r="MT11" i="2"/>
  <c r="BB23" i="2"/>
  <c r="P32" i="2"/>
  <c r="GX29" i="2"/>
  <c r="IJ14" i="2"/>
  <c r="DZ17" i="2"/>
  <c r="JV11" i="2"/>
  <c r="CN14" i="2"/>
  <c r="P23" i="2"/>
  <c r="P26" i="2"/>
  <c r="LH11" i="2"/>
  <c r="IJ26" i="2"/>
  <c r="OF26" i="2" l="1"/>
  <c r="LI26" i="2"/>
  <c r="MU26" i="2"/>
  <c r="JV26" i="2"/>
  <c r="Q8" i="2"/>
  <c r="GY26" i="2"/>
  <c r="LI8" i="2"/>
  <c r="JW17" i="2"/>
  <c r="JW29" i="2"/>
  <c r="Q11" i="2"/>
  <c r="OG5" i="2"/>
  <c r="BC17" i="2"/>
  <c r="LI14" i="2"/>
  <c r="Q32" i="2"/>
  <c r="GY32" i="2"/>
  <c r="JW23" i="2"/>
  <c r="IK14" i="2"/>
  <c r="MU29" i="2"/>
  <c r="JW8" i="2"/>
  <c r="BC32" i="2"/>
  <c r="CO32" i="2"/>
  <c r="EA23" i="2"/>
  <c r="IK32" i="2"/>
  <c r="GY29" i="2"/>
  <c r="BC14" i="2"/>
  <c r="FM26" i="2"/>
  <c r="CO26" i="2"/>
  <c r="LI32" i="2"/>
  <c r="IK23" i="2"/>
  <c r="IK8" i="2"/>
  <c r="BC23" i="2"/>
  <c r="MU17" i="2"/>
  <c r="Q29" i="2"/>
  <c r="BC11" i="2"/>
  <c r="FM5" i="2"/>
  <c r="OG17" i="2"/>
  <c r="BC5" i="2"/>
  <c r="Q5" i="2"/>
  <c r="Q14" i="2"/>
  <c r="FM17" i="2"/>
  <c r="IK26" i="2"/>
  <c r="BC29" i="2"/>
  <c r="EA11" i="2"/>
  <c r="EA14" i="2"/>
  <c r="IK5" i="2"/>
  <c r="Q26" i="2"/>
  <c r="CO8" i="2"/>
  <c r="GY23" i="2"/>
  <c r="CO14" i="2"/>
  <c r="JW32" i="2"/>
  <c r="CO29" i="2"/>
  <c r="LI11" i="2"/>
  <c r="GY8" i="2"/>
  <c r="CO5" i="2"/>
  <c r="OG29" i="2"/>
  <c r="IK29" i="2"/>
  <c r="GY11" i="2"/>
  <c r="JW14" i="2"/>
  <c r="EA26" i="2"/>
  <c r="EA8" i="2"/>
  <c r="EA32" i="2"/>
  <c r="OG32" i="2"/>
  <c r="IK17" i="2"/>
  <c r="FM32" i="2"/>
  <c r="MU14" i="2"/>
  <c r="MU23" i="2"/>
  <c r="MU11" i="2"/>
  <c r="GY14" i="2"/>
  <c r="MU32" i="2"/>
  <c r="Q23" i="2"/>
  <c r="FM11" i="2"/>
  <c r="EA29" i="2"/>
  <c r="GY17" i="2"/>
  <c r="BC8" i="2"/>
  <c r="Q17" i="2"/>
  <c r="FM29" i="2"/>
  <c r="FM14" i="2"/>
  <c r="FM23" i="2"/>
  <c r="LI29" i="2"/>
  <c r="BC26" i="2"/>
  <c r="OG8" i="2"/>
  <c r="LI23" i="2"/>
  <c r="OG11" i="2"/>
  <c r="OG14" i="2"/>
  <c r="CO11" i="2"/>
  <c r="OG23" i="2"/>
  <c r="MU8" i="2"/>
  <c r="CO17" i="2"/>
  <c r="GY5" i="2"/>
  <c r="EA17" i="2"/>
  <c r="JW11" i="2"/>
  <c r="EA5" i="2"/>
  <c r="LI17" i="2"/>
  <c r="FM8" i="2"/>
  <c r="CO23" i="2"/>
  <c r="IK11" i="2"/>
  <c r="LJ26" i="2" l="1"/>
  <c r="MV26" i="2"/>
  <c r="OG26" i="2"/>
  <c r="JW26" i="2"/>
  <c r="EB26" i="2"/>
  <c r="GZ14" i="2"/>
  <c r="MV29" i="2"/>
  <c r="BD14" i="2"/>
  <c r="OH5" i="2"/>
  <c r="FN26" i="2"/>
  <c r="IL17" i="2"/>
  <c r="CP8" i="2"/>
  <c r="LJ29" i="2"/>
  <c r="GZ8" i="2"/>
  <c r="IL26" i="2"/>
  <c r="MV14" i="2"/>
  <c r="BD11" i="2"/>
  <c r="JX29" i="2"/>
  <c r="FN14" i="2"/>
  <c r="R23" i="2"/>
  <c r="FN8" i="2"/>
  <c r="R8" i="2"/>
  <c r="CP5" i="2"/>
  <c r="FN5" i="2"/>
  <c r="R26" i="2"/>
  <c r="R5" i="2"/>
  <c r="CP26" i="2"/>
  <c r="R11" i="2"/>
  <c r="EB17" i="2"/>
  <c r="FN32" i="2"/>
  <c r="GZ26" i="2"/>
  <c r="LJ17" i="2"/>
  <c r="FN17" i="2"/>
  <c r="EB23" i="2"/>
  <c r="BD32" i="2"/>
  <c r="IL11" i="2"/>
  <c r="OH17" i="2"/>
  <c r="JX23" i="2"/>
  <c r="BD23" i="2"/>
  <c r="R14" i="2"/>
  <c r="JX14" i="2"/>
  <c r="GZ29" i="2"/>
  <c r="IL14" i="2"/>
  <c r="BD17" i="2"/>
  <c r="EB5" i="2"/>
  <c r="JX8" i="2"/>
  <c r="GZ11" i="2"/>
  <c r="FN29" i="2"/>
  <c r="OH14" i="2"/>
  <c r="R32" i="2"/>
  <c r="CP11" i="2"/>
  <c r="OH8" i="2"/>
  <c r="MV23" i="2"/>
  <c r="FN23" i="2"/>
  <c r="BD26" i="2"/>
  <c r="CP29" i="2"/>
  <c r="MV8" i="2"/>
  <c r="CP32" i="2"/>
  <c r="IL29" i="2"/>
  <c r="LJ14" i="2"/>
  <c r="MV5" i="2"/>
  <c r="OH32" i="2"/>
  <c r="CP14" i="2"/>
  <c r="EB11" i="2"/>
  <c r="BD8" i="2"/>
  <c r="EB8" i="2"/>
  <c r="IL23" i="2"/>
  <c r="BD29" i="2"/>
  <c r="LJ8" i="2"/>
  <c r="GZ32" i="2"/>
  <c r="FN11" i="2"/>
  <c r="GZ23" i="2"/>
  <c r="GZ17" i="2"/>
  <c r="MV11" i="2"/>
  <c r="IL5" i="2"/>
  <c r="MV32" i="2"/>
  <c r="CP23" i="2"/>
  <c r="EB32" i="2"/>
  <c r="JX32" i="2"/>
  <c r="LJ11" i="2"/>
  <c r="CP17" i="2"/>
  <c r="R17" i="2"/>
  <c r="BD5" i="2"/>
  <c r="EB29" i="2"/>
  <c r="JX17" i="2"/>
  <c r="LJ32" i="2"/>
  <c r="OH29" i="2"/>
  <c r="IL8" i="2"/>
  <c r="R29" i="2"/>
  <c r="EB14" i="2"/>
  <c r="GZ5" i="2"/>
  <c r="IL32" i="2"/>
  <c r="MV17" i="2"/>
  <c r="OH26" i="2" l="1"/>
  <c r="LK26" i="2"/>
  <c r="MW26" i="2"/>
  <c r="JX26" i="2"/>
  <c r="HA11" i="2"/>
  <c r="BE14" i="2"/>
  <c r="LK14" i="2"/>
  <c r="MW32" i="2"/>
  <c r="OI29" i="2"/>
  <c r="MW11" i="2"/>
  <c r="MW8" i="2"/>
  <c r="IM29" i="2"/>
  <c r="MW29" i="2"/>
  <c r="HA5" i="2"/>
  <c r="FO5" i="2"/>
  <c r="BE11" i="2"/>
  <c r="LK8" i="2"/>
  <c r="EC11" i="2"/>
  <c r="BE26" i="2"/>
  <c r="EC8" i="2"/>
  <c r="FO29" i="2"/>
  <c r="CQ11" i="2"/>
  <c r="S26" i="2"/>
  <c r="OI11" i="2"/>
  <c r="FO26" i="2"/>
  <c r="MW14" i="2"/>
  <c r="HA26" i="2"/>
  <c r="EC26" i="2"/>
  <c r="S14" i="2"/>
  <c r="LK29" i="2"/>
  <c r="CQ29" i="2"/>
  <c r="BE8" i="2"/>
  <c r="IM5" i="2"/>
  <c r="OI5" i="2"/>
  <c r="FO17" i="2"/>
  <c r="IM26" i="2"/>
  <c r="CQ8" i="2"/>
  <c r="JY29" i="2"/>
  <c r="S17" i="2"/>
  <c r="CQ17" i="2"/>
  <c r="EC14" i="2"/>
  <c r="CQ5" i="2"/>
  <c r="IM11" i="2"/>
  <c r="JY14" i="2"/>
  <c r="MW5" i="2"/>
  <c r="CQ23" i="2"/>
  <c r="EC17" i="2"/>
  <c r="OI23" i="2"/>
  <c r="MW23" i="2"/>
  <c r="LK32" i="2"/>
  <c r="CQ14" i="2"/>
  <c r="BE29" i="2"/>
  <c r="OI17" i="2"/>
  <c r="JY23" i="2"/>
  <c r="BE32" i="2"/>
  <c r="LK11" i="2"/>
  <c r="EC29" i="2"/>
  <c r="HA14" i="2"/>
  <c r="LK5" i="2"/>
  <c r="BE5" i="2"/>
  <c r="BE23" i="2"/>
  <c r="IM17" i="2"/>
  <c r="IM14" i="2"/>
  <c r="FO14" i="2"/>
  <c r="OI14" i="2"/>
  <c r="MW17" i="2"/>
  <c r="HA23" i="2"/>
  <c r="HA32" i="2"/>
  <c r="LK17" i="2"/>
  <c r="IM32" i="2"/>
  <c r="S23" i="2"/>
  <c r="JY32" i="2"/>
  <c r="S11" i="2"/>
  <c r="JY8" i="2"/>
  <c r="JY11" i="2"/>
  <c r="S8" i="2"/>
  <c r="S5" i="2"/>
  <c r="LK23" i="2"/>
  <c r="FO23" i="2"/>
  <c r="S32" i="2"/>
  <c r="BE17" i="2"/>
  <c r="EC23" i="2"/>
  <c r="FO8" i="2"/>
  <c r="EC32" i="2"/>
  <c r="FO32" i="2"/>
  <c r="EC5" i="2"/>
  <c r="HA17" i="2"/>
  <c r="OI8" i="2"/>
  <c r="OI32" i="2"/>
  <c r="HA29" i="2"/>
  <c r="FO11" i="2"/>
  <c r="IM8" i="2"/>
  <c r="HA8" i="2"/>
  <c r="CQ26" i="2"/>
  <c r="IM23" i="2"/>
  <c r="CQ32" i="2"/>
  <c r="JY17" i="2"/>
  <c r="S29" i="2"/>
  <c r="OI26" i="2" l="1"/>
  <c r="MX26" i="2"/>
  <c r="JY26" i="2"/>
  <c r="JZ29" i="2"/>
  <c r="T23" i="2"/>
  <c r="LL11" i="2"/>
  <c r="OJ29" i="2"/>
  <c r="CR32" i="2"/>
  <c r="MX29" i="2"/>
  <c r="CR14" i="2"/>
  <c r="CR11" i="2"/>
  <c r="FP17" i="2"/>
  <c r="JZ23" i="2"/>
  <c r="IN8" i="2"/>
  <c r="LL14" i="2"/>
  <c r="ED11" i="2"/>
  <c r="BF8" i="2"/>
  <c r="T26" i="2"/>
  <c r="OJ23" i="2"/>
  <c r="OJ8" i="2"/>
  <c r="FP8" i="2"/>
  <c r="HB14" i="2"/>
  <c r="BF23" i="2"/>
  <c r="HB29" i="2"/>
  <c r="IN17" i="2"/>
  <c r="JZ14" i="2"/>
  <c r="IN11" i="2"/>
  <c r="HB32" i="2"/>
  <c r="FP23" i="2"/>
  <c r="ED5" i="2"/>
  <c r="MX5" i="2"/>
  <c r="BF29" i="2"/>
  <c r="OJ32" i="2"/>
  <c r="HB17" i="2"/>
  <c r="ED32" i="2"/>
  <c r="JZ8" i="2"/>
  <c r="ED26" i="2"/>
  <c r="CR29" i="2"/>
  <c r="FP5" i="2"/>
  <c r="MX32" i="2"/>
  <c r="MX8" i="2"/>
  <c r="BF5" i="2"/>
  <c r="ED23" i="2"/>
  <c r="OJ5" i="2"/>
  <c r="HB26" i="2"/>
  <c r="T29" i="2"/>
  <c r="OJ17" i="2"/>
  <c r="IN14" i="2"/>
  <c r="LL29" i="2"/>
  <c r="LL32" i="2"/>
  <c r="HB8" i="2"/>
  <c r="CR8" i="2"/>
  <c r="CR23" i="2"/>
  <c r="IN23" i="2"/>
  <c r="BF17" i="2"/>
  <c r="T5" i="2"/>
  <c r="ED29" i="2"/>
  <c r="CR17" i="2"/>
  <c r="IN5" i="2"/>
  <c r="FP26" i="2"/>
  <c r="MX23" i="2"/>
  <c r="CR5" i="2"/>
  <c r="ED14" i="2"/>
  <c r="T11" i="2"/>
  <c r="FP29" i="2"/>
  <c r="LL17" i="2"/>
  <c r="FP11" i="2"/>
  <c r="T32" i="2"/>
  <c r="ED17" i="2"/>
  <c r="MX17" i="2"/>
  <c r="BF26" i="2"/>
  <c r="IN32" i="2"/>
  <c r="MX11" i="2"/>
  <c r="IN26" i="2"/>
  <c r="T8" i="2"/>
  <c r="LL23" i="2"/>
  <c r="IN29" i="2"/>
  <c r="LL5" i="2"/>
  <c r="BF11" i="2"/>
  <c r="LL8" i="2"/>
  <c r="MX14" i="2"/>
  <c r="JZ32" i="2"/>
  <c r="FP14" i="2"/>
  <c r="JZ11" i="2"/>
  <c r="OJ11" i="2"/>
  <c r="OJ14" i="2"/>
  <c r="HB11" i="2"/>
  <c r="ED8" i="2"/>
  <c r="HB5" i="2"/>
  <c r="JZ17" i="2"/>
  <c r="BF32" i="2"/>
  <c r="CR26" i="2"/>
  <c r="BF14" i="2"/>
  <c r="FP32" i="2"/>
  <c r="HB23" i="2"/>
  <c r="T17" i="2"/>
  <c r="T14" i="2"/>
  <c r="OJ26" i="2" l="1"/>
  <c r="MY26" i="2"/>
  <c r="JZ26" i="2"/>
  <c r="LL26" i="2"/>
  <c r="HC29" i="2"/>
  <c r="BG26" i="2"/>
  <c r="EE8" i="2"/>
  <c r="BG5" i="2"/>
  <c r="OK8" i="2"/>
  <c r="OK23" i="2"/>
  <c r="FQ17" i="2"/>
  <c r="U11" i="2"/>
  <c r="U29" i="2"/>
  <c r="U14" i="2"/>
  <c r="U17" i="2"/>
  <c r="CS5" i="2"/>
  <c r="IO32" i="2"/>
  <c r="EE26" i="2"/>
  <c r="IO17" i="2"/>
  <c r="IO5" i="2"/>
  <c r="EE17" i="2"/>
  <c r="HC11" i="2"/>
  <c r="CS17" i="2"/>
  <c r="LM32" i="2"/>
  <c r="HC14" i="2"/>
  <c r="FQ14" i="2"/>
  <c r="EE29" i="2"/>
  <c r="EE14" i="2"/>
  <c r="EE23" i="2"/>
  <c r="HC32" i="2"/>
  <c r="LM17" i="2"/>
  <c r="MY11" i="2"/>
  <c r="FQ8" i="2"/>
  <c r="BG23" i="2"/>
  <c r="BG8" i="2"/>
  <c r="BG32" i="2"/>
  <c r="LM5" i="2"/>
  <c r="OK29" i="2"/>
  <c r="OK14" i="2"/>
  <c r="IO29" i="2"/>
  <c r="HC8" i="2"/>
  <c r="EE32" i="2"/>
  <c r="OK11" i="2"/>
  <c r="HC23" i="2"/>
  <c r="MY29" i="2"/>
  <c r="IO14" i="2"/>
  <c r="U5" i="2"/>
  <c r="MY32" i="2"/>
  <c r="FQ5" i="2"/>
  <c r="U8" i="2"/>
  <c r="MY17" i="2"/>
  <c r="FQ26" i="2"/>
  <c r="LM29" i="2"/>
  <c r="CS14" i="2"/>
  <c r="LM11" i="2"/>
  <c r="BG11" i="2"/>
  <c r="HC5" i="2"/>
  <c r="EE5" i="2"/>
  <c r="MY23" i="2"/>
  <c r="IO8" i="2"/>
  <c r="U32" i="2"/>
  <c r="CS11" i="2"/>
  <c r="OK17" i="2"/>
  <c r="FQ11" i="2"/>
  <c r="OK5" i="2"/>
  <c r="IO23" i="2"/>
  <c r="CS8" i="2"/>
  <c r="IO26" i="2"/>
  <c r="OK32" i="2"/>
  <c r="IO11" i="2"/>
  <c r="HC26" i="2"/>
  <c r="KA32" i="2"/>
  <c r="EE11" i="2"/>
  <c r="FQ29" i="2"/>
  <c r="LM23" i="2"/>
  <c r="MY8" i="2"/>
  <c r="CS23" i="2"/>
  <c r="HC17" i="2"/>
  <c r="BG14" i="2"/>
  <c r="BG17" i="2"/>
  <c r="MY5" i="2"/>
  <c r="BG29" i="2"/>
  <c r="KA29" i="2"/>
  <c r="LM14" i="2"/>
  <c r="FQ23" i="2"/>
  <c r="LM8" i="2"/>
  <c r="KA17" i="2"/>
  <c r="U26" i="2"/>
  <c r="FQ32" i="2"/>
  <c r="CS29" i="2"/>
  <c r="MY14" i="2"/>
  <c r="KA8" i="2"/>
  <c r="U23" i="2"/>
  <c r="CS26" i="2"/>
  <c r="KA23" i="2"/>
  <c r="CS32" i="2"/>
  <c r="KA11" i="2"/>
  <c r="OK26" i="2" l="1"/>
  <c r="MZ26" i="2"/>
  <c r="KA26" i="2"/>
  <c r="HD11" i="2"/>
  <c r="FR14" i="2"/>
  <c r="HD14" i="2"/>
  <c r="EF17" i="2"/>
  <c r="BH23" i="2"/>
  <c r="MZ17" i="2"/>
  <c r="IP8" i="2"/>
  <c r="V29" i="2"/>
  <c r="EF14" i="2"/>
  <c r="KB17" i="2"/>
  <c r="V8" i="2"/>
  <c r="MZ29" i="2"/>
  <c r="BH14" i="2"/>
  <c r="FR23" i="2"/>
  <c r="CT8" i="2"/>
  <c r="FR29" i="2"/>
  <c r="OL14" i="2"/>
  <c r="HD5" i="2"/>
  <c r="MZ14" i="2"/>
  <c r="V5" i="2"/>
  <c r="V26" i="2"/>
  <c r="BH17" i="2"/>
  <c r="LN23" i="2"/>
  <c r="IP26" i="2"/>
  <c r="EF5" i="2"/>
  <c r="IP23" i="2"/>
  <c r="CT14" i="2"/>
  <c r="EF8" i="2"/>
  <c r="IP11" i="2"/>
  <c r="MZ5" i="2"/>
  <c r="FR17" i="2"/>
  <c r="EF26" i="2"/>
  <c r="EF11" i="2"/>
  <c r="HD23" i="2"/>
  <c r="V32" i="2"/>
  <c r="V23" i="2"/>
  <c r="OL8" i="2"/>
  <c r="BH8" i="2"/>
  <c r="BH26" i="2"/>
  <c r="KB8" i="2"/>
  <c r="EF29" i="2"/>
  <c r="EF32" i="2"/>
  <c r="EF23" i="2"/>
  <c r="IP17" i="2"/>
  <c r="HD32" i="2"/>
  <c r="OL23" i="2"/>
  <c r="FR11" i="2"/>
  <c r="BH5" i="2"/>
  <c r="HD8" i="2"/>
  <c r="CT29" i="2"/>
  <c r="KB14" i="2"/>
  <c r="KB29" i="2"/>
  <c r="MZ32" i="2"/>
  <c r="MZ23" i="2"/>
  <c r="MZ8" i="2"/>
  <c r="OL29" i="2"/>
  <c r="IP14" i="2"/>
  <c r="V17" i="2"/>
  <c r="V11" i="2"/>
  <c r="KB23" i="2"/>
  <c r="KB11" i="2"/>
  <c r="LN8" i="2"/>
  <c r="LN29" i="2"/>
  <c r="V14" i="2"/>
  <c r="MZ11" i="2"/>
  <c r="OL5" i="2"/>
  <c r="IP5" i="2"/>
  <c r="OL32" i="2"/>
  <c r="LN11" i="2"/>
  <c r="CT5" i="2"/>
  <c r="BH29" i="2"/>
  <c r="LN17" i="2"/>
  <c r="IP29" i="2"/>
  <c r="HD17" i="2"/>
  <c r="HD26" i="2"/>
  <c r="BH32" i="2"/>
  <c r="FR5" i="2"/>
  <c r="OL17" i="2"/>
  <c r="FR26" i="2"/>
  <c r="IP32" i="2"/>
  <c r="BH11" i="2"/>
  <c r="LN5" i="2"/>
  <c r="CT32" i="2"/>
  <c r="FR8" i="2"/>
  <c r="CT17" i="2"/>
  <c r="LN14" i="2"/>
  <c r="KB32" i="2"/>
  <c r="CT26" i="2"/>
  <c r="HD29" i="2"/>
  <c r="LN32" i="2"/>
  <c r="CT23" i="2"/>
  <c r="FR32" i="2"/>
  <c r="CT11" i="2"/>
  <c r="LO26" i="2" l="1"/>
  <c r="NA26" i="2"/>
  <c r="OL26" i="2"/>
  <c r="KB26" i="2"/>
  <c r="LN26" i="2"/>
  <c r="W8" i="2"/>
  <c r="FS23" i="2"/>
  <c r="LO11" i="2"/>
  <c r="KC32" i="2"/>
  <c r="LO17" i="2"/>
  <c r="KC14" i="2"/>
  <c r="OM14" i="2"/>
  <c r="IQ8" i="2"/>
  <c r="OM5" i="2"/>
  <c r="NA23" i="2"/>
  <c r="BI32" i="2"/>
  <c r="KC17" i="2"/>
  <c r="KC11" i="2"/>
  <c r="HE29" i="2"/>
  <c r="W29" i="2"/>
  <c r="LO8" i="2"/>
  <c r="KC29" i="2"/>
  <c r="EG32" i="2"/>
  <c r="BI26" i="2"/>
  <c r="FS14" i="2"/>
  <c r="IQ32" i="2"/>
  <c r="CU26" i="2"/>
  <c r="W11" i="2"/>
  <c r="EG29" i="2"/>
  <c r="IQ5" i="2"/>
  <c r="CU23" i="2"/>
  <c r="FS11" i="2"/>
  <c r="CU29" i="2"/>
  <c r="W5" i="2"/>
  <c r="OM23" i="2"/>
  <c r="FS29" i="2"/>
  <c r="EG26" i="2"/>
  <c r="NA17" i="2"/>
  <c r="W26" i="2"/>
  <c r="HE14" i="2"/>
  <c r="CU8" i="2"/>
  <c r="KC23" i="2"/>
  <c r="EG11" i="2"/>
  <c r="CU5" i="2"/>
  <c r="IQ11" i="2"/>
  <c r="EG5" i="2"/>
  <c r="IQ23" i="2"/>
  <c r="FS5" i="2"/>
  <c r="HE17" i="2"/>
  <c r="HE32" i="2"/>
  <c r="W14" i="2"/>
  <c r="OM17" i="2"/>
  <c r="BI14" i="2"/>
  <c r="HE23" i="2"/>
  <c r="FS8" i="2"/>
  <c r="OM29" i="2"/>
  <c r="CU32" i="2"/>
  <c r="NA14" i="2"/>
  <c r="BI17" i="2"/>
  <c r="BI8" i="2"/>
  <c r="W17" i="2"/>
  <c r="OM32" i="2"/>
  <c r="EG14" i="2"/>
  <c r="LO29" i="2"/>
  <c r="W32" i="2"/>
  <c r="NA29" i="2"/>
  <c r="BI5" i="2"/>
  <c r="IQ26" i="2"/>
  <c r="IQ29" i="2"/>
  <c r="KC8" i="2"/>
  <c r="NA32" i="2"/>
  <c r="HE26" i="2"/>
  <c r="IQ14" i="2"/>
  <c r="LO23" i="2"/>
  <c r="FS26" i="2"/>
  <c r="CU11" i="2"/>
  <c r="BI23" i="2"/>
  <c r="FS32" i="2"/>
  <c r="HE11" i="2"/>
  <c r="EG8" i="2"/>
  <c r="FS17" i="2"/>
  <c r="CU14" i="2"/>
  <c r="EG23" i="2"/>
  <c r="BI11" i="2"/>
  <c r="BI29" i="2"/>
  <c r="LO5" i="2"/>
  <c r="CU17" i="2"/>
  <c r="NA5" i="2"/>
  <c r="W23" i="2"/>
  <c r="OM11" i="2"/>
  <c r="NA11" i="2"/>
  <c r="IQ17" i="2"/>
  <c r="HE5" i="2"/>
  <c r="EG17" i="2"/>
  <c r="LO14" i="2"/>
  <c r="LO32" i="2"/>
  <c r="HE8" i="2"/>
  <c r="NB26" i="2" l="1"/>
  <c r="OM26" i="2"/>
  <c r="KC26" i="2"/>
  <c r="ME26" i="2"/>
  <c r="FT8" i="2"/>
  <c r="IR26" i="2"/>
  <c r="X32" i="2"/>
  <c r="LP5" i="2"/>
  <c r="X11" i="2"/>
  <c r="CV5" i="2"/>
  <c r="KD11" i="2"/>
  <c r="KD17" i="2"/>
  <c r="ON17" i="2"/>
  <c r="X26" i="2"/>
  <c r="NB32" i="2"/>
  <c r="X29" i="2"/>
  <c r="EH14" i="2"/>
  <c r="ON23" i="2"/>
  <c r="LP29" i="2"/>
  <c r="X14" i="2"/>
  <c r="KD32" i="2"/>
  <c r="ON29" i="2"/>
  <c r="LP23" i="2"/>
  <c r="EH26" i="2"/>
  <c r="EH29" i="2"/>
  <c r="CV23" i="2"/>
  <c r="FT32" i="2"/>
  <c r="NB11" i="2"/>
  <c r="NB14" i="2"/>
  <c r="CV26" i="2"/>
  <c r="CV29" i="2"/>
  <c r="NB29" i="2"/>
  <c r="X23" i="2"/>
  <c r="FT5" i="2"/>
  <c r="ON32" i="2"/>
  <c r="LP11" i="2"/>
  <c r="FT23" i="2"/>
  <c r="KD8" i="2"/>
  <c r="FT14" i="2"/>
  <c r="HF8" i="2"/>
  <c r="FT17" i="2"/>
  <c r="IR8" i="2"/>
  <c r="KD29" i="2"/>
  <c r="CV32" i="2"/>
  <c r="FT29" i="2"/>
  <c r="IR23" i="2"/>
  <c r="EH8" i="2"/>
  <c r="EH11" i="2"/>
  <c r="EH5" i="2"/>
  <c r="CV11" i="2"/>
  <c r="IR17" i="2"/>
  <c r="HF26" i="2"/>
  <c r="CV14" i="2"/>
  <c r="X17" i="2"/>
  <c r="CV8" i="2"/>
  <c r="NB5" i="2"/>
  <c r="IR32" i="2"/>
  <c r="EH17" i="2"/>
  <c r="HF32" i="2"/>
  <c r="HF14" i="2"/>
  <c r="KD23" i="2"/>
  <c r="LP17" i="2"/>
  <c r="CV17" i="2"/>
  <c r="NB17" i="2"/>
  <c r="FT26" i="2"/>
  <c r="LP32" i="2"/>
  <c r="HF29" i="2"/>
  <c r="IR14" i="2"/>
  <c r="EH23" i="2"/>
  <c r="ON8" i="2"/>
  <c r="HF5" i="2"/>
  <c r="IR11" i="2"/>
  <c r="HF11" i="2"/>
  <c r="IR5" i="2"/>
  <c r="ON5" i="2"/>
  <c r="FT11" i="2"/>
  <c r="IR29" i="2"/>
  <c r="LP14" i="2"/>
  <c r="NB23" i="2"/>
  <c r="HF17" i="2"/>
  <c r="EH32" i="2"/>
  <c r="HF23" i="2"/>
  <c r="KD26" i="2" l="1"/>
  <c r="ON11" i="2"/>
  <c r="PC11" i="2"/>
  <c r="X8" i="2"/>
  <c r="AM8" i="2"/>
  <c r="AM5" i="2"/>
  <c r="B35" i="2" l="1"/>
  <c r="JO8" i="2"/>
  <c r="JU11" i="2"/>
  <c r="LG23" i="2"/>
  <c r="LM26" i="2"/>
  <c r="KA14" i="2"/>
  <c r="MG29" i="2"/>
  <c r="KU17" i="2"/>
  <c r="MM32" i="2"/>
  <c r="LJ5" i="2"/>
  <c r="OF8" i="2"/>
  <c r="LB5" i="2"/>
  <c r="NX8" i="2"/>
  <c r="NB8" i="2"/>
  <c r="OL11" i="2"/>
  <c r="LP8" i="2"/>
  <c r="ML8" i="2"/>
  <c r="MT8" i="2"/>
  <c r="JU5" i="2"/>
  <c r="KB5" i="2"/>
  <c r="JY5" i="2"/>
  <c r="JT5" i="2"/>
  <c r="KA5" i="2"/>
  <c r="KC5" i="2"/>
  <c r="JW5" i="2"/>
  <c r="JM5" i="2"/>
  <c r="JV5" i="2"/>
  <c r="JS5" i="2"/>
  <c r="JQ5" i="2"/>
  <c r="JN5" i="2"/>
  <c r="JX5" i="2"/>
  <c r="JO5" i="2"/>
  <c r="JZ5" i="2"/>
  <c r="JP5" i="2"/>
  <c r="KD5" i="2"/>
  <c r="JK5" i="2"/>
  <c r="KT5" i="2"/>
  <c r="JR5" i="2"/>
  <c r="JJ5" i="2"/>
  <c r="JI5" i="2"/>
  <c r="JH5" i="2"/>
  <c r="KW5" i="2" l="1"/>
  <c r="KY5" i="2"/>
  <c r="LE5" i="2"/>
  <c r="MM5" i="2"/>
  <c r="LI5" i="2"/>
  <c r="LA5" i="2"/>
  <c r="ME5" i="2"/>
  <c r="KU5" i="2"/>
  <c r="MU5" i="2"/>
  <c r="NR17" i="2"/>
  <c r="NS23" i="2"/>
  <c r="NS11" i="2"/>
  <c r="NS17" i="2"/>
  <c r="NS29" i="2"/>
  <c r="NT29" i="2"/>
  <c r="NS8" i="2"/>
  <c r="NS26" i="2"/>
  <c r="NS14" i="2"/>
  <c r="NS32" i="2"/>
  <c r="OE8" i="2"/>
  <c r="NW8" i="2"/>
  <c r="NR29" i="2"/>
  <c r="NT17" i="2"/>
  <c r="KS5" i="2"/>
  <c r="NX29" i="2"/>
  <c r="ON14" i="2"/>
  <c r="OB8" i="2"/>
  <c r="OH23" i="2"/>
  <c r="NT26" i="2"/>
  <c r="NZ29" i="2"/>
  <c r="KX17" i="2"/>
  <c r="JR8" i="2"/>
  <c r="OD32" i="2"/>
  <c r="NV29" i="2"/>
  <c r="KD14" i="2"/>
  <c r="ON26" i="2"/>
  <c r="NA8" i="2"/>
  <c r="MR32" i="2"/>
  <c r="MP32" i="2"/>
  <c r="OF32" i="2"/>
  <c r="MH26" i="2"/>
  <c r="LJ23" i="2"/>
  <c r="OB32" i="2"/>
  <c r="LP26" i="2"/>
  <c r="MT32" i="2"/>
  <c r="NV17" i="2"/>
  <c r="MN29" i="2"/>
  <c r="MJ29" i="2"/>
  <c r="ML29" i="2"/>
  <c r="NV5" i="2"/>
  <c r="NR26" i="2"/>
  <c r="JX11" i="2"/>
  <c r="OH11" i="2"/>
  <c r="OM8" i="2"/>
  <c r="MF26" i="2"/>
  <c r="JL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tc={B3CD8A12-950E-4B79-A1CD-EBAC65B0C035}</author>
    <author>tc={89AC244B-CF99-48D2-8A86-C336FE0CFDAA}</author>
    <author>tc={AD9DF0BE-EDA9-4EBD-BEAE-1E9EEB7408E8}</author>
    <author>tc={B10B8B3B-C715-4D76-8128-E9777416541C}</author>
    <author>tc={18A2005F-6710-40C7-BEE5-4F1FB3C8BFD6}</author>
    <author>tc={73F28A32-32BF-446A-8A64-B5D341B2F1CA}</author>
  </authors>
  <commentList>
    <comment ref="L4" authorId="0" shapeId="0" xr:uid="{B3CD8A12-950E-4B79-A1CD-EBAC65B0C035}">
      <text>
        <t>[Threaded comment]
Your version of Excel allows you to read this threaded comment; however, any edits to it will get removed if the file is opened in a newer version of Excel. Learn more: https://go.microsoft.com/fwlink/?linkid=870924
Comment:
    El auditor, al calcular el EL anualizado, le da diciembre de 2033. En cambio PS hace el cálculo mensualizado, por lo cual corta en octubre de 2033</t>
      </text>
    </comment>
    <comment ref="IF4" authorId="1" shapeId="0" xr:uid="{89AC244B-CF99-48D2-8A86-C336FE0CFDAA}">
      <text>
        <t>[Threaded comment]
Your version of Excel allows you to read this threaded comment; however, any edits to it will get removed if the file is opened in a newer version of Excel. Learn more: https://go.microsoft.com/fwlink/?linkid=870924
Comment:
    Como el EL de Probadas cierra en PS en octubre 2033, trae la cola dos meses antes que el audito que cortó en diciembre 2033</t>
      </text>
    </comment>
    <comment ref="IS4" authorId="2" shapeId="0" xr:uid="{AD9DF0BE-EDA9-4EBD-BEAE-1E9EEB7408E8}">
      <text>
        <t>[Threaded comment]
Your version of Excel allows you to read this threaded comment; however, any edits to it will get removed if the file is opened in a newer version of Excel. Learn more: https://go.microsoft.com/fwlink/?linkid=870924
Comment:
    El auditor, al calcular el EL anualizado, le da diciembre de 2045. En cambio PS hace el cálculo mensualizado, por lo cual corta en enero 2046</t>
      </text>
    </comment>
    <comment ref="OO4" authorId="3" shapeId="0" xr:uid="{B10B8B3B-C715-4D76-8128-E9777416541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Como el EL de Probadas cierra en PS en enero 2046, trae la cola din mes antes que el audito que cortó en diciembre 2045
</t>
      </text>
    </comment>
    <comment ref="OQ4" authorId="4" shapeId="0" xr:uid="{18A2005F-6710-40C7-BEE5-4F1FB3C8BFD6}">
      <text>
        <t>[Threaded comment]
Your version of Excel allows you to read this threaded comment; however, any edits to it will get removed if the file is opened in a newer version of Excel. Learn more: https://go.microsoft.com/fwlink/?linkid=870924
Comment:
    El auditor, al calcular el EL anualizado, le da diciembre de 2047. En cambio PS hace el cálculo mensualizado, por lo cual corta en abril 2048</t>
      </text>
    </comment>
    <comment ref="L31" authorId="5" shapeId="0" xr:uid="{73F28A32-32BF-446A-8A64-B5D341B2F1CA}">
      <text>
        <t>[Threaded comment]
Your version of Excel allows you to read this threaded comment; however, any edits to it will get removed if the file is opened in a newer version of Excel. Learn more: https://go.microsoft.com/fwlink/?linkid=870924
Comment:
    El auditor asigna el abandono en la fecha del EL. En cambio, PS lo asigna 12 meses después por requerimiento de ECP</t>
      </text>
    </comment>
  </commentList>
</comments>
</file>

<file path=xl/sharedStrings.xml><?xml version="1.0" encoding="utf-8"?>
<sst xmlns="http://schemas.openxmlformats.org/spreadsheetml/2006/main" count="37338" uniqueCount="3872">
  <si>
    <t>Plantilla BM General</t>
  </si>
  <si>
    <t>Copie y Pegue la hoja "BM" en su archivo de FC.</t>
  </si>
  <si>
    <t>Active la funcion "Show Formulas".</t>
  </si>
  <si>
    <t>Reemplace el nombre del archivo por el nombre de su archivo (Use la opción Replace).</t>
  </si>
  <si>
    <t>Inactive la opciones "Show Formulas".</t>
  </si>
  <si>
    <t>Costos Semifijos Activo Annual</t>
  </si>
  <si>
    <t>Escriba los nombres de los campos del activo.</t>
  </si>
  <si>
    <t>Seleccione las categorias que requiere para cada campo.</t>
  </si>
  <si>
    <t>Ejecute la Macro "GenerarEncabezados"</t>
  </si>
  <si>
    <t>Copie y Pegue los valores de PS y de FC.</t>
  </si>
  <si>
    <t>Ejecute la Macro "Porcentaje de Variacion".</t>
  </si>
  <si>
    <t>Escribir la ruta de FC en la celda B16, haga click en el botón y aguarde.</t>
  </si>
  <si>
    <t>Escribir la ruta del reporte de PS en la celda B20, haga click en el botón y aguarde.</t>
  </si>
  <si>
    <t>Variable</t>
  </si>
  <si>
    <t>PDP</t>
  </si>
  <si>
    <t>PNP</t>
  </si>
  <si>
    <t>PND</t>
  </si>
  <si>
    <t>PRBDP</t>
  </si>
  <si>
    <t>PRBNP</t>
  </si>
  <si>
    <t>PRBND</t>
  </si>
  <si>
    <t>PRB</t>
  </si>
  <si>
    <t>PSDP</t>
  </si>
  <si>
    <t>PSNP</t>
  </si>
  <si>
    <t>PSND</t>
  </si>
  <si>
    <t>PS</t>
  </si>
  <si>
    <t>Periodo</t>
  </si>
  <si>
    <t>Total</t>
  </si>
  <si>
    <t>Reservas Netas ECP (Oil) bbl PS</t>
  </si>
  <si>
    <t>Reservas Netas ECP (Oil) bbl FC</t>
  </si>
  <si>
    <t>Variacion Reservas Netas</t>
  </si>
  <si>
    <t>Regalias ECP(Oil) bbl PS</t>
  </si>
  <si>
    <t>Regalias ECP(Oil) bbl FC</t>
  </si>
  <si>
    <t>Variacion Regalias ECP</t>
  </si>
  <si>
    <t>Revenue PS</t>
  </si>
  <si>
    <t>Revenue FC</t>
  </si>
  <si>
    <t xml:space="preserve">Variacion Revenue </t>
  </si>
  <si>
    <t>Fijo PS</t>
  </si>
  <si>
    <t>Fijo FC</t>
  </si>
  <si>
    <t xml:space="preserve">Variacion Fijo </t>
  </si>
  <si>
    <t>Semifijo PS</t>
  </si>
  <si>
    <t>Semifijo FC</t>
  </si>
  <si>
    <t xml:space="preserve">Variacion Semifijo </t>
  </si>
  <si>
    <t>Opex Variable PS</t>
  </si>
  <si>
    <t>Opex Variable FC</t>
  </si>
  <si>
    <t>Variación OpEX Variable</t>
  </si>
  <si>
    <t>OpEX Ecopetrol PS</t>
  </si>
  <si>
    <t>OpEX Ecopetrol FC</t>
  </si>
  <si>
    <t>Variación OpEX Ecopetrol</t>
  </si>
  <si>
    <t>Total Capex PS</t>
  </si>
  <si>
    <t>Total Capex FC</t>
  </si>
  <si>
    <t>Variación Total Capex</t>
  </si>
  <si>
    <t>FC Operativo ECP PS</t>
  </si>
  <si>
    <t>FC Operativo ECP FC</t>
  </si>
  <si>
    <t>Variación FC Operativo ECP</t>
  </si>
  <si>
    <t>Abandono Gross PS</t>
  </si>
  <si>
    <t>Abandono Gross FC</t>
  </si>
  <si>
    <t>Variacion Abandono</t>
  </si>
  <si>
    <t>Reservas Netas ECP  (Liquido) PS</t>
  </si>
  <si>
    <t>Reservas Netas ECP  (Liquido) FC</t>
  </si>
  <si>
    <t xml:space="preserve">Variacion Reservas Netas ECP (Liquido) </t>
  </si>
  <si>
    <t>NA</t>
  </si>
  <si>
    <t>Reservas Netas ECP  (Gas) PS</t>
  </si>
  <si>
    <t>Reservas Netas ECP  (Gas) FC</t>
  </si>
  <si>
    <t xml:space="preserve">Variacion Reservas Netas ECP (Gas) </t>
  </si>
  <si>
    <t>Campos del Activo</t>
  </si>
  <si>
    <t>Reserves Category</t>
  </si>
  <si>
    <t>Period</t>
  </si>
  <si>
    <t>Campo 1_PDP_PS</t>
  </si>
  <si>
    <t>Campo 1_PDP_ECP</t>
  </si>
  <si>
    <t>Campo 1_PDP_Dif</t>
  </si>
  <si>
    <t>Campo 1_PNP_PS</t>
  </si>
  <si>
    <t>Campo 1_PNP_ECP</t>
  </si>
  <si>
    <t>Campo 1_PNP_Dif</t>
  </si>
  <si>
    <t>Campo 1_PND_PS</t>
  </si>
  <si>
    <t>Campo 1_PND_ECP</t>
  </si>
  <si>
    <t>Campo 1_PND_Dif</t>
  </si>
  <si>
    <t>Campo 1_PRB_PS</t>
  </si>
  <si>
    <t>Campo 1_PRB_ECP</t>
  </si>
  <si>
    <t>Campo 1_PRB_Dif</t>
  </si>
  <si>
    <t>Campo 2_PDP_PS</t>
  </si>
  <si>
    <t>Campo 2_PDP_ECP</t>
  </si>
  <si>
    <t>Campo 2_PDP_Dif</t>
  </si>
  <si>
    <t>Campo 2_PND_PS</t>
  </si>
  <si>
    <t>Campo 2_PND_ECP</t>
  </si>
  <si>
    <t>Campo 2_PND_Dif</t>
  </si>
  <si>
    <t>Campo 2_PRB_PS</t>
  </si>
  <si>
    <t>Campo 2_PRB_ECP</t>
  </si>
  <si>
    <t>Campo 2_PRB_Dif</t>
  </si>
  <si>
    <t>Campo 2_POS_PS</t>
  </si>
  <si>
    <t>Campo 2_POS_ECP</t>
  </si>
  <si>
    <t>Campo 2_POS_Dif</t>
  </si>
  <si>
    <t>Campo 1</t>
  </si>
  <si>
    <t>Campo 2</t>
  </si>
  <si>
    <t>POS</t>
  </si>
  <si>
    <t>Categoria</t>
  </si>
  <si>
    <t>Nombre Archivo</t>
  </si>
  <si>
    <t>Nombre Hoja</t>
  </si>
  <si>
    <t>Columna</t>
  </si>
  <si>
    <t>Fila</t>
  </si>
  <si>
    <t>Concatenación</t>
  </si>
  <si>
    <t>$AY$</t>
  </si>
  <si>
    <t>$BT$</t>
  </si>
  <si>
    <t>$BW$</t>
  </si>
  <si>
    <t>$BX$</t>
  </si>
  <si>
    <t>$BU$</t>
  </si>
  <si>
    <t>$CT$</t>
  </si>
  <si>
    <t>PSDP'!</t>
  </si>
  <si>
    <t>PSNP'!</t>
  </si>
  <si>
    <t>PSND'!</t>
  </si>
  <si>
    <t>$DN$</t>
  </si>
  <si>
    <t>Abandono Gross</t>
  </si>
  <si>
    <t>$DI$</t>
  </si>
  <si>
    <t>$BB$</t>
  </si>
  <si>
    <t>$BY$</t>
  </si>
  <si>
    <t>Consolidado</t>
  </si>
  <si>
    <t>Reservas Netas Liq Consolidado</t>
  </si>
  <si>
    <t>$J$</t>
  </si>
  <si>
    <t>Reservas Netas Gas Consolidado</t>
  </si>
  <si>
    <t>$L$</t>
  </si>
  <si>
    <t>$BZ$</t>
  </si>
  <si>
    <t>$CA$</t>
  </si>
  <si>
    <t>$DC$</t>
  </si>
  <si>
    <t>$EA$</t>
  </si>
  <si>
    <t>$DT$</t>
  </si>
  <si>
    <t>$BE$</t>
  </si>
  <si>
    <t>$CB$</t>
  </si>
  <si>
    <t>C:\Users\jaime.benazar\Quorum Business Solutions\Ecopetrol Prometeo - Documents\Planning Space Implementation\3. Analysis &amp; Design\Design\FC22\DRR Jaime\Por presentar a ECP\Cantagallo\Cristalina\CRISTALINA_CF_SEC_New_09-Feb-2024.xlsx</t>
  </si>
  <si>
    <t>C:\Users\jaime.benazar\Quorum Business Solutions\Ecopetrol Prometeo - Documents\Planning Space Implementation\3. Analysis &amp; Design\Design\FC22\DRR Jaime\Por presentar a ECP\Cantagallo\Cristalina\[CRISTALINA_CF_SEC_New_09-Feb-2024.xlsx]</t>
  </si>
  <si>
    <t>C:\Users\jaime.benazar\Quorum Business Solutions\Ecopetrol Prometeo - Documents\Planning Space Implementation\3. Analysis &amp; Design\Design\FC22\DRR Jaime\Por presentar a ECP\Cantagallo\Cristalina\[CRISTALINA_CF_SEC_New_09-Feb-2024.xlsx]D-</t>
  </si>
  <si>
    <t>='C:\Users\jaime.benazar\Quorum Business Solutions\Ecopetrol Prometeo - Documents\Planning Space Implementation\3. Analysis &amp; Design\Design\FC22\DRR Jaime\Por presentar a ECP\Cantagallo\Cristalina\[CRISTALINA_CF_SEC_New_09-Feb-2024.xlsx]D-PDP'!$BB$12</t>
  </si>
  <si>
    <t>='C:\Users\jaime.benazar\Quorum Business Solutions\Ecopetrol Prometeo - Documents\Planning Space Implementation\3. Analysis &amp; Design\Design\FC22\DRR Jaime\Por presentar a ECP\Cantagallo\Cristalina\[CRISTALINA_CF_SEC_New_09-Feb-2024.xlsx]D-PDP'!$BB$13</t>
  </si>
  <si>
    <t>='C:\Users\jaime.benazar\Quorum Business Solutions\Ecopetrol Prometeo - Documents\Planning Space Implementation\3. Analysis &amp; Design\Design\FC22\DRR Jaime\Por presentar a ECP\Cantagallo\Cristalina\[CRISTALINA_CF_SEC_New_09-Feb-2024.xlsx]D-PDP'!$BB$14</t>
  </si>
  <si>
    <t>='C:\Users\jaime.benazar\Quorum Business Solutions\Ecopetrol Prometeo - Documents\Planning Space Implementation\3. Analysis &amp; Design\Design\FC22\DRR Jaime\Por presentar a ECP\Cantagallo\Cristalina\[CRISTALINA_CF_SEC_New_09-Feb-2024.xlsx]D-PDP'!$BB$15</t>
  </si>
  <si>
    <t>='C:\Users\jaime.benazar\Quorum Business Solutions\Ecopetrol Prometeo - Documents\Planning Space Implementation\3. Analysis &amp; Design\Design\FC22\DRR Jaime\Por presentar a ECP\Cantagallo\Cristalina\[CRISTALINA_CF_SEC_New_09-Feb-2024.xlsx]D-PDP'!$BB$16</t>
  </si>
  <si>
    <t>='C:\Users\jaime.benazar\Quorum Business Solutions\Ecopetrol Prometeo - Documents\Planning Space Implementation\3. Analysis &amp; Design\Design\FC22\DRR Jaime\Por presentar a ECP\Cantagallo\Cristalina\[CRISTALINA_CF_SEC_New_09-Feb-2024.xlsx]D-PDP'!$BB$17</t>
  </si>
  <si>
    <t>='C:\Users\jaime.benazar\Quorum Business Solutions\Ecopetrol Prometeo - Documents\Planning Space Implementation\3. Analysis &amp; Design\Design\FC22\DRR Jaime\Por presentar a ECP\Cantagallo\Cristalina\[CRISTALINA_CF_SEC_New_09-Feb-2024.xlsx]D-PDP'!$BB$18</t>
  </si>
  <si>
    <t>='C:\Users\jaime.benazar\Quorum Business Solutions\Ecopetrol Prometeo - Documents\Planning Space Implementation\3. Analysis &amp; Design\Design\FC22\DRR Jaime\Por presentar a ECP\Cantagallo\Cristalina\[CRISTALINA_CF_SEC_New_09-Feb-2024.xlsx]D-PDP'!$BB$19</t>
  </si>
  <si>
    <t>='C:\Users\jaime.benazar\Quorum Business Solutions\Ecopetrol Prometeo - Documents\Planning Space Implementation\3. Analysis &amp; Design\Design\FC22\DRR Jaime\Por presentar a ECP\Cantagallo\Cristalina\[CRISTALINA_CF_SEC_New_09-Feb-2024.xlsx]D-PDP'!$BB$20</t>
  </si>
  <si>
    <t>='C:\Users\jaime.benazar\Quorum Business Solutions\Ecopetrol Prometeo - Documents\Planning Space Implementation\3. Analysis &amp; Design\Design\FC22\DRR Jaime\Por presentar a ECP\Cantagallo\Cristalina\[CRISTALINA_CF_SEC_New_09-Feb-2024.xlsx]D-PDP'!$BB$21</t>
  </si>
  <si>
    <t>='C:\Users\jaime.benazar\Quorum Business Solutions\Ecopetrol Prometeo - Documents\Planning Space Implementation\3. Analysis &amp; Design\Design\FC22\DRR Jaime\Por presentar a ECP\Cantagallo\Cristalina\[CRISTALINA_CF_SEC_New_09-Feb-2024.xlsx]D-PDP'!$BB$22</t>
  </si>
  <si>
    <t>='C:\Users\jaime.benazar\Quorum Business Solutions\Ecopetrol Prometeo - Documents\Planning Space Implementation\3. Analysis &amp; Design\Design\FC22\DRR Jaime\Por presentar a ECP\Cantagallo\Cristalina\[CRISTALINA_CF_SEC_New_09-Feb-2024.xlsx]D-PDP'!$BB$23</t>
  </si>
  <si>
    <t>='C:\Users\jaime.benazar\Quorum Business Solutions\Ecopetrol Prometeo - Documents\Planning Space Implementation\3. Analysis &amp; Design\Design\FC22\DRR Jaime\Por presentar a ECP\Cantagallo\Cristalina\[CRISTALINA_CF_SEC_New_09-Feb-2024.xlsx]D-PDP'!$BB$24</t>
  </si>
  <si>
    <t>='C:\Users\jaime.benazar\Quorum Business Solutions\Ecopetrol Prometeo - Documents\Planning Space Implementation\3. Analysis &amp; Design\Design\FC22\DRR Jaime\Por presentar a ECP\Cantagallo\Cristalina\[CRISTALINA_CF_SEC_New_09-Feb-2024.xlsx]D-PDP'!$BB$25</t>
  </si>
  <si>
    <t>='C:\Users\jaime.benazar\Quorum Business Solutions\Ecopetrol Prometeo - Documents\Planning Space Implementation\3. Analysis &amp; Design\Design\FC22\DRR Jaime\Por presentar a ECP\Cantagallo\Cristalina\[CRISTALINA_CF_SEC_New_09-Feb-2024.xlsx]D-PDP'!$BB$26</t>
  </si>
  <si>
    <t>='C:\Users\jaime.benazar\Quorum Business Solutions\Ecopetrol Prometeo - Documents\Planning Space Implementation\3. Analysis &amp; Design\Design\FC22\DRR Jaime\Por presentar a ECP\Cantagallo\Cristalina\[CRISTALINA_CF_SEC_New_09-Feb-2024.xlsx]D-PDP'!$BB$27</t>
  </si>
  <si>
    <t>='C:\Users\jaime.benazar\Quorum Business Solutions\Ecopetrol Prometeo - Documents\Planning Space Implementation\3. Analysis &amp; Design\Design\FC22\DRR Jaime\Por presentar a ECP\Cantagallo\Cristalina\[CRISTALINA_CF_SEC_New_09-Feb-2024.xlsx]D-PDP'!$BB$28</t>
  </si>
  <si>
    <t>='C:\Users\jaime.benazar\Quorum Business Solutions\Ecopetrol Prometeo - Documents\Planning Space Implementation\3. Analysis &amp; Design\Design\FC22\DRR Jaime\Por presentar a ECP\Cantagallo\Cristalina\[CRISTALINA_CF_SEC_New_09-Feb-2024.xlsx]D-PDP'!$BB$29</t>
  </si>
  <si>
    <t>='C:\Users\jaime.benazar\Quorum Business Solutions\Ecopetrol Prometeo - Documents\Planning Space Implementation\3. Analysis &amp; Design\Design\FC22\DRR Jaime\Por presentar a ECP\Cantagallo\Cristalina\[CRISTALINA_CF_SEC_New_09-Feb-2024.xlsx]D-PDP'!$BB$30</t>
  </si>
  <si>
    <t>='C:\Users\jaime.benazar\Quorum Business Solutions\Ecopetrol Prometeo - Documents\Planning Space Implementation\3. Analysis &amp; Design\Design\FC22\DRR Jaime\Por presentar a ECP\Cantagallo\Cristalina\[CRISTALINA_CF_SEC_New_09-Feb-2024.xlsx]D-PDP'!$BB$31</t>
  </si>
  <si>
    <t>='C:\Users\jaime.benazar\Quorum Business Solutions\Ecopetrol Prometeo - Documents\Planning Space Implementation\3. Analysis &amp; Design\Design\FC22\DRR Jaime\Por presentar a ECP\Cantagallo\Cristalina\[CRISTALINA_CF_SEC_New_09-Feb-2024.xlsx]D-PDP'!$BB$32</t>
  </si>
  <si>
    <t>='C:\Users\jaime.benazar\Quorum Business Solutions\Ecopetrol Prometeo - Documents\Planning Space Implementation\3. Analysis &amp; Design\Design\FC22\DRR Jaime\Por presentar a ECP\Cantagallo\Cristalina\[CRISTALINA_CF_SEC_New_09-Feb-2024.xlsx]D-PDP'!$BB$33</t>
  </si>
  <si>
    <t>='C:\Users\jaime.benazar\Quorum Business Solutions\Ecopetrol Prometeo - Documents\Planning Space Implementation\3. Analysis &amp; Design\Design\FC22\DRR Jaime\Por presentar a ECP\Cantagallo\Cristalina\[CRISTALINA_CF_SEC_New_09-Feb-2024.xlsx]D-PDP'!$BB$34</t>
  </si>
  <si>
    <t>='C:\Users\jaime.benazar\Quorum Business Solutions\Ecopetrol Prometeo - Documents\Planning Space Implementation\3. Analysis &amp; Design\Design\FC22\DRR Jaime\Por presentar a ECP\Cantagallo\Cristalina\[CRISTALINA_CF_SEC_New_09-Feb-2024.xlsx]D-PDP'!$BB$35</t>
  </si>
  <si>
    <t>='C:\Users\jaime.benazar\Quorum Business Solutions\Ecopetrol Prometeo - Documents\Planning Space Implementation\3. Analysis &amp; Design\Design\FC22\DRR Jaime\Por presentar a ECP\Cantagallo\Cristalina\[CRISTALINA_CF_SEC_New_09-Feb-2024.xlsx]D-PDP'!$BB$36</t>
  </si>
  <si>
    <t>='C:\Users\jaime.benazar\Quorum Business Solutions\Ecopetrol Prometeo - Documents\Planning Space Implementation\3. Analysis &amp; Design\Design\FC22\DRR Jaime\Por presentar a ECP\Cantagallo\Cristalina\[CRISTALINA_CF_SEC_New_09-Feb-2024.xlsx]D-PDP'!$BB$37</t>
  </si>
  <si>
    <t>='C:\Users\jaime.benazar\Quorum Business Solutions\Ecopetrol Prometeo - Documents\Planning Space Implementation\3. Analysis &amp; Design\Design\FC22\DRR Jaime\Por presentar a ECP\Cantagallo\Cristalina\[CRISTALINA_CF_SEC_New_09-Feb-2024.xlsx]D-PDP'!$BB$38</t>
  </si>
  <si>
    <t>='C:\Users\jaime.benazar\Quorum Business Solutions\Ecopetrol Prometeo - Documents\Planning Space Implementation\3. Analysis &amp; Design\Design\FC22\DRR Jaime\Por presentar a ECP\Cantagallo\Cristalina\[CRISTALINA_CF_SEC_New_09-Feb-2024.xlsx]D-PDP'!$BB$39</t>
  </si>
  <si>
    <t>='C:\Users\jaime.benazar\Quorum Business Solutions\Ecopetrol Prometeo - Documents\Planning Space Implementation\3. Analysis &amp; Design\Design\FC22\DRR Jaime\Por presentar a ECP\Cantagallo\Cristalina\[CRISTALINA_CF_SEC_New_09-Feb-2024.xlsx]D-PDP'!$BB$40</t>
  </si>
  <si>
    <t>='C:\Users\jaime.benazar\Quorum Business Solutions\Ecopetrol Prometeo - Documents\Planning Space Implementation\3. Analysis &amp; Design\Design\FC22\DRR Jaime\Por presentar a ECP\Cantagallo\Cristalina\[CRISTALINA_CF_SEC_New_09-Feb-2024.xlsx]D-PDP'!$BB$41</t>
  </si>
  <si>
    <t>='C:\Users\jaime.benazar\Quorum Business Solutions\Ecopetrol Prometeo - Documents\Planning Space Implementation\3. Analysis &amp; Design\Design\FC22\DRR Jaime\Por presentar a ECP\Cantagallo\Cristalina\[CRISTALINA_CF_SEC_New_09-Feb-2024.xlsx]D-PDP'!$BB$42</t>
  </si>
  <si>
    <t>='C:\Users\jaime.benazar\Quorum Business Solutions\Ecopetrol Prometeo - Documents\Planning Space Implementation\3. Analysis &amp; Design\Design\FC22\DRR Jaime\Por presentar a ECP\Cantagallo\Cristalina\[CRISTALINA_CF_SEC_New_09-Feb-2024.xlsx]D-PDP'!$BB$43</t>
  </si>
  <si>
    <t>='C:\Users\jaime.benazar\Quorum Business Solutions\Ecopetrol Prometeo - Documents\Planning Space Implementation\3. Analysis &amp; Design\Design\FC22\DRR Jaime\Por presentar a ECP\Cantagallo\Cristalina\[CRISTALINA_CF_SEC_New_09-Feb-2024.xlsx]D-PDP'!$BB$44</t>
  </si>
  <si>
    <t>='C:\Users\jaime.benazar\Quorum Business Solutions\Ecopetrol Prometeo - Documents\Planning Space Implementation\3. Analysis &amp; Design\Design\FC22\DRR Jaime\Por presentar a ECP\Cantagallo\Cristalina\[CRISTALINA_CF_SEC_New_09-Feb-2024.xlsx]D-PDP'!$BB$45</t>
  </si>
  <si>
    <t>='C:\Users\jaime.benazar\Quorum Business Solutions\Ecopetrol Prometeo - Documents\Planning Space Implementation\3. Analysis &amp; Design\Design\FC22\DRR Jaime\Por presentar a ECP\Cantagallo\Cristalina\[CRISTALINA_CF_SEC_New_09-Feb-2024.xlsx]D-PDP'!$BB$46</t>
  </si>
  <si>
    <t>='C:\Users\jaime.benazar\Quorum Business Solutions\Ecopetrol Prometeo - Documents\Planning Space Implementation\3. Analysis &amp; Design\Design\FC22\DRR Jaime\Por presentar a ECP\Cantagallo\Cristalina\[CRISTALINA_CF_SEC_New_09-Feb-2024.xlsx]D-PDP'!$BB$47</t>
  </si>
  <si>
    <t>='C:\Users\jaime.benazar\Quorum Business Solutions\Ecopetrol Prometeo - Documents\Planning Space Implementation\3. Analysis &amp; Design\Design\FC22\DRR Jaime\Por presentar a ECP\Cantagallo\Cristalina\[CRISTALINA_CF_SEC_New_09-Feb-2024.xlsx]D-PDP'!$BB$48</t>
  </si>
  <si>
    <t>='C:\Users\jaime.benazar\Quorum Business Solutions\Ecopetrol Prometeo - Documents\Planning Space Implementation\3. Analysis &amp; Design\Design\FC22\DRR Jaime\Por presentar a ECP\Cantagallo\Cristalina\[CRISTALINA_CF_SEC_New_09-Feb-2024.xlsx]D-PNP'!$BB$12</t>
  </si>
  <si>
    <t>='C:\Users\jaime.benazar\Quorum Business Solutions\Ecopetrol Prometeo - Documents\Planning Space Implementation\3. Analysis &amp; Design\Design\FC22\DRR Jaime\Por presentar a ECP\Cantagallo\Cristalina\[CRISTALINA_CF_SEC_New_09-Feb-2024.xlsx]D-PNP'!$BB$13</t>
  </si>
  <si>
    <t>='C:\Users\jaime.benazar\Quorum Business Solutions\Ecopetrol Prometeo - Documents\Planning Space Implementation\3. Analysis &amp; Design\Design\FC22\DRR Jaime\Por presentar a ECP\Cantagallo\Cristalina\[CRISTALINA_CF_SEC_New_09-Feb-2024.xlsx]D-PNP'!$BB$14</t>
  </si>
  <si>
    <t>='C:\Users\jaime.benazar\Quorum Business Solutions\Ecopetrol Prometeo - Documents\Planning Space Implementation\3. Analysis &amp; Design\Design\FC22\DRR Jaime\Por presentar a ECP\Cantagallo\Cristalina\[CRISTALINA_CF_SEC_New_09-Feb-2024.xlsx]D-PNP'!$BB$15</t>
  </si>
  <si>
    <t>='C:\Users\jaime.benazar\Quorum Business Solutions\Ecopetrol Prometeo - Documents\Planning Space Implementation\3. Analysis &amp; Design\Design\FC22\DRR Jaime\Por presentar a ECP\Cantagallo\Cristalina\[CRISTALINA_CF_SEC_New_09-Feb-2024.xlsx]D-PNP'!$BB$16</t>
  </si>
  <si>
    <t>='C:\Users\jaime.benazar\Quorum Business Solutions\Ecopetrol Prometeo - Documents\Planning Space Implementation\3. Analysis &amp; Design\Design\FC22\DRR Jaime\Por presentar a ECP\Cantagallo\Cristalina\[CRISTALINA_CF_SEC_New_09-Feb-2024.xlsx]D-PNP'!$BB$17</t>
  </si>
  <si>
    <t>='C:\Users\jaime.benazar\Quorum Business Solutions\Ecopetrol Prometeo - Documents\Planning Space Implementation\3. Analysis &amp; Design\Design\FC22\DRR Jaime\Por presentar a ECP\Cantagallo\Cristalina\[CRISTALINA_CF_SEC_New_09-Feb-2024.xlsx]D-PNP'!$BB$18</t>
  </si>
  <si>
    <t>='C:\Users\jaime.benazar\Quorum Business Solutions\Ecopetrol Prometeo - Documents\Planning Space Implementation\3. Analysis &amp; Design\Design\FC22\DRR Jaime\Por presentar a ECP\Cantagallo\Cristalina\[CRISTALINA_CF_SEC_New_09-Feb-2024.xlsx]D-PNP'!$BB$19</t>
  </si>
  <si>
    <t>='C:\Users\jaime.benazar\Quorum Business Solutions\Ecopetrol Prometeo - Documents\Planning Space Implementation\3. Analysis &amp; Design\Design\FC22\DRR Jaime\Por presentar a ECP\Cantagallo\Cristalina\[CRISTALINA_CF_SEC_New_09-Feb-2024.xlsx]D-PNP'!$BB$20</t>
  </si>
  <si>
    <t>='C:\Users\jaime.benazar\Quorum Business Solutions\Ecopetrol Prometeo - Documents\Planning Space Implementation\3. Analysis &amp; Design\Design\FC22\DRR Jaime\Por presentar a ECP\Cantagallo\Cristalina\[CRISTALINA_CF_SEC_New_09-Feb-2024.xlsx]D-PNP'!$BB$21</t>
  </si>
  <si>
    <t>='C:\Users\jaime.benazar\Quorum Business Solutions\Ecopetrol Prometeo - Documents\Planning Space Implementation\3. Analysis &amp; Design\Design\FC22\DRR Jaime\Por presentar a ECP\Cantagallo\Cristalina\[CRISTALINA_CF_SEC_New_09-Feb-2024.xlsx]D-PNP'!$BB$22</t>
  </si>
  <si>
    <t>='C:\Users\jaime.benazar\Quorum Business Solutions\Ecopetrol Prometeo - Documents\Planning Space Implementation\3. Analysis &amp; Design\Design\FC22\DRR Jaime\Por presentar a ECP\Cantagallo\Cristalina\[CRISTALINA_CF_SEC_New_09-Feb-2024.xlsx]D-PNP'!$BB$23</t>
  </si>
  <si>
    <t>='C:\Users\jaime.benazar\Quorum Business Solutions\Ecopetrol Prometeo - Documents\Planning Space Implementation\3. Analysis &amp; Design\Design\FC22\DRR Jaime\Por presentar a ECP\Cantagallo\Cristalina\[CRISTALINA_CF_SEC_New_09-Feb-2024.xlsx]D-PNP'!$BB$24</t>
  </si>
  <si>
    <t>='C:\Users\jaime.benazar\Quorum Business Solutions\Ecopetrol Prometeo - Documents\Planning Space Implementation\3. Analysis &amp; Design\Design\FC22\DRR Jaime\Por presentar a ECP\Cantagallo\Cristalina\[CRISTALINA_CF_SEC_New_09-Feb-2024.xlsx]D-PNP'!$BB$25</t>
  </si>
  <si>
    <t>='C:\Users\jaime.benazar\Quorum Business Solutions\Ecopetrol Prometeo - Documents\Planning Space Implementation\3. Analysis &amp; Design\Design\FC22\DRR Jaime\Por presentar a ECP\Cantagallo\Cristalina\[CRISTALINA_CF_SEC_New_09-Feb-2024.xlsx]D-PNP'!$BB$26</t>
  </si>
  <si>
    <t>='C:\Users\jaime.benazar\Quorum Business Solutions\Ecopetrol Prometeo - Documents\Planning Space Implementation\3. Analysis &amp; Design\Design\FC22\DRR Jaime\Por presentar a ECP\Cantagallo\Cristalina\[CRISTALINA_CF_SEC_New_09-Feb-2024.xlsx]D-PNP'!$BB$27</t>
  </si>
  <si>
    <t>='C:\Users\jaime.benazar\Quorum Business Solutions\Ecopetrol Prometeo - Documents\Planning Space Implementation\3. Analysis &amp; Design\Design\FC22\DRR Jaime\Por presentar a ECP\Cantagallo\Cristalina\[CRISTALINA_CF_SEC_New_09-Feb-2024.xlsx]D-PNP'!$BB$28</t>
  </si>
  <si>
    <t>='C:\Users\jaime.benazar\Quorum Business Solutions\Ecopetrol Prometeo - Documents\Planning Space Implementation\3. Analysis &amp; Design\Design\FC22\DRR Jaime\Por presentar a ECP\Cantagallo\Cristalina\[CRISTALINA_CF_SEC_New_09-Feb-2024.xlsx]D-PNP'!$BB$29</t>
  </si>
  <si>
    <t>='C:\Users\jaime.benazar\Quorum Business Solutions\Ecopetrol Prometeo - Documents\Planning Space Implementation\3. Analysis &amp; Design\Design\FC22\DRR Jaime\Por presentar a ECP\Cantagallo\Cristalina\[CRISTALINA_CF_SEC_New_09-Feb-2024.xlsx]D-PNP'!$BB$30</t>
  </si>
  <si>
    <t>='C:\Users\jaime.benazar\Quorum Business Solutions\Ecopetrol Prometeo - Documents\Planning Space Implementation\3. Analysis &amp; Design\Design\FC22\DRR Jaime\Por presentar a ECP\Cantagallo\Cristalina\[CRISTALINA_CF_SEC_New_09-Feb-2024.xlsx]D-PNP'!$BB$31</t>
  </si>
  <si>
    <t>='C:\Users\jaime.benazar\Quorum Business Solutions\Ecopetrol Prometeo - Documents\Planning Space Implementation\3. Analysis &amp; Design\Design\FC22\DRR Jaime\Por presentar a ECP\Cantagallo\Cristalina\[CRISTALINA_CF_SEC_New_09-Feb-2024.xlsx]D-PNP'!$BB$32</t>
  </si>
  <si>
    <t>='C:\Users\jaime.benazar\Quorum Business Solutions\Ecopetrol Prometeo - Documents\Planning Space Implementation\3. Analysis &amp; Design\Design\FC22\DRR Jaime\Por presentar a ECP\Cantagallo\Cristalina\[CRISTALINA_CF_SEC_New_09-Feb-2024.xlsx]D-PNP'!$BB$33</t>
  </si>
  <si>
    <t>='C:\Users\jaime.benazar\Quorum Business Solutions\Ecopetrol Prometeo - Documents\Planning Space Implementation\3. Analysis &amp; Design\Design\FC22\DRR Jaime\Por presentar a ECP\Cantagallo\Cristalina\[CRISTALINA_CF_SEC_New_09-Feb-2024.xlsx]D-PNP'!$BB$34</t>
  </si>
  <si>
    <t>='C:\Users\jaime.benazar\Quorum Business Solutions\Ecopetrol Prometeo - Documents\Planning Space Implementation\3. Analysis &amp; Design\Design\FC22\DRR Jaime\Por presentar a ECP\Cantagallo\Cristalina\[CRISTALINA_CF_SEC_New_09-Feb-2024.xlsx]D-PNP'!$BB$35</t>
  </si>
  <si>
    <t>='C:\Users\jaime.benazar\Quorum Business Solutions\Ecopetrol Prometeo - Documents\Planning Space Implementation\3. Analysis &amp; Design\Design\FC22\DRR Jaime\Por presentar a ECP\Cantagallo\Cristalina\[CRISTALINA_CF_SEC_New_09-Feb-2024.xlsx]D-PNP'!$BB$36</t>
  </si>
  <si>
    <t>='C:\Users\jaime.benazar\Quorum Business Solutions\Ecopetrol Prometeo - Documents\Planning Space Implementation\3. Analysis &amp; Design\Design\FC22\DRR Jaime\Por presentar a ECP\Cantagallo\Cristalina\[CRISTALINA_CF_SEC_New_09-Feb-2024.xlsx]D-PNP'!$BB$37</t>
  </si>
  <si>
    <t>='C:\Users\jaime.benazar\Quorum Business Solutions\Ecopetrol Prometeo - Documents\Planning Space Implementation\3. Analysis &amp; Design\Design\FC22\DRR Jaime\Por presentar a ECP\Cantagallo\Cristalina\[CRISTALINA_CF_SEC_New_09-Feb-2024.xlsx]D-PNP'!$BB$38</t>
  </si>
  <si>
    <t>='C:\Users\jaime.benazar\Quorum Business Solutions\Ecopetrol Prometeo - Documents\Planning Space Implementation\3. Analysis &amp; Design\Design\FC22\DRR Jaime\Por presentar a ECP\Cantagallo\Cristalina\[CRISTALINA_CF_SEC_New_09-Feb-2024.xlsx]D-PNP'!$BB$39</t>
  </si>
  <si>
    <t>='C:\Users\jaime.benazar\Quorum Business Solutions\Ecopetrol Prometeo - Documents\Planning Space Implementation\3. Analysis &amp; Design\Design\FC22\DRR Jaime\Por presentar a ECP\Cantagallo\Cristalina\[CRISTALINA_CF_SEC_New_09-Feb-2024.xlsx]D-PNP'!$BB$40</t>
  </si>
  <si>
    <t>='C:\Users\jaime.benazar\Quorum Business Solutions\Ecopetrol Prometeo - Documents\Planning Space Implementation\3. Analysis &amp; Design\Design\FC22\DRR Jaime\Por presentar a ECP\Cantagallo\Cristalina\[CRISTALINA_CF_SEC_New_09-Feb-2024.xlsx]D-PNP'!$BB$41</t>
  </si>
  <si>
    <t>='C:\Users\jaime.benazar\Quorum Business Solutions\Ecopetrol Prometeo - Documents\Planning Space Implementation\3. Analysis &amp; Design\Design\FC22\DRR Jaime\Por presentar a ECP\Cantagallo\Cristalina\[CRISTALINA_CF_SEC_New_09-Feb-2024.xlsx]D-PNP'!$BB$42</t>
  </si>
  <si>
    <t>='C:\Users\jaime.benazar\Quorum Business Solutions\Ecopetrol Prometeo - Documents\Planning Space Implementation\3. Analysis &amp; Design\Design\FC22\DRR Jaime\Por presentar a ECP\Cantagallo\Cristalina\[CRISTALINA_CF_SEC_New_09-Feb-2024.xlsx]D-PNP'!$BB$43</t>
  </si>
  <si>
    <t>='C:\Users\jaime.benazar\Quorum Business Solutions\Ecopetrol Prometeo - Documents\Planning Space Implementation\3. Analysis &amp; Design\Design\FC22\DRR Jaime\Por presentar a ECP\Cantagallo\Cristalina\[CRISTALINA_CF_SEC_New_09-Feb-2024.xlsx]D-PNP'!$BB$44</t>
  </si>
  <si>
    <t>='C:\Users\jaime.benazar\Quorum Business Solutions\Ecopetrol Prometeo - Documents\Planning Space Implementation\3. Analysis &amp; Design\Design\FC22\DRR Jaime\Por presentar a ECP\Cantagallo\Cristalina\[CRISTALINA_CF_SEC_New_09-Feb-2024.xlsx]D-PNP'!$BB$45</t>
  </si>
  <si>
    <t>='C:\Users\jaime.benazar\Quorum Business Solutions\Ecopetrol Prometeo - Documents\Planning Space Implementation\3. Analysis &amp; Design\Design\FC22\DRR Jaime\Por presentar a ECP\Cantagallo\Cristalina\[CRISTALINA_CF_SEC_New_09-Feb-2024.xlsx]D-PNP'!$BB$46</t>
  </si>
  <si>
    <t>='C:\Users\jaime.benazar\Quorum Business Solutions\Ecopetrol Prometeo - Documents\Planning Space Implementation\3. Analysis &amp; Design\Design\FC22\DRR Jaime\Por presentar a ECP\Cantagallo\Cristalina\[CRISTALINA_CF_SEC_New_09-Feb-2024.xlsx]D-PNP'!$BB$47</t>
  </si>
  <si>
    <t>='C:\Users\jaime.benazar\Quorum Business Solutions\Ecopetrol Prometeo - Documents\Planning Space Implementation\3. Analysis &amp; Design\Design\FC22\DRR Jaime\Por presentar a ECP\Cantagallo\Cristalina\[CRISTALINA_CF_SEC_New_09-Feb-2024.xlsx]D-PNP'!$BB$48</t>
  </si>
  <si>
    <t>='C:\Users\jaime.benazar\Quorum Business Solutions\Ecopetrol Prometeo - Documents\Planning Space Implementation\3. Analysis &amp; Design\Design\FC22\DRR Jaime\Por presentar a ECP\Cantagallo\Cristalina\[CRISTALINA_CF_SEC_New_09-Feb-2024.xlsx]D-PND'!$BB$12</t>
  </si>
  <si>
    <t>='C:\Users\jaime.benazar\Quorum Business Solutions\Ecopetrol Prometeo - Documents\Planning Space Implementation\3. Analysis &amp; Design\Design\FC22\DRR Jaime\Por presentar a ECP\Cantagallo\Cristalina\[CRISTALINA_CF_SEC_New_09-Feb-2024.xlsx]D-PND'!$BB$13</t>
  </si>
  <si>
    <t>='C:\Users\jaime.benazar\Quorum Business Solutions\Ecopetrol Prometeo - Documents\Planning Space Implementation\3. Analysis &amp; Design\Design\FC22\DRR Jaime\Por presentar a ECP\Cantagallo\Cristalina\[CRISTALINA_CF_SEC_New_09-Feb-2024.xlsx]D-PND'!$BB$14</t>
  </si>
  <si>
    <t>='C:\Users\jaime.benazar\Quorum Business Solutions\Ecopetrol Prometeo - Documents\Planning Space Implementation\3. Analysis &amp; Design\Design\FC22\DRR Jaime\Por presentar a ECP\Cantagallo\Cristalina\[CRISTALINA_CF_SEC_New_09-Feb-2024.xlsx]D-PND'!$BB$15</t>
  </si>
  <si>
    <t>='C:\Users\jaime.benazar\Quorum Business Solutions\Ecopetrol Prometeo - Documents\Planning Space Implementation\3. Analysis &amp; Design\Design\FC22\DRR Jaime\Por presentar a ECP\Cantagallo\Cristalina\[CRISTALINA_CF_SEC_New_09-Feb-2024.xlsx]D-PND'!$BB$16</t>
  </si>
  <si>
    <t>='C:\Users\jaime.benazar\Quorum Business Solutions\Ecopetrol Prometeo - Documents\Planning Space Implementation\3. Analysis &amp; Design\Design\FC22\DRR Jaime\Por presentar a ECP\Cantagallo\Cristalina\[CRISTALINA_CF_SEC_New_09-Feb-2024.xlsx]D-PND'!$BB$17</t>
  </si>
  <si>
    <t>='C:\Users\jaime.benazar\Quorum Business Solutions\Ecopetrol Prometeo - Documents\Planning Space Implementation\3. Analysis &amp; Design\Design\FC22\DRR Jaime\Por presentar a ECP\Cantagallo\Cristalina\[CRISTALINA_CF_SEC_New_09-Feb-2024.xlsx]D-PND'!$BB$18</t>
  </si>
  <si>
    <t>='C:\Users\jaime.benazar\Quorum Business Solutions\Ecopetrol Prometeo - Documents\Planning Space Implementation\3. Analysis &amp; Design\Design\FC22\DRR Jaime\Por presentar a ECP\Cantagallo\Cristalina\[CRISTALINA_CF_SEC_New_09-Feb-2024.xlsx]D-PND'!$BB$19</t>
  </si>
  <si>
    <t>='C:\Users\jaime.benazar\Quorum Business Solutions\Ecopetrol Prometeo - Documents\Planning Space Implementation\3. Analysis &amp; Design\Design\FC22\DRR Jaime\Por presentar a ECP\Cantagallo\Cristalina\[CRISTALINA_CF_SEC_New_09-Feb-2024.xlsx]D-PND'!$BB$20</t>
  </si>
  <si>
    <t>='C:\Users\jaime.benazar\Quorum Business Solutions\Ecopetrol Prometeo - Documents\Planning Space Implementation\3. Analysis &amp; Design\Design\FC22\DRR Jaime\Por presentar a ECP\Cantagallo\Cristalina\[CRISTALINA_CF_SEC_New_09-Feb-2024.xlsx]D-PND'!$BB$21</t>
  </si>
  <si>
    <t>='C:\Users\jaime.benazar\Quorum Business Solutions\Ecopetrol Prometeo - Documents\Planning Space Implementation\3. Analysis &amp; Design\Design\FC22\DRR Jaime\Por presentar a ECP\Cantagallo\Cristalina\[CRISTALINA_CF_SEC_New_09-Feb-2024.xlsx]D-PND'!$BB$22</t>
  </si>
  <si>
    <t>='C:\Users\jaime.benazar\Quorum Business Solutions\Ecopetrol Prometeo - Documents\Planning Space Implementation\3. Analysis &amp; Design\Design\FC22\DRR Jaime\Por presentar a ECP\Cantagallo\Cristalina\[CRISTALINA_CF_SEC_New_09-Feb-2024.xlsx]D-PND'!$BB$23</t>
  </si>
  <si>
    <t>='C:\Users\jaime.benazar\Quorum Business Solutions\Ecopetrol Prometeo - Documents\Planning Space Implementation\3. Analysis &amp; Design\Design\FC22\DRR Jaime\Por presentar a ECP\Cantagallo\Cristalina\[CRISTALINA_CF_SEC_New_09-Feb-2024.xlsx]D-PND'!$BB$24</t>
  </si>
  <si>
    <t>='C:\Users\jaime.benazar\Quorum Business Solutions\Ecopetrol Prometeo - Documents\Planning Space Implementation\3. Analysis &amp; Design\Design\FC22\DRR Jaime\Por presentar a ECP\Cantagallo\Cristalina\[CRISTALINA_CF_SEC_New_09-Feb-2024.xlsx]D-PND'!$BB$25</t>
  </si>
  <si>
    <t>='C:\Users\jaime.benazar\Quorum Business Solutions\Ecopetrol Prometeo - Documents\Planning Space Implementation\3. Analysis &amp; Design\Design\FC22\DRR Jaime\Por presentar a ECP\Cantagallo\Cristalina\[CRISTALINA_CF_SEC_New_09-Feb-2024.xlsx]D-PND'!$BB$26</t>
  </si>
  <si>
    <t>='C:\Users\jaime.benazar\Quorum Business Solutions\Ecopetrol Prometeo - Documents\Planning Space Implementation\3. Analysis &amp; Design\Design\FC22\DRR Jaime\Por presentar a ECP\Cantagallo\Cristalina\[CRISTALINA_CF_SEC_New_09-Feb-2024.xlsx]D-PND'!$BB$27</t>
  </si>
  <si>
    <t>='C:\Users\jaime.benazar\Quorum Business Solutions\Ecopetrol Prometeo - Documents\Planning Space Implementation\3. Analysis &amp; Design\Design\FC22\DRR Jaime\Por presentar a ECP\Cantagallo\Cristalina\[CRISTALINA_CF_SEC_New_09-Feb-2024.xlsx]D-PND'!$BB$28</t>
  </si>
  <si>
    <t>='C:\Users\jaime.benazar\Quorum Business Solutions\Ecopetrol Prometeo - Documents\Planning Space Implementation\3. Analysis &amp; Design\Design\FC22\DRR Jaime\Por presentar a ECP\Cantagallo\Cristalina\[CRISTALINA_CF_SEC_New_09-Feb-2024.xlsx]D-PND'!$BB$29</t>
  </si>
  <si>
    <t>='C:\Users\jaime.benazar\Quorum Business Solutions\Ecopetrol Prometeo - Documents\Planning Space Implementation\3. Analysis &amp; Design\Design\FC22\DRR Jaime\Por presentar a ECP\Cantagallo\Cristalina\[CRISTALINA_CF_SEC_New_09-Feb-2024.xlsx]D-PND'!$BB$30</t>
  </si>
  <si>
    <t>='C:\Users\jaime.benazar\Quorum Business Solutions\Ecopetrol Prometeo - Documents\Planning Space Implementation\3. Analysis &amp; Design\Design\FC22\DRR Jaime\Por presentar a ECP\Cantagallo\Cristalina\[CRISTALINA_CF_SEC_New_09-Feb-2024.xlsx]D-PND'!$BB$31</t>
  </si>
  <si>
    <t>='C:\Users\jaime.benazar\Quorum Business Solutions\Ecopetrol Prometeo - Documents\Planning Space Implementation\3. Analysis &amp; Design\Design\FC22\DRR Jaime\Por presentar a ECP\Cantagallo\Cristalina\[CRISTALINA_CF_SEC_New_09-Feb-2024.xlsx]D-PND'!$BB$32</t>
  </si>
  <si>
    <t>='C:\Users\jaime.benazar\Quorum Business Solutions\Ecopetrol Prometeo - Documents\Planning Space Implementation\3. Analysis &amp; Design\Design\FC22\DRR Jaime\Por presentar a ECP\Cantagallo\Cristalina\[CRISTALINA_CF_SEC_New_09-Feb-2024.xlsx]D-PND'!$BB$33</t>
  </si>
  <si>
    <t>='C:\Users\jaime.benazar\Quorum Business Solutions\Ecopetrol Prometeo - Documents\Planning Space Implementation\3. Analysis &amp; Design\Design\FC22\DRR Jaime\Por presentar a ECP\Cantagallo\Cristalina\[CRISTALINA_CF_SEC_New_09-Feb-2024.xlsx]D-PND'!$BB$34</t>
  </si>
  <si>
    <t>='C:\Users\jaime.benazar\Quorum Business Solutions\Ecopetrol Prometeo - Documents\Planning Space Implementation\3. Analysis &amp; Design\Design\FC22\DRR Jaime\Por presentar a ECP\Cantagallo\Cristalina\[CRISTALINA_CF_SEC_New_09-Feb-2024.xlsx]D-PND'!$BB$35</t>
  </si>
  <si>
    <t>='C:\Users\jaime.benazar\Quorum Business Solutions\Ecopetrol Prometeo - Documents\Planning Space Implementation\3. Analysis &amp; Design\Design\FC22\DRR Jaime\Por presentar a ECP\Cantagallo\Cristalina\[CRISTALINA_CF_SEC_New_09-Feb-2024.xlsx]D-PND'!$BB$36</t>
  </si>
  <si>
    <t>='C:\Users\jaime.benazar\Quorum Business Solutions\Ecopetrol Prometeo - Documents\Planning Space Implementation\3. Analysis &amp; Design\Design\FC22\DRR Jaime\Por presentar a ECP\Cantagallo\Cristalina\[CRISTALINA_CF_SEC_New_09-Feb-2024.xlsx]D-PND'!$BB$37</t>
  </si>
  <si>
    <t>='C:\Users\jaime.benazar\Quorum Business Solutions\Ecopetrol Prometeo - Documents\Planning Space Implementation\3. Analysis &amp; Design\Design\FC22\DRR Jaime\Por presentar a ECP\Cantagallo\Cristalina\[CRISTALINA_CF_SEC_New_09-Feb-2024.xlsx]D-PND'!$BB$38</t>
  </si>
  <si>
    <t>='C:\Users\jaime.benazar\Quorum Business Solutions\Ecopetrol Prometeo - Documents\Planning Space Implementation\3. Analysis &amp; Design\Design\FC22\DRR Jaime\Por presentar a ECP\Cantagallo\Cristalina\[CRISTALINA_CF_SEC_New_09-Feb-2024.xlsx]D-PND'!$BB$39</t>
  </si>
  <si>
    <t>='C:\Users\jaime.benazar\Quorum Business Solutions\Ecopetrol Prometeo - Documents\Planning Space Implementation\3. Analysis &amp; Design\Design\FC22\DRR Jaime\Por presentar a ECP\Cantagallo\Cristalina\[CRISTALINA_CF_SEC_New_09-Feb-2024.xlsx]D-PND'!$BB$40</t>
  </si>
  <si>
    <t>='C:\Users\jaime.benazar\Quorum Business Solutions\Ecopetrol Prometeo - Documents\Planning Space Implementation\3. Analysis &amp; Design\Design\FC22\DRR Jaime\Por presentar a ECP\Cantagallo\Cristalina\[CRISTALINA_CF_SEC_New_09-Feb-2024.xlsx]D-PND'!$BB$41</t>
  </si>
  <si>
    <t>='C:\Users\jaime.benazar\Quorum Business Solutions\Ecopetrol Prometeo - Documents\Planning Space Implementation\3. Analysis &amp; Design\Design\FC22\DRR Jaime\Por presentar a ECP\Cantagallo\Cristalina\[CRISTALINA_CF_SEC_New_09-Feb-2024.xlsx]D-PND'!$BB$42</t>
  </si>
  <si>
    <t>='C:\Users\jaime.benazar\Quorum Business Solutions\Ecopetrol Prometeo - Documents\Planning Space Implementation\3. Analysis &amp; Design\Design\FC22\DRR Jaime\Por presentar a ECP\Cantagallo\Cristalina\[CRISTALINA_CF_SEC_New_09-Feb-2024.xlsx]D-PND'!$BB$43</t>
  </si>
  <si>
    <t>='C:\Users\jaime.benazar\Quorum Business Solutions\Ecopetrol Prometeo - Documents\Planning Space Implementation\3. Analysis &amp; Design\Design\FC22\DRR Jaime\Por presentar a ECP\Cantagallo\Cristalina\[CRISTALINA_CF_SEC_New_09-Feb-2024.xlsx]D-PND'!$BB$44</t>
  </si>
  <si>
    <t>='C:\Users\jaime.benazar\Quorum Business Solutions\Ecopetrol Prometeo - Documents\Planning Space Implementation\3. Analysis &amp; Design\Design\FC22\DRR Jaime\Por presentar a ECP\Cantagallo\Cristalina\[CRISTALINA_CF_SEC_New_09-Feb-2024.xlsx]D-PND'!$BB$45</t>
  </si>
  <si>
    <t>='C:\Users\jaime.benazar\Quorum Business Solutions\Ecopetrol Prometeo - Documents\Planning Space Implementation\3. Analysis &amp; Design\Design\FC22\DRR Jaime\Por presentar a ECP\Cantagallo\Cristalina\[CRISTALINA_CF_SEC_New_09-Feb-2024.xlsx]D-PND'!$BB$46</t>
  </si>
  <si>
    <t>='C:\Users\jaime.benazar\Quorum Business Solutions\Ecopetrol Prometeo - Documents\Planning Space Implementation\3. Analysis &amp; Design\Design\FC22\DRR Jaime\Por presentar a ECP\Cantagallo\Cristalina\[CRISTALINA_CF_SEC_New_09-Feb-2024.xlsx]D-PND'!$BB$47</t>
  </si>
  <si>
    <t>='C:\Users\jaime.benazar\Quorum Business Solutions\Ecopetrol Prometeo - Documents\Planning Space Implementation\3. Analysis &amp; Design\Design\FC22\DRR Jaime\Por presentar a ECP\Cantagallo\Cristalina\[CRISTALINA_CF_SEC_New_09-Feb-2024.xlsx]D-PND'!$BB$48</t>
  </si>
  <si>
    <t>='C:\Users\jaime.benazar\Quorum Business Solutions\Ecopetrol Prometeo - Documents\Planning Space Implementation\3. Analysis &amp; Design\Design\FC22\DRR Jaime\Por presentar a ECP\Cantagallo\Cristalina\[CRISTALINA_CF_SEC_New_09-Feb-2024.xlsx]D-PRB'!$BB$12</t>
  </si>
  <si>
    <t>='C:\Users\jaime.benazar\Quorum Business Solutions\Ecopetrol Prometeo - Documents\Planning Space Implementation\3. Analysis &amp; Design\Design\FC22\DRR Jaime\Por presentar a ECP\Cantagallo\Cristalina\[CRISTALINA_CF_SEC_New_09-Feb-2024.xlsx]D-PRB'!$BB$13</t>
  </si>
  <si>
    <t>='C:\Users\jaime.benazar\Quorum Business Solutions\Ecopetrol Prometeo - Documents\Planning Space Implementation\3. Analysis &amp; Design\Design\FC22\DRR Jaime\Por presentar a ECP\Cantagallo\Cristalina\[CRISTALINA_CF_SEC_New_09-Feb-2024.xlsx]D-PRB'!$BB$14</t>
  </si>
  <si>
    <t>='C:\Users\jaime.benazar\Quorum Business Solutions\Ecopetrol Prometeo - Documents\Planning Space Implementation\3. Analysis &amp; Design\Design\FC22\DRR Jaime\Por presentar a ECP\Cantagallo\Cristalina\[CRISTALINA_CF_SEC_New_09-Feb-2024.xlsx]D-PRB'!$BB$15</t>
  </si>
  <si>
    <t>='C:\Users\jaime.benazar\Quorum Business Solutions\Ecopetrol Prometeo - Documents\Planning Space Implementation\3. Analysis &amp; Design\Design\FC22\DRR Jaime\Por presentar a ECP\Cantagallo\Cristalina\[CRISTALINA_CF_SEC_New_09-Feb-2024.xlsx]D-PRB'!$BB$16</t>
  </si>
  <si>
    <t>='C:\Users\jaime.benazar\Quorum Business Solutions\Ecopetrol Prometeo - Documents\Planning Space Implementation\3. Analysis &amp; Design\Design\FC22\DRR Jaime\Por presentar a ECP\Cantagallo\Cristalina\[CRISTALINA_CF_SEC_New_09-Feb-2024.xlsx]D-PRB'!$BB$17</t>
  </si>
  <si>
    <t>='C:\Users\jaime.benazar\Quorum Business Solutions\Ecopetrol Prometeo - Documents\Planning Space Implementation\3. Analysis &amp; Design\Design\FC22\DRR Jaime\Por presentar a ECP\Cantagallo\Cristalina\[CRISTALINA_CF_SEC_New_09-Feb-2024.xlsx]D-PRB'!$BB$18</t>
  </si>
  <si>
    <t>='C:\Users\jaime.benazar\Quorum Business Solutions\Ecopetrol Prometeo - Documents\Planning Space Implementation\3. Analysis &amp; Design\Design\FC22\DRR Jaime\Por presentar a ECP\Cantagallo\Cristalina\[CRISTALINA_CF_SEC_New_09-Feb-2024.xlsx]D-PRB'!$BB$19</t>
  </si>
  <si>
    <t>='C:\Users\jaime.benazar\Quorum Business Solutions\Ecopetrol Prometeo - Documents\Planning Space Implementation\3. Analysis &amp; Design\Design\FC22\DRR Jaime\Por presentar a ECP\Cantagallo\Cristalina\[CRISTALINA_CF_SEC_New_09-Feb-2024.xlsx]D-PRB'!$BB$20</t>
  </si>
  <si>
    <t>='C:\Users\jaime.benazar\Quorum Business Solutions\Ecopetrol Prometeo - Documents\Planning Space Implementation\3. Analysis &amp; Design\Design\FC22\DRR Jaime\Por presentar a ECP\Cantagallo\Cristalina\[CRISTALINA_CF_SEC_New_09-Feb-2024.xlsx]D-PRB'!$BB$21</t>
  </si>
  <si>
    <t>='C:\Users\jaime.benazar\Quorum Business Solutions\Ecopetrol Prometeo - Documents\Planning Space Implementation\3. Analysis &amp; Design\Design\FC22\DRR Jaime\Por presentar a ECP\Cantagallo\Cristalina\[CRISTALINA_CF_SEC_New_09-Feb-2024.xlsx]D-PRB'!$BB$22</t>
  </si>
  <si>
    <t>='C:\Users\jaime.benazar\Quorum Business Solutions\Ecopetrol Prometeo - Documents\Planning Space Implementation\3. Analysis &amp; Design\Design\FC22\DRR Jaime\Por presentar a ECP\Cantagallo\Cristalina\[CRISTALINA_CF_SEC_New_09-Feb-2024.xlsx]D-PRB'!$BB$23</t>
  </si>
  <si>
    <t>='C:\Users\jaime.benazar\Quorum Business Solutions\Ecopetrol Prometeo - Documents\Planning Space Implementation\3. Analysis &amp; Design\Design\FC22\DRR Jaime\Por presentar a ECP\Cantagallo\Cristalina\[CRISTALINA_CF_SEC_New_09-Feb-2024.xlsx]D-PRB'!$BB$24</t>
  </si>
  <si>
    <t>='C:\Users\jaime.benazar\Quorum Business Solutions\Ecopetrol Prometeo - Documents\Planning Space Implementation\3. Analysis &amp; Design\Design\FC22\DRR Jaime\Por presentar a ECP\Cantagallo\Cristalina\[CRISTALINA_CF_SEC_New_09-Feb-2024.xlsx]D-PRB'!$BB$25</t>
  </si>
  <si>
    <t>='C:\Users\jaime.benazar\Quorum Business Solutions\Ecopetrol Prometeo - Documents\Planning Space Implementation\3. Analysis &amp; Design\Design\FC22\DRR Jaime\Por presentar a ECP\Cantagallo\Cristalina\[CRISTALINA_CF_SEC_New_09-Feb-2024.xlsx]D-PRB'!$BB$26</t>
  </si>
  <si>
    <t>='C:\Users\jaime.benazar\Quorum Business Solutions\Ecopetrol Prometeo - Documents\Planning Space Implementation\3. Analysis &amp; Design\Design\FC22\DRR Jaime\Por presentar a ECP\Cantagallo\Cristalina\[CRISTALINA_CF_SEC_New_09-Feb-2024.xlsx]D-PRB'!$BB$27</t>
  </si>
  <si>
    <t>='C:\Users\jaime.benazar\Quorum Business Solutions\Ecopetrol Prometeo - Documents\Planning Space Implementation\3. Analysis &amp; Design\Design\FC22\DRR Jaime\Por presentar a ECP\Cantagallo\Cristalina\[CRISTALINA_CF_SEC_New_09-Feb-2024.xlsx]D-PRB'!$BB$28</t>
  </si>
  <si>
    <t>='C:\Users\jaime.benazar\Quorum Business Solutions\Ecopetrol Prometeo - Documents\Planning Space Implementation\3. Analysis &amp; Design\Design\FC22\DRR Jaime\Por presentar a ECP\Cantagallo\Cristalina\[CRISTALINA_CF_SEC_New_09-Feb-2024.xlsx]D-PRB'!$BB$29</t>
  </si>
  <si>
    <t>='C:\Users\jaime.benazar\Quorum Business Solutions\Ecopetrol Prometeo - Documents\Planning Space Implementation\3. Analysis &amp; Design\Design\FC22\DRR Jaime\Por presentar a ECP\Cantagallo\Cristalina\[CRISTALINA_CF_SEC_New_09-Feb-2024.xlsx]D-PRB'!$BB$30</t>
  </si>
  <si>
    <t>='C:\Users\jaime.benazar\Quorum Business Solutions\Ecopetrol Prometeo - Documents\Planning Space Implementation\3. Analysis &amp; Design\Design\FC22\DRR Jaime\Por presentar a ECP\Cantagallo\Cristalina\[CRISTALINA_CF_SEC_New_09-Feb-2024.xlsx]D-PRB'!$BB$31</t>
  </si>
  <si>
    <t>='C:\Users\jaime.benazar\Quorum Business Solutions\Ecopetrol Prometeo - Documents\Planning Space Implementation\3. Analysis &amp; Design\Design\FC22\DRR Jaime\Por presentar a ECP\Cantagallo\Cristalina\[CRISTALINA_CF_SEC_New_09-Feb-2024.xlsx]D-PRB'!$BB$32</t>
  </si>
  <si>
    <t>='C:\Users\jaime.benazar\Quorum Business Solutions\Ecopetrol Prometeo - Documents\Planning Space Implementation\3. Analysis &amp; Design\Design\FC22\DRR Jaime\Por presentar a ECP\Cantagallo\Cristalina\[CRISTALINA_CF_SEC_New_09-Feb-2024.xlsx]D-PRB'!$BB$33</t>
  </si>
  <si>
    <t>='C:\Users\jaime.benazar\Quorum Business Solutions\Ecopetrol Prometeo - Documents\Planning Space Implementation\3. Analysis &amp; Design\Design\FC22\DRR Jaime\Por presentar a ECP\Cantagallo\Cristalina\[CRISTALINA_CF_SEC_New_09-Feb-2024.xlsx]D-PRB'!$BB$34</t>
  </si>
  <si>
    <t>='C:\Users\jaime.benazar\Quorum Business Solutions\Ecopetrol Prometeo - Documents\Planning Space Implementation\3. Analysis &amp; Design\Design\FC22\DRR Jaime\Por presentar a ECP\Cantagallo\Cristalina\[CRISTALINA_CF_SEC_New_09-Feb-2024.xlsx]D-PRB'!$BB$35</t>
  </si>
  <si>
    <t>='C:\Users\jaime.benazar\Quorum Business Solutions\Ecopetrol Prometeo - Documents\Planning Space Implementation\3. Analysis &amp; Design\Design\FC22\DRR Jaime\Por presentar a ECP\Cantagallo\Cristalina\[CRISTALINA_CF_SEC_New_09-Feb-2024.xlsx]D-PRB'!$BB$36</t>
  </si>
  <si>
    <t>='C:\Users\jaime.benazar\Quorum Business Solutions\Ecopetrol Prometeo - Documents\Planning Space Implementation\3. Analysis &amp; Design\Design\FC22\DRR Jaime\Por presentar a ECP\Cantagallo\Cristalina\[CRISTALINA_CF_SEC_New_09-Feb-2024.xlsx]D-PRB'!$BB$37</t>
  </si>
  <si>
    <t>='C:\Users\jaime.benazar\Quorum Business Solutions\Ecopetrol Prometeo - Documents\Planning Space Implementation\3. Analysis &amp; Design\Design\FC22\DRR Jaime\Por presentar a ECP\Cantagallo\Cristalina\[CRISTALINA_CF_SEC_New_09-Feb-2024.xlsx]D-PRB'!$BB$38</t>
  </si>
  <si>
    <t>='C:\Users\jaime.benazar\Quorum Business Solutions\Ecopetrol Prometeo - Documents\Planning Space Implementation\3. Analysis &amp; Design\Design\FC22\DRR Jaime\Por presentar a ECP\Cantagallo\Cristalina\[CRISTALINA_CF_SEC_New_09-Feb-2024.xlsx]D-PRB'!$BB$39</t>
  </si>
  <si>
    <t>='C:\Users\jaime.benazar\Quorum Business Solutions\Ecopetrol Prometeo - Documents\Planning Space Implementation\3. Analysis &amp; Design\Design\FC22\DRR Jaime\Por presentar a ECP\Cantagallo\Cristalina\[CRISTALINA_CF_SEC_New_09-Feb-2024.xlsx]D-PRB'!$BB$40</t>
  </si>
  <si>
    <t>='C:\Users\jaime.benazar\Quorum Business Solutions\Ecopetrol Prometeo - Documents\Planning Space Implementation\3. Analysis &amp; Design\Design\FC22\DRR Jaime\Por presentar a ECP\Cantagallo\Cristalina\[CRISTALINA_CF_SEC_New_09-Feb-2024.xlsx]D-PRB'!$BB$41</t>
  </si>
  <si>
    <t>='C:\Users\jaime.benazar\Quorum Business Solutions\Ecopetrol Prometeo - Documents\Planning Space Implementation\3. Analysis &amp; Design\Design\FC22\DRR Jaime\Por presentar a ECP\Cantagallo\Cristalina\[CRISTALINA_CF_SEC_New_09-Feb-2024.xlsx]D-PRB'!$BB$42</t>
  </si>
  <si>
    <t>='C:\Users\jaime.benazar\Quorum Business Solutions\Ecopetrol Prometeo - Documents\Planning Space Implementation\3. Analysis &amp; Design\Design\FC22\DRR Jaime\Por presentar a ECP\Cantagallo\Cristalina\[CRISTALINA_CF_SEC_New_09-Feb-2024.xlsx]D-PRB'!$BB$43</t>
  </si>
  <si>
    <t>='C:\Users\jaime.benazar\Quorum Business Solutions\Ecopetrol Prometeo - Documents\Planning Space Implementation\3. Analysis &amp; Design\Design\FC22\DRR Jaime\Por presentar a ECP\Cantagallo\Cristalina\[CRISTALINA_CF_SEC_New_09-Feb-2024.xlsx]D-PRB'!$BB$44</t>
  </si>
  <si>
    <t>='C:\Users\jaime.benazar\Quorum Business Solutions\Ecopetrol Prometeo - Documents\Planning Space Implementation\3. Analysis &amp; Design\Design\FC22\DRR Jaime\Por presentar a ECP\Cantagallo\Cristalina\[CRISTALINA_CF_SEC_New_09-Feb-2024.xlsx]D-PRB'!$BB$45</t>
  </si>
  <si>
    <t>='C:\Users\jaime.benazar\Quorum Business Solutions\Ecopetrol Prometeo - Documents\Planning Space Implementation\3. Analysis &amp; Design\Design\FC22\DRR Jaime\Por presentar a ECP\Cantagallo\Cristalina\[CRISTALINA_CF_SEC_New_09-Feb-2024.xlsx]D-PRB'!$BB$46</t>
  </si>
  <si>
    <t>='C:\Users\jaime.benazar\Quorum Business Solutions\Ecopetrol Prometeo - Documents\Planning Space Implementation\3. Analysis &amp; Design\Design\FC22\DRR Jaime\Por presentar a ECP\Cantagallo\Cristalina\[CRISTALINA_CF_SEC_New_09-Feb-2024.xlsx]D-PRB'!$BB$47</t>
  </si>
  <si>
    <t>='C:\Users\jaime.benazar\Quorum Business Solutions\Ecopetrol Prometeo - Documents\Planning Space Implementation\3. Analysis &amp; Design\Design\FC22\DRR Jaime\Por presentar a ECP\Cantagallo\Cristalina\[CRISTALINA_CF_SEC_New_09-Feb-2024.xlsx]D-PRB'!$BB$48</t>
  </si>
  <si>
    <t>='C:\Users\jaime.benazar\Quorum Business Solutions\Ecopetrol Prometeo - Documents\Planning Space Implementation\3. Analysis &amp; Design\Design\FC22\DRR Jaime\Por presentar a ECP\Cantagallo\Cristalina\[CRISTALINA_CF_SEC_New_09-Feb-2024.xlsx]D-PS'!$BB$12</t>
  </si>
  <si>
    <t>='C:\Users\jaime.benazar\Quorum Business Solutions\Ecopetrol Prometeo - Documents\Planning Space Implementation\3. Analysis &amp; Design\Design\FC22\DRR Jaime\Por presentar a ECP\Cantagallo\Cristalina\[CRISTALINA_CF_SEC_New_09-Feb-2024.xlsx]D-PS'!$BB$13</t>
  </si>
  <si>
    <t>='C:\Users\jaime.benazar\Quorum Business Solutions\Ecopetrol Prometeo - Documents\Planning Space Implementation\3. Analysis &amp; Design\Design\FC22\DRR Jaime\Por presentar a ECP\Cantagallo\Cristalina\[CRISTALINA_CF_SEC_New_09-Feb-2024.xlsx]D-PS'!$BB$14</t>
  </si>
  <si>
    <t>='C:\Users\jaime.benazar\Quorum Business Solutions\Ecopetrol Prometeo - Documents\Planning Space Implementation\3. Analysis &amp; Design\Design\FC22\DRR Jaime\Por presentar a ECP\Cantagallo\Cristalina\[CRISTALINA_CF_SEC_New_09-Feb-2024.xlsx]D-PS'!$BB$15</t>
  </si>
  <si>
    <t>='C:\Users\jaime.benazar\Quorum Business Solutions\Ecopetrol Prometeo - Documents\Planning Space Implementation\3. Analysis &amp; Design\Design\FC22\DRR Jaime\Por presentar a ECP\Cantagallo\Cristalina\[CRISTALINA_CF_SEC_New_09-Feb-2024.xlsx]D-PS'!$BB$16</t>
  </si>
  <si>
    <t>='C:\Users\jaime.benazar\Quorum Business Solutions\Ecopetrol Prometeo - Documents\Planning Space Implementation\3. Analysis &amp; Design\Design\FC22\DRR Jaime\Por presentar a ECP\Cantagallo\Cristalina\[CRISTALINA_CF_SEC_New_09-Feb-2024.xlsx]D-PS'!$BB$17</t>
  </si>
  <si>
    <t>='C:\Users\jaime.benazar\Quorum Business Solutions\Ecopetrol Prometeo - Documents\Planning Space Implementation\3. Analysis &amp; Design\Design\FC22\DRR Jaime\Por presentar a ECP\Cantagallo\Cristalina\[CRISTALINA_CF_SEC_New_09-Feb-2024.xlsx]D-PS'!$BB$18</t>
  </si>
  <si>
    <t>='C:\Users\jaime.benazar\Quorum Business Solutions\Ecopetrol Prometeo - Documents\Planning Space Implementation\3. Analysis &amp; Design\Design\FC22\DRR Jaime\Por presentar a ECP\Cantagallo\Cristalina\[CRISTALINA_CF_SEC_New_09-Feb-2024.xlsx]D-PS'!$BB$19</t>
  </si>
  <si>
    <t>='C:\Users\jaime.benazar\Quorum Business Solutions\Ecopetrol Prometeo - Documents\Planning Space Implementation\3. Analysis &amp; Design\Design\FC22\DRR Jaime\Por presentar a ECP\Cantagallo\Cristalina\[CRISTALINA_CF_SEC_New_09-Feb-2024.xlsx]D-PS'!$BB$20</t>
  </si>
  <si>
    <t>='C:\Users\jaime.benazar\Quorum Business Solutions\Ecopetrol Prometeo - Documents\Planning Space Implementation\3. Analysis &amp; Design\Design\FC22\DRR Jaime\Por presentar a ECP\Cantagallo\Cristalina\[CRISTALINA_CF_SEC_New_09-Feb-2024.xlsx]D-PS'!$BB$21</t>
  </si>
  <si>
    <t>='C:\Users\jaime.benazar\Quorum Business Solutions\Ecopetrol Prometeo - Documents\Planning Space Implementation\3. Analysis &amp; Design\Design\FC22\DRR Jaime\Por presentar a ECP\Cantagallo\Cristalina\[CRISTALINA_CF_SEC_New_09-Feb-2024.xlsx]D-PS'!$BB$22</t>
  </si>
  <si>
    <t>='C:\Users\jaime.benazar\Quorum Business Solutions\Ecopetrol Prometeo - Documents\Planning Space Implementation\3. Analysis &amp; Design\Design\FC22\DRR Jaime\Por presentar a ECP\Cantagallo\Cristalina\[CRISTALINA_CF_SEC_New_09-Feb-2024.xlsx]D-PS'!$BB$23</t>
  </si>
  <si>
    <t>='C:\Users\jaime.benazar\Quorum Business Solutions\Ecopetrol Prometeo - Documents\Planning Space Implementation\3. Analysis &amp; Design\Design\FC22\DRR Jaime\Por presentar a ECP\Cantagallo\Cristalina\[CRISTALINA_CF_SEC_New_09-Feb-2024.xlsx]D-PS'!$BB$24</t>
  </si>
  <si>
    <t>='C:\Users\jaime.benazar\Quorum Business Solutions\Ecopetrol Prometeo - Documents\Planning Space Implementation\3. Analysis &amp; Design\Design\FC22\DRR Jaime\Por presentar a ECP\Cantagallo\Cristalina\[CRISTALINA_CF_SEC_New_09-Feb-2024.xlsx]D-PS'!$BB$25</t>
  </si>
  <si>
    <t>='C:\Users\jaime.benazar\Quorum Business Solutions\Ecopetrol Prometeo - Documents\Planning Space Implementation\3. Analysis &amp; Design\Design\FC22\DRR Jaime\Por presentar a ECP\Cantagallo\Cristalina\[CRISTALINA_CF_SEC_New_09-Feb-2024.xlsx]D-PS'!$BB$26</t>
  </si>
  <si>
    <t>='C:\Users\jaime.benazar\Quorum Business Solutions\Ecopetrol Prometeo - Documents\Planning Space Implementation\3. Analysis &amp; Design\Design\FC22\DRR Jaime\Por presentar a ECP\Cantagallo\Cristalina\[CRISTALINA_CF_SEC_New_09-Feb-2024.xlsx]D-PS'!$BB$27</t>
  </si>
  <si>
    <t>='C:\Users\jaime.benazar\Quorum Business Solutions\Ecopetrol Prometeo - Documents\Planning Space Implementation\3. Analysis &amp; Design\Design\FC22\DRR Jaime\Por presentar a ECP\Cantagallo\Cristalina\[CRISTALINA_CF_SEC_New_09-Feb-2024.xlsx]D-PS'!$BB$28</t>
  </si>
  <si>
    <t>='C:\Users\jaime.benazar\Quorum Business Solutions\Ecopetrol Prometeo - Documents\Planning Space Implementation\3. Analysis &amp; Design\Design\FC22\DRR Jaime\Por presentar a ECP\Cantagallo\Cristalina\[CRISTALINA_CF_SEC_New_09-Feb-2024.xlsx]D-PS'!$BB$29</t>
  </si>
  <si>
    <t>='C:\Users\jaime.benazar\Quorum Business Solutions\Ecopetrol Prometeo - Documents\Planning Space Implementation\3. Analysis &amp; Design\Design\FC22\DRR Jaime\Por presentar a ECP\Cantagallo\Cristalina\[CRISTALINA_CF_SEC_New_09-Feb-2024.xlsx]D-PS'!$BB$30</t>
  </si>
  <si>
    <t>='C:\Users\jaime.benazar\Quorum Business Solutions\Ecopetrol Prometeo - Documents\Planning Space Implementation\3. Analysis &amp; Design\Design\FC22\DRR Jaime\Por presentar a ECP\Cantagallo\Cristalina\[CRISTALINA_CF_SEC_New_09-Feb-2024.xlsx]D-PS'!$BB$31</t>
  </si>
  <si>
    <t>='C:\Users\jaime.benazar\Quorum Business Solutions\Ecopetrol Prometeo - Documents\Planning Space Implementation\3. Analysis &amp; Design\Design\FC22\DRR Jaime\Por presentar a ECP\Cantagallo\Cristalina\[CRISTALINA_CF_SEC_New_09-Feb-2024.xlsx]D-PS'!$BB$32</t>
  </si>
  <si>
    <t>='C:\Users\jaime.benazar\Quorum Business Solutions\Ecopetrol Prometeo - Documents\Planning Space Implementation\3. Analysis &amp; Design\Design\FC22\DRR Jaime\Por presentar a ECP\Cantagallo\Cristalina\[CRISTALINA_CF_SEC_New_09-Feb-2024.xlsx]D-PS'!$BB$33</t>
  </si>
  <si>
    <t>='C:\Users\jaime.benazar\Quorum Business Solutions\Ecopetrol Prometeo - Documents\Planning Space Implementation\3. Analysis &amp; Design\Design\FC22\DRR Jaime\Por presentar a ECP\Cantagallo\Cristalina\[CRISTALINA_CF_SEC_New_09-Feb-2024.xlsx]D-PS'!$BB$34</t>
  </si>
  <si>
    <t>='C:\Users\jaime.benazar\Quorum Business Solutions\Ecopetrol Prometeo - Documents\Planning Space Implementation\3. Analysis &amp; Design\Design\FC22\DRR Jaime\Por presentar a ECP\Cantagallo\Cristalina\[CRISTALINA_CF_SEC_New_09-Feb-2024.xlsx]D-PS'!$BB$35</t>
  </si>
  <si>
    <t>='C:\Users\jaime.benazar\Quorum Business Solutions\Ecopetrol Prometeo - Documents\Planning Space Implementation\3. Analysis &amp; Design\Design\FC22\DRR Jaime\Por presentar a ECP\Cantagallo\Cristalina\[CRISTALINA_CF_SEC_New_09-Feb-2024.xlsx]D-PS'!$BB$36</t>
  </si>
  <si>
    <t>='C:\Users\jaime.benazar\Quorum Business Solutions\Ecopetrol Prometeo - Documents\Planning Space Implementation\3. Analysis &amp; Design\Design\FC22\DRR Jaime\Por presentar a ECP\Cantagallo\Cristalina\[CRISTALINA_CF_SEC_New_09-Feb-2024.xlsx]D-PS'!$BB$37</t>
  </si>
  <si>
    <t>='C:\Users\jaime.benazar\Quorum Business Solutions\Ecopetrol Prometeo - Documents\Planning Space Implementation\3. Analysis &amp; Design\Design\FC22\DRR Jaime\Por presentar a ECP\Cantagallo\Cristalina\[CRISTALINA_CF_SEC_New_09-Feb-2024.xlsx]D-PS'!$BB$38</t>
  </si>
  <si>
    <t>='C:\Users\jaime.benazar\Quorum Business Solutions\Ecopetrol Prometeo - Documents\Planning Space Implementation\3. Analysis &amp; Design\Design\FC22\DRR Jaime\Por presentar a ECP\Cantagallo\Cristalina\[CRISTALINA_CF_SEC_New_09-Feb-2024.xlsx]D-PS'!$BB$39</t>
  </si>
  <si>
    <t>='C:\Users\jaime.benazar\Quorum Business Solutions\Ecopetrol Prometeo - Documents\Planning Space Implementation\3. Analysis &amp; Design\Design\FC22\DRR Jaime\Por presentar a ECP\Cantagallo\Cristalina\[CRISTALINA_CF_SEC_New_09-Feb-2024.xlsx]D-PS'!$BB$40</t>
  </si>
  <si>
    <t>='C:\Users\jaime.benazar\Quorum Business Solutions\Ecopetrol Prometeo - Documents\Planning Space Implementation\3. Analysis &amp; Design\Design\FC22\DRR Jaime\Por presentar a ECP\Cantagallo\Cristalina\[CRISTALINA_CF_SEC_New_09-Feb-2024.xlsx]D-PS'!$BB$41</t>
  </si>
  <si>
    <t>='C:\Users\jaime.benazar\Quorum Business Solutions\Ecopetrol Prometeo - Documents\Planning Space Implementation\3. Analysis &amp; Design\Design\FC22\DRR Jaime\Por presentar a ECP\Cantagallo\Cristalina\[CRISTALINA_CF_SEC_New_09-Feb-2024.xlsx]D-PS'!$BB$42</t>
  </si>
  <si>
    <t>='C:\Users\jaime.benazar\Quorum Business Solutions\Ecopetrol Prometeo - Documents\Planning Space Implementation\3. Analysis &amp; Design\Design\FC22\DRR Jaime\Por presentar a ECP\Cantagallo\Cristalina\[CRISTALINA_CF_SEC_New_09-Feb-2024.xlsx]D-PS'!$BB$43</t>
  </si>
  <si>
    <t>='C:\Users\jaime.benazar\Quorum Business Solutions\Ecopetrol Prometeo - Documents\Planning Space Implementation\3. Analysis &amp; Design\Design\FC22\DRR Jaime\Por presentar a ECP\Cantagallo\Cristalina\[CRISTALINA_CF_SEC_New_09-Feb-2024.xlsx]D-PS'!$BB$44</t>
  </si>
  <si>
    <t>='C:\Users\jaime.benazar\Quorum Business Solutions\Ecopetrol Prometeo - Documents\Planning Space Implementation\3. Analysis &amp; Design\Design\FC22\DRR Jaime\Por presentar a ECP\Cantagallo\Cristalina\[CRISTALINA_CF_SEC_New_09-Feb-2024.xlsx]D-PS'!$BB$45</t>
  </si>
  <si>
    <t>='C:\Users\jaime.benazar\Quorum Business Solutions\Ecopetrol Prometeo - Documents\Planning Space Implementation\3. Analysis &amp; Design\Design\FC22\DRR Jaime\Por presentar a ECP\Cantagallo\Cristalina\[CRISTALINA_CF_SEC_New_09-Feb-2024.xlsx]D-PS'!$BB$46</t>
  </si>
  <si>
    <t>='C:\Users\jaime.benazar\Quorum Business Solutions\Ecopetrol Prometeo - Documents\Planning Space Implementation\3. Analysis &amp; Design\Design\FC22\DRR Jaime\Por presentar a ECP\Cantagallo\Cristalina\[CRISTALINA_CF_SEC_New_09-Feb-2024.xlsx]D-PS'!$BB$47</t>
  </si>
  <si>
    <t>='C:\Users\jaime.benazar\Quorum Business Solutions\Ecopetrol Prometeo - Documents\Planning Space Implementation\3. Analysis &amp; Design\Design\FC22\DRR Jaime\Por presentar a ECP\Cantagallo\Cristalina\[CRISTALINA_CF_SEC_New_09-Feb-2024.xlsx]D-PS'!$BB$48</t>
  </si>
  <si>
    <t>='C:\Users\jaime.benazar\Quorum Business Solutions\Ecopetrol Prometeo - Documents\Planning Space Implementation\3. Analysis &amp; Design\Design\FC22\DRR Jaime\Por presentar a ECP\Cantagallo\Cristalina\[CRISTALINA_CF_SEC_New_09-Feb-2024.xlsx]D-PDP'!$BW$12</t>
  </si>
  <si>
    <t>='C:\Users\jaime.benazar\Quorum Business Solutions\Ecopetrol Prometeo - Documents\Planning Space Implementation\3. Analysis &amp; Design\Design\FC22\DRR Jaime\Por presentar a ECP\Cantagallo\Cristalina\[CRISTALINA_CF_SEC_New_09-Feb-2024.xlsx]D-PDP'!$BW$13</t>
  </si>
  <si>
    <t>='C:\Users\jaime.benazar\Quorum Business Solutions\Ecopetrol Prometeo - Documents\Planning Space Implementation\3. Analysis &amp; Design\Design\FC22\DRR Jaime\Por presentar a ECP\Cantagallo\Cristalina\[CRISTALINA_CF_SEC_New_09-Feb-2024.xlsx]D-PDP'!$BW$14</t>
  </si>
  <si>
    <t>='C:\Users\jaime.benazar\Quorum Business Solutions\Ecopetrol Prometeo - Documents\Planning Space Implementation\3. Analysis &amp; Design\Design\FC22\DRR Jaime\Por presentar a ECP\Cantagallo\Cristalina\[CRISTALINA_CF_SEC_New_09-Feb-2024.xlsx]D-PDP'!$BW$15</t>
  </si>
  <si>
    <t>='C:\Users\jaime.benazar\Quorum Business Solutions\Ecopetrol Prometeo - Documents\Planning Space Implementation\3. Analysis &amp; Design\Design\FC22\DRR Jaime\Por presentar a ECP\Cantagallo\Cristalina\[CRISTALINA_CF_SEC_New_09-Feb-2024.xlsx]D-PDP'!$BW$16</t>
  </si>
  <si>
    <t>='C:\Users\jaime.benazar\Quorum Business Solutions\Ecopetrol Prometeo - Documents\Planning Space Implementation\3. Analysis &amp; Design\Design\FC22\DRR Jaime\Por presentar a ECP\Cantagallo\Cristalina\[CRISTALINA_CF_SEC_New_09-Feb-2024.xlsx]D-PDP'!$BW$17</t>
  </si>
  <si>
    <t>='C:\Users\jaime.benazar\Quorum Business Solutions\Ecopetrol Prometeo - Documents\Planning Space Implementation\3. Analysis &amp; Design\Design\FC22\DRR Jaime\Por presentar a ECP\Cantagallo\Cristalina\[CRISTALINA_CF_SEC_New_09-Feb-2024.xlsx]D-PDP'!$BW$18</t>
  </si>
  <si>
    <t>='C:\Users\jaime.benazar\Quorum Business Solutions\Ecopetrol Prometeo - Documents\Planning Space Implementation\3. Analysis &amp; Design\Design\FC22\DRR Jaime\Por presentar a ECP\Cantagallo\Cristalina\[CRISTALINA_CF_SEC_New_09-Feb-2024.xlsx]D-PDP'!$BW$19</t>
  </si>
  <si>
    <t>='C:\Users\jaime.benazar\Quorum Business Solutions\Ecopetrol Prometeo - Documents\Planning Space Implementation\3. Analysis &amp; Design\Design\FC22\DRR Jaime\Por presentar a ECP\Cantagallo\Cristalina\[CRISTALINA_CF_SEC_New_09-Feb-2024.xlsx]D-PDP'!$BW$20</t>
  </si>
  <si>
    <t>='C:\Users\jaime.benazar\Quorum Business Solutions\Ecopetrol Prometeo - Documents\Planning Space Implementation\3. Analysis &amp; Design\Design\FC22\DRR Jaime\Por presentar a ECP\Cantagallo\Cristalina\[CRISTALINA_CF_SEC_New_09-Feb-2024.xlsx]D-PDP'!$BW$21</t>
  </si>
  <si>
    <t>='C:\Users\jaime.benazar\Quorum Business Solutions\Ecopetrol Prometeo - Documents\Planning Space Implementation\3. Analysis &amp; Design\Design\FC22\DRR Jaime\Por presentar a ECP\Cantagallo\Cristalina\[CRISTALINA_CF_SEC_New_09-Feb-2024.xlsx]D-PDP'!$BW$22</t>
  </si>
  <si>
    <t>='C:\Users\jaime.benazar\Quorum Business Solutions\Ecopetrol Prometeo - Documents\Planning Space Implementation\3. Analysis &amp; Design\Design\FC22\DRR Jaime\Por presentar a ECP\Cantagallo\Cristalina\[CRISTALINA_CF_SEC_New_09-Feb-2024.xlsx]D-PDP'!$BW$23</t>
  </si>
  <si>
    <t>='C:\Users\jaime.benazar\Quorum Business Solutions\Ecopetrol Prometeo - Documents\Planning Space Implementation\3. Analysis &amp; Design\Design\FC22\DRR Jaime\Por presentar a ECP\Cantagallo\Cristalina\[CRISTALINA_CF_SEC_New_09-Feb-2024.xlsx]D-PDP'!$BW$24</t>
  </si>
  <si>
    <t>='C:\Users\jaime.benazar\Quorum Business Solutions\Ecopetrol Prometeo - Documents\Planning Space Implementation\3. Analysis &amp; Design\Design\FC22\DRR Jaime\Por presentar a ECP\Cantagallo\Cristalina\[CRISTALINA_CF_SEC_New_09-Feb-2024.xlsx]D-PDP'!$BW$25</t>
  </si>
  <si>
    <t>='C:\Users\jaime.benazar\Quorum Business Solutions\Ecopetrol Prometeo - Documents\Planning Space Implementation\3. Analysis &amp; Design\Design\FC22\DRR Jaime\Por presentar a ECP\Cantagallo\Cristalina\[CRISTALINA_CF_SEC_New_09-Feb-2024.xlsx]D-PDP'!$BW$26</t>
  </si>
  <si>
    <t>='C:\Users\jaime.benazar\Quorum Business Solutions\Ecopetrol Prometeo - Documents\Planning Space Implementation\3. Analysis &amp; Design\Design\FC22\DRR Jaime\Por presentar a ECP\Cantagallo\Cristalina\[CRISTALINA_CF_SEC_New_09-Feb-2024.xlsx]D-PDP'!$BW$27</t>
  </si>
  <si>
    <t>='C:\Users\jaime.benazar\Quorum Business Solutions\Ecopetrol Prometeo - Documents\Planning Space Implementation\3. Analysis &amp; Design\Design\FC22\DRR Jaime\Por presentar a ECP\Cantagallo\Cristalina\[CRISTALINA_CF_SEC_New_09-Feb-2024.xlsx]D-PDP'!$BW$28</t>
  </si>
  <si>
    <t>='C:\Users\jaime.benazar\Quorum Business Solutions\Ecopetrol Prometeo - Documents\Planning Space Implementation\3. Analysis &amp; Design\Design\FC22\DRR Jaime\Por presentar a ECP\Cantagallo\Cristalina\[CRISTALINA_CF_SEC_New_09-Feb-2024.xlsx]D-PDP'!$BW$29</t>
  </si>
  <si>
    <t>='C:\Users\jaime.benazar\Quorum Business Solutions\Ecopetrol Prometeo - Documents\Planning Space Implementation\3. Analysis &amp; Design\Design\FC22\DRR Jaime\Por presentar a ECP\Cantagallo\Cristalina\[CRISTALINA_CF_SEC_New_09-Feb-2024.xlsx]D-PDP'!$BW$30</t>
  </si>
  <si>
    <t>='C:\Users\jaime.benazar\Quorum Business Solutions\Ecopetrol Prometeo - Documents\Planning Space Implementation\3. Analysis &amp; Design\Design\FC22\DRR Jaime\Por presentar a ECP\Cantagallo\Cristalina\[CRISTALINA_CF_SEC_New_09-Feb-2024.xlsx]D-PDP'!$BW$31</t>
  </si>
  <si>
    <t>='C:\Users\jaime.benazar\Quorum Business Solutions\Ecopetrol Prometeo - Documents\Planning Space Implementation\3. Analysis &amp; Design\Design\FC22\DRR Jaime\Por presentar a ECP\Cantagallo\Cristalina\[CRISTALINA_CF_SEC_New_09-Feb-2024.xlsx]D-PDP'!$BW$32</t>
  </si>
  <si>
    <t>='C:\Users\jaime.benazar\Quorum Business Solutions\Ecopetrol Prometeo - Documents\Planning Space Implementation\3. Analysis &amp; Design\Design\FC22\DRR Jaime\Por presentar a ECP\Cantagallo\Cristalina\[CRISTALINA_CF_SEC_New_09-Feb-2024.xlsx]D-PDP'!$BW$33</t>
  </si>
  <si>
    <t>='C:\Users\jaime.benazar\Quorum Business Solutions\Ecopetrol Prometeo - Documents\Planning Space Implementation\3. Analysis &amp; Design\Design\FC22\DRR Jaime\Por presentar a ECP\Cantagallo\Cristalina\[CRISTALINA_CF_SEC_New_09-Feb-2024.xlsx]D-PDP'!$BW$34</t>
  </si>
  <si>
    <t>='C:\Users\jaime.benazar\Quorum Business Solutions\Ecopetrol Prometeo - Documents\Planning Space Implementation\3. Analysis &amp; Design\Design\FC22\DRR Jaime\Por presentar a ECP\Cantagallo\Cristalina\[CRISTALINA_CF_SEC_New_09-Feb-2024.xlsx]D-PDP'!$BW$35</t>
  </si>
  <si>
    <t>='C:\Users\jaime.benazar\Quorum Business Solutions\Ecopetrol Prometeo - Documents\Planning Space Implementation\3. Analysis &amp; Design\Design\FC22\DRR Jaime\Por presentar a ECP\Cantagallo\Cristalina\[CRISTALINA_CF_SEC_New_09-Feb-2024.xlsx]D-PDP'!$BW$36</t>
  </si>
  <si>
    <t>='C:\Users\jaime.benazar\Quorum Business Solutions\Ecopetrol Prometeo - Documents\Planning Space Implementation\3. Analysis &amp; Design\Design\FC22\DRR Jaime\Por presentar a ECP\Cantagallo\Cristalina\[CRISTALINA_CF_SEC_New_09-Feb-2024.xlsx]D-PDP'!$BW$37</t>
  </si>
  <si>
    <t>='C:\Users\jaime.benazar\Quorum Business Solutions\Ecopetrol Prometeo - Documents\Planning Space Implementation\3. Analysis &amp; Design\Design\FC22\DRR Jaime\Por presentar a ECP\Cantagallo\Cristalina\[CRISTALINA_CF_SEC_New_09-Feb-2024.xlsx]D-PDP'!$BW$38</t>
  </si>
  <si>
    <t>='C:\Users\jaime.benazar\Quorum Business Solutions\Ecopetrol Prometeo - Documents\Planning Space Implementation\3. Analysis &amp; Design\Design\FC22\DRR Jaime\Por presentar a ECP\Cantagallo\Cristalina\[CRISTALINA_CF_SEC_New_09-Feb-2024.xlsx]D-PDP'!$BW$39</t>
  </si>
  <si>
    <t>='C:\Users\jaime.benazar\Quorum Business Solutions\Ecopetrol Prometeo - Documents\Planning Space Implementation\3. Analysis &amp; Design\Design\FC22\DRR Jaime\Por presentar a ECP\Cantagallo\Cristalina\[CRISTALINA_CF_SEC_New_09-Feb-2024.xlsx]D-PDP'!$BW$40</t>
  </si>
  <si>
    <t>='C:\Users\jaime.benazar\Quorum Business Solutions\Ecopetrol Prometeo - Documents\Planning Space Implementation\3. Analysis &amp; Design\Design\FC22\DRR Jaime\Por presentar a ECP\Cantagallo\Cristalina\[CRISTALINA_CF_SEC_New_09-Feb-2024.xlsx]D-PDP'!$BW$41</t>
  </si>
  <si>
    <t>='C:\Users\jaime.benazar\Quorum Business Solutions\Ecopetrol Prometeo - Documents\Planning Space Implementation\3. Analysis &amp; Design\Design\FC22\DRR Jaime\Por presentar a ECP\Cantagallo\Cristalina\[CRISTALINA_CF_SEC_New_09-Feb-2024.xlsx]D-PDP'!$BW$42</t>
  </si>
  <si>
    <t>='C:\Users\jaime.benazar\Quorum Business Solutions\Ecopetrol Prometeo - Documents\Planning Space Implementation\3. Analysis &amp; Design\Design\FC22\DRR Jaime\Por presentar a ECP\Cantagallo\Cristalina\[CRISTALINA_CF_SEC_New_09-Feb-2024.xlsx]D-PDP'!$BW$43</t>
  </si>
  <si>
    <t>='C:\Users\jaime.benazar\Quorum Business Solutions\Ecopetrol Prometeo - Documents\Planning Space Implementation\3. Analysis &amp; Design\Design\FC22\DRR Jaime\Por presentar a ECP\Cantagallo\Cristalina\[CRISTALINA_CF_SEC_New_09-Feb-2024.xlsx]D-PDP'!$BW$44</t>
  </si>
  <si>
    <t>='C:\Users\jaime.benazar\Quorum Business Solutions\Ecopetrol Prometeo - Documents\Planning Space Implementation\3. Analysis &amp; Design\Design\FC22\DRR Jaime\Por presentar a ECP\Cantagallo\Cristalina\[CRISTALINA_CF_SEC_New_09-Feb-2024.xlsx]D-PDP'!$BW$45</t>
  </si>
  <si>
    <t>='C:\Users\jaime.benazar\Quorum Business Solutions\Ecopetrol Prometeo - Documents\Planning Space Implementation\3. Analysis &amp; Design\Design\FC22\DRR Jaime\Por presentar a ECP\Cantagallo\Cristalina\[CRISTALINA_CF_SEC_New_09-Feb-2024.xlsx]D-PDP'!$BW$46</t>
  </si>
  <si>
    <t>='C:\Users\jaime.benazar\Quorum Business Solutions\Ecopetrol Prometeo - Documents\Planning Space Implementation\3. Analysis &amp; Design\Design\FC22\DRR Jaime\Por presentar a ECP\Cantagallo\Cristalina\[CRISTALINA_CF_SEC_New_09-Feb-2024.xlsx]D-PDP'!$BW$47</t>
  </si>
  <si>
    <t>='C:\Users\jaime.benazar\Quorum Business Solutions\Ecopetrol Prometeo - Documents\Planning Space Implementation\3. Analysis &amp; Design\Design\FC22\DRR Jaime\Por presentar a ECP\Cantagallo\Cristalina\[CRISTALINA_CF_SEC_New_09-Feb-2024.xlsx]D-PDP'!$BW$48</t>
  </si>
  <si>
    <t>='C:\Users\jaime.benazar\Quorum Business Solutions\Ecopetrol Prometeo - Documents\Planning Space Implementation\3. Analysis &amp; Design\Design\FC22\DRR Jaime\Por presentar a ECP\Cantagallo\Cristalina\[CRISTALINA_CF_SEC_New_09-Feb-2024.xlsx]D-PNP'!$BW$12</t>
  </si>
  <si>
    <t>='C:\Users\jaime.benazar\Quorum Business Solutions\Ecopetrol Prometeo - Documents\Planning Space Implementation\3. Analysis &amp; Design\Design\FC22\DRR Jaime\Por presentar a ECP\Cantagallo\Cristalina\[CRISTALINA_CF_SEC_New_09-Feb-2024.xlsx]D-PNP'!$BW$13</t>
  </si>
  <si>
    <t>='C:\Users\jaime.benazar\Quorum Business Solutions\Ecopetrol Prometeo - Documents\Planning Space Implementation\3. Analysis &amp; Design\Design\FC22\DRR Jaime\Por presentar a ECP\Cantagallo\Cristalina\[CRISTALINA_CF_SEC_New_09-Feb-2024.xlsx]D-PNP'!$BW$14</t>
  </si>
  <si>
    <t>='C:\Users\jaime.benazar\Quorum Business Solutions\Ecopetrol Prometeo - Documents\Planning Space Implementation\3. Analysis &amp; Design\Design\FC22\DRR Jaime\Por presentar a ECP\Cantagallo\Cristalina\[CRISTALINA_CF_SEC_New_09-Feb-2024.xlsx]D-PNP'!$BW$15</t>
  </si>
  <si>
    <t>='C:\Users\jaime.benazar\Quorum Business Solutions\Ecopetrol Prometeo - Documents\Planning Space Implementation\3. Analysis &amp; Design\Design\FC22\DRR Jaime\Por presentar a ECP\Cantagallo\Cristalina\[CRISTALINA_CF_SEC_New_09-Feb-2024.xlsx]D-PNP'!$BW$16</t>
  </si>
  <si>
    <t>='C:\Users\jaime.benazar\Quorum Business Solutions\Ecopetrol Prometeo - Documents\Planning Space Implementation\3. Analysis &amp; Design\Design\FC22\DRR Jaime\Por presentar a ECP\Cantagallo\Cristalina\[CRISTALINA_CF_SEC_New_09-Feb-2024.xlsx]D-PNP'!$BW$17</t>
  </si>
  <si>
    <t>='C:\Users\jaime.benazar\Quorum Business Solutions\Ecopetrol Prometeo - Documents\Planning Space Implementation\3. Analysis &amp; Design\Design\FC22\DRR Jaime\Por presentar a ECP\Cantagallo\Cristalina\[CRISTALINA_CF_SEC_New_09-Feb-2024.xlsx]D-PNP'!$BW$18</t>
  </si>
  <si>
    <t>='C:\Users\jaime.benazar\Quorum Business Solutions\Ecopetrol Prometeo - Documents\Planning Space Implementation\3. Analysis &amp; Design\Design\FC22\DRR Jaime\Por presentar a ECP\Cantagallo\Cristalina\[CRISTALINA_CF_SEC_New_09-Feb-2024.xlsx]D-PNP'!$BW$19</t>
  </si>
  <si>
    <t>='C:\Users\jaime.benazar\Quorum Business Solutions\Ecopetrol Prometeo - Documents\Planning Space Implementation\3. Analysis &amp; Design\Design\FC22\DRR Jaime\Por presentar a ECP\Cantagallo\Cristalina\[CRISTALINA_CF_SEC_New_09-Feb-2024.xlsx]D-PNP'!$BW$20</t>
  </si>
  <si>
    <t>='C:\Users\jaime.benazar\Quorum Business Solutions\Ecopetrol Prometeo - Documents\Planning Space Implementation\3. Analysis &amp; Design\Design\FC22\DRR Jaime\Por presentar a ECP\Cantagallo\Cristalina\[CRISTALINA_CF_SEC_New_09-Feb-2024.xlsx]D-PNP'!$BW$21</t>
  </si>
  <si>
    <t>='C:\Users\jaime.benazar\Quorum Business Solutions\Ecopetrol Prometeo - Documents\Planning Space Implementation\3. Analysis &amp; Design\Design\FC22\DRR Jaime\Por presentar a ECP\Cantagallo\Cristalina\[CRISTALINA_CF_SEC_New_09-Feb-2024.xlsx]D-PNP'!$BW$22</t>
  </si>
  <si>
    <t>='C:\Users\jaime.benazar\Quorum Business Solutions\Ecopetrol Prometeo - Documents\Planning Space Implementation\3. Analysis &amp; Design\Design\FC22\DRR Jaime\Por presentar a ECP\Cantagallo\Cristalina\[CRISTALINA_CF_SEC_New_09-Feb-2024.xlsx]D-PNP'!$BW$23</t>
  </si>
  <si>
    <t>='C:\Users\jaime.benazar\Quorum Business Solutions\Ecopetrol Prometeo - Documents\Planning Space Implementation\3. Analysis &amp; Design\Design\FC22\DRR Jaime\Por presentar a ECP\Cantagallo\Cristalina\[CRISTALINA_CF_SEC_New_09-Feb-2024.xlsx]D-PNP'!$BW$24</t>
  </si>
  <si>
    <t>='C:\Users\jaime.benazar\Quorum Business Solutions\Ecopetrol Prometeo - Documents\Planning Space Implementation\3. Analysis &amp; Design\Design\FC22\DRR Jaime\Por presentar a ECP\Cantagallo\Cristalina\[CRISTALINA_CF_SEC_New_09-Feb-2024.xlsx]D-PNP'!$BW$25</t>
  </si>
  <si>
    <t>='C:\Users\jaime.benazar\Quorum Business Solutions\Ecopetrol Prometeo - Documents\Planning Space Implementation\3. Analysis &amp; Design\Design\FC22\DRR Jaime\Por presentar a ECP\Cantagallo\Cristalina\[CRISTALINA_CF_SEC_New_09-Feb-2024.xlsx]D-PNP'!$BW$26</t>
  </si>
  <si>
    <t>='C:\Users\jaime.benazar\Quorum Business Solutions\Ecopetrol Prometeo - Documents\Planning Space Implementation\3. Analysis &amp; Design\Design\FC22\DRR Jaime\Por presentar a ECP\Cantagallo\Cristalina\[CRISTALINA_CF_SEC_New_09-Feb-2024.xlsx]D-PNP'!$BW$27</t>
  </si>
  <si>
    <t>='C:\Users\jaime.benazar\Quorum Business Solutions\Ecopetrol Prometeo - Documents\Planning Space Implementation\3. Analysis &amp; Design\Design\FC22\DRR Jaime\Por presentar a ECP\Cantagallo\Cristalina\[CRISTALINA_CF_SEC_New_09-Feb-2024.xlsx]D-PNP'!$BW$28</t>
  </si>
  <si>
    <t>='C:\Users\jaime.benazar\Quorum Business Solutions\Ecopetrol Prometeo - Documents\Planning Space Implementation\3. Analysis &amp; Design\Design\FC22\DRR Jaime\Por presentar a ECP\Cantagallo\Cristalina\[CRISTALINA_CF_SEC_New_09-Feb-2024.xlsx]D-PNP'!$BW$29</t>
  </si>
  <si>
    <t>='C:\Users\jaime.benazar\Quorum Business Solutions\Ecopetrol Prometeo - Documents\Planning Space Implementation\3. Analysis &amp; Design\Design\FC22\DRR Jaime\Por presentar a ECP\Cantagallo\Cristalina\[CRISTALINA_CF_SEC_New_09-Feb-2024.xlsx]D-PNP'!$BW$30</t>
  </si>
  <si>
    <t>='C:\Users\jaime.benazar\Quorum Business Solutions\Ecopetrol Prometeo - Documents\Planning Space Implementation\3. Analysis &amp; Design\Design\FC22\DRR Jaime\Por presentar a ECP\Cantagallo\Cristalina\[CRISTALINA_CF_SEC_New_09-Feb-2024.xlsx]D-PNP'!$BW$31</t>
  </si>
  <si>
    <t>='C:\Users\jaime.benazar\Quorum Business Solutions\Ecopetrol Prometeo - Documents\Planning Space Implementation\3. Analysis &amp; Design\Design\FC22\DRR Jaime\Por presentar a ECP\Cantagallo\Cristalina\[CRISTALINA_CF_SEC_New_09-Feb-2024.xlsx]D-PNP'!$BW$32</t>
  </si>
  <si>
    <t>='C:\Users\jaime.benazar\Quorum Business Solutions\Ecopetrol Prometeo - Documents\Planning Space Implementation\3. Analysis &amp; Design\Design\FC22\DRR Jaime\Por presentar a ECP\Cantagallo\Cristalina\[CRISTALINA_CF_SEC_New_09-Feb-2024.xlsx]D-PNP'!$BW$33</t>
  </si>
  <si>
    <t>='C:\Users\jaime.benazar\Quorum Business Solutions\Ecopetrol Prometeo - Documents\Planning Space Implementation\3. Analysis &amp; Design\Design\FC22\DRR Jaime\Por presentar a ECP\Cantagallo\Cristalina\[CRISTALINA_CF_SEC_New_09-Feb-2024.xlsx]D-PNP'!$BW$34</t>
  </si>
  <si>
    <t>='C:\Users\jaime.benazar\Quorum Business Solutions\Ecopetrol Prometeo - Documents\Planning Space Implementation\3. Analysis &amp; Design\Design\FC22\DRR Jaime\Por presentar a ECP\Cantagallo\Cristalina\[CRISTALINA_CF_SEC_New_09-Feb-2024.xlsx]D-PNP'!$BW$35</t>
  </si>
  <si>
    <t>='C:\Users\jaime.benazar\Quorum Business Solutions\Ecopetrol Prometeo - Documents\Planning Space Implementation\3. Analysis &amp; Design\Design\FC22\DRR Jaime\Por presentar a ECP\Cantagallo\Cristalina\[CRISTALINA_CF_SEC_New_09-Feb-2024.xlsx]D-PNP'!$BW$36</t>
  </si>
  <si>
    <t>='C:\Users\jaime.benazar\Quorum Business Solutions\Ecopetrol Prometeo - Documents\Planning Space Implementation\3. Analysis &amp; Design\Design\FC22\DRR Jaime\Por presentar a ECP\Cantagallo\Cristalina\[CRISTALINA_CF_SEC_New_09-Feb-2024.xlsx]D-PNP'!$BW$37</t>
  </si>
  <si>
    <t>='C:\Users\jaime.benazar\Quorum Business Solutions\Ecopetrol Prometeo - Documents\Planning Space Implementation\3. Analysis &amp; Design\Design\FC22\DRR Jaime\Por presentar a ECP\Cantagallo\Cristalina\[CRISTALINA_CF_SEC_New_09-Feb-2024.xlsx]D-PNP'!$BW$38</t>
  </si>
  <si>
    <t>='C:\Users\jaime.benazar\Quorum Business Solutions\Ecopetrol Prometeo - Documents\Planning Space Implementation\3. Analysis &amp; Design\Design\FC22\DRR Jaime\Por presentar a ECP\Cantagallo\Cristalina\[CRISTALINA_CF_SEC_New_09-Feb-2024.xlsx]D-PNP'!$BW$39</t>
  </si>
  <si>
    <t>='C:\Users\jaime.benazar\Quorum Business Solutions\Ecopetrol Prometeo - Documents\Planning Space Implementation\3. Analysis &amp; Design\Design\FC22\DRR Jaime\Por presentar a ECP\Cantagallo\Cristalina\[CRISTALINA_CF_SEC_New_09-Feb-2024.xlsx]D-PNP'!$BW$40</t>
  </si>
  <si>
    <t>='C:\Users\jaime.benazar\Quorum Business Solutions\Ecopetrol Prometeo - Documents\Planning Space Implementation\3. Analysis &amp; Design\Design\FC22\DRR Jaime\Por presentar a ECP\Cantagallo\Cristalina\[CRISTALINA_CF_SEC_New_09-Feb-2024.xlsx]D-PNP'!$BW$41</t>
  </si>
  <si>
    <t>='C:\Users\jaime.benazar\Quorum Business Solutions\Ecopetrol Prometeo - Documents\Planning Space Implementation\3. Analysis &amp; Design\Design\FC22\DRR Jaime\Por presentar a ECP\Cantagallo\Cristalina\[CRISTALINA_CF_SEC_New_09-Feb-2024.xlsx]D-PNP'!$BW$42</t>
  </si>
  <si>
    <t>='C:\Users\jaime.benazar\Quorum Business Solutions\Ecopetrol Prometeo - Documents\Planning Space Implementation\3. Analysis &amp; Design\Design\FC22\DRR Jaime\Por presentar a ECP\Cantagallo\Cristalina\[CRISTALINA_CF_SEC_New_09-Feb-2024.xlsx]D-PNP'!$BW$43</t>
  </si>
  <si>
    <t>='C:\Users\jaime.benazar\Quorum Business Solutions\Ecopetrol Prometeo - Documents\Planning Space Implementation\3. Analysis &amp; Design\Design\FC22\DRR Jaime\Por presentar a ECP\Cantagallo\Cristalina\[CRISTALINA_CF_SEC_New_09-Feb-2024.xlsx]D-PNP'!$BW$44</t>
  </si>
  <si>
    <t>='C:\Users\jaime.benazar\Quorum Business Solutions\Ecopetrol Prometeo - Documents\Planning Space Implementation\3. Analysis &amp; Design\Design\FC22\DRR Jaime\Por presentar a ECP\Cantagallo\Cristalina\[CRISTALINA_CF_SEC_New_09-Feb-2024.xlsx]D-PNP'!$BW$45</t>
  </si>
  <si>
    <t>='C:\Users\jaime.benazar\Quorum Business Solutions\Ecopetrol Prometeo - Documents\Planning Space Implementation\3. Analysis &amp; Design\Design\FC22\DRR Jaime\Por presentar a ECP\Cantagallo\Cristalina\[CRISTALINA_CF_SEC_New_09-Feb-2024.xlsx]D-PNP'!$BW$46</t>
  </si>
  <si>
    <t>='C:\Users\jaime.benazar\Quorum Business Solutions\Ecopetrol Prometeo - Documents\Planning Space Implementation\3. Analysis &amp; Design\Design\FC22\DRR Jaime\Por presentar a ECP\Cantagallo\Cristalina\[CRISTALINA_CF_SEC_New_09-Feb-2024.xlsx]D-PNP'!$BW$47</t>
  </si>
  <si>
    <t>='C:\Users\jaime.benazar\Quorum Business Solutions\Ecopetrol Prometeo - Documents\Planning Space Implementation\3. Analysis &amp; Design\Design\FC22\DRR Jaime\Por presentar a ECP\Cantagallo\Cristalina\[CRISTALINA_CF_SEC_New_09-Feb-2024.xlsx]D-PNP'!$BW$48</t>
  </si>
  <si>
    <t>='C:\Users\jaime.benazar\Quorum Business Solutions\Ecopetrol Prometeo - Documents\Planning Space Implementation\3. Analysis &amp; Design\Design\FC22\DRR Jaime\Por presentar a ECP\Cantagallo\Cristalina\[CRISTALINA_CF_SEC_New_09-Feb-2024.xlsx]D-PND'!$BW$12</t>
  </si>
  <si>
    <t>='C:\Users\jaime.benazar\Quorum Business Solutions\Ecopetrol Prometeo - Documents\Planning Space Implementation\3. Analysis &amp; Design\Design\FC22\DRR Jaime\Por presentar a ECP\Cantagallo\Cristalina\[CRISTALINA_CF_SEC_New_09-Feb-2024.xlsx]D-PND'!$BW$13</t>
  </si>
  <si>
    <t>='C:\Users\jaime.benazar\Quorum Business Solutions\Ecopetrol Prometeo - Documents\Planning Space Implementation\3. Analysis &amp; Design\Design\FC22\DRR Jaime\Por presentar a ECP\Cantagallo\Cristalina\[CRISTALINA_CF_SEC_New_09-Feb-2024.xlsx]D-PND'!$BW$14</t>
  </si>
  <si>
    <t>='C:\Users\jaime.benazar\Quorum Business Solutions\Ecopetrol Prometeo - Documents\Planning Space Implementation\3. Analysis &amp; Design\Design\FC22\DRR Jaime\Por presentar a ECP\Cantagallo\Cristalina\[CRISTALINA_CF_SEC_New_09-Feb-2024.xlsx]D-PND'!$BW$15</t>
  </si>
  <si>
    <t>='C:\Users\jaime.benazar\Quorum Business Solutions\Ecopetrol Prometeo - Documents\Planning Space Implementation\3. Analysis &amp; Design\Design\FC22\DRR Jaime\Por presentar a ECP\Cantagallo\Cristalina\[CRISTALINA_CF_SEC_New_09-Feb-2024.xlsx]D-PND'!$BW$16</t>
  </si>
  <si>
    <t>='C:\Users\jaime.benazar\Quorum Business Solutions\Ecopetrol Prometeo - Documents\Planning Space Implementation\3. Analysis &amp; Design\Design\FC22\DRR Jaime\Por presentar a ECP\Cantagallo\Cristalina\[CRISTALINA_CF_SEC_New_09-Feb-2024.xlsx]D-PND'!$BW$17</t>
  </si>
  <si>
    <t>='C:\Users\jaime.benazar\Quorum Business Solutions\Ecopetrol Prometeo - Documents\Planning Space Implementation\3. Analysis &amp; Design\Design\FC22\DRR Jaime\Por presentar a ECP\Cantagallo\Cristalina\[CRISTALINA_CF_SEC_New_09-Feb-2024.xlsx]D-PND'!$BW$18</t>
  </si>
  <si>
    <t>='C:\Users\jaime.benazar\Quorum Business Solutions\Ecopetrol Prometeo - Documents\Planning Space Implementation\3. Analysis &amp; Design\Design\FC22\DRR Jaime\Por presentar a ECP\Cantagallo\Cristalina\[CRISTALINA_CF_SEC_New_09-Feb-2024.xlsx]D-PND'!$BW$19</t>
  </si>
  <si>
    <t>='C:\Users\jaime.benazar\Quorum Business Solutions\Ecopetrol Prometeo - Documents\Planning Space Implementation\3. Analysis &amp; Design\Design\FC22\DRR Jaime\Por presentar a ECP\Cantagallo\Cristalina\[CRISTALINA_CF_SEC_New_09-Feb-2024.xlsx]D-PND'!$BW$20</t>
  </si>
  <si>
    <t>='C:\Users\jaime.benazar\Quorum Business Solutions\Ecopetrol Prometeo - Documents\Planning Space Implementation\3. Analysis &amp; Design\Design\FC22\DRR Jaime\Por presentar a ECP\Cantagallo\Cristalina\[CRISTALINA_CF_SEC_New_09-Feb-2024.xlsx]D-PND'!$BW$21</t>
  </si>
  <si>
    <t>='C:\Users\jaime.benazar\Quorum Business Solutions\Ecopetrol Prometeo - Documents\Planning Space Implementation\3. Analysis &amp; Design\Design\FC22\DRR Jaime\Por presentar a ECP\Cantagallo\Cristalina\[CRISTALINA_CF_SEC_New_09-Feb-2024.xlsx]D-PND'!$BW$22</t>
  </si>
  <si>
    <t>='C:\Users\jaime.benazar\Quorum Business Solutions\Ecopetrol Prometeo - Documents\Planning Space Implementation\3. Analysis &amp; Design\Design\FC22\DRR Jaime\Por presentar a ECP\Cantagallo\Cristalina\[CRISTALINA_CF_SEC_New_09-Feb-2024.xlsx]D-PND'!$BW$23</t>
  </si>
  <si>
    <t>='C:\Users\jaime.benazar\Quorum Business Solutions\Ecopetrol Prometeo - Documents\Planning Space Implementation\3. Analysis &amp; Design\Design\FC22\DRR Jaime\Por presentar a ECP\Cantagallo\Cristalina\[CRISTALINA_CF_SEC_New_09-Feb-2024.xlsx]D-PND'!$BW$24</t>
  </si>
  <si>
    <t>='C:\Users\jaime.benazar\Quorum Business Solutions\Ecopetrol Prometeo - Documents\Planning Space Implementation\3. Analysis &amp; Design\Design\FC22\DRR Jaime\Por presentar a ECP\Cantagallo\Cristalina\[CRISTALINA_CF_SEC_New_09-Feb-2024.xlsx]D-PND'!$BW$25</t>
  </si>
  <si>
    <t>='C:\Users\jaime.benazar\Quorum Business Solutions\Ecopetrol Prometeo - Documents\Planning Space Implementation\3. Analysis &amp; Design\Design\FC22\DRR Jaime\Por presentar a ECP\Cantagallo\Cristalina\[CRISTALINA_CF_SEC_New_09-Feb-2024.xlsx]D-PND'!$BW$26</t>
  </si>
  <si>
    <t>='C:\Users\jaime.benazar\Quorum Business Solutions\Ecopetrol Prometeo - Documents\Planning Space Implementation\3. Analysis &amp; Design\Design\FC22\DRR Jaime\Por presentar a ECP\Cantagallo\Cristalina\[CRISTALINA_CF_SEC_New_09-Feb-2024.xlsx]D-PND'!$BW$27</t>
  </si>
  <si>
    <t>='C:\Users\jaime.benazar\Quorum Business Solutions\Ecopetrol Prometeo - Documents\Planning Space Implementation\3. Analysis &amp; Design\Design\FC22\DRR Jaime\Por presentar a ECP\Cantagallo\Cristalina\[CRISTALINA_CF_SEC_New_09-Feb-2024.xlsx]D-PND'!$BW$28</t>
  </si>
  <si>
    <t>='C:\Users\jaime.benazar\Quorum Business Solutions\Ecopetrol Prometeo - Documents\Planning Space Implementation\3. Analysis &amp; Design\Design\FC22\DRR Jaime\Por presentar a ECP\Cantagallo\Cristalina\[CRISTALINA_CF_SEC_New_09-Feb-2024.xlsx]D-PND'!$BW$29</t>
  </si>
  <si>
    <t>='C:\Users\jaime.benazar\Quorum Business Solutions\Ecopetrol Prometeo - Documents\Planning Space Implementation\3. Analysis &amp; Design\Design\FC22\DRR Jaime\Por presentar a ECP\Cantagallo\Cristalina\[CRISTALINA_CF_SEC_New_09-Feb-2024.xlsx]D-PND'!$BW$30</t>
  </si>
  <si>
    <t>='C:\Users\jaime.benazar\Quorum Business Solutions\Ecopetrol Prometeo - Documents\Planning Space Implementation\3. Analysis &amp; Design\Design\FC22\DRR Jaime\Por presentar a ECP\Cantagallo\Cristalina\[CRISTALINA_CF_SEC_New_09-Feb-2024.xlsx]D-PND'!$BW$31</t>
  </si>
  <si>
    <t>='C:\Users\jaime.benazar\Quorum Business Solutions\Ecopetrol Prometeo - Documents\Planning Space Implementation\3. Analysis &amp; Design\Design\FC22\DRR Jaime\Por presentar a ECP\Cantagallo\Cristalina\[CRISTALINA_CF_SEC_New_09-Feb-2024.xlsx]D-PND'!$BW$32</t>
  </si>
  <si>
    <t>='C:\Users\jaime.benazar\Quorum Business Solutions\Ecopetrol Prometeo - Documents\Planning Space Implementation\3. Analysis &amp; Design\Design\FC22\DRR Jaime\Por presentar a ECP\Cantagallo\Cristalina\[CRISTALINA_CF_SEC_New_09-Feb-2024.xlsx]D-PND'!$BW$33</t>
  </si>
  <si>
    <t>='C:\Users\jaime.benazar\Quorum Business Solutions\Ecopetrol Prometeo - Documents\Planning Space Implementation\3. Analysis &amp; Design\Design\FC22\DRR Jaime\Por presentar a ECP\Cantagallo\Cristalina\[CRISTALINA_CF_SEC_New_09-Feb-2024.xlsx]D-PND'!$BW$34</t>
  </si>
  <si>
    <t>='C:\Users\jaime.benazar\Quorum Business Solutions\Ecopetrol Prometeo - Documents\Planning Space Implementation\3. Analysis &amp; Design\Design\FC22\DRR Jaime\Por presentar a ECP\Cantagallo\Cristalina\[CRISTALINA_CF_SEC_New_09-Feb-2024.xlsx]D-PND'!$BW$35</t>
  </si>
  <si>
    <t>='C:\Users\jaime.benazar\Quorum Business Solutions\Ecopetrol Prometeo - Documents\Planning Space Implementation\3. Analysis &amp; Design\Design\FC22\DRR Jaime\Por presentar a ECP\Cantagallo\Cristalina\[CRISTALINA_CF_SEC_New_09-Feb-2024.xlsx]D-PND'!$BW$36</t>
  </si>
  <si>
    <t>='C:\Users\jaime.benazar\Quorum Business Solutions\Ecopetrol Prometeo - Documents\Planning Space Implementation\3. Analysis &amp; Design\Design\FC22\DRR Jaime\Por presentar a ECP\Cantagallo\Cristalina\[CRISTALINA_CF_SEC_New_09-Feb-2024.xlsx]D-PND'!$BW$37</t>
  </si>
  <si>
    <t>='C:\Users\jaime.benazar\Quorum Business Solutions\Ecopetrol Prometeo - Documents\Planning Space Implementation\3. Analysis &amp; Design\Design\FC22\DRR Jaime\Por presentar a ECP\Cantagallo\Cristalina\[CRISTALINA_CF_SEC_New_09-Feb-2024.xlsx]D-PND'!$BW$38</t>
  </si>
  <si>
    <t>='C:\Users\jaime.benazar\Quorum Business Solutions\Ecopetrol Prometeo - Documents\Planning Space Implementation\3. Analysis &amp; Design\Design\FC22\DRR Jaime\Por presentar a ECP\Cantagallo\Cristalina\[CRISTALINA_CF_SEC_New_09-Feb-2024.xlsx]D-PND'!$BW$39</t>
  </si>
  <si>
    <t>='C:\Users\jaime.benazar\Quorum Business Solutions\Ecopetrol Prometeo - Documents\Planning Space Implementation\3. Analysis &amp; Design\Design\FC22\DRR Jaime\Por presentar a ECP\Cantagallo\Cristalina\[CRISTALINA_CF_SEC_New_09-Feb-2024.xlsx]D-PND'!$BW$40</t>
  </si>
  <si>
    <t>='C:\Users\jaime.benazar\Quorum Business Solutions\Ecopetrol Prometeo - Documents\Planning Space Implementation\3. Analysis &amp; Design\Design\FC22\DRR Jaime\Por presentar a ECP\Cantagallo\Cristalina\[CRISTALINA_CF_SEC_New_09-Feb-2024.xlsx]D-PND'!$BW$41</t>
  </si>
  <si>
    <t>='C:\Users\jaime.benazar\Quorum Business Solutions\Ecopetrol Prometeo - Documents\Planning Space Implementation\3. Analysis &amp; Design\Design\FC22\DRR Jaime\Por presentar a ECP\Cantagallo\Cristalina\[CRISTALINA_CF_SEC_New_09-Feb-2024.xlsx]D-PND'!$BW$42</t>
  </si>
  <si>
    <t>='C:\Users\jaime.benazar\Quorum Business Solutions\Ecopetrol Prometeo - Documents\Planning Space Implementation\3. Analysis &amp; Design\Design\FC22\DRR Jaime\Por presentar a ECP\Cantagallo\Cristalina\[CRISTALINA_CF_SEC_New_09-Feb-2024.xlsx]D-PND'!$BW$43</t>
  </si>
  <si>
    <t>='C:\Users\jaime.benazar\Quorum Business Solutions\Ecopetrol Prometeo - Documents\Planning Space Implementation\3. Analysis &amp; Design\Design\FC22\DRR Jaime\Por presentar a ECP\Cantagallo\Cristalina\[CRISTALINA_CF_SEC_New_09-Feb-2024.xlsx]D-PND'!$BW$44</t>
  </si>
  <si>
    <t>='C:\Users\jaime.benazar\Quorum Business Solutions\Ecopetrol Prometeo - Documents\Planning Space Implementation\3. Analysis &amp; Design\Design\FC22\DRR Jaime\Por presentar a ECP\Cantagallo\Cristalina\[CRISTALINA_CF_SEC_New_09-Feb-2024.xlsx]D-PND'!$BW$45</t>
  </si>
  <si>
    <t>='C:\Users\jaime.benazar\Quorum Business Solutions\Ecopetrol Prometeo - Documents\Planning Space Implementation\3. Analysis &amp; Design\Design\FC22\DRR Jaime\Por presentar a ECP\Cantagallo\Cristalina\[CRISTALINA_CF_SEC_New_09-Feb-2024.xlsx]D-PND'!$BW$46</t>
  </si>
  <si>
    <t>='C:\Users\jaime.benazar\Quorum Business Solutions\Ecopetrol Prometeo - Documents\Planning Space Implementation\3. Analysis &amp; Design\Design\FC22\DRR Jaime\Por presentar a ECP\Cantagallo\Cristalina\[CRISTALINA_CF_SEC_New_09-Feb-2024.xlsx]D-PND'!$BW$47</t>
  </si>
  <si>
    <t>='C:\Users\jaime.benazar\Quorum Business Solutions\Ecopetrol Prometeo - Documents\Planning Space Implementation\3. Analysis &amp; Design\Design\FC22\DRR Jaime\Por presentar a ECP\Cantagallo\Cristalina\[CRISTALINA_CF_SEC_New_09-Feb-2024.xlsx]D-PND'!$BW$48</t>
  </si>
  <si>
    <t>='C:\Users\jaime.benazar\Quorum Business Solutions\Ecopetrol Prometeo - Documents\Planning Space Implementation\3. Analysis &amp; Design\Design\FC22\DRR Jaime\Por presentar a ECP\Cantagallo\Cristalina\[CRISTALINA_CF_SEC_New_09-Feb-2024.xlsx]D-PRB'!$BW$12</t>
  </si>
  <si>
    <t>='C:\Users\jaime.benazar\Quorum Business Solutions\Ecopetrol Prometeo - Documents\Planning Space Implementation\3. Analysis &amp; Design\Design\FC22\DRR Jaime\Por presentar a ECP\Cantagallo\Cristalina\[CRISTALINA_CF_SEC_New_09-Feb-2024.xlsx]D-PRB'!$BW$13</t>
  </si>
  <si>
    <t>='C:\Users\jaime.benazar\Quorum Business Solutions\Ecopetrol Prometeo - Documents\Planning Space Implementation\3. Analysis &amp; Design\Design\FC22\DRR Jaime\Por presentar a ECP\Cantagallo\Cristalina\[CRISTALINA_CF_SEC_New_09-Feb-2024.xlsx]D-PRB'!$BW$14</t>
  </si>
  <si>
    <t>='C:\Users\jaime.benazar\Quorum Business Solutions\Ecopetrol Prometeo - Documents\Planning Space Implementation\3. Analysis &amp; Design\Design\FC22\DRR Jaime\Por presentar a ECP\Cantagallo\Cristalina\[CRISTALINA_CF_SEC_New_09-Feb-2024.xlsx]D-PRB'!$BW$15</t>
  </si>
  <si>
    <t>='C:\Users\jaime.benazar\Quorum Business Solutions\Ecopetrol Prometeo - Documents\Planning Space Implementation\3. Analysis &amp; Design\Design\FC22\DRR Jaime\Por presentar a ECP\Cantagallo\Cristalina\[CRISTALINA_CF_SEC_New_09-Feb-2024.xlsx]D-PRB'!$BW$16</t>
  </si>
  <si>
    <t>='C:\Users\jaime.benazar\Quorum Business Solutions\Ecopetrol Prometeo - Documents\Planning Space Implementation\3. Analysis &amp; Design\Design\FC22\DRR Jaime\Por presentar a ECP\Cantagallo\Cristalina\[CRISTALINA_CF_SEC_New_09-Feb-2024.xlsx]D-PRB'!$BW$17</t>
  </si>
  <si>
    <t>='C:\Users\jaime.benazar\Quorum Business Solutions\Ecopetrol Prometeo - Documents\Planning Space Implementation\3. Analysis &amp; Design\Design\FC22\DRR Jaime\Por presentar a ECP\Cantagallo\Cristalina\[CRISTALINA_CF_SEC_New_09-Feb-2024.xlsx]D-PRB'!$BW$18</t>
  </si>
  <si>
    <t>='C:\Users\jaime.benazar\Quorum Business Solutions\Ecopetrol Prometeo - Documents\Planning Space Implementation\3. Analysis &amp; Design\Design\FC22\DRR Jaime\Por presentar a ECP\Cantagallo\Cristalina\[CRISTALINA_CF_SEC_New_09-Feb-2024.xlsx]D-PRB'!$BW$19</t>
  </si>
  <si>
    <t>='C:\Users\jaime.benazar\Quorum Business Solutions\Ecopetrol Prometeo - Documents\Planning Space Implementation\3. Analysis &amp; Design\Design\FC22\DRR Jaime\Por presentar a ECP\Cantagallo\Cristalina\[CRISTALINA_CF_SEC_New_09-Feb-2024.xlsx]D-PRB'!$BW$20</t>
  </si>
  <si>
    <t>='C:\Users\jaime.benazar\Quorum Business Solutions\Ecopetrol Prometeo - Documents\Planning Space Implementation\3. Analysis &amp; Design\Design\FC22\DRR Jaime\Por presentar a ECP\Cantagallo\Cristalina\[CRISTALINA_CF_SEC_New_09-Feb-2024.xlsx]D-PRB'!$BW$21</t>
  </si>
  <si>
    <t>='C:\Users\jaime.benazar\Quorum Business Solutions\Ecopetrol Prometeo - Documents\Planning Space Implementation\3. Analysis &amp; Design\Design\FC22\DRR Jaime\Por presentar a ECP\Cantagallo\Cristalina\[CRISTALINA_CF_SEC_New_09-Feb-2024.xlsx]D-PRB'!$BW$22</t>
  </si>
  <si>
    <t>='C:\Users\jaime.benazar\Quorum Business Solutions\Ecopetrol Prometeo - Documents\Planning Space Implementation\3. Analysis &amp; Design\Design\FC22\DRR Jaime\Por presentar a ECP\Cantagallo\Cristalina\[CRISTALINA_CF_SEC_New_09-Feb-2024.xlsx]D-PRB'!$BW$23</t>
  </si>
  <si>
    <t>='C:\Users\jaime.benazar\Quorum Business Solutions\Ecopetrol Prometeo - Documents\Planning Space Implementation\3. Analysis &amp; Design\Design\FC22\DRR Jaime\Por presentar a ECP\Cantagallo\Cristalina\[CRISTALINA_CF_SEC_New_09-Feb-2024.xlsx]D-PRB'!$BW$24</t>
  </si>
  <si>
    <t>='C:\Users\jaime.benazar\Quorum Business Solutions\Ecopetrol Prometeo - Documents\Planning Space Implementation\3. Analysis &amp; Design\Design\FC22\DRR Jaime\Por presentar a ECP\Cantagallo\Cristalina\[CRISTALINA_CF_SEC_New_09-Feb-2024.xlsx]D-PRB'!$BW$25</t>
  </si>
  <si>
    <t>='C:\Users\jaime.benazar\Quorum Business Solutions\Ecopetrol Prometeo - Documents\Planning Space Implementation\3. Analysis &amp; Design\Design\FC22\DRR Jaime\Por presentar a ECP\Cantagallo\Cristalina\[CRISTALINA_CF_SEC_New_09-Feb-2024.xlsx]D-PRB'!$BW$26</t>
  </si>
  <si>
    <t>='C:\Users\jaime.benazar\Quorum Business Solutions\Ecopetrol Prometeo - Documents\Planning Space Implementation\3. Analysis &amp; Design\Design\FC22\DRR Jaime\Por presentar a ECP\Cantagallo\Cristalina\[CRISTALINA_CF_SEC_New_09-Feb-2024.xlsx]D-PRB'!$BW$27</t>
  </si>
  <si>
    <t>='C:\Users\jaime.benazar\Quorum Business Solutions\Ecopetrol Prometeo - Documents\Planning Space Implementation\3. Analysis &amp; Design\Design\FC22\DRR Jaime\Por presentar a ECP\Cantagallo\Cristalina\[CRISTALINA_CF_SEC_New_09-Feb-2024.xlsx]D-PRB'!$BW$28</t>
  </si>
  <si>
    <t>='C:\Users\jaime.benazar\Quorum Business Solutions\Ecopetrol Prometeo - Documents\Planning Space Implementation\3. Analysis &amp; Design\Design\FC22\DRR Jaime\Por presentar a ECP\Cantagallo\Cristalina\[CRISTALINA_CF_SEC_New_09-Feb-2024.xlsx]D-PRB'!$BW$29</t>
  </si>
  <si>
    <t>='C:\Users\jaime.benazar\Quorum Business Solutions\Ecopetrol Prometeo - Documents\Planning Space Implementation\3. Analysis &amp; Design\Design\FC22\DRR Jaime\Por presentar a ECP\Cantagallo\Cristalina\[CRISTALINA_CF_SEC_New_09-Feb-2024.xlsx]D-PRB'!$BW$30</t>
  </si>
  <si>
    <t>='C:\Users\jaime.benazar\Quorum Business Solutions\Ecopetrol Prometeo - Documents\Planning Space Implementation\3. Analysis &amp; Design\Design\FC22\DRR Jaime\Por presentar a ECP\Cantagallo\Cristalina\[CRISTALINA_CF_SEC_New_09-Feb-2024.xlsx]D-PRB'!$BW$31</t>
  </si>
  <si>
    <t>='C:\Users\jaime.benazar\Quorum Business Solutions\Ecopetrol Prometeo - Documents\Planning Space Implementation\3. Analysis &amp; Design\Design\FC22\DRR Jaime\Por presentar a ECP\Cantagallo\Cristalina\[CRISTALINA_CF_SEC_New_09-Feb-2024.xlsx]D-PRB'!$BW$32</t>
  </si>
  <si>
    <t>='C:\Users\jaime.benazar\Quorum Business Solutions\Ecopetrol Prometeo - Documents\Planning Space Implementation\3. Analysis &amp; Design\Design\FC22\DRR Jaime\Por presentar a ECP\Cantagallo\Cristalina\[CRISTALINA_CF_SEC_New_09-Feb-2024.xlsx]D-PRB'!$BW$33</t>
  </si>
  <si>
    <t>='C:\Users\jaime.benazar\Quorum Business Solutions\Ecopetrol Prometeo - Documents\Planning Space Implementation\3. Analysis &amp; Design\Design\FC22\DRR Jaime\Por presentar a ECP\Cantagallo\Cristalina\[CRISTALINA_CF_SEC_New_09-Feb-2024.xlsx]D-PRB'!$BW$34</t>
  </si>
  <si>
    <t>='C:\Users\jaime.benazar\Quorum Business Solutions\Ecopetrol Prometeo - Documents\Planning Space Implementation\3. Analysis &amp; Design\Design\FC22\DRR Jaime\Por presentar a ECP\Cantagallo\Cristalina\[CRISTALINA_CF_SEC_New_09-Feb-2024.xlsx]D-PRB'!$BW$35</t>
  </si>
  <si>
    <t>='C:\Users\jaime.benazar\Quorum Business Solutions\Ecopetrol Prometeo - Documents\Planning Space Implementation\3. Analysis &amp; Design\Design\FC22\DRR Jaime\Por presentar a ECP\Cantagallo\Cristalina\[CRISTALINA_CF_SEC_New_09-Feb-2024.xlsx]D-PRB'!$BW$36</t>
  </si>
  <si>
    <t>='C:\Users\jaime.benazar\Quorum Business Solutions\Ecopetrol Prometeo - Documents\Planning Space Implementation\3. Analysis &amp; Design\Design\FC22\DRR Jaime\Por presentar a ECP\Cantagallo\Cristalina\[CRISTALINA_CF_SEC_New_09-Feb-2024.xlsx]D-PRB'!$BW$37</t>
  </si>
  <si>
    <t>='C:\Users\jaime.benazar\Quorum Business Solutions\Ecopetrol Prometeo - Documents\Planning Space Implementation\3. Analysis &amp; Design\Design\FC22\DRR Jaime\Por presentar a ECP\Cantagallo\Cristalina\[CRISTALINA_CF_SEC_New_09-Feb-2024.xlsx]D-PRB'!$BW$38</t>
  </si>
  <si>
    <t>='C:\Users\jaime.benazar\Quorum Business Solutions\Ecopetrol Prometeo - Documents\Planning Space Implementation\3. Analysis &amp; Design\Design\FC22\DRR Jaime\Por presentar a ECP\Cantagallo\Cristalina\[CRISTALINA_CF_SEC_New_09-Feb-2024.xlsx]D-PRB'!$BW$39</t>
  </si>
  <si>
    <t>='C:\Users\jaime.benazar\Quorum Business Solutions\Ecopetrol Prometeo - Documents\Planning Space Implementation\3. Analysis &amp; Design\Design\FC22\DRR Jaime\Por presentar a ECP\Cantagallo\Cristalina\[CRISTALINA_CF_SEC_New_09-Feb-2024.xlsx]D-PRB'!$BW$40</t>
  </si>
  <si>
    <t>='C:\Users\jaime.benazar\Quorum Business Solutions\Ecopetrol Prometeo - Documents\Planning Space Implementation\3. Analysis &amp; Design\Design\FC22\DRR Jaime\Por presentar a ECP\Cantagallo\Cristalina\[CRISTALINA_CF_SEC_New_09-Feb-2024.xlsx]D-PRB'!$BW$41</t>
  </si>
  <si>
    <t>='C:\Users\jaime.benazar\Quorum Business Solutions\Ecopetrol Prometeo - Documents\Planning Space Implementation\3. Analysis &amp; Design\Design\FC22\DRR Jaime\Por presentar a ECP\Cantagallo\Cristalina\[CRISTALINA_CF_SEC_New_09-Feb-2024.xlsx]D-PRB'!$BW$42</t>
  </si>
  <si>
    <t>='C:\Users\jaime.benazar\Quorum Business Solutions\Ecopetrol Prometeo - Documents\Planning Space Implementation\3. Analysis &amp; Design\Design\FC22\DRR Jaime\Por presentar a ECP\Cantagallo\Cristalina\[CRISTALINA_CF_SEC_New_09-Feb-2024.xlsx]D-PRB'!$BW$43</t>
  </si>
  <si>
    <t>='C:\Users\jaime.benazar\Quorum Business Solutions\Ecopetrol Prometeo - Documents\Planning Space Implementation\3. Analysis &amp; Design\Design\FC22\DRR Jaime\Por presentar a ECP\Cantagallo\Cristalina\[CRISTALINA_CF_SEC_New_09-Feb-2024.xlsx]D-PRB'!$BW$44</t>
  </si>
  <si>
    <t>='C:\Users\jaime.benazar\Quorum Business Solutions\Ecopetrol Prometeo - Documents\Planning Space Implementation\3. Analysis &amp; Design\Design\FC22\DRR Jaime\Por presentar a ECP\Cantagallo\Cristalina\[CRISTALINA_CF_SEC_New_09-Feb-2024.xlsx]D-PRB'!$BW$45</t>
  </si>
  <si>
    <t>='C:\Users\jaime.benazar\Quorum Business Solutions\Ecopetrol Prometeo - Documents\Planning Space Implementation\3. Analysis &amp; Design\Design\FC22\DRR Jaime\Por presentar a ECP\Cantagallo\Cristalina\[CRISTALINA_CF_SEC_New_09-Feb-2024.xlsx]D-PRB'!$BW$46</t>
  </si>
  <si>
    <t>='C:\Users\jaime.benazar\Quorum Business Solutions\Ecopetrol Prometeo - Documents\Planning Space Implementation\3. Analysis &amp; Design\Design\FC22\DRR Jaime\Por presentar a ECP\Cantagallo\Cristalina\[CRISTALINA_CF_SEC_New_09-Feb-2024.xlsx]D-PRB'!$BW$47</t>
  </si>
  <si>
    <t>='C:\Users\jaime.benazar\Quorum Business Solutions\Ecopetrol Prometeo - Documents\Planning Space Implementation\3. Analysis &amp; Design\Design\FC22\DRR Jaime\Por presentar a ECP\Cantagallo\Cristalina\[CRISTALINA_CF_SEC_New_09-Feb-2024.xlsx]D-PRB'!$BW$48</t>
  </si>
  <si>
    <t>='C:\Users\jaime.benazar\Quorum Business Solutions\Ecopetrol Prometeo - Documents\Planning Space Implementation\3. Analysis &amp; Design\Design\FC22\DRR Jaime\Por presentar a ECP\Cantagallo\Cristalina\[CRISTALINA_CF_SEC_New_09-Feb-2024.xlsx]D-PS'!$BW$12</t>
  </si>
  <si>
    <t>='C:\Users\jaime.benazar\Quorum Business Solutions\Ecopetrol Prometeo - Documents\Planning Space Implementation\3. Analysis &amp; Design\Design\FC22\DRR Jaime\Por presentar a ECP\Cantagallo\Cristalina\[CRISTALINA_CF_SEC_New_09-Feb-2024.xlsx]D-PS'!$BW$13</t>
  </si>
  <si>
    <t>='C:\Users\jaime.benazar\Quorum Business Solutions\Ecopetrol Prometeo - Documents\Planning Space Implementation\3. Analysis &amp; Design\Design\FC22\DRR Jaime\Por presentar a ECP\Cantagallo\Cristalina\[CRISTALINA_CF_SEC_New_09-Feb-2024.xlsx]D-PS'!$BW$14</t>
  </si>
  <si>
    <t>='C:\Users\jaime.benazar\Quorum Business Solutions\Ecopetrol Prometeo - Documents\Planning Space Implementation\3. Analysis &amp; Design\Design\FC22\DRR Jaime\Por presentar a ECP\Cantagallo\Cristalina\[CRISTALINA_CF_SEC_New_09-Feb-2024.xlsx]D-PS'!$BW$15</t>
  </si>
  <si>
    <t>='C:\Users\jaime.benazar\Quorum Business Solutions\Ecopetrol Prometeo - Documents\Planning Space Implementation\3. Analysis &amp; Design\Design\FC22\DRR Jaime\Por presentar a ECP\Cantagallo\Cristalina\[CRISTALINA_CF_SEC_New_09-Feb-2024.xlsx]D-PS'!$BW$16</t>
  </si>
  <si>
    <t>='C:\Users\jaime.benazar\Quorum Business Solutions\Ecopetrol Prometeo - Documents\Planning Space Implementation\3. Analysis &amp; Design\Design\FC22\DRR Jaime\Por presentar a ECP\Cantagallo\Cristalina\[CRISTALINA_CF_SEC_New_09-Feb-2024.xlsx]D-PS'!$BW$17</t>
  </si>
  <si>
    <t>='C:\Users\jaime.benazar\Quorum Business Solutions\Ecopetrol Prometeo - Documents\Planning Space Implementation\3. Analysis &amp; Design\Design\FC22\DRR Jaime\Por presentar a ECP\Cantagallo\Cristalina\[CRISTALINA_CF_SEC_New_09-Feb-2024.xlsx]D-PS'!$BW$18</t>
  </si>
  <si>
    <t>='C:\Users\jaime.benazar\Quorum Business Solutions\Ecopetrol Prometeo - Documents\Planning Space Implementation\3. Analysis &amp; Design\Design\FC22\DRR Jaime\Por presentar a ECP\Cantagallo\Cristalina\[CRISTALINA_CF_SEC_New_09-Feb-2024.xlsx]D-PS'!$BW$19</t>
  </si>
  <si>
    <t>='C:\Users\jaime.benazar\Quorum Business Solutions\Ecopetrol Prometeo - Documents\Planning Space Implementation\3. Analysis &amp; Design\Design\FC22\DRR Jaime\Por presentar a ECP\Cantagallo\Cristalina\[CRISTALINA_CF_SEC_New_09-Feb-2024.xlsx]D-PS'!$BW$20</t>
  </si>
  <si>
    <t>='C:\Users\jaime.benazar\Quorum Business Solutions\Ecopetrol Prometeo - Documents\Planning Space Implementation\3. Analysis &amp; Design\Design\FC22\DRR Jaime\Por presentar a ECP\Cantagallo\Cristalina\[CRISTALINA_CF_SEC_New_09-Feb-2024.xlsx]D-PS'!$BW$21</t>
  </si>
  <si>
    <t>='C:\Users\jaime.benazar\Quorum Business Solutions\Ecopetrol Prometeo - Documents\Planning Space Implementation\3. Analysis &amp; Design\Design\FC22\DRR Jaime\Por presentar a ECP\Cantagallo\Cristalina\[CRISTALINA_CF_SEC_New_09-Feb-2024.xlsx]D-PS'!$BW$22</t>
  </si>
  <si>
    <t>='C:\Users\jaime.benazar\Quorum Business Solutions\Ecopetrol Prometeo - Documents\Planning Space Implementation\3. Analysis &amp; Design\Design\FC22\DRR Jaime\Por presentar a ECP\Cantagallo\Cristalina\[CRISTALINA_CF_SEC_New_09-Feb-2024.xlsx]D-PS'!$BW$23</t>
  </si>
  <si>
    <t>='C:\Users\jaime.benazar\Quorum Business Solutions\Ecopetrol Prometeo - Documents\Planning Space Implementation\3. Analysis &amp; Design\Design\FC22\DRR Jaime\Por presentar a ECP\Cantagallo\Cristalina\[CRISTALINA_CF_SEC_New_09-Feb-2024.xlsx]D-PS'!$BW$24</t>
  </si>
  <si>
    <t>='C:\Users\jaime.benazar\Quorum Business Solutions\Ecopetrol Prometeo - Documents\Planning Space Implementation\3. Analysis &amp; Design\Design\FC22\DRR Jaime\Por presentar a ECP\Cantagallo\Cristalina\[CRISTALINA_CF_SEC_New_09-Feb-2024.xlsx]D-PS'!$BW$25</t>
  </si>
  <si>
    <t>='C:\Users\jaime.benazar\Quorum Business Solutions\Ecopetrol Prometeo - Documents\Planning Space Implementation\3. Analysis &amp; Design\Design\FC22\DRR Jaime\Por presentar a ECP\Cantagallo\Cristalina\[CRISTALINA_CF_SEC_New_09-Feb-2024.xlsx]D-PS'!$BW$26</t>
  </si>
  <si>
    <t>='C:\Users\jaime.benazar\Quorum Business Solutions\Ecopetrol Prometeo - Documents\Planning Space Implementation\3. Analysis &amp; Design\Design\FC22\DRR Jaime\Por presentar a ECP\Cantagallo\Cristalina\[CRISTALINA_CF_SEC_New_09-Feb-2024.xlsx]D-PS'!$BW$27</t>
  </si>
  <si>
    <t>='C:\Users\jaime.benazar\Quorum Business Solutions\Ecopetrol Prometeo - Documents\Planning Space Implementation\3. Analysis &amp; Design\Design\FC22\DRR Jaime\Por presentar a ECP\Cantagallo\Cristalina\[CRISTALINA_CF_SEC_New_09-Feb-2024.xlsx]D-PS'!$BW$28</t>
  </si>
  <si>
    <t>='C:\Users\jaime.benazar\Quorum Business Solutions\Ecopetrol Prometeo - Documents\Planning Space Implementation\3. Analysis &amp; Design\Design\FC22\DRR Jaime\Por presentar a ECP\Cantagallo\Cristalina\[CRISTALINA_CF_SEC_New_09-Feb-2024.xlsx]D-PS'!$BW$29</t>
  </si>
  <si>
    <t>='C:\Users\jaime.benazar\Quorum Business Solutions\Ecopetrol Prometeo - Documents\Planning Space Implementation\3. Analysis &amp; Design\Design\FC22\DRR Jaime\Por presentar a ECP\Cantagallo\Cristalina\[CRISTALINA_CF_SEC_New_09-Feb-2024.xlsx]D-PS'!$BW$30</t>
  </si>
  <si>
    <t>='C:\Users\jaime.benazar\Quorum Business Solutions\Ecopetrol Prometeo - Documents\Planning Space Implementation\3. Analysis &amp; Design\Design\FC22\DRR Jaime\Por presentar a ECP\Cantagallo\Cristalina\[CRISTALINA_CF_SEC_New_09-Feb-2024.xlsx]D-PS'!$BW$31</t>
  </si>
  <si>
    <t>='C:\Users\jaime.benazar\Quorum Business Solutions\Ecopetrol Prometeo - Documents\Planning Space Implementation\3. Analysis &amp; Design\Design\FC22\DRR Jaime\Por presentar a ECP\Cantagallo\Cristalina\[CRISTALINA_CF_SEC_New_09-Feb-2024.xlsx]D-PS'!$BW$32</t>
  </si>
  <si>
    <t>='C:\Users\jaime.benazar\Quorum Business Solutions\Ecopetrol Prometeo - Documents\Planning Space Implementation\3. Analysis &amp; Design\Design\FC22\DRR Jaime\Por presentar a ECP\Cantagallo\Cristalina\[CRISTALINA_CF_SEC_New_09-Feb-2024.xlsx]D-PS'!$BW$33</t>
  </si>
  <si>
    <t>='C:\Users\jaime.benazar\Quorum Business Solutions\Ecopetrol Prometeo - Documents\Planning Space Implementation\3. Analysis &amp; Design\Design\FC22\DRR Jaime\Por presentar a ECP\Cantagallo\Cristalina\[CRISTALINA_CF_SEC_New_09-Feb-2024.xlsx]D-PS'!$BW$34</t>
  </si>
  <si>
    <t>='C:\Users\jaime.benazar\Quorum Business Solutions\Ecopetrol Prometeo - Documents\Planning Space Implementation\3. Analysis &amp; Design\Design\FC22\DRR Jaime\Por presentar a ECP\Cantagallo\Cristalina\[CRISTALINA_CF_SEC_New_09-Feb-2024.xlsx]D-PS'!$BW$35</t>
  </si>
  <si>
    <t>='C:\Users\jaime.benazar\Quorum Business Solutions\Ecopetrol Prometeo - Documents\Planning Space Implementation\3. Analysis &amp; Design\Design\FC22\DRR Jaime\Por presentar a ECP\Cantagallo\Cristalina\[CRISTALINA_CF_SEC_New_09-Feb-2024.xlsx]D-PS'!$BW$36</t>
  </si>
  <si>
    <t>='C:\Users\jaime.benazar\Quorum Business Solutions\Ecopetrol Prometeo - Documents\Planning Space Implementation\3. Analysis &amp; Design\Design\FC22\DRR Jaime\Por presentar a ECP\Cantagallo\Cristalina\[CRISTALINA_CF_SEC_New_09-Feb-2024.xlsx]D-PS'!$BW$37</t>
  </si>
  <si>
    <t>='C:\Users\jaime.benazar\Quorum Business Solutions\Ecopetrol Prometeo - Documents\Planning Space Implementation\3. Analysis &amp; Design\Design\FC22\DRR Jaime\Por presentar a ECP\Cantagallo\Cristalina\[CRISTALINA_CF_SEC_New_09-Feb-2024.xlsx]D-PS'!$BW$38</t>
  </si>
  <si>
    <t>='C:\Users\jaime.benazar\Quorum Business Solutions\Ecopetrol Prometeo - Documents\Planning Space Implementation\3. Analysis &amp; Design\Design\FC22\DRR Jaime\Por presentar a ECP\Cantagallo\Cristalina\[CRISTALINA_CF_SEC_New_09-Feb-2024.xlsx]D-PS'!$BW$39</t>
  </si>
  <si>
    <t>='C:\Users\jaime.benazar\Quorum Business Solutions\Ecopetrol Prometeo - Documents\Planning Space Implementation\3. Analysis &amp; Design\Design\FC22\DRR Jaime\Por presentar a ECP\Cantagallo\Cristalina\[CRISTALINA_CF_SEC_New_09-Feb-2024.xlsx]D-PS'!$BW$40</t>
  </si>
  <si>
    <t>='C:\Users\jaime.benazar\Quorum Business Solutions\Ecopetrol Prometeo - Documents\Planning Space Implementation\3. Analysis &amp; Design\Design\FC22\DRR Jaime\Por presentar a ECP\Cantagallo\Cristalina\[CRISTALINA_CF_SEC_New_09-Feb-2024.xlsx]D-PS'!$BW$41</t>
  </si>
  <si>
    <t>='C:\Users\jaime.benazar\Quorum Business Solutions\Ecopetrol Prometeo - Documents\Planning Space Implementation\3. Analysis &amp; Design\Design\FC22\DRR Jaime\Por presentar a ECP\Cantagallo\Cristalina\[CRISTALINA_CF_SEC_New_09-Feb-2024.xlsx]D-PS'!$BW$42</t>
  </si>
  <si>
    <t>='C:\Users\jaime.benazar\Quorum Business Solutions\Ecopetrol Prometeo - Documents\Planning Space Implementation\3. Analysis &amp; Design\Design\FC22\DRR Jaime\Por presentar a ECP\Cantagallo\Cristalina\[CRISTALINA_CF_SEC_New_09-Feb-2024.xlsx]D-PS'!$BW$43</t>
  </si>
  <si>
    <t>='C:\Users\jaime.benazar\Quorum Business Solutions\Ecopetrol Prometeo - Documents\Planning Space Implementation\3. Analysis &amp; Design\Design\FC22\DRR Jaime\Por presentar a ECP\Cantagallo\Cristalina\[CRISTALINA_CF_SEC_New_09-Feb-2024.xlsx]D-PS'!$BW$44</t>
  </si>
  <si>
    <t>='C:\Users\jaime.benazar\Quorum Business Solutions\Ecopetrol Prometeo - Documents\Planning Space Implementation\3. Analysis &amp; Design\Design\FC22\DRR Jaime\Por presentar a ECP\Cantagallo\Cristalina\[CRISTALINA_CF_SEC_New_09-Feb-2024.xlsx]D-PS'!$BW$45</t>
  </si>
  <si>
    <t>='C:\Users\jaime.benazar\Quorum Business Solutions\Ecopetrol Prometeo - Documents\Planning Space Implementation\3. Analysis &amp; Design\Design\FC22\DRR Jaime\Por presentar a ECP\Cantagallo\Cristalina\[CRISTALINA_CF_SEC_New_09-Feb-2024.xlsx]D-PS'!$BW$46</t>
  </si>
  <si>
    <t>='C:\Users\jaime.benazar\Quorum Business Solutions\Ecopetrol Prometeo - Documents\Planning Space Implementation\3. Analysis &amp; Design\Design\FC22\DRR Jaime\Por presentar a ECP\Cantagallo\Cristalina\[CRISTALINA_CF_SEC_New_09-Feb-2024.xlsx]D-PS'!$BW$47</t>
  </si>
  <si>
    <t>='C:\Users\jaime.benazar\Quorum Business Solutions\Ecopetrol Prometeo - Documents\Planning Space Implementation\3. Analysis &amp; Design\Design\FC22\DRR Jaime\Por presentar a ECP\Cantagallo\Cristalina\[CRISTALINA_CF_SEC_New_09-Feb-2024.xlsx]D-PS'!$BW$48</t>
  </si>
  <si>
    <t>='C:\Users\jaime.benazar\Quorum Business Solutions\Ecopetrol Prometeo - Documents\Planning Space Implementation\3. Analysis &amp; Design\Design\FC22\DRR Jaime\Por presentar a ECP\Cantagallo\Cristalina\[CRISTALINA_CF_SEC_New_09-Feb-2024.xlsx]D-PDP'!$BZ$12</t>
  </si>
  <si>
    <t>='C:\Users\jaime.benazar\Quorum Business Solutions\Ecopetrol Prometeo - Documents\Planning Space Implementation\3. Analysis &amp; Design\Design\FC22\DRR Jaime\Por presentar a ECP\Cantagallo\Cristalina\[CRISTALINA_CF_SEC_New_09-Feb-2024.xlsx]D-PDP'!$BZ$13</t>
  </si>
  <si>
    <t>='C:\Users\jaime.benazar\Quorum Business Solutions\Ecopetrol Prometeo - Documents\Planning Space Implementation\3. Analysis &amp; Design\Design\FC22\DRR Jaime\Por presentar a ECP\Cantagallo\Cristalina\[CRISTALINA_CF_SEC_New_09-Feb-2024.xlsx]D-PDP'!$BZ$14</t>
  </si>
  <si>
    <t>='C:\Users\jaime.benazar\Quorum Business Solutions\Ecopetrol Prometeo - Documents\Planning Space Implementation\3. Analysis &amp; Design\Design\FC22\DRR Jaime\Por presentar a ECP\Cantagallo\Cristalina\[CRISTALINA_CF_SEC_New_09-Feb-2024.xlsx]D-PDP'!$BZ$15</t>
  </si>
  <si>
    <t>='C:\Users\jaime.benazar\Quorum Business Solutions\Ecopetrol Prometeo - Documents\Planning Space Implementation\3. Analysis &amp; Design\Design\FC22\DRR Jaime\Por presentar a ECP\Cantagallo\Cristalina\[CRISTALINA_CF_SEC_New_09-Feb-2024.xlsx]D-PDP'!$BZ$16</t>
  </si>
  <si>
    <t>='C:\Users\jaime.benazar\Quorum Business Solutions\Ecopetrol Prometeo - Documents\Planning Space Implementation\3. Analysis &amp; Design\Design\FC22\DRR Jaime\Por presentar a ECP\Cantagallo\Cristalina\[CRISTALINA_CF_SEC_New_09-Feb-2024.xlsx]D-PDP'!$BZ$17</t>
  </si>
  <si>
    <t>='C:\Users\jaime.benazar\Quorum Business Solutions\Ecopetrol Prometeo - Documents\Planning Space Implementation\3. Analysis &amp; Design\Design\FC22\DRR Jaime\Por presentar a ECP\Cantagallo\Cristalina\[CRISTALINA_CF_SEC_New_09-Feb-2024.xlsx]D-PDP'!$BZ$18</t>
  </si>
  <si>
    <t>='C:\Users\jaime.benazar\Quorum Business Solutions\Ecopetrol Prometeo - Documents\Planning Space Implementation\3. Analysis &amp; Design\Design\FC22\DRR Jaime\Por presentar a ECP\Cantagallo\Cristalina\[CRISTALINA_CF_SEC_New_09-Feb-2024.xlsx]D-PDP'!$BZ$19</t>
  </si>
  <si>
    <t>='C:\Users\jaime.benazar\Quorum Business Solutions\Ecopetrol Prometeo - Documents\Planning Space Implementation\3. Analysis &amp; Design\Design\FC22\DRR Jaime\Por presentar a ECP\Cantagallo\Cristalina\[CRISTALINA_CF_SEC_New_09-Feb-2024.xlsx]D-PDP'!$BZ$20</t>
  </si>
  <si>
    <t>='C:\Users\jaime.benazar\Quorum Business Solutions\Ecopetrol Prometeo - Documents\Planning Space Implementation\3. Analysis &amp; Design\Design\FC22\DRR Jaime\Por presentar a ECP\Cantagallo\Cristalina\[CRISTALINA_CF_SEC_New_09-Feb-2024.xlsx]D-PDP'!$BZ$21</t>
  </si>
  <si>
    <t>='C:\Users\jaime.benazar\Quorum Business Solutions\Ecopetrol Prometeo - Documents\Planning Space Implementation\3. Analysis &amp; Design\Design\FC22\DRR Jaime\Por presentar a ECP\Cantagallo\Cristalina\[CRISTALINA_CF_SEC_New_09-Feb-2024.xlsx]D-PDP'!$BZ$22</t>
  </si>
  <si>
    <t>='C:\Users\jaime.benazar\Quorum Business Solutions\Ecopetrol Prometeo - Documents\Planning Space Implementation\3. Analysis &amp; Design\Design\FC22\DRR Jaime\Por presentar a ECP\Cantagallo\Cristalina\[CRISTALINA_CF_SEC_New_09-Feb-2024.xlsx]D-PDP'!$BZ$23</t>
  </si>
  <si>
    <t>='C:\Users\jaime.benazar\Quorum Business Solutions\Ecopetrol Prometeo - Documents\Planning Space Implementation\3. Analysis &amp; Design\Design\FC22\DRR Jaime\Por presentar a ECP\Cantagallo\Cristalina\[CRISTALINA_CF_SEC_New_09-Feb-2024.xlsx]D-PDP'!$BZ$24</t>
  </si>
  <si>
    <t>='C:\Users\jaime.benazar\Quorum Business Solutions\Ecopetrol Prometeo - Documents\Planning Space Implementation\3. Analysis &amp; Design\Design\FC22\DRR Jaime\Por presentar a ECP\Cantagallo\Cristalina\[CRISTALINA_CF_SEC_New_09-Feb-2024.xlsx]D-PDP'!$BZ$25</t>
  </si>
  <si>
    <t>='C:\Users\jaime.benazar\Quorum Business Solutions\Ecopetrol Prometeo - Documents\Planning Space Implementation\3. Analysis &amp; Design\Design\FC22\DRR Jaime\Por presentar a ECP\Cantagallo\Cristalina\[CRISTALINA_CF_SEC_New_09-Feb-2024.xlsx]D-PDP'!$BZ$26</t>
  </si>
  <si>
    <t>='C:\Users\jaime.benazar\Quorum Business Solutions\Ecopetrol Prometeo - Documents\Planning Space Implementation\3. Analysis &amp; Design\Design\FC22\DRR Jaime\Por presentar a ECP\Cantagallo\Cristalina\[CRISTALINA_CF_SEC_New_09-Feb-2024.xlsx]D-PDP'!$BZ$27</t>
  </si>
  <si>
    <t>='C:\Users\jaime.benazar\Quorum Business Solutions\Ecopetrol Prometeo - Documents\Planning Space Implementation\3. Analysis &amp; Design\Design\FC22\DRR Jaime\Por presentar a ECP\Cantagallo\Cristalina\[CRISTALINA_CF_SEC_New_09-Feb-2024.xlsx]D-PDP'!$BZ$28</t>
  </si>
  <si>
    <t>='C:\Users\jaime.benazar\Quorum Business Solutions\Ecopetrol Prometeo - Documents\Planning Space Implementation\3. Analysis &amp; Design\Design\FC22\DRR Jaime\Por presentar a ECP\Cantagallo\Cristalina\[CRISTALINA_CF_SEC_New_09-Feb-2024.xlsx]D-PDP'!$BZ$29</t>
  </si>
  <si>
    <t>='C:\Users\jaime.benazar\Quorum Business Solutions\Ecopetrol Prometeo - Documents\Planning Space Implementation\3. Analysis &amp; Design\Design\FC22\DRR Jaime\Por presentar a ECP\Cantagallo\Cristalina\[CRISTALINA_CF_SEC_New_09-Feb-2024.xlsx]D-PDP'!$BZ$30</t>
  </si>
  <si>
    <t>='C:\Users\jaime.benazar\Quorum Business Solutions\Ecopetrol Prometeo - Documents\Planning Space Implementation\3. Analysis &amp; Design\Design\FC22\DRR Jaime\Por presentar a ECP\Cantagallo\Cristalina\[CRISTALINA_CF_SEC_New_09-Feb-2024.xlsx]D-PDP'!$BZ$31</t>
  </si>
  <si>
    <t>='C:\Users\jaime.benazar\Quorum Business Solutions\Ecopetrol Prometeo - Documents\Planning Space Implementation\3. Analysis &amp; Design\Design\FC22\DRR Jaime\Por presentar a ECP\Cantagallo\Cristalina\[CRISTALINA_CF_SEC_New_09-Feb-2024.xlsx]D-PDP'!$BZ$32</t>
  </si>
  <si>
    <t>='C:\Users\jaime.benazar\Quorum Business Solutions\Ecopetrol Prometeo - Documents\Planning Space Implementation\3. Analysis &amp; Design\Design\FC22\DRR Jaime\Por presentar a ECP\Cantagallo\Cristalina\[CRISTALINA_CF_SEC_New_09-Feb-2024.xlsx]D-PDP'!$BZ$33</t>
  </si>
  <si>
    <t>='C:\Users\jaime.benazar\Quorum Business Solutions\Ecopetrol Prometeo - Documents\Planning Space Implementation\3. Analysis &amp; Design\Design\FC22\DRR Jaime\Por presentar a ECP\Cantagallo\Cristalina\[CRISTALINA_CF_SEC_New_09-Feb-2024.xlsx]D-PDP'!$BZ$34</t>
  </si>
  <si>
    <t>='C:\Users\jaime.benazar\Quorum Business Solutions\Ecopetrol Prometeo - Documents\Planning Space Implementation\3. Analysis &amp; Design\Design\FC22\DRR Jaime\Por presentar a ECP\Cantagallo\Cristalina\[CRISTALINA_CF_SEC_New_09-Feb-2024.xlsx]D-PDP'!$BZ$35</t>
  </si>
  <si>
    <t>='C:\Users\jaime.benazar\Quorum Business Solutions\Ecopetrol Prometeo - Documents\Planning Space Implementation\3. Analysis &amp; Design\Design\FC22\DRR Jaime\Por presentar a ECP\Cantagallo\Cristalina\[CRISTALINA_CF_SEC_New_09-Feb-2024.xlsx]D-PDP'!$BZ$36</t>
  </si>
  <si>
    <t>='C:\Users\jaime.benazar\Quorum Business Solutions\Ecopetrol Prometeo - Documents\Planning Space Implementation\3. Analysis &amp; Design\Design\FC22\DRR Jaime\Por presentar a ECP\Cantagallo\Cristalina\[CRISTALINA_CF_SEC_New_09-Feb-2024.xlsx]D-PDP'!$BZ$37</t>
  </si>
  <si>
    <t>='C:\Users\jaime.benazar\Quorum Business Solutions\Ecopetrol Prometeo - Documents\Planning Space Implementation\3. Analysis &amp; Design\Design\FC22\DRR Jaime\Por presentar a ECP\Cantagallo\Cristalina\[CRISTALINA_CF_SEC_New_09-Feb-2024.xlsx]D-PDP'!$BZ$38</t>
  </si>
  <si>
    <t>='C:\Users\jaime.benazar\Quorum Business Solutions\Ecopetrol Prometeo - Documents\Planning Space Implementation\3. Analysis &amp; Design\Design\FC22\DRR Jaime\Por presentar a ECP\Cantagallo\Cristalina\[CRISTALINA_CF_SEC_New_09-Feb-2024.xlsx]D-PDP'!$BZ$39</t>
  </si>
  <si>
    <t>='C:\Users\jaime.benazar\Quorum Business Solutions\Ecopetrol Prometeo - Documents\Planning Space Implementation\3. Analysis &amp; Design\Design\FC22\DRR Jaime\Por presentar a ECP\Cantagallo\Cristalina\[CRISTALINA_CF_SEC_New_09-Feb-2024.xlsx]D-PDP'!$BZ$40</t>
  </si>
  <si>
    <t>='C:\Users\jaime.benazar\Quorum Business Solutions\Ecopetrol Prometeo - Documents\Planning Space Implementation\3. Analysis &amp; Design\Design\FC22\DRR Jaime\Por presentar a ECP\Cantagallo\Cristalina\[CRISTALINA_CF_SEC_New_09-Feb-2024.xlsx]D-PDP'!$BZ$41</t>
  </si>
  <si>
    <t>='C:\Users\jaime.benazar\Quorum Business Solutions\Ecopetrol Prometeo - Documents\Planning Space Implementation\3. Analysis &amp; Design\Design\FC22\DRR Jaime\Por presentar a ECP\Cantagallo\Cristalina\[CRISTALINA_CF_SEC_New_09-Feb-2024.xlsx]D-PDP'!$BZ$42</t>
  </si>
  <si>
    <t>='C:\Users\jaime.benazar\Quorum Business Solutions\Ecopetrol Prometeo - Documents\Planning Space Implementation\3. Analysis &amp; Design\Design\FC22\DRR Jaime\Por presentar a ECP\Cantagallo\Cristalina\[CRISTALINA_CF_SEC_New_09-Feb-2024.xlsx]D-PDP'!$BZ$43</t>
  </si>
  <si>
    <t>='C:\Users\jaime.benazar\Quorum Business Solutions\Ecopetrol Prometeo - Documents\Planning Space Implementation\3. Analysis &amp; Design\Design\FC22\DRR Jaime\Por presentar a ECP\Cantagallo\Cristalina\[CRISTALINA_CF_SEC_New_09-Feb-2024.xlsx]D-PDP'!$BZ$44</t>
  </si>
  <si>
    <t>='C:\Users\jaime.benazar\Quorum Business Solutions\Ecopetrol Prometeo - Documents\Planning Space Implementation\3. Analysis &amp; Design\Design\FC22\DRR Jaime\Por presentar a ECP\Cantagallo\Cristalina\[CRISTALINA_CF_SEC_New_09-Feb-2024.xlsx]D-PDP'!$BZ$45</t>
  </si>
  <si>
    <t>='C:\Users\jaime.benazar\Quorum Business Solutions\Ecopetrol Prometeo - Documents\Planning Space Implementation\3. Analysis &amp; Design\Design\FC22\DRR Jaime\Por presentar a ECP\Cantagallo\Cristalina\[CRISTALINA_CF_SEC_New_09-Feb-2024.xlsx]D-PDP'!$BZ$46</t>
  </si>
  <si>
    <t>='C:\Users\jaime.benazar\Quorum Business Solutions\Ecopetrol Prometeo - Documents\Planning Space Implementation\3. Analysis &amp; Design\Design\FC22\DRR Jaime\Por presentar a ECP\Cantagallo\Cristalina\[CRISTALINA_CF_SEC_New_09-Feb-2024.xlsx]D-PDP'!$BZ$47</t>
  </si>
  <si>
    <t>='C:\Users\jaime.benazar\Quorum Business Solutions\Ecopetrol Prometeo - Documents\Planning Space Implementation\3. Analysis &amp; Design\Design\FC22\DRR Jaime\Por presentar a ECP\Cantagallo\Cristalina\[CRISTALINA_CF_SEC_New_09-Feb-2024.xlsx]D-PDP'!$BZ$48</t>
  </si>
  <si>
    <t>='C:\Users\jaime.benazar\Quorum Business Solutions\Ecopetrol Prometeo - Documents\Planning Space Implementation\3. Analysis &amp; Design\Design\FC22\DRR Jaime\Por presentar a ECP\Cantagallo\Cristalina\[CRISTALINA_CF_SEC_New_09-Feb-2024.xlsx]D-PNP'!$BZ$12</t>
  </si>
  <si>
    <t>='C:\Users\jaime.benazar\Quorum Business Solutions\Ecopetrol Prometeo - Documents\Planning Space Implementation\3. Analysis &amp; Design\Design\FC22\DRR Jaime\Por presentar a ECP\Cantagallo\Cristalina\[CRISTALINA_CF_SEC_New_09-Feb-2024.xlsx]D-PNP'!$BZ$13</t>
  </si>
  <si>
    <t>='C:\Users\jaime.benazar\Quorum Business Solutions\Ecopetrol Prometeo - Documents\Planning Space Implementation\3. Analysis &amp; Design\Design\FC22\DRR Jaime\Por presentar a ECP\Cantagallo\Cristalina\[CRISTALINA_CF_SEC_New_09-Feb-2024.xlsx]D-PNP'!$BZ$14</t>
  </si>
  <si>
    <t>='C:\Users\jaime.benazar\Quorum Business Solutions\Ecopetrol Prometeo - Documents\Planning Space Implementation\3. Analysis &amp; Design\Design\FC22\DRR Jaime\Por presentar a ECP\Cantagallo\Cristalina\[CRISTALINA_CF_SEC_New_09-Feb-2024.xlsx]D-PNP'!$BZ$15</t>
  </si>
  <si>
    <t>='C:\Users\jaime.benazar\Quorum Business Solutions\Ecopetrol Prometeo - Documents\Planning Space Implementation\3. Analysis &amp; Design\Design\FC22\DRR Jaime\Por presentar a ECP\Cantagallo\Cristalina\[CRISTALINA_CF_SEC_New_09-Feb-2024.xlsx]D-PNP'!$BZ$16</t>
  </si>
  <si>
    <t>='C:\Users\jaime.benazar\Quorum Business Solutions\Ecopetrol Prometeo - Documents\Planning Space Implementation\3. Analysis &amp; Design\Design\FC22\DRR Jaime\Por presentar a ECP\Cantagallo\Cristalina\[CRISTALINA_CF_SEC_New_09-Feb-2024.xlsx]D-PNP'!$BZ$17</t>
  </si>
  <si>
    <t>='C:\Users\jaime.benazar\Quorum Business Solutions\Ecopetrol Prometeo - Documents\Planning Space Implementation\3. Analysis &amp; Design\Design\FC22\DRR Jaime\Por presentar a ECP\Cantagallo\Cristalina\[CRISTALINA_CF_SEC_New_09-Feb-2024.xlsx]D-PNP'!$BZ$18</t>
  </si>
  <si>
    <t>='C:\Users\jaime.benazar\Quorum Business Solutions\Ecopetrol Prometeo - Documents\Planning Space Implementation\3. Analysis &amp; Design\Design\FC22\DRR Jaime\Por presentar a ECP\Cantagallo\Cristalina\[CRISTALINA_CF_SEC_New_09-Feb-2024.xlsx]D-PNP'!$BZ$19</t>
  </si>
  <si>
    <t>='C:\Users\jaime.benazar\Quorum Business Solutions\Ecopetrol Prometeo - Documents\Planning Space Implementation\3. Analysis &amp; Design\Design\FC22\DRR Jaime\Por presentar a ECP\Cantagallo\Cristalina\[CRISTALINA_CF_SEC_New_09-Feb-2024.xlsx]D-PNP'!$BZ$20</t>
  </si>
  <si>
    <t>='C:\Users\jaime.benazar\Quorum Business Solutions\Ecopetrol Prometeo - Documents\Planning Space Implementation\3. Analysis &amp; Design\Design\FC22\DRR Jaime\Por presentar a ECP\Cantagallo\Cristalina\[CRISTALINA_CF_SEC_New_09-Feb-2024.xlsx]D-PNP'!$BZ$21</t>
  </si>
  <si>
    <t>='C:\Users\jaime.benazar\Quorum Business Solutions\Ecopetrol Prometeo - Documents\Planning Space Implementation\3. Analysis &amp; Design\Design\FC22\DRR Jaime\Por presentar a ECP\Cantagallo\Cristalina\[CRISTALINA_CF_SEC_New_09-Feb-2024.xlsx]D-PNP'!$BZ$22</t>
  </si>
  <si>
    <t>='C:\Users\jaime.benazar\Quorum Business Solutions\Ecopetrol Prometeo - Documents\Planning Space Implementation\3. Analysis &amp; Design\Design\FC22\DRR Jaime\Por presentar a ECP\Cantagallo\Cristalina\[CRISTALINA_CF_SEC_New_09-Feb-2024.xlsx]D-PNP'!$BZ$23</t>
  </si>
  <si>
    <t>='C:\Users\jaime.benazar\Quorum Business Solutions\Ecopetrol Prometeo - Documents\Planning Space Implementation\3. Analysis &amp; Design\Design\FC22\DRR Jaime\Por presentar a ECP\Cantagallo\Cristalina\[CRISTALINA_CF_SEC_New_09-Feb-2024.xlsx]D-PNP'!$BZ$24</t>
  </si>
  <si>
    <t>='C:\Users\jaime.benazar\Quorum Business Solutions\Ecopetrol Prometeo - Documents\Planning Space Implementation\3. Analysis &amp; Design\Design\FC22\DRR Jaime\Por presentar a ECP\Cantagallo\Cristalina\[CRISTALINA_CF_SEC_New_09-Feb-2024.xlsx]D-PNP'!$BZ$25</t>
  </si>
  <si>
    <t>='C:\Users\jaime.benazar\Quorum Business Solutions\Ecopetrol Prometeo - Documents\Planning Space Implementation\3. Analysis &amp; Design\Design\FC22\DRR Jaime\Por presentar a ECP\Cantagallo\Cristalina\[CRISTALINA_CF_SEC_New_09-Feb-2024.xlsx]D-PNP'!$BZ$26</t>
  </si>
  <si>
    <t>='C:\Users\jaime.benazar\Quorum Business Solutions\Ecopetrol Prometeo - Documents\Planning Space Implementation\3. Analysis &amp; Design\Design\FC22\DRR Jaime\Por presentar a ECP\Cantagallo\Cristalina\[CRISTALINA_CF_SEC_New_09-Feb-2024.xlsx]D-PNP'!$BZ$27</t>
  </si>
  <si>
    <t>='C:\Users\jaime.benazar\Quorum Business Solutions\Ecopetrol Prometeo - Documents\Planning Space Implementation\3. Analysis &amp; Design\Design\FC22\DRR Jaime\Por presentar a ECP\Cantagallo\Cristalina\[CRISTALINA_CF_SEC_New_09-Feb-2024.xlsx]D-PNP'!$BZ$28</t>
  </si>
  <si>
    <t>='C:\Users\jaime.benazar\Quorum Business Solutions\Ecopetrol Prometeo - Documents\Planning Space Implementation\3. Analysis &amp; Design\Design\FC22\DRR Jaime\Por presentar a ECP\Cantagallo\Cristalina\[CRISTALINA_CF_SEC_New_09-Feb-2024.xlsx]D-PNP'!$BZ$29</t>
  </si>
  <si>
    <t>='C:\Users\jaime.benazar\Quorum Business Solutions\Ecopetrol Prometeo - Documents\Planning Space Implementation\3. Analysis &amp; Design\Design\FC22\DRR Jaime\Por presentar a ECP\Cantagallo\Cristalina\[CRISTALINA_CF_SEC_New_09-Feb-2024.xlsx]D-PNP'!$BZ$30</t>
  </si>
  <si>
    <t>='C:\Users\jaime.benazar\Quorum Business Solutions\Ecopetrol Prometeo - Documents\Planning Space Implementation\3. Analysis &amp; Design\Design\FC22\DRR Jaime\Por presentar a ECP\Cantagallo\Cristalina\[CRISTALINA_CF_SEC_New_09-Feb-2024.xlsx]D-PNP'!$BZ$31</t>
  </si>
  <si>
    <t>='C:\Users\jaime.benazar\Quorum Business Solutions\Ecopetrol Prometeo - Documents\Planning Space Implementation\3. Analysis &amp; Design\Design\FC22\DRR Jaime\Por presentar a ECP\Cantagallo\Cristalina\[CRISTALINA_CF_SEC_New_09-Feb-2024.xlsx]D-PNP'!$BZ$32</t>
  </si>
  <si>
    <t>='C:\Users\jaime.benazar\Quorum Business Solutions\Ecopetrol Prometeo - Documents\Planning Space Implementation\3. Analysis &amp; Design\Design\FC22\DRR Jaime\Por presentar a ECP\Cantagallo\Cristalina\[CRISTALINA_CF_SEC_New_09-Feb-2024.xlsx]D-PNP'!$BZ$33</t>
  </si>
  <si>
    <t>='C:\Users\jaime.benazar\Quorum Business Solutions\Ecopetrol Prometeo - Documents\Planning Space Implementation\3. Analysis &amp; Design\Design\FC22\DRR Jaime\Por presentar a ECP\Cantagallo\Cristalina\[CRISTALINA_CF_SEC_New_09-Feb-2024.xlsx]D-PNP'!$BZ$34</t>
  </si>
  <si>
    <t>='C:\Users\jaime.benazar\Quorum Business Solutions\Ecopetrol Prometeo - Documents\Planning Space Implementation\3. Analysis &amp; Design\Design\FC22\DRR Jaime\Por presentar a ECP\Cantagallo\Cristalina\[CRISTALINA_CF_SEC_New_09-Feb-2024.xlsx]D-PNP'!$BZ$35</t>
  </si>
  <si>
    <t>='C:\Users\jaime.benazar\Quorum Business Solutions\Ecopetrol Prometeo - Documents\Planning Space Implementation\3. Analysis &amp; Design\Design\FC22\DRR Jaime\Por presentar a ECP\Cantagallo\Cristalina\[CRISTALINA_CF_SEC_New_09-Feb-2024.xlsx]D-PNP'!$BZ$36</t>
  </si>
  <si>
    <t>='C:\Users\jaime.benazar\Quorum Business Solutions\Ecopetrol Prometeo - Documents\Planning Space Implementation\3. Analysis &amp; Design\Design\FC22\DRR Jaime\Por presentar a ECP\Cantagallo\Cristalina\[CRISTALINA_CF_SEC_New_09-Feb-2024.xlsx]D-PNP'!$BZ$37</t>
  </si>
  <si>
    <t>='C:\Users\jaime.benazar\Quorum Business Solutions\Ecopetrol Prometeo - Documents\Planning Space Implementation\3. Analysis &amp; Design\Design\FC22\DRR Jaime\Por presentar a ECP\Cantagallo\Cristalina\[CRISTALINA_CF_SEC_New_09-Feb-2024.xlsx]D-PNP'!$BZ$38</t>
  </si>
  <si>
    <t>='C:\Users\jaime.benazar\Quorum Business Solutions\Ecopetrol Prometeo - Documents\Planning Space Implementation\3. Analysis &amp; Design\Design\FC22\DRR Jaime\Por presentar a ECP\Cantagallo\Cristalina\[CRISTALINA_CF_SEC_New_09-Feb-2024.xlsx]D-PNP'!$BZ$39</t>
  </si>
  <si>
    <t>='C:\Users\jaime.benazar\Quorum Business Solutions\Ecopetrol Prometeo - Documents\Planning Space Implementation\3. Analysis &amp; Design\Design\FC22\DRR Jaime\Por presentar a ECP\Cantagallo\Cristalina\[CRISTALINA_CF_SEC_New_09-Feb-2024.xlsx]D-PNP'!$BZ$40</t>
  </si>
  <si>
    <t>='C:\Users\jaime.benazar\Quorum Business Solutions\Ecopetrol Prometeo - Documents\Planning Space Implementation\3. Analysis &amp; Design\Design\FC22\DRR Jaime\Por presentar a ECP\Cantagallo\Cristalina\[CRISTALINA_CF_SEC_New_09-Feb-2024.xlsx]D-PNP'!$BZ$41</t>
  </si>
  <si>
    <t>='C:\Users\jaime.benazar\Quorum Business Solutions\Ecopetrol Prometeo - Documents\Planning Space Implementation\3. Analysis &amp; Design\Design\FC22\DRR Jaime\Por presentar a ECP\Cantagallo\Cristalina\[CRISTALINA_CF_SEC_New_09-Feb-2024.xlsx]D-PNP'!$BZ$42</t>
  </si>
  <si>
    <t>='C:\Users\jaime.benazar\Quorum Business Solutions\Ecopetrol Prometeo - Documents\Planning Space Implementation\3. Analysis &amp; Design\Design\FC22\DRR Jaime\Por presentar a ECP\Cantagallo\Cristalina\[CRISTALINA_CF_SEC_New_09-Feb-2024.xlsx]D-PNP'!$BZ$43</t>
  </si>
  <si>
    <t>='C:\Users\jaime.benazar\Quorum Business Solutions\Ecopetrol Prometeo - Documents\Planning Space Implementation\3. Analysis &amp; Design\Design\FC22\DRR Jaime\Por presentar a ECP\Cantagallo\Cristalina\[CRISTALINA_CF_SEC_New_09-Feb-2024.xlsx]D-PNP'!$BZ$44</t>
  </si>
  <si>
    <t>='C:\Users\jaime.benazar\Quorum Business Solutions\Ecopetrol Prometeo - Documents\Planning Space Implementation\3. Analysis &amp; Design\Design\FC22\DRR Jaime\Por presentar a ECP\Cantagallo\Cristalina\[CRISTALINA_CF_SEC_New_09-Feb-2024.xlsx]D-PNP'!$BZ$45</t>
  </si>
  <si>
    <t>='C:\Users\jaime.benazar\Quorum Business Solutions\Ecopetrol Prometeo - Documents\Planning Space Implementation\3. Analysis &amp; Design\Design\FC22\DRR Jaime\Por presentar a ECP\Cantagallo\Cristalina\[CRISTALINA_CF_SEC_New_09-Feb-2024.xlsx]D-PNP'!$BZ$46</t>
  </si>
  <si>
    <t>='C:\Users\jaime.benazar\Quorum Business Solutions\Ecopetrol Prometeo - Documents\Planning Space Implementation\3. Analysis &amp; Design\Design\FC22\DRR Jaime\Por presentar a ECP\Cantagallo\Cristalina\[CRISTALINA_CF_SEC_New_09-Feb-2024.xlsx]D-PNP'!$BZ$47</t>
  </si>
  <si>
    <t>='C:\Users\jaime.benazar\Quorum Business Solutions\Ecopetrol Prometeo - Documents\Planning Space Implementation\3. Analysis &amp; Design\Design\FC22\DRR Jaime\Por presentar a ECP\Cantagallo\Cristalina\[CRISTALINA_CF_SEC_New_09-Feb-2024.xlsx]D-PNP'!$BZ$48</t>
  </si>
  <si>
    <t>='C:\Users\jaime.benazar\Quorum Business Solutions\Ecopetrol Prometeo - Documents\Planning Space Implementation\3. Analysis &amp; Design\Design\FC22\DRR Jaime\Por presentar a ECP\Cantagallo\Cristalina\[CRISTALINA_CF_SEC_New_09-Feb-2024.xlsx]D-PND'!$BZ$12</t>
  </si>
  <si>
    <t>='C:\Users\jaime.benazar\Quorum Business Solutions\Ecopetrol Prometeo - Documents\Planning Space Implementation\3. Analysis &amp; Design\Design\FC22\DRR Jaime\Por presentar a ECP\Cantagallo\Cristalina\[CRISTALINA_CF_SEC_New_09-Feb-2024.xlsx]D-PND'!$BZ$13</t>
  </si>
  <si>
    <t>='C:\Users\jaime.benazar\Quorum Business Solutions\Ecopetrol Prometeo - Documents\Planning Space Implementation\3. Analysis &amp; Design\Design\FC22\DRR Jaime\Por presentar a ECP\Cantagallo\Cristalina\[CRISTALINA_CF_SEC_New_09-Feb-2024.xlsx]D-PND'!$BZ$14</t>
  </si>
  <si>
    <t>='C:\Users\jaime.benazar\Quorum Business Solutions\Ecopetrol Prometeo - Documents\Planning Space Implementation\3. Analysis &amp; Design\Design\FC22\DRR Jaime\Por presentar a ECP\Cantagallo\Cristalina\[CRISTALINA_CF_SEC_New_09-Feb-2024.xlsx]D-PND'!$BZ$15</t>
  </si>
  <si>
    <t>='C:\Users\jaime.benazar\Quorum Business Solutions\Ecopetrol Prometeo - Documents\Planning Space Implementation\3. Analysis &amp; Design\Design\FC22\DRR Jaime\Por presentar a ECP\Cantagallo\Cristalina\[CRISTALINA_CF_SEC_New_09-Feb-2024.xlsx]D-PND'!$BZ$16</t>
  </si>
  <si>
    <t>='C:\Users\jaime.benazar\Quorum Business Solutions\Ecopetrol Prometeo - Documents\Planning Space Implementation\3. Analysis &amp; Design\Design\FC22\DRR Jaime\Por presentar a ECP\Cantagallo\Cristalina\[CRISTALINA_CF_SEC_New_09-Feb-2024.xlsx]D-PND'!$BZ$17</t>
  </si>
  <si>
    <t>='C:\Users\jaime.benazar\Quorum Business Solutions\Ecopetrol Prometeo - Documents\Planning Space Implementation\3. Analysis &amp; Design\Design\FC22\DRR Jaime\Por presentar a ECP\Cantagallo\Cristalina\[CRISTALINA_CF_SEC_New_09-Feb-2024.xlsx]D-PND'!$BZ$18</t>
  </si>
  <si>
    <t>='C:\Users\jaime.benazar\Quorum Business Solutions\Ecopetrol Prometeo - Documents\Planning Space Implementation\3. Analysis &amp; Design\Design\FC22\DRR Jaime\Por presentar a ECP\Cantagallo\Cristalina\[CRISTALINA_CF_SEC_New_09-Feb-2024.xlsx]D-PND'!$BZ$19</t>
  </si>
  <si>
    <t>='C:\Users\jaime.benazar\Quorum Business Solutions\Ecopetrol Prometeo - Documents\Planning Space Implementation\3. Analysis &amp; Design\Design\FC22\DRR Jaime\Por presentar a ECP\Cantagallo\Cristalina\[CRISTALINA_CF_SEC_New_09-Feb-2024.xlsx]D-PND'!$BZ$20</t>
  </si>
  <si>
    <t>='C:\Users\jaime.benazar\Quorum Business Solutions\Ecopetrol Prometeo - Documents\Planning Space Implementation\3. Analysis &amp; Design\Design\FC22\DRR Jaime\Por presentar a ECP\Cantagallo\Cristalina\[CRISTALINA_CF_SEC_New_09-Feb-2024.xlsx]D-PND'!$BZ$21</t>
  </si>
  <si>
    <t>='C:\Users\jaime.benazar\Quorum Business Solutions\Ecopetrol Prometeo - Documents\Planning Space Implementation\3. Analysis &amp; Design\Design\FC22\DRR Jaime\Por presentar a ECP\Cantagallo\Cristalina\[CRISTALINA_CF_SEC_New_09-Feb-2024.xlsx]D-PND'!$BZ$22</t>
  </si>
  <si>
    <t>='C:\Users\jaime.benazar\Quorum Business Solutions\Ecopetrol Prometeo - Documents\Planning Space Implementation\3. Analysis &amp; Design\Design\FC22\DRR Jaime\Por presentar a ECP\Cantagallo\Cristalina\[CRISTALINA_CF_SEC_New_09-Feb-2024.xlsx]D-PND'!$BZ$23</t>
  </si>
  <si>
    <t>='C:\Users\jaime.benazar\Quorum Business Solutions\Ecopetrol Prometeo - Documents\Planning Space Implementation\3. Analysis &amp; Design\Design\FC22\DRR Jaime\Por presentar a ECP\Cantagallo\Cristalina\[CRISTALINA_CF_SEC_New_09-Feb-2024.xlsx]D-PND'!$BZ$24</t>
  </si>
  <si>
    <t>='C:\Users\jaime.benazar\Quorum Business Solutions\Ecopetrol Prometeo - Documents\Planning Space Implementation\3. Analysis &amp; Design\Design\FC22\DRR Jaime\Por presentar a ECP\Cantagallo\Cristalina\[CRISTALINA_CF_SEC_New_09-Feb-2024.xlsx]D-PND'!$BZ$25</t>
  </si>
  <si>
    <t>='C:\Users\jaime.benazar\Quorum Business Solutions\Ecopetrol Prometeo - Documents\Planning Space Implementation\3. Analysis &amp; Design\Design\FC22\DRR Jaime\Por presentar a ECP\Cantagallo\Cristalina\[CRISTALINA_CF_SEC_New_09-Feb-2024.xlsx]D-PND'!$BZ$26</t>
  </si>
  <si>
    <t>='C:\Users\jaime.benazar\Quorum Business Solutions\Ecopetrol Prometeo - Documents\Planning Space Implementation\3. Analysis &amp; Design\Design\FC22\DRR Jaime\Por presentar a ECP\Cantagallo\Cristalina\[CRISTALINA_CF_SEC_New_09-Feb-2024.xlsx]D-PND'!$BZ$27</t>
  </si>
  <si>
    <t>='C:\Users\jaime.benazar\Quorum Business Solutions\Ecopetrol Prometeo - Documents\Planning Space Implementation\3. Analysis &amp; Design\Design\FC22\DRR Jaime\Por presentar a ECP\Cantagallo\Cristalina\[CRISTALINA_CF_SEC_New_09-Feb-2024.xlsx]D-PND'!$BZ$28</t>
  </si>
  <si>
    <t>='C:\Users\jaime.benazar\Quorum Business Solutions\Ecopetrol Prometeo - Documents\Planning Space Implementation\3. Analysis &amp; Design\Design\FC22\DRR Jaime\Por presentar a ECP\Cantagallo\Cristalina\[CRISTALINA_CF_SEC_New_09-Feb-2024.xlsx]D-PND'!$BZ$29</t>
  </si>
  <si>
    <t>='C:\Users\jaime.benazar\Quorum Business Solutions\Ecopetrol Prometeo - Documents\Planning Space Implementation\3. Analysis &amp; Design\Design\FC22\DRR Jaime\Por presentar a ECP\Cantagallo\Cristalina\[CRISTALINA_CF_SEC_New_09-Feb-2024.xlsx]D-PND'!$BZ$30</t>
  </si>
  <si>
    <t>='C:\Users\jaime.benazar\Quorum Business Solutions\Ecopetrol Prometeo - Documents\Planning Space Implementation\3. Analysis &amp; Design\Design\FC22\DRR Jaime\Por presentar a ECP\Cantagallo\Cristalina\[CRISTALINA_CF_SEC_New_09-Feb-2024.xlsx]D-PND'!$BZ$31</t>
  </si>
  <si>
    <t>='C:\Users\jaime.benazar\Quorum Business Solutions\Ecopetrol Prometeo - Documents\Planning Space Implementation\3. Analysis &amp; Design\Design\FC22\DRR Jaime\Por presentar a ECP\Cantagallo\Cristalina\[CRISTALINA_CF_SEC_New_09-Feb-2024.xlsx]D-PND'!$BZ$32</t>
  </si>
  <si>
    <t>='C:\Users\jaime.benazar\Quorum Business Solutions\Ecopetrol Prometeo - Documents\Planning Space Implementation\3. Analysis &amp; Design\Design\FC22\DRR Jaime\Por presentar a ECP\Cantagallo\Cristalina\[CRISTALINA_CF_SEC_New_09-Feb-2024.xlsx]D-PND'!$BZ$33</t>
  </si>
  <si>
    <t>='C:\Users\jaime.benazar\Quorum Business Solutions\Ecopetrol Prometeo - Documents\Planning Space Implementation\3. Analysis &amp; Design\Design\FC22\DRR Jaime\Por presentar a ECP\Cantagallo\Cristalina\[CRISTALINA_CF_SEC_New_09-Feb-2024.xlsx]D-PND'!$BZ$34</t>
  </si>
  <si>
    <t>='C:\Users\jaime.benazar\Quorum Business Solutions\Ecopetrol Prometeo - Documents\Planning Space Implementation\3. Analysis &amp; Design\Design\FC22\DRR Jaime\Por presentar a ECP\Cantagallo\Cristalina\[CRISTALINA_CF_SEC_New_09-Feb-2024.xlsx]D-PND'!$BZ$35</t>
  </si>
  <si>
    <t>='C:\Users\jaime.benazar\Quorum Business Solutions\Ecopetrol Prometeo - Documents\Planning Space Implementation\3. Analysis &amp; Design\Design\FC22\DRR Jaime\Por presentar a ECP\Cantagallo\Cristalina\[CRISTALINA_CF_SEC_New_09-Feb-2024.xlsx]D-PND'!$BZ$36</t>
  </si>
  <si>
    <t>='C:\Users\jaime.benazar\Quorum Business Solutions\Ecopetrol Prometeo - Documents\Planning Space Implementation\3. Analysis &amp; Design\Design\FC22\DRR Jaime\Por presentar a ECP\Cantagallo\Cristalina\[CRISTALINA_CF_SEC_New_09-Feb-2024.xlsx]D-PND'!$BZ$37</t>
  </si>
  <si>
    <t>='C:\Users\jaime.benazar\Quorum Business Solutions\Ecopetrol Prometeo - Documents\Planning Space Implementation\3. Analysis &amp; Design\Design\FC22\DRR Jaime\Por presentar a ECP\Cantagallo\Cristalina\[CRISTALINA_CF_SEC_New_09-Feb-2024.xlsx]D-PND'!$BZ$38</t>
  </si>
  <si>
    <t>='C:\Users\jaime.benazar\Quorum Business Solutions\Ecopetrol Prometeo - Documents\Planning Space Implementation\3. Analysis &amp; Design\Design\FC22\DRR Jaime\Por presentar a ECP\Cantagallo\Cristalina\[CRISTALINA_CF_SEC_New_09-Feb-2024.xlsx]D-PND'!$BZ$39</t>
  </si>
  <si>
    <t>='C:\Users\jaime.benazar\Quorum Business Solutions\Ecopetrol Prometeo - Documents\Planning Space Implementation\3. Analysis &amp; Design\Design\FC22\DRR Jaime\Por presentar a ECP\Cantagallo\Cristalina\[CRISTALINA_CF_SEC_New_09-Feb-2024.xlsx]D-PND'!$BZ$40</t>
  </si>
  <si>
    <t>='C:\Users\jaime.benazar\Quorum Business Solutions\Ecopetrol Prometeo - Documents\Planning Space Implementation\3. Analysis &amp; Design\Design\FC22\DRR Jaime\Por presentar a ECP\Cantagallo\Cristalina\[CRISTALINA_CF_SEC_New_09-Feb-2024.xlsx]D-PND'!$BZ$41</t>
  </si>
  <si>
    <t>='C:\Users\jaime.benazar\Quorum Business Solutions\Ecopetrol Prometeo - Documents\Planning Space Implementation\3. Analysis &amp; Design\Design\FC22\DRR Jaime\Por presentar a ECP\Cantagallo\Cristalina\[CRISTALINA_CF_SEC_New_09-Feb-2024.xlsx]D-PND'!$BZ$42</t>
  </si>
  <si>
    <t>='C:\Users\jaime.benazar\Quorum Business Solutions\Ecopetrol Prometeo - Documents\Planning Space Implementation\3. Analysis &amp; Design\Design\FC22\DRR Jaime\Por presentar a ECP\Cantagallo\Cristalina\[CRISTALINA_CF_SEC_New_09-Feb-2024.xlsx]D-PND'!$BZ$43</t>
  </si>
  <si>
    <t>='C:\Users\jaime.benazar\Quorum Business Solutions\Ecopetrol Prometeo - Documents\Planning Space Implementation\3. Analysis &amp; Design\Design\FC22\DRR Jaime\Por presentar a ECP\Cantagallo\Cristalina\[CRISTALINA_CF_SEC_New_09-Feb-2024.xlsx]D-PND'!$BZ$44</t>
  </si>
  <si>
    <t>='C:\Users\jaime.benazar\Quorum Business Solutions\Ecopetrol Prometeo - Documents\Planning Space Implementation\3. Analysis &amp; Design\Design\FC22\DRR Jaime\Por presentar a ECP\Cantagallo\Cristalina\[CRISTALINA_CF_SEC_New_09-Feb-2024.xlsx]D-PND'!$BZ$45</t>
  </si>
  <si>
    <t>='C:\Users\jaime.benazar\Quorum Business Solutions\Ecopetrol Prometeo - Documents\Planning Space Implementation\3. Analysis &amp; Design\Design\FC22\DRR Jaime\Por presentar a ECP\Cantagallo\Cristalina\[CRISTALINA_CF_SEC_New_09-Feb-2024.xlsx]D-PND'!$BZ$46</t>
  </si>
  <si>
    <t>='C:\Users\jaime.benazar\Quorum Business Solutions\Ecopetrol Prometeo - Documents\Planning Space Implementation\3. Analysis &amp; Design\Design\FC22\DRR Jaime\Por presentar a ECP\Cantagallo\Cristalina\[CRISTALINA_CF_SEC_New_09-Feb-2024.xlsx]D-PND'!$BZ$47</t>
  </si>
  <si>
    <t>='C:\Users\jaime.benazar\Quorum Business Solutions\Ecopetrol Prometeo - Documents\Planning Space Implementation\3. Analysis &amp; Design\Design\FC22\DRR Jaime\Por presentar a ECP\Cantagallo\Cristalina\[CRISTALINA_CF_SEC_New_09-Feb-2024.xlsx]D-PND'!$BZ$48</t>
  </si>
  <si>
    <t>='C:\Users\jaime.benazar\Quorum Business Solutions\Ecopetrol Prometeo - Documents\Planning Space Implementation\3. Analysis &amp; Design\Design\FC22\DRR Jaime\Por presentar a ECP\Cantagallo\Cristalina\[CRISTALINA_CF_SEC_New_09-Feb-2024.xlsx]D-PRB'!$BZ$12</t>
  </si>
  <si>
    <t>='C:\Users\jaime.benazar\Quorum Business Solutions\Ecopetrol Prometeo - Documents\Planning Space Implementation\3. Analysis &amp; Design\Design\FC22\DRR Jaime\Por presentar a ECP\Cantagallo\Cristalina\[CRISTALINA_CF_SEC_New_09-Feb-2024.xlsx]D-PRB'!$BZ$13</t>
  </si>
  <si>
    <t>='C:\Users\jaime.benazar\Quorum Business Solutions\Ecopetrol Prometeo - Documents\Planning Space Implementation\3. Analysis &amp; Design\Design\FC22\DRR Jaime\Por presentar a ECP\Cantagallo\Cristalina\[CRISTALINA_CF_SEC_New_09-Feb-2024.xlsx]D-PRB'!$BZ$14</t>
  </si>
  <si>
    <t>='C:\Users\jaime.benazar\Quorum Business Solutions\Ecopetrol Prometeo - Documents\Planning Space Implementation\3. Analysis &amp; Design\Design\FC22\DRR Jaime\Por presentar a ECP\Cantagallo\Cristalina\[CRISTALINA_CF_SEC_New_09-Feb-2024.xlsx]D-PRB'!$BZ$15</t>
  </si>
  <si>
    <t>='C:\Users\jaime.benazar\Quorum Business Solutions\Ecopetrol Prometeo - Documents\Planning Space Implementation\3. Analysis &amp; Design\Design\FC22\DRR Jaime\Por presentar a ECP\Cantagallo\Cristalina\[CRISTALINA_CF_SEC_New_09-Feb-2024.xlsx]D-PRB'!$BZ$16</t>
  </si>
  <si>
    <t>='C:\Users\jaime.benazar\Quorum Business Solutions\Ecopetrol Prometeo - Documents\Planning Space Implementation\3. Analysis &amp; Design\Design\FC22\DRR Jaime\Por presentar a ECP\Cantagallo\Cristalina\[CRISTALINA_CF_SEC_New_09-Feb-2024.xlsx]D-PRB'!$BZ$17</t>
  </si>
  <si>
    <t>='C:\Users\jaime.benazar\Quorum Business Solutions\Ecopetrol Prometeo - Documents\Planning Space Implementation\3. Analysis &amp; Design\Design\FC22\DRR Jaime\Por presentar a ECP\Cantagallo\Cristalina\[CRISTALINA_CF_SEC_New_09-Feb-2024.xlsx]D-PRB'!$BZ$18</t>
  </si>
  <si>
    <t>='C:\Users\jaime.benazar\Quorum Business Solutions\Ecopetrol Prometeo - Documents\Planning Space Implementation\3. Analysis &amp; Design\Design\FC22\DRR Jaime\Por presentar a ECP\Cantagallo\Cristalina\[CRISTALINA_CF_SEC_New_09-Feb-2024.xlsx]D-PRB'!$BZ$19</t>
  </si>
  <si>
    <t>='C:\Users\jaime.benazar\Quorum Business Solutions\Ecopetrol Prometeo - Documents\Planning Space Implementation\3. Analysis &amp; Design\Design\FC22\DRR Jaime\Por presentar a ECP\Cantagallo\Cristalina\[CRISTALINA_CF_SEC_New_09-Feb-2024.xlsx]D-PRB'!$BZ$20</t>
  </si>
  <si>
    <t>='C:\Users\jaime.benazar\Quorum Business Solutions\Ecopetrol Prometeo - Documents\Planning Space Implementation\3. Analysis &amp; Design\Design\FC22\DRR Jaime\Por presentar a ECP\Cantagallo\Cristalina\[CRISTALINA_CF_SEC_New_09-Feb-2024.xlsx]D-PRB'!$BZ$21</t>
  </si>
  <si>
    <t>='C:\Users\jaime.benazar\Quorum Business Solutions\Ecopetrol Prometeo - Documents\Planning Space Implementation\3. Analysis &amp; Design\Design\FC22\DRR Jaime\Por presentar a ECP\Cantagallo\Cristalina\[CRISTALINA_CF_SEC_New_09-Feb-2024.xlsx]D-PRB'!$BZ$22</t>
  </si>
  <si>
    <t>='C:\Users\jaime.benazar\Quorum Business Solutions\Ecopetrol Prometeo - Documents\Planning Space Implementation\3. Analysis &amp; Design\Design\FC22\DRR Jaime\Por presentar a ECP\Cantagallo\Cristalina\[CRISTALINA_CF_SEC_New_09-Feb-2024.xlsx]D-PRB'!$BZ$23</t>
  </si>
  <si>
    <t>='C:\Users\jaime.benazar\Quorum Business Solutions\Ecopetrol Prometeo - Documents\Planning Space Implementation\3. Analysis &amp; Design\Design\FC22\DRR Jaime\Por presentar a ECP\Cantagallo\Cristalina\[CRISTALINA_CF_SEC_New_09-Feb-2024.xlsx]D-PRB'!$BZ$24</t>
  </si>
  <si>
    <t>='C:\Users\jaime.benazar\Quorum Business Solutions\Ecopetrol Prometeo - Documents\Planning Space Implementation\3. Analysis &amp; Design\Design\FC22\DRR Jaime\Por presentar a ECP\Cantagallo\Cristalina\[CRISTALINA_CF_SEC_New_09-Feb-2024.xlsx]D-PRB'!$BZ$25</t>
  </si>
  <si>
    <t>='C:\Users\jaime.benazar\Quorum Business Solutions\Ecopetrol Prometeo - Documents\Planning Space Implementation\3. Analysis &amp; Design\Design\FC22\DRR Jaime\Por presentar a ECP\Cantagallo\Cristalina\[CRISTALINA_CF_SEC_New_09-Feb-2024.xlsx]D-PRB'!$BZ$26</t>
  </si>
  <si>
    <t>='C:\Users\jaime.benazar\Quorum Business Solutions\Ecopetrol Prometeo - Documents\Planning Space Implementation\3. Analysis &amp; Design\Design\FC22\DRR Jaime\Por presentar a ECP\Cantagallo\Cristalina\[CRISTALINA_CF_SEC_New_09-Feb-2024.xlsx]D-PRB'!$BZ$27</t>
  </si>
  <si>
    <t>='C:\Users\jaime.benazar\Quorum Business Solutions\Ecopetrol Prometeo - Documents\Planning Space Implementation\3. Analysis &amp; Design\Design\FC22\DRR Jaime\Por presentar a ECP\Cantagallo\Cristalina\[CRISTALINA_CF_SEC_New_09-Feb-2024.xlsx]D-PRB'!$BZ$28</t>
  </si>
  <si>
    <t>='C:\Users\jaime.benazar\Quorum Business Solutions\Ecopetrol Prometeo - Documents\Planning Space Implementation\3. Analysis &amp; Design\Design\FC22\DRR Jaime\Por presentar a ECP\Cantagallo\Cristalina\[CRISTALINA_CF_SEC_New_09-Feb-2024.xlsx]D-PRB'!$BZ$29</t>
  </si>
  <si>
    <t>='C:\Users\jaime.benazar\Quorum Business Solutions\Ecopetrol Prometeo - Documents\Planning Space Implementation\3. Analysis &amp; Design\Design\FC22\DRR Jaime\Por presentar a ECP\Cantagallo\Cristalina\[CRISTALINA_CF_SEC_New_09-Feb-2024.xlsx]D-PRB'!$BZ$30</t>
  </si>
  <si>
    <t>='C:\Users\jaime.benazar\Quorum Business Solutions\Ecopetrol Prometeo - Documents\Planning Space Implementation\3. Analysis &amp; Design\Design\FC22\DRR Jaime\Por presentar a ECP\Cantagallo\Cristalina\[CRISTALINA_CF_SEC_New_09-Feb-2024.xlsx]D-PRB'!$BZ$31</t>
  </si>
  <si>
    <t>='C:\Users\jaime.benazar\Quorum Business Solutions\Ecopetrol Prometeo - Documents\Planning Space Implementation\3. Analysis &amp; Design\Design\FC22\DRR Jaime\Por presentar a ECP\Cantagallo\Cristalina\[CRISTALINA_CF_SEC_New_09-Feb-2024.xlsx]D-PRB'!$BZ$32</t>
  </si>
  <si>
    <t>='C:\Users\jaime.benazar\Quorum Business Solutions\Ecopetrol Prometeo - Documents\Planning Space Implementation\3. Analysis &amp; Design\Design\FC22\DRR Jaime\Por presentar a ECP\Cantagallo\Cristalina\[CRISTALINA_CF_SEC_New_09-Feb-2024.xlsx]D-PRB'!$BZ$33</t>
  </si>
  <si>
    <t>='C:\Users\jaime.benazar\Quorum Business Solutions\Ecopetrol Prometeo - Documents\Planning Space Implementation\3. Analysis &amp; Design\Design\FC22\DRR Jaime\Por presentar a ECP\Cantagallo\Cristalina\[CRISTALINA_CF_SEC_New_09-Feb-2024.xlsx]D-PRB'!$BZ$34</t>
  </si>
  <si>
    <t>='C:\Users\jaime.benazar\Quorum Business Solutions\Ecopetrol Prometeo - Documents\Planning Space Implementation\3. Analysis &amp; Design\Design\FC22\DRR Jaime\Por presentar a ECP\Cantagallo\Cristalina\[CRISTALINA_CF_SEC_New_09-Feb-2024.xlsx]D-PRB'!$BZ$35</t>
  </si>
  <si>
    <t>='C:\Users\jaime.benazar\Quorum Business Solutions\Ecopetrol Prometeo - Documents\Planning Space Implementation\3. Analysis &amp; Design\Design\FC22\DRR Jaime\Por presentar a ECP\Cantagallo\Cristalina\[CRISTALINA_CF_SEC_New_09-Feb-2024.xlsx]D-PRB'!$BZ$36</t>
  </si>
  <si>
    <t>='C:\Users\jaime.benazar\Quorum Business Solutions\Ecopetrol Prometeo - Documents\Planning Space Implementation\3. Analysis &amp; Design\Design\FC22\DRR Jaime\Por presentar a ECP\Cantagallo\Cristalina\[CRISTALINA_CF_SEC_New_09-Feb-2024.xlsx]D-PRB'!$BZ$37</t>
  </si>
  <si>
    <t>='C:\Users\jaime.benazar\Quorum Business Solutions\Ecopetrol Prometeo - Documents\Planning Space Implementation\3. Analysis &amp; Design\Design\FC22\DRR Jaime\Por presentar a ECP\Cantagallo\Cristalina\[CRISTALINA_CF_SEC_New_09-Feb-2024.xlsx]D-PRB'!$BZ$38</t>
  </si>
  <si>
    <t>='C:\Users\jaime.benazar\Quorum Business Solutions\Ecopetrol Prometeo - Documents\Planning Space Implementation\3. Analysis &amp; Design\Design\FC22\DRR Jaime\Por presentar a ECP\Cantagallo\Cristalina\[CRISTALINA_CF_SEC_New_09-Feb-2024.xlsx]D-PRB'!$BZ$39</t>
  </si>
  <si>
    <t>='C:\Users\jaime.benazar\Quorum Business Solutions\Ecopetrol Prometeo - Documents\Planning Space Implementation\3. Analysis &amp; Design\Design\FC22\DRR Jaime\Por presentar a ECP\Cantagallo\Cristalina\[CRISTALINA_CF_SEC_New_09-Feb-2024.xlsx]D-PRB'!$BZ$40</t>
  </si>
  <si>
    <t>='C:\Users\jaime.benazar\Quorum Business Solutions\Ecopetrol Prometeo - Documents\Planning Space Implementation\3. Analysis &amp; Design\Design\FC22\DRR Jaime\Por presentar a ECP\Cantagallo\Cristalina\[CRISTALINA_CF_SEC_New_09-Feb-2024.xlsx]D-PRB'!$BZ$41</t>
  </si>
  <si>
    <t>='C:\Users\jaime.benazar\Quorum Business Solutions\Ecopetrol Prometeo - Documents\Planning Space Implementation\3. Analysis &amp; Design\Design\FC22\DRR Jaime\Por presentar a ECP\Cantagallo\Cristalina\[CRISTALINA_CF_SEC_New_09-Feb-2024.xlsx]D-PRB'!$BZ$42</t>
  </si>
  <si>
    <t>='C:\Users\jaime.benazar\Quorum Business Solutions\Ecopetrol Prometeo - Documents\Planning Space Implementation\3. Analysis &amp; Design\Design\FC22\DRR Jaime\Por presentar a ECP\Cantagallo\Cristalina\[CRISTALINA_CF_SEC_New_09-Feb-2024.xlsx]D-PRB'!$BZ$43</t>
  </si>
  <si>
    <t>='C:\Users\jaime.benazar\Quorum Business Solutions\Ecopetrol Prometeo - Documents\Planning Space Implementation\3. Analysis &amp; Design\Design\FC22\DRR Jaime\Por presentar a ECP\Cantagallo\Cristalina\[CRISTALINA_CF_SEC_New_09-Feb-2024.xlsx]D-PRB'!$BZ$44</t>
  </si>
  <si>
    <t>='C:\Users\jaime.benazar\Quorum Business Solutions\Ecopetrol Prometeo - Documents\Planning Space Implementation\3. Analysis &amp; Design\Design\FC22\DRR Jaime\Por presentar a ECP\Cantagallo\Cristalina\[CRISTALINA_CF_SEC_New_09-Feb-2024.xlsx]D-PRB'!$BZ$45</t>
  </si>
  <si>
    <t>='C:\Users\jaime.benazar\Quorum Business Solutions\Ecopetrol Prometeo - Documents\Planning Space Implementation\3. Analysis &amp; Design\Design\FC22\DRR Jaime\Por presentar a ECP\Cantagallo\Cristalina\[CRISTALINA_CF_SEC_New_09-Feb-2024.xlsx]D-PRB'!$BZ$46</t>
  </si>
  <si>
    <t>='C:\Users\jaime.benazar\Quorum Business Solutions\Ecopetrol Prometeo - Documents\Planning Space Implementation\3. Analysis &amp; Design\Design\FC22\DRR Jaime\Por presentar a ECP\Cantagallo\Cristalina\[CRISTALINA_CF_SEC_New_09-Feb-2024.xlsx]D-PRB'!$BZ$47</t>
  </si>
  <si>
    <t>='C:\Users\jaime.benazar\Quorum Business Solutions\Ecopetrol Prometeo - Documents\Planning Space Implementation\3. Analysis &amp; Design\Design\FC22\DRR Jaime\Por presentar a ECP\Cantagallo\Cristalina\[CRISTALINA_CF_SEC_New_09-Feb-2024.xlsx]D-PRB'!$BZ$48</t>
  </si>
  <si>
    <t>='C:\Users\jaime.benazar\Quorum Business Solutions\Ecopetrol Prometeo - Documents\Planning Space Implementation\3. Analysis &amp; Design\Design\FC22\DRR Jaime\Por presentar a ECP\Cantagallo\Cristalina\[CRISTALINA_CF_SEC_New_09-Feb-2024.xlsx]D-PS'!$BZ$12</t>
  </si>
  <si>
    <t>='C:\Users\jaime.benazar\Quorum Business Solutions\Ecopetrol Prometeo - Documents\Planning Space Implementation\3. Analysis &amp; Design\Design\FC22\DRR Jaime\Por presentar a ECP\Cantagallo\Cristalina\[CRISTALINA_CF_SEC_New_09-Feb-2024.xlsx]D-PS'!$BZ$13</t>
  </si>
  <si>
    <t>='C:\Users\jaime.benazar\Quorum Business Solutions\Ecopetrol Prometeo - Documents\Planning Space Implementation\3. Analysis &amp; Design\Design\FC22\DRR Jaime\Por presentar a ECP\Cantagallo\Cristalina\[CRISTALINA_CF_SEC_New_09-Feb-2024.xlsx]D-PS'!$BZ$14</t>
  </si>
  <si>
    <t>='C:\Users\jaime.benazar\Quorum Business Solutions\Ecopetrol Prometeo - Documents\Planning Space Implementation\3. Analysis &amp; Design\Design\FC22\DRR Jaime\Por presentar a ECP\Cantagallo\Cristalina\[CRISTALINA_CF_SEC_New_09-Feb-2024.xlsx]D-PS'!$BZ$15</t>
  </si>
  <si>
    <t>='C:\Users\jaime.benazar\Quorum Business Solutions\Ecopetrol Prometeo - Documents\Planning Space Implementation\3. Analysis &amp; Design\Design\FC22\DRR Jaime\Por presentar a ECP\Cantagallo\Cristalina\[CRISTALINA_CF_SEC_New_09-Feb-2024.xlsx]D-PS'!$BZ$16</t>
  </si>
  <si>
    <t>='C:\Users\jaime.benazar\Quorum Business Solutions\Ecopetrol Prometeo - Documents\Planning Space Implementation\3. Analysis &amp; Design\Design\FC22\DRR Jaime\Por presentar a ECP\Cantagallo\Cristalina\[CRISTALINA_CF_SEC_New_09-Feb-2024.xlsx]D-PS'!$BZ$17</t>
  </si>
  <si>
    <t>='C:\Users\jaime.benazar\Quorum Business Solutions\Ecopetrol Prometeo - Documents\Planning Space Implementation\3. Analysis &amp; Design\Design\FC22\DRR Jaime\Por presentar a ECP\Cantagallo\Cristalina\[CRISTALINA_CF_SEC_New_09-Feb-2024.xlsx]D-PS'!$BZ$18</t>
  </si>
  <si>
    <t>='C:\Users\jaime.benazar\Quorum Business Solutions\Ecopetrol Prometeo - Documents\Planning Space Implementation\3. Analysis &amp; Design\Design\FC22\DRR Jaime\Por presentar a ECP\Cantagallo\Cristalina\[CRISTALINA_CF_SEC_New_09-Feb-2024.xlsx]D-PS'!$BZ$19</t>
  </si>
  <si>
    <t>='C:\Users\jaime.benazar\Quorum Business Solutions\Ecopetrol Prometeo - Documents\Planning Space Implementation\3. Analysis &amp; Design\Design\FC22\DRR Jaime\Por presentar a ECP\Cantagallo\Cristalina\[CRISTALINA_CF_SEC_New_09-Feb-2024.xlsx]D-PS'!$BZ$20</t>
  </si>
  <si>
    <t>='C:\Users\jaime.benazar\Quorum Business Solutions\Ecopetrol Prometeo - Documents\Planning Space Implementation\3. Analysis &amp; Design\Design\FC22\DRR Jaime\Por presentar a ECP\Cantagallo\Cristalina\[CRISTALINA_CF_SEC_New_09-Feb-2024.xlsx]D-PS'!$BZ$21</t>
  </si>
  <si>
    <t>='C:\Users\jaime.benazar\Quorum Business Solutions\Ecopetrol Prometeo - Documents\Planning Space Implementation\3. Analysis &amp; Design\Design\FC22\DRR Jaime\Por presentar a ECP\Cantagallo\Cristalina\[CRISTALINA_CF_SEC_New_09-Feb-2024.xlsx]D-PS'!$BZ$22</t>
  </si>
  <si>
    <t>='C:\Users\jaime.benazar\Quorum Business Solutions\Ecopetrol Prometeo - Documents\Planning Space Implementation\3. Analysis &amp; Design\Design\FC22\DRR Jaime\Por presentar a ECP\Cantagallo\Cristalina\[CRISTALINA_CF_SEC_New_09-Feb-2024.xlsx]D-PS'!$BZ$23</t>
  </si>
  <si>
    <t>='C:\Users\jaime.benazar\Quorum Business Solutions\Ecopetrol Prometeo - Documents\Planning Space Implementation\3. Analysis &amp; Design\Design\FC22\DRR Jaime\Por presentar a ECP\Cantagallo\Cristalina\[CRISTALINA_CF_SEC_New_09-Feb-2024.xlsx]D-PS'!$BZ$24</t>
  </si>
  <si>
    <t>='C:\Users\jaime.benazar\Quorum Business Solutions\Ecopetrol Prometeo - Documents\Planning Space Implementation\3. Analysis &amp; Design\Design\FC22\DRR Jaime\Por presentar a ECP\Cantagallo\Cristalina\[CRISTALINA_CF_SEC_New_09-Feb-2024.xlsx]D-PS'!$BZ$25</t>
  </si>
  <si>
    <t>='C:\Users\jaime.benazar\Quorum Business Solutions\Ecopetrol Prometeo - Documents\Planning Space Implementation\3. Analysis &amp; Design\Design\FC22\DRR Jaime\Por presentar a ECP\Cantagallo\Cristalina\[CRISTALINA_CF_SEC_New_09-Feb-2024.xlsx]D-PS'!$BZ$26</t>
  </si>
  <si>
    <t>='C:\Users\jaime.benazar\Quorum Business Solutions\Ecopetrol Prometeo - Documents\Planning Space Implementation\3. Analysis &amp; Design\Design\FC22\DRR Jaime\Por presentar a ECP\Cantagallo\Cristalina\[CRISTALINA_CF_SEC_New_09-Feb-2024.xlsx]D-PS'!$BZ$27</t>
  </si>
  <si>
    <t>='C:\Users\jaime.benazar\Quorum Business Solutions\Ecopetrol Prometeo - Documents\Planning Space Implementation\3. Analysis &amp; Design\Design\FC22\DRR Jaime\Por presentar a ECP\Cantagallo\Cristalina\[CRISTALINA_CF_SEC_New_09-Feb-2024.xlsx]D-PS'!$BZ$28</t>
  </si>
  <si>
    <t>='C:\Users\jaime.benazar\Quorum Business Solutions\Ecopetrol Prometeo - Documents\Planning Space Implementation\3. Analysis &amp; Design\Design\FC22\DRR Jaime\Por presentar a ECP\Cantagallo\Cristalina\[CRISTALINA_CF_SEC_New_09-Feb-2024.xlsx]D-PS'!$BZ$29</t>
  </si>
  <si>
    <t>='C:\Users\jaime.benazar\Quorum Business Solutions\Ecopetrol Prometeo - Documents\Planning Space Implementation\3. Analysis &amp; Design\Design\FC22\DRR Jaime\Por presentar a ECP\Cantagallo\Cristalina\[CRISTALINA_CF_SEC_New_09-Feb-2024.xlsx]D-PS'!$BZ$30</t>
  </si>
  <si>
    <t>='C:\Users\jaime.benazar\Quorum Business Solutions\Ecopetrol Prometeo - Documents\Planning Space Implementation\3. Analysis &amp; Design\Design\FC22\DRR Jaime\Por presentar a ECP\Cantagallo\Cristalina\[CRISTALINA_CF_SEC_New_09-Feb-2024.xlsx]D-PS'!$BZ$31</t>
  </si>
  <si>
    <t>='C:\Users\jaime.benazar\Quorum Business Solutions\Ecopetrol Prometeo - Documents\Planning Space Implementation\3. Analysis &amp; Design\Design\FC22\DRR Jaime\Por presentar a ECP\Cantagallo\Cristalina\[CRISTALINA_CF_SEC_New_09-Feb-2024.xlsx]D-PS'!$BZ$32</t>
  </si>
  <si>
    <t>='C:\Users\jaime.benazar\Quorum Business Solutions\Ecopetrol Prometeo - Documents\Planning Space Implementation\3. Analysis &amp; Design\Design\FC22\DRR Jaime\Por presentar a ECP\Cantagallo\Cristalina\[CRISTALINA_CF_SEC_New_09-Feb-2024.xlsx]D-PS'!$BZ$33</t>
  </si>
  <si>
    <t>='C:\Users\jaime.benazar\Quorum Business Solutions\Ecopetrol Prometeo - Documents\Planning Space Implementation\3. Analysis &amp; Design\Design\FC22\DRR Jaime\Por presentar a ECP\Cantagallo\Cristalina\[CRISTALINA_CF_SEC_New_09-Feb-2024.xlsx]D-PS'!$BZ$34</t>
  </si>
  <si>
    <t>='C:\Users\jaime.benazar\Quorum Business Solutions\Ecopetrol Prometeo - Documents\Planning Space Implementation\3. Analysis &amp; Design\Design\FC22\DRR Jaime\Por presentar a ECP\Cantagallo\Cristalina\[CRISTALINA_CF_SEC_New_09-Feb-2024.xlsx]D-PS'!$BZ$35</t>
  </si>
  <si>
    <t>='C:\Users\jaime.benazar\Quorum Business Solutions\Ecopetrol Prometeo - Documents\Planning Space Implementation\3. Analysis &amp; Design\Design\FC22\DRR Jaime\Por presentar a ECP\Cantagallo\Cristalina\[CRISTALINA_CF_SEC_New_09-Feb-2024.xlsx]D-PS'!$BZ$36</t>
  </si>
  <si>
    <t>='C:\Users\jaime.benazar\Quorum Business Solutions\Ecopetrol Prometeo - Documents\Planning Space Implementation\3. Analysis &amp; Design\Design\FC22\DRR Jaime\Por presentar a ECP\Cantagallo\Cristalina\[CRISTALINA_CF_SEC_New_09-Feb-2024.xlsx]D-PS'!$BZ$37</t>
  </si>
  <si>
    <t>='C:\Users\jaime.benazar\Quorum Business Solutions\Ecopetrol Prometeo - Documents\Planning Space Implementation\3. Analysis &amp; Design\Design\FC22\DRR Jaime\Por presentar a ECP\Cantagallo\Cristalina\[CRISTALINA_CF_SEC_New_09-Feb-2024.xlsx]D-PS'!$BZ$38</t>
  </si>
  <si>
    <t>='C:\Users\jaime.benazar\Quorum Business Solutions\Ecopetrol Prometeo - Documents\Planning Space Implementation\3. Analysis &amp; Design\Design\FC22\DRR Jaime\Por presentar a ECP\Cantagallo\Cristalina\[CRISTALINA_CF_SEC_New_09-Feb-2024.xlsx]D-PS'!$BZ$39</t>
  </si>
  <si>
    <t>='C:\Users\jaime.benazar\Quorum Business Solutions\Ecopetrol Prometeo - Documents\Planning Space Implementation\3. Analysis &amp; Design\Design\FC22\DRR Jaime\Por presentar a ECP\Cantagallo\Cristalina\[CRISTALINA_CF_SEC_New_09-Feb-2024.xlsx]D-PS'!$BZ$40</t>
  </si>
  <si>
    <t>='C:\Users\jaime.benazar\Quorum Business Solutions\Ecopetrol Prometeo - Documents\Planning Space Implementation\3. Analysis &amp; Design\Design\FC22\DRR Jaime\Por presentar a ECP\Cantagallo\Cristalina\[CRISTALINA_CF_SEC_New_09-Feb-2024.xlsx]D-PS'!$BZ$41</t>
  </si>
  <si>
    <t>='C:\Users\jaime.benazar\Quorum Business Solutions\Ecopetrol Prometeo - Documents\Planning Space Implementation\3. Analysis &amp; Design\Design\FC22\DRR Jaime\Por presentar a ECP\Cantagallo\Cristalina\[CRISTALINA_CF_SEC_New_09-Feb-2024.xlsx]D-PS'!$BZ$42</t>
  </si>
  <si>
    <t>='C:\Users\jaime.benazar\Quorum Business Solutions\Ecopetrol Prometeo - Documents\Planning Space Implementation\3. Analysis &amp; Design\Design\FC22\DRR Jaime\Por presentar a ECP\Cantagallo\Cristalina\[CRISTALINA_CF_SEC_New_09-Feb-2024.xlsx]D-PS'!$BZ$43</t>
  </si>
  <si>
    <t>='C:\Users\jaime.benazar\Quorum Business Solutions\Ecopetrol Prometeo - Documents\Planning Space Implementation\3. Analysis &amp; Design\Design\FC22\DRR Jaime\Por presentar a ECP\Cantagallo\Cristalina\[CRISTALINA_CF_SEC_New_09-Feb-2024.xlsx]D-PS'!$BZ$44</t>
  </si>
  <si>
    <t>='C:\Users\jaime.benazar\Quorum Business Solutions\Ecopetrol Prometeo - Documents\Planning Space Implementation\3. Analysis &amp; Design\Design\FC22\DRR Jaime\Por presentar a ECP\Cantagallo\Cristalina\[CRISTALINA_CF_SEC_New_09-Feb-2024.xlsx]D-PS'!$BZ$45</t>
  </si>
  <si>
    <t>='C:\Users\jaime.benazar\Quorum Business Solutions\Ecopetrol Prometeo - Documents\Planning Space Implementation\3. Analysis &amp; Design\Design\FC22\DRR Jaime\Por presentar a ECP\Cantagallo\Cristalina\[CRISTALINA_CF_SEC_New_09-Feb-2024.xlsx]D-PS'!$BZ$46</t>
  </si>
  <si>
    <t>='C:\Users\jaime.benazar\Quorum Business Solutions\Ecopetrol Prometeo - Documents\Planning Space Implementation\3. Analysis &amp; Design\Design\FC22\DRR Jaime\Por presentar a ECP\Cantagallo\Cristalina\[CRISTALINA_CF_SEC_New_09-Feb-2024.xlsx]D-PS'!$BZ$47</t>
  </si>
  <si>
    <t>='C:\Users\jaime.benazar\Quorum Business Solutions\Ecopetrol Prometeo - Documents\Planning Space Implementation\3. Analysis &amp; Design\Design\FC22\DRR Jaime\Por presentar a ECP\Cantagallo\Cristalina\[CRISTALINA_CF_SEC_New_09-Feb-2024.xlsx]D-PS'!$BZ$48</t>
  </si>
  <si>
    <t>='C:\Users\jaime.benazar\Quorum Business Solutions\Ecopetrol Prometeo - Documents\Planning Space Implementation\3. Analysis &amp; Design\Design\FC22\DRR Jaime\Por presentar a ECP\Cantagallo\Cristalina\[CRISTALINA_CF_SEC_New_09-Feb-2024.xlsx]D-PDP'!$CA$12</t>
  </si>
  <si>
    <t>='C:\Users\jaime.benazar\Quorum Business Solutions\Ecopetrol Prometeo - Documents\Planning Space Implementation\3. Analysis &amp; Design\Design\FC22\DRR Jaime\Por presentar a ECP\Cantagallo\Cristalina\[CRISTALINA_CF_SEC_New_09-Feb-2024.xlsx]D-PDP'!$CA$13</t>
  </si>
  <si>
    <t>='C:\Users\jaime.benazar\Quorum Business Solutions\Ecopetrol Prometeo - Documents\Planning Space Implementation\3. Analysis &amp; Design\Design\FC22\DRR Jaime\Por presentar a ECP\Cantagallo\Cristalina\[CRISTALINA_CF_SEC_New_09-Feb-2024.xlsx]D-PDP'!$CA$14</t>
  </si>
  <si>
    <t>='C:\Users\jaime.benazar\Quorum Business Solutions\Ecopetrol Prometeo - Documents\Planning Space Implementation\3. Analysis &amp; Design\Design\FC22\DRR Jaime\Por presentar a ECP\Cantagallo\Cristalina\[CRISTALINA_CF_SEC_New_09-Feb-2024.xlsx]D-PDP'!$CA$15</t>
  </si>
  <si>
    <t>='C:\Users\jaime.benazar\Quorum Business Solutions\Ecopetrol Prometeo - Documents\Planning Space Implementation\3. Analysis &amp; Design\Design\FC22\DRR Jaime\Por presentar a ECP\Cantagallo\Cristalina\[CRISTALINA_CF_SEC_New_09-Feb-2024.xlsx]D-PDP'!$CA$16</t>
  </si>
  <si>
    <t>='C:\Users\jaime.benazar\Quorum Business Solutions\Ecopetrol Prometeo - Documents\Planning Space Implementation\3. Analysis &amp; Design\Design\FC22\DRR Jaime\Por presentar a ECP\Cantagallo\Cristalina\[CRISTALINA_CF_SEC_New_09-Feb-2024.xlsx]D-PDP'!$CA$17</t>
  </si>
  <si>
    <t>='C:\Users\jaime.benazar\Quorum Business Solutions\Ecopetrol Prometeo - Documents\Planning Space Implementation\3. Analysis &amp; Design\Design\FC22\DRR Jaime\Por presentar a ECP\Cantagallo\Cristalina\[CRISTALINA_CF_SEC_New_09-Feb-2024.xlsx]D-PDP'!$CA$18</t>
  </si>
  <si>
    <t>='C:\Users\jaime.benazar\Quorum Business Solutions\Ecopetrol Prometeo - Documents\Planning Space Implementation\3. Analysis &amp; Design\Design\FC22\DRR Jaime\Por presentar a ECP\Cantagallo\Cristalina\[CRISTALINA_CF_SEC_New_09-Feb-2024.xlsx]D-PDP'!$CA$19</t>
  </si>
  <si>
    <t>='C:\Users\jaime.benazar\Quorum Business Solutions\Ecopetrol Prometeo - Documents\Planning Space Implementation\3. Analysis &amp; Design\Design\FC22\DRR Jaime\Por presentar a ECP\Cantagallo\Cristalina\[CRISTALINA_CF_SEC_New_09-Feb-2024.xlsx]D-PDP'!$CA$20</t>
  </si>
  <si>
    <t>='C:\Users\jaime.benazar\Quorum Business Solutions\Ecopetrol Prometeo - Documents\Planning Space Implementation\3. Analysis &amp; Design\Design\FC22\DRR Jaime\Por presentar a ECP\Cantagallo\Cristalina\[CRISTALINA_CF_SEC_New_09-Feb-2024.xlsx]D-PDP'!$CA$21</t>
  </si>
  <si>
    <t>='C:\Users\jaime.benazar\Quorum Business Solutions\Ecopetrol Prometeo - Documents\Planning Space Implementation\3. Analysis &amp; Design\Design\FC22\DRR Jaime\Por presentar a ECP\Cantagallo\Cristalina\[CRISTALINA_CF_SEC_New_09-Feb-2024.xlsx]D-PDP'!$CA$22</t>
  </si>
  <si>
    <t>='C:\Users\jaime.benazar\Quorum Business Solutions\Ecopetrol Prometeo - Documents\Planning Space Implementation\3. Analysis &amp; Design\Design\FC22\DRR Jaime\Por presentar a ECP\Cantagallo\Cristalina\[CRISTALINA_CF_SEC_New_09-Feb-2024.xlsx]D-PDP'!$CA$23</t>
  </si>
  <si>
    <t>='C:\Users\jaime.benazar\Quorum Business Solutions\Ecopetrol Prometeo - Documents\Planning Space Implementation\3. Analysis &amp; Design\Design\FC22\DRR Jaime\Por presentar a ECP\Cantagallo\Cristalina\[CRISTALINA_CF_SEC_New_09-Feb-2024.xlsx]D-PDP'!$CA$24</t>
  </si>
  <si>
    <t>='C:\Users\jaime.benazar\Quorum Business Solutions\Ecopetrol Prometeo - Documents\Planning Space Implementation\3. Analysis &amp; Design\Design\FC22\DRR Jaime\Por presentar a ECP\Cantagallo\Cristalina\[CRISTALINA_CF_SEC_New_09-Feb-2024.xlsx]D-PDP'!$CA$25</t>
  </si>
  <si>
    <t>='C:\Users\jaime.benazar\Quorum Business Solutions\Ecopetrol Prometeo - Documents\Planning Space Implementation\3. Analysis &amp; Design\Design\FC22\DRR Jaime\Por presentar a ECP\Cantagallo\Cristalina\[CRISTALINA_CF_SEC_New_09-Feb-2024.xlsx]D-PDP'!$CA$26</t>
  </si>
  <si>
    <t>='C:\Users\jaime.benazar\Quorum Business Solutions\Ecopetrol Prometeo - Documents\Planning Space Implementation\3. Analysis &amp; Design\Design\FC22\DRR Jaime\Por presentar a ECP\Cantagallo\Cristalina\[CRISTALINA_CF_SEC_New_09-Feb-2024.xlsx]D-PDP'!$CA$27</t>
  </si>
  <si>
    <t>='C:\Users\jaime.benazar\Quorum Business Solutions\Ecopetrol Prometeo - Documents\Planning Space Implementation\3. Analysis &amp; Design\Design\FC22\DRR Jaime\Por presentar a ECP\Cantagallo\Cristalina\[CRISTALINA_CF_SEC_New_09-Feb-2024.xlsx]D-PDP'!$CA$28</t>
  </si>
  <si>
    <t>='C:\Users\jaime.benazar\Quorum Business Solutions\Ecopetrol Prometeo - Documents\Planning Space Implementation\3. Analysis &amp; Design\Design\FC22\DRR Jaime\Por presentar a ECP\Cantagallo\Cristalina\[CRISTALINA_CF_SEC_New_09-Feb-2024.xlsx]D-PDP'!$CA$29</t>
  </si>
  <si>
    <t>='C:\Users\jaime.benazar\Quorum Business Solutions\Ecopetrol Prometeo - Documents\Planning Space Implementation\3. Analysis &amp; Design\Design\FC22\DRR Jaime\Por presentar a ECP\Cantagallo\Cristalina\[CRISTALINA_CF_SEC_New_09-Feb-2024.xlsx]D-PDP'!$CA$30</t>
  </si>
  <si>
    <t>='C:\Users\jaime.benazar\Quorum Business Solutions\Ecopetrol Prometeo - Documents\Planning Space Implementation\3. Analysis &amp; Design\Design\FC22\DRR Jaime\Por presentar a ECP\Cantagallo\Cristalina\[CRISTALINA_CF_SEC_New_09-Feb-2024.xlsx]D-PDP'!$CA$31</t>
  </si>
  <si>
    <t>='C:\Users\jaime.benazar\Quorum Business Solutions\Ecopetrol Prometeo - Documents\Planning Space Implementation\3. Analysis &amp; Design\Design\FC22\DRR Jaime\Por presentar a ECP\Cantagallo\Cristalina\[CRISTALINA_CF_SEC_New_09-Feb-2024.xlsx]D-PDP'!$CA$32</t>
  </si>
  <si>
    <t>='C:\Users\jaime.benazar\Quorum Business Solutions\Ecopetrol Prometeo - Documents\Planning Space Implementation\3. Analysis &amp; Design\Design\FC22\DRR Jaime\Por presentar a ECP\Cantagallo\Cristalina\[CRISTALINA_CF_SEC_New_09-Feb-2024.xlsx]D-PDP'!$CA$33</t>
  </si>
  <si>
    <t>='C:\Users\jaime.benazar\Quorum Business Solutions\Ecopetrol Prometeo - Documents\Planning Space Implementation\3. Analysis &amp; Design\Design\FC22\DRR Jaime\Por presentar a ECP\Cantagallo\Cristalina\[CRISTALINA_CF_SEC_New_09-Feb-2024.xlsx]D-PDP'!$CA$34</t>
  </si>
  <si>
    <t>='C:\Users\jaime.benazar\Quorum Business Solutions\Ecopetrol Prometeo - Documents\Planning Space Implementation\3. Analysis &amp; Design\Design\FC22\DRR Jaime\Por presentar a ECP\Cantagallo\Cristalina\[CRISTALINA_CF_SEC_New_09-Feb-2024.xlsx]D-PDP'!$CA$35</t>
  </si>
  <si>
    <t>='C:\Users\jaime.benazar\Quorum Business Solutions\Ecopetrol Prometeo - Documents\Planning Space Implementation\3. Analysis &amp; Design\Design\FC22\DRR Jaime\Por presentar a ECP\Cantagallo\Cristalina\[CRISTALINA_CF_SEC_New_09-Feb-2024.xlsx]D-PDP'!$CA$36</t>
  </si>
  <si>
    <t>='C:\Users\jaime.benazar\Quorum Business Solutions\Ecopetrol Prometeo - Documents\Planning Space Implementation\3. Analysis &amp; Design\Design\FC22\DRR Jaime\Por presentar a ECP\Cantagallo\Cristalina\[CRISTALINA_CF_SEC_New_09-Feb-2024.xlsx]D-PDP'!$CA$37</t>
  </si>
  <si>
    <t>='C:\Users\jaime.benazar\Quorum Business Solutions\Ecopetrol Prometeo - Documents\Planning Space Implementation\3. Analysis &amp; Design\Design\FC22\DRR Jaime\Por presentar a ECP\Cantagallo\Cristalina\[CRISTALINA_CF_SEC_New_09-Feb-2024.xlsx]D-PDP'!$CA$38</t>
  </si>
  <si>
    <t>='C:\Users\jaime.benazar\Quorum Business Solutions\Ecopetrol Prometeo - Documents\Planning Space Implementation\3. Analysis &amp; Design\Design\FC22\DRR Jaime\Por presentar a ECP\Cantagallo\Cristalina\[CRISTALINA_CF_SEC_New_09-Feb-2024.xlsx]D-PDP'!$CA$39</t>
  </si>
  <si>
    <t>='C:\Users\jaime.benazar\Quorum Business Solutions\Ecopetrol Prometeo - Documents\Planning Space Implementation\3. Analysis &amp; Design\Design\FC22\DRR Jaime\Por presentar a ECP\Cantagallo\Cristalina\[CRISTALINA_CF_SEC_New_09-Feb-2024.xlsx]D-PDP'!$CA$40</t>
  </si>
  <si>
    <t>='C:\Users\jaime.benazar\Quorum Business Solutions\Ecopetrol Prometeo - Documents\Planning Space Implementation\3. Analysis &amp; Design\Design\FC22\DRR Jaime\Por presentar a ECP\Cantagallo\Cristalina\[CRISTALINA_CF_SEC_New_09-Feb-2024.xlsx]D-PDP'!$CA$41</t>
  </si>
  <si>
    <t>='C:\Users\jaime.benazar\Quorum Business Solutions\Ecopetrol Prometeo - Documents\Planning Space Implementation\3. Analysis &amp; Design\Design\FC22\DRR Jaime\Por presentar a ECP\Cantagallo\Cristalina\[CRISTALINA_CF_SEC_New_09-Feb-2024.xlsx]D-PDP'!$CA$42</t>
  </si>
  <si>
    <t>='C:\Users\jaime.benazar\Quorum Business Solutions\Ecopetrol Prometeo - Documents\Planning Space Implementation\3. Analysis &amp; Design\Design\FC22\DRR Jaime\Por presentar a ECP\Cantagallo\Cristalina\[CRISTALINA_CF_SEC_New_09-Feb-2024.xlsx]D-PDP'!$CA$43</t>
  </si>
  <si>
    <t>='C:\Users\jaime.benazar\Quorum Business Solutions\Ecopetrol Prometeo - Documents\Planning Space Implementation\3. Analysis &amp; Design\Design\FC22\DRR Jaime\Por presentar a ECP\Cantagallo\Cristalina\[CRISTALINA_CF_SEC_New_09-Feb-2024.xlsx]D-PDP'!$CA$44</t>
  </si>
  <si>
    <t>='C:\Users\jaime.benazar\Quorum Business Solutions\Ecopetrol Prometeo - Documents\Planning Space Implementation\3. Analysis &amp; Design\Design\FC22\DRR Jaime\Por presentar a ECP\Cantagallo\Cristalina\[CRISTALINA_CF_SEC_New_09-Feb-2024.xlsx]D-PDP'!$CA$45</t>
  </si>
  <si>
    <t>='C:\Users\jaime.benazar\Quorum Business Solutions\Ecopetrol Prometeo - Documents\Planning Space Implementation\3. Analysis &amp; Design\Design\FC22\DRR Jaime\Por presentar a ECP\Cantagallo\Cristalina\[CRISTALINA_CF_SEC_New_09-Feb-2024.xlsx]D-PDP'!$CA$46</t>
  </si>
  <si>
    <t>='C:\Users\jaime.benazar\Quorum Business Solutions\Ecopetrol Prometeo - Documents\Planning Space Implementation\3. Analysis &amp; Design\Design\FC22\DRR Jaime\Por presentar a ECP\Cantagallo\Cristalina\[CRISTALINA_CF_SEC_New_09-Feb-2024.xlsx]D-PDP'!$CA$47</t>
  </si>
  <si>
    <t>='C:\Users\jaime.benazar\Quorum Business Solutions\Ecopetrol Prometeo - Documents\Planning Space Implementation\3. Analysis &amp; Design\Design\FC22\DRR Jaime\Por presentar a ECP\Cantagallo\Cristalina\[CRISTALINA_CF_SEC_New_09-Feb-2024.xlsx]D-PDP'!$CA$48</t>
  </si>
  <si>
    <t>='C:\Users\jaime.benazar\Quorum Business Solutions\Ecopetrol Prometeo - Documents\Planning Space Implementation\3. Analysis &amp; Design\Design\FC22\DRR Jaime\Por presentar a ECP\Cantagallo\Cristalina\[CRISTALINA_CF_SEC_New_09-Feb-2024.xlsx]D-PNP'!$CA$12</t>
  </si>
  <si>
    <t>='C:\Users\jaime.benazar\Quorum Business Solutions\Ecopetrol Prometeo - Documents\Planning Space Implementation\3. Analysis &amp; Design\Design\FC22\DRR Jaime\Por presentar a ECP\Cantagallo\Cristalina\[CRISTALINA_CF_SEC_New_09-Feb-2024.xlsx]D-PNP'!$CA$13</t>
  </si>
  <si>
    <t>='C:\Users\jaime.benazar\Quorum Business Solutions\Ecopetrol Prometeo - Documents\Planning Space Implementation\3. Analysis &amp; Design\Design\FC22\DRR Jaime\Por presentar a ECP\Cantagallo\Cristalina\[CRISTALINA_CF_SEC_New_09-Feb-2024.xlsx]D-PNP'!$CA$14</t>
  </si>
  <si>
    <t>='C:\Users\jaime.benazar\Quorum Business Solutions\Ecopetrol Prometeo - Documents\Planning Space Implementation\3. Analysis &amp; Design\Design\FC22\DRR Jaime\Por presentar a ECP\Cantagallo\Cristalina\[CRISTALINA_CF_SEC_New_09-Feb-2024.xlsx]D-PNP'!$CA$15</t>
  </si>
  <si>
    <t>='C:\Users\jaime.benazar\Quorum Business Solutions\Ecopetrol Prometeo - Documents\Planning Space Implementation\3. Analysis &amp; Design\Design\FC22\DRR Jaime\Por presentar a ECP\Cantagallo\Cristalina\[CRISTALINA_CF_SEC_New_09-Feb-2024.xlsx]D-PNP'!$CA$16</t>
  </si>
  <si>
    <t>='C:\Users\jaime.benazar\Quorum Business Solutions\Ecopetrol Prometeo - Documents\Planning Space Implementation\3. Analysis &amp; Design\Design\FC22\DRR Jaime\Por presentar a ECP\Cantagallo\Cristalina\[CRISTALINA_CF_SEC_New_09-Feb-2024.xlsx]D-PNP'!$CA$17</t>
  </si>
  <si>
    <t>='C:\Users\jaime.benazar\Quorum Business Solutions\Ecopetrol Prometeo - Documents\Planning Space Implementation\3. Analysis &amp; Design\Design\FC22\DRR Jaime\Por presentar a ECP\Cantagallo\Cristalina\[CRISTALINA_CF_SEC_New_09-Feb-2024.xlsx]D-PNP'!$CA$18</t>
  </si>
  <si>
    <t>='C:\Users\jaime.benazar\Quorum Business Solutions\Ecopetrol Prometeo - Documents\Planning Space Implementation\3. Analysis &amp; Design\Design\FC22\DRR Jaime\Por presentar a ECP\Cantagallo\Cristalina\[CRISTALINA_CF_SEC_New_09-Feb-2024.xlsx]D-PNP'!$CA$19</t>
  </si>
  <si>
    <t>='C:\Users\jaime.benazar\Quorum Business Solutions\Ecopetrol Prometeo - Documents\Planning Space Implementation\3. Analysis &amp; Design\Design\FC22\DRR Jaime\Por presentar a ECP\Cantagallo\Cristalina\[CRISTALINA_CF_SEC_New_09-Feb-2024.xlsx]D-PNP'!$CA$20</t>
  </si>
  <si>
    <t>='C:\Users\jaime.benazar\Quorum Business Solutions\Ecopetrol Prometeo - Documents\Planning Space Implementation\3. Analysis &amp; Design\Design\FC22\DRR Jaime\Por presentar a ECP\Cantagallo\Cristalina\[CRISTALINA_CF_SEC_New_09-Feb-2024.xlsx]D-PNP'!$CA$21</t>
  </si>
  <si>
    <t>='C:\Users\jaime.benazar\Quorum Business Solutions\Ecopetrol Prometeo - Documents\Planning Space Implementation\3. Analysis &amp; Design\Design\FC22\DRR Jaime\Por presentar a ECP\Cantagallo\Cristalina\[CRISTALINA_CF_SEC_New_09-Feb-2024.xlsx]D-PNP'!$CA$22</t>
  </si>
  <si>
    <t>='C:\Users\jaime.benazar\Quorum Business Solutions\Ecopetrol Prometeo - Documents\Planning Space Implementation\3. Analysis &amp; Design\Design\FC22\DRR Jaime\Por presentar a ECP\Cantagallo\Cristalina\[CRISTALINA_CF_SEC_New_09-Feb-2024.xlsx]D-PNP'!$CA$23</t>
  </si>
  <si>
    <t>='C:\Users\jaime.benazar\Quorum Business Solutions\Ecopetrol Prometeo - Documents\Planning Space Implementation\3. Analysis &amp; Design\Design\FC22\DRR Jaime\Por presentar a ECP\Cantagallo\Cristalina\[CRISTALINA_CF_SEC_New_09-Feb-2024.xlsx]D-PNP'!$CA$24</t>
  </si>
  <si>
    <t>='C:\Users\jaime.benazar\Quorum Business Solutions\Ecopetrol Prometeo - Documents\Planning Space Implementation\3. Analysis &amp; Design\Design\FC22\DRR Jaime\Por presentar a ECP\Cantagallo\Cristalina\[CRISTALINA_CF_SEC_New_09-Feb-2024.xlsx]D-PNP'!$CA$25</t>
  </si>
  <si>
    <t>='C:\Users\jaime.benazar\Quorum Business Solutions\Ecopetrol Prometeo - Documents\Planning Space Implementation\3. Analysis &amp; Design\Design\FC22\DRR Jaime\Por presentar a ECP\Cantagallo\Cristalina\[CRISTALINA_CF_SEC_New_09-Feb-2024.xlsx]D-PNP'!$CA$26</t>
  </si>
  <si>
    <t>='C:\Users\jaime.benazar\Quorum Business Solutions\Ecopetrol Prometeo - Documents\Planning Space Implementation\3. Analysis &amp; Design\Design\FC22\DRR Jaime\Por presentar a ECP\Cantagallo\Cristalina\[CRISTALINA_CF_SEC_New_09-Feb-2024.xlsx]D-PNP'!$CA$27</t>
  </si>
  <si>
    <t>='C:\Users\jaime.benazar\Quorum Business Solutions\Ecopetrol Prometeo - Documents\Planning Space Implementation\3. Analysis &amp; Design\Design\FC22\DRR Jaime\Por presentar a ECP\Cantagallo\Cristalina\[CRISTALINA_CF_SEC_New_09-Feb-2024.xlsx]D-PNP'!$CA$28</t>
  </si>
  <si>
    <t>='C:\Users\jaime.benazar\Quorum Business Solutions\Ecopetrol Prometeo - Documents\Planning Space Implementation\3. Analysis &amp; Design\Design\FC22\DRR Jaime\Por presentar a ECP\Cantagallo\Cristalina\[CRISTALINA_CF_SEC_New_09-Feb-2024.xlsx]D-PNP'!$CA$29</t>
  </si>
  <si>
    <t>='C:\Users\jaime.benazar\Quorum Business Solutions\Ecopetrol Prometeo - Documents\Planning Space Implementation\3. Analysis &amp; Design\Design\FC22\DRR Jaime\Por presentar a ECP\Cantagallo\Cristalina\[CRISTALINA_CF_SEC_New_09-Feb-2024.xlsx]D-PNP'!$CA$30</t>
  </si>
  <si>
    <t>='C:\Users\jaime.benazar\Quorum Business Solutions\Ecopetrol Prometeo - Documents\Planning Space Implementation\3. Analysis &amp; Design\Design\FC22\DRR Jaime\Por presentar a ECP\Cantagallo\Cristalina\[CRISTALINA_CF_SEC_New_09-Feb-2024.xlsx]D-PNP'!$CA$31</t>
  </si>
  <si>
    <t>='C:\Users\jaime.benazar\Quorum Business Solutions\Ecopetrol Prometeo - Documents\Planning Space Implementation\3. Analysis &amp; Design\Design\FC22\DRR Jaime\Por presentar a ECP\Cantagallo\Cristalina\[CRISTALINA_CF_SEC_New_09-Feb-2024.xlsx]D-PNP'!$CA$32</t>
  </si>
  <si>
    <t>='C:\Users\jaime.benazar\Quorum Business Solutions\Ecopetrol Prometeo - Documents\Planning Space Implementation\3. Analysis &amp; Design\Design\FC22\DRR Jaime\Por presentar a ECP\Cantagallo\Cristalina\[CRISTALINA_CF_SEC_New_09-Feb-2024.xlsx]D-PNP'!$CA$33</t>
  </si>
  <si>
    <t>='C:\Users\jaime.benazar\Quorum Business Solutions\Ecopetrol Prometeo - Documents\Planning Space Implementation\3. Analysis &amp; Design\Design\FC22\DRR Jaime\Por presentar a ECP\Cantagallo\Cristalina\[CRISTALINA_CF_SEC_New_09-Feb-2024.xlsx]D-PNP'!$CA$34</t>
  </si>
  <si>
    <t>='C:\Users\jaime.benazar\Quorum Business Solutions\Ecopetrol Prometeo - Documents\Planning Space Implementation\3. Analysis &amp; Design\Design\FC22\DRR Jaime\Por presentar a ECP\Cantagallo\Cristalina\[CRISTALINA_CF_SEC_New_09-Feb-2024.xlsx]D-PNP'!$CA$35</t>
  </si>
  <si>
    <t>='C:\Users\jaime.benazar\Quorum Business Solutions\Ecopetrol Prometeo - Documents\Planning Space Implementation\3. Analysis &amp; Design\Design\FC22\DRR Jaime\Por presentar a ECP\Cantagallo\Cristalina\[CRISTALINA_CF_SEC_New_09-Feb-2024.xlsx]D-PNP'!$CA$36</t>
  </si>
  <si>
    <t>='C:\Users\jaime.benazar\Quorum Business Solutions\Ecopetrol Prometeo - Documents\Planning Space Implementation\3. Analysis &amp; Design\Design\FC22\DRR Jaime\Por presentar a ECP\Cantagallo\Cristalina\[CRISTALINA_CF_SEC_New_09-Feb-2024.xlsx]D-PNP'!$CA$37</t>
  </si>
  <si>
    <t>='C:\Users\jaime.benazar\Quorum Business Solutions\Ecopetrol Prometeo - Documents\Planning Space Implementation\3. Analysis &amp; Design\Design\FC22\DRR Jaime\Por presentar a ECP\Cantagallo\Cristalina\[CRISTALINA_CF_SEC_New_09-Feb-2024.xlsx]D-PNP'!$CA$38</t>
  </si>
  <si>
    <t>='C:\Users\jaime.benazar\Quorum Business Solutions\Ecopetrol Prometeo - Documents\Planning Space Implementation\3. Analysis &amp; Design\Design\FC22\DRR Jaime\Por presentar a ECP\Cantagallo\Cristalina\[CRISTALINA_CF_SEC_New_09-Feb-2024.xlsx]D-PNP'!$CA$39</t>
  </si>
  <si>
    <t>='C:\Users\jaime.benazar\Quorum Business Solutions\Ecopetrol Prometeo - Documents\Planning Space Implementation\3. Analysis &amp; Design\Design\FC22\DRR Jaime\Por presentar a ECP\Cantagallo\Cristalina\[CRISTALINA_CF_SEC_New_09-Feb-2024.xlsx]D-PNP'!$CA$40</t>
  </si>
  <si>
    <t>='C:\Users\jaime.benazar\Quorum Business Solutions\Ecopetrol Prometeo - Documents\Planning Space Implementation\3. Analysis &amp; Design\Design\FC22\DRR Jaime\Por presentar a ECP\Cantagallo\Cristalina\[CRISTALINA_CF_SEC_New_09-Feb-2024.xlsx]D-PNP'!$CA$41</t>
  </si>
  <si>
    <t>='C:\Users\jaime.benazar\Quorum Business Solutions\Ecopetrol Prometeo - Documents\Planning Space Implementation\3. Analysis &amp; Design\Design\FC22\DRR Jaime\Por presentar a ECP\Cantagallo\Cristalina\[CRISTALINA_CF_SEC_New_09-Feb-2024.xlsx]D-PNP'!$CA$42</t>
  </si>
  <si>
    <t>='C:\Users\jaime.benazar\Quorum Business Solutions\Ecopetrol Prometeo - Documents\Planning Space Implementation\3. Analysis &amp; Design\Design\FC22\DRR Jaime\Por presentar a ECP\Cantagallo\Cristalina\[CRISTALINA_CF_SEC_New_09-Feb-2024.xlsx]D-PNP'!$CA$43</t>
  </si>
  <si>
    <t>='C:\Users\jaime.benazar\Quorum Business Solutions\Ecopetrol Prometeo - Documents\Planning Space Implementation\3. Analysis &amp; Design\Design\FC22\DRR Jaime\Por presentar a ECP\Cantagallo\Cristalina\[CRISTALINA_CF_SEC_New_09-Feb-2024.xlsx]D-PNP'!$CA$44</t>
  </si>
  <si>
    <t>='C:\Users\jaime.benazar\Quorum Business Solutions\Ecopetrol Prometeo - Documents\Planning Space Implementation\3. Analysis &amp; Design\Design\FC22\DRR Jaime\Por presentar a ECP\Cantagallo\Cristalina\[CRISTALINA_CF_SEC_New_09-Feb-2024.xlsx]D-PNP'!$CA$45</t>
  </si>
  <si>
    <t>='C:\Users\jaime.benazar\Quorum Business Solutions\Ecopetrol Prometeo - Documents\Planning Space Implementation\3. Analysis &amp; Design\Design\FC22\DRR Jaime\Por presentar a ECP\Cantagallo\Cristalina\[CRISTALINA_CF_SEC_New_09-Feb-2024.xlsx]D-PNP'!$CA$46</t>
  </si>
  <si>
    <t>='C:\Users\jaime.benazar\Quorum Business Solutions\Ecopetrol Prometeo - Documents\Planning Space Implementation\3. Analysis &amp; Design\Design\FC22\DRR Jaime\Por presentar a ECP\Cantagallo\Cristalina\[CRISTALINA_CF_SEC_New_09-Feb-2024.xlsx]D-PNP'!$CA$47</t>
  </si>
  <si>
    <t>='C:\Users\jaime.benazar\Quorum Business Solutions\Ecopetrol Prometeo - Documents\Planning Space Implementation\3. Analysis &amp; Design\Design\FC22\DRR Jaime\Por presentar a ECP\Cantagallo\Cristalina\[CRISTALINA_CF_SEC_New_09-Feb-2024.xlsx]D-PNP'!$CA$48</t>
  </si>
  <si>
    <t>='C:\Users\jaime.benazar\Quorum Business Solutions\Ecopetrol Prometeo - Documents\Planning Space Implementation\3. Analysis &amp; Design\Design\FC22\DRR Jaime\Por presentar a ECP\Cantagallo\Cristalina\[CRISTALINA_CF_SEC_New_09-Feb-2024.xlsx]D-PND'!$CA$12</t>
  </si>
  <si>
    <t>='C:\Users\jaime.benazar\Quorum Business Solutions\Ecopetrol Prometeo - Documents\Planning Space Implementation\3. Analysis &amp; Design\Design\FC22\DRR Jaime\Por presentar a ECP\Cantagallo\Cristalina\[CRISTALINA_CF_SEC_New_09-Feb-2024.xlsx]D-PND'!$CA$13</t>
  </si>
  <si>
    <t>='C:\Users\jaime.benazar\Quorum Business Solutions\Ecopetrol Prometeo - Documents\Planning Space Implementation\3. Analysis &amp; Design\Design\FC22\DRR Jaime\Por presentar a ECP\Cantagallo\Cristalina\[CRISTALINA_CF_SEC_New_09-Feb-2024.xlsx]D-PND'!$CA$14</t>
  </si>
  <si>
    <t>='C:\Users\jaime.benazar\Quorum Business Solutions\Ecopetrol Prometeo - Documents\Planning Space Implementation\3. Analysis &amp; Design\Design\FC22\DRR Jaime\Por presentar a ECP\Cantagallo\Cristalina\[CRISTALINA_CF_SEC_New_09-Feb-2024.xlsx]D-PND'!$CA$15</t>
  </si>
  <si>
    <t>='C:\Users\jaime.benazar\Quorum Business Solutions\Ecopetrol Prometeo - Documents\Planning Space Implementation\3. Analysis &amp; Design\Design\FC22\DRR Jaime\Por presentar a ECP\Cantagallo\Cristalina\[CRISTALINA_CF_SEC_New_09-Feb-2024.xlsx]D-PND'!$CA$16</t>
  </si>
  <si>
    <t>='C:\Users\jaime.benazar\Quorum Business Solutions\Ecopetrol Prometeo - Documents\Planning Space Implementation\3. Analysis &amp; Design\Design\FC22\DRR Jaime\Por presentar a ECP\Cantagallo\Cristalina\[CRISTALINA_CF_SEC_New_09-Feb-2024.xlsx]D-PND'!$CA$17</t>
  </si>
  <si>
    <t>='C:\Users\jaime.benazar\Quorum Business Solutions\Ecopetrol Prometeo - Documents\Planning Space Implementation\3. Analysis &amp; Design\Design\FC22\DRR Jaime\Por presentar a ECP\Cantagallo\Cristalina\[CRISTALINA_CF_SEC_New_09-Feb-2024.xlsx]D-PND'!$CA$18</t>
  </si>
  <si>
    <t>='C:\Users\jaime.benazar\Quorum Business Solutions\Ecopetrol Prometeo - Documents\Planning Space Implementation\3. Analysis &amp; Design\Design\FC22\DRR Jaime\Por presentar a ECP\Cantagallo\Cristalina\[CRISTALINA_CF_SEC_New_09-Feb-2024.xlsx]D-PND'!$CA$19</t>
  </si>
  <si>
    <t>='C:\Users\jaime.benazar\Quorum Business Solutions\Ecopetrol Prometeo - Documents\Planning Space Implementation\3. Analysis &amp; Design\Design\FC22\DRR Jaime\Por presentar a ECP\Cantagallo\Cristalina\[CRISTALINA_CF_SEC_New_09-Feb-2024.xlsx]D-PND'!$CA$20</t>
  </si>
  <si>
    <t>='C:\Users\jaime.benazar\Quorum Business Solutions\Ecopetrol Prometeo - Documents\Planning Space Implementation\3. Analysis &amp; Design\Design\FC22\DRR Jaime\Por presentar a ECP\Cantagallo\Cristalina\[CRISTALINA_CF_SEC_New_09-Feb-2024.xlsx]D-PND'!$CA$21</t>
  </si>
  <si>
    <t>='C:\Users\jaime.benazar\Quorum Business Solutions\Ecopetrol Prometeo - Documents\Planning Space Implementation\3. Analysis &amp; Design\Design\FC22\DRR Jaime\Por presentar a ECP\Cantagallo\Cristalina\[CRISTALINA_CF_SEC_New_09-Feb-2024.xlsx]D-PND'!$CA$22</t>
  </si>
  <si>
    <t>='C:\Users\jaime.benazar\Quorum Business Solutions\Ecopetrol Prometeo - Documents\Planning Space Implementation\3. Analysis &amp; Design\Design\FC22\DRR Jaime\Por presentar a ECP\Cantagallo\Cristalina\[CRISTALINA_CF_SEC_New_09-Feb-2024.xlsx]D-PND'!$CA$23</t>
  </si>
  <si>
    <t>='C:\Users\jaime.benazar\Quorum Business Solutions\Ecopetrol Prometeo - Documents\Planning Space Implementation\3. Analysis &amp; Design\Design\FC22\DRR Jaime\Por presentar a ECP\Cantagallo\Cristalina\[CRISTALINA_CF_SEC_New_09-Feb-2024.xlsx]D-PND'!$CA$24</t>
  </si>
  <si>
    <t>='C:\Users\jaime.benazar\Quorum Business Solutions\Ecopetrol Prometeo - Documents\Planning Space Implementation\3. Analysis &amp; Design\Design\FC22\DRR Jaime\Por presentar a ECP\Cantagallo\Cristalina\[CRISTALINA_CF_SEC_New_09-Feb-2024.xlsx]D-PND'!$CA$25</t>
  </si>
  <si>
    <t>='C:\Users\jaime.benazar\Quorum Business Solutions\Ecopetrol Prometeo - Documents\Planning Space Implementation\3. Analysis &amp; Design\Design\FC22\DRR Jaime\Por presentar a ECP\Cantagallo\Cristalina\[CRISTALINA_CF_SEC_New_09-Feb-2024.xlsx]D-PND'!$CA$26</t>
  </si>
  <si>
    <t>='C:\Users\jaime.benazar\Quorum Business Solutions\Ecopetrol Prometeo - Documents\Planning Space Implementation\3. Analysis &amp; Design\Design\FC22\DRR Jaime\Por presentar a ECP\Cantagallo\Cristalina\[CRISTALINA_CF_SEC_New_09-Feb-2024.xlsx]D-PND'!$CA$27</t>
  </si>
  <si>
    <t>='C:\Users\jaime.benazar\Quorum Business Solutions\Ecopetrol Prometeo - Documents\Planning Space Implementation\3. Analysis &amp; Design\Design\FC22\DRR Jaime\Por presentar a ECP\Cantagallo\Cristalina\[CRISTALINA_CF_SEC_New_09-Feb-2024.xlsx]D-PND'!$CA$28</t>
  </si>
  <si>
    <t>='C:\Users\jaime.benazar\Quorum Business Solutions\Ecopetrol Prometeo - Documents\Planning Space Implementation\3. Analysis &amp; Design\Design\FC22\DRR Jaime\Por presentar a ECP\Cantagallo\Cristalina\[CRISTALINA_CF_SEC_New_09-Feb-2024.xlsx]D-PND'!$CA$29</t>
  </si>
  <si>
    <t>='C:\Users\jaime.benazar\Quorum Business Solutions\Ecopetrol Prometeo - Documents\Planning Space Implementation\3. Analysis &amp; Design\Design\FC22\DRR Jaime\Por presentar a ECP\Cantagallo\Cristalina\[CRISTALINA_CF_SEC_New_09-Feb-2024.xlsx]D-PND'!$CA$30</t>
  </si>
  <si>
    <t>='C:\Users\jaime.benazar\Quorum Business Solutions\Ecopetrol Prometeo - Documents\Planning Space Implementation\3. Analysis &amp; Design\Design\FC22\DRR Jaime\Por presentar a ECP\Cantagallo\Cristalina\[CRISTALINA_CF_SEC_New_09-Feb-2024.xlsx]D-PND'!$CA$31</t>
  </si>
  <si>
    <t>='C:\Users\jaime.benazar\Quorum Business Solutions\Ecopetrol Prometeo - Documents\Planning Space Implementation\3. Analysis &amp; Design\Design\FC22\DRR Jaime\Por presentar a ECP\Cantagallo\Cristalina\[CRISTALINA_CF_SEC_New_09-Feb-2024.xlsx]D-PND'!$CA$32</t>
  </si>
  <si>
    <t>='C:\Users\jaime.benazar\Quorum Business Solutions\Ecopetrol Prometeo - Documents\Planning Space Implementation\3. Analysis &amp; Design\Design\FC22\DRR Jaime\Por presentar a ECP\Cantagallo\Cristalina\[CRISTALINA_CF_SEC_New_09-Feb-2024.xlsx]D-PND'!$CA$33</t>
  </si>
  <si>
    <t>='C:\Users\jaime.benazar\Quorum Business Solutions\Ecopetrol Prometeo - Documents\Planning Space Implementation\3. Analysis &amp; Design\Design\FC22\DRR Jaime\Por presentar a ECP\Cantagallo\Cristalina\[CRISTALINA_CF_SEC_New_09-Feb-2024.xlsx]D-PND'!$CA$34</t>
  </si>
  <si>
    <t>='C:\Users\jaime.benazar\Quorum Business Solutions\Ecopetrol Prometeo - Documents\Planning Space Implementation\3. Analysis &amp; Design\Design\FC22\DRR Jaime\Por presentar a ECP\Cantagallo\Cristalina\[CRISTALINA_CF_SEC_New_09-Feb-2024.xlsx]D-PND'!$CA$35</t>
  </si>
  <si>
    <t>='C:\Users\jaime.benazar\Quorum Business Solutions\Ecopetrol Prometeo - Documents\Planning Space Implementation\3. Analysis &amp; Design\Design\FC22\DRR Jaime\Por presentar a ECP\Cantagallo\Cristalina\[CRISTALINA_CF_SEC_New_09-Feb-2024.xlsx]D-PND'!$CA$36</t>
  </si>
  <si>
    <t>='C:\Users\jaime.benazar\Quorum Business Solutions\Ecopetrol Prometeo - Documents\Planning Space Implementation\3. Analysis &amp; Design\Design\FC22\DRR Jaime\Por presentar a ECP\Cantagallo\Cristalina\[CRISTALINA_CF_SEC_New_09-Feb-2024.xlsx]D-PND'!$CA$37</t>
  </si>
  <si>
    <t>='C:\Users\jaime.benazar\Quorum Business Solutions\Ecopetrol Prometeo - Documents\Planning Space Implementation\3. Analysis &amp; Design\Design\FC22\DRR Jaime\Por presentar a ECP\Cantagallo\Cristalina\[CRISTALINA_CF_SEC_New_09-Feb-2024.xlsx]D-PND'!$CA$38</t>
  </si>
  <si>
    <t>='C:\Users\jaime.benazar\Quorum Business Solutions\Ecopetrol Prometeo - Documents\Planning Space Implementation\3. Analysis &amp; Design\Design\FC22\DRR Jaime\Por presentar a ECP\Cantagallo\Cristalina\[CRISTALINA_CF_SEC_New_09-Feb-2024.xlsx]D-PND'!$CA$39</t>
  </si>
  <si>
    <t>='C:\Users\jaime.benazar\Quorum Business Solutions\Ecopetrol Prometeo - Documents\Planning Space Implementation\3. Analysis &amp; Design\Design\FC22\DRR Jaime\Por presentar a ECP\Cantagallo\Cristalina\[CRISTALINA_CF_SEC_New_09-Feb-2024.xlsx]D-PND'!$CA$40</t>
  </si>
  <si>
    <t>='C:\Users\jaime.benazar\Quorum Business Solutions\Ecopetrol Prometeo - Documents\Planning Space Implementation\3. Analysis &amp; Design\Design\FC22\DRR Jaime\Por presentar a ECP\Cantagallo\Cristalina\[CRISTALINA_CF_SEC_New_09-Feb-2024.xlsx]D-PND'!$CA$41</t>
  </si>
  <si>
    <t>='C:\Users\jaime.benazar\Quorum Business Solutions\Ecopetrol Prometeo - Documents\Planning Space Implementation\3. Analysis &amp; Design\Design\FC22\DRR Jaime\Por presentar a ECP\Cantagallo\Cristalina\[CRISTALINA_CF_SEC_New_09-Feb-2024.xlsx]D-PND'!$CA$42</t>
  </si>
  <si>
    <t>='C:\Users\jaime.benazar\Quorum Business Solutions\Ecopetrol Prometeo - Documents\Planning Space Implementation\3. Analysis &amp; Design\Design\FC22\DRR Jaime\Por presentar a ECP\Cantagallo\Cristalina\[CRISTALINA_CF_SEC_New_09-Feb-2024.xlsx]D-PND'!$CA$43</t>
  </si>
  <si>
    <t>='C:\Users\jaime.benazar\Quorum Business Solutions\Ecopetrol Prometeo - Documents\Planning Space Implementation\3. Analysis &amp; Design\Design\FC22\DRR Jaime\Por presentar a ECP\Cantagallo\Cristalina\[CRISTALINA_CF_SEC_New_09-Feb-2024.xlsx]D-PND'!$CA$44</t>
  </si>
  <si>
    <t>='C:\Users\jaime.benazar\Quorum Business Solutions\Ecopetrol Prometeo - Documents\Planning Space Implementation\3. Analysis &amp; Design\Design\FC22\DRR Jaime\Por presentar a ECP\Cantagallo\Cristalina\[CRISTALINA_CF_SEC_New_09-Feb-2024.xlsx]D-PND'!$CA$45</t>
  </si>
  <si>
    <t>='C:\Users\jaime.benazar\Quorum Business Solutions\Ecopetrol Prometeo - Documents\Planning Space Implementation\3. Analysis &amp; Design\Design\FC22\DRR Jaime\Por presentar a ECP\Cantagallo\Cristalina\[CRISTALINA_CF_SEC_New_09-Feb-2024.xlsx]D-PND'!$CA$46</t>
  </si>
  <si>
    <t>='C:\Users\jaime.benazar\Quorum Business Solutions\Ecopetrol Prometeo - Documents\Planning Space Implementation\3. Analysis &amp; Design\Design\FC22\DRR Jaime\Por presentar a ECP\Cantagallo\Cristalina\[CRISTALINA_CF_SEC_New_09-Feb-2024.xlsx]D-PND'!$CA$47</t>
  </si>
  <si>
    <t>='C:\Users\jaime.benazar\Quorum Business Solutions\Ecopetrol Prometeo - Documents\Planning Space Implementation\3. Analysis &amp; Design\Design\FC22\DRR Jaime\Por presentar a ECP\Cantagallo\Cristalina\[CRISTALINA_CF_SEC_New_09-Feb-2024.xlsx]D-PND'!$CA$48</t>
  </si>
  <si>
    <t>='C:\Users\jaime.benazar\Quorum Business Solutions\Ecopetrol Prometeo - Documents\Planning Space Implementation\3. Analysis &amp; Design\Design\FC22\DRR Jaime\Por presentar a ECP\Cantagallo\Cristalina\[CRISTALINA_CF_SEC_New_09-Feb-2024.xlsx]D-PRB'!$CA$12</t>
  </si>
  <si>
    <t>='C:\Users\jaime.benazar\Quorum Business Solutions\Ecopetrol Prometeo - Documents\Planning Space Implementation\3. Analysis &amp; Design\Design\FC22\DRR Jaime\Por presentar a ECP\Cantagallo\Cristalina\[CRISTALINA_CF_SEC_New_09-Feb-2024.xlsx]D-PRB'!$CA$13</t>
  </si>
  <si>
    <t>='C:\Users\jaime.benazar\Quorum Business Solutions\Ecopetrol Prometeo - Documents\Planning Space Implementation\3. Analysis &amp; Design\Design\FC22\DRR Jaime\Por presentar a ECP\Cantagallo\Cristalina\[CRISTALINA_CF_SEC_New_09-Feb-2024.xlsx]D-PRB'!$CA$14</t>
  </si>
  <si>
    <t>='C:\Users\jaime.benazar\Quorum Business Solutions\Ecopetrol Prometeo - Documents\Planning Space Implementation\3. Analysis &amp; Design\Design\FC22\DRR Jaime\Por presentar a ECP\Cantagallo\Cristalina\[CRISTALINA_CF_SEC_New_09-Feb-2024.xlsx]D-PRB'!$CA$15</t>
  </si>
  <si>
    <t>='C:\Users\jaime.benazar\Quorum Business Solutions\Ecopetrol Prometeo - Documents\Planning Space Implementation\3. Analysis &amp; Design\Design\FC22\DRR Jaime\Por presentar a ECP\Cantagallo\Cristalina\[CRISTALINA_CF_SEC_New_09-Feb-2024.xlsx]D-PRB'!$CA$16</t>
  </si>
  <si>
    <t>='C:\Users\jaime.benazar\Quorum Business Solutions\Ecopetrol Prometeo - Documents\Planning Space Implementation\3. Analysis &amp; Design\Design\FC22\DRR Jaime\Por presentar a ECP\Cantagallo\Cristalina\[CRISTALINA_CF_SEC_New_09-Feb-2024.xlsx]D-PRB'!$CA$17</t>
  </si>
  <si>
    <t>='C:\Users\jaime.benazar\Quorum Business Solutions\Ecopetrol Prometeo - Documents\Planning Space Implementation\3. Analysis &amp; Design\Design\FC22\DRR Jaime\Por presentar a ECP\Cantagallo\Cristalina\[CRISTALINA_CF_SEC_New_09-Feb-2024.xlsx]D-PRB'!$CA$18</t>
  </si>
  <si>
    <t>='C:\Users\jaime.benazar\Quorum Business Solutions\Ecopetrol Prometeo - Documents\Planning Space Implementation\3. Analysis &amp; Design\Design\FC22\DRR Jaime\Por presentar a ECP\Cantagallo\Cristalina\[CRISTALINA_CF_SEC_New_09-Feb-2024.xlsx]D-PRB'!$CA$19</t>
  </si>
  <si>
    <t>='C:\Users\jaime.benazar\Quorum Business Solutions\Ecopetrol Prometeo - Documents\Planning Space Implementation\3. Analysis &amp; Design\Design\FC22\DRR Jaime\Por presentar a ECP\Cantagallo\Cristalina\[CRISTALINA_CF_SEC_New_09-Feb-2024.xlsx]D-PRB'!$CA$20</t>
  </si>
  <si>
    <t>='C:\Users\jaime.benazar\Quorum Business Solutions\Ecopetrol Prometeo - Documents\Planning Space Implementation\3. Analysis &amp; Design\Design\FC22\DRR Jaime\Por presentar a ECP\Cantagallo\Cristalina\[CRISTALINA_CF_SEC_New_09-Feb-2024.xlsx]D-PRB'!$CA$21</t>
  </si>
  <si>
    <t>='C:\Users\jaime.benazar\Quorum Business Solutions\Ecopetrol Prometeo - Documents\Planning Space Implementation\3. Analysis &amp; Design\Design\FC22\DRR Jaime\Por presentar a ECP\Cantagallo\Cristalina\[CRISTALINA_CF_SEC_New_09-Feb-2024.xlsx]D-PRB'!$CA$22</t>
  </si>
  <si>
    <t>='C:\Users\jaime.benazar\Quorum Business Solutions\Ecopetrol Prometeo - Documents\Planning Space Implementation\3. Analysis &amp; Design\Design\FC22\DRR Jaime\Por presentar a ECP\Cantagallo\Cristalina\[CRISTALINA_CF_SEC_New_09-Feb-2024.xlsx]D-PRB'!$CA$23</t>
  </si>
  <si>
    <t>='C:\Users\jaime.benazar\Quorum Business Solutions\Ecopetrol Prometeo - Documents\Planning Space Implementation\3. Analysis &amp; Design\Design\FC22\DRR Jaime\Por presentar a ECP\Cantagallo\Cristalina\[CRISTALINA_CF_SEC_New_09-Feb-2024.xlsx]D-PRB'!$CA$24</t>
  </si>
  <si>
    <t>='C:\Users\jaime.benazar\Quorum Business Solutions\Ecopetrol Prometeo - Documents\Planning Space Implementation\3. Analysis &amp; Design\Design\FC22\DRR Jaime\Por presentar a ECP\Cantagallo\Cristalina\[CRISTALINA_CF_SEC_New_09-Feb-2024.xlsx]D-PRB'!$CA$25</t>
  </si>
  <si>
    <t>='C:\Users\jaime.benazar\Quorum Business Solutions\Ecopetrol Prometeo - Documents\Planning Space Implementation\3. Analysis &amp; Design\Design\FC22\DRR Jaime\Por presentar a ECP\Cantagallo\Cristalina\[CRISTALINA_CF_SEC_New_09-Feb-2024.xlsx]D-PRB'!$CA$26</t>
  </si>
  <si>
    <t>='C:\Users\jaime.benazar\Quorum Business Solutions\Ecopetrol Prometeo - Documents\Planning Space Implementation\3. Analysis &amp; Design\Design\FC22\DRR Jaime\Por presentar a ECP\Cantagallo\Cristalina\[CRISTALINA_CF_SEC_New_09-Feb-2024.xlsx]D-PRB'!$CA$27</t>
  </si>
  <si>
    <t>='C:\Users\jaime.benazar\Quorum Business Solutions\Ecopetrol Prometeo - Documents\Planning Space Implementation\3. Analysis &amp; Design\Design\FC22\DRR Jaime\Por presentar a ECP\Cantagallo\Cristalina\[CRISTALINA_CF_SEC_New_09-Feb-2024.xlsx]D-PRB'!$CA$28</t>
  </si>
  <si>
    <t>='C:\Users\jaime.benazar\Quorum Business Solutions\Ecopetrol Prometeo - Documents\Planning Space Implementation\3. Analysis &amp; Design\Design\FC22\DRR Jaime\Por presentar a ECP\Cantagallo\Cristalina\[CRISTALINA_CF_SEC_New_09-Feb-2024.xlsx]D-PRB'!$CA$29</t>
  </si>
  <si>
    <t>='C:\Users\jaime.benazar\Quorum Business Solutions\Ecopetrol Prometeo - Documents\Planning Space Implementation\3. Analysis &amp; Design\Design\FC22\DRR Jaime\Por presentar a ECP\Cantagallo\Cristalina\[CRISTALINA_CF_SEC_New_09-Feb-2024.xlsx]D-PRB'!$CA$30</t>
  </si>
  <si>
    <t>='C:\Users\jaime.benazar\Quorum Business Solutions\Ecopetrol Prometeo - Documents\Planning Space Implementation\3. Analysis &amp; Design\Design\FC22\DRR Jaime\Por presentar a ECP\Cantagallo\Cristalina\[CRISTALINA_CF_SEC_New_09-Feb-2024.xlsx]D-PRB'!$CA$31</t>
  </si>
  <si>
    <t>='C:\Users\jaime.benazar\Quorum Business Solutions\Ecopetrol Prometeo - Documents\Planning Space Implementation\3. Analysis &amp; Design\Design\FC22\DRR Jaime\Por presentar a ECP\Cantagallo\Cristalina\[CRISTALINA_CF_SEC_New_09-Feb-2024.xlsx]D-PRB'!$CA$32</t>
  </si>
  <si>
    <t>='C:\Users\jaime.benazar\Quorum Business Solutions\Ecopetrol Prometeo - Documents\Planning Space Implementation\3. Analysis &amp; Design\Design\FC22\DRR Jaime\Por presentar a ECP\Cantagallo\Cristalina\[CRISTALINA_CF_SEC_New_09-Feb-2024.xlsx]D-PRB'!$CA$33</t>
  </si>
  <si>
    <t>='C:\Users\jaime.benazar\Quorum Business Solutions\Ecopetrol Prometeo - Documents\Planning Space Implementation\3. Analysis &amp; Design\Design\FC22\DRR Jaime\Por presentar a ECP\Cantagallo\Cristalina\[CRISTALINA_CF_SEC_New_09-Feb-2024.xlsx]D-PRB'!$CA$34</t>
  </si>
  <si>
    <t>='C:\Users\jaime.benazar\Quorum Business Solutions\Ecopetrol Prometeo - Documents\Planning Space Implementation\3. Analysis &amp; Design\Design\FC22\DRR Jaime\Por presentar a ECP\Cantagallo\Cristalina\[CRISTALINA_CF_SEC_New_09-Feb-2024.xlsx]D-PRB'!$CA$35</t>
  </si>
  <si>
    <t>='C:\Users\jaime.benazar\Quorum Business Solutions\Ecopetrol Prometeo - Documents\Planning Space Implementation\3. Analysis &amp; Design\Design\FC22\DRR Jaime\Por presentar a ECP\Cantagallo\Cristalina\[CRISTALINA_CF_SEC_New_09-Feb-2024.xlsx]D-PRB'!$CA$36</t>
  </si>
  <si>
    <t>='C:\Users\jaime.benazar\Quorum Business Solutions\Ecopetrol Prometeo - Documents\Planning Space Implementation\3. Analysis &amp; Design\Design\FC22\DRR Jaime\Por presentar a ECP\Cantagallo\Cristalina\[CRISTALINA_CF_SEC_New_09-Feb-2024.xlsx]D-PRB'!$CA$37</t>
  </si>
  <si>
    <t>='C:\Users\jaime.benazar\Quorum Business Solutions\Ecopetrol Prometeo - Documents\Planning Space Implementation\3. Analysis &amp; Design\Design\FC22\DRR Jaime\Por presentar a ECP\Cantagallo\Cristalina\[CRISTALINA_CF_SEC_New_09-Feb-2024.xlsx]D-PRB'!$CA$38</t>
  </si>
  <si>
    <t>='C:\Users\jaime.benazar\Quorum Business Solutions\Ecopetrol Prometeo - Documents\Planning Space Implementation\3. Analysis &amp; Design\Design\FC22\DRR Jaime\Por presentar a ECP\Cantagallo\Cristalina\[CRISTALINA_CF_SEC_New_09-Feb-2024.xlsx]D-PRB'!$CA$39</t>
  </si>
  <si>
    <t>='C:\Users\jaime.benazar\Quorum Business Solutions\Ecopetrol Prometeo - Documents\Planning Space Implementation\3. Analysis &amp; Design\Design\FC22\DRR Jaime\Por presentar a ECP\Cantagallo\Cristalina\[CRISTALINA_CF_SEC_New_09-Feb-2024.xlsx]D-PRB'!$CA$40</t>
  </si>
  <si>
    <t>='C:\Users\jaime.benazar\Quorum Business Solutions\Ecopetrol Prometeo - Documents\Planning Space Implementation\3. Analysis &amp; Design\Design\FC22\DRR Jaime\Por presentar a ECP\Cantagallo\Cristalina\[CRISTALINA_CF_SEC_New_09-Feb-2024.xlsx]D-PRB'!$CA$41</t>
  </si>
  <si>
    <t>='C:\Users\jaime.benazar\Quorum Business Solutions\Ecopetrol Prometeo - Documents\Planning Space Implementation\3. Analysis &amp; Design\Design\FC22\DRR Jaime\Por presentar a ECP\Cantagallo\Cristalina\[CRISTALINA_CF_SEC_New_09-Feb-2024.xlsx]D-PRB'!$CA$42</t>
  </si>
  <si>
    <t>='C:\Users\jaime.benazar\Quorum Business Solutions\Ecopetrol Prometeo - Documents\Planning Space Implementation\3. Analysis &amp; Design\Design\FC22\DRR Jaime\Por presentar a ECP\Cantagallo\Cristalina\[CRISTALINA_CF_SEC_New_09-Feb-2024.xlsx]D-PRB'!$CA$43</t>
  </si>
  <si>
    <t>='C:\Users\jaime.benazar\Quorum Business Solutions\Ecopetrol Prometeo - Documents\Planning Space Implementation\3. Analysis &amp; Design\Design\FC22\DRR Jaime\Por presentar a ECP\Cantagallo\Cristalina\[CRISTALINA_CF_SEC_New_09-Feb-2024.xlsx]D-PRB'!$CA$44</t>
  </si>
  <si>
    <t>='C:\Users\jaime.benazar\Quorum Business Solutions\Ecopetrol Prometeo - Documents\Planning Space Implementation\3. Analysis &amp; Design\Design\FC22\DRR Jaime\Por presentar a ECP\Cantagallo\Cristalina\[CRISTALINA_CF_SEC_New_09-Feb-2024.xlsx]D-PRB'!$CA$45</t>
  </si>
  <si>
    <t>='C:\Users\jaime.benazar\Quorum Business Solutions\Ecopetrol Prometeo - Documents\Planning Space Implementation\3. Analysis &amp; Design\Design\FC22\DRR Jaime\Por presentar a ECP\Cantagallo\Cristalina\[CRISTALINA_CF_SEC_New_09-Feb-2024.xlsx]D-PRB'!$CA$46</t>
  </si>
  <si>
    <t>='C:\Users\jaime.benazar\Quorum Business Solutions\Ecopetrol Prometeo - Documents\Planning Space Implementation\3. Analysis &amp; Design\Design\FC22\DRR Jaime\Por presentar a ECP\Cantagallo\Cristalina\[CRISTALINA_CF_SEC_New_09-Feb-2024.xlsx]D-PRB'!$CA$47</t>
  </si>
  <si>
    <t>='C:\Users\jaime.benazar\Quorum Business Solutions\Ecopetrol Prometeo - Documents\Planning Space Implementation\3. Analysis &amp; Design\Design\FC22\DRR Jaime\Por presentar a ECP\Cantagallo\Cristalina\[CRISTALINA_CF_SEC_New_09-Feb-2024.xlsx]D-PRB'!$CA$48</t>
  </si>
  <si>
    <t>='C:\Users\jaime.benazar\Quorum Business Solutions\Ecopetrol Prometeo - Documents\Planning Space Implementation\3. Analysis &amp; Design\Design\FC22\DRR Jaime\Por presentar a ECP\Cantagallo\Cristalina\[CRISTALINA_CF_SEC_New_09-Feb-2024.xlsx]D-PS'!$CA$12</t>
  </si>
  <si>
    <t>='C:\Users\jaime.benazar\Quorum Business Solutions\Ecopetrol Prometeo - Documents\Planning Space Implementation\3. Analysis &amp; Design\Design\FC22\DRR Jaime\Por presentar a ECP\Cantagallo\Cristalina\[CRISTALINA_CF_SEC_New_09-Feb-2024.xlsx]D-PS'!$CA$13</t>
  </si>
  <si>
    <t>='C:\Users\jaime.benazar\Quorum Business Solutions\Ecopetrol Prometeo - Documents\Planning Space Implementation\3. Analysis &amp; Design\Design\FC22\DRR Jaime\Por presentar a ECP\Cantagallo\Cristalina\[CRISTALINA_CF_SEC_New_09-Feb-2024.xlsx]D-PS'!$CA$14</t>
  </si>
  <si>
    <t>='C:\Users\jaime.benazar\Quorum Business Solutions\Ecopetrol Prometeo - Documents\Planning Space Implementation\3. Analysis &amp; Design\Design\FC22\DRR Jaime\Por presentar a ECP\Cantagallo\Cristalina\[CRISTALINA_CF_SEC_New_09-Feb-2024.xlsx]D-PS'!$CA$15</t>
  </si>
  <si>
    <t>='C:\Users\jaime.benazar\Quorum Business Solutions\Ecopetrol Prometeo - Documents\Planning Space Implementation\3. Analysis &amp; Design\Design\FC22\DRR Jaime\Por presentar a ECP\Cantagallo\Cristalina\[CRISTALINA_CF_SEC_New_09-Feb-2024.xlsx]D-PS'!$CA$16</t>
  </si>
  <si>
    <t>='C:\Users\jaime.benazar\Quorum Business Solutions\Ecopetrol Prometeo - Documents\Planning Space Implementation\3. Analysis &amp; Design\Design\FC22\DRR Jaime\Por presentar a ECP\Cantagallo\Cristalina\[CRISTALINA_CF_SEC_New_09-Feb-2024.xlsx]D-PS'!$CA$17</t>
  </si>
  <si>
    <t>='C:\Users\jaime.benazar\Quorum Business Solutions\Ecopetrol Prometeo - Documents\Planning Space Implementation\3. Analysis &amp; Design\Design\FC22\DRR Jaime\Por presentar a ECP\Cantagallo\Cristalina\[CRISTALINA_CF_SEC_New_09-Feb-2024.xlsx]D-PS'!$CA$18</t>
  </si>
  <si>
    <t>='C:\Users\jaime.benazar\Quorum Business Solutions\Ecopetrol Prometeo - Documents\Planning Space Implementation\3. Analysis &amp; Design\Design\FC22\DRR Jaime\Por presentar a ECP\Cantagallo\Cristalina\[CRISTALINA_CF_SEC_New_09-Feb-2024.xlsx]D-PS'!$CA$19</t>
  </si>
  <si>
    <t>='C:\Users\jaime.benazar\Quorum Business Solutions\Ecopetrol Prometeo - Documents\Planning Space Implementation\3. Analysis &amp; Design\Design\FC22\DRR Jaime\Por presentar a ECP\Cantagallo\Cristalina\[CRISTALINA_CF_SEC_New_09-Feb-2024.xlsx]D-PS'!$CA$20</t>
  </si>
  <si>
    <t>='C:\Users\jaime.benazar\Quorum Business Solutions\Ecopetrol Prometeo - Documents\Planning Space Implementation\3. Analysis &amp; Design\Design\FC22\DRR Jaime\Por presentar a ECP\Cantagallo\Cristalina\[CRISTALINA_CF_SEC_New_09-Feb-2024.xlsx]D-PS'!$CA$21</t>
  </si>
  <si>
    <t>='C:\Users\jaime.benazar\Quorum Business Solutions\Ecopetrol Prometeo - Documents\Planning Space Implementation\3. Analysis &amp; Design\Design\FC22\DRR Jaime\Por presentar a ECP\Cantagallo\Cristalina\[CRISTALINA_CF_SEC_New_09-Feb-2024.xlsx]D-PS'!$CA$22</t>
  </si>
  <si>
    <t>='C:\Users\jaime.benazar\Quorum Business Solutions\Ecopetrol Prometeo - Documents\Planning Space Implementation\3. Analysis &amp; Design\Design\FC22\DRR Jaime\Por presentar a ECP\Cantagallo\Cristalina\[CRISTALINA_CF_SEC_New_09-Feb-2024.xlsx]D-PS'!$CA$23</t>
  </si>
  <si>
    <t>='C:\Users\jaime.benazar\Quorum Business Solutions\Ecopetrol Prometeo - Documents\Planning Space Implementation\3. Analysis &amp; Design\Design\FC22\DRR Jaime\Por presentar a ECP\Cantagallo\Cristalina\[CRISTALINA_CF_SEC_New_09-Feb-2024.xlsx]D-PS'!$CA$24</t>
  </si>
  <si>
    <t>='C:\Users\jaime.benazar\Quorum Business Solutions\Ecopetrol Prometeo - Documents\Planning Space Implementation\3. Analysis &amp; Design\Design\FC22\DRR Jaime\Por presentar a ECP\Cantagallo\Cristalina\[CRISTALINA_CF_SEC_New_09-Feb-2024.xlsx]D-PS'!$CA$25</t>
  </si>
  <si>
    <t>='C:\Users\jaime.benazar\Quorum Business Solutions\Ecopetrol Prometeo - Documents\Planning Space Implementation\3. Analysis &amp; Design\Design\FC22\DRR Jaime\Por presentar a ECP\Cantagallo\Cristalina\[CRISTALINA_CF_SEC_New_09-Feb-2024.xlsx]D-PS'!$CA$26</t>
  </si>
  <si>
    <t>='C:\Users\jaime.benazar\Quorum Business Solutions\Ecopetrol Prometeo - Documents\Planning Space Implementation\3. Analysis &amp; Design\Design\FC22\DRR Jaime\Por presentar a ECP\Cantagallo\Cristalina\[CRISTALINA_CF_SEC_New_09-Feb-2024.xlsx]D-PS'!$CA$27</t>
  </si>
  <si>
    <t>='C:\Users\jaime.benazar\Quorum Business Solutions\Ecopetrol Prometeo - Documents\Planning Space Implementation\3. Analysis &amp; Design\Design\FC22\DRR Jaime\Por presentar a ECP\Cantagallo\Cristalina\[CRISTALINA_CF_SEC_New_09-Feb-2024.xlsx]D-PS'!$CA$28</t>
  </si>
  <si>
    <t>='C:\Users\jaime.benazar\Quorum Business Solutions\Ecopetrol Prometeo - Documents\Planning Space Implementation\3. Analysis &amp; Design\Design\FC22\DRR Jaime\Por presentar a ECP\Cantagallo\Cristalina\[CRISTALINA_CF_SEC_New_09-Feb-2024.xlsx]D-PS'!$CA$29</t>
  </si>
  <si>
    <t>='C:\Users\jaime.benazar\Quorum Business Solutions\Ecopetrol Prometeo - Documents\Planning Space Implementation\3. Analysis &amp; Design\Design\FC22\DRR Jaime\Por presentar a ECP\Cantagallo\Cristalina\[CRISTALINA_CF_SEC_New_09-Feb-2024.xlsx]D-PS'!$CA$30</t>
  </si>
  <si>
    <t>='C:\Users\jaime.benazar\Quorum Business Solutions\Ecopetrol Prometeo - Documents\Planning Space Implementation\3. Analysis &amp; Design\Design\FC22\DRR Jaime\Por presentar a ECP\Cantagallo\Cristalina\[CRISTALINA_CF_SEC_New_09-Feb-2024.xlsx]D-PS'!$CA$31</t>
  </si>
  <si>
    <t>='C:\Users\jaime.benazar\Quorum Business Solutions\Ecopetrol Prometeo - Documents\Planning Space Implementation\3. Analysis &amp; Design\Design\FC22\DRR Jaime\Por presentar a ECP\Cantagallo\Cristalina\[CRISTALINA_CF_SEC_New_09-Feb-2024.xlsx]D-PS'!$CA$32</t>
  </si>
  <si>
    <t>='C:\Users\jaime.benazar\Quorum Business Solutions\Ecopetrol Prometeo - Documents\Planning Space Implementation\3. Analysis &amp; Design\Design\FC22\DRR Jaime\Por presentar a ECP\Cantagallo\Cristalina\[CRISTALINA_CF_SEC_New_09-Feb-2024.xlsx]D-PS'!$CA$33</t>
  </si>
  <si>
    <t>='C:\Users\jaime.benazar\Quorum Business Solutions\Ecopetrol Prometeo - Documents\Planning Space Implementation\3. Analysis &amp; Design\Design\FC22\DRR Jaime\Por presentar a ECP\Cantagallo\Cristalina\[CRISTALINA_CF_SEC_New_09-Feb-2024.xlsx]D-PS'!$CA$34</t>
  </si>
  <si>
    <t>='C:\Users\jaime.benazar\Quorum Business Solutions\Ecopetrol Prometeo - Documents\Planning Space Implementation\3. Analysis &amp; Design\Design\FC22\DRR Jaime\Por presentar a ECP\Cantagallo\Cristalina\[CRISTALINA_CF_SEC_New_09-Feb-2024.xlsx]D-PS'!$CA$35</t>
  </si>
  <si>
    <t>='C:\Users\jaime.benazar\Quorum Business Solutions\Ecopetrol Prometeo - Documents\Planning Space Implementation\3. Analysis &amp; Design\Design\FC22\DRR Jaime\Por presentar a ECP\Cantagallo\Cristalina\[CRISTALINA_CF_SEC_New_09-Feb-2024.xlsx]D-PS'!$CA$36</t>
  </si>
  <si>
    <t>='C:\Users\jaime.benazar\Quorum Business Solutions\Ecopetrol Prometeo - Documents\Planning Space Implementation\3. Analysis &amp; Design\Design\FC22\DRR Jaime\Por presentar a ECP\Cantagallo\Cristalina\[CRISTALINA_CF_SEC_New_09-Feb-2024.xlsx]D-PS'!$CA$37</t>
  </si>
  <si>
    <t>='C:\Users\jaime.benazar\Quorum Business Solutions\Ecopetrol Prometeo - Documents\Planning Space Implementation\3. Analysis &amp; Design\Design\FC22\DRR Jaime\Por presentar a ECP\Cantagallo\Cristalina\[CRISTALINA_CF_SEC_New_09-Feb-2024.xlsx]D-PS'!$CA$38</t>
  </si>
  <si>
    <t>='C:\Users\jaime.benazar\Quorum Business Solutions\Ecopetrol Prometeo - Documents\Planning Space Implementation\3. Analysis &amp; Design\Design\FC22\DRR Jaime\Por presentar a ECP\Cantagallo\Cristalina\[CRISTALINA_CF_SEC_New_09-Feb-2024.xlsx]D-PS'!$CA$39</t>
  </si>
  <si>
    <t>='C:\Users\jaime.benazar\Quorum Business Solutions\Ecopetrol Prometeo - Documents\Planning Space Implementation\3. Analysis &amp; Design\Design\FC22\DRR Jaime\Por presentar a ECP\Cantagallo\Cristalina\[CRISTALINA_CF_SEC_New_09-Feb-2024.xlsx]D-PS'!$CA$40</t>
  </si>
  <si>
    <t>='C:\Users\jaime.benazar\Quorum Business Solutions\Ecopetrol Prometeo - Documents\Planning Space Implementation\3. Analysis &amp; Design\Design\FC22\DRR Jaime\Por presentar a ECP\Cantagallo\Cristalina\[CRISTALINA_CF_SEC_New_09-Feb-2024.xlsx]D-PS'!$CA$41</t>
  </si>
  <si>
    <t>='C:\Users\jaime.benazar\Quorum Business Solutions\Ecopetrol Prometeo - Documents\Planning Space Implementation\3. Analysis &amp; Design\Design\FC22\DRR Jaime\Por presentar a ECP\Cantagallo\Cristalina\[CRISTALINA_CF_SEC_New_09-Feb-2024.xlsx]D-PS'!$CA$42</t>
  </si>
  <si>
    <t>='C:\Users\jaime.benazar\Quorum Business Solutions\Ecopetrol Prometeo - Documents\Planning Space Implementation\3. Analysis &amp; Design\Design\FC22\DRR Jaime\Por presentar a ECP\Cantagallo\Cristalina\[CRISTALINA_CF_SEC_New_09-Feb-2024.xlsx]D-PS'!$CA$43</t>
  </si>
  <si>
    <t>='C:\Users\jaime.benazar\Quorum Business Solutions\Ecopetrol Prometeo - Documents\Planning Space Implementation\3. Analysis &amp; Design\Design\FC22\DRR Jaime\Por presentar a ECP\Cantagallo\Cristalina\[CRISTALINA_CF_SEC_New_09-Feb-2024.xlsx]D-PS'!$CA$44</t>
  </si>
  <si>
    <t>='C:\Users\jaime.benazar\Quorum Business Solutions\Ecopetrol Prometeo - Documents\Planning Space Implementation\3. Analysis &amp; Design\Design\FC22\DRR Jaime\Por presentar a ECP\Cantagallo\Cristalina\[CRISTALINA_CF_SEC_New_09-Feb-2024.xlsx]D-PS'!$CA$45</t>
  </si>
  <si>
    <t>='C:\Users\jaime.benazar\Quorum Business Solutions\Ecopetrol Prometeo - Documents\Planning Space Implementation\3. Analysis &amp; Design\Design\FC22\DRR Jaime\Por presentar a ECP\Cantagallo\Cristalina\[CRISTALINA_CF_SEC_New_09-Feb-2024.xlsx]D-PS'!$CA$46</t>
  </si>
  <si>
    <t>='C:\Users\jaime.benazar\Quorum Business Solutions\Ecopetrol Prometeo - Documents\Planning Space Implementation\3. Analysis &amp; Design\Design\FC22\DRR Jaime\Por presentar a ECP\Cantagallo\Cristalina\[CRISTALINA_CF_SEC_New_09-Feb-2024.xlsx]D-PS'!$CA$47</t>
  </si>
  <si>
    <t>='C:\Users\jaime.benazar\Quorum Business Solutions\Ecopetrol Prometeo - Documents\Planning Space Implementation\3. Analysis &amp; Design\Design\FC22\DRR Jaime\Por presentar a ECP\Cantagallo\Cristalina\[CRISTALINA_CF_SEC_New_09-Feb-2024.xlsx]D-PS'!$CA$48</t>
  </si>
  <si>
    <t>='C:\Users\jaime.benazar\Quorum Business Solutions\Ecopetrol Prometeo - Documents\Planning Space Implementation\3. Analysis &amp; Design\Design\FC22\DRR Jaime\Por presentar a ECP\Cantagallo\Cristalina\[CRISTALINA_CF_SEC_New_09-Feb-2024.xlsx]D-PDP'!$BX$12</t>
  </si>
  <si>
    <t>='C:\Users\jaime.benazar\Quorum Business Solutions\Ecopetrol Prometeo - Documents\Planning Space Implementation\3. Analysis &amp; Design\Design\FC22\DRR Jaime\Por presentar a ECP\Cantagallo\Cristalina\[CRISTALINA_CF_SEC_New_09-Feb-2024.xlsx]D-PDP'!$BX$13</t>
  </si>
  <si>
    <t>='C:\Users\jaime.benazar\Quorum Business Solutions\Ecopetrol Prometeo - Documents\Planning Space Implementation\3. Analysis &amp; Design\Design\FC22\DRR Jaime\Por presentar a ECP\Cantagallo\Cristalina\[CRISTALINA_CF_SEC_New_09-Feb-2024.xlsx]D-PDP'!$BX$14</t>
  </si>
  <si>
    <t>='C:\Users\jaime.benazar\Quorum Business Solutions\Ecopetrol Prometeo - Documents\Planning Space Implementation\3. Analysis &amp; Design\Design\FC22\DRR Jaime\Por presentar a ECP\Cantagallo\Cristalina\[CRISTALINA_CF_SEC_New_09-Feb-2024.xlsx]D-PDP'!$BX$15</t>
  </si>
  <si>
    <t>='C:\Users\jaime.benazar\Quorum Business Solutions\Ecopetrol Prometeo - Documents\Planning Space Implementation\3. Analysis &amp; Design\Design\FC22\DRR Jaime\Por presentar a ECP\Cantagallo\Cristalina\[CRISTALINA_CF_SEC_New_09-Feb-2024.xlsx]D-PDP'!$BX$16</t>
  </si>
  <si>
    <t>='C:\Users\jaime.benazar\Quorum Business Solutions\Ecopetrol Prometeo - Documents\Planning Space Implementation\3. Analysis &amp; Design\Design\FC22\DRR Jaime\Por presentar a ECP\Cantagallo\Cristalina\[CRISTALINA_CF_SEC_New_09-Feb-2024.xlsx]D-PDP'!$BX$17</t>
  </si>
  <si>
    <t>='C:\Users\jaime.benazar\Quorum Business Solutions\Ecopetrol Prometeo - Documents\Planning Space Implementation\3. Analysis &amp; Design\Design\FC22\DRR Jaime\Por presentar a ECP\Cantagallo\Cristalina\[CRISTALINA_CF_SEC_New_09-Feb-2024.xlsx]D-PDP'!$BX$18</t>
  </si>
  <si>
    <t>='C:\Users\jaime.benazar\Quorum Business Solutions\Ecopetrol Prometeo - Documents\Planning Space Implementation\3. Analysis &amp; Design\Design\FC22\DRR Jaime\Por presentar a ECP\Cantagallo\Cristalina\[CRISTALINA_CF_SEC_New_09-Feb-2024.xlsx]D-PDP'!$BX$19</t>
  </si>
  <si>
    <t>='C:\Users\jaime.benazar\Quorum Business Solutions\Ecopetrol Prometeo - Documents\Planning Space Implementation\3. Analysis &amp; Design\Design\FC22\DRR Jaime\Por presentar a ECP\Cantagallo\Cristalina\[CRISTALINA_CF_SEC_New_09-Feb-2024.xlsx]D-PDP'!$BX$20</t>
  </si>
  <si>
    <t>='C:\Users\jaime.benazar\Quorum Business Solutions\Ecopetrol Prometeo - Documents\Planning Space Implementation\3. Analysis &amp; Design\Design\FC22\DRR Jaime\Por presentar a ECP\Cantagallo\Cristalina\[CRISTALINA_CF_SEC_New_09-Feb-2024.xlsx]D-PDP'!$BX$21</t>
  </si>
  <si>
    <t>='C:\Users\jaime.benazar\Quorum Business Solutions\Ecopetrol Prometeo - Documents\Planning Space Implementation\3. Analysis &amp; Design\Design\FC22\DRR Jaime\Por presentar a ECP\Cantagallo\Cristalina\[CRISTALINA_CF_SEC_New_09-Feb-2024.xlsx]D-PDP'!$BX$22</t>
  </si>
  <si>
    <t>='C:\Users\jaime.benazar\Quorum Business Solutions\Ecopetrol Prometeo - Documents\Planning Space Implementation\3. Analysis &amp; Design\Design\FC22\DRR Jaime\Por presentar a ECP\Cantagallo\Cristalina\[CRISTALINA_CF_SEC_New_09-Feb-2024.xlsx]D-PDP'!$BX$23</t>
  </si>
  <si>
    <t>='C:\Users\jaime.benazar\Quorum Business Solutions\Ecopetrol Prometeo - Documents\Planning Space Implementation\3. Analysis &amp; Design\Design\FC22\DRR Jaime\Por presentar a ECP\Cantagallo\Cristalina\[CRISTALINA_CF_SEC_New_09-Feb-2024.xlsx]D-PDP'!$BX$24</t>
  </si>
  <si>
    <t>='C:\Users\jaime.benazar\Quorum Business Solutions\Ecopetrol Prometeo - Documents\Planning Space Implementation\3. Analysis &amp; Design\Design\FC22\DRR Jaime\Por presentar a ECP\Cantagallo\Cristalina\[CRISTALINA_CF_SEC_New_09-Feb-2024.xlsx]D-PDP'!$BX$25</t>
  </si>
  <si>
    <t>='C:\Users\jaime.benazar\Quorum Business Solutions\Ecopetrol Prometeo - Documents\Planning Space Implementation\3. Analysis &amp; Design\Design\FC22\DRR Jaime\Por presentar a ECP\Cantagallo\Cristalina\[CRISTALINA_CF_SEC_New_09-Feb-2024.xlsx]D-PDP'!$BX$26</t>
  </si>
  <si>
    <t>='C:\Users\jaime.benazar\Quorum Business Solutions\Ecopetrol Prometeo - Documents\Planning Space Implementation\3. Analysis &amp; Design\Design\FC22\DRR Jaime\Por presentar a ECP\Cantagallo\Cristalina\[CRISTALINA_CF_SEC_New_09-Feb-2024.xlsx]D-PDP'!$BX$27</t>
  </si>
  <si>
    <t>='C:\Users\jaime.benazar\Quorum Business Solutions\Ecopetrol Prometeo - Documents\Planning Space Implementation\3. Analysis &amp; Design\Design\FC22\DRR Jaime\Por presentar a ECP\Cantagallo\Cristalina\[CRISTALINA_CF_SEC_New_09-Feb-2024.xlsx]D-PDP'!$BX$28</t>
  </si>
  <si>
    <t>='C:\Users\jaime.benazar\Quorum Business Solutions\Ecopetrol Prometeo - Documents\Planning Space Implementation\3. Analysis &amp; Design\Design\FC22\DRR Jaime\Por presentar a ECP\Cantagallo\Cristalina\[CRISTALINA_CF_SEC_New_09-Feb-2024.xlsx]D-PDP'!$BX$29</t>
  </si>
  <si>
    <t>='C:\Users\jaime.benazar\Quorum Business Solutions\Ecopetrol Prometeo - Documents\Planning Space Implementation\3. Analysis &amp; Design\Design\FC22\DRR Jaime\Por presentar a ECP\Cantagallo\Cristalina\[CRISTALINA_CF_SEC_New_09-Feb-2024.xlsx]D-PDP'!$BX$30</t>
  </si>
  <si>
    <t>='C:\Users\jaime.benazar\Quorum Business Solutions\Ecopetrol Prometeo - Documents\Planning Space Implementation\3. Analysis &amp; Design\Design\FC22\DRR Jaime\Por presentar a ECP\Cantagallo\Cristalina\[CRISTALINA_CF_SEC_New_09-Feb-2024.xlsx]D-PDP'!$BX$31</t>
  </si>
  <si>
    <t>='C:\Users\jaime.benazar\Quorum Business Solutions\Ecopetrol Prometeo - Documents\Planning Space Implementation\3. Analysis &amp; Design\Design\FC22\DRR Jaime\Por presentar a ECP\Cantagallo\Cristalina\[CRISTALINA_CF_SEC_New_09-Feb-2024.xlsx]D-PDP'!$BX$32</t>
  </si>
  <si>
    <t>='C:\Users\jaime.benazar\Quorum Business Solutions\Ecopetrol Prometeo - Documents\Planning Space Implementation\3. Analysis &amp; Design\Design\FC22\DRR Jaime\Por presentar a ECP\Cantagallo\Cristalina\[CRISTALINA_CF_SEC_New_09-Feb-2024.xlsx]D-PDP'!$BX$33</t>
  </si>
  <si>
    <t>='C:\Users\jaime.benazar\Quorum Business Solutions\Ecopetrol Prometeo - Documents\Planning Space Implementation\3. Analysis &amp; Design\Design\FC22\DRR Jaime\Por presentar a ECP\Cantagallo\Cristalina\[CRISTALINA_CF_SEC_New_09-Feb-2024.xlsx]D-PDP'!$BX$34</t>
  </si>
  <si>
    <t>='C:\Users\jaime.benazar\Quorum Business Solutions\Ecopetrol Prometeo - Documents\Planning Space Implementation\3. Analysis &amp; Design\Design\FC22\DRR Jaime\Por presentar a ECP\Cantagallo\Cristalina\[CRISTALINA_CF_SEC_New_09-Feb-2024.xlsx]D-PDP'!$BX$35</t>
  </si>
  <si>
    <t>='C:\Users\jaime.benazar\Quorum Business Solutions\Ecopetrol Prometeo - Documents\Planning Space Implementation\3. Analysis &amp; Design\Design\FC22\DRR Jaime\Por presentar a ECP\Cantagallo\Cristalina\[CRISTALINA_CF_SEC_New_09-Feb-2024.xlsx]D-PDP'!$BX$36</t>
  </si>
  <si>
    <t>='C:\Users\jaime.benazar\Quorum Business Solutions\Ecopetrol Prometeo - Documents\Planning Space Implementation\3. Analysis &amp; Design\Design\FC22\DRR Jaime\Por presentar a ECP\Cantagallo\Cristalina\[CRISTALINA_CF_SEC_New_09-Feb-2024.xlsx]D-PDP'!$BX$37</t>
  </si>
  <si>
    <t>='C:\Users\jaime.benazar\Quorum Business Solutions\Ecopetrol Prometeo - Documents\Planning Space Implementation\3. Analysis &amp; Design\Design\FC22\DRR Jaime\Por presentar a ECP\Cantagallo\Cristalina\[CRISTALINA_CF_SEC_New_09-Feb-2024.xlsx]D-PDP'!$BX$38</t>
  </si>
  <si>
    <t>='C:\Users\jaime.benazar\Quorum Business Solutions\Ecopetrol Prometeo - Documents\Planning Space Implementation\3. Analysis &amp; Design\Design\FC22\DRR Jaime\Por presentar a ECP\Cantagallo\Cristalina\[CRISTALINA_CF_SEC_New_09-Feb-2024.xlsx]D-PDP'!$BX$39</t>
  </si>
  <si>
    <t>='C:\Users\jaime.benazar\Quorum Business Solutions\Ecopetrol Prometeo - Documents\Planning Space Implementation\3. Analysis &amp; Design\Design\FC22\DRR Jaime\Por presentar a ECP\Cantagallo\Cristalina\[CRISTALINA_CF_SEC_New_09-Feb-2024.xlsx]D-PDP'!$BX$40</t>
  </si>
  <si>
    <t>='C:\Users\jaime.benazar\Quorum Business Solutions\Ecopetrol Prometeo - Documents\Planning Space Implementation\3. Analysis &amp; Design\Design\FC22\DRR Jaime\Por presentar a ECP\Cantagallo\Cristalina\[CRISTALINA_CF_SEC_New_09-Feb-2024.xlsx]D-PDP'!$BX$41</t>
  </si>
  <si>
    <t>='C:\Users\jaime.benazar\Quorum Business Solutions\Ecopetrol Prometeo - Documents\Planning Space Implementation\3. Analysis &amp; Design\Design\FC22\DRR Jaime\Por presentar a ECP\Cantagallo\Cristalina\[CRISTALINA_CF_SEC_New_09-Feb-2024.xlsx]D-PDP'!$BX$42</t>
  </si>
  <si>
    <t>='C:\Users\jaime.benazar\Quorum Business Solutions\Ecopetrol Prometeo - Documents\Planning Space Implementation\3. Analysis &amp; Design\Design\FC22\DRR Jaime\Por presentar a ECP\Cantagallo\Cristalina\[CRISTALINA_CF_SEC_New_09-Feb-2024.xlsx]D-PDP'!$BX$43</t>
  </si>
  <si>
    <t>='C:\Users\jaime.benazar\Quorum Business Solutions\Ecopetrol Prometeo - Documents\Planning Space Implementation\3. Analysis &amp; Design\Design\FC22\DRR Jaime\Por presentar a ECP\Cantagallo\Cristalina\[CRISTALINA_CF_SEC_New_09-Feb-2024.xlsx]D-PDP'!$BX$44</t>
  </si>
  <si>
    <t>='C:\Users\jaime.benazar\Quorum Business Solutions\Ecopetrol Prometeo - Documents\Planning Space Implementation\3. Analysis &amp; Design\Design\FC22\DRR Jaime\Por presentar a ECP\Cantagallo\Cristalina\[CRISTALINA_CF_SEC_New_09-Feb-2024.xlsx]D-PDP'!$BX$45</t>
  </si>
  <si>
    <t>='C:\Users\jaime.benazar\Quorum Business Solutions\Ecopetrol Prometeo - Documents\Planning Space Implementation\3. Analysis &amp; Design\Design\FC22\DRR Jaime\Por presentar a ECP\Cantagallo\Cristalina\[CRISTALINA_CF_SEC_New_09-Feb-2024.xlsx]D-PDP'!$BX$46</t>
  </si>
  <si>
    <t>='C:\Users\jaime.benazar\Quorum Business Solutions\Ecopetrol Prometeo - Documents\Planning Space Implementation\3. Analysis &amp; Design\Design\FC22\DRR Jaime\Por presentar a ECP\Cantagallo\Cristalina\[CRISTALINA_CF_SEC_New_09-Feb-2024.xlsx]D-PDP'!$BX$47</t>
  </si>
  <si>
    <t>='C:\Users\jaime.benazar\Quorum Business Solutions\Ecopetrol Prometeo - Documents\Planning Space Implementation\3. Analysis &amp; Design\Design\FC22\DRR Jaime\Por presentar a ECP\Cantagallo\Cristalina\[CRISTALINA_CF_SEC_New_09-Feb-2024.xlsx]D-PDP'!$BX$48</t>
  </si>
  <si>
    <t>='C:\Users\jaime.benazar\Quorum Business Solutions\Ecopetrol Prometeo - Documents\Planning Space Implementation\3. Analysis &amp; Design\Design\FC22\DRR Jaime\Por presentar a ECP\Cantagallo\Cristalina\[CRISTALINA_CF_SEC_New_09-Feb-2024.xlsx]D-PNP'!$BX$12</t>
  </si>
  <si>
    <t>='C:\Users\jaime.benazar\Quorum Business Solutions\Ecopetrol Prometeo - Documents\Planning Space Implementation\3. Analysis &amp; Design\Design\FC22\DRR Jaime\Por presentar a ECP\Cantagallo\Cristalina\[CRISTALINA_CF_SEC_New_09-Feb-2024.xlsx]D-PNP'!$BX$13</t>
  </si>
  <si>
    <t>='C:\Users\jaime.benazar\Quorum Business Solutions\Ecopetrol Prometeo - Documents\Planning Space Implementation\3. Analysis &amp; Design\Design\FC22\DRR Jaime\Por presentar a ECP\Cantagallo\Cristalina\[CRISTALINA_CF_SEC_New_09-Feb-2024.xlsx]D-PNP'!$BX$14</t>
  </si>
  <si>
    <t>='C:\Users\jaime.benazar\Quorum Business Solutions\Ecopetrol Prometeo - Documents\Planning Space Implementation\3. Analysis &amp; Design\Design\FC22\DRR Jaime\Por presentar a ECP\Cantagallo\Cristalina\[CRISTALINA_CF_SEC_New_09-Feb-2024.xlsx]D-PNP'!$BX$15</t>
  </si>
  <si>
    <t>='C:\Users\jaime.benazar\Quorum Business Solutions\Ecopetrol Prometeo - Documents\Planning Space Implementation\3. Analysis &amp; Design\Design\FC22\DRR Jaime\Por presentar a ECP\Cantagallo\Cristalina\[CRISTALINA_CF_SEC_New_09-Feb-2024.xlsx]D-PNP'!$BX$16</t>
  </si>
  <si>
    <t>='C:\Users\jaime.benazar\Quorum Business Solutions\Ecopetrol Prometeo - Documents\Planning Space Implementation\3. Analysis &amp; Design\Design\FC22\DRR Jaime\Por presentar a ECP\Cantagallo\Cristalina\[CRISTALINA_CF_SEC_New_09-Feb-2024.xlsx]D-PNP'!$BX$17</t>
  </si>
  <si>
    <t>='C:\Users\jaime.benazar\Quorum Business Solutions\Ecopetrol Prometeo - Documents\Planning Space Implementation\3. Analysis &amp; Design\Design\FC22\DRR Jaime\Por presentar a ECP\Cantagallo\Cristalina\[CRISTALINA_CF_SEC_New_09-Feb-2024.xlsx]D-PNP'!$BX$18</t>
  </si>
  <si>
    <t>='C:\Users\jaime.benazar\Quorum Business Solutions\Ecopetrol Prometeo - Documents\Planning Space Implementation\3. Analysis &amp; Design\Design\FC22\DRR Jaime\Por presentar a ECP\Cantagallo\Cristalina\[CRISTALINA_CF_SEC_New_09-Feb-2024.xlsx]D-PNP'!$BX$19</t>
  </si>
  <si>
    <t>='C:\Users\jaime.benazar\Quorum Business Solutions\Ecopetrol Prometeo - Documents\Planning Space Implementation\3. Analysis &amp; Design\Design\FC22\DRR Jaime\Por presentar a ECP\Cantagallo\Cristalina\[CRISTALINA_CF_SEC_New_09-Feb-2024.xlsx]D-PNP'!$BX$20</t>
  </si>
  <si>
    <t>='C:\Users\jaime.benazar\Quorum Business Solutions\Ecopetrol Prometeo - Documents\Planning Space Implementation\3. Analysis &amp; Design\Design\FC22\DRR Jaime\Por presentar a ECP\Cantagallo\Cristalina\[CRISTALINA_CF_SEC_New_09-Feb-2024.xlsx]D-PNP'!$BX$21</t>
  </si>
  <si>
    <t>='C:\Users\jaime.benazar\Quorum Business Solutions\Ecopetrol Prometeo - Documents\Planning Space Implementation\3. Analysis &amp; Design\Design\FC22\DRR Jaime\Por presentar a ECP\Cantagallo\Cristalina\[CRISTALINA_CF_SEC_New_09-Feb-2024.xlsx]D-PNP'!$BX$22</t>
  </si>
  <si>
    <t>='C:\Users\jaime.benazar\Quorum Business Solutions\Ecopetrol Prometeo - Documents\Planning Space Implementation\3. Analysis &amp; Design\Design\FC22\DRR Jaime\Por presentar a ECP\Cantagallo\Cristalina\[CRISTALINA_CF_SEC_New_09-Feb-2024.xlsx]D-PNP'!$BX$23</t>
  </si>
  <si>
    <t>='C:\Users\jaime.benazar\Quorum Business Solutions\Ecopetrol Prometeo - Documents\Planning Space Implementation\3. Analysis &amp; Design\Design\FC22\DRR Jaime\Por presentar a ECP\Cantagallo\Cristalina\[CRISTALINA_CF_SEC_New_09-Feb-2024.xlsx]D-PNP'!$BX$24</t>
  </si>
  <si>
    <t>='C:\Users\jaime.benazar\Quorum Business Solutions\Ecopetrol Prometeo - Documents\Planning Space Implementation\3. Analysis &amp; Design\Design\FC22\DRR Jaime\Por presentar a ECP\Cantagallo\Cristalina\[CRISTALINA_CF_SEC_New_09-Feb-2024.xlsx]D-PNP'!$BX$25</t>
  </si>
  <si>
    <t>='C:\Users\jaime.benazar\Quorum Business Solutions\Ecopetrol Prometeo - Documents\Planning Space Implementation\3. Analysis &amp; Design\Design\FC22\DRR Jaime\Por presentar a ECP\Cantagallo\Cristalina\[CRISTALINA_CF_SEC_New_09-Feb-2024.xlsx]D-PNP'!$BX$26</t>
  </si>
  <si>
    <t>='C:\Users\jaime.benazar\Quorum Business Solutions\Ecopetrol Prometeo - Documents\Planning Space Implementation\3. Analysis &amp; Design\Design\FC22\DRR Jaime\Por presentar a ECP\Cantagallo\Cristalina\[CRISTALINA_CF_SEC_New_09-Feb-2024.xlsx]D-PNP'!$BX$27</t>
  </si>
  <si>
    <t>='C:\Users\jaime.benazar\Quorum Business Solutions\Ecopetrol Prometeo - Documents\Planning Space Implementation\3. Analysis &amp; Design\Design\FC22\DRR Jaime\Por presentar a ECP\Cantagallo\Cristalina\[CRISTALINA_CF_SEC_New_09-Feb-2024.xlsx]D-PNP'!$BX$28</t>
  </si>
  <si>
    <t>='C:\Users\jaime.benazar\Quorum Business Solutions\Ecopetrol Prometeo - Documents\Planning Space Implementation\3. Analysis &amp; Design\Design\FC22\DRR Jaime\Por presentar a ECP\Cantagallo\Cristalina\[CRISTALINA_CF_SEC_New_09-Feb-2024.xlsx]D-PNP'!$BX$29</t>
  </si>
  <si>
    <t>='C:\Users\jaime.benazar\Quorum Business Solutions\Ecopetrol Prometeo - Documents\Planning Space Implementation\3. Analysis &amp; Design\Design\FC22\DRR Jaime\Por presentar a ECP\Cantagallo\Cristalina\[CRISTALINA_CF_SEC_New_09-Feb-2024.xlsx]D-PNP'!$BX$30</t>
  </si>
  <si>
    <t>='C:\Users\jaime.benazar\Quorum Business Solutions\Ecopetrol Prometeo - Documents\Planning Space Implementation\3. Analysis &amp; Design\Design\FC22\DRR Jaime\Por presentar a ECP\Cantagallo\Cristalina\[CRISTALINA_CF_SEC_New_09-Feb-2024.xlsx]D-PNP'!$BX$31</t>
  </si>
  <si>
    <t>='C:\Users\jaime.benazar\Quorum Business Solutions\Ecopetrol Prometeo - Documents\Planning Space Implementation\3. Analysis &amp; Design\Design\FC22\DRR Jaime\Por presentar a ECP\Cantagallo\Cristalina\[CRISTALINA_CF_SEC_New_09-Feb-2024.xlsx]D-PNP'!$BX$32</t>
  </si>
  <si>
    <t>='C:\Users\jaime.benazar\Quorum Business Solutions\Ecopetrol Prometeo - Documents\Planning Space Implementation\3. Analysis &amp; Design\Design\FC22\DRR Jaime\Por presentar a ECP\Cantagallo\Cristalina\[CRISTALINA_CF_SEC_New_09-Feb-2024.xlsx]D-PNP'!$BX$33</t>
  </si>
  <si>
    <t>='C:\Users\jaime.benazar\Quorum Business Solutions\Ecopetrol Prometeo - Documents\Planning Space Implementation\3. Analysis &amp; Design\Design\FC22\DRR Jaime\Por presentar a ECP\Cantagallo\Cristalina\[CRISTALINA_CF_SEC_New_09-Feb-2024.xlsx]D-PNP'!$BX$34</t>
  </si>
  <si>
    <t>='C:\Users\jaime.benazar\Quorum Business Solutions\Ecopetrol Prometeo - Documents\Planning Space Implementation\3. Analysis &amp; Design\Design\FC22\DRR Jaime\Por presentar a ECP\Cantagallo\Cristalina\[CRISTALINA_CF_SEC_New_09-Feb-2024.xlsx]D-PNP'!$BX$35</t>
  </si>
  <si>
    <t>='C:\Users\jaime.benazar\Quorum Business Solutions\Ecopetrol Prometeo - Documents\Planning Space Implementation\3. Analysis &amp; Design\Design\FC22\DRR Jaime\Por presentar a ECP\Cantagallo\Cristalina\[CRISTALINA_CF_SEC_New_09-Feb-2024.xlsx]D-PNP'!$BX$36</t>
  </si>
  <si>
    <t>='C:\Users\jaime.benazar\Quorum Business Solutions\Ecopetrol Prometeo - Documents\Planning Space Implementation\3. Analysis &amp; Design\Design\FC22\DRR Jaime\Por presentar a ECP\Cantagallo\Cristalina\[CRISTALINA_CF_SEC_New_09-Feb-2024.xlsx]D-PNP'!$BX$37</t>
  </si>
  <si>
    <t>='C:\Users\jaime.benazar\Quorum Business Solutions\Ecopetrol Prometeo - Documents\Planning Space Implementation\3. Analysis &amp; Design\Design\FC22\DRR Jaime\Por presentar a ECP\Cantagallo\Cristalina\[CRISTALINA_CF_SEC_New_09-Feb-2024.xlsx]D-PNP'!$BX$38</t>
  </si>
  <si>
    <t>='C:\Users\jaime.benazar\Quorum Business Solutions\Ecopetrol Prometeo - Documents\Planning Space Implementation\3. Analysis &amp; Design\Design\FC22\DRR Jaime\Por presentar a ECP\Cantagallo\Cristalina\[CRISTALINA_CF_SEC_New_09-Feb-2024.xlsx]D-PNP'!$BX$39</t>
  </si>
  <si>
    <t>='C:\Users\jaime.benazar\Quorum Business Solutions\Ecopetrol Prometeo - Documents\Planning Space Implementation\3. Analysis &amp; Design\Design\FC22\DRR Jaime\Por presentar a ECP\Cantagallo\Cristalina\[CRISTALINA_CF_SEC_New_09-Feb-2024.xlsx]D-PNP'!$BX$40</t>
  </si>
  <si>
    <t>='C:\Users\jaime.benazar\Quorum Business Solutions\Ecopetrol Prometeo - Documents\Planning Space Implementation\3. Analysis &amp; Design\Design\FC22\DRR Jaime\Por presentar a ECP\Cantagallo\Cristalina\[CRISTALINA_CF_SEC_New_09-Feb-2024.xlsx]D-PNP'!$BX$41</t>
  </si>
  <si>
    <t>='C:\Users\jaime.benazar\Quorum Business Solutions\Ecopetrol Prometeo - Documents\Planning Space Implementation\3. Analysis &amp; Design\Design\FC22\DRR Jaime\Por presentar a ECP\Cantagallo\Cristalina\[CRISTALINA_CF_SEC_New_09-Feb-2024.xlsx]D-PNP'!$BX$42</t>
  </si>
  <si>
    <t>='C:\Users\jaime.benazar\Quorum Business Solutions\Ecopetrol Prometeo - Documents\Planning Space Implementation\3. Analysis &amp; Design\Design\FC22\DRR Jaime\Por presentar a ECP\Cantagallo\Cristalina\[CRISTALINA_CF_SEC_New_09-Feb-2024.xlsx]D-PNP'!$BX$43</t>
  </si>
  <si>
    <t>='C:\Users\jaime.benazar\Quorum Business Solutions\Ecopetrol Prometeo - Documents\Planning Space Implementation\3. Analysis &amp; Design\Design\FC22\DRR Jaime\Por presentar a ECP\Cantagallo\Cristalina\[CRISTALINA_CF_SEC_New_09-Feb-2024.xlsx]D-PNP'!$BX$44</t>
  </si>
  <si>
    <t>='C:\Users\jaime.benazar\Quorum Business Solutions\Ecopetrol Prometeo - Documents\Planning Space Implementation\3. Analysis &amp; Design\Design\FC22\DRR Jaime\Por presentar a ECP\Cantagallo\Cristalina\[CRISTALINA_CF_SEC_New_09-Feb-2024.xlsx]D-PNP'!$BX$45</t>
  </si>
  <si>
    <t>='C:\Users\jaime.benazar\Quorum Business Solutions\Ecopetrol Prometeo - Documents\Planning Space Implementation\3. Analysis &amp; Design\Design\FC22\DRR Jaime\Por presentar a ECP\Cantagallo\Cristalina\[CRISTALINA_CF_SEC_New_09-Feb-2024.xlsx]D-PNP'!$BX$46</t>
  </si>
  <si>
    <t>='C:\Users\jaime.benazar\Quorum Business Solutions\Ecopetrol Prometeo - Documents\Planning Space Implementation\3. Analysis &amp; Design\Design\FC22\DRR Jaime\Por presentar a ECP\Cantagallo\Cristalina\[CRISTALINA_CF_SEC_New_09-Feb-2024.xlsx]D-PNP'!$BX$47</t>
  </si>
  <si>
    <t>='C:\Users\jaime.benazar\Quorum Business Solutions\Ecopetrol Prometeo - Documents\Planning Space Implementation\3. Analysis &amp; Design\Design\FC22\DRR Jaime\Por presentar a ECP\Cantagallo\Cristalina\[CRISTALINA_CF_SEC_New_09-Feb-2024.xlsx]D-PNP'!$BX$48</t>
  </si>
  <si>
    <t>='C:\Users\jaime.benazar\Quorum Business Solutions\Ecopetrol Prometeo - Documents\Planning Space Implementation\3. Analysis &amp; Design\Design\FC22\DRR Jaime\Por presentar a ECP\Cantagallo\Cristalina\[CRISTALINA_CF_SEC_New_09-Feb-2024.xlsx]D-PND'!$BX$12</t>
  </si>
  <si>
    <t>='C:\Users\jaime.benazar\Quorum Business Solutions\Ecopetrol Prometeo - Documents\Planning Space Implementation\3. Analysis &amp; Design\Design\FC22\DRR Jaime\Por presentar a ECP\Cantagallo\Cristalina\[CRISTALINA_CF_SEC_New_09-Feb-2024.xlsx]D-PND'!$BX$13</t>
  </si>
  <si>
    <t>='C:\Users\jaime.benazar\Quorum Business Solutions\Ecopetrol Prometeo - Documents\Planning Space Implementation\3. Analysis &amp; Design\Design\FC22\DRR Jaime\Por presentar a ECP\Cantagallo\Cristalina\[CRISTALINA_CF_SEC_New_09-Feb-2024.xlsx]D-PND'!$BX$14</t>
  </si>
  <si>
    <t>='C:\Users\jaime.benazar\Quorum Business Solutions\Ecopetrol Prometeo - Documents\Planning Space Implementation\3. Analysis &amp; Design\Design\FC22\DRR Jaime\Por presentar a ECP\Cantagallo\Cristalina\[CRISTALINA_CF_SEC_New_09-Feb-2024.xlsx]D-PND'!$BX$15</t>
  </si>
  <si>
    <t>='C:\Users\jaime.benazar\Quorum Business Solutions\Ecopetrol Prometeo - Documents\Planning Space Implementation\3. Analysis &amp; Design\Design\FC22\DRR Jaime\Por presentar a ECP\Cantagallo\Cristalina\[CRISTALINA_CF_SEC_New_09-Feb-2024.xlsx]D-PND'!$BX$16</t>
  </si>
  <si>
    <t>='C:\Users\jaime.benazar\Quorum Business Solutions\Ecopetrol Prometeo - Documents\Planning Space Implementation\3. Analysis &amp; Design\Design\FC22\DRR Jaime\Por presentar a ECP\Cantagallo\Cristalina\[CRISTALINA_CF_SEC_New_09-Feb-2024.xlsx]D-PND'!$BX$17</t>
  </si>
  <si>
    <t>='C:\Users\jaime.benazar\Quorum Business Solutions\Ecopetrol Prometeo - Documents\Planning Space Implementation\3. Analysis &amp; Design\Design\FC22\DRR Jaime\Por presentar a ECP\Cantagallo\Cristalina\[CRISTALINA_CF_SEC_New_09-Feb-2024.xlsx]D-PND'!$BX$18</t>
  </si>
  <si>
    <t>='C:\Users\jaime.benazar\Quorum Business Solutions\Ecopetrol Prometeo - Documents\Planning Space Implementation\3. Analysis &amp; Design\Design\FC22\DRR Jaime\Por presentar a ECP\Cantagallo\Cristalina\[CRISTALINA_CF_SEC_New_09-Feb-2024.xlsx]D-PND'!$BX$19</t>
  </si>
  <si>
    <t>='C:\Users\jaime.benazar\Quorum Business Solutions\Ecopetrol Prometeo - Documents\Planning Space Implementation\3. Analysis &amp; Design\Design\FC22\DRR Jaime\Por presentar a ECP\Cantagallo\Cristalina\[CRISTALINA_CF_SEC_New_09-Feb-2024.xlsx]D-PND'!$BX$20</t>
  </si>
  <si>
    <t>='C:\Users\jaime.benazar\Quorum Business Solutions\Ecopetrol Prometeo - Documents\Planning Space Implementation\3. Analysis &amp; Design\Design\FC22\DRR Jaime\Por presentar a ECP\Cantagallo\Cristalina\[CRISTALINA_CF_SEC_New_09-Feb-2024.xlsx]D-PND'!$BX$21</t>
  </si>
  <si>
    <t>='C:\Users\jaime.benazar\Quorum Business Solutions\Ecopetrol Prometeo - Documents\Planning Space Implementation\3. Analysis &amp; Design\Design\FC22\DRR Jaime\Por presentar a ECP\Cantagallo\Cristalina\[CRISTALINA_CF_SEC_New_09-Feb-2024.xlsx]D-PND'!$BX$22</t>
  </si>
  <si>
    <t>='C:\Users\jaime.benazar\Quorum Business Solutions\Ecopetrol Prometeo - Documents\Planning Space Implementation\3. Analysis &amp; Design\Design\FC22\DRR Jaime\Por presentar a ECP\Cantagallo\Cristalina\[CRISTALINA_CF_SEC_New_09-Feb-2024.xlsx]D-PND'!$BX$23</t>
  </si>
  <si>
    <t>='C:\Users\jaime.benazar\Quorum Business Solutions\Ecopetrol Prometeo - Documents\Planning Space Implementation\3. Analysis &amp; Design\Design\FC22\DRR Jaime\Por presentar a ECP\Cantagallo\Cristalina\[CRISTALINA_CF_SEC_New_09-Feb-2024.xlsx]D-PND'!$BX$24</t>
  </si>
  <si>
    <t>='C:\Users\jaime.benazar\Quorum Business Solutions\Ecopetrol Prometeo - Documents\Planning Space Implementation\3. Analysis &amp; Design\Design\FC22\DRR Jaime\Por presentar a ECP\Cantagallo\Cristalina\[CRISTALINA_CF_SEC_New_09-Feb-2024.xlsx]D-PND'!$BX$25</t>
  </si>
  <si>
    <t>='C:\Users\jaime.benazar\Quorum Business Solutions\Ecopetrol Prometeo - Documents\Planning Space Implementation\3. Analysis &amp; Design\Design\FC22\DRR Jaime\Por presentar a ECP\Cantagallo\Cristalina\[CRISTALINA_CF_SEC_New_09-Feb-2024.xlsx]D-PND'!$BX$26</t>
  </si>
  <si>
    <t>='C:\Users\jaime.benazar\Quorum Business Solutions\Ecopetrol Prometeo - Documents\Planning Space Implementation\3. Analysis &amp; Design\Design\FC22\DRR Jaime\Por presentar a ECP\Cantagallo\Cristalina\[CRISTALINA_CF_SEC_New_09-Feb-2024.xlsx]D-PND'!$BX$27</t>
  </si>
  <si>
    <t>='C:\Users\jaime.benazar\Quorum Business Solutions\Ecopetrol Prometeo - Documents\Planning Space Implementation\3. Analysis &amp; Design\Design\FC22\DRR Jaime\Por presentar a ECP\Cantagallo\Cristalina\[CRISTALINA_CF_SEC_New_09-Feb-2024.xlsx]D-PND'!$BX$28</t>
  </si>
  <si>
    <t>='C:\Users\jaime.benazar\Quorum Business Solutions\Ecopetrol Prometeo - Documents\Planning Space Implementation\3. Analysis &amp; Design\Design\FC22\DRR Jaime\Por presentar a ECP\Cantagallo\Cristalina\[CRISTALINA_CF_SEC_New_09-Feb-2024.xlsx]D-PND'!$BX$29</t>
  </si>
  <si>
    <t>='C:\Users\jaime.benazar\Quorum Business Solutions\Ecopetrol Prometeo - Documents\Planning Space Implementation\3. Analysis &amp; Design\Design\FC22\DRR Jaime\Por presentar a ECP\Cantagallo\Cristalina\[CRISTALINA_CF_SEC_New_09-Feb-2024.xlsx]D-PND'!$BX$30</t>
  </si>
  <si>
    <t>='C:\Users\jaime.benazar\Quorum Business Solutions\Ecopetrol Prometeo - Documents\Planning Space Implementation\3. Analysis &amp; Design\Design\FC22\DRR Jaime\Por presentar a ECP\Cantagallo\Cristalina\[CRISTALINA_CF_SEC_New_09-Feb-2024.xlsx]D-PND'!$BX$31</t>
  </si>
  <si>
    <t>='C:\Users\jaime.benazar\Quorum Business Solutions\Ecopetrol Prometeo - Documents\Planning Space Implementation\3. Analysis &amp; Design\Design\FC22\DRR Jaime\Por presentar a ECP\Cantagallo\Cristalina\[CRISTALINA_CF_SEC_New_09-Feb-2024.xlsx]D-PND'!$BX$32</t>
  </si>
  <si>
    <t>='C:\Users\jaime.benazar\Quorum Business Solutions\Ecopetrol Prometeo - Documents\Planning Space Implementation\3. Analysis &amp; Design\Design\FC22\DRR Jaime\Por presentar a ECP\Cantagallo\Cristalina\[CRISTALINA_CF_SEC_New_09-Feb-2024.xlsx]D-PND'!$BX$33</t>
  </si>
  <si>
    <t>='C:\Users\jaime.benazar\Quorum Business Solutions\Ecopetrol Prometeo - Documents\Planning Space Implementation\3. Analysis &amp; Design\Design\FC22\DRR Jaime\Por presentar a ECP\Cantagallo\Cristalina\[CRISTALINA_CF_SEC_New_09-Feb-2024.xlsx]D-PND'!$BX$34</t>
  </si>
  <si>
    <t>='C:\Users\jaime.benazar\Quorum Business Solutions\Ecopetrol Prometeo - Documents\Planning Space Implementation\3. Analysis &amp; Design\Design\FC22\DRR Jaime\Por presentar a ECP\Cantagallo\Cristalina\[CRISTALINA_CF_SEC_New_09-Feb-2024.xlsx]D-PND'!$BX$35</t>
  </si>
  <si>
    <t>='C:\Users\jaime.benazar\Quorum Business Solutions\Ecopetrol Prometeo - Documents\Planning Space Implementation\3. Analysis &amp; Design\Design\FC22\DRR Jaime\Por presentar a ECP\Cantagallo\Cristalina\[CRISTALINA_CF_SEC_New_09-Feb-2024.xlsx]D-PND'!$BX$36</t>
  </si>
  <si>
    <t>='C:\Users\jaime.benazar\Quorum Business Solutions\Ecopetrol Prometeo - Documents\Planning Space Implementation\3. Analysis &amp; Design\Design\FC22\DRR Jaime\Por presentar a ECP\Cantagallo\Cristalina\[CRISTALINA_CF_SEC_New_09-Feb-2024.xlsx]D-PND'!$BX$37</t>
  </si>
  <si>
    <t>='C:\Users\jaime.benazar\Quorum Business Solutions\Ecopetrol Prometeo - Documents\Planning Space Implementation\3. Analysis &amp; Design\Design\FC22\DRR Jaime\Por presentar a ECP\Cantagallo\Cristalina\[CRISTALINA_CF_SEC_New_09-Feb-2024.xlsx]D-PND'!$BX$38</t>
  </si>
  <si>
    <t>='C:\Users\jaime.benazar\Quorum Business Solutions\Ecopetrol Prometeo - Documents\Planning Space Implementation\3. Analysis &amp; Design\Design\FC22\DRR Jaime\Por presentar a ECP\Cantagallo\Cristalina\[CRISTALINA_CF_SEC_New_09-Feb-2024.xlsx]D-PND'!$BX$39</t>
  </si>
  <si>
    <t>='C:\Users\jaime.benazar\Quorum Business Solutions\Ecopetrol Prometeo - Documents\Planning Space Implementation\3. Analysis &amp; Design\Design\FC22\DRR Jaime\Por presentar a ECP\Cantagallo\Cristalina\[CRISTALINA_CF_SEC_New_09-Feb-2024.xlsx]D-PND'!$BX$40</t>
  </si>
  <si>
    <t>='C:\Users\jaime.benazar\Quorum Business Solutions\Ecopetrol Prometeo - Documents\Planning Space Implementation\3. Analysis &amp; Design\Design\FC22\DRR Jaime\Por presentar a ECP\Cantagallo\Cristalina\[CRISTALINA_CF_SEC_New_09-Feb-2024.xlsx]D-PND'!$BX$41</t>
  </si>
  <si>
    <t>='C:\Users\jaime.benazar\Quorum Business Solutions\Ecopetrol Prometeo - Documents\Planning Space Implementation\3. Analysis &amp; Design\Design\FC22\DRR Jaime\Por presentar a ECP\Cantagallo\Cristalina\[CRISTALINA_CF_SEC_New_09-Feb-2024.xlsx]D-PND'!$BX$42</t>
  </si>
  <si>
    <t>='C:\Users\jaime.benazar\Quorum Business Solutions\Ecopetrol Prometeo - Documents\Planning Space Implementation\3. Analysis &amp; Design\Design\FC22\DRR Jaime\Por presentar a ECP\Cantagallo\Cristalina\[CRISTALINA_CF_SEC_New_09-Feb-2024.xlsx]D-PND'!$BX$43</t>
  </si>
  <si>
    <t>='C:\Users\jaime.benazar\Quorum Business Solutions\Ecopetrol Prometeo - Documents\Planning Space Implementation\3. Analysis &amp; Design\Design\FC22\DRR Jaime\Por presentar a ECP\Cantagallo\Cristalina\[CRISTALINA_CF_SEC_New_09-Feb-2024.xlsx]D-PND'!$BX$44</t>
  </si>
  <si>
    <t>='C:\Users\jaime.benazar\Quorum Business Solutions\Ecopetrol Prometeo - Documents\Planning Space Implementation\3. Analysis &amp; Design\Design\FC22\DRR Jaime\Por presentar a ECP\Cantagallo\Cristalina\[CRISTALINA_CF_SEC_New_09-Feb-2024.xlsx]D-PND'!$BX$45</t>
  </si>
  <si>
    <t>='C:\Users\jaime.benazar\Quorum Business Solutions\Ecopetrol Prometeo - Documents\Planning Space Implementation\3. Analysis &amp; Design\Design\FC22\DRR Jaime\Por presentar a ECP\Cantagallo\Cristalina\[CRISTALINA_CF_SEC_New_09-Feb-2024.xlsx]D-PND'!$BX$46</t>
  </si>
  <si>
    <t>='C:\Users\jaime.benazar\Quorum Business Solutions\Ecopetrol Prometeo - Documents\Planning Space Implementation\3. Analysis &amp; Design\Design\FC22\DRR Jaime\Por presentar a ECP\Cantagallo\Cristalina\[CRISTALINA_CF_SEC_New_09-Feb-2024.xlsx]D-PND'!$BX$47</t>
  </si>
  <si>
    <t>='C:\Users\jaime.benazar\Quorum Business Solutions\Ecopetrol Prometeo - Documents\Planning Space Implementation\3. Analysis &amp; Design\Design\FC22\DRR Jaime\Por presentar a ECP\Cantagallo\Cristalina\[CRISTALINA_CF_SEC_New_09-Feb-2024.xlsx]D-PND'!$BX$48</t>
  </si>
  <si>
    <t>='C:\Users\jaime.benazar\Quorum Business Solutions\Ecopetrol Prometeo - Documents\Planning Space Implementation\3. Analysis &amp; Design\Design\FC22\DRR Jaime\Por presentar a ECP\Cantagallo\Cristalina\[CRISTALINA_CF_SEC_New_09-Feb-2024.xlsx]D-PRB'!$BX$12</t>
  </si>
  <si>
    <t>='C:\Users\jaime.benazar\Quorum Business Solutions\Ecopetrol Prometeo - Documents\Planning Space Implementation\3. Analysis &amp; Design\Design\FC22\DRR Jaime\Por presentar a ECP\Cantagallo\Cristalina\[CRISTALINA_CF_SEC_New_09-Feb-2024.xlsx]D-PRB'!$BX$13</t>
  </si>
  <si>
    <t>='C:\Users\jaime.benazar\Quorum Business Solutions\Ecopetrol Prometeo - Documents\Planning Space Implementation\3. Analysis &amp; Design\Design\FC22\DRR Jaime\Por presentar a ECP\Cantagallo\Cristalina\[CRISTALINA_CF_SEC_New_09-Feb-2024.xlsx]D-PRB'!$BX$14</t>
  </si>
  <si>
    <t>='C:\Users\jaime.benazar\Quorum Business Solutions\Ecopetrol Prometeo - Documents\Planning Space Implementation\3. Analysis &amp; Design\Design\FC22\DRR Jaime\Por presentar a ECP\Cantagallo\Cristalina\[CRISTALINA_CF_SEC_New_09-Feb-2024.xlsx]D-PRB'!$BX$15</t>
  </si>
  <si>
    <t>='C:\Users\jaime.benazar\Quorum Business Solutions\Ecopetrol Prometeo - Documents\Planning Space Implementation\3. Analysis &amp; Design\Design\FC22\DRR Jaime\Por presentar a ECP\Cantagallo\Cristalina\[CRISTALINA_CF_SEC_New_09-Feb-2024.xlsx]D-PRB'!$BX$16</t>
  </si>
  <si>
    <t>='C:\Users\jaime.benazar\Quorum Business Solutions\Ecopetrol Prometeo - Documents\Planning Space Implementation\3. Analysis &amp; Design\Design\FC22\DRR Jaime\Por presentar a ECP\Cantagallo\Cristalina\[CRISTALINA_CF_SEC_New_09-Feb-2024.xlsx]D-PRB'!$BX$17</t>
  </si>
  <si>
    <t>='C:\Users\jaime.benazar\Quorum Business Solutions\Ecopetrol Prometeo - Documents\Planning Space Implementation\3. Analysis &amp; Design\Design\FC22\DRR Jaime\Por presentar a ECP\Cantagallo\Cristalina\[CRISTALINA_CF_SEC_New_09-Feb-2024.xlsx]D-PRB'!$BX$18</t>
  </si>
  <si>
    <t>='C:\Users\jaime.benazar\Quorum Business Solutions\Ecopetrol Prometeo - Documents\Planning Space Implementation\3. Analysis &amp; Design\Design\FC22\DRR Jaime\Por presentar a ECP\Cantagallo\Cristalina\[CRISTALINA_CF_SEC_New_09-Feb-2024.xlsx]D-PRB'!$BX$19</t>
  </si>
  <si>
    <t>='C:\Users\jaime.benazar\Quorum Business Solutions\Ecopetrol Prometeo - Documents\Planning Space Implementation\3. Analysis &amp; Design\Design\FC22\DRR Jaime\Por presentar a ECP\Cantagallo\Cristalina\[CRISTALINA_CF_SEC_New_09-Feb-2024.xlsx]D-PRB'!$BX$20</t>
  </si>
  <si>
    <t>='C:\Users\jaime.benazar\Quorum Business Solutions\Ecopetrol Prometeo - Documents\Planning Space Implementation\3. Analysis &amp; Design\Design\FC22\DRR Jaime\Por presentar a ECP\Cantagallo\Cristalina\[CRISTALINA_CF_SEC_New_09-Feb-2024.xlsx]D-PRB'!$BX$21</t>
  </si>
  <si>
    <t>='C:\Users\jaime.benazar\Quorum Business Solutions\Ecopetrol Prometeo - Documents\Planning Space Implementation\3. Analysis &amp; Design\Design\FC22\DRR Jaime\Por presentar a ECP\Cantagallo\Cristalina\[CRISTALINA_CF_SEC_New_09-Feb-2024.xlsx]D-PRB'!$BX$22</t>
  </si>
  <si>
    <t>='C:\Users\jaime.benazar\Quorum Business Solutions\Ecopetrol Prometeo - Documents\Planning Space Implementation\3. Analysis &amp; Design\Design\FC22\DRR Jaime\Por presentar a ECP\Cantagallo\Cristalina\[CRISTALINA_CF_SEC_New_09-Feb-2024.xlsx]D-PRB'!$BX$23</t>
  </si>
  <si>
    <t>='C:\Users\jaime.benazar\Quorum Business Solutions\Ecopetrol Prometeo - Documents\Planning Space Implementation\3. Analysis &amp; Design\Design\FC22\DRR Jaime\Por presentar a ECP\Cantagallo\Cristalina\[CRISTALINA_CF_SEC_New_09-Feb-2024.xlsx]D-PRB'!$BX$24</t>
  </si>
  <si>
    <t>='C:\Users\jaime.benazar\Quorum Business Solutions\Ecopetrol Prometeo - Documents\Planning Space Implementation\3. Analysis &amp; Design\Design\FC22\DRR Jaime\Por presentar a ECP\Cantagallo\Cristalina\[CRISTALINA_CF_SEC_New_09-Feb-2024.xlsx]D-PRB'!$BX$25</t>
  </si>
  <si>
    <t>='C:\Users\jaime.benazar\Quorum Business Solutions\Ecopetrol Prometeo - Documents\Planning Space Implementation\3. Analysis &amp; Design\Design\FC22\DRR Jaime\Por presentar a ECP\Cantagallo\Cristalina\[CRISTALINA_CF_SEC_New_09-Feb-2024.xlsx]D-PRB'!$BX$26</t>
  </si>
  <si>
    <t>='C:\Users\jaime.benazar\Quorum Business Solutions\Ecopetrol Prometeo - Documents\Planning Space Implementation\3. Analysis &amp; Design\Design\FC22\DRR Jaime\Por presentar a ECP\Cantagallo\Cristalina\[CRISTALINA_CF_SEC_New_09-Feb-2024.xlsx]D-PRB'!$BX$27</t>
  </si>
  <si>
    <t>='C:\Users\jaime.benazar\Quorum Business Solutions\Ecopetrol Prometeo - Documents\Planning Space Implementation\3. Analysis &amp; Design\Design\FC22\DRR Jaime\Por presentar a ECP\Cantagallo\Cristalina\[CRISTALINA_CF_SEC_New_09-Feb-2024.xlsx]D-PRB'!$BX$28</t>
  </si>
  <si>
    <t>='C:\Users\jaime.benazar\Quorum Business Solutions\Ecopetrol Prometeo - Documents\Planning Space Implementation\3. Analysis &amp; Design\Design\FC22\DRR Jaime\Por presentar a ECP\Cantagallo\Cristalina\[CRISTALINA_CF_SEC_New_09-Feb-2024.xlsx]D-PRB'!$BX$29</t>
  </si>
  <si>
    <t>='C:\Users\jaime.benazar\Quorum Business Solutions\Ecopetrol Prometeo - Documents\Planning Space Implementation\3. Analysis &amp; Design\Design\FC22\DRR Jaime\Por presentar a ECP\Cantagallo\Cristalina\[CRISTALINA_CF_SEC_New_09-Feb-2024.xlsx]D-PRB'!$BX$30</t>
  </si>
  <si>
    <t>='C:\Users\jaime.benazar\Quorum Business Solutions\Ecopetrol Prometeo - Documents\Planning Space Implementation\3. Analysis &amp; Design\Design\FC22\DRR Jaime\Por presentar a ECP\Cantagallo\Cristalina\[CRISTALINA_CF_SEC_New_09-Feb-2024.xlsx]D-PRB'!$BX$31</t>
  </si>
  <si>
    <t>='C:\Users\jaime.benazar\Quorum Business Solutions\Ecopetrol Prometeo - Documents\Planning Space Implementation\3. Analysis &amp; Design\Design\FC22\DRR Jaime\Por presentar a ECP\Cantagallo\Cristalina\[CRISTALINA_CF_SEC_New_09-Feb-2024.xlsx]D-PRB'!$BX$32</t>
  </si>
  <si>
    <t>='C:\Users\jaime.benazar\Quorum Business Solutions\Ecopetrol Prometeo - Documents\Planning Space Implementation\3. Analysis &amp; Design\Design\FC22\DRR Jaime\Por presentar a ECP\Cantagallo\Cristalina\[CRISTALINA_CF_SEC_New_09-Feb-2024.xlsx]D-PRB'!$BX$33</t>
  </si>
  <si>
    <t>='C:\Users\jaime.benazar\Quorum Business Solutions\Ecopetrol Prometeo - Documents\Planning Space Implementation\3. Analysis &amp; Design\Design\FC22\DRR Jaime\Por presentar a ECP\Cantagallo\Cristalina\[CRISTALINA_CF_SEC_New_09-Feb-2024.xlsx]D-PRB'!$BX$34</t>
  </si>
  <si>
    <t>='C:\Users\jaime.benazar\Quorum Business Solutions\Ecopetrol Prometeo - Documents\Planning Space Implementation\3. Analysis &amp; Design\Design\FC22\DRR Jaime\Por presentar a ECP\Cantagallo\Cristalina\[CRISTALINA_CF_SEC_New_09-Feb-2024.xlsx]D-PRB'!$BX$35</t>
  </si>
  <si>
    <t>='C:\Users\jaime.benazar\Quorum Business Solutions\Ecopetrol Prometeo - Documents\Planning Space Implementation\3. Analysis &amp; Design\Design\FC22\DRR Jaime\Por presentar a ECP\Cantagallo\Cristalina\[CRISTALINA_CF_SEC_New_09-Feb-2024.xlsx]D-PRB'!$BX$36</t>
  </si>
  <si>
    <t>='C:\Users\jaime.benazar\Quorum Business Solutions\Ecopetrol Prometeo - Documents\Planning Space Implementation\3. Analysis &amp; Design\Design\FC22\DRR Jaime\Por presentar a ECP\Cantagallo\Cristalina\[CRISTALINA_CF_SEC_New_09-Feb-2024.xlsx]D-PRB'!$BX$37</t>
  </si>
  <si>
    <t>='C:\Users\jaime.benazar\Quorum Business Solutions\Ecopetrol Prometeo - Documents\Planning Space Implementation\3. Analysis &amp; Design\Design\FC22\DRR Jaime\Por presentar a ECP\Cantagallo\Cristalina\[CRISTALINA_CF_SEC_New_09-Feb-2024.xlsx]D-PRB'!$BX$38</t>
  </si>
  <si>
    <t>='C:\Users\jaime.benazar\Quorum Business Solutions\Ecopetrol Prometeo - Documents\Planning Space Implementation\3. Analysis &amp; Design\Design\FC22\DRR Jaime\Por presentar a ECP\Cantagallo\Cristalina\[CRISTALINA_CF_SEC_New_09-Feb-2024.xlsx]D-PRB'!$BX$39</t>
  </si>
  <si>
    <t>='C:\Users\jaime.benazar\Quorum Business Solutions\Ecopetrol Prometeo - Documents\Planning Space Implementation\3. Analysis &amp; Design\Design\FC22\DRR Jaime\Por presentar a ECP\Cantagallo\Cristalina\[CRISTALINA_CF_SEC_New_09-Feb-2024.xlsx]D-PRB'!$BX$40</t>
  </si>
  <si>
    <t>='C:\Users\jaime.benazar\Quorum Business Solutions\Ecopetrol Prometeo - Documents\Planning Space Implementation\3. Analysis &amp; Design\Design\FC22\DRR Jaime\Por presentar a ECP\Cantagallo\Cristalina\[CRISTALINA_CF_SEC_New_09-Feb-2024.xlsx]D-PRB'!$BX$41</t>
  </si>
  <si>
    <t>='C:\Users\jaime.benazar\Quorum Business Solutions\Ecopetrol Prometeo - Documents\Planning Space Implementation\3. Analysis &amp; Design\Design\FC22\DRR Jaime\Por presentar a ECP\Cantagallo\Cristalina\[CRISTALINA_CF_SEC_New_09-Feb-2024.xlsx]D-PRB'!$BX$42</t>
  </si>
  <si>
    <t>='C:\Users\jaime.benazar\Quorum Business Solutions\Ecopetrol Prometeo - Documents\Planning Space Implementation\3. Analysis &amp; Design\Design\FC22\DRR Jaime\Por presentar a ECP\Cantagallo\Cristalina\[CRISTALINA_CF_SEC_New_09-Feb-2024.xlsx]D-PRB'!$BX$43</t>
  </si>
  <si>
    <t>='C:\Users\jaime.benazar\Quorum Business Solutions\Ecopetrol Prometeo - Documents\Planning Space Implementation\3. Analysis &amp; Design\Design\FC22\DRR Jaime\Por presentar a ECP\Cantagallo\Cristalina\[CRISTALINA_CF_SEC_New_09-Feb-2024.xlsx]D-PRB'!$BX$44</t>
  </si>
  <si>
    <t>='C:\Users\jaime.benazar\Quorum Business Solutions\Ecopetrol Prometeo - Documents\Planning Space Implementation\3. Analysis &amp; Design\Design\FC22\DRR Jaime\Por presentar a ECP\Cantagallo\Cristalina\[CRISTALINA_CF_SEC_New_09-Feb-2024.xlsx]D-PRB'!$BX$45</t>
  </si>
  <si>
    <t>='C:\Users\jaime.benazar\Quorum Business Solutions\Ecopetrol Prometeo - Documents\Planning Space Implementation\3. Analysis &amp; Design\Design\FC22\DRR Jaime\Por presentar a ECP\Cantagallo\Cristalina\[CRISTALINA_CF_SEC_New_09-Feb-2024.xlsx]D-PRB'!$BX$46</t>
  </si>
  <si>
    <t>='C:\Users\jaime.benazar\Quorum Business Solutions\Ecopetrol Prometeo - Documents\Planning Space Implementation\3. Analysis &amp; Design\Design\FC22\DRR Jaime\Por presentar a ECP\Cantagallo\Cristalina\[CRISTALINA_CF_SEC_New_09-Feb-2024.xlsx]D-PRB'!$BX$47</t>
  </si>
  <si>
    <t>='C:\Users\jaime.benazar\Quorum Business Solutions\Ecopetrol Prometeo - Documents\Planning Space Implementation\3. Analysis &amp; Design\Design\FC22\DRR Jaime\Por presentar a ECP\Cantagallo\Cristalina\[CRISTALINA_CF_SEC_New_09-Feb-2024.xlsx]D-PRB'!$BX$48</t>
  </si>
  <si>
    <t>='C:\Users\jaime.benazar\Quorum Business Solutions\Ecopetrol Prometeo - Documents\Planning Space Implementation\3. Analysis &amp; Design\Design\FC22\DRR Jaime\Por presentar a ECP\Cantagallo\Cristalina\[CRISTALINA_CF_SEC_New_09-Feb-2024.xlsx]D-PS'!$BX$12</t>
  </si>
  <si>
    <t>='C:\Users\jaime.benazar\Quorum Business Solutions\Ecopetrol Prometeo - Documents\Planning Space Implementation\3. Analysis &amp; Design\Design\FC22\DRR Jaime\Por presentar a ECP\Cantagallo\Cristalina\[CRISTALINA_CF_SEC_New_09-Feb-2024.xlsx]D-PS'!$BX$13</t>
  </si>
  <si>
    <t>='C:\Users\jaime.benazar\Quorum Business Solutions\Ecopetrol Prometeo - Documents\Planning Space Implementation\3. Analysis &amp; Design\Design\FC22\DRR Jaime\Por presentar a ECP\Cantagallo\Cristalina\[CRISTALINA_CF_SEC_New_09-Feb-2024.xlsx]D-PS'!$BX$14</t>
  </si>
  <si>
    <t>='C:\Users\jaime.benazar\Quorum Business Solutions\Ecopetrol Prometeo - Documents\Planning Space Implementation\3. Analysis &amp; Design\Design\FC22\DRR Jaime\Por presentar a ECP\Cantagallo\Cristalina\[CRISTALINA_CF_SEC_New_09-Feb-2024.xlsx]D-PS'!$BX$15</t>
  </si>
  <si>
    <t>='C:\Users\jaime.benazar\Quorum Business Solutions\Ecopetrol Prometeo - Documents\Planning Space Implementation\3. Analysis &amp; Design\Design\FC22\DRR Jaime\Por presentar a ECP\Cantagallo\Cristalina\[CRISTALINA_CF_SEC_New_09-Feb-2024.xlsx]D-PS'!$BX$16</t>
  </si>
  <si>
    <t>='C:\Users\jaime.benazar\Quorum Business Solutions\Ecopetrol Prometeo - Documents\Planning Space Implementation\3. Analysis &amp; Design\Design\FC22\DRR Jaime\Por presentar a ECP\Cantagallo\Cristalina\[CRISTALINA_CF_SEC_New_09-Feb-2024.xlsx]D-PS'!$BX$17</t>
  </si>
  <si>
    <t>='C:\Users\jaime.benazar\Quorum Business Solutions\Ecopetrol Prometeo - Documents\Planning Space Implementation\3. Analysis &amp; Design\Design\FC22\DRR Jaime\Por presentar a ECP\Cantagallo\Cristalina\[CRISTALINA_CF_SEC_New_09-Feb-2024.xlsx]D-PS'!$BX$18</t>
  </si>
  <si>
    <t>='C:\Users\jaime.benazar\Quorum Business Solutions\Ecopetrol Prometeo - Documents\Planning Space Implementation\3. Analysis &amp; Design\Design\FC22\DRR Jaime\Por presentar a ECP\Cantagallo\Cristalina\[CRISTALINA_CF_SEC_New_09-Feb-2024.xlsx]D-PS'!$BX$19</t>
  </si>
  <si>
    <t>='C:\Users\jaime.benazar\Quorum Business Solutions\Ecopetrol Prometeo - Documents\Planning Space Implementation\3. Analysis &amp; Design\Design\FC22\DRR Jaime\Por presentar a ECP\Cantagallo\Cristalina\[CRISTALINA_CF_SEC_New_09-Feb-2024.xlsx]D-PS'!$BX$20</t>
  </si>
  <si>
    <t>='C:\Users\jaime.benazar\Quorum Business Solutions\Ecopetrol Prometeo - Documents\Planning Space Implementation\3. Analysis &amp; Design\Design\FC22\DRR Jaime\Por presentar a ECP\Cantagallo\Cristalina\[CRISTALINA_CF_SEC_New_09-Feb-2024.xlsx]D-PS'!$BX$21</t>
  </si>
  <si>
    <t>='C:\Users\jaime.benazar\Quorum Business Solutions\Ecopetrol Prometeo - Documents\Planning Space Implementation\3. Analysis &amp; Design\Design\FC22\DRR Jaime\Por presentar a ECP\Cantagallo\Cristalina\[CRISTALINA_CF_SEC_New_09-Feb-2024.xlsx]D-PS'!$BX$22</t>
  </si>
  <si>
    <t>='C:\Users\jaime.benazar\Quorum Business Solutions\Ecopetrol Prometeo - Documents\Planning Space Implementation\3. Analysis &amp; Design\Design\FC22\DRR Jaime\Por presentar a ECP\Cantagallo\Cristalina\[CRISTALINA_CF_SEC_New_09-Feb-2024.xlsx]D-PS'!$BX$23</t>
  </si>
  <si>
    <t>='C:\Users\jaime.benazar\Quorum Business Solutions\Ecopetrol Prometeo - Documents\Planning Space Implementation\3. Analysis &amp; Design\Design\FC22\DRR Jaime\Por presentar a ECP\Cantagallo\Cristalina\[CRISTALINA_CF_SEC_New_09-Feb-2024.xlsx]D-PS'!$BX$24</t>
  </si>
  <si>
    <t>='C:\Users\jaime.benazar\Quorum Business Solutions\Ecopetrol Prometeo - Documents\Planning Space Implementation\3. Analysis &amp; Design\Design\FC22\DRR Jaime\Por presentar a ECP\Cantagallo\Cristalina\[CRISTALINA_CF_SEC_New_09-Feb-2024.xlsx]D-PS'!$BX$25</t>
  </si>
  <si>
    <t>='C:\Users\jaime.benazar\Quorum Business Solutions\Ecopetrol Prometeo - Documents\Planning Space Implementation\3. Analysis &amp; Design\Design\FC22\DRR Jaime\Por presentar a ECP\Cantagallo\Cristalina\[CRISTALINA_CF_SEC_New_09-Feb-2024.xlsx]D-PS'!$BX$26</t>
  </si>
  <si>
    <t>='C:\Users\jaime.benazar\Quorum Business Solutions\Ecopetrol Prometeo - Documents\Planning Space Implementation\3. Analysis &amp; Design\Design\FC22\DRR Jaime\Por presentar a ECP\Cantagallo\Cristalina\[CRISTALINA_CF_SEC_New_09-Feb-2024.xlsx]D-PS'!$BX$27</t>
  </si>
  <si>
    <t>='C:\Users\jaime.benazar\Quorum Business Solutions\Ecopetrol Prometeo - Documents\Planning Space Implementation\3. Analysis &amp; Design\Design\FC22\DRR Jaime\Por presentar a ECP\Cantagallo\Cristalina\[CRISTALINA_CF_SEC_New_09-Feb-2024.xlsx]D-PS'!$BX$28</t>
  </si>
  <si>
    <t>='C:\Users\jaime.benazar\Quorum Business Solutions\Ecopetrol Prometeo - Documents\Planning Space Implementation\3. Analysis &amp; Design\Design\FC22\DRR Jaime\Por presentar a ECP\Cantagallo\Cristalina\[CRISTALINA_CF_SEC_New_09-Feb-2024.xlsx]D-PS'!$BX$29</t>
  </si>
  <si>
    <t>='C:\Users\jaime.benazar\Quorum Business Solutions\Ecopetrol Prometeo - Documents\Planning Space Implementation\3. Analysis &amp; Design\Design\FC22\DRR Jaime\Por presentar a ECP\Cantagallo\Cristalina\[CRISTALINA_CF_SEC_New_09-Feb-2024.xlsx]D-PS'!$BX$30</t>
  </si>
  <si>
    <t>='C:\Users\jaime.benazar\Quorum Business Solutions\Ecopetrol Prometeo - Documents\Planning Space Implementation\3. Analysis &amp; Design\Design\FC22\DRR Jaime\Por presentar a ECP\Cantagallo\Cristalina\[CRISTALINA_CF_SEC_New_09-Feb-2024.xlsx]D-PS'!$BX$31</t>
  </si>
  <si>
    <t>='C:\Users\jaime.benazar\Quorum Business Solutions\Ecopetrol Prometeo - Documents\Planning Space Implementation\3. Analysis &amp; Design\Design\FC22\DRR Jaime\Por presentar a ECP\Cantagallo\Cristalina\[CRISTALINA_CF_SEC_New_09-Feb-2024.xlsx]D-PS'!$BX$32</t>
  </si>
  <si>
    <t>='C:\Users\jaime.benazar\Quorum Business Solutions\Ecopetrol Prometeo - Documents\Planning Space Implementation\3. Analysis &amp; Design\Design\FC22\DRR Jaime\Por presentar a ECP\Cantagallo\Cristalina\[CRISTALINA_CF_SEC_New_09-Feb-2024.xlsx]D-PS'!$BX$33</t>
  </si>
  <si>
    <t>='C:\Users\jaime.benazar\Quorum Business Solutions\Ecopetrol Prometeo - Documents\Planning Space Implementation\3. Analysis &amp; Design\Design\FC22\DRR Jaime\Por presentar a ECP\Cantagallo\Cristalina\[CRISTALINA_CF_SEC_New_09-Feb-2024.xlsx]D-PS'!$BX$34</t>
  </si>
  <si>
    <t>='C:\Users\jaime.benazar\Quorum Business Solutions\Ecopetrol Prometeo - Documents\Planning Space Implementation\3. Analysis &amp; Design\Design\FC22\DRR Jaime\Por presentar a ECP\Cantagallo\Cristalina\[CRISTALINA_CF_SEC_New_09-Feb-2024.xlsx]D-PS'!$BX$35</t>
  </si>
  <si>
    <t>='C:\Users\jaime.benazar\Quorum Business Solutions\Ecopetrol Prometeo - Documents\Planning Space Implementation\3. Analysis &amp; Design\Design\FC22\DRR Jaime\Por presentar a ECP\Cantagallo\Cristalina\[CRISTALINA_CF_SEC_New_09-Feb-2024.xlsx]D-PS'!$BX$36</t>
  </si>
  <si>
    <t>='C:\Users\jaime.benazar\Quorum Business Solutions\Ecopetrol Prometeo - Documents\Planning Space Implementation\3. Analysis &amp; Design\Design\FC22\DRR Jaime\Por presentar a ECP\Cantagallo\Cristalina\[CRISTALINA_CF_SEC_New_09-Feb-2024.xlsx]D-PS'!$BX$37</t>
  </si>
  <si>
    <t>='C:\Users\jaime.benazar\Quorum Business Solutions\Ecopetrol Prometeo - Documents\Planning Space Implementation\3. Analysis &amp; Design\Design\FC22\DRR Jaime\Por presentar a ECP\Cantagallo\Cristalina\[CRISTALINA_CF_SEC_New_09-Feb-2024.xlsx]D-PS'!$BX$38</t>
  </si>
  <si>
    <t>='C:\Users\jaime.benazar\Quorum Business Solutions\Ecopetrol Prometeo - Documents\Planning Space Implementation\3. Analysis &amp; Design\Design\FC22\DRR Jaime\Por presentar a ECP\Cantagallo\Cristalina\[CRISTALINA_CF_SEC_New_09-Feb-2024.xlsx]D-PS'!$BX$39</t>
  </si>
  <si>
    <t>='C:\Users\jaime.benazar\Quorum Business Solutions\Ecopetrol Prometeo - Documents\Planning Space Implementation\3. Analysis &amp; Design\Design\FC22\DRR Jaime\Por presentar a ECP\Cantagallo\Cristalina\[CRISTALINA_CF_SEC_New_09-Feb-2024.xlsx]D-PS'!$BX$40</t>
  </si>
  <si>
    <t>='C:\Users\jaime.benazar\Quorum Business Solutions\Ecopetrol Prometeo - Documents\Planning Space Implementation\3. Analysis &amp; Design\Design\FC22\DRR Jaime\Por presentar a ECP\Cantagallo\Cristalina\[CRISTALINA_CF_SEC_New_09-Feb-2024.xlsx]D-PS'!$BX$41</t>
  </si>
  <si>
    <t>='C:\Users\jaime.benazar\Quorum Business Solutions\Ecopetrol Prometeo - Documents\Planning Space Implementation\3. Analysis &amp; Design\Design\FC22\DRR Jaime\Por presentar a ECP\Cantagallo\Cristalina\[CRISTALINA_CF_SEC_New_09-Feb-2024.xlsx]D-PS'!$BX$42</t>
  </si>
  <si>
    <t>='C:\Users\jaime.benazar\Quorum Business Solutions\Ecopetrol Prometeo - Documents\Planning Space Implementation\3. Analysis &amp; Design\Design\FC22\DRR Jaime\Por presentar a ECP\Cantagallo\Cristalina\[CRISTALINA_CF_SEC_New_09-Feb-2024.xlsx]D-PS'!$BX$43</t>
  </si>
  <si>
    <t>='C:\Users\jaime.benazar\Quorum Business Solutions\Ecopetrol Prometeo - Documents\Planning Space Implementation\3. Analysis &amp; Design\Design\FC22\DRR Jaime\Por presentar a ECP\Cantagallo\Cristalina\[CRISTALINA_CF_SEC_New_09-Feb-2024.xlsx]D-PS'!$BX$44</t>
  </si>
  <si>
    <t>='C:\Users\jaime.benazar\Quorum Business Solutions\Ecopetrol Prometeo - Documents\Planning Space Implementation\3. Analysis &amp; Design\Design\FC22\DRR Jaime\Por presentar a ECP\Cantagallo\Cristalina\[CRISTALINA_CF_SEC_New_09-Feb-2024.xlsx]D-PS'!$BX$45</t>
  </si>
  <si>
    <t>='C:\Users\jaime.benazar\Quorum Business Solutions\Ecopetrol Prometeo - Documents\Planning Space Implementation\3. Analysis &amp; Design\Design\FC22\DRR Jaime\Por presentar a ECP\Cantagallo\Cristalina\[CRISTALINA_CF_SEC_New_09-Feb-2024.xlsx]D-PS'!$BX$46</t>
  </si>
  <si>
    <t>='C:\Users\jaime.benazar\Quorum Business Solutions\Ecopetrol Prometeo - Documents\Planning Space Implementation\3. Analysis &amp; Design\Design\FC22\DRR Jaime\Por presentar a ECP\Cantagallo\Cristalina\[CRISTALINA_CF_SEC_New_09-Feb-2024.xlsx]D-PS'!$BX$47</t>
  </si>
  <si>
    <t>='C:\Users\jaime.benazar\Quorum Business Solutions\Ecopetrol Prometeo - Documents\Planning Space Implementation\3. Analysis &amp; Design\Design\FC22\DRR Jaime\Por presentar a ECP\Cantagallo\Cristalina\[CRISTALINA_CF_SEC_New_09-Feb-2024.xlsx]D-PS'!$BX$48</t>
  </si>
  <si>
    <t>='C:\Users\jaime.benazar\Quorum Business Solutions\Ecopetrol Prometeo - Documents\Planning Space Implementation\3. Analysis &amp; Design\Design\FC22\DRR Jaime\Por presentar a ECP\Cantagallo\Cristalina\[CRISTALINA_CF_SEC_New_09-Feb-2024.xlsx]D-PDP'!$DC$12</t>
  </si>
  <si>
    <t>='C:\Users\jaime.benazar\Quorum Business Solutions\Ecopetrol Prometeo - Documents\Planning Space Implementation\3. Analysis &amp; Design\Design\FC22\DRR Jaime\Por presentar a ECP\Cantagallo\Cristalina\[CRISTALINA_CF_SEC_New_09-Feb-2024.xlsx]D-PDP'!$DC$13</t>
  </si>
  <si>
    <t>='C:\Users\jaime.benazar\Quorum Business Solutions\Ecopetrol Prometeo - Documents\Planning Space Implementation\3. Analysis &amp; Design\Design\FC22\DRR Jaime\Por presentar a ECP\Cantagallo\Cristalina\[CRISTALINA_CF_SEC_New_09-Feb-2024.xlsx]D-PDP'!$DC$14</t>
  </si>
  <si>
    <t>='C:\Users\jaime.benazar\Quorum Business Solutions\Ecopetrol Prometeo - Documents\Planning Space Implementation\3. Analysis &amp; Design\Design\FC22\DRR Jaime\Por presentar a ECP\Cantagallo\Cristalina\[CRISTALINA_CF_SEC_New_09-Feb-2024.xlsx]D-PDP'!$DC$15</t>
  </si>
  <si>
    <t>='C:\Users\jaime.benazar\Quorum Business Solutions\Ecopetrol Prometeo - Documents\Planning Space Implementation\3. Analysis &amp; Design\Design\FC22\DRR Jaime\Por presentar a ECP\Cantagallo\Cristalina\[CRISTALINA_CF_SEC_New_09-Feb-2024.xlsx]D-PDP'!$DC$16</t>
  </si>
  <si>
    <t>='C:\Users\jaime.benazar\Quorum Business Solutions\Ecopetrol Prometeo - Documents\Planning Space Implementation\3. Analysis &amp; Design\Design\FC22\DRR Jaime\Por presentar a ECP\Cantagallo\Cristalina\[CRISTALINA_CF_SEC_New_09-Feb-2024.xlsx]D-PDP'!$DC$17</t>
  </si>
  <si>
    <t>='C:\Users\jaime.benazar\Quorum Business Solutions\Ecopetrol Prometeo - Documents\Planning Space Implementation\3. Analysis &amp; Design\Design\FC22\DRR Jaime\Por presentar a ECP\Cantagallo\Cristalina\[CRISTALINA_CF_SEC_New_09-Feb-2024.xlsx]D-PDP'!$DC$18</t>
  </si>
  <si>
    <t>='C:\Users\jaime.benazar\Quorum Business Solutions\Ecopetrol Prometeo - Documents\Planning Space Implementation\3. Analysis &amp; Design\Design\FC22\DRR Jaime\Por presentar a ECP\Cantagallo\Cristalina\[CRISTALINA_CF_SEC_New_09-Feb-2024.xlsx]D-PDP'!$DC$19</t>
  </si>
  <si>
    <t>='C:\Users\jaime.benazar\Quorum Business Solutions\Ecopetrol Prometeo - Documents\Planning Space Implementation\3. Analysis &amp; Design\Design\FC22\DRR Jaime\Por presentar a ECP\Cantagallo\Cristalina\[CRISTALINA_CF_SEC_New_09-Feb-2024.xlsx]D-PDP'!$DC$20</t>
  </si>
  <si>
    <t>='C:\Users\jaime.benazar\Quorum Business Solutions\Ecopetrol Prometeo - Documents\Planning Space Implementation\3. Analysis &amp; Design\Design\FC22\DRR Jaime\Por presentar a ECP\Cantagallo\Cristalina\[CRISTALINA_CF_SEC_New_09-Feb-2024.xlsx]D-PDP'!$DC$21</t>
  </si>
  <si>
    <t>='C:\Users\jaime.benazar\Quorum Business Solutions\Ecopetrol Prometeo - Documents\Planning Space Implementation\3. Analysis &amp; Design\Design\FC22\DRR Jaime\Por presentar a ECP\Cantagallo\Cristalina\[CRISTALINA_CF_SEC_New_09-Feb-2024.xlsx]D-PDP'!$DC$22</t>
  </si>
  <si>
    <t>='C:\Users\jaime.benazar\Quorum Business Solutions\Ecopetrol Prometeo - Documents\Planning Space Implementation\3. Analysis &amp; Design\Design\FC22\DRR Jaime\Por presentar a ECP\Cantagallo\Cristalina\[CRISTALINA_CF_SEC_New_09-Feb-2024.xlsx]D-PDP'!$DC$23</t>
  </si>
  <si>
    <t>='C:\Users\jaime.benazar\Quorum Business Solutions\Ecopetrol Prometeo - Documents\Planning Space Implementation\3. Analysis &amp; Design\Design\FC22\DRR Jaime\Por presentar a ECP\Cantagallo\Cristalina\[CRISTALINA_CF_SEC_New_09-Feb-2024.xlsx]D-PDP'!$DC$24</t>
  </si>
  <si>
    <t>='C:\Users\jaime.benazar\Quorum Business Solutions\Ecopetrol Prometeo - Documents\Planning Space Implementation\3. Analysis &amp; Design\Design\FC22\DRR Jaime\Por presentar a ECP\Cantagallo\Cristalina\[CRISTALINA_CF_SEC_New_09-Feb-2024.xlsx]D-PDP'!$DC$25</t>
  </si>
  <si>
    <t>='C:\Users\jaime.benazar\Quorum Business Solutions\Ecopetrol Prometeo - Documents\Planning Space Implementation\3. Analysis &amp; Design\Design\FC22\DRR Jaime\Por presentar a ECP\Cantagallo\Cristalina\[CRISTALINA_CF_SEC_New_09-Feb-2024.xlsx]D-PDP'!$DC$26</t>
  </si>
  <si>
    <t>='C:\Users\jaime.benazar\Quorum Business Solutions\Ecopetrol Prometeo - Documents\Planning Space Implementation\3. Analysis &amp; Design\Design\FC22\DRR Jaime\Por presentar a ECP\Cantagallo\Cristalina\[CRISTALINA_CF_SEC_New_09-Feb-2024.xlsx]D-PDP'!$DC$27</t>
  </si>
  <si>
    <t>='C:\Users\jaime.benazar\Quorum Business Solutions\Ecopetrol Prometeo - Documents\Planning Space Implementation\3. Analysis &amp; Design\Design\FC22\DRR Jaime\Por presentar a ECP\Cantagallo\Cristalina\[CRISTALINA_CF_SEC_New_09-Feb-2024.xlsx]D-PDP'!$DC$28</t>
  </si>
  <si>
    <t>='C:\Users\jaime.benazar\Quorum Business Solutions\Ecopetrol Prometeo - Documents\Planning Space Implementation\3. Analysis &amp; Design\Design\FC22\DRR Jaime\Por presentar a ECP\Cantagallo\Cristalina\[CRISTALINA_CF_SEC_New_09-Feb-2024.xlsx]D-PDP'!$DC$29</t>
  </si>
  <si>
    <t>='C:\Users\jaime.benazar\Quorum Business Solutions\Ecopetrol Prometeo - Documents\Planning Space Implementation\3. Analysis &amp; Design\Design\FC22\DRR Jaime\Por presentar a ECP\Cantagallo\Cristalina\[CRISTALINA_CF_SEC_New_09-Feb-2024.xlsx]D-PDP'!$DC$30</t>
  </si>
  <si>
    <t>='C:\Users\jaime.benazar\Quorum Business Solutions\Ecopetrol Prometeo - Documents\Planning Space Implementation\3. Analysis &amp; Design\Design\FC22\DRR Jaime\Por presentar a ECP\Cantagallo\Cristalina\[CRISTALINA_CF_SEC_New_09-Feb-2024.xlsx]D-PDP'!$DC$31</t>
  </si>
  <si>
    <t>='C:\Users\jaime.benazar\Quorum Business Solutions\Ecopetrol Prometeo - Documents\Planning Space Implementation\3. Analysis &amp; Design\Design\FC22\DRR Jaime\Por presentar a ECP\Cantagallo\Cristalina\[CRISTALINA_CF_SEC_New_09-Feb-2024.xlsx]D-PDP'!$DC$32</t>
  </si>
  <si>
    <t>='C:\Users\jaime.benazar\Quorum Business Solutions\Ecopetrol Prometeo - Documents\Planning Space Implementation\3. Analysis &amp; Design\Design\FC22\DRR Jaime\Por presentar a ECP\Cantagallo\Cristalina\[CRISTALINA_CF_SEC_New_09-Feb-2024.xlsx]D-PDP'!$DC$33</t>
  </si>
  <si>
    <t>='C:\Users\jaime.benazar\Quorum Business Solutions\Ecopetrol Prometeo - Documents\Planning Space Implementation\3. Analysis &amp; Design\Design\FC22\DRR Jaime\Por presentar a ECP\Cantagallo\Cristalina\[CRISTALINA_CF_SEC_New_09-Feb-2024.xlsx]D-PDP'!$DC$34</t>
  </si>
  <si>
    <t>='C:\Users\jaime.benazar\Quorum Business Solutions\Ecopetrol Prometeo - Documents\Planning Space Implementation\3. Analysis &amp; Design\Design\FC22\DRR Jaime\Por presentar a ECP\Cantagallo\Cristalina\[CRISTALINA_CF_SEC_New_09-Feb-2024.xlsx]D-PDP'!$DC$35</t>
  </si>
  <si>
    <t>='C:\Users\jaime.benazar\Quorum Business Solutions\Ecopetrol Prometeo - Documents\Planning Space Implementation\3. Analysis &amp; Design\Design\FC22\DRR Jaime\Por presentar a ECP\Cantagallo\Cristalina\[CRISTALINA_CF_SEC_New_09-Feb-2024.xlsx]D-PDP'!$DC$36</t>
  </si>
  <si>
    <t>='C:\Users\jaime.benazar\Quorum Business Solutions\Ecopetrol Prometeo - Documents\Planning Space Implementation\3. Analysis &amp; Design\Design\FC22\DRR Jaime\Por presentar a ECP\Cantagallo\Cristalina\[CRISTALINA_CF_SEC_New_09-Feb-2024.xlsx]D-PDP'!$DC$37</t>
  </si>
  <si>
    <t>='C:\Users\jaime.benazar\Quorum Business Solutions\Ecopetrol Prometeo - Documents\Planning Space Implementation\3. Analysis &amp; Design\Design\FC22\DRR Jaime\Por presentar a ECP\Cantagallo\Cristalina\[CRISTALINA_CF_SEC_New_09-Feb-2024.xlsx]D-PDP'!$DC$38</t>
  </si>
  <si>
    <t>='C:\Users\jaime.benazar\Quorum Business Solutions\Ecopetrol Prometeo - Documents\Planning Space Implementation\3. Analysis &amp; Design\Design\FC22\DRR Jaime\Por presentar a ECP\Cantagallo\Cristalina\[CRISTALINA_CF_SEC_New_09-Feb-2024.xlsx]D-PDP'!$DC$39</t>
  </si>
  <si>
    <t>='C:\Users\jaime.benazar\Quorum Business Solutions\Ecopetrol Prometeo - Documents\Planning Space Implementation\3. Analysis &amp; Design\Design\FC22\DRR Jaime\Por presentar a ECP\Cantagallo\Cristalina\[CRISTALINA_CF_SEC_New_09-Feb-2024.xlsx]D-PDP'!$DC$40</t>
  </si>
  <si>
    <t>='C:\Users\jaime.benazar\Quorum Business Solutions\Ecopetrol Prometeo - Documents\Planning Space Implementation\3. Analysis &amp; Design\Design\FC22\DRR Jaime\Por presentar a ECP\Cantagallo\Cristalina\[CRISTALINA_CF_SEC_New_09-Feb-2024.xlsx]D-PDP'!$DC$41</t>
  </si>
  <si>
    <t>='C:\Users\jaime.benazar\Quorum Business Solutions\Ecopetrol Prometeo - Documents\Planning Space Implementation\3. Analysis &amp; Design\Design\FC22\DRR Jaime\Por presentar a ECP\Cantagallo\Cristalina\[CRISTALINA_CF_SEC_New_09-Feb-2024.xlsx]D-PDP'!$DC$42</t>
  </si>
  <si>
    <t>='C:\Users\jaime.benazar\Quorum Business Solutions\Ecopetrol Prometeo - Documents\Planning Space Implementation\3. Analysis &amp; Design\Design\FC22\DRR Jaime\Por presentar a ECP\Cantagallo\Cristalina\[CRISTALINA_CF_SEC_New_09-Feb-2024.xlsx]D-PDP'!$DC$43</t>
  </si>
  <si>
    <t>='C:\Users\jaime.benazar\Quorum Business Solutions\Ecopetrol Prometeo - Documents\Planning Space Implementation\3. Analysis &amp; Design\Design\FC22\DRR Jaime\Por presentar a ECP\Cantagallo\Cristalina\[CRISTALINA_CF_SEC_New_09-Feb-2024.xlsx]D-PDP'!$DC$44</t>
  </si>
  <si>
    <t>='C:\Users\jaime.benazar\Quorum Business Solutions\Ecopetrol Prometeo - Documents\Planning Space Implementation\3. Analysis &amp; Design\Design\FC22\DRR Jaime\Por presentar a ECP\Cantagallo\Cristalina\[CRISTALINA_CF_SEC_New_09-Feb-2024.xlsx]D-PDP'!$DC$45</t>
  </si>
  <si>
    <t>='C:\Users\jaime.benazar\Quorum Business Solutions\Ecopetrol Prometeo - Documents\Planning Space Implementation\3. Analysis &amp; Design\Design\FC22\DRR Jaime\Por presentar a ECP\Cantagallo\Cristalina\[CRISTALINA_CF_SEC_New_09-Feb-2024.xlsx]D-PDP'!$DC$46</t>
  </si>
  <si>
    <t>='C:\Users\jaime.benazar\Quorum Business Solutions\Ecopetrol Prometeo - Documents\Planning Space Implementation\3. Analysis &amp; Design\Design\FC22\DRR Jaime\Por presentar a ECP\Cantagallo\Cristalina\[CRISTALINA_CF_SEC_New_09-Feb-2024.xlsx]D-PDP'!$DC$47</t>
  </si>
  <si>
    <t>='C:\Users\jaime.benazar\Quorum Business Solutions\Ecopetrol Prometeo - Documents\Planning Space Implementation\3. Analysis &amp; Design\Design\FC22\DRR Jaime\Por presentar a ECP\Cantagallo\Cristalina\[CRISTALINA_CF_SEC_New_09-Feb-2024.xlsx]D-PDP'!$DC$48</t>
  </si>
  <si>
    <t>='C:\Users\jaime.benazar\Quorum Business Solutions\Ecopetrol Prometeo - Documents\Planning Space Implementation\3. Analysis &amp; Design\Design\FC22\DRR Jaime\Por presentar a ECP\Cantagallo\Cristalina\[CRISTALINA_CF_SEC_New_09-Feb-2024.xlsx]D-PNP'!$DC$12</t>
  </si>
  <si>
    <t>='C:\Users\jaime.benazar\Quorum Business Solutions\Ecopetrol Prometeo - Documents\Planning Space Implementation\3. Analysis &amp; Design\Design\FC22\DRR Jaime\Por presentar a ECP\Cantagallo\Cristalina\[CRISTALINA_CF_SEC_New_09-Feb-2024.xlsx]D-PNP'!$DC$13</t>
  </si>
  <si>
    <t>='C:\Users\jaime.benazar\Quorum Business Solutions\Ecopetrol Prometeo - Documents\Planning Space Implementation\3. Analysis &amp; Design\Design\FC22\DRR Jaime\Por presentar a ECP\Cantagallo\Cristalina\[CRISTALINA_CF_SEC_New_09-Feb-2024.xlsx]D-PNP'!$DC$14</t>
  </si>
  <si>
    <t>='C:\Users\jaime.benazar\Quorum Business Solutions\Ecopetrol Prometeo - Documents\Planning Space Implementation\3. Analysis &amp; Design\Design\FC22\DRR Jaime\Por presentar a ECP\Cantagallo\Cristalina\[CRISTALINA_CF_SEC_New_09-Feb-2024.xlsx]D-PNP'!$DC$15</t>
  </si>
  <si>
    <t>='C:\Users\jaime.benazar\Quorum Business Solutions\Ecopetrol Prometeo - Documents\Planning Space Implementation\3. Analysis &amp; Design\Design\FC22\DRR Jaime\Por presentar a ECP\Cantagallo\Cristalina\[CRISTALINA_CF_SEC_New_09-Feb-2024.xlsx]D-PNP'!$DC$16</t>
  </si>
  <si>
    <t>='C:\Users\jaime.benazar\Quorum Business Solutions\Ecopetrol Prometeo - Documents\Planning Space Implementation\3. Analysis &amp; Design\Design\FC22\DRR Jaime\Por presentar a ECP\Cantagallo\Cristalina\[CRISTALINA_CF_SEC_New_09-Feb-2024.xlsx]D-PNP'!$DC$17</t>
  </si>
  <si>
    <t>='C:\Users\jaime.benazar\Quorum Business Solutions\Ecopetrol Prometeo - Documents\Planning Space Implementation\3. Analysis &amp; Design\Design\FC22\DRR Jaime\Por presentar a ECP\Cantagallo\Cristalina\[CRISTALINA_CF_SEC_New_09-Feb-2024.xlsx]D-PNP'!$DC$18</t>
  </si>
  <si>
    <t>='C:\Users\jaime.benazar\Quorum Business Solutions\Ecopetrol Prometeo - Documents\Planning Space Implementation\3. Analysis &amp; Design\Design\FC22\DRR Jaime\Por presentar a ECP\Cantagallo\Cristalina\[CRISTALINA_CF_SEC_New_09-Feb-2024.xlsx]D-PNP'!$DC$19</t>
  </si>
  <si>
    <t>='C:\Users\jaime.benazar\Quorum Business Solutions\Ecopetrol Prometeo - Documents\Planning Space Implementation\3. Analysis &amp; Design\Design\FC22\DRR Jaime\Por presentar a ECP\Cantagallo\Cristalina\[CRISTALINA_CF_SEC_New_09-Feb-2024.xlsx]D-PNP'!$DC$20</t>
  </si>
  <si>
    <t>='C:\Users\jaime.benazar\Quorum Business Solutions\Ecopetrol Prometeo - Documents\Planning Space Implementation\3. Analysis &amp; Design\Design\FC22\DRR Jaime\Por presentar a ECP\Cantagallo\Cristalina\[CRISTALINA_CF_SEC_New_09-Feb-2024.xlsx]D-PNP'!$DC$21</t>
  </si>
  <si>
    <t>='C:\Users\jaime.benazar\Quorum Business Solutions\Ecopetrol Prometeo - Documents\Planning Space Implementation\3. Analysis &amp; Design\Design\FC22\DRR Jaime\Por presentar a ECP\Cantagallo\Cristalina\[CRISTALINA_CF_SEC_New_09-Feb-2024.xlsx]D-PNP'!$DC$22</t>
  </si>
  <si>
    <t>='C:\Users\jaime.benazar\Quorum Business Solutions\Ecopetrol Prometeo - Documents\Planning Space Implementation\3. Analysis &amp; Design\Design\FC22\DRR Jaime\Por presentar a ECP\Cantagallo\Cristalina\[CRISTALINA_CF_SEC_New_09-Feb-2024.xlsx]D-PNP'!$DC$23</t>
  </si>
  <si>
    <t>='C:\Users\jaime.benazar\Quorum Business Solutions\Ecopetrol Prometeo - Documents\Planning Space Implementation\3. Analysis &amp; Design\Design\FC22\DRR Jaime\Por presentar a ECP\Cantagallo\Cristalina\[CRISTALINA_CF_SEC_New_09-Feb-2024.xlsx]D-PNP'!$DC$24</t>
  </si>
  <si>
    <t>='C:\Users\jaime.benazar\Quorum Business Solutions\Ecopetrol Prometeo - Documents\Planning Space Implementation\3. Analysis &amp; Design\Design\FC22\DRR Jaime\Por presentar a ECP\Cantagallo\Cristalina\[CRISTALINA_CF_SEC_New_09-Feb-2024.xlsx]D-PNP'!$DC$25</t>
  </si>
  <si>
    <t>='C:\Users\jaime.benazar\Quorum Business Solutions\Ecopetrol Prometeo - Documents\Planning Space Implementation\3. Analysis &amp; Design\Design\FC22\DRR Jaime\Por presentar a ECP\Cantagallo\Cristalina\[CRISTALINA_CF_SEC_New_09-Feb-2024.xlsx]D-PNP'!$DC$26</t>
  </si>
  <si>
    <t>='C:\Users\jaime.benazar\Quorum Business Solutions\Ecopetrol Prometeo - Documents\Planning Space Implementation\3. Analysis &amp; Design\Design\FC22\DRR Jaime\Por presentar a ECP\Cantagallo\Cristalina\[CRISTALINA_CF_SEC_New_09-Feb-2024.xlsx]D-PNP'!$DC$27</t>
  </si>
  <si>
    <t>='C:\Users\jaime.benazar\Quorum Business Solutions\Ecopetrol Prometeo - Documents\Planning Space Implementation\3. Analysis &amp; Design\Design\FC22\DRR Jaime\Por presentar a ECP\Cantagallo\Cristalina\[CRISTALINA_CF_SEC_New_09-Feb-2024.xlsx]D-PNP'!$DC$28</t>
  </si>
  <si>
    <t>='C:\Users\jaime.benazar\Quorum Business Solutions\Ecopetrol Prometeo - Documents\Planning Space Implementation\3. Analysis &amp; Design\Design\FC22\DRR Jaime\Por presentar a ECP\Cantagallo\Cristalina\[CRISTALINA_CF_SEC_New_09-Feb-2024.xlsx]D-PNP'!$DC$29</t>
  </si>
  <si>
    <t>='C:\Users\jaime.benazar\Quorum Business Solutions\Ecopetrol Prometeo - Documents\Planning Space Implementation\3. Analysis &amp; Design\Design\FC22\DRR Jaime\Por presentar a ECP\Cantagallo\Cristalina\[CRISTALINA_CF_SEC_New_09-Feb-2024.xlsx]D-PNP'!$DC$30</t>
  </si>
  <si>
    <t>='C:\Users\jaime.benazar\Quorum Business Solutions\Ecopetrol Prometeo - Documents\Planning Space Implementation\3. Analysis &amp; Design\Design\FC22\DRR Jaime\Por presentar a ECP\Cantagallo\Cristalina\[CRISTALINA_CF_SEC_New_09-Feb-2024.xlsx]D-PNP'!$DC$31</t>
  </si>
  <si>
    <t>='C:\Users\jaime.benazar\Quorum Business Solutions\Ecopetrol Prometeo - Documents\Planning Space Implementation\3. Analysis &amp; Design\Design\FC22\DRR Jaime\Por presentar a ECP\Cantagallo\Cristalina\[CRISTALINA_CF_SEC_New_09-Feb-2024.xlsx]D-PNP'!$DC$32</t>
  </si>
  <si>
    <t>='C:\Users\jaime.benazar\Quorum Business Solutions\Ecopetrol Prometeo - Documents\Planning Space Implementation\3. Analysis &amp; Design\Design\FC22\DRR Jaime\Por presentar a ECP\Cantagallo\Cristalina\[CRISTALINA_CF_SEC_New_09-Feb-2024.xlsx]D-PNP'!$DC$33</t>
  </si>
  <si>
    <t>='C:\Users\jaime.benazar\Quorum Business Solutions\Ecopetrol Prometeo - Documents\Planning Space Implementation\3. Analysis &amp; Design\Design\FC22\DRR Jaime\Por presentar a ECP\Cantagallo\Cristalina\[CRISTALINA_CF_SEC_New_09-Feb-2024.xlsx]D-PNP'!$DC$34</t>
  </si>
  <si>
    <t>='C:\Users\jaime.benazar\Quorum Business Solutions\Ecopetrol Prometeo - Documents\Planning Space Implementation\3. Analysis &amp; Design\Design\FC22\DRR Jaime\Por presentar a ECP\Cantagallo\Cristalina\[CRISTALINA_CF_SEC_New_09-Feb-2024.xlsx]D-PNP'!$DC$35</t>
  </si>
  <si>
    <t>='C:\Users\jaime.benazar\Quorum Business Solutions\Ecopetrol Prometeo - Documents\Planning Space Implementation\3. Analysis &amp; Design\Design\FC22\DRR Jaime\Por presentar a ECP\Cantagallo\Cristalina\[CRISTALINA_CF_SEC_New_09-Feb-2024.xlsx]D-PNP'!$DC$36</t>
  </si>
  <si>
    <t>='C:\Users\jaime.benazar\Quorum Business Solutions\Ecopetrol Prometeo - Documents\Planning Space Implementation\3. Analysis &amp; Design\Design\FC22\DRR Jaime\Por presentar a ECP\Cantagallo\Cristalina\[CRISTALINA_CF_SEC_New_09-Feb-2024.xlsx]D-PNP'!$DC$37</t>
  </si>
  <si>
    <t>='C:\Users\jaime.benazar\Quorum Business Solutions\Ecopetrol Prometeo - Documents\Planning Space Implementation\3. Analysis &amp; Design\Design\FC22\DRR Jaime\Por presentar a ECP\Cantagallo\Cristalina\[CRISTALINA_CF_SEC_New_09-Feb-2024.xlsx]D-PNP'!$DC$38</t>
  </si>
  <si>
    <t>='C:\Users\jaime.benazar\Quorum Business Solutions\Ecopetrol Prometeo - Documents\Planning Space Implementation\3. Analysis &amp; Design\Design\FC22\DRR Jaime\Por presentar a ECP\Cantagallo\Cristalina\[CRISTALINA_CF_SEC_New_09-Feb-2024.xlsx]D-PNP'!$DC$39</t>
  </si>
  <si>
    <t>='C:\Users\jaime.benazar\Quorum Business Solutions\Ecopetrol Prometeo - Documents\Planning Space Implementation\3. Analysis &amp; Design\Design\FC22\DRR Jaime\Por presentar a ECP\Cantagallo\Cristalina\[CRISTALINA_CF_SEC_New_09-Feb-2024.xlsx]D-PNP'!$DC$40</t>
  </si>
  <si>
    <t>='C:\Users\jaime.benazar\Quorum Business Solutions\Ecopetrol Prometeo - Documents\Planning Space Implementation\3. Analysis &amp; Design\Design\FC22\DRR Jaime\Por presentar a ECP\Cantagallo\Cristalina\[CRISTALINA_CF_SEC_New_09-Feb-2024.xlsx]D-PNP'!$DC$41</t>
  </si>
  <si>
    <t>='C:\Users\jaime.benazar\Quorum Business Solutions\Ecopetrol Prometeo - Documents\Planning Space Implementation\3. Analysis &amp; Design\Design\FC22\DRR Jaime\Por presentar a ECP\Cantagallo\Cristalina\[CRISTALINA_CF_SEC_New_09-Feb-2024.xlsx]D-PNP'!$DC$42</t>
  </si>
  <si>
    <t>='C:\Users\jaime.benazar\Quorum Business Solutions\Ecopetrol Prometeo - Documents\Planning Space Implementation\3. Analysis &amp; Design\Design\FC22\DRR Jaime\Por presentar a ECP\Cantagallo\Cristalina\[CRISTALINA_CF_SEC_New_09-Feb-2024.xlsx]D-PNP'!$DC$43</t>
  </si>
  <si>
    <t>='C:\Users\jaime.benazar\Quorum Business Solutions\Ecopetrol Prometeo - Documents\Planning Space Implementation\3. Analysis &amp; Design\Design\FC22\DRR Jaime\Por presentar a ECP\Cantagallo\Cristalina\[CRISTALINA_CF_SEC_New_09-Feb-2024.xlsx]D-PNP'!$DC$44</t>
  </si>
  <si>
    <t>='C:\Users\jaime.benazar\Quorum Business Solutions\Ecopetrol Prometeo - Documents\Planning Space Implementation\3. Analysis &amp; Design\Design\FC22\DRR Jaime\Por presentar a ECP\Cantagallo\Cristalina\[CRISTALINA_CF_SEC_New_09-Feb-2024.xlsx]D-PNP'!$DC$45</t>
  </si>
  <si>
    <t>='C:\Users\jaime.benazar\Quorum Business Solutions\Ecopetrol Prometeo - Documents\Planning Space Implementation\3. Analysis &amp; Design\Design\FC22\DRR Jaime\Por presentar a ECP\Cantagallo\Cristalina\[CRISTALINA_CF_SEC_New_09-Feb-2024.xlsx]D-PNP'!$DC$46</t>
  </si>
  <si>
    <t>='C:\Users\jaime.benazar\Quorum Business Solutions\Ecopetrol Prometeo - Documents\Planning Space Implementation\3. Analysis &amp; Design\Design\FC22\DRR Jaime\Por presentar a ECP\Cantagallo\Cristalina\[CRISTALINA_CF_SEC_New_09-Feb-2024.xlsx]D-PNP'!$DC$47</t>
  </si>
  <si>
    <t>='C:\Users\jaime.benazar\Quorum Business Solutions\Ecopetrol Prometeo - Documents\Planning Space Implementation\3. Analysis &amp; Design\Design\FC22\DRR Jaime\Por presentar a ECP\Cantagallo\Cristalina\[CRISTALINA_CF_SEC_New_09-Feb-2024.xlsx]D-PNP'!$DC$48</t>
  </si>
  <si>
    <t>='C:\Users\jaime.benazar\Quorum Business Solutions\Ecopetrol Prometeo - Documents\Planning Space Implementation\3. Analysis &amp; Design\Design\FC22\DRR Jaime\Por presentar a ECP\Cantagallo\Cristalina\[CRISTALINA_CF_SEC_New_09-Feb-2024.xlsx]D-PND'!$DC$12</t>
  </si>
  <si>
    <t>='C:\Users\jaime.benazar\Quorum Business Solutions\Ecopetrol Prometeo - Documents\Planning Space Implementation\3. Analysis &amp; Design\Design\FC22\DRR Jaime\Por presentar a ECP\Cantagallo\Cristalina\[CRISTALINA_CF_SEC_New_09-Feb-2024.xlsx]D-PND'!$DC$13</t>
  </si>
  <si>
    <t>='C:\Users\jaime.benazar\Quorum Business Solutions\Ecopetrol Prometeo - Documents\Planning Space Implementation\3. Analysis &amp; Design\Design\FC22\DRR Jaime\Por presentar a ECP\Cantagallo\Cristalina\[CRISTALINA_CF_SEC_New_09-Feb-2024.xlsx]D-PND'!$DC$14</t>
  </si>
  <si>
    <t>='C:\Users\jaime.benazar\Quorum Business Solutions\Ecopetrol Prometeo - Documents\Planning Space Implementation\3. Analysis &amp; Design\Design\FC22\DRR Jaime\Por presentar a ECP\Cantagallo\Cristalina\[CRISTALINA_CF_SEC_New_09-Feb-2024.xlsx]D-PND'!$DC$15</t>
  </si>
  <si>
    <t>='C:\Users\jaime.benazar\Quorum Business Solutions\Ecopetrol Prometeo - Documents\Planning Space Implementation\3. Analysis &amp; Design\Design\FC22\DRR Jaime\Por presentar a ECP\Cantagallo\Cristalina\[CRISTALINA_CF_SEC_New_09-Feb-2024.xlsx]D-PND'!$DC$16</t>
  </si>
  <si>
    <t>='C:\Users\jaime.benazar\Quorum Business Solutions\Ecopetrol Prometeo - Documents\Planning Space Implementation\3. Analysis &amp; Design\Design\FC22\DRR Jaime\Por presentar a ECP\Cantagallo\Cristalina\[CRISTALINA_CF_SEC_New_09-Feb-2024.xlsx]D-PND'!$DC$17</t>
  </si>
  <si>
    <t>='C:\Users\jaime.benazar\Quorum Business Solutions\Ecopetrol Prometeo - Documents\Planning Space Implementation\3. Analysis &amp; Design\Design\FC22\DRR Jaime\Por presentar a ECP\Cantagallo\Cristalina\[CRISTALINA_CF_SEC_New_09-Feb-2024.xlsx]D-PND'!$DC$18</t>
  </si>
  <si>
    <t>='C:\Users\jaime.benazar\Quorum Business Solutions\Ecopetrol Prometeo - Documents\Planning Space Implementation\3. Analysis &amp; Design\Design\FC22\DRR Jaime\Por presentar a ECP\Cantagallo\Cristalina\[CRISTALINA_CF_SEC_New_09-Feb-2024.xlsx]D-PND'!$DC$19</t>
  </si>
  <si>
    <t>='C:\Users\jaime.benazar\Quorum Business Solutions\Ecopetrol Prometeo - Documents\Planning Space Implementation\3. Analysis &amp; Design\Design\FC22\DRR Jaime\Por presentar a ECP\Cantagallo\Cristalina\[CRISTALINA_CF_SEC_New_09-Feb-2024.xlsx]D-PND'!$DC$20</t>
  </si>
  <si>
    <t>='C:\Users\jaime.benazar\Quorum Business Solutions\Ecopetrol Prometeo - Documents\Planning Space Implementation\3. Analysis &amp; Design\Design\FC22\DRR Jaime\Por presentar a ECP\Cantagallo\Cristalina\[CRISTALINA_CF_SEC_New_09-Feb-2024.xlsx]D-PND'!$DC$21</t>
  </si>
  <si>
    <t>='C:\Users\jaime.benazar\Quorum Business Solutions\Ecopetrol Prometeo - Documents\Planning Space Implementation\3. Analysis &amp; Design\Design\FC22\DRR Jaime\Por presentar a ECP\Cantagallo\Cristalina\[CRISTALINA_CF_SEC_New_09-Feb-2024.xlsx]D-PND'!$DC$22</t>
  </si>
  <si>
    <t>='C:\Users\jaime.benazar\Quorum Business Solutions\Ecopetrol Prometeo - Documents\Planning Space Implementation\3. Analysis &amp; Design\Design\FC22\DRR Jaime\Por presentar a ECP\Cantagallo\Cristalina\[CRISTALINA_CF_SEC_New_09-Feb-2024.xlsx]D-PND'!$DC$23</t>
  </si>
  <si>
    <t>='C:\Users\jaime.benazar\Quorum Business Solutions\Ecopetrol Prometeo - Documents\Planning Space Implementation\3. Analysis &amp; Design\Design\FC22\DRR Jaime\Por presentar a ECP\Cantagallo\Cristalina\[CRISTALINA_CF_SEC_New_09-Feb-2024.xlsx]D-PND'!$DC$24</t>
  </si>
  <si>
    <t>='C:\Users\jaime.benazar\Quorum Business Solutions\Ecopetrol Prometeo - Documents\Planning Space Implementation\3. Analysis &amp; Design\Design\FC22\DRR Jaime\Por presentar a ECP\Cantagallo\Cristalina\[CRISTALINA_CF_SEC_New_09-Feb-2024.xlsx]D-PND'!$DC$25</t>
  </si>
  <si>
    <t>='C:\Users\jaime.benazar\Quorum Business Solutions\Ecopetrol Prometeo - Documents\Planning Space Implementation\3. Analysis &amp; Design\Design\FC22\DRR Jaime\Por presentar a ECP\Cantagallo\Cristalina\[CRISTALINA_CF_SEC_New_09-Feb-2024.xlsx]D-PND'!$DC$26</t>
  </si>
  <si>
    <t>='C:\Users\jaime.benazar\Quorum Business Solutions\Ecopetrol Prometeo - Documents\Planning Space Implementation\3. Analysis &amp; Design\Design\FC22\DRR Jaime\Por presentar a ECP\Cantagallo\Cristalina\[CRISTALINA_CF_SEC_New_09-Feb-2024.xlsx]D-PND'!$DC$27</t>
  </si>
  <si>
    <t>='C:\Users\jaime.benazar\Quorum Business Solutions\Ecopetrol Prometeo - Documents\Planning Space Implementation\3. Analysis &amp; Design\Design\FC22\DRR Jaime\Por presentar a ECP\Cantagallo\Cristalina\[CRISTALINA_CF_SEC_New_09-Feb-2024.xlsx]D-PND'!$DC$28</t>
  </si>
  <si>
    <t>='C:\Users\jaime.benazar\Quorum Business Solutions\Ecopetrol Prometeo - Documents\Planning Space Implementation\3. Analysis &amp; Design\Design\FC22\DRR Jaime\Por presentar a ECP\Cantagallo\Cristalina\[CRISTALINA_CF_SEC_New_09-Feb-2024.xlsx]D-PND'!$DC$29</t>
  </si>
  <si>
    <t>='C:\Users\jaime.benazar\Quorum Business Solutions\Ecopetrol Prometeo - Documents\Planning Space Implementation\3. Analysis &amp; Design\Design\FC22\DRR Jaime\Por presentar a ECP\Cantagallo\Cristalina\[CRISTALINA_CF_SEC_New_09-Feb-2024.xlsx]D-PND'!$DC$30</t>
  </si>
  <si>
    <t>='C:\Users\jaime.benazar\Quorum Business Solutions\Ecopetrol Prometeo - Documents\Planning Space Implementation\3. Analysis &amp; Design\Design\FC22\DRR Jaime\Por presentar a ECP\Cantagallo\Cristalina\[CRISTALINA_CF_SEC_New_09-Feb-2024.xlsx]D-PND'!$DC$31</t>
  </si>
  <si>
    <t>='C:\Users\jaime.benazar\Quorum Business Solutions\Ecopetrol Prometeo - Documents\Planning Space Implementation\3. Analysis &amp; Design\Design\FC22\DRR Jaime\Por presentar a ECP\Cantagallo\Cristalina\[CRISTALINA_CF_SEC_New_09-Feb-2024.xlsx]D-PND'!$DC$32</t>
  </si>
  <si>
    <t>='C:\Users\jaime.benazar\Quorum Business Solutions\Ecopetrol Prometeo - Documents\Planning Space Implementation\3. Analysis &amp; Design\Design\FC22\DRR Jaime\Por presentar a ECP\Cantagallo\Cristalina\[CRISTALINA_CF_SEC_New_09-Feb-2024.xlsx]D-PND'!$DC$33</t>
  </si>
  <si>
    <t>='C:\Users\jaime.benazar\Quorum Business Solutions\Ecopetrol Prometeo - Documents\Planning Space Implementation\3. Analysis &amp; Design\Design\FC22\DRR Jaime\Por presentar a ECP\Cantagallo\Cristalina\[CRISTALINA_CF_SEC_New_09-Feb-2024.xlsx]D-PND'!$DC$34</t>
  </si>
  <si>
    <t>='C:\Users\jaime.benazar\Quorum Business Solutions\Ecopetrol Prometeo - Documents\Planning Space Implementation\3. Analysis &amp; Design\Design\FC22\DRR Jaime\Por presentar a ECP\Cantagallo\Cristalina\[CRISTALINA_CF_SEC_New_09-Feb-2024.xlsx]D-PND'!$DC$35</t>
  </si>
  <si>
    <t>='C:\Users\jaime.benazar\Quorum Business Solutions\Ecopetrol Prometeo - Documents\Planning Space Implementation\3. Analysis &amp; Design\Design\FC22\DRR Jaime\Por presentar a ECP\Cantagallo\Cristalina\[CRISTALINA_CF_SEC_New_09-Feb-2024.xlsx]D-PND'!$DC$36</t>
  </si>
  <si>
    <t>='C:\Users\jaime.benazar\Quorum Business Solutions\Ecopetrol Prometeo - Documents\Planning Space Implementation\3. Analysis &amp; Design\Design\FC22\DRR Jaime\Por presentar a ECP\Cantagallo\Cristalina\[CRISTALINA_CF_SEC_New_09-Feb-2024.xlsx]D-PND'!$DC$37</t>
  </si>
  <si>
    <t>='C:\Users\jaime.benazar\Quorum Business Solutions\Ecopetrol Prometeo - Documents\Planning Space Implementation\3. Analysis &amp; Design\Design\FC22\DRR Jaime\Por presentar a ECP\Cantagallo\Cristalina\[CRISTALINA_CF_SEC_New_09-Feb-2024.xlsx]D-PND'!$DC$38</t>
  </si>
  <si>
    <t>='C:\Users\jaime.benazar\Quorum Business Solutions\Ecopetrol Prometeo - Documents\Planning Space Implementation\3. Analysis &amp; Design\Design\FC22\DRR Jaime\Por presentar a ECP\Cantagallo\Cristalina\[CRISTALINA_CF_SEC_New_09-Feb-2024.xlsx]D-PND'!$DC$39</t>
  </si>
  <si>
    <t>='C:\Users\jaime.benazar\Quorum Business Solutions\Ecopetrol Prometeo - Documents\Planning Space Implementation\3. Analysis &amp; Design\Design\FC22\DRR Jaime\Por presentar a ECP\Cantagallo\Cristalina\[CRISTALINA_CF_SEC_New_09-Feb-2024.xlsx]D-PND'!$DC$40</t>
  </si>
  <si>
    <t>='C:\Users\jaime.benazar\Quorum Business Solutions\Ecopetrol Prometeo - Documents\Planning Space Implementation\3. Analysis &amp; Design\Design\FC22\DRR Jaime\Por presentar a ECP\Cantagallo\Cristalina\[CRISTALINA_CF_SEC_New_09-Feb-2024.xlsx]D-PND'!$DC$41</t>
  </si>
  <si>
    <t>='C:\Users\jaime.benazar\Quorum Business Solutions\Ecopetrol Prometeo - Documents\Planning Space Implementation\3. Analysis &amp; Design\Design\FC22\DRR Jaime\Por presentar a ECP\Cantagallo\Cristalina\[CRISTALINA_CF_SEC_New_09-Feb-2024.xlsx]D-PND'!$DC$42</t>
  </si>
  <si>
    <t>='C:\Users\jaime.benazar\Quorum Business Solutions\Ecopetrol Prometeo - Documents\Planning Space Implementation\3. Analysis &amp; Design\Design\FC22\DRR Jaime\Por presentar a ECP\Cantagallo\Cristalina\[CRISTALINA_CF_SEC_New_09-Feb-2024.xlsx]D-PND'!$DC$43</t>
  </si>
  <si>
    <t>='C:\Users\jaime.benazar\Quorum Business Solutions\Ecopetrol Prometeo - Documents\Planning Space Implementation\3. Analysis &amp; Design\Design\FC22\DRR Jaime\Por presentar a ECP\Cantagallo\Cristalina\[CRISTALINA_CF_SEC_New_09-Feb-2024.xlsx]D-PND'!$DC$44</t>
  </si>
  <si>
    <t>='C:\Users\jaime.benazar\Quorum Business Solutions\Ecopetrol Prometeo - Documents\Planning Space Implementation\3. Analysis &amp; Design\Design\FC22\DRR Jaime\Por presentar a ECP\Cantagallo\Cristalina\[CRISTALINA_CF_SEC_New_09-Feb-2024.xlsx]D-PND'!$DC$45</t>
  </si>
  <si>
    <t>='C:\Users\jaime.benazar\Quorum Business Solutions\Ecopetrol Prometeo - Documents\Planning Space Implementation\3. Analysis &amp; Design\Design\FC22\DRR Jaime\Por presentar a ECP\Cantagallo\Cristalina\[CRISTALINA_CF_SEC_New_09-Feb-2024.xlsx]D-PND'!$DC$46</t>
  </si>
  <si>
    <t>='C:\Users\jaime.benazar\Quorum Business Solutions\Ecopetrol Prometeo - Documents\Planning Space Implementation\3. Analysis &amp; Design\Design\FC22\DRR Jaime\Por presentar a ECP\Cantagallo\Cristalina\[CRISTALINA_CF_SEC_New_09-Feb-2024.xlsx]D-PND'!$DC$47</t>
  </si>
  <si>
    <t>='C:\Users\jaime.benazar\Quorum Business Solutions\Ecopetrol Prometeo - Documents\Planning Space Implementation\3. Analysis &amp; Design\Design\FC22\DRR Jaime\Por presentar a ECP\Cantagallo\Cristalina\[CRISTALINA_CF_SEC_New_09-Feb-2024.xlsx]D-PND'!$DC$48</t>
  </si>
  <si>
    <t>='C:\Users\jaime.benazar\Quorum Business Solutions\Ecopetrol Prometeo - Documents\Planning Space Implementation\3. Analysis &amp; Design\Design\FC22\DRR Jaime\Por presentar a ECP\Cantagallo\Cristalina\[CRISTALINA_CF_SEC_New_09-Feb-2024.xlsx]D-PRB'!$DC$12</t>
  </si>
  <si>
    <t>='C:\Users\jaime.benazar\Quorum Business Solutions\Ecopetrol Prometeo - Documents\Planning Space Implementation\3. Analysis &amp; Design\Design\FC22\DRR Jaime\Por presentar a ECP\Cantagallo\Cristalina\[CRISTALINA_CF_SEC_New_09-Feb-2024.xlsx]D-PRB'!$DC$13</t>
  </si>
  <si>
    <t>='C:\Users\jaime.benazar\Quorum Business Solutions\Ecopetrol Prometeo - Documents\Planning Space Implementation\3. Analysis &amp; Design\Design\FC22\DRR Jaime\Por presentar a ECP\Cantagallo\Cristalina\[CRISTALINA_CF_SEC_New_09-Feb-2024.xlsx]D-PRB'!$DC$14</t>
  </si>
  <si>
    <t>='C:\Users\jaime.benazar\Quorum Business Solutions\Ecopetrol Prometeo - Documents\Planning Space Implementation\3. Analysis &amp; Design\Design\FC22\DRR Jaime\Por presentar a ECP\Cantagallo\Cristalina\[CRISTALINA_CF_SEC_New_09-Feb-2024.xlsx]D-PRB'!$DC$15</t>
  </si>
  <si>
    <t>='C:\Users\jaime.benazar\Quorum Business Solutions\Ecopetrol Prometeo - Documents\Planning Space Implementation\3. Analysis &amp; Design\Design\FC22\DRR Jaime\Por presentar a ECP\Cantagallo\Cristalina\[CRISTALINA_CF_SEC_New_09-Feb-2024.xlsx]D-PRB'!$DC$16</t>
  </si>
  <si>
    <t>='C:\Users\jaime.benazar\Quorum Business Solutions\Ecopetrol Prometeo - Documents\Planning Space Implementation\3. Analysis &amp; Design\Design\FC22\DRR Jaime\Por presentar a ECP\Cantagallo\Cristalina\[CRISTALINA_CF_SEC_New_09-Feb-2024.xlsx]D-PRB'!$DC$17</t>
  </si>
  <si>
    <t>='C:\Users\jaime.benazar\Quorum Business Solutions\Ecopetrol Prometeo - Documents\Planning Space Implementation\3. Analysis &amp; Design\Design\FC22\DRR Jaime\Por presentar a ECP\Cantagallo\Cristalina\[CRISTALINA_CF_SEC_New_09-Feb-2024.xlsx]D-PRB'!$DC$18</t>
  </si>
  <si>
    <t>='C:\Users\jaime.benazar\Quorum Business Solutions\Ecopetrol Prometeo - Documents\Planning Space Implementation\3. Analysis &amp; Design\Design\FC22\DRR Jaime\Por presentar a ECP\Cantagallo\Cristalina\[CRISTALINA_CF_SEC_New_09-Feb-2024.xlsx]D-PRB'!$DC$19</t>
  </si>
  <si>
    <t>='C:\Users\jaime.benazar\Quorum Business Solutions\Ecopetrol Prometeo - Documents\Planning Space Implementation\3. Analysis &amp; Design\Design\FC22\DRR Jaime\Por presentar a ECP\Cantagallo\Cristalina\[CRISTALINA_CF_SEC_New_09-Feb-2024.xlsx]D-PRB'!$DC$20</t>
  </si>
  <si>
    <t>='C:\Users\jaime.benazar\Quorum Business Solutions\Ecopetrol Prometeo - Documents\Planning Space Implementation\3. Analysis &amp; Design\Design\FC22\DRR Jaime\Por presentar a ECP\Cantagallo\Cristalina\[CRISTALINA_CF_SEC_New_09-Feb-2024.xlsx]D-PRB'!$DC$21</t>
  </si>
  <si>
    <t>='C:\Users\jaime.benazar\Quorum Business Solutions\Ecopetrol Prometeo - Documents\Planning Space Implementation\3. Analysis &amp; Design\Design\FC22\DRR Jaime\Por presentar a ECP\Cantagallo\Cristalina\[CRISTALINA_CF_SEC_New_09-Feb-2024.xlsx]D-PRB'!$DC$22</t>
  </si>
  <si>
    <t>='C:\Users\jaime.benazar\Quorum Business Solutions\Ecopetrol Prometeo - Documents\Planning Space Implementation\3. Analysis &amp; Design\Design\FC22\DRR Jaime\Por presentar a ECP\Cantagallo\Cristalina\[CRISTALINA_CF_SEC_New_09-Feb-2024.xlsx]D-PRB'!$DC$23</t>
  </si>
  <si>
    <t>='C:\Users\jaime.benazar\Quorum Business Solutions\Ecopetrol Prometeo - Documents\Planning Space Implementation\3. Analysis &amp; Design\Design\FC22\DRR Jaime\Por presentar a ECP\Cantagallo\Cristalina\[CRISTALINA_CF_SEC_New_09-Feb-2024.xlsx]D-PRB'!$DC$24</t>
  </si>
  <si>
    <t>='C:\Users\jaime.benazar\Quorum Business Solutions\Ecopetrol Prometeo - Documents\Planning Space Implementation\3. Analysis &amp; Design\Design\FC22\DRR Jaime\Por presentar a ECP\Cantagallo\Cristalina\[CRISTALINA_CF_SEC_New_09-Feb-2024.xlsx]D-PRB'!$DC$25</t>
  </si>
  <si>
    <t>='C:\Users\jaime.benazar\Quorum Business Solutions\Ecopetrol Prometeo - Documents\Planning Space Implementation\3. Analysis &amp; Design\Design\FC22\DRR Jaime\Por presentar a ECP\Cantagallo\Cristalina\[CRISTALINA_CF_SEC_New_09-Feb-2024.xlsx]D-PRB'!$DC$26</t>
  </si>
  <si>
    <t>='C:\Users\jaime.benazar\Quorum Business Solutions\Ecopetrol Prometeo - Documents\Planning Space Implementation\3. Analysis &amp; Design\Design\FC22\DRR Jaime\Por presentar a ECP\Cantagallo\Cristalina\[CRISTALINA_CF_SEC_New_09-Feb-2024.xlsx]D-PRB'!$DC$27</t>
  </si>
  <si>
    <t>='C:\Users\jaime.benazar\Quorum Business Solutions\Ecopetrol Prometeo - Documents\Planning Space Implementation\3. Analysis &amp; Design\Design\FC22\DRR Jaime\Por presentar a ECP\Cantagallo\Cristalina\[CRISTALINA_CF_SEC_New_09-Feb-2024.xlsx]D-PRB'!$DC$28</t>
  </si>
  <si>
    <t>='C:\Users\jaime.benazar\Quorum Business Solutions\Ecopetrol Prometeo - Documents\Planning Space Implementation\3. Analysis &amp; Design\Design\FC22\DRR Jaime\Por presentar a ECP\Cantagallo\Cristalina\[CRISTALINA_CF_SEC_New_09-Feb-2024.xlsx]D-PRB'!$DC$29</t>
  </si>
  <si>
    <t>='C:\Users\jaime.benazar\Quorum Business Solutions\Ecopetrol Prometeo - Documents\Planning Space Implementation\3. Analysis &amp; Design\Design\FC22\DRR Jaime\Por presentar a ECP\Cantagallo\Cristalina\[CRISTALINA_CF_SEC_New_09-Feb-2024.xlsx]D-PRB'!$DC$30</t>
  </si>
  <si>
    <t>='C:\Users\jaime.benazar\Quorum Business Solutions\Ecopetrol Prometeo - Documents\Planning Space Implementation\3. Analysis &amp; Design\Design\FC22\DRR Jaime\Por presentar a ECP\Cantagallo\Cristalina\[CRISTALINA_CF_SEC_New_09-Feb-2024.xlsx]D-PRB'!$DC$31</t>
  </si>
  <si>
    <t>='C:\Users\jaime.benazar\Quorum Business Solutions\Ecopetrol Prometeo - Documents\Planning Space Implementation\3. Analysis &amp; Design\Design\FC22\DRR Jaime\Por presentar a ECP\Cantagallo\Cristalina\[CRISTALINA_CF_SEC_New_09-Feb-2024.xlsx]D-PRB'!$DC$32</t>
  </si>
  <si>
    <t>='C:\Users\jaime.benazar\Quorum Business Solutions\Ecopetrol Prometeo - Documents\Planning Space Implementation\3. Analysis &amp; Design\Design\FC22\DRR Jaime\Por presentar a ECP\Cantagallo\Cristalina\[CRISTALINA_CF_SEC_New_09-Feb-2024.xlsx]D-PRB'!$DC$33</t>
  </si>
  <si>
    <t>='C:\Users\jaime.benazar\Quorum Business Solutions\Ecopetrol Prometeo - Documents\Planning Space Implementation\3. Analysis &amp; Design\Design\FC22\DRR Jaime\Por presentar a ECP\Cantagallo\Cristalina\[CRISTALINA_CF_SEC_New_09-Feb-2024.xlsx]D-PRB'!$DC$34</t>
  </si>
  <si>
    <t>='C:\Users\jaime.benazar\Quorum Business Solutions\Ecopetrol Prometeo - Documents\Planning Space Implementation\3. Analysis &amp; Design\Design\FC22\DRR Jaime\Por presentar a ECP\Cantagallo\Cristalina\[CRISTALINA_CF_SEC_New_09-Feb-2024.xlsx]D-PRB'!$DC$35</t>
  </si>
  <si>
    <t>='C:\Users\jaime.benazar\Quorum Business Solutions\Ecopetrol Prometeo - Documents\Planning Space Implementation\3. Analysis &amp; Design\Design\FC22\DRR Jaime\Por presentar a ECP\Cantagallo\Cristalina\[CRISTALINA_CF_SEC_New_09-Feb-2024.xlsx]D-PRB'!$DC$36</t>
  </si>
  <si>
    <t>='C:\Users\jaime.benazar\Quorum Business Solutions\Ecopetrol Prometeo - Documents\Planning Space Implementation\3. Analysis &amp; Design\Design\FC22\DRR Jaime\Por presentar a ECP\Cantagallo\Cristalina\[CRISTALINA_CF_SEC_New_09-Feb-2024.xlsx]D-PRB'!$DC$37</t>
  </si>
  <si>
    <t>='C:\Users\jaime.benazar\Quorum Business Solutions\Ecopetrol Prometeo - Documents\Planning Space Implementation\3. Analysis &amp; Design\Design\FC22\DRR Jaime\Por presentar a ECP\Cantagallo\Cristalina\[CRISTALINA_CF_SEC_New_09-Feb-2024.xlsx]D-PRB'!$DC$38</t>
  </si>
  <si>
    <t>='C:\Users\jaime.benazar\Quorum Business Solutions\Ecopetrol Prometeo - Documents\Planning Space Implementation\3. Analysis &amp; Design\Design\FC22\DRR Jaime\Por presentar a ECP\Cantagallo\Cristalina\[CRISTALINA_CF_SEC_New_09-Feb-2024.xlsx]D-PRB'!$DC$39</t>
  </si>
  <si>
    <t>='C:\Users\jaime.benazar\Quorum Business Solutions\Ecopetrol Prometeo - Documents\Planning Space Implementation\3. Analysis &amp; Design\Design\FC22\DRR Jaime\Por presentar a ECP\Cantagallo\Cristalina\[CRISTALINA_CF_SEC_New_09-Feb-2024.xlsx]D-PRB'!$DC$40</t>
  </si>
  <si>
    <t>='C:\Users\jaime.benazar\Quorum Business Solutions\Ecopetrol Prometeo - Documents\Planning Space Implementation\3. Analysis &amp; Design\Design\FC22\DRR Jaime\Por presentar a ECP\Cantagallo\Cristalina\[CRISTALINA_CF_SEC_New_09-Feb-2024.xlsx]D-PRB'!$DC$41</t>
  </si>
  <si>
    <t>='C:\Users\jaime.benazar\Quorum Business Solutions\Ecopetrol Prometeo - Documents\Planning Space Implementation\3. Analysis &amp; Design\Design\FC22\DRR Jaime\Por presentar a ECP\Cantagallo\Cristalina\[CRISTALINA_CF_SEC_New_09-Feb-2024.xlsx]D-PRB'!$DC$42</t>
  </si>
  <si>
    <t>='C:\Users\jaime.benazar\Quorum Business Solutions\Ecopetrol Prometeo - Documents\Planning Space Implementation\3. Analysis &amp; Design\Design\FC22\DRR Jaime\Por presentar a ECP\Cantagallo\Cristalina\[CRISTALINA_CF_SEC_New_09-Feb-2024.xlsx]D-PRB'!$DC$43</t>
  </si>
  <si>
    <t>='C:\Users\jaime.benazar\Quorum Business Solutions\Ecopetrol Prometeo - Documents\Planning Space Implementation\3. Analysis &amp; Design\Design\FC22\DRR Jaime\Por presentar a ECP\Cantagallo\Cristalina\[CRISTALINA_CF_SEC_New_09-Feb-2024.xlsx]D-PRB'!$DC$44</t>
  </si>
  <si>
    <t>='C:\Users\jaime.benazar\Quorum Business Solutions\Ecopetrol Prometeo - Documents\Planning Space Implementation\3. Analysis &amp; Design\Design\FC22\DRR Jaime\Por presentar a ECP\Cantagallo\Cristalina\[CRISTALINA_CF_SEC_New_09-Feb-2024.xlsx]D-PRB'!$DC$45</t>
  </si>
  <si>
    <t>='C:\Users\jaime.benazar\Quorum Business Solutions\Ecopetrol Prometeo - Documents\Planning Space Implementation\3. Analysis &amp; Design\Design\FC22\DRR Jaime\Por presentar a ECP\Cantagallo\Cristalina\[CRISTALINA_CF_SEC_New_09-Feb-2024.xlsx]D-PRB'!$DC$46</t>
  </si>
  <si>
    <t>='C:\Users\jaime.benazar\Quorum Business Solutions\Ecopetrol Prometeo - Documents\Planning Space Implementation\3. Analysis &amp; Design\Design\FC22\DRR Jaime\Por presentar a ECP\Cantagallo\Cristalina\[CRISTALINA_CF_SEC_New_09-Feb-2024.xlsx]D-PRB'!$DC$47</t>
  </si>
  <si>
    <t>='C:\Users\jaime.benazar\Quorum Business Solutions\Ecopetrol Prometeo - Documents\Planning Space Implementation\3. Analysis &amp; Design\Design\FC22\DRR Jaime\Por presentar a ECP\Cantagallo\Cristalina\[CRISTALINA_CF_SEC_New_09-Feb-2024.xlsx]D-PRB'!$DC$48</t>
  </si>
  <si>
    <t>='C:\Users\jaime.benazar\Quorum Business Solutions\Ecopetrol Prometeo - Documents\Planning Space Implementation\3. Analysis &amp; Design\Design\FC22\DRR Jaime\Por presentar a ECP\Cantagallo\Cristalina\[CRISTALINA_CF_SEC_New_09-Feb-2024.xlsx]D-PS'!$DC$12</t>
  </si>
  <si>
    <t>='C:\Users\jaime.benazar\Quorum Business Solutions\Ecopetrol Prometeo - Documents\Planning Space Implementation\3. Analysis &amp; Design\Design\FC22\DRR Jaime\Por presentar a ECP\Cantagallo\Cristalina\[CRISTALINA_CF_SEC_New_09-Feb-2024.xlsx]D-PS'!$DC$13</t>
  </si>
  <si>
    <t>='C:\Users\jaime.benazar\Quorum Business Solutions\Ecopetrol Prometeo - Documents\Planning Space Implementation\3. Analysis &amp; Design\Design\FC22\DRR Jaime\Por presentar a ECP\Cantagallo\Cristalina\[CRISTALINA_CF_SEC_New_09-Feb-2024.xlsx]D-PS'!$DC$14</t>
  </si>
  <si>
    <t>='C:\Users\jaime.benazar\Quorum Business Solutions\Ecopetrol Prometeo - Documents\Planning Space Implementation\3. Analysis &amp; Design\Design\FC22\DRR Jaime\Por presentar a ECP\Cantagallo\Cristalina\[CRISTALINA_CF_SEC_New_09-Feb-2024.xlsx]D-PS'!$DC$15</t>
  </si>
  <si>
    <t>='C:\Users\jaime.benazar\Quorum Business Solutions\Ecopetrol Prometeo - Documents\Planning Space Implementation\3. Analysis &amp; Design\Design\FC22\DRR Jaime\Por presentar a ECP\Cantagallo\Cristalina\[CRISTALINA_CF_SEC_New_09-Feb-2024.xlsx]D-PS'!$DC$16</t>
  </si>
  <si>
    <t>='C:\Users\jaime.benazar\Quorum Business Solutions\Ecopetrol Prometeo - Documents\Planning Space Implementation\3. Analysis &amp; Design\Design\FC22\DRR Jaime\Por presentar a ECP\Cantagallo\Cristalina\[CRISTALINA_CF_SEC_New_09-Feb-2024.xlsx]D-PS'!$DC$17</t>
  </si>
  <si>
    <t>='C:\Users\jaime.benazar\Quorum Business Solutions\Ecopetrol Prometeo - Documents\Planning Space Implementation\3. Analysis &amp; Design\Design\FC22\DRR Jaime\Por presentar a ECP\Cantagallo\Cristalina\[CRISTALINA_CF_SEC_New_09-Feb-2024.xlsx]D-PS'!$DC$18</t>
  </si>
  <si>
    <t>='C:\Users\jaime.benazar\Quorum Business Solutions\Ecopetrol Prometeo - Documents\Planning Space Implementation\3. Analysis &amp; Design\Design\FC22\DRR Jaime\Por presentar a ECP\Cantagallo\Cristalina\[CRISTALINA_CF_SEC_New_09-Feb-2024.xlsx]D-PS'!$DC$19</t>
  </si>
  <si>
    <t>='C:\Users\jaime.benazar\Quorum Business Solutions\Ecopetrol Prometeo - Documents\Planning Space Implementation\3. Analysis &amp; Design\Design\FC22\DRR Jaime\Por presentar a ECP\Cantagallo\Cristalina\[CRISTALINA_CF_SEC_New_09-Feb-2024.xlsx]D-PS'!$DC$20</t>
  </si>
  <si>
    <t>='C:\Users\jaime.benazar\Quorum Business Solutions\Ecopetrol Prometeo - Documents\Planning Space Implementation\3. Analysis &amp; Design\Design\FC22\DRR Jaime\Por presentar a ECP\Cantagallo\Cristalina\[CRISTALINA_CF_SEC_New_09-Feb-2024.xlsx]D-PS'!$DC$21</t>
  </si>
  <si>
    <t>='C:\Users\jaime.benazar\Quorum Business Solutions\Ecopetrol Prometeo - Documents\Planning Space Implementation\3. Analysis &amp; Design\Design\FC22\DRR Jaime\Por presentar a ECP\Cantagallo\Cristalina\[CRISTALINA_CF_SEC_New_09-Feb-2024.xlsx]D-PS'!$DC$22</t>
  </si>
  <si>
    <t>='C:\Users\jaime.benazar\Quorum Business Solutions\Ecopetrol Prometeo - Documents\Planning Space Implementation\3. Analysis &amp; Design\Design\FC22\DRR Jaime\Por presentar a ECP\Cantagallo\Cristalina\[CRISTALINA_CF_SEC_New_09-Feb-2024.xlsx]D-PS'!$DC$23</t>
  </si>
  <si>
    <t>='C:\Users\jaime.benazar\Quorum Business Solutions\Ecopetrol Prometeo - Documents\Planning Space Implementation\3. Analysis &amp; Design\Design\FC22\DRR Jaime\Por presentar a ECP\Cantagallo\Cristalina\[CRISTALINA_CF_SEC_New_09-Feb-2024.xlsx]D-PS'!$DC$24</t>
  </si>
  <si>
    <t>='C:\Users\jaime.benazar\Quorum Business Solutions\Ecopetrol Prometeo - Documents\Planning Space Implementation\3. Analysis &amp; Design\Design\FC22\DRR Jaime\Por presentar a ECP\Cantagallo\Cristalina\[CRISTALINA_CF_SEC_New_09-Feb-2024.xlsx]D-PS'!$DC$25</t>
  </si>
  <si>
    <t>='C:\Users\jaime.benazar\Quorum Business Solutions\Ecopetrol Prometeo - Documents\Planning Space Implementation\3. Analysis &amp; Design\Design\FC22\DRR Jaime\Por presentar a ECP\Cantagallo\Cristalina\[CRISTALINA_CF_SEC_New_09-Feb-2024.xlsx]D-PS'!$DC$26</t>
  </si>
  <si>
    <t>='C:\Users\jaime.benazar\Quorum Business Solutions\Ecopetrol Prometeo - Documents\Planning Space Implementation\3. Analysis &amp; Design\Design\FC22\DRR Jaime\Por presentar a ECP\Cantagallo\Cristalina\[CRISTALINA_CF_SEC_New_09-Feb-2024.xlsx]D-PS'!$DC$27</t>
  </si>
  <si>
    <t>='C:\Users\jaime.benazar\Quorum Business Solutions\Ecopetrol Prometeo - Documents\Planning Space Implementation\3. Analysis &amp; Design\Design\FC22\DRR Jaime\Por presentar a ECP\Cantagallo\Cristalina\[CRISTALINA_CF_SEC_New_09-Feb-2024.xlsx]D-PS'!$DC$28</t>
  </si>
  <si>
    <t>='C:\Users\jaime.benazar\Quorum Business Solutions\Ecopetrol Prometeo - Documents\Planning Space Implementation\3. Analysis &amp; Design\Design\FC22\DRR Jaime\Por presentar a ECP\Cantagallo\Cristalina\[CRISTALINA_CF_SEC_New_09-Feb-2024.xlsx]D-PS'!$DC$29</t>
  </si>
  <si>
    <t>='C:\Users\jaime.benazar\Quorum Business Solutions\Ecopetrol Prometeo - Documents\Planning Space Implementation\3. Analysis &amp; Design\Design\FC22\DRR Jaime\Por presentar a ECP\Cantagallo\Cristalina\[CRISTALINA_CF_SEC_New_09-Feb-2024.xlsx]D-PS'!$DC$30</t>
  </si>
  <si>
    <t>='C:\Users\jaime.benazar\Quorum Business Solutions\Ecopetrol Prometeo - Documents\Planning Space Implementation\3. Analysis &amp; Design\Design\FC22\DRR Jaime\Por presentar a ECP\Cantagallo\Cristalina\[CRISTALINA_CF_SEC_New_09-Feb-2024.xlsx]D-PS'!$DC$31</t>
  </si>
  <si>
    <t>='C:\Users\jaime.benazar\Quorum Business Solutions\Ecopetrol Prometeo - Documents\Planning Space Implementation\3. Analysis &amp; Design\Design\FC22\DRR Jaime\Por presentar a ECP\Cantagallo\Cristalina\[CRISTALINA_CF_SEC_New_09-Feb-2024.xlsx]D-PS'!$DC$32</t>
  </si>
  <si>
    <t>='C:\Users\jaime.benazar\Quorum Business Solutions\Ecopetrol Prometeo - Documents\Planning Space Implementation\3. Analysis &amp; Design\Design\FC22\DRR Jaime\Por presentar a ECP\Cantagallo\Cristalina\[CRISTALINA_CF_SEC_New_09-Feb-2024.xlsx]D-PS'!$DC$33</t>
  </si>
  <si>
    <t>='C:\Users\jaime.benazar\Quorum Business Solutions\Ecopetrol Prometeo - Documents\Planning Space Implementation\3. Analysis &amp; Design\Design\FC22\DRR Jaime\Por presentar a ECP\Cantagallo\Cristalina\[CRISTALINA_CF_SEC_New_09-Feb-2024.xlsx]D-PS'!$DC$34</t>
  </si>
  <si>
    <t>='C:\Users\jaime.benazar\Quorum Business Solutions\Ecopetrol Prometeo - Documents\Planning Space Implementation\3. Analysis &amp; Design\Design\FC22\DRR Jaime\Por presentar a ECP\Cantagallo\Cristalina\[CRISTALINA_CF_SEC_New_09-Feb-2024.xlsx]D-PS'!$DC$35</t>
  </si>
  <si>
    <t>='C:\Users\jaime.benazar\Quorum Business Solutions\Ecopetrol Prometeo - Documents\Planning Space Implementation\3. Analysis &amp; Design\Design\FC22\DRR Jaime\Por presentar a ECP\Cantagallo\Cristalina\[CRISTALINA_CF_SEC_New_09-Feb-2024.xlsx]D-PS'!$DC$36</t>
  </si>
  <si>
    <t>='C:\Users\jaime.benazar\Quorum Business Solutions\Ecopetrol Prometeo - Documents\Planning Space Implementation\3. Analysis &amp; Design\Design\FC22\DRR Jaime\Por presentar a ECP\Cantagallo\Cristalina\[CRISTALINA_CF_SEC_New_09-Feb-2024.xlsx]D-PS'!$DC$37</t>
  </si>
  <si>
    <t>='C:\Users\jaime.benazar\Quorum Business Solutions\Ecopetrol Prometeo - Documents\Planning Space Implementation\3. Analysis &amp; Design\Design\FC22\DRR Jaime\Por presentar a ECP\Cantagallo\Cristalina\[CRISTALINA_CF_SEC_New_09-Feb-2024.xlsx]D-PS'!$DC$38</t>
  </si>
  <si>
    <t>='C:\Users\jaime.benazar\Quorum Business Solutions\Ecopetrol Prometeo - Documents\Planning Space Implementation\3. Analysis &amp; Design\Design\FC22\DRR Jaime\Por presentar a ECP\Cantagallo\Cristalina\[CRISTALINA_CF_SEC_New_09-Feb-2024.xlsx]D-PS'!$DC$39</t>
  </si>
  <si>
    <t>='C:\Users\jaime.benazar\Quorum Business Solutions\Ecopetrol Prometeo - Documents\Planning Space Implementation\3. Analysis &amp; Design\Design\FC22\DRR Jaime\Por presentar a ECP\Cantagallo\Cristalina\[CRISTALINA_CF_SEC_New_09-Feb-2024.xlsx]D-PS'!$DC$40</t>
  </si>
  <si>
    <t>='C:\Users\jaime.benazar\Quorum Business Solutions\Ecopetrol Prometeo - Documents\Planning Space Implementation\3. Analysis &amp; Design\Design\FC22\DRR Jaime\Por presentar a ECP\Cantagallo\Cristalina\[CRISTALINA_CF_SEC_New_09-Feb-2024.xlsx]D-PS'!$DC$41</t>
  </si>
  <si>
    <t>='C:\Users\jaime.benazar\Quorum Business Solutions\Ecopetrol Prometeo - Documents\Planning Space Implementation\3. Analysis &amp; Design\Design\FC22\DRR Jaime\Por presentar a ECP\Cantagallo\Cristalina\[CRISTALINA_CF_SEC_New_09-Feb-2024.xlsx]D-PS'!$DC$42</t>
  </si>
  <si>
    <t>='C:\Users\jaime.benazar\Quorum Business Solutions\Ecopetrol Prometeo - Documents\Planning Space Implementation\3. Analysis &amp; Design\Design\FC22\DRR Jaime\Por presentar a ECP\Cantagallo\Cristalina\[CRISTALINA_CF_SEC_New_09-Feb-2024.xlsx]D-PS'!$DC$43</t>
  </si>
  <si>
    <t>='C:\Users\jaime.benazar\Quorum Business Solutions\Ecopetrol Prometeo - Documents\Planning Space Implementation\3. Analysis &amp; Design\Design\FC22\DRR Jaime\Por presentar a ECP\Cantagallo\Cristalina\[CRISTALINA_CF_SEC_New_09-Feb-2024.xlsx]D-PS'!$DC$44</t>
  </si>
  <si>
    <t>='C:\Users\jaime.benazar\Quorum Business Solutions\Ecopetrol Prometeo - Documents\Planning Space Implementation\3. Analysis &amp; Design\Design\FC22\DRR Jaime\Por presentar a ECP\Cantagallo\Cristalina\[CRISTALINA_CF_SEC_New_09-Feb-2024.xlsx]D-PS'!$DC$45</t>
  </si>
  <si>
    <t>='C:\Users\jaime.benazar\Quorum Business Solutions\Ecopetrol Prometeo - Documents\Planning Space Implementation\3. Analysis &amp; Design\Design\FC22\DRR Jaime\Por presentar a ECP\Cantagallo\Cristalina\[CRISTALINA_CF_SEC_New_09-Feb-2024.xlsx]D-PS'!$DC$46</t>
  </si>
  <si>
    <t>='C:\Users\jaime.benazar\Quorum Business Solutions\Ecopetrol Prometeo - Documents\Planning Space Implementation\3. Analysis &amp; Design\Design\FC22\DRR Jaime\Por presentar a ECP\Cantagallo\Cristalina\[CRISTALINA_CF_SEC_New_09-Feb-2024.xlsx]D-PS'!$DC$47</t>
  </si>
  <si>
    <t>='C:\Users\jaime.benazar\Quorum Business Solutions\Ecopetrol Prometeo - Documents\Planning Space Implementation\3. Analysis &amp; Design\Design\FC22\DRR Jaime\Por presentar a ECP\Cantagallo\Cristalina\[CRISTALINA_CF_SEC_New_09-Feb-2024.xlsx]D-PS'!$DC$48</t>
  </si>
  <si>
    <t>='C:\Users\jaime.benazar\Quorum Business Solutions\Ecopetrol Prometeo - Documents\Planning Space Implementation\3. Analysis &amp; Design\Design\FC22\DRR Jaime\Por presentar a ECP\Cantagallo\Cristalina\[CRISTALINA_CF_SEC_New_09-Feb-2024.xlsx]D-PDP'!$EA$12</t>
  </si>
  <si>
    <t>='C:\Users\jaime.benazar\Quorum Business Solutions\Ecopetrol Prometeo - Documents\Planning Space Implementation\3. Analysis &amp; Design\Design\FC22\DRR Jaime\Por presentar a ECP\Cantagallo\Cristalina\[CRISTALINA_CF_SEC_New_09-Feb-2024.xlsx]D-PDP'!$EA$13</t>
  </si>
  <si>
    <t>='C:\Users\jaime.benazar\Quorum Business Solutions\Ecopetrol Prometeo - Documents\Planning Space Implementation\3. Analysis &amp; Design\Design\FC22\DRR Jaime\Por presentar a ECP\Cantagallo\Cristalina\[CRISTALINA_CF_SEC_New_09-Feb-2024.xlsx]D-PDP'!$EA$14</t>
  </si>
  <si>
    <t>='C:\Users\jaime.benazar\Quorum Business Solutions\Ecopetrol Prometeo - Documents\Planning Space Implementation\3. Analysis &amp; Design\Design\FC22\DRR Jaime\Por presentar a ECP\Cantagallo\Cristalina\[CRISTALINA_CF_SEC_New_09-Feb-2024.xlsx]D-PDP'!$EA$15</t>
  </si>
  <si>
    <t>='C:\Users\jaime.benazar\Quorum Business Solutions\Ecopetrol Prometeo - Documents\Planning Space Implementation\3. Analysis &amp; Design\Design\FC22\DRR Jaime\Por presentar a ECP\Cantagallo\Cristalina\[CRISTALINA_CF_SEC_New_09-Feb-2024.xlsx]D-PDP'!$EA$16</t>
  </si>
  <si>
    <t>='C:\Users\jaime.benazar\Quorum Business Solutions\Ecopetrol Prometeo - Documents\Planning Space Implementation\3. Analysis &amp; Design\Design\FC22\DRR Jaime\Por presentar a ECP\Cantagallo\Cristalina\[CRISTALINA_CF_SEC_New_09-Feb-2024.xlsx]D-PDP'!$EA$17</t>
  </si>
  <si>
    <t>='C:\Users\jaime.benazar\Quorum Business Solutions\Ecopetrol Prometeo - Documents\Planning Space Implementation\3. Analysis &amp; Design\Design\FC22\DRR Jaime\Por presentar a ECP\Cantagallo\Cristalina\[CRISTALINA_CF_SEC_New_09-Feb-2024.xlsx]D-PDP'!$EA$18</t>
  </si>
  <si>
    <t>='C:\Users\jaime.benazar\Quorum Business Solutions\Ecopetrol Prometeo - Documents\Planning Space Implementation\3. Analysis &amp; Design\Design\FC22\DRR Jaime\Por presentar a ECP\Cantagallo\Cristalina\[CRISTALINA_CF_SEC_New_09-Feb-2024.xlsx]D-PDP'!$EA$19</t>
  </si>
  <si>
    <t>='C:\Users\jaime.benazar\Quorum Business Solutions\Ecopetrol Prometeo - Documents\Planning Space Implementation\3. Analysis &amp; Design\Design\FC22\DRR Jaime\Por presentar a ECP\Cantagallo\Cristalina\[CRISTALINA_CF_SEC_New_09-Feb-2024.xlsx]D-PDP'!$EA$20</t>
  </si>
  <si>
    <t>='C:\Users\jaime.benazar\Quorum Business Solutions\Ecopetrol Prometeo - Documents\Planning Space Implementation\3. Analysis &amp; Design\Design\FC22\DRR Jaime\Por presentar a ECP\Cantagallo\Cristalina\[CRISTALINA_CF_SEC_New_09-Feb-2024.xlsx]D-PDP'!$EA$21</t>
  </si>
  <si>
    <t>='C:\Users\jaime.benazar\Quorum Business Solutions\Ecopetrol Prometeo - Documents\Planning Space Implementation\3. Analysis &amp; Design\Design\FC22\DRR Jaime\Por presentar a ECP\Cantagallo\Cristalina\[CRISTALINA_CF_SEC_New_09-Feb-2024.xlsx]D-PDP'!$EA$22</t>
  </si>
  <si>
    <t>='C:\Users\jaime.benazar\Quorum Business Solutions\Ecopetrol Prometeo - Documents\Planning Space Implementation\3. Analysis &amp; Design\Design\FC22\DRR Jaime\Por presentar a ECP\Cantagallo\Cristalina\[CRISTALINA_CF_SEC_New_09-Feb-2024.xlsx]D-PDP'!$EA$23</t>
  </si>
  <si>
    <t>='C:\Users\jaime.benazar\Quorum Business Solutions\Ecopetrol Prometeo - Documents\Planning Space Implementation\3. Analysis &amp; Design\Design\FC22\DRR Jaime\Por presentar a ECP\Cantagallo\Cristalina\[CRISTALINA_CF_SEC_New_09-Feb-2024.xlsx]D-PDP'!$EA$24</t>
  </si>
  <si>
    <t>='C:\Users\jaime.benazar\Quorum Business Solutions\Ecopetrol Prometeo - Documents\Planning Space Implementation\3. Analysis &amp; Design\Design\FC22\DRR Jaime\Por presentar a ECP\Cantagallo\Cristalina\[CRISTALINA_CF_SEC_New_09-Feb-2024.xlsx]D-PDP'!$EA$25</t>
  </si>
  <si>
    <t>='C:\Users\jaime.benazar\Quorum Business Solutions\Ecopetrol Prometeo - Documents\Planning Space Implementation\3. Analysis &amp; Design\Design\FC22\DRR Jaime\Por presentar a ECP\Cantagallo\Cristalina\[CRISTALINA_CF_SEC_New_09-Feb-2024.xlsx]D-PDP'!$EA$26</t>
  </si>
  <si>
    <t>='C:\Users\jaime.benazar\Quorum Business Solutions\Ecopetrol Prometeo - Documents\Planning Space Implementation\3. Analysis &amp; Design\Design\FC22\DRR Jaime\Por presentar a ECP\Cantagallo\Cristalina\[CRISTALINA_CF_SEC_New_09-Feb-2024.xlsx]D-PDP'!$EA$27</t>
  </si>
  <si>
    <t>='C:\Users\jaime.benazar\Quorum Business Solutions\Ecopetrol Prometeo - Documents\Planning Space Implementation\3. Analysis &amp; Design\Design\FC22\DRR Jaime\Por presentar a ECP\Cantagallo\Cristalina\[CRISTALINA_CF_SEC_New_09-Feb-2024.xlsx]D-PDP'!$EA$28</t>
  </si>
  <si>
    <t>='C:\Users\jaime.benazar\Quorum Business Solutions\Ecopetrol Prometeo - Documents\Planning Space Implementation\3. Analysis &amp; Design\Design\FC22\DRR Jaime\Por presentar a ECP\Cantagallo\Cristalina\[CRISTALINA_CF_SEC_New_09-Feb-2024.xlsx]D-PDP'!$EA$29</t>
  </si>
  <si>
    <t>='C:\Users\jaime.benazar\Quorum Business Solutions\Ecopetrol Prometeo - Documents\Planning Space Implementation\3. Analysis &amp; Design\Design\FC22\DRR Jaime\Por presentar a ECP\Cantagallo\Cristalina\[CRISTALINA_CF_SEC_New_09-Feb-2024.xlsx]D-PDP'!$EA$30</t>
  </si>
  <si>
    <t>='C:\Users\jaime.benazar\Quorum Business Solutions\Ecopetrol Prometeo - Documents\Planning Space Implementation\3. Analysis &amp; Design\Design\FC22\DRR Jaime\Por presentar a ECP\Cantagallo\Cristalina\[CRISTALINA_CF_SEC_New_09-Feb-2024.xlsx]D-PDP'!$EA$31</t>
  </si>
  <si>
    <t>='C:\Users\jaime.benazar\Quorum Business Solutions\Ecopetrol Prometeo - Documents\Planning Space Implementation\3. Analysis &amp; Design\Design\FC22\DRR Jaime\Por presentar a ECP\Cantagallo\Cristalina\[CRISTALINA_CF_SEC_New_09-Feb-2024.xlsx]D-PDP'!$EA$32</t>
  </si>
  <si>
    <t>='C:\Users\jaime.benazar\Quorum Business Solutions\Ecopetrol Prometeo - Documents\Planning Space Implementation\3. Analysis &amp; Design\Design\FC22\DRR Jaime\Por presentar a ECP\Cantagallo\Cristalina\[CRISTALINA_CF_SEC_New_09-Feb-2024.xlsx]D-PDP'!$EA$33</t>
  </si>
  <si>
    <t>='C:\Users\jaime.benazar\Quorum Business Solutions\Ecopetrol Prometeo - Documents\Planning Space Implementation\3. Analysis &amp; Design\Design\FC22\DRR Jaime\Por presentar a ECP\Cantagallo\Cristalina\[CRISTALINA_CF_SEC_New_09-Feb-2024.xlsx]D-PDP'!$EA$34</t>
  </si>
  <si>
    <t>='C:\Users\jaime.benazar\Quorum Business Solutions\Ecopetrol Prometeo - Documents\Planning Space Implementation\3. Analysis &amp; Design\Design\FC22\DRR Jaime\Por presentar a ECP\Cantagallo\Cristalina\[CRISTALINA_CF_SEC_New_09-Feb-2024.xlsx]D-PDP'!$EA$35</t>
  </si>
  <si>
    <t>='C:\Users\jaime.benazar\Quorum Business Solutions\Ecopetrol Prometeo - Documents\Planning Space Implementation\3. Analysis &amp; Design\Design\FC22\DRR Jaime\Por presentar a ECP\Cantagallo\Cristalina\[CRISTALINA_CF_SEC_New_09-Feb-2024.xlsx]D-PDP'!$EA$36</t>
  </si>
  <si>
    <t>='C:\Users\jaime.benazar\Quorum Business Solutions\Ecopetrol Prometeo - Documents\Planning Space Implementation\3. Analysis &amp; Design\Design\FC22\DRR Jaime\Por presentar a ECP\Cantagallo\Cristalina\[CRISTALINA_CF_SEC_New_09-Feb-2024.xlsx]D-PDP'!$EA$37</t>
  </si>
  <si>
    <t>='C:\Users\jaime.benazar\Quorum Business Solutions\Ecopetrol Prometeo - Documents\Planning Space Implementation\3. Analysis &amp; Design\Design\FC22\DRR Jaime\Por presentar a ECP\Cantagallo\Cristalina\[CRISTALINA_CF_SEC_New_09-Feb-2024.xlsx]D-PDP'!$EA$38</t>
  </si>
  <si>
    <t>='C:\Users\jaime.benazar\Quorum Business Solutions\Ecopetrol Prometeo - Documents\Planning Space Implementation\3. Analysis &amp; Design\Design\FC22\DRR Jaime\Por presentar a ECP\Cantagallo\Cristalina\[CRISTALINA_CF_SEC_New_09-Feb-2024.xlsx]D-PDP'!$EA$39</t>
  </si>
  <si>
    <t>='C:\Users\jaime.benazar\Quorum Business Solutions\Ecopetrol Prometeo - Documents\Planning Space Implementation\3. Analysis &amp; Design\Design\FC22\DRR Jaime\Por presentar a ECP\Cantagallo\Cristalina\[CRISTALINA_CF_SEC_New_09-Feb-2024.xlsx]D-PDP'!$EA$40</t>
  </si>
  <si>
    <t>='C:\Users\jaime.benazar\Quorum Business Solutions\Ecopetrol Prometeo - Documents\Planning Space Implementation\3. Analysis &amp; Design\Design\FC22\DRR Jaime\Por presentar a ECP\Cantagallo\Cristalina\[CRISTALINA_CF_SEC_New_09-Feb-2024.xlsx]D-PDP'!$EA$41</t>
  </si>
  <si>
    <t>='C:\Users\jaime.benazar\Quorum Business Solutions\Ecopetrol Prometeo - Documents\Planning Space Implementation\3. Analysis &amp; Design\Design\FC22\DRR Jaime\Por presentar a ECP\Cantagallo\Cristalina\[CRISTALINA_CF_SEC_New_09-Feb-2024.xlsx]D-PDP'!$EA$42</t>
  </si>
  <si>
    <t>='C:\Users\jaime.benazar\Quorum Business Solutions\Ecopetrol Prometeo - Documents\Planning Space Implementation\3. Analysis &amp; Design\Design\FC22\DRR Jaime\Por presentar a ECP\Cantagallo\Cristalina\[CRISTALINA_CF_SEC_New_09-Feb-2024.xlsx]D-PDP'!$EA$43</t>
  </si>
  <si>
    <t>='C:\Users\jaime.benazar\Quorum Business Solutions\Ecopetrol Prometeo - Documents\Planning Space Implementation\3. Analysis &amp; Design\Design\FC22\DRR Jaime\Por presentar a ECP\Cantagallo\Cristalina\[CRISTALINA_CF_SEC_New_09-Feb-2024.xlsx]D-PDP'!$EA$44</t>
  </si>
  <si>
    <t>='C:\Users\jaime.benazar\Quorum Business Solutions\Ecopetrol Prometeo - Documents\Planning Space Implementation\3. Analysis &amp; Design\Design\FC22\DRR Jaime\Por presentar a ECP\Cantagallo\Cristalina\[CRISTALINA_CF_SEC_New_09-Feb-2024.xlsx]D-PDP'!$EA$45</t>
  </si>
  <si>
    <t>='C:\Users\jaime.benazar\Quorum Business Solutions\Ecopetrol Prometeo - Documents\Planning Space Implementation\3. Analysis &amp; Design\Design\FC22\DRR Jaime\Por presentar a ECP\Cantagallo\Cristalina\[CRISTALINA_CF_SEC_New_09-Feb-2024.xlsx]D-PDP'!$EA$46</t>
  </si>
  <si>
    <t>='C:\Users\jaime.benazar\Quorum Business Solutions\Ecopetrol Prometeo - Documents\Planning Space Implementation\3. Analysis &amp; Design\Design\FC22\DRR Jaime\Por presentar a ECP\Cantagallo\Cristalina\[CRISTALINA_CF_SEC_New_09-Feb-2024.xlsx]D-PDP'!$EA$47</t>
  </si>
  <si>
    <t>='C:\Users\jaime.benazar\Quorum Business Solutions\Ecopetrol Prometeo - Documents\Planning Space Implementation\3. Analysis &amp; Design\Design\FC22\DRR Jaime\Por presentar a ECP\Cantagallo\Cristalina\[CRISTALINA_CF_SEC_New_09-Feb-2024.xlsx]D-PDP'!$EA$48</t>
  </si>
  <si>
    <t>='C:\Users\jaime.benazar\Quorum Business Solutions\Ecopetrol Prometeo - Documents\Planning Space Implementation\3. Analysis &amp; Design\Design\FC22\DRR Jaime\Por presentar a ECP\Cantagallo\Cristalina\[CRISTALINA_CF_SEC_New_09-Feb-2024.xlsx]D-PNP'!$EA$12</t>
  </si>
  <si>
    <t>='C:\Users\jaime.benazar\Quorum Business Solutions\Ecopetrol Prometeo - Documents\Planning Space Implementation\3. Analysis &amp; Design\Design\FC22\DRR Jaime\Por presentar a ECP\Cantagallo\Cristalina\[CRISTALINA_CF_SEC_New_09-Feb-2024.xlsx]D-PNP'!$EA$13</t>
  </si>
  <si>
    <t>='C:\Users\jaime.benazar\Quorum Business Solutions\Ecopetrol Prometeo - Documents\Planning Space Implementation\3. Analysis &amp; Design\Design\FC22\DRR Jaime\Por presentar a ECP\Cantagallo\Cristalina\[CRISTALINA_CF_SEC_New_09-Feb-2024.xlsx]D-PNP'!$EA$14</t>
  </si>
  <si>
    <t>='C:\Users\jaime.benazar\Quorum Business Solutions\Ecopetrol Prometeo - Documents\Planning Space Implementation\3. Analysis &amp; Design\Design\FC22\DRR Jaime\Por presentar a ECP\Cantagallo\Cristalina\[CRISTALINA_CF_SEC_New_09-Feb-2024.xlsx]D-PNP'!$EA$15</t>
  </si>
  <si>
    <t>='C:\Users\jaime.benazar\Quorum Business Solutions\Ecopetrol Prometeo - Documents\Planning Space Implementation\3. Analysis &amp; Design\Design\FC22\DRR Jaime\Por presentar a ECP\Cantagallo\Cristalina\[CRISTALINA_CF_SEC_New_09-Feb-2024.xlsx]D-PNP'!$EA$16</t>
  </si>
  <si>
    <t>='C:\Users\jaime.benazar\Quorum Business Solutions\Ecopetrol Prometeo - Documents\Planning Space Implementation\3. Analysis &amp; Design\Design\FC22\DRR Jaime\Por presentar a ECP\Cantagallo\Cristalina\[CRISTALINA_CF_SEC_New_09-Feb-2024.xlsx]D-PNP'!$EA$17</t>
  </si>
  <si>
    <t>='C:\Users\jaime.benazar\Quorum Business Solutions\Ecopetrol Prometeo - Documents\Planning Space Implementation\3. Analysis &amp; Design\Design\FC22\DRR Jaime\Por presentar a ECP\Cantagallo\Cristalina\[CRISTALINA_CF_SEC_New_09-Feb-2024.xlsx]D-PNP'!$EA$18</t>
  </si>
  <si>
    <t>='C:\Users\jaime.benazar\Quorum Business Solutions\Ecopetrol Prometeo - Documents\Planning Space Implementation\3. Analysis &amp; Design\Design\FC22\DRR Jaime\Por presentar a ECP\Cantagallo\Cristalina\[CRISTALINA_CF_SEC_New_09-Feb-2024.xlsx]D-PNP'!$EA$19</t>
  </si>
  <si>
    <t>='C:\Users\jaime.benazar\Quorum Business Solutions\Ecopetrol Prometeo - Documents\Planning Space Implementation\3. Analysis &amp; Design\Design\FC22\DRR Jaime\Por presentar a ECP\Cantagallo\Cristalina\[CRISTALINA_CF_SEC_New_09-Feb-2024.xlsx]D-PNP'!$EA$20</t>
  </si>
  <si>
    <t>='C:\Users\jaime.benazar\Quorum Business Solutions\Ecopetrol Prometeo - Documents\Planning Space Implementation\3. Analysis &amp; Design\Design\FC22\DRR Jaime\Por presentar a ECP\Cantagallo\Cristalina\[CRISTALINA_CF_SEC_New_09-Feb-2024.xlsx]D-PNP'!$EA$21</t>
  </si>
  <si>
    <t>='C:\Users\jaime.benazar\Quorum Business Solutions\Ecopetrol Prometeo - Documents\Planning Space Implementation\3. Analysis &amp; Design\Design\FC22\DRR Jaime\Por presentar a ECP\Cantagallo\Cristalina\[CRISTALINA_CF_SEC_New_09-Feb-2024.xlsx]D-PNP'!$EA$22</t>
  </si>
  <si>
    <t>='C:\Users\jaime.benazar\Quorum Business Solutions\Ecopetrol Prometeo - Documents\Planning Space Implementation\3. Analysis &amp; Design\Design\FC22\DRR Jaime\Por presentar a ECP\Cantagallo\Cristalina\[CRISTALINA_CF_SEC_New_09-Feb-2024.xlsx]D-PNP'!$EA$23</t>
  </si>
  <si>
    <t>='C:\Users\jaime.benazar\Quorum Business Solutions\Ecopetrol Prometeo - Documents\Planning Space Implementation\3. Analysis &amp; Design\Design\FC22\DRR Jaime\Por presentar a ECP\Cantagallo\Cristalina\[CRISTALINA_CF_SEC_New_09-Feb-2024.xlsx]D-PNP'!$EA$24</t>
  </si>
  <si>
    <t>='C:\Users\jaime.benazar\Quorum Business Solutions\Ecopetrol Prometeo - Documents\Planning Space Implementation\3. Analysis &amp; Design\Design\FC22\DRR Jaime\Por presentar a ECP\Cantagallo\Cristalina\[CRISTALINA_CF_SEC_New_09-Feb-2024.xlsx]D-PNP'!$EA$25</t>
  </si>
  <si>
    <t>='C:\Users\jaime.benazar\Quorum Business Solutions\Ecopetrol Prometeo - Documents\Planning Space Implementation\3. Analysis &amp; Design\Design\FC22\DRR Jaime\Por presentar a ECP\Cantagallo\Cristalina\[CRISTALINA_CF_SEC_New_09-Feb-2024.xlsx]D-PNP'!$EA$26</t>
  </si>
  <si>
    <t>='C:\Users\jaime.benazar\Quorum Business Solutions\Ecopetrol Prometeo - Documents\Planning Space Implementation\3. Analysis &amp; Design\Design\FC22\DRR Jaime\Por presentar a ECP\Cantagallo\Cristalina\[CRISTALINA_CF_SEC_New_09-Feb-2024.xlsx]D-PNP'!$EA$27</t>
  </si>
  <si>
    <t>='C:\Users\jaime.benazar\Quorum Business Solutions\Ecopetrol Prometeo - Documents\Planning Space Implementation\3. Analysis &amp; Design\Design\FC22\DRR Jaime\Por presentar a ECP\Cantagallo\Cristalina\[CRISTALINA_CF_SEC_New_09-Feb-2024.xlsx]D-PNP'!$EA$28</t>
  </si>
  <si>
    <t>='C:\Users\jaime.benazar\Quorum Business Solutions\Ecopetrol Prometeo - Documents\Planning Space Implementation\3. Analysis &amp; Design\Design\FC22\DRR Jaime\Por presentar a ECP\Cantagallo\Cristalina\[CRISTALINA_CF_SEC_New_09-Feb-2024.xlsx]D-PNP'!$EA$29</t>
  </si>
  <si>
    <t>='C:\Users\jaime.benazar\Quorum Business Solutions\Ecopetrol Prometeo - Documents\Planning Space Implementation\3. Analysis &amp; Design\Design\FC22\DRR Jaime\Por presentar a ECP\Cantagallo\Cristalina\[CRISTALINA_CF_SEC_New_09-Feb-2024.xlsx]D-PNP'!$EA$30</t>
  </si>
  <si>
    <t>='C:\Users\jaime.benazar\Quorum Business Solutions\Ecopetrol Prometeo - Documents\Planning Space Implementation\3. Analysis &amp; Design\Design\FC22\DRR Jaime\Por presentar a ECP\Cantagallo\Cristalina\[CRISTALINA_CF_SEC_New_09-Feb-2024.xlsx]D-PNP'!$EA$31</t>
  </si>
  <si>
    <t>='C:\Users\jaime.benazar\Quorum Business Solutions\Ecopetrol Prometeo - Documents\Planning Space Implementation\3. Analysis &amp; Design\Design\FC22\DRR Jaime\Por presentar a ECP\Cantagallo\Cristalina\[CRISTALINA_CF_SEC_New_09-Feb-2024.xlsx]D-PNP'!$EA$32</t>
  </si>
  <si>
    <t>='C:\Users\jaime.benazar\Quorum Business Solutions\Ecopetrol Prometeo - Documents\Planning Space Implementation\3. Analysis &amp; Design\Design\FC22\DRR Jaime\Por presentar a ECP\Cantagallo\Cristalina\[CRISTALINA_CF_SEC_New_09-Feb-2024.xlsx]D-PNP'!$EA$33</t>
  </si>
  <si>
    <t>='C:\Users\jaime.benazar\Quorum Business Solutions\Ecopetrol Prometeo - Documents\Planning Space Implementation\3. Analysis &amp; Design\Design\FC22\DRR Jaime\Por presentar a ECP\Cantagallo\Cristalina\[CRISTALINA_CF_SEC_New_09-Feb-2024.xlsx]D-PNP'!$EA$34</t>
  </si>
  <si>
    <t>='C:\Users\jaime.benazar\Quorum Business Solutions\Ecopetrol Prometeo - Documents\Planning Space Implementation\3. Analysis &amp; Design\Design\FC22\DRR Jaime\Por presentar a ECP\Cantagallo\Cristalina\[CRISTALINA_CF_SEC_New_09-Feb-2024.xlsx]D-PNP'!$EA$35</t>
  </si>
  <si>
    <t>='C:\Users\jaime.benazar\Quorum Business Solutions\Ecopetrol Prometeo - Documents\Planning Space Implementation\3. Analysis &amp; Design\Design\FC22\DRR Jaime\Por presentar a ECP\Cantagallo\Cristalina\[CRISTALINA_CF_SEC_New_09-Feb-2024.xlsx]D-PNP'!$EA$36</t>
  </si>
  <si>
    <t>='C:\Users\jaime.benazar\Quorum Business Solutions\Ecopetrol Prometeo - Documents\Planning Space Implementation\3. Analysis &amp; Design\Design\FC22\DRR Jaime\Por presentar a ECP\Cantagallo\Cristalina\[CRISTALINA_CF_SEC_New_09-Feb-2024.xlsx]D-PNP'!$EA$37</t>
  </si>
  <si>
    <t>='C:\Users\jaime.benazar\Quorum Business Solutions\Ecopetrol Prometeo - Documents\Planning Space Implementation\3. Analysis &amp; Design\Design\FC22\DRR Jaime\Por presentar a ECP\Cantagallo\Cristalina\[CRISTALINA_CF_SEC_New_09-Feb-2024.xlsx]D-PNP'!$EA$38</t>
  </si>
  <si>
    <t>='C:\Users\jaime.benazar\Quorum Business Solutions\Ecopetrol Prometeo - Documents\Planning Space Implementation\3. Analysis &amp; Design\Design\FC22\DRR Jaime\Por presentar a ECP\Cantagallo\Cristalina\[CRISTALINA_CF_SEC_New_09-Feb-2024.xlsx]D-PNP'!$EA$39</t>
  </si>
  <si>
    <t>='C:\Users\jaime.benazar\Quorum Business Solutions\Ecopetrol Prometeo - Documents\Planning Space Implementation\3. Analysis &amp; Design\Design\FC22\DRR Jaime\Por presentar a ECP\Cantagallo\Cristalina\[CRISTALINA_CF_SEC_New_09-Feb-2024.xlsx]D-PNP'!$EA$40</t>
  </si>
  <si>
    <t>='C:\Users\jaime.benazar\Quorum Business Solutions\Ecopetrol Prometeo - Documents\Planning Space Implementation\3. Analysis &amp; Design\Design\FC22\DRR Jaime\Por presentar a ECP\Cantagallo\Cristalina\[CRISTALINA_CF_SEC_New_09-Feb-2024.xlsx]D-PNP'!$EA$41</t>
  </si>
  <si>
    <t>='C:\Users\jaime.benazar\Quorum Business Solutions\Ecopetrol Prometeo - Documents\Planning Space Implementation\3. Analysis &amp; Design\Design\FC22\DRR Jaime\Por presentar a ECP\Cantagallo\Cristalina\[CRISTALINA_CF_SEC_New_09-Feb-2024.xlsx]D-PNP'!$EA$42</t>
  </si>
  <si>
    <t>='C:\Users\jaime.benazar\Quorum Business Solutions\Ecopetrol Prometeo - Documents\Planning Space Implementation\3. Analysis &amp; Design\Design\FC22\DRR Jaime\Por presentar a ECP\Cantagallo\Cristalina\[CRISTALINA_CF_SEC_New_09-Feb-2024.xlsx]D-PNP'!$EA$43</t>
  </si>
  <si>
    <t>='C:\Users\jaime.benazar\Quorum Business Solutions\Ecopetrol Prometeo - Documents\Planning Space Implementation\3. Analysis &amp; Design\Design\FC22\DRR Jaime\Por presentar a ECP\Cantagallo\Cristalina\[CRISTALINA_CF_SEC_New_09-Feb-2024.xlsx]D-PNP'!$EA$44</t>
  </si>
  <si>
    <t>='C:\Users\jaime.benazar\Quorum Business Solutions\Ecopetrol Prometeo - Documents\Planning Space Implementation\3. Analysis &amp; Design\Design\FC22\DRR Jaime\Por presentar a ECP\Cantagallo\Cristalina\[CRISTALINA_CF_SEC_New_09-Feb-2024.xlsx]D-PNP'!$EA$45</t>
  </si>
  <si>
    <t>='C:\Users\jaime.benazar\Quorum Business Solutions\Ecopetrol Prometeo - Documents\Planning Space Implementation\3. Analysis &amp; Design\Design\FC22\DRR Jaime\Por presentar a ECP\Cantagallo\Cristalina\[CRISTALINA_CF_SEC_New_09-Feb-2024.xlsx]D-PNP'!$EA$46</t>
  </si>
  <si>
    <t>='C:\Users\jaime.benazar\Quorum Business Solutions\Ecopetrol Prometeo - Documents\Planning Space Implementation\3. Analysis &amp; Design\Design\FC22\DRR Jaime\Por presentar a ECP\Cantagallo\Cristalina\[CRISTALINA_CF_SEC_New_09-Feb-2024.xlsx]D-PNP'!$EA$47</t>
  </si>
  <si>
    <t>='C:\Users\jaime.benazar\Quorum Business Solutions\Ecopetrol Prometeo - Documents\Planning Space Implementation\3. Analysis &amp; Design\Design\FC22\DRR Jaime\Por presentar a ECP\Cantagallo\Cristalina\[CRISTALINA_CF_SEC_New_09-Feb-2024.xlsx]D-PNP'!$EA$48</t>
  </si>
  <si>
    <t>='C:\Users\jaime.benazar\Quorum Business Solutions\Ecopetrol Prometeo - Documents\Planning Space Implementation\3. Analysis &amp; Design\Design\FC22\DRR Jaime\Por presentar a ECP\Cantagallo\Cristalina\[CRISTALINA_CF_SEC_New_09-Feb-2024.xlsx]D-PND'!$EA$12</t>
  </si>
  <si>
    <t>='C:\Users\jaime.benazar\Quorum Business Solutions\Ecopetrol Prometeo - Documents\Planning Space Implementation\3. Analysis &amp; Design\Design\FC22\DRR Jaime\Por presentar a ECP\Cantagallo\Cristalina\[CRISTALINA_CF_SEC_New_09-Feb-2024.xlsx]D-PND'!$EA$13</t>
  </si>
  <si>
    <t>='C:\Users\jaime.benazar\Quorum Business Solutions\Ecopetrol Prometeo - Documents\Planning Space Implementation\3. Analysis &amp; Design\Design\FC22\DRR Jaime\Por presentar a ECP\Cantagallo\Cristalina\[CRISTALINA_CF_SEC_New_09-Feb-2024.xlsx]D-PND'!$EA$14</t>
  </si>
  <si>
    <t>='C:\Users\jaime.benazar\Quorum Business Solutions\Ecopetrol Prometeo - Documents\Planning Space Implementation\3. Analysis &amp; Design\Design\FC22\DRR Jaime\Por presentar a ECP\Cantagallo\Cristalina\[CRISTALINA_CF_SEC_New_09-Feb-2024.xlsx]D-PND'!$EA$15</t>
  </si>
  <si>
    <t>='C:\Users\jaime.benazar\Quorum Business Solutions\Ecopetrol Prometeo - Documents\Planning Space Implementation\3. Analysis &amp; Design\Design\FC22\DRR Jaime\Por presentar a ECP\Cantagallo\Cristalina\[CRISTALINA_CF_SEC_New_09-Feb-2024.xlsx]D-PND'!$EA$16</t>
  </si>
  <si>
    <t>='C:\Users\jaime.benazar\Quorum Business Solutions\Ecopetrol Prometeo - Documents\Planning Space Implementation\3. Analysis &amp; Design\Design\FC22\DRR Jaime\Por presentar a ECP\Cantagallo\Cristalina\[CRISTALINA_CF_SEC_New_09-Feb-2024.xlsx]D-PND'!$EA$17</t>
  </si>
  <si>
    <t>='C:\Users\jaime.benazar\Quorum Business Solutions\Ecopetrol Prometeo - Documents\Planning Space Implementation\3. Analysis &amp; Design\Design\FC22\DRR Jaime\Por presentar a ECP\Cantagallo\Cristalina\[CRISTALINA_CF_SEC_New_09-Feb-2024.xlsx]D-PND'!$EA$18</t>
  </si>
  <si>
    <t>='C:\Users\jaime.benazar\Quorum Business Solutions\Ecopetrol Prometeo - Documents\Planning Space Implementation\3. Analysis &amp; Design\Design\FC22\DRR Jaime\Por presentar a ECP\Cantagallo\Cristalina\[CRISTALINA_CF_SEC_New_09-Feb-2024.xlsx]D-PND'!$EA$19</t>
  </si>
  <si>
    <t>='C:\Users\jaime.benazar\Quorum Business Solutions\Ecopetrol Prometeo - Documents\Planning Space Implementation\3. Analysis &amp; Design\Design\FC22\DRR Jaime\Por presentar a ECP\Cantagallo\Cristalina\[CRISTALINA_CF_SEC_New_09-Feb-2024.xlsx]D-PND'!$EA$20</t>
  </si>
  <si>
    <t>='C:\Users\jaime.benazar\Quorum Business Solutions\Ecopetrol Prometeo - Documents\Planning Space Implementation\3. Analysis &amp; Design\Design\FC22\DRR Jaime\Por presentar a ECP\Cantagallo\Cristalina\[CRISTALINA_CF_SEC_New_09-Feb-2024.xlsx]D-PND'!$EA$21</t>
  </si>
  <si>
    <t>='C:\Users\jaime.benazar\Quorum Business Solutions\Ecopetrol Prometeo - Documents\Planning Space Implementation\3. Analysis &amp; Design\Design\FC22\DRR Jaime\Por presentar a ECP\Cantagallo\Cristalina\[CRISTALINA_CF_SEC_New_09-Feb-2024.xlsx]D-PND'!$EA$22</t>
  </si>
  <si>
    <t>='C:\Users\jaime.benazar\Quorum Business Solutions\Ecopetrol Prometeo - Documents\Planning Space Implementation\3. Analysis &amp; Design\Design\FC22\DRR Jaime\Por presentar a ECP\Cantagallo\Cristalina\[CRISTALINA_CF_SEC_New_09-Feb-2024.xlsx]D-PND'!$EA$23</t>
  </si>
  <si>
    <t>='C:\Users\jaime.benazar\Quorum Business Solutions\Ecopetrol Prometeo - Documents\Planning Space Implementation\3. Analysis &amp; Design\Design\FC22\DRR Jaime\Por presentar a ECP\Cantagallo\Cristalina\[CRISTALINA_CF_SEC_New_09-Feb-2024.xlsx]D-PND'!$EA$24</t>
  </si>
  <si>
    <t>='C:\Users\jaime.benazar\Quorum Business Solutions\Ecopetrol Prometeo - Documents\Planning Space Implementation\3. Analysis &amp; Design\Design\FC22\DRR Jaime\Por presentar a ECP\Cantagallo\Cristalina\[CRISTALINA_CF_SEC_New_09-Feb-2024.xlsx]D-PND'!$EA$25</t>
  </si>
  <si>
    <t>='C:\Users\jaime.benazar\Quorum Business Solutions\Ecopetrol Prometeo - Documents\Planning Space Implementation\3. Analysis &amp; Design\Design\FC22\DRR Jaime\Por presentar a ECP\Cantagallo\Cristalina\[CRISTALINA_CF_SEC_New_09-Feb-2024.xlsx]D-PND'!$EA$26</t>
  </si>
  <si>
    <t>='C:\Users\jaime.benazar\Quorum Business Solutions\Ecopetrol Prometeo - Documents\Planning Space Implementation\3. Analysis &amp; Design\Design\FC22\DRR Jaime\Por presentar a ECP\Cantagallo\Cristalina\[CRISTALINA_CF_SEC_New_09-Feb-2024.xlsx]D-PND'!$EA$27</t>
  </si>
  <si>
    <t>='C:\Users\jaime.benazar\Quorum Business Solutions\Ecopetrol Prometeo - Documents\Planning Space Implementation\3. Analysis &amp; Design\Design\FC22\DRR Jaime\Por presentar a ECP\Cantagallo\Cristalina\[CRISTALINA_CF_SEC_New_09-Feb-2024.xlsx]D-PND'!$EA$28</t>
  </si>
  <si>
    <t>='C:\Users\jaime.benazar\Quorum Business Solutions\Ecopetrol Prometeo - Documents\Planning Space Implementation\3. Analysis &amp; Design\Design\FC22\DRR Jaime\Por presentar a ECP\Cantagallo\Cristalina\[CRISTALINA_CF_SEC_New_09-Feb-2024.xlsx]D-PND'!$EA$29</t>
  </si>
  <si>
    <t>='C:\Users\jaime.benazar\Quorum Business Solutions\Ecopetrol Prometeo - Documents\Planning Space Implementation\3. Analysis &amp; Design\Design\FC22\DRR Jaime\Por presentar a ECP\Cantagallo\Cristalina\[CRISTALINA_CF_SEC_New_09-Feb-2024.xlsx]D-PND'!$EA$30</t>
  </si>
  <si>
    <t>='C:\Users\jaime.benazar\Quorum Business Solutions\Ecopetrol Prometeo - Documents\Planning Space Implementation\3. Analysis &amp; Design\Design\FC22\DRR Jaime\Por presentar a ECP\Cantagallo\Cristalina\[CRISTALINA_CF_SEC_New_09-Feb-2024.xlsx]D-PND'!$EA$31</t>
  </si>
  <si>
    <t>='C:\Users\jaime.benazar\Quorum Business Solutions\Ecopetrol Prometeo - Documents\Planning Space Implementation\3. Analysis &amp; Design\Design\FC22\DRR Jaime\Por presentar a ECP\Cantagallo\Cristalina\[CRISTALINA_CF_SEC_New_09-Feb-2024.xlsx]D-PND'!$EA$32</t>
  </si>
  <si>
    <t>='C:\Users\jaime.benazar\Quorum Business Solutions\Ecopetrol Prometeo - Documents\Planning Space Implementation\3. Analysis &amp; Design\Design\FC22\DRR Jaime\Por presentar a ECP\Cantagallo\Cristalina\[CRISTALINA_CF_SEC_New_09-Feb-2024.xlsx]D-PND'!$EA$33</t>
  </si>
  <si>
    <t>='C:\Users\jaime.benazar\Quorum Business Solutions\Ecopetrol Prometeo - Documents\Planning Space Implementation\3. Analysis &amp; Design\Design\FC22\DRR Jaime\Por presentar a ECP\Cantagallo\Cristalina\[CRISTALINA_CF_SEC_New_09-Feb-2024.xlsx]D-PND'!$EA$34</t>
  </si>
  <si>
    <t>='C:\Users\jaime.benazar\Quorum Business Solutions\Ecopetrol Prometeo - Documents\Planning Space Implementation\3. Analysis &amp; Design\Design\FC22\DRR Jaime\Por presentar a ECP\Cantagallo\Cristalina\[CRISTALINA_CF_SEC_New_09-Feb-2024.xlsx]D-PND'!$EA$35</t>
  </si>
  <si>
    <t>='C:\Users\jaime.benazar\Quorum Business Solutions\Ecopetrol Prometeo - Documents\Planning Space Implementation\3. Analysis &amp; Design\Design\FC22\DRR Jaime\Por presentar a ECP\Cantagallo\Cristalina\[CRISTALINA_CF_SEC_New_09-Feb-2024.xlsx]D-PND'!$EA$36</t>
  </si>
  <si>
    <t>='C:\Users\jaime.benazar\Quorum Business Solutions\Ecopetrol Prometeo - Documents\Planning Space Implementation\3. Analysis &amp; Design\Design\FC22\DRR Jaime\Por presentar a ECP\Cantagallo\Cristalina\[CRISTALINA_CF_SEC_New_09-Feb-2024.xlsx]D-PND'!$EA$37</t>
  </si>
  <si>
    <t>='C:\Users\jaime.benazar\Quorum Business Solutions\Ecopetrol Prometeo - Documents\Planning Space Implementation\3. Analysis &amp; Design\Design\FC22\DRR Jaime\Por presentar a ECP\Cantagallo\Cristalina\[CRISTALINA_CF_SEC_New_09-Feb-2024.xlsx]D-PND'!$EA$38</t>
  </si>
  <si>
    <t>='C:\Users\jaime.benazar\Quorum Business Solutions\Ecopetrol Prometeo - Documents\Planning Space Implementation\3. Analysis &amp; Design\Design\FC22\DRR Jaime\Por presentar a ECP\Cantagallo\Cristalina\[CRISTALINA_CF_SEC_New_09-Feb-2024.xlsx]D-PND'!$EA$39</t>
  </si>
  <si>
    <t>='C:\Users\jaime.benazar\Quorum Business Solutions\Ecopetrol Prometeo - Documents\Planning Space Implementation\3. Analysis &amp; Design\Design\FC22\DRR Jaime\Por presentar a ECP\Cantagallo\Cristalina\[CRISTALINA_CF_SEC_New_09-Feb-2024.xlsx]D-PND'!$EA$40</t>
  </si>
  <si>
    <t>='C:\Users\jaime.benazar\Quorum Business Solutions\Ecopetrol Prometeo - Documents\Planning Space Implementation\3. Analysis &amp; Design\Design\FC22\DRR Jaime\Por presentar a ECP\Cantagallo\Cristalina\[CRISTALINA_CF_SEC_New_09-Feb-2024.xlsx]D-PND'!$EA$41</t>
  </si>
  <si>
    <t>='C:\Users\jaime.benazar\Quorum Business Solutions\Ecopetrol Prometeo - Documents\Planning Space Implementation\3. Analysis &amp; Design\Design\FC22\DRR Jaime\Por presentar a ECP\Cantagallo\Cristalina\[CRISTALINA_CF_SEC_New_09-Feb-2024.xlsx]D-PND'!$EA$42</t>
  </si>
  <si>
    <t>='C:\Users\jaime.benazar\Quorum Business Solutions\Ecopetrol Prometeo - Documents\Planning Space Implementation\3. Analysis &amp; Design\Design\FC22\DRR Jaime\Por presentar a ECP\Cantagallo\Cristalina\[CRISTALINA_CF_SEC_New_09-Feb-2024.xlsx]D-PND'!$EA$43</t>
  </si>
  <si>
    <t>='C:\Users\jaime.benazar\Quorum Business Solutions\Ecopetrol Prometeo - Documents\Planning Space Implementation\3. Analysis &amp; Design\Design\FC22\DRR Jaime\Por presentar a ECP\Cantagallo\Cristalina\[CRISTALINA_CF_SEC_New_09-Feb-2024.xlsx]D-PND'!$EA$44</t>
  </si>
  <si>
    <t>='C:\Users\jaime.benazar\Quorum Business Solutions\Ecopetrol Prometeo - Documents\Planning Space Implementation\3. Analysis &amp; Design\Design\FC22\DRR Jaime\Por presentar a ECP\Cantagallo\Cristalina\[CRISTALINA_CF_SEC_New_09-Feb-2024.xlsx]D-PND'!$EA$45</t>
  </si>
  <si>
    <t>='C:\Users\jaime.benazar\Quorum Business Solutions\Ecopetrol Prometeo - Documents\Planning Space Implementation\3. Analysis &amp; Design\Design\FC22\DRR Jaime\Por presentar a ECP\Cantagallo\Cristalina\[CRISTALINA_CF_SEC_New_09-Feb-2024.xlsx]D-PND'!$EA$46</t>
  </si>
  <si>
    <t>='C:\Users\jaime.benazar\Quorum Business Solutions\Ecopetrol Prometeo - Documents\Planning Space Implementation\3. Analysis &amp; Design\Design\FC22\DRR Jaime\Por presentar a ECP\Cantagallo\Cristalina\[CRISTALINA_CF_SEC_New_09-Feb-2024.xlsx]D-PND'!$EA$47</t>
  </si>
  <si>
    <t>='C:\Users\jaime.benazar\Quorum Business Solutions\Ecopetrol Prometeo - Documents\Planning Space Implementation\3. Analysis &amp; Design\Design\FC22\DRR Jaime\Por presentar a ECP\Cantagallo\Cristalina\[CRISTALINA_CF_SEC_New_09-Feb-2024.xlsx]D-PND'!$EA$48</t>
  </si>
  <si>
    <t>='C:\Users\jaime.benazar\Quorum Business Solutions\Ecopetrol Prometeo - Documents\Planning Space Implementation\3. Analysis &amp; Design\Design\FC22\DRR Jaime\Por presentar a ECP\Cantagallo\Cristalina\[CRISTALINA_CF_SEC_New_09-Feb-2024.xlsx]D-PRB'!$EA$12</t>
  </si>
  <si>
    <t>='C:\Users\jaime.benazar\Quorum Business Solutions\Ecopetrol Prometeo - Documents\Planning Space Implementation\3. Analysis &amp; Design\Design\FC22\DRR Jaime\Por presentar a ECP\Cantagallo\Cristalina\[CRISTALINA_CF_SEC_New_09-Feb-2024.xlsx]D-PRB'!$EA$13</t>
  </si>
  <si>
    <t>='C:\Users\jaime.benazar\Quorum Business Solutions\Ecopetrol Prometeo - Documents\Planning Space Implementation\3. Analysis &amp; Design\Design\FC22\DRR Jaime\Por presentar a ECP\Cantagallo\Cristalina\[CRISTALINA_CF_SEC_New_09-Feb-2024.xlsx]D-PRB'!$EA$14</t>
  </si>
  <si>
    <t>='C:\Users\jaime.benazar\Quorum Business Solutions\Ecopetrol Prometeo - Documents\Planning Space Implementation\3. Analysis &amp; Design\Design\FC22\DRR Jaime\Por presentar a ECP\Cantagallo\Cristalina\[CRISTALINA_CF_SEC_New_09-Feb-2024.xlsx]D-PRB'!$EA$15</t>
  </si>
  <si>
    <t>='C:\Users\jaime.benazar\Quorum Business Solutions\Ecopetrol Prometeo - Documents\Planning Space Implementation\3. Analysis &amp; Design\Design\FC22\DRR Jaime\Por presentar a ECP\Cantagallo\Cristalina\[CRISTALINA_CF_SEC_New_09-Feb-2024.xlsx]D-PRB'!$EA$16</t>
  </si>
  <si>
    <t>='C:\Users\jaime.benazar\Quorum Business Solutions\Ecopetrol Prometeo - Documents\Planning Space Implementation\3. Analysis &amp; Design\Design\FC22\DRR Jaime\Por presentar a ECP\Cantagallo\Cristalina\[CRISTALINA_CF_SEC_New_09-Feb-2024.xlsx]D-PRB'!$EA$17</t>
  </si>
  <si>
    <t>='C:\Users\jaime.benazar\Quorum Business Solutions\Ecopetrol Prometeo - Documents\Planning Space Implementation\3. Analysis &amp; Design\Design\FC22\DRR Jaime\Por presentar a ECP\Cantagallo\Cristalina\[CRISTALINA_CF_SEC_New_09-Feb-2024.xlsx]D-PRB'!$EA$18</t>
  </si>
  <si>
    <t>='C:\Users\jaime.benazar\Quorum Business Solutions\Ecopetrol Prometeo - Documents\Planning Space Implementation\3. Analysis &amp; Design\Design\FC22\DRR Jaime\Por presentar a ECP\Cantagallo\Cristalina\[CRISTALINA_CF_SEC_New_09-Feb-2024.xlsx]D-PRB'!$EA$19</t>
  </si>
  <si>
    <t>='C:\Users\jaime.benazar\Quorum Business Solutions\Ecopetrol Prometeo - Documents\Planning Space Implementation\3. Analysis &amp; Design\Design\FC22\DRR Jaime\Por presentar a ECP\Cantagallo\Cristalina\[CRISTALINA_CF_SEC_New_09-Feb-2024.xlsx]D-PRB'!$EA$20</t>
  </si>
  <si>
    <t>='C:\Users\jaime.benazar\Quorum Business Solutions\Ecopetrol Prometeo - Documents\Planning Space Implementation\3. Analysis &amp; Design\Design\FC22\DRR Jaime\Por presentar a ECP\Cantagallo\Cristalina\[CRISTALINA_CF_SEC_New_09-Feb-2024.xlsx]D-PRB'!$EA$21</t>
  </si>
  <si>
    <t>='C:\Users\jaime.benazar\Quorum Business Solutions\Ecopetrol Prometeo - Documents\Planning Space Implementation\3. Analysis &amp; Design\Design\FC22\DRR Jaime\Por presentar a ECP\Cantagallo\Cristalina\[CRISTALINA_CF_SEC_New_09-Feb-2024.xlsx]D-PRB'!$EA$22</t>
  </si>
  <si>
    <t>='C:\Users\jaime.benazar\Quorum Business Solutions\Ecopetrol Prometeo - Documents\Planning Space Implementation\3. Analysis &amp; Design\Design\FC22\DRR Jaime\Por presentar a ECP\Cantagallo\Cristalina\[CRISTALINA_CF_SEC_New_09-Feb-2024.xlsx]D-PRB'!$EA$23</t>
  </si>
  <si>
    <t>='C:\Users\jaime.benazar\Quorum Business Solutions\Ecopetrol Prometeo - Documents\Planning Space Implementation\3. Analysis &amp; Design\Design\FC22\DRR Jaime\Por presentar a ECP\Cantagallo\Cristalina\[CRISTALINA_CF_SEC_New_09-Feb-2024.xlsx]D-PRB'!$EA$24</t>
  </si>
  <si>
    <t>='C:\Users\jaime.benazar\Quorum Business Solutions\Ecopetrol Prometeo - Documents\Planning Space Implementation\3. Analysis &amp; Design\Design\FC22\DRR Jaime\Por presentar a ECP\Cantagallo\Cristalina\[CRISTALINA_CF_SEC_New_09-Feb-2024.xlsx]D-PRB'!$EA$25</t>
  </si>
  <si>
    <t>='C:\Users\jaime.benazar\Quorum Business Solutions\Ecopetrol Prometeo - Documents\Planning Space Implementation\3. Analysis &amp; Design\Design\FC22\DRR Jaime\Por presentar a ECP\Cantagallo\Cristalina\[CRISTALINA_CF_SEC_New_09-Feb-2024.xlsx]D-PRB'!$EA$26</t>
  </si>
  <si>
    <t>='C:\Users\jaime.benazar\Quorum Business Solutions\Ecopetrol Prometeo - Documents\Planning Space Implementation\3. Analysis &amp; Design\Design\FC22\DRR Jaime\Por presentar a ECP\Cantagallo\Cristalina\[CRISTALINA_CF_SEC_New_09-Feb-2024.xlsx]D-PRB'!$EA$27</t>
  </si>
  <si>
    <t>='C:\Users\jaime.benazar\Quorum Business Solutions\Ecopetrol Prometeo - Documents\Planning Space Implementation\3. Analysis &amp; Design\Design\FC22\DRR Jaime\Por presentar a ECP\Cantagallo\Cristalina\[CRISTALINA_CF_SEC_New_09-Feb-2024.xlsx]D-PRB'!$EA$28</t>
  </si>
  <si>
    <t>='C:\Users\jaime.benazar\Quorum Business Solutions\Ecopetrol Prometeo - Documents\Planning Space Implementation\3. Analysis &amp; Design\Design\FC22\DRR Jaime\Por presentar a ECP\Cantagallo\Cristalina\[CRISTALINA_CF_SEC_New_09-Feb-2024.xlsx]D-PRB'!$EA$29</t>
  </si>
  <si>
    <t>='C:\Users\jaime.benazar\Quorum Business Solutions\Ecopetrol Prometeo - Documents\Planning Space Implementation\3. Analysis &amp; Design\Design\FC22\DRR Jaime\Por presentar a ECP\Cantagallo\Cristalina\[CRISTALINA_CF_SEC_New_09-Feb-2024.xlsx]D-PRB'!$EA$30</t>
  </si>
  <si>
    <t>='C:\Users\jaime.benazar\Quorum Business Solutions\Ecopetrol Prometeo - Documents\Planning Space Implementation\3. Analysis &amp; Design\Design\FC22\DRR Jaime\Por presentar a ECP\Cantagallo\Cristalina\[CRISTALINA_CF_SEC_New_09-Feb-2024.xlsx]D-PRB'!$EA$31</t>
  </si>
  <si>
    <t>='C:\Users\jaime.benazar\Quorum Business Solutions\Ecopetrol Prometeo - Documents\Planning Space Implementation\3. Analysis &amp; Design\Design\FC22\DRR Jaime\Por presentar a ECP\Cantagallo\Cristalina\[CRISTALINA_CF_SEC_New_09-Feb-2024.xlsx]D-PRB'!$EA$32</t>
  </si>
  <si>
    <t>='C:\Users\jaime.benazar\Quorum Business Solutions\Ecopetrol Prometeo - Documents\Planning Space Implementation\3. Analysis &amp; Design\Design\FC22\DRR Jaime\Por presentar a ECP\Cantagallo\Cristalina\[CRISTALINA_CF_SEC_New_09-Feb-2024.xlsx]D-PRB'!$EA$33</t>
  </si>
  <si>
    <t>='C:\Users\jaime.benazar\Quorum Business Solutions\Ecopetrol Prometeo - Documents\Planning Space Implementation\3. Analysis &amp; Design\Design\FC22\DRR Jaime\Por presentar a ECP\Cantagallo\Cristalina\[CRISTALINA_CF_SEC_New_09-Feb-2024.xlsx]D-PRB'!$EA$34</t>
  </si>
  <si>
    <t>='C:\Users\jaime.benazar\Quorum Business Solutions\Ecopetrol Prometeo - Documents\Planning Space Implementation\3. Analysis &amp; Design\Design\FC22\DRR Jaime\Por presentar a ECP\Cantagallo\Cristalina\[CRISTALINA_CF_SEC_New_09-Feb-2024.xlsx]D-PRB'!$EA$35</t>
  </si>
  <si>
    <t>='C:\Users\jaime.benazar\Quorum Business Solutions\Ecopetrol Prometeo - Documents\Planning Space Implementation\3. Analysis &amp; Design\Design\FC22\DRR Jaime\Por presentar a ECP\Cantagallo\Cristalina\[CRISTALINA_CF_SEC_New_09-Feb-2024.xlsx]D-PRB'!$EA$36</t>
  </si>
  <si>
    <t>='C:\Users\jaime.benazar\Quorum Business Solutions\Ecopetrol Prometeo - Documents\Planning Space Implementation\3. Analysis &amp; Design\Design\FC22\DRR Jaime\Por presentar a ECP\Cantagallo\Cristalina\[CRISTALINA_CF_SEC_New_09-Feb-2024.xlsx]D-PRB'!$EA$37</t>
  </si>
  <si>
    <t>='C:\Users\jaime.benazar\Quorum Business Solutions\Ecopetrol Prometeo - Documents\Planning Space Implementation\3. Analysis &amp; Design\Design\FC22\DRR Jaime\Por presentar a ECP\Cantagallo\Cristalina\[CRISTALINA_CF_SEC_New_09-Feb-2024.xlsx]D-PRB'!$EA$38</t>
  </si>
  <si>
    <t>='C:\Users\jaime.benazar\Quorum Business Solutions\Ecopetrol Prometeo - Documents\Planning Space Implementation\3. Analysis &amp; Design\Design\FC22\DRR Jaime\Por presentar a ECP\Cantagallo\Cristalina\[CRISTALINA_CF_SEC_New_09-Feb-2024.xlsx]D-PRB'!$EA$39</t>
  </si>
  <si>
    <t>='C:\Users\jaime.benazar\Quorum Business Solutions\Ecopetrol Prometeo - Documents\Planning Space Implementation\3. Analysis &amp; Design\Design\FC22\DRR Jaime\Por presentar a ECP\Cantagallo\Cristalina\[CRISTALINA_CF_SEC_New_09-Feb-2024.xlsx]D-PRB'!$EA$40</t>
  </si>
  <si>
    <t>='C:\Users\jaime.benazar\Quorum Business Solutions\Ecopetrol Prometeo - Documents\Planning Space Implementation\3. Analysis &amp; Design\Design\FC22\DRR Jaime\Por presentar a ECP\Cantagallo\Cristalina\[CRISTALINA_CF_SEC_New_09-Feb-2024.xlsx]D-PRB'!$EA$41</t>
  </si>
  <si>
    <t>='C:\Users\jaime.benazar\Quorum Business Solutions\Ecopetrol Prometeo - Documents\Planning Space Implementation\3. Analysis &amp; Design\Design\FC22\DRR Jaime\Por presentar a ECP\Cantagallo\Cristalina\[CRISTALINA_CF_SEC_New_09-Feb-2024.xlsx]D-PRB'!$EA$42</t>
  </si>
  <si>
    <t>='C:\Users\jaime.benazar\Quorum Business Solutions\Ecopetrol Prometeo - Documents\Planning Space Implementation\3. Analysis &amp; Design\Design\FC22\DRR Jaime\Por presentar a ECP\Cantagallo\Cristalina\[CRISTALINA_CF_SEC_New_09-Feb-2024.xlsx]D-PRB'!$EA$43</t>
  </si>
  <si>
    <t>='C:\Users\jaime.benazar\Quorum Business Solutions\Ecopetrol Prometeo - Documents\Planning Space Implementation\3. Analysis &amp; Design\Design\FC22\DRR Jaime\Por presentar a ECP\Cantagallo\Cristalina\[CRISTALINA_CF_SEC_New_09-Feb-2024.xlsx]D-PRB'!$EA$44</t>
  </si>
  <si>
    <t>='C:\Users\jaime.benazar\Quorum Business Solutions\Ecopetrol Prometeo - Documents\Planning Space Implementation\3. Analysis &amp; Design\Design\FC22\DRR Jaime\Por presentar a ECP\Cantagallo\Cristalina\[CRISTALINA_CF_SEC_New_09-Feb-2024.xlsx]D-PRB'!$EA$45</t>
  </si>
  <si>
    <t>='C:\Users\jaime.benazar\Quorum Business Solutions\Ecopetrol Prometeo - Documents\Planning Space Implementation\3. Analysis &amp; Design\Design\FC22\DRR Jaime\Por presentar a ECP\Cantagallo\Cristalina\[CRISTALINA_CF_SEC_New_09-Feb-2024.xlsx]D-PRB'!$EA$46</t>
  </si>
  <si>
    <t>='C:\Users\jaime.benazar\Quorum Business Solutions\Ecopetrol Prometeo - Documents\Planning Space Implementation\3. Analysis &amp; Design\Design\FC22\DRR Jaime\Por presentar a ECP\Cantagallo\Cristalina\[CRISTALINA_CF_SEC_New_09-Feb-2024.xlsx]D-PRB'!$EA$47</t>
  </si>
  <si>
    <t>='C:\Users\jaime.benazar\Quorum Business Solutions\Ecopetrol Prometeo - Documents\Planning Space Implementation\3. Analysis &amp; Design\Design\FC22\DRR Jaime\Por presentar a ECP\Cantagallo\Cristalina\[CRISTALINA_CF_SEC_New_09-Feb-2024.xlsx]D-PRB'!$EA$48</t>
  </si>
  <si>
    <t>='C:\Users\jaime.benazar\Quorum Business Solutions\Ecopetrol Prometeo - Documents\Planning Space Implementation\3. Analysis &amp; Design\Design\FC22\DRR Jaime\Por presentar a ECP\Cantagallo\Cristalina\[CRISTALINA_CF_SEC_New_09-Feb-2024.xlsx]D-PS'!$EA$12</t>
  </si>
  <si>
    <t>='C:\Users\jaime.benazar\Quorum Business Solutions\Ecopetrol Prometeo - Documents\Planning Space Implementation\3. Analysis &amp; Design\Design\FC22\DRR Jaime\Por presentar a ECP\Cantagallo\Cristalina\[CRISTALINA_CF_SEC_New_09-Feb-2024.xlsx]D-PS'!$EA$13</t>
  </si>
  <si>
    <t>='C:\Users\jaime.benazar\Quorum Business Solutions\Ecopetrol Prometeo - Documents\Planning Space Implementation\3. Analysis &amp; Design\Design\FC22\DRR Jaime\Por presentar a ECP\Cantagallo\Cristalina\[CRISTALINA_CF_SEC_New_09-Feb-2024.xlsx]D-PS'!$EA$14</t>
  </si>
  <si>
    <t>='C:\Users\jaime.benazar\Quorum Business Solutions\Ecopetrol Prometeo - Documents\Planning Space Implementation\3. Analysis &amp; Design\Design\FC22\DRR Jaime\Por presentar a ECP\Cantagallo\Cristalina\[CRISTALINA_CF_SEC_New_09-Feb-2024.xlsx]D-PS'!$EA$15</t>
  </si>
  <si>
    <t>='C:\Users\jaime.benazar\Quorum Business Solutions\Ecopetrol Prometeo - Documents\Planning Space Implementation\3. Analysis &amp; Design\Design\FC22\DRR Jaime\Por presentar a ECP\Cantagallo\Cristalina\[CRISTALINA_CF_SEC_New_09-Feb-2024.xlsx]D-PS'!$EA$16</t>
  </si>
  <si>
    <t>='C:\Users\jaime.benazar\Quorum Business Solutions\Ecopetrol Prometeo - Documents\Planning Space Implementation\3. Analysis &amp; Design\Design\FC22\DRR Jaime\Por presentar a ECP\Cantagallo\Cristalina\[CRISTALINA_CF_SEC_New_09-Feb-2024.xlsx]D-PS'!$EA$17</t>
  </si>
  <si>
    <t>='C:\Users\jaime.benazar\Quorum Business Solutions\Ecopetrol Prometeo - Documents\Planning Space Implementation\3. Analysis &amp; Design\Design\FC22\DRR Jaime\Por presentar a ECP\Cantagallo\Cristalina\[CRISTALINA_CF_SEC_New_09-Feb-2024.xlsx]D-PS'!$EA$18</t>
  </si>
  <si>
    <t>='C:\Users\jaime.benazar\Quorum Business Solutions\Ecopetrol Prometeo - Documents\Planning Space Implementation\3. Analysis &amp; Design\Design\FC22\DRR Jaime\Por presentar a ECP\Cantagallo\Cristalina\[CRISTALINA_CF_SEC_New_09-Feb-2024.xlsx]D-PS'!$EA$19</t>
  </si>
  <si>
    <t>='C:\Users\jaime.benazar\Quorum Business Solutions\Ecopetrol Prometeo - Documents\Planning Space Implementation\3. Analysis &amp; Design\Design\FC22\DRR Jaime\Por presentar a ECP\Cantagallo\Cristalina\[CRISTALINA_CF_SEC_New_09-Feb-2024.xlsx]D-PS'!$EA$20</t>
  </si>
  <si>
    <t>='C:\Users\jaime.benazar\Quorum Business Solutions\Ecopetrol Prometeo - Documents\Planning Space Implementation\3. Analysis &amp; Design\Design\FC22\DRR Jaime\Por presentar a ECP\Cantagallo\Cristalina\[CRISTALINA_CF_SEC_New_09-Feb-2024.xlsx]D-PS'!$EA$21</t>
  </si>
  <si>
    <t>='C:\Users\jaime.benazar\Quorum Business Solutions\Ecopetrol Prometeo - Documents\Planning Space Implementation\3. Analysis &amp; Design\Design\FC22\DRR Jaime\Por presentar a ECP\Cantagallo\Cristalina\[CRISTALINA_CF_SEC_New_09-Feb-2024.xlsx]D-PS'!$EA$22</t>
  </si>
  <si>
    <t>='C:\Users\jaime.benazar\Quorum Business Solutions\Ecopetrol Prometeo - Documents\Planning Space Implementation\3. Analysis &amp; Design\Design\FC22\DRR Jaime\Por presentar a ECP\Cantagallo\Cristalina\[CRISTALINA_CF_SEC_New_09-Feb-2024.xlsx]D-PS'!$EA$23</t>
  </si>
  <si>
    <t>='C:\Users\jaime.benazar\Quorum Business Solutions\Ecopetrol Prometeo - Documents\Planning Space Implementation\3. Analysis &amp; Design\Design\FC22\DRR Jaime\Por presentar a ECP\Cantagallo\Cristalina\[CRISTALINA_CF_SEC_New_09-Feb-2024.xlsx]D-PS'!$EA$24</t>
  </si>
  <si>
    <t>='C:\Users\jaime.benazar\Quorum Business Solutions\Ecopetrol Prometeo - Documents\Planning Space Implementation\3. Analysis &amp; Design\Design\FC22\DRR Jaime\Por presentar a ECP\Cantagallo\Cristalina\[CRISTALINA_CF_SEC_New_09-Feb-2024.xlsx]D-PS'!$EA$25</t>
  </si>
  <si>
    <t>='C:\Users\jaime.benazar\Quorum Business Solutions\Ecopetrol Prometeo - Documents\Planning Space Implementation\3. Analysis &amp; Design\Design\FC22\DRR Jaime\Por presentar a ECP\Cantagallo\Cristalina\[CRISTALINA_CF_SEC_New_09-Feb-2024.xlsx]D-PS'!$EA$26</t>
  </si>
  <si>
    <t>='C:\Users\jaime.benazar\Quorum Business Solutions\Ecopetrol Prometeo - Documents\Planning Space Implementation\3. Analysis &amp; Design\Design\FC22\DRR Jaime\Por presentar a ECP\Cantagallo\Cristalina\[CRISTALINA_CF_SEC_New_09-Feb-2024.xlsx]D-PS'!$EA$27</t>
  </si>
  <si>
    <t>='C:\Users\jaime.benazar\Quorum Business Solutions\Ecopetrol Prometeo - Documents\Planning Space Implementation\3. Analysis &amp; Design\Design\FC22\DRR Jaime\Por presentar a ECP\Cantagallo\Cristalina\[CRISTALINA_CF_SEC_New_09-Feb-2024.xlsx]D-PS'!$EA$28</t>
  </si>
  <si>
    <t>='C:\Users\jaime.benazar\Quorum Business Solutions\Ecopetrol Prometeo - Documents\Planning Space Implementation\3. Analysis &amp; Design\Design\FC22\DRR Jaime\Por presentar a ECP\Cantagallo\Cristalina\[CRISTALINA_CF_SEC_New_09-Feb-2024.xlsx]D-PS'!$EA$29</t>
  </si>
  <si>
    <t>='C:\Users\jaime.benazar\Quorum Business Solutions\Ecopetrol Prometeo - Documents\Planning Space Implementation\3. Analysis &amp; Design\Design\FC22\DRR Jaime\Por presentar a ECP\Cantagallo\Cristalina\[CRISTALINA_CF_SEC_New_09-Feb-2024.xlsx]D-PS'!$EA$30</t>
  </si>
  <si>
    <t>='C:\Users\jaime.benazar\Quorum Business Solutions\Ecopetrol Prometeo - Documents\Planning Space Implementation\3. Analysis &amp; Design\Design\FC22\DRR Jaime\Por presentar a ECP\Cantagallo\Cristalina\[CRISTALINA_CF_SEC_New_09-Feb-2024.xlsx]D-PS'!$EA$31</t>
  </si>
  <si>
    <t>='C:\Users\jaime.benazar\Quorum Business Solutions\Ecopetrol Prometeo - Documents\Planning Space Implementation\3. Analysis &amp; Design\Design\FC22\DRR Jaime\Por presentar a ECP\Cantagallo\Cristalina\[CRISTALINA_CF_SEC_New_09-Feb-2024.xlsx]D-PS'!$EA$32</t>
  </si>
  <si>
    <t>='C:\Users\jaime.benazar\Quorum Business Solutions\Ecopetrol Prometeo - Documents\Planning Space Implementation\3. Analysis &amp; Design\Design\FC22\DRR Jaime\Por presentar a ECP\Cantagallo\Cristalina\[CRISTALINA_CF_SEC_New_09-Feb-2024.xlsx]D-PS'!$EA$33</t>
  </si>
  <si>
    <t>='C:\Users\jaime.benazar\Quorum Business Solutions\Ecopetrol Prometeo - Documents\Planning Space Implementation\3. Analysis &amp; Design\Design\FC22\DRR Jaime\Por presentar a ECP\Cantagallo\Cristalina\[CRISTALINA_CF_SEC_New_09-Feb-2024.xlsx]D-PS'!$EA$34</t>
  </si>
  <si>
    <t>='C:\Users\jaime.benazar\Quorum Business Solutions\Ecopetrol Prometeo - Documents\Planning Space Implementation\3. Analysis &amp; Design\Design\FC22\DRR Jaime\Por presentar a ECP\Cantagallo\Cristalina\[CRISTALINA_CF_SEC_New_09-Feb-2024.xlsx]D-PS'!$EA$35</t>
  </si>
  <si>
    <t>='C:\Users\jaime.benazar\Quorum Business Solutions\Ecopetrol Prometeo - Documents\Planning Space Implementation\3. Analysis &amp; Design\Design\FC22\DRR Jaime\Por presentar a ECP\Cantagallo\Cristalina\[CRISTALINA_CF_SEC_New_09-Feb-2024.xlsx]D-PS'!$EA$36</t>
  </si>
  <si>
    <t>='C:\Users\jaime.benazar\Quorum Business Solutions\Ecopetrol Prometeo - Documents\Planning Space Implementation\3. Analysis &amp; Design\Design\FC22\DRR Jaime\Por presentar a ECP\Cantagallo\Cristalina\[CRISTALINA_CF_SEC_New_09-Feb-2024.xlsx]D-PS'!$EA$37</t>
  </si>
  <si>
    <t>='C:\Users\jaime.benazar\Quorum Business Solutions\Ecopetrol Prometeo - Documents\Planning Space Implementation\3. Analysis &amp; Design\Design\FC22\DRR Jaime\Por presentar a ECP\Cantagallo\Cristalina\[CRISTALINA_CF_SEC_New_09-Feb-2024.xlsx]D-PS'!$EA$38</t>
  </si>
  <si>
    <t>='C:\Users\jaime.benazar\Quorum Business Solutions\Ecopetrol Prometeo - Documents\Planning Space Implementation\3. Analysis &amp; Design\Design\FC22\DRR Jaime\Por presentar a ECP\Cantagallo\Cristalina\[CRISTALINA_CF_SEC_New_09-Feb-2024.xlsx]D-PS'!$EA$39</t>
  </si>
  <si>
    <t>='C:\Users\jaime.benazar\Quorum Business Solutions\Ecopetrol Prometeo - Documents\Planning Space Implementation\3. Analysis &amp; Design\Design\FC22\DRR Jaime\Por presentar a ECP\Cantagallo\Cristalina\[CRISTALINA_CF_SEC_New_09-Feb-2024.xlsx]D-PS'!$EA$40</t>
  </si>
  <si>
    <t>='C:\Users\jaime.benazar\Quorum Business Solutions\Ecopetrol Prometeo - Documents\Planning Space Implementation\3. Analysis &amp; Design\Design\FC22\DRR Jaime\Por presentar a ECP\Cantagallo\Cristalina\[CRISTALINA_CF_SEC_New_09-Feb-2024.xlsx]D-PS'!$EA$41</t>
  </si>
  <si>
    <t>='C:\Users\jaime.benazar\Quorum Business Solutions\Ecopetrol Prometeo - Documents\Planning Space Implementation\3. Analysis &amp; Design\Design\FC22\DRR Jaime\Por presentar a ECP\Cantagallo\Cristalina\[CRISTALINA_CF_SEC_New_09-Feb-2024.xlsx]D-PS'!$EA$42</t>
  </si>
  <si>
    <t>='C:\Users\jaime.benazar\Quorum Business Solutions\Ecopetrol Prometeo - Documents\Planning Space Implementation\3. Analysis &amp; Design\Design\FC22\DRR Jaime\Por presentar a ECP\Cantagallo\Cristalina\[CRISTALINA_CF_SEC_New_09-Feb-2024.xlsx]D-PS'!$EA$43</t>
  </si>
  <si>
    <t>='C:\Users\jaime.benazar\Quorum Business Solutions\Ecopetrol Prometeo - Documents\Planning Space Implementation\3. Analysis &amp; Design\Design\FC22\DRR Jaime\Por presentar a ECP\Cantagallo\Cristalina\[CRISTALINA_CF_SEC_New_09-Feb-2024.xlsx]D-PS'!$EA$44</t>
  </si>
  <si>
    <t>='C:\Users\jaime.benazar\Quorum Business Solutions\Ecopetrol Prometeo - Documents\Planning Space Implementation\3. Analysis &amp; Design\Design\FC22\DRR Jaime\Por presentar a ECP\Cantagallo\Cristalina\[CRISTALINA_CF_SEC_New_09-Feb-2024.xlsx]D-PS'!$EA$45</t>
  </si>
  <si>
    <t>='C:\Users\jaime.benazar\Quorum Business Solutions\Ecopetrol Prometeo - Documents\Planning Space Implementation\3. Analysis &amp; Design\Design\FC22\DRR Jaime\Por presentar a ECP\Cantagallo\Cristalina\[CRISTALINA_CF_SEC_New_09-Feb-2024.xlsx]D-PS'!$EA$46</t>
  </si>
  <si>
    <t>='C:\Users\jaime.benazar\Quorum Business Solutions\Ecopetrol Prometeo - Documents\Planning Space Implementation\3. Analysis &amp; Design\Design\FC22\DRR Jaime\Por presentar a ECP\Cantagallo\Cristalina\[CRISTALINA_CF_SEC_New_09-Feb-2024.xlsx]D-PS'!$EA$47</t>
  </si>
  <si>
    <t>='C:\Users\jaime.benazar\Quorum Business Solutions\Ecopetrol Prometeo - Documents\Planning Space Implementation\3. Analysis &amp; Design\Design\FC22\DRR Jaime\Por presentar a ECP\Cantagallo\Cristalina\[CRISTALINA_CF_SEC_New_09-Feb-2024.xlsx]D-PS'!$EA$48</t>
  </si>
  <si>
    <t>='C:\Users\jaime.benazar\Quorum Business Solutions\Ecopetrol Prometeo - Documents\Planning Space Implementation\3. Analysis &amp; Design\Design\FC22\DRR Jaime\Por presentar a ECP\Cantagallo\Cristalina\[CRISTALINA_CF_SEC_New_09-Feb-2024.xlsx]D-PDP'!$DT$12</t>
  </si>
  <si>
    <t>='C:\Users\jaime.benazar\Quorum Business Solutions\Ecopetrol Prometeo - Documents\Planning Space Implementation\3. Analysis &amp; Design\Design\FC22\DRR Jaime\Por presentar a ECP\Cantagallo\Cristalina\[CRISTALINA_CF_SEC_New_09-Feb-2024.xlsx]D-PDP'!$DT$13</t>
  </si>
  <si>
    <t>='C:\Users\jaime.benazar\Quorum Business Solutions\Ecopetrol Prometeo - Documents\Planning Space Implementation\3. Analysis &amp; Design\Design\FC22\DRR Jaime\Por presentar a ECP\Cantagallo\Cristalina\[CRISTALINA_CF_SEC_New_09-Feb-2024.xlsx]D-PDP'!$DT$14</t>
  </si>
  <si>
    <t>='C:\Users\jaime.benazar\Quorum Business Solutions\Ecopetrol Prometeo - Documents\Planning Space Implementation\3. Analysis &amp; Design\Design\FC22\DRR Jaime\Por presentar a ECP\Cantagallo\Cristalina\[CRISTALINA_CF_SEC_New_09-Feb-2024.xlsx]D-PDP'!$DT$15</t>
  </si>
  <si>
    <t>='C:\Users\jaime.benazar\Quorum Business Solutions\Ecopetrol Prometeo - Documents\Planning Space Implementation\3. Analysis &amp; Design\Design\FC22\DRR Jaime\Por presentar a ECP\Cantagallo\Cristalina\[CRISTALINA_CF_SEC_New_09-Feb-2024.xlsx]D-PDP'!$DT$16</t>
  </si>
  <si>
    <t>='C:\Users\jaime.benazar\Quorum Business Solutions\Ecopetrol Prometeo - Documents\Planning Space Implementation\3. Analysis &amp; Design\Design\FC22\DRR Jaime\Por presentar a ECP\Cantagallo\Cristalina\[CRISTALINA_CF_SEC_New_09-Feb-2024.xlsx]D-PDP'!$DT$17</t>
  </si>
  <si>
    <t>='C:\Users\jaime.benazar\Quorum Business Solutions\Ecopetrol Prometeo - Documents\Planning Space Implementation\3. Analysis &amp; Design\Design\FC22\DRR Jaime\Por presentar a ECP\Cantagallo\Cristalina\[CRISTALINA_CF_SEC_New_09-Feb-2024.xlsx]D-PDP'!$DT$18</t>
  </si>
  <si>
    <t>='C:\Users\jaime.benazar\Quorum Business Solutions\Ecopetrol Prometeo - Documents\Planning Space Implementation\3. Analysis &amp; Design\Design\FC22\DRR Jaime\Por presentar a ECP\Cantagallo\Cristalina\[CRISTALINA_CF_SEC_New_09-Feb-2024.xlsx]D-PDP'!$DT$19</t>
  </si>
  <si>
    <t>='C:\Users\jaime.benazar\Quorum Business Solutions\Ecopetrol Prometeo - Documents\Planning Space Implementation\3. Analysis &amp; Design\Design\FC22\DRR Jaime\Por presentar a ECP\Cantagallo\Cristalina\[CRISTALINA_CF_SEC_New_09-Feb-2024.xlsx]D-PDP'!$DT$20</t>
  </si>
  <si>
    <t>='C:\Users\jaime.benazar\Quorum Business Solutions\Ecopetrol Prometeo - Documents\Planning Space Implementation\3. Analysis &amp; Design\Design\FC22\DRR Jaime\Por presentar a ECP\Cantagallo\Cristalina\[CRISTALINA_CF_SEC_New_09-Feb-2024.xlsx]D-PDP'!$DT$21</t>
  </si>
  <si>
    <t>='C:\Users\jaime.benazar\Quorum Business Solutions\Ecopetrol Prometeo - Documents\Planning Space Implementation\3. Analysis &amp; Design\Design\FC22\DRR Jaime\Por presentar a ECP\Cantagallo\Cristalina\[CRISTALINA_CF_SEC_New_09-Feb-2024.xlsx]D-PDP'!$DT$22</t>
  </si>
  <si>
    <t>='C:\Users\jaime.benazar\Quorum Business Solutions\Ecopetrol Prometeo - Documents\Planning Space Implementation\3. Analysis &amp; Design\Design\FC22\DRR Jaime\Por presentar a ECP\Cantagallo\Cristalina\[CRISTALINA_CF_SEC_New_09-Feb-2024.xlsx]D-PDP'!$DT$23</t>
  </si>
  <si>
    <t>='C:\Users\jaime.benazar\Quorum Business Solutions\Ecopetrol Prometeo - Documents\Planning Space Implementation\3. Analysis &amp; Design\Design\FC22\DRR Jaime\Por presentar a ECP\Cantagallo\Cristalina\[CRISTALINA_CF_SEC_New_09-Feb-2024.xlsx]D-PDP'!$DT$24</t>
  </si>
  <si>
    <t>='C:\Users\jaime.benazar\Quorum Business Solutions\Ecopetrol Prometeo - Documents\Planning Space Implementation\3. Analysis &amp; Design\Design\FC22\DRR Jaime\Por presentar a ECP\Cantagallo\Cristalina\[CRISTALINA_CF_SEC_New_09-Feb-2024.xlsx]D-PDP'!$DT$25</t>
  </si>
  <si>
    <t>='C:\Users\jaime.benazar\Quorum Business Solutions\Ecopetrol Prometeo - Documents\Planning Space Implementation\3. Analysis &amp; Design\Design\FC22\DRR Jaime\Por presentar a ECP\Cantagallo\Cristalina\[CRISTALINA_CF_SEC_New_09-Feb-2024.xlsx]D-PDP'!$DT$26</t>
  </si>
  <si>
    <t>='C:\Users\jaime.benazar\Quorum Business Solutions\Ecopetrol Prometeo - Documents\Planning Space Implementation\3. Analysis &amp; Design\Design\FC22\DRR Jaime\Por presentar a ECP\Cantagallo\Cristalina\[CRISTALINA_CF_SEC_New_09-Feb-2024.xlsx]D-PDP'!$DT$27</t>
  </si>
  <si>
    <t>='C:\Users\jaime.benazar\Quorum Business Solutions\Ecopetrol Prometeo - Documents\Planning Space Implementation\3. Analysis &amp; Design\Design\FC22\DRR Jaime\Por presentar a ECP\Cantagallo\Cristalina\[CRISTALINA_CF_SEC_New_09-Feb-2024.xlsx]D-PDP'!$DT$28</t>
  </si>
  <si>
    <t>='C:\Users\jaime.benazar\Quorum Business Solutions\Ecopetrol Prometeo - Documents\Planning Space Implementation\3. Analysis &amp; Design\Design\FC22\DRR Jaime\Por presentar a ECP\Cantagallo\Cristalina\[CRISTALINA_CF_SEC_New_09-Feb-2024.xlsx]D-PDP'!$DT$29</t>
  </si>
  <si>
    <t>='C:\Users\jaime.benazar\Quorum Business Solutions\Ecopetrol Prometeo - Documents\Planning Space Implementation\3. Analysis &amp; Design\Design\FC22\DRR Jaime\Por presentar a ECP\Cantagallo\Cristalina\[CRISTALINA_CF_SEC_New_09-Feb-2024.xlsx]D-PDP'!$DT$30</t>
  </si>
  <si>
    <t>='C:\Users\jaime.benazar\Quorum Business Solutions\Ecopetrol Prometeo - Documents\Planning Space Implementation\3. Analysis &amp; Design\Design\FC22\DRR Jaime\Por presentar a ECP\Cantagallo\Cristalina\[CRISTALINA_CF_SEC_New_09-Feb-2024.xlsx]D-PDP'!$DT$31</t>
  </si>
  <si>
    <t>='C:\Users\jaime.benazar\Quorum Business Solutions\Ecopetrol Prometeo - Documents\Planning Space Implementation\3. Analysis &amp; Design\Design\FC22\DRR Jaime\Por presentar a ECP\Cantagallo\Cristalina\[CRISTALINA_CF_SEC_New_09-Feb-2024.xlsx]D-PDP'!$DT$32</t>
  </si>
  <si>
    <t>='C:\Users\jaime.benazar\Quorum Business Solutions\Ecopetrol Prometeo - Documents\Planning Space Implementation\3. Analysis &amp; Design\Design\FC22\DRR Jaime\Por presentar a ECP\Cantagallo\Cristalina\[CRISTALINA_CF_SEC_New_09-Feb-2024.xlsx]D-PDP'!$DT$33</t>
  </si>
  <si>
    <t>='C:\Users\jaime.benazar\Quorum Business Solutions\Ecopetrol Prometeo - Documents\Planning Space Implementation\3. Analysis &amp; Design\Design\FC22\DRR Jaime\Por presentar a ECP\Cantagallo\Cristalina\[CRISTALINA_CF_SEC_New_09-Feb-2024.xlsx]D-PDP'!$DT$34</t>
  </si>
  <si>
    <t>='C:\Users\jaime.benazar\Quorum Business Solutions\Ecopetrol Prometeo - Documents\Planning Space Implementation\3. Analysis &amp; Design\Design\FC22\DRR Jaime\Por presentar a ECP\Cantagallo\Cristalina\[CRISTALINA_CF_SEC_New_09-Feb-2024.xlsx]D-PDP'!$DT$35</t>
  </si>
  <si>
    <t>='C:\Users\jaime.benazar\Quorum Business Solutions\Ecopetrol Prometeo - Documents\Planning Space Implementation\3. Analysis &amp; Design\Design\FC22\DRR Jaime\Por presentar a ECP\Cantagallo\Cristalina\[CRISTALINA_CF_SEC_New_09-Feb-2024.xlsx]D-PDP'!$DT$36</t>
  </si>
  <si>
    <t>='C:\Users\jaime.benazar\Quorum Business Solutions\Ecopetrol Prometeo - Documents\Planning Space Implementation\3. Analysis &amp; Design\Design\FC22\DRR Jaime\Por presentar a ECP\Cantagallo\Cristalina\[CRISTALINA_CF_SEC_New_09-Feb-2024.xlsx]D-PDP'!$DT$37</t>
  </si>
  <si>
    <t>='C:\Users\jaime.benazar\Quorum Business Solutions\Ecopetrol Prometeo - Documents\Planning Space Implementation\3. Analysis &amp; Design\Design\FC22\DRR Jaime\Por presentar a ECP\Cantagallo\Cristalina\[CRISTALINA_CF_SEC_New_09-Feb-2024.xlsx]D-PDP'!$DT$38</t>
  </si>
  <si>
    <t>='C:\Users\jaime.benazar\Quorum Business Solutions\Ecopetrol Prometeo - Documents\Planning Space Implementation\3. Analysis &amp; Design\Design\FC22\DRR Jaime\Por presentar a ECP\Cantagallo\Cristalina\[CRISTALINA_CF_SEC_New_09-Feb-2024.xlsx]D-PDP'!$DT$39</t>
  </si>
  <si>
    <t>='C:\Users\jaime.benazar\Quorum Business Solutions\Ecopetrol Prometeo - Documents\Planning Space Implementation\3. Analysis &amp; Design\Design\FC22\DRR Jaime\Por presentar a ECP\Cantagallo\Cristalina\[CRISTALINA_CF_SEC_New_09-Feb-2024.xlsx]D-PDP'!$DT$40</t>
  </si>
  <si>
    <t>='C:\Users\jaime.benazar\Quorum Business Solutions\Ecopetrol Prometeo - Documents\Planning Space Implementation\3. Analysis &amp; Design\Design\FC22\DRR Jaime\Por presentar a ECP\Cantagallo\Cristalina\[CRISTALINA_CF_SEC_New_09-Feb-2024.xlsx]D-PDP'!$DT$41</t>
  </si>
  <si>
    <t>='C:\Users\jaime.benazar\Quorum Business Solutions\Ecopetrol Prometeo - Documents\Planning Space Implementation\3. Analysis &amp; Design\Design\FC22\DRR Jaime\Por presentar a ECP\Cantagallo\Cristalina\[CRISTALINA_CF_SEC_New_09-Feb-2024.xlsx]D-PDP'!$DT$42</t>
  </si>
  <si>
    <t>='C:\Users\jaime.benazar\Quorum Business Solutions\Ecopetrol Prometeo - Documents\Planning Space Implementation\3. Analysis &amp; Design\Design\FC22\DRR Jaime\Por presentar a ECP\Cantagallo\Cristalina\[CRISTALINA_CF_SEC_New_09-Feb-2024.xlsx]D-PDP'!$DT$43</t>
  </si>
  <si>
    <t>='C:\Users\jaime.benazar\Quorum Business Solutions\Ecopetrol Prometeo - Documents\Planning Space Implementation\3. Analysis &amp; Design\Design\FC22\DRR Jaime\Por presentar a ECP\Cantagallo\Cristalina\[CRISTALINA_CF_SEC_New_09-Feb-2024.xlsx]D-PDP'!$DT$44</t>
  </si>
  <si>
    <t>='C:\Users\jaime.benazar\Quorum Business Solutions\Ecopetrol Prometeo - Documents\Planning Space Implementation\3. Analysis &amp; Design\Design\FC22\DRR Jaime\Por presentar a ECP\Cantagallo\Cristalina\[CRISTALINA_CF_SEC_New_09-Feb-2024.xlsx]D-PDP'!$DT$45</t>
  </si>
  <si>
    <t>='C:\Users\jaime.benazar\Quorum Business Solutions\Ecopetrol Prometeo - Documents\Planning Space Implementation\3. Analysis &amp; Design\Design\FC22\DRR Jaime\Por presentar a ECP\Cantagallo\Cristalina\[CRISTALINA_CF_SEC_New_09-Feb-2024.xlsx]D-PDP'!$DT$46</t>
  </si>
  <si>
    <t>='C:\Users\jaime.benazar\Quorum Business Solutions\Ecopetrol Prometeo - Documents\Planning Space Implementation\3. Analysis &amp; Design\Design\FC22\DRR Jaime\Por presentar a ECP\Cantagallo\Cristalina\[CRISTALINA_CF_SEC_New_09-Feb-2024.xlsx]D-PDP'!$DT$47</t>
  </si>
  <si>
    <t>='C:\Users\jaime.benazar\Quorum Business Solutions\Ecopetrol Prometeo - Documents\Planning Space Implementation\3. Analysis &amp; Design\Design\FC22\DRR Jaime\Por presentar a ECP\Cantagallo\Cristalina\[CRISTALINA_CF_SEC_New_09-Feb-2024.xlsx]D-PDP'!$DT$48</t>
  </si>
  <si>
    <t>='C:\Users\jaime.benazar\Quorum Business Solutions\Ecopetrol Prometeo - Documents\Planning Space Implementation\3. Analysis &amp; Design\Design\FC22\DRR Jaime\Por presentar a ECP\Cantagallo\Cristalina\[CRISTALINA_CF_SEC_New_09-Feb-2024.xlsx]D-PNP'!$DT$12</t>
  </si>
  <si>
    <t>='C:\Users\jaime.benazar\Quorum Business Solutions\Ecopetrol Prometeo - Documents\Planning Space Implementation\3. Analysis &amp; Design\Design\FC22\DRR Jaime\Por presentar a ECP\Cantagallo\Cristalina\[CRISTALINA_CF_SEC_New_09-Feb-2024.xlsx]D-PNP'!$DT$13</t>
  </si>
  <si>
    <t>='C:\Users\jaime.benazar\Quorum Business Solutions\Ecopetrol Prometeo - Documents\Planning Space Implementation\3. Analysis &amp; Design\Design\FC22\DRR Jaime\Por presentar a ECP\Cantagallo\Cristalina\[CRISTALINA_CF_SEC_New_09-Feb-2024.xlsx]D-PNP'!$DT$14</t>
  </si>
  <si>
    <t>='C:\Users\jaime.benazar\Quorum Business Solutions\Ecopetrol Prometeo - Documents\Planning Space Implementation\3. Analysis &amp; Design\Design\FC22\DRR Jaime\Por presentar a ECP\Cantagallo\Cristalina\[CRISTALINA_CF_SEC_New_09-Feb-2024.xlsx]D-PNP'!$DT$15</t>
  </si>
  <si>
    <t>='C:\Users\jaime.benazar\Quorum Business Solutions\Ecopetrol Prometeo - Documents\Planning Space Implementation\3. Analysis &amp; Design\Design\FC22\DRR Jaime\Por presentar a ECP\Cantagallo\Cristalina\[CRISTALINA_CF_SEC_New_09-Feb-2024.xlsx]D-PNP'!$DT$16</t>
  </si>
  <si>
    <t>='C:\Users\jaime.benazar\Quorum Business Solutions\Ecopetrol Prometeo - Documents\Planning Space Implementation\3. Analysis &amp; Design\Design\FC22\DRR Jaime\Por presentar a ECP\Cantagallo\Cristalina\[CRISTALINA_CF_SEC_New_09-Feb-2024.xlsx]D-PNP'!$DT$17</t>
  </si>
  <si>
    <t>='C:\Users\jaime.benazar\Quorum Business Solutions\Ecopetrol Prometeo - Documents\Planning Space Implementation\3. Analysis &amp; Design\Design\FC22\DRR Jaime\Por presentar a ECP\Cantagallo\Cristalina\[CRISTALINA_CF_SEC_New_09-Feb-2024.xlsx]D-PNP'!$DT$18</t>
  </si>
  <si>
    <t>='C:\Users\jaime.benazar\Quorum Business Solutions\Ecopetrol Prometeo - Documents\Planning Space Implementation\3. Analysis &amp; Design\Design\FC22\DRR Jaime\Por presentar a ECP\Cantagallo\Cristalina\[CRISTALINA_CF_SEC_New_09-Feb-2024.xlsx]D-PNP'!$DT$19</t>
  </si>
  <si>
    <t>='C:\Users\jaime.benazar\Quorum Business Solutions\Ecopetrol Prometeo - Documents\Planning Space Implementation\3. Analysis &amp; Design\Design\FC22\DRR Jaime\Por presentar a ECP\Cantagallo\Cristalina\[CRISTALINA_CF_SEC_New_09-Feb-2024.xlsx]D-PNP'!$DT$20</t>
  </si>
  <si>
    <t>='C:\Users\jaime.benazar\Quorum Business Solutions\Ecopetrol Prometeo - Documents\Planning Space Implementation\3. Analysis &amp; Design\Design\FC22\DRR Jaime\Por presentar a ECP\Cantagallo\Cristalina\[CRISTALINA_CF_SEC_New_09-Feb-2024.xlsx]D-PNP'!$DT$21</t>
  </si>
  <si>
    <t>='C:\Users\jaime.benazar\Quorum Business Solutions\Ecopetrol Prometeo - Documents\Planning Space Implementation\3. Analysis &amp; Design\Design\FC22\DRR Jaime\Por presentar a ECP\Cantagallo\Cristalina\[CRISTALINA_CF_SEC_New_09-Feb-2024.xlsx]D-PNP'!$DT$22</t>
  </si>
  <si>
    <t>='C:\Users\jaime.benazar\Quorum Business Solutions\Ecopetrol Prometeo - Documents\Planning Space Implementation\3. Analysis &amp; Design\Design\FC22\DRR Jaime\Por presentar a ECP\Cantagallo\Cristalina\[CRISTALINA_CF_SEC_New_09-Feb-2024.xlsx]D-PNP'!$DT$23</t>
  </si>
  <si>
    <t>='C:\Users\jaime.benazar\Quorum Business Solutions\Ecopetrol Prometeo - Documents\Planning Space Implementation\3. Analysis &amp; Design\Design\FC22\DRR Jaime\Por presentar a ECP\Cantagallo\Cristalina\[CRISTALINA_CF_SEC_New_09-Feb-2024.xlsx]D-PNP'!$DT$24</t>
  </si>
  <si>
    <t>='C:\Users\jaime.benazar\Quorum Business Solutions\Ecopetrol Prometeo - Documents\Planning Space Implementation\3. Analysis &amp; Design\Design\FC22\DRR Jaime\Por presentar a ECP\Cantagallo\Cristalina\[CRISTALINA_CF_SEC_New_09-Feb-2024.xlsx]D-PNP'!$DT$25</t>
  </si>
  <si>
    <t>='C:\Users\jaime.benazar\Quorum Business Solutions\Ecopetrol Prometeo - Documents\Planning Space Implementation\3. Analysis &amp; Design\Design\FC22\DRR Jaime\Por presentar a ECP\Cantagallo\Cristalina\[CRISTALINA_CF_SEC_New_09-Feb-2024.xlsx]D-PNP'!$DT$26</t>
  </si>
  <si>
    <t>='C:\Users\jaime.benazar\Quorum Business Solutions\Ecopetrol Prometeo - Documents\Planning Space Implementation\3. Analysis &amp; Design\Design\FC22\DRR Jaime\Por presentar a ECP\Cantagallo\Cristalina\[CRISTALINA_CF_SEC_New_09-Feb-2024.xlsx]D-PNP'!$DT$27</t>
  </si>
  <si>
    <t>='C:\Users\jaime.benazar\Quorum Business Solutions\Ecopetrol Prometeo - Documents\Planning Space Implementation\3. Analysis &amp; Design\Design\FC22\DRR Jaime\Por presentar a ECP\Cantagallo\Cristalina\[CRISTALINA_CF_SEC_New_09-Feb-2024.xlsx]D-PNP'!$DT$28</t>
  </si>
  <si>
    <t>='C:\Users\jaime.benazar\Quorum Business Solutions\Ecopetrol Prometeo - Documents\Planning Space Implementation\3. Analysis &amp; Design\Design\FC22\DRR Jaime\Por presentar a ECP\Cantagallo\Cristalina\[CRISTALINA_CF_SEC_New_09-Feb-2024.xlsx]D-PNP'!$DT$29</t>
  </si>
  <si>
    <t>='C:\Users\jaime.benazar\Quorum Business Solutions\Ecopetrol Prometeo - Documents\Planning Space Implementation\3. Analysis &amp; Design\Design\FC22\DRR Jaime\Por presentar a ECP\Cantagallo\Cristalina\[CRISTALINA_CF_SEC_New_09-Feb-2024.xlsx]D-PNP'!$DT$30</t>
  </si>
  <si>
    <t>='C:\Users\jaime.benazar\Quorum Business Solutions\Ecopetrol Prometeo - Documents\Planning Space Implementation\3. Analysis &amp; Design\Design\FC22\DRR Jaime\Por presentar a ECP\Cantagallo\Cristalina\[CRISTALINA_CF_SEC_New_09-Feb-2024.xlsx]D-PNP'!$DT$31</t>
  </si>
  <si>
    <t>='C:\Users\jaime.benazar\Quorum Business Solutions\Ecopetrol Prometeo - Documents\Planning Space Implementation\3. Analysis &amp; Design\Design\FC22\DRR Jaime\Por presentar a ECP\Cantagallo\Cristalina\[CRISTALINA_CF_SEC_New_09-Feb-2024.xlsx]D-PNP'!$DT$32</t>
  </si>
  <si>
    <t>='C:\Users\jaime.benazar\Quorum Business Solutions\Ecopetrol Prometeo - Documents\Planning Space Implementation\3. Analysis &amp; Design\Design\FC22\DRR Jaime\Por presentar a ECP\Cantagallo\Cristalina\[CRISTALINA_CF_SEC_New_09-Feb-2024.xlsx]D-PNP'!$DT$33</t>
  </si>
  <si>
    <t>='C:\Users\jaime.benazar\Quorum Business Solutions\Ecopetrol Prometeo - Documents\Planning Space Implementation\3. Analysis &amp; Design\Design\FC22\DRR Jaime\Por presentar a ECP\Cantagallo\Cristalina\[CRISTALINA_CF_SEC_New_09-Feb-2024.xlsx]D-PNP'!$DT$34</t>
  </si>
  <si>
    <t>='C:\Users\jaime.benazar\Quorum Business Solutions\Ecopetrol Prometeo - Documents\Planning Space Implementation\3. Analysis &amp; Design\Design\FC22\DRR Jaime\Por presentar a ECP\Cantagallo\Cristalina\[CRISTALINA_CF_SEC_New_09-Feb-2024.xlsx]D-PNP'!$DT$35</t>
  </si>
  <si>
    <t>='C:\Users\jaime.benazar\Quorum Business Solutions\Ecopetrol Prometeo - Documents\Planning Space Implementation\3. Analysis &amp; Design\Design\FC22\DRR Jaime\Por presentar a ECP\Cantagallo\Cristalina\[CRISTALINA_CF_SEC_New_09-Feb-2024.xlsx]D-PNP'!$DT$36</t>
  </si>
  <si>
    <t>='C:\Users\jaime.benazar\Quorum Business Solutions\Ecopetrol Prometeo - Documents\Planning Space Implementation\3. Analysis &amp; Design\Design\FC22\DRR Jaime\Por presentar a ECP\Cantagallo\Cristalina\[CRISTALINA_CF_SEC_New_09-Feb-2024.xlsx]D-PNP'!$DT$37</t>
  </si>
  <si>
    <t>='C:\Users\jaime.benazar\Quorum Business Solutions\Ecopetrol Prometeo - Documents\Planning Space Implementation\3. Analysis &amp; Design\Design\FC22\DRR Jaime\Por presentar a ECP\Cantagallo\Cristalina\[CRISTALINA_CF_SEC_New_09-Feb-2024.xlsx]D-PNP'!$DT$38</t>
  </si>
  <si>
    <t>='C:\Users\jaime.benazar\Quorum Business Solutions\Ecopetrol Prometeo - Documents\Planning Space Implementation\3. Analysis &amp; Design\Design\FC22\DRR Jaime\Por presentar a ECP\Cantagallo\Cristalina\[CRISTALINA_CF_SEC_New_09-Feb-2024.xlsx]D-PNP'!$DT$39</t>
  </si>
  <si>
    <t>='C:\Users\jaime.benazar\Quorum Business Solutions\Ecopetrol Prometeo - Documents\Planning Space Implementation\3. Analysis &amp; Design\Design\FC22\DRR Jaime\Por presentar a ECP\Cantagallo\Cristalina\[CRISTALINA_CF_SEC_New_09-Feb-2024.xlsx]D-PNP'!$DT$40</t>
  </si>
  <si>
    <t>='C:\Users\jaime.benazar\Quorum Business Solutions\Ecopetrol Prometeo - Documents\Planning Space Implementation\3. Analysis &amp; Design\Design\FC22\DRR Jaime\Por presentar a ECP\Cantagallo\Cristalina\[CRISTALINA_CF_SEC_New_09-Feb-2024.xlsx]D-PNP'!$DT$41</t>
  </si>
  <si>
    <t>='C:\Users\jaime.benazar\Quorum Business Solutions\Ecopetrol Prometeo - Documents\Planning Space Implementation\3. Analysis &amp; Design\Design\FC22\DRR Jaime\Por presentar a ECP\Cantagallo\Cristalina\[CRISTALINA_CF_SEC_New_09-Feb-2024.xlsx]D-PNP'!$DT$42</t>
  </si>
  <si>
    <t>='C:\Users\jaime.benazar\Quorum Business Solutions\Ecopetrol Prometeo - Documents\Planning Space Implementation\3. Analysis &amp; Design\Design\FC22\DRR Jaime\Por presentar a ECP\Cantagallo\Cristalina\[CRISTALINA_CF_SEC_New_09-Feb-2024.xlsx]D-PNP'!$DT$43</t>
  </si>
  <si>
    <t>='C:\Users\jaime.benazar\Quorum Business Solutions\Ecopetrol Prometeo - Documents\Planning Space Implementation\3. Analysis &amp; Design\Design\FC22\DRR Jaime\Por presentar a ECP\Cantagallo\Cristalina\[CRISTALINA_CF_SEC_New_09-Feb-2024.xlsx]D-PNP'!$DT$44</t>
  </si>
  <si>
    <t>='C:\Users\jaime.benazar\Quorum Business Solutions\Ecopetrol Prometeo - Documents\Planning Space Implementation\3. Analysis &amp; Design\Design\FC22\DRR Jaime\Por presentar a ECP\Cantagallo\Cristalina\[CRISTALINA_CF_SEC_New_09-Feb-2024.xlsx]D-PNP'!$DT$45</t>
  </si>
  <si>
    <t>='C:\Users\jaime.benazar\Quorum Business Solutions\Ecopetrol Prometeo - Documents\Planning Space Implementation\3. Analysis &amp; Design\Design\FC22\DRR Jaime\Por presentar a ECP\Cantagallo\Cristalina\[CRISTALINA_CF_SEC_New_09-Feb-2024.xlsx]D-PNP'!$DT$46</t>
  </si>
  <si>
    <t>='C:\Users\jaime.benazar\Quorum Business Solutions\Ecopetrol Prometeo - Documents\Planning Space Implementation\3. Analysis &amp; Design\Design\FC22\DRR Jaime\Por presentar a ECP\Cantagallo\Cristalina\[CRISTALINA_CF_SEC_New_09-Feb-2024.xlsx]D-PNP'!$DT$47</t>
  </si>
  <si>
    <t>='C:\Users\jaime.benazar\Quorum Business Solutions\Ecopetrol Prometeo - Documents\Planning Space Implementation\3. Analysis &amp; Design\Design\FC22\DRR Jaime\Por presentar a ECP\Cantagallo\Cristalina\[CRISTALINA_CF_SEC_New_09-Feb-2024.xlsx]D-PNP'!$DT$48</t>
  </si>
  <si>
    <t>='C:\Users\jaime.benazar\Quorum Business Solutions\Ecopetrol Prometeo - Documents\Planning Space Implementation\3. Analysis &amp; Design\Design\FC22\DRR Jaime\Por presentar a ECP\Cantagallo\Cristalina\[CRISTALINA_CF_SEC_New_09-Feb-2024.xlsx]D-PND'!$DT$12</t>
  </si>
  <si>
    <t>='C:\Users\jaime.benazar\Quorum Business Solutions\Ecopetrol Prometeo - Documents\Planning Space Implementation\3. Analysis &amp; Design\Design\FC22\DRR Jaime\Por presentar a ECP\Cantagallo\Cristalina\[CRISTALINA_CF_SEC_New_09-Feb-2024.xlsx]D-PND'!$DT$13</t>
  </si>
  <si>
    <t>='C:\Users\jaime.benazar\Quorum Business Solutions\Ecopetrol Prometeo - Documents\Planning Space Implementation\3. Analysis &amp; Design\Design\FC22\DRR Jaime\Por presentar a ECP\Cantagallo\Cristalina\[CRISTALINA_CF_SEC_New_09-Feb-2024.xlsx]D-PND'!$DT$14</t>
  </si>
  <si>
    <t>='C:\Users\jaime.benazar\Quorum Business Solutions\Ecopetrol Prometeo - Documents\Planning Space Implementation\3. Analysis &amp; Design\Design\FC22\DRR Jaime\Por presentar a ECP\Cantagallo\Cristalina\[CRISTALINA_CF_SEC_New_09-Feb-2024.xlsx]D-PND'!$DT$15</t>
  </si>
  <si>
    <t>='C:\Users\jaime.benazar\Quorum Business Solutions\Ecopetrol Prometeo - Documents\Planning Space Implementation\3. Analysis &amp; Design\Design\FC22\DRR Jaime\Por presentar a ECP\Cantagallo\Cristalina\[CRISTALINA_CF_SEC_New_09-Feb-2024.xlsx]D-PND'!$DT$16</t>
  </si>
  <si>
    <t>='C:\Users\jaime.benazar\Quorum Business Solutions\Ecopetrol Prometeo - Documents\Planning Space Implementation\3. Analysis &amp; Design\Design\FC22\DRR Jaime\Por presentar a ECP\Cantagallo\Cristalina\[CRISTALINA_CF_SEC_New_09-Feb-2024.xlsx]D-PND'!$DT$17</t>
  </si>
  <si>
    <t>='C:\Users\jaime.benazar\Quorum Business Solutions\Ecopetrol Prometeo - Documents\Planning Space Implementation\3. Analysis &amp; Design\Design\FC22\DRR Jaime\Por presentar a ECP\Cantagallo\Cristalina\[CRISTALINA_CF_SEC_New_09-Feb-2024.xlsx]D-PND'!$DT$18</t>
  </si>
  <si>
    <t>='C:\Users\jaime.benazar\Quorum Business Solutions\Ecopetrol Prometeo - Documents\Planning Space Implementation\3. Analysis &amp; Design\Design\FC22\DRR Jaime\Por presentar a ECP\Cantagallo\Cristalina\[CRISTALINA_CF_SEC_New_09-Feb-2024.xlsx]D-PND'!$DT$19</t>
  </si>
  <si>
    <t>='C:\Users\jaime.benazar\Quorum Business Solutions\Ecopetrol Prometeo - Documents\Planning Space Implementation\3. Analysis &amp; Design\Design\FC22\DRR Jaime\Por presentar a ECP\Cantagallo\Cristalina\[CRISTALINA_CF_SEC_New_09-Feb-2024.xlsx]D-PND'!$DT$20</t>
  </si>
  <si>
    <t>='C:\Users\jaime.benazar\Quorum Business Solutions\Ecopetrol Prometeo - Documents\Planning Space Implementation\3. Analysis &amp; Design\Design\FC22\DRR Jaime\Por presentar a ECP\Cantagallo\Cristalina\[CRISTALINA_CF_SEC_New_09-Feb-2024.xlsx]D-PND'!$DT$21</t>
  </si>
  <si>
    <t>='C:\Users\jaime.benazar\Quorum Business Solutions\Ecopetrol Prometeo - Documents\Planning Space Implementation\3. Analysis &amp; Design\Design\FC22\DRR Jaime\Por presentar a ECP\Cantagallo\Cristalina\[CRISTALINA_CF_SEC_New_09-Feb-2024.xlsx]D-PND'!$DT$22</t>
  </si>
  <si>
    <t>='C:\Users\jaime.benazar\Quorum Business Solutions\Ecopetrol Prometeo - Documents\Planning Space Implementation\3. Analysis &amp; Design\Design\FC22\DRR Jaime\Por presentar a ECP\Cantagallo\Cristalina\[CRISTALINA_CF_SEC_New_09-Feb-2024.xlsx]D-PND'!$DT$23</t>
  </si>
  <si>
    <t>='C:\Users\jaime.benazar\Quorum Business Solutions\Ecopetrol Prometeo - Documents\Planning Space Implementation\3. Analysis &amp; Design\Design\FC22\DRR Jaime\Por presentar a ECP\Cantagallo\Cristalina\[CRISTALINA_CF_SEC_New_09-Feb-2024.xlsx]D-PND'!$DT$24</t>
  </si>
  <si>
    <t>='C:\Users\jaime.benazar\Quorum Business Solutions\Ecopetrol Prometeo - Documents\Planning Space Implementation\3. Analysis &amp; Design\Design\FC22\DRR Jaime\Por presentar a ECP\Cantagallo\Cristalina\[CRISTALINA_CF_SEC_New_09-Feb-2024.xlsx]D-PND'!$DT$25</t>
  </si>
  <si>
    <t>='C:\Users\jaime.benazar\Quorum Business Solutions\Ecopetrol Prometeo - Documents\Planning Space Implementation\3. Analysis &amp; Design\Design\FC22\DRR Jaime\Por presentar a ECP\Cantagallo\Cristalina\[CRISTALINA_CF_SEC_New_09-Feb-2024.xlsx]D-PND'!$DT$26</t>
  </si>
  <si>
    <t>='C:\Users\jaime.benazar\Quorum Business Solutions\Ecopetrol Prometeo - Documents\Planning Space Implementation\3. Analysis &amp; Design\Design\FC22\DRR Jaime\Por presentar a ECP\Cantagallo\Cristalina\[CRISTALINA_CF_SEC_New_09-Feb-2024.xlsx]D-PND'!$DT$27</t>
  </si>
  <si>
    <t>='C:\Users\jaime.benazar\Quorum Business Solutions\Ecopetrol Prometeo - Documents\Planning Space Implementation\3. Analysis &amp; Design\Design\FC22\DRR Jaime\Por presentar a ECP\Cantagallo\Cristalina\[CRISTALINA_CF_SEC_New_09-Feb-2024.xlsx]D-PND'!$DT$28</t>
  </si>
  <si>
    <t>='C:\Users\jaime.benazar\Quorum Business Solutions\Ecopetrol Prometeo - Documents\Planning Space Implementation\3. Analysis &amp; Design\Design\FC22\DRR Jaime\Por presentar a ECP\Cantagallo\Cristalina\[CRISTALINA_CF_SEC_New_09-Feb-2024.xlsx]D-PND'!$DT$29</t>
  </si>
  <si>
    <t>='C:\Users\jaime.benazar\Quorum Business Solutions\Ecopetrol Prometeo - Documents\Planning Space Implementation\3. Analysis &amp; Design\Design\FC22\DRR Jaime\Por presentar a ECP\Cantagallo\Cristalina\[CRISTALINA_CF_SEC_New_09-Feb-2024.xlsx]D-PND'!$DT$30</t>
  </si>
  <si>
    <t>='C:\Users\jaime.benazar\Quorum Business Solutions\Ecopetrol Prometeo - Documents\Planning Space Implementation\3. Analysis &amp; Design\Design\FC22\DRR Jaime\Por presentar a ECP\Cantagallo\Cristalina\[CRISTALINA_CF_SEC_New_09-Feb-2024.xlsx]D-PND'!$DT$31</t>
  </si>
  <si>
    <t>='C:\Users\jaime.benazar\Quorum Business Solutions\Ecopetrol Prometeo - Documents\Planning Space Implementation\3. Analysis &amp; Design\Design\FC22\DRR Jaime\Por presentar a ECP\Cantagallo\Cristalina\[CRISTALINA_CF_SEC_New_09-Feb-2024.xlsx]D-PND'!$DT$32</t>
  </si>
  <si>
    <t>='C:\Users\jaime.benazar\Quorum Business Solutions\Ecopetrol Prometeo - Documents\Planning Space Implementation\3. Analysis &amp; Design\Design\FC22\DRR Jaime\Por presentar a ECP\Cantagallo\Cristalina\[CRISTALINA_CF_SEC_New_09-Feb-2024.xlsx]D-PND'!$DT$33</t>
  </si>
  <si>
    <t>='C:\Users\jaime.benazar\Quorum Business Solutions\Ecopetrol Prometeo - Documents\Planning Space Implementation\3. Analysis &amp; Design\Design\FC22\DRR Jaime\Por presentar a ECP\Cantagallo\Cristalina\[CRISTALINA_CF_SEC_New_09-Feb-2024.xlsx]D-PND'!$DT$34</t>
  </si>
  <si>
    <t>='C:\Users\jaime.benazar\Quorum Business Solutions\Ecopetrol Prometeo - Documents\Planning Space Implementation\3. Analysis &amp; Design\Design\FC22\DRR Jaime\Por presentar a ECP\Cantagallo\Cristalina\[CRISTALINA_CF_SEC_New_09-Feb-2024.xlsx]D-PND'!$DT$35</t>
  </si>
  <si>
    <t>='C:\Users\jaime.benazar\Quorum Business Solutions\Ecopetrol Prometeo - Documents\Planning Space Implementation\3. Analysis &amp; Design\Design\FC22\DRR Jaime\Por presentar a ECP\Cantagallo\Cristalina\[CRISTALINA_CF_SEC_New_09-Feb-2024.xlsx]D-PND'!$DT$36</t>
  </si>
  <si>
    <t>='C:\Users\jaime.benazar\Quorum Business Solutions\Ecopetrol Prometeo - Documents\Planning Space Implementation\3. Analysis &amp; Design\Design\FC22\DRR Jaime\Por presentar a ECP\Cantagallo\Cristalina\[CRISTALINA_CF_SEC_New_09-Feb-2024.xlsx]D-PND'!$DT$37</t>
  </si>
  <si>
    <t>='C:\Users\jaime.benazar\Quorum Business Solutions\Ecopetrol Prometeo - Documents\Planning Space Implementation\3. Analysis &amp; Design\Design\FC22\DRR Jaime\Por presentar a ECP\Cantagallo\Cristalina\[CRISTALINA_CF_SEC_New_09-Feb-2024.xlsx]D-PND'!$DT$38</t>
  </si>
  <si>
    <t>='C:\Users\jaime.benazar\Quorum Business Solutions\Ecopetrol Prometeo - Documents\Planning Space Implementation\3. Analysis &amp; Design\Design\FC22\DRR Jaime\Por presentar a ECP\Cantagallo\Cristalina\[CRISTALINA_CF_SEC_New_09-Feb-2024.xlsx]D-PND'!$DT$39</t>
  </si>
  <si>
    <t>='C:\Users\jaime.benazar\Quorum Business Solutions\Ecopetrol Prometeo - Documents\Planning Space Implementation\3. Analysis &amp; Design\Design\FC22\DRR Jaime\Por presentar a ECP\Cantagallo\Cristalina\[CRISTALINA_CF_SEC_New_09-Feb-2024.xlsx]D-PND'!$DT$40</t>
  </si>
  <si>
    <t>='C:\Users\jaime.benazar\Quorum Business Solutions\Ecopetrol Prometeo - Documents\Planning Space Implementation\3. Analysis &amp; Design\Design\FC22\DRR Jaime\Por presentar a ECP\Cantagallo\Cristalina\[CRISTALINA_CF_SEC_New_09-Feb-2024.xlsx]D-PND'!$DT$41</t>
  </si>
  <si>
    <t>='C:\Users\jaime.benazar\Quorum Business Solutions\Ecopetrol Prometeo - Documents\Planning Space Implementation\3. Analysis &amp; Design\Design\FC22\DRR Jaime\Por presentar a ECP\Cantagallo\Cristalina\[CRISTALINA_CF_SEC_New_09-Feb-2024.xlsx]D-PND'!$DT$42</t>
  </si>
  <si>
    <t>='C:\Users\jaime.benazar\Quorum Business Solutions\Ecopetrol Prometeo - Documents\Planning Space Implementation\3. Analysis &amp; Design\Design\FC22\DRR Jaime\Por presentar a ECP\Cantagallo\Cristalina\[CRISTALINA_CF_SEC_New_09-Feb-2024.xlsx]D-PND'!$DT$43</t>
  </si>
  <si>
    <t>='C:\Users\jaime.benazar\Quorum Business Solutions\Ecopetrol Prometeo - Documents\Planning Space Implementation\3. Analysis &amp; Design\Design\FC22\DRR Jaime\Por presentar a ECP\Cantagallo\Cristalina\[CRISTALINA_CF_SEC_New_09-Feb-2024.xlsx]D-PND'!$DT$44</t>
  </si>
  <si>
    <t>='C:\Users\jaime.benazar\Quorum Business Solutions\Ecopetrol Prometeo - Documents\Planning Space Implementation\3. Analysis &amp; Design\Design\FC22\DRR Jaime\Por presentar a ECP\Cantagallo\Cristalina\[CRISTALINA_CF_SEC_New_09-Feb-2024.xlsx]D-PND'!$DT$45</t>
  </si>
  <si>
    <t>='C:\Users\jaime.benazar\Quorum Business Solutions\Ecopetrol Prometeo - Documents\Planning Space Implementation\3. Analysis &amp; Design\Design\FC22\DRR Jaime\Por presentar a ECP\Cantagallo\Cristalina\[CRISTALINA_CF_SEC_New_09-Feb-2024.xlsx]D-PND'!$DT$46</t>
  </si>
  <si>
    <t>='C:\Users\jaime.benazar\Quorum Business Solutions\Ecopetrol Prometeo - Documents\Planning Space Implementation\3. Analysis &amp; Design\Design\FC22\DRR Jaime\Por presentar a ECP\Cantagallo\Cristalina\[CRISTALINA_CF_SEC_New_09-Feb-2024.xlsx]D-PND'!$DT$47</t>
  </si>
  <si>
    <t>='C:\Users\jaime.benazar\Quorum Business Solutions\Ecopetrol Prometeo - Documents\Planning Space Implementation\3. Analysis &amp; Design\Design\FC22\DRR Jaime\Por presentar a ECP\Cantagallo\Cristalina\[CRISTALINA_CF_SEC_New_09-Feb-2024.xlsx]D-PND'!$DT$48</t>
  </si>
  <si>
    <t>='C:\Users\jaime.benazar\Quorum Business Solutions\Ecopetrol Prometeo - Documents\Planning Space Implementation\3. Analysis &amp; Design\Design\FC22\DRR Jaime\Por presentar a ECP\Cantagallo\Cristalina\[CRISTALINA_CF_SEC_New_09-Feb-2024.xlsx]D-PRB'!$DT$12</t>
  </si>
  <si>
    <t>='C:\Users\jaime.benazar\Quorum Business Solutions\Ecopetrol Prometeo - Documents\Planning Space Implementation\3. Analysis &amp; Design\Design\FC22\DRR Jaime\Por presentar a ECP\Cantagallo\Cristalina\[CRISTALINA_CF_SEC_New_09-Feb-2024.xlsx]D-PRB'!$DT$13</t>
  </si>
  <si>
    <t>='C:\Users\jaime.benazar\Quorum Business Solutions\Ecopetrol Prometeo - Documents\Planning Space Implementation\3. Analysis &amp; Design\Design\FC22\DRR Jaime\Por presentar a ECP\Cantagallo\Cristalina\[CRISTALINA_CF_SEC_New_09-Feb-2024.xlsx]D-PRB'!$DT$14</t>
  </si>
  <si>
    <t>='C:\Users\jaime.benazar\Quorum Business Solutions\Ecopetrol Prometeo - Documents\Planning Space Implementation\3. Analysis &amp; Design\Design\FC22\DRR Jaime\Por presentar a ECP\Cantagallo\Cristalina\[CRISTALINA_CF_SEC_New_09-Feb-2024.xlsx]D-PRB'!$DT$15</t>
  </si>
  <si>
    <t>='C:\Users\jaime.benazar\Quorum Business Solutions\Ecopetrol Prometeo - Documents\Planning Space Implementation\3. Analysis &amp; Design\Design\FC22\DRR Jaime\Por presentar a ECP\Cantagallo\Cristalina\[CRISTALINA_CF_SEC_New_09-Feb-2024.xlsx]D-PRB'!$DT$16</t>
  </si>
  <si>
    <t>='C:\Users\jaime.benazar\Quorum Business Solutions\Ecopetrol Prometeo - Documents\Planning Space Implementation\3. Analysis &amp; Design\Design\FC22\DRR Jaime\Por presentar a ECP\Cantagallo\Cristalina\[CRISTALINA_CF_SEC_New_09-Feb-2024.xlsx]D-PRB'!$DT$17</t>
  </si>
  <si>
    <t>='C:\Users\jaime.benazar\Quorum Business Solutions\Ecopetrol Prometeo - Documents\Planning Space Implementation\3. Analysis &amp; Design\Design\FC22\DRR Jaime\Por presentar a ECP\Cantagallo\Cristalina\[CRISTALINA_CF_SEC_New_09-Feb-2024.xlsx]D-PRB'!$DT$18</t>
  </si>
  <si>
    <t>='C:\Users\jaime.benazar\Quorum Business Solutions\Ecopetrol Prometeo - Documents\Planning Space Implementation\3. Analysis &amp; Design\Design\FC22\DRR Jaime\Por presentar a ECP\Cantagallo\Cristalina\[CRISTALINA_CF_SEC_New_09-Feb-2024.xlsx]D-PRB'!$DT$19</t>
  </si>
  <si>
    <t>='C:\Users\jaime.benazar\Quorum Business Solutions\Ecopetrol Prometeo - Documents\Planning Space Implementation\3. Analysis &amp; Design\Design\FC22\DRR Jaime\Por presentar a ECP\Cantagallo\Cristalina\[CRISTALINA_CF_SEC_New_09-Feb-2024.xlsx]D-PRB'!$DT$20</t>
  </si>
  <si>
    <t>='C:\Users\jaime.benazar\Quorum Business Solutions\Ecopetrol Prometeo - Documents\Planning Space Implementation\3. Analysis &amp; Design\Design\FC22\DRR Jaime\Por presentar a ECP\Cantagallo\Cristalina\[CRISTALINA_CF_SEC_New_09-Feb-2024.xlsx]D-PRB'!$DT$21</t>
  </si>
  <si>
    <t>='C:\Users\jaime.benazar\Quorum Business Solutions\Ecopetrol Prometeo - Documents\Planning Space Implementation\3. Analysis &amp; Design\Design\FC22\DRR Jaime\Por presentar a ECP\Cantagallo\Cristalina\[CRISTALINA_CF_SEC_New_09-Feb-2024.xlsx]D-PRB'!$DT$22</t>
  </si>
  <si>
    <t>='C:\Users\jaime.benazar\Quorum Business Solutions\Ecopetrol Prometeo - Documents\Planning Space Implementation\3. Analysis &amp; Design\Design\FC22\DRR Jaime\Por presentar a ECP\Cantagallo\Cristalina\[CRISTALINA_CF_SEC_New_09-Feb-2024.xlsx]D-PRB'!$DT$23</t>
  </si>
  <si>
    <t>='C:\Users\jaime.benazar\Quorum Business Solutions\Ecopetrol Prometeo - Documents\Planning Space Implementation\3. Analysis &amp; Design\Design\FC22\DRR Jaime\Por presentar a ECP\Cantagallo\Cristalina\[CRISTALINA_CF_SEC_New_09-Feb-2024.xlsx]D-PRB'!$DT$24</t>
  </si>
  <si>
    <t>='C:\Users\jaime.benazar\Quorum Business Solutions\Ecopetrol Prometeo - Documents\Planning Space Implementation\3. Analysis &amp; Design\Design\FC22\DRR Jaime\Por presentar a ECP\Cantagallo\Cristalina\[CRISTALINA_CF_SEC_New_09-Feb-2024.xlsx]D-PRB'!$DT$25</t>
  </si>
  <si>
    <t>='C:\Users\jaime.benazar\Quorum Business Solutions\Ecopetrol Prometeo - Documents\Planning Space Implementation\3. Analysis &amp; Design\Design\FC22\DRR Jaime\Por presentar a ECP\Cantagallo\Cristalina\[CRISTALINA_CF_SEC_New_09-Feb-2024.xlsx]D-PRB'!$DT$26</t>
  </si>
  <si>
    <t>='C:\Users\jaime.benazar\Quorum Business Solutions\Ecopetrol Prometeo - Documents\Planning Space Implementation\3. Analysis &amp; Design\Design\FC22\DRR Jaime\Por presentar a ECP\Cantagallo\Cristalina\[CRISTALINA_CF_SEC_New_09-Feb-2024.xlsx]D-PRB'!$DT$27</t>
  </si>
  <si>
    <t>='C:\Users\jaime.benazar\Quorum Business Solutions\Ecopetrol Prometeo - Documents\Planning Space Implementation\3. Analysis &amp; Design\Design\FC22\DRR Jaime\Por presentar a ECP\Cantagallo\Cristalina\[CRISTALINA_CF_SEC_New_09-Feb-2024.xlsx]D-PRB'!$DT$28</t>
  </si>
  <si>
    <t>='C:\Users\jaime.benazar\Quorum Business Solutions\Ecopetrol Prometeo - Documents\Planning Space Implementation\3. Analysis &amp; Design\Design\FC22\DRR Jaime\Por presentar a ECP\Cantagallo\Cristalina\[CRISTALINA_CF_SEC_New_09-Feb-2024.xlsx]D-PRB'!$DT$29</t>
  </si>
  <si>
    <t>='C:\Users\jaime.benazar\Quorum Business Solutions\Ecopetrol Prometeo - Documents\Planning Space Implementation\3. Analysis &amp; Design\Design\FC22\DRR Jaime\Por presentar a ECP\Cantagallo\Cristalina\[CRISTALINA_CF_SEC_New_09-Feb-2024.xlsx]D-PRB'!$DT$30</t>
  </si>
  <si>
    <t>='C:\Users\jaime.benazar\Quorum Business Solutions\Ecopetrol Prometeo - Documents\Planning Space Implementation\3. Analysis &amp; Design\Design\FC22\DRR Jaime\Por presentar a ECP\Cantagallo\Cristalina\[CRISTALINA_CF_SEC_New_09-Feb-2024.xlsx]D-PRB'!$DT$31</t>
  </si>
  <si>
    <t>='C:\Users\jaime.benazar\Quorum Business Solutions\Ecopetrol Prometeo - Documents\Planning Space Implementation\3. Analysis &amp; Design\Design\FC22\DRR Jaime\Por presentar a ECP\Cantagallo\Cristalina\[CRISTALINA_CF_SEC_New_09-Feb-2024.xlsx]D-PRB'!$DT$32</t>
  </si>
  <si>
    <t>='C:\Users\jaime.benazar\Quorum Business Solutions\Ecopetrol Prometeo - Documents\Planning Space Implementation\3. Analysis &amp; Design\Design\FC22\DRR Jaime\Por presentar a ECP\Cantagallo\Cristalina\[CRISTALINA_CF_SEC_New_09-Feb-2024.xlsx]D-PRB'!$DT$33</t>
  </si>
  <si>
    <t>='C:\Users\jaime.benazar\Quorum Business Solutions\Ecopetrol Prometeo - Documents\Planning Space Implementation\3. Analysis &amp; Design\Design\FC22\DRR Jaime\Por presentar a ECP\Cantagallo\Cristalina\[CRISTALINA_CF_SEC_New_09-Feb-2024.xlsx]D-PRB'!$DT$34</t>
  </si>
  <si>
    <t>='C:\Users\jaime.benazar\Quorum Business Solutions\Ecopetrol Prometeo - Documents\Planning Space Implementation\3. Analysis &amp; Design\Design\FC22\DRR Jaime\Por presentar a ECP\Cantagallo\Cristalina\[CRISTALINA_CF_SEC_New_09-Feb-2024.xlsx]D-PRB'!$DT$35</t>
  </si>
  <si>
    <t>='C:\Users\jaime.benazar\Quorum Business Solutions\Ecopetrol Prometeo - Documents\Planning Space Implementation\3. Analysis &amp; Design\Design\FC22\DRR Jaime\Por presentar a ECP\Cantagallo\Cristalina\[CRISTALINA_CF_SEC_New_09-Feb-2024.xlsx]D-PRB'!$DT$36</t>
  </si>
  <si>
    <t>='C:\Users\jaime.benazar\Quorum Business Solutions\Ecopetrol Prometeo - Documents\Planning Space Implementation\3. Analysis &amp; Design\Design\FC22\DRR Jaime\Por presentar a ECP\Cantagallo\Cristalina\[CRISTALINA_CF_SEC_New_09-Feb-2024.xlsx]D-PRB'!$DT$37</t>
  </si>
  <si>
    <t>='C:\Users\jaime.benazar\Quorum Business Solutions\Ecopetrol Prometeo - Documents\Planning Space Implementation\3. Analysis &amp; Design\Design\FC22\DRR Jaime\Por presentar a ECP\Cantagallo\Cristalina\[CRISTALINA_CF_SEC_New_09-Feb-2024.xlsx]D-PRB'!$DT$38</t>
  </si>
  <si>
    <t>='C:\Users\jaime.benazar\Quorum Business Solutions\Ecopetrol Prometeo - Documents\Planning Space Implementation\3. Analysis &amp; Design\Design\FC22\DRR Jaime\Por presentar a ECP\Cantagallo\Cristalina\[CRISTALINA_CF_SEC_New_09-Feb-2024.xlsx]D-PRB'!$DT$39</t>
  </si>
  <si>
    <t>='C:\Users\jaime.benazar\Quorum Business Solutions\Ecopetrol Prometeo - Documents\Planning Space Implementation\3. Analysis &amp; Design\Design\FC22\DRR Jaime\Por presentar a ECP\Cantagallo\Cristalina\[CRISTALINA_CF_SEC_New_09-Feb-2024.xlsx]D-PRB'!$DT$40</t>
  </si>
  <si>
    <t>='C:\Users\jaime.benazar\Quorum Business Solutions\Ecopetrol Prometeo - Documents\Planning Space Implementation\3. Analysis &amp; Design\Design\FC22\DRR Jaime\Por presentar a ECP\Cantagallo\Cristalina\[CRISTALINA_CF_SEC_New_09-Feb-2024.xlsx]D-PRB'!$DT$41</t>
  </si>
  <si>
    <t>='C:\Users\jaime.benazar\Quorum Business Solutions\Ecopetrol Prometeo - Documents\Planning Space Implementation\3. Analysis &amp; Design\Design\FC22\DRR Jaime\Por presentar a ECP\Cantagallo\Cristalina\[CRISTALINA_CF_SEC_New_09-Feb-2024.xlsx]D-PRB'!$DT$42</t>
  </si>
  <si>
    <t>='C:\Users\jaime.benazar\Quorum Business Solutions\Ecopetrol Prometeo - Documents\Planning Space Implementation\3. Analysis &amp; Design\Design\FC22\DRR Jaime\Por presentar a ECP\Cantagallo\Cristalina\[CRISTALINA_CF_SEC_New_09-Feb-2024.xlsx]D-PRB'!$DT$43</t>
  </si>
  <si>
    <t>='C:\Users\jaime.benazar\Quorum Business Solutions\Ecopetrol Prometeo - Documents\Planning Space Implementation\3. Analysis &amp; Design\Design\FC22\DRR Jaime\Por presentar a ECP\Cantagallo\Cristalina\[CRISTALINA_CF_SEC_New_09-Feb-2024.xlsx]D-PRB'!$DT$44</t>
  </si>
  <si>
    <t>='C:\Users\jaime.benazar\Quorum Business Solutions\Ecopetrol Prometeo - Documents\Planning Space Implementation\3. Analysis &amp; Design\Design\FC22\DRR Jaime\Por presentar a ECP\Cantagallo\Cristalina\[CRISTALINA_CF_SEC_New_09-Feb-2024.xlsx]D-PRB'!$DT$45</t>
  </si>
  <si>
    <t>='C:\Users\jaime.benazar\Quorum Business Solutions\Ecopetrol Prometeo - Documents\Planning Space Implementation\3. Analysis &amp; Design\Design\FC22\DRR Jaime\Por presentar a ECP\Cantagallo\Cristalina\[CRISTALINA_CF_SEC_New_09-Feb-2024.xlsx]D-PRB'!$DT$46</t>
  </si>
  <si>
    <t>='C:\Users\jaime.benazar\Quorum Business Solutions\Ecopetrol Prometeo - Documents\Planning Space Implementation\3. Analysis &amp; Design\Design\FC22\DRR Jaime\Por presentar a ECP\Cantagallo\Cristalina\[CRISTALINA_CF_SEC_New_09-Feb-2024.xlsx]D-PRB'!$DT$47</t>
  </si>
  <si>
    <t>='C:\Users\jaime.benazar\Quorum Business Solutions\Ecopetrol Prometeo - Documents\Planning Space Implementation\3. Analysis &amp; Design\Design\FC22\DRR Jaime\Por presentar a ECP\Cantagallo\Cristalina\[CRISTALINA_CF_SEC_New_09-Feb-2024.xlsx]D-PRB'!$DT$48</t>
  </si>
  <si>
    <t>='C:\Users\jaime.benazar\Quorum Business Solutions\Ecopetrol Prometeo - Documents\Planning Space Implementation\3. Analysis &amp; Design\Design\FC22\DRR Jaime\Por presentar a ECP\Cantagallo\Cristalina\[CRISTALINA_CF_SEC_New_09-Feb-2024.xlsx]D-PS'!$DT$12</t>
  </si>
  <si>
    <t>='C:\Users\jaime.benazar\Quorum Business Solutions\Ecopetrol Prometeo - Documents\Planning Space Implementation\3. Analysis &amp; Design\Design\FC22\DRR Jaime\Por presentar a ECP\Cantagallo\Cristalina\[CRISTALINA_CF_SEC_New_09-Feb-2024.xlsx]D-PS'!$DT$13</t>
  </si>
  <si>
    <t>='C:\Users\jaime.benazar\Quorum Business Solutions\Ecopetrol Prometeo - Documents\Planning Space Implementation\3. Analysis &amp; Design\Design\FC22\DRR Jaime\Por presentar a ECP\Cantagallo\Cristalina\[CRISTALINA_CF_SEC_New_09-Feb-2024.xlsx]D-PS'!$DT$14</t>
  </si>
  <si>
    <t>='C:\Users\jaime.benazar\Quorum Business Solutions\Ecopetrol Prometeo - Documents\Planning Space Implementation\3. Analysis &amp; Design\Design\FC22\DRR Jaime\Por presentar a ECP\Cantagallo\Cristalina\[CRISTALINA_CF_SEC_New_09-Feb-2024.xlsx]D-PS'!$DT$15</t>
  </si>
  <si>
    <t>='C:\Users\jaime.benazar\Quorum Business Solutions\Ecopetrol Prometeo - Documents\Planning Space Implementation\3. Analysis &amp; Design\Design\FC22\DRR Jaime\Por presentar a ECP\Cantagallo\Cristalina\[CRISTALINA_CF_SEC_New_09-Feb-2024.xlsx]D-PS'!$DT$16</t>
  </si>
  <si>
    <t>='C:\Users\jaime.benazar\Quorum Business Solutions\Ecopetrol Prometeo - Documents\Planning Space Implementation\3. Analysis &amp; Design\Design\FC22\DRR Jaime\Por presentar a ECP\Cantagallo\Cristalina\[CRISTALINA_CF_SEC_New_09-Feb-2024.xlsx]D-PS'!$DT$17</t>
  </si>
  <si>
    <t>='C:\Users\jaime.benazar\Quorum Business Solutions\Ecopetrol Prometeo - Documents\Planning Space Implementation\3. Analysis &amp; Design\Design\FC22\DRR Jaime\Por presentar a ECP\Cantagallo\Cristalina\[CRISTALINA_CF_SEC_New_09-Feb-2024.xlsx]D-PS'!$DT$18</t>
  </si>
  <si>
    <t>='C:\Users\jaime.benazar\Quorum Business Solutions\Ecopetrol Prometeo - Documents\Planning Space Implementation\3. Analysis &amp; Design\Design\FC22\DRR Jaime\Por presentar a ECP\Cantagallo\Cristalina\[CRISTALINA_CF_SEC_New_09-Feb-2024.xlsx]D-PS'!$DT$19</t>
  </si>
  <si>
    <t>='C:\Users\jaime.benazar\Quorum Business Solutions\Ecopetrol Prometeo - Documents\Planning Space Implementation\3. Analysis &amp; Design\Design\FC22\DRR Jaime\Por presentar a ECP\Cantagallo\Cristalina\[CRISTALINA_CF_SEC_New_09-Feb-2024.xlsx]D-PS'!$DT$20</t>
  </si>
  <si>
    <t>='C:\Users\jaime.benazar\Quorum Business Solutions\Ecopetrol Prometeo - Documents\Planning Space Implementation\3. Analysis &amp; Design\Design\FC22\DRR Jaime\Por presentar a ECP\Cantagallo\Cristalina\[CRISTALINA_CF_SEC_New_09-Feb-2024.xlsx]D-PS'!$DT$21</t>
  </si>
  <si>
    <t>='C:\Users\jaime.benazar\Quorum Business Solutions\Ecopetrol Prometeo - Documents\Planning Space Implementation\3. Analysis &amp; Design\Design\FC22\DRR Jaime\Por presentar a ECP\Cantagallo\Cristalina\[CRISTALINA_CF_SEC_New_09-Feb-2024.xlsx]D-PS'!$DT$22</t>
  </si>
  <si>
    <t>='C:\Users\jaime.benazar\Quorum Business Solutions\Ecopetrol Prometeo - Documents\Planning Space Implementation\3. Analysis &amp; Design\Design\FC22\DRR Jaime\Por presentar a ECP\Cantagallo\Cristalina\[CRISTALINA_CF_SEC_New_09-Feb-2024.xlsx]D-PS'!$DT$23</t>
  </si>
  <si>
    <t>='C:\Users\jaime.benazar\Quorum Business Solutions\Ecopetrol Prometeo - Documents\Planning Space Implementation\3. Analysis &amp; Design\Design\FC22\DRR Jaime\Por presentar a ECP\Cantagallo\Cristalina\[CRISTALINA_CF_SEC_New_09-Feb-2024.xlsx]D-PS'!$DT$24</t>
  </si>
  <si>
    <t>='C:\Users\jaime.benazar\Quorum Business Solutions\Ecopetrol Prometeo - Documents\Planning Space Implementation\3. Analysis &amp; Design\Design\FC22\DRR Jaime\Por presentar a ECP\Cantagallo\Cristalina\[CRISTALINA_CF_SEC_New_09-Feb-2024.xlsx]D-PS'!$DT$25</t>
  </si>
  <si>
    <t>='C:\Users\jaime.benazar\Quorum Business Solutions\Ecopetrol Prometeo - Documents\Planning Space Implementation\3. Analysis &amp; Design\Design\FC22\DRR Jaime\Por presentar a ECP\Cantagallo\Cristalina\[CRISTALINA_CF_SEC_New_09-Feb-2024.xlsx]D-PS'!$DT$26</t>
  </si>
  <si>
    <t>='C:\Users\jaime.benazar\Quorum Business Solutions\Ecopetrol Prometeo - Documents\Planning Space Implementation\3. Analysis &amp; Design\Design\FC22\DRR Jaime\Por presentar a ECP\Cantagallo\Cristalina\[CRISTALINA_CF_SEC_New_09-Feb-2024.xlsx]D-PS'!$DT$27</t>
  </si>
  <si>
    <t>='C:\Users\jaime.benazar\Quorum Business Solutions\Ecopetrol Prometeo - Documents\Planning Space Implementation\3. Analysis &amp; Design\Design\FC22\DRR Jaime\Por presentar a ECP\Cantagallo\Cristalina\[CRISTALINA_CF_SEC_New_09-Feb-2024.xlsx]D-PS'!$DT$28</t>
  </si>
  <si>
    <t>='C:\Users\jaime.benazar\Quorum Business Solutions\Ecopetrol Prometeo - Documents\Planning Space Implementation\3. Analysis &amp; Design\Design\FC22\DRR Jaime\Por presentar a ECP\Cantagallo\Cristalina\[CRISTALINA_CF_SEC_New_09-Feb-2024.xlsx]D-PS'!$DT$29</t>
  </si>
  <si>
    <t>='C:\Users\jaime.benazar\Quorum Business Solutions\Ecopetrol Prometeo - Documents\Planning Space Implementation\3. Analysis &amp; Design\Design\FC22\DRR Jaime\Por presentar a ECP\Cantagallo\Cristalina\[CRISTALINA_CF_SEC_New_09-Feb-2024.xlsx]D-PS'!$DT$30</t>
  </si>
  <si>
    <t>='C:\Users\jaime.benazar\Quorum Business Solutions\Ecopetrol Prometeo - Documents\Planning Space Implementation\3. Analysis &amp; Design\Design\FC22\DRR Jaime\Por presentar a ECP\Cantagallo\Cristalina\[CRISTALINA_CF_SEC_New_09-Feb-2024.xlsx]D-PS'!$DT$31</t>
  </si>
  <si>
    <t>='C:\Users\jaime.benazar\Quorum Business Solutions\Ecopetrol Prometeo - Documents\Planning Space Implementation\3. Analysis &amp; Design\Design\FC22\DRR Jaime\Por presentar a ECP\Cantagallo\Cristalina\[CRISTALINA_CF_SEC_New_09-Feb-2024.xlsx]D-PS'!$DT$32</t>
  </si>
  <si>
    <t>='C:\Users\jaime.benazar\Quorum Business Solutions\Ecopetrol Prometeo - Documents\Planning Space Implementation\3. Analysis &amp; Design\Design\FC22\DRR Jaime\Por presentar a ECP\Cantagallo\Cristalina\[CRISTALINA_CF_SEC_New_09-Feb-2024.xlsx]D-PS'!$DT$33</t>
  </si>
  <si>
    <t>='C:\Users\jaime.benazar\Quorum Business Solutions\Ecopetrol Prometeo - Documents\Planning Space Implementation\3. Analysis &amp; Design\Design\FC22\DRR Jaime\Por presentar a ECP\Cantagallo\Cristalina\[CRISTALINA_CF_SEC_New_09-Feb-2024.xlsx]D-PS'!$DT$34</t>
  </si>
  <si>
    <t>='C:\Users\jaime.benazar\Quorum Business Solutions\Ecopetrol Prometeo - Documents\Planning Space Implementation\3. Analysis &amp; Design\Design\FC22\DRR Jaime\Por presentar a ECP\Cantagallo\Cristalina\[CRISTALINA_CF_SEC_New_09-Feb-2024.xlsx]D-PS'!$DT$35</t>
  </si>
  <si>
    <t>='C:\Users\jaime.benazar\Quorum Business Solutions\Ecopetrol Prometeo - Documents\Planning Space Implementation\3. Analysis &amp; Design\Design\FC22\DRR Jaime\Por presentar a ECP\Cantagallo\Cristalina\[CRISTALINA_CF_SEC_New_09-Feb-2024.xlsx]D-PS'!$DT$36</t>
  </si>
  <si>
    <t>='C:\Users\jaime.benazar\Quorum Business Solutions\Ecopetrol Prometeo - Documents\Planning Space Implementation\3. Analysis &amp; Design\Design\FC22\DRR Jaime\Por presentar a ECP\Cantagallo\Cristalina\[CRISTALINA_CF_SEC_New_09-Feb-2024.xlsx]D-PS'!$DT$37</t>
  </si>
  <si>
    <t>='C:\Users\jaime.benazar\Quorum Business Solutions\Ecopetrol Prometeo - Documents\Planning Space Implementation\3. Analysis &amp; Design\Design\FC22\DRR Jaime\Por presentar a ECP\Cantagallo\Cristalina\[CRISTALINA_CF_SEC_New_09-Feb-2024.xlsx]D-PS'!$DT$38</t>
  </si>
  <si>
    <t>='C:\Users\jaime.benazar\Quorum Business Solutions\Ecopetrol Prometeo - Documents\Planning Space Implementation\3. Analysis &amp; Design\Design\FC22\DRR Jaime\Por presentar a ECP\Cantagallo\Cristalina\[CRISTALINA_CF_SEC_New_09-Feb-2024.xlsx]D-PS'!$DT$39</t>
  </si>
  <si>
    <t>='C:\Users\jaime.benazar\Quorum Business Solutions\Ecopetrol Prometeo - Documents\Planning Space Implementation\3. Analysis &amp; Design\Design\FC22\DRR Jaime\Por presentar a ECP\Cantagallo\Cristalina\[CRISTALINA_CF_SEC_New_09-Feb-2024.xlsx]D-PS'!$DT$40</t>
  </si>
  <si>
    <t>='C:\Users\jaime.benazar\Quorum Business Solutions\Ecopetrol Prometeo - Documents\Planning Space Implementation\3. Analysis &amp; Design\Design\FC22\DRR Jaime\Por presentar a ECP\Cantagallo\Cristalina\[CRISTALINA_CF_SEC_New_09-Feb-2024.xlsx]D-PS'!$DT$41</t>
  </si>
  <si>
    <t>='C:\Users\jaime.benazar\Quorum Business Solutions\Ecopetrol Prometeo - Documents\Planning Space Implementation\3. Analysis &amp; Design\Design\FC22\DRR Jaime\Por presentar a ECP\Cantagallo\Cristalina\[CRISTALINA_CF_SEC_New_09-Feb-2024.xlsx]D-PS'!$DT$42</t>
  </si>
  <si>
    <t>='C:\Users\jaime.benazar\Quorum Business Solutions\Ecopetrol Prometeo - Documents\Planning Space Implementation\3. Analysis &amp; Design\Design\FC22\DRR Jaime\Por presentar a ECP\Cantagallo\Cristalina\[CRISTALINA_CF_SEC_New_09-Feb-2024.xlsx]D-PS'!$DT$43</t>
  </si>
  <si>
    <t>='C:\Users\jaime.benazar\Quorum Business Solutions\Ecopetrol Prometeo - Documents\Planning Space Implementation\3. Analysis &amp; Design\Design\FC22\DRR Jaime\Por presentar a ECP\Cantagallo\Cristalina\[CRISTALINA_CF_SEC_New_09-Feb-2024.xlsx]D-PS'!$DT$44</t>
  </si>
  <si>
    <t>='C:\Users\jaime.benazar\Quorum Business Solutions\Ecopetrol Prometeo - Documents\Planning Space Implementation\3. Analysis &amp; Design\Design\FC22\DRR Jaime\Por presentar a ECP\Cantagallo\Cristalina\[CRISTALINA_CF_SEC_New_09-Feb-2024.xlsx]D-PS'!$DT$45</t>
  </si>
  <si>
    <t>='C:\Users\jaime.benazar\Quorum Business Solutions\Ecopetrol Prometeo - Documents\Planning Space Implementation\3. Analysis &amp; Design\Design\FC22\DRR Jaime\Por presentar a ECP\Cantagallo\Cristalina\[CRISTALINA_CF_SEC_New_09-Feb-2024.xlsx]D-PS'!$DT$46</t>
  </si>
  <si>
    <t>='C:\Users\jaime.benazar\Quorum Business Solutions\Ecopetrol Prometeo - Documents\Planning Space Implementation\3. Analysis &amp; Design\Design\FC22\DRR Jaime\Por presentar a ECP\Cantagallo\Cristalina\[CRISTALINA_CF_SEC_New_09-Feb-2024.xlsx]D-PS'!$DT$47</t>
  </si>
  <si>
    <t>='C:\Users\jaime.benazar\Quorum Business Solutions\Ecopetrol Prometeo - Documents\Planning Space Implementation\3. Analysis &amp; Design\Design\FC22\DRR Jaime\Por presentar a ECP\Cantagallo\Cristalina\[CRISTALINA_CF_SEC_New_09-Feb-2024.xlsx]D-PS'!$DT$48</t>
  </si>
  <si>
    <t>='C:\Users\jaime.benazar\Quorum Business Solutions\Ecopetrol Prometeo - Documents\Planning Space Implementation\3. Analysis &amp; Design\Design\FC22\DRR Jaime\Por presentar a ECP\Cantagallo\Cristalina\[CRISTALINA_CF_SEC_New_09-Feb-2024.xlsx]D-PDP'!$BE$12</t>
  </si>
  <si>
    <t>='C:\Users\jaime.benazar\Quorum Business Solutions\Ecopetrol Prometeo - Documents\Planning Space Implementation\3. Analysis &amp; Design\Design\FC22\DRR Jaime\Por presentar a ECP\Cantagallo\Cristalina\[CRISTALINA_CF_SEC_New_09-Feb-2024.xlsx]D-PDP'!$BE$13</t>
  </si>
  <si>
    <t>='C:\Users\jaime.benazar\Quorum Business Solutions\Ecopetrol Prometeo - Documents\Planning Space Implementation\3. Analysis &amp; Design\Design\FC22\DRR Jaime\Por presentar a ECP\Cantagallo\Cristalina\[CRISTALINA_CF_SEC_New_09-Feb-2024.xlsx]D-PDP'!$BE$14</t>
  </si>
  <si>
    <t>='C:\Users\jaime.benazar\Quorum Business Solutions\Ecopetrol Prometeo - Documents\Planning Space Implementation\3. Analysis &amp; Design\Design\FC22\DRR Jaime\Por presentar a ECP\Cantagallo\Cristalina\[CRISTALINA_CF_SEC_New_09-Feb-2024.xlsx]D-PDP'!$BE$15</t>
  </si>
  <si>
    <t>='C:\Users\jaime.benazar\Quorum Business Solutions\Ecopetrol Prometeo - Documents\Planning Space Implementation\3. Analysis &amp; Design\Design\FC22\DRR Jaime\Por presentar a ECP\Cantagallo\Cristalina\[CRISTALINA_CF_SEC_New_09-Feb-2024.xlsx]D-PDP'!$BE$16</t>
  </si>
  <si>
    <t>='C:\Users\jaime.benazar\Quorum Business Solutions\Ecopetrol Prometeo - Documents\Planning Space Implementation\3. Analysis &amp; Design\Design\FC22\DRR Jaime\Por presentar a ECP\Cantagallo\Cristalina\[CRISTALINA_CF_SEC_New_09-Feb-2024.xlsx]D-PDP'!$BE$17</t>
  </si>
  <si>
    <t>='C:\Users\jaime.benazar\Quorum Business Solutions\Ecopetrol Prometeo - Documents\Planning Space Implementation\3. Analysis &amp; Design\Design\FC22\DRR Jaime\Por presentar a ECP\Cantagallo\Cristalina\[CRISTALINA_CF_SEC_New_09-Feb-2024.xlsx]D-PDP'!$BE$18</t>
  </si>
  <si>
    <t>='C:\Users\jaime.benazar\Quorum Business Solutions\Ecopetrol Prometeo - Documents\Planning Space Implementation\3. Analysis &amp; Design\Design\FC22\DRR Jaime\Por presentar a ECP\Cantagallo\Cristalina\[CRISTALINA_CF_SEC_New_09-Feb-2024.xlsx]D-PDP'!$BE$19</t>
  </si>
  <si>
    <t>='C:\Users\jaime.benazar\Quorum Business Solutions\Ecopetrol Prometeo - Documents\Planning Space Implementation\3. Analysis &amp; Design\Design\FC22\DRR Jaime\Por presentar a ECP\Cantagallo\Cristalina\[CRISTALINA_CF_SEC_New_09-Feb-2024.xlsx]D-PDP'!$BE$20</t>
  </si>
  <si>
    <t>='C:\Users\jaime.benazar\Quorum Business Solutions\Ecopetrol Prometeo - Documents\Planning Space Implementation\3. Analysis &amp; Design\Design\FC22\DRR Jaime\Por presentar a ECP\Cantagallo\Cristalina\[CRISTALINA_CF_SEC_New_09-Feb-2024.xlsx]D-PDP'!$BE$21</t>
  </si>
  <si>
    <t>='C:\Users\jaime.benazar\Quorum Business Solutions\Ecopetrol Prometeo - Documents\Planning Space Implementation\3. Analysis &amp; Design\Design\FC22\DRR Jaime\Por presentar a ECP\Cantagallo\Cristalina\[CRISTALINA_CF_SEC_New_09-Feb-2024.xlsx]D-PDP'!$BE$22</t>
  </si>
  <si>
    <t>='C:\Users\jaime.benazar\Quorum Business Solutions\Ecopetrol Prometeo - Documents\Planning Space Implementation\3. Analysis &amp; Design\Design\FC22\DRR Jaime\Por presentar a ECP\Cantagallo\Cristalina\[CRISTALINA_CF_SEC_New_09-Feb-2024.xlsx]D-PDP'!$BE$23</t>
  </si>
  <si>
    <t>='C:\Users\jaime.benazar\Quorum Business Solutions\Ecopetrol Prometeo - Documents\Planning Space Implementation\3. Analysis &amp; Design\Design\FC22\DRR Jaime\Por presentar a ECP\Cantagallo\Cristalina\[CRISTALINA_CF_SEC_New_09-Feb-2024.xlsx]D-PDP'!$BE$24</t>
  </si>
  <si>
    <t>='C:\Users\jaime.benazar\Quorum Business Solutions\Ecopetrol Prometeo - Documents\Planning Space Implementation\3. Analysis &amp; Design\Design\FC22\DRR Jaime\Por presentar a ECP\Cantagallo\Cristalina\[CRISTALINA_CF_SEC_New_09-Feb-2024.xlsx]D-PDP'!$BE$25</t>
  </si>
  <si>
    <t>='C:\Users\jaime.benazar\Quorum Business Solutions\Ecopetrol Prometeo - Documents\Planning Space Implementation\3. Analysis &amp; Design\Design\FC22\DRR Jaime\Por presentar a ECP\Cantagallo\Cristalina\[CRISTALINA_CF_SEC_New_09-Feb-2024.xlsx]D-PDP'!$BE$26</t>
  </si>
  <si>
    <t>='C:\Users\jaime.benazar\Quorum Business Solutions\Ecopetrol Prometeo - Documents\Planning Space Implementation\3. Analysis &amp; Design\Design\FC22\DRR Jaime\Por presentar a ECP\Cantagallo\Cristalina\[CRISTALINA_CF_SEC_New_09-Feb-2024.xlsx]D-PDP'!$BE$27</t>
  </si>
  <si>
    <t>='C:\Users\jaime.benazar\Quorum Business Solutions\Ecopetrol Prometeo - Documents\Planning Space Implementation\3. Analysis &amp; Design\Design\FC22\DRR Jaime\Por presentar a ECP\Cantagallo\Cristalina\[CRISTALINA_CF_SEC_New_09-Feb-2024.xlsx]D-PDP'!$BE$28</t>
  </si>
  <si>
    <t>='C:\Users\jaime.benazar\Quorum Business Solutions\Ecopetrol Prometeo - Documents\Planning Space Implementation\3. Analysis &amp; Design\Design\FC22\DRR Jaime\Por presentar a ECP\Cantagallo\Cristalina\[CRISTALINA_CF_SEC_New_09-Feb-2024.xlsx]D-PDP'!$BE$29</t>
  </si>
  <si>
    <t>='C:\Users\jaime.benazar\Quorum Business Solutions\Ecopetrol Prometeo - Documents\Planning Space Implementation\3. Analysis &amp; Design\Design\FC22\DRR Jaime\Por presentar a ECP\Cantagallo\Cristalina\[CRISTALINA_CF_SEC_New_09-Feb-2024.xlsx]D-PDP'!$BE$30</t>
  </si>
  <si>
    <t>='C:\Users\jaime.benazar\Quorum Business Solutions\Ecopetrol Prometeo - Documents\Planning Space Implementation\3. Analysis &amp; Design\Design\FC22\DRR Jaime\Por presentar a ECP\Cantagallo\Cristalina\[CRISTALINA_CF_SEC_New_09-Feb-2024.xlsx]D-PDP'!$BE$31</t>
  </si>
  <si>
    <t>='C:\Users\jaime.benazar\Quorum Business Solutions\Ecopetrol Prometeo - Documents\Planning Space Implementation\3. Analysis &amp; Design\Design\FC22\DRR Jaime\Por presentar a ECP\Cantagallo\Cristalina\[CRISTALINA_CF_SEC_New_09-Feb-2024.xlsx]D-PDP'!$BE$32</t>
  </si>
  <si>
    <t>='C:\Users\jaime.benazar\Quorum Business Solutions\Ecopetrol Prometeo - Documents\Planning Space Implementation\3. Analysis &amp; Design\Design\FC22\DRR Jaime\Por presentar a ECP\Cantagallo\Cristalina\[CRISTALINA_CF_SEC_New_09-Feb-2024.xlsx]D-PDP'!$BE$33</t>
  </si>
  <si>
    <t>='C:\Users\jaime.benazar\Quorum Business Solutions\Ecopetrol Prometeo - Documents\Planning Space Implementation\3. Analysis &amp; Design\Design\FC22\DRR Jaime\Por presentar a ECP\Cantagallo\Cristalina\[CRISTALINA_CF_SEC_New_09-Feb-2024.xlsx]D-PDP'!$BE$34</t>
  </si>
  <si>
    <t>='C:\Users\jaime.benazar\Quorum Business Solutions\Ecopetrol Prometeo - Documents\Planning Space Implementation\3. Analysis &amp; Design\Design\FC22\DRR Jaime\Por presentar a ECP\Cantagallo\Cristalina\[CRISTALINA_CF_SEC_New_09-Feb-2024.xlsx]D-PDP'!$BE$35</t>
  </si>
  <si>
    <t>='C:\Users\jaime.benazar\Quorum Business Solutions\Ecopetrol Prometeo - Documents\Planning Space Implementation\3. Analysis &amp; Design\Design\FC22\DRR Jaime\Por presentar a ECP\Cantagallo\Cristalina\[CRISTALINA_CF_SEC_New_09-Feb-2024.xlsx]D-PDP'!$BE$36</t>
  </si>
  <si>
    <t>='C:\Users\jaime.benazar\Quorum Business Solutions\Ecopetrol Prometeo - Documents\Planning Space Implementation\3. Analysis &amp; Design\Design\FC22\DRR Jaime\Por presentar a ECP\Cantagallo\Cristalina\[CRISTALINA_CF_SEC_New_09-Feb-2024.xlsx]D-PDP'!$BE$37</t>
  </si>
  <si>
    <t>='C:\Users\jaime.benazar\Quorum Business Solutions\Ecopetrol Prometeo - Documents\Planning Space Implementation\3. Analysis &amp; Design\Design\FC22\DRR Jaime\Por presentar a ECP\Cantagallo\Cristalina\[CRISTALINA_CF_SEC_New_09-Feb-2024.xlsx]D-PDP'!$BE$38</t>
  </si>
  <si>
    <t>='C:\Users\jaime.benazar\Quorum Business Solutions\Ecopetrol Prometeo - Documents\Planning Space Implementation\3. Analysis &amp; Design\Design\FC22\DRR Jaime\Por presentar a ECP\Cantagallo\Cristalina\[CRISTALINA_CF_SEC_New_09-Feb-2024.xlsx]D-PDP'!$BE$39</t>
  </si>
  <si>
    <t>='C:\Users\jaime.benazar\Quorum Business Solutions\Ecopetrol Prometeo - Documents\Planning Space Implementation\3. Analysis &amp; Design\Design\FC22\DRR Jaime\Por presentar a ECP\Cantagallo\Cristalina\[CRISTALINA_CF_SEC_New_09-Feb-2024.xlsx]D-PDP'!$BE$40</t>
  </si>
  <si>
    <t>='C:\Users\jaime.benazar\Quorum Business Solutions\Ecopetrol Prometeo - Documents\Planning Space Implementation\3. Analysis &amp; Design\Design\FC22\DRR Jaime\Por presentar a ECP\Cantagallo\Cristalina\[CRISTALINA_CF_SEC_New_09-Feb-2024.xlsx]D-PDP'!$BE$41</t>
  </si>
  <si>
    <t>='C:\Users\jaime.benazar\Quorum Business Solutions\Ecopetrol Prometeo - Documents\Planning Space Implementation\3. Analysis &amp; Design\Design\FC22\DRR Jaime\Por presentar a ECP\Cantagallo\Cristalina\[CRISTALINA_CF_SEC_New_09-Feb-2024.xlsx]D-PDP'!$BE$42</t>
  </si>
  <si>
    <t>='C:\Users\jaime.benazar\Quorum Business Solutions\Ecopetrol Prometeo - Documents\Planning Space Implementation\3. Analysis &amp; Design\Design\FC22\DRR Jaime\Por presentar a ECP\Cantagallo\Cristalina\[CRISTALINA_CF_SEC_New_09-Feb-2024.xlsx]D-PDP'!$BE$43</t>
  </si>
  <si>
    <t>='C:\Users\jaime.benazar\Quorum Business Solutions\Ecopetrol Prometeo - Documents\Planning Space Implementation\3. Analysis &amp; Design\Design\FC22\DRR Jaime\Por presentar a ECP\Cantagallo\Cristalina\[CRISTALINA_CF_SEC_New_09-Feb-2024.xlsx]D-PDP'!$BE$44</t>
  </si>
  <si>
    <t>='C:\Users\jaime.benazar\Quorum Business Solutions\Ecopetrol Prometeo - Documents\Planning Space Implementation\3. Analysis &amp; Design\Design\FC22\DRR Jaime\Por presentar a ECP\Cantagallo\Cristalina\[CRISTALINA_CF_SEC_New_09-Feb-2024.xlsx]D-PDP'!$BE$45</t>
  </si>
  <si>
    <t>='C:\Users\jaime.benazar\Quorum Business Solutions\Ecopetrol Prometeo - Documents\Planning Space Implementation\3. Analysis &amp; Design\Design\FC22\DRR Jaime\Por presentar a ECP\Cantagallo\Cristalina\[CRISTALINA_CF_SEC_New_09-Feb-2024.xlsx]D-PDP'!$BE$46</t>
  </si>
  <si>
    <t>='C:\Users\jaime.benazar\Quorum Business Solutions\Ecopetrol Prometeo - Documents\Planning Space Implementation\3. Analysis &amp; Design\Design\FC22\DRR Jaime\Por presentar a ECP\Cantagallo\Cristalina\[CRISTALINA_CF_SEC_New_09-Feb-2024.xlsx]D-PDP'!$BE$47</t>
  </si>
  <si>
    <t>='C:\Users\jaime.benazar\Quorum Business Solutions\Ecopetrol Prometeo - Documents\Planning Space Implementation\3. Analysis &amp; Design\Design\FC22\DRR Jaime\Por presentar a ECP\Cantagallo\Cristalina\[CRISTALINA_CF_SEC_New_09-Feb-2024.xlsx]D-PDP'!$BE$48</t>
  </si>
  <si>
    <t>='C:\Users\jaime.benazar\Quorum Business Solutions\Ecopetrol Prometeo - Documents\Planning Space Implementation\3. Analysis &amp; Design\Design\FC22\DRR Jaime\Por presentar a ECP\Cantagallo\Cristalina\[CRISTALINA_CF_SEC_New_09-Feb-2024.xlsx]D-PNP'!$BE$12</t>
  </si>
  <si>
    <t>='C:\Users\jaime.benazar\Quorum Business Solutions\Ecopetrol Prometeo - Documents\Planning Space Implementation\3. Analysis &amp; Design\Design\FC22\DRR Jaime\Por presentar a ECP\Cantagallo\Cristalina\[CRISTALINA_CF_SEC_New_09-Feb-2024.xlsx]D-PNP'!$BE$13</t>
  </si>
  <si>
    <t>='C:\Users\jaime.benazar\Quorum Business Solutions\Ecopetrol Prometeo - Documents\Planning Space Implementation\3. Analysis &amp; Design\Design\FC22\DRR Jaime\Por presentar a ECP\Cantagallo\Cristalina\[CRISTALINA_CF_SEC_New_09-Feb-2024.xlsx]D-PNP'!$BE$14</t>
  </si>
  <si>
    <t>='C:\Users\jaime.benazar\Quorum Business Solutions\Ecopetrol Prometeo - Documents\Planning Space Implementation\3. Analysis &amp; Design\Design\FC22\DRR Jaime\Por presentar a ECP\Cantagallo\Cristalina\[CRISTALINA_CF_SEC_New_09-Feb-2024.xlsx]D-PNP'!$BE$15</t>
  </si>
  <si>
    <t>='C:\Users\jaime.benazar\Quorum Business Solutions\Ecopetrol Prometeo - Documents\Planning Space Implementation\3. Analysis &amp; Design\Design\FC22\DRR Jaime\Por presentar a ECP\Cantagallo\Cristalina\[CRISTALINA_CF_SEC_New_09-Feb-2024.xlsx]D-PNP'!$BE$16</t>
  </si>
  <si>
    <t>='C:\Users\jaime.benazar\Quorum Business Solutions\Ecopetrol Prometeo - Documents\Planning Space Implementation\3. Analysis &amp; Design\Design\FC22\DRR Jaime\Por presentar a ECP\Cantagallo\Cristalina\[CRISTALINA_CF_SEC_New_09-Feb-2024.xlsx]D-PNP'!$BE$17</t>
  </si>
  <si>
    <t>='C:\Users\jaime.benazar\Quorum Business Solutions\Ecopetrol Prometeo - Documents\Planning Space Implementation\3. Analysis &amp; Design\Design\FC22\DRR Jaime\Por presentar a ECP\Cantagallo\Cristalina\[CRISTALINA_CF_SEC_New_09-Feb-2024.xlsx]D-PNP'!$BE$18</t>
  </si>
  <si>
    <t>='C:\Users\jaime.benazar\Quorum Business Solutions\Ecopetrol Prometeo - Documents\Planning Space Implementation\3. Analysis &amp; Design\Design\FC22\DRR Jaime\Por presentar a ECP\Cantagallo\Cristalina\[CRISTALINA_CF_SEC_New_09-Feb-2024.xlsx]D-PNP'!$BE$19</t>
  </si>
  <si>
    <t>='C:\Users\jaime.benazar\Quorum Business Solutions\Ecopetrol Prometeo - Documents\Planning Space Implementation\3. Analysis &amp; Design\Design\FC22\DRR Jaime\Por presentar a ECP\Cantagallo\Cristalina\[CRISTALINA_CF_SEC_New_09-Feb-2024.xlsx]D-PNP'!$BE$20</t>
  </si>
  <si>
    <t>='C:\Users\jaime.benazar\Quorum Business Solutions\Ecopetrol Prometeo - Documents\Planning Space Implementation\3. Analysis &amp; Design\Design\FC22\DRR Jaime\Por presentar a ECP\Cantagallo\Cristalina\[CRISTALINA_CF_SEC_New_09-Feb-2024.xlsx]D-PNP'!$BE$21</t>
  </si>
  <si>
    <t>='C:\Users\jaime.benazar\Quorum Business Solutions\Ecopetrol Prometeo - Documents\Planning Space Implementation\3. Analysis &amp; Design\Design\FC22\DRR Jaime\Por presentar a ECP\Cantagallo\Cristalina\[CRISTALINA_CF_SEC_New_09-Feb-2024.xlsx]D-PNP'!$BE$22</t>
  </si>
  <si>
    <t>='C:\Users\jaime.benazar\Quorum Business Solutions\Ecopetrol Prometeo - Documents\Planning Space Implementation\3. Analysis &amp; Design\Design\FC22\DRR Jaime\Por presentar a ECP\Cantagallo\Cristalina\[CRISTALINA_CF_SEC_New_09-Feb-2024.xlsx]D-PNP'!$BE$23</t>
  </si>
  <si>
    <t>='C:\Users\jaime.benazar\Quorum Business Solutions\Ecopetrol Prometeo - Documents\Planning Space Implementation\3. Analysis &amp; Design\Design\FC22\DRR Jaime\Por presentar a ECP\Cantagallo\Cristalina\[CRISTALINA_CF_SEC_New_09-Feb-2024.xlsx]D-PNP'!$BE$24</t>
  </si>
  <si>
    <t>='C:\Users\jaime.benazar\Quorum Business Solutions\Ecopetrol Prometeo - Documents\Planning Space Implementation\3. Analysis &amp; Design\Design\FC22\DRR Jaime\Por presentar a ECP\Cantagallo\Cristalina\[CRISTALINA_CF_SEC_New_09-Feb-2024.xlsx]D-PNP'!$BE$25</t>
  </si>
  <si>
    <t>='C:\Users\jaime.benazar\Quorum Business Solutions\Ecopetrol Prometeo - Documents\Planning Space Implementation\3. Analysis &amp; Design\Design\FC22\DRR Jaime\Por presentar a ECP\Cantagallo\Cristalina\[CRISTALINA_CF_SEC_New_09-Feb-2024.xlsx]D-PNP'!$BE$26</t>
  </si>
  <si>
    <t>='C:\Users\jaime.benazar\Quorum Business Solutions\Ecopetrol Prometeo - Documents\Planning Space Implementation\3. Analysis &amp; Design\Design\FC22\DRR Jaime\Por presentar a ECP\Cantagallo\Cristalina\[CRISTALINA_CF_SEC_New_09-Feb-2024.xlsx]D-PNP'!$BE$27</t>
  </si>
  <si>
    <t>='C:\Users\jaime.benazar\Quorum Business Solutions\Ecopetrol Prometeo - Documents\Planning Space Implementation\3. Analysis &amp; Design\Design\FC22\DRR Jaime\Por presentar a ECP\Cantagallo\Cristalina\[CRISTALINA_CF_SEC_New_09-Feb-2024.xlsx]D-PNP'!$BE$28</t>
  </si>
  <si>
    <t>='C:\Users\jaime.benazar\Quorum Business Solutions\Ecopetrol Prometeo - Documents\Planning Space Implementation\3. Analysis &amp; Design\Design\FC22\DRR Jaime\Por presentar a ECP\Cantagallo\Cristalina\[CRISTALINA_CF_SEC_New_09-Feb-2024.xlsx]D-PNP'!$BE$29</t>
  </si>
  <si>
    <t>='C:\Users\jaime.benazar\Quorum Business Solutions\Ecopetrol Prometeo - Documents\Planning Space Implementation\3. Analysis &amp; Design\Design\FC22\DRR Jaime\Por presentar a ECP\Cantagallo\Cristalina\[CRISTALINA_CF_SEC_New_09-Feb-2024.xlsx]D-PNP'!$BE$30</t>
  </si>
  <si>
    <t>='C:\Users\jaime.benazar\Quorum Business Solutions\Ecopetrol Prometeo - Documents\Planning Space Implementation\3. Analysis &amp; Design\Design\FC22\DRR Jaime\Por presentar a ECP\Cantagallo\Cristalina\[CRISTALINA_CF_SEC_New_09-Feb-2024.xlsx]D-PNP'!$BE$31</t>
  </si>
  <si>
    <t>='C:\Users\jaime.benazar\Quorum Business Solutions\Ecopetrol Prometeo - Documents\Planning Space Implementation\3. Analysis &amp; Design\Design\FC22\DRR Jaime\Por presentar a ECP\Cantagallo\Cristalina\[CRISTALINA_CF_SEC_New_09-Feb-2024.xlsx]D-PNP'!$BE$32</t>
  </si>
  <si>
    <t>='C:\Users\jaime.benazar\Quorum Business Solutions\Ecopetrol Prometeo - Documents\Planning Space Implementation\3. Analysis &amp; Design\Design\FC22\DRR Jaime\Por presentar a ECP\Cantagallo\Cristalina\[CRISTALINA_CF_SEC_New_09-Feb-2024.xlsx]D-PNP'!$BE$33</t>
  </si>
  <si>
    <t>='C:\Users\jaime.benazar\Quorum Business Solutions\Ecopetrol Prometeo - Documents\Planning Space Implementation\3. Analysis &amp; Design\Design\FC22\DRR Jaime\Por presentar a ECP\Cantagallo\Cristalina\[CRISTALINA_CF_SEC_New_09-Feb-2024.xlsx]D-PNP'!$BE$34</t>
  </si>
  <si>
    <t>='C:\Users\jaime.benazar\Quorum Business Solutions\Ecopetrol Prometeo - Documents\Planning Space Implementation\3. Analysis &amp; Design\Design\FC22\DRR Jaime\Por presentar a ECP\Cantagallo\Cristalina\[CRISTALINA_CF_SEC_New_09-Feb-2024.xlsx]D-PNP'!$BE$35</t>
  </si>
  <si>
    <t>='C:\Users\jaime.benazar\Quorum Business Solutions\Ecopetrol Prometeo - Documents\Planning Space Implementation\3. Analysis &amp; Design\Design\FC22\DRR Jaime\Por presentar a ECP\Cantagallo\Cristalina\[CRISTALINA_CF_SEC_New_09-Feb-2024.xlsx]D-PNP'!$BE$36</t>
  </si>
  <si>
    <t>='C:\Users\jaime.benazar\Quorum Business Solutions\Ecopetrol Prometeo - Documents\Planning Space Implementation\3. Analysis &amp; Design\Design\FC22\DRR Jaime\Por presentar a ECP\Cantagallo\Cristalina\[CRISTALINA_CF_SEC_New_09-Feb-2024.xlsx]D-PNP'!$BE$37</t>
  </si>
  <si>
    <t>='C:\Users\jaime.benazar\Quorum Business Solutions\Ecopetrol Prometeo - Documents\Planning Space Implementation\3. Analysis &amp; Design\Design\FC22\DRR Jaime\Por presentar a ECP\Cantagallo\Cristalina\[CRISTALINA_CF_SEC_New_09-Feb-2024.xlsx]D-PNP'!$BE$38</t>
  </si>
  <si>
    <t>='C:\Users\jaime.benazar\Quorum Business Solutions\Ecopetrol Prometeo - Documents\Planning Space Implementation\3. Analysis &amp; Design\Design\FC22\DRR Jaime\Por presentar a ECP\Cantagallo\Cristalina\[CRISTALINA_CF_SEC_New_09-Feb-2024.xlsx]D-PNP'!$BE$39</t>
  </si>
  <si>
    <t>='C:\Users\jaime.benazar\Quorum Business Solutions\Ecopetrol Prometeo - Documents\Planning Space Implementation\3. Analysis &amp; Design\Design\FC22\DRR Jaime\Por presentar a ECP\Cantagallo\Cristalina\[CRISTALINA_CF_SEC_New_09-Feb-2024.xlsx]D-PNP'!$BE$40</t>
  </si>
  <si>
    <t>='C:\Users\jaime.benazar\Quorum Business Solutions\Ecopetrol Prometeo - Documents\Planning Space Implementation\3. Analysis &amp; Design\Design\FC22\DRR Jaime\Por presentar a ECP\Cantagallo\Cristalina\[CRISTALINA_CF_SEC_New_09-Feb-2024.xlsx]D-PNP'!$BE$41</t>
  </si>
  <si>
    <t>='C:\Users\jaime.benazar\Quorum Business Solutions\Ecopetrol Prometeo - Documents\Planning Space Implementation\3. Analysis &amp; Design\Design\FC22\DRR Jaime\Por presentar a ECP\Cantagallo\Cristalina\[CRISTALINA_CF_SEC_New_09-Feb-2024.xlsx]D-PNP'!$BE$42</t>
  </si>
  <si>
    <t>='C:\Users\jaime.benazar\Quorum Business Solutions\Ecopetrol Prometeo - Documents\Planning Space Implementation\3. Analysis &amp; Design\Design\FC22\DRR Jaime\Por presentar a ECP\Cantagallo\Cristalina\[CRISTALINA_CF_SEC_New_09-Feb-2024.xlsx]D-PNP'!$BE$43</t>
  </si>
  <si>
    <t>='C:\Users\jaime.benazar\Quorum Business Solutions\Ecopetrol Prometeo - Documents\Planning Space Implementation\3. Analysis &amp; Design\Design\FC22\DRR Jaime\Por presentar a ECP\Cantagallo\Cristalina\[CRISTALINA_CF_SEC_New_09-Feb-2024.xlsx]D-PNP'!$BE$44</t>
  </si>
  <si>
    <t>='C:\Users\jaime.benazar\Quorum Business Solutions\Ecopetrol Prometeo - Documents\Planning Space Implementation\3. Analysis &amp; Design\Design\FC22\DRR Jaime\Por presentar a ECP\Cantagallo\Cristalina\[CRISTALINA_CF_SEC_New_09-Feb-2024.xlsx]D-PNP'!$BE$45</t>
  </si>
  <si>
    <t>='C:\Users\jaime.benazar\Quorum Business Solutions\Ecopetrol Prometeo - Documents\Planning Space Implementation\3. Analysis &amp; Design\Design\FC22\DRR Jaime\Por presentar a ECP\Cantagallo\Cristalina\[CRISTALINA_CF_SEC_New_09-Feb-2024.xlsx]D-PNP'!$BE$46</t>
  </si>
  <si>
    <t>='C:\Users\jaime.benazar\Quorum Business Solutions\Ecopetrol Prometeo - Documents\Planning Space Implementation\3. Analysis &amp; Design\Design\FC22\DRR Jaime\Por presentar a ECP\Cantagallo\Cristalina\[CRISTALINA_CF_SEC_New_09-Feb-2024.xlsx]D-PNP'!$BE$47</t>
  </si>
  <si>
    <t>='C:\Users\jaime.benazar\Quorum Business Solutions\Ecopetrol Prometeo - Documents\Planning Space Implementation\3. Analysis &amp; Design\Design\FC22\DRR Jaime\Por presentar a ECP\Cantagallo\Cristalina\[CRISTALINA_CF_SEC_New_09-Feb-2024.xlsx]D-PNP'!$BE$48</t>
  </si>
  <si>
    <t>='C:\Users\jaime.benazar\Quorum Business Solutions\Ecopetrol Prometeo - Documents\Planning Space Implementation\3. Analysis &amp; Design\Design\FC22\DRR Jaime\Por presentar a ECP\Cantagallo\Cristalina\[CRISTALINA_CF_SEC_New_09-Feb-2024.xlsx]D-PND'!$BE$12</t>
  </si>
  <si>
    <t>='C:\Users\jaime.benazar\Quorum Business Solutions\Ecopetrol Prometeo - Documents\Planning Space Implementation\3. Analysis &amp; Design\Design\FC22\DRR Jaime\Por presentar a ECP\Cantagallo\Cristalina\[CRISTALINA_CF_SEC_New_09-Feb-2024.xlsx]D-PND'!$BE$13</t>
  </si>
  <si>
    <t>='C:\Users\jaime.benazar\Quorum Business Solutions\Ecopetrol Prometeo - Documents\Planning Space Implementation\3. Analysis &amp; Design\Design\FC22\DRR Jaime\Por presentar a ECP\Cantagallo\Cristalina\[CRISTALINA_CF_SEC_New_09-Feb-2024.xlsx]D-PND'!$BE$14</t>
  </si>
  <si>
    <t>='C:\Users\jaime.benazar\Quorum Business Solutions\Ecopetrol Prometeo - Documents\Planning Space Implementation\3. Analysis &amp; Design\Design\FC22\DRR Jaime\Por presentar a ECP\Cantagallo\Cristalina\[CRISTALINA_CF_SEC_New_09-Feb-2024.xlsx]D-PND'!$BE$15</t>
  </si>
  <si>
    <t>='C:\Users\jaime.benazar\Quorum Business Solutions\Ecopetrol Prometeo - Documents\Planning Space Implementation\3. Analysis &amp; Design\Design\FC22\DRR Jaime\Por presentar a ECP\Cantagallo\Cristalina\[CRISTALINA_CF_SEC_New_09-Feb-2024.xlsx]D-PND'!$BE$16</t>
  </si>
  <si>
    <t>='C:\Users\jaime.benazar\Quorum Business Solutions\Ecopetrol Prometeo - Documents\Planning Space Implementation\3. Analysis &amp; Design\Design\FC22\DRR Jaime\Por presentar a ECP\Cantagallo\Cristalina\[CRISTALINA_CF_SEC_New_09-Feb-2024.xlsx]D-PND'!$BE$17</t>
  </si>
  <si>
    <t>='C:\Users\jaime.benazar\Quorum Business Solutions\Ecopetrol Prometeo - Documents\Planning Space Implementation\3. Analysis &amp; Design\Design\FC22\DRR Jaime\Por presentar a ECP\Cantagallo\Cristalina\[CRISTALINA_CF_SEC_New_09-Feb-2024.xlsx]D-PND'!$BE$18</t>
  </si>
  <si>
    <t>='C:\Users\jaime.benazar\Quorum Business Solutions\Ecopetrol Prometeo - Documents\Planning Space Implementation\3. Analysis &amp; Design\Design\FC22\DRR Jaime\Por presentar a ECP\Cantagallo\Cristalina\[CRISTALINA_CF_SEC_New_09-Feb-2024.xlsx]D-PND'!$BE$19</t>
  </si>
  <si>
    <t>='C:\Users\jaime.benazar\Quorum Business Solutions\Ecopetrol Prometeo - Documents\Planning Space Implementation\3. Analysis &amp; Design\Design\FC22\DRR Jaime\Por presentar a ECP\Cantagallo\Cristalina\[CRISTALINA_CF_SEC_New_09-Feb-2024.xlsx]D-PND'!$BE$20</t>
  </si>
  <si>
    <t>='C:\Users\jaime.benazar\Quorum Business Solutions\Ecopetrol Prometeo - Documents\Planning Space Implementation\3. Analysis &amp; Design\Design\FC22\DRR Jaime\Por presentar a ECP\Cantagallo\Cristalina\[CRISTALINA_CF_SEC_New_09-Feb-2024.xlsx]D-PND'!$BE$21</t>
  </si>
  <si>
    <t>='C:\Users\jaime.benazar\Quorum Business Solutions\Ecopetrol Prometeo - Documents\Planning Space Implementation\3. Analysis &amp; Design\Design\FC22\DRR Jaime\Por presentar a ECP\Cantagallo\Cristalina\[CRISTALINA_CF_SEC_New_09-Feb-2024.xlsx]D-PND'!$BE$22</t>
  </si>
  <si>
    <t>='C:\Users\jaime.benazar\Quorum Business Solutions\Ecopetrol Prometeo - Documents\Planning Space Implementation\3. Analysis &amp; Design\Design\FC22\DRR Jaime\Por presentar a ECP\Cantagallo\Cristalina\[CRISTALINA_CF_SEC_New_09-Feb-2024.xlsx]D-PND'!$BE$23</t>
  </si>
  <si>
    <t>='C:\Users\jaime.benazar\Quorum Business Solutions\Ecopetrol Prometeo - Documents\Planning Space Implementation\3. Analysis &amp; Design\Design\FC22\DRR Jaime\Por presentar a ECP\Cantagallo\Cristalina\[CRISTALINA_CF_SEC_New_09-Feb-2024.xlsx]D-PND'!$BE$24</t>
  </si>
  <si>
    <t>='C:\Users\jaime.benazar\Quorum Business Solutions\Ecopetrol Prometeo - Documents\Planning Space Implementation\3. Analysis &amp; Design\Design\FC22\DRR Jaime\Por presentar a ECP\Cantagallo\Cristalina\[CRISTALINA_CF_SEC_New_09-Feb-2024.xlsx]D-PND'!$BE$25</t>
  </si>
  <si>
    <t>='C:\Users\jaime.benazar\Quorum Business Solutions\Ecopetrol Prometeo - Documents\Planning Space Implementation\3. Analysis &amp; Design\Design\FC22\DRR Jaime\Por presentar a ECP\Cantagallo\Cristalina\[CRISTALINA_CF_SEC_New_09-Feb-2024.xlsx]D-PND'!$BE$26</t>
  </si>
  <si>
    <t>='C:\Users\jaime.benazar\Quorum Business Solutions\Ecopetrol Prometeo - Documents\Planning Space Implementation\3. Analysis &amp; Design\Design\FC22\DRR Jaime\Por presentar a ECP\Cantagallo\Cristalina\[CRISTALINA_CF_SEC_New_09-Feb-2024.xlsx]D-PND'!$BE$27</t>
  </si>
  <si>
    <t>='C:\Users\jaime.benazar\Quorum Business Solutions\Ecopetrol Prometeo - Documents\Planning Space Implementation\3. Analysis &amp; Design\Design\FC22\DRR Jaime\Por presentar a ECP\Cantagallo\Cristalina\[CRISTALINA_CF_SEC_New_09-Feb-2024.xlsx]D-PND'!$BE$28</t>
  </si>
  <si>
    <t>='C:\Users\jaime.benazar\Quorum Business Solutions\Ecopetrol Prometeo - Documents\Planning Space Implementation\3. Analysis &amp; Design\Design\FC22\DRR Jaime\Por presentar a ECP\Cantagallo\Cristalina\[CRISTALINA_CF_SEC_New_09-Feb-2024.xlsx]D-PND'!$BE$29</t>
  </si>
  <si>
    <t>='C:\Users\jaime.benazar\Quorum Business Solutions\Ecopetrol Prometeo - Documents\Planning Space Implementation\3. Analysis &amp; Design\Design\FC22\DRR Jaime\Por presentar a ECP\Cantagallo\Cristalina\[CRISTALINA_CF_SEC_New_09-Feb-2024.xlsx]D-PND'!$BE$30</t>
  </si>
  <si>
    <t>='C:\Users\jaime.benazar\Quorum Business Solutions\Ecopetrol Prometeo - Documents\Planning Space Implementation\3. Analysis &amp; Design\Design\FC22\DRR Jaime\Por presentar a ECP\Cantagallo\Cristalina\[CRISTALINA_CF_SEC_New_09-Feb-2024.xlsx]D-PND'!$BE$31</t>
  </si>
  <si>
    <t>='C:\Users\jaime.benazar\Quorum Business Solutions\Ecopetrol Prometeo - Documents\Planning Space Implementation\3. Analysis &amp; Design\Design\FC22\DRR Jaime\Por presentar a ECP\Cantagallo\Cristalina\[CRISTALINA_CF_SEC_New_09-Feb-2024.xlsx]D-PND'!$BE$32</t>
  </si>
  <si>
    <t>='C:\Users\jaime.benazar\Quorum Business Solutions\Ecopetrol Prometeo - Documents\Planning Space Implementation\3. Analysis &amp; Design\Design\FC22\DRR Jaime\Por presentar a ECP\Cantagallo\Cristalina\[CRISTALINA_CF_SEC_New_09-Feb-2024.xlsx]D-PND'!$BE$33</t>
  </si>
  <si>
    <t>='C:\Users\jaime.benazar\Quorum Business Solutions\Ecopetrol Prometeo - Documents\Planning Space Implementation\3. Analysis &amp; Design\Design\FC22\DRR Jaime\Por presentar a ECP\Cantagallo\Cristalina\[CRISTALINA_CF_SEC_New_09-Feb-2024.xlsx]D-PND'!$BE$34</t>
  </si>
  <si>
    <t>='C:\Users\jaime.benazar\Quorum Business Solutions\Ecopetrol Prometeo - Documents\Planning Space Implementation\3. Analysis &amp; Design\Design\FC22\DRR Jaime\Por presentar a ECP\Cantagallo\Cristalina\[CRISTALINA_CF_SEC_New_09-Feb-2024.xlsx]D-PND'!$BE$35</t>
  </si>
  <si>
    <t>='C:\Users\jaime.benazar\Quorum Business Solutions\Ecopetrol Prometeo - Documents\Planning Space Implementation\3. Analysis &amp; Design\Design\FC22\DRR Jaime\Por presentar a ECP\Cantagallo\Cristalina\[CRISTALINA_CF_SEC_New_09-Feb-2024.xlsx]D-PND'!$BE$36</t>
  </si>
  <si>
    <t>='C:\Users\jaime.benazar\Quorum Business Solutions\Ecopetrol Prometeo - Documents\Planning Space Implementation\3. Analysis &amp; Design\Design\FC22\DRR Jaime\Por presentar a ECP\Cantagallo\Cristalina\[CRISTALINA_CF_SEC_New_09-Feb-2024.xlsx]D-PND'!$BE$37</t>
  </si>
  <si>
    <t>='C:\Users\jaime.benazar\Quorum Business Solutions\Ecopetrol Prometeo - Documents\Planning Space Implementation\3. Analysis &amp; Design\Design\FC22\DRR Jaime\Por presentar a ECP\Cantagallo\Cristalina\[CRISTALINA_CF_SEC_New_09-Feb-2024.xlsx]D-PND'!$BE$38</t>
  </si>
  <si>
    <t>='C:\Users\jaime.benazar\Quorum Business Solutions\Ecopetrol Prometeo - Documents\Planning Space Implementation\3. Analysis &amp; Design\Design\FC22\DRR Jaime\Por presentar a ECP\Cantagallo\Cristalina\[CRISTALINA_CF_SEC_New_09-Feb-2024.xlsx]D-PND'!$BE$39</t>
  </si>
  <si>
    <t>='C:\Users\jaime.benazar\Quorum Business Solutions\Ecopetrol Prometeo - Documents\Planning Space Implementation\3. Analysis &amp; Design\Design\FC22\DRR Jaime\Por presentar a ECP\Cantagallo\Cristalina\[CRISTALINA_CF_SEC_New_09-Feb-2024.xlsx]D-PND'!$BE$40</t>
  </si>
  <si>
    <t>='C:\Users\jaime.benazar\Quorum Business Solutions\Ecopetrol Prometeo - Documents\Planning Space Implementation\3. Analysis &amp; Design\Design\FC22\DRR Jaime\Por presentar a ECP\Cantagallo\Cristalina\[CRISTALINA_CF_SEC_New_09-Feb-2024.xlsx]D-PND'!$BE$41</t>
  </si>
  <si>
    <t>='C:\Users\jaime.benazar\Quorum Business Solutions\Ecopetrol Prometeo - Documents\Planning Space Implementation\3. Analysis &amp; Design\Design\FC22\DRR Jaime\Por presentar a ECP\Cantagallo\Cristalina\[CRISTALINA_CF_SEC_New_09-Feb-2024.xlsx]D-PND'!$BE$42</t>
  </si>
  <si>
    <t>='C:\Users\jaime.benazar\Quorum Business Solutions\Ecopetrol Prometeo - Documents\Planning Space Implementation\3. Analysis &amp; Design\Design\FC22\DRR Jaime\Por presentar a ECP\Cantagallo\Cristalina\[CRISTALINA_CF_SEC_New_09-Feb-2024.xlsx]D-PND'!$BE$43</t>
  </si>
  <si>
    <t>='C:\Users\jaime.benazar\Quorum Business Solutions\Ecopetrol Prometeo - Documents\Planning Space Implementation\3. Analysis &amp; Design\Design\FC22\DRR Jaime\Por presentar a ECP\Cantagallo\Cristalina\[CRISTALINA_CF_SEC_New_09-Feb-2024.xlsx]D-PND'!$BE$44</t>
  </si>
  <si>
    <t>='C:\Users\jaime.benazar\Quorum Business Solutions\Ecopetrol Prometeo - Documents\Planning Space Implementation\3. Analysis &amp; Design\Design\FC22\DRR Jaime\Por presentar a ECP\Cantagallo\Cristalina\[CRISTALINA_CF_SEC_New_09-Feb-2024.xlsx]D-PND'!$BE$45</t>
  </si>
  <si>
    <t>='C:\Users\jaime.benazar\Quorum Business Solutions\Ecopetrol Prometeo - Documents\Planning Space Implementation\3. Analysis &amp; Design\Design\FC22\DRR Jaime\Por presentar a ECP\Cantagallo\Cristalina\[CRISTALINA_CF_SEC_New_09-Feb-2024.xlsx]D-PND'!$BE$46</t>
  </si>
  <si>
    <t>='C:\Users\jaime.benazar\Quorum Business Solutions\Ecopetrol Prometeo - Documents\Planning Space Implementation\3. Analysis &amp; Design\Design\FC22\DRR Jaime\Por presentar a ECP\Cantagallo\Cristalina\[CRISTALINA_CF_SEC_New_09-Feb-2024.xlsx]D-PND'!$BE$47</t>
  </si>
  <si>
    <t>='C:\Users\jaime.benazar\Quorum Business Solutions\Ecopetrol Prometeo - Documents\Planning Space Implementation\3. Analysis &amp; Design\Design\FC22\DRR Jaime\Por presentar a ECP\Cantagallo\Cristalina\[CRISTALINA_CF_SEC_New_09-Feb-2024.xlsx]D-PND'!$BE$48</t>
  </si>
  <si>
    <t>='C:\Users\jaime.benazar\Quorum Business Solutions\Ecopetrol Prometeo - Documents\Planning Space Implementation\3. Analysis &amp; Design\Design\FC22\DRR Jaime\Por presentar a ECP\Cantagallo\Cristalina\[CRISTALINA_CF_SEC_New_09-Feb-2024.xlsx]D-PRB'!$BE$12</t>
  </si>
  <si>
    <t>='C:\Users\jaime.benazar\Quorum Business Solutions\Ecopetrol Prometeo - Documents\Planning Space Implementation\3. Analysis &amp; Design\Design\FC22\DRR Jaime\Por presentar a ECP\Cantagallo\Cristalina\[CRISTALINA_CF_SEC_New_09-Feb-2024.xlsx]D-PRB'!$BE$13</t>
  </si>
  <si>
    <t>='C:\Users\jaime.benazar\Quorum Business Solutions\Ecopetrol Prometeo - Documents\Planning Space Implementation\3. Analysis &amp; Design\Design\FC22\DRR Jaime\Por presentar a ECP\Cantagallo\Cristalina\[CRISTALINA_CF_SEC_New_09-Feb-2024.xlsx]D-PRB'!$BE$14</t>
  </si>
  <si>
    <t>='C:\Users\jaime.benazar\Quorum Business Solutions\Ecopetrol Prometeo - Documents\Planning Space Implementation\3. Analysis &amp; Design\Design\FC22\DRR Jaime\Por presentar a ECP\Cantagallo\Cristalina\[CRISTALINA_CF_SEC_New_09-Feb-2024.xlsx]D-PRB'!$BE$15</t>
  </si>
  <si>
    <t>='C:\Users\jaime.benazar\Quorum Business Solutions\Ecopetrol Prometeo - Documents\Planning Space Implementation\3. Analysis &amp; Design\Design\FC22\DRR Jaime\Por presentar a ECP\Cantagallo\Cristalina\[CRISTALINA_CF_SEC_New_09-Feb-2024.xlsx]D-PRB'!$BE$16</t>
  </si>
  <si>
    <t>='C:\Users\jaime.benazar\Quorum Business Solutions\Ecopetrol Prometeo - Documents\Planning Space Implementation\3. Analysis &amp; Design\Design\FC22\DRR Jaime\Por presentar a ECP\Cantagallo\Cristalina\[CRISTALINA_CF_SEC_New_09-Feb-2024.xlsx]D-PRB'!$BE$17</t>
  </si>
  <si>
    <t>='C:\Users\jaime.benazar\Quorum Business Solutions\Ecopetrol Prometeo - Documents\Planning Space Implementation\3. Analysis &amp; Design\Design\FC22\DRR Jaime\Por presentar a ECP\Cantagallo\Cristalina\[CRISTALINA_CF_SEC_New_09-Feb-2024.xlsx]D-PRB'!$BE$18</t>
  </si>
  <si>
    <t>='C:\Users\jaime.benazar\Quorum Business Solutions\Ecopetrol Prometeo - Documents\Planning Space Implementation\3. Analysis &amp; Design\Design\FC22\DRR Jaime\Por presentar a ECP\Cantagallo\Cristalina\[CRISTALINA_CF_SEC_New_09-Feb-2024.xlsx]D-PRB'!$BE$19</t>
  </si>
  <si>
    <t>='C:\Users\jaime.benazar\Quorum Business Solutions\Ecopetrol Prometeo - Documents\Planning Space Implementation\3. Analysis &amp; Design\Design\FC22\DRR Jaime\Por presentar a ECP\Cantagallo\Cristalina\[CRISTALINA_CF_SEC_New_09-Feb-2024.xlsx]D-PRB'!$BE$20</t>
  </si>
  <si>
    <t>='C:\Users\jaime.benazar\Quorum Business Solutions\Ecopetrol Prometeo - Documents\Planning Space Implementation\3. Analysis &amp; Design\Design\FC22\DRR Jaime\Por presentar a ECP\Cantagallo\Cristalina\[CRISTALINA_CF_SEC_New_09-Feb-2024.xlsx]D-PRB'!$BE$21</t>
  </si>
  <si>
    <t>='C:\Users\jaime.benazar\Quorum Business Solutions\Ecopetrol Prometeo - Documents\Planning Space Implementation\3. Analysis &amp; Design\Design\FC22\DRR Jaime\Por presentar a ECP\Cantagallo\Cristalina\[CRISTALINA_CF_SEC_New_09-Feb-2024.xlsx]D-PRB'!$BE$22</t>
  </si>
  <si>
    <t>='C:\Users\jaime.benazar\Quorum Business Solutions\Ecopetrol Prometeo - Documents\Planning Space Implementation\3. Analysis &amp; Design\Design\FC22\DRR Jaime\Por presentar a ECP\Cantagallo\Cristalina\[CRISTALINA_CF_SEC_New_09-Feb-2024.xlsx]D-PRB'!$BE$23</t>
  </si>
  <si>
    <t>='C:\Users\jaime.benazar\Quorum Business Solutions\Ecopetrol Prometeo - Documents\Planning Space Implementation\3. Analysis &amp; Design\Design\FC22\DRR Jaime\Por presentar a ECP\Cantagallo\Cristalina\[CRISTALINA_CF_SEC_New_09-Feb-2024.xlsx]D-PRB'!$BE$24</t>
  </si>
  <si>
    <t>='C:\Users\jaime.benazar\Quorum Business Solutions\Ecopetrol Prometeo - Documents\Planning Space Implementation\3. Analysis &amp; Design\Design\FC22\DRR Jaime\Por presentar a ECP\Cantagallo\Cristalina\[CRISTALINA_CF_SEC_New_09-Feb-2024.xlsx]D-PRB'!$BE$25</t>
  </si>
  <si>
    <t>='C:\Users\jaime.benazar\Quorum Business Solutions\Ecopetrol Prometeo - Documents\Planning Space Implementation\3. Analysis &amp; Design\Design\FC22\DRR Jaime\Por presentar a ECP\Cantagallo\Cristalina\[CRISTALINA_CF_SEC_New_09-Feb-2024.xlsx]D-PRB'!$BE$26</t>
  </si>
  <si>
    <t>='C:\Users\jaime.benazar\Quorum Business Solutions\Ecopetrol Prometeo - Documents\Planning Space Implementation\3. Analysis &amp; Design\Design\FC22\DRR Jaime\Por presentar a ECP\Cantagallo\Cristalina\[CRISTALINA_CF_SEC_New_09-Feb-2024.xlsx]D-PRB'!$BE$27</t>
  </si>
  <si>
    <t>='C:\Users\jaime.benazar\Quorum Business Solutions\Ecopetrol Prometeo - Documents\Planning Space Implementation\3. Analysis &amp; Design\Design\FC22\DRR Jaime\Por presentar a ECP\Cantagallo\Cristalina\[CRISTALINA_CF_SEC_New_09-Feb-2024.xlsx]D-PRB'!$BE$28</t>
  </si>
  <si>
    <t>='C:\Users\jaime.benazar\Quorum Business Solutions\Ecopetrol Prometeo - Documents\Planning Space Implementation\3. Analysis &amp; Design\Design\FC22\DRR Jaime\Por presentar a ECP\Cantagallo\Cristalina\[CRISTALINA_CF_SEC_New_09-Feb-2024.xlsx]D-PRB'!$BE$29</t>
  </si>
  <si>
    <t>='C:\Users\jaime.benazar\Quorum Business Solutions\Ecopetrol Prometeo - Documents\Planning Space Implementation\3. Analysis &amp; Design\Design\FC22\DRR Jaime\Por presentar a ECP\Cantagallo\Cristalina\[CRISTALINA_CF_SEC_New_09-Feb-2024.xlsx]D-PRB'!$BE$30</t>
  </si>
  <si>
    <t>='C:\Users\jaime.benazar\Quorum Business Solutions\Ecopetrol Prometeo - Documents\Planning Space Implementation\3. Analysis &amp; Design\Design\FC22\DRR Jaime\Por presentar a ECP\Cantagallo\Cristalina\[CRISTALINA_CF_SEC_New_09-Feb-2024.xlsx]D-PRB'!$BE$31</t>
  </si>
  <si>
    <t>='C:\Users\jaime.benazar\Quorum Business Solutions\Ecopetrol Prometeo - Documents\Planning Space Implementation\3. Analysis &amp; Design\Design\FC22\DRR Jaime\Por presentar a ECP\Cantagallo\Cristalina\[CRISTALINA_CF_SEC_New_09-Feb-2024.xlsx]D-PRB'!$BE$32</t>
  </si>
  <si>
    <t>='C:\Users\jaime.benazar\Quorum Business Solutions\Ecopetrol Prometeo - Documents\Planning Space Implementation\3. Analysis &amp; Design\Design\FC22\DRR Jaime\Por presentar a ECP\Cantagallo\Cristalina\[CRISTALINA_CF_SEC_New_09-Feb-2024.xlsx]D-PRB'!$BE$33</t>
  </si>
  <si>
    <t>='C:\Users\jaime.benazar\Quorum Business Solutions\Ecopetrol Prometeo - Documents\Planning Space Implementation\3. Analysis &amp; Design\Design\FC22\DRR Jaime\Por presentar a ECP\Cantagallo\Cristalina\[CRISTALINA_CF_SEC_New_09-Feb-2024.xlsx]D-PRB'!$BE$34</t>
  </si>
  <si>
    <t>='C:\Users\jaime.benazar\Quorum Business Solutions\Ecopetrol Prometeo - Documents\Planning Space Implementation\3. Analysis &amp; Design\Design\FC22\DRR Jaime\Por presentar a ECP\Cantagallo\Cristalina\[CRISTALINA_CF_SEC_New_09-Feb-2024.xlsx]D-PRB'!$BE$35</t>
  </si>
  <si>
    <t>='C:\Users\jaime.benazar\Quorum Business Solutions\Ecopetrol Prometeo - Documents\Planning Space Implementation\3. Analysis &amp; Design\Design\FC22\DRR Jaime\Por presentar a ECP\Cantagallo\Cristalina\[CRISTALINA_CF_SEC_New_09-Feb-2024.xlsx]D-PRB'!$BE$36</t>
  </si>
  <si>
    <t>='C:\Users\jaime.benazar\Quorum Business Solutions\Ecopetrol Prometeo - Documents\Planning Space Implementation\3. Analysis &amp; Design\Design\FC22\DRR Jaime\Por presentar a ECP\Cantagallo\Cristalina\[CRISTALINA_CF_SEC_New_09-Feb-2024.xlsx]D-PRB'!$BE$37</t>
  </si>
  <si>
    <t>='C:\Users\jaime.benazar\Quorum Business Solutions\Ecopetrol Prometeo - Documents\Planning Space Implementation\3. Analysis &amp; Design\Design\FC22\DRR Jaime\Por presentar a ECP\Cantagallo\Cristalina\[CRISTALINA_CF_SEC_New_09-Feb-2024.xlsx]D-PRB'!$BE$38</t>
  </si>
  <si>
    <t>='C:\Users\jaime.benazar\Quorum Business Solutions\Ecopetrol Prometeo - Documents\Planning Space Implementation\3. Analysis &amp; Design\Design\FC22\DRR Jaime\Por presentar a ECP\Cantagallo\Cristalina\[CRISTALINA_CF_SEC_New_09-Feb-2024.xlsx]D-PRB'!$BE$39</t>
  </si>
  <si>
    <t>='C:\Users\jaime.benazar\Quorum Business Solutions\Ecopetrol Prometeo - Documents\Planning Space Implementation\3. Analysis &amp; Design\Design\FC22\DRR Jaime\Por presentar a ECP\Cantagallo\Cristalina\[CRISTALINA_CF_SEC_New_09-Feb-2024.xlsx]D-PRB'!$BE$40</t>
  </si>
  <si>
    <t>='C:\Users\jaime.benazar\Quorum Business Solutions\Ecopetrol Prometeo - Documents\Planning Space Implementation\3. Analysis &amp; Design\Design\FC22\DRR Jaime\Por presentar a ECP\Cantagallo\Cristalina\[CRISTALINA_CF_SEC_New_09-Feb-2024.xlsx]D-PRB'!$BE$41</t>
  </si>
  <si>
    <t>='C:\Users\jaime.benazar\Quorum Business Solutions\Ecopetrol Prometeo - Documents\Planning Space Implementation\3. Analysis &amp; Design\Design\FC22\DRR Jaime\Por presentar a ECP\Cantagallo\Cristalina\[CRISTALINA_CF_SEC_New_09-Feb-2024.xlsx]D-PRB'!$BE$42</t>
  </si>
  <si>
    <t>='C:\Users\jaime.benazar\Quorum Business Solutions\Ecopetrol Prometeo - Documents\Planning Space Implementation\3. Analysis &amp; Design\Design\FC22\DRR Jaime\Por presentar a ECP\Cantagallo\Cristalina\[CRISTALINA_CF_SEC_New_09-Feb-2024.xlsx]D-PRB'!$BE$43</t>
  </si>
  <si>
    <t>='C:\Users\jaime.benazar\Quorum Business Solutions\Ecopetrol Prometeo - Documents\Planning Space Implementation\3. Analysis &amp; Design\Design\FC22\DRR Jaime\Por presentar a ECP\Cantagallo\Cristalina\[CRISTALINA_CF_SEC_New_09-Feb-2024.xlsx]D-PRB'!$BE$44</t>
  </si>
  <si>
    <t>='C:\Users\jaime.benazar\Quorum Business Solutions\Ecopetrol Prometeo - Documents\Planning Space Implementation\3. Analysis &amp; Design\Design\FC22\DRR Jaime\Por presentar a ECP\Cantagallo\Cristalina\[CRISTALINA_CF_SEC_New_09-Feb-2024.xlsx]D-PRB'!$BE$45</t>
  </si>
  <si>
    <t>='C:\Users\jaime.benazar\Quorum Business Solutions\Ecopetrol Prometeo - Documents\Planning Space Implementation\3. Analysis &amp; Design\Design\FC22\DRR Jaime\Por presentar a ECP\Cantagallo\Cristalina\[CRISTALINA_CF_SEC_New_09-Feb-2024.xlsx]D-PRB'!$BE$46</t>
  </si>
  <si>
    <t>='C:\Users\jaime.benazar\Quorum Business Solutions\Ecopetrol Prometeo - Documents\Planning Space Implementation\3. Analysis &amp; Design\Design\FC22\DRR Jaime\Por presentar a ECP\Cantagallo\Cristalina\[CRISTALINA_CF_SEC_New_09-Feb-2024.xlsx]D-PRB'!$BE$47</t>
  </si>
  <si>
    <t>='C:\Users\jaime.benazar\Quorum Business Solutions\Ecopetrol Prometeo - Documents\Planning Space Implementation\3. Analysis &amp; Design\Design\FC22\DRR Jaime\Por presentar a ECP\Cantagallo\Cristalina\[CRISTALINA_CF_SEC_New_09-Feb-2024.xlsx]D-PRB'!$BE$48</t>
  </si>
  <si>
    <t>='C:\Users\jaime.benazar\Quorum Business Solutions\Ecopetrol Prometeo - Documents\Planning Space Implementation\3. Analysis &amp; Design\Design\FC22\DRR Jaime\Por presentar a ECP\Cantagallo\Cristalina\[CRISTALINA_CF_SEC_New_09-Feb-2024.xlsx]D-PS'!$BE$12</t>
  </si>
  <si>
    <t>='C:\Users\jaime.benazar\Quorum Business Solutions\Ecopetrol Prometeo - Documents\Planning Space Implementation\3. Analysis &amp; Design\Design\FC22\DRR Jaime\Por presentar a ECP\Cantagallo\Cristalina\[CRISTALINA_CF_SEC_New_09-Feb-2024.xlsx]D-PS'!$BE$13</t>
  </si>
  <si>
    <t>='C:\Users\jaime.benazar\Quorum Business Solutions\Ecopetrol Prometeo - Documents\Planning Space Implementation\3. Analysis &amp; Design\Design\FC22\DRR Jaime\Por presentar a ECP\Cantagallo\Cristalina\[CRISTALINA_CF_SEC_New_09-Feb-2024.xlsx]D-PS'!$BE$14</t>
  </si>
  <si>
    <t>='C:\Users\jaime.benazar\Quorum Business Solutions\Ecopetrol Prometeo - Documents\Planning Space Implementation\3. Analysis &amp; Design\Design\FC22\DRR Jaime\Por presentar a ECP\Cantagallo\Cristalina\[CRISTALINA_CF_SEC_New_09-Feb-2024.xlsx]D-PS'!$BE$15</t>
  </si>
  <si>
    <t>='C:\Users\jaime.benazar\Quorum Business Solutions\Ecopetrol Prometeo - Documents\Planning Space Implementation\3. Analysis &amp; Design\Design\FC22\DRR Jaime\Por presentar a ECP\Cantagallo\Cristalina\[CRISTALINA_CF_SEC_New_09-Feb-2024.xlsx]D-PS'!$BE$16</t>
  </si>
  <si>
    <t>='C:\Users\jaime.benazar\Quorum Business Solutions\Ecopetrol Prometeo - Documents\Planning Space Implementation\3. Analysis &amp; Design\Design\FC22\DRR Jaime\Por presentar a ECP\Cantagallo\Cristalina\[CRISTALINA_CF_SEC_New_09-Feb-2024.xlsx]D-PS'!$BE$17</t>
  </si>
  <si>
    <t>='C:\Users\jaime.benazar\Quorum Business Solutions\Ecopetrol Prometeo - Documents\Planning Space Implementation\3. Analysis &amp; Design\Design\FC22\DRR Jaime\Por presentar a ECP\Cantagallo\Cristalina\[CRISTALINA_CF_SEC_New_09-Feb-2024.xlsx]D-PS'!$BE$18</t>
  </si>
  <si>
    <t>='C:\Users\jaime.benazar\Quorum Business Solutions\Ecopetrol Prometeo - Documents\Planning Space Implementation\3. Analysis &amp; Design\Design\FC22\DRR Jaime\Por presentar a ECP\Cantagallo\Cristalina\[CRISTALINA_CF_SEC_New_09-Feb-2024.xlsx]D-PS'!$BE$19</t>
  </si>
  <si>
    <t>='C:\Users\jaime.benazar\Quorum Business Solutions\Ecopetrol Prometeo - Documents\Planning Space Implementation\3. Analysis &amp; Design\Design\FC22\DRR Jaime\Por presentar a ECP\Cantagallo\Cristalina\[CRISTALINA_CF_SEC_New_09-Feb-2024.xlsx]D-PS'!$BE$20</t>
  </si>
  <si>
    <t>='C:\Users\jaime.benazar\Quorum Business Solutions\Ecopetrol Prometeo - Documents\Planning Space Implementation\3. Analysis &amp; Design\Design\FC22\DRR Jaime\Por presentar a ECP\Cantagallo\Cristalina\[CRISTALINA_CF_SEC_New_09-Feb-2024.xlsx]D-PS'!$BE$21</t>
  </si>
  <si>
    <t>='C:\Users\jaime.benazar\Quorum Business Solutions\Ecopetrol Prometeo - Documents\Planning Space Implementation\3. Analysis &amp; Design\Design\FC22\DRR Jaime\Por presentar a ECP\Cantagallo\Cristalina\[CRISTALINA_CF_SEC_New_09-Feb-2024.xlsx]D-PS'!$BE$22</t>
  </si>
  <si>
    <t>='C:\Users\jaime.benazar\Quorum Business Solutions\Ecopetrol Prometeo - Documents\Planning Space Implementation\3. Analysis &amp; Design\Design\FC22\DRR Jaime\Por presentar a ECP\Cantagallo\Cristalina\[CRISTALINA_CF_SEC_New_09-Feb-2024.xlsx]D-PS'!$BE$23</t>
  </si>
  <si>
    <t>='C:\Users\jaime.benazar\Quorum Business Solutions\Ecopetrol Prometeo - Documents\Planning Space Implementation\3. Analysis &amp; Design\Design\FC22\DRR Jaime\Por presentar a ECP\Cantagallo\Cristalina\[CRISTALINA_CF_SEC_New_09-Feb-2024.xlsx]D-PS'!$BE$24</t>
  </si>
  <si>
    <t>='C:\Users\jaime.benazar\Quorum Business Solutions\Ecopetrol Prometeo - Documents\Planning Space Implementation\3. Analysis &amp; Design\Design\FC22\DRR Jaime\Por presentar a ECP\Cantagallo\Cristalina\[CRISTALINA_CF_SEC_New_09-Feb-2024.xlsx]D-PS'!$BE$25</t>
  </si>
  <si>
    <t>='C:\Users\jaime.benazar\Quorum Business Solutions\Ecopetrol Prometeo - Documents\Planning Space Implementation\3. Analysis &amp; Design\Design\FC22\DRR Jaime\Por presentar a ECP\Cantagallo\Cristalina\[CRISTALINA_CF_SEC_New_09-Feb-2024.xlsx]D-PS'!$BE$26</t>
  </si>
  <si>
    <t>='C:\Users\jaime.benazar\Quorum Business Solutions\Ecopetrol Prometeo - Documents\Planning Space Implementation\3. Analysis &amp; Design\Design\FC22\DRR Jaime\Por presentar a ECP\Cantagallo\Cristalina\[CRISTALINA_CF_SEC_New_09-Feb-2024.xlsx]D-PS'!$BE$27</t>
  </si>
  <si>
    <t>='C:\Users\jaime.benazar\Quorum Business Solutions\Ecopetrol Prometeo - Documents\Planning Space Implementation\3. Analysis &amp; Design\Design\FC22\DRR Jaime\Por presentar a ECP\Cantagallo\Cristalina\[CRISTALINA_CF_SEC_New_09-Feb-2024.xlsx]D-PS'!$BE$28</t>
  </si>
  <si>
    <t>='C:\Users\jaime.benazar\Quorum Business Solutions\Ecopetrol Prometeo - Documents\Planning Space Implementation\3. Analysis &amp; Design\Design\FC22\DRR Jaime\Por presentar a ECP\Cantagallo\Cristalina\[CRISTALINA_CF_SEC_New_09-Feb-2024.xlsx]D-PS'!$BE$29</t>
  </si>
  <si>
    <t>='C:\Users\jaime.benazar\Quorum Business Solutions\Ecopetrol Prometeo - Documents\Planning Space Implementation\3. Analysis &amp; Design\Design\FC22\DRR Jaime\Por presentar a ECP\Cantagallo\Cristalina\[CRISTALINA_CF_SEC_New_09-Feb-2024.xlsx]D-PS'!$BE$30</t>
  </si>
  <si>
    <t>='C:\Users\jaime.benazar\Quorum Business Solutions\Ecopetrol Prometeo - Documents\Planning Space Implementation\3. Analysis &amp; Design\Design\FC22\DRR Jaime\Por presentar a ECP\Cantagallo\Cristalina\[CRISTALINA_CF_SEC_New_09-Feb-2024.xlsx]D-PS'!$BE$31</t>
  </si>
  <si>
    <t>='C:\Users\jaime.benazar\Quorum Business Solutions\Ecopetrol Prometeo - Documents\Planning Space Implementation\3. Analysis &amp; Design\Design\FC22\DRR Jaime\Por presentar a ECP\Cantagallo\Cristalina\[CRISTALINA_CF_SEC_New_09-Feb-2024.xlsx]D-PS'!$BE$32</t>
  </si>
  <si>
    <t>='C:\Users\jaime.benazar\Quorum Business Solutions\Ecopetrol Prometeo - Documents\Planning Space Implementation\3. Analysis &amp; Design\Design\FC22\DRR Jaime\Por presentar a ECP\Cantagallo\Cristalina\[CRISTALINA_CF_SEC_New_09-Feb-2024.xlsx]D-PS'!$BE$33</t>
  </si>
  <si>
    <t>='C:\Users\jaime.benazar\Quorum Business Solutions\Ecopetrol Prometeo - Documents\Planning Space Implementation\3. Analysis &amp; Design\Design\FC22\DRR Jaime\Por presentar a ECP\Cantagallo\Cristalina\[CRISTALINA_CF_SEC_New_09-Feb-2024.xlsx]D-PS'!$BE$34</t>
  </si>
  <si>
    <t>='C:\Users\jaime.benazar\Quorum Business Solutions\Ecopetrol Prometeo - Documents\Planning Space Implementation\3. Analysis &amp; Design\Design\FC22\DRR Jaime\Por presentar a ECP\Cantagallo\Cristalina\[CRISTALINA_CF_SEC_New_09-Feb-2024.xlsx]D-PS'!$BE$35</t>
  </si>
  <si>
    <t>='C:\Users\jaime.benazar\Quorum Business Solutions\Ecopetrol Prometeo - Documents\Planning Space Implementation\3. Analysis &amp; Design\Design\FC22\DRR Jaime\Por presentar a ECP\Cantagallo\Cristalina\[CRISTALINA_CF_SEC_New_09-Feb-2024.xlsx]D-PS'!$BE$36</t>
  </si>
  <si>
    <t>='C:\Users\jaime.benazar\Quorum Business Solutions\Ecopetrol Prometeo - Documents\Planning Space Implementation\3. Analysis &amp; Design\Design\FC22\DRR Jaime\Por presentar a ECP\Cantagallo\Cristalina\[CRISTALINA_CF_SEC_New_09-Feb-2024.xlsx]D-PS'!$BE$37</t>
  </si>
  <si>
    <t>='C:\Users\jaime.benazar\Quorum Business Solutions\Ecopetrol Prometeo - Documents\Planning Space Implementation\3. Analysis &amp; Design\Design\FC22\DRR Jaime\Por presentar a ECP\Cantagallo\Cristalina\[CRISTALINA_CF_SEC_New_09-Feb-2024.xlsx]D-PS'!$BE$38</t>
  </si>
  <si>
    <t>='C:\Users\jaime.benazar\Quorum Business Solutions\Ecopetrol Prometeo - Documents\Planning Space Implementation\3. Analysis &amp; Design\Design\FC22\DRR Jaime\Por presentar a ECP\Cantagallo\Cristalina\[CRISTALINA_CF_SEC_New_09-Feb-2024.xlsx]D-PS'!$BE$39</t>
  </si>
  <si>
    <t>='C:\Users\jaime.benazar\Quorum Business Solutions\Ecopetrol Prometeo - Documents\Planning Space Implementation\3. Analysis &amp; Design\Design\FC22\DRR Jaime\Por presentar a ECP\Cantagallo\Cristalina\[CRISTALINA_CF_SEC_New_09-Feb-2024.xlsx]D-PS'!$BE$40</t>
  </si>
  <si>
    <t>='C:\Users\jaime.benazar\Quorum Business Solutions\Ecopetrol Prometeo - Documents\Planning Space Implementation\3. Analysis &amp; Design\Design\FC22\DRR Jaime\Por presentar a ECP\Cantagallo\Cristalina\[CRISTALINA_CF_SEC_New_09-Feb-2024.xlsx]D-PS'!$BE$41</t>
  </si>
  <si>
    <t>='C:\Users\jaime.benazar\Quorum Business Solutions\Ecopetrol Prometeo - Documents\Planning Space Implementation\3. Analysis &amp; Design\Design\FC22\DRR Jaime\Por presentar a ECP\Cantagallo\Cristalina\[CRISTALINA_CF_SEC_New_09-Feb-2024.xlsx]D-PS'!$BE$42</t>
  </si>
  <si>
    <t>='C:\Users\jaime.benazar\Quorum Business Solutions\Ecopetrol Prometeo - Documents\Planning Space Implementation\3. Analysis &amp; Design\Design\FC22\DRR Jaime\Por presentar a ECP\Cantagallo\Cristalina\[CRISTALINA_CF_SEC_New_09-Feb-2024.xlsx]D-PS'!$BE$43</t>
  </si>
  <si>
    <t>='C:\Users\jaime.benazar\Quorum Business Solutions\Ecopetrol Prometeo - Documents\Planning Space Implementation\3. Analysis &amp; Design\Design\FC22\DRR Jaime\Por presentar a ECP\Cantagallo\Cristalina\[CRISTALINA_CF_SEC_New_09-Feb-2024.xlsx]D-PS'!$BE$44</t>
  </si>
  <si>
    <t>='C:\Users\jaime.benazar\Quorum Business Solutions\Ecopetrol Prometeo - Documents\Planning Space Implementation\3. Analysis &amp; Design\Design\FC22\DRR Jaime\Por presentar a ECP\Cantagallo\Cristalina\[CRISTALINA_CF_SEC_New_09-Feb-2024.xlsx]D-PS'!$BE$45</t>
  </si>
  <si>
    <t>='C:\Users\jaime.benazar\Quorum Business Solutions\Ecopetrol Prometeo - Documents\Planning Space Implementation\3. Analysis &amp; Design\Design\FC22\DRR Jaime\Por presentar a ECP\Cantagallo\Cristalina\[CRISTALINA_CF_SEC_New_09-Feb-2024.xlsx]D-PS'!$BE$46</t>
  </si>
  <si>
    <t>='C:\Users\jaime.benazar\Quorum Business Solutions\Ecopetrol Prometeo - Documents\Planning Space Implementation\3. Analysis &amp; Design\Design\FC22\DRR Jaime\Por presentar a ECP\Cantagallo\Cristalina\[CRISTALINA_CF_SEC_New_09-Feb-2024.xlsx]D-PS'!$BE$47</t>
  </si>
  <si>
    <t>='C:\Users\jaime.benazar\Quorum Business Solutions\Ecopetrol Prometeo - Documents\Planning Space Implementation\3. Analysis &amp; Design\Design\FC22\DRR Jaime\Por presentar a ECP\Cantagallo\Cristalina\[CRISTALINA_CF_SEC_New_09-Feb-2024.xlsx]D-PS'!$BE$48</t>
  </si>
  <si>
    <t>='C:\Users\jaime.benazar\Quorum Business Solutions\Ecopetrol Prometeo - Documents\Planning Space Implementation\3. Analysis &amp; Design\Design\FC22\DRR Jaime\Por presentar a ECP\Cantagallo\Cristalina\[CRISTALINA_CF_SEC_New_09-Feb-2024.xlsx]D-PDP'!$CB$12</t>
  </si>
  <si>
    <t>='C:\Users\jaime.benazar\Quorum Business Solutions\Ecopetrol Prometeo - Documents\Planning Space Implementation\3. Analysis &amp; Design\Design\FC22\DRR Jaime\Por presentar a ECP\Cantagallo\Cristalina\[CRISTALINA_CF_SEC_New_09-Feb-2024.xlsx]D-PDP'!$CB$13</t>
  </si>
  <si>
    <t>='C:\Users\jaime.benazar\Quorum Business Solutions\Ecopetrol Prometeo - Documents\Planning Space Implementation\3. Analysis &amp; Design\Design\FC22\DRR Jaime\Por presentar a ECP\Cantagallo\Cristalina\[CRISTALINA_CF_SEC_New_09-Feb-2024.xlsx]D-PDP'!$CB$14</t>
  </si>
  <si>
    <t>='C:\Users\jaime.benazar\Quorum Business Solutions\Ecopetrol Prometeo - Documents\Planning Space Implementation\3. Analysis &amp; Design\Design\FC22\DRR Jaime\Por presentar a ECP\Cantagallo\Cristalina\[CRISTALINA_CF_SEC_New_09-Feb-2024.xlsx]D-PDP'!$CB$15</t>
  </si>
  <si>
    <t>='C:\Users\jaime.benazar\Quorum Business Solutions\Ecopetrol Prometeo - Documents\Planning Space Implementation\3. Analysis &amp; Design\Design\FC22\DRR Jaime\Por presentar a ECP\Cantagallo\Cristalina\[CRISTALINA_CF_SEC_New_09-Feb-2024.xlsx]D-PDP'!$CB$16</t>
  </si>
  <si>
    <t>='C:\Users\jaime.benazar\Quorum Business Solutions\Ecopetrol Prometeo - Documents\Planning Space Implementation\3. Analysis &amp; Design\Design\FC22\DRR Jaime\Por presentar a ECP\Cantagallo\Cristalina\[CRISTALINA_CF_SEC_New_09-Feb-2024.xlsx]D-PDP'!$CB$17</t>
  </si>
  <si>
    <t>='C:\Users\jaime.benazar\Quorum Business Solutions\Ecopetrol Prometeo - Documents\Planning Space Implementation\3. Analysis &amp; Design\Design\FC22\DRR Jaime\Por presentar a ECP\Cantagallo\Cristalina\[CRISTALINA_CF_SEC_New_09-Feb-2024.xlsx]D-PDP'!$CB$18</t>
  </si>
  <si>
    <t>='C:\Users\jaime.benazar\Quorum Business Solutions\Ecopetrol Prometeo - Documents\Planning Space Implementation\3. Analysis &amp; Design\Design\FC22\DRR Jaime\Por presentar a ECP\Cantagallo\Cristalina\[CRISTALINA_CF_SEC_New_09-Feb-2024.xlsx]D-PDP'!$CB$19</t>
  </si>
  <si>
    <t>='C:\Users\jaime.benazar\Quorum Business Solutions\Ecopetrol Prometeo - Documents\Planning Space Implementation\3. Analysis &amp; Design\Design\FC22\DRR Jaime\Por presentar a ECP\Cantagallo\Cristalina\[CRISTALINA_CF_SEC_New_09-Feb-2024.xlsx]D-PDP'!$CB$20</t>
  </si>
  <si>
    <t>='C:\Users\jaime.benazar\Quorum Business Solutions\Ecopetrol Prometeo - Documents\Planning Space Implementation\3. Analysis &amp; Design\Design\FC22\DRR Jaime\Por presentar a ECP\Cantagallo\Cristalina\[CRISTALINA_CF_SEC_New_09-Feb-2024.xlsx]D-PDP'!$CB$21</t>
  </si>
  <si>
    <t>='C:\Users\jaime.benazar\Quorum Business Solutions\Ecopetrol Prometeo - Documents\Planning Space Implementation\3. Analysis &amp; Design\Design\FC22\DRR Jaime\Por presentar a ECP\Cantagallo\Cristalina\[CRISTALINA_CF_SEC_New_09-Feb-2024.xlsx]D-PDP'!$CB$22</t>
  </si>
  <si>
    <t>='C:\Users\jaime.benazar\Quorum Business Solutions\Ecopetrol Prometeo - Documents\Planning Space Implementation\3. Analysis &amp; Design\Design\FC22\DRR Jaime\Por presentar a ECP\Cantagallo\Cristalina\[CRISTALINA_CF_SEC_New_09-Feb-2024.xlsx]D-PDP'!$CB$23</t>
  </si>
  <si>
    <t>='C:\Users\jaime.benazar\Quorum Business Solutions\Ecopetrol Prometeo - Documents\Planning Space Implementation\3. Analysis &amp; Design\Design\FC22\DRR Jaime\Por presentar a ECP\Cantagallo\Cristalina\[CRISTALINA_CF_SEC_New_09-Feb-2024.xlsx]D-PDP'!$CB$24</t>
  </si>
  <si>
    <t>='C:\Users\jaime.benazar\Quorum Business Solutions\Ecopetrol Prometeo - Documents\Planning Space Implementation\3. Analysis &amp; Design\Design\FC22\DRR Jaime\Por presentar a ECP\Cantagallo\Cristalina\[CRISTALINA_CF_SEC_New_09-Feb-2024.xlsx]D-PDP'!$CB$25</t>
  </si>
  <si>
    <t>='C:\Users\jaime.benazar\Quorum Business Solutions\Ecopetrol Prometeo - Documents\Planning Space Implementation\3. Analysis &amp; Design\Design\FC22\DRR Jaime\Por presentar a ECP\Cantagallo\Cristalina\[CRISTALINA_CF_SEC_New_09-Feb-2024.xlsx]D-PDP'!$CB$26</t>
  </si>
  <si>
    <t>='C:\Users\jaime.benazar\Quorum Business Solutions\Ecopetrol Prometeo - Documents\Planning Space Implementation\3. Analysis &amp; Design\Design\FC22\DRR Jaime\Por presentar a ECP\Cantagallo\Cristalina\[CRISTALINA_CF_SEC_New_09-Feb-2024.xlsx]D-PDP'!$CB$27</t>
  </si>
  <si>
    <t>='C:\Users\jaime.benazar\Quorum Business Solutions\Ecopetrol Prometeo - Documents\Planning Space Implementation\3. Analysis &amp; Design\Design\FC22\DRR Jaime\Por presentar a ECP\Cantagallo\Cristalina\[CRISTALINA_CF_SEC_New_09-Feb-2024.xlsx]D-PDP'!$CB$28</t>
  </si>
  <si>
    <t>='C:\Users\jaime.benazar\Quorum Business Solutions\Ecopetrol Prometeo - Documents\Planning Space Implementation\3. Analysis &amp; Design\Design\FC22\DRR Jaime\Por presentar a ECP\Cantagallo\Cristalina\[CRISTALINA_CF_SEC_New_09-Feb-2024.xlsx]D-PDP'!$CB$29</t>
  </si>
  <si>
    <t>='C:\Users\jaime.benazar\Quorum Business Solutions\Ecopetrol Prometeo - Documents\Planning Space Implementation\3. Analysis &amp; Design\Design\FC22\DRR Jaime\Por presentar a ECP\Cantagallo\Cristalina\[CRISTALINA_CF_SEC_New_09-Feb-2024.xlsx]D-PDP'!$CB$30</t>
  </si>
  <si>
    <t>='C:\Users\jaime.benazar\Quorum Business Solutions\Ecopetrol Prometeo - Documents\Planning Space Implementation\3. Analysis &amp; Design\Design\FC22\DRR Jaime\Por presentar a ECP\Cantagallo\Cristalina\[CRISTALINA_CF_SEC_New_09-Feb-2024.xlsx]D-PDP'!$CB$31</t>
  </si>
  <si>
    <t>='C:\Users\jaime.benazar\Quorum Business Solutions\Ecopetrol Prometeo - Documents\Planning Space Implementation\3. Analysis &amp; Design\Design\FC22\DRR Jaime\Por presentar a ECP\Cantagallo\Cristalina\[CRISTALINA_CF_SEC_New_09-Feb-2024.xlsx]D-PDP'!$CB$32</t>
  </si>
  <si>
    <t>='C:\Users\jaime.benazar\Quorum Business Solutions\Ecopetrol Prometeo - Documents\Planning Space Implementation\3. Analysis &amp; Design\Design\FC22\DRR Jaime\Por presentar a ECP\Cantagallo\Cristalina\[CRISTALINA_CF_SEC_New_09-Feb-2024.xlsx]D-PDP'!$CB$33</t>
  </si>
  <si>
    <t>='C:\Users\jaime.benazar\Quorum Business Solutions\Ecopetrol Prometeo - Documents\Planning Space Implementation\3. Analysis &amp; Design\Design\FC22\DRR Jaime\Por presentar a ECP\Cantagallo\Cristalina\[CRISTALINA_CF_SEC_New_09-Feb-2024.xlsx]D-PDP'!$CB$34</t>
  </si>
  <si>
    <t>='C:\Users\jaime.benazar\Quorum Business Solutions\Ecopetrol Prometeo - Documents\Planning Space Implementation\3. Analysis &amp; Design\Design\FC22\DRR Jaime\Por presentar a ECP\Cantagallo\Cristalina\[CRISTALINA_CF_SEC_New_09-Feb-2024.xlsx]D-PDP'!$CB$35</t>
  </si>
  <si>
    <t>='C:\Users\jaime.benazar\Quorum Business Solutions\Ecopetrol Prometeo - Documents\Planning Space Implementation\3. Analysis &amp; Design\Design\FC22\DRR Jaime\Por presentar a ECP\Cantagallo\Cristalina\[CRISTALINA_CF_SEC_New_09-Feb-2024.xlsx]D-PDP'!$CB$36</t>
  </si>
  <si>
    <t>='C:\Users\jaime.benazar\Quorum Business Solutions\Ecopetrol Prometeo - Documents\Planning Space Implementation\3. Analysis &amp; Design\Design\FC22\DRR Jaime\Por presentar a ECP\Cantagallo\Cristalina\[CRISTALINA_CF_SEC_New_09-Feb-2024.xlsx]D-PDP'!$CB$37</t>
  </si>
  <si>
    <t>='C:\Users\jaime.benazar\Quorum Business Solutions\Ecopetrol Prometeo - Documents\Planning Space Implementation\3. Analysis &amp; Design\Design\FC22\DRR Jaime\Por presentar a ECP\Cantagallo\Cristalina\[CRISTALINA_CF_SEC_New_09-Feb-2024.xlsx]D-PDP'!$CB$38</t>
  </si>
  <si>
    <t>='C:\Users\jaime.benazar\Quorum Business Solutions\Ecopetrol Prometeo - Documents\Planning Space Implementation\3. Analysis &amp; Design\Design\FC22\DRR Jaime\Por presentar a ECP\Cantagallo\Cristalina\[CRISTALINA_CF_SEC_New_09-Feb-2024.xlsx]D-PDP'!$CB$39</t>
  </si>
  <si>
    <t>='C:\Users\jaime.benazar\Quorum Business Solutions\Ecopetrol Prometeo - Documents\Planning Space Implementation\3. Analysis &amp; Design\Design\FC22\DRR Jaime\Por presentar a ECP\Cantagallo\Cristalina\[CRISTALINA_CF_SEC_New_09-Feb-2024.xlsx]D-PDP'!$CB$40</t>
  </si>
  <si>
    <t>='C:\Users\jaime.benazar\Quorum Business Solutions\Ecopetrol Prometeo - Documents\Planning Space Implementation\3. Analysis &amp; Design\Design\FC22\DRR Jaime\Por presentar a ECP\Cantagallo\Cristalina\[CRISTALINA_CF_SEC_New_09-Feb-2024.xlsx]D-PDP'!$CB$41</t>
  </si>
  <si>
    <t>='C:\Users\jaime.benazar\Quorum Business Solutions\Ecopetrol Prometeo - Documents\Planning Space Implementation\3. Analysis &amp; Design\Design\FC22\DRR Jaime\Por presentar a ECP\Cantagallo\Cristalina\[CRISTALINA_CF_SEC_New_09-Feb-2024.xlsx]D-PDP'!$CB$42</t>
  </si>
  <si>
    <t>='C:\Users\jaime.benazar\Quorum Business Solutions\Ecopetrol Prometeo - Documents\Planning Space Implementation\3. Analysis &amp; Design\Design\FC22\DRR Jaime\Por presentar a ECP\Cantagallo\Cristalina\[CRISTALINA_CF_SEC_New_09-Feb-2024.xlsx]D-PDP'!$CB$43</t>
  </si>
  <si>
    <t>='C:\Users\jaime.benazar\Quorum Business Solutions\Ecopetrol Prometeo - Documents\Planning Space Implementation\3. Analysis &amp; Design\Design\FC22\DRR Jaime\Por presentar a ECP\Cantagallo\Cristalina\[CRISTALINA_CF_SEC_New_09-Feb-2024.xlsx]D-PDP'!$CB$44</t>
  </si>
  <si>
    <t>='C:\Users\jaime.benazar\Quorum Business Solutions\Ecopetrol Prometeo - Documents\Planning Space Implementation\3. Analysis &amp; Design\Design\FC22\DRR Jaime\Por presentar a ECP\Cantagallo\Cristalina\[CRISTALINA_CF_SEC_New_09-Feb-2024.xlsx]D-PDP'!$CB$45</t>
  </si>
  <si>
    <t>='C:\Users\jaime.benazar\Quorum Business Solutions\Ecopetrol Prometeo - Documents\Planning Space Implementation\3. Analysis &amp; Design\Design\FC22\DRR Jaime\Por presentar a ECP\Cantagallo\Cristalina\[CRISTALINA_CF_SEC_New_09-Feb-2024.xlsx]D-PDP'!$CB$46</t>
  </si>
  <si>
    <t>='C:\Users\jaime.benazar\Quorum Business Solutions\Ecopetrol Prometeo - Documents\Planning Space Implementation\3. Analysis &amp; Design\Design\FC22\DRR Jaime\Por presentar a ECP\Cantagallo\Cristalina\[CRISTALINA_CF_SEC_New_09-Feb-2024.xlsx]D-PDP'!$CB$47</t>
  </si>
  <si>
    <t>='C:\Users\jaime.benazar\Quorum Business Solutions\Ecopetrol Prometeo - Documents\Planning Space Implementation\3. Analysis &amp; Design\Design\FC22\DRR Jaime\Por presentar a ECP\Cantagallo\Cristalina\[CRISTALINA_CF_SEC_New_09-Feb-2024.xlsx]D-PDP'!$CB$48</t>
  </si>
  <si>
    <t>='C:\Users\jaime.benazar\Quorum Business Solutions\Ecopetrol Prometeo - Documents\Planning Space Implementation\3. Analysis &amp; Design\Design\FC22\DRR Jaime\Por presentar a ECP\Cantagallo\Cristalina\[CRISTALINA_CF_SEC_New_09-Feb-2024.xlsx]D-PNP'!$CB$12</t>
  </si>
  <si>
    <t>='C:\Users\jaime.benazar\Quorum Business Solutions\Ecopetrol Prometeo - Documents\Planning Space Implementation\3. Analysis &amp; Design\Design\FC22\DRR Jaime\Por presentar a ECP\Cantagallo\Cristalina\[CRISTALINA_CF_SEC_New_09-Feb-2024.xlsx]D-PNP'!$CB$13</t>
  </si>
  <si>
    <t>='C:\Users\jaime.benazar\Quorum Business Solutions\Ecopetrol Prometeo - Documents\Planning Space Implementation\3. Analysis &amp; Design\Design\FC22\DRR Jaime\Por presentar a ECP\Cantagallo\Cristalina\[CRISTALINA_CF_SEC_New_09-Feb-2024.xlsx]D-PNP'!$CB$14</t>
  </si>
  <si>
    <t>='C:\Users\jaime.benazar\Quorum Business Solutions\Ecopetrol Prometeo - Documents\Planning Space Implementation\3. Analysis &amp; Design\Design\FC22\DRR Jaime\Por presentar a ECP\Cantagallo\Cristalina\[CRISTALINA_CF_SEC_New_09-Feb-2024.xlsx]D-PNP'!$CB$15</t>
  </si>
  <si>
    <t>='C:\Users\jaime.benazar\Quorum Business Solutions\Ecopetrol Prometeo - Documents\Planning Space Implementation\3. Analysis &amp; Design\Design\FC22\DRR Jaime\Por presentar a ECP\Cantagallo\Cristalina\[CRISTALINA_CF_SEC_New_09-Feb-2024.xlsx]D-PNP'!$CB$16</t>
  </si>
  <si>
    <t>='C:\Users\jaime.benazar\Quorum Business Solutions\Ecopetrol Prometeo - Documents\Planning Space Implementation\3. Analysis &amp; Design\Design\FC22\DRR Jaime\Por presentar a ECP\Cantagallo\Cristalina\[CRISTALINA_CF_SEC_New_09-Feb-2024.xlsx]D-PNP'!$CB$17</t>
  </si>
  <si>
    <t>='C:\Users\jaime.benazar\Quorum Business Solutions\Ecopetrol Prometeo - Documents\Planning Space Implementation\3. Analysis &amp; Design\Design\FC22\DRR Jaime\Por presentar a ECP\Cantagallo\Cristalina\[CRISTALINA_CF_SEC_New_09-Feb-2024.xlsx]D-PNP'!$CB$18</t>
  </si>
  <si>
    <t>='C:\Users\jaime.benazar\Quorum Business Solutions\Ecopetrol Prometeo - Documents\Planning Space Implementation\3. Analysis &amp; Design\Design\FC22\DRR Jaime\Por presentar a ECP\Cantagallo\Cristalina\[CRISTALINA_CF_SEC_New_09-Feb-2024.xlsx]D-PNP'!$CB$19</t>
  </si>
  <si>
    <t>='C:\Users\jaime.benazar\Quorum Business Solutions\Ecopetrol Prometeo - Documents\Planning Space Implementation\3. Analysis &amp; Design\Design\FC22\DRR Jaime\Por presentar a ECP\Cantagallo\Cristalina\[CRISTALINA_CF_SEC_New_09-Feb-2024.xlsx]D-PNP'!$CB$20</t>
  </si>
  <si>
    <t>='C:\Users\jaime.benazar\Quorum Business Solutions\Ecopetrol Prometeo - Documents\Planning Space Implementation\3. Analysis &amp; Design\Design\FC22\DRR Jaime\Por presentar a ECP\Cantagallo\Cristalina\[CRISTALINA_CF_SEC_New_09-Feb-2024.xlsx]D-PNP'!$CB$21</t>
  </si>
  <si>
    <t>='C:\Users\jaime.benazar\Quorum Business Solutions\Ecopetrol Prometeo - Documents\Planning Space Implementation\3. Analysis &amp; Design\Design\FC22\DRR Jaime\Por presentar a ECP\Cantagallo\Cristalina\[CRISTALINA_CF_SEC_New_09-Feb-2024.xlsx]D-PNP'!$CB$22</t>
  </si>
  <si>
    <t>='C:\Users\jaime.benazar\Quorum Business Solutions\Ecopetrol Prometeo - Documents\Planning Space Implementation\3. Analysis &amp; Design\Design\FC22\DRR Jaime\Por presentar a ECP\Cantagallo\Cristalina\[CRISTALINA_CF_SEC_New_09-Feb-2024.xlsx]D-PNP'!$CB$23</t>
  </si>
  <si>
    <t>='C:\Users\jaime.benazar\Quorum Business Solutions\Ecopetrol Prometeo - Documents\Planning Space Implementation\3. Analysis &amp; Design\Design\FC22\DRR Jaime\Por presentar a ECP\Cantagallo\Cristalina\[CRISTALINA_CF_SEC_New_09-Feb-2024.xlsx]D-PNP'!$CB$24</t>
  </si>
  <si>
    <t>='C:\Users\jaime.benazar\Quorum Business Solutions\Ecopetrol Prometeo - Documents\Planning Space Implementation\3. Analysis &amp; Design\Design\FC22\DRR Jaime\Por presentar a ECP\Cantagallo\Cristalina\[CRISTALINA_CF_SEC_New_09-Feb-2024.xlsx]D-PNP'!$CB$25</t>
  </si>
  <si>
    <t>='C:\Users\jaime.benazar\Quorum Business Solutions\Ecopetrol Prometeo - Documents\Planning Space Implementation\3. Analysis &amp; Design\Design\FC22\DRR Jaime\Por presentar a ECP\Cantagallo\Cristalina\[CRISTALINA_CF_SEC_New_09-Feb-2024.xlsx]D-PNP'!$CB$26</t>
  </si>
  <si>
    <t>='C:\Users\jaime.benazar\Quorum Business Solutions\Ecopetrol Prometeo - Documents\Planning Space Implementation\3. Analysis &amp; Design\Design\FC22\DRR Jaime\Por presentar a ECP\Cantagallo\Cristalina\[CRISTALINA_CF_SEC_New_09-Feb-2024.xlsx]D-PNP'!$CB$27</t>
  </si>
  <si>
    <t>='C:\Users\jaime.benazar\Quorum Business Solutions\Ecopetrol Prometeo - Documents\Planning Space Implementation\3. Analysis &amp; Design\Design\FC22\DRR Jaime\Por presentar a ECP\Cantagallo\Cristalina\[CRISTALINA_CF_SEC_New_09-Feb-2024.xlsx]D-PNP'!$CB$28</t>
  </si>
  <si>
    <t>='C:\Users\jaime.benazar\Quorum Business Solutions\Ecopetrol Prometeo - Documents\Planning Space Implementation\3. Analysis &amp; Design\Design\FC22\DRR Jaime\Por presentar a ECP\Cantagallo\Cristalina\[CRISTALINA_CF_SEC_New_09-Feb-2024.xlsx]D-PNP'!$CB$29</t>
  </si>
  <si>
    <t>='C:\Users\jaime.benazar\Quorum Business Solutions\Ecopetrol Prometeo - Documents\Planning Space Implementation\3. Analysis &amp; Design\Design\FC22\DRR Jaime\Por presentar a ECP\Cantagallo\Cristalina\[CRISTALINA_CF_SEC_New_09-Feb-2024.xlsx]D-PNP'!$CB$30</t>
  </si>
  <si>
    <t>='C:\Users\jaime.benazar\Quorum Business Solutions\Ecopetrol Prometeo - Documents\Planning Space Implementation\3. Analysis &amp; Design\Design\FC22\DRR Jaime\Por presentar a ECP\Cantagallo\Cristalina\[CRISTALINA_CF_SEC_New_09-Feb-2024.xlsx]D-PNP'!$CB$31</t>
  </si>
  <si>
    <t>='C:\Users\jaime.benazar\Quorum Business Solutions\Ecopetrol Prometeo - Documents\Planning Space Implementation\3. Analysis &amp; Design\Design\FC22\DRR Jaime\Por presentar a ECP\Cantagallo\Cristalina\[CRISTALINA_CF_SEC_New_09-Feb-2024.xlsx]D-PNP'!$CB$32</t>
  </si>
  <si>
    <t>='C:\Users\jaime.benazar\Quorum Business Solutions\Ecopetrol Prometeo - Documents\Planning Space Implementation\3. Analysis &amp; Design\Design\FC22\DRR Jaime\Por presentar a ECP\Cantagallo\Cristalina\[CRISTALINA_CF_SEC_New_09-Feb-2024.xlsx]D-PNP'!$CB$33</t>
  </si>
  <si>
    <t>='C:\Users\jaime.benazar\Quorum Business Solutions\Ecopetrol Prometeo - Documents\Planning Space Implementation\3. Analysis &amp; Design\Design\FC22\DRR Jaime\Por presentar a ECP\Cantagallo\Cristalina\[CRISTALINA_CF_SEC_New_09-Feb-2024.xlsx]D-PNP'!$CB$34</t>
  </si>
  <si>
    <t>='C:\Users\jaime.benazar\Quorum Business Solutions\Ecopetrol Prometeo - Documents\Planning Space Implementation\3. Analysis &amp; Design\Design\FC22\DRR Jaime\Por presentar a ECP\Cantagallo\Cristalina\[CRISTALINA_CF_SEC_New_09-Feb-2024.xlsx]D-PNP'!$CB$35</t>
  </si>
  <si>
    <t>='C:\Users\jaime.benazar\Quorum Business Solutions\Ecopetrol Prometeo - Documents\Planning Space Implementation\3. Analysis &amp; Design\Design\FC22\DRR Jaime\Por presentar a ECP\Cantagallo\Cristalina\[CRISTALINA_CF_SEC_New_09-Feb-2024.xlsx]D-PNP'!$CB$36</t>
  </si>
  <si>
    <t>='C:\Users\jaime.benazar\Quorum Business Solutions\Ecopetrol Prometeo - Documents\Planning Space Implementation\3. Analysis &amp; Design\Design\FC22\DRR Jaime\Por presentar a ECP\Cantagallo\Cristalina\[CRISTALINA_CF_SEC_New_09-Feb-2024.xlsx]D-PNP'!$CB$37</t>
  </si>
  <si>
    <t>='C:\Users\jaime.benazar\Quorum Business Solutions\Ecopetrol Prometeo - Documents\Planning Space Implementation\3. Analysis &amp; Design\Design\FC22\DRR Jaime\Por presentar a ECP\Cantagallo\Cristalina\[CRISTALINA_CF_SEC_New_09-Feb-2024.xlsx]D-PNP'!$CB$38</t>
  </si>
  <si>
    <t>='C:\Users\jaime.benazar\Quorum Business Solutions\Ecopetrol Prometeo - Documents\Planning Space Implementation\3. Analysis &amp; Design\Design\FC22\DRR Jaime\Por presentar a ECP\Cantagallo\Cristalina\[CRISTALINA_CF_SEC_New_09-Feb-2024.xlsx]D-PNP'!$CB$39</t>
  </si>
  <si>
    <t>='C:\Users\jaime.benazar\Quorum Business Solutions\Ecopetrol Prometeo - Documents\Planning Space Implementation\3. Analysis &amp; Design\Design\FC22\DRR Jaime\Por presentar a ECP\Cantagallo\Cristalina\[CRISTALINA_CF_SEC_New_09-Feb-2024.xlsx]D-PNP'!$CB$40</t>
  </si>
  <si>
    <t>='C:\Users\jaime.benazar\Quorum Business Solutions\Ecopetrol Prometeo - Documents\Planning Space Implementation\3. Analysis &amp; Design\Design\FC22\DRR Jaime\Por presentar a ECP\Cantagallo\Cristalina\[CRISTALINA_CF_SEC_New_09-Feb-2024.xlsx]D-PNP'!$CB$41</t>
  </si>
  <si>
    <t>='C:\Users\jaime.benazar\Quorum Business Solutions\Ecopetrol Prometeo - Documents\Planning Space Implementation\3. Analysis &amp; Design\Design\FC22\DRR Jaime\Por presentar a ECP\Cantagallo\Cristalina\[CRISTALINA_CF_SEC_New_09-Feb-2024.xlsx]D-PNP'!$CB$42</t>
  </si>
  <si>
    <t>='C:\Users\jaime.benazar\Quorum Business Solutions\Ecopetrol Prometeo - Documents\Planning Space Implementation\3. Analysis &amp; Design\Design\FC22\DRR Jaime\Por presentar a ECP\Cantagallo\Cristalina\[CRISTALINA_CF_SEC_New_09-Feb-2024.xlsx]D-PNP'!$CB$43</t>
  </si>
  <si>
    <t>='C:\Users\jaime.benazar\Quorum Business Solutions\Ecopetrol Prometeo - Documents\Planning Space Implementation\3. Analysis &amp; Design\Design\FC22\DRR Jaime\Por presentar a ECP\Cantagallo\Cristalina\[CRISTALINA_CF_SEC_New_09-Feb-2024.xlsx]D-PNP'!$CB$44</t>
  </si>
  <si>
    <t>='C:\Users\jaime.benazar\Quorum Business Solutions\Ecopetrol Prometeo - Documents\Planning Space Implementation\3. Analysis &amp; Design\Design\FC22\DRR Jaime\Por presentar a ECP\Cantagallo\Cristalina\[CRISTALINA_CF_SEC_New_09-Feb-2024.xlsx]D-PNP'!$CB$45</t>
  </si>
  <si>
    <t>='C:\Users\jaime.benazar\Quorum Business Solutions\Ecopetrol Prometeo - Documents\Planning Space Implementation\3. Analysis &amp; Design\Design\FC22\DRR Jaime\Por presentar a ECP\Cantagallo\Cristalina\[CRISTALINA_CF_SEC_New_09-Feb-2024.xlsx]D-PNP'!$CB$46</t>
  </si>
  <si>
    <t>='C:\Users\jaime.benazar\Quorum Business Solutions\Ecopetrol Prometeo - Documents\Planning Space Implementation\3. Analysis &amp; Design\Design\FC22\DRR Jaime\Por presentar a ECP\Cantagallo\Cristalina\[CRISTALINA_CF_SEC_New_09-Feb-2024.xlsx]D-PNP'!$CB$47</t>
  </si>
  <si>
    <t>='C:\Users\jaime.benazar\Quorum Business Solutions\Ecopetrol Prometeo - Documents\Planning Space Implementation\3. Analysis &amp; Design\Design\FC22\DRR Jaime\Por presentar a ECP\Cantagallo\Cristalina\[CRISTALINA_CF_SEC_New_09-Feb-2024.xlsx]D-PNP'!$CB$48</t>
  </si>
  <si>
    <t>='C:\Users\jaime.benazar\Quorum Business Solutions\Ecopetrol Prometeo - Documents\Planning Space Implementation\3. Analysis &amp; Design\Design\FC22\DRR Jaime\Por presentar a ECP\Cantagallo\Cristalina\[CRISTALINA_CF_SEC_New_09-Feb-2024.xlsx]D-PND'!$CB$12</t>
  </si>
  <si>
    <t>='C:\Users\jaime.benazar\Quorum Business Solutions\Ecopetrol Prometeo - Documents\Planning Space Implementation\3. Analysis &amp; Design\Design\FC22\DRR Jaime\Por presentar a ECP\Cantagallo\Cristalina\[CRISTALINA_CF_SEC_New_09-Feb-2024.xlsx]D-PND'!$CB$13</t>
  </si>
  <si>
    <t>='C:\Users\jaime.benazar\Quorum Business Solutions\Ecopetrol Prometeo - Documents\Planning Space Implementation\3. Analysis &amp; Design\Design\FC22\DRR Jaime\Por presentar a ECP\Cantagallo\Cristalina\[CRISTALINA_CF_SEC_New_09-Feb-2024.xlsx]D-PND'!$CB$14</t>
  </si>
  <si>
    <t>='C:\Users\jaime.benazar\Quorum Business Solutions\Ecopetrol Prometeo - Documents\Planning Space Implementation\3. Analysis &amp; Design\Design\FC22\DRR Jaime\Por presentar a ECP\Cantagallo\Cristalina\[CRISTALINA_CF_SEC_New_09-Feb-2024.xlsx]D-PND'!$CB$15</t>
  </si>
  <si>
    <t>='C:\Users\jaime.benazar\Quorum Business Solutions\Ecopetrol Prometeo - Documents\Planning Space Implementation\3. Analysis &amp; Design\Design\FC22\DRR Jaime\Por presentar a ECP\Cantagallo\Cristalina\[CRISTALINA_CF_SEC_New_09-Feb-2024.xlsx]D-PND'!$CB$16</t>
  </si>
  <si>
    <t>='C:\Users\jaime.benazar\Quorum Business Solutions\Ecopetrol Prometeo - Documents\Planning Space Implementation\3. Analysis &amp; Design\Design\FC22\DRR Jaime\Por presentar a ECP\Cantagallo\Cristalina\[CRISTALINA_CF_SEC_New_09-Feb-2024.xlsx]D-PND'!$CB$17</t>
  </si>
  <si>
    <t>='C:\Users\jaime.benazar\Quorum Business Solutions\Ecopetrol Prometeo - Documents\Planning Space Implementation\3. Analysis &amp; Design\Design\FC22\DRR Jaime\Por presentar a ECP\Cantagallo\Cristalina\[CRISTALINA_CF_SEC_New_09-Feb-2024.xlsx]D-PND'!$CB$18</t>
  </si>
  <si>
    <t>='C:\Users\jaime.benazar\Quorum Business Solutions\Ecopetrol Prometeo - Documents\Planning Space Implementation\3. Analysis &amp; Design\Design\FC22\DRR Jaime\Por presentar a ECP\Cantagallo\Cristalina\[CRISTALINA_CF_SEC_New_09-Feb-2024.xlsx]D-PND'!$CB$19</t>
  </si>
  <si>
    <t>='C:\Users\jaime.benazar\Quorum Business Solutions\Ecopetrol Prometeo - Documents\Planning Space Implementation\3. Analysis &amp; Design\Design\FC22\DRR Jaime\Por presentar a ECP\Cantagallo\Cristalina\[CRISTALINA_CF_SEC_New_09-Feb-2024.xlsx]D-PND'!$CB$20</t>
  </si>
  <si>
    <t>='C:\Users\jaime.benazar\Quorum Business Solutions\Ecopetrol Prometeo - Documents\Planning Space Implementation\3. Analysis &amp; Design\Design\FC22\DRR Jaime\Por presentar a ECP\Cantagallo\Cristalina\[CRISTALINA_CF_SEC_New_09-Feb-2024.xlsx]D-PND'!$CB$21</t>
  </si>
  <si>
    <t>='C:\Users\jaime.benazar\Quorum Business Solutions\Ecopetrol Prometeo - Documents\Planning Space Implementation\3. Analysis &amp; Design\Design\FC22\DRR Jaime\Por presentar a ECP\Cantagallo\Cristalina\[CRISTALINA_CF_SEC_New_09-Feb-2024.xlsx]D-PND'!$CB$22</t>
  </si>
  <si>
    <t>='C:\Users\jaime.benazar\Quorum Business Solutions\Ecopetrol Prometeo - Documents\Planning Space Implementation\3. Analysis &amp; Design\Design\FC22\DRR Jaime\Por presentar a ECP\Cantagallo\Cristalina\[CRISTALINA_CF_SEC_New_09-Feb-2024.xlsx]D-PND'!$CB$23</t>
  </si>
  <si>
    <t>='C:\Users\jaime.benazar\Quorum Business Solutions\Ecopetrol Prometeo - Documents\Planning Space Implementation\3. Analysis &amp; Design\Design\FC22\DRR Jaime\Por presentar a ECP\Cantagallo\Cristalina\[CRISTALINA_CF_SEC_New_09-Feb-2024.xlsx]D-PND'!$CB$24</t>
  </si>
  <si>
    <t>='C:\Users\jaime.benazar\Quorum Business Solutions\Ecopetrol Prometeo - Documents\Planning Space Implementation\3. Analysis &amp; Design\Design\FC22\DRR Jaime\Por presentar a ECP\Cantagallo\Cristalina\[CRISTALINA_CF_SEC_New_09-Feb-2024.xlsx]D-PND'!$CB$25</t>
  </si>
  <si>
    <t>='C:\Users\jaime.benazar\Quorum Business Solutions\Ecopetrol Prometeo - Documents\Planning Space Implementation\3. Analysis &amp; Design\Design\FC22\DRR Jaime\Por presentar a ECP\Cantagallo\Cristalina\[CRISTALINA_CF_SEC_New_09-Feb-2024.xlsx]D-PND'!$CB$26</t>
  </si>
  <si>
    <t>='C:\Users\jaime.benazar\Quorum Business Solutions\Ecopetrol Prometeo - Documents\Planning Space Implementation\3. Analysis &amp; Design\Design\FC22\DRR Jaime\Por presentar a ECP\Cantagallo\Cristalina\[CRISTALINA_CF_SEC_New_09-Feb-2024.xlsx]D-PND'!$CB$27</t>
  </si>
  <si>
    <t>='C:\Users\jaime.benazar\Quorum Business Solutions\Ecopetrol Prometeo - Documents\Planning Space Implementation\3. Analysis &amp; Design\Design\FC22\DRR Jaime\Por presentar a ECP\Cantagallo\Cristalina\[CRISTALINA_CF_SEC_New_09-Feb-2024.xlsx]D-PND'!$CB$28</t>
  </si>
  <si>
    <t>='C:\Users\jaime.benazar\Quorum Business Solutions\Ecopetrol Prometeo - Documents\Planning Space Implementation\3. Analysis &amp; Design\Design\FC22\DRR Jaime\Por presentar a ECP\Cantagallo\Cristalina\[CRISTALINA_CF_SEC_New_09-Feb-2024.xlsx]D-PND'!$CB$29</t>
  </si>
  <si>
    <t>='C:\Users\jaime.benazar\Quorum Business Solutions\Ecopetrol Prometeo - Documents\Planning Space Implementation\3. Analysis &amp; Design\Design\FC22\DRR Jaime\Por presentar a ECP\Cantagallo\Cristalina\[CRISTALINA_CF_SEC_New_09-Feb-2024.xlsx]D-PND'!$CB$30</t>
  </si>
  <si>
    <t>='C:\Users\jaime.benazar\Quorum Business Solutions\Ecopetrol Prometeo - Documents\Planning Space Implementation\3. Analysis &amp; Design\Design\FC22\DRR Jaime\Por presentar a ECP\Cantagallo\Cristalina\[CRISTALINA_CF_SEC_New_09-Feb-2024.xlsx]D-PND'!$CB$31</t>
  </si>
  <si>
    <t>='C:\Users\jaime.benazar\Quorum Business Solutions\Ecopetrol Prometeo - Documents\Planning Space Implementation\3. Analysis &amp; Design\Design\FC22\DRR Jaime\Por presentar a ECP\Cantagallo\Cristalina\[CRISTALINA_CF_SEC_New_09-Feb-2024.xlsx]D-PND'!$CB$32</t>
  </si>
  <si>
    <t>='C:\Users\jaime.benazar\Quorum Business Solutions\Ecopetrol Prometeo - Documents\Planning Space Implementation\3. Analysis &amp; Design\Design\FC22\DRR Jaime\Por presentar a ECP\Cantagallo\Cristalina\[CRISTALINA_CF_SEC_New_09-Feb-2024.xlsx]D-PND'!$CB$33</t>
  </si>
  <si>
    <t>='C:\Users\jaime.benazar\Quorum Business Solutions\Ecopetrol Prometeo - Documents\Planning Space Implementation\3. Analysis &amp; Design\Design\FC22\DRR Jaime\Por presentar a ECP\Cantagallo\Cristalina\[CRISTALINA_CF_SEC_New_09-Feb-2024.xlsx]D-PND'!$CB$34</t>
  </si>
  <si>
    <t>='C:\Users\jaime.benazar\Quorum Business Solutions\Ecopetrol Prometeo - Documents\Planning Space Implementation\3. Analysis &amp; Design\Design\FC22\DRR Jaime\Por presentar a ECP\Cantagallo\Cristalina\[CRISTALINA_CF_SEC_New_09-Feb-2024.xlsx]D-PND'!$CB$35</t>
  </si>
  <si>
    <t>='C:\Users\jaime.benazar\Quorum Business Solutions\Ecopetrol Prometeo - Documents\Planning Space Implementation\3. Analysis &amp; Design\Design\FC22\DRR Jaime\Por presentar a ECP\Cantagallo\Cristalina\[CRISTALINA_CF_SEC_New_09-Feb-2024.xlsx]D-PND'!$CB$36</t>
  </si>
  <si>
    <t>='C:\Users\jaime.benazar\Quorum Business Solutions\Ecopetrol Prometeo - Documents\Planning Space Implementation\3. Analysis &amp; Design\Design\FC22\DRR Jaime\Por presentar a ECP\Cantagallo\Cristalina\[CRISTALINA_CF_SEC_New_09-Feb-2024.xlsx]D-PND'!$CB$37</t>
  </si>
  <si>
    <t>='C:\Users\jaime.benazar\Quorum Business Solutions\Ecopetrol Prometeo - Documents\Planning Space Implementation\3. Analysis &amp; Design\Design\FC22\DRR Jaime\Por presentar a ECP\Cantagallo\Cristalina\[CRISTALINA_CF_SEC_New_09-Feb-2024.xlsx]D-PND'!$CB$38</t>
  </si>
  <si>
    <t>='C:\Users\jaime.benazar\Quorum Business Solutions\Ecopetrol Prometeo - Documents\Planning Space Implementation\3. Analysis &amp; Design\Design\FC22\DRR Jaime\Por presentar a ECP\Cantagallo\Cristalina\[CRISTALINA_CF_SEC_New_09-Feb-2024.xlsx]D-PND'!$CB$39</t>
  </si>
  <si>
    <t>='C:\Users\jaime.benazar\Quorum Business Solutions\Ecopetrol Prometeo - Documents\Planning Space Implementation\3. Analysis &amp; Design\Design\FC22\DRR Jaime\Por presentar a ECP\Cantagallo\Cristalina\[CRISTALINA_CF_SEC_New_09-Feb-2024.xlsx]D-PND'!$CB$40</t>
  </si>
  <si>
    <t>='C:\Users\jaime.benazar\Quorum Business Solutions\Ecopetrol Prometeo - Documents\Planning Space Implementation\3. Analysis &amp; Design\Design\FC22\DRR Jaime\Por presentar a ECP\Cantagallo\Cristalina\[CRISTALINA_CF_SEC_New_09-Feb-2024.xlsx]D-PND'!$CB$41</t>
  </si>
  <si>
    <t>='C:\Users\jaime.benazar\Quorum Business Solutions\Ecopetrol Prometeo - Documents\Planning Space Implementation\3. Analysis &amp; Design\Design\FC22\DRR Jaime\Por presentar a ECP\Cantagallo\Cristalina\[CRISTALINA_CF_SEC_New_09-Feb-2024.xlsx]D-PND'!$CB$42</t>
  </si>
  <si>
    <t>='C:\Users\jaime.benazar\Quorum Business Solutions\Ecopetrol Prometeo - Documents\Planning Space Implementation\3. Analysis &amp; Design\Design\FC22\DRR Jaime\Por presentar a ECP\Cantagallo\Cristalina\[CRISTALINA_CF_SEC_New_09-Feb-2024.xlsx]D-PND'!$CB$43</t>
  </si>
  <si>
    <t>='C:\Users\jaime.benazar\Quorum Business Solutions\Ecopetrol Prometeo - Documents\Planning Space Implementation\3. Analysis &amp; Design\Design\FC22\DRR Jaime\Por presentar a ECP\Cantagallo\Cristalina\[CRISTALINA_CF_SEC_New_09-Feb-2024.xlsx]D-PND'!$CB$44</t>
  </si>
  <si>
    <t>='C:\Users\jaime.benazar\Quorum Business Solutions\Ecopetrol Prometeo - Documents\Planning Space Implementation\3. Analysis &amp; Design\Design\FC22\DRR Jaime\Por presentar a ECP\Cantagallo\Cristalina\[CRISTALINA_CF_SEC_New_09-Feb-2024.xlsx]D-PND'!$CB$45</t>
  </si>
  <si>
    <t>='C:\Users\jaime.benazar\Quorum Business Solutions\Ecopetrol Prometeo - Documents\Planning Space Implementation\3. Analysis &amp; Design\Design\FC22\DRR Jaime\Por presentar a ECP\Cantagallo\Cristalina\[CRISTALINA_CF_SEC_New_09-Feb-2024.xlsx]D-PND'!$CB$46</t>
  </si>
  <si>
    <t>='C:\Users\jaime.benazar\Quorum Business Solutions\Ecopetrol Prometeo - Documents\Planning Space Implementation\3. Analysis &amp; Design\Design\FC22\DRR Jaime\Por presentar a ECP\Cantagallo\Cristalina\[CRISTALINA_CF_SEC_New_09-Feb-2024.xlsx]D-PND'!$CB$47</t>
  </si>
  <si>
    <t>='C:\Users\jaime.benazar\Quorum Business Solutions\Ecopetrol Prometeo - Documents\Planning Space Implementation\3. Analysis &amp; Design\Design\FC22\DRR Jaime\Por presentar a ECP\Cantagallo\Cristalina\[CRISTALINA_CF_SEC_New_09-Feb-2024.xlsx]D-PND'!$CB$48</t>
  </si>
  <si>
    <t>='C:\Users\jaime.benazar\Quorum Business Solutions\Ecopetrol Prometeo - Documents\Planning Space Implementation\3. Analysis &amp; Design\Design\FC22\DRR Jaime\Por presentar a ECP\Cantagallo\Cristalina\[CRISTALINA_CF_SEC_New_09-Feb-2024.xlsx]D-PRB'!$CB$12</t>
  </si>
  <si>
    <t>='C:\Users\jaime.benazar\Quorum Business Solutions\Ecopetrol Prometeo - Documents\Planning Space Implementation\3. Analysis &amp; Design\Design\FC22\DRR Jaime\Por presentar a ECP\Cantagallo\Cristalina\[CRISTALINA_CF_SEC_New_09-Feb-2024.xlsx]D-PRB'!$CB$13</t>
  </si>
  <si>
    <t>='C:\Users\jaime.benazar\Quorum Business Solutions\Ecopetrol Prometeo - Documents\Planning Space Implementation\3. Analysis &amp; Design\Design\FC22\DRR Jaime\Por presentar a ECP\Cantagallo\Cristalina\[CRISTALINA_CF_SEC_New_09-Feb-2024.xlsx]D-PRB'!$CB$14</t>
  </si>
  <si>
    <t>='C:\Users\jaime.benazar\Quorum Business Solutions\Ecopetrol Prometeo - Documents\Planning Space Implementation\3. Analysis &amp; Design\Design\FC22\DRR Jaime\Por presentar a ECP\Cantagallo\Cristalina\[CRISTALINA_CF_SEC_New_09-Feb-2024.xlsx]D-PRB'!$CB$15</t>
  </si>
  <si>
    <t>='C:\Users\jaime.benazar\Quorum Business Solutions\Ecopetrol Prometeo - Documents\Planning Space Implementation\3. Analysis &amp; Design\Design\FC22\DRR Jaime\Por presentar a ECP\Cantagallo\Cristalina\[CRISTALINA_CF_SEC_New_09-Feb-2024.xlsx]D-PRB'!$CB$16</t>
  </si>
  <si>
    <t>='C:\Users\jaime.benazar\Quorum Business Solutions\Ecopetrol Prometeo - Documents\Planning Space Implementation\3. Analysis &amp; Design\Design\FC22\DRR Jaime\Por presentar a ECP\Cantagallo\Cristalina\[CRISTALINA_CF_SEC_New_09-Feb-2024.xlsx]D-PRB'!$CB$17</t>
  </si>
  <si>
    <t>='C:\Users\jaime.benazar\Quorum Business Solutions\Ecopetrol Prometeo - Documents\Planning Space Implementation\3. Analysis &amp; Design\Design\FC22\DRR Jaime\Por presentar a ECP\Cantagallo\Cristalina\[CRISTALINA_CF_SEC_New_09-Feb-2024.xlsx]D-PRB'!$CB$18</t>
  </si>
  <si>
    <t>='C:\Users\jaime.benazar\Quorum Business Solutions\Ecopetrol Prometeo - Documents\Planning Space Implementation\3. Analysis &amp; Design\Design\FC22\DRR Jaime\Por presentar a ECP\Cantagallo\Cristalina\[CRISTALINA_CF_SEC_New_09-Feb-2024.xlsx]D-PRB'!$CB$19</t>
  </si>
  <si>
    <t>='C:\Users\jaime.benazar\Quorum Business Solutions\Ecopetrol Prometeo - Documents\Planning Space Implementation\3. Analysis &amp; Design\Design\FC22\DRR Jaime\Por presentar a ECP\Cantagallo\Cristalina\[CRISTALINA_CF_SEC_New_09-Feb-2024.xlsx]D-PRB'!$CB$20</t>
  </si>
  <si>
    <t>='C:\Users\jaime.benazar\Quorum Business Solutions\Ecopetrol Prometeo - Documents\Planning Space Implementation\3. Analysis &amp; Design\Design\FC22\DRR Jaime\Por presentar a ECP\Cantagallo\Cristalina\[CRISTALINA_CF_SEC_New_09-Feb-2024.xlsx]D-PRB'!$CB$21</t>
  </si>
  <si>
    <t>='C:\Users\jaime.benazar\Quorum Business Solutions\Ecopetrol Prometeo - Documents\Planning Space Implementation\3. Analysis &amp; Design\Design\FC22\DRR Jaime\Por presentar a ECP\Cantagallo\Cristalina\[CRISTALINA_CF_SEC_New_09-Feb-2024.xlsx]D-PRB'!$CB$22</t>
  </si>
  <si>
    <t>='C:\Users\jaime.benazar\Quorum Business Solutions\Ecopetrol Prometeo - Documents\Planning Space Implementation\3. Analysis &amp; Design\Design\FC22\DRR Jaime\Por presentar a ECP\Cantagallo\Cristalina\[CRISTALINA_CF_SEC_New_09-Feb-2024.xlsx]D-PRB'!$CB$23</t>
  </si>
  <si>
    <t>='C:\Users\jaime.benazar\Quorum Business Solutions\Ecopetrol Prometeo - Documents\Planning Space Implementation\3. Analysis &amp; Design\Design\FC22\DRR Jaime\Por presentar a ECP\Cantagallo\Cristalina\[CRISTALINA_CF_SEC_New_09-Feb-2024.xlsx]D-PRB'!$CB$24</t>
  </si>
  <si>
    <t>='C:\Users\jaime.benazar\Quorum Business Solutions\Ecopetrol Prometeo - Documents\Planning Space Implementation\3. Analysis &amp; Design\Design\FC22\DRR Jaime\Por presentar a ECP\Cantagallo\Cristalina\[CRISTALINA_CF_SEC_New_09-Feb-2024.xlsx]D-PRB'!$CB$25</t>
  </si>
  <si>
    <t>='C:\Users\jaime.benazar\Quorum Business Solutions\Ecopetrol Prometeo - Documents\Planning Space Implementation\3. Analysis &amp; Design\Design\FC22\DRR Jaime\Por presentar a ECP\Cantagallo\Cristalina\[CRISTALINA_CF_SEC_New_09-Feb-2024.xlsx]D-PRB'!$CB$26</t>
  </si>
  <si>
    <t>='C:\Users\jaime.benazar\Quorum Business Solutions\Ecopetrol Prometeo - Documents\Planning Space Implementation\3. Analysis &amp; Design\Design\FC22\DRR Jaime\Por presentar a ECP\Cantagallo\Cristalina\[CRISTALINA_CF_SEC_New_09-Feb-2024.xlsx]D-PRB'!$CB$27</t>
  </si>
  <si>
    <t>='C:\Users\jaime.benazar\Quorum Business Solutions\Ecopetrol Prometeo - Documents\Planning Space Implementation\3. Analysis &amp; Design\Design\FC22\DRR Jaime\Por presentar a ECP\Cantagallo\Cristalina\[CRISTALINA_CF_SEC_New_09-Feb-2024.xlsx]D-PRB'!$CB$28</t>
  </si>
  <si>
    <t>='C:\Users\jaime.benazar\Quorum Business Solutions\Ecopetrol Prometeo - Documents\Planning Space Implementation\3. Analysis &amp; Design\Design\FC22\DRR Jaime\Por presentar a ECP\Cantagallo\Cristalina\[CRISTALINA_CF_SEC_New_09-Feb-2024.xlsx]D-PRB'!$CB$29</t>
  </si>
  <si>
    <t>='C:\Users\jaime.benazar\Quorum Business Solutions\Ecopetrol Prometeo - Documents\Planning Space Implementation\3. Analysis &amp; Design\Design\FC22\DRR Jaime\Por presentar a ECP\Cantagallo\Cristalina\[CRISTALINA_CF_SEC_New_09-Feb-2024.xlsx]D-PRB'!$CB$30</t>
  </si>
  <si>
    <t>='C:\Users\jaime.benazar\Quorum Business Solutions\Ecopetrol Prometeo - Documents\Planning Space Implementation\3. Analysis &amp; Design\Design\FC22\DRR Jaime\Por presentar a ECP\Cantagallo\Cristalina\[CRISTALINA_CF_SEC_New_09-Feb-2024.xlsx]D-PRB'!$CB$31</t>
  </si>
  <si>
    <t>='C:\Users\jaime.benazar\Quorum Business Solutions\Ecopetrol Prometeo - Documents\Planning Space Implementation\3. Analysis &amp; Design\Design\FC22\DRR Jaime\Por presentar a ECP\Cantagallo\Cristalina\[CRISTALINA_CF_SEC_New_09-Feb-2024.xlsx]D-PRB'!$CB$32</t>
  </si>
  <si>
    <t>='C:\Users\jaime.benazar\Quorum Business Solutions\Ecopetrol Prometeo - Documents\Planning Space Implementation\3. Analysis &amp; Design\Design\FC22\DRR Jaime\Por presentar a ECP\Cantagallo\Cristalina\[CRISTALINA_CF_SEC_New_09-Feb-2024.xlsx]D-PRB'!$CB$33</t>
  </si>
  <si>
    <t>='C:\Users\jaime.benazar\Quorum Business Solutions\Ecopetrol Prometeo - Documents\Planning Space Implementation\3. Analysis &amp; Design\Design\FC22\DRR Jaime\Por presentar a ECP\Cantagallo\Cristalina\[CRISTALINA_CF_SEC_New_09-Feb-2024.xlsx]D-PRB'!$CB$34</t>
  </si>
  <si>
    <t>='C:\Users\jaime.benazar\Quorum Business Solutions\Ecopetrol Prometeo - Documents\Planning Space Implementation\3. Analysis &amp; Design\Design\FC22\DRR Jaime\Por presentar a ECP\Cantagallo\Cristalina\[CRISTALINA_CF_SEC_New_09-Feb-2024.xlsx]D-PRB'!$CB$35</t>
  </si>
  <si>
    <t>='C:\Users\jaime.benazar\Quorum Business Solutions\Ecopetrol Prometeo - Documents\Planning Space Implementation\3. Analysis &amp; Design\Design\FC22\DRR Jaime\Por presentar a ECP\Cantagallo\Cristalina\[CRISTALINA_CF_SEC_New_09-Feb-2024.xlsx]D-PRB'!$CB$36</t>
  </si>
  <si>
    <t>='C:\Users\jaime.benazar\Quorum Business Solutions\Ecopetrol Prometeo - Documents\Planning Space Implementation\3. Analysis &amp; Design\Design\FC22\DRR Jaime\Por presentar a ECP\Cantagallo\Cristalina\[CRISTALINA_CF_SEC_New_09-Feb-2024.xlsx]D-PRB'!$CB$37</t>
  </si>
  <si>
    <t>='C:\Users\jaime.benazar\Quorum Business Solutions\Ecopetrol Prometeo - Documents\Planning Space Implementation\3. Analysis &amp; Design\Design\FC22\DRR Jaime\Por presentar a ECP\Cantagallo\Cristalina\[CRISTALINA_CF_SEC_New_09-Feb-2024.xlsx]D-PRB'!$CB$38</t>
  </si>
  <si>
    <t>='C:\Users\jaime.benazar\Quorum Business Solutions\Ecopetrol Prometeo - Documents\Planning Space Implementation\3. Analysis &amp; Design\Design\FC22\DRR Jaime\Por presentar a ECP\Cantagallo\Cristalina\[CRISTALINA_CF_SEC_New_09-Feb-2024.xlsx]D-PRB'!$CB$39</t>
  </si>
  <si>
    <t>='C:\Users\jaime.benazar\Quorum Business Solutions\Ecopetrol Prometeo - Documents\Planning Space Implementation\3. Analysis &amp; Design\Design\FC22\DRR Jaime\Por presentar a ECP\Cantagallo\Cristalina\[CRISTALINA_CF_SEC_New_09-Feb-2024.xlsx]D-PRB'!$CB$40</t>
  </si>
  <si>
    <t>='C:\Users\jaime.benazar\Quorum Business Solutions\Ecopetrol Prometeo - Documents\Planning Space Implementation\3. Analysis &amp; Design\Design\FC22\DRR Jaime\Por presentar a ECP\Cantagallo\Cristalina\[CRISTALINA_CF_SEC_New_09-Feb-2024.xlsx]D-PRB'!$CB$41</t>
  </si>
  <si>
    <t>='C:\Users\jaime.benazar\Quorum Business Solutions\Ecopetrol Prometeo - Documents\Planning Space Implementation\3. Analysis &amp; Design\Design\FC22\DRR Jaime\Por presentar a ECP\Cantagallo\Cristalina\[CRISTALINA_CF_SEC_New_09-Feb-2024.xlsx]D-PRB'!$CB$42</t>
  </si>
  <si>
    <t>='C:\Users\jaime.benazar\Quorum Business Solutions\Ecopetrol Prometeo - Documents\Planning Space Implementation\3. Analysis &amp; Design\Design\FC22\DRR Jaime\Por presentar a ECP\Cantagallo\Cristalina\[CRISTALINA_CF_SEC_New_09-Feb-2024.xlsx]D-PRB'!$CB$43</t>
  </si>
  <si>
    <t>='C:\Users\jaime.benazar\Quorum Business Solutions\Ecopetrol Prometeo - Documents\Planning Space Implementation\3. Analysis &amp; Design\Design\FC22\DRR Jaime\Por presentar a ECP\Cantagallo\Cristalina\[CRISTALINA_CF_SEC_New_09-Feb-2024.xlsx]D-PRB'!$CB$44</t>
  </si>
  <si>
    <t>='C:\Users\jaime.benazar\Quorum Business Solutions\Ecopetrol Prometeo - Documents\Planning Space Implementation\3. Analysis &amp; Design\Design\FC22\DRR Jaime\Por presentar a ECP\Cantagallo\Cristalina\[CRISTALINA_CF_SEC_New_09-Feb-2024.xlsx]D-PRB'!$CB$45</t>
  </si>
  <si>
    <t>='C:\Users\jaime.benazar\Quorum Business Solutions\Ecopetrol Prometeo - Documents\Planning Space Implementation\3. Analysis &amp; Design\Design\FC22\DRR Jaime\Por presentar a ECP\Cantagallo\Cristalina\[CRISTALINA_CF_SEC_New_09-Feb-2024.xlsx]D-PRB'!$CB$46</t>
  </si>
  <si>
    <t>='C:\Users\jaime.benazar\Quorum Business Solutions\Ecopetrol Prometeo - Documents\Planning Space Implementation\3. Analysis &amp; Design\Design\FC22\DRR Jaime\Por presentar a ECP\Cantagallo\Cristalina\[CRISTALINA_CF_SEC_New_09-Feb-2024.xlsx]D-PRB'!$CB$47</t>
  </si>
  <si>
    <t>='C:\Users\jaime.benazar\Quorum Business Solutions\Ecopetrol Prometeo - Documents\Planning Space Implementation\3. Analysis &amp; Design\Design\FC22\DRR Jaime\Por presentar a ECP\Cantagallo\Cristalina\[CRISTALINA_CF_SEC_New_09-Feb-2024.xlsx]D-PRB'!$CB$48</t>
  </si>
  <si>
    <t>='C:\Users\jaime.benazar\Quorum Business Solutions\Ecopetrol Prometeo - Documents\Planning Space Implementation\3. Analysis &amp; Design\Design\FC22\DRR Jaime\Por presentar a ECP\Cantagallo\Cristalina\[CRISTALINA_CF_SEC_New_09-Feb-2024.xlsx]D-PS'!$CB$12</t>
  </si>
  <si>
    <t>='C:\Users\jaime.benazar\Quorum Business Solutions\Ecopetrol Prometeo - Documents\Planning Space Implementation\3. Analysis &amp; Design\Design\FC22\DRR Jaime\Por presentar a ECP\Cantagallo\Cristalina\[CRISTALINA_CF_SEC_New_09-Feb-2024.xlsx]D-PS'!$CB$13</t>
  </si>
  <si>
    <t>='C:\Users\jaime.benazar\Quorum Business Solutions\Ecopetrol Prometeo - Documents\Planning Space Implementation\3. Analysis &amp; Design\Design\FC22\DRR Jaime\Por presentar a ECP\Cantagallo\Cristalina\[CRISTALINA_CF_SEC_New_09-Feb-2024.xlsx]D-PS'!$CB$14</t>
  </si>
  <si>
    <t>='C:\Users\jaime.benazar\Quorum Business Solutions\Ecopetrol Prometeo - Documents\Planning Space Implementation\3. Analysis &amp; Design\Design\FC22\DRR Jaime\Por presentar a ECP\Cantagallo\Cristalina\[CRISTALINA_CF_SEC_New_09-Feb-2024.xlsx]D-PS'!$CB$15</t>
  </si>
  <si>
    <t>='C:\Users\jaime.benazar\Quorum Business Solutions\Ecopetrol Prometeo - Documents\Planning Space Implementation\3. Analysis &amp; Design\Design\FC22\DRR Jaime\Por presentar a ECP\Cantagallo\Cristalina\[CRISTALINA_CF_SEC_New_09-Feb-2024.xlsx]D-PS'!$CB$16</t>
  </si>
  <si>
    <t>='C:\Users\jaime.benazar\Quorum Business Solutions\Ecopetrol Prometeo - Documents\Planning Space Implementation\3. Analysis &amp; Design\Design\FC22\DRR Jaime\Por presentar a ECP\Cantagallo\Cristalina\[CRISTALINA_CF_SEC_New_09-Feb-2024.xlsx]D-PS'!$CB$17</t>
  </si>
  <si>
    <t>='C:\Users\jaime.benazar\Quorum Business Solutions\Ecopetrol Prometeo - Documents\Planning Space Implementation\3. Analysis &amp; Design\Design\FC22\DRR Jaime\Por presentar a ECP\Cantagallo\Cristalina\[CRISTALINA_CF_SEC_New_09-Feb-2024.xlsx]D-PS'!$CB$18</t>
  </si>
  <si>
    <t>='C:\Users\jaime.benazar\Quorum Business Solutions\Ecopetrol Prometeo - Documents\Planning Space Implementation\3. Analysis &amp; Design\Design\FC22\DRR Jaime\Por presentar a ECP\Cantagallo\Cristalina\[CRISTALINA_CF_SEC_New_09-Feb-2024.xlsx]D-PS'!$CB$19</t>
  </si>
  <si>
    <t>='C:\Users\jaime.benazar\Quorum Business Solutions\Ecopetrol Prometeo - Documents\Planning Space Implementation\3. Analysis &amp; Design\Design\FC22\DRR Jaime\Por presentar a ECP\Cantagallo\Cristalina\[CRISTALINA_CF_SEC_New_09-Feb-2024.xlsx]D-PS'!$CB$20</t>
  </si>
  <si>
    <t>='C:\Users\jaime.benazar\Quorum Business Solutions\Ecopetrol Prometeo - Documents\Planning Space Implementation\3. Analysis &amp; Design\Design\FC22\DRR Jaime\Por presentar a ECP\Cantagallo\Cristalina\[CRISTALINA_CF_SEC_New_09-Feb-2024.xlsx]D-PS'!$CB$21</t>
  </si>
  <si>
    <t>='C:\Users\jaime.benazar\Quorum Business Solutions\Ecopetrol Prometeo - Documents\Planning Space Implementation\3. Analysis &amp; Design\Design\FC22\DRR Jaime\Por presentar a ECP\Cantagallo\Cristalina\[CRISTALINA_CF_SEC_New_09-Feb-2024.xlsx]D-PS'!$CB$22</t>
  </si>
  <si>
    <t>='C:\Users\jaime.benazar\Quorum Business Solutions\Ecopetrol Prometeo - Documents\Planning Space Implementation\3. Analysis &amp; Design\Design\FC22\DRR Jaime\Por presentar a ECP\Cantagallo\Cristalina\[CRISTALINA_CF_SEC_New_09-Feb-2024.xlsx]D-PS'!$CB$23</t>
  </si>
  <si>
    <t>='C:\Users\jaime.benazar\Quorum Business Solutions\Ecopetrol Prometeo - Documents\Planning Space Implementation\3. Analysis &amp; Design\Design\FC22\DRR Jaime\Por presentar a ECP\Cantagallo\Cristalina\[CRISTALINA_CF_SEC_New_09-Feb-2024.xlsx]D-PS'!$CB$24</t>
  </si>
  <si>
    <t>='C:\Users\jaime.benazar\Quorum Business Solutions\Ecopetrol Prometeo - Documents\Planning Space Implementation\3. Analysis &amp; Design\Design\FC22\DRR Jaime\Por presentar a ECP\Cantagallo\Cristalina\[CRISTALINA_CF_SEC_New_09-Feb-2024.xlsx]D-PS'!$CB$25</t>
  </si>
  <si>
    <t>='C:\Users\jaime.benazar\Quorum Business Solutions\Ecopetrol Prometeo - Documents\Planning Space Implementation\3. Analysis &amp; Design\Design\FC22\DRR Jaime\Por presentar a ECP\Cantagallo\Cristalina\[CRISTALINA_CF_SEC_New_09-Feb-2024.xlsx]D-PS'!$CB$26</t>
  </si>
  <si>
    <t>='C:\Users\jaime.benazar\Quorum Business Solutions\Ecopetrol Prometeo - Documents\Planning Space Implementation\3. Analysis &amp; Design\Design\FC22\DRR Jaime\Por presentar a ECP\Cantagallo\Cristalina\[CRISTALINA_CF_SEC_New_09-Feb-2024.xlsx]D-PS'!$CB$27</t>
  </si>
  <si>
    <t>='C:\Users\jaime.benazar\Quorum Business Solutions\Ecopetrol Prometeo - Documents\Planning Space Implementation\3. Analysis &amp; Design\Design\FC22\DRR Jaime\Por presentar a ECP\Cantagallo\Cristalina\[CRISTALINA_CF_SEC_New_09-Feb-2024.xlsx]D-PS'!$CB$28</t>
  </si>
  <si>
    <t>='C:\Users\jaime.benazar\Quorum Business Solutions\Ecopetrol Prometeo - Documents\Planning Space Implementation\3. Analysis &amp; Design\Design\FC22\DRR Jaime\Por presentar a ECP\Cantagallo\Cristalina\[CRISTALINA_CF_SEC_New_09-Feb-2024.xlsx]D-PS'!$CB$29</t>
  </si>
  <si>
    <t>='C:\Users\jaime.benazar\Quorum Business Solutions\Ecopetrol Prometeo - Documents\Planning Space Implementation\3. Analysis &amp; Design\Design\FC22\DRR Jaime\Por presentar a ECP\Cantagallo\Cristalina\[CRISTALINA_CF_SEC_New_09-Feb-2024.xlsx]D-PS'!$CB$30</t>
  </si>
  <si>
    <t>='C:\Users\jaime.benazar\Quorum Business Solutions\Ecopetrol Prometeo - Documents\Planning Space Implementation\3. Analysis &amp; Design\Design\FC22\DRR Jaime\Por presentar a ECP\Cantagallo\Cristalina\[CRISTALINA_CF_SEC_New_09-Feb-2024.xlsx]D-PS'!$CB$31</t>
  </si>
  <si>
    <t>='C:\Users\jaime.benazar\Quorum Business Solutions\Ecopetrol Prometeo - Documents\Planning Space Implementation\3. Analysis &amp; Design\Design\FC22\DRR Jaime\Por presentar a ECP\Cantagallo\Cristalina\[CRISTALINA_CF_SEC_New_09-Feb-2024.xlsx]D-PS'!$CB$32</t>
  </si>
  <si>
    <t>='C:\Users\jaime.benazar\Quorum Business Solutions\Ecopetrol Prometeo - Documents\Planning Space Implementation\3. Analysis &amp; Design\Design\FC22\DRR Jaime\Por presentar a ECP\Cantagallo\Cristalina\[CRISTALINA_CF_SEC_New_09-Feb-2024.xlsx]D-PS'!$CB$33</t>
  </si>
  <si>
    <t>='C:\Users\jaime.benazar\Quorum Business Solutions\Ecopetrol Prometeo - Documents\Planning Space Implementation\3. Analysis &amp; Design\Design\FC22\DRR Jaime\Por presentar a ECP\Cantagallo\Cristalina\[CRISTALINA_CF_SEC_New_09-Feb-2024.xlsx]D-PS'!$CB$34</t>
  </si>
  <si>
    <t>='C:\Users\jaime.benazar\Quorum Business Solutions\Ecopetrol Prometeo - Documents\Planning Space Implementation\3. Analysis &amp; Design\Design\FC22\DRR Jaime\Por presentar a ECP\Cantagallo\Cristalina\[CRISTALINA_CF_SEC_New_09-Feb-2024.xlsx]D-PS'!$CB$35</t>
  </si>
  <si>
    <t>='C:\Users\jaime.benazar\Quorum Business Solutions\Ecopetrol Prometeo - Documents\Planning Space Implementation\3. Analysis &amp; Design\Design\FC22\DRR Jaime\Por presentar a ECP\Cantagallo\Cristalina\[CRISTALINA_CF_SEC_New_09-Feb-2024.xlsx]D-PS'!$CB$36</t>
  </si>
  <si>
    <t>='C:\Users\jaime.benazar\Quorum Business Solutions\Ecopetrol Prometeo - Documents\Planning Space Implementation\3. Analysis &amp; Design\Design\FC22\DRR Jaime\Por presentar a ECP\Cantagallo\Cristalina\[CRISTALINA_CF_SEC_New_09-Feb-2024.xlsx]D-PS'!$CB$37</t>
  </si>
  <si>
    <t>='C:\Users\jaime.benazar\Quorum Business Solutions\Ecopetrol Prometeo - Documents\Planning Space Implementation\3. Analysis &amp; Design\Design\FC22\DRR Jaime\Por presentar a ECP\Cantagallo\Cristalina\[CRISTALINA_CF_SEC_New_09-Feb-2024.xlsx]D-PS'!$CB$38</t>
  </si>
  <si>
    <t>='C:\Users\jaime.benazar\Quorum Business Solutions\Ecopetrol Prometeo - Documents\Planning Space Implementation\3. Analysis &amp; Design\Design\FC22\DRR Jaime\Por presentar a ECP\Cantagallo\Cristalina\[CRISTALINA_CF_SEC_New_09-Feb-2024.xlsx]D-PS'!$CB$39</t>
  </si>
  <si>
    <t>='C:\Users\jaime.benazar\Quorum Business Solutions\Ecopetrol Prometeo - Documents\Planning Space Implementation\3. Analysis &amp; Design\Design\FC22\DRR Jaime\Por presentar a ECP\Cantagallo\Cristalina\[CRISTALINA_CF_SEC_New_09-Feb-2024.xlsx]D-PS'!$CB$40</t>
  </si>
  <si>
    <t>='C:\Users\jaime.benazar\Quorum Business Solutions\Ecopetrol Prometeo - Documents\Planning Space Implementation\3. Analysis &amp; Design\Design\FC22\DRR Jaime\Por presentar a ECP\Cantagallo\Cristalina\[CRISTALINA_CF_SEC_New_09-Feb-2024.xlsx]D-PS'!$CB$41</t>
  </si>
  <si>
    <t>='C:\Users\jaime.benazar\Quorum Business Solutions\Ecopetrol Prometeo - Documents\Planning Space Implementation\3. Analysis &amp; Design\Design\FC22\DRR Jaime\Por presentar a ECP\Cantagallo\Cristalina\[CRISTALINA_CF_SEC_New_09-Feb-2024.xlsx]D-PS'!$CB$42</t>
  </si>
  <si>
    <t>='C:\Users\jaime.benazar\Quorum Business Solutions\Ecopetrol Prometeo - Documents\Planning Space Implementation\3. Analysis &amp; Design\Design\FC22\DRR Jaime\Por presentar a ECP\Cantagallo\Cristalina\[CRISTALINA_CF_SEC_New_09-Feb-2024.xlsx]D-PS'!$CB$43</t>
  </si>
  <si>
    <t>='C:\Users\jaime.benazar\Quorum Business Solutions\Ecopetrol Prometeo - Documents\Planning Space Implementation\3. Analysis &amp; Design\Design\FC22\DRR Jaime\Por presentar a ECP\Cantagallo\Cristalina\[CRISTALINA_CF_SEC_New_09-Feb-2024.xlsx]D-PS'!$CB$44</t>
  </si>
  <si>
    <t>='C:\Users\jaime.benazar\Quorum Business Solutions\Ecopetrol Prometeo - Documents\Planning Space Implementation\3. Analysis &amp; Design\Design\FC22\DRR Jaime\Por presentar a ECP\Cantagallo\Cristalina\[CRISTALINA_CF_SEC_New_09-Feb-2024.xlsx]D-PS'!$CB$45</t>
  </si>
  <si>
    <t>='C:\Users\jaime.benazar\Quorum Business Solutions\Ecopetrol Prometeo - Documents\Planning Space Implementation\3. Analysis &amp; Design\Design\FC22\DRR Jaime\Por presentar a ECP\Cantagallo\Cristalina\[CRISTALINA_CF_SEC_New_09-Feb-2024.xlsx]D-PS'!$CB$46</t>
  </si>
  <si>
    <t>='C:\Users\jaime.benazar\Quorum Business Solutions\Ecopetrol Prometeo - Documents\Planning Space Implementation\3. Analysis &amp; Design\Design\FC22\DRR Jaime\Por presentar a ECP\Cantagallo\Cristalina\[CRISTALINA_CF_SEC_New_09-Feb-2024.xlsx]D-PS'!$CB$47</t>
  </si>
  <si>
    <t>='C:\Users\jaime.benazar\Quorum Business Solutions\Ecopetrol Prometeo - Documents\Planning Space Implementation\3. Analysis &amp; Design\Design\FC22\DRR Jaime\Por presentar a ECP\Cantagallo\Cristalina\[CRISTALINA_CF_SEC_New_09-Feb-2024.xlsx]D-PS'!$CB$48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</si>
  <si>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ECP\Cantagallo\Cristalina\[CRISTALINA_CF_SEC_New_09-Feb-2024.xlsx]Consolidado'!$J$12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</si>
  <si>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ECP\Cantagallo\Cristalina\[CRISTALINA_CF_SEC_New_09-Feb-2024.xlsx]Consolidado'!$J$13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</si>
  <si>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ECP\Cantagallo\Cristalina\[CRISTALINA_CF_SEC_New_09-Feb-2024.xlsx]Consolidado'!$J$14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</si>
  <si>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ECP\Cantagallo\Cristalina\[CRISTALINA_CF_SEC_New_09-Feb-2024.xlsx]Consolidado'!$J$17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</si>
  <si>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ECP\Cantagallo\Cristalina\[CRISTALINA_CF_SEC_New_09-Feb-2024.xlsx]Consolidado'!$J$18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</si>
  <si>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ECP\Cantagallo\Cristalina\[CRISTALINA_CF_SEC_New_09-Feb-2024.xlsx]Consolidado'!$J$19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</si>
  <si>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ECP\Cantagallo\Cristalina\[CRISTALINA_CF_SEC_New_09-Feb-2024.xlsx]Consolidado'!$J$20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</si>
  <si>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ECP\Cantagallo\Cristalina\[CRISTALINA_CF_SEC_New_09-Feb-2024.xlsx]Consolidado'!$J$22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</si>
  <si>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ECP\Cantagallo\Cristalina\[CRISTALINA_CF_SEC_New_09-Feb-2024.xlsx]Consolidado'!$J$23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</si>
  <si>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ECP\Cantagallo\Cristalina\[CRISTALINA_CF_SEC_New_09-Feb-2024.xlsx]Consolidado'!$J$24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</si>
  <si>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ECP\Cantagallo\Cristalina\[CRISTALINA_CF_SEC_New_09-Feb-2024.xlsx]Consolidado'!$J$25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</si>
  <si>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ECP\Cantagallo\Cristalina\[CRISTALINA_CF_SEC_New_09-Feb-2024.xlsx]Consolidado'!$L$26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</si>
  <si>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ECP\Cantagallo\Cristalina\[CRISTALINA_CF_SEC_New_09-Feb-2024.xlsx]Consolidado'!$L$27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</si>
  <si>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ECP\Cantagallo\Cristalina\[CRISTALINA_CF_SEC_New_09-Feb-2024.xlsx]Consolidado'!$L$14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</si>
  <si>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ECP\Cantagallo\Cristalina\[CRISTALINA_CF_SEC_New_09-Feb-2024.xlsx]Consolidado'!$L$17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</si>
  <si>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ECP\Cantagallo\Cristalina\[CRISTALINA_CF_SEC_New_09-Feb-2024.xlsx]Consolidado'!$L$18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</si>
  <si>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ECP\Cantagallo\Cristalina\[CRISTALINA_CF_SEC_New_09-Feb-2024.xlsx]Consolidado'!$L$19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</si>
  <si>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ECP\Cantagallo\Cristalina\[CRISTALINA_CF_SEC_New_09-Feb-2024.xlsx]Consolidado'!$L$20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</si>
  <si>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ECP\Cantagallo\Cristalina\[CRISTALINA_CF_SEC_New_09-Feb-2024.xlsx]Consolidado'!$L$22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</si>
  <si>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ECP\Cantagallo\Cristalina\[CRISTALINA_CF_SEC_New_09-Feb-2024.xlsx]Consolidado'!$L$23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</si>
  <si>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ECP\Cantagallo\Cristalina\[CRISTALINA_CF_SEC_New_09-Feb-2024.xlsx]Consolidado'!$L$24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</si>
  <si>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ECP\Cantagallo\Cristalina\[CRISTALINA_CF_SEC_New_09-Feb-2024.xlsx]Consolidado'!$L$25</t>
  </si>
  <si>
    <t>C:\Users\jaime.benazar\Quorum Business Solutions\Ecopetrol Prometeo - Documents\Planning Space Implementation\3. Analysis &amp; Design\Design\FC22\DRR Jaime\Por presentar a ECP\Cantagallo\Cristalina\VRC_CRISTALINA_CF_SEC_20221231.xlsx</t>
  </si>
  <si>
    <t>C:\Users\jaime.benazar\Quorum Business Solutions\Ecopetrol Prometeo - Documents\Planning Space Implementation\3. Analysis &amp; Design\Design\FC22\DRR Jaime\Por presentar a ECP\Cantagallo\Cristalina\[VRC_CRISTALINA_CF_SEC_20221231.xlsx]</t>
  </si>
  <si>
    <t>C:\Users\jaime.benazar\Quorum Business Solutions\Ecopetrol Prometeo - Documents\Planning Space Implementation\3. Analysis &amp; Design\Design\FC22\DRR Jaime\Por presentar a ECP\Cantagallo\Cristalina\[VRC_CRISTALINA_CF_SEC_20221231.xlsx]CF</t>
  </si>
  <si>
    <t>='C:\Users\jaime.benazar\Quorum Business Solutions\Ecopetrol Prometeo - Documents\Planning Space Implementation\3. Analysis &amp; Design\Design\FC22\DRR Jaime\Por presentar a ECP\Cantagallo\Cristalina\[VRC_CRISTALINA_CF_SEC_20221231.xlsx]CF PDP'!$AY$36</t>
  </si>
  <si>
    <t>='C:\Users\jaime.benazar\Quorum Business Solutions\Ecopetrol Prometeo - Documents\Planning Space Implementation\3. Analysis &amp; Design\Design\FC22\DRR Jaime\Por presentar a ECP\Cantagallo\Cristalina\[VRC_CRISTALINA_CF_SEC_20221231.xlsx]CF PDP'!$AY$37</t>
  </si>
  <si>
    <t>='C:\Users\jaime.benazar\Quorum Business Solutions\Ecopetrol Prometeo - Documents\Planning Space Implementation\3. Analysis &amp; Design\Design\FC22\DRR Jaime\Por presentar a ECP\Cantagallo\Cristalina\[VRC_CRISTALINA_CF_SEC_20221231.xlsx]CF PDP'!$AY$38</t>
  </si>
  <si>
    <t>='C:\Users\jaime.benazar\Quorum Business Solutions\Ecopetrol Prometeo - Documents\Planning Space Implementation\3. Analysis &amp; Design\Design\FC22\DRR Jaime\Por presentar a ECP\Cantagallo\Cristalina\[VRC_CRISTALINA_CF_SEC_20221231.xlsx]CF PDP'!$AY$39</t>
  </si>
  <si>
    <t>='C:\Users\jaime.benazar\Quorum Business Solutions\Ecopetrol Prometeo - Documents\Planning Space Implementation\3. Analysis &amp; Design\Design\FC22\DRR Jaime\Por presentar a ECP\Cantagallo\Cristalina\[VRC_CRISTALINA_CF_SEC_20221231.xlsx]CF PDP'!$AY$40</t>
  </si>
  <si>
    <t>='C:\Users\jaime.benazar\Quorum Business Solutions\Ecopetrol Prometeo - Documents\Planning Space Implementation\3. Analysis &amp; Design\Design\FC22\DRR Jaime\Por presentar a ECP\Cantagallo\Cristalina\[VRC_CRISTALINA_CF_SEC_20221231.xlsx]CF PDP'!$AY$41</t>
  </si>
  <si>
    <t>='C:\Users\jaime.benazar\Quorum Business Solutions\Ecopetrol Prometeo - Documents\Planning Space Implementation\3. Analysis &amp; Design\Design\FC22\DRR Jaime\Por presentar a ECP\Cantagallo\Cristalina\[VRC_CRISTALINA_CF_SEC_20221231.xlsx]CF PDP'!$AY$42</t>
  </si>
  <si>
    <t>='C:\Users\jaime.benazar\Quorum Business Solutions\Ecopetrol Prometeo - Documents\Planning Space Implementation\3. Analysis &amp; Design\Design\FC22\DRR Jaime\Por presentar a ECP\Cantagallo\Cristalina\[VRC_CRISTALINA_CF_SEC_20221231.xlsx]CF PDP'!$AY$43</t>
  </si>
  <si>
    <t>='C:\Users\jaime.benazar\Quorum Business Solutions\Ecopetrol Prometeo - Documents\Planning Space Implementation\3. Analysis &amp; Design\Design\FC22\DRR Jaime\Por presentar a ECP\Cantagallo\Cristalina\[VRC_CRISTALINA_CF_SEC_20221231.xlsx]CF PDP'!$AY$44</t>
  </si>
  <si>
    <t>='C:\Users\jaime.benazar\Quorum Business Solutions\Ecopetrol Prometeo - Documents\Planning Space Implementation\3. Analysis &amp; Design\Design\FC22\DRR Jaime\Por presentar a ECP\Cantagallo\Cristalina\[VRC_CRISTALINA_CF_SEC_20221231.xlsx]CF PDP'!$AY$45</t>
  </si>
  <si>
    <t>='C:\Users\jaime.benazar\Quorum Business Solutions\Ecopetrol Prometeo - Documents\Planning Space Implementation\3. Analysis &amp; Design\Design\FC22\DRR Jaime\Por presentar a ECP\Cantagallo\Cristalina\[VRC_CRISTALINA_CF_SEC_20221231.xlsx]CF PDP'!$AY$46</t>
  </si>
  <si>
    <t>='C:\Users\jaime.benazar\Quorum Business Solutions\Ecopetrol Prometeo - Documents\Planning Space Implementation\3. Analysis &amp; Design\Design\FC22\DRR Jaime\Por presentar a ECP\Cantagallo\Cristalina\[VRC_CRISTALINA_CF_SEC_20221231.xlsx]CF PDP'!$AY$47</t>
  </si>
  <si>
    <t>='C:\Users\jaime.benazar\Quorum Business Solutions\Ecopetrol Prometeo - Documents\Planning Space Implementation\3. Analysis &amp; Design\Design\FC22\DRR Jaime\Por presentar a ECP\Cantagallo\Cristalina\[VRC_CRISTALINA_CF_SEC_20221231.xlsx]CF PDP'!$AY$48</t>
  </si>
  <si>
    <t>='C:\Users\jaime.benazar\Quorum Business Solutions\Ecopetrol Prometeo - Documents\Planning Space Implementation\3. Analysis &amp; Design\Design\FC22\DRR Jaime\Por presentar a ECP\Cantagallo\Cristalina\[VRC_CRISTALINA_CF_SEC_20221231.xlsx]CF PDP'!$AY$49</t>
  </si>
  <si>
    <t>='C:\Users\jaime.benazar\Quorum Business Solutions\Ecopetrol Prometeo - Documents\Planning Space Implementation\3. Analysis &amp; Design\Design\FC22\DRR Jaime\Por presentar a ECP\Cantagallo\Cristalina\[VRC_CRISTALINA_CF_SEC_20221231.xlsx]CF PDP'!$AY$50</t>
  </si>
  <si>
    <t>='C:\Users\jaime.benazar\Quorum Business Solutions\Ecopetrol Prometeo - Documents\Planning Space Implementation\3. Analysis &amp; Design\Design\FC22\DRR Jaime\Por presentar a ECP\Cantagallo\Cristalina\[VRC_CRISTALINA_CF_SEC_20221231.xlsx]CF PDP'!$AY$51</t>
  </si>
  <si>
    <t>='C:\Users\jaime.benazar\Quorum Business Solutions\Ecopetrol Prometeo - Documents\Planning Space Implementation\3. Analysis &amp; Design\Design\FC22\DRR Jaime\Por presentar a ECP\Cantagallo\Cristalina\[VRC_CRISTALINA_CF_SEC_20221231.xlsx]CF PDP'!$AY$52</t>
  </si>
  <si>
    <t>='C:\Users\jaime.benazar\Quorum Business Solutions\Ecopetrol Prometeo - Documents\Planning Space Implementation\3. Analysis &amp; Design\Design\FC22\DRR Jaime\Por presentar a ECP\Cantagallo\Cristalina\[VRC_CRISTALINA_CF_SEC_20221231.xlsx]CF PDP'!$AY$53</t>
  </si>
  <si>
    <t>='C:\Users\jaime.benazar\Quorum Business Solutions\Ecopetrol Prometeo - Documents\Planning Space Implementation\3. Analysis &amp; Design\Design\FC22\DRR Jaime\Por presentar a ECP\Cantagallo\Cristalina\[VRC_CRISTALINA_CF_SEC_20221231.xlsx]CF PDP'!$AY$54</t>
  </si>
  <si>
    <t>='C:\Users\jaime.benazar\Quorum Business Solutions\Ecopetrol Prometeo - Documents\Planning Space Implementation\3. Analysis &amp; Design\Design\FC22\DRR Jaime\Por presentar a ECP\Cantagallo\Cristalina\[VRC_CRISTALINA_CF_SEC_20221231.xlsx]CF PDP'!$AY$55</t>
  </si>
  <si>
    <t>='C:\Users\jaime.benazar\Quorum Business Solutions\Ecopetrol Prometeo - Documents\Planning Space Implementation\3. Analysis &amp; Design\Design\FC22\DRR Jaime\Por presentar a ECP\Cantagallo\Cristalina\[VRC_CRISTALINA_CF_SEC_20221231.xlsx]CF PDP'!$AY$56</t>
  </si>
  <si>
    <t>='C:\Users\jaime.benazar\Quorum Business Solutions\Ecopetrol Prometeo - Documents\Planning Space Implementation\3. Analysis &amp; Design\Design\FC22\DRR Jaime\Por presentar a ECP\Cantagallo\Cristalina\[VRC_CRISTALINA_CF_SEC_20221231.xlsx]CF PDP'!$AY$57</t>
  </si>
  <si>
    <t>='C:\Users\jaime.benazar\Quorum Business Solutions\Ecopetrol Prometeo - Documents\Planning Space Implementation\3. Analysis &amp; Design\Design\FC22\DRR Jaime\Por presentar a ECP\Cantagallo\Cristalina\[VRC_CRISTALINA_CF_SEC_20221231.xlsx]CF PDP'!$AY$58</t>
  </si>
  <si>
    <t>='C:\Users\jaime.benazar\Quorum Business Solutions\Ecopetrol Prometeo - Documents\Planning Space Implementation\3. Analysis &amp; Design\Design\FC22\DRR Jaime\Por presentar a ECP\Cantagallo\Cristalina\[VRC_CRISTALINA_CF_SEC_20221231.xlsx]CF PDP'!$AY$59</t>
  </si>
  <si>
    <t>='C:\Users\jaime.benazar\Quorum Business Solutions\Ecopetrol Prometeo - Documents\Planning Space Implementation\3. Analysis &amp; Design\Design\FC22\DRR Jaime\Por presentar a ECP\Cantagallo\Cristalina\[VRC_CRISTALINA_CF_SEC_20221231.xlsx]CF PDP'!$AY$60</t>
  </si>
  <si>
    <t>='C:\Users\jaime.benazar\Quorum Business Solutions\Ecopetrol Prometeo - Documents\Planning Space Implementation\3. Analysis &amp; Design\Design\FC22\DRR Jaime\Por presentar a ECP\Cantagallo\Cristalina\[VRC_CRISTALINA_CF_SEC_20221231.xlsx]CF PDP'!$AY$61</t>
  </si>
  <si>
    <t>='C:\Users\jaime.benazar\Quorum Business Solutions\Ecopetrol Prometeo - Documents\Planning Space Implementation\3. Analysis &amp; Design\Design\FC22\DRR Jaime\Por presentar a ECP\Cantagallo\Cristalina\[VRC_CRISTALINA_CF_SEC_20221231.xlsx]CF PDP'!$AY$62</t>
  </si>
  <si>
    <t>='C:\Users\jaime.benazar\Quorum Business Solutions\Ecopetrol Prometeo - Documents\Planning Space Implementation\3. Analysis &amp; Design\Design\FC22\DRR Jaime\Por presentar a ECP\Cantagallo\Cristalina\[VRC_CRISTALINA_CF_SEC_20221231.xlsx]CF PDP'!$AY$63</t>
  </si>
  <si>
    <t>='C:\Users\jaime.benazar\Quorum Business Solutions\Ecopetrol Prometeo - Documents\Planning Space Implementation\3. Analysis &amp; Design\Design\FC22\DRR Jaime\Por presentar a ECP\Cantagallo\Cristalina\[VRC_CRISTALINA_CF_SEC_20221231.xlsx]CF PDP'!$AY$64</t>
  </si>
  <si>
    <t>='C:\Users\jaime.benazar\Quorum Business Solutions\Ecopetrol Prometeo - Documents\Planning Space Implementation\3. Analysis &amp; Design\Design\FC22\DRR Jaime\Por presentar a ECP\Cantagallo\Cristalina\[VRC_CRISTALINA_CF_SEC_20221231.xlsx]CF PDP'!$AY$65</t>
  </si>
  <si>
    <t>='C:\Users\jaime.benazar\Quorum Business Solutions\Ecopetrol Prometeo - Documents\Planning Space Implementation\3. Analysis &amp; Design\Design\FC22\DRR Jaime\Por presentar a ECP\Cantagallo\Cristalina\[VRC_CRISTALINA_CF_SEC_20221231.xlsx]CF PDP'!$AY$66</t>
  </si>
  <si>
    <t>='C:\Users\jaime.benazar\Quorum Business Solutions\Ecopetrol Prometeo - Documents\Planning Space Implementation\3. Analysis &amp; Design\Design\FC22\DRR Jaime\Por presentar a ECP\Cantagallo\Cristalina\[VRC_CRISTALINA_CF_SEC_20221231.xlsx]CF PDP'!$AY$67</t>
  </si>
  <si>
    <t>='C:\Users\jaime.benazar\Quorum Business Solutions\Ecopetrol Prometeo - Documents\Planning Space Implementation\3. Analysis &amp; Design\Design\FC22\DRR Jaime\Por presentar a ECP\Cantagallo\Cristalina\[VRC_CRISTALINA_CF_SEC_20221231.xlsx]CF PDP'!$AY$68</t>
  </si>
  <si>
    <t>='C:\Users\jaime.benazar\Quorum Business Solutions\Ecopetrol Prometeo - Documents\Planning Space Implementation\3. Analysis &amp; Design\Design\FC22\DRR Jaime\Por presentar a ECP\Cantagallo\Cristalina\[VRC_CRISTALINA_CF_SEC_20221231.xlsx]CF PDP'!$AY$69</t>
  </si>
  <si>
    <t>='C:\Users\jaime.benazar\Quorum Business Solutions\Ecopetrol Prometeo - Documents\Planning Space Implementation\3. Analysis &amp; Design\Design\FC22\DRR Jaime\Por presentar a ECP\Cantagallo\Cristalina\[VRC_CRISTALINA_CF_SEC_20221231.xlsx]CF PDP'!$AY$70</t>
  </si>
  <si>
    <t>='C:\Users\jaime.benazar\Quorum Business Solutions\Ecopetrol Prometeo - Documents\Planning Space Implementation\3. Analysis &amp; Design\Design\FC22\DRR Jaime\Por presentar a ECP\Cantagallo\Cristalina\[VRC_CRISTALINA_CF_SEC_20221231.xlsx]CF PDP'!$AY$71</t>
  </si>
  <si>
    <t>='C:\Users\jaime.benazar\Quorum Business Solutions\Ecopetrol Prometeo - Documents\Planning Space Implementation\3. Analysis &amp; Design\Design\FC22\DRR Jaime\Por presentar a ECP\Cantagallo\Cristalina\[VRC_CRISTALINA_CF_SEC_20221231.xlsx]CF PDP'!$AY$72</t>
  </si>
  <si>
    <t>='C:\Users\jaime.benazar\Quorum Business Solutions\Ecopetrol Prometeo - Documents\Planning Space Implementation\3. Analysis &amp; Design\Design\FC22\DRR Jaime\Por presentar a ECP\Cantagallo\Cristalina\[VRC_CRISTALINA_CF_SEC_20221231.xlsx]CF PNP'!$AY$36</t>
  </si>
  <si>
    <t>='C:\Users\jaime.benazar\Quorum Business Solutions\Ecopetrol Prometeo - Documents\Planning Space Implementation\3. Analysis &amp; Design\Design\FC22\DRR Jaime\Por presentar a ECP\Cantagallo\Cristalina\[VRC_CRISTALINA_CF_SEC_20221231.xlsx]CF PNP'!$AY$37</t>
  </si>
  <si>
    <t>='C:\Users\jaime.benazar\Quorum Business Solutions\Ecopetrol Prometeo - Documents\Planning Space Implementation\3. Analysis &amp; Design\Design\FC22\DRR Jaime\Por presentar a ECP\Cantagallo\Cristalina\[VRC_CRISTALINA_CF_SEC_20221231.xlsx]CF PNP'!$AY$38</t>
  </si>
  <si>
    <t>='C:\Users\jaime.benazar\Quorum Business Solutions\Ecopetrol Prometeo - Documents\Planning Space Implementation\3. Analysis &amp; Design\Design\FC22\DRR Jaime\Por presentar a ECP\Cantagallo\Cristalina\[VRC_CRISTALINA_CF_SEC_20221231.xlsx]CF PNP'!$AY$39</t>
  </si>
  <si>
    <t>='C:\Users\jaime.benazar\Quorum Business Solutions\Ecopetrol Prometeo - Documents\Planning Space Implementation\3. Analysis &amp; Design\Design\FC22\DRR Jaime\Por presentar a ECP\Cantagallo\Cristalina\[VRC_CRISTALINA_CF_SEC_20221231.xlsx]CF PNP'!$AY$40</t>
  </si>
  <si>
    <t>='C:\Users\jaime.benazar\Quorum Business Solutions\Ecopetrol Prometeo - Documents\Planning Space Implementation\3. Analysis &amp; Design\Design\FC22\DRR Jaime\Por presentar a ECP\Cantagallo\Cristalina\[VRC_CRISTALINA_CF_SEC_20221231.xlsx]CF PNP'!$AY$41</t>
  </si>
  <si>
    <t>='C:\Users\jaime.benazar\Quorum Business Solutions\Ecopetrol Prometeo - Documents\Planning Space Implementation\3. Analysis &amp; Design\Design\FC22\DRR Jaime\Por presentar a ECP\Cantagallo\Cristalina\[VRC_CRISTALINA_CF_SEC_20221231.xlsx]CF PNP'!$AY$42</t>
  </si>
  <si>
    <t>='C:\Users\jaime.benazar\Quorum Business Solutions\Ecopetrol Prometeo - Documents\Planning Space Implementation\3. Analysis &amp; Design\Design\FC22\DRR Jaime\Por presentar a ECP\Cantagallo\Cristalina\[VRC_CRISTALINA_CF_SEC_20221231.xlsx]CF PNP'!$AY$43</t>
  </si>
  <si>
    <t>='C:\Users\jaime.benazar\Quorum Business Solutions\Ecopetrol Prometeo - Documents\Planning Space Implementation\3. Analysis &amp; Design\Design\FC22\DRR Jaime\Por presentar a ECP\Cantagallo\Cristalina\[VRC_CRISTALINA_CF_SEC_20221231.xlsx]CF PNP'!$AY$44</t>
  </si>
  <si>
    <t>='C:\Users\jaime.benazar\Quorum Business Solutions\Ecopetrol Prometeo - Documents\Planning Space Implementation\3. Analysis &amp; Design\Design\FC22\DRR Jaime\Por presentar a ECP\Cantagallo\Cristalina\[VRC_CRISTALINA_CF_SEC_20221231.xlsx]CF PNP'!$AY$45</t>
  </si>
  <si>
    <t>='C:\Users\jaime.benazar\Quorum Business Solutions\Ecopetrol Prometeo - Documents\Planning Space Implementation\3. Analysis &amp; Design\Design\FC22\DRR Jaime\Por presentar a ECP\Cantagallo\Cristalina\[VRC_CRISTALINA_CF_SEC_20221231.xlsx]CF PNP'!$AY$46</t>
  </si>
  <si>
    <t>='C:\Users\jaime.benazar\Quorum Business Solutions\Ecopetrol Prometeo - Documents\Planning Space Implementation\3. Analysis &amp; Design\Design\FC22\DRR Jaime\Por presentar a ECP\Cantagallo\Cristalina\[VRC_CRISTALINA_CF_SEC_20221231.xlsx]CF PNP'!$AY$47</t>
  </si>
  <si>
    <t>='C:\Users\jaime.benazar\Quorum Business Solutions\Ecopetrol Prometeo - Documents\Planning Space Implementation\3. Analysis &amp; Design\Design\FC22\DRR Jaime\Por presentar a ECP\Cantagallo\Cristalina\[VRC_CRISTALINA_CF_SEC_20221231.xlsx]CF PNP'!$AY$48</t>
  </si>
  <si>
    <t>='C:\Users\jaime.benazar\Quorum Business Solutions\Ecopetrol Prometeo - Documents\Planning Space Implementation\3. Analysis &amp; Design\Design\FC22\DRR Jaime\Por presentar a ECP\Cantagallo\Cristalina\[VRC_CRISTALINA_CF_SEC_20221231.xlsx]CF PNP'!$AY$49</t>
  </si>
  <si>
    <t>='C:\Users\jaime.benazar\Quorum Business Solutions\Ecopetrol Prometeo - Documents\Planning Space Implementation\3. Analysis &amp; Design\Design\FC22\DRR Jaime\Por presentar a ECP\Cantagallo\Cristalina\[VRC_CRISTALINA_CF_SEC_20221231.xlsx]CF PNP'!$AY$50</t>
  </si>
  <si>
    <t>='C:\Users\jaime.benazar\Quorum Business Solutions\Ecopetrol Prometeo - Documents\Planning Space Implementation\3. Analysis &amp; Design\Design\FC22\DRR Jaime\Por presentar a ECP\Cantagallo\Cristalina\[VRC_CRISTALINA_CF_SEC_20221231.xlsx]CF PNP'!$AY$51</t>
  </si>
  <si>
    <t>='C:\Users\jaime.benazar\Quorum Business Solutions\Ecopetrol Prometeo - Documents\Planning Space Implementation\3. Analysis &amp; Design\Design\FC22\DRR Jaime\Por presentar a ECP\Cantagallo\Cristalina\[VRC_CRISTALINA_CF_SEC_20221231.xlsx]CF PNP'!$AY$52</t>
  </si>
  <si>
    <t>='C:\Users\jaime.benazar\Quorum Business Solutions\Ecopetrol Prometeo - Documents\Planning Space Implementation\3. Analysis &amp; Design\Design\FC22\DRR Jaime\Por presentar a ECP\Cantagallo\Cristalina\[VRC_CRISTALINA_CF_SEC_20221231.xlsx]CF PNP'!$AY$53</t>
  </si>
  <si>
    <t>='C:\Users\jaime.benazar\Quorum Business Solutions\Ecopetrol Prometeo - Documents\Planning Space Implementation\3. Analysis &amp; Design\Design\FC22\DRR Jaime\Por presentar a ECP\Cantagallo\Cristalina\[VRC_CRISTALINA_CF_SEC_20221231.xlsx]CF PNP'!$AY$54</t>
  </si>
  <si>
    <t>='C:\Users\jaime.benazar\Quorum Business Solutions\Ecopetrol Prometeo - Documents\Planning Space Implementation\3. Analysis &amp; Design\Design\FC22\DRR Jaime\Por presentar a ECP\Cantagallo\Cristalina\[VRC_CRISTALINA_CF_SEC_20221231.xlsx]CF PNP'!$AY$55</t>
  </si>
  <si>
    <t>='C:\Users\jaime.benazar\Quorum Business Solutions\Ecopetrol Prometeo - Documents\Planning Space Implementation\3. Analysis &amp; Design\Design\FC22\DRR Jaime\Por presentar a ECP\Cantagallo\Cristalina\[VRC_CRISTALINA_CF_SEC_20221231.xlsx]CF PNP'!$AY$56</t>
  </si>
  <si>
    <t>='C:\Users\jaime.benazar\Quorum Business Solutions\Ecopetrol Prometeo - Documents\Planning Space Implementation\3. Analysis &amp; Design\Design\FC22\DRR Jaime\Por presentar a ECP\Cantagallo\Cristalina\[VRC_CRISTALINA_CF_SEC_20221231.xlsx]CF PNP'!$AY$57</t>
  </si>
  <si>
    <t>='C:\Users\jaime.benazar\Quorum Business Solutions\Ecopetrol Prometeo - Documents\Planning Space Implementation\3. Analysis &amp; Design\Design\FC22\DRR Jaime\Por presentar a ECP\Cantagallo\Cristalina\[VRC_CRISTALINA_CF_SEC_20221231.xlsx]CF PNP'!$AY$58</t>
  </si>
  <si>
    <t>='C:\Users\jaime.benazar\Quorum Business Solutions\Ecopetrol Prometeo - Documents\Planning Space Implementation\3. Analysis &amp; Design\Design\FC22\DRR Jaime\Por presentar a ECP\Cantagallo\Cristalina\[VRC_CRISTALINA_CF_SEC_20221231.xlsx]CF PNP'!$AY$59</t>
  </si>
  <si>
    <t>='C:\Users\jaime.benazar\Quorum Business Solutions\Ecopetrol Prometeo - Documents\Planning Space Implementation\3. Analysis &amp; Design\Design\FC22\DRR Jaime\Por presentar a ECP\Cantagallo\Cristalina\[VRC_CRISTALINA_CF_SEC_20221231.xlsx]CF PNP'!$AY$60</t>
  </si>
  <si>
    <t>='C:\Users\jaime.benazar\Quorum Business Solutions\Ecopetrol Prometeo - Documents\Planning Space Implementation\3. Analysis &amp; Design\Design\FC22\DRR Jaime\Por presentar a ECP\Cantagallo\Cristalina\[VRC_CRISTALINA_CF_SEC_20221231.xlsx]CF PNP'!$AY$61</t>
  </si>
  <si>
    <t>='C:\Users\jaime.benazar\Quorum Business Solutions\Ecopetrol Prometeo - Documents\Planning Space Implementation\3. Analysis &amp; Design\Design\FC22\DRR Jaime\Por presentar a ECP\Cantagallo\Cristalina\[VRC_CRISTALINA_CF_SEC_20221231.xlsx]CF PNP'!$AY$62</t>
  </si>
  <si>
    <t>='C:\Users\jaime.benazar\Quorum Business Solutions\Ecopetrol Prometeo - Documents\Planning Space Implementation\3. Analysis &amp; Design\Design\FC22\DRR Jaime\Por presentar a ECP\Cantagallo\Cristalina\[VRC_CRISTALINA_CF_SEC_20221231.xlsx]CF PNP'!$AY$63</t>
  </si>
  <si>
    <t>='C:\Users\jaime.benazar\Quorum Business Solutions\Ecopetrol Prometeo - Documents\Planning Space Implementation\3. Analysis &amp; Design\Design\FC22\DRR Jaime\Por presentar a ECP\Cantagallo\Cristalina\[VRC_CRISTALINA_CF_SEC_20221231.xlsx]CF PNP'!$AY$64</t>
  </si>
  <si>
    <t>='C:\Users\jaime.benazar\Quorum Business Solutions\Ecopetrol Prometeo - Documents\Planning Space Implementation\3. Analysis &amp; Design\Design\FC22\DRR Jaime\Por presentar a ECP\Cantagallo\Cristalina\[VRC_CRISTALINA_CF_SEC_20221231.xlsx]CF PNP'!$AY$65</t>
  </si>
  <si>
    <t>='C:\Users\jaime.benazar\Quorum Business Solutions\Ecopetrol Prometeo - Documents\Planning Space Implementation\3. Analysis &amp; Design\Design\FC22\DRR Jaime\Por presentar a ECP\Cantagallo\Cristalina\[VRC_CRISTALINA_CF_SEC_20221231.xlsx]CF PNP'!$AY$66</t>
  </si>
  <si>
    <t>='C:\Users\jaime.benazar\Quorum Business Solutions\Ecopetrol Prometeo - Documents\Planning Space Implementation\3. Analysis &amp; Design\Design\FC22\DRR Jaime\Por presentar a ECP\Cantagallo\Cristalina\[VRC_CRISTALINA_CF_SEC_20221231.xlsx]CF PNP'!$AY$67</t>
  </si>
  <si>
    <t>='C:\Users\jaime.benazar\Quorum Business Solutions\Ecopetrol Prometeo - Documents\Planning Space Implementation\3. Analysis &amp; Design\Design\FC22\DRR Jaime\Por presentar a ECP\Cantagallo\Cristalina\[VRC_CRISTALINA_CF_SEC_20221231.xlsx]CF PNP'!$AY$68</t>
  </si>
  <si>
    <t>='C:\Users\jaime.benazar\Quorum Business Solutions\Ecopetrol Prometeo - Documents\Planning Space Implementation\3. Analysis &amp; Design\Design\FC22\DRR Jaime\Por presentar a ECP\Cantagallo\Cristalina\[VRC_CRISTALINA_CF_SEC_20221231.xlsx]CF PNP'!$AY$69</t>
  </si>
  <si>
    <t>='C:\Users\jaime.benazar\Quorum Business Solutions\Ecopetrol Prometeo - Documents\Planning Space Implementation\3. Analysis &amp; Design\Design\FC22\DRR Jaime\Por presentar a ECP\Cantagallo\Cristalina\[VRC_CRISTALINA_CF_SEC_20221231.xlsx]CF PNP'!$AY$70</t>
  </si>
  <si>
    <t>='C:\Users\jaime.benazar\Quorum Business Solutions\Ecopetrol Prometeo - Documents\Planning Space Implementation\3. Analysis &amp; Design\Design\FC22\DRR Jaime\Por presentar a ECP\Cantagallo\Cristalina\[VRC_CRISTALINA_CF_SEC_20221231.xlsx]CF PNP'!$AY$71</t>
  </si>
  <si>
    <t>='C:\Users\jaime.benazar\Quorum Business Solutions\Ecopetrol Prometeo - Documents\Planning Space Implementation\3. Analysis &amp; Design\Design\FC22\DRR Jaime\Por presentar a ECP\Cantagallo\Cristalina\[VRC_CRISTALINA_CF_SEC_20221231.xlsx]CF PNP'!$AY$72</t>
  </si>
  <si>
    <t>='C:\Users\jaime.benazar\Quorum Business Solutions\Ecopetrol Prometeo - Documents\Planning Space Implementation\3. Analysis &amp; Design\Design\FC22\DRR Jaime\Por presentar a ECP\Cantagallo\Cristalina\[VRC_CRISTALINA_CF_SEC_20221231.xlsx]CF PND'!$AY$36</t>
  </si>
  <si>
    <t>='C:\Users\jaime.benazar\Quorum Business Solutions\Ecopetrol Prometeo - Documents\Planning Space Implementation\3. Analysis &amp; Design\Design\FC22\DRR Jaime\Por presentar a ECP\Cantagallo\Cristalina\[VRC_CRISTALINA_CF_SEC_20221231.xlsx]CF PND'!$AY$37</t>
  </si>
  <si>
    <t>='C:\Users\jaime.benazar\Quorum Business Solutions\Ecopetrol Prometeo - Documents\Planning Space Implementation\3. Analysis &amp; Design\Design\FC22\DRR Jaime\Por presentar a ECP\Cantagallo\Cristalina\[VRC_CRISTALINA_CF_SEC_20221231.xlsx]CF PND'!$AY$38</t>
  </si>
  <si>
    <t>='C:\Users\jaime.benazar\Quorum Business Solutions\Ecopetrol Prometeo - Documents\Planning Space Implementation\3. Analysis &amp; Design\Design\FC22\DRR Jaime\Por presentar a ECP\Cantagallo\Cristalina\[VRC_CRISTALINA_CF_SEC_20221231.xlsx]CF PND'!$AY$39</t>
  </si>
  <si>
    <t>='C:\Users\jaime.benazar\Quorum Business Solutions\Ecopetrol Prometeo - Documents\Planning Space Implementation\3. Analysis &amp; Design\Design\FC22\DRR Jaime\Por presentar a ECP\Cantagallo\Cristalina\[VRC_CRISTALINA_CF_SEC_20221231.xlsx]CF PND'!$AY$40</t>
  </si>
  <si>
    <t>='C:\Users\jaime.benazar\Quorum Business Solutions\Ecopetrol Prometeo - Documents\Planning Space Implementation\3. Analysis &amp; Design\Design\FC22\DRR Jaime\Por presentar a ECP\Cantagallo\Cristalina\[VRC_CRISTALINA_CF_SEC_20221231.xlsx]CF PND'!$AY$41</t>
  </si>
  <si>
    <t>='C:\Users\jaime.benazar\Quorum Business Solutions\Ecopetrol Prometeo - Documents\Planning Space Implementation\3. Analysis &amp; Design\Design\FC22\DRR Jaime\Por presentar a ECP\Cantagallo\Cristalina\[VRC_CRISTALINA_CF_SEC_20221231.xlsx]CF PND'!$AY$42</t>
  </si>
  <si>
    <t>='C:\Users\jaime.benazar\Quorum Business Solutions\Ecopetrol Prometeo - Documents\Planning Space Implementation\3. Analysis &amp; Design\Design\FC22\DRR Jaime\Por presentar a ECP\Cantagallo\Cristalina\[VRC_CRISTALINA_CF_SEC_20221231.xlsx]CF PND'!$AY$43</t>
  </si>
  <si>
    <t>='C:\Users\jaime.benazar\Quorum Business Solutions\Ecopetrol Prometeo - Documents\Planning Space Implementation\3. Analysis &amp; Design\Design\FC22\DRR Jaime\Por presentar a ECP\Cantagallo\Cristalina\[VRC_CRISTALINA_CF_SEC_20221231.xlsx]CF PND'!$AY$44</t>
  </si>
  <si>
    <t>='C:\Users\jaime.benazar\Quorum Business Solutions\Ecopetrol Prometeo - Documents\Planning Space Implementation\3. Analysis &amp; Design\Design\FC22\DRR Jaime\Por presentar a ECP\Cantagallo\Cristalina\[VRC_CRISTALINA_CF_SEC_20221231.xlsx]CF PND'!$AY$45</t>
  </si>
  <si>
    <t>='C:\Users\jaime.benazar\Quorum Business Solutions\Ecopetrol Prometeo - Documents\Planning Space Implementation\3. Analysis &amp; Design\Design\FC22\DRR Jaime\Por presentar a ECP\Cantagallo\Cristalina\[VRC_CRISTALINA_CF_SEC_20221231.xlsx]CF PND'!$AY$46</t>
  </si>
  <si>
    <t>='C:\Users\jaime.benazar\Quorum Business Solutions\Ecopetrol Prometeo - Documents\Planning Space Implementation\3. Analysis &amp; Design\Design\FC22\DRR Jaime\Por presentar a ECP\Cantagallo\Cristalina\[VRC_CRISTALINA_CF_SEC_20221231.xlsx]CF PND'!$AY$47</t>
  </si>
  <si>
    <t>='C:\Users\jaime.benazar\Quorum Business Solutions\Ecopetrol Prometeo - Documents\Planning Space Implementation\3. Analysis &amp; Design\Design\FC22\DRR Jaime\Por presentar a ECP\Cantagallo\Cristalina\[VRC_CRISTALINA_CF_SEC_20221231.xlsx]CF PND'!$AY$48</t>
  </si>
  <si>
    <t>='C:\Users\jaime.benazar\Quorum Business Solutions\Ecopetrol Prometeo - Documents\Planning Space Implementation\3. Analysis &amp; Design\Design\FC22\DRR Jaime\Por presentar a ECP\Cantagallo\Cristalina\[VRC_CRISTALINA_CF_SEC_20221231.xlsx]CF PND'!$AY$49</t>
  </si>
  <si>
    <t>='C:\Users\jaime.benazar\Quorum Business Solutions\Ecopetrol Prometeo - Documents\Planning Space Implementation\3. Analysis &amp; Design\Design\FC22\DRR Jaime\Por presentar a ECP\Cantagallo\Cristalina\[VRC_CRISTALINA_CF_SEC_20221231.xlsx]CF PND'!$AY$50</t>
  </si>
  <si>
    <t>='C:\Users\jaime.benazar\Quorum Business Solutions\Ecopetrol Prometeo - Documents\Planning Space Implementation\3. Analysis &amp; Design\Design\FC22\DRR Jaime\Por presentar a ECP\Cantagallo\Cristalina\[VRC_CRISTALINA_CF_SEC_20221231.xlsx]CF PND'!$AY$51</t>
  </si>
  <si>
    <t>='C:\Users\jaime.benazar\Quorum Business Solutions\Ecopetrol Prometeo - Documents\Planning Space Implementation\3. Analysis &amp; Design\Design\FC22\DRR Jaime\Por presentar a ECP\Cantagallo\Cristalina\[VRC_CRISTALINA_CF_SEC_20221231.xlsx]CF PND'!$AY$52</t>
  </si>
  <si>
    <t>='C:\Users\jaime.benazar\Quorum Business Solutions\Ecopetrol Prometeo - Documents\Planning Space Implementation\3. Analysis &amp; Design\Design\FC22\DRR Jaime\Por presentar a ECP\Cantagallo\Cristalina\[VRC_CRISTALINA_CF_SEC_20221231.xlsx]CF PND'!$AY$53</t>
  </si>
  <si>
    <t>='C:\Users\jaime.benazar\Quorum Business Solutions\Ecopetrol Prometeo - Documents\Planning Space Implementation\3. Analysis &amp; Design\Design\FC22\DRR Jaime\Por presentar a ECP\Cantagallo\Cristalina\[VRC_CRISTALINA_CF_SEC_20221231.xlsx]CF PND'!$AY$54</t>
  </si>
  <si>
    <t>='C:\Users\jaime.benazar\Quorum Business Solutions\Ecopetrol Prometeo - Documents\Planning Space Implementation\3. Analysis &amp; Design\Design\FC22\DRR Jaime\Por presentar a ECP\Cantagallo\Cristalina\[VRC_CRISTALINA_CF_SEC_20221231.xlsx]CF PND'!$AY$55</t>
  </si>
  <si>
    <t>='C:\Users\jaime.benazar\Quorum Business Solutions\Ecopetrol Prometeo - Documents\Planning Space Implementation\3. Analysis &amp; Design\Design\FC22\DRR Jaime\Por presentar a ECP\Cantagallo\Cristalina\[VRC_CRISTALINA_CF_SEC_20221231.xlsx]CF PND'!$AY$56</t>
  </si>
  <si>
    <t>='C:\Users\jaime.benazar\Quorum Business Solutions\Ecopetrol Prometeo - Documents\Planning Space Implementation\3. Analysis &amp; Design\Design\FC22\DRR Jaime\Por presentar a ECP\Cantagallo\Cristalina\[VRC_CRISTALINA_CF_SEC_20221231.xlsx]CF PND'!$AY$57</t>
  </si>
  <si>
    <t>='C:\Users\jaime.benazar\Quorum Business Solutions\Ecopetrol Prometeo - Documents\Planning Space Implementation\3. Analysis &amp; Design\Design\FC22\DRR Jaime\Por presentar a ECP\Cantagallo\Cristalina\[VRC_CRISTALINA_CF_SEC_20221231.xlsx]CF PND'!$AY$58</t>
  </si>
  <si>
    <t>='C:\Users\jaime.benazar\Quorum Business Solutions\Ecopetrol Prometeo - Documents\Planning Space Implementation\3. Analysis &amp; Design\Design\FC22\DRR Jaime\Por presentar a ECP\Cantagallo\Cristalina\[VRC_CRISTALINA_CF_SEC_20221231.xlsx]CF PND'!$AY$59</t>
  </si>
  <si>
    <t>='C:\Users\jaime.benazar\Quorum Business Solutions\Ecopetrol Prometeo - Documents\Planning Space Implementation\3. Analysis &amp; Design\Design\FC22\DRR Jaime\Por presentar a ECP\Cantagallo\Cristalina\[VRC_CRISTALINA_CF_SEC_20221231.xlsx]CF PND'!$AY$60</t>
  </si>
  <si>
    <t>='C:\Users\jaime.benazar\Quorum Business Solutions\Ecopetrol Prometeo - Documents\Planning Space Implementation\3. Analysis &amp; Design\Design\FC22\DRR Jaime\Por presentar a ECP\Cantagallo\Cristalina\[VRC_CRISTALINA_CF_SEC_20221231.xlsx]CF PND'!$AY$61</t>
  </si>
  <si>
    <t>='C:\Users\jaime.benazar\Quorum Business Solutions\Ecopetrol Prometeo - Documents\Planning Space Implementation\3. Analysis &amp; Design\Design\FC22\DRR Jaime\Por presentar a ECP\Cantagallo\Cristalina\[VRC_CRISTALINA_CF_SEC_20221231.xlsx]CF PND'!$AY$62</t>
  </si>
  <si>
    <t>='C:\Users\jaime.benazar\Quorum Business Solutions\Ecopetrol Prometeo - Documents\Planning Space Implementation\3. Analysis &amp; Design\Design\FC22\DRR Jaime\Por presentar a ECP\Cantagallo\Cristalina\[VRC_CRISTALINA_CF_SEC_20221231.xlsx]CF PND'!$AY$63</t>
  </si>
  <si>
    <t>='C:\Users\jaime.benazar\Quorum Business Solutions\Ecopetrol Prometeo - Documents\Planning Space Implementation\3. Analysis &amp; Design\Design\FC22\DRR Jaime\Por presentar a ECP\Cantagallo\Cristalina\[VRC_CRISTALINA_CF_SEC_20221231.xlsx]CF PND'!$AY$64</t>
  </si>
  <si>
    <t>='C:\Users\jaime.benazar\Quorum Business Solutions\Ecopetrol Prometeo - Documents\Planning Space Implementation\3. Analysis &amp; Design\Design\FC22\DRR Jaime\Por presentar a ECP\Cantagallo\Cristalina\[VRC_CRISTALINA_CF_SEC_20221231.xlsx]CF PND'!$AY$65</t>
  </si>
  <si>
    <t>='C:\Users\jaime.benazar\Quorum Business Solutions\Ecopetrol Prometeo - Documents\Planning Space Implementation\3. Analysis &amp; Design\Design\FC22\DRR Jaime\Por presentar a ECP\Cantagallo\Cristalina\[VRC_CRISTALINA_CF_SEC_20221231.xlsx]CF PND'!$AY$66</t>
  </si>
  <si>
    <t>='C:\Users\jaime.benazar\Quorum Business Solutions\Ecopetrol Prometeo - Documents\Planning Space Implementation\3. Analysis &amp; Design\Design\FC22\DRR Jaime\Por presentar a ECP\Cantagallo\Cristalina\[VRC_CRISTALINA_CF_SEC_20221231.xlsx]CF PND'!$AY$67</t>
  </si>
  <si>
    <t>='C:\Users\jaime.benazar\Quorum Business Solutions\Ecopetrol Prometeo - Documents\Planning Space Implementation\3. Analysis &amp; Design\Design\FC22\DRR Jaime\Por presentar a ECP\Cantagallo\Cristalina\[VRC_CRISTALINA_CF_SEC_20221231.xlsx]CF PND'!$AY$68</t>
  </si>
  <si>
    <t>='C:\Users\jaime.benazar\Quorum Business Solutions\Ecopetrol Prometeo - Documents\Planning Space Implementation\3. Analysis &amp; Design\Design\FC22\DRR Jaime\Por presentar a ECP\Cantagallo\Cristalina\[VRC_CRISTALINA_CF_SEC_20221231.xlsx]CF PND'!$AY$69</t>
  </si>
  <si>
    <t>='C:\Users\jaime.benazar\Quorum Business Solutions\Ecopetrol Prometeo - Documents\Planning Space Implementation\3. Analysis &amp; Design\Design\FC22\DRR Jaime\Por presentar a ECP\Cantagallo\Cristalina\[VRC_CRISTALINA_CF_SEC_20221231.xlsx]CF PND'!$AY$70</t>
  </si>
  <si>
    <t>='C:\Users\jaime.benazar\Quorum Business Solutions\Ecopetrol Prometeo - Documents\Planning Space Implementation\3. Analysis &amp; Design\Design\FC22\DRR Jaime\Por presentar a ECP\Cantagallo\Cristalina\[VRC_CRISTALINA_CF_SEC_20221231.xlsx]CF PND'!$AY$71</t>
  </si>
  <si>
    <t>='C:\Users\jaime.benazar\Quorum Business Solutions\Ecopetrol Prometeo - Documents\Planning Space Implementation\3. Analysis &amp; Design\Design\FC22\DRR Jaime\Por presentar a ECP\Cantagallo\Cristalina\[VRC_CRISTALINA_CF_SEC_20221231.xlsx]CF PND'!$AY$72</t>
  </si>
  <si>
    <t>='C:\Users\jaime.benazar\Quorum Business Solutions\Ecopetrol Prometeo - Documents\Planning Space Implementation\3. Analysis &amp; Design\Design\FC22\DRR Jaime\Por presentar a ECP\Cantagallo\Cristalina\[VRC_CRISTALINA_CF_SEC_20221231.xlsx]CF PRB'!$AY$36</t>
  </si>
  <si>
    <t>='C:\Users\jaime.benazar\Quorum Business Solutions\Ecopetrol Prometeo - Documents\Planning Space Implementation\3. Analysis &amp; Design\Design\FC22\DRR Jaime\Por presentar a ECP\Cantagallo\Cristalina\[VRC_CRISTALINA_CF_SEC_20221231.xlsx]CF PRB'!$AY$37</t>
  </si>
  <si>
    <t>='C:\Users\jaime.benazar\Quorum Business Solutions\Ecopetrol Prometeo - Documents\Planning Space Implementation\3. Analysis &amp; Design\Design\FC22\DRR Jaime\Por presentar a ECP\Cantagallo\Cristalina\[VRC_CRISTALINA_CF_SEC_20221231.xlsx]CF PRB'!$AY$38</t>
  </si>
  <si>
    <t>='C:\Users\jaime.benazar\Quorum Business Solutions\Ecopetrol Prometeo - Documents\Planning Space Implementation\3. Analysis &amp; Design\Design\FC22\DRR Jaime\Por presentar a ECP\Cantagallo\Cristalina\[VRC_CRISTALINA_CF_SEC_20221231.xlsx]CF PRB'!$AY$39</t>
  </si>
  <si>
    <t>='C:\Users\jaime.benazar\Quorum Business Solutions\Ecopetrol Prometeo - Documents\Planning Space Implementation\3. Analysis &amp; Design\Design\FC22\DRR Jaime\Por presentar a ECP\Cantagallo\Cristalina\[VRC_CRISTALINA_CF_SEC_20221231.xlsx]CF PRB'!$AY$40</t>
  </si>
  <si>
    <t>='C:\Users\jaime.benazar\Quorum Business Solutions\Ecopetrol Prometeo - Documents\Planning Space Implementation\3. Analysis &amp; Design\Design\FC22\DRR Jaime\Por presentar a ECP\Cantagallo\Cristalina\[VRC_CRISTALINA_CF_SEC_20221231.xlsx]CF PRB'!$AY$41</t>
  </si>
  <si>
    <t>='C:\Users\jaime.benazar\Quorum Business Solutions\Ecopetrol Prometeo - Documents\Planning Space Implementation\3. Analysis &amp; Design\Design\FC22\DRR Jaime\Por presentar a ECP\Cantagallo\Cristalina\[VRC_CRISTALINA_CF_SEC_20221231.xlsx]CF PRB'!$AY$42</t>
  </si>
  <si>
    <t>='C:\Users\jaime.benazar\Quorum Business Solutions\Ecopetrol Prometeo - Documents\Planning Space Implementation\3. Analysis &amp; Design\Design\FC22\DRR Jaime\Por presentar a ECP\Cantagallo\Cristalina\[VRC_CRISTALINA_CF_SEC_20221231.xlsx]CF PRB'!$AY$43</t>
  </si>
  <si>
    <t>='C:\Users\jaime.benazar\Quorum Business Solutions\Ecopetrol Prometeo - Documents\Planning Space Implementation\3. Analysis &amp; Design\Design\FC22\DRR Jaime\Por presentar a ECP\Cantagallo\Cristalina\[VRC_CRISTALINA_CF_SEC_20221231.xlsx]CF PRB'!$AY$44</t>
  </si>
  <si>
    <t>='C:\Users\jaime.benazar\Quorum Business Solutions\Ecopetrol Prometeo - Documents\Planning Space Implementation\3. Analysis &amp; Design\Design\FC22\DRR Jaime\Por presentar a ECP\Cantagallo\Cristalina\[VRC_CRISTALINA_CF_SEC_20221231.xlsx]CF PRB'!$AY$45</t>
  </si>
  <si>
    <t>='C:\Users\jaime.benazar\Quorum Business Solutions\Ecopetrol Prometeo - Documents\Planning Space Implementation\3. Analysis &amp; Design\Design\FC22\DRR Jaime\Por presentar a ECP\Cantagallo\Cristalina\[VRC_CRISTALINA_CF_SEC_20221231.xlsx]CF PRB'!$AY$46</t>
  </si>
  <si>
    <t>='C:\Users\jaime.benazar\Quorum Business Solutions\Ecopetrol Prometeo - Documents\Planning Space Implementation\3. Analysis &amp; Design\Design\FC22\DRR Jaime\Por presentar a ECP\Cantagallo\Cristalina\[VRC_CRISTALINA_CF_SEC_20221231.xlsx]CF PRB'!$AY$47</t>
  </si>
  <si>
    <t>='C:\Users\jaime.benazar\Quorum Business Solutions\Ecopetrol Prometeo - Documents\Planning Space Implementation\3. Analysis &amp; Design\Design\FC22\DRR Jaime\Por presentar a ECP\Cantagallo\Cristalina\[VRC_CRISTALINA_CF_SEC_20221231.xlsx]CF PRB'!$AY$48</t>
  </si>
  <si>
    <t>='C:\Users\jaime.benazar\Quorum Business Solutions\Ecopetrol Prometeo - Documents\Planning Space Implementation\3. Analysis &amp; Design\Design\FC22\DRR Jaime\Por presentar a ECP\Cantagallo\Cristalina\[VRC_CRISTALINA_CF_SEC_20221231.xlsx]CF PRB'!$AY$49</t>
  </si>
  <si>
    <t>='C:\Users\jaime.benazar\Quorum Business Solutions\Ecopetrol Prometeo - Documents\Planning Space Implementation\3. Analysis &amp; Design\Design\FC22\DRR Jaime\Por presentar a ECP\Cantagallo\Cristalina\[VRC_CRISTALINA_CF_SEC_20221231.xlsx]CF PRB'!$AY$50</t>
  </si>
  <si>
    <t>='C:\Users\jaime.benazar\Quorum Business Solutions\Ecopetrol Prometeo - Documents\Planning Space Implementation\3. Analysis &amp; Design\Design\FC22\DRR Jaime\Por presentar a ECP\Cantagallo\Cristalina\[VRC_CRISTALINA_CF_SEC_20221231.xlsx]CF PRB'!$AY$51</t>
  </si>
  <si>
    <t>='C:\Users\jaime.benazar\Quorum Business Solutions\Ecopetrol Prometeo - Documents\Planning Space Implementation\3. Analysis &amp; Design\Design\FC22\DRR Jaime\Por presentar a ECP\Cantagallo\Cristalina\[VRC_CRISTALINA_CF_SEC_20221231.xlsx]CF PRB'!$AY$52</t>
  </si>
  <si>
    <t>='C:\Users\jaime.benazar\Quorum Business Solutions\Ecopetrol Prometeo - Documents\Planning Space Implementation\3. Analysis &amp; Design\Design\FC22\DRR Jaime\Por presentar a ECP\Cantagallo\Cristalina\[VRC_CRISTALINA_CF_SEC_20221231.xlsx]CF PRB'!$AY$53</t>
  </si>
  <si>
    <t>='C:\Users\jaime.benazar\Quorum Business Solutions\Ecopetrol Prometeo - Documents\Planning Space Implementation\3. Analysis &amp; Design\Design\FC22\DRR Jaime\Por presentar a ECP\Cantagallo\Cristalina\[VRC_CRISTALINA_CF_SEC_20221231.xlsx]CF PRB'!$AY$54</t>
  </si>
  <si>
    <t>='C:\Users\jaime.benazar\Quorum Business Solutions\Ecopetrol Prometeo - Documents\Planning Space Implementation\3. Analysis &amp; Design\Design\FC22\DRR Jaime\Por presentar a ECP\Cantagallo\Cristalina\[VRC_CRISTALINA_CF_SEC_20221231.xlsx]CF PRB'!$AY$55</t>
  </si>
  <si>
    <t>='C:\Users\jaime.benazar\Quorum Business Solutions\Ecopetrol Prometeo - Documents\Planning Space Implementation\3. Analysis &amp; Design\Design\FC22\DRR Jaime\Por presentar a ECP\Cantagallo\Cristalina\[VRC_CRISTALINA_CF_SEC_20221231.xlsx]CF PRB'!$AY$56</t>
  </si>
  <si>
    <t>='C:\Users\jaime.benazar\Quorum Business Solutions\Ecopetrol Prometeo - Documents\Planning Space Implementation\3. Analysis &amp; Design\Design\FC22\DRR Jaime\Por presentar a ECP\Cantagallo\Cristalina\[VRC_CRISTALINA_CF_SEC_20221231.xlsx]CF PRB'!$AY$57</t>
  </si>
  <si>
    <t>='C:\Users\jaime.benazar\Quorum Business Solutions\Ecopetrol Prometeo - Documents\Planning Space Implementation\3. Analysis &amp; Design\Design\FC22\DRR Jaime\Por presentar a ECP\Cantagallo\Cristalina\[VRC_CRISTALINA_CF_SEC_20221231.xlsx]CF PRB'!$AY$58</t>
  </si>
  <si>
    <t>='C:\Users\jaime.benazar\Quorum Business Solutions\Ecopetrol Prometeo - Documents\Planning Space Implementation\3. Analysis &amp; Design\Design\FC22\DRR Jaime\Por presentar a ECP\Cantagallo\Cristalina\[VRC_CRISTALINA_CF_SEC_20221231.xlsx]CF PRB'!$AY$59</t>
  </si>
  <si>
    <t>='C:\Users\jaime.benazar\Quorum Business Solutions\Ecopetrol Prometeo - Documents\Planning Space Implementation\3. Analysis &amp; Design\Design\FC22\DRR Jaime\Por presentar a ECP\Cantagallo\Cristalina\[VRC_CRISTALINA_CF_SEC_20221231.xlsx]CF PRB'!$AY$60</t>
  </si>
  <si>
    <t>='C:\Users\jaime.benazar\Quorum Business Solutions\Ecopetrol Prometeo - Documents\Planning Space Implementation\3. Analysis &amp; Design\Design\FC22\DRR Jaime\Por presentar a ECP\Cantagallo\Cristalina\[VRC_CRISTALINA_CF_SEC_20221231.xlsx]CF PRB'!$AY$61</t>
  </si>
  <si>
    <t>='C:\Users\jaime.benazar\Quorum Business Solutions\Ecopetrol Prometeo - Documents\Planning Space Implementation\3. Analysis &amp; Design\Design\FC22\DRR Jaime\Por presentar a ECP\Cantagallo\Cristalina\[VRC_CRISTALINA_CF_SEC_20221231.xlsx]CF PRB'!$AY$62</t>
  </si>
  <si>
    <t>='C:\Users\jaime.benazar\Quorum Business Solutions\Ecopetrol Prometeo - Documents\Planning Space Implementation\3. Analysis &amp; Design\Design\FC22\DRR Jaime\Por presentar a ECP\Cantagallo\Cristalina\[VRC_CRISTALINA_CF_SEC_20221231.xlsx]CF PRB'!$AY$63</t>
  </si>
  <si>
    <t>='C:\Users\jaime.benazar\Quorum Business Solutions\Ecopetrol Prometeo - Documents\Planning Space Implementation\3. Analysis &amp; Design\Design\FC22\DRR Jaime\Por presentar a ECP\Cantagallo\Cristalina\[VRC_CRISTALINA_CF_SEC_20221231.xlsx]CF PRB'!$AY$64</t>
  </si>
  <si>
    <t>='C:\Users\jaime.benazar\Quorum Business Solutions\Ecopetrol Prometeo - Documents\Planning Space Implementation\3. Analysis &amp; Design\Design\FC22\DRR Jaime\Por presentar a ECP\Cantagallo\Cristalina\[VRC_CRISTALINA_CF_SEC_20221231.xlsx]CF PRB'!$AY$65</t>
  </si>
  <si>
    <t>='C:\Users\jaime.benazar\Quorum Business Solutions\Ecopetrol Prometeo - Documents\Planning Space Implementation\3. Analysis &amp; Design\Design\FC22\DRR Jaime\Por presentar a ECP\Cantagallo\Cristalina\[VRC_CRISTALINA_CF_SEC_20221231.xlsx]CF PRB'!$AY$66</t>
  </si>
  <si>
    <t>='C:\Users\jaime.benazar\Quorum Business Solutions\Ecopetrol Prometeo - Documents\Planning Space Implementation\3. Analysis &amp; Design\Design\FC22\DRR Jaime\Por presentar a ECP\Cantagallo\Cristalina\[VRC_CRISTALINA_CF_SEC_20221231.xlsx]CF PRB'!$AY$67</t>
  </si>
  <si>
    <t>='C:\Users\jaime.benazar\Quorum Business Solutions\Ecopetrol Prometeo - Documents\Planning Space Implementation\3. Analysis &amp; Design\Design\FC22\DRR Jaime\Por presentar a ECP\Cantagallo\Cristalina\[VRC_CRISTALINA_CF_SEC_20221231.xlsx]CF PRB'!$AY$68</t>
  </si>
  <si>
    <t>='C:\Users\jaime.benazar\Quorum Business Solutions\Ecopetrol Prometeo - Documents\Planning Space Implementation\3. Analysis &amp; Design\Design\FC22\DRR Jaime\Por presentar a ECP\Cantagallo\Cristalina\[VRC_CRISTALINA_CF_SEC_20221231.xlsx]CF PRB'!$AY$69</t>
  </si>
  <si>
    <t>='C:\Users\jaime.benazar\Quorum Business Solutions\Ecopetrol Prometeo - Documents\Planning Space Implementation\3. Analysis &amp; Design\Design\FC22\DRR Jaime\Por presentar a ECP\Cantagallo\Cristalina\[VRC_CRISTALINA_CF_SEC_20221231.xlsx]CF PRB'!$AY$70</t>
  </si>
  <si>
    <t>='C:\Users\jaime.benazar\Quorum Business Solutions\Ecopetrol Prometeo - Documents\Planning Space Implementation\3. Analysis &amp; Design\Design\FC22\DRR Jaime\Por presentar a ECP\Cantagallo\Cristalina\[VRC_CRISTALINA_CF_SEC_20221231.xlsx]CF PRB'!$AY$71</t>
  </si>
  <si>
    <t>='C:\Users\jaime.benazar\Quorum Business Solutions\Ecopetrol Prometeo - Documents\Planning Space Implementation\3. Analysis &amp; Design\Design\FC22\DRR Jaime\Por presentar a ECP\Cantagallo\Cristalina\[VRC_CRISTALINA_CF_SEC_20221231.xlsx]CF PRB'!$AY$72</t>
  </si>
  <si>
    <t>='C:\Users\jaime.benazar\Quorum Business Solutions\Ecopetrol Prometeo - Documents\Planning Space Implementation\3. Analysis &amp; Design\Design\FC22\DRR Jaime\Por presentar a ECP\Cantagallo\Cristalina\[VRC_CRISTALINA_CF_SEC_20221231.xlsx]CF PS'!$AY$36</t>
  </si>
  <si>
    <t>='C:\Users\jaime.benazar\Quorum Business Solutions\Ecopetrol Prometeo - Documents\Planning Space Implementation\3. Analysis &amp; Design\Design\FC22\DRR Jaime\Por presentar a ECP\Cantagallo\Cristalina\[VRC_CRISTALINA_CF_SEC_20221231.xlsx]CF PS'!$AY$37</t>
  </si>
  <si>
    <t>='C:\Users\jaime.benazar\Quorum Business Solutions\Ecopetrol Prometeo - Documents\Planning Space Implementation\3. Analysis &amp; Design\Design\FC22\DRR Jaime\Por presentar a ECP\Cantagallo\Cristalina\[VRC_CRISTALINA_CF_SEC_20221231.xlsx]CF PS'!$AY$38</t>
  </si>
  <si>
    <t>='C:\Users\jaime.benazar\Quorum Business Solutions\Ecopetrol Prometeo - Documents\Planning Space Implementation\3. Analysis &amp; Design\Design\FC22\DRR Jaime\Por presentar a ECP\Cantagallo\Cristalina\[VRC_CRISTALINA_CF_SEC_20221231.xlsx]CF PS'!$AY$39</t>
  </si>
  <si>
    <t>='C:\Users\jaime.benazar\Quorum Business Solutions\Ecopetrol Prometeo - Documents\Planning Space Implementation\3. Analysis &amp; Design\Design\FC22\DRR Jaime\Por presentar a ECP\Cantagallo\Cristalina\[VRC_CRISTALINA_CF_SEC_20221231.xlsx]CF PS'!$AY$40</t>
  </si>
  <si>
    <t>='C:\Users\jaime.benazar\Quorum Business Solutions\Ecopetrol Prometeo - Documents\Planning Space Implementation\3. Analysis &amp; Design\Design\FC22\DRR Jaime\Por presentar a ECP\Cantagallo\Cristalina\[VRC_CRISTALINA_CF_SEC_20221231.xlsx]CF PS'!$AY$41</t>
  </si>
  <si>
    <t>='C:\Users\jaime.benazar\Quorum Business Solutions\Ecopetrol Prometeo - Documents\Planning Space Implementation\3. Analysis &amp; Design\Design\FC22\DRR Jaime\Por presentar a ECP\Cantagallo\Cristalina\[VRC_CRISTALINA_CF_SEC_20221231.xlsx]CF PS'!$AY$42</t>
  </si>
  <si>
    <t>='C:\Users\jaime.benazar\Quorum Business Solutions\Ecopetrol Prometeo - Documents\Planning Space Implementation\3. Analysis &amp; Design\Design\FC22\DRR Jaime\Por presentar a ECP\Cantagallo\Cristalina\[VRC_CRISTALINA_CF_SEC_20221231.xlsx]CF PS'!$AY$43</t>
  </si>
  <si>
    <t>='C:\Users\jaime.benazar\Quorum Business Solutions\Ecopetrol Prometeo - Documents\Planning Space Implementation\3. Analysis &amp; Design\Design\FC22\DRR Jaime\Por presentar a ECP\Cantagallo\Cristalina\[VRC_CRISTALINA_CF_SEC_20221231.xlsx]CF PS'!$AY$44</t>
  </si>
  <si>
    <t>='C:\Users\jaime.benazar\Quorum Business Solutions\Ecopetrol Prometeo - Documents\Planning Space Implementation\3. Analysis &amp; Design\Design\FC22\DRR Jaime\Por presentar a ECP\Cantagallo\Cristalina\[VRC_CRISTALINA_CF_SEC_20221231.xlsx]CF PS'!$AY$45</t>
  </si>
  <si>
    <t>='C:\Users\jaime.benazar\Quorum Business Solutions\Ecopetrol Prometeo - Documents\Planning Space Implementation\3. Analysis &amp; Design\Design\FC22\DRR Jaime\Por presentar a ECP\Cantagallo\Cristalina\[VRC_CRISTALINA_CF_SEC_20221231.xlsx]CF PS'!$AY$46</t>
  </si>
  <si>
    <t>='C:\Users\jaime.benazar\Quorum Business Solutions\Ecopetrol Prometeo - Documents\Planning Space Implementation\3. Analysis &amp; Design\Design\FC22\DRR Jaime\Por presentar a ECP\Cantagallo\Cristalina\[VRC_CRISTALINA_CF_SEC_20221231.xlsx]CF PS'!$AY$47</t>
  </si>
  <si>
    <t>='C:\Users\jaime.benazar\Quorum Business Solutions\Ecopetrol Prometeo - Documents\Planning Space Implementation\3. Analysis &amp; Design\Design\FC22\DRR Jaime\Por presentar a ECP\Cantagallo\Cristalina\[VRC_CRISTALINA_CF_SEC_20221231.xlsx]CF PS'!$AY$48</t>
  </si>
  <si>
    <t>='C:\Users\jaime.benazar\Quorum Business Solutions\Ecopetrol Prometeo - Documents\Planning Space Implementation\3. Analysis &amp; Design\Design\FC22\DRR Jaime\Por presentar a ECP\Cantagallo\Cristalina\[VRC_CRISTALINA_CF_SEC_20221231.xlsx]CF PS'!$AY$49</t>
  </si>
  <si>
    <t>='C:\Users\jaime.benazar\Quorum Business Solutions\Ecopetrol Prometeo - Documents\Planning Space Implementation\3. Analysis &amp; Design\Design\FC22\DRR Jaime\Por presentar a ECP\Cantagallo\Cristalina\[VRC_CRISTALINA_CF_SEC_20221231.xlsx]CF PS'!$AY$50</t>
  </si>
  <si>
    <t>='C:\Users\jaime.benazar\Quorum Business Solutions\Ecopetrol Prometeo - Documents\Planning Space Implementation\3. Analysis &amp; Design\Design\FC22\DRR Jaime\Por presentar a ECP\Cantagallo\Cristalina\[VRC_CRISTALINA_CF_SEC_20221231.xlsx]CF PS'!$AY$51</t>
  </si>
  <si>
    <t>='C:\Users\jaime.benazar\Quorum Business Solutions\Ecopetrol Prometeo - Documents\Planning Space Implementation\3. Analysis &amp; Design\Design\FC22\DRR Jaime\Por presentar a ECP\Cantagallo\Cristalina\[VRC_CRISTALINA_CF_SEC_20221231.xlsx]CF PS'!$AY$52</t>
  </si>
  <si>
    <t>='C:\Users\jaime.benazar\Quorum Business Solutions\Ecopetrol Prometeo - Documents\Planning Space Implementation\3. Analysis &amp; Design\Design\FC22\DRR Jaime\Por presentar a ECP\Cantagallo\Cristalina\[VRC_CRISTALINA_CF_SEC_20221231.xlsx]CF PS'!$AY$53</t>
  </si>
  <si>
    <t>='C:\Users\jaime.benazar\Quorum Business Solutions\Ecopetrol Prometeo - Documents\Planning Space Implementation\3. Analysis &amp; Design\Design\FC22\DRR Jaime\Por presentar a ECP\Cantagallo\Cristalina\[VRC_CRISTALINA_CF_SEC_20221231.xlsx]CF PS'!$AY$54</t>
  </si>
  <si>
    <t>='C:\Users\jaime.benazar\Quorum Business Solutions\Ecopetrol Prometeo - Documents\Planning Space Implementation\3. Analysis &amp; Design\Design\FC22\DRR Jaime\Por presentar a ECP\Cantagallo\Cristalina\[VRC_CRISTALINA_CF_SEC_20221231.xlsx]CF PS'!$AY$55</t>
  </si>
  <si>
    <t>='C:\Users\jaime.benazar\Quorum Business Solutions\Ecopetrol Prometeo - Documents\Planning Space Implementation\3. Analysis &amp; Design\Design\FC22\DRR Jaime\Por presentar a ECP\Cantagallo\Cristalina\[VRC_CRISTALINA_CF_SEC_20221231.xlsx]CF PS'!$AY$56</t>
  </si>
  <si>
    <t>='C:\Users\jaime.benazar\Quorum Business Solutions\Ecopetrol Prometeo - Documents\Planning Space Implementation\3. Analysis &amp; Design\Design\FC22\DRR Jaime\Por presentar a ECP\Cantagallo\Cristalina\[VRC_CRISTALINA_CF_SEC_20221231.xlsx]CF PS'!$AY$57</t>
  </si>
  <si>
    <t>='C:\Users\jaime.benazar\Quorum Business Solutions\Ecopetrol Prometeo - Documents\Planning Space Implementation\3. Analysis &amp; Design\Design\FC22\DRR Jaime\Por presentar a ECP\Cantagallo\Cristalina\[VRC_CRISTALINA_CF_SEC_20221231.xlsx]CF PS'!$AY$58</t>
  </si>
  <si>
    <t>='C:\Users\jaime.benazar\Quorum Business Solutions\Ecopetrol Prometeo - Documents\Planning Space Implementation\3. Analysis &amp; Design\Design\FC22\DRR Jaime\Por presentar a ECP\Cantagallo\Cristalina\[VRC_CRISTALINA_CF_SEC_20221231.xlsx]CF PS'!$AY$59</t>
  </si>
  <si>
    <t>='C:\Users\jaime.benazar\Quorum Business Solutions\Ecopetrol Prometeo - Documents\Planning Space Implementation\3. Analysis &amp; Design\Design\FC22\DRR Jaime\Por presentar a ECP\Cantagallo\Cristalina\[VRC_CRISTALINA_CF_SEC_20221231.xlsx]CF PS'!$AY$60</t>
  </si>
  <si>
    <t>='C:\Users\jaime.benazar\Quorum Business Solutions\Ecopetrol Prometeo - Documents\Planning Space Implementation\3. Analysis &amp; Design\Design\FC22\DRR Jaime\Por presentar a ECP\Cantagallo\Cristalina\[VRC_CRISTALINA_CF_SEC_20221231.xlsx]CF PS'!$AY$61</t>
  </si>
  <si>
    <t>='C:\Users\jaime.benazar\Quorum Business Solutions\Ecopetrol Prometeo - Documents\Planning Space Implementation\3. Analysis &amp; Design\Design\FC22\DRR Jaime\Por presentar a ECP\Cantagallo\Cristalina\[VRC_CRISTALINA_CF_SEC_20221231.xlsx]CF PS'!$AY$62</t>
  </si>
  <si>
    <t>='C:\Users\jaime.benazar\Quorum Business Solutions\Ecopetrol Prometeo - Documents\Planning Space Implementation\3. Analysis &amp; Design\Design\FC22\DRR Jaime\Por presentar a ECP\Cantagallo\Cristalina\[VRC_CRISTALINA_CF_SEC_20221231.xlsx]CF PS'!$AY$63</t>
  </si>
  <si>
    <t>='C:\Users\jaime.benazar\Quorum Business Solutions\Ecopetrol Prometeo - Documents\Planning Space Implementation\3. Analysis &amp; Design\Design\FC22\DRR Jaime\Por presentar a ECP\Cantagallo\Cristalina\[VRC_CRISTALINA_CF_SEC_20221231.xlsx]CF PS'!$AY$64</t>
  </si>
  <si>
    <t>='C:\Users\jaime.benazar\Quorum Business Solutions\Ecopetrol Prometeo - Documents\Planning Space Implementation\3. Analysis &amp; Design\Design\FC22\DRR Jaime\Por presentar a ECP\Cantagallo\Cristalina\[VRC_CRISTALINA_CF_SEC_20221231.xlsx]CF PS'!$AY$65</t>
  </si>
  <si>
    <t>='C:\Users\jaime.benazar\Quorum Business Solutions\Ecopetrol Prometeo - Documents\Planning Space Implementation\3. Analysis &amp; Design\Design\FC22\DRR Jaime\Por presentar a ECP\Cantagallo\Cristalina\[VRC_CRISTALINA_CF_SEC_20221231.xlsx]CF PS'!$AY$66</t>
  </si>
  <si>
    <t>='C:\Users\jaime.benazar\Quorum Business Solutions\Ecopetrol Prometeo - Documents\Planning Space Implementation\3. Analysis &amp; Design\Design\FC22\DRR Jaime\Por presentar a ECP\Cantagallo\Cristalina\[VRC_CRISTALINA_CF_SEC_20221231.xlsx]CF PS'!$AY$67</t>
  </si>
  <si>
    <t>='C:\Users\jaime.benazar\Quorum Business Solutions\Ecopetrol Prometeo - Documents\Planning Space Implementation\3. Analysis &amp; Design\Design\FC22\DRR Jaime\Por presentar a ECP\Cantagallo\Cristalina\[VRC_CRISTALINA_CF_SEC_20221231.xlsx]CF PS'!$AY$68</t>
  </si>
  <si>
    <t>='C:\Users\jaime.benazar\Quorum Business Solutions\Ecopetrol Prometeo - Documents\Planning Space Implementation\3. Analysis &amp; Design\Design\FC22\DRR Jaime\Por presentar a ECP\Cantagallo\Cristalina\[VRC_CRISTALINA_CF_SEC_20221231.xlsx]CF PS'!$AY$69</t>
  </si>
  <si>
    <t>='C:\Users\jaime.benazar\Quorum Business Solutions\Ecopetrol Prometeo - Documents\Planning Space Implementation\3. Analysis &amp; Design\Design\FC22\DRR Jaime\Por presentar a ECP\Cantagallo\Cristalina\[VRC_CRISTALINA_CF_SEC_20221231.xlsx]CF PS'!$AY$70</t>
  </si>
  <si>
    <t>='C:\Users\jaime.benazar\Quorum Business Solutions\Ecopetrol Prometeo - Documents\Planning Space Implementation\3. Analysis &amp; Design\Design\FC22\DRR Jaime\Por presentar a ECP\Cantagallo\Cristalina\[VRC_CRISTALINA_CF_SEC_20221231.xlsx]CF PS'!$AY$71</t>
  </si>
  <si>
    <t>='C:\Users\jaime.benazar\Quorum Business Solutions\Ecopetrol Prometeo - Documents\Planning Space Implementation\3. Analysis &amp; Design\Design\FC22\DRR Jaime\Por presentar a ECP\Cantagallo\Cristalina\[VRC_CRISTALINA_CF_SEC_20221231.xlsx]CF PS'!$AY$72</t>
  </si>
  <si>
    <t>='C:\Users\jaime.benazar\Quorum Business Solutions\Ecopetrol Prometeo - Documents\Planning Space Implementation\3. Analysis &amp; Design\Design\FC22\DRR Jaime\Por presentar a ECP\Cantagallo\Cristalina\[VRC_CRISTALINA_CF_SEC_20221231.xlsx]CF PDP'!$BT$36</t>
  </si>
  <si>
    <t>='C:\Users\jaime.benazar\Quorum Business Solutions\Ecopetrol Prometeo - Documents\Planning Space Implementation\3. Analysis &amp; Design\Design\FC22\DRR Jaime\Por presentar a ECP\Cantagallo\Cristalina\[VRC_CRISTALINA_CF_SEC_20221231.xlsx]CF PDP'!$BT$37</t>
  </si>
  <si>
    <t>='C:\Users\jaime.benazar\Quorum Business Solutions\Ecopetrol Prometeo - Documents\Planning Space Implementation\3. Analysis &amp; Design\Design\FC22\DRR Jaime\Por presentar a ECP\Cantagallo\Cristalina\[VRC_CRISTALINA_CF_SEC_20221231.xlsx]CF PDP'!$BT$38</t>
  </si>
  <si>
    <t>='C:\Users\jaime.benazar\Quorum Business Solutions\Ecopetrol Prometeo - Documents\Planning Space Implementation\3. Analysis &amp; Design\Design\FC22\DRR Jaime\Por presentar a ECP\Cantagallo\Cristalina\[VRC_CRISTALINA_CF_SEC_20221231.xlsx]CF PDP'!$BT$39</t>
  </si>
  <si>
    <t>='C:\Users\jaime.benazar\Quorum Business Solutions\Ecopetrol Prometeo - Documents\Planning Space Implementation\3. Analysis &amp; Design\Design\FC22\DRR Jaime\Por presentar a ECP\Cantagallo\Cristalina\[VRC_CRISTALINA_CF_SEC_20221231.xlsx]CF PDP'!$BT$40</t>
  </si>
  <si>
    <t>='C:\Users\jaime.benazar\Quorum Business Solutions\Ecopetrol Prometeo - Documents\Planning Space Implementation\3. Analysis &amp; Design\Design\FC22\DRR Jaime\Por presentar a ECP\Cantagallo\Cristalina\[VRC_CRISTALINA_CF_SEC_20221231.xlsx]CF PDP'!$BT$41</t>
  </si>
  <si>
    <t>='C:\Users\jaime.benazar\Quorum Business Solutions\Ecopetrol Prometeo - Documents\Planning Space Implementation\3. Analysis &amp; Design\Design\FC22\DRR Jaime\Por presentar a ECP\Cantagallo\Cristalina\[VRC_CRISTALINA_CF_SEC_20221231.xlsx]CF PDP'!$BT$42</t>
  </si>
  <si>
    <t>='C:\Users\jaime.benazar\Quorum Business Solutions\Ecopetrol Prometeo - Documents\Planning Space Implementation\3. Analysis &amp; Design\Design\FC22\DRR Jaime\Por presentar a ECP\Cantagallo\Cristalina\[VRC_CRISTALINA_CF_SEC_20221231.xlsx]CF PDP'!$BT$43</t>
  </si>
  <si>
    <t>='C:\Users\jaime.benazar\Quorum Business Solutions\Ecopetrol Prometeo - Documents\Planning Space Implementation\3. Analysis &amp; Design\Design\FC22\DRR Jaime\Por presentar a ECP\Cantagallo\Cristalina\[VRC_CRISTALINA_CF_SEC_20221231.xlsx]CF PDP'!$BT$44</t>
  </si>
  <si>
    <t>='C:\Users\jaime.benazar\Quorum Business Solutions\Ecopetrol Prometeo - Documents\Planning Space Implementation\3. Analysis &amp; Design\Design\FC22\DRR Jaime\Por presentar a ECP\Cantagallo\Cristalina\[VRC_CRISTALINA_CF_SEC_20221231.xlsx]CF PDP'!$BT$45</t>
  </si>
  <si>
    <t>='C:\Users\jaime.benazar\Quorum Business Solutions\Ecopetrol Prometeo - Documents\Planning Space Implementation\3. Analysis &amp; Design\Design\FC22\DRR Jaime\Por presentar a ECP\Cantagallo\Cristalina\[VRC_CRISTALINA_CF_SEC_20221231.xlsx]CF PDP'!$BT$46</t>
  </si>
  <si>
    <t>='C:\Users\jaime.benazar\Quorum Business Solutions\Ecopetrol Prometeo - Documents\Planning Space Implementation\3. Analysis &amp; Design\Design\FC22\DRR Jaime\Por presentar a ECP\Cantagallo\Cristalina\[VRC_CRISTALINA_CF_SEC_20221231.xlsx]CF PDP'!$BT$47</t>
  </si>
  <si>
    <t>='C:\Users\jaime.benazar\Quorum Business Solutions\Ecopetrol Prometeo - Documents\Planning Space Implementation\3. Analysis &amp; Design\Design\FC22\DRR Jaime\Por presentar a ECP\Cantagallo\Cristalina\[VRC_CRISTALINA_CF_SEC_20221231.xlsx]CF PDP'!$BT$48</t>
  </si>
  <si>
    <t>='C:\Users\jaime.benazar\Quorum Business Solutions\Ecopetrol Prometeo - Documents\Planning Space Implementation\3. Analysis &amp; Design\Design\FC22\DRR Jaime\Por presentar a ECP\Cantagallo\Cristalina\[VRC_CRISTALINA_CF_SEC_20221231.xlsx]CF PDP'!$BT$49</t>
  </si>
  <si>
    <t>='C:\Users\jaime.benazar\Quorum Business Solutions\Ecopetrol Prometeo - Documents\Planning Space Implementation\3. Analysis &amp; Design\Design\FC22\DRR Jaime\Por presentar a ECP\Cantagallo\Cristalina\[VRC_CRISTALINA_CF_SEC_20221231.xlsx]CF PDP'!$BT$50</t>
  </si>
  <si>
    <t>='C:\Users\jaime.benazar\Quorum Business Solutions\Ecopetrol Prometeo - Documents\Planning Space Implementation\3. Analysis &amp; Design\Design\FC22\DRR Jaime\Por presentar a ECP\Cantagallo\Cristalina\[VRC_CRISTALINA_CF_SEC_20221231.xlsx]CF PDP'!$BT$51</t>
  </si>
  <si>
    <t>='C:\Users\jaime.benazar\Quorum Business Solutions\Ecopetrol Prometeo - Documents\Planning Space Implementation\3. Analysis &amp; Design\Design\FC22\DRR Jaime\Por presentar a ECP\Cantagallo\Cristalina\[VRC_CRISTALINA_CF_SEC_20221231.xlsx]CF PDP'!$BT$52</t>
  </si>
  <si>
    <t>='C:\Users\jaime.benazar\Quorum Business Solutions\Ecopetrol Prometeo - Documents\Planning Space Implementation\3. Analysis &amp; Design\Design\FC22\DRR Jaime\Por presentar a ECP\Cantagallo\Cristalina\[VRC_CRISTALINA_CF_SEC_20221231.xlsx]CF PDP'!$BT$53</t>
  </si>
  <si>
    <t>='C:\Users\jaime.benazar\Quorum Business Solutions\Ecopetrol Prometeo - Documents\Planning Space Implementation\3. Analysis &amp; Design\Design\FC22\DRR Jaime\Por presentar a ECP\Cantagallo\Cristalina\[VRC_CRISTALINA_CF_SEC_20221231.xlsx]CF PDP'!$BT$54</t>
  </si>
  <si>
    <t>='C:\Users\jaime.benazar\Quorum Business Solutions\Ecopetrol Prometeo - Documents\Planning Space Implementation\3. Analysis &amp; Design\Design\FC22\DRR Jaime\Por presentar a ECP\Cantagallo\Cristalina\[VRC_CRISTALINA_CF_SEC_20221231.xlsx]CF PDP'!$BT$55</t>
  </si>
  <si>
    <t>='C:\Users\jaime.benazar\Quorum Business Solutions\Ecopetrol Prometeo - Documents\Planning Space Implementation\3. Analysis &amp; Design\Design\FC22\DRR Jaime\Por presentar a ECP\Cantagallo\Cristalina\[VRC_CRISTALINA_CF_SEC_20221231.xlsx]CF PDP'!$BT$56</t>
  </si>
  <si>
    <t>='C:\Users\jaime.benazar\Quorum Business Solutions\Ecopetrol Prometeo - Documents\Planning Space Implementation\3. Analysis &amp; Design\Design\FC22\DRR Jaime\Por presentar a ECP\Cantagallo\Cristalina\[VRC_CRISTALINA_CF_SEC_20221231.xlsx]CF PDP'!$BT$57</t>
  </si>
  <si>
    <t>='C:\Users\jaime.benazar\Quorum Business Solutions\Ecopetrol Prometeo - Documents\Planning Space Implementation\3. Analysis &amp; Design\Design\FC22\DRR Jaime\Por presentar a ECP\Cantagallo\Cristalina\[VRC_CRISTALINA_CF_SEC_20221231.xlsx]CF PDP'!$BT$58</t>
  </si>
  <si>
    <t>='C:\Users\jaime.benazar\Quorum Business Solutions\Ecopetrol Prometeo - Documents\Planning Space Implementation\3. Analysis &amp; Design\Design\FC22\DRR Jaime\Por presentar a ECP\Cantagallo\Cristalina\[VRC_CRISTALINA_CF_SEC_20221231.xlsx]CF PDP'!$BT$59</t>
  </si>
  <si>
    <t>='C:\Users\jaime.benazar\Quorum Business Solutions\Ecopetrol Prometeo - Documents\Planning Space Implementation\3. Analysis &amp; Design\Design\FC22\DRR Jaime\Por presentar a ECP\Cantagallo\Cristalina\[VRC_CRISTALINA_CF_SEC_20221231.xlsx]CF PDP'!$BT$60</t>
  </si>
  <si>
    <t>='C:\Users\jaime.benazar\Quorum Business Solutions\Ecopetrol Prometeo - Documents\Planning Space Implementation\3. Analysis &amp; Design\Design\FC22\DRR Jaime\Por presentar a ECP\Cantagallo\Cristalina\[VRC_CRISTALINA_CF_SEC_20221231.xlsx]CF PDP'!$BT$61</t>
  </si>
  <si>
    <t>='C:\Users\jaime.benazar\Quorum Business Solutions\Ecopetrol Prometeo - Documents\Planning Space Implementation\3. Analysis &amp; Design\Design\FC22\DRR Jaime\Por presentar a ECP\Cantagallo\Cristalina\[VRC_CRISTALINA_CF_SEC_20221231.xlsx]CF PDP'!$BT$62</t>
  </si>
  <si>
    <t>='C:\Users\jaime.benazar\Quorum Business Solutions\Ecopetrol Prometeo - Documents\Planning Space Implementation\3. Analysis &amp; Design\Design\FC22\DRR Jaime\Por presentar a ECP\Cantagallo\Cristalina\[VRC_CRISTALINA_CF_SEC_20221231.xlsx]CF PDP'!$BT$63</t>
  </si>
  <si>
    <t>='C:\Users\jaime.benazar\Quorum Business Solutions\Ecopetrol Prometeo - Documents\Planning Space Implementation\3. Analysis &amp; Design\Design\FC22\DRR Jaime\Por presentar a ECP\Cantagallo\Cristalina\[VRC_CRISTALINA_CF_SEC_20221231.xlsx]CF PDP'!$BT$64</t>
  </si>
  <si>
    <t>='C:\Users\jaime.benazar\Quorum Business Solutions\Ecopetrol Prometeo - Documents\Planning Space Implementation\3. Analysis &amp; Design\Design\FC22\DRR Jaime\Por presentar a ECP\Cantagallo\Cristalina\[VRC_CRISTALINA_CF_SEC_20221231.xlsx]CF PDP'!$BT$65</t>
  </si>
  <si>
    <t>='C:\Users\jaime.benazar\Quorum Business Solutions\Ecopetrol Prometeo - Documents\Planning Space Implementation\3. Analysis &amp; Design\Design\FC22\DRR Jaime\Por presentar a ECP\Cantagallo\Cristalina\[VRC_CRISTALINA_CF_SEC_20221231.xlsx]CF PDP'!$BT$66</t>
  </si>
  <si>
    <t>='C:\Users\jaime.benazar\Quorum Business Solutions\Ecopetrol Prometeo - Documents\Planning Space Implementation\3. Analysis &amp; Design\Design\FC22\DRR Jaime\Por presentar a ECP\Cantagallo\Cristalina\[VRC_CRISTALINA_CF_SEC_20221231.xlsx]CF PDP'!$BT$67</t>
  </si>
  <si>
    <t>='C:\Users\jaime.benazar\Quorum Business Solutions\Ecopetrol Prometeo - Documents\Planning Space Implementation\3. Analysis &amp; Design\Design\FC22\DRR Jaime\Por presentar a ECP\Cantagallo\Cristalina\[VRC_CRISTALINA_CF_SEC_20221231.xlsx]CF PDP'!$BT$68</t>
  </si>
  <si>
    <t>='C:\Users\jaime.benazar\Quorum Business Solutions\Ecopetrol Prometeo - Documents\Planning Space Implementation\3. Analysis &amp; Design\Design\FC22\DRR Jaime\Por presentar a ECP\Cantagallo\Cristalina\[VRC_CRISTALINA_CF_SEC_20221231.xlsx]CF PDP'!$BT$69</t>
  </si>
  <si>
    <t>='C:\Users\jaime.benazar\Quorum Business Solutions\Ecopetrol Prometeo - Documents\Planning Space Implementation\3. Analysis &amp; Design\Design\FC22\DRR Jaime\Por presentar a ECP\Cantagallo\Cristalina\[VRC_CRISTALINA_CF_SEC_20221231.xlsx]CF PDP'!$BT$70</t>
  </si>
  <si>
    <t>='C:\Users\jaime.benazar\Quorum Business Solutions\Ecopetrol Prometeo - Documents\Planning Space Implementation\3. Analysis &amp; Design\Design\FC22\DRR Jaime\Por presentar a ECP\Cantagallo\Cristalina\[VRC_CRISTALINA_CF_SEC_20221231.xlsx]CF PDP'!$BT$71</t>
  </si>
  <si>
    <t>='C:\Users\jaime.benazar\Quorum Business Solutions\Ecopetrol Prometeo - Documents\Planning Space Implementation\3. Analysis &amp; Design\Design\FC22\DRR Jaime\Por presentar a ECP\Cantagallo\Cristalina\[VRC_CRISTALINA_CF_SEC_20221231.xlsx]CF PDP'!$BT$72</t>
  </si>
  <si>
    <t>='C:\Users\jaime.benazar\Quorum Business Solutions\Ecopetrol Prometeo - Documents\Planning Space Implementation\3. Analysis &amp; Design\Design\FC22\DRR Jaime\Por presentar a ECP\Cantagallo\Cristalina\[VRC_CRISTALINA_CF_SEC_20221231.xlsx]CF PNP'!$BT$36</t>
  </si>
  <si>
    <t>='C:\Users\jaime.benazar\Quorum Business Solutions\Ecopetrol Prometeo - Documents\Planning Space Implementation\3. Analysis &amp; Design\Design\FC22\DRR Jaime\Por presentar a ECP\Cantagallo\Cristalina\[VRC_CRISTALINA_CF_SEC_20221231.xlsx]CF PNP'!$BT$37</t>
  </si>
  <si>
    <t>='C:\Users\jaime.benazar\Quorum Business Solutions\Ecopetrol Prometeo - Documents\Planning Space Implementation\3. Analysis &amp; Design\Design\FC22\DRR Jaime\Por presentar a ECP\Cantagallo\Cristalina\[VRC_CRISTALINA_CF_SEC_20221231.xlsx]CF PNP'!$BT$38</t>
  </si>
  <si>
    <t>='C:\Users\jaime.benazar\Quorum Business Solutions\Ecopetrol Prometeo - Documents\Planning Space Implementation\3. Analysis &amp; Design\Design\FC22\DRR Jaime\Por presentar a ECP\Cantagallo\Cristalina\[VRC_CRISTALINA_CF_SEC_20221231.xlsx]CF PNP'!$BT$39</t>
  </si>
  <si>
    <t>='C:\Users\jaime.benazar\Quorum Business Solutions\Ecopetrol Prometeo - Documents\Planning Space Implementation\3. Analysis &amp; Design\Design\FC22\DRR Jaime\Por presentar a ECP\Cantagallo\Cristalina\[VRC_CRISTALINA_CF_SEC_20221231.xlsx]CF PNP'!$BT$40</t>
  </si>
  <si>
    <t>='C:\Users\jaime.benazar\Quorum Business Solutions\Ecopetrol Prometeo - Documents\Planning Space Implementation\3. Analysis &amp; Design\Design\FC22\DRR Jaime\Por presentar a ECP\Cantagallo\Cristalina\[VRC_CRISTALINA_CF_SEC_20221231.xlsx]CF PNP'!$BT$41</t>
  </si>
  <si>
    <t>='C:\Users\jaime.benazar\Quorum Business Solutions\Ecopetrol Prometeo - Documents\Planning Space Implementation\3. Analysis &amp; Design\Design\FC22\DRR Jaime\Por presentar a ECP\Cantagallo\Cristalina\[VRC_CRISTALINA_CF_SEC_20221231.xlsx]CF PNP'!$BT$42</t>
  </si>
  <si>
    <t>='C:\Users\jaime.benazar\Quorum Business Solutions\Ecopetrol Prometeo - Documents\Planning Space Implementation\3. Analysis &amp; Design\Design\FC22\DRR Jaime\Por presentar a ECP\Cantagallo\Cristalina\[VRC_CRISTALINA_CF_SEC_20221231.xlsx]CF PNP'!$BT$43</t>
  </si>
  <si>
    <t>='C:\Users\jaime.benazar\Quorum Business Solutions\Ecopetrol Prometeo - Documents\Planning Space Implementation\3. Analysis &amp; Design\Design\FC22\DRR Jaime\Por presentar a ECP\Cantagallo\Cristalina\[VRC_CRISTALINA_CF_SEC_20221231.xlsx]CF PNP'!$BT$44</t>
  </si>
  <si>
    <t>='C:\Users\jaime.benazar\Quorum Business Solutions\Ecopetrol Prometeo - Documents\Planning Space Implementation\3. Analysis &amp; Design\Design\FC22\DRR Jaime\Por presentar a ECP\Cantagallo\Cristalina\[VRC_CRISTALINA_CF_SEC_20221231.xlsx]CF PNP'!$BT$45</t>
  </si>
  <si>
    <t>='C:\Users\jaime.benazar\Quorum Business Solutions\Ecopetrol Prometeo - Documents\Planning Space Implementation\3. Analysis &amp; Design\Design\FC22\DRR Jaime\Por presentar a ECP\Cantagallo\Cristalina\[VRC_CRISTALINA_CF_SEC_20221231.xlsx]CF PNP'!$BT$46</t>
  </si>
  <si>
    <t>='C:\Users\jaime.benazar\Quorum Business Solutions\Ecopetrol Prometeo - Documents\Planning Space Implementation\3. Analysis &amp; Design\Design\FC22\DRR Jaime\Por presentar a ECP\Cantagallo\Cristalina\[VRC_CRISTALINA_CF_SEC_20221231.xlsx]CF PNP'!$BT$47</t>
  </si>
  <si>
    <t>='C:\Users\jaime.benazar\Quorum Business Solutions\Ecopetrol Prometeo - Documents\Planning Space Implementation\3. Analysis &amp; Design\Design\FC22\DRR Jaime\Por presentar a ECP\Cantagallo\Cristalina\[VRC_CRISTALINA_CF_SEC_20221231.xlsx]CF PNP'!$BT$48</t>
  </si>
  <si>
    <t>='C:\Users\jaime.benazar\Quorum Business Solutions\Ecopetrol Prometeo - Documents\Planning Space Implementation\3. Analysis &amp; Design\Design\FC22\DRR Jaime\Por presentar a ECP\Cantagallo\Cristalina\[VRC_CRISTALINA_CF_SEC_20221231.xlsx]CF PNP'!$BT$49</t>
  </si>
  <si>
    <t>='C:\Users\jaime.benazar\Quorum Business Solutions\Ecopetrol Prometeo - Documents\Planning Space Implementation\3. Analysis &amp; Design\Design\FC22\DRR Jaime\Por presentar a ECP\Cantagallo\Cristalina\[VRC_CRISTALINA_CF_SEC_20221231.xlsx]CF PNP'!$BT$50</t>
  </si>
  <si>
    <t>='C:\Users\jaime.benazar\Quorum Business Solutions\Ecopetrol Prometeo - Documents\Planning Space Implementation\3. Analysis &amp; Design\Design\FC22\DRR Jaime\Por presentar a ECP\Cantagallo\Cristalina\[VRC_CRISTALINA_CF_SEC_20221231.xlsx]CF PNP'!$BT$51</t>
  </si>
  <si>
    <t>='C:\Users\jaime.benazar\Quorum Business Solutions\Ecopetrol Prometeo - Documents\Planning Space Implementation\3. Analysis &amp; Design\Design\FC22\DRR Jaime\Por presentar a ECP\Cantagallo\Cristalina\[VRC_CRISTALINA_CF_SEC_20221231.xlsx]CF PNP'!$BT$52</t>
  </si>
  <si>
    <t>='C:\Users\jaime.benazar\Quorum Business Solutions\Ecopetrol Prometeo - Documents\Planning Space Implementation\3. Analysis &amp; Design\Design\FC22\DRR Jaime\Por presentar a ECP\Cantagallo\Cristalina\[VRC_CRISTALINA_CF_SEC_20221231.xlsx]CF PNP'!$BT$53</t>
  </si>
  <si>
    <t>='C:\Users\jaime.benazar\Quorum Business Solutions\Ecopetrol Prometeo - Documents\Planning Space Implementation\3. Analysis &amp; Design\Design\FC22\DRR Jaime\Por presentar a ECP\Cantagallo\Cristalina\[VRC_CRISTALINA_CF_SEC_20221231.xlsx]CF PNP'!$BT$54</t>
  </si>
  <si>
    <t>='C:\Users\jaime.benazar\Quorum Business Solutions\Ecopetrol Prometeo - Documents\Planning Space Implementation\3. Analysis &amp; Design\Design\FC22\DRR Jaime\Por presentar a ECP\Cantagallo\Cristalina\[VRC_CRISTALINA_CF_SEC_20221231.xlsx]CF PNP'!$BT$55</t>
  </si>
  <si>
    <t>='C:\Users\jaime.benazar\Quorum Business Solutions\Ecopetrol Prometeo - Documents\Planning Space Implementation\3. Analysis &amp; Design\Design\FC22\DRR Jaime\Por presentar a ECP\Cantagallo\Cristalina\[VRC_CRISTALINA_CF_SEC_20221231.xlsx]CF PNP'!$BT$56</t>
  </si>
  <si>
    <t>='C:\Users\jaime.benazar\Quorum Business Solutions\Ecopetrol Prometeo - Documents\Planning Space Implementation\3. Analysis &amp; Design\Design\FC22\DRR Jaime\Por presentar a ECP\Cantagallo\Cristalina\[VRC_CRISTALINA_CF_SEC_20221231.xlsx]CF PNP'!$BT$57</t>
  </si>
  <si>
    <t>='C:\Users\jaime.benazar\Quorum Business Solutions\Ecopetrol Prometeo - Documents\Planning Space Implementation\3. Analysis &amp; Design\Design\FC22\DRR Jaime\Por presentar a ECP\Cantagallo\Cristalina\[VRC_CRISTALINA_CF_SEC_20221231.xlsx]CF PNP'!$BT$58</t>
  </si>
  <si>
    <t>='C:\Users\jaime.benazar\Quorum Business Solutions\Ecopetrol Prometeo - Documents\Planning Space Implementation\3. Analysis &amp; Design\Design\FC22\DRR Jaime\Por presentar a ECP\Cantagallo\Cristalina\[VRC_CRISTALINA_CF_SEC_20221231.xlsx]CF PNP'!$BT$59</t>
  </si>
  <si>
    <t>='C:\Users\jaime.benazar\Quorum Business Solutions\Ecopetrol Prometeo - Documents\Planning Space Implementation\3. Analysis &amp; Design\Design\FC22\DRR Jaime\Por presentar a ECP\Cantagallo\Cristalina\[VRC_CRISTALINA_CF_SEC_20221231.xlsx]CF PNP'!$BT$60</t>
  </si>
  <si>
    <t>='C:\Users\jaime.benazar\Quorum Business Solutions\Ecopetrol Prometeo - Documents\Planning Space Implementation\3. Analysis &amp; Design\Design\FC22\DRR Jaime\Por presentar a ECP\Cantagallo\Cristalina\[VRC_CRISTALINA_CF_SEC_20221231.xlsx]CF PNP'!$BT$61</t>
  </si>
  <si>
    <t>='C:\Users\jaime.benazar\Quorum Business Solutions\Ecopetrol Prometeo - Documents\Planning Space Implementation\3. Analysis &amp; Design\Design\FC22\DRR Jaime\Por presentar a ECP\Cantagallo\Cristalina\[VRC_CRISTALINA_CF_SEC_20221231.xlsx]CF PNP'!$BT$62</t>
  </si>
  <si>
    <t>='C:\Users\jaime.benazar\Quorum Business Solutions\Ecopetrol Prometeo - Documents\Planning Space Implementation\3. Analysis &amp; Design\Design\FC22\DRR Jaime\Por presentar a ECP\Cantagallo\Cristalina\[VRC_CRISTALINA_CF_SEC_20221231.xlsx]CF PNP'!$BT$63</t>
  </si>
  <si>
    <t>='C:\Users\jaime.benazar\Quorum Business Solutions\Ecopetrol Prometeo - Documents\Planning Space Implementation\3. Analysis &amp; Design\Design\FC22\DRR Jaime\Por presentar a ECP\Cantagallo\Cristalina\[VRC_CRISTALINA_CF_SEC_20221231.xlsx]CF PNP'!$BT$64</t>
  </si>
  <si>
    <t>='C:\Users\jaime.benazar\Quorum Business Solutions\Ecopetrol Prometeo - Documents\Planning Space Implementation\3. Analysis &amp; Design\Design\FC22\DRR Jaime\Por presentar a ECP\Cantagallo\Cristalina\[VRC_CRISTALINA_CF_SEC_20221231.xlsx]CF PNP'!$BT$65</t>
  </si>
  <si>
    <t>='C:\Users\jaime.benazar\Quorum Business Solutions\Ecopetrol Prometeo - Documents\Planning Space Implementation\3. Analysis &amp; Design\Design\FC22\DRR Jaime\Por presentar a ECP\Cantagallo\Cristalina\[VRC_CRISTALINA_CF_SEC_20221231.xlsx]CF PNP'!$BT$66</t>
  </si>
  <si>
    <t>='C:\Users\jaime.benazar\Quorum Business Solutions\Ecopetrol Prometeo - Documents\Planning Space Implementation\3. Analysis &amp; Design\Design\FC22\DRR Jaime\Por presentar a ECP\Cantagallo\Cristalina\[VRC_CRISTALINA_CF_SEC_20221231.xlsx]CF PNP'!$BT$67</t>
  </si>
  <si>
    <t>='C:\Users\jaime.benazar\Quorum Business Solutions\Ecopetrol Prometeo - Documents\Planning Space Implementation\3. Analysis &amp; Design\Design\FC22\DRR Jaime\Por presentar a ECP\Cantagallo\Cristalina\[VRC_CRISTALINA_CF_SEC_20221231.xlsx]CF PNP'!$BT$68</t>
  </si>
  <si>
    <t>='C:\Users\jaime.benazar\Quorum Business Solutions\Ecopetrol Prometeo - Documents\Planning Space Implementation\3. Analysis &amp; Design\Design\FC22\DRR Jaime\Por presentar a ECP\Cantagallo\Cristalina\[VRC_CRISTALINA_CF_SEC_20221231.xlsx]CF PNP'!$BT$69</t>
  </si>
  <si>
    <t>='C:\Users\jaime.benazar\Quorum Business Solutions\Ecopetrol Prometeo - Documents\Planning Space Implementation\3. Analysis &amp; Design\Design\FC22\DRR Jaime\Por presentar a ECP\Cantagallo\Cristalina\[VRC_CRISTALINA_CF_SEC_20221231.xlsx]CF PNP'!$BT$70</t>
  </si>
  <si>
    <t>='C:\Users\jaime.benazar\Quorum Business Solutions\Ecopetrol Prometeo - Documents\Planning Space Implementation\3. Analysis &amp; Design\Design\FC22\DRR Jaime\Por presentar a ECP\Cantagallo\Cristalina\[VRC_CRISTALINA_CF_SEC_20221231.xlsx]CF PNP'!$BT$71</t>
  </si>
  <si>
    <t>='C:\Users\jaime.benazar\Quorum Business Solutions\Ecopetrol Prometeo - Documents\Planning Space Implementation\3. Analysis &amp; Design\Design\FC22\DRR Jaime\Por presentar a ECP\Cantagallo\Cristalina\[VRC_CRISTALINA_CF_SEC_20221231.xlsx]CF PNP'!$BT$72</t>
  </si>
  <si>
    <t>='C:\Users\jaime.benazar\Quorum Business Solutions\Ecopetrol Prometeo - Documents\Planning Space Implementation\3. Analysis &amp; Design\Design\FC22\DRR Jaime\Por presentar a ECP\Cantagallo\Cristalina\[VRC_CRISTALINA_CF_SEC_20221231.xlsx]CF PND'!$BT$36</t>
  </si>
  <si>
    <t>='C:\Users\jaime.benazar\Quorum Business Solutions\Ecopetrol Prometeo - Documents\Planning Space Implementation\3. Analysis &amp; Design\Design\FC22\DRR Jaime\Por presentar a ECP\Cantagallo\Cristalina\[VRC_CRISTALINA_CF_SEC_20221231.xlsx]CF PND'!$BT$37</t>
  </si>
  <si>
    <t>='C:\Users\jaime.benazar\Quorum Business Solutions\Ecopetrol Prometeo - Documents\Planning Space Implementation\3. Analysis &amp; Design\Design\FC22\DRR Jaime\Por presentar a ECP\Cantagallo\Cristalina\[VRC_CRISTALINA_CF_SEC_20221231.xlsx]CF PND'!$BT$38</t>
  </si>
  <si>
    <t>='C:\Users\jaime.benazar\Quorum Business Solutions\Ecopetrol Prometeo - Documents\Planning Space Implementation\3. Analysis &amp; Design\Design\FC22\DRR Jaime\Por presentar a ECP\Cantagallo\Cristalina\[VRC_CRISTALINA_CF_SEC_20221231.xlsx]CF PND'!$BT$39</t>
  </si>
  <si>
    <t>='C:\Users\jaime.benazar\Quorum Business Solutions\Ecopetrol Prometeo - Documents\Planning Space Implementation\3. Analysis &amp; Design\Design\FC22\DRR Jaime\Por presentar a ECP\Cantagallo\Cristalina\[VRC_CRISTALINA_CF_SEC_20221231.xlsx]CF PND'!$BT$40</t>
  </si>
  <si>
    <t>='C:\Users\jaime.benazar\Quorum Business Solutions\Ecopetrol Prometeo - Documents\Planning Space Implementation\3. Analysis &amp; Design\Design\FC22\DRR Jaime\Por presentar a ECP\Cantagallo\Cristalina\[VRC_CRISTALINA_CF_SEC_20221231.xlsx]CF PND'!$BT$41</t>
  </si>
  <si>
    <t>='C:\Users\jaime.benazar\Quorum Business Solutions\Ecopetrol Prometeo - Documents\Planning Space Implementation\3. Analysis &amp; Design\Design\FC22\DRR Jaime\Por presentar a ECP\Cantagallo\Cristalina\[VRC_CRISTALINA_CF_SEC_20221231.xlsx]CF PND'!$BT$42</t>
  </si>
  <si>
    <t>='C:\Users\jaime.benazar\Quorum Business Solutions\Ecopetrol Prometeo - Documents\Planning Space Implementation\3. Analysis &amp; Design\Design\FC22\DRR Jaime\Por presentar a ECP\Cantagallo\Cristalina\[VRC_CRISTALINA_CF_SEC_20221231.xlsx]CF PND'!$BT$43</t>
  </si>
  <si>
    <t>='C:\Users\jaime.benazar\Quorum Business Solutions\Ecopetrol Prometeo - Documents\Planning Space Implementation\3. Analysis &amp; Design\Design\FC22\DRR Jaime\Por presentar a ECP\Cantagallo\Cristalina\[VRC_CRISTALINA_CF_SEC_20221231.xlsx]CF PND'!$BT$44</t>
  </si>
  <si>
    <t>='C:\Users\jaime.benazar\Quorum Business Solutions\Ecopetrol Prometeo - Documents\Planning Space Implementation\3. Analysis &amp; Design\Design\FC22\DRR Jaime\Por presentar a ECP\Cantagallo\Cristalina\[VRC_CRISTALINA_CF_SEC_20221231.xlsx]CF PND'!$BT$45</t>
  </si>
  <si>
    <t>='C:\Users\jaime.benazar\Quorum Business Solutions\Ecopetrol Prometeo - Documents\Planning Space Implementation\3. Analysis &amp; Design\Design\FC22\DRR Jaime\Por presentar a ECP\Cantagallo\Cristalina\[VRC_CRISTALINA_CF_SEC_20221231.xlsx]CF PND'!$BT$46</t>
  </si>
  <si>
    <t>='C:\Users\jaime.benazar\Quorum Business Solutions\Ecopetrol Prometeo - Documents\Planning Space Implementation\3. Analysis &amp; Design\Design\FC22\DRR Jaime\Por presentar a ECP\Cantagallo\Cristalina\[VRC_CRISTALINA_CF_SEC_20221231.xlsx]CF PND'!$BT$47</t>
  </si>
  <si>
    <t>='C:\Users\jaime.benazar\Quorum Business Solutions\Ecopetrol Prometeo - Documents\Planning Space Implementation\3. Analysis &amp; Design\Design\FC22\DRR Jaime\Por presentar a ECP\Cantagallo\Cristalina\[VRC_CRISTALINA_CF_SEC_20221231.xlsx]CF PND'!$BT$48</t>
  </si>
  <si>
    <t>='C:\Users\jaime.benazar\Quorum Business Solutions\Ecopetrol Prometeo - Documents\Planning Space Implementation\3. Analysis &amp; Design\Design\FC22\DRR Jaime\Por presentar a ECP\Cantagallo\Cristalina\[VRC_CRISTALINA_CF_SEC_20221231.xlsx]CF PND'!$BT$49</t>
  </si>
  <si>
    <t>='C:\Users\jaime.benazar\Quorum Business Solutions\Ecopetrol Prometeo - Documents\Planning Space Implementation\3. Analysis &amp; Design\Design\FC22\DRR Jaime\Por presentar a ECP\Cantagallo\Cristalina\[VRC_CRISTALINA_CF_SEC_20221231.xlsx]CF PND'!$BT$50</t>
  </si>
  <si>
    <t>='C:\Users\jaime.benazar\Quorum Business Solutions\Ecopetrol Prometeo - Documents\Planning Space Implementation\3. Analysis &amp; Design\Design\FC22\DRR Jaime\Por presentar a ECP\Cantagallo\Cristalina\[VRC_CRISTALINA_CF_SEC_20221231.xlsx]CF PND'!$BT$51</t>
  </si>
  <si>
    <t>='C:\Users\jaime.benazar\Quorum Business Solutions\Ecopetrol Prometeo - Documents\Planning Space Implementation\3. Analysis &amp; Design\Design\FC22\DRR Jaime\Por presentar a ECP\Cantagallo\Cristalina\[VRC_CRISTALINA_CF_SEC_20221231.xlsx]CF PND'!$BT$52</t>
  </si>
  <si>
    <t>='C:\Users\jaime.benazar\Quorum Business Solutions\Ecopetrol Prometeo - Documents\Planning Space Implementation\3. Analysis &amp; Design\Design\FC22\DRR Jaime\Por presentar a ECP\Cantagallo\Cristalina\[VRC_CRISTALINA_CF_SEC_20221231.xlsx]CF PND'!$BT$53</t>
  </si>
  <si>
    <t>='C:\Users\jaime.benazar\Quorum Business Solutions\Ecopetrol Prometeo - Documents\Planning Space Implementation\3. Analysis &amp; Design\Design\FC22\DRR Jaime\Por presentar a ECP\Cantagallo\Cristalina\[VRC_CRISTALINA_CF_SEC_20221231.xlsx]CF PND'!$BT$54</t>
  </si>
  <si>
    <t>='C:\Users\jaime.benazar\Quorum Business Solutions\Ecopetrol Prometeo - Documents\Planning Space Implementation\3. Analysis &amp; Design\Design\FC22\DRR Jaime\Por presentar a ECP\Cantagallo\Cristalina\[VRC_CRISTALINA_CF_SEC_20221231.xlsx]CF PND'!$BT$55</t>
  </si>
  <si>
    <t>='C:\Users\jaime.benazar\Quorum Business Solutions\Ecopetrol Prometeo - Documents\Planning Space Implementation\3. Analysis &amp; Design\Design\FC22\DRR Jaime\Por presentar a ECP\Cantagallo\Cristalina\[VRC_CRISTALINA_CF_SEC_20221231.xlsx]CF PND'!$BT$56</t>
  </si>
  <si>
    <t>='C:\Users\jaime.benazar\Quorum Business Solutions\Ecopetrol Prometeo - Documents\Planning Space Implementation\3. Analysis &amp; Design\Design\FC22\DRR Jaime\Por presentar a ECP\Cantagallo\Cristalina\[VRC_CRISTALINA_CF_SEC_20221231.xlsx]CF PND'!$BT$57</t>
  </si>
  <si>
    <t>='C:\Users\jaime.benazar\Quorum Business Solutions\Ecopetrol Prometeo - Documents\Planning Space Implementation\3. Analysis &amp; Design\Design\FC22\DRR Jaime\Por presentar a ECP\Cantagallo\Cristalina\[VRC_CRISTALINA_CF_SEC_20221231.xlsx]CF PND'!$BT$58</t>
  </si>
  <si>
    <t>='C:\Users\jaime.benazar\Quorum Business Solutions\Ecopetrol Prometeo - Documents\Planning Space Implementation\3. Analysis &amp; Design\Design\FC22\DRR Jaime\Por presentar a ECP\Cantagallo\Cristalina\[VRC_CRISTALINA_CF_SEC_20221231.xlsx]CF PND'!$BT$59</t>
  </si>
  <si>
    <t>='C:\Users\jaime.benazar\Quorum Business Solutions\Ecopetrol Prometeo - Documents\Planning Space Implementation\3. Analysis &amp; Design\Design\FC22\DRR Jaime\Por presentar a ECP\Cantagallo\Cristalina\[VRC_CRISTALINA_CF_SEC_20221231.xlsx]CF PND'!$BT$60</t>
  </si>
  <si>
    <t>='C:\Users\jaime.benazar\Quorum Business Solutions\Ecopetrol Prometeo - Documents\Planning Space Implementation\3. Analysis &amp; Design\Design\FC22\DRR Jaime\Por presentar a ECP\Cantagallo\Cristalina\[VRC_CRISTALINA_CF_SEC_20221231.xlsx]CF PND'!$BT$61</t>
  </si>
  <si>
    <t>='C:\Users\jaime.benazar\Quorum Business Solutions\Ecopetrol Prometeo - Documents\Planning Space Implementation\3. Analysis &amp; Design\Design\FC22\DRR Jaime\Por presentar a ECP\Cantagallo\Cristalina\[VRC_CRISTALINA_CF_SEC_20221231.xlsx]CF PND'!$BT$62</t>
  </si>
  <si>
    <t>='C:\Users\jaime.benazar\Quorum Business Solutions\Ecopetrol Prometeo - Documents\Planning Space Implementation\3. Analysis &amp; Design\Design\FC22\DRR Jaime\Por presentar a ECP\Cantagallo\Cristalina\[VRC_CRISTALINA_CF_SEC_20221231.xlsx]CF PND'!$BT$63</t>
  </si>
  <si>
    <t>='C:\Users\jaime.benazar\Quorum Business Solutions\Ecopetrol Prometeo - Documents\Planning Space Implementation\3. Analysis &amp; Design\Design\FC22\DRR Jaime\Por presentar a ECP\Cantagallo\Cristalina\[VRC_CRISTALINA_CF_SEC_20221231.xlsx]CF PND'!$BT$64</t>
  </si>
  <si>
    <t>='C:\Users\jaime.benazar\Quorum Business Solutions\Ecopetrol Prometeo - Documents\Planning Space Implementation\3. Analysis &amp; Design\Design\FC22\DRR Jaime\Por presentar a ECP\Cantagallo\Cristalina\[VRC_CRISTALINA_CF_SEC_20221231.xlsx]CF PND'!$BT$65</t>
  </si>
  <si>
    <t>='C:\Users\jaime.benazar\Quorum Business Solutions\Ecopetrol Prometeo - Documents\Planning Space Implementation\3. Analysis &amp; Design\Design\FC22\DRR Jaime\Por presentar a ECP\Cantagallo\Cristalina\[VRC_CRISTALINA_CF_SEC_20221231.xlsx]CF PND'!$BT$66</t>
  </si>
  <si>
    <t>='C:\Users\jaime.benazar\Quorum Business Solutions\Ecopetrol Prometeo - Documents\Planning Space Implementation\3. Analysis &amp; Design\Design\FC22\DRR Jaime\Por presentar a ECP\Cantagallo\Cristalina\[VRC_CRISTALINA_CF_SEC_20221231.xlsx]CF PND'!$BT$67</t>
  </si>
  <si>
    <t>='C:\Users\jaime.benazar\Quorum Business Solutions\Ecopetrol Prometeo - Documents\Planning Space Implementation\3. Analysis &amp; Design\Design\FC22\DRR Jaime\Por presentar a ECP\Cantagallo\Cristalina\[VRC_CRISTALINA_CF_SEC_20221231.xlsx]CF PND'!$BT$68</t>
  </si>
  <si>
    <t>='C:\Users\jaime.benazar\Quorum Business Solutions\Ecopetrol Prometeo - Documents\Planning Space Implementation\3. Analysis &amp; Design\Design\FC22\DRR Jaime\Por presentar a ECP\Cantagallo\Cristalina\[VRC_CRISTALINA_CF_SEC_20221231.xlsx]CF PND'!$BT$69</t>
  </si>
  <si>
    <t>='C:\Users\jaime.benazar\Quorum Business Solutions\Ecopetrol Prometeo - Documents\Planning Space Implementation\3. Analysis &amp; Design\Design\FC22\DRR Jaime\Por presentar a ECP\Cantagallo\Cristalina\[VRC_CRISTALINA_CF_SEC_20221231.xlsx]CF PND'!$BT$70</t>
  </si>
  <si>
    <t>='C:\Users\jaime.benazar\Quorum Business Solutions\Ecopetrol Prometeo - Documents\Planning Space Implementation\3. Analysis &amp; Design\Design\FC22\DRR Jaime\Por presentar a ECP\Cantagallo\Cristalina\[VRC_CRISTALINA_CF_SEC_20221231.xlsx]CF PND'!$BT$71</t>
  </si>
  <si>
    <t>='C:\Users\jaime.benazar\Quorum Business Solutions\Ecopetrol Prometeo - Documents\Planning Space Implementation\3. Analysis &amp; Design\Design\FC22\DRR Jaime\Por presentar a ECP\Cantagallo\Cristalina\[VRC_CRISTALINA_CF_SEC_20221231.xlsx]CF PND'!$BT$72</t>
  </si>
  <si>
    <t>='C:\Users\jaime.benazar\Quorum Business Solutions\Ecopetrol Prometeo - Documents\Planning Space Implementation\3. Analysis &amp; Design\Design\FC22\DRR Jaime\Por presentar a ECP\Cantagallo\Cristalina\[VRC_CRISTALINA_CF_SEC_20221231.xlsx]CF PRB'!$BT$36</t>
  </si>
  <si>
    <t>='C:\Users\jaime.benazar\Quorum Business Solutions\Ecopetrol Prometeo - Documents\Planning Space Implementation\3. Analysis &amp; Design\Design\FC22\DRR Jaime\Por presentar a ECP\Cantagallo\Cristalina\[VRC_CRISTALINA_CF_SEC_20221231.xlsx]CF PRB'!$BT$37</t>
  </si>
  <si>
    <t>='C:\Users\jaime.benazar\Quorum Business Solutions\Ecopetrol Prometeo - Documents\Planning Space Implementation\3. Analysis &amp; Design\Design\FC22\DRR Jaime\Por presentar a ECP\Cantagallo\Cristalina\[VRC_CRISTALINA_CF_SEC_20221231.xlsx]CF PRB'!$BT$38</t>
  </si>
  <si>
    <t>='C:\Users\jaime.benazar\Quorum Business Solutions\Ecopetrol Prometeo - Documents\Planning Space Implementation\3. Analysis &amp; Design\Design\FC22\DRR Jaime\Por presentar a ECP\Cantagallo\Cristalina\[VRC_CRISTALINA_CF_SEC_20221231.xlsx]CF PRB'!$BT$39</t>
  </si>
  <si>
    <t>='C:\Users\jaime.benazar\Quorum Business Solutions\Ecopetrol Prometeo - Documents\Planning Space Implementation\3. Analysis &amp; Design\Design\FC22\DRR Jaime\Por presentar a ECP\Cantagallo\Cristalina\[VRC_CRISTALINA_CF_SEC_20221231.xlsx]CF PRB'!$BT$40</t>
  </si>
  <si>
    <t>='C:\Users\jaime.benazar\Quorum Business Solutions\Ecopetrol Prometeo - Documents\Planning Space Implementation\3. Analysis &amp; Design\Design\FC22\DRR Jaime\Por presentar a ECP\Cantagallo\Cristalina\[VRC_CRISTALINA_CF_SEC_20221231.xlsx]CF PRB'!$BT$41</t>
  </si>
  <si>
    <t>='C:\Users\jaime.benazar\Quorum Business Solutions\Ecopetrol Prometeo - Documents\Planning Space Implementation\3. Analysis &amp; Design\Design\FC22\DRR Jaime\Por presentar a ECP\Cantagallo\Cristalina\[VRC_CRISTALINA_CF_SEC_20221231.xlsx]CF PRB'!$BT$42</t>
  </si>
  <si>
    <t>='C:\Users\jaime.benazar\Quorum Business Solutions\Ecopetrol Prometeo - Documents\Planning Space Implementation\3. Analysis &amp; Design\Design\FC22\DRR Jaime\Por presentar a ECP\Cantagallo\Cristalina\[VRC_CRISTALINA_CF_SEC_20221231.xlsx]CF PRB'!$BT$43</t>
  </si>
  <si>
    <t>='C:\Users\jaime.benazar\Quorum Business Solutions\Ecopetrol Prometeo - Documents\Planning Space Implementation\3. Analysis &amp; Design\Design\FC22\DRR Jaime\Por presentar a ECP\Cantagallo\Cristalina\[VRC_CRISTALINA_CF_SEC_20221231.xlsx]CF PRB'!$BT$44</t>
  </si>
  <si>
    <t>='C:\Users\jaime.benazar\Quorum Business Solutions\Ecopetrol Prometeo - Documents\Planning Space Implementation\3. Analysis &amp; Design\Design\FC22\DRR Jaime\Por presentar a ECP\Cantagallo\Cristalina\[VRC_CRISTALINA_CF_SEC_20221231.xlsx]CF PRB'!$BT$45</t>
  </si>
  <si>
    <t>='C:\Users\jaime.benazar\Quorum Business Solutions\Ecopetrol Prometeo - Documents\Planning Space Implementation\3. Analysis &amp; Design\Design\FC22\DRR Jaime\Por presentar a ECP\Cantagallo\Cristalina\[VRC_CRISTALINA_CF_SEC_20221231.xlsx]CF PRB'!$BT$46</t>
  </si>
  <si>
    <t>='C:\Users\jaime.benazar\Quorum Business Solutions\Ecopetrol Prometeo - Documents\Planning Space Implementation\3. Analysis &amp; Design\Design\FC22\DRR Jaime\Por presentar a ECP\Cantagallo\Cristalina\[VRC_CRISTALINA_CF_SEC_20221231.xlsx]CF PRB'!$BT$47</t>
  </si>
  <si>
    <t>='C:\Users\jaime.benazar\Quorum Business Solutions\Ecopetrol Prometeo - Documents\Planning Space Implementation\3. Analysis &amp; Design\Design\FC22\DRR Jaime\Por presentar a ECP\Cantagallo\Cristalina\[VRC_CRISTALINA_CF_SEC_20221231.xlsx]CF PRB'!$BT$48</t>
  </si>
  <si>
    <t>='C:\Users\jaime.benazar\Quorum Business Solutions\Ecopetrol Prometeo - Documents\Planning Space Implementation\3. Analysis &amp; Design\Design\FC22\DRR Jaime\Por presentar a ECP\Cantagallo\Cristalina\[VRC_CRISTALINA_CF_SEC_20221231.xlsx]CF PRB'!$BT$49</t>
  </si>
  <si>
    <t>='C:\Users\jaime.benazar\Quorum Business Solutions\Ecopetrol Prometeo - Documents\Planning Space Implementation\3. Analysis &amp; Design\Design\FC22\DRR Jaime\Por presentar a ECP\Cantagallo\Cristalina\[VRC_CRISTALINA_CF_SEC_20221231.xlsx]CF PRB'!$BT$50</t>
  </si>
  <si>
    <t>='C:\Users\jaime.benazar\Quorum Business Solutions\Ecopetrol Prometeo - Documents\Planning Space Implementation\3. Analysis &amp; Design\Design\FC22\DRR Jaime\Por presentar a ECP\Cantagallo\Cristalina\[VRC_CRISTALINA_CF_SEC_20221231.xlsx]CF PRB'!$BT$51</t>
  </si>
  <si>
    <t>='C:\Users\jaime.benazar\Quorum Business Solutions\Ecopetrol Prometeo - Documents\Planning Space Implementation\3. Analysis &amp; Design\Design\FC22\DRR Jaime\Por presentar a ECP\Cantagallo\Cristalina\[VRC_CRISTALINA_CF_SEC_20221231.xlsx]CF PRB'!$BT$52</t>
  </si>
  <si>
    <t>='C:\Users\jaime.benazar\Quorum Business Solutions\Ecopetrol Prometeo - Documents\Planning Space Implementation\3. Analysis &amp; Design\Design\FC22\DRR Jaime\Por presentar a ECP\Cantagallo\Cristalina\[VRC_CRISTALINA_CF_SEC_20221231.xlsx]CF PRB'!$BT$53</t>
  </si>
  <si>
    <t>='C:\Users\jaime.benazar\Quorum Business Solutions\Ecopetrol Prometeo - Documents\Planning Space Implementation\3. Analysis &amp; Design\Design\FC22\DRR Jaime\Por presentar a ECP\Cantagallo\Cristalina\[VRC_CRISTALINA_CF_SEC_20221231.xlsx]CF PRB'!$BT$54</t>
  </si>
  <si>
    <t>='C:\Users\jaime.benazar\Quorum Business Solutions\Ecopetrol Prometeo - Documents\Planning Space Implementation\3. Analysis &amp; Design\Design\FC22\DRR Jaime\Por presentar a ECP\Cantagallo\Cristalina\[VRC_CRISTALINA_CF_SEC_20221231.xlsx]CF PRB'!$BT$55</t>
  </si>
  <si>
    <t>='C:\Users\jaime.benazar\Quorum Business Solutions\Ecopetrol Prometeo - Documents\Planning Space Implementation\3. Analysis &amp; Design\Design\FC22\DRR Jaime\Por presentar a ECP\Cantagallo\Cristalina\[VRC_CRISTALINA_CF_SEC_20221231.xlsx]CF PRB'!$BT$56</t>
  </si>
  <si>
    <t>='C:\Users\jaime.benazar\Quorum Business Solutions\Ecopetrol Prometeo - Documents\Planning Space Implementation\3. Analysis &amp; Design\Design\FC22\DRR Jaime\Por presentar a ECP\Cantagallo\Cristalina\[VRC_CRISTALINA_CF_SEC_20221231.xlsx]CF PRB'!$BT$57</t>
  </si>
  <si>
    <t>='C:\Users\jaime.benazar\Quorum Business Solutions\Ecopetrol Prometeo - Documents\Planning Space Implementation\3. Analysis &amp; Design\Design\FC22\DRR Jaime\Por presentar a ECP\Cantagallo\Cristalina\[VRC_CRISTALINA_CF_SEC_20221231.xlsx]CF PRB'!$BT$58</t>
  </si>
  <si>
    <t>='C:\Users\jaime.benazar\Quorum Business Solutions\Ecopetrol Prometeo - Documents\Planning Space Implementation\3. Analysis &amp; Design\Design\FC22\DRR Jaime\Por presentar a ECP\Cantagallo\Cristalina\[VRC_CRISTALINA_CF_SEC_20221231.xlsx]CF PRB'!$BT$59</t>
  </si>
  <si>
    <t>='C:\Users\jaime.benazar\Quorum Business Solutions\Ecopetrol Prometeo - Documents\Planning Space Implementation\3. Analysis &amp; Design\Design\FC22\DRR Jaime\Por presentar a ECP\Cantagallo\Cristalina\[VRC_CRISTALINA_CF_SEC_20221231.xlsx]CF PRB'!$BT$60</t>
  </si>
  <si>
    <t>='C:\Users\jaime.benazar\Quorum Business Solutions\Ecopetrol Prometeo - Documents\Planning Space Implementation\3. Analysis &amp; Design\Design\FC22\DRR Jaime\Por presentar a ECP\Cantagallo\Cristalina\[VRC_CRISTALINA_CF_SEC_20221231.xlsx]CF PRB'!$BT$61</t>
  </si>
  <si>
    <t>='C:\Users\jaime.benazar\Quorum Business Solutions\Ecopetrol Prometeo - Documents\Planning Space Implementation\3. Analysis &amp; Design\Design\FC22\DRR Jaime\Por presentar a ECP\Cantagallo\Cristalina\[VRC_CRISTALINA_CF_SEC_20221231.xlsx]CF PRB'!$BT$62</t>
  </si>
  <si>
    <t>='C:\Users\jaime.benazar\Quorum Business Solutions\Ecopetrol Prometeo - Documents\Planning Space Implementation\3. Analysis &amp; Design\Design\FC22\DRR Jaime\Por presentar a ECP\Cantagallo\Cristalina\[VRC_CRISTALINA_CF_SEC_20221231.xlsx]CF PRB'!$BT$63</t>
  </si>
  <si>
    <t>='C:\Users\jaime.benazar\Quorum Business Solutions\Ecopetrol Prometeo - Documents\Planning Space Implementation\3. Analysis &amp; Design\Design\FC22\DRR Jaime\Por presentar a ECP\Cantagallo\Cristalina\[VRC_CRISTALINA_CF_SEC_20221231.xlsx]CF PRB'!$BT$64</t>
  </si>
  <si>
    <t>='C:\Users\jaime.benazar\Quorum Business Solutions\Ecopetrol Prometeo - Documents\Planning Space Implementation\3. Analysis &amp; Design\Design\FC22\DRR Jaime\Por presentar a ECP\Cantagallo\Cristalina\[VRC_CRISTALINA_CF_SEC_20221231.xlsx]CF PRB'!$BT$65</t>
  </si>
  <si>
    <t>='C:\Users\jaime.benazar\Quorum Business Solutions\Ecopetrol Prometeo - Documents\Planning Space Implementation\3. Analysis &amp; Design\Design\FC22\DRR Jaime\Por presentar a ECP\Cantagallo\Cristalina\[VRC_CRISTALINA_CF_SEC_20221231.xlsx]CF PRB'!$BT$66</t>
  </si>
  <si>
    <t>='C:\Users\jaime.benazar\Quorum Business Solutions\Ecopetrol Prometeo - Documents\Planning Space Implementation\3. Analysis &amp; Design\Design\FC22\DRR Jaime\Por presentar a ECP\Cantagallo\Cristalina\[VRC_CRISTALINA_CF_SEC_20221231.xlsx]CF PRB'!$BT$67</t>
  </si>
  <si>
    <t>='C:\Users\jaime.benazar\Quorum Business Solutions\Ecopetrol Prometeo - Documents\Planning Space Implementation\3. Analysis &amp; Design\Design\FC22\DRR Jaime\Por presentar a ECP\Cantagallo\Cristalina\[VRC_CRISTALINA_CF_SEC_20221231.xlsx]CF PRB'!$BT$68</t>
  </si>
  <si>
    <t>='C:\Users\jaime.benazar\Quorum Business Solutions\Ecopetrol Prometeo - Documents\Planning Space Implementation\3. Analysis &amp; Design\Design\FC22\DRR Jaime\Por presentar a ECP\Cantagallo\Cristalina\[VRC_CRISTALINA_CF_SEC_20221231.xlsx]CF PRB'!$BT$69</t>
  </si>
  <si>
    <t>='C:\Users\jaime.benazar\Quorum Business Solutions\Ecopetrol Prometeo - Documents\Planning Space Implementation\3. Analysis &amp; Design\Design\FC22\DRR Jaime\Por presentar a ECP\Cantagallo\Cristalina\[VRC_CRISTALINA_CF_SEC_20221231.xlsx]CF PRB'!$BT$70</t>
  </si>
  <si>
    <t>='C:\Users\jaime.benazar\Quorum Business Solutions\Ecopetrol Prometeo - Documents\Planning Space Implementation\3. Analysis &amp; Design\Design\FC22\DRR Jaime\Por presentar a ECP\Cantagallo\Cristalina\[VRC_CRISTALINA_CF_SEC_20221231.xlsx]CF PRB'!$BT$71</t>
  </si>
  <si>
    <t>='C:\Users\jaime.benazar\Quorum Business Solutions\Ecopetrol Prometeo - Documents\Planning Space Implementation\3. Analysis &amp; Design\Design\FC22\DRR Jaime\Por presentar a ECP\Cantagallo\Cristalina\[VRC_CRISTALINA_CF_SEC_20221231.xlsx]CF PRB'!$BT$72</t>
  </si>
  <si>
    <t>='C:\Users\jaime.benazar\Quorum Business Solutions\Ecopetrol Prometeo - Documents\Planning Space Implementation\3. Analysis &amp; Design\Design\FC22\DRR Jaime\Por presentar a ECP\Cantagallo\Cristalina\[VRC_CRISTALINA_CF_SEC_20221231.xlsx]CF PS'!$BT$36</t>
  </si>
  <si>
    <t>='C:\Users\jaime.benazar\Quorum Business Solutions\Ecopetrol Prometeo - Documents\Planning Space Implementation\3. Analysis &amp; Design\Design\FC22\DRR Jaime\Por presentar a ECP\Cantagallo\Cristalina\[VRC_CRISTALINA_CF_SEC_20221231.xlsx]CF PS'!$BT$37</t>
  </si>
  <si>
    <t>='C:\Users\jaime.benazar\Quorum Business Solutions\Ecopetrol Prometeo - Documents\Planning Space Implementation\3. Analysis &amp; Design\Design\FC22\DRR Jaime\Por presentar a ECP\Cantagallo\Cristalina\[VRC_CRISTALINA_CF_SEC_20221231.xlsx]CF PS'!$BT$38</t>
  </si>
  <si>
    <t>='C:\Users\jaime.benazar\Quorum Business Solutions\Ecopetrol Prometeo - Documents\Planning Space Implementation\3. Analysis &amp; Design\Design\FC22\DRR Jaime\Por presentar a ECP\Cantagallo\Cristalina\[VRC_CRISTALINA_CF_SEC_20221231.xlsx]CF PS'!$BT$39</t>
  </si>
  <si>
    <t>='C:\Users\jaime.benazar\Quorum Business Solutions\Ecopetrol Prometeo - Documents\Planning Space Implementation\3. Analysis &amp; Design\Design\FC22\DRR Jaime\Por presentar a ECP\Cantagallo\Cristalina\[VRC_CRISTALINA_CF_SEC_20221231.xlsx]CF PS'!$BT$40</t>
  </si>
  <si>
    <t>='C:\Users\jaime.benazar\Quorum Business Solutions\Ecopetrol Prometeo - Documents\Planning Space Implementation\3. Analysis &amp; Design\Design\FC22\DRR Jaime\Por presentar a ECP\Cantagallo\Cristalina\[VRC_CRISTALINA_CF_SEC_20221231.xlsx]CF PS'!$BT$41</t>
  </si>
  <si>
    <t>='C:\Users\jaime.benazar\Quorum Business Solutions\Ecopetrol Prometeo - Documents\Planning Space Implementation\3. Analysis &amp; Design\Design\FC22\DRR Jaime\Por presentar a ECP\Cantagallo\Cristalina\[VRC_CRISTALINA_CF_SEC_20221231.xlsx]CF PS'!$BT$42</t>
  </si>
  <si>
    <t>='C:\Users\jaime.benazar\Quorum Business Solutions\Ecopetrol Prometeo - Documents\Planning Space Implementation\3. Analysis &amp; Design\Design\FC22\DRR Jaime\Por presentar a ECP\Cantagallo\Cristalina\[VRC_CRISTALINA_CF_SEC_20221231.xlsx]CF PS'!$BT$43</t>
  </si>
  <si>
    <t>='C:\Users\jaime.benazar\Quorum Business Solutions\Ecopetrol Prometeo - Documents\Planning Space Implementation\3. Analysis &amp; Design\Design\FC22\DRR Jaime\Por presentar a ECP\Cantagallo\Cristalina\[VRC_CRISTALINA_CF_SEC_20221231.xlsx]CF PS'!$BT$44</t>
  </si>
  <si>
    <t>='C:\Users\jaime.benazar\Quorum Business Solutions\Ecopetrol Prometeo - Documents\Planning Space Implementation\3. Analysis &amp; Design\Design\FC22\DRR Jaime\Por presentar a ECP\Cantagallo\Cristalina\[VRC_CRISTALINA_CF_SEC_20221231.xlsx]CF PS'!$BT$45</t>
  </si>
  <si>
    <t>='C:\Users\jaime.benazar\Quorum Business Solutions\Ecopetrol Prometeo - Documents\Planning Space Implementation\3. Analysis &amp; Design\Design\FC22\DRR Jaime\Por presentar a ECP\Cantagallo\Cristalina\[VRC_CRISTALINA_CF_SEC_20221231.xlsx]CF PS'!$BT$46</t>
  </si>
  <si>
    <t>='C:\Users\jaime.benazar\Quorum Business Solutions\Ecopetrol Prometeo - Documents\Planning Space Implementation\3. Analysis &amp; Design\Design\FC22\DRR Jaime\Por presentar a ECP\Cantagallo\Cristalina\[VRC_CRISTALINA_CF_SEC_20221231.xlsx]CF PS'!$BT$47</t>
  </si>
  <si>
    <t>='C:\Users\jaime.benazar\Quorum Business Solutions\Ecopetrol Prometeo - Documents\Planning Space Implementation\3. Analysis &amp; Design\Design\FC22\DRR Jaime\Por presentar a ECP\Cantagallo\Cristalina\[VRC_CRISTALINA_CF_SEC_20221231.xlsx]CF PS'!$BT$48</t>
  </si>
  <si>
    <t>='C:\Users\jaime.benazar\Quorum Business Solutions\Ecopetrol Prometeo - Documents\Planning Space Implementation\3. Analysis &amp; Design\Design\FC22\DRR Jaime\Por presentar a ECP\Cantagallo\Cristalina\[VRC_CRISTALINA_CF_SEC_20221231.xlsx]CF PS'!$BT$49</t>
  </si>
  <si>
    <t>='C:\Users\jaime.benazar\Quorum Business Solutions\Ecopetrol Prometeo - Documents\Planning Space Implementation\3. Analysis &amp; Design\Design\FC22\DRR Jaime\Por presentar a ECP\Cantagallo\Cristalina\[VRC_CRISTALINA_CF_SEC_20221231.xlsx]CF PS'!$BT$50</t>
  </si>
  <si>
    <t>='C:\Users\jaime.benazar\Quorum Business Solutions\Ecopetrol Prometeo - Documents\Planning Space Implementation\3. Analysis &amp; Design\Design\FC22\DRR Jaime\Por presentar a ECP\Cantagallo\Cristalina\[VRC_CRISTALINA_CF_SEC_20221231.xlsx]CF PS'!$BT$51</t>
  </si>
  <si>
    <t>='C:\Users\jaime.benazar\Quorum Business Solutions\Ecopetrol Prometeo - Documents\Planning Space Implementation\3. Analysis &amp; Design\Design\FC22\DRR Jaime\Por presentar a ECP\Cantagallo\Cristalina\[VRC_CRISTALINA_CF_SEC_20221231.xlsx]CF PS'!$BT$52</t>
  </si>
  <si>
    <t>='C:\Users\jaime.benazar\Quorum Business Solutions\Ecopetrol Prometeo - Documents\Planning Space Implementation\3. Analysis &amp; Design\Design\FC22\DRR Jaime\Por presentar a ECP\Cantagallo\Cristalina\[VRC_CRISTALINA_CF_SEC_20221231.xlsx]CF PS'!$BT$53</t>
  </si>
  <si>
    <t>='C:\Users\jaime.benazar\Quorum Business Solutions\Ecopetrol Prometeo - Documents\Planning Space Implementation\3. Analysis &amp; Design\Design\FC22\DRR Jaime\Por presentar a ECP\Cantagallo\Cristalina\[VRC_CRISTALINA_CF_SEC_20221231.xlsx]CF PS'!$BT$54</t>
  </si>
  <si>
    <t>='C:\Users\jaime.benazar\Quorum Business Solutions\Ecopetrol Prometeo - Documents\Planning Space Implementation\3. Analysis &amp; Design\Design\FC22\DRR Jaime\Por presentar a ECP\Cantagallo\Cristalina\[VRC_CRISTALINA_CF_SEC_20221231.xlsx]CF PS'!$BT$55</t>
  </si>
  <si>
    <t>='C:\Users\jaime.benazar\Quorum Business Solutions\Ecopetrol Prometeo - Documents\Planning Space Implementation\3. Analysis &amp; Design\Design\FC22\DRR Jaime\Por presentar a ECP\Cantagallo\Cristalina\[VRC_CRISTALINA_CF_SEC_20221231.xlsx]CF PS'!$BT$56</t>
  </si>
  <si>
    <t>='C:\Users\jaime.benazar\Quorum Business Solutions\Ecopetrol Prometeo - Documents\Planning Space Implementation\3. Analysis &amp; Design\Design\FC22\DRR Jaime\Por presentar a ECP\Cantagallo\Cristalina\[VRC_CRISTALINA_CF_SEC_20221231.xlsx]CF PS'!$BT$57</t>
  </si>
  <si>
    <t>='C:\Users\jaime.benazar\Quorum Business Solutions\Ecopetrol Prometeo - Documents\Planning Space Implementation\3. Analysis &amp; Design\Design\FC22\DRR Jaime\Por presentar a ECP\Cantagallo\Cristalina\[VRC_CRISTALINA_CF_SEC_20221231.xlsx]CF PS'!$BT$58</t>
  </si>
  <si>
    <t>='C:\Users\jaime.benazar\Quorum Business Solutions\Ecopetrol Prometeo - Documents\Planning Space Implementation\3. Analysis &amp; Design\Design\FC22\DRR Jaime\Por presentar a ECP\Cantagallo\Cristalina\[VRC_CRISTALINA_CF_SEC_20221231.xlsx]CF PS'!$BT$59</t>
  </si>
  <si>
    <t>='C:\Users\jaime.benazar\Quorum Business Solutions\Ecopetrol Prometeo - Documents\Planning Space Implementation\3. Analysis &amp; Design\Design\FC22\DRR Jaime\Por presentar a ECP\Cantagallo\Cristalina\[VRC_CRISTALINA_CF_SEC_20221231.xlsx]CF PS'!$BT$60</t>
  </si>
  <si>
    <t>='C:\Users\jaime.benazar\Quorum Business Solutions\Ecopetrol Prometeo - Documents\Planning Space Implementation\3. Analysis &amp; Design\Design\FC22\DRR Jaime\Por presentar a ECP\Cantagallo\Cristalina\[VRC_CRISTALINA_CF_SEC_20221231.xlsx]CF PS'!$BT$61</t>
  </si>
  <si>
    <t>='C:\Users\jaime.benazar\Quorum Business Solutions\Ecopetrol Prometeo - Documents\Planning Space Implementation\3. Analysis &amp; Design\Design\FC22\DRR Jaime\Por presentar a ECP\Cantagallo\Cristalina\[VRC_CRISTALINA_CF_SEC_20221231.xlsx]CF PS'!$BT$62</t>
  </si>
  <si>
    <t>='C:\Users\jaime.benazar\Quorum Business Solutions\Ecopetrol Prometeo - Documents\Planning Space Implementation\3. Analysis &amp; Design\Design\FC22\DRR Jaime\Por presentar a ECP\Cantagallo\Cristalina\[VRC_CRISTALINA_CF_SEC_20221231.xlsx]CF PS'!$BT$63</t>
  </si>
  <si>
    <t>='C:\Users\jaime.benazar\Quorum Business Solutions\Ecopetrol Prometeo - Documents\Planning Space Implementation\3. Analysis &amp; Design\Design\FC22\DRR Jaime\Por presentar a ECP\Cantagallo\Cristalina\[VRC_CRISTALINA_CF_SEC_20221231.xlsx]CF PS'!$BT$64</t>
  </si>
  <si>
    <t>='C:\Users\jaime.benazar\Quorum Business Solutions\Ecopetrol Prometeo - Documents\Planning Space Implementation\3. Analysis &amp; Design\Design\FC22\DRR Jaime\Por presentar a ECP\Cantagallo\Cristalina\[VRC_CRISTALINA_CF_SEC_20221231.xlsx]CF PS'!$BT$65</t>
  </si>
  <si>
    <t>='C:\Users\jaime.benazar\Quorum Business Solutions\Ecopetrol Prometeo - Documents\Planning Space Implementation\3. Analysis &amp; Design\Design\FC22\DRR Jaime\Por presentar a ECP\Cantagallo\Cristalina\[VRC_CRISTALINA_CF_SEC_20221231.xlsx]CF PS'!$BT$66</t>
  </si>
  <si>
    <t>='C:\Users\jaime.benazar\Quorum Business Solutions\Ecopetrol Prometeo - Documents\Planning Space Implementation\3. Analysis &amp; Design\Design\FC22\DRR Jaime\Por presentar a ECP\Cantagallo\Cristalina\[VRC_CRISTALINA_CF_SEC_20221231.xlsx]CF PS'!$BT$67</t>
  </si>
  <si>
    <t>='C:\Users\jaime.benazar\Quorum Business Solutions\Ecopetrol Prometeo - Documents\Planning Space Implementation\3. Analysis &amp; Design\Design\FC22\DRR Jaime\Por presentar a ECP\Cantagallo\Cristalina\[VRC_CRISTALINA_CF_SEC_20221231.xlsx]CF PS'!$BT$68</t>
  </si>
  <si>
    <t>='C:\Users\jaime.benazar\Quorum Business Solutions\Ecopetrol Prometeo - Documents\Planning Space Implementation\3. Analysis &amp; Design\Design\FC22\DRR Jaime\Por presentar a ECP\Cantagallo\Cristalina\[VRC_CRISTALINA_CF_SEC_20221231.xlsx]CF PS'!$BT$69</t>
  </si>
  <si>
    <t>='C:\Users\jaime.benazar\Quorum Business Solutions\Ecopetrol Prometeo - Documents\Planning Space Implementation\3. Analysis &amp; Design\Design\FC22\DRR Jaime\Por presentar a ECP\Cantagallo\Cristalina\[VRC_CRISTALINA_CF_SEC_20221231.xlsx]CF PS'!$BT$70</t>
  </si>
  <si>
    <t>='C:\Users\jaime.benazar\Quorum Business Solutions\Ecopetrol Prometeo - Documents\Planning Space Implementation\3. Analysis &amp; Design\Design\FC22\DRR Jaime\Por presentar a ECP\Cantagallo\Cristalina\[VRC_CRISTALINA_CF_SEC_20221231.xlsx]CF PS'!$BT$71</t>
  </si>
  <si>
    <t>='C:\Users\jaime.benazar\Quorum Business Solutions\Ecopetrol Prometeo - Documents\Planning Space Implementation\3. Analysis &amp; Design\Design\FC22\DRR Jaime\Por presentar a ECP\Cantagallo\Cristalina\[VRC_CRISTALINA_CF_SEC_20221231.xlsx]CF PS'!$BT$72</t>
  </si>
  <si>
    <t>='C:\Users\jaime.benazar\Quorum Business Solutions\Ecopetrol Prometeo - Documents\Planning Space Implementation\3. Analysis &amp; Design\Design\FC22\DRR Jaime\Por presentar a ECP\Cantagallo\Cristalina\[VRC_CRISTALINA_CF_SEC_20221231.xlsx]CF PDP'!$BW$36</t>
  </si>
  <si>
    <t>='C:\Users\jaime.benazar\Quorum Business Solutions\Ecopetrol Prometeo - Documents\Planning Space Implementation\3. Analysis &amp; Design\Design\FC22\DRR Jaime\Por presentar a ECP\Cantagallo\Cristalina\[VRC_CRISTALINA_CF_SEC_20221231.xlsx]CF PDP'!$BW$37</t>
  </si>
  <si>
    <t>='C:\Users\jaime.benazar\Quorum Business Solutions\Ecopetrol Prometeo - Documents\Planning Space Implementation\3. Analysis &amp; Design\Design\FC22\DRR Jaime\Por presentar a ECP\Cantagallo\Cristalina\[VRC_CRISTALINA_CF_SEC_20221231.xlsx]CF PDP'!$BW$38</t>
  </si>
  <si>
    <t>='C:\Users\jaime.benazar\Quorum Business Solutions\Ecopetrol Prometeo - Documents\Planning Space Implementation\3. Analysis &amp; Design\Design\FC22\DRR Jaime\Por presentar a ECP\Cantagallo\Cristalina\[VRC_CRISTALINA_CF_SEC_20221231.xlsx]CF PDP'!$BW$39</t>
  </si>
  <si>
    <t>='C:\Users\jaime.benazar\Quorum Business Solutions\Ecopetrol Prometeo - Documents\Planning Space Implementation\3. Analysis &amp; Design\Design\FC22\DRR Jaime\Por presentar a ECP\Cantagallo\Cristalina\[VRC_CRISTALINA_CF_SEC_20221231.xlsx]CF PDP'!$BW$40</t>
  </si>
  <si>
    <t>='C:\Users\jaime.benazar\Quorum Business Solutions\Ecopetrol Prometeo - Documents\Planning Space Implementation\3. Analysis &amp; Design\Design\FC22\DRR Jaime\Por presentar a ECP\Cantagallo\Cristalina\[VRC_CRISTALINA_CF_SEC_20221231.xlsx]CF PDP'!$BW$41</t>
  </si>
  <si>
    <t>='C:\Users\jaime.benazar\Quorum Business Solutions\Ecopetrol Prometeo - Documents\Planning Space Implementation\3. Analysis &amp; Design\Design\FC22\DRR Jaime\Por presentar a ECP\Cantagallo\Cristalina\[VRC_CRISTALINA_CF_SEC_20221231.xlsx]CF PDP'!$BW$42</t>
  </si>
  <si>
    <t>='C:\Users\jaime.benazar\Quorum Business Solutions\Ecopetrol Prometeo - Documents\Planning Space Implementation\3. Analysis &amp; Design\Design\FC22\DRR Jaime\Por presentar a ECP\Cantagallo\Cristalina\[VRC_CRISTALINA_CF_SEC_20221231.xlsx]CF PDP'!$BW$43</t>
  </si>
  <si>
    <t>='C:\Users\jaime.benazar\Quorum Business Solutions\Ecopetrol Prometeo - Documents\Planning Space Implementation\3. Analysis &amp; Design\Design\FC22\DRR Jaime\Por presentar a ECP\Cantagallo\Cristalina\[VRC_CRISTALINA_CF_SEC_20221231.xlsx]CF PDP'!$BW$44</t>
  </si>
  <si>
    <t>='C:\Users\jaime.benazar\Quorum Business Solutions\Ecopetrol Prometeo - Documents\Planning Space Implementation\3. Analysis &amp; Design\Design\FC22\DRR Jaime\Por presentar a ECP\Cantagallo\Cristalina\[VRC_CRISTALINA_CF_SEC_20221231.xlsx]CF PDP'!$BW$45</t>
  </si>
  <si>
    <t>='C:\Users\jaime.benazar\Quorum Business Solutions\Ecopetrol Prometeo - Documents\Planning Space Implementation\3. Analysis &amp; Design\Design\FC22\DRR Jaime\Por presentar a ECP\Cantagallo\Cristalina\[VRC_CRISTALINA_CF_SEC_20221231.xlsx]CF PDP'!$BW$46</t>
  </si>
  <si>
    <t>='C:\Users\jaime.benazar\Quorum Business Solutions\Ecopetrol Prometeo - Documents\Planning Space Implementation\3. Analysis &amp; Design\Design\FC22\DRR Jaime\Por presentar a ECP\Cantagallo\Cristalina\[VRC_CRISTALINA_CF_SEC_20221231.xlsx]CF PDP'!$BW$47</t>
  </si>
  <si>
    <t>='C:\Users\jaime.benazar\Quorum Business Solutions\Ecopetrol Prometeo - Documents\Planning Space Implementation\3. Analysis &amp; Design\Design\FC22\DRR Jaime\Por presentar a ECP\Cantagallo\Cristalina\[VRC_CRISTALINA_CF_SEC_20221231.xlsx]CF PDP'!$BW$48</t>
  </si>
  <si>
    <t>='C:\Users\jaime.benazar\Quorum Business Solutions\Ecopetrol Prometeo - Documents\Planning Space Implementation\3. Analysis &amp; Design\Design\FC22\DRR Jaime\Por presentar a ECP\Cantagallo\Cristalina\[VRC_CRISTALINA_CF_SEC_20221231.xlsx]CF PDP'!$BW$49</t>
  </si>
  <si>
    <t>='C:\Users\jaime.benazar\Quorum Business Solutions\Ecopetrol Prometeo - Documents\Planning Space Implementation\3. Analysis &amp; Design\Design\FC22\DRR Jaime\Por presentar a ECP\Cantagallo\Cristalina\[VRC_CRISTALINA_CF_SEC_20221231.xlsx]CF PDP'!$BW$50</t>
  </si>
  <si>
    <t>='C:\Users\jaime.benazar\Quorum Business Solutions\Ecopetrol Prometeo - Documents\Planning Space Implementation\3. Analysis &amp; Design\Design\FC22\DRR Jaime\Por presentar a ECP\Cantagallo\Cristalina\[VRC_CRISTALINA_CF_SEC_20221231.xlsx]CF PDP'!$BW$51</t>
  </si>
  <si>
    <t>='C:\Users\jaime.benazar\Quorum Business Solutions\Ecopetrol Prometeo - Documents\Planning Space Implementation\3. Analysis &amp; Design\Design\FC22\DRR Jaime\Por presentar a ECP\Cantagallo\Cristalina\[VRC_CRISTALINA_CF_SEC_20221231.xlsx]CF PDP'!$BW$52</t>
  </si>
  <si>
    <t>='C:\Users\jaime.benazar\Quorum Business Solutions\Ecopetrol Prometeo - Documents\Planning Space Implementation\3. Analysis &amp; Design\Design\FC22\DRR Jaime\Por presentar a ECP\Cantagallo\Cristalina\[VRC_CRISTALINA_CF_SEC_20221231.xlsx]CF PDP'!$BW$53</t>
  </si>
  <si>
    <t>='C:\Users\jaime.benazar\Quorum Business Solutions\Ecopetrol Prometeo - Documents\Planning Space Implementation\3. Analysis &amp; Design\Design\FC22\DRR Jaime\Por presentar a ECP\Cantagallo\Cristalina\[VRC_CRISTALINA_CF_SEC_20221231.xlsx]CF PDP'!$BW$54</t>
  </si>
  <si>
    <t>='C:\Users\jaime.benazar\Quorum Business Solutions\Ecopetrol Prometeo - Documents\Planning Space Implementation\3. Analysis &amp; Design\Design\FC22\DRR Jaime\Por presentar a ECP\Cantagallo\Cristalina\[VRC_CRISTALINA_CF_SEC_20221231.xlsx]CF PDP'!$BW$55</t>
  </si>
  <si>
    <t>='C:\Users\jaime.benazar\Quorum Business Solutions\Ecopetrol Prometeo - Documents\Planning Space Implementation\3. Analysis &amp; Design\Design\FC22\DRR Jaime\Por presentar a ECP\Cantagallo\Cristalina\[VRC_CRISTALINA_CF_SEC_20221231.xlsx]CF PDP'!$BW$56</t>
  </si>
  <si>
    <t>='C:\Users\jaime.benazar\Quorum Business Solutions\Ecopetrol Prometeo - Documents\Planning Space Implementation\3. Analysis &amp; Design\Design\FC22\DRR Jaime\Por presentar a ECP\Cantagallo\Cristalina\[VRC_CRISTALINA_CF_SEC_20221231.xlsx]CF PDP'!$BW$57</t>
  </si>
  <si>
    <t>='C:\Users\jaime.benazar\Quorum Business Solutions\Ecopetrol Prometeo - Documents\Planning Space Implementation\3. Analysis &amp; Design\Design\FC22\DRR Jaime\Por presentar a ECP\Cantagallo\Cristalina\[VRC_CRISTALINA_CF_SEC_20221231.xlsx]CF PDP'!$BW$58</t>
  </si>
  <si>
    <t>='C:\Users\jaime.benazar\Quorum Business Solutions\Ecopetrol Prometeo - Documents\Planning Space Implementation\3. Analysis &amp; Design\Design\FC22\DRR Jaime\Por presentar a ECP\Cantagallo\Cristalina\[VRC_CRISTALINA_CF_SEC_20221231.xlsx]CF PDP'!$BW$59</t>
  </si>
  <si>
    <t>='C:\Users\jaime.benazar\Quorum Business Solutions\Ecopetrol Prometeo - Documents\Planning Space Implementation\3. Analysis &amp; Design\Design\FC22\DRR Jaime\Por presentar a ECP\Cantagallo\Cristalina\[VRC_CRISTALINA_CF_SEC_20221231.xlsx]CF PDP'!$BW$60</t>
  </si>
  <si>
    <t>='C:\Users\jaime.benazar\Quorum Business Solutions\Ecopetrol Prometeo - Documents\Planning Space Implementation\3. Analysis &amp; Design\Design\FC22\DRR Jaime\Por presentar a ECP\Cantagallo\Cristalina\[VRC_CRISTALINA_CF_SEC_20221231.xlsx]CF PDP'!$BW$61</t>
  </si>
  <si>
    <t>='C:\Users\jaime.benazar\Quorum Business Solutions\Ecopetrol Prometeo - Documents\Planning Space Implementation\3. Analysis &amp; Design\Design\FC22\DRR Jaime\Por presentar a ECP\Cantagallo\Cristalina\[VRC_CRISTALINA_CF_SEC_20221231.xlsx]CF PDP'!$BW$62</t>
  </si>
  <si>
    <t>='C:\Users\jaime.benazar\Quorum Business Solutions\Ecopetrol Prometeo - Documents\Planning Space Implementation\3. Analysis &amp; Design\Design\FC22\DRR Jaime\Por presentar a ECP\Cantagallo\Cristalina\[VRC_CRISTALINA_CF_SEC_20221231.xlsx]CF PDP'!$BW$63</t>
  </si>
  <si>
    <t>='C:\Users\jaime.benazar\Quorum Business Solutions\Ecopetrol Prometeo - Documents\Planning Space Implementation\3. Analysis &amp; Design\Design\FC22\DRR Jaime\Por presentar a ECP\Cantagallo\Cristalina\[VRC_CRISTALINA_CF_SEC_20221231.xlsx]CF PDP'!$BW$64</t>
  </si>
  <si>
    <t>='C:\Users\jaime.benazar\Quorum Business Solutions\Ecopetrol Prometeo - Documents\Planning Space Implementation\3. Analysis &amp; Design\Design\FC22\DRR Jaime\Por presentar a ECP\Cantagallo\Cristalina\[VRC_CRISTALINA_CF_SEC_20221231.xlsx]CF PDP'!$BW$65</t>
  </si>
  <si>
    <t>='C:\Users\jaime.benazar\Quorum Business Solutions\Ecopetrol Prometeo - Documents\Planning Space Implementation\3. Analysis &amp; Design\Design\FC22\DRR Jaime\Por presentar a ECP\Cantagallo\Cristalina\[VRC_CRISTALINA_CF_SEC_20221231.xlsx]CF PDP'!$BW$66</t>
  </si>
  <si>
    <t>='C:\Users\jaime.benazar\Quorum Business Solutions\Ecopetrol Prometeo - Documents\Planning Space Implementation\3. Analysis &amp; Design\Design\FC22\DRR Jaime\Por presentar a ECP\Cantagallo\Cristalina\[VRC_CRISTALINA_CF_SEC_20221231.xlsx]CF PDP'!$BW$67</t>
  </si>
  <si>
    <t>='C:\Users\jaime.benazar\Quorum Business Solutions\Ecopetrol Prometeo - Documents\Planning Space Implementation\3. Analysis &amp; Design\Design\FC22\DRR Jaime\Por presentar a ECP\Cantagallo\Cristalina\[VRC_CRISTALINA_CF_SEC_20221231.xlsx]CF PDP'!$BW$68</t>
  </si>
  <si>
    <t>='C:\Users\jaime.benazar\Quorum Business Solutions\Ecopetrol Prometeo - Documents\Planning Space Implementation\3. Analysis &amp; Design\Design\FC22\DRR Jaime\Por presentar a ECP\Cantagallo\Cristalina\[VRC_CRISTALINA_CF_SEC_20221231.xlsx]CF PDP'!$BW$69</t>
  </si>
  <si>
    <t>='C:\Users\jaime.benazar\Quorum Business Solutions\Ecopetrol Prometeo - Documents\Planning Space Implementation\3. Analysis &amp; Design\Design\FC22\DRR Jaime\Por presentar a ECP\Cantagallo\Cristalina\[VRC_CRISTALINA_CF_SEC_20221231.xlsx]CF PDP'!$BW$70</t>
  </si>
  <si>
    <t>='C:\Users\jaime.benazar\Quorum Business Solutions\Ecopetrol Prometeo - Documents\Planning Space Implementation\3. Analysis &amp; Design\Design\FC22\DRR Jaime\Por presentar a ECP\Cantagallo\Cristalina\[VRC_CRISTALINA_CF_SEC_20221231.xlsx]CF PDP'!$BW$71</t>
  </si>
  <si>
    <t>='C:\Users\jaime.benazar\Quorum Business Solutions\Ecopetrol Prometeo - Documents\Planning Space Implementation\3. Analysis &amp; Design\Design\FC22\DRR Jaime\Por presentar a ECP\Cantagallo\Cristalina\[VRC_CRISTALINA_CF_SEC_20221231.xlsx]CF PDP'!$BW$72</t>
  </si>
  <si>
    <t>='C:\Users\jaime.benazar\Quorum Business Solutions\Ecopetrol Prometeo - Documents\Planning Space Implementation\3. Analysis &amp; Design\Design\FC22\DRR Jaime\Por presentar a ECP\Cantagallo\Cristalina\[VRC_CRISTALINA_CF_SEC_20221231.xlsx]CF PNP'!$BW$36</t>
  </si>
  <si>
    <t>='C:\Users\jaime.benazar\Quorum Business Solutions\Ecopetrol Prometeo - Documents\Planning Space Implementation\3. Analysis &amp; Design\Design\FC22\DRR Jaime\Por presentar a ECP\Cantagallo\Cristalina\[VRC_CRISTALINA_CF_SEC_20221231.xlsx]CF PNP'!$BW$37</t>
  </si>
  <si>
    <t>='C:\Users\jaime.benazar\Quorum Business Solutions\Ecopetrol Prometeo - Documents\Planning Space Implementation\3. Analysis &amp; Design\Design\FC22\DRR Jaime\Por presentar a ECP\Cantagallo\Cristalina\[VRC_CRISTALINA_CF_SEC_20221231.xlsx]CF PNP'!$BW$38</t>
  </si>
  <si>
    <t>='C:\Users\jaime.benazar\Quorum Business Solutions\Ecopetrol Prometeo - Documents\Planning Space Implementation\3. Analysis &amp; Design\Design\FC22\DRR Jaime\Por presentar a ECP\Cantagallo\Cristalina\[VRC_CRISTALINA_CF_SEC_20221231.xlsx]CF PNP'!$BW$39</t>
  </si>
  <si>
    <t>='C:\Users\jaime.benazar\Quorum Business Solutions\Ecopetrol Prometeo - Documents\Planning Space Implementation\3. Analysis &amp; Design\Design\FC22\DRR Jaime\Por presentar a ECP\Cantagallo\Cristalina\[VRC_CRISTALINA_CF_SEC_20221231.xlsx]CF PNP'!$BW$40</t>
  </si>
  <si>
    <t>='C:\Users\jaime.benazar\Quorum Business Solutions\Ecopetrol Prometeo - Documents\Planning Space Implementation\3. Analysis &amp; Design\Design\FC22\DRR Jaime\Por presentar a ECP\Cantagallo\Cristalina\[VRC_CRISTALINA_CF_SEC_20221231.xlsx]CF PNP'!$BW$41</t>
  </si>
  <si>
    <t>='C:\Users\jaime.benazar\Quorum Business Solutions\Ecopetrol Prometeo - Documents\Planning Space Implementation\3. Analysis &amp; Design\Design\FC22\DRR Jaime\Por presentar a ECP\Cantagallo\Cristalina\[VRC_CRISTALINA_CF_SEC_20221231.xlsx]CF PNP'!$BW$42</t>
  </si>
  <si>
    <t>='C:\Users\jaime.benazar\Quorum Business Solutions\Ecopetrol Prometeo - Documents\Planning Space Implementation\3. Analysis &amp; Design\Design\FC22\DRR Jaime\Por presentar a ECP\Cantagallo\Cristalina\[VRC_CRISTALINA_CF_SEC_20221231.xlsx]CF PNP'!$BW$43</t>
  </si>
  <si>
    <t>='C:\Users\jaime.benazar\Quorum Business Solutions\Ecopetrol Prometeo - Documents\Planning Space Implementation\3. Analysis &amp; Design\Design\FC22\DRR Jaime\Por presentar a ECP\Cantagallo\Cristalina\[VRC_CRISTALINA_CF_SEC_20221231.xlsx]CF PNP'!$BW$44</t>
  </si>
  <si>
    <t>='C:\Users\jaime.benazar\Quorum Business Solutions\Ecopetrol Prometeo - Documents\Planning Space Implementation\3. Analysis &amp; Design\Design\FC22\DRR Jaime\Por presentar a ECP\Cantagallo\Cristalina\[VRC_CRISTALINA_CF_SEC_20221231.xlsx]CF PNP'!$BW$45</t>
  </si>
  <si>
    <t>='C:\Users\jaime.benazar\Quorum Business Solutions\Ecopetrol Prometeo - Documents\Planning Space Implementation\3. Analysis &amp; Design\Design\FC22\DRR Jaime\Por presentar a ECP\Cantagallo\Cristalina\[VRC_CRISTALINA_CF_SEC_20221231.xlsx]CF PNP'!$BW$46</t>
  </si>
  <si>
    <t>='C:\Users\jaime.benazar\Quorum Business Solutions\Ecopetrol Prometeo - Documents\Planning Space Implementation\3. Analysis &amp; Design\Design\FC22\DRR Jaime\Por presentar a ECP\Cantagallo\Cristalina\[VRC_CRISTALINA_CF_SEC_20221231.xlsx]CF PNP'!$BW$47</t>
  </si>
  <si>
    <t>='C:\Users\jaime.benazar\Quorum Business Solutions\Ecopetrol Prometeo - Documents\Planning Space Implementation\3. Analysis &amp; Design\Design\FC22\DRR Jaime\Por presentar a ECP\Cantagallo\Cristalina\[VRC_CRISTALINA_CF_SEC_20221231.xlsx]CF PNP'!$BW$48</t>
  </si>
  <si>
    <t>='C:\Users\jaime.benazar\Quorum Business Solutions\Ecopetrol Prometeo - Documents\Planning Space Implementation\3. Analysis &amp; Design\Design\FC22\DRR Jaime\Por presentar a ECP\Cantagallo\Cristalina\[VRC_CRISTALINA_CF_SEC_20221231.xlsx]CF PNP'!$BW$49</t>
  </si>
  <si>
    <t>='C:\Users\jaime.benazar\Quorum Business Solutions\Ecopetrol Prometeo - Documents\Planning Space Implementation\3. Analysis &amp; Design\Design\FC22\DRR Jaime\Por presentar a ECP\Cantagallo\Cristalina\[VRC_CRISTALINA_CF_SEC_20221231.xlsx]CF PNP'!$BW$50</t>
  </si>
  <si>
    <t>='C:\Users\jaime.benazar\Quorum Business Solutions\Ecopetrol Prometeo - Documents\Planning Space Implementation\3. Analysis &amp; Design\Design\FC22\DRR Jaime\Por presentar a ECP\Cantagallo\Cristalina\[VRC_CRISTALINA_CF_SEC_20221231.xlsx]CF PNP'!$BW$51</t>
  </si>
  <si>
    <t>='C:\Users\jaime.benazar\Quorum Business Solutions\Ecopetrol Prometeo - Documents\Planning Space Implementation\3. Analysis &amp; Design\Design\FC22\DRR Jaime\Por presentar a ECP\Cantagallo\Cristalina\[VRC_CRISTALINA_CF_SEC_20221231.xlsx]CF PNP'!$BW$52</t>
  </si>
  <si>
    <t>='C:\Users\jaime.benazar\Quorum Business Solutions\Ecopetrol Prometeo - Documents\Planning Space Implementation\3. Analysis &amp; Design\Design\FC22\DRR Jaime\Por presentar a ECP\Cantagallo\Cristalina\[VRC_CRISTALINA_CF_SEC_20221231.xlsx]CF PNP'!$BW$53</t>
  </si>
  <si>
    <t>='C:\Users\jaime.benazar\Quorum Business Solutions\Ecopetrol Prometeo - Documents\Planning Space Implementation\3. Analysis &amp; Design\Design\FC22\DRR Jaime\Por presentar a ECP\Cantagallo\Cristalina\[VRC_CRISTALINA_CF_SEC_20221231.xlsx]CF PNP'!$BW$54</t>
  </si>
  <si>
    <t>='C:\Users\jaime.benazar\Quorum Business Solutions\Ecopetrol Prometeo - Documents\Planning Space Implementation\3. Analysis &amp; Design\Design\FC22\DRR Jaime\Por presentar a ECP\Cantagallo\Cristalina\[VRC_CRISTALINA_CF_SEC_20221231.xlsx]CF PNP'!$BW$55</t>
  </si>
  <si>
    <t>='C:\Users\jaime.benazar\Quorum Business Solutions\Ecopetrol Prometeo - Documents\Planning Space Implementation\3. Analysis &amp; Design\Design\FC22\DRR Jaime\Por presentar a ECP\Cantagallo\Cristalina\[VRC_CRISTALINA_CF_SEC_20221231.xlsx]CF PNP'!$BW$56</t>
  </si>
  <si>
    <t>='C:\Users\jaime.benazar\Quorum Business Solutions\Ecopetrol Prometeo - Documents\Planning Space Implementation\3. Analysis &amp; Design\Design\FC22\DRR Jaime\Por presentar a ECP\Cantagallo\Cristalina\[VRC_CRISTALINA_CF_SEC_20221231.xlsx]CF PNP'!$BW$57</t>
  </si>
  <si>
    <t>='C:\Users\jaime.benazar\Quorum Business Solutions\Ecopetrol Prometeo - Documents\Planning Space Implementation\3. Analysis &amp; Design\Design\FC22\DRR Jaime\Por presentar a ECP\Cantagallo\Cristalina\[VRC_CRISTALINA_CF_SEC_20221231.xlsx]CF PNP'!$BW$58</t>
  </si>
  <si>
    <t>='C:\Users\jaime.benazar\Quorum Business Solutions\Ecopetrol Prometeo - Documents\Planning Space Implementation\3. Analysis &amp; Design\Design\FC22\DRR Jaime\Por presentar a ECP\Cantagallo\Cristalina\[VRC_CRISTALINA_CF_SEC_20221231.xlsx]CF PNP'!$BW$59</t>
  </si>
  <si>
    <t>='C:\Users\jaime.benazar\Quorum Business Solutions\Ecopetrol Prometeo - Documents\Planning Space Implementation\3. Analysis &amp; Design\Design\FC22\DRR Jaime\Por presentar a ECP\Cantagallo\Cristalina\[VRC_CRISTALINA_CF_SEC_20221231.xlsx]CF PNP'!$BW$60</t>
  </si>
  <si>
    <t>='C:\Users\jaime.benazar\Quorum Business Solutions\Ecopetrol Prometeo - Documents\Planning Space Implementation\3. Analysis &amp; Design\Design\FC22\DRR Jaime\Por presentar a ECP\Cantagallo\Cristalina\[VRC_CRISTALINA_CF_SEC_20221231.xlsx]CF PNP'!$BW$61</t>
  </si>
  <si>
    <t>='C:\Users\jaime.benazar\Quorum Business Solutions\Ecopetrol Prometeo - Documents\Planning Space Implementation\3. Analysis &amp; Design\Design\FC22\DRR Jaime\Por presentar a ECP\Cantagallo\Cristalina\[VRC_CRISTALINA_CF_SEC_20221231.xlsx]CF PNP'!$BW$62</t>
  </si>
  <si>
    <t>='C:\Users\jaime.benazar\Quorum Business Solutions\Ecopetrol Prometeo - Documents\Planning Space Implementation\3. Analysis &amp; Design\Design\FC22\DRR Jaime\Por presentar a ECP\Cantagallo\Cristalina\[VRC_CRISTALINA_CF_SEC_20221231.xlsx]CF PNP'!$BW$63</t>
  </si>
  <si>
    <t>='C:\Users\jaime.benazar\Quorum Business Solutions\Ecopetrol Prometeo - Documents\Planning Space Implementation\3. Analysis &amp; Design\Design\FC22\DRR Jaime\Por presentar a ECP\Cantagallo\Cristalina\[VRC_CRISTALINA_CF_SEC_20221231.xlsx]CF PNP'!$BW$64</t>
  </si>
  <si>
    <t>='C:\Users\jaime.benazar\Quorum Business Solutions\Ecopetrol Prometeo - Documents\Planning Space Implementation\3. Analysis &amp; Design\Design\FC22\DRR Jaime\Por presentar a ECP\Cantagallo\Cristalina\[VRC_CRISTALINA_CF_SEC_20221231.xlsx]CF PNP'!$BW$65</t>
  </si>
  <si>
    <t>='C:\Users\jaime.benazar\Quorum Business Solutions\Ecopetrol Prometeo - Documents\Planning Space Implementation\3. Analysis &amp; Design\Design\FC22\DRR Jaime\Por presentar a ECP\Cantagallo\Cristalina\[VRC_CRISTALINA_CF_SEC_20221231.xlsx]CF PNP'!$BW$66</t>
  </si>
  <si>
    <t>='C:\Users\jaime.benazar\Quorum Business Solutions\Ecopetrol Prometeo - Documents\Planning Space Implementation\3. Analysis &amp; Design\Design\FC22\DRR Jaime\Por presentar a ECP\Cantagallo\Cristalina\[VRC_CRISTALINA_CF_SEC_20221231.xlsx]CF PNP'!$BW$67</t>
  </si>
  <si>
    <t>='C:\Users\jaime.benazar\Quorum Business Solutions\Ecopetrol Prometeo - Documents\Planning Space Implementation\3. Analysis &amp; Design\Design\FC22\DRR Jaime\Por presentar a ECP\Cantagallo\Cristalina\[VRC_CRISTALINA_CF_SEC_20221231.xlsx]CF PNP'!$BW$68</t>
  </si>
  <si>
    <t>='C:\Users\jaime.benazar\Quorum Business Solutions\Ecopetrol Prometeo - Documents\Planning Space Implementation\3. Analysis &amp; Design\Design\FC22\DRR Jaime\Por presentar a ECP\Cantagallo\Cristalina\[VRC_CRISTALINA_CF_SEC_20221231.xlsx]CF PNP'!$BW$69</t>
  </si>
  <si>
    <t>='C:\Users\jaime.benazar\Quorum Business Solutions\Ecopetrol Prometeo - Documents\Planning Space Implementation\3. Analysis &amp; Design\Design\FC22\DRR Jaime\Por presentar a ECP\Cantagallo\Cristalina\[VRC_CRISTALINA_CF_SEC_20221231.xlsx]CF PNP'!$BW$70</t>
  </si>
  <si>
    <t>='C:\Users\jaime.benazar\Quorum Business Solutions\Ecopetrol Prometeo - Documents\Planning Space Implementation\3. Analysis &amp; Design\Design\FC22\DRR Jaime\Por presentar a ECP\Cantagallo\Cristalina\[VRC_CRISTALINA_CF_SEC_20221231.xlsx]CF PNP'!$BW$71</t>
  </si>
  <si>
    <t>='C:\Users\jaime.benazar\Quorum Business Solutions\Ecopetrol Prometeo - Documents\Planning Space Implementation\3. Analysis &amp; Design\Design\FC22\DRR Jaime\Por presentar a ECP\Cantagallo\Cristalina\[VRC_CRISTALINA_CF_SEC_20221231.xlsx]CF PNP'!$BW$72</t>
  </si>
  <si>
    <t>='C:\Users\jaime.benazar\Quorum Business Solutions\Ecopetrol Prometeo - Documents\Planning Space Implementation\3. Analysis &amp; Design\Design\FC22\DRR Jaime\Por presentar a ECP\Cantagallo\Cristalina\[VRC_CRISTALINA_CF_SEC_20221231.xlsx]CF PND'!$BW$36</t>
  </si>
  <si>
    <t>='C:\Users\jaime.benazar\Quorum Business Solutions\Ecopetrol Prometeo - Documents\Planning Space Implementation\3. Analysis &amp; Design\Design\FC22\DRR Jaime\Por presentar a ECP\Cantagallo\Cristalina\[VRC_CRISTALINA_CF_SEC_20221231.xlsx]CF PND'!$BW$37</t>
  </si>
  <si>
    <t>='C:\Users\jaime.benazar\Quorum Business Solutions\Ecopetrol Prometeo - Documents\Planning Space Implementation\3. Analysis &amp; Design\Design\FC22\DRR Jaime\Por presentar a ECP\Cantagallo\Cristalina\[VRC_CRISTALINA_CF_SEC_20221231.xlsx]CF PND'!$BW$38</t>
  </si>
  <si>
    <t>='C:\Users\jaime.benazar\Quorum Business Solutions\Ecopetrol Prometeo - Documents\Planning Space Implementation\3. Analysis &amp; Design\Design\FC22\DRR Jaime\Por presentar a ECP\Cantagallo\Cristalina\[VRC_CRISTALINA_CF_SEC_20221231.xlsx]CF PND'!$BW$39</t>
  </si>
  <si>
    <t>='C:\Users\jaime.benazar\Quorum Business Solutions\Ecopetrol Prometeo - Documents\Planning Space Implementation\3. Analysis &amp; Design\Design\FC22\DRR Jaime\Por presentar a ECP\Cantagallo\Cristalina\[VRC_CRISTALINA_CF_SEC_20221231.xlsx]CF PND'!$BW$40</t>
  </si>
  <si>
    <t>='C:\Users\jaime.benazar\Quorum Business Solutions\Ecopetrol Prometeo - Documents\Planning Space Implementation\3. Analysis &amp; Design\Design\FC22\DRR Jaime\Por presentar a ECP\Cantagallo\Cristalina\[VRC_CRISTALINA_CF_SEC_20221231.xlsx]CF PND'!$BW$41</t>
  </si>
  <si>
    <t>='C:\Users\jaime.benazar\Quorum Business Solutions\Ecopetrol Prometeo - Documents\Planning Space Implementation\3. Analysis &amp; Design\Design\FC22\DRR Jaime\Por presentar a ECP\Cantagallo\Cristalina\[VRC_CRISTALINA_CF_SEC_20221231.xlsx]CF PND'!$BW$42</t>
  </si>
  <si>
    <t>='C:\Users\jaime.benazar\Quorum Business Solutions\Ecopetrol Prometeo - Documents\Planning Space Implementation\3. Analysis &amp; Design\Design\FC22\DRR Jaime\Por presentar a ECP\Cantagallo\Cristalina\[VRC_CRISTALINA_CF_SEC_20221231.xlsx]CF PND'!$BW$43</t>
  </si>
  <si>
    <t>='C:\Users\jaime.benazar\Quorum Business Solutions\Ecopetrol Prometeo - Documents\Planning Space Implementation\3. Analysis &amp; Design\Design\FC22\DRR Jaime\Por presentar a ECP\Cantagallo\Cristalina\[VRC_CRISTALINA_CF_SEC_20221231.xlsx]CF PND'!$BW$44</t>
  </si>
  <si>
    <t>='C:\Users\jaime.benazar\Quorum Business Solutions\Ecopetrol Prometeo - Documents\Planning Space Implementation\3. Analysis &amp; Design\Design\FC22\DRR Jaime\Por presentar a ECP\Cantagallo\Cristalina\[VRC_CRISTALINA_CF_SEC_20221231.xlsx]CF PND'!$BW$45</t>
  </si>
  <si>
    <t>='C:\Users\jaime.benazar\Quorum Business Solutions\Ecopetrol Prometeo - Documents\Planning Space Implementation\3. Analysis &amp; Design\Design\FC22\DRR Jaime\Por presentar a ECP\Cantagallo\Cristalina\[VRC_CRISTALINA_CF_SEC_20221231.xlsx]CF PND'!$BW$46</t>
  </si>
  <si>
    <t>='C:\Users\jaime.benazar\Quorum Business Solutions\Ecopetrol Prometeo - Documents\Planning Space Implementation\3. Analysis &amp; Design\Design\FC22\DRR Jaime\Por presentar a ECP\Cantagallo\Cristalina\[VRC_CRISTALINA_CF_SEC_20221231.xlsx]CF PND'!$BW$47</t>
  </si>
  <si>
    <t>='C:\Users\jaime.benazar\Quorum Business Solutions\Ecopetrol Prometeo - Documents\Planning Space Implementation\3. Analysis &amp; Design\Design\FC22\DRR Jaime\Por presentar a ECP\Cantagallo\Cristalina\[VRC_CRISTALINA_CF_SEC_20221231.xlsx]CF PND'!$BW$48</t>
  </si>
  <si>
    <t>='C:\Users\jaime.benazar\Quorum Business Solutions\Ecopetrol Prometeo - Documents\Planning Space Implementation\3. Analysis &amp; Design\Design\FC22\DRR Jaime\Por presentar a ECP\Cantagallo\Cristalina\[VRC_CRISTALINA_CF_SEC_20221231.xlsx]CF PND'!$BW$49</t>
  </si>
  <si>
    <t>='C:\Users\jaime.benazar\Quorum Business Solutions\Ecopetrol Prometeo - Documents\Planning Space Implementation\3. Analysis &amp; Design\Design\FC22\DRR Jaime\Por presentar a ECP\Cantagallo\Cristalina\[VRC_CRISTALINA_CF_SEC_20221231.xlsx]CF PND'!$BW$50</t>
  </si>
  <si>
    <t>='C:\Users\jaime.benazar\Quorum Business Solutions\Ecopetrol Prometeo - Documents\Planning Space Implementation\3. Analysis &amp; Design\Design\FC22\DRR Jaime\Por presentar a ECP\Cantagallo\Cristalina\[VRC_CRISTALINA_CF_SEC_20221231.xlsx]CF PND'!$BW$51</t>
  </si>
  <si>
    <t>='C:\Users\jaime.benazar\Quorum Business Solutions\Ecopetrol Prometeo - Documents\Planning Space Implementation\3. Analysis &amp; Design\Design\FC22\DRR Jaime\Por presentar a ECP\Cantagallo\Cristalina\[VRC_CRISTALINA_CF_SEC_20221231.xlsx]CF PND'!$BW$52</t>
  </si>
  <si>
    <t>='C:\Users\jaime.benazar\Quorum Business Solutions\Ecopetrol Prometeo - Documents\Planning Space Implementation\3. Analysis &amp; Design\Design\FC22\DRR Jaime\Por presentar a ECP\Cantagallo\Cristalina\[VRC_CRISTALINA_CF_SEC_20221231.xlsx]CF PND'!$BW$53</t>
  </si>
  <si>
    <t>='C:\Users\jaime.benazar\Quorum Business Solutions\Ecopetrol Prometeo - Documents\Planning Space Implementation\3. Analysis &amp; Design\Design\FC22\DRR Jaime\Por presentar a ECP\Cantagallo\Cristalina\[VRC_CRISTALINA_CF_SEC_20221231.xlsx]CF PND'!$BW$54</t>
  </si>
  <si>
    <t>='C:\Users\jaime.benazar\Quorum Business Solutions\Ecopetrol Prometeo - Documents\Planning Space Implementation\3. Analysis &amp; Design\Design\FC22\DRR Jaime\Por presentar a ECP\Cantagallo\Cristalina\[VRC_CRISTALINA_CF_SEC_20221231.xlsx]CF PND'!$BW$55</t>
  </si>
  <si>
    <t>='C:\Users\jaime.benazar\Quorum Business Solutions\Ecopetrol Prometeo - Documents\Planning Space Implementation\3. Analysis &amp; Design\Design\FC22\DRR Jaime\Por presentar a ECP\Cantagallo\Cristalina\[VRC_CRISTALINA_CF_SEC_20221231.xlsx]CF PND'!$BW$56</t>
  </si>
  <si>
    <t>='C:\Users\jaime.benazar\Quorum Business Solutions\Ecopetrol Prometeo - Documents\Planning Space Implementation\3. Analysis &amp; Design\Design\FC22\DRR Jaime\Por presentar a ECP\Cantagallo\Cristalina\[VRC_CRISTALINA_CF_SEC_20221231.xlsx]CF PND'!$BW$57</t>
  </si>
  <si>
    <t>='C:\Users\jaime.benazar\Quorum Business Solutions\Ecopetrol Prometeo - Documents\Planning Space Implementation\3. Analysis &amp; Design\Design\FC22\DRR Jaime\Por presentar a ECP\Cantagallo\Cristalina\[VRC_CRISTALINA_CF_SEC_20221231.xlsx]CF PND'!$BW$58</t>
  </si>
  <si>
    <t>='C:\Users\jaime.benazar\Quorum Business Solutions\Ecopetrol Prometeo - Documents\Planning Space Implementation\3. Analysis &amp; Design\Design\FC22\DRR Jaime\Por presentar a ECP\Cantagallo\Cristalina\[VRC_CRISTALINA_CF_SEC_20221231.xlsx]CF PND'!$BW$59</t>
  </si>
  <si>
    <t>='C:\Users\jaime.benazar\Quorum Business Solutions\Ecopetrol Prometeo - Documents\Planning Space Implementation\3. Analysis &amp; Design\Design\FC22\DRR Jaime\Por presentar a ECP\Cantagallo\Cristalina\[VRC_CRISTALINA_CF_SEC_20221231.xlsx]CF PND'!$BW$60</t>
  </si>
  <si>
    <t>='C:\Users\jaime.benazar\Quorum Business Solutions\Ecopetrol Prometeo - Documents\Planning Space Implementation\3. Analysis &amp; Design\Design\FC22\DRR Jaime\Por presentar a ECP\Cantagallo\Cristalina\[VRC_CRISTALINA_CF_SEC_20221231.xlsx]CF PND'!$BW$61</t>
  </si>
  <si>
    <t>='C:\Users\jaime.benazar\Quorum Business Solutions\Ecopetrol Prometeo - Documents\Planning Space Implementation\3. Analysis &amp; Design\Design\FC22\DRR Jaime\Por presentar a ECP\Cantagallo\Cristalina\[VRC_CRISTALINA_CF_SEC_20221231.xlsx]CF PND'!$BW$62</t>
  </si>
  <si>
    <t>='C:\Users\jaime.benazar\Quorum Business Solutions\Ecopetrol Prometeo - Documents\Planning Space Implementation\3. Analysis &amp; Design\Design\FC22\DRR Jaime\Por presentar a ECP\Cantagallo\Cristalina\[VRC_CRISTALINA_CF_SEC_20221231.xlsx]CF PND'!$BW$63</t>
  </si>
  <si>
    <t>='C:\Users\jaime.benazar\Quorum Business Solutions\Ecopetrol Prometeo - Documents\Planning Space Implementation\3. Analysis &amp; Design\Design\FC22\DRR Jaime\Por presentar a ECP\Cantagallo\Cristalina\[VRC_CRISTALINA_CF_SEC_20221231.xlsx]CF PND'!$BW$64</t>
  </si>
  <si>
    <t>='C:\Users\jaime.benazar\Quorum Business Solutions\Ecopetrol Prometeo - Documents\Planning Space Implementation\3. Analysis &amp; Design\Design\FC22\DRR Jaime\Por presentar a ECP\Cantagallo\Cristalina\[VRC_CRISTALINA_CF_SEC_20221231.xlsx]CF PND'!$BW$65</t>
  </si>
  <si>
    <t>='C:\Users\jaime.benazar\Quorum Business Solutions\Ecopetrol Prometeo - Documents\Planning Space Implementation\3. Analysis &amp; Design\Design\FC22\DRR Jaime\Por presentar a ECP\Cantagallo\Cristalina\[VRC_CRISTALINA_CF_SEC_20221231.xlsx]CF PND'!$BW$66</t>
  </si>
  <si>
    <t>='C:\Users\jaime.benazar\Quorum Business Solutions\Ecopetrol Prometeo - Documents\Planning Space Implementation\3. Analysis &amp; Design\Design\FC22\DRR Jaime\Por presentar a ECP\Cantagallo\Cristalina\[VRC_CRISTALINA_CF_SEC_20221231.xlsx]CF PND'!$BW$67</t>
  </si>
  <si>
    <t>='C:\Users\jaime.benazar\Quorum Business Solutions\Ecopetrol Prometeo - Documents\Planning Space Implementation\3. Analysis &amp; Design\Design\FC22\DRR Jaime\Por presentar a ECP\Cantagallo\Cristalina\[VRC_CRISTALINA_CF_SEC_20221231.xlsx]CF PND'!$BW$68</t>
  </si>
  <si>
    <t>='C:\Users\jaime.benazar\Quorum Business Solutions\Ecopetrol Prometeo - Documents\Planning Space Implementation\3. Analysis &amp; Design\Design\FC22\DRR Jaime\Por presentar a ECP\Cantagallo\Cristalina\[VRC_CRISTALINA_CF_SEC_20221231.xlsx]CF PND'!$BW$69</t>
  </si>
  <si>
    <t>='C:\Users\jaime.benazar\Quorum Business Solutions\Ecopetrol Prometeo - Documents\Planning Space Implementation\3. Analysis &amp; Design\Design\FC22\DRR Jaime\Por presentar a ECP\Cantagallo\Cristalina\[VRC_CRISTALINA_CF_SEC_20221231.xlsx]CF PND'!$BW$70</t>
  </si>
  <si>
    <t>='C:\Users\jaime.benazar\Quorum Business Solutions\Ecopetrol Prometeo - Documents\Planning Space Implementation\3. Analysis &amp; Design\Design\FC22\DRR Jaime\Por presentar a ECP\Cantagallo\Cristalina\[VRC_CRISTALINA_CF_SEC_20221231.xlsx]CF PND'!$BW$71</t>
  </si>
  <si>
    <t>='C:\Users\jaime.benazar\Quorum Business Solutions\Ecopetrol Prometeo - Documents\Planning Space Implementation\3. Analysis &amp; Design\Design\FC22\DRR Jaime\Por presentar a ECP\Cantagallo\Cristalina\[VRC_CRISTALINA_CF_SEC_20221231.xlsx]CF PND'!$BW$72</t>
  </si>
  <si>
    <t>='C:\Users\jaime.benazar\Quorum Business Solutions\Ecopetrol Prometeo - Documents\Planning Space Implementation\3. Analysis &amp; Design\Design\FC22\DRR Jaime\Por presentar a ECP\Cantagallo\Cristalina\[VRC_CRISTALINA_CF_SEC_20221231.xlsx]CF PRB'!$BW$36</t>
  </si>
  <si>
    <t>='C:\Users\jaime.benazar\Quorum Business Solutions\Ecopetrol Prometeo - Documents\Planning Space Implementation\3. Analysis &amp; Design\Design\FC22\DRR Jaime\Por presentar a ECP\Cantagallo\Cristalina\[VRC_CRISTALINA_CF_SEC_20221231.xlsx]CF PRB'!$BW$37</t>
  </si>
  <si>
    <t>='C:\Users\jaime.benazar\Quorum Business Solutions\Ecopetrol Prometeo - Documents\Planning Space Implementation\3. Analysis &amp; Design\Design\FC22\DRR Jaime\Por presentar a ECP\Cantagallo\Cristalina\[VRC_CRISTALINA_CF_SEC_20221231.xlsx]CF PRB'!$BW$38</t>
  </si>
  <si>
    <t>='C:\Users\jaime.benazar\Quorum Business Solutions\Ecopetrol Prometeo - Documents\Planning Space Implementation\3. Analysis &amp; Design\Design\FC22\DRR Jaime\Por presentar a ECP\Cantagallo\Cristalina\[VRC_CRISTALINA_CF_SEC_20221231.xlsx]CF PRB'!$BW$39</t>
  </si>
  <si>
    <t>='C:\Users\jaime.benazar\Quorum Business Solutions\Ecopetrol Prometeo - Documents\Planning Space Implementation\3. Analysis &amp; Design\Design\FC22\DRR Jaime\Por presentar a ECP\Cantagallo\Cristalina\[VRC_CRISTALINA_CF_SEC_20221231.xlsx]CF PRB'!$BW$40</t>
  </si>
  <si>
    <t>='C:\Users\jaime.benazar\Quorum Business Solutions\Ecopetrol Prometeo - Documents\Planning Space Implementation\3. Analysis &amp; Design\Design\FC22\DRR Jaime\Por presentar a ECP\Cantagallo\Cristalina\[VRC_CRISTALINA_CF_SEC_20221231.xlsx]CF PRB'!$BW$41</t>
  </si>
  <si>
    <t>='C:\Users\jaime.benazar\Quorum Business Solutions\Ecopetrol Prometeo - Documents\Planning Space Implementation\3. Analysis &amp; Design\Design\FC22\DRR Jaime\Por presentar a ECP\Cantagallo\Cristalina\[VRC_CRISTALINA_CF_SEC_20221231.xlsx]CF PRB'!$BW$42</t>
  </si>
  <si>
    <t>='C:\Users\jaime.benazar\Quorum Business Solutions\Ecopetrol Prometeo - Documents\Planning Space Implementation\3. Analysis &amp; Design\Design\FC22\DRR Jaime\Por presentar a ECP\Cantagallo\Cristalina\[VRC_CRISTALINA_CF_SEC_20221231.xlsx]CF PRB'!$BW$43</t>
  </si>
  <si>
    <t>='C:\Users\jaime.benazar\Quorum Business Solutions\Ecopetrol Prometeo - Documents\Planning Space Implementation\3. Analysis &amp; Design\Design\FC22\DRR Jaime\Por presentar a ECP\Cantagallo\Cristalina\[VRC_CRISTALINA_CF_SEC_20221231.xlsx]CF PRB'!$BW$44</t>
  </si>
  <si>
    <t>='C:\Users\jaime.benazar\Quorum Business Solutions\Ecopetrol Prometeo - Documents\Planning Space Implementation\3. Analysis &amp; Design\Design\FC22\DRR Jaime\Por presentar a ECP\Cantagallo\Cristalina\[VRC_CRISTALINA_CF_SEC_20221231.xlsx]CF PRB'!$BW$45</t>
  </si>
  <si>
    <t>='C:\Users\jaime.benazar\Quorum Business Solutions\Ecopetrol Prometeo - Documents\Planning Space Implementation\3. Analysis &amp; Design\Design\FC22\DRR Jaime\Por presentar a ECP\Cantagallo\Cristalina\[VRC_CRISTALINA_CF_SEC_20221231.xlsx]CF PRB'!$BW$46</t>
  </si>
  <si>
    <t>='C:\Users\jaime.benazar\Quorum Business Solutions\Ecopetrol Prometeo - Documents\Planning Space Implementation\3. Analysis &amp; Design\Design\FC22\DRR Jaime\Por presentar a ECP\Cantagallo\Cristalina\[VRC_CRISTALINA_CF_SEC_20221231.xlsx]CF PRB'!$BW$47</t>
  </si>
  <si>
    <t>='C:\Users\jaime.benazar\Quorum Business Solutions\Ecopetrol Prometeo - Documents\Planning Space Implementation\3. Analysis &amp; Design\Design\FC22\DRR Jaime\Por presentar a ECP\Cantagallo\Cristalina\[VRC_CRISTALINA_CF_SEC_20221231.xlsx]CF PRB'!$BW$48</t>
  </si>
  <si>
    <t>='C:\Users\jaime.benazar\Quorum Business Solutions\Ecopetrol Prometeo - Documents\Planning Space Implementation\3. Analysis &amp; Design\Design\FC22\DRR Jaime\Por presentar a ECP\Cantagallo\Cristalina\[VRC_CRISTALINA_CF_SEC_20221231.xlsx]CF PRB'!$BW$49</t>
  </si>
  <si>
    <t>='C:\Users\jaime.benazar\Quorum Business Solutions\Ecopetrol Prometeo - Documents\Planning Space Implementation\3. Analysis &amp; Design\Design\FC22\DRR Jaime\Por presentar a ECP\Cantagallo\Cristalina\[VRC_CRISTALINA_CF_SEC_20221231.xlsx]CF PRB'!$BW$50</t>
  </si>
  <si>
    <t>='C:\Users\jaime.benazar\Quorum Business Solutions\Ecopetrol Prometeo - Documents\Planning Space Implementation\3. Analysis &amp; Design\Design\FC22\DRR Jaime\Por presentar a ECP\Cantagallo\Cristalina\[VRC_CRISTALINA_CF_SEC_20221231.xlsx]CF PRB'!$BW$51</t>
  </si>
  <si>
    <t>='C:\Users\jaime.benazar\Quorum Business Solutions\Ecopetrol Prometeo - Documents\Planning Space Implementation\3. Analysis &amp; Design\Design\FC22\DRR Jaime\Por presentar a ECP\Cantagallo\Cristalina\[VRC_CRISTALINA_CF_SEC_20221231.xlsx]CF PRB'!$BW$52</t>
  </si>
  <si>
    <t>='C:\Users\jaime.benazar\Quorum Business Solutions\Ecopetrol Prometeo - Documents\Planning Space Implementation\3. Analysis &amp; Design\Design\FC22\DRR Jaime\Por presentar a ECP\Cantagallo\Cristalina\[VRC_CRISTALINA_CF_SEC_20221231.xlsx]CF PRB'!$BW$53</t>
  </si>
  <si>
    <t>='C:\Users\jaime.benazar\Quorum Business Solutions\Ecopetrol Prometeo - Documents\Planning Space Implementation\3. Analysis &amp; Design\Design\FC22\DRR Jaime\Por presentar a ECP\Cantagallo\Cristalina\[VRC_CRISTALINA_CF_SEC_20221231.xlsx]CF PRB'!$BW$54</t>
  </si>
  <si>
    <t>='C:\Users\jaime.benazar\Quorum Business Solutions\Ecopetrol Prometeo - Documents\Planning Space Implementation\3. Analysis &amp; Design\Design\FC22\DRR Jaime\Por presentar a ECP\Cantagallo\Cristalina\[VRC_CRISTALINA_CF_SEC_20221231.xlsx]CF PRB'!$BW$55</t>
  </si>
  <si>
    <t>='C:\Users\jaime.benazar\Quorum Business Solutions\Ecopetrol Prometeo - Documents\Planning Space Implementation\3. Analysis &amp; Design\Design\FC22\DRR Jaime\Por presentar a ECP\Cantagallo\Cristalina\[VRC_CRISTALINA_CF_SEC_20221231.xlsx]CF PRB'!$BW$56</t>
  </si>
  <si>
    <t>='C:\Users\jaime.benazar\Quorum Business Solutions\Ecopetrol Prometeo - Documents\Planning Space Implementation\3. Analysis &amp; Design\Design\FC22\DRR Jaime\Por presentar a ECP\Cantagallo\Cristalina\[VRC_CRISTALINA_CF_SEC_20221231.xlsx]CF PRB'!$BW$57</t>
  </si>
  <si>
    <t>='C:\Users\jaime.benazar\Quorum Business Solutions\Ecopetrol Prometeo - Documents\Planning Space Implementation\3. Analysis &amp; Design\Design\FC22\DRR Jaime\Por presentar a ECP\Cantagallo\Cristalina\[VRC_CRISTALINA_CF_SEC_20221231.xlsx]CF PRB'!$BW$58</t>
  </si>
  <si>
    <t>='C:\Users\jaime.benazar\Quorum Business Solutions\Ecopetrol Prometeo - Documents\Planning Space Implementation\3. Analysis &amp; Design\Design\FC22\DRR Jaime\Por presentar a ECP\Cantagallo\Cristalina\[VRC_CRISTALINA_CF_SEC_20221231.xlsx]CF PRB'!$BW$59</t>
  </si>
  <si>
    <t>='C:\Users\jaime.benazar\Quorum Business Solutions\Ecopetrol Prometeo - Documents\Planning Space Implementation\3. Analysis &amp; Design\Design\FC22\DRR Jaime\Por presentar a ECP\Cantagallo\Cristalina\[VRC_CRISTALINA_CF_SEC_20221231.xlsx]CF PRB'!$BW$60</t>
  </si>
  <si>
    <t>='C:\Users\jaime.benazar\Quorum Business Solutions\Ecopetrol Prometeo - Documents\Planning Space Implementation\3. Analysis &amp; Design\Design\FC22\DRR Jaime\Por presentar a ECP\Cantagallo\Cristalina\[VRC_CRISTALINA_CF_SEC_20221231.xlsx]CF PRB'!$BW$61</t>
  </si>
  <si>
    <t>='C:\Users\jaime.benazar\Quorum Business Solutions\Ecopetrol Prometeo - Documents\Planning Space Implementation\3. Analysis &amp; Design\Design\FC22\DRR Jaime\Por presentar a ECP\Cantagallo\Cristalina\[VRC_CRISTALINA_CF_SEC_20221231.xlsx]CF PRB'!$BW$62</t>
  </si>
  <si>
    <t>='C:\Users\jaime.benazar\Quorum Business Solutions\Ecopetrol Prometeo - Documents\Planning Space Implementation\3. Analysis &amp; Design\Design\FC22\DRR Jaime\Por presentar a ECP\Cantagallo\Cristalina\[VRC_CRISTALINA_CF_SEC_20221231.xlsx]CF PRB'!$BW$63</t>
  </si>
  <si>
    <t>='C:\Users\jaime.benazar\Quorum Business Solutions\Ecopetrol Prometeo - Documents\Planning Space Implementation\3. Analysis &amp; Design\Design\FC22\DRR Jaime\Por presentar a ECP\Cantagallo\Cristalina\[VRC_CRISTALINA_CF_SEC_20221231.xlsx]CF PRB'!$BW$64</t>
  </si>
  <si>
    <t>='C:\Users\jaime.benazar\Quorum Business Solutions\Ecopetrol Prometeo - Documents\Planning Space Implementation\3. Analysis &amp; Design\Design\FC22\DRR Jaime\Por presentar a ECP\Cantagallo\Cristalina\[VRC_CRISTALINA_CF_SEC_20221231.xlsx]CF PRB'!$BW$65</t>
  </si>
  <si>
    <t>='C:\Users\jaime.benazar\Quorum Business Solutions\Ecopetrol Prometeo - Documents\Planning Space Implementation\3. Analysis &amp; Design\Design\FC22\DRR Jaime\Por presentar a ECP\Cantagallo\Cristalina\[VRC_CRISTALINA_CF_SEC_20221231.xlsx]CF PRB'!$BW$66</t>
  </si>
  <si>
    <t>='C:\Users\jaime.benazar\Quorum Business Solutions\Ecopetrol Prometeo - Documents\Planning Space Implementation\3. Analysis &amp; Design\Design\FC22\DRR Jaime\Por presentar a ECP\Cantagallo\Cristalina\[VRC_CRISTALINA_CF_SEC_20221231.xlsx]CF PRB'!$BW$67</t>
  </si>
  <si>
    <t>='C:\Users\jaime.benazar\Quorum Business Solutions\Ecopetrol Prometeo - Documents\Planning Space Implementation\3. Analysis &amp; Design\Design\FC22\DRR Jaime\Por presentar a ECP\Cantagallo\Cristalina\[VRC_CRISTALINA_CF_SEC_20221231.xlsx]CF PRB'!$BW$68</t>
  </si>
  <si>
    <t>='C:\Users\jaime.benazar\Quorum Business Solutions\Ecopetrol Prometeo - Documents\Planning Space Implementation\3. Analysis &amp; Design\Design\FC22\DRR Jaime\Por presentar a ECP\Cantagallo\Cristalina\[VRC_CRISTALINA_CF_SEC_20221231.xlsx]CF PRB'!$BW$69</t>
  </si>
  <si>
    <t>='C:\Users\jaime.benazar\Quorum Business Solutions\Ecopetrol Prometeo - Documents\Planning Space Implementation\3. Analysis &amp; Design\Design\FC22\DRR Jaime\Por presentar a ECP\Cantagallo\Cristalina\[VRC_CRISTALINA_CF_SEC_20221231.xlsx]CF PRB'!$BW$70</t>
  </si>
  <si>
    <t>='C:\Users\jaime.benazar\Quorum Business Solutions\Ecopetrol Prometeo - Documents\Planning Space Implementation\3. Analysis &amp; Design\Design\FC22\DRR Jaime\Por presentar a ECP\Cantagallo\Cristalina\[VRC_CRISTALINA_CF_SEC_20221231.xlsx]CF PRB'!$BW$71</t>
  </si>
  <si>
    <t>='C:\Users\jaime.benazar\Quorum Business Solutions\Ecopetrol Prometeo - Documents\Planning Space Implementation\3. Analysis &amp; Design\Design\FC22\DRR Jaime\Por presentar a ECP\Cantagallo\Cristalina\[VRC_CRISTALINA_CF_SEC_20221231.xlsx]CF PRB'!$BW$72</t>
  </si>
  <si>
    <t>='C:\Users\jaime.benazar\Quorum Business Solutions\Ecopetrol Prometeo - Documents\Planning Space Implementation\3. Analysis &amp; Design\Design\FC22\DRR Jaime\Por presentar a ECP\Cantagallo\Cristalina\[VRC_CRISTALINA_CF_SEC_20221231.xlsx]CF PS'!$BW$36</t>
  </si>
  <si>
    <t>='C:\Users\jaime.benazar\Quorum Business Solutions\Ecopetrol Prometeo - Documents\Planning Space Implementation\3. Analysis &amp; Design\Design\FC22\DRR Jaime\Por presentar a ECP\Cantagallo\Cristalina\[VRC_CRISTALINA_CF_SEC_20221231.xlsx]CF PS'!$BW$37</t>
  </si>
  <si>
    <t>='C:\Users\jaime.benazar\Quorum Business Solutions\Ecopetrol Prometeo - Documents\Planning Space Implementation\3. Analysis &amp; Design\Design\FC22\DRR Jaime\Por presentar a ECP\Cantagallo\Cristalina\[VRC_CRISTALINA_CF_SEC_20221231.xlsx]CF PS'!$BW$38</t>
  </si>
  <si>
    <t>='C:\Users\jaime.benazar\Quorum Business Solutions\Ecopetrol Prometeo - Documents\Planning Space Implementation\3. Analysis &amp; Design\Design\FC22\DRR Jaime\Por presentar a ECP\Cantagallo\Cristalina\[VRC_CRISTALINA_CF_SEC_20221231.xlsx]CF PS'!$BW$39</t>
  </si>
  <si>
    <t>='C:\Users\jaime.benazar\Quorum Business Solutions\Ecopetrol Prometeo - Documents\Planning Space Implementation\3. Analysis &amp; Design\Design\FC22\DRR Jaime\Por presentar a ECP\Cantagallo\Cristalina\[VRC_CRISTALINA_CF_SEC_20221231.xlsx]CF PS'!$BW$40</t>
  </si>
  <si>
    <t>='C:\Users\jaime.benazar\Quorum Business Solutions\Ecopetrol Prometeo - Documents\Planning Space Implementation\3. Analysis &amp; Design\Design\FC22\DRR Jaime\Por presentar a ECP\Cantagallo\Cristalina\[VRC_CRISTALINA_CF_SEC_20221231.xlsx]CF PS'!$BW$41</t>
  </si>
  <si>
    <t>='C:\Users\jaime.benazar\Quorum Business Solutions\Ecopetrol Prometeo - Documents\Planning Space Implementation\3. Analysis &amp; Design\Design\FC22\DRR Jaime\Por presentar a ECP\Cantagallo\Cristalina\[VRC_CRISTALINA_CF_SEC_20221231.xlsx]CF PS'!$BW$42</t>
  </si>
  <si>
    <t>='C:\Users\jaime.benazar\Quorum Business Solutions\Ecopetrol Prometeo - Documents\Planning Space Implementation\3. Analysis &amp; Design\Design\FC22\DRR Jaime\Por presentar a ECP\Cantagallo\Cristalina\[VRC_CRISTALINA_CF_SEC_20221231.xlsx]CF PS'!$BW$43</t>
  </si>
  <si>
    <t>='C:\Users\jaime.benazar\Quorum Business Solutions\Ecopetrol Prometeo - Documents\Planning Space Implementation\3. Analysis &amp; Design\Design\FC22\DRR Jaime\Por presentar a ECP\Cantagallo\Cristalina\[VRC_CRISTALINA_CF_SEC_20221231.xlsx]CF PS'!$BW$44</t>
  </si>
  <si>
    <t>='C:\Users\jaime.benazar\Quorum Business Solutions\Ecopetrol Prometeo - Documents\Planning Space Implementation\3. Analysis &amp; Design\Design\FC22\DRR Jaime\Por presentar a ECP\Cantagallo\Cristalina\[VRC_CRISTALINA_CF_SEC_20221231.xlsx]CF PS'!$BW$45</t>
  </si>
  <si>
    <t>='C:\Users\jaime.benazar\Quorum Business Solutions\Ecopetrol Prometeo - Documents\Planning Space Implementation\3. Analysis &amp; Design\Design\FC22\DRR Jaime\Por presentar a ECP\Cantagallo\Cristalina\[VRC_CRISTALINA_CF_SEC_20221231.xlsx]CF PS'!$BW$46</t>
  </si>
  <si>
    <t>='C:\Users\jaime.benazar\Quorum Business Solutions\Ecopetrol Prometeo - Documents\Planning Space Implementation\3. Analysis &amp; Design\Design\FC22\DRR Jaime\Por presentar a ECP\Cantagallo\Cristalina\[VRC_CRISTALINA_CF_SEC_20221231.xlsx]CF PS'!$BW$47</t>
  </si>
  <si>
    <t>='C:\Users\jaime.benazar\Quorum Business Solutions\Ecopetrol Prometeo - Documents\Planning Space Implementation\3. Analysis &amp; Design\Design\FC22\DRR Jaime\Por presentar a ECP\Cantagallo\Cristalina\[VRC_CRISTALINA_CF_SEC_20221231.xlsx]CF PS'!$BW$48</t>
  </si>
  <si>
    <t>='C:\Users\jaime.benazar\Quorum Business Solutions\Ecopetrol Prometeo - Documents\Planning Space Implementation\3. Analysis &amp; Design\Design\FC22\DRR Jaime\Por presentar a ECP\Cantagallo\Cristalina\[VRC_CRISTALINA_CF_SEC_20221231.xlsx]CF PS'!$BW$49</t>
  </si>
  <si>
    <t>='C:\Users\jaime.benazar\Quorum Business Solutions\Ecopetrol Prometeo - Documents\Planning Space Implementation\3. Analysis &amp; Design\Design\FC22\DRR Jaime\Por presentar a ECP\Cantagallo\Cristalina\[VRC_CRISTALINA_CF_SEC_20221231.xlsx]CF PS'!$BW$50</t>
  </si>
  <si>
    <t>='C:\Users\jaime.benazar\Quorum Business Solutions\Ecopetrol Prometeo - Documents\Planning Space Implementation\3. Analysis &amp; Design\Design\FC22\DRR Jaime\Por presentar a ECP\Cantagallo\Cristalina\[VRC_CRISTALINA_CF_SEC_20221231.xlsx]CF PS'!$BW$51</t>
  </si>
  <si>
    <t>='C:\Users\jaime.benazar\Quorum Business Solutions\Ecopetrol Prometeo - Documents\Planning Space Implementation\3. Analysis &amp; Design\Design\FC22\DRR Jaime\Por presentar a ECP\Cantagallo\Cristalina\[VRC_CRISTALINA_CF_SEC_20221231.xlsx]CF PS'!$BW$52</t>
  </si>
  <si>
    <t>='C:\Users\jaime.benazar\Quorum Business Solutions\Ecopetrol Prometeo - Documents\Planning Space Implementation\3. Analysis &amp; Design\Design\FC22\DRR Jaime\Por presentar a ECP\Cantagallo\Cristalina\[VRC_CRISTALINA_CF_SEC_20221231.xlsx]CF PS'!$BW$53</t>
  </si>
  <si>
    <t>='C:\Users\jaime.benazar\Quorum Business Solutions\Ecopetrol Prometeo - Documents\Planning Space Implementation\3. Analysis &amp; Design\Design\FC22\DRR Jaime\Por presentar a ECP\Cantagallo\Cristalina\[VRC_CRISTALINA_CF_SEC_20221231.xlsx]CF PS'!$BW$54</t>
  </si>
  <si>
    <t>='C:\Users\jaime.benazar\Quorum Business Solutions\Ecopetrol Prometeo - Documents\Planning Space Implementation\3. Analysis &amp; Design\Design\FC22\DRR Jaime\Por presentar a ECP\Cantagallo\Cristalina\[VRC_CRISTALINA_CF_SEC_20221231.xlsx]CF PS'!$BW$55</t>
  </si>
  <si>
    <t>='C:\Users\jaime.benazar\Quorum Business Solutions\Ecopetrol Prometeo - Documents\Planning Space Implementation\3. Analysis &amp; Design\Design\FC22\DRR Jaime\Por presentar a ECP\Cantagallo\Cristalina\[VRC_CRISTALINA_CF_SEC_20221231.xlsx]CF PS'!$BW$56</t>
  </si>
  <si>
    <t>='C:\Users\jaime.benazar\Quorum Business Solutions\Ecopetrol Prometeo - Documents\Planning Space Implementation\3. Analysis &amp; Design\Design\FC22\DRR Jaime\Por presentar a ECP\Cantagallo\Cristalina\[VRC_CRISTALINA_CF_SEC_20221231.xlsx]CF PS'!$BW$57</t>
  </si>
  <si>
    <t>='C:\Users\jaime.benazar\Quorum Business Solutions\Ecopetrol Prometeo - Documents\Planning Space Implementation\3. Analysis &amp; Design\Design\FC22\DRR Jaime\Por presentar a ECP\Cantagallo\Cristalina\[VRC_CRISTALINA_CF_SEC_20221231.xlsx]CF PS'!$BW$58</t>
  </si>
  <si>
    <t>='C:\Users\jaime.benazar\Quorum Business Solutions\Ecopetrol Prometeo - Documents\Planning Space Implementation\3. Analysis &amp; Design\Design\FC22\DRR Jaime\Por presentar a ECP\Cantagallo\Cristalina\[VRC_CRISTALINA_CF_SEC_20221231.xlsx]CF PS'!$BW$59</t>
  </si>
  <si>
    <t>='C:\Users\jaime.benazar\Quorum Business Solutions\Ecopetrol Prometeo - Documents\Planning Space Implementation\3. Analysis &amp; Design\Design\FC22\DRR Jaime\Por presentar a ECP\Cantagallo\Cristalina\[VRC_CRISTALINA_CF_SEC_20221231.xlsx]CF PS'!$BW$60</t>
  </si>
  <si>
    <t>='C:\Users\jaime.benazar\Quorum Business Solutions\Ecopetrol Prometeo - Documents\Planning Space Implementation\3. Analysis &amp; Design\Design\FC22\DRR Jaime\Por presentar a ECP\Cantagallo\Cristalina\[VRC_CRISTALINA_CF_SEC_20221231.xlsx]CF PS'!$BW$61</t>
  </si>
  <si>
    <t>='C:\Users\jaime.benazar\Quorum Business Solutions\Ecopetrol Prometeo - Documents\Planning Space Implementation\3. Analysis &amp; Design\Design\FC22\DRR Jaime\Por presentar a ECP\Cantagallo\Cristalina\[VRC_CRISTALINA_CF_SEC_20221231.xlsx]CF PS'!$BW$62</t>
  </si>
  <si>
    <t>='C:\Users\jaime.benazar\Quorum Business Solutions\Ecopetrol Prometeo - Documents\Planning Space Implementation\3. Analysis &amp; Design\Design\FC22\DRR Jaime\Por presentar a ECP\Cantagallo\Cristalina\[VRC_CRISTALINA_CF_SEC_20221231.xlsx]CF PS'!$BW$63</t>
  </si>
  <si>
    <t>='C:\Users\jaime.benazar\Quorum Business Solutions\Ecopetrol Prometeo - Documents\Planning Space Implementation\3. Analysis &amp; Design\Design\FC22\DRR Jaime\Por presentar a ECP\Cantagallo\Cristalina\[VRC_CRISTALINA_CF_SEC_20221231.xlsx]CF PS'!$BW$64</t>
  </si>
  <si>
    <t>='C:\Users\jaime.benazar\Quorum Business Solutions\Ecopetrol Prometeo - Documents\Planning Space Implementation\3. Analysis &amp; Design\Design\FC22\DRR Jaime\Por presentar a ECP\Cantagallo\Cristalina\[VRC_CRISTALINA_CF_SEC_20221231.xlsx]CF PS'!$BW$65</t>
  </si>
  <si>
    <t>='C:\Users\jaime.benazar\Quorum Business Solutions\Ecopetrol Prometeo - Documents\Planning Space Implementation\3. Analysis &amp; Design\Design\FC22\DRR Jaime\Por presentar a ECP\Cantagallo\Cristalina\[VRC_CRISTALINA_CF_SEC_20221231.xlsx]CF PS'!$BW$66</t>
  </si>
  <si>
    <t>='C:\Users\jaime.benazar\Quorum Business Solutions\Ecopetrol Prometeo - Documents\Planning Space Implementation\3. Analysis &amp; Design\Design\FC22\DRR Jaime\Por presentar a ECP\Cantagallo\Cristalina\[VRC_CRISTALINA_CF_SEC_20221231.xlsx]CF PS'!$BW$67</t>
  </si>
  <si>
    <t>='C:\Users\jaime.benazar\Quorum Business Solutions\Ecopetrol Prometeo - Documents\Planning Space Implementation\3. Analysis &amp; Design\Design\FC22\DRR Jaime\Por presentar a ECP\Cantagallo\Cristalina\[VRC_CRISTALINA_CF_SEC_20221231.xlsx]CF PS'!$BW$68</t>
  </si>
  <si>
    <t>='C:\Users\jaime.benazar\Quorum Business Solutions\Ecopetrol Prometeo - Documents\Planning Space Implementation\3. Analysis &amp; Design\Design\FC22\DRR Jaime\Por presentar a ECP\Cantagallo\Cristalina\[VRC_CRISTALINA_CF_SEC_20221231.xlsx]CF PS'!$BW$69</t>
  </si>
  <si>
    <t>='C:\Users\jaime.benazar\Quorum Business Solutions\Ecopetrol Prometeo - Documents\Planning Space Implementation\3. Analysis &amp; Design\Design\FC22\DRR Jaime\Por presentar a ECP\Cantagallo\Cristalina\[VRC_CRISTALINA_CF_SEC_20221231.xlsx]CF PS'!$BW$70</t>
  </si>
  <si>
    <t>='C:\Users\jaime.benazar\Quorum Business Solutions\Ecopetrol Prometeo - Documents\Planning Space Implementation\3. Analysis &amp; Design\Design\FC22\DRR Jaime\Por presentar a ECP\Cantagallo\Cristalina\[VRC_CRISTALINA_CF_SEC_20221231.xlsx]CF PS'!$BW$71</t>
  </si>
  <si>
    <t>='C:\Users\jaime.benazar\Quorum Business Solutions\Ecopetrol Prometeo - Documents\Planning Space Implementation\3. Analysis &amp; Design\Design\FC22\DRR Jaime\Por presentar a ECP\Cantagallo\Cristalina\[VRC_CRISTALINA_CF_SEC_20221231.xlsx]CF PS'!$BW$72</t>
  </si>
  <si>
    <t>='C:\Users\jaime.benazar\Quorum Business Solutions\Ecopetrol Prometeo - Documents\Planning Space Implementation\3. Analysis &amp; Design\Design\FC22\DRR Jaime\Por presentar a ECP\Cantagallo\Cristalina\[VRC_CRISTALINA_CF_SEC_20221231.xlsx]CF PDP'!$BX$36</t>
  </si>
  <si>
    <t>='C:\Users\jaime.benazar\Quorum Business Solutions\Ecopetrol Prometeo - Documents\Planning Space Implementation\3. Analysis &amp; Design\Design\FC22\DRR Jaime\Por presentar a ECP\Cantagallo\Cristalina\[VRC_CRISTALINA_CF_SEC_20221231.xlsx]CF PDP'!$BX$37</t>
  </si>
  <si>
    <t>='C:\Users\jaime.benazar\Quorum Business Solutions\Ecopetrol Prometeo - Documents\Planning Space Implementation\3. Analysis &amp; Design\Design\FC22\DRR Jaime\Por presentar a ECP\Cantagallo\Cristalina\[VRC_CRISTALINA_CF_SEC_20221231.xlsx]CF PDP'!$BX$38</t>
  </si>
  <si>
    <t>='C:\Users\jaime.benazar\Quorum Business Solutions\Ecopetrol Prometeo - Documents\Planning Space Implementation\3. Analysis &amp; Design\Design\FC22\DRR Jaime\Por presentar a ECP\Cantagallo\Cristalina\[VRC_CRISTALINA_CF_SEC_20221231.xlsx]CF PDP'!$BX$39</t>
  </si>
  <si>
    <t>='C:\Users\jaime.benazar\Quorum Business Solutions\Ecopetrol Prometeo - Documents\Planning Space Implementation\3. Analysis &amp; Design\Design\FC22\DRR Jaime\Por presentar a ECP\Cantagallo\Cristalina\[VRC_CRISTALINA_CF_SEC_20221231.xlsx]CF PDP'!$BX$40</t>
  </si>
  <si>
    <t>='C:\Users\jaime.benazar\Quorum Business Solutions\Ecopetrol Prometeo - Documents\Planning Space Implementation\3. Analysis &amp; Design\Design\FC22\DRR Jaime\Por presentar a ECP\Cantagallo\Cristalina\[VRC_CRISTALINA_CF_SEC_20221231.xlsx]CF PDP'!$BX$41</t>
  </si>
  <si>
    <t>='C:\Users\jaime.benazar\Quorum Business Solutions\Ecopetrol Prometeo - Documents\Planning Space Implementation\3. Analysis &amp; Design\Design\FC22\DRR Jaime\Por presentar a ECP\Cantagallo\Cristalina\[VRC_CRISTALINA_CF_SEC_20221231.xlsx]CF PDP'!$BX$42</t>
  </si>
  <si>
    <t>='C:\Users\jaime.benazar\Quorum Business Solutions\Ecopetrol Prometeo - Documents\Planning Space Implementation\3. Analysis &amp; Design\Design\FC22\DRR Jaime\Por presentar a ECP\Cantagallo\Cristalina\[VRC_CRISTALINA_CF_SEC_20221231.xlsx]CF PDP'!$BX$43</t>
  </si>
  <si>
    <t>='C:\Users\jaime.benazar\Quorum Business Solutions\Ecopetrol Prometeo - Documents\Planning Space Implementation\3. Analysis &amp; Design\Design\FC22\DRR Jaime\Por presentar a ECP\Cantagallo\Cristalina\[VRC_CRISTALINA_CF_SEC_20221231.xlsx]CF PDP'!$BX$44</t>
  </si>
  <si>
    <t>='C:\Users\jaime.benazar\Quorum Business Solutions\Ecopetrol Prometeo - Documents\Planning Space Implementation\3. Analysis &amp; Design\Design\FC22\DRR Jaime\Por presentar a ECP\Cantagallo\Cristalina\[VRC_CRISTALINA_CF_SEC_20221231.xlsx]CF PDP'!$BX$45</t>
  </si>
  <si>
    <t>='C:\Users\jaime.benazar\Quorum Business Solutions\Ecopetrol Prometeo - Documents\Planning Space Implementation\3. Analysis &amp; Design\Design\FC22\DRR Jaime\Por presentar a ECP\Cantagallo\Cristalina\[VRC_CRISTALINA_CF_SEC_20221231.xlsx]CF PDP'!$BX$46</t>
  </si>
  <si>
    <t>='C:\Users\jaime.benazar\Quorum Business Solutions\Ecopetrol Prometeo - Documents\Planning Space Implementation\3. Analysis &amp; Design\Design\FC22\DRR Jaime\Por presentar a ECP\Cantagallo\Cristalina\[VRC_CRISTALINA_CF_SEC_20221231.xlsx]CF PDP'!$BX$47</t>
  </si>
  <si>
    <t>='C:\Users\jaime.benazar\Quorum Business Solutions\Ecopetrol Prometeo - Documents\Planning Space Implementation\3. Analysis &amp; Design\Design\FC22\DRR Jaime\Por presentar a ECP\Cantagallo\Cristalina\[VRC_CRISTALINA_CF_SEC_20221231.xlsx]CF PDP'!$BX$48</t>
  </si>
  <si>
    <t>='C:\Users\jaime.benazar\Quorum Business Solutions\Ecopetrol Prometeo - Documents\Planning Space Implementation\3. Analysis &amp; Design\Design\FC22\DRR Jaime\Por presentar a ECP\Cantagallo\Cristalina\[VRC_CRISTALINA_CF_SEC_20221231.xlsx]CF PDP'!$BX$49</t>
  </si>
  <si>
    <t>='C:\Users\jaime.benazar\Quorum Business Solutions\Ecopetrol Prometeo - Documents\Planning Space Implementation\3. Analysis &amp; Design\Design\FC22\DRR Jaime\Por presentar a ECP\Cantagallo\Cristalina\[VRC_CRISTALINA_CF_SEC_20221231.xlsx]CF PDP'!$BX$50</t>
  </si>
  <si>
    <t>='C:\Users\jaime.benazar\Quorum Business Solutions\Ecopetrol Prometeo - Documents\Planning Space Implementation\3. Analysis &amp; Design\Design\FC22\DRR Jaime\Por presentar a ECP\Cantagallo\Cristalina\[VRC_CRISTALINA_CF_SEC_20221231.xlsx]CF PDP'!$BX$51</t>
  </si>
  <si>
    <t>='C:\Users\jaime.benazar\Quorum Business Solutions\Ecopetrol Prometeo - Documents\Planning Space Implementation\3. Analysis &amp; Design\Design\FC22\DRR Jaime\Por presentar a ECP\Cantagallo\Cristalina\[VRC_CRISTALINA_CF_SEC_20221231.xlsx]CF PDP'!$BX$52</t>
  </si>
  <si>
    <t>='C:\Users\jaime.benazar\Quorum Business Solutions\Ecopetrol Prometeo - Documents\Planning Space Implementation\3. Analysis &amp; Design\Design\FC22\DRR Jaime\Por presentar a ECP\Cantagallo\Cristalina\[VRC_CRISTALINA_CF_SEC_20221231.xlsx]CF PDP'!$BX$53</t>
  </si>
  <si>
    <t>='C:\Users\jaime.benazar\Quorum Business Solutions\Ecopetrol Prometeo - Documents\Planning Space Implementation\3. Analysis &amp; Design\Design\FC22\DRR Jaime\Por presentar a ECP\Cantagallo\Cristalina\[VRC_CRISTALINA_CF_SEC_20221231.xlsx]CF PDP'!$BX$54</t>
  </si>
  <si>
    <t>='C:\Users\jaime.benazar\Quorum Business Solutions\Ecopetrol Prometeo - Documents\Planning Space Implementation\3. Analysis &amp; Design\Design\FC22\DRR Jaime\Por presentar a ECP\Cantagallo\Cristalina\[VRC_CRISTALINA_CF_SEC_20221231.xlsx]CF PDP'!$BX$55</t>
  </si>
  <si>
    <t>='C:\Users\jaime.benazar\Quorum Business Solutions\Ecopetrol Prometeo - Documents\Planning Space Implementation\3. Analysis &amp; Design\Design\FC22\DRR Jaime\Por presentar a ECP\Cantagallo\Cristalina\[VRC_CRISTALINA_CF_SEC_20221231.xlsx]CF PDP'!$BX$56</t>
  </si>
  <si>
    <t>='C:\Users\jaime.benazar\Quorum Business Solutions\Ecopetrol Prometeo - Documents\Planning Space Implementation\3. Analysis &amp; Design\Design\FC22\DRR Jaime\Por presentar a ECP\Cantagallo\Cristalina\[VRC_CRISTALINA_CF_SEC_20221231.xlsx]CF PDP'!$BX$57</t>
  </si>
  <si>
    <t>='C:\Users\jaime.benazar\Quorum Business Solutions\Ecopetrol Prometeo - Documents\Planning Space Implementation\3. Analysis &amp; Design\Design\FC22\DRR Jaime\Por presentar a ECP\Cantagallo\Cristalina\[VRC_CRISTALINA_CF_SEC_20221231.xlsx]CF PDP'!$BX$58</t>
  </si>
  <si>
    <t>='C:\Users\jaime.benazar\Quorum Business Solutions\Ecopetrol Prometeo - Documents\Planning Space Implementation\3. Analysis &amp; Design\Design\FC22\DRR Jaime\Por presentar a ECP\Cantagallo\Cristalina\[VRC_CRISTALINA_CF_SEC_20221231.xlsx]CF PDP'!$BX$59</t>
  </si>
  <si>
    <t>='C:\Users\jaime.benazar\Quorum Business Solutions\Ecopetrol Prometeo - Documents\Planning Space Implementation\3. Analysis &amp; Design\Design\FC22\DRR Jaime\Por presentar a ECP\Cantagallo\Cristalina\[VRC_CRISTALINA_CF_SEC_20221231.xlsx]CF PDP'!$BX$60</t>
  </si>
  <si>
    <t>='C:\Users\jaime.benazar\Quorum Business Solutions\Ecopetrol Prometeo - Documents\Planning Space Implementation\3. Analysis &amp; Design\Design\FC22\DRR Jaime\Por presentar a ECP\Cantagallo\Cristalina\[VRC_CRISTALINA_CF_SEC_20221231.xlsx]CF PDP'!$BX$61</t>
  </si>
  <si>
    <t>='C:\Users\jaime.benazar\Quorum Business Solutions\Ecopetrol Prometeo - Documents\Planning Space Implementation\3. Analysis &amp; Design\Design\FC22\DRR Jaime\Por presentar a ECP\Cantagallo\Cristalina\[VRC_CRISTALINA_CF_SEC_20221231.xlsx]CF PDP'!$BX$62</t>
  </si>
  <si>
    <t>='C:\Users\jaime.benazar\Quorum Business Solutions\Ecopetrol Prometeo - Documents\Planning Space Implementation\3. Analysis &amp; Design\Design\FC22\DRR Jaime\Por presentar a ECP\Cantagallo\Cristalina\[VRC_CRISTALINA_CF_SEC_20221231.xlsx]CF PDP'!$BX$63</t>
  </si>
  <si>
    <t>='C:\Users\jaime.benazar\Quorum Business Solutions\Ecopetrol Prometeo - Documents\Planning Space Implementation\3. Analysis &amp; Design\Design\FC22\DRR Jaime\Por presentar a ECP\Cantagallo\Cristalina\[VRC_CRISTALINA_CF_SEC_20221231.xlsx]CF PDP'!$BX$64</t>
  </si>
  <si>
    <t>='C:\Users\jaime.benazar\Quorum Business Solutions\Ecopetrol Prometeo - Documents\Planning Space Implementation\3. Analysis &amp; Design\Design\FC22\DRR Jaime\Por presentar a ECP\Cantagallo\Cristalina\[VRC_CRISTALINA_CF_SEC_20221231.xlsx]CF PDP'!$BX$65</t>
  </si>
  <si>
    <t>='C:\Users\jaime.benazar\Quorum Business Solutions\Ecopetrol Prometeo - Documents\Planning Space Implementation\3. Analysis &amp; Design\Design\FC22\DRR Jaime\Por presentar a ECP\Cantagallo\Cristalina\[VRC_CRISTALINA_CF_SEC_20221231.xlsx]CF PDP'!$BX$66</t>
  </si>
  <si>
    <t>='C:\Users\jaime.benazar\Quorum Business Solutions\Ecopetrol Prometeo - Documents\Planning Space Implementation\3. Analysis &amp; Design\Design\FC22\DRR Jaime\Por presentar a ECP\Cantagallo\Cristalina\[VRC_CRISTALINA_CF_SEC_20221231.xlsx]CF PDP'!$BX$67</t>
  </si>
  <si>
    <t>='C:\Users\jaime.benazar\Quorum Business Solutions\Ecopetrol Prometeo - Documents\Planning Space Implementation\3. Analysis &amp; Design\Design\FC22\DRR Jaime\Por presentar a ECP\Cantagallo\Cristalina\[VRC_CRISTALINA_CF_SEC_20221231.xlsx]CF PDP'!$BX$68</t>
  </si>
  <si>
    <t>='C:\Users\jaime.benazar\Quorum Business Solutions\Ecopetrol Prometeo - Documents\Planning Space Implementation\3. Analysis &amp; Design\Design\FC22\DRR Jaime\Por presentar a ECP\Cantagallo\Cristalina\[VRC_CRISTALINA_CF_SEC_20221231.xlsx]CF PDP'!$BX$69</t>
  </si>
  <si>
    <t>='C:\Users\jaime.benazar\Quorum Business Solutions\Ecopetrol Prometeo - Documents\Planning Space Implementation\3. Analysis &amp; Design\Design\FC22\DRR Jaime\Por presentar a ECP\Cantagallo\Cristalina\[VRC_CRISTALINA_CF_SEC_20221231.xlsx]CF PDP'!$BX$70</t>
  </si>
  <si>
    <t>='C:\Users\jaime.benazar\Quorum Business Solutions\Ecopetrol Prometeo - Documents\Planning Space Implementation\3. Analysis &amp; Design\Design\FC22\DRR Jaime\Por presentar a ECP\Cantagallo\Cristalina\[VRC_CRISTALINA_CF_SEC_20221231.xlsx]CF PDP'!$BX$71</t>
  </si>
  <si>
    <t>='C:\Users\jaime.benazar\Quorum Business Solutions\Ecopetrol Prometeo - Documents\Planning Space Implementation\3. Analysis &amp; Design\Design\FC22\DRR Jaime\Por presentar a ECP\Cantagallo\Cristalina\[VRC_CRISTALINA_CF_SEC_20221231.xlsx]CF PDP'!$BX$72</t>
  </si>
  <si>
    <t>='C:\Users\jaime.benazar\Quorum Business Solutions\Ecopetrol Prometeo - Documents\Planning Space Implementation\3. Analysis &amp; Design\Design\FC22\DRR Jaime\Por presentar a ECP\Cantagallo\Cristalina\[VRC_CRISTALINA_CF_SEC_20221231.xlsx]CF PNP'!$BX$36</t>
  </si>
  <si>
    <t>='C:\Users\jaime.benazar\Quorum Business Solutions\Ecopetrol Prometeo - Documents\Planning Space Implementation\3. Analysis &amp; Design\Design\FC22\DRR Jaime\Por presentar a ECP\Cantagallo\Cristalina\[VRC_CRISTALINA_CF_SEC_20221231.xlsx]CF PNP'!$BX$37</t>
  </si>
  <si>
    <t>='C:\Users\jaime.benazar\Quorum Business Solutions\Ecopetrol Prometeo - Documents\Planning Space Implementation\3. Analysis &amp; Design\Design\FC22\DRR Jaime\Por presentar a ECP\Cantagallo\Cristalina\[VRC_CRISTALINA_CF_SEC_20221231.xlsx]CF PNP'!$BX$38</t>
  </si>
  <si>
    <t>='C:\Users\jaime.benazar\Quorum Business Solutions\Ecopetrol Prometeo - Documents\Planning Space Implementation\3. Analysis &amp; Design\Design\FC22\DRR Jaime\Por presentar a ECP\Cantagallo\Cristalina\[VRC_CRISTALINA_CF_SEC_20221231.xlsx]CF PNP'!$BX$39</t>
  </si>
  <si>
    <t>='C:\Users\jaime.benazar\Quorum Business Solutions\Ecopetrol Prometeo - Documents\Planning Space Implementation\3. Analysis &amp; Design\Design\FC22\DRR Jaime\Por presentar a ECP\Cantagallo\Cristalina\[VRC_CRISTALINA_CF_SEC_20221231.xlsx]CF PNP'!$BX$40</t>
  </si>
  <si>
    <t>='C:\Users\jaime.benazar\Quorum Business Solutions\Ecopetrol Prometeo - Documents\Planning Space Implementation\3. Analysis &amp; Design\Design\FC22\DRR Jaime\Por presentar a ECP\Cantagallo\Cristalina\[VRC_CRISTALINA_CF_SEC_20221231.xlsx]CF PNP'!$BX$41</t>
  </si>
  <si>
    <t>='C:\Users\jaime.benazar\Quorum Business Solutions\Ecopetrol Prometeo - Documents\Planning Space Implementation\3. Analysis &amp; Design\Design\FC22\DRR Jaime\Por presentar a ECP\Cantagallo\Cristalina\[VRC_CRISTALINA_CF_SEC_20221231.xlsx]CF PNP'!$BX$42</t>
  </si>
  <si>
    <t>='C:\Users\jaime.benazar\Quorum Business Solutions\Ecopetrol Prometeo - Documents\Planning Space Implementation\3. Analysis &amp; Design\Design\FC22\DRR Jaime\Por presentar a ECP\Cantagallo\Cristalina\[VRC_CRISTALINA_CF_SEC_20221231.xlsx]CF PNP'!$BX$43</t>
  </si>
  <si>
    <t>='C:\Users\jaime.benazar\Quorum Business Solutions\Ecopetrol Prometeo - Documents\Planning Space Implementation\3. Analysis &amp; Design\Design\FC22\DRR Jaime\Por presentar a ECP\Cantagallo\Cristalina\[VRC_CRISTALINA_CF_SEC_20221231.xlsx]CF PNP'!$BX$44</t>
  </si>
  <si>
    <t>='C:\Users\jaime.benazar\Quorum Business Solutions\Ecopetrol Prometeo - Documents\Planning Space Implementation\3. Analysis &amp; Design\Design\FC22\DRR Jaime\Por presentar a ECP\Cantagallo\Cristalina\[VRC_CRISTALINA_CF_SEC_20221231.xlsx]CF PNP'!$BX$45</t>
  </si>
  <si>
    <t>='C:\Users\jaime.benazar\Quorum Business Solutions\Ecopetrol Prometeo - Documents\Planning Space Implementation\3. Analysis &amp; Design\Design\FC22\DRR Jaime\Por presentar a ECP\Cantagallo\Cristalina\[VRC_CRISTALINA_CF_SEC_20221231.xlsx]CF PNP'!$BX$46</t>
  </si>
  <si>
    <t>='C:\Users\jaime.benazar\Quorum Business Solutions\Ecopetrol Prometeo - Documents\Planning Space Implementation\3. Analysis &amp; Design\Design\FC22\DRR Jaime\Por presentar a ECP\Cantagallo\Cristalina\[VRC_CRISTALINA_CF_SEC_20221231.xlsx]CF PNP'!$BX$47</t>
  </si>
  <si>
    <t>='C:\Users\jaime.benazar\Quorum Business Solutions\Ecopetrol Prometeo - Documents\Planning Space Implementation\3. Analysis &amp; Design\Design\FC22\DRR Jaime\Por presentar a ECP\Cantagallo\Cristalina\[VRC_CRISTALINA_CF_SEC_20221231.xlsx]CF PNP'!$BX$48</t>
  </si>
  <si>
    <t>='C:\Users\jaime.benazar\Quorum Business Solutions\Ecopetrol Prometeo - Documents\Planning Space Implementation\3. Analysis &amp; Design\Design\FC22\DRR Jaime\Por presentar a ECP\Cantagallo\Cristalina\[VRC_CRISTALINA_CF_SEC_20221231.xlsx]CF PNP'!$BX$49</t>
  </si>
  <si>
    <t>='C:\Users\jaime.benazar\Quorum Business Solutions\Ecopetrol Prometeo - Documents\Planning Space Implementation\3. Analysis &amp; Design\Design\FC22\DRR Jaime\Por presentar a ECP\Cantagallo\Cristalina\[VRC_CRISTALINA_CF_SEC_20221231.xlsx]CF PNP'!$BX$50</t>
  </si>
  <si>
    <t>='C:\Users\jaime.benazar\Quorum Business Solutions\Ecopetrol Prometeo - Documents\Planning Space Implementation\3. Analysis &amp; Design\Design\FC22\DRR Jaime\Por presentar a ECP\Cantagallo\Cristalina\[VRC_CRISTALINA_CF_SEC_20221231.xlsx]CF PNP'!$BX$51</t>
  </si>
  <si>
    <t>='C:\Users\jaime.benazar\Quorum Business Solutions\Ecopetrol Prometeo - Documents\Planning Space Implementation\3. Analysis &amp; Design\Design\FC22\DRR Jaime\Por presentar a ECP\Cantagallo\Cristalina\[VRC_CRISTALINA_CF_SEC_20221231.xlsx]CF PNP'!$BX$52</t>
  </si>
  <si>
    <t>='C:\Users\jaime.benazar\Quorum Business Solutions\Ecopetrol Prometeo - Documents\Planning Space Implementation\3. Analysis &amp; Design\Design\FC22\DRR Jaime\Por presentar a ECP\Cantagallo\Cristalina\[VRC_CRISTALINA_CF_SEC_20221231.xlsx]CF PNP'!$BX$53</t>
  </si>
  <si>
    <t>='C:\Users\jaime.benazar\Quorum Business Solutions\Ecopetrol Prometeo - Documents\Planning Space Implementation\3. Analysis &amp; Design\Design\FC22\DRR Jaime\Por presentar a ECP\Cantagallo\Cristalina\[VRC_CRISTALINA_CF_SEC_20221231.xlsx]CF PNP'!$BX$54</t>
  </si>
  <si>
    <t>='C:\Users\jaime.benazar\Quorum Business Solutions\Ecopetrol Prometeo - Documents\Planning Space Implementation\3. Analysis &amp; Design\Design\FC22\DRR Jaime\Por presentar a ECP\Cantagallo\Cristalina\[VRC_CRISTALINA_CF_SEC_20221231.xlsx]CF PNP'!$BX$55</t>
  </si>
  <si>
    <t>='C:\Users\jaime.benazar\Quorum Business Solutions\Ecopetrol Prometeo - Documents\Planning Space Implementation\3. Analysis &amp; Design\Design\FC22\DRR Jaime\Por presentar a ECP\Cantagallo\Cristalina\[VRC_CRISTALINA_CF_SEC_20221231.xlsx]CF PNP'!$BX$56</t>
  </si>
  <si>
    <t>='C:\Users\jaime.benazar\Quorum Business Solutions\Ecopetrol Prometeo - Documents\Planning Space Implementation\3. Analysis &amp; Design\Design\FC22\DRR Jaime\Por presentar a ECP\Cantagallo\Cristalina\[VRC_CRISTALINA_CF_SEC_20221231.xlsx]CF PNP'!$BX$57</t>
  </si>
  <si>
    <t>='C:\Users\jaime.benazar\Quorum Business Solutions\Ecopetrol Prometeo - Documents\Planning Space Implementation\3. Analysis &amp; Design\Design\FC22\DRR Jaime\Por presentar a ECP\Cantagallo\Cristalina\[VRC_CRISTALINA_CF_SEC_20221231.xlsx]CF PNP'!$BX$58</t>
  </si>
  <si>
    <t>='C:\Users\jaime.benazar\Quorum Business Solutions\Ecopetrol Prometeo - Documents\Planning Space Implementation\3. Analysis &amp; Design\Design\FC22\DRR Jaime\Por presentar a ECP\Cantagallo\Cristalina\[VRC_CRISTALINA_CF_SEC_20221231.xlsx]CF PNP'!$BX$59</t>
  </si>
  <si>
    <t>='C:\Users\jaime.benazar\Quorum Business Solutions\Ecopetrol Prometeo - Documents\Planning Space Implementation\3. Analysis &amp; Design\Design\FC22\DRR Jaime\Por presentar a ECP\Cantagallo\Cristalina\[VRC_CRISTALINA_CF_SEC_20221231.xlsx]CF PNP'!$BX$60</t>
  </si>
  <si>
    <t>='C:\Users\jaime.benazar\Quorum Business Solutions\Ecopetrol Prometeo - Documents\Planning Space Implementation\3. Analysis &amp; Design\Design\FC22\DRR Jaime\Por presentar a ECP\Cantagallo\Cristalina\[VRC_CRISTALINA_CF_SEC_20221231.xlsx]CF PNP'!$BX$61</t>
  </si>
  <si>
    <t>='C:\Users\jaime.benazar\Quorum Business Solutions\Ecopetrol Prometeo - Documents\Planning Space Implementation\3. Analysis &amp; Design\Design\FC22\DRR Jaime\Por presentar a ECP\Cantagallo\Cristalina\[VRC_CRISTALINA_CF_SEC_20221231.xlsx]CF PNP'!$BX$62</t>
  </si>
  <si>
    <t>='C:\Users\jaime.benazar\Quorum Business Solutions\Ecopetrol Prometeo - Documents\Planning Space Implementation\3. Analysis &amp; Design\Design\FC22\DRR Jaime\Por presentar a ECP\Cantagallo\Cristalina\[VRC_CRISTALINA_CF_SEC_20221231.xlsx]CF PNP'!$BX$63</t>
  </si>
  <si>
    <t>='C:\Users\jaime.benazar\Quorum Business Solutions\Ecopetrol Prometeo - Documents\Planning Space Implementation\3. Analysis &amp; Design\Design\FC22\DRR Jaime\Por presentar a ECP\Cantagallo\Cristalina\[VRC_CRISTALINA_CF_SEC_20221231.xlsx]CF PNP'!$BX$64</t>
  </si>
  <si>
    <t>='C:\Users\jaime.benazar\Quorum Business Solutions\Ecopetrol Prometeo - Documents\Planning Space Implementation\3. Analysis &amp; Design\Design\FC22\DRR Jaime\Por presentar a ECP\Cantagallo\Cristalina\[VRC_CRISTALINA_CF_SEC_20221231.xlsx]CF PNP'!$BX$65</t>
  </si>
  <si>
    <t>='C:\Users\jaime.benazar\Quorum Business Solutions\Ecopetrol Prometeo - Documents\Planning Space Implementation\3. Analysis &amp; Design\Design\FC22\DRR Jaime\Por presentar a ECP\Cantagallo\Cristalina\[VRC_CRISTALINA_CF_SEC_20221231.xlsx]CF PNP'!$BX$66</t>
  </si>
  <si>
    <t>='C:\Users\jaime.benazar\Quorum Business Solutions\Ecopetrol Prometeo - Documents\Planning Space Implementation\3. Analysis &amp; Design\Design\FC22\DRR Jaime\Por presentar a ECP\Cantagallo\Cristalina\[VRC_CRISTALINA_CF_SEC_20221231.xlsx]CF PNP'!$BX$67</t>
  </si>
  <si>
    <t>='C:\Users\jaime.benazar\Quorum Business Solutions\Ecopetrol Prometeo - Documents\Planning Space Implementation\3. Analysis &amp; Design\Design\FC22\DRR Jaime\Por presentar a ECP\Cantagallo\Cristalina\[VRC_CRISTALINA_CF_SEC_20221231.xlsx]CF PNP'!$BX$68</t>
  </si>
  <si>
    <t>='C:\Users\jaime.benazar\Quorum Business Solutions\Ecopetrol Prometeo - Documents\Planning Space Implementation\3. Analysis &amp; Design\Design\FC22\DRR Jaime\Por presentar a ECP\Cantagallo\Cristalina\[VRC_CRISTALINA_CF_SEC_20221231.xlsx]CF PNP'!$BX$69</t>
  </si>
  <si>
    <t>='C:\Users\jaime.benazar\Quorum Business Solutions\Ecopetrol Prometeo - Documents\Planning Space Implementation\3. Analysis &amp; Design\Design\FC22\DRR Jaime\Por presentar a ECP\Cantagallo\Cristalina\[VRC_CRISTALINA_CF_SEC_20221231.xlsx]CF PNP'!$BX$70</t>
  </si>
  <si>
    <t>='C:\Users\jaime.benazar\Quorum Business Solutions\Ecopetrol Prometeo - Documents\Planning Space Implementation\3. Analysis &amp; Design\Design\FC22\DRR Jaime\Por presentar a ECP\Cantagallo\Cristalina\[VRC_CRISTALINA_CF_SEC_20221231.xlsx]CF PNP'!$BX$71</t>
  </si>
  <si>
    <t>='C:\Users\jaime.benazar\Quorum Business Solutions\Ecopetrol Prometeo - Documents\Planning Space Implementation\3. Analysis &amp; Design\Design\FC22\DRR Jaime\Por presentar a ECP\Cantagallo\Cristalina\[VRC_CRISTALINA_CF_SEC_20221231.xlsx]CF PNP'!$BX$72</t>
  </si>
  <si>
    <t>='C:\Users\jaime.benazar\Quorum Business Solutions\Ecopetrol Prometeo - Documents\Planning Space Implementation\3. Analysis &amp; Design\Design\FC22\DRR Jaime\Por presentar a ECP\Cantagallo\Cristalina\[VRC_CRISTALINA_CF_SEC_20221231.xlsx]CF PND'!$BX$36</t>
  </si>
  <si>
    <t>='C:\Users\jaime.benazar\Quorum Business Solutions\Ecopetrol Prometeo - Documents\Planning Space Implementation\3. Analysis &amp; Design\Design\FC22\DRR Jaime\Por presentar a ECP\Cantagallo\Cristalina\[VRC_CRISTALINA_CF_SEC_20221231.xlsx]CF PND'!$BX$37</t>
  </si>
  <si>
    <t>='C:\Users\jaime.benazar\Quorum Business Solutions\Ecopetrol Prometeo - Documents\Planning Space Implementation\3. Analysis &amp; Design\Design\FC22\DRR Jaime\Por presentar a ECP\Cantagallo\Cristalina\[VRC_CRISTALINA_CF_SEC_20221231.xlsx]CF PND'!$BX$38</t>
  </si>
  <si>
    <t>='C:\Users\jaime.benazar\Quorum Business Solutions\Ecopetrol Prometeo - Documents\Planning Space Implementation\3. Analysis &amp; Design\Design\FC22\DRR Jaime\Por presentar a ECP\Cantagallo\Cristalina\[VRC_CRISTALINA_CF_SEC_20221231.xlsx]CF PND'!$BX$39</t>
  </si>
  <si>
    <t>='C:\Users\jaime.benazar\Quorum Business Solutions\Ecopetrol Prometeo - Documents\Planning Space Implementation\3. Analysis &amp; Design\Design\FC22\DRR Jaime\Por presentar a ECP\Cantagallo\Cristalina\[VRC_CRISTALINA_CF_SEC_20221231.xlsx]CF PND'!$BX$40</t>
  </si>
  <si>
    <t>='C:\Users\jaime.benazar\Quorum Business Solutions\Ecopetrol Prometeo - Documents\Planning Space Implementation\3. Analysis &amp; Design\Design\FC22\DRR Jaime\Por presentar a ECP\Cantagallo\Cristalina\[VRC_CRISTALINA_CF_SEC_20221231.xlsx]CF PND'!$BX$41</t>
  </si>
  <si>
    <t>='C:\Users\jaime.benazar\Quorum Business Solutions\Ecopetrol Prometeo - Documents\Planning Space Implementation\3. Analysis &amp; Design\Design\FC22\DRR Jaime\Por presentar a ECP\Cantagallo\Cristalina\[VRC_CRISTALINA_CF_SEC_20221231.xlsx]CF PND'!$BX$42</t>
  </si>
  <si>
    <t>='C:\Users\jaime.benazar\Quorum Business Solutions\Ecopetrol Prometeo - Documents\Planning Space Implementation\3. Analysis &amp; Design\Design\FC22\DRR Jaime\Por presentar a ECP\Cantagallo\Cristalina\[VRC_CRISTALINA_CF_SEC_20221231.xlsx]CF PND'!$BX$43</t>
  </si>
  <si>
    <t>='C:\Users\jaime.benazar\Quorum Business Solutions\Ecopetrol Prometeo - Documents\Planning Space Implementation\3. Analysis &amp; Design\Design\FC22\DRR Jaime\Por presentar a ECP\Cantagallo\Cristalina\[VRC_CRISTALINA_CF_SEC_20221231.xlsx]CF PND'!$BX$44</t>
  </si>
  <si>
    <t>='C:\Users\jaime.benazar\Quorum Business Solutions\Ecopetrol Prometeo - Documents\Planning Space Implementation\3. Analysis &amp; Design\Design\FC22\DRR Jaime\Por presentar a ECP\Cantagallo\Cristalina\[VRC_CRISTALINA_CF_SEC_20221231.xlsx]CF PND'!$BX$45</t>
  </si>
  <si>
    <t>='C:\Users\jaime.benazar\Quorum Business Solutions\Ecopetrol Prometeo - Documents\Planning Space Implementation\3. Analysis &amp; Design\Design\FC22\DRR Jaime\Por presentar a ECP\Cantagallo\Cristalina\[VRC_CRISTALINA_CF_SEC_20221231.xlsx]CF PND'!$BX$46</t>
  </si>
  <si>
    <t>='C:\Users\jaime.benazar\Quorum Business Solutions\Ecopetrol Prometeo - Documents\Planning Space Implementation\3. Analysis &amp; Design\Design\FC22\DRR Jaime\Por presentar a ECP\Cantagallo\Cristalina\[VRC_CRISTALINA_CF_SEC_20221231.xlsx]CF PND'!$BX$47</t>
  </si>
  <si>
    <t>='C:\Users\jaime.benazar\Quorum Business Solutions\Ecopetrol Prometeo - Documents\Planning Space Implementation\3. Analysis &amp; Design\Design\FC22\DRR Jaime\Por presentar a ECP\Cantagallo\Cristalina\[VRC_CRISTALINA_CF_SEC_20221231.xlsx]CF PND'!$BX$48</t>
  </si>
  <si>
    <t>='C:\Users\jaime.benazar\Quorum Business Solutions\Ecopetrol Prometeo - Documents\Planning Space Implementation\3. Analysis &amp; Design\Design\FC22\DRR Jaime\Por presentar a ECP\Cantagallo\Cristalina\[VRC_CRISTALINA_CF_SEC_20221231.xlsx]CF PND'!$BX$49</t>
  </si>
  <si>
    <t>='C:\Users\jaime.benazar\Quorum Business Solutions\Ecopetrol Prometeo - Documents\Planning Space Implementation\3. Analysis &amp; Design\Design\FC22\DRR Jaime\Por presentar a ECP\Cantagallo\Cristalina\[VRC_CRISTALINA_CF_SEC_20221231.xlsx]CF PND'!$BX$50</t>
  </si>
  <si>
    <t>='C:\Users\jaime.benazar\Quorum Business Solutions\Ecopetrol Prometeo - Documents\Planning Space Implementation\3. Analysis &amp; Design\Design\FC22\DRR Jaime\Por presentar a ECP\Cantagallo\Cristalina\[VRC_CRISTALINA_CF_SEC_20221231.xlsx]CF PND'!$BX$51</t>
  </si>
  <si>
    <t>='C:\Users\jaime.benazar\Quorum Business Solutions\Ecopetrol Prometeo - Documents\Planning Space Implementation\3. Analysis &amp; Design\Design\FC22\DRR Jaime\Por presentar a ECP\Cantagallo\Cristalina\[VRC_CRISTALINA_CF_SEC_20221231.xlsx]CF PND'!$BX$52</t>
  </si>
  <si>
    <t>='C:\Users\jaime.benazar\Quorum Business Solutions\Ecopetrol Prometeo - Documents\Planning Space Implementation\3. Analysis &amp; Design\Design\FC22\DRR Jaime\Por presentar a ECP\Cantagallo\Cristalina\[VRC_CRISTALINA_CF_SEC_20221231.xlsx]CF PND'!$BX$53</t>
  </si>
  <si>
    <t>='C:\Users\jaime.benazar\Quorum Business Solutions\Ecopetrol Prometeo - Documents\Planning Space Implementation\3. Analysis &amp; Design\Design\FC22\DRR Jaime\Por presentar a ECP\Cantagallo\Cristalina\[VRC_CRISTALINA_CF_SEC_20221231.xlsx]CF PND'!$BX$54</t>
  </si>
  <si>
    <t>='C:\Users\jaime.benazar\Quorum Business Solutions\Ecopetrol Prometeo - Documents\Planning Space Implementation\3. Analysis &amp; Design\Design\FC22\DRR Jaime\Por presentar a ECP\Cantagallo\Cristalina\[VRC_CRISTALINA_CF_SEC_20221231.xlsx]CF PND'!$BX$55</t>
  </si>
  <si>
    <t>='C:\Users\jaime.benazar\Quorum Business Solutions\Ecopetrol Prometeo - Documents\Planning Space Implementation\3. Analysis &amp; Design\Design\FC22\DRR Jaime\Por presentar a ECP\Cantagallo\Cristalina\[VRC_CRISTALINA_CF_SEC_20221231.xlsx]CF PND'!$BX$56</t>
  </si>
  <si>
    <t>='C:\Users\jaime.benazar\Quorum Business Solutions\Ecopetrol Prometeo - Documents\Planning Space Implementation\3. Analysis &amp; Design\Design\FC22\DRR Jaime\Por presentar a ECP\Cantagallo\Cristalina\[VRC_CRISTALINA_CF_SEC_20221231.xlsx]CF PND'!$BX$57</t>
  </si>
  <si>
    <t>='C:\Users\jaime.benazar\Quorum Business Solutions\Ecopetrol Prometeo - Documents\Planning Space Implementation\3. Analysis &amp; Design\Design\FC22\DRR Jaime\Por presentar a ECP\Cantagallo\Cristalina\[VRC_CRISTALINA_CF_SEC_20221231.xlsx]CF PND'!$BX$58</t>
  </si>
  <si>
    <t>='C:\Users\jaime.benazar\Quorum Business Solutions\Ecopetrol Prometeo - Documents\Planning Space Implementation\3. Analysis &amp; Design\Design\FC22\DRR Jaime\Por presentar a ECP\Cantagallo\Cristalina\[VRC_CRISTALINA_CF_SEC_20221231.xlsx]CF PND'!$BX$59</t>
  </si>
  <si>
    <t>='C:\Users\jaime.benazar\Quorum Business Solutions\Ecopetrol Prometeo - Documents\Planning Space Implementation\3. Analysis &amp; Design\Design\FC22\DRR Jaime\Por presentar a ECP\Cantagallo\Cristalina\[VRC_CRISTALINA_CF_SEC_20221231.xlsx]CF PND'!$BX$60</t>
  </si>
  <si>
    <t>='C:\Users\jaime.benazar\Quorum Business Solutions\Ecopetrol Prometeo - Documents\Planning Space Implementation\3. Analysis &amp; Design\Design\FC22\DRR Jaime\Por presentar a ECP\Cantagallo\Cristalina\[VRC_CRISTALINA_CF_SEC_20221231.xlsx]CF PND'!$BX$61</t>
  </si>
  <si>
    <t>='C:\Users\jaime.benazar\Quorum Business Solutions\Ecopetrol Prometeo - Documents\Planning Space Implementation\3. Analysis &amp; Design\Design\FC22\DRR Jaime\Por presentar a ECP\Cantagallo\Cristalina\[VRC_CRISTALINA_CF_SEC_20221231.xlsx]CF PND'!$BX$62</t>
  </si>
  <si>
    <t>='C:\Users\jaime.benazar\Quorum Business Solutions\Ecopetrol Prometeo - Documents\Planning Space Implementation\3. Analysis &amp; Design\Design\FC22\DRR Jaime\Por presentar a ECP\Cantagallo\Cristalina\[VRC_CRISTALINA_CF_SEC_20221231.xlsx]CF PND'!$BX$63</t>
  </si>
  <si>
    <t>='C:\Users\jaime.benazar\Quorum Business Solutions\Ecopetrol Prometeo - Documents\Planning Space Implementation\3. Analysis &amp; Design\Design\FC22\DRR Jaime\Por presentar a ECP\Cantagallo\Cristalina\[VRC_CRISTALINA_CF_SEC_20221231.xlsx]CF PND'!$BX$64</t>
  </si>
  <si>
    <t>='C:\Users\jaime.benazar\Quorum Business Solutions\Ecopetrol Prometeo - Documents\Planning Space Implementation\3. Analysis &amp; Design\Design\FC22\DRR Jaime\Por presentar a ECP\Cantagallo\Cristalina\[VRC_CRISTALINA_CF_SEC_20221231.xlsx]CF PND'!$BX$65</t>
  </si>
  <si>
    <t>='C:\Users\jaime.benazar\Quorum Business Solutions\Ecopetrol Prometeo - Documents\Planning Space Implementation\3. Analysis &amp; Design\Design\FC22\DRR Jaime\Por presentar a ECP\Cantagallo\Cristalina\[VRC_CRISTALINA_CF_SEC_20221231.xlsx]CF PND'!$BX$66</t>
  </si>
  <si>
    <t>='C:\Users\jaime.benazar\Quorum Business Solutions\Ecopetrol Prometeo - Documents\Planning Space Implementation\3. Analysis &amp; Design\Design\FC22\DRR Jaime\Por presentar a ECP\Cantagallo\Cristalina\[VRC_CRISTALINA_CF_SEC_20221231.xlsx]CF PND'!$BX$67</t>
  </si>
  <si>
    <t>='C:\Users\jaime.benazar\Quorum Business Solutions\Ecopetrol Prometeo - Documents\Planning Space Implementation\3. Analysis &amp; Design\Design\FC22\DRR Jaime\Por presentar a ECP\Cantagallo\Cristalina\[VRC_CRISTALINA_CF_SEC_20221231.xlsx]CF PND'!$BX$68</t>
  </si>
  <si>
    <t>='C:\Users\jaime.benazar\Quorum Business Solutions\Ecopetrol Prometeo - Documents\Planning Space Implementation\3. Analysis &amp; Design\Design\FC22\DRR Jaime\Por presentar a ECP\Cantagallo\Cristalina\[VRC_CRISTALINA_CF_SEC_20221231.xlsx]CF PND'!$BX$69</t>
  </si>
  <si>
    <t>='C:\Users\jaime.benazar\Quorum Business Solutions\Ecopetrol Prometeo - Documents\Planning Space Implementation\3. Analysis &amp; Design\Design\FC22\DRR Jaime\Por presentar a ECP\Cantagallo\Cristalina\[VRC_CRISTALINA_CF_SEC_20221231.xlsx]CF PND'!$BX$70</t>
  </si>
  <si>
    <t>='C:\Users\jaime.benazar\Quorum Business Solutions\Ecopetrol Prometeo - Documents\Planning Space Implementation\3. Analysis &amp; Design\Design\FC22\DRR Jaime\Por presentar a ECP\Cantagallo\Cristalina\[VRC_CRISTALINA_CF_SEC_20221231.xlsx]CF PND'!$BX$71</t>
  </si>
  <si>
    <t>='C:\Users\jaime.benazar\Quorum Business Solutions\Ecopetrol Prometeo - Documents\Planning Space Implementation\3. Analysis &amp; Design\Design\FC22\DRR Jaime\Por presentar a ECP\Cantagallo\Cristalina\[VRC_CRISTALINA_CF_SEC_20221231.xlsx]CF PND'!$BX$72</t>
  </si>
  <si>
    <t>='C:\Users\jaime.benazar\Quorum Business Solutions\Ecopetrol Prometeo - Documents\Planning Space Implementation\3. Analysis &amp; Design\Design\FC22\DRR Jaime\Por presentar a ECP\Cantagallo\Cristalina\[VRC_CRISTALINA_CF_SEC_20221231.xlsx]CF PRB'!$BX$36</t>
  </si>
  <si>
    <t>='C:\Users\jaime.benazar\Quorum Business Solutions\Ecopetrol Prometeo - Documents\Planning Space Implementation\3. Analysis &amp; Design\Design\FC22\DRR Jaime\Por presentar a ECP\Cantagallo\Cristalina\[VRC_CRISTALINA_CF_SEC_20221231.xlsx]CF PRB'!$BX$37</t>
  </si>
  <si>
    <t>='C:\Users\jaime.benazar\Quorum Business Solutions\Ecopetrol Prometeo - Documents\Planning Space Implementation\3. Analysis &amp; Design\Design\FC22\DRR Jaime\Por presentar a ECP\Cantagallo\Cristalina\[VRC_CRISTALINA_CF_SEC_20221231.xlsx]CF PRB'!$BX$38</t>
  </si>
  <si>
    <t>='C:\Users\jaime.benazar\Quorum Business Solutions\Ecopetrol Prometeo - Documents\Planning Space Implementation\3. Analysis &amp; Design\Design\FC22\DRR Jaime\Por presentar a ECP\Cantagallo\Cristalina\[VRC_CRISTALINA_CF_SEC_20221231.xlsx]CF PRB'!$BX$39</t>
  </si>
  <si>
    <t>='C:\Users\jaime.benazar\Quorum Business Solutions\Ecopetrol Prometeo - Documents\Planning Space Implementation\3. Analysis &amp; Design\Design\FC22\DRR Jaime\Por presentar a ECP\Cantagallo\Cristalina\[VRC_CRISTALINA_CF_SEC_20221231.xlsx]CF PRB'!$BX$40</t>
  </si>
  <si>
    <t>='C:\Users\jaime.benazar\Quorum Business Solutions\Ecopetrol Prometeo - Documents\Planning Space Implementation\3. Analysis &amp; Design\Design\FC22\DRR Jaime\Por presentar a ECP\Cantagallo\Cristalina\[VRC_CRISTALINA_CF_SEC_20221231.xlsx]CF PRB'!$BX$41</t>
  </si>
  <si>
    <t>='C:\Users\jaime.benazar\Quorum Business Solutions\Ecopetrol Prometeo - Documents\Planning Space Implementation\3. Analysis &amp; Design\Design\FC22\DRR Jaime\Por presentar a ECP\Cantagallo\Cristalina\[VRC_CRISTALINA_CF_SEC_20221231.xlsx]CF PRB'!$BX$42</t>
  </si>
  <si>
    <t>='C:\Users\jaime.benazar\Quorum Business Solutions\Ecopetrol Prometeo - Documents\Planning Space Implementation\3. Analysis &amp; Design\Design\FC22\DRR Jaime\Por presentar a ECP\Cantagallo\Cristalina\[VRC_CRISTALINA_CF_SEC_20221231.xlsx]CF PRB'!$BX$43</t>
  </si>
  <si>
    <t>='C:\Users\jaime.benazar\Quorum Business Solutions\Ecopetrol Prometeo - Documents\Planning Space Implementation\3. Analysis &amp; Design\Design\FC22\DRR Jaime\Por presentar a ECP\Cantagallo\Cristalina\[VRC_CRISTALINA_CF_SEC_20221231.xlsx]CF PRB'!$BX$44</t>
  </si>
  <si>
    <t>='C:\Users\jaime.benazar\Quorum Business Solutions\Ecopetrol Prometeo - Documents\Planning Space Implementation\3. Analysis &amp; Design\Design\FC22\DRR Jaime\Por presentar a ECP\Cantagallo\Cristalina\[VRC_CRISTALINA_CF_SEC_20221231.xlsx]CF PRB'!$BX$45</t>
  </si>
  <si>
    <t>='C:\Users\jaime.benazar\Quorum Business Solutions\Ecopetrol Prometeo - Documents\Planning Space Implementation\3. Analysis &amp; Design\Design\FC22\DRR Jaime\Por presentar a ECP\Cantagallo\Cristalina\[VRC_CRISTALINA_CF_SEC_20221231.xlsx]CF PRB'!$BX$46</t>
  </si>
  <si>
    <t>='C:\Users\jaime.benazar\Quorum Business Solutions\Ecopetrol Prometeo - Documents\Planning Space Implementation\3. Analysis &amp; Design\Design\FC22\DRR Jaime\Por presentar a ECP\Cantagallo\Cristalina\[VRC_CRISTALINA_CF_SEC_20221231.xlsx]CF PRB'!$BX$47</t>
  </si>
  <si>
    <t>='C:\Users\jaime.benazar\Quorum Business Solutions\Ecopetrol Prometeo - Documents\Planning Space Implementation\3. Analysis &amp; Design\Design\FC22\DRR Jaime\Por presentar a ECP\Cantagallo\Cristalina\[VRC_CRISTALINA_CF_SEC_20221231.xlsx]CF PRB'!$BX$48</t>
  </si>
  <si>
    <t>='C:\Users\jaime.benazar\Quorum Business Solutions\Ecopetrol Prometeo - Documents\Planning Space Implementation\3. Analysis &amp; Design\Design\FC22\DRR Jaime\Por presentar a ECP\Cantagallo\Cristalina\[VRC_CRISTALINA_CF_SEC_20221231.xlsx]CF PRB'!$BX$49</t>
  </si>
  <si>
    <t>='C:\Users\jaime.benazar\Quorum Business Solutions\Ecopetrol Prometeo - Documents\Planning Space Implementation\3. Analysis &amp; Design\Design\FC22\DRR Jaime\Por presentar a ECP\Cantagallo\Cristalina\[VRC_CRISTALINA_CF_SEC_20221231.xlsx]CF PRB'!$BX$50</t>
  </si>
  <si>
    <t>='C:\Users\jaime.benazar\Quorum Business Solutions\Ecopetrol Prometeo - Documents\Planning Space Implementation\3. Analysis &amp; Design\Design\FC22\DRR Jaime\Por presentar a ECP\Cantagallo\Cristalina\[VRC_CRISTALINA_CF_SEC_20221231.xlsx]CF PRB'!$BX$51</t>
  </si>
  <si>
    <t>='C:\Users\jaime.benazar\Quorum Business Solutions\Ecopetrol Prometeo - Documents\Planning Space Implementation\3. Analysis &amp; Design\Design\FC22\DRR Jaime\Por presentar a ECP\Cantagallo\Cristalina\[VRC_CRISTALINA_CF_SEC_20221231.xlsx]CF PRB'!$BX$52</t>
  </si>
  <si>
    <t>='C:\Users\jaime.benazar\Quorum Business Solutions\Ecopetrol Prometeo - Documents\Planning Space Implementation\3. Analysis &amp; Design\Design\FC22\DRR Jaime\Por presentar a ECP\Cantagallo\Cristalina\[VRC_CRISTALINA_CF_SEC_20221231.xlsx]CF PRB'!$BX$53</t>
  </si>
  <si>
    <t>='C:\Users\jaime.benazar\Quorum Business Solutions\Ecopetrol Prometeo - Documents\Planning Space Implementation\3. Analysis &amp; Design\Design\FC22\DRR Jaime\Por presentar a ECP\Cantagallo\Cristalina\[VRC_CRISTALINA_CF_SEC_20221231.xlsx]CF PRB'!$BX$54</t>
  </si>
  <si>
    <t>='C:\Users\jaime.benazar\Quorum Business Solutions\Ecopetrol Prometeo - Documents\Planning Space Implementation\3. Analysis &amp; Design\Design\FC22\DRR Jaime\Por presentar a ECP\Cantagallo\Cristalina\[VRC_CRISTALINA_CF_SEC_20221231.xlsx]CF PRB'!$BX$55</t>
  </si>
  <si>
    <t>='C:\Users\jaime.benazar\Quorum Business Solutions\Ecopetrol Prometeo - Documents\Planning Space Implementation\3. Analysis &amp; Design\Design\FC22\DRR Jaime\Por presentar a ECP\Cantagallo\Cristalina\[VRC_CRISTALINA_CF_SEC_20221231.xlsx]CF PRB'!$BX$56</t>
  </si>
  <si>
    <t>='C:\Users\jaime.benazar\Quorum Business Solutions\Ecopetrol Prometeo - Documents\Planning Space Implementation\3. Analysis &amp; Design\Design\FC22\DRR Jaime\Por presentar a ECP\Cantagallo\Cristalina\[VRC_CRISTALINA_CF_SEC_20221231.xlsx]CF PRB'!$BX$57</t>
  </si>
  <si>
    <t>='C:\Users\jaime.benazar\Quorum Business Solutions\Ecopetrol Prometeo - Documents\Planning Space Implementation\3. Analysis &amp; Design\Design\FC22\DRR Jaime\Por presentar a ECP\Cantagallo\Cristalina\[VRC_CRISTALINA_CF_SEC_20221231.xlsx]CF PRB'!$BX$58</t>
  </si>
  <si>
    <t>='C:\Users\jaime.benazar\Quorum Business Solutions\Ecopetrol Prometeo - Documents\Planning Space Implementation\3. Analysis &amp; Design\Design\FC22\DRR Jaime\Por presentar a ECP\Cantagallo\Cristalina\[VRC_CRISTALINA_CF_SEC_20221231.xlsx]CF PRB'!$BX$59</t>
  </si>
  <si>
    <t>='C:\Users\jaime.benazar\Quorum Business Solutions\Ecopetrol Prometeo - Documents\Planning Space Implementation\3. Analysis &amp; Design\Design\FC22\DRR Jaime\Por presentar a ECP\Cantagallo\Cristalina\[VRC_CRISTALINA_CF_SEC_20221231.xlsx]CF PRB'!$BX$60</t>
  </si>
  <si>
    <t>='C:\Users\jaime.benazar\Quorum Business Solutions\Ecopetrol Prometeo - Documents\Planning Space Implementation\3. Analysis &amp; Design\Design\FC22\DRR Jaime\Por presentar a ECP\Cantagallo\Cristalina\[VRC_CRISTALINA_CF_SEC_20221231.xlsx]CF PRB'!$BX$61</t>
  </si>
  <si>
    <t>='C:\Users\jaime.benazar\Quorum Business Solutions\Ecopetrol Prometeo - Documents\Planning Space Implementation\3. Analysis &amp; Design\Design\FC22\DRR Jaime\Por presentar a ECP\Cantagallo\Cristalina\[VRC_CRISTALINA_CF_SEC_20221231.xlsx]CF PRB'!$BX$62</t>
  </si>
  <si>
    <t>='C:\Users\jaime.benazar\Quorum Business Solutions\Ecopetrol Prometeo - Documents\Planning Space Implementation\3. Analysis &amp; Design\Design\FC22\DRR Jaime\Por presentar a ECP\Cantagallo\Cristalina\[VRC_CRISTALINA_CF_SEC_20221231.xlsx]CF PRB'!$BX$63</t>
  </si>
  <si>
    <t>='C:\Users\jaime.benazar\Quorum Business Solutions\Ecopetrol Prometeo - Documents\Planning Space Implementation\3. Analysis &amp; Design\Design\FC22\DRR Jaime\Por presentar a ECP\Cantagallo\Cristalina\[VRC_CRISTALINA_CF_SEC_20221231.xlsx]CF PRB'!$BX$64</t>
  </si>
  <si>
    <t>='C:\Users\jaime.benazar\Quorum Business Solutions\Ecopetrol Prometeo - Documents\Planning Space Implementation\3. Analysis &amp; Design\Design\FC22\DRR Jaime\Por presentar a ECP\Cantagallo\Cristalina\[VRC_CRISTALINA_CF_SEC_20221231.xlsx]CF PRB'!$BX$65</t>
  </si>
  <si>
    <t>='C:\Users\jaime.benazar\Quorum Business Solutions\Ecopetrol Prometeo - Documents\Planning Space Implementation\3. Analysis &amp; Design\Design\FC22\DRR Jaime\Por presentar a ECP\Cantagallo\Cristalina\[VRC_CRISTALINA_CF_SEC_20221231.xlsx]CF PRB'!$BX$66</t>
  </si>
  <si>
    <t>='C:\Users\jaime.benazar\Quorum Business Solutions\Ecopetrol Prometeo - Documents\Planning Space Implementation\3. Analysis &amp; Design\Design\FC22\DRR Jaime\Por presentar a ECP\Cantagallo\Cristalina\[VRC_CRISTALINA_CF_SEC_20221231.xlsx]CF PRB'!$BX$67</t>
  </si>
  <si>
    <t>='C:\Users\jaime.benazar\Quorum Business Solutions\Ecopetrol Prometeo - Documents\Planning Space Implementation\3. Analysis &amp; Design\Design\FC22\DRR Jaime\Por presentar a ECP\Cantagallo\Cristalina\[VRC_CRISTALINA_CF_SEC_20221231.xlsx]CF PRB'!$BX$68</t>
  </si>
  <si>
    <t>='C:\Users\jaime.benazar\Quorum Business Solutions\Ecopetrol Prometeo - Documents\Planning Space Implementation\3. Analysis &amp; Design\Design\FC22\DRR Jaime\Por presentar a ECP\Cantagallo\Cristalina\[VRC_CRISTALINA_CF_SEC_20221231.xlsx]CF PRB'!$BX$69</t>
  </si>
  <si>
    <t>='C:\Users\jaime.benazar\Quorum Business Solutions\Ecopetrol Prometeo - Documents\Planning Space Implementation\3. Analysis &amp; Design\Design\FC22\DRR Jaime\Por presentar a ECP\Cantagallo\Cristalina\[VRC_CRISTALINA_CF_SEC_20221231.xlsx]CF PRB'!$BX$70</t>
  </si>
  <si>
    <t>='C:\Users\jaime.benazar\Quorum Business Solutions\Ecopetrol Prometeo - Documents\Planning Space Implementation\3. Analysis &amp; Design\Design\FC22\DRR Jaime\Por presentar a ECP\Cantagallo\Cristalina\[VRC_CRISTALINA_CF_SEC_20221231.xlsx]CF PRB'!$BX$71</t>
  </si>
  <si>
    <t>='C:\Users\jaime.benazar\Quorum Business Solutions\Ecopetrol Prometeo - Documents\Planning Space Implementation\3. Analysis &amp; Design\Design\FC22\DRR Jaime\Por presentar a ECP\Cantagallo\Cristalina\[VRC_CRISTALINA_CF_SEC_20221231.xlsx]CF PRB'!$BX$72</t>
  </si>
  <si>
    <t>='C:\Users\jaime.benazar\Quorum Business Solutions\Ecopetrol Prometeo - Documents\Planning Space Implementation\3. Analysis &amp; Design\Design\FC22\DRR Jaime\Por presentar a ECP\Cantagallo\Cristalina\[VRC_CRISTALINA_CF_SEC_20221231.xlsx]CF PS'!$BX$36</t>
  </si>
  <si>
    <t>='C:\Users\jaime.benazar\Quorum Business Solutions\Ecopetrol Prometeo - Documents\Planning Space Implementation\3. Analysis &amp; Design\Design\FC22\DRR Jaime\Por presentar a ECP\Cantagallo\Cristalina\[VRC_CRISTALINA_CF_SEC_20221231.xlsx]CF PS'!$BX$37</t>
  </si>
  <si>
    <t>='C:\Users\jaime.benazar\Quorum Business Solutions\Ecopetrol Prometeo - Documents\Planning Space Implementation\3. Analysis &amp; Design\Design\FC22\DRR Jaime\Por presentar a ECP\Cantagallo\Cristalina\[VRC_CRISTALINA_CF_SEC_20221231.xlsx]CF PS'!$BX$38</t>
  </si>
  <si>
    <t>='C:\Users\jaime.benazar\Quorum Business Solutions\Ecopetrol Prometeo - Documents\Planning Space Implementation\3. Analysis &amp; Design\Design\FC22\DRR Jaime\Por presentar a ECP\Cantagallo\Cristalina\[VRC_CRISTALINA_CF_SEC_20221231.xlsx]CF PS'!$BX$39</t>
  </si>
  <si>
    <t>='C:\Users\jaime.benazar\Quorum Business Solutions\Ecopetrol Prometeo - Documents\Planning Space Implementation\3. Analysis &amp; Design\Design\FC22\DRR Jaime\Por presentar a ECP\Cantagallo\Cristalina\[VRC_CRISTALINA_CF_SEC_20221231.xlsx]CF PS'!$BX$40</t>
  </si>
  <si>
    <t>='C:\Users\jaime.benazar\Quorum Business Solutions\Ecopetrol Prometeo - Documents\Planning Space Implementation\3. Analysis &amp; Design\Design\FC22\DRR Jaime\Por presentar a ECP\Cantagallo\Cristalina\[VRC_CRISTALINA_CF_SEC_20221231.xlsx]CF PS'!$BX$41</t>
  </si>
  <si>
    <t>='C:\Users\jaime.benazar\Quorum Business Solutions\Ecopetrol Prometeo - Documents\Planning Space Implementation\3. Analysis &amp; Design\Design\FC22\DRR Jaime\Por presentar a ECP\Cantagallo\Cristalina\[VRC_CRISTALINA_CF_SEC_20221231.xlsx]CF PS'!$BX$42</t>
  </si>
  <si>
    <t>='C:\Users\jaime.benazar\Quorum Business Solutions\Ecopetrol Prometeo - Documents\Planning Space Implementation\3. Analysis &amp; Design\Design\FC22\DRR Jaime\Por presentar a ECP\Cantagallo\Cristalina\[VRC_CRISTALINA_CF_SEC_20221231.xlsx]CF PS'!$BX$43</t>
  </si>
  <si>
    <t>='C:\Users\jaime.benazar\Quorum Business Solutions\Ecopetrol Prometeo - Documents\Planning Space Implementation\3. Analysis &amp; Design\Design\FC22\DRR Jaime\Por presentar a ECP\Cantagallo\Cristalina\[VRC_CRISTALINA_CF_SEC_20221231.xlsx]CF PS'!$BX$44</t>
  </si>
  <si>
    <t>='C:\Users\jaime.benazar\Quorum Business Solutions\Ecopetrol Prometeo - Documents\Planning Space Implementation\3. Analysis &amp; Design\Design\FC22\DRR Jaime\Por presentar a ECP\Cantagallo\Cristalina\[VRC_CRISTALINA_CF_SEC_20221231.xlsx]CF PS'!$BX$45</t>
  </si>
  <si>
    <t>='C:\Users\jaime.benazar\Quorum Business Solutions\Ecopetrol Prometeo - Documents\Planning Space Implementation\3. Analysis &amp; Design\Design\FC22\DRR Jaime\Por presentar a ECP\Cantagallo\Cristalina\[VRC_CRISTALINA_CF_SEC_20221231.xlsx]CF PS'!$BX$46</t>
  </si>
  <si>
    <t>='C:\Users\jaime.benazar\Quorum Business Solutions\Ecopetrol Prometeo - Documents\Planning Space Implementation\3. Analysis &amp; Design\Design\FC22\DRR Jaime\Por presentar a ECP\Cantagallo\Cristalina\[VRC_CRISTALINA_CF_SEC_20221231.xlsx]CF PS'!$BX$47</t>
  </si>
  <si>
    <t>='C:\Users\jaime.benazar\Quorum Business Solutions\Ecopetrol Prometeo - Documents\Planning Space Implementation\3. Analysis &amp; Design\Design\FC22\DRR Jaime\Por presentar a ECP\Cantagallo\Cristalina\[VRC_CRISTALINA_CF_SEC_20221231.xlsx]CF PS'!$BX$48</t>
  </si>
  <si>
    <t>='C:\Users\jaime.benazar\Quorum Business Solutions\Ecopetrol Prometeo - Documents\Planning Space Implementation\3. Analysis &amp; Design\Design\FC22\DRR Jaime\Por presentar a ECP\Cantagallo\Cristalina\[VRC_CRISTALINA_CF_SEC_20221231.xlsx]CF PS'!$BX$49</t>
  </si>
  <si>
    <t>='C:\Users\jaime.benazar\Quorum Business Solutions\Ecopetrol Prometeo - Documents\Planning Space Implementation\3. Analysis &amp; Design\Design\FC22\DRR Jaime\Por presentar a ECP\Cantagallo\Cristalina\[VRC_CRISTALINA_CF_SEC_20221231.xlsx]CF PS'!$BX$50</t>
  </si>
  <si>
    <t>='C:\Users\jaime.benazar\Quorum Business Solutions\Ecopetrol Prometeo - Documents\Planning Space Implementation\3. Analysis &amp; Design\Design\FC22\DRR Jaime\Por presentar a ECP\Cantagallo\Cristalina\[VRC_CRISTALINA_CF_SEC_20221231.xlsx]CF PS'!$BX$51</t>
  </si>
  <si>
    <t>='C:\Users\jaime.benazar\Quorum Business Solutions\Ecopetrol Prometeo - Documents\Planning Space Implementation\3. Analysis &amp; Design\Design\FC22\DRR Jaime\Por presentar a ECP\Cantagallo\Cristalina\[VRC_CRISTALINA_CF_SEC_20221231.xlsx]CF PS'!$BX$52</t>
  </si>
  <si>
    <t>='C:\Users\jaime.benazar\Quorum Business Solutions\Ecopetrol Prometeo - Documents\Planning Space Implementation\3. Analysis &amp; Design\Design\FC22\DRR Jaime\Por presentar a ECP\Cantagallo\Cristalina\[VRC_CRISTALINA_CF_SEC_20221231.xlsx]CF PS'!$BX$53</t>
  </si>
  <si>
    <t>='C:\Users\jaime.benazar\Quorum Business Solutions\Ecopetrol Prometeo - Documents\Planning Space Implementation\3. Analysis &amp; Design\Design\FC22\DRR Jaime\Por presentar a ECP\Cantagallo\Cristalina\[VRC_CRISTALINA_CF_SEC_20221231.xlsx]CF PS'!$BX$54</t>
  </si>
  <si>
    <t>='C:\Users\jaime.benazar\Quorum Business Solutions\Ecopetrol Prometeo - Documents\Planning Space Implementation\3. Analysis &amp; Design\Design\FC22\DRR Jaime\Por presentar a ECP\Cantagallo\Cristalina\[VRC_CRISTALINA_CF_SEC_20221231.xlsx]CF PS'!$BX$55</t>
  </si>
  <si>
    <t>='C:\Users\jaime.benazar\Quorum Business Solutions\Ecopetrol Prometeo - Documents\Planning Space Implementation\3. Analysis &amp; Design\Design\FC22\DRR Jaime\Por presentar a ECP\Cantagallo\Cristalina\[VRC_CRISTALINA_CF_SEC_20221231.xlsx]CF PS'!$BX$56</t>
  </si>
  <si>
    <t>='C:\Users\jaime.benazar\Quorum Business Solutions\Ecopetrol Prometeo - Documents\Planning Space Implementation\3. Analysis &amp; Design\Design\FC22\DRR Jaime\Por presentar a ECP\Cantagallo\Cristalina\[VRC_CRISTALINA_CF_SEC_20221231.xlsx]CF PS'!$BX$57</t>
  </si>
  <si>
    <t>='C:\Users\jaime.benazar\Quorum Business Solutions\Ecopetrol Prometeo - Documents\Planning Space Implementation\3. Analysis &amp; Design\Design\FC22\DRR Jaime\Por presentar a ECP\Cantagallo\Cristalina\[VRC_CRISTALINA_CF_SEC_20221231.xlsx]CF PS'!$BX$58</t>
  </si>
  <si>
    <t>='C:\Users\jaime.benazar\Quorum Business Solutions\Ecopetrol Prometeo - Documents\Planning Space Implementation\3. Analysis &amp; Design\Design\FC22\DRR Jaime\Por presentar a ECP\Cantagallo\Cristalina\[VRC_CRISTALINA_CF_SEC_20221231.xlsx]CF PS'!$BX$59</t>
  </si>
  <si>
    <t>='C:\Users\jaime.benazar\Quorum Business Solutions\Ecopetrol Prometeo - Documents\Planning Space Implementation\3. Analysis &amp; Design\Design\FC22\DRR Jaime\Por presentar a ECP\Cantagallo\Cristalina\[VRC_CRISTALINA_CF_SEC_20221231.xlsx]CF PS'!$BX$60</t>
  </si>
  <si>
    <t>='C:\Users\jaime.benazar\Quorum Business Solutions\Ecopetrol Prometeo - Documents\Planning Space Implementation\3. Analysis &amp; Design\Design\FC22\DRR Jaime\Por presentar a ECP\Cantagallo\Cristalina\[VRC_CRISTALINA_CF_SEC_20221231.xlsx]CF PS'!$BX$61</t>
  </si>
  <si>
    <t>='C:\Users\jaime.benazar\Quorum Business Solutions\Ecopetrol Prometeo - Documents\Planning Space Implementation\3. Analysis &amp; Design\Design\FC22\DRR Jaime\Por presentar a ECP\Cantagallo\Cristalina\[VRC_CRISTALINA_CF_SEC_20221231.xlsx]CF PS'!$BX$62</t>
  </si>
  <si>
    <t>='C:\Users\jaime.benazar\Quorum Business Solutions\Ecopetrol Prometeo - Documents\Planning Space Implementation\3. Analysis &amp; Design\Design\FC22\DRR Jaime\Por presentar a ECP\Cantagallo\Cristalina\[VRC_CRISTALINA_CF_SEC_20221231.xlsx]CF PS'!$BX$63</t>
  </si>
  <si>
    <t>='C:\Users\jaime.benazar\Quorum Business Solutions\Ecopetrol Prometeo - Documents\Planning Space Implementation\3. Analysis &amp; Design\Design\FC22\DRR Jaime\Por presentar a ECP\Cantagallo\Cristalina\[VRC_CRISTALINA_CF_SEC_20221231.xlsx]CF PS'!$BX$64</t>
  </si>
  <si>
    <t>='C:\Users\jaime.benazar\Quorum Business Solutions\Ecopetrol Prometeo - Documents\Planning Space Implementation\3. Analysis &amp; Design\Design\FC22\DRR Jaime\Por presentar a ECP\Cantagallo\Cristalina\[VRC_CRISTALINA_CF_SEC_20221231.xlsx]CF PS'!$BX$65</t>
  </si>
  <si>
    <t>='C:\Users\jaime.benazar\Quorum Business Solutions\Ecopetrol Prometeo - Documents\Planning Space Implementation\3. Analysis &amp; Design\Design\FC22\DRR Jaime\Por presentar a ECP\Cantagallo\Cristalina\[VRC_CRISTALINA_CF_SEC_20221231.xlsx]CF PS'!$BX$66</t>
  </si>
  <si>
    <t>='C:\Users\jaime.benazar\Quorum Business Solutions\Ecopetrol Prometeo - Documents\Planning Space Implementation\3. Analysis &amp; Design\Design\FC22\DRR Jaime\Por presentar a ECP\Cantagallo\Cristalina\[VRC_CRISTALINA_CF_SEC_20221231.xlsx]CF PS'!$BX$67</t>
  </si>
  <si>
    <t>='C:\Users\jaime.benazar\Quorum Business Solutions\Ecopetrol Prometeo - Documents\Planning Space Implementation\3. Analysis &amp; Design\Design\FC22\DRR Jaime\Por presentar a ECP\Cantagallo\Cristalina\[VRC_CRISTALINA_CF_SEC_20221231.xlsx]CF PS'!$BX$68</t>
  </si>
  <si>
    <t>='C:\Users\jaime.benazar\Quorum Business Solutions\Ecopetrol Prometeo - Documents\Planning Space Implementation\3. Analysis &amp; Design\Design\FC22\DRR Jaime\Por presentar a ECP\Cantagallo\Cristalina\[VRC_CRISTALINA_CF_SEC_20221231.xlsx]CF PS'!$BX$69</t>
  </si>
  <si>
    <t>='C:\Users\jaime.benazar\Quorum Business Solutions\Ecopetrol Prometeo - Documents\Planning Space Implementation\3. Analysis &amp; Design\Design\FC22\DRR Jaime\Por presentar a ECP\Cantagallo\Cristalina\[VRC_CRISTALINA_CF_SEC_20221231.xlsx]CF PS'!$BX$70</t>
  </si>
  <si>
    <t>='C:\Users\jaime.benazar\Quorum Business Solutions\Ecopetrol Prometeo - Documents\Planning Space Implementation\3. Analysis &amp; Design\Design\FC22\DRR Jaime\Por presentar a ECP\Cantagallo\Cristalina\[VRC_CRISTALINA_CF_SEC_20221231.xlsx]CF PS'!$BX$71</t>
  </si>
  <si>
    <t>='C:\Users\jaime.benazar\Quorum Business Solutions\Ecopetrol Prometeo - Documents\Planning Space Implementation\3. Analysis &amp; Design\Design\FC22\DRR Jaime\Por presentar a ECP\Cantagallo\Cristalina\[VRC_CRISTALINA_CF_SEC_20221231.xlsx]CF PS'!$BX$72</t>
  </si>
  <si>
    <t>='C:\Users\jaime.benazar\Quorum Business Solutions\Ecopetrol Prometeo - Documents\Planning Space Implementation\3. Analysis &amp; Design\Design\FC22\DRR Jaime\Por presentar a ECP\Cantagallo\Cristalina\[VRC_CRISTALINA_CF_SEC_20221231.xlsx]CF PDP'!$BU$36</t>
  </si>
  <si>
    <t>='C:\Users\jaime.benazar\Quorum Business Solutions\Ecopetrol Prometeo - Documents\Planning Space Implementation\3. Analysis &amp; Design\Design\FC22\DRR Jaime\Por presentar a ECP\Cantagallo\Cristalina\[VRC_CRISTALINA_CF_SEC_20221231.xlsx]CF PDP'!$BU$37</t>
  </si>
  <si>
    <t>='C:\Users\jaime.benazar\Quorum Business Solutions\Ecopetrol Prometeo - Documents\Planning Space Implementation\3. Analysis &amp; Design\Design\FC22\DRR Jaime\Por presentar a ECP\Cantagallo\Cristalina\[VRC_CRISTALINA_CF_SEC_20221231.xlsx]CF PDP'!$BU$38</t>
  </si>
  <si>
    <t>='C:\Users\jaime.benazar\Quorum Business Solutions\Ecopetrol Prometeo - Documents\Planning Space Implementation\3. Analysis &amp; Design\Design\FC22\DRR Jaime\Por presentar a ECP\Cantagallo\Cristalina\[VRC_CRISTALINA_CF_SEC_20221231.xlsx]CF PDP'!$BU$39</t>
  </si>
  <si>
    <t>='C:\Users\jaime.benazar\Quorum Business Solutions\Ecopetrol Prometeo - Documents\Planning Space Implementation\3. Analysis &amp; Design\Design\FC22\DRR Jaime\Por presentar a ECP\Cantagallo\Cristalina\[VRC_CRISTALINA_CF_SEC_20221231.xlsx]CF PDP'!$BU$40</t>
  </si>
  <si>
    <t>='C:\Users\jaime.benazar\Quorum Business Solutions\Ecopetrol Prometeo - Documents\Planning Space Implementation\3. Analysis &amp; Design\Design\FC22\DRR Jaime\Por presentar a ECP\Cantagallo\Cristalina\[VRC_CRISTALINA_CF_SEC_20221231.xlsx]CF PDP'!$BU$41</t>
  </si>
  <si>
    <t>='C:\Users\jaime.benazar\Quorum Business Solutions\Ecopetrol Prometeo - Documents\Planning Space Implementation\3. Analysis &amp; Design\Design\FC22\DRR Jaime\Por presentar a ECP\Cantagallo\Cristalina\[VRC_CRISTALINA_CF_SEC_20221231.xlsx]CF PDP'!$BU$42</t>
  </si>
  <si>
    <t>='C:\Users\jaime.benazar\Quorum Business Solutions\Ecopetrol Prometeo - Documents\Planning Space Implementation\3. Analysis &amp; Design\Design\FC22\DRR Jaime\Por presentar a ECP\Cantagallo\Cristalina\[VRC_CRISTALINA_CF_SEC_20221231.xlsx]CF PDP'!$BU$43</t>
  </si>
  <si>
    <t>='C:\Users\jaime.benazar\Quorum Business Solutions\Ecopetrol Prometeo - Documents\Planning Space Implementation\3. Analysis &amp; Design\Design\FC22\DRR Jaime\Por presentar a ECP\Cantagallo\Cristalina\[VRC_CRISTALINA_CF_SEC_20221231.xlsx]CF PDP'!$BU$44</t>
  </si>
  <si>
    <t>='C:\Users\jaime.benazar\Quorum Business Solutions\Ecopetrol Prometeo - Documents\Planning Space Implementation\3. Analysis &amp; Design\Design\FC22\DRR Jaime\Por presentar a ECP\Cantagallo\Cristalina\[VRC_CRISTALINA_CF_SEC_20221231.xlsx]CF PDP'!$BU$45</t>
  </si>
  <si>
    <t>='C:\Users\jaime.benazar\Quorum Business Solutions\Ecopetrol Prometeo - Documents\Planning Space Implementation\3. Analysis &amp; Design\Design\FC22\DRR Jaime\Por presentar a ECP\Cantagallo\Cristalina\[VRC_CRISTALINA_CF_SEC_20221231.xlsx]CF PDP'!$BU$46</t>
  </si>
  <si>
    <t>='C:\Users\jaime.benazar\Quorum Business Solutions\Ecopetrol Prometeo - Documents\Planning Space Implementation\3. Analysis &amp; Design\Design\FC22\DRR Jaime\Por presentar a ECP\Cantagallo\Cristalina\[VRC_CRISTALINA_CF_SEC_20221231.xlsx]CF PDP'!$BU$47</t>
  </si>
  <si>
    <t>='C:\Users\jaime.benazar\Quorum Business Solutions\Ecopetrol Prometeo - Documents\Planning Space Implementation\3. Analysis &amp; Design\Design\FC22\DRR Jaime\Por presentar a ECP\Cantagallo\Cristalina\[VRC_CRISTALINA_CF_SEC_20221231.xlsx]CF PDP'!$BU$48</t>
  </si>
  <si>
    <t>='C:\Users\jaime.benazar\Quorum Business Solutions\Ecopetrol Prometeo - Documents\Planning Space Implementation\3. Analysis &amp; Design\Design\FC22\DRR Jaime\Por presentar a ECP\Cantagallo\Cristalina\[VRC_CRISTALINA_CF_SEC_20221231.xlsx]CF PDP'!$BU$49</t>
  </si>
  <si>
    <t>='C:\Users\jaime.benazar\Quorum Business Solutions\Ecopetrol Prometeo - Documents\Planning Space Implementation\3. Analysis &amp; Design\Design\FC22\DRR Jaime\Por presentar a ECP\Cantagallo\Cristalina\[VRC_CRISTALINA_CF_SEC_20221231.xlsx]CF PDP'!$BU$50</t>
  </si>
  <si>
    <t>='C:\Users\jaime.benazar\Quorum Business Solutions\Ecopetrol Prometeo - Documents\Planning Space Implementation\3. Analysis &amp; Design\Design\FC22\DRR Jaime\Por presentar a ECP\Cantagallo\Cristalina\[VRC_CRISTALINA_CF_SEC_20221231.xlsx]CF PDP'!$BU$51</t>
  </si>
  <si>
    <t>='C:\Users\jaime.benazar\Quorum Business Solutions\Ecopetrol Prometeo - Documents\Planning Space Implementation\3. Analysis &amp; Design\Design\FC22\DRR Jaime\Por presentar a ECP\Cantagallo\Cristalina\[VRC_CRISTALINA_CF_SEC_20221231.xlsx]CF PDP'!$BU$52</t>
  </si>
  <si>
    <t>='C:\Users\jaime.benazar\Quorum Business Solutions\Ecopetrol Prometeo - Documents\Planning Space Implementation\3. Analysis &amp; Design\Design\FC22\DRR Jaime\Por presentar a ECP\Cantagallo\Cristalina\[VRC_CRISTALINA_CF_SEC_20221231.xlsx]CF PDP'!$BU$53</t>
  </si>
  <si>
    <t>='C:\Users\jaime.benazar\Quorum Business Solutions\Ecopetrol Prometeo - Documents\Planning Space Implementation\3. Analysis &amp; Design\Design\FC22\DRR Jaime\Por presentar a ECP\Cantagallo\Cristalina\[VRC_CRISTALINA_CF_SEC_20221231.xlsx]CF PDP'!$BU$54</t>
  </si>
  <si>
    <t>='C:\Users\jaime.benazar\Quorum Business Solutions\Ecopetrol Prometeo - Documents\Planning Space Implementation\3. Analysis &amp; Design\Design\FC22\DRR Jaime\Por presentar a ECP\Cantagallo\Cristalina\[VRC_CRISTALINA_CF_SEC_20221231.xlsx]CF PDP'!$BU$55</t>
  </si>
  <si>
    <t>='C:\Users\jaime.benazar\Quorum Business Solutions\Ecopetrol Prometeo - Documents\Planning Space Implementation\3. Analysis &amp; Design\Design\FC22\DRR Jaime\Por presentar a ECP\Cantagallo\Cristalina\[VRC_CRISTALINA_CF_SEC_20221231.xlsx]CF PDP'!$BU$56</t>
  </si>
  <si>
    <t>='C:\Users\jaime.benazar\Quorum Business Solutions\Ecopetrol Prometeo - Documents\Planning Space Implementation\3. Analysis &amp; Design\Design\FC22\DRR Jaime\Por presentar a ECP\Cantagallo\Cristalina\[VRC_CRISTALINA_CF_SEC_20221231.xlsx]CF PDP'!$BU$57</t>
  </si>
  <si>
    <t>='C:\Users\jaime.benazar\Quorum Business Solutions\Ecopetrol Prometeo - Documents\Planning Space Implementation\3. Analysis &amp; Design\Design\FC22\DRR Jaime\Por presentar a ECP\Cantagallo\Cristalina\[VRC_CRISTALINA_CF_SEC_20221231.xlsx]CF PDP'!$BU$58</t>
  </si>
  <si>
    <t>='C:\Users\jaime.benazar\Quorum Business Solutions\Ecopetrol Prometeo - Documents\Planning Space Implementation\3. Analysis &amp; Design\Design\FC22\DRR Jaime\Por presentar a ECP\Cantagallo\Cristalina\[VRC_CRISTALINA_CF_SEC_20221231.xlsx]CF PDP'!$BU$59</t>
  </si>
  <si>
    <t>='C:\Users\jaime.benazar\Quorum Business Solutions\Ecopetrol Prometeo - Documents\Planning Space Implementation\3. Analysis &amp; Design\Design\FC22\DRR Jaime\Por presentar a ECP\Cantagallo\Cristalina\[VRC_CRISTALINA_CF_SEC_20221231.xlsx]CF PDP'!$BU$60</t>
  </si>
  <si>
    <t>='C:\Users\jaime.benazar\Quorum Business Solutions\Ecopetrol Prometeo - Documents\Planning Space Implementation\3. Analysis &amp; Design\Design\FC22\DRR Jaime\Por presentar a ECP\Cantagallo\Cristalina\[VRC_CRISTALINA_CF_SEC_20221231.xlsx]CF PDP'!$BU$61</t>
  </si>
  <si>
    <t>='C:\Users\jaime.benazar\Quorum Business Solutions\Ecopetrol Prometeo - Documents\Planning Space Implementation\3. Analysis &amp; Design\Design\FC22\DRR Jaime\Por presentar a ECP\Cantagallo\Cristalina\[VRC_CRISTALINA_CF_SEC_20221231.xlsx]CF PDP'!$BU$62</t>
  </si>
  <si>
    <t>='C:\Users\jaime.benazar\Quorum Business Solutions\Ecopetrol Prometeo - Documents\Planning Space Implementation\3. Analysis &amp; Design\Design\FC22\DRR Jaime\Por presentar a ECP\Cantagallo\Cristalina\[VRC_CRISTALINA_CF_SEC_20221231.xlsx]CF PDP'!$BU$63</t>
  </si>
  <si>
    <t>='C:\Users\jaime.benazar\Quorum Business Solutions\Ecopetrol Prometeo - Documents\Planning Space Implementation\3. Analysis &amp; Design\Design\FC22\DRR Jaime\Por presentar a ECP\Cantagallo\Cristalina\[VRC_CRISTALINA_CF_SEC_20221231.xlsx]CF PDP'!$BU$64</t>
  </si>
  <si>
    <t>='C:\Users\jaime.benazar\Quorum Business Solutions\Ecopetrol Prometeo - Documents\Planning Space Implementation\3. Analysis &amp; Design\Design\FC22\DRR Jaime\Por presentar a ECP\Cantagallo\Cristalina\[VRC_CRISTALINA_CF_SEC_20221231.xlsx]CF PDP'!$BU$65</t>
  </si>
  <si>
    <t>='C:\Users\jaime.benazar\Quorum Business Solutions\Ecopetrol Prometeo - Documents\Planning Space Implementation\3. Analysis &amp; Design\Design\FC22\DRR Jaime\Por presentar a ECP\Cantagallo\Cristalina\[VRC_CRISTALINA_CF_SEC_20221231.xlsx]CF PDP'!$BU$66</t>
  </si>
  <si>
    <t>='C:\Users\jaime.benazar\Quorum Business Solutions\Ecopetrol Prometeo - Documents\Planning Space Implementation\3. Analysis &amp; Design\Design\FC22\DRR Jaime\Por presentar a ECP\Cantagallo\Cristalina\[VRC_CRISTALINA_CF_SEC_20221231.xlsx]CF PDP'!$BU$67</t>
  </si>
  <si>
    <t>='C:\Users\jaime.benazar\Quorum Business Solutions\Ecopetrol Prometeo - Documents\Planning Space Implementation\3. Analysis &amp; Design\Design\FC22\DRR Jaime\Por presentar a ECP\Cantagallo\Cristalina\[VRC_CRISTALINA_CF_SEC_20221231.xlsx]CF PDP'!$BU$68</t>
  </si>
  <si>
    <t>='C:\Users\jaime.benazar\Quorum Business Solutions\Ecopetrol Prometeo - Documents\Planning Space Implementation\3. Analysis &amp; Design\Design\FC22\DRR Jaime\Por presentar a ECP\Cantagallo\Cristalina\[VRC_CRISTALINA_CF_SEC_20221231.xlsx]CF PDP'!$BU$69</t>
  </si>
  <si>
    <t>='C:\Users\jaime.benazar\Quorum Business Solutions\Ecopetrol Prometeo - Documents\Planning Space Implementation\3. Analysis &amp; Design\Design\FC22\DRR Jaime\Por presentar a ECP\Cantagallo\Cristalina\[VRC_CRISTALINA_CF_SEC_20221231.xlsx]CF PDP'!$BU$70</t>
  </si>
  <si>
    <t>='C:\Users\jaime.benazar\Quorum Business Solutions\Ecopetrol Prometeo - Documents\Planning Space Implementation\3. Analysis &amp; Design\Design\FC22\DRR Jaime\Por presentar a ECP\Cantagallo\Cristalina\[VRC_CRISTALINA_CF_SEC_20221231.xlsx]CF PDP'!$BU$71</t>
  </si>
  <si>
    <t>='C:\Users\jaime.benazar\Quorum Business Solutions\Ecopetrol Prometeo - Documents\Planning Space Implementation\3. Analysis &amp; Design\Design\FC22\DRR Jaime\Por presentar a ECP\Cantagallo\Cristalina\[VRC_CRISTALINA_CF_SEC_20221231.xlsx]CF PDP'!$BU$72</t>
  </si>
  <si>
    <t>='C:\Users\jaime.benazar\Quorum Business Solutions\Ecopetrol Prometeo - Documents\Planning Space Implementation\3. Analysis &amp; Design\Design\FC22\DRR Jaime\Por presentar a ECP\Cantagallo\Cristalina\[VRC_CRISTALINA_CF_SEC_20221231.xlsx]CF PNP'!$BU$36</t>
  </si>
  <si>
    <t>='C:\Users\jaime.benazar\Quorum Business Solutions\Ecopetrol Prometeo - Documents\Planning Space Implementation\3. Analysis &amp; Design\Design\FC22\DRR Jaime\Por presentar a ECP\Cantagallo\Cristalina\[VRC_CRISTALINA_CF_SEC_20221231.xlsx]CF PNP'!$BU$37</t>
  </si>
  <si>
    <t>='C:\Users\jaime.benazar\Quorum Business Solutions\Ecopetrol Prometeo - Documents\Planning Space Implementation\3. Analysis &amp; Design\Design\FC22\DRR Jaime\Por presentar a ECP\Cantagallo\Cristalina\[VRC_CRISTALINA_CF_SEC_20221231.xlsx]CF PNP'!$BU$38</t>
  </si>
  <si>
    <t>='C:\Users\jaime.benazar\Quorum Business Solutions\Ecopetrol Prometeo - Documents\Planning Space Implementation\3. Analysis &amp; Design\Design\FC22\DRR Jaime\Por presentar a ECP\Cantagallo\Cristalina\[VRC_CRISTALINA_CF_SEC_20221231.xlsx]CF PNP'!$BU$39</t>
  </si>
  <si>
    <t>='C:\Users\jaime.benazar\Quorum Business Solutions\Ecopetrol Prometeo - Documents\Planning Space Implementation\3. Analysis &amp; Design\Design\FC22\DRR Jaime\Por presentar a ECP\Cantagallo\Cristalina\[VRC_CRISTALINA_CF_SEC_20221231.xlsx]CF PNP'!$BU$40</t>
  </si>
  <si>
    <t>='C:\Users\jaime.benazar\Quorum Business Solutions\Ecopetrol Prometeo - Documents\Planning Space Implementation\3. Analysis &amp; Design\Design\FC22\DRR Jaime\Por presentar a ECP\Cantagallo\Cristalina\[VRC_CRISTALINA_CF_SEC_20221231.xlsx]CF PNP'!$BU$41</t>
  </si>
  <si>
    <t>='C:\Users\jaime.benazar\Quorum Business Solutions\Ecopetrol Prometeo - Documents\Planning Space Implementation\3. Analysis &amp; Design\Design\FC22\DRR Jaime\Por presentar a ECP\Cantagallo\Cristalina\[VRC_CRISTALINA_CF_SEC_20221231.xlsx]CF PNP'!$BU$42</t>
  </si>
  <si>
    <t>='C:\Users\jaime.benazar\Quorum Business Solutions\Ecopetrol Prometeo - Documents\Planning Space Implementation\3. Analysis &amp; Design\Design\FC22\DRR Jaime\Por presentar a ECP\Cantagallo\Cristalina\[VRC_CRISTALINA_CF_SEC_20221231.xlsx]CF PNP'!$BU$43</t>
  </si>
  <si>
    <t>='C:\Users\jaime.benazar\Quorum Business Solutions\Ecopetrol Prometeo - Documents\Planning Space Implementation\3. Analysis &amp; Design\Design\FC22\DRR Jaime\Por presentar a ECP\Cantagallo\Cristalina\[VRC_CRISTALINA_CF_SEC_20221231.xlsx]CF PNP'!$BU$44</t>
  </si>
  <si>
    <t>='C:\Users\jaime.benazar\Quorum Business Solutions\Ecopetrol Prometeo - Documents\Planning Space Implementation\3. Analysis &amp; Design\Design\FC22\DRR Jaime\Por presentar a ECP\Cantagallo\Cristalina\[VRC_CRISTALINA_CF_SEC_20221231.xlsx]CF PNP'!$BU$45</t>
  </si>
  <si>
    <t>='C:\Users\jaime.benazar\Quorum Business Solutions\Ecopetrol Prometeo - Documents\Planning Space Implementation\3. Analysis &amp; Design\Design\FC22\DRR Jaime\Por presentar a ECP\Cantagallo\Cristalina\[VRC_CRISTALINA_CF_SEC_20221231.xlsx]CF PNP'!$BU$46</t>
  </si>
  <si>
    <t>='C:\Users\jaime.benazar\Quorum Business Solutions\Ecopetrol Prometeo - Documents\Planning Space Implementation\3. Analysis &amp; Design\Design\FC22\DRR Jaime\Por presentar a ECP\Cantagallo\Cristalina\[VRC_CRISTALINA_CF_SEC_20221231.xlsx]CF PNP'!$BU$47</t>
  </si>
  <si>
    <t>='C:\Users\jaime.benazar\Quorum Business Solutions\Ecopetrol Prometeo - Documents\Planning Space Implementation\3. Analysis &amp; Design\Design\FC22\DRR Jaime\Por presentar a ECP\Cantagallo\Cristalina\[VRC_CRISTALINA_CF_SEC_20221231.xlsx]CF PNP'!$BU$48</t>
  </si>
  <si>
    <t>='C:\Users\jaime.benazar\Quorum Business Solutions\Ecopetrol Prometeo - Documents\Planning Space Implementation\3. Analysis &amp; Design\Design\FC22\DRR Jaime\Por presentar a ECP\Cantagallo\Cristalina\[VRC_CRISTALINA_CF_SEC_20221231.xlsx]CF PNP'!$BU$49</t>
  </si>
  <si>
    <t>='C:\Users\jaime.benazar\Quorum Business Solutions\Ecopetrol Prometeo - Documents\Planning Space Implementation\3. Analysis &amp; Design\Design\FC22\DRR Jaime\Por presentar a ECP\Cantagallo\Cristalina\[VRC_CRISTALINA_CF_SEC_20221231.xlsx]CF PNP'!$BU$50</t>
  </si>
  <si>
    <t>='C:\Users\jaime.benazar\Quorum Business Solutions\Ecopetrol Prometeo - Documents\Planning Space Implementation\3. Analysis &amp; Design\Design\FC22\DRR Jaime\Por presentar a ECP\Cantagallo\Cristalina\[VRC_CRISTALINA_CF_SEC_20221231.xlsx]CF PNP'!$BU$51</t>
  </si>
  <si>
    <t>='C:\Users\jaime.benazar\Quorum Business Solutions\Ecopetrol Prometeo - Documents\Planning Space Implementation\3. Analysis &amp; Design\Design\FC22\DRR Jaime\Por presentar a ECP\Cantagallo\Cristalina\[VRC_CRISTALINA_CF_SEC_20221231.xlsx]CF PNP'!$BU$52</t>
  </si>
  <si>
    <t>='C:\Users\jaime.benazar\Quorum Business Solutions\Ecopetrol Prometeo - Documents\Planning Space Implementation\3. Analysis &amp; Design\Design\FC22\DRR Jaime\Por presentar a ECP\Cantagallo\Cristalina\[VRC_CRISTALINA_CF_SEC_20221231.xlsx]CF PNP'!$BU$53</t>
  </si>
  <si>
    <t>='C:\Users\jaime.benazar\Quorum Business Solutions\Ecopetrol Prometeo - Documents\Planning Space Implementation\3. Analysis &amp; Design\Design\FC22\DRR Jaime\Por presentar a ECP\Cantagallo\Cristalina\[VRC_CRISTALINA_CF_SEC_20221231.xlsx]CF PNP'!$BU$54</t>
  </si>
  <si>
    <t>='C:\Users\jaime.benazar\Quorum Business Solutions\Ecopetrol Prometeo - Documents\Planning Space Implementation\3. Analysis &amp; Design\Design\FC22\DRR Jaime\Por presentar a ECP\Cantagallo\Cristalina\[VRC_CRISTALINA_CF_SEC_20221231.xlsx]CF PNP'!$BU$55</t>
  </si>
  <si>
    <t>='C:\Users\jaime.benazar\Quorum Business Solutions\Ecopetrol Prometeo - Documents\Planning Space Implementation\3. Analysis &amp; Design\Design\FC22\DRR Jaime\Por presentar a ECP\Cantagallo\Cristalina\[VRC_CRISTALINA_CF_SEC_20221231.xlsx]CF PNP'!$BU$56</t>
  </si>
  <si>
    <t>='C:\Users\jaime.benazar\Quorum Business Solutions\Ecopetrol Prometeo - Documents\Planning Space Implementation\3. Analysis &amp; Design\Design\FC22\DRR Jaime\Por presentar a ECP\Cantagallo\Cristalina\[VRC_CRISTALINA_CF_SEC_20221231.xlsx]CF PNP'!$BU$57</t>
  </si>
  <si>
    <t>='C:\Users\jaime.benazar\Quorum Business Solutions\Ecopetrol Prometeo - Documents\Planning Space Implementation\3. Analysis &amp; Design\Design\FC22\DRR Jaime\Por presentar a ECP\Cantagallo\Cristalina\[VRC_CRISTALINA_CF_SEC_20221231.xlsx]CF PNP'!$BU$58</t>
  </si>
  <si>
    <t>='C:\Users\jaime.benazar\Quorum Business Solutions\Ecopetrol Prometeo - Documents\Planning Space Implementation\3. Analysis &amp; Design\Design\FC22\DRR Jaime\Por presentar a ECP\Cantagallo\Cristalina\[VRC_CRISTALINA_CF_SEC_20221231.xlsx]CF PNP'!$BU$59</t>
  </si>
  <si>
    <t>='C:\Users\jaime.benazar\Quorum Business Solutions\Ecopetrol Prometeo - Documents\Planning Space Implementation\3. Analysis &amp; Design\Design\FC22\DRR Jaime\Por presentar a ECP\Cantagallo\Cristalina\[VRC_CRISTALINA_CF_SEC_20221231.xlsx]CF PNP'!$BU$60</t>
  </si>
  <si>
    <t>='C:\Users\jaime.benazar\Quorum Business Solutions\Ecopetrol Prometeo - Documents\Planning Space Implementation\3. Analysis &amp; Design\Design\FC22\DRR Jaime\Por presentar a ECP\Cantagallo\Cristalina\[VRC_CRISTALINA_CF_SEC_20221231.xlsx]CF PNP'!$BU$61</t>
  </si>
  <si>
    <t>='C:\Users\jaime.benazar\Quorum Business Solutions\Ecopetrol Prometeo - Documents\Planning Space Implementation\3. Analysis &amp; Design\Design\FC22\DRR Jaime\Por presentar a ECP\Cantagallo\Cristalina\[VRC_CRISTALINA_CF_SEC_20221231.xlsx]CF PNP'!$BU$62</t>
  </si>
  <si>
    <t>='C:\Users\jaime.benazar\Quorum Business Solutions\Ecopetrol Prometeo - Documents\Planning Space Implementation\3. Analysis &amp; Design\Design\FC22\DRR Jaime\Por presentar a ECP\Cantagallo\Cristalina\[VRC_CRISTALINA_CF_SEC_20221231.xlsx]CF PNP'!$BU$63</t>
  </si>
  <si>
    <t>='C:\Users\jaime.benazar\Quorum Business Solutions\Ecopetrol Prometeo - Documents\Planning Space Implementation\3. Analysis &amp; Design\Design\FC22\DRR Jaime\Por presentar a ECP\Cantagallo\Cristalina\[VRC_CRISTALINA_CF_SEC_20221231.xlsx]CF PNP'!$BU$64</t>
  </si>
  <si>
    <t>='C:\Users\jaime.benazar\Quorum Business Solutions\Ecopetrol Prometeo - Documents\Planning Space Implementation\3. Analysis &amp; Design\Design\FC22\DRR Jaime\Por presentar a ECP\Cantagallo\Cristalina\[VRC_CRISTALINA_CF_SEC_20221231.xlsx]CF PNP'!$BU$65</t>
  </si>
  <si>
    <t>='C:\Users\jaime.benazar\Quorum Business Solutions\Ecopetrol Prometeo - Documents\Planning Space Implementation\3. Analysis &amp; Design\Design\FC22\DRR Jaime\Por presentar a ECP\Cantagallo\Cristalina\[VRC_CRISTALINA_CF_SEC_20221231.xlsx]CF PNP'!$BU$66</t>
  </si>
  <si>
    <t>='C:\Users\jaime.benazar\Quorum Business Solutions\Ecopetrol Prometeo - Documents\Planning Space Implementation\3. Analysis &amp; Design\Design\FC22\DRR Jaime\Por presentar a ECP\Cantagallo\Cristalina\[VRC_CRISTALINA_CF_SEC_20221231.xlsx]CF PNP'!$BU$67</t>
  </si>
  <si>
    <t>='C:\Users\jaime.benazar\Quorum Business Solutions\Ecopetrol Prometeo - Documents\Planning Space Implementation\3. Analysis &amp; Design\Design\FC22\DRR Jaime\Por presentar a ECP\Cantagallo\Cristalina\[VRC_CRISTALINA_CF_SEC_20221231.xlsx]CF PNP'!$BU$68</t>
  </si>
  <si>
    <t>='C:\Users\jaime.benazar\Quorum Business Solutions\Ecopetrol Prometeo - Documents\Planning Space Implementation\3. Analysis &amp; Design\Design\FC22\DRR Jaime\Por presentar a ECP\Cantagallo\Cristalina\[VRC_CRISTALINA_CF_SEC_20221231.xlsx]CF PNP'!$BU$69</t>
  </si>
  <si>
    <t>='C:\Users\jaime.benazar\Quorum Business Solutions\Ecopetrol Prometeo - Documents\Planning Space Implementation\3. Analysis &amp; Design\Design\FC22\DRR Jaime\Por presentar a ECP\Cantagallo\Cristalina\[VRC_CRISTALINA_CF_SEC_20221231.xlsx]CF PNP'!$BU$70</t>
  </si>
  <si>
    <t>='C:\Users\jaime.benazar\Quorum Business Solutions\Ecopetrol Prometeo - Documents\Planning Space Implementation\3. Analysis &amp; Design\Design\FC22\DRR Jaime\Por presentar a ECP\Cantagallo\Cristalina\[VRC_CRISTALINA_CF_SEC_20221231.xlsx]CF PNP'!$BU$71</t>
  </si>
  <si>
    <t>='C:\Users\jaime.benazar\Quorum Business Solutions\Ecopetrol Prometeo - Documents\Planning Space Implementation\3. Analysis &amp; Design\Design\FC22\DRR Jaime\Por presentar a ECP\Cantagallo\Cristalina\[VRC_CRISTALINA_CF_SEC_20221231.xlsx]CF PNP'!$BU$72</t>
  </si>
  <si>
    <t>='C:\Users\jaime.benazar\Quorum Business Solutions\Ecopetrol Prometeo - Documents\Planning Space Implementation\3. Analysis &amp; Design\Design\FC22\DRR Jaime\Por presentar a ECP\Cantagallo\Cristalina\[VRC_CRISTALINA_CF_SEC_20221231.xlsx]CF PND'!$BU$36</t>
  </si>
  <si>
    <t>='C:\Users\jaime.benazar\Quorum Business Solutions\Ecopetrol Prometeo - Documents\Planning Space Implementation\3. Analysis &amp; Design\Design\FC22\DRR Jaime\Por presentar a ECP\Cantagallo\Cristalina\[VRC_CRISTALINA_CF_SEC_20221231.xlsx]CF PND'!$BU$37</t>
  </si>
  <si>
    <t>='C:\Users\jaime.benazar\Quorum Business Solutions\Ecopetrol Prometeo - Documents\Planning Space Implementation\3. Analysis &amp; Design\Design\FC22\DRR Jaime\Por presentar a ECP\Cantagallo\Cristalina\[VRC_CRISTALINA_CF_SEC_20221231.xlsx]CF PND'!$BU$38</t>
  </si>
  <si>
    <t>='C:\Users\jaime.benazar\Quorum Business Solutions\Ecopetrol Prometeo - Documents\Planning Space Implementation\3. Analysis &amp; Design\Design\FC22\DRR Jaime\Por presentar a ECP\Cantagallo\Cristalina\[VRC_CRISTALINA_CF_SEC_20221231.xlsx]CF PND'!$BU$39</t>
  </si>
  <si>
    <t>='C:\Users\jaime.benazar\Quorum Business Solutions\Ecopetrol Prometeo - Documents\Planning Space Implementation\3. Analysis &amp; Design\Design\FC22\DRR Jaime\Por presentar a ECP\Cantagallo\Cristalina\[VRC_CRISTALINA_CF_SEC_20221231.xlsx]CF PND'!$BU$40</t>
  </si>
  <si>
    <t>='C:\Users\jaime.benazar\Quorum Business Solutions\Ecopetrol Prometeo - Documents\Planning Space Implementation\3. Analysis &amp; Design\Design\FC22\DRR Jaime\Por presentar a ECP\Cantagallo\Cristalina\[VRC_CRISTALINA_CF_SEC_20221231.xlsx]CF PND'!$BU$41</t>
  </si>
  <si>
    <t>='C:\Users\jaime.benazar\Quorum Business Solutions\Ecopetrol Prometeo - Documents\Planning Space Implementation\3. Analysis &amp; Design\Design\FC22\DRR Jaime\Por presentar a ECP\Cantagallo\Cristalina\[VRC_CRISTALINA_CF_SEC_20221231.xlsx]CF PND'!$BU$42</t>
  </si>
  <si>
    <t>='C:\Users\jaime.benazar\Quorum Business Solutions\Ecopetrol Prometeo - Documents\Planning Space Implementation\3. Analysis &amp; Design\Design\FC22\DRR Jaime\Por presentar a ECP\Cantagallo\Cristalina\[VRC_CRISTALINA_CF_SEC_20221231.xlsx]CF PND'!$BU$43</t>
  </si>
  <si>
    <t>='C:\Users\jaime.benazar\Quorum Business Solutions\Ecopetrol Prometeo - Documents\Planning Space Implementation\3. Analysis &amp; Design\Design\FC22\DRR Jaime\Por presentar a ECP\Cantagallo\Cristalina\[VRC_CRISTALINA_CF_SEC_20221231.xlsx]CF PND'!$BU$44</t>
  </si>
  <si>
    <t>='C:\Users\jaime.benazar\Quorum Business Solutions\Ecopetrol Prometeo - Documents\Planning Space Implementation\3. Analysis &amp; Design\Design\FC22\DRR Jaime\Por presentar a ECP\Cantagallo\Cristalina\[VRC_CRISTALINA_CF_SEC_20221231.xlsx]CF PND'!$BU$45</t>
  </si>
  <si>
    <t>='C:\Users\jaime.benazar\Quorum Business Solutions\Ecopetrol Prometeo - Documents\Planning Space Implementation\3. Analysis &amp; Design\Design\FC22\DRR Jaime\Por presentar a ECP\Cantagallo\Cristalina\[VRC_CRISTALINA_CF_SEC_20221231.xlsx]CF PND'!$BU$46</t>
  </si>
  <si>
    <t>='C:\Users\jaime.benazar\Quorum Business Solutions\Ecopetrol Prometeo - Documents\Planning Space Implementation\3. Analysis &amp; Design\Design\FC22\DRR Jaime\Por presentar a ECP\Cantagallo\Cristalina\[VRC_CRISTALINA_CF_SEC_20221231.xlsx]CF PND'!$BU$47</t>
  </si>
  <si>
    <t>='C:\Users\jaime.benazar\Quorum Business Solutions\Ecopetrol Prometeo - Documents\Planning Space Implementation\3. Analysis &amp; Design\Design\FC22\DRR Jaime\Por presentar a ECP\Cantagallo\Cristalina\[VRC_CRISTALINA_CF_SEC_20221231.xlsx]CF PND'!$BU$48</t>
  </si>
  <si>
    <t>='C:\Users\jaime.benazar\Quorum Business Solutions\Ecopetrol Prometeo - Documents\Planning Space Implementation\3. Analysis &amp; Design\Design\FC22\DRR Jaime\Por presentar a ECP\Cantagallo\Cristalina\[VRC_CRISTALINA_CF_SEC_20221231.xlsx]CF PND'!$BU$49</t>
  </si>
  <si>
    <t>='C:\Users\jaime.benazar\Quorum Business Solutions\Ecopetrol Prometeo - Documents\Planning Space Implementation\3. Analysis &amp; Design\Design\FC22\DRR Jaime\Por presentar a ECP\Cantagallo\Cristalina\[VRC_CRISTALINA_CF_SEC_20221231.xlsx]CF PND'!$BU$50</t>
  </si>
  <si>
    <t>='C:\Users\jaime.benazar\Quorum Business Solutions\Ecopetrol Prometeo - Documents\Planning Space Implementation\3. Analysis &amp; Design\Design\FC22\DRR Jaime\Por presentar a ECP\Cantagallo\Cristalina\[VRC_CRISTALINA_CF_SEC_20221231.xlsx]CF PND'!$BU$51</t>
  </si>
  <si>
    <t>='C:\Users\jaime.benazar\Quorum Business Solutions\Ecopetrol Prometeo - Documents\Planning Space Implementation\3. Analysis &amp; Design\Design\FC22\DRR Jaime\Por presentar a ECP\Cantagallo\Cristalina\[VRC_CRISTALINA_CF_SEC_20221231.xlsx]CF PND'!$BU$52</t>
  </si>
  <si>
    <t>='C:\Users\jaime.benazar\Quorum Business Solutions\Ecopetrol Prometeo - Documents\Planning Space Implementation\3. Analysis &amp; Design\Design\FC22\DRR Jaime\Por presentar a ECP\Cantagallo\Cristalina\[VRC_CRISTALINA_CF_SEC_20221231.xlsx]CF PND'!$BU$53</t>
  </si>
  <si>
    <t>='C:\Users\jaime.benazar\Quorum Business Solutions\Ecopetrol Prometeo - Documents\Planning Space Implementation\3. Analysis &amp; Design\Design\FC22\DRR Jaime\Por presentar a ECP\Cantagallo\Cristalina\[VRC_CRISTALINA_CF_SEC_20221231.xlsx]CF PND'!$BU$54</t>
  </si>
  <si>
    <t>='C:\Users\jaime.benazar\Quorum Business Solutions\Ecopetrol Prometeo - Documents\Planning Space Implementation\3. Analysis &amp; Design\Design\FC22\DRR Jaime\Por presentar a ECP\Cantagallo\Cristalina\[VRC_CRISTALINA_CF_SEC_20221231.xlsx]CF PND'!$BU$55</t>
  </si>
  <si>
    <t>='C:\Users\jaime.benazar\Quorum Business Solutions\Ecopetrol Prometeo - Documents\Planning Space Implementation\3. Analysis &amp; Design\Design\FC22\DRR Jaime\Por presentar a ECP\Cantagallo\Cristalina\[VRC_CRISTALINA_CF_SEC_20221231.xlsx]CF PND'!$BU$56</t>
  </si>
  <si>
    <t>='C:\Users\jaime.benazar\Quorum Business Solutions\Ecopetrol Prometeo - Documents\Planning Space Implementation\3. Analysis &amp; Design\Design\FC22\DRR Jaime\Por presentar a ECP\Cantagallo\Cristalina\[VRC_CRISTALINA_CF_SEC_20221231.xlsx]CF PND'!$BU$57</t>
  </si>
  <si>
    <t>='C:\Users\jaime.benazar\Quorum Business Solutions\Ecopetrol Prometeo - Documents\Planning Space Implementation\3. Analysis &amp; Design\Design\FC22\DRR Jaime\Por presentar a ECP\Cantagallo\Cristalina\[VRC_CRISTALINA_CF_SEC_20221231.xlsx]CF PND'!$BU$58</t>
  </si>
  <si>
    <t>='C:\Users\jaime.benazar\Quorum Business Solutions\Ecopetrol Prometeo - Documents\Planning Space Implementation\3. Analysis &amp; Design\Design\FC22\DRR Jaime\Por presentar a ECP\Cantagallo\Cristalina\[VRC_CRISTALINA_CF_SEC_20221231.xlsx]CF PND'!$BU$59</t>
  </si>
  <si>
    <t>='C:\Users\jaime.benazar\Quorum Business Solutions\Ecopetrol Prometeo - Documents\Planning Space Implementation\3. Analysis &amp; Design\Design\FC22\DRR Jaime\Por presentar a ECP\Cantagallo\Cristalina\[VRC_CRISTALINA_CF_SEC_20221231.xlsx]CF PND'!$BU$60</t>
  </si>
  <si>
    <t>='C:\Users\jaime.benazar\Quorum Business Solutions\Ecopetrol Prometeo - Documents\Planning Space Implementation\3. Analysis &amp; Design\Design\FC22\DRR Jaime\Por presentar a ECP\Cantagallo\Cristalina\[VRC_CRISTALINA_CF_SEC_20221231.xlsx]CF PND'!$BU$61</t>
  </si>
  <si>
    <t>='C:\Users\jaime.benazar\Quorum Business Solutions\Ecopetrol Prometeo - Documents\Planning Space Implementation\3. Analysis &amp; Design\Design\FC22\DRR Jaime\Por presentar a ECP\Cantagallo\Cristalina\[VRC_CRISTALINA_CF_SEC_20221231.xlsx]CF PND'!$BU$62</t>
  </si>
  <si>
    <t>='C:\Users\jaime.benazar\Quorum Business Solutions\Ecopetrol Prometeo - Documents\Planning Space Implementation\3. Analysis &amp; Design\Design\FC22\DRR Jaime\Por presentar a ECP\Cantagallo\Cristalina\[VRC_CRISTALINA_CF_SEC_20221231.xlsx]CF PND'!$BU$63</t>
  </si>
  <si>
    <t>='C:\Users\jaime.benazar\Quorum Business Solutions\Ecopetrol Prometeo - Documents\Planning Space Implementation\3. Analysis &amp; Design\Design\FC22\DRR Jaime\Por presentar a ECP\Cantagallo\Cristalina\[VRC_CRISTALINA_CF_SEC_20221231.xlsx]CF PND'!$BU$64</t>
  </si>
  <si>
    <t>='C:\Users\jaime.benazar\Quorum Business Solutions\Ecopetrol Prometeo - Documents\Planning Space Implementation\3. Analysis &amp; Design\Design\FC22\DRR Jaime\Por presentar a ECP\Cantagallo\Cristalina\[VRC_CRISTALINA_CF_SEC_20221231.xlsx]CF PND'!$BU$65</t>
  </si>
  <si>
    <t>='C:\Users\jaime.benazar\Quorum Business Solutions\Ecopetrol Prometeo - Documents\Planning Space Implementation\3. Analysis &amp; Design\Design\FC22\DRR Jaime\Por presentar a ECP\Cantagallo\Cristalina\[VRC_CRISTALINA_CF_SEC_20221231.xlsx]CF PND'!$BU$66</t>
  </si>
  <si>
    <t>='C:\Users\jaime.benazar\Quorum Business Solutions\Ecopetrol Prometeo - Documents\Planning Space Implementation\3. Analysis &amp; Design\Design\FC22\DRR Jaime\Por presentar a ECP\Cantagallo\Cristalina\[VRC_CRISTALINA_CF_SEC_20221231.xlsx]CF PND'!$BU$67</t>
  </si>
  <si>
    <t>='C:\Users\jaime.benazar\Quorum Business Solutions\Ecopetrol Prometeo - Documents\Planning Space Implementation\3. Analysis &amp; Design\Design\FC22\DRR Jaime\Por presentar a ECP\Cantagallo\Cristalina\[VRC_CRISTALINA_CF_SEC_20221231.xlsx]CF PND'!$BU$68</t>
  </si>
  <si>
    <t>='C:\Users\jaime.benazar\Quorum Business Solutions\Ecopetrol Prometeo - Documents\Planning Space Implementation\3. Analysis &amp; Design\Design\FC22\DRR Jaime\Por presentar a ECP\Cantagallo\Cristalina\[VRC_CRISTALINA_CF_SEC_20221231.xlsx]CF PND'!$BU$69</t>
  </si>
  <si>
    <t>='C:\Users\jaime.benazar\Quorum Business Solutions\Ecopetrol Prometeo - Documents\Planning Space Implementation\3. Analysis &amp; Design\Design\FC22\DRR Jaime\Por presentar a ECP\Cantagallo\Cristalina\[VRC_CRISTALINA_CF_SEC_20221231.xlsx]CF PND'!$BU$70</t>
  </si>
  <si>
    <t>='C:\Users\jaime.benazar\Quorum Business Solutions\Ecopetrol Prometeo - Documents\Planning Space Implementation\3. Analysis &amp; Design\Design\FC22\DRR Jaime\Por presentar a ECP\Cantagallo\Cristalina\[VRC_CRISTALINA_CF_SEC_20221231.xlsx]CF PND'!$BU$71</t>
  </si>
  <si>
    <t>='C:\Users\jaime.benazar\Quorum Business Solutions\Ecopetrol Prometeo - Documents\Planning Space Implementation\3. Analysis &amp; Design\Design\FC22\DRR Jaime\Por presentar a ECP\Cantagallo\Cristalina\[VRC_CRISTALINA_CF_SEC_20221231.xlsx]CF PND'!$BU$72</t>
  </si>
  <si>
    <t>='C:\Users\jaime.benazar\Quorum Business Solutions\Ecopetrol Prometeo - Documents\Planning Space Implementation\3. Analysis &amp; Design\Design\FC22\DRR Jaime\Por presentar a ECP\Cantagallo\Cristalina\[VRC_CRISTALINA_CF_SEC_20221231.xlsx]CF PRB'!$BU$36</t>
  </si>
  <si>
    <t>='C:\Users\jaime.benazar\Quorum Business Solutions\Ecopetrol Prometeo - Documents\Planning Space Implementation\3. Analysis &amp; Design\Design\FC22\DRR Jaime\Por presentar a ECP\Cantagallo\Cristalina\[VRC_CRISTALINA_CF_SEC_20221231.xlsx]CF PRB'!$BU$37</t>
  </si>
  <si>
    <t>='C:\Users\jaime.benazar\Quorum Business Solutions\Ecopetrol Prometeo - Documents\Planning Space Implementation\3. Analysis &amp; Design\Design\FC22\DRR Jaime\Por presentar a ECP\Cantagallo\Cristalina\[VRC_CRISTALINA_CF_SEC_20221231.xlsx]CF PRB'!$BU$38</t>
  </si>
  <si>
    <t>='C:\Users\jaime.benazar\Quorum Business Solutions\Ecopetrol Prometeo - Documents\Planning Space Implementation\3. Analysis &amp; Design\Design\FC22\DRR Jaime\Por presentar a ECP\Cantagallo\Cristalina\[VRC_CRISTALINA_CF_SEC_20221231.xlsx]CF PRB'!$BU$39</t>
  </si>
  <si>
    <t>='C:\Users\jaime.benazar\Quorum Business Solutions\Ecopetrol Prometeo - Documents\Planning Space Implementation\3. Analysis &amp; Design\Design\FC22\DRR Jaime\Por presentar a ECP\Cantagallo\Cristalina\[VRC_CRISTALINA_CF_SEC_20221231.xlsx]CF PRB'!$BU$40</t>
  </si>
  <si>
    <t>='C:\Users\jaime.benazar\Quorum Business Solutions\Ecopetrol Prometeo - Documents\Planning Space Implementation\3. Analysis &amp; Design\Design\FC22\DRR Jaime\Por presentar a ECP\Cantagallo\Cristalina\[VRC_CRISTALINA_CF_SEC_20221231.xlsx]CF PRB'!$BU$41</t>
  </si>
  <si>
    <t>='C:\Users\jaime.benazar\Quorum Business Solutions\Ecopetrol Prometeo - Documents\Planning Space Implementation\3. Analysis &amp; Design\Design\FC22\DRR Jaime\Por presentar a ECP\Cantagallo\Cristalina\[VRC_CRISTALINA_CF_SEC_20221231.xlsx]CF PRB'!$BU$42</t>
  </si>
  <si>
    <t>='C:\Users\jaime.benazar\Quorum Business Solutions\Ecopetrol Prometeo - Documents\Planning Space Implementation\3. Analysis &amp; Design\Design\FC22\DRR Jaime\Por presentar a ECP\Cantagallo\Cristalina\[VRC_CRISTALINA_CF_SEC_20221231.xlsx]CF PRB'!$BU$43</t>
  </si>
  <si>
    <t>='C:\Users\jaime.benazar\Quorum Business Solutions\Ecopetrol Prometeo - Documents\Planning Space Implementation\3. Analysis &amp; Design\Design\FC22\DRR Jaime\Por presentar a ECP\Cantagallo\Cristalina\[VRC_CRISTALINA_CF_SEC_20221231.xlsx]CF PRB'!$BU$44</t>
  </si>
  <si>
    <t>='C:\Users\jaime.benazar\Quorum Business Solutions\Ecopetrol Prometeo - Documents\Planning Space Implementation\3. Analysis &amp; Design\Design\FC22\DRR Jaime\Por presentar a ECP\Cantagallo\Cristalina\[VRC_CRISTALINA_CF_SEC_20221231.xlsx]CF PRB'!$BU$45</t>
  </si>
  <si>
    <t>='C:\Users\jaime.benazar\Quorum Business Solutions\Ecopetrol Prometeo - Documents\Planning Space Implementation\3. Analysis &amp; Design\Design\FC22\DRR Jaime\Por presentar a ECP\Cantagallo\Cristalina\[VRC_CRISTALINA_CF_SEC_20221231.xlsx]CF PRB'!$BU$46</t>
  </si>
  <si>
    <t>='C:\Users\jaime.benazar\Quorum Business Solutions\Ecopetrol Prometeo - Documents\Planning Space Implementation\3. Analysis &amp; Design\Design\FC22\DRR Jaime\Por presentar a ECP\Cantagallo\Cristalina\[VRC_CRISTALINA_CF_SEC_20221231.xlsx]CF PRB'!$BU$47</t>
  </si>
  <si>
    <t>='C:\Users\jaime.benazar\Quorum Business Solutions\Ecopetrol Prometeo - Documents\Planning Space Implementation\3. Analysis &amp; Design\Design\FC22\DRR Jaime\Por presentar a ECP\Cantagallo\Cristalina\[VRC_CRISTALINA_CF_SEC_20221231.xlsx]CF PRB'!$BU$48</t>
  </si>
  <si>
    <t>='C:\Users\jaime.benazar\Quorum Business Solutions\Ecopetrol Prometeo - Documents\Planning Space Implementation\3. Analysis &amp; Design\Design\FC22\DRR Jaime\Por presentar a ECP\Cantagallo\Cristalina\[VRC_CRISTALINA_CF_SEC_20221231.xlsx]CF PRB'!$BU$49</t>
  </si>
  <si>
    <t>='C:\Users\jaime.benazar\Quorum Business Solutions\Ecopetrol Prometeo - Documents\Planning Space Implementation\3. Analysis &amp; Design\Design\FC22\DRR Jaime\Por presentar a ECP\Cantagallo\Cristalina\[VRC_CRISTALINA_CF_SEC_20221231.xlsx]CF PRB'!$BU$50</t>
  </si>
  <si>
    <t>='C:\Users\jaime.benazar\Quorum Business Solutions\Ecopetrol Prometeo - Documents\Planning Space Implementation\3. Analysis &amp; Design\Design\FC22\DRR Jaime\Por presentar a ECP\Cantagallo\Cristalina\[VRC_CRISTALINA_CF_SEC_20221231.xlsx]CF PRB'!$BU$51</t>
  </si>
  <si>
    <t>='C:\Users\jaime.benazar\Quorum Business Solutions\Ecopetrol Prometeo - Documents\Planning Space Implementation\3. Analysis &amp; Design\Design\FC22\DRR Jaime\Por presentar a ECP\Cantagallo\Cristalina\[VRC_CRISTALINA_CF_SEC_20221231.xlsx]CF PRB'!$BU$52</t>
  </si>
  <si>
    <t>='C:\Users\jaime.benazar\Quorum Business Solutions\Ecopetrol Prometeo - Documents\Planning Space Implementation\3. Analysis &amp; Design\Design\FC22\DRR Jaime\Por presentar a ECP\Cantagallo\Cristalina\[VRC_CRISTALINA_CF_SEC_20221231.xlsx]CF PRB'!$BU$53</t>
  </si>
  <si>
    <t>='C:\Users\jaime.benazar\Quorum Business Solutions\Ecopetrol Prometeo - Documents\Planning Space Implementation\3. Analysis &amp; Design\Design\FC22\DRR Jaime\Por presentar a ECP\Cantagallo\Cristalina\[VRC_CRISTALINA_CF_SEC_20221231.xlsx]CF PRB'!$BU$54</t>
  </si>
  <si>
    <t>='C:\Users\jaime.benazar\Quorum Business Solutions\Ecopetrol Prometeo - Documents\Planning Space Implementation\3. Analysis &amp; Design\Design\FC22\DRR Jaime\Por presentar a ECP\Cantagallo\Cristalina\[VRC_CRISTALINA_CF_SEC_20221231.xlsx]CF PRB'!$BU$55</t>
  </si>
  <si>
    <t>='C:\Users\jaime.benazar\Quorum Business Solutions\Ecopetrol Prometeo - Documents\Planning Space Implementation\3. Analysis &amp; Design\Design\FC22\DRR Jaime\Por presentar a ECP\Cantagallo\Cristalina\[VRC_CRISTALINA_CF_SEC_20221231.xlsx]CF PRB'!$BU$56</t>
  </si>
  <si>
    <t>='C:\Users\jaime.benazar\Quorum Business Solutions\Ecopetrol Prometeo - Documents\Planning Space Implementation\3. Analysis &amp; Design\Design\FC22\DRR Jaime\Por presentar a ECP\Cantagallo\Cristalina\[VRC_CRISTALINA_CF_SEC_20221231.xlsx]CF PRB'!$BU$57</t>
  </si>
  <si>
    <t>='C:\Users\jaime.benazar\Quorum Business Solutions\Ecopetrol Prometeo - Documents\Planning Space Implementation\3. Analysis &amp; Design\Design\FC22\DRR Jaime\Por presentar a ECP\Cantagallo\Cristalina\[VRC_CRISTALINA_CF_SEC_20221231.xlsx]CF PRB'!$BU$58</t>
  </si>
  <si>
    <t>='C:\Users\jaime.benazar\Quorum Business Solutions\Ecopetrol Prometeo - Documents\Planning Space Implementation\3. Analysis &amp; Design\Design\FC22\DRR Jaime\Por presentar a ECP\Cantagallo\Cristalina\[VRC_CRISTALINA_CF_SEC_20221231.xlsx]CF PRB'!$BU$59</t>
  </si>
  <si>
    <t>='C:\Users\jaime.benazar\Quorum Business Solutions\Ecopetrol Prometeo - Documents\Planning Space Implementation\3. Analysis &amp; Design\Design\FC22\DRR Jaime\Por presentar a ECP\Cantagallo\Cristalina\[VRC_CRISTALINA_CF_SEC_20221231.xlsx]CF PRB'!$BU$60</t>
  </si>
  <si>
    <t>='C:\Users\jaime.benazar\Quorum Business Solutions\Ecopetrol Prometeo - Documents\Planning Space Implementation\3. Analysis &amp; Design\Design\FC22\DRR Jaime\Por presentar a ECP\Cantagallo\Cristalina\[VRC_CRISTALINA_CF_SEC_20221231.xlsx]CF PRB'!$BU$61</t>
  </si>
  <si>
    <t>='C:\Users\jaime.benazar\Quorum Business Solutions\Ecopetrol Prometeo - Documents\Planning Space Implementation\3. Analysis &amp; Design\Design\FC22\DRR Jaime\Por presentar a ECP\Cantagallo\Cristalina\[VRC_CRISTALINA_CF_SEC_20221231.xlsx]CF PRB'!$BU$62</t>
  </si>
  <si>
    <t>='C:\Users\jaime.benazar\Quorum Business Solutions\Ecopetrol Prometeo - Documents\Planning Space Implementation\3. Analysis &amp; Design\Design\FC22\DRR Jaime\Por presentar a ECP\Cantagallo\Cristalina\[VRC_CRISTALINA_CF_SEC_20221231.xlsx]CF PRB'!$BU$63</t>
  </si>
  <si>
    <t>='C:\Users\jaime.benazar\Quorum Business Solutions\Ecopetrol Prometeo - Documents\Planning Space Implementation\3. Analysis &amp; Design\Design\FC22\DRR Jaime\Por presentar a ECP\Cantagallo\Cristalina\[VRC_CRISTALINA_CF_SEC_20221231.xlsx]CF PRB'!$BU$64</t>
  </si>
  <si>
    <t>='C:\Users\jaime.benazar\Quorum Business Solutions\Ecopetrol Prometeo - Documents\Planning Space Implementation\3. Analysis &amp; Design\Design\FC22\DRR Jaime\Por presentar a ECP\Cantagallo\Cristalina\[VRC_CRISTALINA_CF_SEC_20221231.xlsx]CF PRB'!$BU$65</t>
  </si>
  <si>
    <t>='C:\Users\jaime.benazar\Quorum Business Solutions\Ecopetrol Prometeo - Documents\Planning Space Implementation\3. Analysis &amp; Design\Design\FC22\DRR Jaime\Por presentar a ECP\Cantagallo\Cristalina\[VRC_CRISTALINA_CF_SEC_20221231.xlsx]CF PRB'!$BU$66</t>
  </si>
  <si>
    <t>='C:\Users\jaime.benazar\Quorum Business Solutions\Ecopetrol Prometeo - Documents\Planning Space Implementation\3. Analysis &amp; Design\Design\FC22\DRR Jaime\Por presentar a ECP\Cantagallo\Cristalina\[VRC_CRISTALINA_CF_SEC_20221231.xlsx]CF PRB'!$BU$67</t>
  </si>
  <si>
    <t>='C:\Users\jaime.benazar\Quorum Business Solutions\Ecopetrol Prometeo - Documents\Planning Space Implementation\3. Analysis &amp; Design\Design\FC22\DRR Jaime\Por presentar a ECP\Cantagallo\Cristalina\[VRC_CRISTALINA_CF_SEC_20221231.xlsx]CF PRB'!$BU$68</t>
  </si>
  <si>
    <t>='C:\Users\jaime.benazar\Quorum Business Solutions\Ecopetrol Prometeo - Documents\Planning Space Implementation\3. Analysis &amp; Design\Design\FC22\DRR Jaime\Por presentar a ECP\Cantagallo\Cristalina\[VRC_CRISTALINA_CF_SEC_20221231.xlsx]CF PRB'!$BU$69</t>
  </si>
  <si>
    <t>='C:\Users\jaime.benazar\Quorum Business Solutions\Ecopetrol Prometeo - Documents\Planning Space Implementation\3. Analysis &amp; Design\Design\FC22\DRR Jaime\Por presentar a ECP\Cantagallo\Cristalina\[VRC_CRISTALINA_CF_SEC_20221231.xlsx]CF PRB'!$BU$70</t>
  </si>
  <si>
    <t>='C:\Users\jaime.benazar\Quorum Business Solutions\Ecopetrol Prometeo - Documents\Planning Space Implementation\3. Analysis &amp; Design\Design\FC22\DRR Jaime\Por presentar a ECP\Cantagallo\Cristalina\[VRC_CRISTALINA_CF_SEC_20221231.xlsx]CF PRB'!$BU$71</t>
  </si>
  <si>
    <t>='C:\Users\jaime.benazar\Quorum Business Solutions\Ecopetrol Prometeo - Documents\Planning Space Implementation\3. Analysis &amp; Design\Design\FC22\DRR Jaime\Por presentar a ECP\Cantagallo\Cristalina\[VRC_CRISTALINA_CF_SEC_20221231.xlsx]CF PRB'!$BU$72</t>
  </si>
  <si>
    <t>='C:\Users\jaime.benazar\Quorum Business Solutions\Ecopetrol Prometeo - Documents\Planning Space Implementation\3. Analysis &amp; Design\Design\FC22\DRR Jaime\Por presentar a ECP\Cantagallo\Cristalina\[VRC_CRISTALINA_CF_SEC_20221231.xlsx]CF PS'!$BU$36</t>
  </si>
  <si>
    <t>='C:\Users\jaime.benazar\Quorum Business Solutions\Ecopetrol Prometeo - Documents\Planning Space Implementation\3. Analysis &amp; Design\Design\FC22\DRR Jaime\Por presentar a ECP\Cantagallo\Cristalina\[VRC_CRISTALINA_CF_SEC_20221231.xlsx]CF PS'!$BU$37</t>
  </si>
  <si>
    <t>='C:\Users\jaime.benazar\Quorum Business Solutions\Ecopetrol Prometeo - Documents\Planning Space Implementation\3. Analysis &amp; Design\Design\FC22\DRR Jaime\Por presentar a ECP\Cantagallo\Cristalina\[VRC_CRISTALINA_CF_SEC_20221231.xlsx]CF PS'!$BU$38</t>
  </si>
  <si>
    <t>='C:\Users\jaime.benazar\Quorum Business Solutions\Ecopetrol Prometeo - Documents\Planning Space Implementation\3. Analysis &amp; Design\Design\FC22\DRR Jaime\Por presentar a ECP\Cantagallo\Cristalina\[VRC_CRISTALINA_CF_SEC_20221231.xlsx]CF PS'!$BU$39</t>
  </si>
  <si>
    <t>='C:\Users\jaime.benazar\Quorum Business Solutions\Ecopetrol Prometeo - Documents\Planning Space Implementation\3. Analysis &amp; Design\Design\FC22\DRR Jaime\Por presentar a ECP\Cantagallo\Cristalina\[VRC_CRISTALINA_CF_SEC_20221231.xlsx]CF PS'!$BU$40</t>
  </si>
  <si>
    <t>='C:\Users\jaime.benazar\Quorum Business Solutions\Ecopetrol Prometeo - Documents\Planning Space Implementation\3. Analysis &amp; Design\Design\FC22\DRR Jaime\Por presentar a ECP\Cantagallo\Cristalina\[VRC_CRISTALINA_CF_SEC_20221231.xlsx]CF PS'!$BU$41</t>
  </si>
  <si>
    <t>='C:\Users\jaime.benazar\Quorum Business Solutions\Ecopetrol Prometeo - Documents\Planning Space Implementation\3. Analysis &amp; Design\Design\FC22\DRR Jaime\Por presentar a ECP\Cantagallo\Cristalina\[VRC_CRISTALINA_CF_SEC_20221231.xlsx]CF PS'!$BU$42</t>
  </si>
  <si>
    <t>='C:\Users\jaime.benazar\Quorum Business Solutions\Ecopetrol Prometeo - Documents\Planning Space Implementation\3. Analysis &amp; Design\Design\FC22\DRR Jaime\Por presentar a ECP\Cantagallo\Cristalina\[VRC_CRISTALINA_CF_SEC_20221231.xlsx]CF PS'!$BU$43</t>
  </si>
  <si>
    <t>='C:\Users\jaime.benazar\Quorum Business Solutions\Ecopetrol Prometeo - Documents\Planning Space Implementation\3. Analysis &amp; Design\Design\FC22\DRR Jaime\Por presentar a ECP\Cantagallo\Cristalina\[VRC_CRISTALINA_CF_SEC_20221231.xlsx]CF PS'!$BU$44</t>
  </si>
  <si>
    <t>='C:\Users\jaime.benazar\Quorum Business Solutions\Ecopetrol Prometeo - Documents\Planning Space Implementation\3. Analysis &amp; Design\Design\FC22\DRR Jaime\Por presentar a ECP\Cantagallo\Cristalina\[VRC_CRISTALINA_CF_SEC_20221231.xlsx]CF PS'!$BU$45</t>
  </si>
  <si>
    <t>='C:\Users\jaime.benazar\Quorum Business Solutions\Ecopetrol Prometeo - Documents\Planning Space Implementation\3. Analysis &amp; Design\Design\FC22\DRR Jaime\Por presentar a ECP\Cantagallo\Cristalina\[VRC_CRISTALINA_CF_SEC_20221231.xlsx]CF PS'!$BU$46</t>
  </si>
  <si>
    <t>='C:\Users\jaime.benazar\Quorum Business Solutions\Ecopetrol Prometeo - Documents\Planning Space Implementation\3. Analysis &amp; Design\Design\FC22\DRR Jaime\Por presentar a ECP\Cantagallo\Cristalina\[VRC_CRISTALINA_CF_SEC_20221231.xlsx]CF PS'!$BU$47</t>
  </si>
  <si>
    <t>='C:\Users\jaime.benazar\Quorum Business Solutions\Ecopetrol Prometeo - Documents\Planning Space Implementation\3. Analysis &amp; Design\Design\FC22\DRR Jaime\Por presentar a ECP\Cantagallo\Cristalina\[VRC_CRISTALINA_CF_SEC_20221231.xlsx]CF PS'!$BU$48</t>
  </si>
  <si>
    <t>='C:\Users\jaime.benazar\Quorum Business Solutions\Ecopetrol Prometeo - Documents\Planning Space Implementation\3. Analysis &amp; Design\Design\FC22\DRR Jaime\Por presentar a ECP\Cantagallo\Cristalina\[VRC_CRISTALINA_CF_SEC_20221231.xlsx]CF PS'!$BU$49</t>
  </si>
  <si>
    <t>='C:\Users\jaime.benazar\Quorum Business Solutions\Ecopetrol Prometeo - Documents\Planning Space Implementation\3. Analysis &amp; Design\Design\FC22\DRR Jaime\Por presentar a ECP\Cantagallo\Cristalina\[VRC_CRISTALINA_CF_SEC_20221231.xlsx]CF PS'!$BU$50</t>
  </si>
  <si>
    <t>='C:\Users\jaime.benazar\Quorum Business Solutions\Ecopetrol Prometeo - Documents\Planning Space Implementation\3. Analysis &amp; Design\Design\FC22\DRR Jaime\Por presentar a ECP\Cantagallo\Cristalina\[VRC_CRISTALINA_CF_SEC_20221231.xlsx]CF PS'!$BU$51</t>
  </si>
  <si>
    <t>='C:\Users\jaime.benazar\Quorum Business Solutions\Ecopetrol Prometeo - Documents\Planning Space Implementation\3. Analysis &amp; Design\Design\FC22\DRR Jaime\Por presentar a ECP\Cantagallo\Cristalina\[VRC_CRISTALINA_CF_SEC_20221231.xlsx]CF PS'!$BU$52</t>
  </si>
  <si>
    <t>='C:\Users\jaime.benazar\Quorum Business Solutions\Ecopetrol Prometeo - Documents\Planning Space Implementation\3. Analysis &amp; Design\Design\FC22\DRR Jaime\Por presentar a ECP\Cantagallo\Cristalina\[VRC_CRISTALINA_CF_SEC_20221231.xlsx]CF PS'!$BU$53</t>
  </si>
  <si>
    <t>='C:\Users\jaime.benazar\Quorum Business Solutions\Ecopetrol Prometeo - Documents\Planning Space Implementation\3. Analysis &amp; Design\Design\FC22\DRR Jaime\Por presentar a ECP\Cantagallo\Cristalina\[VRC_CRISTALINA_CF_SEC_20221231.xlsx]CF PS'!$BU$54</t>
  </si>
  <si>
    <t>='C:\Users\jaime.benazar\Quorum Business Solutions\Ecopetrol Prometeo - Documents\Planning Space Implementation\3. Analysis &amp; Design\Design\FC22\DRR Jaime\Por presentar a ECP\Cantagallo\Cristalina\[VRC_CRISTALINA_CF_SEC_20221231.xlsx]CF PS'!$BU$55</t>
  </si>
  <si>
    <t>='C:\Users\jaime.benazar\Quorum Business Solutions\Ecopetrol Prometeo - Documents\Planning Space Implementation\3. Analysis &amp; Design\Design\FC22\DRR Jaime\Por presentar a ECP\Cantagallo\Cristalina\[VRC_CRISTALINA_CF_SEC_20221231.xlsx]CF PS'!$BU$56</t>
  </si>
  <si>
    <t>='C:\Users\jaime.benazar\Quorum Business Solutions\Ecopetrol Prometeo - Documents\Planning Space Implementation\3. Analysis &amp; Design\Design\FC22\DRR Jaime\Por presentar a ECP\Cantagallo\Cristalina\[VRC_CRISTALINA_CF_SEC_20221231.xlsx]CF PS'!$BU$57</t>
  </si>
  <si>
    <t>='C:\Users\jaime.benazar\Quorum Business Solutions\Ecopetrol Prometeo - Documents\Planning Space Implementation\3. Analysis &amp; Design\Design\FC22\DRR Jaime\Por presentar a ECP\Cantagallo\Cristalina\[VRC_CRISTALINA_CF_SEC_20221231.xlsx]CF PS'!$BU$58</t>
  </si>
  <si>
    <t>='C:\Users\jaime.benazar\Quorum Business Solutions\Ecopetrol Prometeo - Documents\Planning Space Implementation\3. Analysis &amp; Design\Design\FC22\DRR Jaime\Por presentar a ECP\Cantagallo\Cristalina\[VRC_CRISTALINA_CF_SEC_20221231.xlsx]CF PS'!$BU$59</t>
  </si>
  <si>
    <t>='C:\Users\jaime.benazar\Quorum Business Solutions\Ecopetrol Prometeo - Documents\Planning Space Implementation\3. Analysis &amp; Design\Design\FC22\DRR Jaime\Por presentar a ECP\Cantagallo\Cristalina\[VRC_CRISTALINA_CF_SEC_20221231.xlsx]CF PS'!$BU$60</t>
  </si>
  <si>
    <t>='C:\Users\jaime.benazar\Quorum Business Solutions\Ecopetrol Prometeo - Documents\Planning Space Implementation\3. Analysis &amp; Design\Design\FC22\DRR Jaime\Por presentar a ECP\Cantagallo\Cristalina\[VRC_CRISTALINA_CF_SEC_20221231.xlsx]CF PS'!$BU$61</t>
  </si>
  <si>
    <t>='C:\Users\jaime.benazar\Quorum Business Solutions\Ecopetrol Prometeo - Documents\Planning Space Implementation\3. Analysis &amp; Design\Design\FC22\DRR Jaime\Por presentar a ECP\Cantagallo\Cristalina\[VRC_CRISTALINA_CF_SEC_20221231.xlsx]CF PS'!$BU$62</t>
  </si>
  <si>
    <t>='C:\Users\jaime.benazar\Quorum Business Solutions\Ecopetrol Prometeo - Documents\Planning Space Implementation\3. Analysis &amp; Design\Design\FC22\DRR Jaime\Por presentar a ECP\Cantagallo\Cristalina\[VRC_CRISTALINA_CF_SEC_20221231.xlsx]CF PS'!$BU$63</t>
  </si>
  <si>
    <t>='C:\Users\jaime.benazar\Quorum Business Solutions\Ecopetrol Prometeo - Documents\Planning Space Implementation\3. Analysis &amp; Design\Design\FC22\DRR Jaime\Por presentar a ECP\Cantagallo\Cristalina\[VRC_CRISTALINA_CF_SEC_20221231.xlsx]CF PS'!$BU$64</t>
  </si>
  <si>
    <t>='C:\Users\jaime.benazar\Quorum Business Solutions\Ecopetrol Prometeo - Documents\Planning Space Implementation\3. Analysis &amp; Design\Design\FC22\DRR Jaime\Por presentar a ECP\Cantagallo\Cristalina\[VRC_CRISTALINA_CF_SEC_20221231.xlsx]CF PS'!$BU$65</t>
  </si>
  <si>
    <t>='C:\Users\jaime.benazar\Quorum Business Solutions\Ecopetrol Prometeo - Documents\Planning Space Implementation\3. Analysis &amp; Design\Design\FC22\DRR Jaime\Por presentar a ECP\Cantagallo\Cristalina\[VRC_CRISTALINA_CF_SEC_20221231.xlsx]CF PS'!$BU$66</t>
  </si>
  <si>
    <t>='C:\Users\jaime.benazar\Quorum Business Solutions\Ecopetrol Prometeo - Documents\Planning Space Implementation\3. Analysis &amp; Design\Design\FC22\DRR Jaime\Por presentar a ECP\Cantagallo\Cristalina\[VRC_CRISTALINA_CF_SEC_20221231.xlsx]CF PS'!$BU$67</t>
  </si>
  <si>
    <t>='C:\Users\jaime.benazar\Quorum Business Solutions\Ecopetrol Prometeo - Documents\Planning Space Implementation\3. Analysis &amp; Design\Design\FC22\DRR Jaime\Por presentar a ECP\Cantagallo\Cristalina\[VRC_CRISTALINA_CF_SEC_20221231.xlsx]CF PS'!$BU$68</t>
  </si>
  <si>
    <t>='C:\Users\jaime.benazar\Quorum Business Solutions\Ecopetrol Prometeo - Documents\Planning Space Implementation\3. Analysis &amp; Design\Design\FC22\DRR Jaime\Por presentar a ECP\Cantagallo\Cristalina\[VRC_CRISTALINA_CF_SEC_20221231.xlsx]CF PS'!$BU$69</t>
  </si>
  <si>
    <t>='C:\Users\jaime.benazar\Quorum Business Solutions\Ecopetrol Prometeo - Documents\Planning Space Implementation\3. Analysis &amp; Design\Design\FC22\DRR Jaime\Por presentar a ECP\Cantagallo\Cristalina\[VRC_CRISTALINA_CF_SEC_20221231.xlsx]CF PS'!$BU$70</t>
  </si>
  <si>
    <t>='C:\Users\jaime.benazar\Quorum Business Solutions\Ecopetrol Prometeo - Documents\Planning Space Implementation\3. Analysis &amp; Design\Design\FC22\DRR Jaime\Por presentar a ECP\Cantagallo\Cristalina\[VRC_CRISTALINA_CF_SEC_20221231.xlsx]CF PS'!$BU$71</t>
  </si>
  <si>
    <t>='C:\Users\jaime.benazar\Quorum Business Solutions\Ecopetrol Prometeo - Documents\Planning Space Implementation\3. Analysis &amp; Design\Design\FC22\DRR Jaime\Por presentar a ECP\Cantagallo\Cristalina\[VRC_CRISTALINA_CF_SEC_20221231.xlsx]CF PS'!$BU$72</t>
  </si>
  <si>
    <t>='C:\Users\jaime.benazar\Quorum Business Solutions\Ecopetrol Prometeo - Documents\Planning Space Implementation\3. Analysis &amp; Design\Design\FC22\DRR Jaime\Por presentar a ECP\Cantagallo\Cristalina\[VRC_CRISTALINA_CF_SEC_20221231.xlsx]CF PDP'!$CT$36</t>
  </si>
  <si>
    <t>='C:\Users\jaime.benazar\Quorum Business Solutions\Ecopetrol Prometeo - Documents\Planning Space Implementation\3. Analysis &amp; Design\Design\FC22\DRR Jaime\Por presentar a ECP\Cantagallo\Cristalina\[VRC_CRISTALINA_CF_SEC_20221231.xlsx]CF PDP'!$CT$37</t>
  </si>
  <si>
    <t>='C:\Users\jaime.benazar\Quorum Business Solutions\Ecopetrol Prometeo - Documents\Planning Space Implementation\3. Analysis &amp; Design\Design\FC22\DRR Jaime\Por presentar a ECP\Cantagallo\Cristalina\[VRC_CRISTALINA_CF_SEC_20221231.xlsx]CF PDP'!$CT$38</t>
  </si>
  <si>
    <t>='C:\Users\jaime.benazar\Quorum Business Solutions\Ecopetrol Prometeo - Documents\Planning Space Implementation\3. Analysis &amp; Design\Design\FC22\DRR Jaime\Por presentar a ECP\Cantagallo\Cristalina\[VRC_CRISTALINA_CF_SEC_20221231.xlsx]CF PDP'!$CT$39</t>
  </si>
  <si>
    <t>='C:\Users\jaime.benazar\Quorum Business Solutions\Ecopetrol Prometeo - Documents\Planning Space Implementation\3. Analysis &amp; Design\Design\FC22\DRR Jaime\Por presentar a ECP\Cantagallo\Cristalina\[VRC_CRISTALINA_CF_SEC_20221231.xlsx]CF PDP'!$CT$40</t>
  </si>
  <si>
    <t>='C:\Users\jaime.benazar\Quorum Business Solutions\Ecopetrol Prometeo - Documents\Planning Space Implementation\3. Analysis &amp; Design\Design\FC22\DRR Jaime\Por presentar a ECP\Cantagallo\Cristalina\[VRC_CRISTALINA_CF_SEC_20221231.xlsx]CF PDP'!$CT$41</t>
  </si>
  <si>
    <t>='C:\Users\jaime.benazar\Quorum Business Solutions\Ecopetrol Prometeo - Documents\Planning Space Implementation\3. Analysis &amp; Design\Design\FC22\DRR Jaime\Por presentar a ECP\Cantagallo\Cristalina\[VRC_CRISTALINA_CF_SEC_20221231.xlsx]CF PDP'!$CT$42</t>
  </si>
  <si>
    <t>='C:\Users\jaime.benazar\Quorum Business Solutions\Ecopetrol Prometeo - Documents\Planning Space Implementation\3. Analysis &amp; Design\Design\FC22\DRR Jaime\Por presentar a ECP\Cantagallo\Cristalina\[VRC_CRISTALINA_CF_SEC_20221231.xlsx]CF PDP'!$CT$43</t>
  </si>
  <si>
    <t>='C:\Users\jaime.benazar\Quorum Business Solutions\Ecopetrol Prometeo - Documents\Planning Space Implementation\3. Analysis &amp; Design\Design\FC22\DRR Jaime\Por presentar a ECP\Cantagallo\Cristalina\[VRC_CRISTALINA_CF_SEC_20221231.xlsx]CF PDP'!$CT$44</t>
  </si>
  <si>
    <t>='C:\Users\jaime.benazar\Quorum Business Solutions\Ecopetrol Prometeo - Documents\Planning Space Implementation\3. Analysis &amp; Design\Design\FC22\DRR Jaime\Por presentar a ECP\Cantagallo\Cristalina\[VRC_CRISTALINA_CF_SEC_20221231.xlsx]CF PDP'!$CT$45</t>
  </si>
  <si>
    <t>='C:\Users\jaime.benazar\Quorum Business Solutions\Ecopetrol Prometeo - Documents\Planning Space Implementation\3. Analysis &amp; Design\Design\FC22\DRR Jaime\Por presentar a ECP\Cantagallo\Cristalina\[VRC_CRISTALINA_CF_SEC_20221231.xlsx]CF PDP'!$CT$46</t>
  </si>
  <si>
    <t>='C:\Users\jaime.benazar\Quorum Business Solutions\Ecopetrol Prometeo - Documents\Planning Space Implementation\3. Analysis &amp; Design\Design\FC22\DRR Jaime\Por presentar a ECP\Cantagallo\Cristalina\[VRC_CRISTALINA_CF_SEC_20221231.xlsx]CF PDP'!$CT$47</t>
  </si>
  <si>
    <t>='C:\Users\jaime.benazar\Quorum Business Solutions\Ecopetrol Prometeo - Documents\Planning Space Implementation\3. Analysis &amp; Design\Design\FC22\DRR Jaime\Por presentar a ECP\Cantagallo\Cristalina\[VRC_CRISTALINA_CF_SEC_20221231.xlsx]CF PDP'!$CT$48</t>
  </si>
  <si>
    <t>='C:\Users\jaime.benazar\Quorum Business Solutions\Ecopetrol Prometeo - Documents\Planning Space Implementation\3. Analysis &amp; Design\Design\FC22\DRR Jaime\Por presentar a ECP\Cantagallo\Cristalina\[VRC_CRISTALINA_CF_SEC_20221231.xlsx]CF PDP'!$CT$49</t>
  </si>
  <si>
    <t>='C:\Users\jaime.benazar\Quorum Business Solutions\Ecopetrol Prometeo - Documents\Planning Space Implementation\3. Analysis &amp; Design\Design\FC22\DRR Jaime\Por presentar a ECP\Cantagallo\Cristalina\[VRC_CRISTALINA_CF_SEC_20221231.xlsx]CF PDP'!$CT$50</t>
  </si>
  <si>
    <t>='C:\Users\jaime.benazar\Quorum Business Solutions\Ecopetrol Prometeo - Documents\Planning Space Implementation\3. Analysis &amp; Design\Design\FC22\DRR Jaime\Por presentar a ECP\Cantagallo\Cristalina\[VRC_CRISTALINA_CF_SEC_20221231.xlsx]CF PDP'!$CT$51</t>
  </si>
  <si>
    <t>='C:\Users\jaime.benazar\Quorum Business Solutions\Ecopetrol Prometeo - Documents\Planning Space Implementation\3. Analysis &amp; Design\Design\FC22\DRR Jaime\Por presentar a ECP\Cantagallo\Cristalina\[VRC_CRISTALINA_CF_SEC_20221231.xlsx]CF PDP'!$CT$52</t>
  </si>
  <si>
    <t>='C:\Users\jaime.benazar\Quorum Business Solutions\Ecopetrol Prometeo - Documents\Planning Space Implementation\3. Analysis &amp; Design\Design\FC22\DRR Jaime\Por presentar a ECP\Cantagallo\Cristalina\[VRC_CRISTALINA_CF_SEC_20221231.xlsx]CF PDP'!$CT$53</t>
  </si>
  <si>
    <t>='C:\Users\jaime.benazar\Quorum Business Solutions\Ecopetrol Prometeo - Documents\Planning Space Implementation\3. Analysis &amp; Design\Design\FC22\DRR Jaime\Por presentar a ECP\Cantagallo\Cristalina\[VRC_CRISTALINA_CF_SEC_20221231.xlsx]CF PDP'!$CT$54</t>
  </si>
  <si>
    <t>='C:\Users\jaime.benazar\Quorum Business Solutions\Ecopetrol Prometeo - Documents\Planning Space Implementation\3. Analysis &amp; Design\Design\FC22\DRR Jaime\Por presentar a ECP\Cantagallo\Cristalina\[VRC_CRISTALINA_CF_SEC_20221231.xlsx]CF PDP'!$CT$55</t>
  </si>
  <si>
    <t>='C:\Users\jaime.benazar\Quorum Business Solutions\Ecopetrol Prometeo - Documents\Planning Space Implementation\3. Analysis &amp; Design\Design\FC22\DRR Jaime\Por presentar a ECP\Cantagallo\Cristalina\[VRC_CRISTALINA_CF_SEC_20221231.xlsx]CF PDP'!$CT$56</t>
  </si>
  <si>
    <t>='C:\Users\jaime.benazar\Quorum Business Solutions\Ecopetrol Prometeo - Documents\Planning Space Implementation\3. Analysis &amp; Design\Design\FC22\DRR Jaime\Por presentar a ECP\Cantagallo\Cristalina\[VRC_CRISTALINA_CF_SEC_20221231.xlsx]CF PDP'!$CT$57</t>
  </si>
  <si>
    <t>='C:\Users\jaime.benazar\Quorum Business Solutions\Ecopetrol Prometeo - Documents\Planning Space Implementation\3. Analysis &amp; Design\Design\FC22\DRR Jaime\Por presentar a ECP\Cantagallo\Cristalina\[VRC_CRISTALINA_CF_SEC_20221231.xlsx]CF PDP'!$CT$58</t>
  </si>
  <si>
    <t>='C:\Users\jaime.benazar\Quorum Business Solutions\Ecopetrol Prometeo - Documents\Planning Space Implementation\3. Analysis &amp; Design\Design\FC22\DRR Jaime\Por presentar a ECP\Cantagallo\Cristalina\[VRC_CRISTALINA_CF_SEC_20221231.xlsx]CF PDP'!$CT$59</t>
  </si>
  <si>
    <t>='C:\Users\jaime.benazar\Quorum Business Solutions\Ecopetrol Prometeo - Documents\Planning Space Implementation\3. Analysis &amp; Design\Design\FC22\DRR Jaime\Por presentar a ECP\Cantagallo\Cristalina\[VRC_CRISTALINA_CF_SEC_20221231.xlsx]CF PDP'!$CT$60</t>
  </si>
  <si>
    <t>='C:\Users\jaime.benazar\Quorum Business Solutions\Ecopetrol Prometeo - Documents\Planning Space Implementation\3. Analysis &amp; Design\Design\FC22\DRR Jaime\Por presentar a ECP\Cantagallo\Cristalina\[VRC_CRISTALINA_CF_SEC_20221231.xlsx]CF PDP'!$CT$61</t>
  </si>
  <si>
    <t>='C:\Users\jaime.benazar\Quorum Business Solutions\Ecopetrol Prometeo - Documents\Planning Space Implementation\3. Analysis &amp; Design\Design\FC22\DRR Jaime\Por presentar a ECP\Cantagallo\Cristalina\[VRC_CRISTALINA_CF_SEC_20221231.xlsx]CF PDP'!$CT$62</t>
  </si>
  <si>
    <t>='C:\Users\jaime.benazar\Quorum Business Solutions\Ecopetrol Prometeo - Documents\Planning Space Implementation\3. Analysis &amp; Design\Design\FC22\DRR Jaime\Por presentar a ECP\Cantagallo\Cristalina\[VRC_CRISTALINA_CF_SEC_20221231.xlsx]CF PDP'!$CT$63</t>
  </si>
  <si>
    <t>='C:\Users\jaime.benazar\Quorum Business Solutions\Ecopetrol Prometeo - Documents\Planning Space Implementation\3. Analysis &amp; Design\Design\FC22\DRR Jaime\Por presentar a ECP\Cantagallo\Cristalina\[VRC_CRISTALINA_CF_SEC_20221231.xlsx]CF PDP'!$CT$64</t>
  </si>
  <si>
    <t>='C:\Users\jaime.benazar\Quorum Business Solutions\Ecopetrol Prometeo - Documents\Planning Space Implementation\3. Analysis &amp; Design\Design\FC22\DRR Jaime\Por presentar a ECP\Cantagallo\Cristalina\[VRC_CRISTALINA_CF_SEC_20221231.xlsx]CF PDP'!$CT$65</t>
  </si>
  <si>
    <t>='C:\Users\jaime.benazar\Quorum Business Solutions\Ecopetrol Prometeo - Documents\Planning Space Implementation\3. Analysis &amp; Design\Design\FC22\DRR Jaime\Por presentar a ECP\Cantagallo\Cristalina\[VRC_CRISTALINA_CF_SEC_20221231.xlsx]CF PDP'!$CT$66</t>
  </si>
  <si>
    <t>='C:\Users\jaime.benazar\Quorum Business Solutions\Ecopetrol Prometeo - Documents\Planning Space Implementation\3. Analysis &amp; Design\Design\FC22\DRR Jaime\Por presentar a ECP\Cantagallo\Cristalina\[VRC_CRISTALINA_CF_SEC_20221231.xlsx]CF PDP'!$CT$67</t>
  </si>
  <si>
    <t>='C:\Users\jaime.benazar\Quorum Business Solutions\Ecopetrol Prometeo - Documents\Planning Space Implementation\3. Analysis &amp; Design\Design\FC22\DRR Jaime\Por presentar a ECP\Cantagallo\Cristalina\[VRC_CRISTALINA_CF_SEC_20221231.xlsx]CF PDP'!$CT$68</t>
  </si>
  <si>
    <t>='C:\Users\jaime.benazar\Quorum Business Solutions\Ecopetrol Prometeo - Documents\Planning Space Implementation\3. Analysis &amp; Design\Design\FC22\DRR Jaime\Por presentar a ECP\Cantagallo\Cristalina\[VRC_CRISTALINA_CF_SEC_20221231.xlsx]CF PDP'!$CT$69</t>
  </si>
  <si>
    <t>='C:\Users\jaime.benazar\Quorum Business Solutions\Ecopetrol Prometeo - Documents\Planning Space Implementation\3. Analysis &amp; Design\Design\FC22\DRR Jaime\Por presentar a ECP\Cantagallo\Cristalina\[VRC_CRISTALINA_CF_SEC_20221231.xlsx]CF PDP'!$CT$70</t>
  </si>
  <si>
    <t>='C:\Users\jaime.benazar\Quorum Business Solutions\Ecopetrol Prometeo - Documents\Planning Space Implementation\3. Analysis &amp; Design\Design\FC22\DRR Jaime\Por presentar a ECP\Cantagallo\Cristalina\[VRC_CRISTALINA_CF_SEC_20221231.xlsx]CF PDP'!$CT$71</t>
  </si>
  <si>
    <t>='C:\Users\jaime.benazar\Quorum Business Solutions\Ecopetrol Prometeo - Documents\Planning Space Implementation\3. Analysis &amp; Design\Design\FC22\DRR Jaime\Por presentar a ECP\Cantagallo\Cristalina\[VRC_CRISTALINA_CF_SEC_20221231.xlsx]CF PDP'!$CT$72</t>
  </si>
  <si>
    <t>='C:\Users\jaime.benazar\Quorum Business Solutions\Ecopetrol Prometeo - Documents\Planning Space Implementation\3. Analysis &amp; Design\Design\FC22\DRR Jaime\Por presentar a ECP\Cantagallo\Cristalina\[VRC_CRISTALINA_CF_SEC_20221231.xlsx]CF PNP'!$CT$36</t>
  </si>
  <si>
    <t>='C:\Users\jaime.benazar\Quorum Business Solutions\Ecopetrol Prometeo - Documents\Planning Space Implementation\3. Analysis &amp; Design\Design\FC22\DRR Jaime\Por presentar a ECP\Cantagallo\Cristalina\[VRC_CRISTALINA_CF_SEC_20221231.xlsx]CF PNP'!$CT$37</t>
  </si>
  <si>
    <t>='C:\Users\jaime.benazar\Quorum Business Solutions\Ecopetrol Prometeo - Documents\Planning Space Implementation\3. Analysis &amp; Design\Design\FC22\DRR Jaime\Por presentar a ECP\Cantagallo\Cristalina\[VRC_CRISTALINA_CF_SEC_20221231.xlsx]CF PNP'!$CT$38</t>
  </si>
  <si>
    <t>='C:\Users\jaime.benazar\Quorum Business Solutions\Ecopetrol Prometeo - Documents\Planning Space Implementation\3. Analysis &amp; Design\Design\FC22\DRR Jaime\Por presentar a ECP\Cantagallo\Cristalina\[VRC_CRISTALINA_CF_SEC_20221231.xlsx]CF PNP'!$CT$39</t>
  </si>
  <si>
    <t>='C:\Users\jaime.benazar\Quorum Business Solutions\Ecopetrol Prometeo - Documents\Planning Space Implementation\3. Analysis &amp; Design\Design\FC22\DRR Jaime\Por presentar a ECP\Cantagallo\Cristalina\[VRC_CRISTALINA_CF_SEC_20221231.xlsx]CF PNP'!$CT$40</t>
  </si>
  <si>
    <t>='C:\Users\jaime.benazar\Quorum Business Solutions\Ecopetrol Prometeo - Documents\Planning Space Implementation\3. Analysis &amp; Design\Design\FC22\DRR Jaime\Por presentar a ECP\Cantagallo\Cristalina\[VRC_CRISTALINA_CF_SEC_20221231.xlsx]CF PNP'!$CT$41</t>
  </si>
  <si>
    <t>='C:\Users\jaime.benazar\Quorum Business Solutions\Ecopetrol Prometeo - Documents\Planning Space Implementation\3. Analysis &amp; Design\Design\FC22\DRR Jaime\Por presentar a ECP\Cantagallo\Cristalina\[VRC_CRISTALINA_CF_SEC_20221231.xlsx]CF PNP'!$CT$42</t>
  </si>
  <si>
    <t>='C:\Users\jaime.benazar\Quorum Business Solutions\Ecopetrol Prometeo - Documents\Planning Space Implementation\3. Analysis &amp; Design\Design\FC22\DRR Jaime\Por presentar a ECP\Cantagallo\Cristalina\[VRC_CRISTALINA_CF_SEC_20221231.xlsx]CF PNP'!$CT$43</t>
  </si>
  <si>
    <t>='C:\Users\jaime.benazar\Quorum Business Solutions\Ecopetrol Prometeo - Documents\Planning Space Implementation\3. Analysis &amp; Design\Design\FC22\DRR Jaime\Por presentar a ECP\Cantagallo\Cristalina\[VRC_CRISTALINA_CF_SEC_20221231.xlsx]CF PNP'!$CT$44</t>
  </si>
  <si>
    <t>='C:\Users\jaime.benazar\Quorum Business Solutions\Ecopetrol Prometeo - Documents\Planning Space Implementation\3. Analysis &amp; Design\Design\FC22\DRR Jaime\Por presentar a ECP\Cantagallo\Cristalina\[VRC_CRISTALINA_CF_SEC_20221231.xlsx]CF PNP'!$CT$45</t>
  </si>
  <si>
    <t>='C:\Users\jaime.benazar\Quorum Business Solutions\Ecopetrol Prometeo - Documents\Planning Space Implementation\3. Analysis &amp; Design\Design\FC22\DRR Jaime\Por presentar a ECP\Cantagallo\Cristalina\[VRC_CRISTALINA_CF_SEC_20221231.xlsx]CF PNP'!$CT$46</t>
  </si>
  <si>
    <t>='C:\Users\jaime.benazar\Quorum Business Solutions\Ecopetrol Prometeo - Documents\Planning Space Implementation\3. Analysis &amp; Design\Design\FC22\DRR Jaime\Por presentar a ECP\Cantagallo\Cristalina\[VRC_CRISTALINA_CF_SEC_20221231.xlsx]CF PNP'!$CT$47</t>
  </si>
  <si>
    <t>='C:\Users\jaime.benazar\Quorum Business Solutions\Ecopetrol Prometeo - Documents\Planning Space Implementation\3. Analysis &amp; Design\Design\FC22\DRR Jaime\Por presentar a ECP\Cantagallo\Cristalina\[VRC_CRISTALINA_CF_SEC_20221231.xlsx]CF PNP'!$CT$48</t>
  </si>
  <si>
    <t>='C:\Users\jaime.benazar\Quorum Business Solutions\Ecopetrol Prometeo - Documents\Planning Space Implementation\3. Analysis &amp; Design\Design\FC22\DRR Jaime\Por presentar a ECP\Cantagallo\Cristalina\[VRC_CRISTALINA_CF_SEC_20221231.xlsx]CF PNP'!$CT$49</t>
  </si>
  <si>
    <t>='C:\Users\jaime.benazar\Quorum Business Solutions\Ecopetrol Prometeo - Documents\Planning Space Implementation\3. Analysis &amp; Design\Design\FC22\DRR Jaime\Por presentar a ECP\Cantagallo\Cristalina\[VRC_CRISTALINA_CF_SEC_20221231.xlsx]CF PNP'!$CT$50</t>
  </si>
  <si>
    <t>='C:\Users\jaime.benazar\Quorum Business Solutions\Ecopetrol Prometeo - Documents\Planning Space Implementation\3. Analysis &amp; Design\Design\FC22\DRR Jaime\Por presentar a ECP\Cantagallo\Cristalina\[VRC_CRISTALINA_CF_SEC_20221231.xlsx]CF PNP'!$CT$51</t>
  </si>
  <si>
    <t>='C:\Users\jaime.benazar\Quorum Business Solutions\Ecopetrol Prometeo - Documents\Planning Space Implementation\3. Analysis &amp; Design\Design\FC22\DRR Jaime\Por presentar a ECP\Cantagallo\Cristalina\[VRC_CRISTALINA_CF_SEC_20221231.xlsx]CF PNP'!$CT$52</t>
  </si>
  <si>
    <t>='C:\Users\jaime.benazar\Quorum Business Solutions\Ecopetrol Prometeo - Documents\Planning Space Implementation\3. Analysis &amp; Design\Design\FC22\DRR Jaime\Por presentar a ECP\Cantagallo\Cristalina\[VRC_CRISTALINA_CF_SEC_20221231.xlsx]CF PNP'!$CT$53</t>
  </si>
  <si>
    <t>='C:\Users\jaime.benazar\Quorum Business Solutions\Ecopetrol Prometeo - Documents\Planning Space Implementation\3. Analysis &amp; Design\Design\FC22\DRR Jaime\Por presentar a ECP\Cantagallo\Cristalina\[VRC_CRISTALINA_CF_SEC_20221231.xlsx]CF PNP'!$CT$54</t>
  </si>
  <si>
    <t>='C:\Users\jaime.benazar\Quorum Business Solutions\Ecopetrol Prometeo - Documents\Planning Space Implementation\3. Analysis &amp; Design\Design\FC22\DRR Jaime\Por presentar a ECP\Cantagallo\Cristalina\[VRC_CRISTALINA_CF_SEC_20221231.xlsx]CF PNP'!$CT$55</t>
  </si>
  <si>
    <t>='C:\Users\jaime.benazar\Quorum Business Solutions\Ecopetrol Prometeo - Documents\Planning Space Implementation\3. Analysis &amp; Design\Design\FC22\DRR Jaime\Por presentar a ECP\Cantagallo\Cristalina\[VRC_CRISTALINA_CF_SEC_20221231.xlsx]CF PNP'!$CT$56</t>
  </si>
  <si>
    <t>='C:\Users\jaime.benazar\Quorum Business Solutions\Ecopetrol Prometeo - Documents\Planning Space Implementation\3. Analysis &amp; Design\Design\FC22\DRR Jaime\Por presentar a ECP\Cantagallo\Cristalina\[VRC_CRISTALINA_CF_SEC_20221231.xlsx]CF PNP'!$CT$57</t>
  </si>
  <si>
    <t>='C:\Users\jaime.benazar\Quorum Business Solutions\Ecopetrol Prometeo - Documents\Planning Space Implementation\3. Analysis &amp; Design\Design\FC22\DRR Jaime\Por presentar a ECP\Cantagallo\Cristalina\[VRC_CRISTALINA_CF_SEC_20221231.xlsx]CF PNP'!$CT$58</t>
  </si>
  <si>
    <t>='C:\Users\jaime.benazar\Quorum Business Solutions\Ecopetrol Prometeo - Documents\Planning Space Implementation\3. Analysis &amp; Design\Design\FC22\DRR Jaime\Por presentar a ECP\Cantagallo\Cristalina\[VRC_CRISTALINA_CF_SEC_20221231.xlsx]CF PNP'!$CT$59</t>
  </si>
  <si>
    <t>='C:\Users\jaime.benazar\Quorum Business Solutions\Ecopetrol Prometeo - Documents\Planning Space Implementation\3. Analysis &amp; Design\Design\FC22\DRR Jaime\Por presentar a ECP\Cantagallo\Cristalina\[VRC_CRISTALINA_CF_SEC_20221231.xlsx]CF PNP'!$CT$60</t>
  </si>
  <si>
    <t>='C:\Users\jaime.benazar\Quorum Business Solutions\Ecopetrol Prometeo - Documents\Planning Space Implementation\3. Analysis &amp; Design\Design\FC22\DRR Jaime\Por presentar a ECP\Cantagallo\Cristalina\[VRC_CRISTALINA_CF_SEC_20221231.xlsx]CF PNP'!$CT$61</t>
  </si>
  <si>
    <t>='C:\Users\jaime.benazar\Quorum Business Solutions\Ecopetrol Prometeo - Documents\Planning Space Implementation\3. Analysis &amp; Design\Design\FC22\DRR Jaime\Por presentar a ECP\Cantagallo\Cristalina\[VRC_CRISTALINA_CF_SEC_20221231.xlsx]CF PNP'!$CT$62</t>
  </si>
  <si>
    <t>='C:\Users\jaime.benazar\Quorum Business Solutions\Ecopetrol Prometeo - Documents\Planning Space Implementation\3. Analysis &amp; Design\Design\FC22\DRR Jaime\Por presentar a ECP\Cantagallo\Cristalina\[VRC_CRISTALINA_CF_SEC_20221231.xlsx]CF PNP'!$CT$63</t>
  </si>
  <si>
    <t>='C:\Users\jaime.benazar\Quorum Business Solutions\Ecopetrol Prometeo - Documents\Planning Space Implementation\3. Analysis &amp; Design\Design\FC22\DRR Jaime\Por presentar a ECP\Cantagallo\Cristalina\[VRC_CRISTALINA_CF_SEC_20221231.xlsx]CF PNP'!$CT$64</t>
  </si>
  <si>
    <t>='C:\Users\jaime.benazar\Quorum Business Solutions\Ecopetrol Prometeo - Documents\Planning Space Implementation\3. Analysis &amp; Design\Design\FC22\DRR Jaime\Por presentar a ECP\Cantagallo\Cristalina\[VRC_CRISTALINA_CF_SEC_20221231.xlsx]CF PNP'!$CT$65</t>
  </si>
  <si>
    <t>='C:\Users\jaime.benazar\Quorum Business Solutions\Ecopetrol Prometeo - Documents\Planning Space Implementation\3. Analysis &amp; Design\Design\FC22\DRR Jaime\Por presentar a ECP\Cantagallo\Cristalina\[VRC_CRISTALINA_CF_SEC_20221231.xlsx]CF PNP'!$CT$66</t>
  </si>
  <si>
    <t>='C:\Users\jaime.benazar\Quorum Business Solutions\Ecopetrol Prometeo - Documents\Planning Space Implementation\3. Analysis &amp; Design\Design\FC22\DRR Jaime\Por presentar a ECP\Cantagallo\Cristalina\[VRC_CRISTALINA_CF_SEC_20221231.xlsx]CF PNP'!$CT$67</t>
  </si>
  <si>
    <t>='C:\Users\jaime.benazar\Quorum Business Solutions\Ecopetrol Prometeo - Documents\Planning Space Implementation\3. Analysis &amp; Design\Design\FC22\DRR Jaime\Por presentar a ECP\Cantagallo\Cristalina\[VRC_CRISTALINA_CF_SEC_20221231.xlsx]CF PNP'!$CT$68</t>
  </si>
  <si>
    <t>='C:\Users\jaime.benazar\Quorum Business Solutions\Ecopetrol Prometeo - Documents\Planning Space Implementation\3. Analysis &amp; Design\Design\FC22\DRR Jaime\Por presentar a ECP\Cantagallo\Cristalina\[VRC_CRISTALINA_CF_SEC_20221231.xlsx]CF PNP'!$CT$69</t>
  </si>
  <si>
    <t>='C:\Users\jaime.benazar\Quorum Business Solutions\Ecopetrol Prometeo - Documents\Planning Space Implementation\3. Analysis &amp; Design\Design\FC22\DRR Jaime\Por presentar a ECP\Cantagallo\Cristalina\[VRC_CRISTALINA_CF_SEC_20221231.xlsx]CF PNP'!$CT$70</t>
  </si>
  <si>
    <t>='C:\Users\jaime.benazar\Quorum Business Solutions\Ecopetrol Prometeo - Documents\Planning Space Implementation\3. Analysis &amp; Design\Design\FC22\DRR Jaime\Por presentar a ECP\Cantagallo\Cristalina\[VRC_CRISTALINA_CF_SEC_20221231.xlsx]CF PNP'!$CT$71</t>
  </si>
  <si>
    <t>='C:\Users\jaime.benazar\Quorum Business Solutions\Ecopetrol Prometeo - Documents\Planning Space Implementation\3. Analysis &amp; Design\Design\FC22\DRR Jaime\Por presentar a ECP\Cantagallo\Cristalina\[VRC_CRISTALINA_CF_SEC_20221231.xlsx]CF PNP'!$CT$72</t>
  </si>
  <si>
    <t>='C:\Users\jaime.benazar\Quorum Business Solutions\Ecopetrol Prometeo - Documents\Planning Space Implementation\3. Analysis &amp; Design\Design\FC22\DRR Jaime\Por presentar a ECP\Cantagallo\Cristalina\[VRC_CRISTALINA_CF_SEC_20221231.xlsx]CF PND'!$CT$36</t>
  </si>
  <si>
    <t>='C:\Users\jaime.benazar\Quorum Business Solutions\Ecopetrol Prometeo - Documents\Planning Space Implementation\3. Analysis &amp; Design\Design\FC22\DRR Jaime\Por presentar a ECP\Cantagallo\Cristalina\[VRC_CRISTALINA_CF_SEC_20221231.xlsx]CF PND'!$CT$37</t>
  </si>
  <si>
    <t>='C:\Users\jaime.benazar\Quorum Business Solutions\Ecopetrol Prometeo - Documents\Planning Space Implementation\3. Analysis &amp; Design\Design\FC22\DRR Jaime\Por presentar a ECP\Cantagallo\Cristalina\[VRC_CRISTALINA_CF_SEC_20221231.xlsx]CF PND'!$CT$38</t>
  </si>
  <si>
    <t>='C:\Users\jaime.benazar\Quorum Business Solutions\Ecopetrol Prometeo - Documents\Planning Space Implementation\3. Analysis &amp; Design\Design\FC22\DRR Jaime\Por presentar a ECP\Cantagallo\Cristalina\[VRC_CRISTALINA_CF_SEC_20221231.xlsx]CF PND'!$CT$39</t>
  </si>
  <si>
    <t>='C:\Users\jaime.benazar\Quorum Business Solutions\Ecopetrol Prometeo - Documents\Planning Space Implementation\3. Analysis &amp; Design\Design\FC22\DRR Jaime\Por presentar a ECP\Cantagallo\Cristalina\[VRC_CRISTALINA_CF_SEC_20221231.xlsx]CF PND'!$CT$40</t>
  </si>
  <si>
    <t>='C:\Users\jaime.benazar\Quorum Business Solutions\Ecopetrol Prometeo - Documents\Planning Space Implementation\3. Analysis &amp; Design\Design\FC22\DRR Jaime\Por presentar a ECP\Cantagallo\Cristalina\[VRC_CRISTALINA_CF_SEC_20221231.xlsx]CF PND'!$CT$41</t>
  </si>
  <si>
    <t>='C:\Users\jaime.benazar\Quorum Business Solutions\Ecopetrol Prometeo - Documents\Planning Space Implementation\3. Analysis &amp; Design\Design\FC22\DRR Jaime\Por presentar a ECP\Cantagallo\Cristalina\[VRC_CRISTALINA_CF_SEC_20221231.xlsx]CF PND'!$CT$42</t>
  </si>
  <si>
    <t>='C:\Users\jaime.benazar\Quorum Business Solutions\Ecopetrol Prometeo - Documents\Planning Space Implementation\3. Analysis &amp; Design\Design\FC22\DRR Jaime\Por presentar a ECP\Cantagallo\Cristalina\[VRC_CRISTALINA_CF_SEC_20221231.xlsx]CF PND'!$CT$43</t>
  </si>
  <si>
    <t>='C:\Users\jaime.benazar\Quorum Business Solutions\Ecopetrol Prometeo - Documents\Planning Space Implementation\3. Analysis &amp; Design\Design\FC22\DRR Jaime\Por presentar a ECP\Cantagallo\Cristalina\[VRC_CRISTALINA_CF_SEC_20221231.xlsx]CF PND'!$CT$44</t>
  </si>
  <si>
    <t>='C:\Users\jaime.benazar\Quorum Business Solutions\Ecopetrol Prometeo - Documents\Planning Space Implementation\3. Analysis &amp; Design\Design\FC22\DRR Jaime\Por presentar a ECP\Cantagallo\Cristalina\[VRC_CRISTALINA_CF_SEC_20221231.xlsx]CF PND'!$CT$45</t>
  </si>
  <si>
    <t>='C:\Users\jaime.benazar\Quorum Business Solutions\Ecopetrol Prometeo - Documents\Planning Space Implementation\3. Analysis &amp; Design\Design\FC22\DRR Jaime\Por presentar a ECP\Cantagallo\Cristalina\[VRC_CRISTALINA_CF_SEC_20221231.xlsx]CF PND'!$CT$46</t>
  </si>
  <si>
    <t>='C:\Users\jaime.benazar\Quorum Business Solutions\Ecopetrol Prometeo - Documents\Planning Space Implementation\3. Analysis &amp; Design\Design\FC22\DRR Jaime\Por presentar a ECP\Cantagallo\Cristalina\[VRC_CRISTALINA_CF_SEC_20221231.xlsx]CF PND'!$CT$47</t>
  </si>
  <si>
    <t>='C:\Users\jaime.benazar\Quorum Business Solutions\Ecopetrol Prometeo - Documents\Planning Space Implementation\3. Analysis &amp; Design\Design\FC22\DRR Jaime\Por presentar a ECP\Cantagallo\Cristalina\[VRC_CRISTALINA_CF_SEC_20221231.xlsx]CF PND'!$CT$48</t>
  </si>
  <si>
    <t>='C:\Users\jaime.benazar\Quorum Business Solutions\Ecopetrol Prometeo - Documents\Planning Space Implementation\3. Analysis &amp; Design\Design\FC22\DRR Jaime\Por presentar a ECP\Cantagallo\Cristalina\[VRC_CRISTALINA_CF_SEC_20221231.xlsx]CF PND'!$CT$49</t>
  </si>
  <si>
    <t>='C:\Users\jaime.benazar\Quorum Business Solutions\Ecopetrol Prometeo - Documents\Planning Space Implementation\3. Analysis &amp; Design\Design\FC22\DRR Jaime\Por presentar a ECP\Cantagallo\Cristalina\[VRC_CRISTALINA_CF_SEC_20221231.xlsx]CF PND'!$CT$50</t>
  </si>
  <si>
    <t>='C:\Users\jaime.benazar\Quorum Business Solutions\Ecopetrol Prometeo - Documents\Planning Space Implementation\3. Analysis &amp; Design\Design\FC22\DRR Jaime\Por presentar a ECP\Cantagallo\Cristalina\[VRC_CRISTALINA_CF_SEC_20221231.xlsx]CF PND'!$CT$51</t>
  </si>
  <si>
    <t>='C:\Users\jaime.benazar\Quorum Business Solutions\Ecopetrol Prometeo - Documents\Planning Space Implementation\3. Analysis &amp; Design\Design\FC22\DRR Jaime\Por presentar a ECP\Cantagallo\Cristalina\[VRC_CRISTALINA_CF_SEC_20221231.xlsx]CF PND'!$CT$52</t>
  </si>
  <si>
    <t>='C:\Users\jaime.benazar\Quorum Business Solutions\Ecopetrol Prometeo - Documents\Planning Space Implementation\3. Analysis &amp; Design\Design\FC22\DRR Jaime\Por presentar a ECP\Cantagallo\Cristalina\[VRC_CRISTALINA_CF_SEC_20221231.xlsx]CF PND'!$CT$53</t>
  </si>
  <si>
    <t>='C:\Users\jaime.benazar\Quorum Business Solutions\Ecopetrol Prometeo - Documents\Planning Space Implementation\3. Analysis &amp; Design\Design\FC22\DRR Jaime\Por presentar a ECP\Cantagallo\Cristalina\[VRC_CRISTALINA_CF_SEC_20221231.xlsx]CF PND'!$CT$54</t>
  </si>
  <si>
    <t>='C:\Users\jaime.benazar\Quorum Business Solutions\Ecopetrol Prometeo - Documents\Planning Space Implementation\3. Analysis &amp; Design\Design\FC22\DRR Jaime\Por presentar a ECP\Cantagallo\Cristalina\[VRC_CRISTALINA_CF_SEC_20221231.xlsx]CF PND'!$CT$55</t>
  </si>
  <si>
    <t>='C:\Users\jaime.benazar\Quorum Business Solutions\Ecopetrol Prometeo - Documents\Planning Space Implementation\3. Analysis &amp; Design\Design\FC22\DRR Jaime\Por presentar a ECP\Cantagallo\Cristalina\[VRC_CRISTALINA_CF_SEC_20221231.xlsx]CF PND'!$CT$56</t>
  </si>
  <si>
    <t>='C:\Users\jaime.benazar\Quorum Business Solutions\Ecopetrol Prometeo - Documents\Planning Space Implementation\3. Analysis &amp; Design\Design\FC22\DRR Jaime\Por presentar a ECP\Cantagallo\Cristalina\[VRC_CRISTALINA_CF_SEC_20221231.xlsx]CF PND'!$CT$57</t>
  </si>
  <si>
    <t>='C:\Users\jaime.benazar\Quorum Business Solutions\Ecopetrol Prometeo - Documents\Planning Space Implementation\3. Analysis &amp; Design\Design\FC22\DRR Jaime\Por presentar a ECP\Cantagallo\Cristalina\[VRC_CRISTALINA_CF_SEC_20221231.xlsx]CF PND'!$CT$58</t>
  </si>
  <si>
    <t>='C:\Users\jaime.benazar\Quorum Business Solutions\Ecopetrol Prometeo - Documents\Planning Space Implementation\3. Analysis &amp; Design\Design\FC22\DRR Jaime\Por presentar a ECP\Cantagallo\Cristalina\[VRC_CRISTALINA_CF_SEC_20221231.xlsx]CF PND'!$CT$59</t>
  </si>
  <si>
    <t>='C:\Users\jaime.benazar\Quorum Business Solutions\Ecopetrol Prometeo - Documents\Planning Space Implementation\3. Analysis &amp; Design\Design\FC22\DRR Jaime\Por presentar a ECP\Cantagallo\Cristalina\[VRC_CRISTALINA_CF_SEC_20221231.xlsx]CF PND'!$CT$60</t>
  </si>
  <si>
    <t>='C:\Users\jaime.benazar\Quorum Business Solutions\Ecopetrol Prometeo - Documents\Planning Space Implementation\3. Analysis &amp; Design\Design\FC22\DRR Jaime\Por presentar a ECP\Cantagallo\Cristalina\[VRC_CRISTALINA_CF_SEC_20221231.xlsx]CF PND'!$CT$61</t>
  </si>
  <si>
    <t>='C:\Users\jaime.benazar\Quorum Business Solutions\Ecopetrol Prometeo - Documents\Planning Space Implementation\3. Analysis &amp; Design\Design\FC22\DRR Jaime\Por presentar a ECP\Cantagallo\Cristalina\[VRC_CRISTALINA_CF_SEC_20221231.xlsx]CF PND'!$CT$62</t>
  </si>
  <si>
    <t>='C:\Users\jaime.benazar\Quorum Business Solutions\Ecopetrol Prometeo - Documents\Planning Space Implementation\3. Analysis &amp; Design\Design\FC22\DRR Jaime\Por presentar a ECP\Cantagallo\Cristalina\[VRC_CRISTALINA_CF_SEC_20221231.xlsx]CF PND'!$CT$63</t>
  </si>
  <si>
    <t>='C:\Users\jaime.benazar\Quorum Business Solutions\Ecopetrol Prometeo - Documents\Planning Space Implementation\3. Analysis &amp; Design\Design\FC22\DRR Jaime\Por presentar a ECP\Cantagallo\Cristalina\[VRC_CRISTALINA_CF_SEC_20221231.xlsx]CF PND'!$CT$64</t>
  </si>
  <si>
    <t>='C:\Users\jaime.benazar\Quorum Business Solutions\Ecopetrol Prometeo - Documents\Planning Space Implementation\3. Analysis &amp; Design\Design\FC22\DRR Jaime\Por presentar a ECP\Cantagallo\Cristalina\[VRC_CRISTALINA_CF_SEC_20221231.xlsx]CF PND'!$CT$65</t>
  </si>
  <si>
    <t>='C:\Users\jaime.benazar\Quorum Business Solutions\Ecopetrol Prometeo - Documents\Planning Space Implementation\3. Analysis &amp; Design\Design\FC22\DRR Jaime\Por presentar a ECP\Cantagallo\Cristalina\[VRC_CRISTALINA_CF_SEC_20221231.xlsx]CF PND'!$CT$66</t>
  </si>
  <si>
    <t>='C:\Users\jaime.benazar\Quorum Business Solutions\Ecopetrol Prometeo - Documents\Planning Space Implementation\3. Analysis &amp; Design\Design\FC22\DRR Jaime\Por presentar a ECP\Cantagallo\Cristalina\[VRC_CRISTALINA_CF_SEC_20221231.xlsx]CF PND'!$CT$67</t>
  </si>
  <si>
    <t>='C:\Users\jaime.benazar\Quorum Business Solutions\Ecopetrol Prometeo - Documents\Planning Space Implementation\3. Analysis &amp; Design\Design\FC22\DRR Jaime\Por presentar a ECP\Cantagallo\Cristalina\[VRC_CRISTALINA_CF_SEC_20221231.xlsx]CF PND'!$CT$68</t>
  </si>
  <si>
    <t>='C:\Users\jaime.benazar\Quorum Business Solutions\Ecopetrol Prometeo - Documents\Planning Space Implementation\3. Analysis &amp; Design\Design\FC22\DRR Jaime\Por presentar a ECP\Cantagallo\Cristalina\[VRC_CRISTALINA_CF_SEC_20221231.xlsx]CF PND'!$CT$69</t>
  </si>
  <si>
    <t>='C:\Users\jaime.benazar\Quorum Business Solutions\Ecopetrol Prometeo - Documents\Planning Space Implementation\3. Analysis &amp; Design\Design\FC22\DRR Jaime\Por presentar a ECP\Cantagallo\Cristalina\[VRC_CRISTALINA_CF_SEC_20221231.xlsx]CF PND'!$CT$70</t>
  </si>
  <si>
    <t>='C:\Users\jaime.benazar\Quorum Business Solutions\Ecopetrol Prometeo - Documents\Planning Space Implementation\3. Analysis &amp; Design\Design\FC22\DRR Jaime\Por presentar a ECP\Cantagallo\Cristalina\[VRC_CRISTALINA_CF_SEC_20221231.xlsx]CF PND'!$CT$71</t>
  </si>
  <si>
    <t>='C:\Users\jaime.benazar\Quorum Business Solutions\Ecopetrol Prometeo - Documents\Planning Space Implementation\3. Analysis &amp; Design\Design\FC22\DRR Jaime\Por presentar a ECP\Cantagallo\Cristalina\[VRC_CRISTALINA_CF_SEC_20221231.xlsx]CF PND'!$CT$72</t>
  </si>
  <si>
    <t>='C:\Users\jaime.benazar\Quorum Business Solutions\Ecopetrol Prometeo - Documents\Planning Space Implementation\3. Analysis &amp; Design\Design\FC22\DRR Jaime\Por presentar a ECP\Cantagallo\Cristalina\[VRC_CRISTALINA_CF_SEC_20221231.xlsx]CF PRB'!$CT$36</t>
  </si>
  <si>
    <t>='C:\Users\jaime.benazar\Quorum Business Solutions\Ecopetrol Prometeo - Documents\Planning Space Implementation\3. Analysis &amp; Design\Design\FC22\DRR Jaime\Por presentar a ECP\Cantagallo\Cristalina\[VRC_CRISTALINA_CF_SEC_20221231.xlsx]CF PRB'!$CT$37</t>
  </si>
  <si>
    <t>='C:\Users\jaime.benazar\Quorum Business Solutions\Ecopetrol Prometeo - Documents\Planning Space Implementation\3. Analysis &amp; Design\Design\FC22\DRR Jaime\Por presentar a ECP\Cantagallo\Cristalina\[VRC_CRISTALINA_CF_SEC_20221231.xlsx]CF PRB'!$CT$38</t>
  </si>
  <si>
    <t>='C:\Users\jaime.benazar\Quorum Business Solutions\Ecopetrol Prometeo - Documents\Planning Space Implementation\3. Analysis &amp; Design\Design\FC22\DRR Jaime\Por presentar a ECP\Cantagallo\Cristalina\[VRC_CRISTALINA_CF_SEC_20221231.xlsx]CF PRB'!$CT$39</t>
  </si>
  <si>
    <t>='C:\Users\jaime.benazar\Quorum Business Solutions\Ecopetrol Prometeo - Documents\Planning Space Implementation\3. Analysis &amp; Design\Design\FC22\DRR Jaime\Por presentar a ECP\Cantagallo\Cristalina\[VRC_CRISTALINA_CF_SEC_20221231.xlsx]CF PRB'!$CT$40</t>
  </si>
  <si>
    <t>='C:\Users\jaime.benazar\Quorum Business Solutions\Ecopetrol Prometeo - Documents\Planning Space Implementation\3. Analysis &amp; Design\Design\FC22\DRR Jaime\Por presentar a ECP\Cantagallo\Cristalina\[VRC_CRISTALINA_CF_SEC_20221231.xlsx]CF PRB'!$CT$41</t>
  </si>
  <si>
    <t>='C:\Users\jaime.benazar\Quorum Business Solutions\Ecopetrol Prometeo - Documents\Planning Space Implementation\3. Analysis &amp; Design\Design\FC22\DRR Jaime\Por presentar a ECP\Cantagallo\Cristalina\[VRC_CRISTALINA_CF_SEC_20221231.xlsx]CF PRB'!$CT$42</t>
  </si>
  <si>
    <t>='C:\Users\jaime.benazar\Quorum Business Solutions\Ecopetrol Prometeo - Documents\Planning Space Implementation\3. Analysis &amp; Design\Design\FC22\DRR Jaime\Por presentar a ECP\Cantagallo\Cristalina\[VRC_CRISTALINA_CF_SEC_20221231.xlsx]CF PRB'!$CT$43</t>
  </si>
  <si>
    <t>='C:\Users\jaime.benazar\Quorum Business Solutions\Ecopetrol Prometeo - Documents\Planning Space Implementation\3. Analysis &amp; Design\Design\FC22\DRR Jaime\Por presentar a ECP\Cantagallo\Cristalina\[VRC_CRISTALINA_CF_SEC_20221231.xlsx]CF PRB'!$CT$44</t>
  </si>
  <si>
    <t>='C:\Users\jaime.benazar\Quorum Business Solutions\Ecopetrol Prometeo - Documents\Planning Space Implementation\3. Analysis &amp; Design\Design\FC22\DRR Jaime\Por presentar a ECP\Cantagallo\Cristalina\[VRC_CRISTALINA_CF_SEC_20221231.xlsx]CF PRB'!$CT$45</t>
  </si>
  <si>
    <t>='C:\Users\jaime.benazar\Quorum Business Solutions\Ecopetrol Prometeo - Documents\Planning Space Implementation\3. Analysis &amp; Design\Design\FC22\DRR Jaime\Por presentar a ECP\Cantagallo\Cristalina\[VRC_CRISTALINA_CF_SEC_20221231.xlsx]CF PRB'!$CT$46</t>
  </si>
  <si>
    <t>='C:\Users\jaime.benazar\Quorum Business Solutions\Ecopetrol Prometeo - Documents\Planning Space Implementation\3. Analysis &amp; Design\Design\FC22\DRR Jaime\Por presentar a ECP\Cantagallo\Cristalina\[VRC_CRISTALINA_CF_SEC_20221231.xlsx]CF PRB'!$CT$47</t>
  </si>
  <si>
    <t>='C:\Users\jaime.benazar\Quorum Business Solutions\Ecopetrol Prometeo - Documents\Planning Space Implementation\3. Analysis &amp; Design\Design\FC22\DRR Jaime\Por presentar a ECP\Cantagallo\Cristalina\[VRC_CRISTALINA_CF_SEC_20221231.xlsx]CF PRB'!$CT$48</t>
  </si>
  <si>
    <t>='C:\Users\jaime.benazar\Quorum Business Solutions\Ecopetrol Prometeo - Documents\Planning Space Implementation\3. Analysis &amp; Design\Design\FC22\DRR Jaime\Por presentar a ECP\Cantagallo\Cristalina\[VRC_CRISTALINA_CF_SEC_20221231.xlsx]CF PRB'!$CT$49</t>
  </si>
  <si>
    <t>='C:\Users\jaime.benazar\Quorum Business Solutions\Ecopetrol Prometeo - Documents\Planning Space Implementation\3. Analysis &amp; Design\Design\FC22\DRR Jaime\Por presentar a ECP\Cantagallo\Cristalina\[VRC_CRISTALINA_CF_SEC_20221231.xlsx]CF PRB'!$CT$50</t>
  </si>
  <si>
    <t>='C:\Users\jaime.benazar\Quorum Business Solutions\Ecopetrol Prometeo - Documents\Planning Space Implementation\3. Analysis &amp; Design\Design\FC22\DRR Jaime\Por presentar a ECP\Cantagallo\Cristalina\[VRC_CRISTALINA_CF_SEC_20221231.xlsx]CF PRB'!$CT$51</t>
  </si>
  <si>
    <t>='C:\Users\jaime.benazar\Quorum Business Solutions\Ecopetrol Prometeo - Documents\Planning Space Implementation\3. Analysis &amp; Design\Design\FC22\DRR Jaime\Por presentar a ECP\Cantagallo\Cristalina\[VRC_CRISTALINA_CF_SEC_20221231.xlsx]CF PRB'!$CT$52</t>
  </si>
  <si>
    <t>='C:\Users\jaime.benazar\Quorum Business Solutions\Ecopetrol Prometeo - Documents\Planning Space Implementation\3. Analysis &amp; Design\Design\FC22\DRR Jaime\Por presentar a ECP\Cantagallo\Cristalina\[VRC_CRISTALINA_CF_SEC_20221231.xlsx]CF PRB'!$CT$53</t>
  </si>
  <si>
    <t>='C:\Users\jaime.benazar\Quorum Business Solutions\Ecopetrol Prometeo - Documents\Planning Space Implementation\3. Analysis &amp; Design\Design\FC22\DRR Jaime\Por presentar a ECP\Cantagallo\Cristalina\[VRC_CRISTALINA_CF_SEC_20221231.xlsx]CF PRB'!$CT$54</t>
  </si>
  <si>
    <t>='C:\Users\jaime.benazar\Quorum Business Solutions\Ecopetrol Prometeo - Documents\Planning Space Implementation\3. Analysis &amp; Design\Design\FC22\DRR Jaime\Por presentar a ECP\Cantagallo\Cristalina\[VRC_CRISTALINA_CF_SEC_20221231.xlsx]CF PRB'!$CT$55</t>
  </si>
  <si>
    <t>='C:\Users\jaime.benazar\Quorum Business Solutions\Ecopetrol Prometeo - Documents\Planning Space Implementation\3. Analysis &amp; Design\Design\FC22\DRR Jaime\Por presentar a ECP\Cantagallo\Cristalina\[VRC_CRISTALINA_CF_SEC_20221231.xlsx]CF PRB'!$CT$56</t>
  </si>
  <si>
    <t>='C:\Users\jaime.benazar\Quorum Business Solutions\Ecopetrol Prometeo - Documents\Planning Space Implementation\3. Analysis &amp; Design\Design\FC22\DRR Jaime\Por presentar a ECP\Cantagallo\Cristalina\[VRC_CRISTALINA_CF_SEC_20221231.xlsx]CF PRB'!$CT$57</t>
  </si>
  <si>
    <t>='C:\Users\jaime.benazar\Quorum Business Solutions\Ecopetrol Prometeo - Documents\Planning Space Implementation\3. Analysis &amp; Design\Design\FC22\DRR Jaime\Por presentar a ECP\Cantagallo\Cristalina\[VRC_CRISTALINA_CF_SEC_20221231.xlsx]CF PRB'!$CT$58</t>
  </si>
  <si>
    <t>='C:\Users\jaime.benazar\Quorum Business Solutions\Ecopetrol Prometeo - Documents\Planning Space Implementation\3. Analysis &amp; Design\Design\FC22\DRR Jaime\Por presentar a ECP\Cantagallo\Cristalina\[VRC_CRISTALINA_CF_SEC_20221231.xlsx]CF PRB'!$CT$59</t>
  </si>
  <si>
    <t>='C:\Users\jaime.benazar\Quorum Business Solutions\Ecopetrol Prometeo - Documents\Planning Space Implementation\3. Analysis &amp; Design\Design\FC22\DRR Jaime\Por presentar a ECP\Cantagallo\Cristalina\[VRC_CRISTALINA_CF_SEC_20221231.xlsx]CF PRB'!$CT$60</t>
  </si>
  <si>
    <t>='C:\Users\jaime.benazar\Quorum Business Solutions\Ecopetrol Prometeo - Documents\Planning Space Implementation\3. Analysis &amp; Design\Design\FC22\DRR Jaime\Por presentar a ECP\Cantagallo\Cristalina\[VRC_CRISTALINA_CF_SEC_20221231.xlsx]CF PRB'!$CT$61</t>
  </si>
  <si>
    <t>='C:\Users\jaime.benazar\Quorum Business Solutions\Ecopetrol Prometeo - Documents\Planning Space Implementation\3. Analysis &amp; Design\Design\FC22\DRR Jaime\Por presentar a ECP\Cantagallo\Cristalina\[VRC_CRISTALINA_CF_SEC_20221231.xlsx]CF PRB'!$CT$62</t>
  </si>
  <si>
    <t>='C:\Users\jaime.benazar\Quorum Business Solutions\Ecopetrol Prometeo - Documents\Planning Space Implementation\3. Analysis &amp; Design\Design\FC22\DRR Jaime\Por presentar a ECP\Cantagallo\Cristalina\[VRC_CRISTALINA_CF_SEC_20221231.xlsx]CF PRB'!$CT$63</t>
  </si>
  <si>
    <t>='C:\Users\jaime.benazar\Quorum Business Solutions\Ecopetrol Prometeo - Documents\Planning Space Implementation\3. Analysis &amp; Design\Design\FC22\DRR Jaime\Por presentar a ECP\Cantagallo\Cristalina\[VRC_CRISTALINA_CF_SEC_20221231.xlsx]CF PRB'!$CT$64</t>
  </si>
  <si>
    <t>='C:\Users\jaime.benazar\Quorum Business Solutions\Ecopetrol Prometeo - Documents\Planning Space Implementation\3. Analysis &amp; Design\Design\FC22\DRR Jaime\Por presentar a ECP\Cantagallo\Cristalina\[VRC_CRISTALINA_CF_SEC_20221231.xlsx]CF PRB'!$CT$65</t>
  </si>
  <si>
    <t>='C:\Users\jaime.benazar\Quorum Business Solutions\Ecopetrol Prometeo - Documents\Planning Space Implementation\3. Analysis &amp; Design\Design\FC22\DRR Jaime\Por presentar a ECP\Cantagallo\Cristalina\[VRC_CRISTALINA_CF_SEC_20221231.xlsx]CF PRB'!$CT$66</t>
  </si>
  <si>
    <t>='C:\Users\jaime.benazar\Quorum Business Solutions\Ecopetrol Prometeo - Documents\Planning Space Implementation\3. Analysis &amp; Design\Design\FC22\DRR Jaime\Por presentar a ECP\Cantagallo\Cristalina\[VRC_CRISTALINA_CF_SEC_20221231.xlsx]CF PRB'!$CT$67</t>
  </si>
  <si>
    <t>='C:\Users\jaime.benazar\Quorum Business Solutions\Ecopetrol Prometeo - Documents\Planning Space Implementation\3. Analysis &amp; Design\Design\FC22\DRR Jaime\Por presentar a ECP\Cantagallo\Cristalina\[VRC_CRISTALINA_CF_SEC_20221231.xlsx]CF PRB'!$CT$68</t>
  </si>
  <si>
    <t>='C:\Users\jaime.benazar\Quorum Business Solutions\Ecopetrol Prometeo - Documents\Planning Space Implementation\3. Analysis &amp; Design\Design\FC22\DRR Jaime\Por presentar a ECP\Cantagallo\Cristalina\[VRC_CRISTALINA_CF_SEC_20221231.xlsx]CF PRB'!$CT$69</t>
  </si>
  <si>
    <t>='C:\Users\jaime.benazar\Quorum Business Solutions\Ecopetrol Prometeo - Documents\Planning Space Implementation\3. Analysis &amp; Design\Design\FC22\DRR Jaime\Por presentar a ECP\Cantagallo\Cristalina\[VRC_CRISTALINA_CF_SEC_20221231.xlsx]CF PRB'!$CT$70</t>
  </si>
  <si>
    <t>='C:\Users\jaime.benazar\Quorum Business Solutions\Ecopetrol Prometeo - Documents\Planning Space Implementation\3. Analysis &amp; Design\Design\FC22\DRR Jaime\Por presentar a ECP\Cantagallo\Cristalina\[VRC_CRISTALINA_CF_SEC_20221231.xlsx]CF PRB'!$CT$71</t>
  </si>
  <si>
    <t>='C:\Users\jaime.benazar\Quorum Business Solutions\Ecopetrol Prometeo - Documents\Planning Space Implementation\3. Analysis &amp; Design\Design\FC22\DRR Jaime\Por presentar a ECP\Cantagallo\Cristalina\[VRC_CRISTALINA_CF_SEC_20221231.xlsx]CF PRB'!$CT$72</t>
  </si>
  <si>
    <t>='C:\Users\jaime.benazar\Quorum Business Solutions\Ecopetrol Prometeo - Documents\Planning Space Implementation\3. Analysis &amp; Design\Design\FC22\DRR Jaime\Por presentar a ECP\Cantagallo\Cristalina\[VRC_CRISTALINA_CF_SEC_20221231.xlsx]CF PS'!$CT$36</t>
  </si>
  <si>
    <t>='C:\Users\jaime.benazar\Quorum Business Solutions\Ecopetrol Prometeo - Documents\Planning Space Implementation\3. Analysis &amp; Design\Design\FC22\DRR Jaime\Por presentar a ECP\Cantagallo\Cristalina\[VRC_CRISTALINA_CF_SEC_20221231.xlsx]CF PS'!$CT$37</t>
  </si>
  <si>
    <t>='C:\Users\jaime.benazar\Quorum Business Solutions\Ecopetrol Prometeo - Documents\Planning Space Implementation\3. Analysis &amp; Design\Design\FC22\DRR Jaime\Por presentar a ECP\Cantagallo\Cristalina\[VRC_CRISTALINA_CF_SEC_20221231.xlsx]CF PS'!$CT$38</t>
  </si>
  <si>
    <t>='C:\Users\jaime.benazar\Quorum Business Solutions\Ecopetrol Prometeo - Documents\Planning Space Implementation\3. Analysis &amp; Design\Design\FC22\DRR Jaime\Por presentar a ECP\Cantagallo\Cristalina\[VRC_CRISTALINA_CF_SEC_20221231.xlsx]CF PS'!$CT$39</t>
  </si>
  <si>
    <t>='C:\Users\jaime.benazar\Quorum Business Solutions\Ecopetrol Prometeo - Documents\Planning Space Implementation\3. Analysis &amp; Design\Design\FC22\DRR Jaime\Por presentar a ECP\Cantagallo\Cristalina\[VRC_CRISTALINA_CF_SEC_20221231.xlsx]CF PS'!$CT$40</t>
  </si>
  <si>
    <t>='C:\Users\jaime.benazar\Quorum Business Solutions\Ecopetrol Prometeo - Documents\Planning Space Implementation\3. Analysis &amp; Design\Design\FC22\DRR Jaime\Por presentar a ECP\Cantagallo\Cristalina\[VRC_CRISTALINA_CF_SEC_20221231.xlsx]CF PS'!$CT$41</t>
  </si>
  <si>
    <t>='C:\Users\jaime.benazar\Quorum Business Solutions\Ecopetrol Prometeo - Documents\Planning Space Implementation\3. Analysis &amp; Design\Design\FC22\DRR Jaime\Por presentar a ECP\Cantagallo\Cristalina\[VRC_CRISTALINA_CF_SEC_20221231.xlsx]CF PS'!$CT$42</t>
  </si>
  <si>
    <t>='C:\Users\jaime.benazar\Quorum Business Solutions\Ecopetrol Prometeo - Documents\Planning Space Implementation\3. Analysis &amp; Design\Design\FC22\DRR Jaime\Por presentar a ECP\Cantagallo\Cristalina\[VRC_CRISTALINA_CF_SEC_20221231.xlsx]CF PS'!$CT$43</t>
  </si>
  <si>
    <t>='C:\Users\jaime.benazar\Quorum Business Solutions\Ecopetrol Prometeo - Documents\Planning Space Implementation\3. Analysis &amp; Design\Design\FC22\DRR Jaime\Por presentar a ECP\Cantagallo\Cristalina\[VRC_CRISTALINA_CF_SEC_20221231.xlsx]CF PS'!$CT$44</t>
  </si>
  <si>
    <t>='C:\Users\jaime.benazar\Quorum Business Solutions\Ecopetrol Prometeo - Documents\Planning Space Implementation\3. Analysis &amp; Design\Design\FC22\DRR Jaime\Por presentar a ECP\Cantagallo\Cristalina\[VRC_CRISTALINA_CF_SEC_20221231.xlsx]CF PS'!$CT$45</t>
  </si>
  <si>
    <t>='C:\Users\jaime.benazar\Quorum Business Solutions\Ecopetrol Prometeo - Documents\Planning Space Implementation\3. Analysis &amp; Design\Design\FC22\DRR Jaime\Por presentar a ECP\Cantagallo\Cristalina\[VRC_CRISTALINA_CF_SEC_20221231.xlsx]CF PS'!$CT$46</t>
  </si>
  <si>
    <t>='C:\Users\jaime.benazar\Quorum Business Solutions\Ecopetrol Prometeo - Documents\Planning Space Implementation\3. Analysis &amp; Design\Design\FC22\DRR Jaime\Por presentar a ECP\Cantagallo\Cristalina\[VRC_CRISTALINA_CF_SEC_20221231.xlsx]CF PS'!$CT$47</t>
  </si>
  <si>
    <t>='C:\Users\jaime.benazar\Quorum Business Solutions\Ecopetrol Prometeo - Documents\Planning Space Implementation\3. Analysis &amp; Design\Design\FC22\DRR Jaime\Por presentar a ECP\Cantagallo\Cristalina\[VRC_CRISTALINA_CF_SEC_20221231.xlsx]CF PS'!$CT$48</t>
  </si>
  <si>
    <t>='C:\Users\jaime.benazar\Quorum Business Solutions\Ecopetrol Prometeo - Documents\Planning Space Implementation\3. Analysis &amp; Design\Design\FC22\DRR Jaime\Por presentar a ECP\Cantagallo\Cristalina\[VRC_CRISTALINA_CF_SEC_20221231.xlsx]CF PS'!$CT$49</t>
  </si>
  <si>
    <t>='C:\Users\jaime.benazar\Quorum Business Solutions\Ecopetrol Prometeo - Documents\Planning Space Implementation\3. Analysis &amp; Design\Design\FC22\DRR Jaime\Por presentar a ECP\Cantagallo\Cristalina\[VRC_CRISTALINA_CF_SEC_20221231.xlsx]CF PS'!$CT$50</t>
  </si>
  <si>
    <t>='C:\Users\jaime.benazar\Quorum Business Solutions\Ecopetrol Prometeo - Documents\Planning Space Implementation\3. Analysis &amp; Design\Design\FC22\DRR Jaime\Por presentar a ECP\Cantagallo\Cristalina\[VRC_CRISTALINA_CF_SEC_20221231.xlsx]CF PS'!$CT$51</t>
  </si>
  <si>
    <t>='C:\Users\jaime.benazar\Quorum Business Solutions\Ecopetrol Prometeo - Documents\Planning Space Implementation\3. Analysis &amp; Design\Design\FC22\DRR Jaime\Por presentar a ECP\Cantagallo\Cristalina\[VRC_CRISTALINA_CF_SEC_20221231.xlsx]CF PS'!$CT$52</t>
  </si>
  <si>
    <t>='C:\Users\jaime.benazar\Quorum Business Solutions\Ecopetrol Prometeo - Documents\Planning Space Implementation\3. Analysis &amp; Design\Design\FC22\DRR Jaime\Por presentar a ECP\Cantagallo\Cristalina\[VRC_CRISTALINA_CF_SEC_20221231.xlsx]CF PS'!$CT$53</t>
  </si>
  <si>
    <t>='C:\Users\jaime.benazar\Quorum Business Solutions\Ecopetrol Prometeo - Documents\Planning Space Implementation\3. Analysis &amp; Design\Design\FC22\DRR Jaime\Por presentar a ECP\Cantagallo\Cristalina\[VRC_CRISTALINA_CF_SEC_20221231.xlsx]CF PS'!$CT$54</t>
  </si>
  <si>
    <t>='C:\Users\jaime.benazar\Quorum Business Solutions\Ecopetrol Prometeo - Documents\Planning Space Implementation\3. Analysis &amp; Design\Design\FC22\DRR Jaime\Por presentar a ECP\Cantagallo\Cristalina\[VRC_CRISTALINA_CF_SEC_20221231.xlsx]CF PS'!$CT$55</t>
  </si>
  <si>
    <t>='C:\Users\jaime.benazar\Quorum Business Solutions\Ecopetrol Prometeo - Documents\Planning Space Implementation\3. Analysis &amp; Design\Design\FC22\DRR Jaime\Por presentar a ECP\Cantagallo\Cristalina\[VRC_CRISTALINA_CF_SEC_20221231.xlsx]CF PS'!$CT$56</t>
  </si>
  <si>
    <t>='C:\Users\jaime.benazar\Quorum Business Solutions\Ecopetrol Prometeo - Documents\Planning Space Implementation\3. Analysis &amp; Design\Design\FC22\DRR Jaime\Por presentar a ECP\Cantagallo\Cristalina\[VRC_CRISTALINA_CF_SEC_20221231.xlsx]CF PS'!$CT$57</t>
  </si>
  <si>
    <t>='C:\Users\jaime.benazar\Quorum Business Solutions\Ecopetrol Prometeo - Documents\Planning Space Implementation\3. Analysis &amp; Design\Design\FC22\DRR Jaime\Por presentar a ECP\Cantagallo\Cristalina\[VRC_CRISTALINA_CF_SEC_20221231.xlsx]CF PS'!$CT$58</t>
  </si>
  <si>
    <t>='C:\Users\jaime.benazar\Quorum Business Solutions\Ecopetrol Prometeo - Documents\Planning Space Implementation\3. Analysis &amp; Design\Design\FC22\DRR Jaime\Por presentar a ECP\Cantagallo\Cristalina\[VRC_CRISTALINA_CF_SEC_20221231.xlsx]CF PS'!$CT$59</t>
  </si>
  <si>
    <t>='C:\Users\jaime.benazar\Quorum Business Solutions\Ecopetrol Prometeo - Documents\Planning Space Implementation\3. Analysis &amp; Design\Design\FC22\DRR Jaime\Por presentar a ECP\Cantagallo\Cristalina\[VRC_CRISTALINA_CF_SEC_20221231.xlsx]CF PS'!$CT$60</t>
  </si>
  <si>
    <t>='C:\Users\jaime.benazar\Quorum Business Solutions\Ecopetrol Prometeo - Documents\Planning Space Implementation\3. Analysis &amp; Design\Design\FC22\DRR Jaime\Por presentar a ECP\Cantagallo\Cristalina\[VRC_CRISTALINA_CF_SEC_20221231.xlsx]CF PS'!$CT$61</t>
  </si>
  <si>
    <t>='C:\Users\jaime.benazar\Quorum Business Solutions\Ecopetrol Prometeo - Documents\Planning Space Implementation\3. Analysis &amp; Design\Design\FC22\DRR Jaime\Por presentar a ECP\Cantagallo\Cristalina\[VRC_CRISTALINA_CF_SEC_20221231.xlsx]CF PS'!$CT$62</t>
  </si>
  <si>
    <t>='C:\Users\jaime.benazar\Quorum Business Solutions\Ecopetrol Prometeo - Documents\Planning Space Implementation\3. Analysis &amp; Design\Design\FC22\DRR Jaime\Por presentar a ECP\Cantagallo\Cristalina\[VRC_CRISTALINA_CF_SEC_20221231.xlsx]CF PS'!$CT$63</t>
  </si>
  <si>
    <t>='C:\Users\jaime.benazar\Quorum Business Solutions\Ecopetrol Prometeo - Documents\Planning Space Implementation\3. Analysis &amp; Design\Design\FC22\DRR Jaime\Por presentar a ECP\Cantagallo\Cristalina\[VRC_CRISTALINA_CF_SEC_20221231.xlsx]CF PS'!$CT$64</t>
  </si>
  <si>
    <t>='C:\Users\jaime.benazar\Quorum Business Solutions\Ecopetrol Prometeo - Documents\Planning Space Implementation\3. Analysis &amp; Design\Design\FC22\DRR Jaime\Por presentar a ECP\Cantagallo\Cristalina\[VRC_CRISTALINA_CF_SEC_20221231.xlsx]CF PS'!$CT$65</t>
  </si>
  <si>
    <t>='C:\Users\jaime.benazar\Quorum Business Solutions\Ecopetrol Prometeo - Documents\Planning Space Implementation\3. Analysis &amp; Design\Design\FC22\DRR Jaime\Por presentar a ECP\Cantagallo\Cristalina\[VRC_CRISTALINA_CF_SEC_20221231.xlsx]CF PS'!$CT$66</t>
  </si>
  <si>
    <t>='C:\Users\jaime.benazar\Quorum Business Solutions\Ecopetrol Prometeo - Documents\Planning Space Implementation\3. Analysis &amp; Design\Design\FC22\DRR Jaime\Por presentar a ECP\Cantagallo\Cristalina\[VRC_CRISTALINA_CF_SEC_20221231.xlsx]CF PS'!$CT$67</t>
  </si>
  <si>
    <t>='C:\Users\jaime.benazar\Quorum Business Solutions\Ecopetrol Prometeo - Documents\Planning Space Implementation\3. Analysis &amp; Design\Design\FC22\DRR Jaime\Por presentar a ECP\Cantagallo\Cristalina\[VRC_CRISTALINA_CF_SEC_20221231.xlsx]CF PS'!$CT$68</t>
  </si>
  <si>
    <t>='C:\Users\jaime.benazar\Quorum Business Solutions\Ecopetrol Prometeo - Documents\Planning Space Implementation\3. Analysis &amp; Design\Design\FC22\DRR Jaime\Por presentar a ECP\Cantagallo\Cristalina\[VRC_CRISTALINA_CF_SEC_20221231.xlsx]CF PS'!$CT$69</t>
  </si>
  <si>
    <t>='C:\Users\jaime.benazar\Quorum Business Solutions\Ecopetrol Prometeo - Documents\Planning Space Implementation\3. Analysis &amp; Design\Design\FC22\DRR Jaime\Por presentar a ECP\Cantagallo\Cristalina\[VRC_CRISTALINA_CF_SEC_20221231.xlsx]CF PS'!$CT$70</t>
  </si>
  <si>
    <t>='C:\Users\jaime.benazar\Quorum Business Solutions\Ecopetrol Prometeo - Documents\Planning Space Implementation\3. Analysis &amp; Design\Design\FC22\DRR Jaime\Por presentar a ECP\Cantagallo\Cristalina\[VRC_CRISTALINA_CF_SEC_20221231.xlsx]CF PS'!$CT$71</t>
  </si>
  <si>
    <t>='C:\Users\jaime.benazar\Quorum Business Solutions\Ecopetrol Prometeo - Documents\Planning Space Implementation\3. Analysis &amp; Design\Design\FC22\DRR Jaime\Por presentar a ECP\Cantagallo\Cristalina\[VRC_CRISTALINA_CF_SEC_20221231.xlsx]CF PS'!$CT$72</t>
  </si>
  <si>
    <t>='C:\Users\jaime.benazar\Quorum Business Solutions\Ecopetrol Prometeo - Documents\Planning Space Implementation\3. Analysis &amp; Design\Design\FC22\DRR Jaime\Por presentar a ECP\Cantagallo\Cristalina\[VRC_CRISTALINA_CF_SEC_20221231.xlsx]CF PDP'!$DN$36</t>
  </si>
  <si>
    <t>='C:\Users\jaime.benazar\Quorum Business Solutions\Ecopetrol Prometeo - Documents\Planning Space Implementation\3. Analysis &amp; Design\Design\FC22\DRR Jaime\Por presentar a ECP\Cantagallo\Cristalina\[VRC_CRISTALINA_CF_SEC_20221231.xlsx]CF PDP'!$DN$37</t>
  </si>
  <si>
    <t>='C:\Users\jaime.benazar\Quorum Business Solutions\Ecopetrol Prometeo - Documents\Planning Space Implementation\3. Analysis &amp; Design\Design\FC22\DRR Jaime\Por presentar a ECP\Cantagallo\Cristalina\[VRC_CRISTALINA_CF_SEC_20221231.xlsx]CF PDP'!$DN$38</t>
  </si>
  <si>
    <t>='C:\Users\jaime.benazar\Quorum Business Solutions\Ecopetrol Prometeo - Documents\Planning Space Implementation\3. Analysis &amp; Design\Design\FC22\DRR Jaime\Por presentar a ECP\Cantagallo\Cristalina\[VRC_CRISTALINA_CF_SEC_20221231.xlsx]CF PDP'!$DN$39</t>
  </si>
  <si>
    <t>='C:\Users\jaime.benazar\Quorum Business Solutions\Ecopetrol Prometeo - Documents\Planning Space Implementation\3. Analysis &amp; Design\Design\FC22\DRR Jaime\Por presentar a ECP\Cantagallo\Cristalina\[VRC_CRISTALINA_CF_SEC_20221231.xlsx]CF PDP'!$DN$40</t>
  </si>
  <si>
    <t>='C:\Users\jaime.benazar\Quorum Business Solutions\Ecopetrol Prometeo - Documents\Planning Space Implementation\3. Analysis &amp; Design\Design\FC22\DRR Jaime\Por presentar a ECP\Cantagallo\Cristalina\[VRC_CRISTALINA_CF_SEC_20221231.xlsx]CF PDP'!$DN$41</t>
  </si>
  <si>
    <t>='C:\Users\jaime.benazar\Quorum Business Solutions\Ecopetrol Prometeo - Documents\Planning Space Implementation\3. Analysis &amp; Design\Design\FC22\DRR Jaime\Por presentar a ECP\Cantagallo\Cristalina\[VRC_CRISTALINA_CF_SEC_20221231.xlsx]CF PDP'!$DN$42</t>
  </si>
  <si>
    <t>='C:\Users\jaime.benazar\Quorum Business Solutions\Ecopetrol Prometeo - Documents\Planning Space Implementation\3. Analysis &amp; Design\Design\FC22\DRR Jaime\Por presentar a ECP\Cantagallo\Cristalina\[VRC_CRISTALINA_CF_SEC_20221231.xlsx]CF PDP'!$DN$43</t>
  </si>
  <si>
    <t>='C:\Users\jaime.benazar\Quorum Business Solutions\Ecopetrol Prometeo - Documents\Planning Space Implementation\3. Analysis &amp; Design\Design\FC22\DRR Jaime\Por presentar a ECP\Cantagallo\Cristalina\[VRC_CRISTALINA_CF_SEC_20221231.xlsx]CF PDP'!$DN$44</t>
  </si>
  <si>
    <t>='C:\Users\jaime.benazar\Quorum Business Solutions\Ecopetrol Prometeo - Documents\Planning Space Implementation\3. Analysis &amp; Design\Design\FC22\DRR Jaime\Por presentar a ECP\Cantagallo\Cristalina\[VRC_CRISTALINA_CF_SEC_20221231.xlsx]CF PDP'!$DN$45</t>
  </si>
  <si>
    <t>='C:\Users\jaime.benazar\Quorum Business Solutions\Ecopetrol Prometeo - Documents\Planning Space Implementation\3. Analysis &amp; Design\Design\FC22\DRR Jaime\Por presentar a ECP\Cantagallo\Cristalina\[VRC_CRISTALINA_CF_SEC_20221231.xlsx]CF PDP'!$DN$46</t>
  </si>
  <si>
    <t>='C:\Users\jaime.benazar\Quorum Business Solutions\Ecopetrol Prometeo - Documents\Planning Space Implementation\3. Analysis &amp; Design\Design\FC22\DRR Jaime\Por presentar a ECP\Cantagallo\Cristalina\[VRC_CRISTALINA_CF_SEC_20221231.xlsx]CF PDP'!$DN$47</t>
  </si>
  <si>
    <t>='C:\Users\jaime.benazar\Quorum Business Solutions\Ecopetrol Prometeo - Documents\Planning Space Implementation\3. Analysis &amp; Design\Design\FC22\DRR Jaime\Por presentar a ECP\Cantagallo\Cristalina\[VRC_CRISTALINA_CF_SEC_20221231.xlsx]CF PDP'!$DN$48</t>
  </si>
  <si>
    <t>='C:\Users\jaime.benazar\Quorum Business Solutions\Ecopetrol Prometeo - Documents\Planning Space Implementation\3. Analysis &amp; Design\Design\FC22\DRR Jaime\Por presentar a ECP\Cantagallo\Cristalina\[VRC_CRISTALINA_CF_SEC_20221231.xlsx]CF PDP'!$DN$49</t>
  </si>
  <si>
    <t>='C:\Users\jaime.benazar\Quorum Business Solutions\Ecopetrol Prometeo - Documents\Planning Space Implementation\3. Analysis &amp; Design\Design\FC22\DRR Jaime\Por presentar a ECP\Cantagallo\Cristalina\[VRC_CRISTALINA_CF_SEC_20221231.xlsx]CF PDP'!$DN$50</t>
  </si>
  <si>
    <t>='C:\Users\jaime.benazar\Quorum Business Solutions\Ecopetrol Prometeo - Documents\Planning Space Implementation\3. Analysis &amp; Design\Design\FC22\DRR Jaime\Por presentar a ECP\Cantagallo\Cristalina\[VRC_CRISTALINA_CF_SEC_20221231.xlsx]CF PDP'!$DN$51</t>
  </si>
  <si>
    <t>='C:\Users\jaime.benazar\Quorum Business Solutions\Ecopetrol Prometeo - Documents\Planning Space Implementation\3. Analysis &amp; Design\Design\FC22\DRR Jaime\Por presentar a ECP\Cantagallo\Cristalina\[VRC_CRISTALINA_CF_SEC_20221231.xlsx]CF PDP'!$DN$52</t>
  </si>
  <si>
    <t>='C:\Users\jaime.benazar\Quorum Business Solutions\Ecopetrol Prometeo - Documents\Planning Space Implementation\3. Analysis &amp; Design\Design\FC22\DRR Jaime\Por presentar a ECP\Cantagallo\Cristalina\[VRC_CRISTALINA_CF_SEC_20221231.xlsx]CF PDP'!$DN$53</t>
  </si>
  <si>
    <t>='C:\Users\jaime.benazar\Quorum Business Solutions\Ecopetrol Prometeo - Documents\Planning Space Implementation\3. Analysis &amp; Design\Design\FC22\DRR Jaime\Por presentar a ECP\Cantagallo\Cristalina\[VRC_CRISTALINA_CF_SEC_20221231.xlsx]CF PDP'!$DN$54</t>
  </si>
  <si>
    <t>='C:\Users\jaime.benazar\Quorum Business Solutions\Ecopetrol Prometeo - Documents\Planning Space Implementation\3. Analysis &amp; Design\Design\FC22\DRR Jaime\Por presentar a ECP\Cantagallo\Cristalina\[VRC_CRISTALINA_CF_SEC_20221231.xlsx]CF PDP'!$DN$55</t>
  </si>
  <si>
    <t>='C:\Users\jaime.benazar\Quorum Business Solutions\Ecopetrol Prometeo - Documents\Planning Space Implementation\3. Analysis &amp; Design\Design\FC22\DRR Jaime\Por presentar a ECP\Cantagallo\Cristalina\[VRC_CRISTALINA_CF_SEC_20221231.xlsx]CF PDP'!$DN$56</t>
  </si>
  <si>
    <t>='C:\Users\jaime.benazar\Quorum Business Solutions\Ecopetrol Prometeo - Documents\Planning Space Implementation\3. Analysis &amp; Design\Design\FC22\DRR Jaime\Por presentar a ECP\Cantagallo\Cristalina\[VRC_CRISTALINA_CF_SEC_20221231.xlsx]CF PDP'!$DN$57</t>
  </si>
  <si>
    <t>='C:\Users\jaime.benazar\Quorum Business Solutions\Ecopetrol Prometeo - Documents\Planning Space Implementation\3. Analysis &amp; Design\Design\FC22\DRR Jaime\Por presentar a ECP\Cantagallo\Cristalina\[VRC_CRISTALINA_CF_SEC_20221231.xlsx]CF PDP'!$DN$58</t>
  </si>
  <si>
    <t>='C:\Users\jaime.benazar\Quorum Business Solutions\Ecopetrol Prometeo - Documents\Planning Space Implementation\3. Analysis &amp; Design\Design\FC22\DRR Jaime\Por presentar a ECP\Cantagallo\Cristalina\[VRC_CRISTALINA_CF_SEC_20221231.xlsx]CF PDP'!$DN$59</t>
  </si>
  <si>
    <t>='C:\Users\jaime.benazar\Quorum Business Solutions\Ecopetrol Prometeo - Documents\Planning Space Implementation\3. Analysis &amp; Design\Design\FC22\DRR Jaime\Por presentar a ECP\Cantagallo\Cristalina\[VRC_CRISTALINA_CF_SEC_20221231.xlsx]CF PDP'!$DN$60</t>
  </si>
  <si>
    <t>='C:\Users\jaime.benazar\Quorum Business Solutions\Ecopetrol Prometeo - Documents\Planning Space Implementation\3. Analysis &amp; Design\Design\FC22\DRR Jaime\Por presentar a ECP\Cantagallo\Cristalina\[VRC_CRISTALINA_CF_SEC_20221231.xlsx]CF PDP'!$DN$61</t>
  </si>
  <si>
    <t>='C:\Users\jaime.benazar\Quorum Business Solutions\Ecopetrol Prometeo - Documents\Planning Space Implementation\3. Analysis &amp; Design\Design\FC22\DRR Jaime\Por presentar a ECP\Cantagallo\Cristalina\[VRC_CRISTALINA_CF_SEC_20221231.xlsx]CF PDP'!$DN$62</t>
  </si>
  <si>
    <t>='C:\Users\jaime.benazar\Quorum Business Solutions\Ecopetrol Prometeo - Documents\Planning Space Implementation\3. Analysis &amp; Design\Design\FC22\DRR Jaime\Por presentar a ECP\Cantagallo\Cristalina\[VRC_CRISTALINA_CF_SEC_20221231.xlsx]CF PDP'!$DN$63</t>
  </si>
  <si>
    <t>='C:\Users\jaime.benazar\Quorum Business Solutions\Ecopetrol Prometeo - Documents\Planning Space Implementation\3. Analysis &amp; Design\Design\FC22\DRR Jaime\Por presentar a ECP\Cantagallo\Cristalina\[VRC_CRISTALINA_CF_SEC_20221231.xlsx]CF PDP'!$DN$64</t>
  </si>
  <si>
    <t>='C:\Users\jaime.benazar\Quorum Business Solutions\Ecopetrol Prometeo - Documents\Planning Space Implementation\3. Analysis &amp; Design\Design\FC22\DRR Jaime\Por presentar a ECP\Cantagallo\Cristalina\[VRC_CRISTALINA_CF_SEC_20221231.xlsx]CF PDP'!$DN$65</t>
  </si>
  <si>
    <t>='C:\Users\jaime.benazar\Quorum Business Solutions\Ecopetrol Prometeo - Documents\Planning Space Implementation\3. Analysis &amp; Design\Design\FC22\DRR Jaime\Por presentar a ECP\Cantagallo\Cristalina\[VRC_CRISTALINA_CF_SEC_20221231.xlsx]CF PDP'!$DN$66</t>
  </si>
  <si>
    <t>='C:\Users\jaime.benazar\Quorum Business Solutions\Ecopetrol Prometeo - Documents\Planning Space Implementation\3. Analysis &amp; Design\Design\FC22\DRR Jaime\Por presentar a ECP\Cantagallo\Cristalina\[VRC_CRISTALINA_CF_SEC_20221231.xlsx]CF PDP'!$DN$67</t>
  </si>
  <si>
    <t>='C:\Users\jaime.benazar\Quorum Business Solutions\Ecopetrol Prometeo - Documents\Planning Space Implementation\3. Analysis &amp; Design\Design\FC22\DRR Jaime\Por presentar a ECP\Cantagallo\Cristalina\[VRC_CRISTALINA_CF_SEC_20221231.xlsx]CF PDP'!$DN$68</t>
  </si>
  <si>
    <t>='C:\Users\jaime.benazar\Quorum Business Solutions\Ecopetrol Prometeo - Documents\Planning Space Implementation\3. Analysis &amp; Design\Design\FC22\DRR Jaime\Por presentar a ECP\Cantagallo\Cristalina\[VRC_CRISTALINA_CF_SEC_20221231.xlsx]CF PDP'!$DN$69</t>
  </si>
  <si>
    <t>='C:\Users\jaime.benazar\Quorum Business Solutions\Ecopetrol Prometeo - Documents\Planning Space Implementation\3. Analysis &amp; Design\Design\FC22\DRR Jaime\Por presentar a ECP\Cantagallo\Cristalina\[VRC_CRISTALINA_CF_SEC_20221231.xlsx]CF PDP'!$DN$70</t>
  </si>
  <si>
    <t>='C:\Users\jaime.benazar\Quorum Business Solutions\Ecopetrol Prometeo - Documents\Planning Space Implementation\3. Analysis &amp; Design\Design\FC22\DRR Jaime\Por presentar a ECP\Cantagallo\Cristalina\[VRC_CRISTALINA_CF_SEC_20221231.xlsx]CF PDP'!$DN$71</t>
  </si>
  <si>
    <t>='C:\Users\jaime.benazar\Quorum Business Solutions\Ecopetrol Prometeo - Documents\Planning Space Implementation\3. Analysis &amp; Design\Design\FC22\DRR Jaime\Por presentar a ECP\Cantagallo\Cristalina\[VRC_CRISTALINA_CF_SEC_20221231.xlsx]CF PDP'!$DN$72</t>
  </si>
  <si>
    <t>='C:\Users\jaime.benazar\Quorum Business Solutions\Ecopetrol Prometeo - Documents\Planning Space Implementation\3. Analysis &amp; Design\Design\FC22\DRR Jaime\Por presentar a ECP\Cantagallo\Cristalina\[VRC_CRISTALINA_CF_SEC_20221231.xlsx]CF PNP'!$DN$36</t>
  </si>
  <si>
    <t>='C:\Users\jaime.benazar\Quorum Business Solutions\Ecopetrol Prometeo - Documents\Planning Space Implementation\3. Analysis &amp; Design\Design\FC22\DRR Jaime\Por presentar a ECP\Cantagallo\Cristalina\[VRC_CRISTALINA_CF_SEC_20221231.xlsx]CF PNP'!$DN$37</t>
  </si>
  <si>
    <t>='C:\Users\jaime.benazar\Quorum Business Solutions\Ecopetrol Prometeo - Documents\Planning Space Implementation\3. Analysis &amp; Design\Design\FC22\DRR Jaime\Por presentar a ECP\Cantagallo\Cristalina\[VRC_CRISTALINA_CF_SEC_20221231.xlsx]CF PNP'!$DN$38</t>
  </si>
  <si>
    <t>='C:\Users\jaime.benazar\Quorum Business Solutions\Ecopetrol Prometeo - Documents\Planning Space Implementation\3. Analysis &amp; Design\Design\FC22\DRR Jaime\Por presentar a ECP\Cantagallo\Cristalina\[VRC_CRISTALINA_CF_SEC_20221231.xlsx]CF PNP'!$DN$39</t>
  </si>
  <si>
    <t>='C:\Users\jaime.benazar\Quorum Business Solutions\Ecopetrol Prometeo - Documents\Planning Space Implementation\3. Analysis &amp; Design\Design\FC22\DRR Jaime\Por presentar a ECP\Cantagallo\Cristalina\[VRC_CRISTALINA_CF_SEC_20221231.xlsx]CF PNP'!$DN$40</t>
  </si>
  <si>
    <t>='C:\Users\jaime.benazar\Quorum Business Solutions\Ecopetrol Prometeo - Documents\Planning Space Implementation\3. Analysis &amp; Design\Design\FC22\DRR Jaime\Por presentar a ECP\Cantagallo\Cristalina\[VRC_CRISTALINA_CF_SEC_20221231.xlsx]CF PNP'!$DN$41</t>
  </si>
  <si>
    <t>='C:\Users\jaime.benazar\Quorum Business Solutions\Ecopetrol Prometeo - Documents\Planning Space Implementation\3. Analysis &amp; Design\Design\FC22\DRR Jaime\Por presentar a ECP\Cantagallo\Cristalina\[VRC_CRISTALINA_CF_SEC_20221231.xlsx]CF PNP'!$DN$42</t>
  </si>
  <si>
    <t>='C:\Users\jaime.benazar\Quorum Business Solutions\Ecopetrol Prometeo - Documents\Planning Space Implementation\3. Analysis &amp; Design\Design\FC22\DRR Jaime\Por presentar a ECP\Cantagallo\Cristalina\[VRC_CRISTALINA_CF_SEC_20221231.xlsx]CF PNP'!$DN$43</t>
  </si>
  <si>
    <t>='C:\Users\jaime.benazar\Quorum Business Solutions\Ecopetrol Prometeo - Documents\Planning Space Implementation\3. Analysis &amp; Design\Design\FC22\DRR Jaime\Por presentar a ECP\Cantagallo\Cristalina\[VRC_CRISTALINA_CF_SEC_20221231.xlsx]CF PNP'!$DN$44</t>
  </si>
  <si>
    <t>='C:\Users\jaime.benazar\Quorum Business Solutions\Ecopetrol Prometeo - Documents\Planning Space Implementation\3. Analysis &amp; Design\Design\FC22\DRR Jaime\Por presentar a ECP\Cantagallo\Cristalina\[VRC_CRISTALINA_CF_SEC_20221231.xlsx]CF PNP'!$DN$45</t>
  </si>
  <si>
    <t>='C:\Users\jaime.benazar\Quorum Business Solutions\Ecopetrol Prometeo - Documents\Planning Space Implementation\3. Analysis &amp; Design\Design\FC22\DRR Jaime\Por presentar a ECP\Cantagallo\Cristalina\[VRC_CRISTALINA_CF_SEC_20221231.xlsx]CF PNP'!$DN$46</t>
  </si>
  <si>
    <t>='C:\Users\jaime.benazar\Quorum Business Solutions\Ecopetrol Prometeo - Documents\Planning Space Implementation\3. Analysis &amp; Design\Design\FC22\DRR Jaime\Por presentar a ECP\Cantagallo\Cristalina\[VRC_CRISTALINA_CF_SEC_20221231.xlsx]CF PNP'!$DN$47</t>
  </si>
  <si>
    <t>='C:\Users\jaime.benazar\Quorum Business Solutions\Ecopetrol Prometeo - Documents\Planning Space Implementation\3. Analysis &amp; Design\Design\FC22\DRR Jaime\Por presentar a ECP\Cantagallo\Cristalina\[VRC_CRISTALINA_CF_SEC_20221231.xlsx]CF PNP'!$DN$48</t>
  </si>
  <si>
    <t>='C:\Users\jaime.benazar\Quorum Business Solutions\Ecopetrol Prometeo - Documents\Planning Space Implementation\3. Analysis &amp; Design\Design\FC22\DRR Jaime\Por presentar a ECP\Cantagallo\Cristalina\[VRC_CRISTALINA_CF_SEC_20221231.xlsx]CF PNP'!$DN$49</t>
  </si>
  <si>
    <t>='C:\Users\jaime.benazar\Quorum Business Solutions\Ecopetrol Prometeo - Documents\Planning Space Implementation\3. Analysis &amp; Design\Design\FC22\DRR Jaime\Por presentar a ECP\Cantagallo\Cristalina\[VRC_CRISTALINA_CF_SEC_20221231.xlsx]CF PNP'!$DN$50</t>
  </si>
  <si>
    <t>='C:\Users\jaime.benazar\Quorum Business Solutions\Ecopetrol Prometeo - Documents\Planning Space Implementation\3. Analysis &amp; Design\Design\FC22\DRR Jaime\Por presentar a ECP\Cantagallo\Cristalina\[VRC_CRISTALINA_CF_SEC_20221231.xlsx]CF PNP'!$DN$51</t>
  </si>
  <si>
    <t>='C:\Users\jaime.benazar\Quorum Business Solutions\Ecopetrol Prometeo - Documents\Planning Space Implementation\3. Analysis &amp; Design\Design\FC22\DRR Jaime\Por presentar a ECP\Cantagallo\Cristalina\[VRC_CRISTALINA_CF_SEC_20221231.xlsx]CF PNP'!$DN$52</t>
  </si>
  <si>
    <t>='C:\Users\jaime.benazar\Quorum Business Solutions\Ecopetrol Prometeo - Documents\Planning Space Implementation\3. Analysis &amp; Design\Design\FC22\DRR Jaime\Por presentar a ECP\Cantagallo\Cristalina\[VRC_CRISTALINA_CF_SEC_20221231.xlsx]CF PNP'!$DN$53</t>
  </si>
  <si>
    <t>='C:\Users\jaime.benazar\Quorum Business Solutions\Ecopetrol Prometeo - Documents\Planning Space Implementation\3. Analysis &amp; Design\Design\FC22\DRR Jaime\Por presentar a ECP\Cantagallo\Cristalina\[VRC_CRISTALINA_CF_SEC_20221231.xlsx]CF PNP'!$DN$54</t>
  </si>
  <si>
    <t>='C:\Users\jaime.benazar\Quorum Business Solutions\Ecopetrol Prometeo - Documents\Planning Space Implementation\3. Analysis &amp; Design\Design\FC22\DRR Jaime\Por presentar a ECP\Cantagallo\Cristalina\[VRC_CRISTALINA_CF_SEC_20221231.xlsx]CF PNP'!$DN$55</t>
  </si>
  <si>
    <t>='C:\Users\jaime.benazar\Quorum Business Solutions\Ecopetrol Prometeo - Documents\Planning Space Implementation\3. Analysis &amp; Design\Design\FC22\DRR Jaime\Por presentar a ECP\Cantagallo\Cristalina\[VRC_CRISTALINA_CF_SEC_20221231.xlsx]CF PNP'!$DN$56</t>
  </si>
  <si>
    <t>='C:\Users\jaime.benazar\Quorum Business Solutions\Ecopetrol Prometeo - Documents\Planning Space Implementation\3. Analysis &amp; Design\Design\FC22\DRR Jaime\Por presentar a ECP\Cantagallo\Cristalina\[VRC_CRISTALINA_CF_SEC_20221231.xlsx]CF PNP'!$DN$57</t>
  </si>
  <si>
    <t>='C:\Users\jaime.benazar\Quorum Business Solutions\Ecopetrol Prometeo - Documents\Planning Space Implementation\3. Analysis &amp; Design\Design\FC22\DRR Jaime\Por presentar a ECP\Cantagallo\Cristalina\[VRC_CRISTALINA_CF_SEC_20221231.xlsx]CF PNP'!$DN$58</t>
  </si>
  <si>
    <t>='C:\Users\jaime.benazar\Quorum Business Solutions\Ecopetrol Prometeo - Documents\Planning Space Implementation\3. Analysis &amp; Design\Design\FC22\DRR Jaime\Por presentar a ECP\Cantagallo\Cristalina\[VRC_CRISTALINA_CF_SEC_20221231.xlsx]CF PNP'!$DN$59</t>
  </si>
  <si>
    <t>='C:\Users\jaime.benazar\Quorum Business Solutions\Ecopetrol Prometeo - Documents\Planning Space Implementation\3. Analysis &amp; Design\Design\FC22\DRR Jaime\Por presentar a ECP\Cantagallo\Cristalina\[VRC_CRISTALINA_CF_SEC_20221231.xlsx]CF PNP'!$DN$60</t>
  </si>
  <si>
    <t>='C:\Users\jaime.benazar\Quorum Business Solutions\Ecopetrol Prometeo - Documents\Planning Space Implementation\3. Analysis &amp; Design\Design\FC22\DRR Jaime\Por presentar a ECP\Cantagallo\Cristalina\[VRC_CRISTALINA_CF_SEC_20221231.xlsx]CF PNP'!$DN$61</t>
  </si>
  <si>
    <t>='C:\Users\jaime.benazar\Quorum Business Solutions\Ecopetrol Prometeo - Documents\Planning Space Implementation\3. Analysis &amp; Design\Design\FC22\DRR Jaime\Por presentar a ECP\Cantagallo\Cristalina\[VRC_CRISTALINA_CF_SEC_20221231.xlsx]CF PNP'!$DN$62</t>
  </si>
  <si>
    <t>='C:\Users\jaime.benazar\Quorum Business Solutions\Ecopetrol Prometeo - Documents\Planning Space Implementation\3. Analysis &amp; Design\Design\FC22\DRR Jaime\Por presentar a ECP\Cantagallo\Cristalina\[VRC_CRISTALINA_CF_SEC_20221231.xlsx]CF PNP'!$DN$63</t>
  </si>
  <si>
    <t>='C:\Users\jaime.benazar\Quorum Business Solutions\Ecopetrol Prometeo - Documents\Planning Space Implementation\3. Analysis &amp; Design\Design\FC22\DRR Jaime\Por presentar a ECP\Cantagallo\Cristalina\[VRC_CRISTALINA_CF_SEC_20221231.xlsx]CF PNP'!$DN$64</t>
  </si>
  <si>
    <t>='C:\Users\jaime.benazar\Quorum Business Solutions\Ecopetrol Prometeo - Documents\Planning Space Implementation\3. Analysis &amp; Design\Design\FC22\DRR Jaime\Por presentar a ECP\Cantagallo\Cristalina\[VRC_CRISTALINA_CF_SEC_20221231.xlsx]CF PNP'!$DN$65</t>
  </si>
  <si>
    <t>='C:\Users\jaime.benazar\Quorum Business Solutions\Ecopetrol Prometeo - Documents\Planning Space Implementation\3. Analysis &amp; Design\Design\FC22\DRR Jaime\Por presentar a ECP\Cantagallo\Cristalina\[VRC_CRISTALINA_CF_SEC_20221231.xlsx]CF PNP'!$DN$66</t>
  </si>
  <si>
    <t>='C:\Users\jaime.benazar\Quorum Business Solutions\Ecopetrol Prometeo - Documents\Planning Space Implementation\3. Analysis &amp; Design\Design\FC22\DRR Jaime\Por presentar a ECP\Cantagallo\Cristalina\[VRC_CRISTALINA_CF_SEC_20221231.xlsx]CF PNP'!$DN$67</t>
  </si>
  <si>
    <t>='C:\Users\jaime.benazar\Quorum Business Solutions\Ecopetrol Prometeo - Documents\Planning Space Implementation\3. Analysis &amp; Design\Design\FC22\DRR Jaime\Por presentar a ECP\Cantagallo\Cristalina\[VRC_CRISTALINA_CF_SEC_20221231.xlsx]CF PNP'!$DN$68</t>
  </si>
  <si>
    <t>='C:\Users\jaime.benazar\Quorum Business Solutions\Ecopetrol Prometeo - Documents\Planning Space Implementation\3. Analysis &amp; Design\Design\FC22\DRR Jaime\Por presentar a ECP\Cantagallo\Cristalina\[VRC_CRISTALINA_CF_SEC_20221231.xlsx]CF PNP'!$DN$69</t>
  </si>
  <si>
    <t>='C:\Users\jaime.benazar\Quorum Business Solutions\Ecopetrol Prometeo - Documents\Planning Space Implementation\3. Analysis &amp; Design\Design\FC22\DRR Jaime\Por presentar a ECP\Cantagallo\Cristalina\[VRC_CRISTALINA_CF_SEC_20221231.xlsx]CF PNP'!$DN$70</t>
  </si>
  <si>
    <t>='C:\Users\jaime.benazar\Quorum Business Solutions\Ecopetrol Prometeo - Documents\Planning Space Implementation\3. Analysis &amp; Design\Design\FC22\DRR Jaime\Por presentar a ECP\Cantagallo\Cristalina\[VRC_CRISTALINA_CF_SEC_20221231.xlsx]CF PNP'!$DN$71</t>
  </si>
  <si>
    <t>='C:\Users\jaime.benazar\Quorum Business Solutions\Ecopetrol Prometeo - Documents\Planning Space Implementation\3. Analysis &amp; Design\Design\FC22\DRR Jaime\Por presentar a ECP\Cantagallo\Cristalina\[VRC_CRISTALINA_CF_SEC_20221231.xlsx]CF PNP'!$DN$72</t>
  </si>
  <si>
    <t>='C:\Users\jaime.benazar\Quorum Business Solutions\Ecopetrol Prometeo - Documents\Planning Space Implementation\3. Analysis &amp; Design\Design\FC22\DRR Jaime\Por presentar a ECP\Cantagallo\Cristalina\[VRC_CRISTALINA_CF_SEC_20221231.xlsx]CF PND'!$DN$36</t>
  </si>
  <si>
    <t>='C:\Users\jaime.benazar\Quorum Business Solutions\Ecopetrol Prometeo - Documents\Planning Space Implementation\3. Analysis &amp; Design\Design\FC22\DRR Jaime\Por presentar a ECP\Cantagallo\Cristalina\[VRC_CRISTALINA_CF_SEC_20221231.xlsx]CF PND'!$DN$37</t>
  </si>
  <si>
    <t>='C:\Users\jaime.benazar\Quorum Business Solutions\Ecopetrol Prometeo - Documents\Planning Space Implementation\3. Analysis &amp; Design\Design\FC22\DRR Jaime\Por presentar a ECP\Cantagallo\Cristalina\[VRC_CRISTALINA_CF_SEC_20221231.xlsx]CF PND'!$DN$38</t>
  </si>
  <si>
    <t>='C:\Users\jaime.benazar\Quorum Business Solutions\Ecopetrol Prometeo - Documents\Planning Space Implementation\3. Analysis &amp; Design\Design\FC22\DRR Jaime\Por presentar a ECP\Cantagallo\Cristalina\[VRC_CRISTALINA_CF_SEC_20221231.xlsx]CF PND'!$DN$39</t>
  </si>
  <si>
    <t>='C:\Users\jaime.benazar\Quorum Business Solutions\Ecopetrol Prometeo - Documents\Planning Space Implementation\3. Analysis &amp; Design\Design\FC22\DRR Jaime\Por presentar a ECP\Cantagallo\Cristalina\[VRC_CRISTALINA_CF_SEC_20221231.xlsx]CF PND'!$DN$40</t>
  </si>
  <si>
    <t>='C:\Users\jaime.benazar\Quorum Business Solutions\Ecopetrol Prometeo - Documents\Planning Space Implementation\3. Analysis &amp; Design\Design\FC22\DRR Jaime\Por presentar a ECP\Cantagallo\Cristalina\[VRC_CRISTALINA_CF_SEC_20221231.xlsx]CF PND'!$DN$41</t>
  </si>
  <si>
    <t>='C:\Users\jaime.benazar\Quorum Business Solutions\Ecopetrol Prometeo - Documents\Planning Space Implementation\3. Analysis &amp; Design\Design\FC22\DRR Jaime\Por presentar a ECP\Cantagallo\Cristalina\[VRC_CRISTALINA_CF_SEC_20221231.xlsx]CF PND'!$DN$42</t>
  </si>
  <si>
    <t>='C:\Users\jaime.benazar\Quorum Business Solutions\Ecopetrol Prometeo - Documents\Planning Space Implementation\3. Analysis &amp; Design\Design\FC22\DRR Jaime\Por presentar a ECP\Cantagallo\Cristalina\[VRC_CRISTALINA_CF_SEC_20221231.xlsx]CF PND'!$DN$43</t>
  </si>
  <si>
    <t>='C:\Users\jaime.benazar\Quorum Business Solutions\Ecopetrol Prometeo - Documents\Planning Space Implementation\3. Analysis &amp; Design\Design\FC22\DRR Jaime\Por presentar a ECP\Cantagallo\Cristalina\[VRC_CRISTALINA_CF_SEC_20221231.xlsx]CF PND'!$DN$44</t>
  </si>
  <si>
    <t>='C:\Users\jaime.benazar\Quorum Business Solutions\Ecopetrol Prometeo - Documents\Planning Space Implementation\3. Analysis &amp; Design\Design\FC22\DRR Jaime\Por presentar a ECP\Cantagallo\Cristalina\[VRC_CRISTALINA_CF_SEC_20221231.xlsx]CF PND'!$DN$45</t>
  </si>
  <si>
    <t>='C:\Users\jaime.benazar\Quorum Business Solutions\Ecopetrol Prometeo - Documents\Planning Space Implementation\3. Analysis &amp; Design\Design\FC22\DRR Jaime\Por presentar a ECP\Cantagallo\Cristalina\[VRC_CRISTALINA_CF_SEC_20221231.xlsx]CF PND'!$DN$46</t>
  </si>
  <si>
    <t>='C:\Users\jaime.benazar\Quorum Business Solutions\Ecopetrol Prometeo - Documents\Planning Space Implementation\3. Analysis &amp; Design\Design\FC22\DRR Jaime\Por presentar a ECP\Cantagallo\Cristalina\[VRC_CRISTALINA_CF_SEC_20221231.xlsx]CF PND'!$DN$47</t>
  </si>
  <si>
    <t>='C:\Users\jaime.benazar\Quorum Business Solutions\Ecopetrol Prometeo - Documents\Planning Space Implementation\3. Analysis &amp; Design\Design\FC22\DRR Jaime\Por presentar a ECP\Cantagallo\Cristalina\[VRC_CRISTALINA_CF_SEC_20221231.xlsx]CF PND'!$DN$48</t>
  </si>
  <si>
    <t>='C:\Users\jaime.benazar\Quorum Business Solutions\Ecopetrol Prometeo - Documents\Planning Space Implementation\3. Analysis &amp; Design\Design\FC22\DRR Jaime\Por presentar a ECP\Cantagallo\Cristalina\[VRC_CRISTALINA_CF_SEC_20221231.xlsx]CF PND'!$DN$49</t>
  </si>
  <si>
    <t>='C:\Users\jaime.benazar\Quorum Business Solutions\Ecopetrol Prometeo - Documents\Planning Space Implementation\3. Analysis &amp; Design\Design\FC22\DRR Jaime\Por presentar a ECP\Cantagallo\Cristalina\[VRC_CRISTALINA_CF_SEC_20221231.xlsx]CF PND'!$DN$50</t>
  </si>
  <si>
    <t>='C:\Users\jaime.benazar\Quorum Business Solutions\Ecopetrol Prometeo - Documents\Planning Space Implementation\3. Analysis &amp; Design\Design\FC22\DRR Jaime\Por presentar a ECP\Cantagallo\Cristalina\[VRC_CRISTALINA_CF_SEC_20221231.xlsx]CF PND'!$DN$51</t>
  </si>
  <si>
    <t>='C:\Users\jaime.benazar\Quorum Business Solutions\Ecopetrol Prometeo - Documents\Planning Space Implementation\3. Analysis &amp; Design\Design\FC22\DRR Jaime\Por presentar a ECP\Cantagallo\Cristalina\[VRC_CRISTALINA_CF_SEC_20221231.xlsx]CF PND'!$DN$52</t>
  </si>
  <si>
    <t>='C:\Users\jaime.benazar\Quorum Business Solutions\Ecopetrol Prometeo - Documents\Planning Space Implementation\3. Analysis &amp; Design\Design\FC22\DRR Jaime\Por presentar a ECP\Cantagallo\Cristalina\[VRC_CRISTALINA_CF_SEC_20221231.xlsx]CF PND'!$DN$53</t>
  </si>
  <si>
    <t>='C:\Users\jaime.benazar\Quorum Business Solutions\Ecopetrol Prometeo - Documents\Planning Space Implementation\3. Analysis &amp; Design\Design\FC22\DRR Jaime\Por presentar a ECP\Cantagallo\Cristalina\[VRC_CRISTALINA_CF_SEC_20221231.xlsx]CF PND'!$DN$54</t>
  </si>
  <si>
    <t>='C:\Users\jaime.benazar\Quorum Business Solutions\Ecopetrol Prometeo - Documents\Planning Space Implementation\3. Analysis &amp; Design\Design\FC22\DRR Jaime\Por presentar a ECP\Cantagallo\Cristalina\[VRC_CRISTALINA_CF_SEC_20221231.xlsx]CF PND'!$DN$55</t>
  </si>
  <si>
    <t>='C:\Users\jaime.benazar\Quorum Business Solutions\Ecopetrol Prometeo - Documents\Planning Space Implementation\3. Analysis &amp; Design\Design\FC22\DRR Jaime\Por presentar a ECP\Cantagallo\Cristalina\[VRC_CRISTALINA_CF_SEC_20221231.xlsx]CF PND'!$DN$56</t>
  </si>
  <si>
    <t>='C:\Users\jaime.benazar\Quorum Business Solutions\Ecopetrol Prometeo - Documents\Planning Space Implementation\3. Analysis &amp; Design\Design\FC22\DRR Jaime\Por presentar a ECP\Cantagallo\Cristalina\[VRC_CRISTALINA_CF_SEC_20221231.xlsx]CF PND'!$DN$57</t>
  </si>
  <si>
    <t>='C:\Users\jaime.benazar\Quorum Business Solutions\Ecopetrol Prometeo - Documents\Planning Space Implementation\3. Analysis &amp; Design\Design\FC22\DRR Jaime\Por presentar a ECP\Cantagallo\Cristalina\[VRC_CRISTALINA_CF_SEC_20221231.xlsx]CF PND'!$DN$58</t>
  </si>
  <si>
    <t>='C:\Users\jaime.benazar\Quorum Business Solutions\Ecopetrol Prometeo - Documents\Planning Space Implementation\3. Analysis &amp; Design\Design\FC22\DRR Jaime\Por presentar a ECP\Cantagallo\Cristalina\[VRC_CRISTALINA_CF_SEC_20221231.xlsx]CF PND'!$DN$59</t>
  </si>
  <si>
    <t>='C:\Users\jaime.benazar\Quorum Business Solutions\Ecopetrol Prometeo - Documents\Planning Space Implementation\3. Analysis &amp; Design\Design\FC22\DRR Jaime\Por presentar a ECP\Cantagallo\Cristalina\[VRC_CRISTALINA_CF_SEC_20221231.xlsx]CF PND'!$DN$60</t>
  </si>
  <si>
    <t>='C:\Users\jaime.benazar\Quorum Business Solutions\Ecopetrol Prometeo - Documents\Planning Space Implementation\3. Analysis &amp; Design\Design\FC22\DRR Jaime\Por presentar a ECP\Cantagallo\Cristalina\[VRC_CRISTALINA_CF_SEC_20221231.xlsx]CF PND'!$DN$61</t>
  </si>
  <si>
    <t>='C:\Users\jaime.benazar\Quorum Business Solutions\Ecopetrol Prometeo - Documents\Planning Space Implementation\3. Analysis &amp; Design\Design\FC22\DRR Jaime\Por presentar a ECP\Cantagallo\Cristalina\[VRC_CRISTALINA_CF_SEC_20221231.xlsx]CF PND'!$DN$62</t>
  </si>
  <si>
    <t>='C:\Users\jaime.benazar\Quorum Business Solutions\Ecopetrol Prometeo - Documents\Planning Space Implementation\3. Analysis &amp; Design\Design\FC22\DRR Jaime\Por presentar a ECP\Cantagallo\Cristalina\[VRC_CRISTALINA_CF_SEC_20221231.xlsx]CF PND'!$DN$63</t>
  </si>
  <si>
    <t>='C:\Users\jaime.benazar\Quorum Business Solutions\Ecopetrol Prometeo - Documents\Planning Space Implementation\3. Analysis &amp; Design\Design\FC22\DRR Jaime\Por presentar a ECP\Cantagallo\Cristalina\[VRC_CRISTALINA_CF_SEC_20221231.xlsx]CF PND'!$DN$64</t>
  </si>
  <si>
    <t>='C:\Users\jaime.benazar\Quorum Business Solutions\Ecopetrol Prometeo - Documents\Planning Space Implementation\3. Analysis &amp; Design\Design\FC22\DRR Jaime\Por presentar a ECP\Cantagallo\Cristalina\[VRC_CRISTALINA_CF_SEC_20221231.xlsx]CF PND'!$DN$65</t>
  </si>
  <si>
    <t>='C:\Users\jaime.benazar\Quorum Business Solutions\Ecopetrol Prometeo - Documents\Planning Space Implementation\3. Analysis &amp; Design\Design\FC22\DRR Jaime\Por presentar a ECP\Cantagallo\Cristalina\[VRC_CRISTALINA_CF_SEC_20221231.xlsx]CF PND'!$DN$66</t>
  </si>
  <si>
    <t>='C:\Users\jaime.benazar\Quorum Business Solutions\Ecopetrol Prometeo - Documents\Planning Space Implementation\3. Analysis &amp; Design\Design\FC22\DRR Jaime\Por presentar a ECP\Cantagallo\Cristalina\[VRC_CRISTALINA_CF_SEC_20221231.xlsx]CF PND'!$DN$67</t>
  </si>
  <si>
    <t>='C:\Users\jaime.benazar\Quorum Business Solutions\Ecopetrol Prometeo - Documents\Planning Space Implementation\3. Analysis &amp; Design\Design\FC22\DRR Jaime\Por presentar a ECP\Cantagallo\Cristalina\[VRC_CRISTALINA_CF_SEC_20221231.xlsx]CF PND'!$DN$68</t>
  </si>
  <si>
    <t>='C:\Users\jaime.benazar\Quorum Business Solutions\Ecopetrol Prometeo - Documents\Planning Space Implementation\3. Analysis &amp; Design\Design\FC22\DRR Jaime\Por presentar a ECP\Cantagallo\Cristalina\[VRC_CRISTALINA_CF_SEC_20221231.xlsx]CF PND'!$DN$69</t>
  </si>
  <si>
    <t>='C:\Users\jaime.benazar\Quorum Business Solutions\Ecopetrol Prometeo - Documents\Planning Space Implementation\3. Analysis &amp; Design\Design\FC22\DRR Jaime\Por presentar a ECP\Cantagallo\Cristalina\[VRC_CRISTALINA_CF_SEC_20221231.xlsx]CF PND'!$DN$70</t>
  </si>
  <si>
    <t>='C:\Users\jaime.benazar\Quorum Business Solutions\Ecopetrol Prometeo - Documents\Planning Space Implementation\3. Analysis &amp; Design\Design\FC22\DRR Jaime\Por presentar a ECP\Cantagallo\Cristalina\[VRC_CRISTALINA_CF_SEC_20221231.xlsx]CF PND'!$DN$71</t>
  </si>
  <si>
    <t>='C:\Users\jaime.benazar\Quorum Business Solutions\Ecopetrol Prometeo - Documents\Planning Space Implementation\3. Analysis &amp; Design\Design\FC22\DRR Jaime\Por presentar a ECP\Cantagallo\Cristalina\[VRC_CRISTALINA_CF_SEC_20221231.xlsx]CF PND'!$DN$72</t>
  </si>
  <si>
    <t>='C:\Users\jaime.benazar\Quorum Business Solutions\Ecopetrol Prometeo - Documents\Planning Space Implementation\3. Analysis &amp; Design\Design\FC22\DRR Jaime\Por presentar a ECP\Cantagallo\Cristalina\[VRC_CRISTALINA_CF_SEC_20221231.xlsx]CF PRB'!$DN$36</t>
  </si>
  <si>
    <t>='C:\Users\jaime.benazar\Quorum Business Solutions\Ecopetrol Prometeo - Documents\Planning Space Implementation\3. Analysis &amp; Design\Design\FC22\DRR Jaime\Por presentar a ECP\Cantagallo\Cristalina\[VRC_CRISTALINA_CF_SEC_20221231.xlsx]CF PRB'!$DN$37</t>
  </si>
  <si>
    <t>='C:\Users\jaime.benazar\Quorum Business Solutions\Ecopetrol Prometeo - Documents\Planning Space Implementation\3. Analysis &amp; Design\Design\FC22\DRR Jaime\Por presentar a ECP\Cantagallo\Cristalina\[VRC_CRISTALINA_CF_SEC_20221231.xlsx]CF PRB'!$DN$38</t>
  </si>
  <si>
    <t>='C:\Users\jaime.benazar\Quorum Business Solutions\Ecopetrol Prometeo - Documents\Planning Space Implementation\3. Analysis &amp; Design\Design\FC22\DRR Jaime\Por presentar a ECP\Cantagallo\Cristalina\[VRC_CRISTALINA_CF_SEC_20221231.xlsx]CF PRB'!$DN$39</t>
  </si>
  <si>
    <t>='C:\Users\jaime.benazar\Quorum Business Solutions\Ecopetrol Prometeo - Documents\Planning Space Implementation\3. Analysis &amp; Design\Design\FC22\DRR Jaime\Por presentar a ECP\Cantagallo\Cristalina\[VRC_CRISTALINA_CF_SEC_20221231.xlsx]CF PRB'!$DN$40</t>
  </si>
  <si>
    <t>='C:\Users\jaime.benazar\Quorum Business Solutions\Ecopetrol Prometeo - Documents\Planning Space Implementation\3. Analysis &amp; Design\Design\FC22\DRR Jaime\Por presentar a ECP\Cantagallo\Cristalina\[VRC_CRISTALINA_CF_SEC_20221231.xlsx]CF PRB'!$DN$41</t>
  </si>
  <si>
    <t>='C:\Users\jaime.benazar\Quorum Business Solutions\Ecopetrol Prometeo - Documents\Planning Space Implementation\3. Analysis &amp; Design\Design\FC22\DRR Jaime\Por presentar a ECP\Cantagallo\Cristalina\[VRC_CRISTALINA_CF_SEC_20221231.xlsx]CF PRB'!$DN$42</t>
  </si>
  <si>
    <t>='C:\Users\jaime.benazar\Quorum Business Solutions\Ecopetrol Prometeo - Documents\Planning Space Implementation\3. Analysis &amp; Design\Design\FC22\DRR Jaime\Por presentar a ECP\Cantagallo\Cristalina\[VRC_CRISTALINA_CF_SEC_20221231.xlsx]CF PRB'!$DN$43</t>
  </si>
  <si>
    <t>='C:\Users\jaime.benazar\Quorum Business Solutions\Ecopetrol Prometeo - Documents\Planning Space Implementation\3. Analysis &amp; Design\Design\FC22\DRR Jaime\Por presentar a ECP\Cantagallo\Cristalina\[VRC_CRISTALINA_CF_SEC_20221231.xlsx]CF PRB'!$DN$44</t>
  </si>
  <si>
    <t>='C:\Users\jaime.benazar\Quorum Business Solutions\Ecopetrol Prometeo - Documents\Planning Space Implementation\3. Analysis &amp; Design\Design\FC22\DRR Jaime\Por presentar a ECP\Cantagallo\Cristalina\[VRC_CRISTALINA_CF_SEC_20221231.xlsx]CF PRB'!$DN$45</t>
  </si>
  <si>
    <t>='C:\Users\jaime.benazar\Quorum Business Solutions\Ecopetrol Prometeo - Documents\Planning Space Implementation\3. Analysis &amp; Design\Design\FC22\DRR Jaime\Por presentar a ECP\Cantagallo\Cristalina\[VRC_CRISTALINA_CF_SEC_20221231.xlsx]CF PRB'!$DN$46</t>
  </si>
  <si>
    <t>='C:\Users\jaime.benazar\Quorum Business Solutions\Ecopetrol Prometeo - Documents\Planning Space Implementation\3. Analysis &amp; Design\Design\FC22\DRR Jaime\Por presentar a ECP\Cantagallo\Cristalina\[VRC_CRISTALINA_CF_SEC_20221231.xlsx]CF PRB'!$DN$47</t>
  </si>
  <si>
    <t>='C:\Users\jaime.benazar\Quorum Business Solutions\Ecopetrol Prometeo - Documents\Planning Space Implementation\3. Analysis &amp; Design\Design\FC22\DRR Jaime\Por presentar a ECP\Cantagallo\Cristalina\[VRC_CRISTALINA_CF_SEC_20221231.xlsx]CF PRB'!$DN$48</t>
  </si>
  <si>
    <t>='C:\Users\jaime.benazar\Quorum Business Solutions\Ecopetrol Prometeo - Documents\Planning Space Implementation\3. Analysis &amp; Design\Design\FC22\DRR Jaime\Por presentar a ECP\Cantagallo\Cristalina\[VRC_CRISTALINA_CF_SEC_20221231.xlsx]CF PRB'!$DN$49</t>
  </si>
  <si>
    <t>='C:\Users\jaime.benazar\Quorum Business Solutions\Ecopetrol Prometeo - Documents\Planning Space Implementation\3. Analysis &amp; Design\Design\FC22\DRR Jaime\Por presentar a ECP\Cantagallo\Cristalina\[VRC_CRISTALINA_CF_SEC_20221231.xlsx]CF PRB'!$DN$50</t>
  </si>
  <si>
    <t>='C:\Users\jaime.benazar\Quorum Business Solutions\Ecopetrol Prometeo - Documents\Planning Space Implementation\3. Analysis &amp; Design\Design\FC22\DRR Jaime\Por presentar a ECP\Cantagallo\Cristalina\[VRC_CRISTALINA_CF_SEC_20221231.xlsx]CF PRB'!$DN$51</t>
  </si>
  <si>
    <t>='C:\Users\jaime.benazar\Quorum Business Solutions\Ecopetrol Prometeo - Documents\Planning Space Implementation\3. Analysis &amp; Design\Design\FC22\DRR Jaime\Por presentar a ECP\Cantagallo\Cristalina\[VRC_CRISTALINA_CF_SEC_20221231.xlsx]CF PRB'!$DN$52</t>
  </si>
  <si>
    <t>='C:\Users\jaime.benazar\Quorum Business Solutions\Ecopetrol Prometeo - Documents\Planning Space Implementation\3. Analysis &amp; Design\Design\FC22\DRR Jaime\Por presentar a ECP\Cantagallo\Cristalina\[VRC_CRISTALINA_CF_SEC_20221231.xlsx]CF PRB'!$DN$53</t>
  </si>
  <si>
    <t>='C:\Users\jaime.benazar\Quorum Business Solutions\Ecopetrol Prometeo - Documents\Planning Space Implementation\3. Analysis &amp; Design\Design\FC22\DRR Jaime\Por presentar a ECP\Cantagallo\Cristalina\[VRC_CRISTALINA_CF_SEC_20221231.xlsx]CF PRB'!$DN$54</t>
  </si>
  <si>
    <t>='C:\Users\jaime.benazar\Quorum Business Solutions\Ecopetrol Prometeo - Documents\Planning Space Implementation\3. Analysis &amp; Design\Design\FC22\DRR Jaime\Por presentar a ECP\Cantagallo\Cristalina\[VRC_CRISTALINA_CF_SEC_20221231.xlsx]CF PRB'!$DN$55</t>
  </si>
  <si>
    <t>='C:\Users\jaime.benazar\Quorum Business Solutions\Ecopetrol Prometeo - Documents\Planning Space Implementation\3. Analysis &amp; Design\Design\FC22\DRR Jaime\Por presentar a ECP\Cantagallo\Cristalina\[VRC_CRISTALINA_CF_SEC_20221231.xlsx]CF PRB'!$DN$56</t>
  </si>
  <si>
    <t>='C:\Users\jaime.benazar\Quorum Business Solutions\Ecopetrol Prometeo - Documents\Planning Space Implementation\3. Analysis &amp; Design\Design\FC22\DRR Jaime\Por presentar a ECP\Cantagallo\Cristalina\[VRC_CRISTALINA_CF_SEC_20221231.xlsx]CF PRB'!$DN$57</t>
  </si>
  <si>
    <t>='C:\Users\jaime.benazar\Quorum Business Solutions\Ecopetrol Prometeo - Documents\Planning Space Implementation\3. Analysis &amp; Design\Design\FC22\DRR Jaime\Por presentar a ECP\Cantagallo\Cristalina\[VRC_CRISTALINA_CF_SEC_20221231.xlsx]CF PRB'!$DN$58</t>
  </si>
  <si>
    <t>='C:\Users\jaime.benazar\Quorum Business Solutions\Ecopetrol Prometeo - Documents\Planning Space Implementation\3. Analysis &amp; Design\Design\FC22\DRR Jaime\Por presentar a ECP\Cantagallo\Cristalina\[VRC_CRISTALINA_CF_SEC_20221231.xlsx]CF PRB'!$DN$59</t>
  </si>
  <si>
    <t>='C:\Users\jaime.benazar\Quorum Business Solutions\Ecopetrol Prometeo - Documents\Planning Space Implementation\3. Analysis &amp; Design\Design\FC22\DRR Jaime\Por presentar a ECP\Cantagallo\Cristalina\[VRC_CRISTALINA_CF_SEC_20221231.xlsx]CF PRB'!$DN$60</t>
  </si>
  <si>
    <t>='C:\Users\jaime.benazar\Quorum Business Solutions\Ecopetrol Prometeo - Documents\Planning Space Implementation\3. Analysis &amp; Design\Design\FC22\DRR Jaime\Por presentar a ECP\Cantagallo\Cristalina\[VRC_CRISTALINA_CF_SEC_20221231.xlsx]CF PRB'!$DN$61</t>
  </si>
  <si>
    <t>='C:\Users\jaime.benazar\Quorum Business Solutions\Ecopetrol Prometeo - Documents\Planning Space Implementation\3. Analysis &amp; Design\Design\FC22\DRR Jaime\Por presentar a ECP\Cantagallo\Cristalina\[VRC_CRISTALINA_CF_SEC_20221231.xlsx]CF PRB'!$DN$62</t>
  </si>
  <si>
    <t>='C:\Users\jaime.benazar\Quorum Business Solutions\Ecopetrol Prometeo - Documents\Planning Space Implementation\3. Analysis &amp; Design\Design\FC22\DRR Jaime\Por presentar a ECP\Cantagallo\Cristalina\[VRC_CRISTALINA_CF_SEC_20221231.xlsx]CF PRB'!$DN$63</t>
  </si>
  <si>
    <t>='C:\Users\jaime.benazar\Quorum Business Solutions\Ecopetrol Prometeo - Documents\Planning Space Implementation\3. Analysis &amp; Design\Design\FC22\DRR Jaime\Por presentar a ECP\Cantagallo\Cristalina\[VRC_CRISTALINA_CF_SEC_20221231.xlsx]CF PRB'!$DN$64</t>
  </si>
  <si>
    <t>='C:\Users\jaime.benazar\Quorum Business Solutions\Ecopetrol Prometeo - Documents\Planning Space Implementation\3. Analysis &amp; Design\Design\FC22\DRR Jaime\Por presentar a ECP\Cantagallo\Cristalina\[VRC_CRISTALINA_CF_SEC_20221231.xlsx]CF PRB'!$DN$65</t>
  </si>
  <si>
    <t>='C:\Users\jaime.benazar\Quorum Business Solutions\Ecopetrol Prometeo - Documents\Planning Space Implementation\3. Analysis &amp; Design\Design\FC22\DRR Jaime\Por presentar a ECP\Cantagallo\Cristalina\[VRC_CRISTALINA_CF_SEC_20221231.xlsx]CF PRB'!$DN$66</t>
  </si>
  <si>
    <t>='C:\Users\jaime.benazar\Quorum Business Solutions\Ecopetrol Prometeo - Documents\Planning Space Implementation\3. Analysis &amp; Design\Design\FC22\DRR Jaime\Por presentar a ECP\Cantagallo\Cristalina\[VRC_CRISTALINA_CF_SEC_20221231.xlsx]CF PRB'!$DN$67</t>
  </si>
  <si>
    <t>='C:\Users\jaime.benazar\Quorum Business Solutions\Ecopetrol Prometeo - Documents\Planning Space Implementation\3. Analysis &amp; Design\Design\FC22\DRR Jaime\Por presentar a ECP\Cantagallo\Cristalina\[VRC_CRISTALINA_CF_SEC_20221231.xlsx]CF PRB'!$DN$68</t>
  </si>
  <si>
    <t>='C:\Users\jaime.benazar\Quorum Business Solutions\Ecopetrol Prometeo - Documents\Planning Space Implementation\3. Analysis &amp; Design\Design\FC22\DRR Jaime\Por presentar a ECP\Cantagallo\Cristalina\[VRC_CRISTALINA_CF_SEC_20221231.xlsx]CF PRB'!$DN$69</t>
  </si>
  <si>
    <t>='C:\Users\jaime.benazar\Quorum Business Solutions\Ecopetrol Prometeo - Documents\Planning Space Implementation\3. Analysis &amp; Design\Design\FC22\DRR Jaime\Por presentar a ECP\Cantagallo\Cristalina\[VRC_CRISTALINA_CF_SEC_20221231.xlsx]CF PRB'!$DN$70</t>
  </si>
  <si>
    <t>='C:\Users\jaime.benazar\Quorum Business Solutions\Ecopetrol Prometeo - Documents\Planning Space Implementation\3. Analysis &amp; Design\Design\FC22\DRR Jaime\Por presentar a ECP\Cantagallo\Cristalina\[VRC_CRISTALINA_CF_SEC_20221231.xlsx]CF PRB'!$DN$71</t>
  </si>
  <si>
    <t>='C:\Users\jaime.benazar\Quorum Business Solutions\Ecopetrol Prometeo - Documents\Planning Space Implementation\3. Analysis &amp; Design\Design\FC22\DRR Jaime\Por presentar a ECP\Cantagallo\Cristalina\[VRC_CRISTALINA_CF_SEC_20221231.xlsx]CF PRB'!$DN$72</t>
  </si>
  <si>
    <t>='C:\Users\jaime.benazar\Quorum Business Solutions\Ecopetrol Prometeo - Documents\Planning Space Implementation\3. Analysis &amp; Design\Design\FC22\DRR Jaime\Por presentar a ECP\Cantagallo\Cristalina\[VRC_CRISTALINA_CF_SEC_20221231.xlsx]CF PS'!$DN$36</t>
  </si>
  <si>
    <t>='C:\Users\jaime.benazar\Quorum Business Solutions\Ecopetrol Prometeo - Documents\Planning Space Implementation\3. Analysis &amp; Design\Design\FC22\DRR Jaime\Por presentar a ECP\Cantagallo\Cristalina\[VRC_CRISTALINA_CF_SEC_20221231.xlsx]CF PS'!$DN$37</t>
  </si>
  <si>
    <t>='C:\Users\jaime.benazar\Quorum Business Solutions\Ecopetrol Prometeo - Documents\Planning Space Implementation\3. Analysis &amp; Design\Design\FC22\DRR Jaime\Por presentar a ECP\Cantagallo\Cristalina\[VRC_CRISTALINA_CF_SEC_20221231.xlsx]CF PS'!$DN$38</t>
  </si>
  <si>
    <t>='C:\Users\jaime.benazar\Quorum Business Solutions\Ecopetrol Prometeo - Documents\Planning Space Implementation\3. Analysis &amp; Design\Design\FC22\DRR Jaime\Por presentar a ECP\Cantagallo\Cristalina\[VRC_CRISTALINA_CF_SEC_20221231.xlsx]CF PS'!$DN$39</t>
  </si>
  <si>
    <t>='C:\Users\jaime.benazar\Quorum Business Solutions\Ecopetrol Prometeo - Documents\Planning Space Implementation\3. Analysis &amp; Design\Design\FC22\DRR Jaime\Por presentar a ECP\Cantagallo\Cristalina\[VRC_CRISTALINA_CF_SEC_20221231.xlsx]CF PS'!$DN$40</t>
  </si>
  <si>
    <t>='C:\Users\jaime.benazar\Quorum Business Solutions\Ecopetrol Prometeo - Documents\Planning Space Implementation\3. Analysis &amp; Design\Design\FC22\DRR Jaime\Por presentar a ECP\Cantagallo\Cristalina\[VRC_CRISTALINA_CF_SEC_20221231.xlsx]CF PS'!$DN$41</t>
  </si>
  <si>
    <t>='C:\Users\jaime.benazar\Quorum Business Solutions\Ecopetrol Prometeo - Documents\Planning Space Implementation\3. Analysis &amp; Design\Design\FC22\DRR Jaime\Por presentar a ECP\Cantagallo\Cristalina\[VRC_CRISTALINA_CF_SEC_20221231.xlsx]CF PS'!$DN$42</t>
  </si>
  <si>
    <t>='C:\Users\jaime.benazar\Quorum Business Solutions\Ecopetrol Prometeo - Documents\Planning Space Implementation\3. Analysis &amp; Design\Design\FC22\DRR Jaime\Por presentar a ECP\Cantagallo\Cristalina\[VRC_CRISTALINA_CF_SEC_20221231.xlsx]CF PS'!$DN$43</t>
  </si>
  <si>
    <t>='C:\Users\jaime.benazar\Quorum Business Solutions\Ecopetrol Prometeo - Documents\Planning Space Implementation\3. Analysis &amp; Design\Design\FC22\DRR Jaime\Por presentar a ECP\Cantagallo\Cristalina\[VRC_CRISTALINA_CF_SEC_20221231.xlsx]CF PS'!$DN$44</t>
  </si>
  <si>
    <t>='C:\Users\jaime.benazar\Quorum Business Solutions\Ecopetrol Prometeo - Documents\Planning Space Implementation\3. Analysis &amp; Design\Design\FC22\DRR Jaime\Por presentar a ECP\Cantagallo\Cristalina\[VRC_CRISTALINA_CF_SEC_20221231.xlsx]CF PS'!$DN$45</t>
  </si>
  <si>
    <t>='C:\Users\jaime.benazar\Quorum Business Solutions\Ecopetrol Prometeo - Documents\Planning Space Implementation\3. Analysis &amp; Design\Design\FC22\DRR Jaime\Por presentar a ECP\Cantagallo\Cristalina\[VRC_CRISTALINA_CF_SEC_20221231.xlsx]CF PS'!$DN$46</t>
  </si>
  <si>
    <t>='C:\Users\jaime.benazar\Quorum Business Solutions\Ecopetrol Prometeo - Documents\Planning Space Implementation\3. Analysis &amp; Design\Design\FC22\DRR Jaime\Por presentar a ECP\Cantagallo\Cristalina\[VRC_CRISTALINA_CF_SEC_20221231.xlsx]CF PS'!$DN$47</t>
  </si>
  <si>
    <t>='C:\Users\jaime.benazar\Quorum Business Solutions\Ecopetrol Prometeo - Documents\Planning Space Implementation\3. Analysis &amp; Design\Design\FC22\DRR Jaime\Por presentar a ECP\Cantagallo\Cristalina\[VRC_CRISTALINA_CF_SEC_20221231.xlsx]CF PS'!$DN$48</t>
  </si>
  <si>
    <t>='C:\Users\jaime.benazar\Quorum Business Solutions\Ecopetrol Prometeo - Documents\Planning Space Implementation\3. Analysis &amp; Design\Design\FC22\DRR Jaime\Por presentar a ECP\Cantagallo\Cristalina\[VRC_CRISTALINA_CF_SEC_20221231.xlsx]CF PS'!$DN$49</t>
  </si>
  <si>
    <t>='C:\Users\jaime.benazar\Quorum Business Solutions\Ecopetrol Prometeo - Documents\Planning Space Implementation\3. Analysis &amp; Design\Design\FC22\DRR Jaime\Por presentar a ECP\Cantagallo\Cristalina\[VRC_CRISTALINA_CF_SEC_20221231.xlsx]CF PS'!$DN$50</t>
  </si>
  <si>
    <t>='C:\Users\jaime.benazar\Quorum Business Solutions\Ecopetrol Prometeo - Documents\Planning Space Implementation\3. Analysis &amp; Design\Design\FC22\DRR Jaime\Por presentar a ECP\Cantagallo\Cristalina\[VRC_CRISTALINA_CF_SEC_20221231.xlsx]CF PS'!$DN$51</t>
  </si>
  <si>
    <t>='C:\Users\jaime.benazar\Quorum Business Solutions\Ecopetrol Prometeo - Documents\Planning Space Implementation\3. Analysis &amp; Design\Design\FC22\DRR Jaime\Por presentar a ECP\Cantagallo\Cristalina\[VRC_CRISTALINA_CF_SEC_20221231.xlsx]CF PS'!$DN$52</t>
  </si>
  <si>
    <t>='C:\Users\jaime.benazar\Quorum Business Solutions\Ecopetrol Prometeo - Documents\Planning Space Implementation\3. Analysis &amp; Design\Design\FC22\DRR Jaime\Por presentar a ECP\Cantagallo\Cristalina\[VRC_CRISTALINA_CF_SEC_20221231.xlsx]CF PS'!$DN$53</t>
  </si>
  <si>
    <t>='C:\Users\jaime.benazar\Quorum Business Solutions\Ecopetrol Prometeo - Documents\Planning Space Implementation\3. Analysis &amp; Design\Design\FC22\DRR Jaime\Por presentar a ECP\Cantagallo\Cristalina\[VRC_CRISTALINA_CF_SEC_20221231.xlsx]CF PS'!$DN$54</t>
  </si>
  <si>
    <t>='C:\Users\jaime.benazar\Quorum Business Solutions\Ecopetrol Prometeo - Documents\Planning Space Implementation\3. Analysis &amp; Design\Design\FC22\DRR Jaime\Por presentar a ECP\Cantagallo\Cristalina\[VRC_CRISTALINA_CF_SEC_20221231.xlsx]CF PS'!$DN$55</t>
  </si>
  <si>
    <t>='C:\Users\jaime.benazar\Quorum Business Solutions\Ecopetrol Prometeo - Documents\Planning Space Implementation\3. Analysis &amp; Design\Design\FC22\DRR Jaime\Por presentar a ECP\Cantagallo\Cristalina\[VRC_CRISTALINA_CF_SEC_20221231.xlsx]CF PS'!$DN$56</t>
  </si>
  <si>
    <t>='C:\Users\jaime.benazar\Quorum Business Solutions\Ecopetrol Prometeo - Documents\Planning Space Implementation\3. Analysis &amp; Design\Design\FC22\DRR Jaime\Por presentar a ECP\Cantagallo\Cristalina\[VRC_CRISTALINA_CF_SEC_20221231.xlsx]CF PS'!$DN$57</t>
  </si>
  <si>
    <t>='C:\Users\jaime.benazar\Quorum Business Solutions\Ecopetrol Prometeo - Documents\Planning Space Implementation\3. Analysis &amp; Design\Design\FC22\DRR Jaime\Por presentar a ECP\Cantagallo\Cristalina\[VRC_CRISTALINA_CF_SEC_20221231.xlsx]CF PS'!$DN$58</t>
  </si>
  <si>
    <t>='C:\Users\jaime.benazar\Quorum Business Solutions\Ecopetrol Prometeo - Documents\Planning Space Implementation\3. Analysis &amp; Design\Design\FC22\DRR Jaime\Por presentar a ECP\Cantagallo\Cristalina\[VRC_CRISTALINA_CF_SEC_20221231.xlsx]CF PS'!$DN$59</t>
  </si>
  <si>
    <t>='C:\Users\jaime.benazar\Quorum Business Solutions\Ecopetrol Prometeo - Documents\Planning Space Implementation\3. Analysis &amp; Design\Design\FC22\DRR Jaime\Por presentar a ECP\Cantagallo\Cristalina\[VRC_CRISTALINA_CF_SEC_20221231.xlsx]CF PS'!$DN$60</t>
  </si>
  <si>
    <t>='C:\Users\jaime.benazar\Quorum Business Solutions\Ecopetrol Prometeo - Documents\Planning Space Implementation\3. Analysis &amp; Design\Design\FC22\DRR Jaime\Por presentar a ECP\Cantagallo\Cristalina\[VRC_CRISTALINA_CF_SEC_20221231.xlsx]CF PS'!$DN$61</t>
  </si>
  <si>
    <t>='C:\Users\jaime.benazar\Quorum Business Solutions\Ecopetrol Prometeo - Documents\Planning Space Implementation\3. Analysis &amp; Design\Design\FC22\DRR Jaime\Por presentar a ECP\Cantagallo\Cristalina\[VRC_CRISTALINA_CF_SEC_20221231.xlsx]CF PS'!$DN$62</t>
  </si>
  <si>
    <t>='C:\Users\jaime.benazar\Quorum Business Solutions\Ecopetrol Prometeo - Documents\Planning Space Implementation\3. Analysis &amp; Design\Design\FC22\DRR Jaime\Por presentar a ECP\Cantagallo\Cristalina\[VRC_CRISTALINA_CF_SEC_20221231.xlsx]CF PS'!$DN$63</t>
  </si>
  <si>
    <t>='C:\Users\jaime.benazar\Quorum Business Solutions\Ecopetrol Prometeo - Documents\Planning Space Implementation\3. Analysis &amp; Design\Design\FC22\DRR Jaime\Por presentar a ECP\Cantagallo\Cristalina\[VRC_CRISTALINA_CF_SEC_20221231.xlsx]CF PS'!$DN$64</t>
  </si>
  <si>
    <t>='C:\Users\jaime.benazar\Quorum Business Solutions\Ecopetrol Prometeo - Documents\Planning Space Implementation\3. Analysis &amp; Design\Design\FC22\DRR Jaime\Por presentar a ECP\Cantagallo\Cristalina\[VRC_CRISTALINA_CF_SEC_20221231.xlsx]CF PS'!$DN$65</t>
  </si>
  <si>
    <t>='C:\Users\jaime.benazar\Quorum Business Solutions\Ecopetrol Prometeo - Documents\Planning Space Implementation\3. Analysis &amp; Design\Design\FC22\DRR Jaime\Por presentar a ECP\Cantagallo\Cristalina\[VRC_CRISTALINA_CF_SEC_20221231.xlsx]CF PS'!$DN$66</t>
  </si>
  <si>
    <t>='C:\Users\jaime.benazar\Quorum Business Solutions\Ecopetrol Prometeo - Documents\Planning Space Implementation\3. Analysis &amp; Design\Design\FC22\DRR Jaime\Por presentar a ECP\Cantagallo\Cristalina\[VRC_CRISTALINA_CF_SEC_20221231.xlsx]CF PS'!$DN$67</t>
  </si>
  <si>
    <t>='C:\Users\jaime.benazar\Quorum Business Solutions\Ecopetrol Prometeo - Documents\Planning Space Implementation\3. Analysis &amp; Design\Design\FC22\DRR Jaime\Por presentar a ECP\Cantagallo\Cristalina\[VRC_CRISTALINA_CF_SEC_20221231.xlsx]CF PS'!$DN$68</t>
  </si>
  <si>
    <t>='C:\Users\jaime.benazar\Quorum Business Solutions\Ecopetrol Prometeo - Documents\Planning Space Implementation\3. Analysis &amp; Design\Design\FC22\DRR Jaime\Por presentar a ECP\Cantagallo\Cristalina\[VRC_CRISTALINA_CF_SEC_20221231.xlsx]CF PS'!$DN$69</t>
  </si>
  <si>
    <t>='C:\Users\jaime.benazar\Quorum Business Solutions\Ecopetrol Prometeo - Documents\Planning Space Implementation\3. Analysis &amp; Design\Design\FC22\DRR Jaime\Por presentar a ECP\Cantagallo\Cristalina\[VRC_CRISTALINA_CF_SEC_20221231.xlsx]CF PS'!$DN$70</t>
  </si>
  <si>
    <t>='C:\Users\jaime.benazar\Quorum Business Solutions\Ecopetrol Prometeo - Documents\Planning Space Implementation\3. Analysis &amp; Design\Design\FC22\DRR Jaime\Por presentar a ECP\Cantagallo\Cristalina\[VRC_CRISTALINA_CF_SEC_20221231.xlsx]CF PS'!$DN$71</t>
  </si>
  <si>
    <t>='C:\Users\jaime.benazar\Quorum Business Solutions\Ecopetrol Prometeo - Documents\Planning Space Implementation\3. Analysis &amp; Design\Design\FC22\DRR Jaime\Por presentar a ECP\Cantagallo\Cristalina\[VRC_CRISTALINA_CF_SEC_20221231.xlsx]CF PS'!$DN$72</t>
  </si>
  <si>
    <t>='C:\Users\jaime.benazar\Quorum Business Solutions\Ecopetrol Prometeo - Documents\Planning Space Implementation\3. Analysis &amp; Design\Design\FC22\DRR Jaime\Por presentar a ECP\Cantagallo\Cristalina\[VRC_CRISTALINA_CF_SEC_20221231.xlsx]CF PDP'!$DI$36</t>
  </si>
  <si>
    <t>='C:\Users\jaime.benazar\Quorum Business Solutions\Ecopetrol Prometeo - Documents\Planning Space Implementation\3. Analysis &amp; Design\Design\FC22\DRR Jaime\Por presentar a ECP\Cantagallo\Cristalina\[VRC_CRISTALINA_CF_SEC_20221231.xlsx]CF PDP'!$DI$37</t>
  </si>
  <si>
    <t>='C:\Users\jaime.benazar\Quorum Business Solutions\Ecopetrol Prometeo - Documents\Planning Space Implementation\3. Analysis &amp; Design\Design\FC22\DRR Jaime\Por presentar a ECP\Cantagallo\Cristalina\[VRC_CRISTALINA_CF_SEC_20221231.xlsx]CF PDP'!$DI$38</t>
  </si>
  <si>
    <t>='C:\Users\jaime.benazar\Quorum Business Solutions\Ecopetrol Prometeo - Documents\Planning Space Implementation\3. Analysis &amp; Design\Design\FC22\DRR Jaime\Por presentar a ECP\Cantagallo\Cristalina\[VRC_CRISTALINA_CF_SEC_20221231.xlsx]CF PDP'!$DI$39</t>
  </si>
  <si>
    <t>='C:\Users\jaime.benazar\Quorum Business Solutions\Ecopetrol Prometeo - Documents\Planning Space Implementation\3. Analysis &amp; Design\Design\FC22\DRR Jaime\Por presentar a ECP\Cantagallo\Cristalina\[VRC_CRISTALINA_CF_SEC_20221231.xlsx]CF PDP'!$DI$40</t>
  </si>
  <si>
    <t>='C:\Users\jaime.benazar\Quorum Business Solutions\Ecopetrol Prometeo - Documents\Planning Space Implementation\3. Analysis &amp; Design\Design\FC22\DRR Jaime\Por presentar a ECP\Cantagallo\Cristalina\[VRC_CRISTALINA_CF_SEC_20221231.xlsx]CF PDP'!$DI$41</t>
  </si>
  <si>
    <t>='C:\Users\jaime.benazar\Quorum Business Solutions\Ecopetrol Prometeo - Documents\Planning Space Implementation\3. Analysis &amp; Design\Design\FC22\DRR Jaime\Por presentar a ECP\Cantagallo\Cristalina\[VRC_CRISTALINA_CF_SEC_20221231.xlsx]CF PDP'!$DI$42</t>
  </si>
  <si>
    <t>='C:\Users\jaime.benazar\Quorum Business Solutions\Ecopetrol Prometeo - Documents\Planning Space Implementation\3. Analysis &amp; Design\Design\FC22\DRR Jaime\Por presentar a ECP\Cantagallo\Cristalina\[VRC_CRISTALINA_CF_SEC_20221231.xlsx]CF PDP'!$DI$43</t>
  </si>
  <si>
    <t>='C:\Users\jaime.benazar\Quorum Business Solutions\Ecopetrol Prometeo - Documents\Planning Space Implementation\3. Analysis &amp; Design\Design\FC22\DRR Jaime\Por presentar a ECP\Cantagallo\Cristalina\[VRC_CRISTALINA_CF_SEC_20221231.xlsx]CF PDP'!$DI$44</t>
  </si>
  <si>
    <t>='C:\Users\jaime.benazar\Quorum Business Solutions\Ecopetrol Prometeo - Documents\Planning Space Implementation\3. Analysis &amp; Design\Design\FC22\DRR Jaime\Por presentar a ECP\Cantagallo\Cristalina\[VRC_CRISTALINA_CF_SEC_20221231.xlsx]CF PDP'!$DI$45</t>
  </si>
  <si>
    <t>='C:\Users\jaime.benazar\Quorum Business Solutions\Ecopetrol Prometeo - Documents\Planning Space Implementation\3. Analysis &amp; Design\Design\FC22\DRR Jaime\Por presentar a ECP\Cantagallo\Cristalina\[VRC_CRISTALINA_CF_SEC_20221231.xlsx]CF PDP'!$DI$46</t>
  </si>
  <si>
    <t>='C:\Users\jaime.benazar\Quorum Business Solutions\Ecopetrol Prometeo - Documents\Planning Space Implementation\3. Analysis &amp; Design\Design\FC22\DRR Jaime\Por presentar a ECP\Cantagallo\Cristalina\[VRC_CRISTALINA_CF_SEC_20221231.xlsx]CF PDP'!$DI$47</t>
  </si>
  <si>
    <t>='C:\Users\jaime.benazar\Quorum Business Solutions\Ecopetrol Prometeo - Documents\Planning Space Implementation\3. Analysis &amp; Design\Design\FC22\DRR Jaime\Por presentar a ECP\Cantagallo\Cristalina\[VRC_CRISTALINA_CF_SEC_20221231.xlsx]CF PDP'!$DI$48</t>
  </si>
  <si>
    <t>='C:\Users\jaime.benazar\Quorum Business Solutions\Ecopetrol Prometeo - Documents\Planning Space Implementation\3. Analysis &amp; Design\Design\FC22\DRR Jaime\Por presentar a ECP\Cantagallo\Cristalina\[VRC_CRISTALINA_CF_SEC_20221231.xlsx]CF PDP'!$DI$49</t>
  </si>
  <si>
    <t>='C:\Users\jaime.benazar\Quorum Business Solutions\Ecopetrol Prometeo - Documents\Planning Space Implementation\3. Analysis &amp; Design\Design\FC22\DRR Jaime\Por presentar a ECP\Cantagallo\Cristalina\[VRC_CRISTALINA_CF_SEC_20221231.xlsx]CF PDP'!$DI$50</t>
  </si>
  <si>
    <t>='C:\Users\jaime.benazar\Quorum Business Solutions\Ecopetrol Prometeo - Documents\Planning Space Implementation\3. Analysis &amp; Design\Design\FC22\DRR Jaime\Por presentar a ECP\Cantagallo\Cristalina\[VRC_CRISTALINA_CF_SEC_20221231.xlsx]CF PDP'!$DI$51</t>
  </si>
  <si>
    <t>='C:\Users\jaime.benazar\Quorum Business Solutions\Ecopetrol Prometeo - Documents\Planning Space Implementation\3. Analysis &amp; Design\Design\FC22\DRR Jaime\Por presentar a ECP\Cantagallo\Cristalina\[VRC_CRISTALINA_CF_SEC_20221231.xlsx]CF PDP'!$DI$52</t>
  </si>
  <si>
    <t>='C:\Users\jaime.benazar\Quorum Business Solutions\Ecopetrol Prometeo - Documents\Planning Space Implementation\3. Analysis &amp; Design\Design\FC22\DRR Jaime\Por presentar a ECP\Cantagallo\Cristalina\[VRC_CRISTALINA_CF_SEC_20221231.xlsx]CF PDP'!$DI$53</t>
  </si>
  <si>
    <t>='C:\Users\jaime.benazar\Quorum Business Solutions\Ecopetrol Prometeo - Documents\Planning Space Implementation\3. Analysis &amp; Design\Design\FC22\DRR Jaime\Por presentar a ECP\Cantagallo\Cristalina\[VRC_CRISTALINA_CF_SEC_20221231.xlsx]CF PDP'!$DI$54</t>
  </si>
  <si>
    <t>='C:\Users\jaime.benazar\Quorum Business Solutions\Ecopetrol Prometeo - Documents\Planning Space Implementation\3. Analysis &amp; Design\Design\FC22\DRR Jaime\Por presentar a ECP\Cantagallo\Cristalina\[VRC_CRISTALINA_CF_SEC_20221231.xlsx]CF PDP'!$DI$55</t>
  </si>
  <si>
    <t>='C:\Users\jaime.benazar\Quorum Business Solutions\Ecopetrol Prometeo - Documents\Planning Space Implementation\3. Analysis &amp; Design\Design\FC22\DRR Jaime\Por presentar a ECP\Cantagallo\Cristalina\[VRC_CRISTALINA_CF_SEC_20221231.xlsx]CF PDP'!$DI$56</t>
  </si>
  <si>
    <t>='C:\Users\jaime.benazar\Quorum Business Solutions\Ecopetrol Prometeo - Documents\Planning Space Implementation\3. Analysis &amp; Design\Design\FC22\DRR Jaime\Por presentar a ECP\Cantagallo\Cristalina\[VRC_CRISTALINA_CF_SEC_20221231.xlsx]CF PDP'!$DI$57</t>
  </si>
  <si>
    <t>='C:\Users\jaime.benazar\Quorum Business Solutions\Ecopetrol Prometeo - Documents\Planning Space Implementation\3. Analysis &amp; Design\Design\FC22\DRR Jaime\Por presentar a ECP\Cantagallo\Cristalina\[VRC_CRISTALINA_CF_SEC_20221231.xlsx]CF PDP'!$DI$58</t>
  </si>
  <si>
    <t>='C:\Users\jaime.benazar\Quorum Business Solutions\Ecopetrol Prometeo - Documents\Planning Space Implementation\3. Analysis &amp; Design\Design\FC22\DRR Jaime\Por presentar a ECP\Cantagallo\Cristalina\[VRC_CRISTALINA_CF_SEC_20221231.xlsx]CF PDP'!$DI$59</t>
  </si>
  <si>
    <t>='C:\Users\jaime.benazar\Quorum Business Solutions\Ecopetrol Prometeo - Documents\Planning Space Implementation\3. Analysis &amp; Design\Design\FC22\DRR Jaime\Por presentar a ECP\Cantagallo\Cristalina\[VRC_CRISTALINA_CF_SEC_20221231.xlsx]CF PDP'!$DI$60</t>
  </si>
  <si>
    <t>='C:\Users\jaime.benazar\Quorum Business Solutions\Ecopetrol Prometeo - Documents\Planning Space Implementation\3. Analysis &amp; Design\Design\FC22\DRR Jaime\Por presentar a ECP\Cantagallo\Cristalina\[VRC_CRISTALINA_CF_SEC_20221231.xlsx]CF PDP'!$DI$61</t>
  </si>
  <si>
    <t>='C:\Users\jaime.benazar\Quorum Business Solutions\Ecopetrol Prometeo - Documents\Planning Space Implementation\3. Analysis &amp; Design\Design\FC22\DRR Jaime\Por presentar a ECP\Cantagallo\Cristalina\[VRC_CRISTALINA_CF_SEC_20221231.xlsx]CF PDP'!$DI$62</t>
  </si>
  <si>
    <t>='C:\Users\jaime.benazar\Quorum Business Solutions\Ecopetrol Prometeo - Documents\Planning Space Implementation\3. Analysis &amp; Design\Design\FC22\DRR Jaime\Por presentar a ECP\Cantagallo\Cristalina\[VRC_CRISTALINA_CF_SEC_20221231.xlsx]CF PDP'!$DI$63</t>
  </si>
  <si>
    <t>='C:\Users\jaime.benazar\Quorum Business Solutions\Ecopetrol Prometeo - Documents\Planning Space Implementation\3. Analysis &amp; Design\Design\FC22\DRR Jaime\Por presentar a ECP\Cantagallo\Cristalina\[VRC_CRISTALINA_CF_SEC_20221231.xlsx]CF PDP'!$DI$64</t>
  </si>
  <si>
    <t>='C:\Users\jaime.benazar\Quorum Business Solutions\Ecopetrol Prometeo - Documents\Planning Space Implementation\3. Analysis &amp; Design\Design\FC22\DRR Jaime\Por presentar a ECP\Cantagallo\Cristalina\[VRC_CRISTALINA_CF_SEC_20221231.xlsx]CF PDP'!$DI$65</t>
  </si>
  <si>
    <t>='C:\Users\jaime.benazar\Quorum Business Solutions\Ecopetrol Prometeo - Documents\Planning Space Implementation\3. Analysis &amp; Design\Design\FC22\DRR Jaime\Por presentar a ECP\Cantagallo\Cristalina\[VRC_CRISTALINA_CF_SEC_20221231.xlsx]CF PDP'!$DI$66</t>
  </si>
  <si>
    <t>='C:\Users\jaime.benazar\Quorum Business Solutions\Ecopetrol Prometeo - Documents\Planning Space Implementation\3. Analysis &amp; Design\Design\FC22\DRR Jaime\Por presentar a ECP\Cantagallo\Cristalina\[VRC_CRISTALINA_CF_SEC_20221231.xlsx]CF PDP'!$DI$67</t>
  </si>
  <si>
    <t>='C:\Users\jaime.benazar\Quorum Business Solutions\Ecopetrol Prometeo - Documents\Planning Space Implementation\3. Analysis &amp; Design\Design\FC22\DRR Jaime\Por presentar a ECP\Cantagallo\Cristalina\[VRC_CRISTALINA_CF_SEC_20221231.xlsx]CF PDP'!$DI$68</t>
  </si>
  <si>
    <t>='C:\Users\jaime.benazar\Quorum Business Solutions\Ecopetrol Prometeo - Documents\Planning Space Implementation\3. Analysis &amp; Design\Design\FC22\DRR Jaime\Por presentar a ECP\Cantagallo\Cristalina\[VRC_CRISTALINA_CF_SEC_20221231.xlsx]CF PDP'!$DI$69</t>
  </si>
  <si>
    <t>='C:\Users\jaime.benazar\Quorum Business Solutions\Ecopetrol Prometeo - Documents\Planning Space Implementation\3. Analysis &amp; Design\Design\FC22\DRR Jaime\Por presentar a ECP\Cantagallo\Cristalina\[VRC_CRISTALINA_CF_SEC_20221231.xlsx]CF PDP'!$DI$70</t>
  </si>
  <si>
    <t>='C:\Users\jaime.benazar\Quorum Business Solutions\Ecopetrol Prometeo - Documents\Planning Space Implementation\3. Analysis &amp; Design\Design\FC22\DRR Jaime\Por presentar a ECP\Cantagallo\Cristalina\[VRC_CRISTALINA_CF_SEC_20221231.xlsx]CF PDP'!$DI$71</t>
  </si>
  <si>
    <t>='C:\Users\jaime.benazar\Quorum Business Solutions\Ecopetrol Prometeo - Documents\Planning Space Implementation\3. Analysis &amp; Design\Design\FC22\DRR Jaime\Por presentar a ECP\Cantagallo\Cristalina\[VRC_CRISTALINA_CF_SEC_20221231.xlsx]CF PDP'!$DI$72</t>
  </si>
  <si>
    <t>='C:\Users\jaime.benazar\Quorum Business Solutions\Ecopetrol Prometeo - Documents\Planning Space Implementation\3. Analysis &amp; Design\Design\FC22\DRR Jaime\Por presentar a ECP\Cantagallo\Cristalina\[VRC_CRISTALINA_CF_SEC_20221231.xlsx]CF PNP'!$DI$36</t>
  </si>
  <si>
    <t>='C:\Users\jaime.benazar\Quorum Business Solutions\Ecopetrol Prometeo - Documents\Planning Space Implementation\3. Analysis &amp; Design\Design\FC22\DRR Jaime\Por presentar a ECP\Cantagallo\Cristalina\[VRC_CRISTALINA_CF_SEC_20221231.xlsx]CF PNP'!$DI$37</t>
  </si>
  <si>
    <t>='C:\Users\jaime.benazar\Quorum Business Solutions\Ecopetrol Prometeo - Documents\Planning Space Implementation\3. Analysis &amp; Design\Design\FC22\DRR Jaime\Por presentar a ECP\Cantagallo\Cristalina\[VRC_CRISTALINA_CF_SEC_20221231.xlsx]CF PNP'!$DI$38</t>
  </si>
  <si>
    <t>='C:\Users\jaime.benazar\Quorum Business Solutions\Ecopetrol Prometeo - Documents\Planning Space Implementation\3. Analysis &amp; Design\Design\FC22\DRR Jaime\Por presentar a ECP\Cantagallo\Cristalina\[VRC_CRISTALINA_CF_SEC_20221231.xlsx]CF PNP'!$DI$39</t>
  </si>
  <si>
    <t>='C:\Users\jaime.benazar\Quorum Business Solutions\Ecopetrol Prometeo - Documents\Planning Space Implementation\3. Analysis &amp; Design\Design\FC22\DRR Jaime\Por presentar a ECP\Cantagallo\Cristalina\[VRC_CRISTALINA_CF_SEC_20221231.xlsx]CF PNP'!$DI$40</t>
  </si>
  <si>
    <t>='C:\Users\jaime.benazar\Quorum Business Solutions\Ecopetrol Prometeo - Documents\Planning Space Implementation\3. Analysis &amp; Design\Design\FC22\DRR Jaime\Por presentar a ECP\Cantagallo\Cristalina\[VRC_CRISTALINA_CF_SEC_20221231.xlsx]CF PNP'!$DI$41</t>
  </si>
  <si>
    <t>='C:\Users\jaime.benazar\Quorum Business Solutions\Ecopetrol Prometeo - Documents\Planning Space Implementation\3. Analysis &amp; Design\Design\FC22\DRR Jaime\Por presentar a ECP\Cantagallo\Cristalina\[VRC_CRISTALINA_CF_SEC_20221231.xlsx]CF PNP'!$DI$42</t>
  </si>
  <si>
    <t>='C:\Users\jaime.benazar\Quorum Business Solutions\Ecopetrol Prometeo - Documents\Planning Space Implementation\3. Analysis &amp; Design\Design\FC22\DRR Jaime\Por presentar a ECP\Cantagallo\Cristalina\[VRC_CRISTALINA_CF_SEC_20221231.xlsx]CF PNP'!$DI$43</t>
  </si>
  <si>
    <t>='C:\Users\jaime.benazar\Quorum Business Solutions\Ecopetrol Prometeo - Documents\Planning Space Implementation\3. Analysis &amp; Design\Design\FC22\DRR Jaime\Por presentar a ECP\Cantagallo\Cristalina\[VRC_CRISTALINA_CF_SEC_20221231.xlsx]CF PNP'!$DI$44</t>
  </si>
  <si>
    <t>='C:\Users\jaime.benazar\Quorum Business Solutions\Ecopetrol Prometeo - Documents\Planning Space Implementation\3. Analysis &amp; Design\Design\FC22\DRR Jaime\Por presentar a ECP\Cantagallo\Cristalina\[VRC_CRISTALINA_CF_SEC_20221231.xlsx]CF PNP'!$DI$45</t>
  </si>
  <si>
    <t>='C:\Users\jaime.benazar\Quorum Business Solutions\Ecopetrol Prometeo - Documents\Planning Space Implementation\3. Analysis &amp; Design\Design\FC22\DRR Jaime\Por presentar a ECP\Cantagallo\Cristalina\[VRC_CRISTALINA_CF_SEC_20221231.xlsx]CF PNP'!$DI$46</t>
  </si>
  <si>
    <t>='C:\Users\jaime.benazar\Quorum Business Solutions\Ecopetrol Prometeo - Documents\Planning Space Implementation\3. Analysis &amp; Design\Design\FC22\DRR Jaime\Por presentar a ECP\Cantagallo\Cristalina\[VRC_CRISTALINA_CF_SEC_20221231.xlsx]CF PNP'!$DI$47</t>
  </si>
  <si>
    <t>='C:\Users\jaime.benazar\Quorum Business Solutions\Ecopetrol Prometeo - Documents\Planning Space Implementation\3. Analysis &amp; Design\Design\FC22\DRR Jaime\Por presentar a ECP\Cantagallo\Cristalina\[VRC_CRISTALINA_CF_SEC_20221231.xlsx]CF PNP'!$DI$48</t>
  </si>
  <si>
    <t>='C:\Users\jaime.benazar\Quorum Business Solutions\Ecopetrol Prometeo - Documents\Planning Space Implementation\3. Analysis &amp; Design\Design\FC22\DRR Jaime\Por presentar a ECP\Cantagallo\Cristalina\[VRC_CRISTALINA_CF_SEC_20221231.xlsx]CF PNP'!$DI$49</t>
  </si>
  <si>
    <t>='C:\Users\jaime.benazar\Quorum Business Solutions\Ecopetrol Prometeo - Documents\Planning Space Implementation\3. Analysis &amp; Design\Design\FC22\DRR Jaime\Por presentar a ECP\Cantagallo\Cristalina\[VRC_CRISTALINA_CF_SEC_20221231.xlsx]CF PNP'!$DI$50</t>
  </si>
  <si>
    <t>='C:\Users\jaime.benazar\Quorum Business Solutions\Ecopetrol Prometeo - Documents\Planning Space Implementation\3. Analysis &amp; Design\Design\FC22\DRR Jaime\Por presentar a ECP\Cantagallo\Cristalina\[VRC_CRISTALINA_CF_SEC_20221231.xlsx]CF PNP'!$DI$51</t>
  </si>
  <si>
    <t>='C:\Users\jaime.benazar\Quorum Business Solutions\Ecopetrol Prometeo - Documents\Planning Space Implementation\3. Analysis &amp; Design\Design\FC22\DRR Jaime\Por presentar a ECP\Cantagallo\Cristalina\[VRC_CRISTALINA_CF_SEC_20221231.xlsx]CF PNP'!$DI$52</t>
  </si>
  <si>
    <t>='C:\Users\jaime.benazar\Quorum Business Solutions\Ecopetrol Prometeo - Documents\Planning Space Implementation\3. Analysis &amp; Design\Design\FC22\DRR Jaime\Por presentar a ECP\Cantagallo\Cristalina\[VRC_CRISTALINA_CF_SEC_20221231.xlsx]CF PNP'!$DI$53</t>
  </si>
  <si>
    <t>='C:\Users\jaime.benazar\Quorum Business Solutions\Ecopetrol Prometeo - Documents\Planning Space Implementation\3. Analysis &amp; Design\Design\FC22\DRR Jaime\Por presentar a ECP\Cantagallo\Cristalina\[VRC_CRISTALINA_CF_SEC_20221231.xlsx]CF PNP'!$DI$54</t>
  </si>
  <si>
    <t>='C:\Users\jaime.benazar\Quorum Business Solutions\Ecopetrol Prometeo - Documents\Planning Space Implementation\3. Analysis &amp; Design\Design\FC22\DRR Jaime\Por presentar a ECP\Cantagallo\Cristalina\[VRC_CRISTALINA_CF_SEC_20221231.xlsx]CF PNP'!$DI$55</t>
  </si>
  <si>
    <t>='C:\Users\jaime.benazar\Quorum Business Solutions\Ecopetrol Prometeo - Documents\Planning Space Implementation\3. Analysis &amp; Design\Design\FC22\DRR Jaime\Por presentar a ECP\Cantagallo\Cristalina\[VRC_CRISTALINA_CF_SEC_20221231.xlsx]CF PNP'!$DI$56</t>
  </si>
  <si>
    <t>='C:\Users\jaime.benazar\Quorum Business Solutions\Ecopetrol Prometeo - Documents\Planning Space Implementation\3. Analysis &amp; Design\Design\FC22\DRR Jaime\Por presentar a ECP\Cantagallo\Cristalina\[VRC_CRISTALINA_CF_SEC_20221231.xlsx]CF PNP'!$DI$57</t>
  </si>
  <si>
    <t>='C:\Users\jaime.benazar\Quorum Business Solutions\Ecopetrol Prometeo - Documents\Planning Space Implementation\3. Analysis &amp; Design\Design\FC22\DRR Jaime\Por presentar a ECP\Cantagallo\Cristalina\[VRC_CRISTALINA_CF_SEC_20221231.xlsx]CF PNP'!$DI$58</t>
  </si>
  <si>
    <t>='C:\Users\jaime.benazar\Quorum Business Solutions\Ecopetrol Prometeo - Documents\Planning Space Implementation\3. Analysis &amp; Design\Design\FC22\DRR Jaime\Por presentar a ECP\Cantagallo\Cristalina\[VRC_CRISTALINA_CF_SEC_20221231.xlsx]CF PNP'!$DI$59</t>
  </si>
  <si>
    <t>='C:\Users\jaime.benazar\Quorum Business Solutions\Ecopetrol Prometeo - Documents\Planning Space Implementation\3. Analysis &amp; Design\Design\FC22\DRR Jaime\Por presentar a ECP\Cantagallo\Cristalina\[VRC_CRISTALINA_CF_SEC_20221231.xlsx]CF PNP'!$DI$60</t>
  </si>
  <si>
    <t>='C:\Users\jaime.benazar\Quorum Business Solutions\Ecopetrol Prometeo - Documents\Planning Space Implementation\3. Analysis &amp; Design\Design\FC22\DRR Jaime\Por presentar a ECP\Cantagallo\Cristalina\[VRC_CRISTALINA_CF_SEC_20221231.xlsx]CF PNP'!$DI$61</t>
  </si>
  <si>
    <t>='C:\Users\jaime.benazar\Quorum Business Solutions\Ecopetrol Prometeo - Documents\Planning Space Implementation\3. Analysis &amp; Design\Design\FC22\DRR Jaime\Por presentar a ECP\Cantagallo\Cristalina\[VRC_CRISTALINA_CF_SEC_20221231.xlsx]CF PNP'!$DI$62</t>
  </si>
  <si>
    <t>='C:\Users\jaime.benazar\Quorum Business Solutions\Ecopetrol Prometeo - Documents\Planning Space Implementation\3. Analysis &amp; Design\Design\FC22\DRR Jaime\Por presentar a ECP\Cantagallo\Cristalina\[VRC_CRISTALINA_CF_SEC_20221231.xlsx]CF PNP'!$DI$63</t>
  </si>
  <si>
    <t>='C:\Users\jaime.benazar\Quorum Business Solutions\Ecopetrol Prometeo - Documents\Planning Space Implementation\3. Analysis &amp; Design\Design\FC22\DRR Jaime\Por presentar a ECP\Cantagallo\Cristalina\[VRC_CRISTALINA_CF_SEC_20221231.xlsx]CF PNP'!$DI$64</t>
  </si>
  <si>
    <t>='C:\Users\jaime.benazar\Quorum Business Solutions\Ecopetrol Prometeo - Documents\Planning Space Implementation\3. Analysis &amp; Design\Design\FC22\DRR Jaime\Por presentar a ECP\Cantagallo\Cristalina\[VRC_CRISTALINA_CF_SEC_20221231.xlsx]CF PNP'!$DI$65</t>
  </si>
  <si>
    <t>='C:\Users\jaime.benazar\Quorum Business Solutions\Ecopetrol Prometeo - Documents\Planning Space Implementation\3. Analysis &amp; Design\Design\FC22\DRR Jaime\Por presentar a ECP\Cantagallo\Cristalina\[VRC_CRISTALINA_CF_SEC_20221231.xlsx]CF PNP'!$DI$66</t>
  </si>
  <si>
    <t>='C:\Users\jaime.benazar\Quorum Business Solutions\Ecopetrol Prometeo - Documents\Planning Space Implementation\3. Analysis &amp; Design\Design\FC22\DRR Jaime\Por presentar a ECP\Cantagallo\Cristalina\[VRC_CRISTALINA_CF_SEC_20221231.xlsx]CF PNP'!$DI$67</t>
  </si>
  <si>
    <t>='C:\Users\jaime.benazar\Quorum Business Solutions\Ecopetrol Prometeo - Documents\Planning Space Implementation\3. Analysis &amp; Design\Design\FC22\DRR Jaime\Por presentar a ECP\Cantagallo\Cristalina\[VRC_CRISTALINA_CF_SEC_20221231.xlsx]CF PNP'!$DI$68</t>
  </si>
  <si>
    <t>='C:\Users\jaime.benazar\Quorum Business Solutions\Ecopetrol Prometeo - Documents\Planning Space Implementation\3. Analysis &amp; Design\Design\FC22\DRR Jaime\Por presentar a ECP\Cantagallo\Cristalina\[VRC_CRISTALINA_CF_SEC_20221231.xlsx]CF PNP'!$DI$69</t>
  </si>
  <si>
    <t>='C:\Users\jaime.benazar\Quorum Business Solutions\Ecopetrol Prometeo - Documents\Planning Space Implementation\3. Analysis &amp; Design\Design\FC22\DRR Jaime\Por presentar a ECP\Cantagallo\Cristalina\[VRC_CRISTALINA_CF_SEC_20221231.xlsx]CF PNP'!$DI$70</t>
  </si>
  <si>
    <t>='C:\Users\jaime.benazar\Quorum Business Solutions\Ecopetrol Prometeo - Documents\Planning Space Implementation\3. Analysis &amp; Design\Design\FC22\DRR Jaime\Por presentar a ECP\Cantagallo\Cristalina\[VRC_CRISTALINA_CF_SEC_20221231.xlsx]CF PNP'!$DI$71</t>
  </si>
  <si>
    <t>='C:\Users\jaime.benazar\Quorum Business Solutions\Ecopetrol Prometeo - Documents\Planning Space Implementation\3. Analysis &amp; Design\Design\FC22\DRR Jaime\Por presentar a ECP\Cantagallo\Cristalina\[VRC_CRISTALINA_CF_SEC_20221231.xlsx]CF PNP'!$DI$72</t>
  </si>
  <si>
    <t>='C:\Users\jaime.benazar\Quorum Business Solutions\Ecopetrol Prometeo - Documents\Planning Space Implementation\3. Analysis &amp; Design\Design\FC22\DRR Jaime\Por presentar a ECP\Cantagallo\Cristalina\[VRC_CRISTALINA_CF_SEC_20221231.xlsx]CF PND'!$DI$36</t>
  </si>
  <si>
    <t>='C:\Users\jaime.benazar\Quorum Business Solutions\Ecopetrol Prometeo - Documents\Planning Space Implementation\3. Analysis &amp; Design\Design\FC22\DRR Jaime\Por presentar a ECP\Cantagallo\Cristalina\[VRC_CRISTALINA_CF_SEC_20221231.xlsx]CF PND'!$DI$37</t>
  </si>
  <si>
    <t>='C:\Users\jaime.benazar\Quorum Business Solutions\Ecopetrol Prometeo - Documents\Planning Space Implementation\3. Analysis &amp; Design\Design\FC22\DRR Jaime\Por presentar a ECP\Cantagallo\Cristalina\[VRC_CRISTALINA_CF_SEC_20221231.xlsx]CF PND'!$DI$38</t>
  </si>
  <si>
    <t>='C:\Users\jaime.benazar\Quorum Business Solutions\Ecopetrol Prometeo - Documents\Planning Space Implementation\3. Analysis &amp; Design\Design\FC22\DRR Jaime\Por presentar a ECP\Cantagallo\Cristalina\[VRC_CRISTALINA_CF_SEC_20221231.xlsx]CF PND'!$DI$39</t>
  </si>
  <si>
    <t>='C:\Users\jaime.benazar\Quorum Business Solutions\Ecopetrol Prometeo - Documents\Planning Space Implementation\3. Analysis &amp; Design\Design\FC22\DRR Jaime\Por presentar a ECP\Cantagallo\Cristalina\[VRC_CRISTALINA_CF_SEC_20221231.xlsx]CF PND'!$DI$40</t>
  </si>
  <si>
    <t>='C:\Users\jaime.benazar\Quorum Business Solutions\Ecopetrol Prometeo - Documents\Planning Space Implementation\3. Analysis &amp; Design\Design\FC22\DRR Jaime\Por presentar a ECP\Cantagallo\Cristalina\[VRC_CRISTALINA_CF_SEC_20221231.xlsx]CF PND'!$DI$41</t>
  </si>
  <si>
    <t>='C:\Users\jaime.benazar\Quorum Business Solutions\Ecopetrol Prometeo - Documents\Planning Space Implementation\3. Analysis &amp; Design\Design\FC22\DRR Jaime\Por presentar a ECP\Cantagallo\Cristalina\[VRC_CRISTALINA_CF_SEC_20221231.xlsx]CF PND'!$DI$42</t>
  </si>
  <si>
    <t>='C:\Users\jaime.benazar\Quorum Business Solutions\Ecopetrol Prometeo - Documents\Planning Space Implementation\3. Analysis &amp; Design\Design\FC22\DRR Jaime\Por presentar a ECP\Cantagallo\Cristalina\[VRC_CRISTALINA_CF_SEC_20221231.xlsx]CF PND'!$DI$43</t>
  </si>
  <si>
    <t>='C:\Users\jaime.benazar\Quorum Business Solutions\Ecopetrol Prometeo - Documents\Planning Space Implementation\3. Analysis &amp; Design\Design\FC22\DRR Jaime\Por presentar a ECP\Cantagallo\Cristalina\[VRC_CRISTALINA_CF_SEC_20221231.xlsx]CF PND'!$DI$44</t>
  </si>
  <si>
    <t>='C:\Users\jaime.benazar\Quorum Business Solutions\Ecopetrol Prometeo - Documents\Planning Space Implementation\3. Analysis &amp; Design\Design\FC22\DRR Jaime\Por presentar a ECP\Cantagallo\Cristalina\[VRC_CRISTALINA_CF_SEC_20221231.xlsx]CF PND'!$DI$45</t>
  </si>
  <si>
    <t>='C:\Users\jaime.benazar\Quorum Business Solutions\Ecopetrol Prometeo - Documents\Planning Space Implementation\3. Analysis &amp; Design\Design\FC22\DRR Jaime\Por presentar a ECP\Cantagallo\Cristalina\[VRC_CRISTALINA_CF_SEC_20221231.xlsx]CF PND'!$DI$46</t>
  </si>
  <si>
    <t>='C:\Users\jaime.benazar\Quorum Business Solutions\Ecopetrol Prometeo - Documents\Planning Space Implementation\3. Analysis &amp; Design\Design\FC22\DRR Jaime\Por presentar a ECP\Cantagallo\Cristalina\[VRC_CRISTALINA_CF_SEC_20221231.xlsx]CF PND'!$DI$47</t>
  </si>
  <si>
    <t>='C:\Users\jaime.benazar\Quorum Business Solutions\Ecopetrol Prometeo - Documents\Planning Space Implementation\3. Analysis &amp; Design\Design\FC22\DRR Jaime\Por presentar a ECP\Cantagallo\Cristalina\[VRC_CRISTALINA_CF_SEC_20221231.xlsx]CF PND'!$DI$48</t>
  </si>
  <si>
    <t>='C:\Users\jaime.benazar\Quorum Business Solutions\Ecopetrol Prometeo - Documents\Planning Space Implementation\3. Analysis &amp; Design\Design\FC22\DRR Jaime\Por presentar a ECP\Cantagallo\Cristalina\[VRC_CRISTALINA_CF_SEC_20221231.xlsx]CF PND'!$DI$49</t>
  </si>
  <si>
    <t>='C:\Users\jaime.benazar\Quorum Business Solutions\Ecopetrol Prometeo - Documents\Planning Space Implementation\3. Analysis &amp; Design\Design\FC22\DRR Jaime\Por presentar a ECP\Cantagallo\Cristalina\[VRC_CRISTALINA_CF_SEC_20221231.xlsx]CF PND'!$DI$50</t>
  </si>
  <si>
    <t>='C:\Users\jaime.benazar\Quorum Business Solutions\Ecopetrol Prometeo - Documents\Planning Space Implementation\3. Analysis &amp; Design\Design\FC22\DRR Jaime\Por presentar a ECP\Cantagallo\Cristalina\[VRC_CRISTALINA_CF_SEC_20221231.xlsx]CF PND'!$DI$51</t>
  </si>
  <si>
    <t>='C:\Users\jaime.benazar\Quorum Business Solutions\Ecopetrol Prometeo - Documents\Planning Space Implementation\3. Analysis &amp; Design\Design\FC22\DRR Jaime\Por presentar a ECP\Cantagallo\Cristalina\[VRC_CRISTALINA_CF_SEC_20221231.xlsx]CF PND'!$DI$52</t>
  </si>
  <si>
    <t>='C:\Users\jaime.benazar\Quorum Business Solutions\Ecopetrol Prometeo - Documents\Planning Space Implementation\3. Analysis &amp; Design\Design\FC22\DRR Jaime\Por presentar a ECP\Cantagallo\Cristalina\[VRC_CRISTALINA_CF_SEC_20221231.xlsx]CF PND'!$DI$53</t>
  </si>
  <si>
    <t>='C:\Users\jaime.benazar\Quorum Business Solutions\Ecopetrol Prometeo - Documents\Planning Space Implementation\3. Analysis &amp; Design\Design\FC22\DRR Jaime\Por presentar a ECP\Cantagallo\Cristalina\[VRC_CRISTALINA_CF_SEC_20221231.xlsx]CF PND'!$DI$54</t>
  </si>
  <si>
    <t>='C:\Users\jaime.benazar\Quorum Business Solutions\Ecopetrol Prometeo - Documents\Planning Space Implementation\3. Analysis &amp; Design\Design\FC22\DRR Jaime\Por presentar a ECP\Cantagallo\Cristalina\[VRC_CRISTALINA_CF_SEC_20221231.xlsx]CF PND'!$DI$55</t>
  </si>
  <si>
    <t>='C:\Users\jaime.benazar\Quorum Business Solutions\Ecopetrol Prometeo - Documents\Planning Space Implementation\3. Analysis &amp; Design\Design\FC22\DRR Jaime\Por presentar a ECP\Cantagallo\Cristalina\[VRC_CRISTALINA_CF_SEC_20221231.xlsx]CF PND'!$DI$56</t>
  </si>
  <si>
    <t>='C:\Users\jaime.benazar\Quorum Business Solutions\Ecopetrol Prometeo - Documents\Planning Space Implementation\3. Analysis &amp; Design\Design\FC22\DRR Jaime\Por presentar a ECP\Cantagallo\Cristalina\[VRC_CRISTALINA_CF_SEC_20221231.xlsx]CF PND'!$DI$57</t>
  </si>
  <si>
    <t>='C:\Users\jaime.benazar\Quorum Business Solutions\Ecopetrol Prometeo - Documents\Planning Space Implementation\3. Analysis &amp; Design\Design\FC22\DRR Jaime\Por presentar a ECP\Cantagallo\Cristalina\[VRC_CRISTALINA_CF_SEC_20221231.xlsx]CF PND'!$DI$58</t>
  </si>
  <si>
    <t>='C:\Users\jaime.benazar\Quorum Business Solutions\Ecopetrol Prometeo - Documents\Planning Space Implementation\3. Analysis &amp; Design\Design\FC22\DRR Jaime\Por presentar a ECP\Cantagallo\Cristalina\[VRC_CRISTALINA_CF_SEC_20221231.xlsx]CF PND'!$DI$59</t>
  </si>
  <si>
    <t>='C:\Users\jaime.benazar\Quorum Business Solutions\Ecopetrol Prometeo - Documents\Planning Space Implementation\3. Analysis &amp; Design\Design\FC22\DRR Jaime\Por presentar a ECP\Cantagallo\Cristalina\[VRC_CRISTALINA_CF_SEC_20221231.xlsx]CF PND'!$DI$60</t>
  </si>
  <si>
    <t>='C:\Users\jaime.benazar\Quorum Business Solutions\Ecopetrol Prometeo - Documents\Planning Space Implementation\3. Analysis &amp; Design\Design\FC22\DRR Jaime\Por presentar a ECP\Cantagallo\Cristalina\[VRC_CRISTALINA_CF_SEC_20221231.xlsx]CF PND'!$DI$61</t>
  </si>
  <si>
    <t>='C:\Users\jaime.benazar\Quorum Business Solutions\Ecopetrol Prometeo - Documents\Planning Space Implementation\3. Analysis &amp; Design\Design\FC22\DRR Jaime\Por presentar a ECP\Cantagallo\Cristalina\[VRC_CRISTALINA_CF_SEC_20221231.xlsx]CF PND'!$DI$62</t>
  </si>
  <si>
    <t>='C:\Users\jaime.benazar\Quorum Business Solutions\Ecopetrol Prometeo - Documents\Planning Space Implementation\3. Analysis &amp; Design\Design\FC22\DRR Jaime\Por presentar a ECP\Cantagallo\Cristalina\[VRC_CRISTALINA_CF_SEC_20221231.xlsx]CF PND'!$DI$63</t>
  </si>
  <si>
    <t>='C:\Users\jaime.benazar\Quorum Business Solutions\Ecopetrol Prometeo - Documents\Planning Space Implementation\3. Analysis &amp; Design\Design\FC22\DRR Jaime\Por presentar a ECP\Cantagallo\Cristalina\[VRC_CRISTALINA_CF_SEC_20221231.xlsx]CF PND'!$DI$64</t>
  </si>
  <si>
    <t>='C:\Users\jaime.benazar\Quorum Business Solutions\Ecopetrol Prometeo - Documents\Planning Space Implementation\3. Analysis &amp; Design\Design\FC22\DRR Jaime\Por presentar a ECP\Cantagallo\Cristalina\[VRC_CRISTALINA_CF_SEC_20221231.xlsx]CF PND'!$DI$65</t>
  </si>
  <si>
    <t>='C:\Users\jaime.benazar\Quorum Business Solutions\Ecopetrol Prometeo - Documents\Planning Space Implementation\3. Analysis &amp; Design\Design\FC22\DRR Jaime\Por presentar a ECP\Cantagallo\Cristalina\[VRC_CRISTALINA_CF_SEC_20221231.xlsx]CF PND'!$DI$66</t>
  </si>
  <si>
    <t>='C:\Users\jaime.benazar\Quorum Business Solutions\Ecopetrol Prometeo - Documents\Planning Space Implementation\3. Analysis &amp; Design\Design\FC22\DRR Jaime\Por presentar a ECP\Cantagallo\Cristalina\[VRC_CRISTALINA_CF_SEC_20221231.xlsx]CF PND'!$DI$67</t>
  </si>
  <si>
    <t>='C:\Users\jaime.benazar\Quorum Business Solutions\Ecopetrol Prometeo - Documents\Planning Space Implementation\3. Analysis &amp; Design\Design\FC22\DRR Jaime\Por presentar a ECP\Cantagallo\Cristalina\[VRC_CRISTALINA_CF_SEC_20221231.xlsx]CF PND'!$DI$68</t>
  </si>
  <si>
    <t>='C:\Users\jaime.benazar\Quorum Business Solutions\Ecopetrol Prometeo - Documents\Planning Space Implementation\3. Analysis &amp; Design\Design\FC22\DRR Jaime\Por presentar a ECP\Cantagallo\Cristalina\[VRC_CRISTALINA_CF_SEC_20221231.xlsx]CF PND'!$DI$69</t>
  </si>
  <si>
    <t>='C:\Users\jaime.benazar\Quorum Business Solutions\Ecopetrol Prometeo - Documents\Planning Space Implementation\3. Analysis &amp; Design\Design\FC22\DRR Jaime\Por presentar a ECP\Cantagallo\Cristalina\[VRC_CRISTALINA_CF_SEC_20221231.xlsx]CF PND'!$DI$70</t>
  </si>
  <si>
    <t>='C:\Users\jaime.benazar\Quorum Business Solutions\Ecopetrol Prometeo - Documents\Planning Space Implementation\3. Analysis &amp; Design\Design\FC22\DRR Jaime\Por presentar a ECP\Cantagallo\Cristalina\[VRC_CRISTALINA_CF_SEC_20221231.xlsx]CF PND'!$DI$71</t>
  </si>
  <si>
    <t>='C:\Users\jaime.benazar\Quorum Business Solutions\Ecopetrol Prometeo - Documents\Planning Space Implementation\3. Analysis &amp; Design\Design\FC22\DRR Jaime\Por presentar a ECP\Cantagallo\Cristalina\[VRC_CRISTALINA_CF_SEC_20221231.xlsx]CF PND'!$DI$72</t>
  </si>
  <si>
    <t>='C:\Users\jaime.benazar\Quorum Business Solutions\Ecopetrol Prometeo - Documents\Planning Space Implementation\3. Analysis &amp; Design\Design\FC22\DRR Jaime\Por presentar a ECP\Cantagallo\Cristalina\[VRC_CRISTALINA_CF_SEC_20221231.xlsx]CF PRB'!$DI$36</t>
  </si>
  <si>
    <t>='C:\Users\jaime.benazar\Quorum Business Solutions\Ecopetrol Prometeo - Documents\Planning Space Implementation\3. Analysis &amp; Design\Design\FC22\DRR Jaime\Por presentar a ECP\Cantagallo\Cristalina\[VRC_CRISTALINA_CF_SEC_20221231.xlsx]CF PRB'!$DI$37</t>
  </si>
  <si>
    <t>='C:\Users\jaime.benazar\Quorum Business Solutions\Ecopetrol Prometeo - Documents\Planning Space Implementation\3. Analysis &amp; Design\Design\FC22\DRR Jaime\Por presentar a ECP\Cantagallo\Cristalina\[VRC_CRISTALINA_CF_SEC_20221231.xlsx]CF PRB'!$DI$38</t>
  </si>
  <si>
    <t>='C:\Users\jaime.benazar\Quorum Business Solutions\Ecopetrol Prometeo - Documents\Planning Space Implementation\3. Analysis &amp; Design\Design\FC22\DRR Jaime\Por presentar a ECP\Cantagallo\Cristalina\[VRC_CRISTALINA_CF_SEC_20221231.xlsx]CF PRB'!$DI$39</t>
  </si>
  <si>
    <t>='C:\Users\jaime.benazar\Quorum Business Solutions\Ecopetrol Prometeo - Documents\Planning Space Implementation\3. Analysis &amp; Design\Design\FC22\DRR Jaime\Por presentar a ECP\Cantagallo\Cristalina\[VRC_CRISTALINA_CF_SEC_20221231.xlsx]CF PRB'!$DI$40</t>
  </si>
  <si>
    <t>='C:\Users\jaime.benazar\Quorum Business Solutions\Ecopetrol Prometeo - Documents\Planning Space Implementation\3. Analysis &amp; Design\Design\FC22\DRR Jaime\Por presentar a ECP\Cantagallo\Cristalina\[VRC_CRISTALINA_CF_SEC_20221231.xlsx]CF PRB'!$DI$41</t>
  </si>
  <si>
    <t>='C:\Users\jaime.benazar\Quorum Business Solutions\Ecopetrol Prometeo - Documents\Planning Space Implementation\3. Analysis &amp; Design\Design\FC22\DRR Jaime\Por presentar a ECP\Cantagallo\Cristalina\[VRC_CRISTALINA_CF_SEC_20221231.xlsx]CF PRB'!$DI$42</t>
  </si>
  <si>
    <t>='C:\Users\jaime.benazar\Quorum Business Solutions\Ecopetrol Prometeo - Documents\Planning Space Implementation\3. Analysis &amp; Design\Design\FC22\DRR Jaime\Por presentar a ECP\Cantagallo\Cristalina\[VRC_CRISTALINA_CF_SEC_20221231.xlsx]CF PRB'!$DI$43</t>
  </si>
  <si>
    <t>='C:\Users\jaime.benazar\Quorum Business Solutions\Ecopetrol Prometeo - Documents\Planning Space Implementation\3. Analysis &amp; Design\Design\FC22\DRR Jaime\Por presentar a ECP\Cantagallo\Cristalina\[VRC_CRISTALINA_CF_SEC_20221231.xlsx]CF PRB'!$DI$44</t>
  </si>
  <si>
    <t>='C:\Users\jaime.benazar\Quorum Business Solutions\Ecopetrol Prometeo - Documents\Planning Space Implementation\3. Analysis &amp; Design\Design\FC22\DRR Jaime\Por presentar a ECP\Cantagallo\Cristalina\[VRC_CRISTALINA_CF_SEC_20221231.xlsx]CF PRB'!$DI$45</t>
  </si>
  <si>
    <t>='C:\Users\jaime.benazar\Quorum Business Solutions\Ecopetrol Prometeo - Documents\Planning Space Implementation\3. Analysis &amp; Design\Design\FC22\DRR Jaime\Por presentar a ECP\Cantagallo\Cristalina\[VRC_CRISTALINA_CF_SEC_20221231.xlsx]CF PRB'!$DI$46</t>
  </si>
  <si>
    <t>='C:\Users\jaime.benazar\Quorum Business Solutions\Ecopetrol Prometeo - Documents\Planning Space Implementation\3. Analysis &amp; Design\Design\FC22\DRR Jaime\Por presentar a ECP\Cantagallo\Cristalina\[VRC_CRISTALINA_CF_SEC_20221231.xlsx]CF PRB'!$DI$47</t>
  </si>
  <si>
    <t>='C:\Users\jaime.benazar\Quorum Business Solutions\Ecopetrol Prometeo - Documents\Planning Space Implementation\3. Analysis &amp; Design\Design\FC22\DRR Jaime\Por presentar a ECP\Cantagallo\Cristalina\[VRC_CRISTALINA_CF_SEC_20221231.xlsx]CF PRB'!$DI$48</t>
  </si>
  <si>
    <t>='C:\Users\jaime.benazar\Quorum Business Solutions\Ecopetrol Prometeo - Documents\Planning Space Implementation\3. Analysis &amp; Design\Design\FC22\DRR Jaime\Por presentar a ECP\Cantagallo\Cristalina\[VRC_CRISTALINA_CF_SEC_20221231.xlsx]CF PRB'!$DI$49</t>
  </si>
  <si>
    <t>='C:\Users\jaime.benazar\Quorum Business Solutions\Ecopetrol Prometeo - Documents\Planning Space Implementation\3. Analysis &amp; Design\Design\FC22\DRR Jaime\Por presentar a ECP\Cantagallo\Cristalina\[VRC_CRISTALINA_CF_SEC_20221231.xlsx]CF PRB'!$DI$50</t>
  </si>
  <si>
    <t>='C:\Users\jaime.benazar\Quorum Business Solutions\Ecopetrol Prometeo - Documents\Planning Space Implementation\3. Analysis &amp; Design\Design\FC22\DRR Jaime\Por presentar a ECP\Cantagallo\Cristalina\[VRC_CRISTALINA_CF_SEC_20221231.xlsx]CF PRB'!$DI$51</t>
  </si>
  <si>
    <t>='C:\Users\jaime.benazar\Quorum Business Solutions\Ecopetrol Prometeo - Documents\Planning Space Implementation\3. Analysis &amp; Design\Design\FC22\DRR Jaime\Por presentar a ECP\Cantagallo\Cristalina\[VRC_CRISTALINA_CF_SEC_20221231.xlsx]CF PRB'!$DI$52</t>
  </si>
  <si>
    <t>='C:\Users\jaime.benazar\Quorum Business Solutions\Ecopetrol Prometeo - Documents\Planning Space Implementation\3. Analysis &amp; Design\Design\FC22\DRR Jaime\Por presentar a ECP\Cantagallo\Cristalina\[VRC_CRISTALINA_CF_SEC_20221231.xlsx]CF PRB'!$DI$53</t>
  </si>
  <si>
    <t>='C:\Users\jaime.benazar\Quorum Business Solutions\Ecopetrol Prometeo - Documents\Planning Space Implementation\3. Analysis &amp; Design\Design\FC22\DRR Jaime\Por presentar a ECP\Cantagallo\Cristalina\[VRC_CRISTALINA_CF_SEC_20221231.xlsx]CF PRB'!$DI$54</t>
  </si>
  <si>
    <t>='C:\Users\jaime.benazar\Quorum Business Solutions\Ecopetrol Prometeo - Documents\Planning Space Implementation\3. Analysis &amp; Design\Design\FC22\DRR Jaime\Por presentar a ECP\Cantagallo\Cristalina\[VRC_CRISTALINA_CF_SEC_20221231.xlsx]CF PRB'!$DI$55</t>
  </si>
  <si>
    <t>='C:\Users\jaime.benazar\Quorum Business Solutions\Ecopetrol Prometeo - Documents\Planning Space Implementation\3. Analysis &amp; Design\Design\FC22\DRR Jaime\Por presentar a ECP\Cantagallo\Cristalina\[VRC_CRISTALINA_CF_SEC_20221231.xlsx]CF PRB'!$DI$56</t>
  </si>
  <si>
    <t>='C:\Users\jaime.benazar\Quorum Business Solutions\Ecopetrol Prometeo - Documents\Planning Space Implementation\3. Analysis &amp; Design\Design\FC22\DRR Jaime\Por presentar a ECP\Cantagallo\Cristalina\[VRC_CRISTALINA_CF_SEC_20221231.xlsx]CF PRB'!$DI$57</t>
  </si>
  <si>
    <t>='C:\Users\jaime.benazar\Quorum Business Solutions\Ecopetrol Prometeo - Documents\Planning Space Implementation\3. Analysis &amp; Design\Design\FC22\DRR Jaime\Por presentar a ECP\Cantagallo\Cristalina\[VRC_CRISTALINA_CF_SEC_20221231.xlsx]CF PRB'!$DI$58</t>
  </si>
  <si>
    <t>='C:\Users\jaime.benazar\Quorum Business Solutions\Ecopetrol Prometeo - Documents\Planning Space Implementation\3. Analysis &amp; Design\Design\FC22\DRR Jaime\Por presentar a ECP\Cantagallo\Cristalina\[VRC_CRISTALINA_CF_SEC_20221231.xlsx]CF PRB'!$DI$59</t>
  </si>
  <si>
    <t>='C:\Users\jaime.benazar\Quorum Business Solutions\Ecopetrol Prometeo - Documents\Planning Space Implementation\3. Analysis &amp; Design\Design\FC22\DRR Jaime\Por presentar a ECP\Cantagallo\Cristalina\[VRC_CRISTALINA_CF_SEC_20221231.xlsx]CF PRB'!$DI$60</t>
  </si>
  <si>
    <t>='C:\Users\jaime.benazar\Quorum Business Solutions\Ecopetrol Prometeo - Documents\Planning Space Implementation\3. Analysis &amp; Design\Design\FC22\DRR Jaime\Por presentar a ECP\Cantagallo\Cristalina\[VRC_CRISTALINA_CF_SEC_20221231.xlsx]CF PRB'!$DI$61</t>
  </si>
  <si>
    <t>='C:\Users\jaime.benazar\Quorum Business Solutions\Ecopetrol Prometeo - Documents\Planning Space Implementation\3. Analysis &amp; Design\Design\FC22\DRR Jaime\Por presentar a ECP\Cantagallo\Cristalina\[VRC_CRISTALINA_CF_SEC_20221231.xlsx]CF PRB'!$DI$62</t>
  </si>
  <si>
    <t>='C:\Users\jaime.benazar\Quorum Business Solutions\Ecopetrol Prometeo - Documents\Planning Space Implementation\3. Analysis &amp; Design\Design\FC22\DRR Jaime\Por presentar a ECP\Cantagallo\Cristalina\[VRC_CRISTALINA_CF_SEC_20221231.xlsx]CF PRB'!$DI$63</t>
  </si>
  <si>
    <t>='C:\Users\jaime.benazar\Quorum Business Solutions\Ecopetrol Prometeo - Documents\Planning Space Implementation\3. Analysis &amp; Design\Design\FC22\DRR Jaime\Por presentar a ECP\Cantagallo\Cristalina\[VRC_CRISTALINA_CF_SEC_20221231.xlsx]CF PRB'!$DI$64</t>
  </si>
  <si>
    <t>='C:\Users\jaime.benazar\Quorum Business Solutions\Ecopetrol Prometeo - Documents\Planning Space Implementation\3. Analysis &amp; Design\Design\FC22\DRR Jaime\Por presentar a ECP\Cantagallo\Cristalina\[VRC_CRISTALINA_CF_SEC_20221231.xlsx]CF PRB'!$DI$65</t>
  </si>
  <si>
    <t>='C:\Users\jaime.benazar\Quorum Business Solutions\Ecopetrol Prometeo - Documents\Planning Space Implementation\3. Analysis &amp; Design\Design\FC22\DRR Jaime\Por presentar a ECP\Cantagallo\Cristalina\[VRC_CRISTALINA_CF_SEC_20221231.xlsx]CF PRB'!$DI$66</t>
  </si>
  <si>
    <t>='C:\Users\jaime.benazar\Quorum Business Solutions\Ecopetrol Prometeo - Documents\Planning Space Implementation\3. Analysis &amp; Design\Design\FC22\DRR Jaime\Por presentar a ECP\Cantagallo\Cristalina\[VRC_CRISTALINA_CF_SEC_20221231.xlsx]CF PRB'!$DI$67</t>
  </si>
  <si>
    <t>='C:\Users\jaime.benazar\Quorum Business Solutions\Ecopetrol Prometeo - Documents\Planning Space Implementation\3. Analysis &amp; Design\Design\FC22\DRR Jaime\Por presentar a ECP\Cantagallo\Cristalina\[VRC_CRISTALINA_CF_SEC_20221231.xlsx]CF PRB'!$DI$68</t>
  </si>
  <si>
    <t>='C:\Users\jaime.benazar\Quorum Business Solutions\Ecopetrol Prometeo - Documents\Planning Space Implementation\3. Analysis &amp; Design\Design\FC22\DRR Jaime\Por presentar a ECP\Cantagallo\Cristalina\[VRC_CRISTALINA_CF_SEC_20221231.xlsx]CF PRB'!$DI$69</t>
  </si>
  <si>
    <t>='C:\Users\jaime.benazar\Quorum Business Solutions\Ecopetrol Prometeo - Documents\Planning Space Implementation\3. Analysis &amp; Design\Design\FC22\DRR Jaime\Por presentar a ECP\Cantagallo\Cristalina\[VRC_CRISTALINA_CF_SEC_20221231.xlsx]CF PRB'!$DI$70</t>
  </si>
  <si>
    <t>='C:\Users\jaime.benazar\Quorum Business Solutions\Ecopetrol Prometeo - Documents\Planning Space Implementation\3. Analysis &amp; Design\Design\FC22\DRR Jaime\Por presentar a ECP\Cantagallo\Cristalina\[VRC_CRISTALINA_CF_SEC_20221231.xlsx]CF PRB'!$DI$71</t>
  </si>
  <si>
    <t>='C:\Users\jaime.benazar\Quorum Business Solutions\Ecopetrol Prometeo - Documents\Planning Space Implementation\3. Analysis &amp; Design\Design\FC22\DRR Jaime\Por presentar a ECP\Cantagallo\Cristalina\[VRC_CRISTALINA_CF_SEC_20221231.xlsx]CF PRB'!$DI$72</t>
  </si>
  <si>
    <t>='C:\Users\jaime.benazar\Quorum Business Solutions\Ecopetrol Prometeo - Documents\Planning Space Implementation\3. Analysis &amp; Design\Design\FC22\DRR Jaime\Por presentar a ECP\Cantagallo\Cristalina\[VRC_CRISTALINA_CF_SEC_20221231.xlsx]CF PS'!$DI$36</t>
  </si>
  <si>
    <t>='C:\Users\jaime.benazar\Quorum Business Solutions\Ecopetrol Prometeo - Documents\Planning Space Implementation\3. Analysis &amp; Design\Design\FC22\DRR Jaime\Por presentar a ECP\Cantagallo\Cristalina\[VRC_CRISTALINA_CF_SEC_20221231.xlsx]CF PS'!$DI$37</t>
  </si>
  <si>
    <t>='C:\Users\jaime.benazar\Quorum Business Solutions\Ecopetrol Prometeo - Documents\Planning Space Implementation\3. Analysis &amp; Design\Design\FC22\DRR Jaime\Por presentar a ECP\Cantagallo\Cristalina\[VRC_CRISTALINA_CF_SEC_20221231.xlsx]CF PS'!$DI$38</t>
  </si>
  <si>
    <t>='C:\Users\jaime.benazar\Quorum Business Solutions\Ecopetrol Prometeo - Documents\Planning Space Implementation\3. Analysis &amp; Design\Design\FC22\DRR Jaime\Por presentar a ECP\Cantagallo\Cristalina\[VRC_CRISTALINA_CF_SEC_20221231.xlsx]CF PS'!$DI$39</t>
  </si>
  <si>
    <t>='C:\Users\jaime.benazar\Quorum Business Solutions\Ecopetrol Prometeo - Documents\Planning Space Implementation\3. Analysis &amp; Design\Design\FC22\DRR Jaime\Por presentar a ECP\Cantagallo\Cristalina\[VRC_CRISTALINA_CF_SEC_20221231.xlsx]CF PS'!$DI$40</t>
  </si>
  <si>
    <t>='C:\Users\jaime.benazar\Quorum Business Solutions\Ecopetrol Prometeo - Documents\Planning Space Implementation\3. Analysis &amp; Design\Design\FC22\DRR Jaime\Por presentar a ECP\Cantagallo\Cristalina\[VRC_CRISTALINA_CF_SEC_20221231.xlsx]CF PS'!$DI$41</t>
  </si>
  <si>
    <t>='C:\Users\jaime.benazar\Quorum Business Solutions\Ecopetrol Prometeo - Documents\Planning Space Implementation\3. Analysis &amp; Design\Design\FC22\DRR Jaime\Por presentar a ECP\Cantagallo\Cristalina\[VRC_CRISTALINA_CF_SEC_20221231.xlsx]CF PS'!$DI$42</t>
  </si>
  <si>
    <t>='C:\Users\jaime.benazar\Quorum Business Solutions\Ecopetrol Prometeo - Documents\Planning Space Implementation\3. Analysis &amp; Design\Design\FC22\DRR Jaime\Por presentar a ECP\Cantagallo\Cristalina\[VRC_CRISTALINA_CF_SEC_20221231.xlsx]CF PS'!$DI$43</t>
  </si>
  <si>
    <t>='C:\Users\jaime.benazar\Quorum Business Solutions\Ecopetrol Prometeo - Documents\Planning Space Implementation\3. Analysis &amp; Design\Design\FC22\DRR Jaime\Por presentar a ECP\Cantagallo\Cristalina\[VRC_CRISTALINA_CF_SEC_20221231.xlsx]CF PS'!$DI$44</t>
  </si>
  <si>
    <t>='C:\Users\jaime.benazar\Quorum Business Solutions\Ecopetrol Prometeo - Documents\Planning Space Implementation\3. Analysis &amp; Design\Design\FC22\DRR Jaime\Por presentar a ECP\Cantagallo\Cristalina\[VRC_CRISTALINA_CF_SEC_20221231.xlsx]CF PS'!$DI$45</t>
  </si>
  <si>
    <t>='C:\Users\jaime.benazar\Quorum Business Solutions\Ecopetrol Prometeo - Documents\Planning Space Implementation\3. Analysis &amp; Design\Design\FC22\DRR Jaime\Por presentar a ECP\Cantagallo\Cristalina\[VRC_CRISTALINA_CF_SEC_20221231.xlsx]CF PS'!$DI$46</t>
  </si>
  <si>
    <t>='C:\Users\jaime.benazar\Quorum Business Solutions\Ecopetrol Prometeo - Documents\Planning Space Implementation\3. Analysis &amp; Design\Design\FC22\DRR Jaime\Por presentar a ECP\Cantagallo\Cristalina\[VRC_CRISTALINA_CF_SEC_20221231.xlsx]CF PS'!$DI$47</t>
  </si>
  <si>
    <t>='C:\Users\jaime.benazar\Quorum Business Solutions\Ecopetrol Prometeo - Documents\Planning Space Implementation\3. Analysis &amp; Design\Design\FC22\DRR Jaime\Por presentar a ECP\Cantagallo\Cristalina\[VRC_CRISTALINA_CF_SEC_20221231.xlsx]CF PS'!$DI$48</t>
  </si>
  <si>
    <t>='C:\Users\jaime.benazar\Quorum Business Solutions\Ecopetrol Prometeo - Documents\Planning Space Implementation\3. Analysis &amp; Design\Design\FC22\DRR Jaime\Por presentar a ECP\Cantagallo\Cristalina\[VRC_CRISTALINA_CF_SEC_20221231.xlsx]CF PS'!$DI$49</t>
  </si>
  <si>
    <t>='C:\Users\jaime.benazar\Quorum Business Solutions\Ecopetrol Prometeo - Documents\Planning Space Implementation\3. Analysis &amp; Design\Design\FC22\DRR Jaime\Por presentar a ECP\Cantagallo\Cristalina\[VRC_CRISTALINA_CF_SEC_20221231.xlsx]CF PS'!$DI$50</t>
  </si>
  <si>
    <t>='C:\Users\jaime.benazar\Quorum Business Solutions\Ecopetrol Prometeo - Documents\Planning Space Implementation\3. Analysis &amp; Design\Design\FC22\DRR Jaime\Por presentar a ECP\Cantagallo\Cristalina\[VRC_CRISTALINA_CF_SEC_20221231.xlsx]CF PS'!$DI$51</t>
  </si>
  <si>
    <t>='C:\Users\jaime.benazar\Quorum Business Solutions\Ecopetrol Prometeo - Documents\Planning Space Implementation\3. Analysis &amp; Design\Design\FC22\DRR Jaime\Por presentar a ECP\Cantagallo\Cristalina\[VRC_CRISTALINA_CF_SEC_20221231.xlsx]CF PS'!$DI$52</t>
  </si>
  <si>
    <t>='C:\Users\jaime.benazar\Quorum Business Solutions\Ecopetrol Prometeo - Documents\Planning Space Implementation\3. Analysis &amp; Design\Design\FC22\DRR Jaime\Por presentar a ECP\Cantagallo\Cristalina\[VRC_CRISTALINA_CF_SEC_20221231.xlsx]CF PS'!$DI$53</t>
  </si>
  <si>
    <t>='C:\Users\jaime.benazar\Quorum Business Solutions\Ecopetrol Prometeo - Documents\Planning Space Implementation\3. Analysis &amp; Design\Design\FC22\DRR Jaime\Por presentar a ECP\Cantagallo\Cristalina\[VRC_CRISTALINA_CF_SEC_20221231.xlsx]CF PS'!$DI$54</t>
  </si>
  <si>
    <t>='C:\Users\jaime.benazar\Quorum Business Solutions\Ecopetrol Prometeo - Documents\Planning Space Implementation\3. Analysis &amp; Design\Design\FC22\DRR Jaime\Por presentar a ECP\Cantagallo\Cristalina\[VRC_CRISTALINA_CF_SEC_20221231.xlsx]CF PS'!$DI$55</t>
  </si>
  <si>
    <t>='C:\Users\jaime.benazar\Quorum Business Solutions\Ecopetrol Prometeo - Documents\Planning Space Implementation\3. Analysis &amp; Design\Design\FC22\DRR Jaime\Por presentar a ECP\Cantagallo\Cristalina\[VRC_CRISTALINA_CF_SEC_20221231.xlsx]CF PS'!$DI$56</t>
  </si>
  <si>
    <t>='C:\Users\jaime.benazar\Quorum Business Solutions\Ecopetrol Prometeo - Documents\Planning Space Implementation\3. Analysis &amp; Design\Design\FC22\DRR Jaime\Por presentar a ECP\Cantagallo\Cristalina\[VRC_CRISTALINA_CF_SEC_20221231.xlsx]CF PS'!$DI$57</t>
  </si>
  <si>
    <t>='C:\Users\jaime.benazar\Quorum Business Solutions\Ecopetrol Prometeo - Documents\Planning Space Implementation\3. Analysis &amp; Design\Design\FC22\DRR Jaime\Por presentar a ECP\Cantagallo\Cristalina\[VRC_CRISTALINA_CF_SEC_20221231.xlsx]CF PS'!$DI$58</t>
  </si>
  <si>
    <t>='C:\Users\jaime.benazar\Quorum Business Solutions\Ecopetrol Prometeo - Documents\Planning Space Implementation\3. Analysis &amp; Design\Design\FC22\DRR Jaime\Por presentar a ECP\Cantagallo\Cristalina\[VRC_CRISTALINA_CF_SEC_20221231.xlsx]CF PS'!$DI$59</t>
  </si>
  <si>
    <t>='C:\Users\jaime.benazar\Quorum Business Solutions\Ecopetrol Prometeo - Documents\Planning Space Implementation\3. Analysis &amp; Design\Design\FC22\DRR Jaime\Por presentar a ECP\Cantagallo\Cristalina\[VRC_CRISTALINA_CF_SEC_20221231.xlsx]CF PS'!$DI$60</t>
  </si>
  <si>
    <t>='C:\Users\jaime.benazar\Quorum Business Solutions\Ecopetrol Prometeo - Documents\Planning Space Implementation\3. Analysis &amp; Design\Design\FC22\DRR Jaime\Por presentar a ECP\Cantagallo\Cristalina\[VRC_CRISTALINA_CF_SEC_20221231.xlsx]CF PS'!$DI$61</t>
  </si>
  <si>
    <t>='C:\Users\jaime.benazar\Quorum Business Solutions\Ecopetrol Prometeo - Documents\Planning Space Implementation\3. Analysis &amp; Design\Design\FC22\DRR Jaime\Por presentar a ECP\Cantagallo\Cristalina\[VRC_CRISTALINA_CF_SEC_20221231.xlsx]CF PS'!$DI$62</t>
  </si>
  <si>
    <t>='C:\Users\jaime.benazar\Quorum Business Solutions\Ecopetrol Prometeo - Documents\Planning Space Implementation\3. Analysis &amp; Design\Design\FC22\DRR Jaime\Por presentar a ECP\Cantagallo\Cristalina\[VRC_CRISTALINA_CF_SEC_20221231.xlsx]CF PS'!$DI$63</t>
  </si>
  <si>
    <t>='C:\Users\jaime.benazar\Quorum Business Solutions\Ecopetrol Prometeo - Documents\Planning Space Implementation\3. Analysis &amp; Design\Design\FC22\DRR Jaime\Por presentar a ECP\Cantagallo\Cristalina\[VRC_CRISTALINA_CF_SEC_20221231.xlsx]CF PS'!$DI$64</t>
  </si>
  <si>
    <t>='C:\Users\jaime.benazar\Quorum Business Solutions\Ecopetrol Prometeo - Documents\Planning Space Implementation\3. Analysis &amp; Design\Design\FC22\DRR Jaime\Por presentar a ECP\Cantagallo\Cristalina\[VRC_CRISTALINA_CF_SEC_20221231.xlsx]CF PS'!$DI$65</t>
  </si>
  <si>
    <t>='C:\Users\jaime.benazar\Quorum Business Solutions\Ecopetrol Prometeo - Documents\Planning Space Implementation\3. Analysis &amp; Design\Design\FC22\DRR Jaime\Por presentar a ECP\Cantagallo\Cristalina\[VRC_CRISTALINA_CF_SEC_20221231.xlsx]CF PS'!$DI$66</t>
  </si>
  <si>
    <t>='C:\Users\jaime.benazar\Quorum Business Solutions\Ecopetrol Prometeo - Documents\Planning Space Implementation\3. Analysis &amp; Design\Design\FC22\DRR Jaime\Por presentar a ECP\Cantagallo\Cristalina\[VRC_CRISTALINA_CF_SEC_20221231.xlsx]CF PS'!$DI$67</t>
  </si>
  <si>
    <t>='C:\Users\jaime.benazar\Quorum Business Solutions\Ecopetrol Prometeo - Documents\Planning Space Implementation\3. Analysis &amp; Design\Design\FC22\DRR Jaime\Por presentar a ECP\Cantagallo\Cristalina\[VRC_CRISTALINA_CF_SEC_20221231.xlsx]CF PS'!$DI$68</t>
  </si>
  <si>
    <t>='C:\Users\jaime.benazar\Quorum Business Solutions\Ecopetrol Prometeo - Documents\Planning Space Implementation\3. Analysis &amp; Design\Design\FC22\DRR Jaime\Por presentar a ECP\Cantagallo\Cristalina\[VRC_CRISTALINA_CF_SEC_20221231.xlsx]CF PS'!$DI$69</t>
  </si>
  <si>
    <t>='C:\Users\jaime.benazar\Quorum Business Solutions\Ecopetrol Prometeo - Documents\Planning Space Implementation\3. Analysis &amp; Design\Design\FC22\DRR Jaime\Por presentar a ECP\Cantagallo\Cristalina\[VRC_CRISTALINA_CF_SEC_20221231.xlsx]CF PS'!$DI$70</t>
  </si>
  <si>
    <t>='C:\Users\jaime.benazar\Quorum Business Solutions\Ecopetrol Prometeo - Documents\Planning Space Implementation\3. Analysis &amp; Design\Design\FC22\DRR Jaime\Por presentar a ECP\Cantagallo\Cristalina\[VRC_CRISTALINA_CF_SEC_20221231.xlsx]CF PS'!$DI$71</t>
  </si>
  <si>
    <t>='C:\Users\jaime.benazar\Quorum Business Solutions\Ecopetrol Prometeo - Documents\Planning Space Implementation\3. Analysis &amp; Design\Design\FC22\DRR Jaime\Por presentar a ECP\Cantagallo\Cristalina\[VRC_CRISTALINA_CF_SEC_20221231.xlsx]CF PS'!$DI$72</t>
  </si>
  <si>
    <t>='C:\Users\jaime.benazar\Quorum Business Solutions\Ecopetrol Prometeo - Documents\Planning Space Implementation\3. Analysis &amp; Design\Design\FC22\DRR Jaime\Por presentar a ECP\Cantagallo\Cristalina\[VRC_CRISTALINA_CF_SEC_20221231.xlsx]CF PDP'!$BB$36</t>
  </si>
  <si>
    <t>='C:\Users\jaime.benazar\Quorum Business Solutions\Ecopetrol Prometeo - Documents\Planning Space Implementation\3. Analysis &amp; Design\Design\FC22\DRR Jaime\Por presentar a ECP\Cantagallo\Cristalina\[VRC_CRISTALINA_CF_SEC_20221231.xlsx]CF PDP'!$BB$37</t>
  </si>
  <si>
    <t>='C:\Users\jaime.benazar\Quorum Business Solutions\Ecopetrol Prometeo - Documents\Planning Space Implementation\3. Analysis &amp; Design\Design\FC22\DRR Jaime\Por presentar a ECP\Cantagallo\Cristalina\[VRC_CRISTALINA_CF_SEC_20221231.xlsx]CF PDP'!$BB$38</t>
  </si>
  <si>
    <t>='C:\Users\jaime.benazar\Quorum Business Solutions\Ecopetrol Prometeo - Documents\Planning Space Implementation\3. Analysis &amp; Design\Design\FC22\DRR Jaime\Por presentar a ECP\Cantagallo\Cristalina\[VRC_CRISTALINA_CF_SEC_20221231.xlsx]CF PDP'!$BB$39</t>
  </si>
  <si>
    <t>='C:\Users\jaime.benazar\Quorum Business Solutions\Ecopetrol Prometeo - Documents\Planning Space Implementation\3. Analysis &amp; Design\Design\FC22\DRR Jaime\Por presentar a ECP\Cantagallo\Cristalina\[VRC_CRISTALINA_CF_SEC_20221231.xlsx]CF PDP'!$BB$40</t>
  </si>
  <si>
    <t>='C:\Users\jaime.benazar\Quorum Business Solutions\Ecopetrol Prometeo - Documents\Planning Space Implementation\3. Analysis &amp; Design\Design\FC22\DRR Jaime\Por presentar a ECP\Cantagallo\Cristalina\[VRC_CRISTALINA_CF_SEC_20221231.xlsx]CF PDP'!$BB$41</t>
  </si>
  <si>
    <t>='C:\Users\jaime.benazar\Quorum Business Solutions\Ecopetrol Prometeo - Documents\Planning Space Implementation\3. Analysis &amp; Design\Design\FC22\DRR Jaime\Por presentar a ECP\Cantagallo\Cristalina\[VRC_CRISTALINA_CF_SEC_20221231.xlsx]CF PDP'!$BB$42</t>
  </si>
  <si>
    <t>='C:\Users\jaime.benazar\Quorum Business Solutions\Ecopetrol Prometeo - Documents\Planning Space Implementation\3. Analysis &amp; Design\Design\FC22\DRR Jaime\Por presentar a ECP\Cantagallo\Cristalina\[VRC_CRISTALINA_CF_SEC_20221231.xlsx]CF PDP'!$BB$43</t>
  </si>
  <si>
    <t>='C:\Users\jaime.benazar\Quorum Business Solutions\Ecopetrol Prometeo - Documents\Planning Space Implementation\3. Analysis &amp; Design\Design\FC22\DRR Jaime\Por presentar a ECP\Cantagallo\Cristalina\[VRC_CRISTALINA_CF_SEC_20221231.xlsx]CF PDP'!$BB$44</t>
  </si>
  <si>
    <t>='C:\Users\jaime.benazar\Quorum Business Solutions\Ecopetrol Prometeo - Documents\Planning Space Implementation\3. Analysis &amp; Design\Design\FC22\DRR Jaime\Por presentar a ECP\Cantagallo\Cristalina\[VRC_CRISTALINA_CF_SEC_20221231.xlsx]CF PDP'!$BB$45</t>
  </si>
  <si>
    <t>='C:\Users\jaime.benazar\Quorum Business Solutions\Ecopetrol Prometeo - Documents\Planning Space Implementation\3. Analysis &amp; Design\Design\FC22\DRR Jaime\Por presentar a ECP\Cantagallo\Cristalina\[VRC_CRISTALINA_CF_SEC_20221231.xlsx]CF PDP'!$BB$46</t>
  </si>
  <si>
    <t>='C:\Users\jaime.benazar\Quorum Business Solutions\Ecopetrol Prometeo - Documents\Planning Space Implementation\3. Analysis &amp; Design\Design\FC22\DRR Jaime\Por presentar a ECP\Cantagallo\Cristalina\[VRC_CRISTALINA_CF_SEC_20221231.xlsx]CF PDP'!$BB$47</t>
  </si>
  <si>
    <t>='C:\Users\jaime.benazar\Quorum Business Solutions\Ecopetrol Prometeo - Documents\Planning Space Implementation\3. Analysis &amp; Design\Design\FC22\DRR Jaime\Por presentar a ECP\Cantagallo\Cristalina\[VRC_CRISTALINA_CF_SEC_20221231.xlsx]CF PDP'!$BB$48</t>
  </si>
  <si>
    <t>='C:\Users\jaime.benazar\Quorum Business Solutions\Ecopetrol Prometeo - Documents\Planning Space Implementation\3. Analysis &amp; Design\Design\FC22\DRR Jaime\Por presentar a ECP\Cantagallo\Cristalina\[VRC_CRISTALINA_CF_SEC_20221231.xlsx]CF PDP'!$BB$49</t>
  </si>
  <si>
    <t>='C:\Users\jaime.benazar\Quorum Business Solutions\Ecopetrol Prometeo - Documents\Planning Space Implementation\3. Analysis &amp; Design\Design\FC22\DRR Jaime\Por presentar a ECP\Cantagallo\Cristalina\[VRC_CRISTALINA_CF_SEC_20221231.xlsx]CF PDP'!$BB$50</t>
  </si>
  <si>
    <t>='C:\Users\jaime.benazar\Quorum Business Solutions\Ecopetrol Prometeo - Documents\Planning Space Implementation\3. Analysis &amp; Design\Design\FC22\DRR Jaime\Por presentar a ECP\Cantagallo\Cristalina\[VRC_CRISTALINA_CF_SEC_20221231.xlsx]CF PDP'!$BB$51</t>
  </si>
  <si>
    <t>='C:\Users\jaime.benazar\Quorum Business Solutions\Ecopetrol Prometeo - Documents\Planning Space Implementation\3. Analysis &amp; Design\Design\FC22\DRR Jaime\Por presentar a ECP\Cantagallo\Cristalina\[VRC_CRISTALINA_CF_SEC_20221231.xlsx]CF PDP'!$BB$52</t>
  </si>
  <si>
    <t>='C:\Users\jaime.benazar\Quorum Business Solutions\Ecopetrol Prometeo - Documents\Planning Space Implementation\3. Analysis &amp; Design\Design\FC22\DRR Jaime\Por presentar a ECP\Cantagallo\Cristalina\[VRC_CRISTALINA_CF_SEC_20221231.xlsx]CF PDP'!$BB$53</t>
  </si>
  <si>
    <t>='C:\Users\jaime.benazar\Quorum Business Solutions\Ecopetrol Prometeo - Documents\Planning Space Implementation\3. Analysis &amp; Design\Design\FC22\DRR Jaime\Por presentar a ECP\Cantagallo\Cristalina\[VRC_CRISTALINA_CF_SEC_20221231.xlsx]CF PDP'!$BB$54</t>
  </si>
  <si>
    <t>='C:\Users\jaime.benazar\Quorum Business Solutions\Ecopetrol Prometeo - Documents\Planning Space Implementation\3. Analysis &amp; Design\Design\FC22\DRR Jaime\Por presentar a ECP\Cantagallo\Cristalina\[VRC_CRISTALINA_CF_SEC_20221231.xlsx]CF PDP'!$BB$55</t>
  </si>
  <si>
    <t>='C:\Users\jaime.benazar\Quorum Business Solutions\Ecopetrol Prometeo - Documents\Planning Space Implementation\3. Analysis &amp; Design\Design\FC22\DRR Jaime\Por presentar a ECP\Cantagallo\Cristalina\[VRC_CRISTALINA_CF_SEC_20221231.xlsx]CF PDP'!$BB$56</t>
  </si>
  <si>
    <t>='C:\Users\jaime.benazar\Quorum Business Solutions\Ecopetrol Prometeo - Documents\Planning Space Implementation\3. Analysis &amp; Design\Design\FC22\DRR Jaime\Por presentar a ECP\Cantagallo\Cristalina\[VRC_CRISTALINA_CF_SEC_20221231.xlsx]CF PDP'!$BB$57</t>
  </si>
  <si>
    <t>='C:\Users\jaime.benazar\Quorum Business Solutions\Ecopetrol Prometeo - Documents\Planning Space Implementation\3. Analysis &amp; Design\Design\FC22\DRR Jaime\Por presentar a ECP\Cantagallo\Cristalina\[VRC_CRISTALINA_CF_SEC_20221231.xlsx]CF PDP'!$BB$58</t>
  </si>
  <si>
    <t>='C:\Users\jaime.benazar\Quorum Business Solutions\Ecopetrol Prometeo - Documents\Planning Space Implementation\3. Analysis &amp; Design\Design\FC22\DRR Jaime\Por presentar a ECP\Cantagallo\Cristalina\[VRC_CRISTALINA_CF_SEC_20221231.xlsx]CF PDP'!$BB$59</t>
  </si>
  <si>
    <t>='C:\Users\jaime.benazar\Quorum Business Solutions\Ecopetrol Prometeo - Documents\Planning Space Implementation\3. Analysis &amp; Design\Design\FC22\DRR Jaime\Por presentar a ECP\Cantagallo\Cristalina\[VRC_CRISTALINA_CF_SEC_20221231.xlsx]CF PDP'!$BB$60</t>
  </si>
  <si>
    <t>='C:\Users\jaime.benazar\Quorum Business Solutions\Ecopetrol Prometeo - Documents\Planning Space Implementation\3. Analysis &amp; Design\Design\FC22\DRR Jaime\Por presentar a ECP\Cantagallo\Cristalina\[VRC_CRISTALINA_CF_SEC_20221231.xlsx]CF PDP'!$BB$61</t>
  </si>
  <si>
    <t>='C:\Users\jaime.benazar\Quorum Business Solutions\Ecopetrol Prometeo - Documents\Planning Space Implementation\3. Analysis &amp; Design\Design\FC22\DRR Jaime\Por presentar a ECP\Cantagallo\Cristalina\[VRC_CRISTALINA_CF_SEC_20221231.xlsx]CF PDP'!$BB$62</t>
  </si>
  <si>
    <t>='C:\Users\jaime.benazar\Quorum Business Solutions\Ecopetrol Prometeo - Documents\Planning Space Implementation\3. Analysis &amp; Design\Design\FC22\DRR Jaime\Por presentar a ECP\Cantagallo\Cristalina\[VRC_CRISTALINA_CF_SEC_20221231.xlsx]CF PDP'!$BB$63</t>
  </si>
  <si>
    <t>='C:\Users\jaime.benazar\Quorum Business Solutions\Ecopetrol Prometeo - Documents\Planning Space Implementation\3. Analysis &amp; Design\Design\FC22\DRR Jaime\Por presentar a ECP\Cantagallo\Cristalina\[VRC_CRISTALINA_CF_SEC_20221231.xlsx]CF PDP'!$BB$64</t>
  </si>
  <si>
    <t>='C:\Users\jaime.benazar\Quorum Business Solutions\Ecopetrol Prometeo - Documents\Planning Space Implementation\3. Analysis &amp; Design\Design\FC22\DRR Jaime\Por presentar a ECP\Cantagallo\Cristalina\[VRC_CRISTALINA_CF_SEC_20221231.xlsx]CF PDP'!$BB$65</t>
  </si>
  <si>
    <t>='C:\Users\jaime.benazar\Quorum Business Solutions\Ecopetrol Prometeo - Documents\Planning Space Implementation\3. Analysis &amp; Design\Design\FC22\DRR Jaime\Por presentar a ECP\Cantagallo\Cristalina\[VRC_CRISTALINA_CF_SEC_20221231.xlsx]CF PDP'!$BB$66</t>
  </si>
  <si>
    <t>='C:\Users\jaime.benazar\Quorum Business Solutions\Ecopetrol Prometeo - Documents\Planning Space Implementation\3. Analysis &amp; Design\Design\FC22\DRR Jaime\Por presentar a ECP\Cantagallo\Cristalina\[VRC_CRISTALINA_CF_SEC_20221231.xlsx]CF PDP'!$BB$67</t>
  </si>
  <si>
    <t>='C:\Users\jaime.benazar\Quorum Business Solutions\Ecopetrol Prometeo - Documents\Planning Space Implementation\3. Analysis &amp; Design\Design\FC22\DRR Jaime\Por presentar a ECP\Cantagallo\Cristalina\[VRC_CRISTALINA_CF_SEC_20221231.xlsx]CF PDP'!$BB$68</t>
  </si>
  <si>
    <t>='C:\Users\jaime.benazar\Quorum Business Solutions\Ecopetrol Prometeo - Documents\Planning Space Implementation\3. Analysis &amp; Design\Design\FC22\DRR Jaime\Por presentar a ECP\Cantagallo\Cristalina\[VRC_CRISTALINA_CF_SEC_20221231.xlsx]CF PDP'!$BB$69</t>
  </si>
  <si>
    <t>='C:\Users\jaime.benazar\Quorum Business Solutions\Ecopetrol Prometeo - Documents\Planning Space Implementation\3. Analysis &amp; Design\Design\FC22\DRR Jaime\Por presentar a ECP\Cantagallo\Cristalina\[VRC_CRISTALINA_CF_SEC_20221231.xlsx]CF PDP'!$BB$70</t>
  </si>
  <si>
    <t>='C:\Users\jaime.benazar\Quorum Business Solutions\Ecopetrol Prometeo - Documents\Planning Space Implementation\3. Analysis &amp; Design\Design\FC22\DRR Jaime\Por presentar a ECP\Cantagallo\Cristalina\[VRC_CRISTALINA_CF_SEC_20221231.xlsx]CF PDP'!$BB$71</t>
  </si>
  <si>
    <t>='C:\Users\jaime.benazar\Quorum Business Solutions\Ecopetrol Prometeo - Documents\Planning Space Implementation\3. Analysis &amp; Design\Design\FC22\DRR Jaime\Por presentar a ECP\Cantagallo\Cristalina\[VRC_CRISTALINA_CF_SEC_20221231.xlsx]CF PDP'!$BB$72</t>
  </si>
  <si>
    <t>='C:\Users\jaime.benazar\Quorum Business Solutions\Ecopetrol Prometeo - Documents\Planning Space Implementation\3. Analysis &amp; Design\Design\FC22\DRR Jaime\Por presentar a ECP\Cantagallo\Cristalina\[VRC_CRISTALINA_CF_SEC_20221231.xlsx]CF PNP'!$BB$36</t>
  </si>
  <si>
    <t>='C:\Users\jaime.benazar\Quorum Business Solutions\Ecopetrol Prometeo - Documents\Planning Space Implementation\3. Analysis &amp; Design\Design\FC22\DRR Jaime\Por presentar a ECP\Cantagallo\Cristalina\[VRC_CRISTALINA_CF_SEC_20221231.xlsx]CF PNP'!$BB$37</t>
  </si>
  <si>
    <t>='C:\Users\jaime.benazar\Quorum Business Solutions\Ecopetrol Prometeo - Documents\Planning Space Implementation\3. Analysis &amp; Design\Design\FC22\DRR Jaime\Por presentar a ECP\Cantagallo\Cristalina\[VRC_CRISTALINA_CF_SEC_20221231.xlsx]CF PNP'!$BB$38</t>
  </si>
  <si>
    <t>='C:\Users\jaime.benazar\Quorum Business Solutions\Ecopetrol Prometeo - Documents\Planning Space Implementation\3. Analysis &amp; Design\Design\FC22\DRR Jaime\Por presentar a ECP\Cantagallo\Cristalina\[VRC_CRISTALINA_CF_SEC_20221231.xlsx]CF PNP'!$BB$39</t>
  </si>
  <si>
    <t>='C:\Users\jaime.benazar\Quorum Business Solutions\Ecopetrol Prometeo - Documents\Planning Space Implementation\3. Analysis &amp; Design\Design\FC22\DRR Jaime\Por presentar a ECP\Cantagallo\Cristalina\[VRC_CRISTALINA_CF_SEC_20221231.xlsx]CF PNP'!$BB$40</t>
  </si>
  <si>
    <t>='C:\Users\jaime.benazar\Quorum Business Solutions\Ecopetrol Prometeo - Documents\Planning Space Implementation\3. Analysis &amp; Design\Design\FC22\DRR Jaime\Por presentar a ECP\Cantagallo\Cristalina\[VRC_CRISTALINA_CF_SEC_20221231.xlsx]CF PNP'!$BB$41</t>
  </si>
  <si>
    <t>='C:\Users\jaime.benazar\Quorum Business Solutions\Ecopetrol Prometeo - Documents\Planning Space Implementation\3. Analysis &amp; Design\Design\FC22\DRR Jaime\Por presentar a ECP\Cantagallo\Cristalina\[VRC_CRISTALINA_CF_SEC_20221231.xlsx]CF PNP'!$BB$42</t>
  </si>
  <si>
    <t>='C:\Users\jaime.benazar\Quorum Business Solutions\Ecopetrol Prometeo - Documents\Planning Space Implementation\3. Analysis &amp; Design\Design\FC22\DRR Jaime\Por presentar a ECP\Cantagallo\Cristalina\[VRC_CRISTALINA_CF_SEC_20221231.xlsx]CF PNP'!$BB$43</t>
  </si>
  <si>
    <t>='C:\Users\jaime.benazar\Quorum Business Solutions\Ecopetrol Prometeo - Documents\Planning Space Implementation\3. Analysis &amp; Design\Design\FC22\DRR Jaime\Por presentar a ECP\Cantagallo\Cristalina\[VRC_CRISTALINA_CF_SEC_20221231.xlsx]CF PNP'!$BB$44</t>
  </si>
  <si>
    <t>='C:\Users\jaime.benazar\Quorum Business Solutions\Ecopetrol Prometeo - Documents\Planning Space Implementation\3. Analysis &amp; Design\Design\FC22\DRR Jaime\Por presentar a ECP\Cantagallo\Cristalina\[VRC_CRISTALINA_CF_SEC_20221231.xlsx]CF PNP'!$BB$45</t>
  </si>
  <si>
    <t>='C:\Users\jaime.benazar\Quorum Business Solutions\Ecopetrol Prometeo - Documents\Planning Space Implementation\3. Analysis &amp; Design\Design\FC22\DRR Jaime\Por presentar a ECP\Cantagallo\Cristalina\[VRC_CRISTALINA_CF_SEC_20221231.xlsx]CF PNP'!$BB$46</t>
  </si>
  <si>
    <t>='C:\Users\jaime.benazar\Quorum Business Solutions\Ecopetrol Prometeo - Documents\Planning Space Implementation\3. Analysis &amp; Design\Design\FC22\DRR Jaime\Por presentar a ECP\Cantagallo\Cristalina\[VRC_CRISTALINA_CF_SEC_20221231.xlsx]CF PNP'!$BB$47</t>
  </si>
  <si>
    <t>='C:\Users\jaime.benazar\Quorum Business Solutions\Ecopetrol Prometeo - Documents\Planning Space Implementation\3. Analysis &amp; Design\Design\FC22\DRR Jaime\Por presentar a ECP\Cantagallo\Cristalina\[VRC_CRISTALINA_CF_SEC_20221231.xlsx]CF PNP'!$BB$48</t>
  </si>
  <si>
    <t>='C:\Users\jaime.benazar\Quorum Business Solutions\Ecopetrol Prometeo - Documents\Planning Space Implementation\3. Analysis &amp; Design\Design\FC22\DRR Jaime\Por presentar a ECP\Cantagallo\Cristalina\[VRC_CRISTALINA_CF_SEC_20221231.xlsx]CF PNP'!$BB$49</t>
  </si>
  <si>
    <t>='C:\Users\jaime.benazar\Quorum Business Solutions\Ecopetrol Prometeo - Documents\Planning Space Implementation\3. Analysis &amp; Design\Design\FC22\DRR Jaime\Por presentar a ECP\Cantagallo\Cristalina\[VRC_CRISTALINA_CF_SEC_20221231.xlsx]CF PNP'!$BB$50</t>
  </si>
  <si>
    <t>='C:\Users\jaime.benazar\Quorum Business Solutions\Ecopetrol Prometeo - Documents\Planning Space Implementation\3. Analysis &amp; Design\Design\FC22\DRR Jaime\Por presentar a ECP\Cantagallo\Cristalina\[VRC_CRISTALINA_CF_SEC_20221231.xlsx]CF PNP'!$BB$51</t>
  </si>
  <si>
    <t>='C:\Users\jaime.benazar\Quorum Business Solutions\Ecopetrol Prometeo - Documents\Planning Space Implementation\3. Analysis &amp; Design\Design\FC22\DRR Jaime\Por presentar a ECP\Cantagallo\Cristalina\[VRC_CRISTALINA_CF_SEC_20221231.xlsx]CF PNP'!$BB$52</t>
  </si>
  <si>
    <t>='C:\Users\jaime.benazar\Quorum Business Solutions\Ecopetrol Prometeo - Documents\Planning Space Implementation\3. Analysis &amp; Design\Design\FC22\DRR Jaime\Por presentar a ECP\Cantagallo\Cristalina\[VRC_CRISTALINA_CF_SEC_20221231.xlsx]CF PNP'!$BB$53</t>
  </si>
  <si>
    <t>='C:\Users\jaime.benazar\Quorum Business Solutions\Ecopetrol Prometeo - Documents\Planning Space Implementation\3. Analysis &amp; Design\Design\FC22\DRR Jaime\Por presentar a ECP\Cantagallo\Cristalina\[VRC_CRISTALINA_CF_SEC_20221231.xlsx]CF PNP'!$BB$54</t>
  </si>
  <si>
    <t>='C:\Users\jaime.benazar\Quorum Business Solutions\Ecopetrol Prometeo - Documents\Planning Space Implementation\3. Analysis &amp; Design\Design\FC22\DRR Jaime\Por presentar a ECP\Cantagallo\Cristalina\[VRC_CRISTALINA_CF_SEC_20221231.xlsx]CF PNP'!$BB$55</t>
  </si>
  <si>
    <t>='C:\Users\jaime.benazar\Quorum Business Solutions\Ecopetrol Prometeo - Documents\Planning Space Implementation\3. Analysis &amp; Design\Design\FC22\DRR Jaime\Por presentar a ECP\Cantagallo\Cristalina\[VRC_CRISTALINA_CF_SEC_20221231.xlsx]CF PNP'!$BB$56</t>
  </si>
  <si>
    <t>='C:\Users\jaime.benazar\Quorum Business Solutions\Ecopetrol Prometeo - Documents\Planning Space Implementation\3. Analysis &amp; Design\Design\FC22\DRR Jaime\Por presentar a ECP\Cantagallo\Cristalina\[VRC_CRISTALINA_CF_SEC_20221231.xlsx]CF PNP'!$BB$57</t>
  </si>
  <si>
    <t>='C:\Users\jaime.benazar\Quorum Business Solutions\Ecopetrol Prometeo - Documents\Planning Space Implementation\3. Analysis &amp; Design\Design\FC22\DRR Jaime\Por presentar a ECP\Cantagallo\Cristalina\[VRC_CRISTALINA_CF_SEC_20221231.xlsx]CF PNP'!$BB$58</t>
  </si>
  <si>
    <t>='C:\Users\jaime.benazar\Quorum Business Solutions\Ecopetrol Prometeo - Documents\Planning Space Implementation\3. Analysis &amp; Design\Design\FC22\DRR Jaime\Por presentar a ECP\Cantagallo\Cristalina\[VRC_CRISTALINA_CF_SEC_20221231.xlsx]CF PNP'!$BB$59</t>
  </si>
  <si>
    <t>='C:\Users\jaime.benazar\Quorum Business Solutions\Ecopetrol Prometeo - Documents\Planning Space Implementation\3. Analysis &amp; Design\Design\FC22\DRR Jaime\Por presentar a ECP\Cantagallo\Cristalina\[VRC_CRISTALINA_CF_SEC_20221231.xlsx]CF PNP'!$BB$60</t>
  </si>
  <si>
    <t>='C:\Users\jaime.benazar\Quorum Business Solutions\Ecopetrol Prometeo - Documents\Planning Space Implementation\3. Analysis &amp; Design\Design\FC22\DRR Jaime\Por presentar a ECP\Cantagallo\Cristalina\[VRC_CRISTALINA_CF_SEC_20221231.xlsx]CF PNP'!$BB$61</t>
  </si>
  <si>
    <t>='C:\Users\jaime.benazar\Quorum Business Solutions\Ecopetrol Prometeo - Documents\Planning Space Implementation\3. Analysis &amp; Design\Design\FC22\DRR Jaime\Por presentar a ECP\Cantagallo\Cristalina\[VRC_CRISTALINA_CF_SEC_20221231.xlsx]CF PNP'!$BB$62</t>
  </si>
  <si>
    <t>='C:\Users\jaime.benazar\Quorum Business Solutions\Ecopetrol Prometeo - Documents\Planning Space Implementation\3. Analysis &amp; Design\Design\FC22\DRR Jaime\Por presentar a ECP\Cantagallo\Cristalina\[VRC_CRISTALINA_CF_SEC_20221231.xlsx]CF PNP'!$BB$63</t>
  </si>
  <si>
    <t>='C:\Users\jaime.benazar\Quorum Business Solutions\Ecopetrol Prometeo - Documents\Planning Space Implementation\3. Analysis &amp; Design\Design\FC22\DRR Jaime\Por presentar a ECP\Cantagallo\Cristalina\[VRC_CRISTALINA_CF_SEC_20221231.xlsx]CF PNP'!$BB$64</t>
  </si>
  <si>
    <t>='C:\Users\jaime.benazar\Quorum Business Solutions\Ecopetrol Prometeo - Documents\Planning Space Implementation\3. Analysis &amp; Design\Design\FC22\DRR Jaime\Por presentar a ECP\Cantagallo\Cristalina\[VRC_CRISTALINA_CF_SEC_20221231.xlsx]CF PNP'!$BB$65</t>
  </si>
  <si>
    <t>='C:\Users\jaime.benazar\Quorum Business Solutions\Ecopetrol Prometeo - Documents\Planning Space Implementation\3. Analysis &amp; Design\Design\FC22\DRR Jaime\Por presentar a ECP\Cantagallo\Cristalina\[VRC_CRISTALINA_CF_SEC_20221231.xlsx]CF PNP'!$BB$66</t>
  </si>
  <si>
    <t>='C:\Users\jaime.benazar\Quorum Business Solutions\Ecopetrol Prometeo - Documents\Planning Space Implementation\3. Analysis &amp; Design\Design\FC22\DRR Jaime\Por presentar a ECP\Cantagallo\Cristalina\[VRC_CRISTALINA_CF_SEC_20221231.xlsx]CF PNP'!$BB$67</t>
  </si>
  <si>
    <t>='C:\Users\jaime.benazar\Quorum Business Solutions\Ecopetrol Prometeo - Documents\Planning Space Implementation\3. Analysis &amp; Design\Design\FC22\DRR Jaime\Por presentar a ECP\Cantagallo\Cristalina\[VRC_CRISTALINA_CF_SEC_20221231.xlsx]CF PNP'!$BB$68</t>
  </si>
  <si>
    <t>='C:\Users\jaime.benazar\Quorum Business Solutions\Ecopetrol Prometeo - Documents\Planning Space Implementation\3. Analysis &amp; Design\Design\FC22\DRR Jaime\Por presentar a ECP\Cantagallo\Cristalina\[VRC_CRISTALINA_CF_SEC_20221231.xlsx]CF PNP'!$BB$69</t>
  </si>
  <si>
    <t>='C:\Users\jaime.benazar\Quorum Business Solutions\Ecopetrol Prometeo - Documents\Planning Space Implementation\3. Analysis &amp; Design\Design\FC22\DRR Jaime\Por presentar a ECP\Cantagallo\Cristalina\[VRC_CRISTALINA_CF_SEC_20221231.xlsx]CF PNP'!$BB$70</t>
  </si>
  <si>
    <t>='C:\Users\jaime.benazar\Quorum Business Solutions\Ecopetrol Prometeo - Documents\Planning Space Implementation\3. Analysis &amp; Design\Design\FC22\DRR Jaime\Por presentar a ECP\Cantagallo\Cristalina\[VRC_CRISTALINA_CF_SEC_20221231.xlsx]CF PNP'!$BB$71</t>
  </si>
  <si>
    <t>='C:\Users\jaime.benazar\Quorum Business Solutions\Ecopetrol Prometeo - Documents\Planning Space Implementation\3. Analysis &amp; Design\Design\FC22\DRR Jaime\Por presentar a ECP\Cantagallo\Cristalina\[VRC_CRISTALINA_CF_SEC_20221231.xlsx]CF PNP'!$BB$72</t>
  </si>
  <si>
    <t>='C:\Users\jaime.benazar\Quorum Business Solutions\Ecopetrol Prometeo - Documents\Planning Space Implementation\3. Analysis &amp; Design\Design\FC22\DRR Jaime\Por presentar a ECP\Cantagallo\Cristalina\[VRC_CRISTALINA_CF_SEC_20221231.xlsx]CF PND'!$BB$36</t>
  </si>
  <si>
    <t>='C:\Users\jaime.benazar\Quorum Business Solutions\Ecopetrol Prometeo - Documents\Planning Space Implementation\3. Analysis &amp; Design\Design\FC22\DRR Jaime\Por presentar a ECP\Cantagallo\Cristalina\[VRC_CRISTALINA_CF_SEC_20221231.xlsx]CF PND'!$BB$37</t>
  </si>
  <si>
    <t>='C:\Users\jaime.benazar\Quorum Business Solutions\Ecopetrol Prometeo - Documents\Planning Space Implementation\3. Analysis &amp; Design\Design\FC22\DRR Jaime\Por presentar a ECP\Cantagallo\Cristalina\[VRC_CRISTALINA_CF_SEC_20221231.xlsx]CF PND'!$BB$38</t>
  </si>
  <si>
    <t>='C:\Users\jaime.benazar\Quorum Business Solutions\Ecopetrol Prometeo - Documents\Planning Space Implementation\3. Analysis &amp; Design\Design\FC22\DRR Jaime\Por presentar a ECP\Cantagallo\Cristalina\[VRC_CRISTALINA_CF_SEC_20221231.xlsx]CF PND'!$BB$39</t>
  </si>
  <si>
    <t>='C:\Users\jaime.benazar\Quorum Business Solutions\Ecopetrol Prometeo - Documents\Planning Space Implementation\3. Analysis &amp; Design\Design\FC22\DRR Jaime\Por presentar a ECP\Cantagallo\Cristalina\[VRC_CRISTALINA_CF_SEC_20221231.xlsx]CF PND'!$BB$40</t>
  </si>
  <si>
    <t>='C:\Users\jaime.benazar\Quorum Business Solutions\Ecopetrol Prometeo - Documents\Planning Space Implementation\3. Analysis &amp; Design\Design\FC22\DRR Jaime\Por presentar a ECP\Cantagallo\Cristalina\[VRC_CRISTALINA_CF_SEC_20221231.xlsx]CF PND'!$BB$41</t>
  </si>
  <si>
    <t>='C:\Users\jaime.benazar\Quorum Business Solutions\Ecopetrol Prometeo - Documents\Planning Space Implementation\3. Analysis &amp; Design\Design\FC22\DRR Jaime\Por presentar a ECP\Cantagallo\Cristalina\[VRC_CRISTALINA_CF_SEC_20221231.xlsx]CF PND'!$BB$42</t>
  </si>
  <si>
    <t>='C:\Users\jaime.benazar\Quorum Business Solutions\Ecopetrol Prometeo - Documents\Planning Space Implementation\3. Analysis &amp; Design\Design\FC22\DRR Jaime\Por presentar a ECP\Cantagallo\Cristalina\[VRC_CRISTALINA_CF_SEC_20221231.xlsx]CF PND'!$BB$43</t>
  </si>
  <si>
    <t>='C:\Users\jaime.benazar\Quorum Business Solutions\Ecopetrol Prometeo - Documents\Planning Space Implementation\3. Analysis &amp; Design\Design\FC22\DRR Jaime\Por presentar a ECP\Cantagallo\Cristalina\[VRC_CRISTALINA_CF_SEC_20221231.xlsx]CF PND'!$BB$44</t>
  </si>
  <si>
    <t>='C:\Users\jaime.benazar\Quorum Business Solutions\Ecopetrol Prometeo - Documents\Planning Space Implementation\3. Analysis &amp; Design\Design\FC22\DRR Jaime\Por presentar a ECP\Cantagallo\Cristalina\[VRC_CRISTALINA_CF_SEC_20221231.xlsx]CF PND'!$BB$45</t>
  </si>
  <si>
    <t>='C:\Users\jaime.benazar\Quorum Business Solutions\Ecopetrol Prometeo - Documents\Planning Space Implementation\3. Analysis &amp; Design\Design\FC22\DRR Jaime\Por presentar a ECP\Cantagallo\Cristalina\[VRC_CRISTALINA_CF_SEC_20221231.xlsx]CF PND'!$BB$46</t>
  </si>
  <si>
    <t>='C:\Users\jaime.benazar\Quorum Business Solutions\Ecopetrol Prometeo - Documents\Planning Space Implementation\3. Analysis &amp; Design\Design\FC22\DRR Jaime\Por presentar a ECP\Cantagallo\Cristalina\[VRC_CRISTALINA_CF_SEC_20221231.xlsx]CF PND'!$BB$47</t>
  </si>
  <si>
    <t>='C:\Users\jaime.benazar\Quorum Business Solutions\Ecopetrol Prometeo - Documents\Planning Space Implementation\3. Analysis &amp; Design\Design\FC22\DRR Jaime\Por presentar a ECP\Cantagallo\Cristalina\[VRC_CRISTALINA_CF_SEC_20221231.xlsx]CF PND'!$BB$48</t>
  </si>
  <si>
    <t>='C:\Users\jaime.benazar\Quorum Business Solutions\Ecopetrol Prometeo - Documents\Planning Space Implementation\3. Analysis &amp; Design\Design\FC22\DRR Jaime\Por presentar a ECP\Cantagallo\Cristalina\[VRC_CRISTALINA_CF_SEC_20221231.xlsx]CF PND'!$BB$49</t>
  </si>
  <si>
    <t>='C:\Users\jaime.benazar\Quorum Business Solutions\Ecopetrol Prometeo - Documents\Planning Space Implementation\3. Analysis &amp; Design\Design\FC22\DRR Jaime\Por presentar a ECP\Cantagallo\Cristalina\[VRC_CRISTALINA_CF_SEC_20221231.xlsx]CF PND'!$BB$50</t>
  </si>
  <si>
    <t>='C:\Users\jaime.benazar\Quorum Business Solutions\Ecopetrol Prometeo - Documents\Planning Space Implementation\3. Analysis &amp; Design\Design\FC22\DRR Jaime\Por presentar a ECP\Cantagallo\Cristalina\[VRC_CRISTALINA_CF_SEC_20221231.xlsx]CF PND'!$BB$51</t>
  </si>
  <si>
    <t>='C:\Users\jaime.benazar\Quorum Business Solutions\Ecopetrol Prometeo - Documents\Planning Space Implementation\3. Analysis &amp; Design\Design\FC22\DRR Jaime\Por presentar a ECP\Cantagallo\Cristalina\[VRC_CRISTALINA_CF_SEC_20221231.xlsx]CF PND'!$BB$52</t>
  </si>
  <si>
    <t>='C:\Users\jaime.benazar\Quorum Business Solutions\Ecopetrol Prometeo - Documents\Planning Space Implementation\3. Analysis &amp; Design\Design\FC22\DRR Jaime\Por presentar a ECP\Cantagallo\Cristalina\[VRC_CRISTALINA_CF_SEC_20221231.xlsx]CF PND'!$BB$53</t>
  </si>
  <si>
    <t>='C:\Users\jaime.benazar\Quorum Business Solutions\Ecopetrol Prometeo - Documents\Planning Space Implementation\3. Analysis &amp; Design\Design\FC22\DRR Jaime\Por presentar a ECP\Cantagallo\Cristalina\[VRC_CRISTALINA_CF_SEC_20221231.xlsx]CF PND'!$BB$54</t>
  </si>
  <si>
    <t>='C:\Users\jaime.benazar\Quorum Business Solutions\Ecopetrol Prometeo - Documents\Planning Space Implementation\3. Analysis &amp; Design\Design\FC22\DRR Jaime\Por presentar a ECP\Cantagallo\Cristalina\[VRC_CRISTALINA_CF_SEC_20221231.xlsx]CF PND'!$BB$55</t>
  </si>
  <si>
    <t>='C:\Users\jaime.benazar\Quorum Business Solutions\Ecopetrol Prometeo - Documents\Planning Space Implementation\3. Analysis &amp; Design\Design\FC22\DRR Jaime\Por presentar a ECP\Cantagallo\Cristalina\[VRC_CRISTALINA_CF_SEC_20221231.xlsx]CF PND'!$BB$56</t>
  </si>
  <si>
    <t>='C:\Users\jaime.benazar\Quorum Business Solutions\Ecopetrol Prometeo - Documents\Planning Space Implementation\3. Analysis &amp; Design\Design\FC22\DRR Jaime\Por presentar a ECP\Cantagallo\Cristalina\[VRC_CRISTALINA_CF_SEC_20221231.xlsx]CF PND'!$BB$57</t>
  </si>
  <si>
    <t>='C:\Users\jaime.benazar\Quorum Business Solutions\Ecopetrol Prometeo - Documents\Planning Space Implementation\3. Analysis &amp; Design\Design\FC22\DRR Jaime\Por presentar a ECP\Cantagallo\Cristalina\[VRC_CRISTALINA_CF_SEC_20221231.xlsx]CF PND'!$BB$58</t>
  </si>
  <si>
    <t>='C:\Users\jaime.benazar\Quorum Business Solutions\Ecopetrol Prometeo - Documents\Planning Space Implementation\3. Analysis &amp; Design\Design\FC22\DRR Jaime\Por presentar a ECP\Cantagallo\Cristalina\[VRC_CRISTALINA_CF_SEC_20221231.xlsx]CF PND'!$BB$59</t>
  </si>
  <si>
    <t>='C:\Users\jaime.benazar\Quorum Business Solutions\Ecopetrol Prometeo - Documents\Planning Space Implementation\3. Analysis &amp; Design\Design\FC22\DRR Jaime\Por presentar a ECP\Cantagallo\Cristalina\[VRC_CRISTALINA_CF_SEC_20221231.xlsx]CF PND'!$BB$60</t>
  </si>
  <si>
    <t>='C:\Users\jaime.benazar\Quorum Business Solutions\Ecopetrol Prometeo - Documents\Planning Space Implementation\3. Analysis &amp; Design\Design\FC22\DRR Jaime\Por presentar a ECP\Cantagallo\Cristalina\[VRC_CRISTALINA_CF_SEC_20221231.xlsx]CF PND'!$BB$61</t>
  </si>
  <si>
    <t>='C:\Users\jaime.benazar\Quorum Business Solutions\Ecopetrol Prometeo - Documents\Planning Space Implementation\3. Analysis &amp; Design\Design\FC22\DRR Jaime\Por presentar a ECP\Cantagallo\Cristalina\[VRC_CRISTALINA_CF_SEC_20221231.xlsx]CF PND'!$BB$62</t>
  </si>
  <si>
    <t>='C:\Users\jaime.benazar\Quorum Business Solutions\Ecopetrol Prometeo - Documents\Planning Space Implementation\3. Analysis &amp; Design\Design\FC22\DRR Jaime\Por presentar a ECP\Cantagallo\Cristalina\[VRC_CRISTALINA_CF_SEC_20221231.xlsx]CF PND'!$BB$63</t>
  </si>
  <si>
    <t>='C:\Users\jaime.benazar\Quorum Business Solutions\Ecopetrol Prometeo - Documents\Planning Space Implementation\3. Analysis &amp; Design\Design\FC22\DRR Jaime\Por presentar a ECP\Cantagallo\Cristalina\[VRC_CRISTALINA_CF_SEC_20221231.xlsx]CF PND'!$BB$64</t>
  </si>
  <si>
    <t>='C:\Users\jaime.benazar\Quorum Business Solutions\Ecopetrol Prometeo - Documents\Planning Space Implementation\3. Analysis &amp; Design\Design\FC22\DRR Jaime\Por presentar a ECP\Cantagallo\Cristalina\[VRC_CRISTALINA_CF_SEC_20221231.xlsx]CF PND'!$BB$65</t>
  </si>
  <si>
    <t>='C:\Users\jaime.benazar\Quorum Business Solutions\Ecopetrol Prometeo - Documents\Planning Space Implementation\3. Analysis &amp; Design\Design\FC22\DRR Jaime\Por presentar a ECP\Cantagallo\Cristalina\[VRC_CRISTALINA_CF_SEC_20221231.xlsx]CF PND'!$BB$66</t>
  </si>
  <si>
    <t>='C:\Users\jaime.benazar\Quorum Business Solutions\Ecopetrol Prometeo - Documents\Planning Space Implementation\3. Analysis &amp; Design\Design\FC22\DRR Jaime\Por presentar a ECP\Cantagallo\Cristalina\[VRC_CRISTALINA_CF_SEC_20221231.xlsx]CF PND'!$BB$67</t>
  </si>
  <si>
    <t>='C:\Users\jaime.benazar\Quorum Business Solutions\Ecopetrol Prometeo - Documents\Planning Space Implementation\3. Analysis &amp; Design\Design\FC22\DRR Jaime\Por presentar a ECP\Cantagallo\Cristalina\[VRC_CRISTALINA_CF_SEC_20221231.xlsx]CF PND'!$BB$68</t>
  </si>
  <si>
    <t>='C:\Users\jaime.benazar\Quorum Business Solutions\Ecopetrol Prometeo - Documents\Planning Space Implementation\3. Analysis &amp; Design\Design\FC22\DRR Jaime\Por presentar a ECP\Cantagallo\Cristalina\[VRC_CRISTALINA_CF_SEC_20221231.xlsx]CF PND'!$BB$69</t>
  </si>
  <si>
    <t>='C:\Users\jaime.benazar\Quorum Business Solutions\Ecopetrol Prometeo - Documents\Planning Space Implementation\3. Analysis &amp; Design\Design\FC22\DRR Jaime\Por presentar a ECP\Cantagallo\Cristalina\[VRC_CRISTALINA_CF_SEC_20221231.xlsx]CF PND'!$BB$70</t>
  </si>
  <si>
    <t>='C:\Users\jaime.benazar\Quorum Business Solutions\Ecopetrol Prometeo - Documents\Planning Space Implementation\3. Analysis &amp; Design\Design\FC22\DRR Jaime\Por presentar a ECP\Cantagallo\Cristalina\[VRC_CRISTALINA_CF_SEC_20221231.xlsx]CF PND'!$BB$71</t>
  </si>
  <si>
    <t>='C:\Users\jaime.benazar\Quorum Business Solutions\Ecopetrol Prometeo - Documents\Planning Space Implementation\3. Analysis &amp; Design\Design\FC22\DRR Jaime\Por presentar a ECP\Cantagallo\Cristalina\[VRC_CRISTALINA_CF_SEC_20221231.xlsx]CF PND'!$BB$72</t>
  </si>
  <si>
    <t>='C:\Users\jaime.benazar\Quorum Business Solutions\Ecopetrol Prometeo - Documents\Planning Space Implementation\3. Analysis &amp; Design\Design\FC22\DRR Jaime\Por presentar a ECP\Cantagallo\Cristalina\[VRC_CRISTALINA_CF_SEC_20221231.xlsx]CF PRB'!$BB$36</t>
  </si>
  <si>
    <t>='C:\Users\jaime.benazar\Quorum Business Solutions\Ecopetrol Prometeo - Documents\Planning Space Implementation\3. Analysis &amp; Design\Design\FC22\DRR Jaime\Por presentar a ECP\Cantagallo\Cristalina\[VRC_CRISTALINA_CF_SEC_20221231.xlsx]CF PRB'!$BB$37</t>
  </si>
  <si>
    <t>='C:\Users\jaime.benazar\Quorum Business Solutions\Ecopetrol Prometeo - Documents\Planning Space Implementation\3. Analysis &amp; Design\Design\FC22\DRR Jaime\Por presentar a ECP\Cantagallo\Cristalina\[VRC_CRISTALINA_CF_SEC_20221231.xlsx]CF PRB'!$BB$38</t>
  </si>
  <si>
    <t>='C:\Users\jaime.benazar\Quorum Business Solutions\Ecopetrol Prometeo - Documents\Planning Space Implementation\3. Analysis &amp; Design\Design\FC22\DRR Jaime\Por presentar a ECP\Cantagallo\Cristalina\[VRC_CRISTALINA_CF_SEC_20221231.xlsx]CF PRB'!$BB$39</t>
  </si>
  <si>
    <t>='C:\Users\jaime.benazar\Quorum Business Solutions\Ecopetrol Prometeo - Documents\Planning Space Implementation\3. Analysis &amp; Design\Design\FC22\DRR Jaime\Por presentar a ECP\Cantagallo\Cristalina\[VRC_CRISTALINA_CF_SEC_20221231.xlsx]CF PRB'!$BB$40</t>
  </si>
  <si>
    <t>='C:\Users\jaime.benazar\Quorum Business Solutions\Ecopetrol Prometeo - Documents\Planning Space Implementation\3. Analysis &amp; Design\Design\FC22\DRR Jaime\Por presentar a ECP\Cantagallo\Cristalina\[VRC_CRISTALINA_CF_SEC_20221231.xlsx]CF PRB'!$BB$41</t>
  </si>
  <si>
    <t>='C:\Users\jaime.benazar\Quorum Business Solutions\Ecopetrol Prometeo - Documents\Planning Space Implementation\3. Analysis &amp; Design\Design\FC22\DRR Jaime\Por presentar a ECP\Cantagallo\Cristalina\[VRC_CRISTALINA_CF_SEC_20221231.xlsx]CF PRB'!$BB$42</t>
  </si>
  <si>
    <t>='C:\Users\jaime.benazar\Quorum Business Solutions\Ecopetrol Prometeo - Documents\Planning Space Implementation\3. Analysis &amp; Design\Design\FC22\DRR Jaime\Por presentar a ECP\Cantagallo\Cristalina\[VRC_CRISTALINA_CF_SEC_20221231.xlsx]CF PRB'!$BB$43</t>
  </si>
  <si>
    <t>='C:\Users\jaime.benazar\Quorum Business Solutions\Ecopetrol Prometeo - Documents\Planning Space Implementation\3. Analysis &amp; Design\Design\FC22\DRR Jaime\Por presentar a ECP\Cantagallo\Cristalina\[VRC_CRISTALINA_CF_SEC_20221231.xlsx]CF PRB'!$BB$44</t>
  </si>
  <si>
    <t>='C:\Users\jaime.benazar\Quorum Business Solutions\Ecopetrol Prometeo - Documents\Planning Space Implementation\3. Analysis &amp; Design\Design\FC22\DRR Jaime\Por presentar a ECP\Cantagallo\Cristalina\[VRC_CRISTALINA_CF_SEC_20221231.xlsx]CF PRB'!$BB$45</t>
  </si>
  <si>
    <t>='C:\Users\jaime.benazar\Quorum Business Solutions\Ecopetrol Prometeo - Documents\Planning Space Implementation\3. Analysis &amp; Design\Design\FC22\DRR Jaime\Por presentar a ECP\Cantagallo\Cristalina\[VRC_CRISTALINA_CF_SEC_20221231.xlsx]CF PRB'!$BB$46</t>
  </si>
  <si>
    <t>='C:\Users\jaime.benazar\Quorum Business Solutions\Ecopetrol Prometeo - Documents\Planning Space Implementation\3. Analysis &amp; Design\Design\FC22\DRR Jaime\Por presentar a ECP\Cantagallo\Cristalina\[VRC_CRISTALINA_CF_SEC_20221231.xlsx]CF PRB'!$BB$47</t>
  </si>
  <si>
    <t>='C:\Users\jaime.benazar\Quorum Business Solutions\Ecopetrol Prometeo - Documents\Planning Space Implementation\3. Analysis &amp; Design\Design\FC22\DRR Jaime\Por presentar a ECP\Cantagallo\Cristalina\[VRC_CRISTALINA_CF_SEC_20221231.xlsx]CF PRB'!$BB$48</t>
  </si>
  <si>
    <t>='C:\Users\jaime.benazar\Quorum Business Solutions\Ecopetrol Prometeo - Documents\Planning Space Implementation\3. Analysis &amp; Design\Design\FC22\DRR Jaime\Por presentar a ECP\Cantagallo\Cristalina\[VRC_CRISTALINA_CF_SEC_20221231.xlsx]CF PRB'!$BB$49</t>
  </si>
  <si>
    <t>='C:\Users\jaime.benazar\Quorum Business Solutions\Ecopetrol Prometeo - Documents\Planning Space Implementation\3. Analysis &amp; Design\Design\FC22\DRR Jaime\Por presentar a ECP\Cantagallo\Cristalina\[VRC_CRISTALINA_CF_SEC_20221231.xlsx]CF PRB'!$BB$50</t>
  </si>
  <si>
    <t>='C:\Users\jaime.benazar\Quorum Business Solutions\Ecopetrol Prometeo - Documents\Planning Space Implementation\3. Analysis &amp; Design\Design\FC22\DRR Jaime\Por presentar a ECP\Cantagallo\Cristalina\[VRC_CRISTALINA_CF_SEC_20221231.xlsx]CF PRB'!$BB$51</t>
  </si>
  <si>
    <t>='C:\Users\jaime.benazar\Quorum Business Solutions\Ecopetrol Prometeo - Documents\Planning Space Implementation\3. Analysis &amp; Design\Design\FC22\DRR Jaime\Por presentar a ECP\Cantagallo\Cristalina\[VRC_CRISTALINA_CF_SEC_20221231.xlsx]CF PRB'!$BB$52</t>
  </si>
  <si>
    <t>='C:\Users\jaime.benazar\Quorum Business Solutions\Ecopetrol Prometeo - Documents\Planning Space Implementation\3. Analysis &amp; Design\Design\FC22\DRR Jaime\Por presentar a ECP\Cantagallo\Cristalina\[VRC_CRISTALINA_CF_SEC_20221231.xlsx]CF PRB'!$BB$53</t>
  </si>
  <si>
    <t>='C:\Users\jaime.benazar\Quorum Business Solutions\Ecopetrol Prometeo - Documents\Planning Space Implementation\3. Analysis &amp; Design\Design\FC22\DRR Jaime\Por presentar a ECP\Cantagallo\Cristalina\[VRC_CRISTALINA_CF_SEC_20221231.xlsx]CF PRB'!$BB$54</t>
  </si>
  <si>
    <t>='C:\Users\jaime.benazar\Quorum Business Solutions\Ecopetrol Prometeo - Documents\Planning Space Implementation\3. Analysis &amp; Design\Design\FC22\DRR Jaime\Por presentar a ECP\Cantagallo\Cristalina\[VRC_CRISTALINA_CF_SEC_20221231.xlsx]CF PRB'!$BB$55</t>
  </si>
  <si>
    <t>='C:\Users\jaime.benazar\Quorum Business Solutions\Ecopetrol Prometeo - Documents\Planning Space Implementation\3. Analysis &amp; Design\Design\FC22\DRR Jaime\Por presentar a ECP\Cantagallo\Cristalina\[VRC_CRISTALINA_CF_SEC_20221231.xlsx]CF PRB'!$BB$56</t>
  </si>
  <si>
    <t>='C:\Users\jaime.benazar\Quorum Business Solutions\Ecopetrol Prometeo - Documents\Planning Space Implementation\3. Analysis &amp; Design\Design\FC22\DRR Jaime\Por presentar a ECP\Cantagallo\Cristalina\[VRC_CRISTALINA_CF_SEC_20221231.xlsx]CF PRB'!$BB$57</t>
  </si>
  <si>
    <t>='C:\Users\jaime.benazar\Quorum Business Solutions\Ecopetrol Prometeo - Documents\Planning Space Implementation\3. Analysis &amp; Design\Design\FC22\DRR Jaime\Por presentar a ECP\Cantagallo\Cristalina\[VRC_CRISTALINA_CF_SEC_20221231.xlsx]CF PRB'!$BB$58</t>
  </si>
  <si>
    <t>='C:\Users\jaime.benazar\Quorum Business Solutions\Ecopetrol Prometeo - Documents\Planning Space Implementation\3. Analysis &amp; Design\Design\FC22\DRR Jaime\Por presentar a ECP\Cantagallo\Cristalina\[VRC_CRISTALINA_CF_SEC_20221231.xlsx]CF PRB'!$BB$59</t>
  </si>
  <si>
    <t>='C:\Users\jaime.benazar\Quorum Business Solutions\Ecopetrol Prometeo - Documents\Planning Space Implementation\3. Analysis &amp; Design\Design\FC22\DRR Jaime\Por presentar a ECP\Cantagallo\Cristalina\[VRC_CRISTALINA_CF_SEC_20221231.xlsx]CF PRB'!$BB$60</t>
  </si>
  <si>
    <t>='C:\Users\jaime.benazar\Quorum Business Solutions\Ecopetrol Prometeo - Documents\Planning Space Implementation\3. Analysis &amp; Design\Design\FC22\DRR Jaime\Por presentar a ECP\Cantagallo\Cristalina\[VRC_CRISTALINA_CF_SEC_20221231.xlsx]CF PRB'!$BB$61</t>
  </si>
  <si>
    <t>='C:\Users\jaime.benazar\Quorum Business Solutions\Ecopetrol Prometeo - Documents\Planning Space Implementation\3. Analysis &amp; Design\Design\FC22\DRR Jaime\Por presentar a ECP\Cantagallo\Cristalina\[VRC_CRISTALINA_CF_SEC_20221231.xlsx]CF PRB'!$BB$62</t>
  </si>
  <si>
    <t>='C:\Users\jaime.benazar\Quorum Business Solutions\Ecopetrol Prometeo - Documents\Planning Space Implementation\3. Analysis &amp; Design\Design\FC22\DRR Jaime\Por presentar a ECP\Cantagallo\Cristalina\[VRC_CRISTALINA_CF_SEC_20221231.xlsx]CF PRB'!$BB$63</t>
  </si>
  <si>
    <t>='C:\Users\jaime.benazar\Quorum Business Solutions\Ecopetrol Prometeo - Documents\Planning Space Implementation\3. Analysis &amp; Design\Design\FC22\DRR Jaime\Por presentar a ECP\Cantagallo\Cristalina\[VRC_CRISTALINA_CF_SEC_20221231.xlsx]CF PRB'!$BB$64</t>
  </si>
  <si>
    <t>='C:\Users\jaime.benazar\Quorum Business Solutions\Ecopetrol Prometeo - Documents\Planning Space Implementation\3. Analysis &amp; Design\Design\FC22\DRR Jaime\Por presentar a ECP\Cantagallo\Cristalina\[VRC_CRISTALINA_CF_SEC_20221231.xlsx]CF PRB'!$BB$65</t>
  </si>
  <si>
    <t>='C:\Users\jaime.benazar\Quorum Business Solutions\Ecopetrol Prometeo - Documents\Planning Space Implementation\3. Analysis &amp; Design\Design\FC22\DRR Jaime\Por presentar a ECP\Cantagallo\Cristalina\[VRC_CRISTALINA_CF_SEC_20221231.xlsx]CF PRB'!$BB$66</t>
  </si>
  <si>
    <t>='C:\Users\jaime.benazar\Quorum Business Solutions\Ecopetrol Prometeo - Documents\Planning Space Implementation\3. Analysis &amp; Design\Design\FC22\DRR Jaime\Por presentar a ECP\Cantagallo\Cristalina\[VRC_CRISTALINA_CF_SEC_20221231.xlsx]CF PRB'!$BB$67</t>
  </si>
  <si>
    <t>='C:\Users\jaime.benazar\Quorum Business Solutions\Ecopetrol Prometeo - Documents\Planning Space Implementation\3. Analysis &amp; Design\Design\FC22\DRR Jaime\Por presentar a ECP\Cantagallo\Cristalina\[VRC_CRISTALINA_CF_SEC_20221231.xlsx]CF PRB'!$BB$68</t>
  </si>
  <si>
    <t>='C:\Users\jaime.benazar\Quorum Business Solutions\Ecopetrol Prometeo - Documents\Planning Space Implementation\3. Analysis &amp; Design\Design\FC22\DRR Jaime\Por presentar a ECP\Cantagallo\Cristalina\[VRC_CRISTALINA_CF_SEC_20221231.xlsx]CF PRB'!$BB$69</t>
  </si>
  <si>
    <t>='C:\Users\jaime.benazar\Quorum Business Solutions\Ecopetrol Prometeo - Documents\Planning Space Implementation\3. Analysis &amp; Design\Design\FC22\DRR Jaime\Por presentar a ECP\Cantagallo\Cristalina\[VRC_CRISTALINA_CF_SEC_20221231.xlsx]CF PRB'!$BB$70</t>
  </si>
  <si>
    <t>='C:\Users\jaime.benazar\Quorum Business Solutions\Ecopetrol Prometeo - Documents\Planning Space Implementation\3. Analysis &amp; Design\Design\FC22\DRR Jaime\Por presentar a ECP\Cantagallo\Cristalina\[VRC_CRISTALINA_CF_SEC_20221231.xlsx]CF PRB'!$BB$71</t>
  </si>
  <si>
    <t>='C:\Users\jaime.benazar\Quorum Business Solutions\Ecopetrol Prometeo - Documents\Planning Space Implementation\3. Analysis &amp; Design\Design\FC22\DRR Jaime\Por presentar a ECP\Cantagallo\Cristalina\[VRC_CRISTALINA_CF_SEC_20221231.xlsx]CF PRB'!$BB$72</t>
  </si>
  <si>
    <t>='C:\Users\jaime.benazar\Quorum Business Solutions\Ecopetrol Prometeo - Documents\Planning Space Implementation\3. Analysis &amp; Design\Design\FC22\DRR Jaime\Por presentar a ECP\Cantagallo\Cristalina\[VRC_CRISTALINA_CF_SEC_20221231.xlsx]CF PS'!$BB$36</t>
  </si>
  <si>
    <t>='C:\Users\jaime.benazar\Quorum Business Solutions\Ecopetrol Prometeo - Documents\Planning Space Implementation\3. Analysis &amp; Design\Design\FC22\DRR Jaime\Por presentar a ECP\Cantagallo\Cristalina\[VRC_CRISTALINA_CF_SEC_20221231.xlsx]CF PS'!$BB$37</t>
  </si>
  <si>
    <t>='C:\Users\jaime.benazar\Quorum Business Solutions\Ecopetrol Prometeo - Documents\Planning Space Implementation\3. Analysis &amp; Design\Design\FC22\DRR Jaime\Por presentar a ECP\Cantagallo\Cristalina\[VRC_CRISTALINA_CF_SEC_20221231.xlsx]CF PS'!$BB$38</t>
  </si>
  <si>
    <t>='C:\Users\jaime.benazar\Quorum Business Solutions\Ecopetrol Prometeo - Documents\Planning Space Implementation\3. Analysis &amp; Design\Design\FC22\DRR Jaime\Por presentar a ECP\Cantagallo\Cristalina\[VRC_CRISTALINA_CF_SEC_20221231.xlsx]CF PS'!$BB$39</t>
  </si>
  <si>
    <t>='C:\Users\jaime.benazar\Quorum Business Solutions\Ecopetrol Prometeo - Documents\Planning Space Implementation\3. Analysis &amp; Design\Design\FC22\DRR Jaime\Por presentar a ECP\Cantagallo\Cristalina\[VRC_CRISTALINA_CF_SEC_20221231.xlsx]CF PS'!$BB$40</t>
  </si>
  <si>
    <t>='C:\Users\jaime.benazar\Quorum Business Solutions\Ecopetrol Prometeo - Documents\Planning Space Implementation\3. Analysis &amp; Design\Design\FC22\DRR Jaime\Por presentar a ECP\Cantagallo\Cristalina\[VRC_CRISTALINA_CF_SEC_20221231.xlsx]CF PS'!$BB$41</t>
  </si>
  <si>
    <t>='C:\Users\jaime.benazar\Quorum Business Solutions\Ecopetrol Prometeo - Documents\Planning Space Implementation\3. Analysis &amp; Design\Design\FC22\DRR Jaime\Por presentar a ECP\Cantagallo\Cristalina\[VRC_CRISTALINA_CF_SEC_20221231.xlsx]CF PS'!$BB$42</t>
  </si>
  <si>
    <t>='C:\Users\jaime.benazar\Quorum Business Solutions\Ecopetrol Prometeo - Documents\Planning Space Implementation\3. Analysis &amp; Design\Design\FC22\DRR Jaime\Por presentar a ECP\Cantagallo\Cristalina\[VRC_CRISTALINA_CF_SEC_20221231.xlsx]CF PS'!$BB$43</t>
  </si>
  <si>
    <t>='C:\Users\jaime.benazar\Quorum Business Solutions\Ecopetrol Prometeo - Documents\Planning Space Implementation\3. Analysis &amp; Design\Design\FC22\DRR Jaime\Por presentar a ECP\Cantagallo\Cristalina\[VRC_CRISTALINA_CF_SEC_20221231.xlsx]CF PS'!$BB$44</t>
  </si>
  <si>
    <t>='C:\Users\jaime.benazar\Quorum Business Solutions\Ecopetrol Prometeo - Documents\Planning Space Implementation\3. Analysis &amp; Design\Design\FC22\DRR Jaime\Por presentar a ECP\Cantagallo\Cristalina\[VRC_CRISTALINA_CF_SEC_20221231.xlsx]CF PS'!$BB$45</t>
  </si>
  <si>
    <t>='C:\Users\jaime.benazar\Quorum Business Solutions\Ecopetrol Prometeo - Documents\Planning Space Implementation\3. Analysis &amp; Design\Design\FC22\DRR Jaime\Por presentar a ECP\Cantagallo\Cristalina\[VRC_CRISTALINA_CF_SEC_20221231.xlsx]CF PS'!$BB$46</t>
  </si>
  <si>
    <t>='C:\Users\jaime.benazar\Quorum Business Solutions\Ecopetrol Prometeo - Documents\Planning Space Implementation\3. Analysis &amp; Design\Design\FC22\DRR Jaime\Por presentar a ECP\Cantagallo\Cristalina\[VRC_CRISTALINA_CF_SEC_20221231.xlsx]CF PS'!$BB$47</t>
  </si>
  <si>
    <t>='C:\Users\jaime.benazar\Quorum Business Solutions\Ecopetrol Prometeo - Documents\Planning Space Implementation\3. Analysis &amp; Design\Design\FC22\DRR Jaime\Por presentar a ECP\Cantagallo\Cristalina\[VRC_CRISTALINA_CF_SEC_20221231.xlsx]CF PS'!$BB$48</t>
  </si>
  <si>
    <t>='C:\Users\jaime.benazar\Quorum Business Solutions\Ecopetrol Prometeo - Documents\Planning Space Implementation\3. Analysis &amp; Design\Design\FC22\DRR Jaime\Por presentar a ECP\Cantagallo\Cristalina\[VRC_CRISTALINA_CF_SEC_20221231.xlsx]CF PS'!$BB$49</t>
  </si>
  <si>
    <t>='C:\Users\jaime.benazar\Quorum Business Solutions\Ecopetrol Prometeo - Documents\Planning Space Implementation\3. Analysis &amp; Design\Design\FC22\DRR Jaime\Por presentar a ECP\Cantagallo\Cristalina\[VRC_CRISTALINA_CF_SEC_20221231.xlsx]CF PS'!$BB$50</t>
  </si>
  <si>
    <t>='C:\Users\jaime.benazar\Quorum Business Solutions\Ecopetrol Prometeo - Documents\Planning Space Implementation\3. Analysis &amp; Design\Design\FC22\DRR Jaime\Por presentar a ECP\Cantagallo\Cristalina\[VRC_CRISTALINA_CF_SEC_20221231.xlsx]CF PS'!$BB$51</t>
  </si>
  <si>
    <t>='C:\Users\jaime.benazar\Quorum Business Solutions\Ecopetrol Prometeo - Documents\Planning Space Implementation\3. Analysis &amp; Design\Design\FC22\DRR Jaime\Por presentar a ECP\Cantagallo\Cristalina\[VRC_CRISTALINA_CF_SEC_20221231.xlsx]CF PS'!$BB$52</t>
  </si>
  <si>
    <t>='C:\Users\jaime.benazar\Quorum Business Solutions\Ecopetrol Prometeo - Documents\Planning Space Implementation\3. Analysis &amp; Design\Design\FC22\DRR Jaime\Por presentar a ECP\Cantagallo\Cristalina\[VRC_CRISTALINA_CF_SEC_20221231.xlsx]CF PS'!$BB$53</t>
  </si>
  <si>
    <t>='C:\Users\jaime.benazar\Quorum Business Solutions\Ecopetrol Prometeo - Documents\Planning Space Implementation\3. Analysis &amp; Design\Design\FC22\DRR Jaime\Por presentar a ECP\Cantagallo\Cristalina\[VRC_CRISTALINA_CF_SEC_20221231.xlsx]CF PS'!$BB$54</t>
  </si>
  <si>
    <t>='C:\Users\jaime.benazar\Quorum Business Solutions\Ecopetrol Prometeo - Documents\Planning Space Implementation\3. Analysis &amp; Design\Design\FC22\DRR Jaime\Por presentar a ECP\Cantagallo\Cristalina\[VRC_CRISTALINA_CF_SEC_20221231.xlsx]CF PS'!$BB$55</t>
  </si>
  <si>
    <t>='C:\Users\jaime.benazar\Quorum Business Solutions\Ecopetrol Prometeo - Documents\Planning Space Implementation\3. Analysis &amp; Design\Design\FC22\DRR Jaime\Por presentar a ECP\Cantagallo\Cristalina\[VRC_CRISTALINA_CF_SEC_20221231.xlsx]CF PS'!$BB$56</t>
  </si>
  <si>
    <t>='C:\Users\jaime.benazar\Quorum Business Solutions\Ecopetrol Prometeo - Documents\Planning Space Implementation\3. Analysis &amp; Design\Design\FC22\DRR Jaime\Por presentar a ECP\Cantagallo\Cristalina\[VRC_CRISTALINA_CF_SEC_20221231.xlsx]CF PS'!$BB$57</t>
  </si>
  <si>
    <t>='C:\Users\jaime.benazar\Quorum Business Solutions\Ecopetrol Prometeo - Documents\Planning Space Implementation\3. Analysis &amp; Design\Design\FC22\DRR Jaime\Por presentar a ECP\Cantagallo\Cristalina\[VRC_CRISTALINA_CF_SEC_20221231.xlsx]CF PS'!$BB$58</t>
  </si>
  <si>
    <t>='C:\Users\jaime.benazar\Quorum Business Solutions\Ecopetrol Prometeo - Documents\Planning Space Implementation\3. Analysis &amp; Design\Design\FC22\DRR Jaime\Por presentar a ECP\Cantagallo\Cristalina\[VRC_CRISTALINA_CF_SEC_20221231.xlsx]CF PS'!$BB$59</t>
  </si>
  <si>
    <t>='C:\Users\jaime.benazar\Quorum Business Solutions\Ecopetrol Prometeo - Documents\Planning Space Implementation\3. Analysis &amp; Design\Design\FC22\DRR Jaime\Por presentar a ECP\Cantagallo\Cristalina\[VRC_CRISTALINA_CF_SEC_20221231.xlsx]CF PS'!$BB$60</t>
  </si>
  <si>
    <t>='C:\Users\jaime.benazar\Quorum Business Solutions\Ecopetrol Prometeo - Documents\Planning Space Implementation\3. Analysis &amp; Design\Design\FC22\DRR Jaime\Por presentar a ECP\Cantagallo\Cristalina\[VRC_CRISTALINA_CF_SEC_20221231.xlsx]CF PS'!$BB$61</t>
  </si>
  <si>
    <t>='C:\Users\jaime.benazar\Quorum Business Solutions\Ecopetrol Prometeo - Documents\Planning Space Implementation\3. Analysis &amp; Design\Design\FC22\DRR Jaime\Por presentar a ECP\Cantagallo\Cristalina\[VRC_CRISTALINA_CF_SEC_20221231.xlsx]CF PS'!$BB$62</t>
  </si>
  <si>
    <t>='C:\Users\jaime.benazar\Quorum Business Solutions\Ecopetrol Prometeo - Documents\Planning Space Implementation\3. Analysis &amp; Design\Design\FC22\DRR Jaime\Por presentar a ECP\Cantagallo\Cristalina\[VRC_CRISTALINA_CF_SEC_20221231.xlsx]CF PS'!$BB$63</t>
  </si>
  <si>
    <t>='C:\Users\jaime.benazar\Quorum Business Solutions\Ecopetrol Prometeo - Documents\Planning Space Implementation\3. Analysis &amp; Design\Design\FC22\DRR Jaime\Por presentar a ECP\Cantagallo\Cristalina\[VRC_CRISTALINA_CF_SEC_20221231.xlsx]CF PS'!$BB$64</t>
  </si>
  <si>
    <t>='C:\Users\jaime.benazar\Quorum Business Solutions\Ecopetrol Prometeo - Documents\Planning Space Implementation\3. Analysis &amp; Design\Design\FC22\DRR Jaime\Por presentar a ECP\Cantagallo\Cristalina\[VRC_CRISTALINA_CF_SEC_20221231.xlsx]CF PS'!$BB$65</t>
  </si>
  <si>
    <t>='C:\Users\jaime.benazar\Quorum Business Solutions\Ecopetrol Prometeo - Documents\Planning Space Implementation\3. Analysis &amp; Design\Design\FC22\DRR Jaime\Por presentar a ECP\Cantagallo\Cristalina\[VRC_CRISTALINA_CF_SEC_20221231.xlsx]CF PS'!$BB$66</t>
  </si>
  <si>
    <t>='C:\Users\jaime.benazar\Quorum Business Solutions\Ecopetrol Prometeo - Documents\Planning Space Implementation\3. Analysis &amp; Design\Design\FC22\DRR Jaime\Por presentar a ECP\Cantagallo\Cristalina\[VRC_CRISTALINA_CF_SEC_20221231.xlsx]CF PS'!$BB$67</t>
  </si>
  <si>
    <t>='C:\Users\jaime.benazar\Quorum Business Solutions\Ecopetrol Prometeo - Documents\Planning Space Implementation\3. Analysis &amp; Design\Design\FC22\DRR Jaime\Por presentar a ECP\Cantagallo\Cristalina\[VRC_CRISTALINA_CF_SEC_20221231.xlsx]CF PS'!$BB$68</t>
  </si>
  <si>
    <t>='C:\Users\jaime.benazar\Quorum Business Solutions\Ecopetrol Prometeo - Documents\Planning Space Implementation\3. Analysis &amp; Design\Design\FC22\DRR Jaime\Por presentar a ECP\Cantagallo\Cristalina\[VRC_CRISTALINA_CF_SEC_20221231.xlsx]CF PS'!$BB$69</t>
  </si>
  <si>
    <t>='C:\Users\jaime.benazar\Quorum Business Solutions\Ecopetrol Prometeo - Documents\Planning Space Implementation\3. Analysis &amp; Design\Design\FC22\DRR Jaime\Por presentar a ECP\Cantagallo\Cristalina\[VRC_CRISTALINA_CF_SEC_20221231.xlsx]CF PS'!$BB$70</t>
  </si>
  <si>
    <t>='C:\Users\jaime.benazar\Quorum Business Solutions\Ecopetrol Prometeo - Documents\Planning Space Implementation\3. Analysis &amp; Design\Design\FC22\DRR Jaime\Por presentar a ECP\Cantagallo\Cristalina\[VRC_CRISTALINA_CF_SEC_20221231.xlsx]CF PS'!$BB$71</t>
  </si>
  <si>
    <t>='C:\Users\jaime.benazar\Quorum Business Solutions\Ecopetrol Prometeo - Documents\Planning Space Implementation\3. Analysis &amp; Design\Design\FC22\DRR Jaime\Por presentar a ECP\Cantagallo\Cristalina\[VRC_CRISTALINA_CF_SEC_20221231.xlsx]CF PS'!$BB$72</t>
  </si>
  <si>
    <t>='C:\Users\jaime.benazar\Quorum Business Solutions\Ecopetrol Prometeo - Documents\Planning Space Implementation\3. Analysis &amp; Design\Design\FC22\DRR Jaime\Por presentar a ECP\Cantagallo\Cristalina\[VRC_CRISTALINA_CF_SEC_20221231.xlsx]CF PDP'!$BY$36</t>
  </si>
  <si>
    <t>='C:\Users\jaime.benazar\Quorum Business Solutions\Ecopetrol Prometeo - Documents\Planning Space Implementation\3. Analysis &amp; Design\Design\FC22\DRR Jaime\Por presentar a ECP\Cantagallo\Cristalina\[VRC_CRISTALINA_CF_SEC_20221231.xlsx]CF PDP'!$BY$37</t>
  </si>
  <si>
    <t>='C:\Users\jaime.benazar\Quorum Business Solutions\Ecopetrol Prometeo - Documents\Planning Space Implementation\3. Analysis &amp; Design\Design\FC22\DRR Jaime\Por presentar a ECP\Cantagallo\Cristalina\[VRC_CRISTALINA_CF_SEC_20221231.xlsx]CF PDP'!$BY$38</t>
  </si>
  <si>
    <t>='C:\Users\jaime.benazar\Quorum Business Solutions\Ecopetrol Prometeo - Documents\Planning Space Implementation\3. Analysis &amp; Design\Design\FC22\DRR Jaime\Por presentar a ECP\Cantagallo\Cristalina\[VRC_CRISTALINA_CF_SEC_20221231.xlsx]CF PDP'!$BY$39</t>
  </si>
  <si>
    <t>='C:\Users\jaime.benazar\Quorum Business Solutions\Ecopetrol Prometeo - Documents\Planning Space Implementation\3. Analysis &amp; Design\Design\FC22\DRR Jaime\Por presentar a ECP\Cantagallo\Cristalina\[VRC_CRISTALINA_CF_SEC_20221231.xlsx]CF PDP'!$BY$40</t>
  </si>
  <si>
    <t>='C:\Users\jaime.benazar\Quorum Business Solutions\Ecopetrol Prometeo - Documents\Planning Space Implementation\3. Analysis &amp; Design\Design\FC22\DRR Jaime\Por presentar a ECP\Cantagallo\Cristalina\[VRC_CRISTALINA_CF_SEC_20221231.xlsx]CF PDP'!$BY$41</t>
  </si>
  <si>
    <t>='C:\Users\jaime.benazar\Quorum Business Solutions\Ecopetrol Prometeo - Documents\Planning Space Implementation\3. Analysis &amp; Design\Design\FC22\DRR Jaime\Por presentar a ECP\Cantagallo\Cristalina\[VRC_CRISTALINA_CF_SEC_20221231.xlsx]CF PDP'!$BY$42</t>
  </si>
  <si>
    <t>='C:\Users\jaime.benazar\Quorum Business Solutions\Ecopetrol Prometeo - Documents\Planning Space Implementation\3. Analysis &amp; Design\Design\FC22\DRR Jaime\Por presentar a ECP\Cantagallo\Cristalina\[VRC_CRISTALINA_CF_SEC_20221231.xlsx]CF PDP'!$BY$43</t>
  </si>
  <si>
    <t>='C:\Users\jaime.benazar\Quorum Business Solutions\Ecopetrol Prometeo - Documents\Planning Space Implementation\3. Analysis &amp; Design\Design\FC22\DRR Jaime\Por presentar a ECP\Cantagallo\Cristalina\[VRC_CRISTALINA_CF_SEC_20221231.xlsx]CF PDP'!$BY$44</t>
  </si>
  <si>
    <t>='C:\Users\jaime.benazar\Quorum Business Solutions\Ecopetrol Prometeo - Documents\Planning Space Implementation\3. Analysis &amp; Design\Design\FC22\DRR Jaime\Por presentar a ECP\Cantagallo\Cristalina\[VRC_CRISTALINA_CF_SEC_20221231.xlsx]CF PDP'!$BY$45</t>
  </si>
  <si>
    <t>='C:\Users\jaime.benazar\Quorum Business Solutions\Ecopetrol Prometeo - Documents\Planning Space Implementation\3. Analysis &amp; Design\Design\FC22\DRR Jaime\Por presentar a ECP\Cantagallo\Cristalina\[VRC_CRISTALINA_CF_SEC_20221231.xlsx]CF PDP'!$BY$46</t>
  </si>
  <si>
    <t>='C:\Users\jaime.benazar\Quorum Business Solutions\Ecopetrol Prometeo - Documents\Planning Space Implementation\3. Analysis &amp; Design\Design\FC22\DRR Jaime\Por presentar a ECP\Cantagallo\Cristalina\[VRC_CRISTALINA_CF_SEC_20221231.xlsx]CF PDP'!$BY$47</t>
  </si>
  <si>
    <t>='C:\Users\jaime.benazar\Quorum Business Solutions\Ecopetrol Prometeo - Documents\Planning Space Implementation\3. Analysis &amp; Design\Design\FC22\DRR Jaime\Por presentar a ECP\Cantagallo\Cristalina\[VRC_CRISTALINA_CF_SEC_20221231.xlsx]CF PDP'!$BY$48</t>
  </si>
  <si>
    <t>='C:\Users\jaime.benazar\Quorum Business Solutions\Ecopetrol Prometeo - Documents\Planning Space Implementation\3. Analysis &amp; Design\Design\FC22\DRR Jaime\Por presentar a ECP\Cantagallo\Cristalina\[VRC_CRISTALINA_CF_SEC_20221231.xlsx]CF PDP'!$BY$49</t>
  </si>
  <si>
    <t>='C:\Users\jaime.benazar\Quorum Business Solutions\Ecopetrol Prometeo - Documents\Planning Space Implementation\3. Analysis &amp; Design\Design\FC22\DRR Jaime\Por presentar a ECP\Cantagallo\Cristalina\[VRC_CRISTALINA_CF_SEC_20221231.xlsx]CF PDP'!$BY$50</t>
  </si>
  <si>
    <t>='C:\Users\jaime.benazar\Quorum Business Solutions\Ecopetrol Prometeo - Documents\Planning Space Implementation\3. Analysis &amp; Design\Design\FC22\DRR Jaime\Por presentar a ECP\Cantagallo\Cristalina\[VRC_CRISTALINA_CF_SEC_20221231.xlsx]CF PDP'!$BY$51</t>
  </si>
  <si>
    <t>='C:\Users\jaime.benazar\Quorum Business Solutions\Ecopetrol Prometeo - Documents\Planning Space Implementation\3. Analysis &amp; Design\Design\FC22\DRR Jaime\Por presentar a ECP\Cantagallo\Cristalina\[VRC_CRISTALINA_CF_SEC_20221231.xlsx]CF PDP'!$BY$52</t>
  </si>
  <si>
    <t>='C:\Users\jaime.benazar\Quorum Business Solutions\Ecopetrol Prometeo - Documents\Planning Space Implementation\3. Analysis &amp; Design\Design\FC22\DRR Jaime\Por presentar a ECP\Cantagallo\Cristalina\[VRC_CRISTALINA_CF_SEC_20221231.xlsx]CF PDP'!$BY$53</t>
  </si>
  <si>
    <t>='C:\Users\jaime.benazar\Quorum Business Solutions\Ecopetrol Prometeo - Documents\Planning Space Implementation\3. Analysis &amp; Design\Design\FC22\DRR Jaime\Por presentar a ECP\Cantagallo\Cristalina\[VRC_CRISTALINA_CF_SEC_20221231.xlsx]CF PDP'!$BY$54</t>
  </si>
  <si>
    <t>='C:\Users\jaime.benazar\Quorum Business Solutions\Ecopetrol Prometeo - Documents\Planning Space Implementation\3. Analysis &amp; Design\Design\FC22\DRR Jaime\Por presentar a ECP\Cantagallo\Cristalina\[VRC_CRISTALINA_CF_SEC_20221231.xlsx]CF PDP'!$BY$55</t>
  </si>
  <si>
    <t>='C:\Users\jaime.benazar\Quorum Business Solutions\Ecopetrol Prometeo - Documents\Planning Space Implementation\3. Analysis &amp; Design\Design\FC22\DRR Jaime\Por presentar a ECP\Cantagallo\Cristalina\[VRC_CRISTALINA_CF_SEC_20221231.xlsx]CF PDP'!$BY$56</t>
  </si>
  <si>
    <t>='C:\Users\jaime.benazar\Quorum Business Solutions\Ecopetrol Prometeo - Documents\Planning Space Implementation\3. Analysis &amp; Design\Design\FC22\DRR Jaime\Por presentar a ECP\Cantagallo\Cristalina\[VRC_CRISTALINA_CF_SEC_20221231.xlsx]CF PDP'!$BY$57</t>
  </si>
  <si>
    <t>='C:\Users\jaime.benazar\Quorum Business Solutions\Ecopetrol Prometeo - Documents\Planning Space Implementation\3. Analysis &amp; Design\Design\FC22\DRR Jaime\Por presentar a ECP\Cantagallo\Cristalina\[VRC_CRISTALINA_CF_SEC_20221231.xlsx]CF PDP'!$BY$58</t>
  </si>
  <si>
    <t>='C:\Users\jaime.benazar\Quorum Business Solutions\Ecopetrol Prometeo - Documents\Planning Space Implementation\3. Analysis &amp; Design\Design\FC22\DRR Jaime\Por presentar a ECP\Cantagallo\Cristalina\[VRC_CRISTALINA_CF_SEC_20221231.xlsx]CF PDP'!$BY$59</t>
  </si>
  <si>
    <t>='C:\Users\jaime.benazar\Quorum Business Solutions\Ecopetrol Prometeo - Documents\Planning Space Implementation\3. Analysis &amp; Design\Design\FC22\DRR Jaime\Por presentar a ECP\Cantagallo\Cristalina\[VRC_CRISTALINA_CF_SEC_20221231.xlsx]CF PDP'!$BY$60</t>
  </si>
  <si>
    <t>='C:\Users\jaime.benazar\Quorum Business Solutions\Ecopetrol Prometeo - Documents\Planning Space Implementation\3. Analysis &amp; Design\Design\FC22\DRR Jaime\Por presentar a ECP\Cantagallo\Cristalina\[VRC_CRISTALINA_CF_SEC_20221231.xlsx]CF PDP'!$BY$61</t>
  </si>
  <si>
    <t>='C:\Users\jaime.benazar\Quorum Business Solutions\Ecopetrol Prometeo - Documents\Planning Space Implementation\3. Analysis &amp; Design\Design\FC22\DRR Jaime\Por presentar a ECP\Cantagallo\Cristalina\[VRC_CRISTALINA_CF_SEC_20221231.xlsx]CF PDP'!$BY$62</t>
  </si>
  <si>
    <t>='C:\Users\jaime.benazar\Quorum Business Solutions\Ecopetrol Prometeo - Documents\Planning Space Implementation\3. Analysis &amp; Design\Design\FC22\DRR Jaime\Por presentar a ECP\Cantagallo\Cristalina\[VRC_CRISTALINA_CF_SEC_20221231.xlsx]CF PDP'!$BY$63</t>
  </si>
  <si>
    <t>='C:\Users\jaime.benazar\Quorum Business Solutions\Ecopetrol Prometeo - Documents\Planning Space Implementation\3. Analysis &amp; Design\Design\FC22\DRR Jaime\Por presentar a ECP\Cantagallo\Cristalina\[VRC_CRISTALINA_CF_SEC_20221231.xlsx]CF PDP'!$BY$64</t>
  </si>
  <si>
    <t>='C:\Users\jaime.benazar\Quorum Business Solutions\Ecopetrol Prometeo - Documents\Planning Space Implementation\3. Analysis &amp; Design\Design\FC22\DRR Jaime\Por presentar a ECP\Cantagallo\Cristalina\[VRC_CRISTALINA_CF_SEC_20221231.xlsx]CF PDP'!$BY$65</t>
  </si>
  <si>
    <t>='C:\Users\jaime.benazar\Quorum Business Solutions\Ecopetrol Prometeo - Documents\Planning Space Implementation\3. Analysis &amp; Design\Design\FC22\DRR Jaime\Por presentar a ECP\Cantagallo\Cristalina\[VRC_CRISTALINA_CF_SEC_20221231.xlsx]CF PDP'!$BY$66</t>
  </si>
  <si>
    <t>='C:\Users\jaime.benazar\Quorum Business Solutions\Ecopetrol Prometeo - Documents\Planning Space Implementation\3. Analysis &amp; Design\Design\FC22\DRR Jaime\Por presentar a ECP\Cantagallo\Cristalina\[VRC_CRISTALINA_CF_SEC_20221231.xlsx]CF PDP'!$BY$67</t>
  </si>
  <si>
    <t>='C:\Users\jaime.benazar\Quorum Business Solutions\Ecopetrol Prometeo - Documents\Planning Space Implementation\3. Analysis &amp; Design\Design\FC22\DRR Jaime\Por presentar a ECP\Cantagallo\Cristalina\[VRC_CRISTALINA_CF_SEC_20221231.xlsx]CF PDP'!$BY$68</t>
  </si>
  <si>
    <t>='C:\Users\jaime.benazar\Quorum Business Solutions\Ecopetrol Prometeo - Documents\Planning Space Implementation\3. Analysis &amp; Design\Design\FC22\DRR Jaime\Por presentar a ECP\Cantagallo\Cristalina\[VRC_CRISTALINA_CF_SEC_20221231.xlsx]CF PDP'!$BY$69</t>
  </si>
  <si>
    <t>='C:\Users\jaime.benazar\Quorum Business Solutions\Ecopetrol Prometeo - Documents\Planning Space Implementation\3. Analysis &amp; Design\Design\FC22\DRR Jaime\Por presentar a ECP\Cantagallo\Cristalina\[VRC_CRISTALINA_CF_SEC_20221231.xlsx]CF PDP'!$BY$70</t>
  </si>
  <si>
    <t>='C:\Users\jaime.benazar\Quorum Business Solutions\Ecopetrol Prometeo - Documents\Planning Space Implementation\3. Analysis &amp; Design\Design\FC22\DRR Jaime\Por presentar a ECP\Cantagallo\Cristalina\[VRC_CRISTALINA_CF_SEC_20221231.xlsx]CF PDP'!$BY$71</t>
  </si>
  <si>
    <t>='C:\Users\jaime.benazar\Quorum Business Solutions\Ecopetrol Prometeo - Documents\Planning Space Implementation\3. Analysis &amp; Design\Design\FC22\DRR Jaime\Por presentar a ECP\Cantagallo\Cristalina\[VRC_CRISTALINA_CF_SEC_20221231.xlsx]CF PDP'!$BY$72</t>
  </si>
  <si>
    <t>='C:\Users\jaime.benazar\Quorum Business Solutions\Ecopetrol Prometeo - Documents\Planning Space Implementation\3. Analysis &amp; Design\Design\FC22\DRR Jaime\Por presentar a ECP\Cantagallo\Cristalina\[VRC_CRISTALINA_CF_SEC_20221231.xlsx]CF PNP'!$BY$36</t>
  </si>
  <si>
    <t>='C:\Users\jaime.benazar\Quorum Business Solutions\Ecopetrol Prometeo - Documents\Planning Space Implementation\3. Analysis &amp; Design\Design\FC22\DRR Jaime\Por presentar a ECP\Cantagallo\Cristalina\[VRC_CRISTALINA_CF_SEC_20221231.xlsx]CF PNP'!$BY$37</t>
  </si>
  <si>
    <t>='C:\Users\jaime.benazar\Quorum Business Solutions\Ecopetrol Prometeo - Documents\Planning Space Implementation\3. Analysis &amp; Design\Design\FC22\DRR Jaime\Por presentar a ECP\Cantagallo\Cristalina\[VRC_CRISTALINA_CF_SEC_20221231.xlsx]CF PNP'!$BY$38</t>
  </si>
  <si>
    <t>='C:\Users\jaime.benazar\Quorum Business Solutions\Ecopetrol Prometeo - Documents\Planning Space Implementation\3. Analysis &amp; Design\Design\FC22\DRR Jaime\Por presentar a ECP\Cantagallo\Cristalina\[VRC_CRISTALINA_CF_SEC_20221231.xlsx]CF PNP'!$BY$39</t>
  </si>
  <si>
    <t>='C:\Users\jaime.benazar\Quorum Business Solutions\Ecopetrol Prometeo - Documents\Planning Space Implementation\3. Analysis &amp; Design\Design\FC22\DRR Jaime\Por presentar a ECP\Cantagallo\Cristalina\[VRC_CRISTALINA_CF_SEC_20221231.xlsx]CF PNP'!$BY$40</t>
  </si>
  <si>
    <t>='C:\Users\jaime.benazar\Quorum Business Solutions\Ecopetrol Prometeo - Documents\Planning Space Implementation\3. Analysis &amp; Design\Design\FC22\DRR Jaime\Por presentar a ECP\Cantagallo\Cristalina\[VRC_CRISTALINA_CF_SEC_20221231.xlsx]CF PNP'!$BY$41</t>
  </si>
  <si>
    <t>='C:\Users\jaime.benazar\Quorum Business Solutions\Ecopetrol Prometeo - Documents\Planning Space Implementation\3. Analysis &amp; Design\Design\FC22\DRR Jaime\Por presentar a ECP\Cantagallo\Cristalina\[VRC_CRISTALINA_CF_SEC_20221231.xlsx]CF PNP'!$BY$42</t>
  </si>
  <si>
    <t>='C:\Users\jaime.benazar\Quorum Business Solutions\Ecopetrol Prometeo - Documents\Planning Space Implementation\3. Analysis &amp; Design\Design\FC22\DRR Jaime\Por presentar a ECP\Cantagallo\Cristalina\[VRC_CRISTALINA_CF_SEC_20221231.xlsx]CF PNP'!$BY$43</t>
  </si>
  <si>
    <t>='C:\Users\jaime.benazar\Quorum Business Solutions\Ecopetrol Prometeo - Documents\Planning Space Implementation\3. Analysis &amp; Design\Design\FC22\DRR Jaime\Por presentar a ECP\Cantagallo\Cristalina\[VRC_CRISTALINA_CF_SEC_20221231.xlsx]CF PNP'!$BY$44</t>
  </si>
  <si>
    <t>='C:\Users\jaime.benazar\Quorum Business Solutions\Ecopetrol Prometeo - Documents\Planning Space Implementation\3. Analysis &amp; Design\Design\FC22\DRR Jaime\Por presentar a ECP\Cantagallo\Cristalina\[VRC_CRISTALINA_CF_SEC_20221231.xlsx]CF PNP'!$BY$45</t>
  </si>
  <si>
    <t>='C:\Users\jaime.benazar\Quorum Business Solutions\Ecopetrol Prometeo - Documents\Planning Space Implementation\3. Analysis &amp; Design\Design\FC22\DRR Jaime\Por presentar a ECP\Cantagallo\Cristalina\[VRC_CRISTALINA_CF_SEC_20221231.xlsx]CF PNP'!$BY$46</t>
  </si>
  <si>
    <t>='C:\Users\jaime.benazar\Quorum Business Solutions\Ecopetrol Prometeo - Documents\Planning Space Implementation\3. Analysis &amp; Design\Design\FC22\DRR Jaime\Por presentar a ECP\Cantagallo\Cristalina\[VRC_CRISTALINA_CF_SEC_20221231.xlsx]CF PNP'!$BY$47</t>
  </si>
  <si>
    <t>='C:\Users\jaime.benazar\Quorum Business Solutions\Ecopetrol Prometeo - Documents\Planning Space Implementation\3. Analysis &amp; Design\Design\FC22\DRR Jaime\Por presentar a ECP\Cantagallo\Cristalina\[VRC_CRISTALINA_CF_SEC_20221231.xlsx]CF PNP'!$BY$48</t>
  </si>
  <si>
    <t>='C:\Users\jaime.benazar\Quorum Business Solutions\Ecopetrol Prometeo - Documents\Planning Space Implementation\3. Analysis &amp; Design\Design\FC22\DRR Jaime\Por presentar a ECP\Cantagallo\Cristalina\[VRC_CRISTALINA_CF_SEC_20221231.xlsx]CF PNP'!$BY$49</t>
  </si>
  <si>
    <t>='C:\Users\jaime.benazar\Quorum Business Solutions\Ecopetrol Prometeo - Documents\Planning Space Implementation\3. Analysis &amp; Design\Design\FC22\DRR Jaime\Por presentar a ECP\Cantagallo\Cristalina\[VRC_CRISTALINA_CF_SEC_20221231.xlsx]CF PNP'!$BY$50</t>
  </si>
  <si>
    <t>='C:\Users\jaime.benazar\Quorum Business Solutions\Ecopetrol Prometeo - Documents\Planning Space Implementation\3. Analysis &amp; Design\Design\FC22\DRR Jaime\Por presentar a ECP\Cantagallo\Cristalina\[VRC_CRISTALINA_CF_SEC_20221231.xlsx]CF PNP'!$BY$51</t>
  </si>
  <si>
    <t>='C:\Users\jaime.benazar\Quorum Business Solutions\Ecopetrol Prometeo - Documents\Planning Space Implementation\3. Analysis &amp; Design\Design\FC22\DRR Jaime\Por presentar a ECP\Cantagallo\Cristalina\[VRC_CRISTALINA_CF_SEC_20221231.xlsx]CF PNP'!$BY$52</t>
  </si>
  <si>
    <t>='C:\Users\jaime.benazar\Quorum Business Solutions\Ecopetrol Prometeo - Documents\Planning Space Implementation\3. Analysis &amp; Design\Design\FC22\DRR Jaime\Por presentar a ECP\Cantagallo\Cristalina\[VRC_CRISTALINA_CF_SEC_20221231.xlsx]CF PNP'!$BY$53</t>
  </si>
  <si>
    <t>='C:\Users\jaime.benazar\Quorum Business Solutions\Ecopetrol Prometeo - Documents\Planning Space Implementation\3. Analysis &amp; Design\Design\FC22\DRR Jaime\Por presentar a ECP\Cantagallo\Cristalina\[VRC_CRISTALINA_CF_SEC_20221231.xlsx]CF PNP'!$BY$54</t>
  </si>
  <si>
    <t>='C:\Users\jaime.benazar\Quorum Business Solutions\Ecopetrol Prometeo - Documents\Planning Space Implementation\3. Analysis &amp; Design\Design\FC22\DRR Jaime\Por presentar a ECP\Cantagallo\Cristalina\[VRC_CRISTALINA_CF_SEC_20221231.xlsx]CF PNP'!$BY$55</t>
  </si>
  <si>
    <t>='C:\Users\jaime.benazar\Quorum Business Solutions\Ecopetrol Prometeo - Documents\Planning Space Implementation\3. Analysis &amp; Design\Design\FC22\DRR Jaime\Por presentar a ECP\Cantagallo\Cristalina\[VRC_CRISTALINA_CF_SEC_20221231.xlsx]CF PNP'!$BY$56</t>
  </si>
  <si>
    <t>='C:\Users\jaime.benazar\Quorum Business Solutions\Ecopetrol Prometeo - Documents\Planning Space Implementation\3. Analysis &amp; Design\Design\FC22\DRR Jaime\Por presentar a ECP\Cantagallo\Cristalina\[VRC_CRISTALINA_CF_SEC_20221231.xlsx]CF PNP'!$BY$57</t>
  </si>
  <si>
    <t>='C:\Users\jaime.benazar\Quorum Business Solutions\Ecopetrol Prometeo - Documents\Planning Space Implementation\3. Analysis &amp; Design\Design\FC22\DRR Jaime\Por presentar a ECP\Cantagallo\Cristalina\[VRC_CRISTALINA_CF_SEC_20221231.xlsx]CF PNP'!$BY$58</t>
  </si>
  <si>
    <t>='C:\Users\jaime.benazar\Quorum Business Solutions\Ecopetrol Prometeo - Documents\Planning Space Implementation\3. Analysis &amp; Design\Design\FC22\DRR Jaime\Por presentar a ECP\Cantagallo\Cristalina\[VRC_CRISTALINA_CF_SEC_20221231.xlsx]CF PNP'!$BY$59</t>
  </si>
  <si>
    <t>='C:\Users\jaime.benazar\Quorum Business Solutions\Ecopetrol Prometeo - Documents\Planning Space Implementation\3. Analysis &amp; Design\Design\FC22\DRR Jaime\Por presentar a ECP\Cantagallo\Cristalina\[VRC_CRISTALINA_CF_SEC_20221231.xlsx]CF PNP'!$BY$60</t>
  </si>
  <si>
    <t>='C:\Users\jaime.benazar\Quorum Business Solutions\Ecopetrol Prometeo - Documents\Planning Space Implementation\3. Analysis &amp; Design\Design\FC22\DRR Jaime\Por presentar a ECP\Cantagallo\Cristalina\[VRC_CRISTALINA_CF_SEC_20221231.xlsx]CF PNP'!$BY$61</t>
  </si>
  <si>
    <t>='C:\Users\jaime.benazar\Quorum Business Solutions\Ecopetrol Prometeo - Documents\Planning Space Implementation\3. Analysis &amp; Design\Design\FC22\DRR Jaime\Por presentar a ECP\Cantagallo\Cristalina\[VRC_CRISTALINA_CF_SEC_20221231.xlsx]CF PNP'!$BY$62</t>
  </si>
  <si>
    <t>='C:\Users\jaime.benazar\Quorum Business Solutions\Ecopetrol Prometeo - Documents\Planning Space Implementation\3. Analysis &amp; Design\Design\FC22\DRR Jaime\Por presentar a ECP\Cantagallo\Cristalina\[VRC_CRISTALINA_CF_SEC_20221231.xlsx]CF PNP'!$BY$63</t>
  </si>
  <si>
    <t>='C:\Users\jaime.benazar\Quorum Business Solutions\Ecopetrol Prometeo - Documents\Planning Space Implementation\3. Analysis &amp; Design\Design\FC22\DRR Jaime\Por presentar a ECP\Cantagallo\Cristalina\[VRC_CRISTALINA_CF_SEC_20221231.xlsx]CF PNP'!$BY$64</t>
  </si>
  <si>
    <t>='C:\Users\jaime.benazar\Quorum Business Solutions\Ecopetrol Prometeo - Documents\Planning Space Implementation\3. Analysis &amp; Design\Design\FC22\DRR Jaime\Por presentar a ECP\Cantagallo\Cristalina\[VRC_CRISTALINA_CF_SEC_20221231.xlsx]CF PNP'!$BY$65</t>
  </si>
  <si>
    <t>='C:\Users\jaime.benazar\Quorum Business Solutions\Ecopetrol Prometeo - Documents\Planning Space Implementation\3. Analysis &amp; Design\Design\FC22\DRR Jaime\Por presentar a ECP\Cantagallo\Cristalina\[VRC_CRISTALINA_CF_SEC_20221231.xlsx]CF PNP'!$BY$66</t>
  </si>
  <si>
    <t>='C:\Users\jaime.benazar\Quorum Business Solutions\Ecopetrol Prometeo - Documents\Planning Space Implementation\3. Analysis &amp; Design\Design\FC22\DRR Jaime\Por presentar a ECP\Cantagallo\Cristalina\[VRC_CRISTALINA_CF_SEC_20221231.xlsx]CF PNP'!$BY$67</t>
  </si>
  <si>
    <t>='C:\Users\jaime.benazar\Quorum Business Solutions\Ecopetrol Prometeo - Documents\Planning Space Implementation\3. Analysis &amp; Design\Design\FC22\DRR Jaime\Por presentar a ECP\Cantagallo\Cristalina\[VRC_CRISTALINA_CF_SEC_20221231.xlsx]CF PNP'!$BY$68</t>
  </si>
  <si>
    <t>='C:\Users\jaime.benazar\Quorum Business Solutions\Ecopetrol Prometeo - Documents\Planning Space Implementation\3. Analysis &amp; Design\Design\FC22\DRR Jaime\Por presentar a ECP\Cantagallo\Cristalina\[VRC_CRISTALINA_CF_SEC_20221231.xlsx]CF PNP'!$BY$69</t>
  </si>
  <si>
    <t>='C:\Users\jaime.benazar\Quorum Business Solutions\Ecopetrol Prometeo - Documents\Planning Space Implementation\3. Analysis &amp; Design\Design\FC22\DRR Jaime\Por presentar a ECP\Cantagallo\Cristalina\[VRC_CRISTALINA_CF_SEC_20221231.xlsx]CF PNP'!$BY$70</t>
  </si>
  <si>
    <t>='C:\Users\jaime.benazar\Quorum Business Solutions\Ecopetrol Prometeo - Documents\Planning Space Implementation\3. Analysis &amp; Design\Design\FC22\DRR Jaime\Por presentar a ECP\Cantagallo\Cristalina\[VRC_CRISTALINA_CF_SEC_20221231.xlsx]CF PNP'!$BY$71</t>
  </si>
  <si>
    <t>='C:\Users\jaime.benazar\Quorum Business Solutions\Ecopetrol Prometeo - Documents\Planning Space Implementation\3. Analysis &amp; Design\Design\FC22\DRR Jaime\Por presentar a ECP\Cantagallo\Cristalina\[VRC_CRISTALINA_CF_SEC_20221231.xlsx]CF PNP'!$BY$72</t>
  </si>
  <si>
    <t>='C:\Users\jaime.benazar\Quorum Business Solutions\Ecopetrol Prometeo - Documents\Planning Space Implementation\3. Analysis &amp; Design\Design\FC22\DRR Jaime\Por presentar a ECP\Cantagallo\Cristalina\[VRC_CRISTALINA_CF_SEC_20221231.xlsx]CF PND'!$BY$36</t>
  </si>
  <si>
    <t>='C:\Users\jaime.benazar\Quorum Business Solutions\Ecopetrol Prometeo - Documents\Planning Space Implementation\3. Analysis &amp; Design\Design\FC22\DRR Jaime\Por presentar a ECP\Cantagallo\Cristalina\[VRC_CRISTALINA_CF_SEC_20221231.xlsx]CF PND'!$BY$37</t>
  </si>
  <si>
    <t>='C:\Users\jaime.benazar\Quorum Business Solutions\Ecopetrol Prometeo - Documents\Planning Space Implementation\3. Analysis &amp; Design\Design\FC22\DRR Jaime\Por presentar a ECP\Cantagallo\Cristalina\[VRC_CRISTALINA_CF_SEC_20221231.xlsx]CF PND'!$BY$38</t>
  </si>
  <si>
    <t>='C:\Users\jaime.benazar\Quorum Business Solutions\Ecopetrol Prometeo - Documents\Planning Space Implementation\3. Analysis &amp; Design\Design\FC22\DRR Jaime\Por presentar a ECP\Cantagallo\Cristalina\[VRC_CRISTALINA_CF_SEC_20221231.xlsx]CF PND'!$BY$39</t>
  </si>
  <si>
    <t>='C:\Users\jaime.benazar\Quorum Business Solutions\Ecopetrol Prometeo - Documents\Planning Space Implementation\3. Analysis &amp; Design\Design\FC22\DRR Jaime\Por presentar a ECP\Cantagallo\Cristalina\[VRC_CRISTALINA_CF_SEC_20221231.xlsx]CF PND'!$BY$40</t>
  </si>
  <si>
    <t>='C:\Users\jaime.benazar\Quorum Business Solutions\Ecopetrol Prometeo - Documents\Planning Space Implementation\3. Analysis &amp; Design\Design\FC22\DRR Jaime\Por presentar a ECP\Cantagallo\Cristalina\[VRC_CRISTALINA_CF_SEC_20221231.xlsx]CF PND'!$BY$41</t>
  </si>
  <si>
    <t>='C:\Users\jaime.benazar\Quorum Business Solutions\Ecopetrol Prometeo - Documents\Planning Space Implementation\3. Analysis &amp; Design\Design\FC22\DRR Jaime\Por presentar a ECP\Cantagallo\Cristalina\[VRC_CRISTALINA_CF_SEC_20221231.xlsx]CF PND'!$BY$42</t>
  </si>
  <si>
    <t>='C:\Users\jaime.benazar\Quorum Business Solutions\Ecopetrol Prometeo - Documents\Planning Space Implementation\3. Analysis &amp; Design\Design\FC22\DRR Jaime\Por presentar a ECP\Cantagallo\Cristalina\[VRC_CRISTALINA_CF_SEC_20221231.xlsx]CF PND'!$BY$43</t>
  </si>
  <si>
    <t>='C:\Users\jaime.benazar\Quorum Business Solutions\Ecopetrol Prometeo - Documents\Planning Space Implementation\3. Analysis &amp; Design\Design\FC22\DRR Jaime\Por presentar a ECP\Cantagallo\Cristalina\[VRC_CRISTALINA_CF_SEC_20221231.xlsx]CF PND'!$BY$44</t>
  </si>
  <si>
    <t>='C:\Users\jaime.benazar\Quorum Business Solutions\Ecopetrol Prometeo - Documents\Planning Space Implementation\3. Analysis &amp; Design\Design\FC22\DRR Jaime\Por presentar a ECP\Cantagallo\Cristalina\[VRC_CRISTALINA_CF_SEC_20221231.xlsx]CF PND'!$BY$45</t>
  </si>
  <si>
    <t>='C:\Users\jaime.benazar\Quorum Business Solutions\Ecopetrol Prometeo - Documents\Planning Space Implementation\3. Analysis &amp; Design\Design\FC22\DRR Jaime\Por presentar a ECP\Cantagallo\Cristalina\[VRC_CRISTALINA_CF_SEC_20221231.xlsx]CF PND'!$BY$46</t>
  </si>
  <si>
    <t>='C:\Users\jaime.benazar\Quorum Business Solutions\Ecopetrol Prometeo - Documents\Planning Space Implementation\3. Analysis &amp; Design\Design\FC22\DRR Jaime\Por presentar a ECP\Cantagallo\Cristalina\[VRC_CRISTALINA_CF_SEC_20221231.xlsx]CF PND'!$BY$47</t>
  </si>
  <si>
    <t>='C:\Users\jaime.benazar\Quorum Business Solutions\Ecopetrol Prometeo - Documents\Planning Space Implementation\3. Analysis &amp; Design\Design\FC22\DRR Jaime\Por presentar a ECP\Cantagallo\Cristalina\[VRC_CRISTALINA_CF_SEC_20221231.xlsx]CF PND'!$BY$48</t>
  </si>
  <si>
    <t>='C:\Users\jaime.benazar\Quorum Business Solutions\Ecopetrol Prometeo - Documents\Planning Space Implementation\3. Analysis &amp; Design\Design\FC22\DRR Jaime\Por presentar a ECP\Cantagallo\Cristalina\[VRC_CRISTALINA_CF_SEC_20221231.xlsx]CF PND'!$BY$49</t>
  </si>
  <si>
    <t>='C:\Users\jaime.benazar\Quorum Business Solutions\Ecopetrol Prometeo - Documents\Planning Space Implementation\3. Analysis &amp; Design\Design\FC22\DRR Jaime\Por presentar a ECP\Cantagallo\Cristalina\[VRC_CRISTALINA_CF_SEC_20221231.xlsx]CF PND'!$BY$50</t>
  </si>
  <si>
    <t>='C:\Users\jaime.benazar\Quorum Business Solutions\Ecopetrol Prometeo - Documents\Planning Space Implementation\3. Analysis &amp; Design\Design\FC22\DRR Jaime\Por presentar a ECP\Cantagallo\Cristalina\[VRC_CRISTALINA_CF_SEC_20221231.xlsx]CF PND'!$BY$51</t>
  </si>
  <si>
    <t>='C:\Users\jaime.benazar\Quorum Business Solutions\Ecopetrol Prometeo - Documents\Planning Space Implementation\3. Analysis &amp; Design\Design\FC22\DRR Jaime\Por presentar a ECP\Cantagallo\Cristalina\[VRC_CRISTALINA_CF_SEC_20221231.xlsx]CF PND'!$BY$52</t>
  </si>
  <si>
    <t>='C:\Users\jaime.benazar\Quorum Business Solutions\Ecopetrol Prometeo - Documents\Planning Space Implementation\3. Analysis &amp; Design\Design\FC22\DRR Jaime\Por presentar a ECP\Cantagallo\Cristalina\[VRC_CRISTALINA_CF_SEC_20221231.xlsx]CF PND'!$BY$53</t>
  </si>
  <si>
    <t>='C:\Users\jaime.benazar\Quorum Business Solutions\Ecopetrol Prometeo - Documents\Planning Space Implementation\3. Analysis &amp; Design\Design\FC22\DRR Jaime\Por presentar a ECP\Cantagallo\Cristalina\[VRC_CRISTALINA_CF_SEC_20221231.xlsx]CF PND'!$BY$54</t>
  </si>
  <si>
    <t>='C:\Users\jaime.benazar\Quorum Business Solutions\Ecopetrol Prometeo - Documents\Planning Space Implementation\3. Analysis &amp; Design\Design\FC22\DRR Jaime\Por presentar a ECP\Cantagallo\Cristalina\[VRC_CRISTALINA_CF_SEC_20221231.xlsx]CF PND'!$BY$55</t>
  </si>
  <si>
    <t>='C:\Users\jaime.benazar\Quorum Business Solutions\Ecopetrol Prometeo - Documents\Planning Space Implementation\3. Analysis &amp; Design\Design\FC22\DRR Jaime\Por presentar a ECP\Cantagallo\Cristalina\[VRC_CRISTALINA_CF_SEC_20221231.xlsx]CF PND'!$BY$56</t>
  </si>
  <si>
    <t>='C:\Users\jaime.benazar\Quorum Business Solutions\Ecopetrol Prometeo - Documents\Planning Space Implementation\3. Analysis &amp; Design\Design\FC22\DRR Jaime\Por presentar a ECP\Cantagallo\Cristalina\[VRC_CRISTALINA_CF_SEC_20221231.xlsx]CF PND'!$BY$57</t>
  </si>
  <si>
    <t>='C:\Users\jaime.benazar\Quorum Business Solutions\Ecopetrol Prometeo - Documents\Planning Space Implementation\3. Analysis &amp; Design\Design\FC22\DRR Jaime\Por presentar a ECP\Cantagallo\Cristalina\[VRC_CRISTALINA_CF_SEC_20221231.xlsx]CF PND'!$BY$58</t>
  </si>
  <si>
    <t>='C:\Users\jaime.benazar\Quorum Business Solutions\Ecopetrol Prometeo - Documents\Planning Space Implementation\3. Analysis &amp; Design\Design\FC22\DRR Jaime\Por presentar a ECP\Cantagallo\Cristalina\[VRC_CRISTALINA_CF_SEC_20221231.xlsx]CF PND'!$BY$59</t>
  </si>
  <si>
    <t>='C:\Users\jaime.benazar\Quorum Business Solutions\Ecopetrol Prometeo - Documents\Planning Space Implementation\3. Analysis &amp; Design\Design\FC22\DRR Jaime\Por presentar a ECP\Cantagallo\Cristalina\[VRC_CRISTALINA_CF_SEC_20221231.xlsx]CF PND'!$BY$60</t>
  </si>
  <si>
    <t>='C:\Users\jaime.benazar\Quorum Business Solutions\Ecopetrol Prometeo - Documents\Planning Space Implementation\3. Analysis &amp; Design\Design\FC22\DRR Jaime\Por presentar a ECP\Cantagallo\Cristalina\[VRC_CRISTALINA_CF_SEC_20221231.xlsx]CF PND'!$BY$61</t>
  </si>
  <si>
    <t>='C:\Users\jaime.benazar\Quorum Business Solutions\Ecopetrol Prometeo - Documents\Planning Space Implementation\3. Analysis &amp; Design\Design\FC22\DRR Jaime\Por presentar a ECP\Cantagallo\Cristalina\[VRC_CRISTALINA_CF_SEC_20221231.xlsx]CF PND'!$BY$62</t>
  </si>
  <si>
    <t>='C:\Users\jaime.benazar\Quorum Business Solutions\Ecopetrol Prometeo - Documents\Planning Space Implementation\3. Analysis &amp; Design\Design\FC22\DRR Jaime\Por presentar a ECP\Cantagallo\Cristalina\[VRC_CRISTALINA_CF_SEC_20221231.xlsx]CF PND'!$BY$63</t>
  </si>
  <si>
    <t>='C:\Users\jaime.benazar\Quorum Business Solutions\Ecopetrol Prometeo - Documents\Planning Space Implementation\3. Analysis &amp; Design\Design\FC22\DRR Jaime\Por presentar a ECP\Cantagallo\Cristalina\[VRC_CRISTALINA_CF_SEC_20221231.xlsx]CF PND'!$BY$64</t>
  </si>
  <si>
    <t>='C:\Users\jaime.benazar\Quorum Business Solutions\Ecopetrol Prometeo - Documents\Planning Space Implementation\3. Analysis &amp; Design\Design\FC22\DRR Jaime\Por presentar a ECP\Cantagallo\Cristalina\[VRC_CRISTALINA_CF_SEC_20221231.xlsx]CF PND'!$BY$65</t>
  </si>
  <si>
    <t>='C:\Users\jaime.benazar\Quorum Business Solutions\Ecopetrol Prometeo - Documents\Planning Space Implementation\3. Analysis &amp; Design\Design\FC22\DRR Jaime\Por presentar a ECP\Cantagallo\Cristalina\[VRC_CRISTALINA_CF_SEC_20221231.xlsx]CF PND'!$BY$66</t>
  </si>
  <si>
    <t>='C:\Users\jaime.benazar\Quorum Business Solutions\Ecopetrol Prometeo - Documents\Planning Space Implementation\3. Analysis &amp; Design\Design\FC22\DRR Jaime\Por presentar a ECP\Cantagallo\Cristalina\[VRC_CRISTALINA_CF_SEC_20221231.xlsx]CF PND'!$BY$67</t>
  </si>
  <si>
    <t>='C:\Users\jaime.benazar\Quorum Business Solutions\Ecopetrol Prometeo - Documents\Planning Space Implementation\3. Analysis &amp; Design\Design\FC22\DRR Jaime\Por presentar a ECP\Cantagallo\Cristalina\[VRC_CRISTALINA_CF_SEC_20221231.xlsx]CF PND'!$BY$68</t>
  </si>
  <si>
    <t>='C:\Users\jaime.benazar\Quorum Business Solutions\Ecopetrol Prometeo - Documents\Planning Space Implementation\3. Analysis &amp; Design\Design\FC22\DRR Jaime\Por presentar a ECP\Cantagallo\Cristalina\[VRC_CRISTALINA_CF_SEC_20221231.xlsx]CF PND'!$BY$69</t>
  </si>
  <si>
    <t>='C:\Users\jaime.benazar\Quorum Business Solutions\Ecopetrol Prometeo - Documents\Planning Space Implementation\3. Analysis &amp; Design\Design\FC22\DRR Jaime\Por presentar a ECP\Cantagallo\Cristalina\[VRC_CRISTALINA_CF_SEC_20221231.xlsx]CF PND'!$BY$70</t>
  </si>
  <si>
    <t>='C:\Users\jaime.benazar\Quorum Business Solutions\Ecopetrol Prometeo - Documents\Planning Space Implementation\3. Analysis &amp; Design\Design\FC22\DRR Jaime\Por presentar a ECP\Cantagallo\Cristalina\[VRC_CRISTALINA_CF_SEC_20221231.xlsx]CF PND'!$BY$71</t>
  </si>
  <si>
    <t>='C:\Users\jaime.benazar\Quorum Business Solutions\Ecopetrol Prometeo - Documents\Planning Space Implementation\3. Analysis &amp; Design\Design\FC22\DRR Jaime\Por presentar a ECP\Cantagallo\Cristalina\[VRC_CRISTALINA_CF_SEC_20221231.xlsx]CF PND'!$BY$72</t>
  </si>
  <si>
    <t>='C:\Users\jaime.benazar\Quorum Business Solutions\Ecopetrol Prometeo - Documents\Planning Space Implementation\3. Analysis &amp; Design\Design\FC22\DRR Jaime\Por presentar a ECP\Cantagallo\Cristalina\[VRC_CRISTALINA_CF_SEC_20221231.xlsx]CF PRB'!$BY$36</t>
  </si>
  <si>
    <t>='C:\Users\jaime.benazar\Quorum Business Solutions\Ecopetrol Prometeo - Documents\Planning Space Implementation\3. Analysis &amp; Design\Design\FC22\DRR Jaime\Por presentar a ECP\Cantagallo\Cristalina\[VRC_CRISTALINA_CF_SEC_20221231.xlsx]CF PRB'!$BY$37</t>
  </si>
  <si>
    <t>='C:\Users\jaime.benazar\Quorum Business Solutions\Ecopetrol Prometeo - Documents\Planning Space Implementation\3. Analysis &amp; Design\Design\FC22\DRR Jaime\Por presentar a ECP\Cantagallo\Cristalina\[VRC_CRISTALINA_CF_SEC_20221231.xlsx]CF PRB'!$BY$38</t>
  </si>
  <si>
    <t>='C:\Users\jaime.benazar\Quorum Business Solutions\Ecopetrol Prometeo - Documents\Planning Space Implementation\3. Analysis &amp; Design\Design\FC22\DRR Jaime\Por presentar a ECP\Cantagallo\Cristalina\[VRC_CRISTALINA_CF_SEC_20221231.xlsx]CF PRB'!$BY$39</t>
  </si>
  <si>
    <t>='C:\Users\jaime.benazar\Quorum Business Solutions\Ecopetrol Prometeo - Documents\Planning Space Implementation\3. Analysis &amp; Design\Design\FC22\DRR Jaime\Por presentar a ECP\Cantagallo\Cristalina\[VRC_CRISTALINA_CF_SEC_20221231.xlsx]CF PRB'!$BY$40</t>
  </si>
  <si>
    <t>='C:\Users\jaime.benazar\Quorum Business Solutions\Ecopetrol Prometeo - Documents\Planning Space Implementation\3. Analysis &amp; Design\Design\FC22\DRR Jaime\Por presentar a ECP\Cantagallo\Cristalina\[VRC_CRISTALINA_CF_SEC_20221231.xlsx]CF PRB'!$BY$41</t>
  </si>
  <si>
    <t>='C:\Users\jaime.benazar\Quorum Business Solutions\Ecopetrol Prometeo - Documents\Planning Space Implementation\3. Analysis &amp; Design\Design\FC22\DRR Jaime\Por presentar a ECP\Cantagallo\Cristalina\[VRC_CRISTALINA_CF_SEC_20221231.xlsx]CF PRB'!$BY$42</t>
  </si>
  <si>
    <t>='C:\Users\jaime.benazar\Quorum Business Solutions\Ecopetrol Prometeo - Documents\Planning Space Implementation\3. Analysis &amp; Design\Design\FC22\DRR Jaime\Por presentar a ECP\Cantagallo\Cristalina\[VRC_CRISTALINA_CF_SEC_20221231.xlsx]CF PRB'!$BY$43</t>
  </si>
  <si>
    <t>='C:\Users\jaime.benazar\Quorum Business Solutions\Ecopetrol Prometeo - Documents\Planning Space Implementation\3. Analysis &amp; Design\Design\FC22\DRR Jaime\Por presentar a ECP\Cantagallo\Cristalina\[VRC_CRISTALINA_CF_SEC_20221231.xlsx]CF PRB'!$BY$44</t>
  </si>
  <si>
    <t>='C:\Users\jaime.benazar\Quorum Business Solutions\Ecopetrol Prometeo - Documents\Planning Space Implementation\3. Analysis &amp; Design\Design\FC22\DRR Jaime\Por presentar a ECP\Cantagallo\Cristalina\[VRC_CRISTALINA_CF_SEC_20221231.xlsx]CF PRB'!$BY$45</t>
  </si>
  <si>
    <t>='C:\Users\jaime.benazar\Quorum Business Solutions\Ecopetrol Prometeo - Documents\Planning Space Implementation\3. Analysis &amp; Design\Design\FC22\DRR Jaime\Por presentar a ECP\Cantagallo\Cristalina\[VRC_CRISTALINA_CF_SEC_20221231.xlsx]CF PRB'!$BY$46</t>
  </si>
  <si>
    <t>='C:\Users\jaime.benazar\Quorum Business Solutions\Ecopetrol Prometeo - Documents\Planning Space Implementation\3. Analysis &amp; Design\Design\FC22\DRR Jaime\Por presentar a ECP\Cantagallo\Cristalina\[VRC_CRISTALINA_CF_SEC_20221231.xlsx]CF PRB'!$BY$47</t>
  </si>
  <si>
    <t>='C:\Users\jaime.benazar\Quorum Business Solutions\Ecopetrol Prometeo - Documents\Planning Space Implementation\3. Analysis &amp; Design\Design\FC22\DRR Jaime\Por presentar a ECP\Cantagallo\Cristalina\[VRC_CRISTALINA_CF_SEC_20221231.xlsx]CF PRB'!$BY$48</t>
  </si>
  <si>
    <t>='C:\Users\jaime.benazar\Quorum Business Solutions\Ecopetrol Prometeo - Documents\Planning Space Implementation\3. Analysis &amp; Design\Design\FC22\DRR Jaime\Por presentar a ECP\Cantagallo\Cristalina\[VRC_CRISTALINA_CF_SEC_20221231.xlsx]CF PRB'!$BY$49</t>
  </si>
  <si>
    <t>='C:\Users\jaime.benazar\Quorum Business Solutions\Ecopetrol Prometeo - Documents\Planning Space Implementation\3. Analysis &amp; Design\Design\FC22\DRR Jaime\Por presentar a ECP\Cantagallo\Cristalina\[VRC_CRISTALINA_CF_SEC_20221231.xlsx]CF PRB'!$BY$50</t>
  </si>
  <si>
    <t>='C:\Users\jaime.benazar\Quorum Business Solutions\Ecopetrol Prometeo - Documents\Planning Space Implementation\3. Analysis &amp; Design\Design\FC22\DRR Jaime\Por presentar a ECP\Cantagallo\Cristalina\[VRC_CRISTALINA_CF_SEC_20221231.xlsx]CF PRB'!$BY$51</t>
  </si>
  <si>
    <t>='C:\Users\jaime.benazar\Quorum Business Solutions\Ecopetrol Prometeo - Documents\Planning Space Implementation\3. Analysis &amp; Design\Design\FC22\DRR Jaime\Por presentar a ECP\Cantagallo\Cristalina\[VRC_CRISTALINA_CF_SEC_20221231.xlsx]CF PRB'!$BY$52</t>
  </si>
  <si>
    <t>='C:\Users\jaime.benazar\Quorum Business Solutions\Ecopetrol Prometeo - Documents\Planning Space Implementation\3. Analysis &amp; Design\Design\FC22\DRR Jaime\Por presentar a ECP\Cantagallo\Cristalina\[VRC_CRISTALINA_CF_SEC_20221231.xlsx]CF PRB'!$BY$53</t>
  </si>
  <si>
    <t>='C:\Users\jaime.benazar\Quorum Business Solutions\Ecopetrol Prometeo - Documents\Planning Space Implementation\3. Analysis &amp; Design\Design\FC22\DRR Jaime\Por presentar a ECP\Cantagallo\Cristalina\[VRC_CRISTALINA_CF_SEC_20221231.xlsx]CF PRB'!$BY$54</t>
  </si>
  <si>
    <t>='C:\Users\jaime.benazar\Quorum Business Solutions\Ecopetrol Prometeo - Documents\Planning Space Implementation\3. Analysis &amp; Design\Design\FC22\DRR Jaime\Por presentar a ECP\Cantagallo\Cristalina\[VRC_CRISTALINA_CF_SEC_20221231.xlsx]CF PRB'!$BY$55</t>
  </si>
  <si>
    <t>='C:\Users\jaime.benazar\Quorum Business Solutions\Ecopetrol Prometeo - Documents\Planning Space Implementation\3. Analysis &amp; Design\Design\FC22\DRR Jaime\Por presentar a ECP\Cantagallo\Cristalina\[VRC_CRISTALINA_CF_SEC_20221231.xlsx]CF PRB'!$BY$56</t>
  </si>
  <si>
    <t>='C:\Users\jaime.benazar\Quorum Business Solutions\Ecopetrol Prometeo - Documents\Planning Space Implementation\3. Analysis &amp; Design\Design\FC22\DRR Jaime\Por presentar a ECP\Cantagallo\Cristalina\[VRC_CRISTALINA_CF_SEC_20221231.xlsx]CF PRB'!$BY$57</t>
  </si>
  <si>
    <t>='C:\Users\jaime.benazar\Quorum Business Solutions\Ecopetrol Prometeo - Documents\Planning Space Implementation\3. Analysis &amp; Design\Design\FC22\DRR Jaime\Por presentar a ECP\Cantagallo\Cristalina\[VRC_CRISTALINA_CF_SEC_20221231.xlsx]CF PRB'!$BY$58</t>
  </si>
  <si>
    <t>='C:\Users\jaime.benazar\Quorum Business Solutions\Ecopetrol Prometeo - Documents\Planning Space Implementation\3. Analysis &amp; Design\Design\FC22\DRR Jaime\Por presentar a ECP\Cantagallo\Cristalina\[VRC_CRISTALINA_CF_SEC_20221231.xlsx]CF PRB'!$BY$59</t>
  </si>
  <si>
    <t>='C:\Users\jaime.benazar\Quorum Business Solutions\Ecopetrol Prometeo - Documents\Planning Space Implementation\3. Analysis &amp; Design\Design\FC22\DRR Jaime\Por presentar a ECP\Cantagallo\Cristalina\[VRC_CRISTALINA_CF_SEC_20221231.xlsx]CF PRB'!$BY$60</t>
  </si>
  <si>
    <t>='C:\Users\jaime.benazar\Quorum Business Solutions\Ecopetrol Prometeo - Documents\Planning Space Implementation\3. Analysis &amp; Design\Design\FC22\DRR Jaime\Por presentar a ECP\Cantagallo\Cristalina\[VRC_CRISTALINA_CF_SEC_20221231.xlsx]CF PRB'!$BY$61</t>
  </si>
  <si>
    <t>='C:\Users\jaime.benazar\Quorum Business Solutions\Ecopetrol Prometeo - Documents\Planning Space Implementation\3. Analysis &amp; Design\Design\FC22\DRR Jaime\Por presentar a ECP\Cantagallo\Cristalina\[VRC_CRISTALINA_CF_SEC_20221231.xlsx]CF PRB'!$BY$62</t>
  </si>
  <si>
    <t>='C:\Users\jaime.benazar\Quorum Business Solutions\Ecopetrol Prometeo - Documents\Planning Space Implementation\3. Analysis &amp; Design\Design\FC22\DRR Jaime\Por presentar a ECP\Cantagallo\Cristalina\[VRC_CRISTALINA_CF_SEC_20221231.xlsx]CF PRB'!$BY$63</t>
  </si>
  <si>
    <t>='C:\Users\jaime.benazar\Quorum Business Solutions\Ecopetrol Prometeo - Documents\Planning Space Implementation\3. Analysis &amp; Design\Design\FC22\DRR Jaime\Por presentar a ECP\Cantagallo\Cristalina\[VRC_CRISTALINA_CF_SEC_20221231.xlsx]CF PRB'!$BY$64</t>
  </si>
  <si>
    <t>='C:\Users\jaime.benazar\Quorum Business Solutions\Ecopetrol Prometeo - Documents\Planning Space Implementation\3. Analysis &amp; Design\Design\FC22\DRR Jaime\Por presentar a ECP\Cantagallo\Cristalina\[VRC_CRISTALINA_CF_SEC_20221231.xlsx]CF PRB'!$BY$65</t>
  </si>
  <si>
    <t>='C:\Users\jaime.benazar\Quorum Business Solutions\Ecopetrol Prometeo - Documents\Planning Space Implementation\3. Analysis &amp; Design\Design\FC22\DRR Jaime\Por presentar a ECP\Cantagallo\Cristalina\[VRC_CRISTALINA_CF_SEC_20221231.xlsx]CF PRB'!$BY$66</t>
  </si>
  <si>
    <t>='C:\Users\jaime.benazar\Quorum Business Solutions\Ecopetrol Prometeo - Documents\Planning Space Implementation\3. Analysis &amp; Design\Design\FC22\DRR Jaime\Por presentar a ECP\Cantagallo\Cristalina\[VRC_CRISTALINA_CF_SEC_20221231.xlsx]CF PRB'!$BY$67</t>
  </si>
  <si>
    <t>='C:\Users\jaime.benazar\Quorum Business Solutions\Ecopetrol Prometeo - Documents\Planning Space Implementation\3. Analysis &amp; Design\Design\FC22\DRR Jaime\Por presentar a ECP\Cantagallo\Cristalina\[VRC_CRISTALINA_CF_SEC_20221231.xlsx]CF PRB'!$BY$68</t>
  </si>
  <si>
    <t>='C:\Users\jaime.benazar\Quorum Business Solutions\Ecopetrol Prometeo - Documents\Planning Space Implementation\3. Analysis &amp; Design\Design\FC22\DRR Jaime\Por presentar a ECP\Cantagallo\Cristalina\[VRC_CRISTALINA_CF_SEC_20221231.xlsx]CF PRB'!$BY$69</t>
  </si>
  <si>
    <t>='C:\Users\jaime.benazar\Quorum Business Solutions\Ecopetrol Prometeo - Documents\Planning Space Implementation\3. Analysis &amp; Design\Design\FC22\DRR Jaime\Por presentar a ECP\Cantagallo\Cristalina\[VRC_CRISTALINA_CF_SEC_20221231.xlsx]CF PRB'!$BY$70</t>
  </si>
  <si>
    <t>='C:\Users\jaime.benazar\Quorum Business Solutions\Ecopetrol Prometeo - Documents\Planning Space Implementation\3. Analysis &amp; Design\Design\FC22\DRR Jaime\Por presentar a ECP\Cantagallo\Cristalina\[VRC_CRISTALINA_CF_SEC_20221231.xlsx]CF PRB'!$BY$71</t>
  </si>
  <si>
    <t>='C:\Users\jaime.benazar\Quorum Business Solutions\Ecopetrol Prometeo - Documents\Planning Space Implementation\3. Analysis &amp; Design\Design\FC22\DRR Jaime\Por presentar a ECP\Cantagallo\Cristalina\[VRC_CRISTALINA_CF_SEC_20221231.xlsx]CF PRB'!$BY$72</t>
  </si>
  <si>
    <t>='C:\Users\jaime.benazar\Quorum Business Solutions\Ecopetrol Prometeo - Documents\Planning Space Implementation\3. Analysis &amp; Design\Design\FC22\DRR Jaime\Por presentar a ECP\Cantagallo\Cristalina\[VRC_CRISTALINA_CF_SEC_20221231.xlsx]CF PS'!$BY$36</t>
  </si>
  <si>
    <t>='C:\Users\jaime.benazar\Quorum Business Solutions\Ecopetrol Prometeo - Documents\Planning Space Implementation\3. Analysis &amp; Design\Design\FC22\DRR Jaime\Por presentar a ECP\Cantagallo\Cristalina\[VRC_CRISTALINA_CF_SEC_20221231.xlsx]CF PS'!$BY$37</t>
  </si>
  <si>
    <t>='C:\Users\jaime.benazar\Quorum Business Solutions\Ecopetrol Prometeo - Documents\Planning Space Implementation\3. Analysis &amp; Design\Design\FC22\DRR Jaime\Por presentar a ECP\Cantagallo\Cristalina\[VRC_CRISTALINA_CF_SEC_20221231.xlsx]CF PS'!$BY$38</t>
  </si>
  <si>
    <t>='C:\Users\jaime.benazar\Quorum Business Solutions\Ecopetrol Prometeo - Documents\Planning Space Implementation\3. Analysis &amp; Design\Design\FC22\DRR Jaime\Por presentar a ECP\Cantagallo\Cristalina\[VRC_CRISTALINA_CF_SEC_20221231.xlsx]CF PS'!$BY$39</t>
  </si>
  <si>
    <t>='C:\Users\jaime.benazar\Quorum Business Solutions\Ecopetrol Prometeo - Documents\Planning Space Implementation\3. Analysis &amp; Design\Design\FC22\DRR Jaime\Por presentar a ECP\Cantagallo\Cristalina\[VRC_CRISTALINA_CF_SEC_20221231.xlsx]CF PS'!$BY$40</t>
  </si>
  <si>
    <t>='C:\Users\jaime.benazar\Quorum Business Solutions\Ecopetrol Prometeo - Documents\Planning Space Implementation\3. Analysis &amp; Design\Design\FC22\DRR Jaime\Por presentar a ECP\Cantagallo\Cristalina\[VRC_CRISTALINA_CF_SEC_20221231.xlsx]CF PS'!$BY$41</t>
  </si>
  <si>
    <t>='C:\Users\jaime.benazar\Quorum Business Solutions\Ecopetrol Prometeo - Documents\Planning Space Implementation\3. Analysis &amp; Design\Design\FC22\DRR Jaime\Por presentar a ECP\Cantagallo\Cristalina\[VRC_CRISTALINA_CF_SEC_20221231.xlsx]CF PS'!$BY$42</t>
  </si>
  <si>
    <t>='C:\Users\jaime.benazar\Quorum Business Solutions\Ecopetrol Prometeo - Documents\Planning Space Implementation\3. Analysis &amp; Design\Design\FC22\DRR Jaime\Por presentar a ECP\Cantagallo\Cristalina\[VRC_CRISTALINA_CF_SEC_20221231.xlsx]CF PS'!$BY$43</t>
  </si>
  <si>
    <t>='C:\Users\jaime.benazar\Quorum Business Solutions\Ecopetrol Prometeo - Documents\Planning Space Implementation\3. Analysis &amp; Design\Design\FC22\DRR Jaime\Por presentar a ECP\Cantagallo\Cristalina\[VRC_CRISTALINA_CF_SEC_20221231.xlsx]CF PS'!$BY$44</t>
  </si>
  <si>
    <t>='C:\Users\jaime.benazar\Quorum Business Solutions\Ecopetrol Prometeo - Documents\Planning Space Implementation\3. Analysis &amp; Design\Design\FC22\DRR Jaime\Por presentar a ECP\Cantagallo\Cristalina\[VRC_CRISTALINA_CF_SEC_20221231.xlsx]CF PS'!$BY$45</t>
  </si>
  <si>
    <t>='C:\Users\jaime.benazar\Quorum Business Solutions\Ecopetrol Prometeo - Documents\Planning Space Implementation\3. Analysis &amp; Design\Design\FC22\DRR Jaime\Por presentar a ECP\Cantagallo\Cristalina\[VRC_CRISTALINA_CF_SEC_20221231.xlsx]CF PS'!$BY$46</t>
  </si>
  <si>
    <t>='C:\Users\jaime.benazar\Quorum Business Solutions\Ecopetrol Prometeo - Documents\Planning Space Implementation\3. Analysis &amp; Design\Design\FC22\DRR Jaime\Por presentar a ECP\Cantagallo\Cristalina\[VRC_CRISTALINA_CF_SEC_20221231.xlsx]CF PS'!$BY$47</t>
  </si>
  <si>
    <t>='C:\Users\jaime.benazar\Quorum Business Solutions\Ecopetrol Prometeo - Documents\Planning Space Implementation\3. Analysis &amp; Design\Design\FC22\DRR Jaime\Por presentar a ECP\Cantagallo\Cristalina\[VRC_CRISTALINA_CF_SEC_20221231.xlsx]CF PS'!$BY$48</t>
  </si>
  <si>
    <t>='C:\Users\jaime.benazar\Quorum Business Solutions\Ecopetrol Prometeo - Documents\Planning Space Implementation\3. Analysis &amp; Design\Design\FC22\DRR Jaime\Por presentar a ECP\Cantagallo\Cristalina\[VRC_CRISTALINA_CF_SEC_20221231.xlsx]CF PS'!$BY$49</t>
  </si>
  <si>
    <t>='C:\Users\jaime.benazar\Quorum Business Solutions\Ecopetrol Prometeo - Documents\Planning Space Implementation\3. Analysis &amp; Design\Design\FC22\DRR Jaime\Por presentar a ECP\Cantagallo\Cristalina\[VRC_CRISTALINA_CF_SEC_20221231.xlsx]CF PS'!$BY$50</t>
  </si>
  <si>
    <t>='C:\Users\jaime.benazar\Quorum Business Solutions\Ecopetrol Prometeo - Documents\Planning Space Implementation\3. Analysis &amp; Design\Design\FC22\DRR Jaime\Por presentar a ECP\Cantagallo\Cristalina\[VRC_CRISTALINA_CF_SEC_20221231.xlsx]CF PS'!$BY$51</t>
  </si>
  <si>
    <t>='C:\Users\jaime.benazar\Quorum Business Solutions\Ecopetrol Prometeo - Documents\Planning Space Implementation\3. Analysis &amp; Design\Design\FC22\DRR Jaime\Por presentar a ECP\Cantagallo\Cristalina\[VRC_CRISTALINA_CF_SEC_20221231.xlsx]CF PS'!$BY$52</t>
  </si>
  <si>
    <t>='C:\Users\jaime.benazar\Quorum Business Solutions\Ecopetrol Prometeo - Documents\Planning Space Implementation\3. Analysis &amp; Design\Design\FC22\DRR Jaime\Por presentar a ECP\Cantagallo\Cristalina\[VRC_CRISTALINA_CF_SEC_20221231.xlsx]CF PS'!$BY$53</t>
  </si>
  <si>
    <t>='C:\Users\jaime.benazar\Quorum Business Solutions\Ecopetrol Prometeo - Documents\Planning Space Implementation\3. Analysis &amp; Design\Design\FC22\DRR Jaime\Por presentar a ECP\Cantagallo\Cristalina\[VRC_CRISTALINA_CF_SEC_20221231.xlsx]CF PS'!$BY$54</t>
  </si>
  <si>
    <t>='C:\Users\jaime.benazar\Quorum Business Solutions\Ecopetrol Prometeo - Documents\Planning Space Implementation\3. Analysis &amp; Design\Design\FC22\DRR Jaime\Por presentar a ECP\Cantagallo\Cristalina\[VRC_CRISTALINA_CF_SEC_20221231.xlsx]CF PS'!$BY$55</t>
  </si>
  <si>
    <t>='C:\Users\jaime.benazar\Quorum Business Solutions\Ecopetrol Prometeo - Documents\Planning Space Implementation\3. Analysis &amp; Design\Design\FC22\DRR Jaime\Por presentar a ECP\Cantagallo\Cristalina\[VRC_CRISTALINA_CF_SEC_20221231.xlsx]CF PS'!$BY$56</t>
  </si>
  <si>
    <t>='C:\Users\jaime.benazar\Quorum Business Solutions\Ecopetrol Prometeo - Documents\Planning Space Implementation\3. Analysis &amp; Design\Design\FC22\DRR Jaime\Por presentar a ECP\Cantagallo\Cristalina\[VRC_CRISTALINA_CF_SEC_20221231.xlsx]CF PS'!$BY$57</t>
  </si>
  <si>
    <t>='C:\Users\jaime.benazar\Quorum Business Solutions\Ecopetrol Prometeo - Documents\Planning Space Implementation\3. Analysis &amp; Design\Design\FC22\DRR Jaime\Por presentar a ECP\Cantagallo\Cristalina\[VRC_CRISTALINA_CF_SEC_20221231.xlsx]CF PS'!$BY$58</t>
  </si>
  <si>
    <t>='C:\Users\jaime.benazar\Quorum Business Solutions\Ecopetrol Prometeo - Documents\Planning Space Implementation\3. Analysis &amp; Design\Design\FC22\DRR Jaime\Por presentar a ECP\Cantagallo\Cristalina\[VRC_CRISTALINA_CF_SEC_20221231.xlsx]CF PS'!$BY$59</t>
  </si>
  <si>
    <t>='C:\Users\jaime.benazar\Quorum Business Solutions\Ecopetrol Prometeo - Documents\Planning Space Implementation\3. Analysis &amp; Design\Design\FC22\DRR Jaime\Por presentar a ECP\Cantagallo\Cristalina\[VRC_CRISTALINA_CF_SEC_20221231.xlsx]CF PS'!$BY$60</t>
  </si>
  <si>
    <t>='C:\Users\jaime.benazar\Quorum Business Solutions\Ecopetrol Prometeo - Documents\Planning Space Implementation\3. Analysis &amp; Design\Design\FC22\DRR Jaime\Por presentar a ECP\Cantagallo\Cristalina\[VRC_CRISTALINA_CF_SEC_20221231.xlsx]CF PS'!$BY$61</t>
  </si>
  <si>
    <t>='C:\Users\jaime.benazar\Quorum Business Solutions\Ecopetrol Prometeo - Documents\Planning Space Implementation\3. Analysis &amp; Design\Design\FC22\DRR Jaime\Por presentar a ECP\Cantagallo\Cristalina\[VRC_CRISTALINA_CF_SEC_20221231.xlsx]CF PS'!$BY$62</t>
  </si>
  <si>
    <t>='C:\Users\jaime.benazar\Quorum Business Solutions\Ecopetrol Prometeo - Documents\Planning Space Implementation\3. Analysis &amp; Design\Design\FC22\DRR Jaime\Por presentar a ECP\Cantagallo\Cristalina\[VRC_CRISTALINA_CF_SEC_20221231.xlsx]CF PS'!$BY$63</t>
  </si>
  <si>
    <t>='C:\Users\jaime.benazar\Quorum Business Solutions\Ecopetrol Prometeo - Documents\Planning Space Implementation\3. Analysis &amp; Design\Design\FC22\DRR Jaime\Por presentar a ECP\Cantagallo\Cristalina\[VRC_CRISTALINA_CF_SEC_20221231.xlsx]CF PS'!$BY$64</t>
  </si>
  <si>
    <t>='C:\Users\jaime.benazar\Quorum Business Solutions\Ecopetrol Prometeo - Documents\Planning Space Implementation\3. Analysis &amp; Design\Design\FC22\DRR Jaime\Por presentar a ECP\Cantagallo\Cristalina\[VRC_CRISTALINA_CF_SEC_20221231.xlsx]CF PS'!$BY$65</t>
  </si>
  <si>
    <t>='C:\Users\jaime.benazar\Quorum Business Solutions\Ecopetrol Prometeo - Documents\Planning Space Implementation\3. Analysis &amp; Design\Design\FC22\DRR Jaime\Por presentar a ECP\Cantagallo\Cristalina\[VRC_CRISTALINA_CF_SEC_20221231.xlsx]CF PS'!$BY$66</t>
  </si>
  <si>
    <t>='C:\Users\jaime.benazar\Quorum Business Solutions\Ecopetrol Prometeo - Documents\Planning Space Implementation\3. Analysis &amp; Design\Design\FC22\DRR Jaime\Por presentar a ECP\Cantagallo\Cristalina\[VRC_CRISTALINA_CF_SEC_20221231.xlsx]CF PS'!$BY$67</t>
  </si>
  <si>
    <t>='C:\Users\jaime.benazar\Quorum Business Solutions\Ecopetrol Prometeo - Documents\Planning Space Implementation\3. Analysis &amp; Design\Design\FC22\DRR Jaime\Por presentar a ECP\Cantagallo\Cristalina\[VRC_CRISTALINA_CF_SEC_20221231.xlsx]CF PS'!$BY$68</t>
  </si>
  <si>
    <t>='C:\Users\jaime.benazar\Quorum Business Solutions\Ecopetrol Prometeo - Documents\Planning Space Implementation\3. Analysis &amp; Design\Design\FC22\DRR Jaime\Por presentar a ECP\Cantagallo\Cristalina\[VRC_CRISTALINA_CF_SEC_20221231.xlsx]CF PS'!$BY$69</t>
  </si>
  <si>
    <t>='C:\Users\jaime.benazar\Quorum Business Solutions\Ecopetrol Prometeo - Documents\Planning Space Implementation\3. Analysis &amp; Design\Design\FC22\DRR Jaime\Por presentar a ECP\Cantagallo\Cristalina\[VRC_CRISTALINA_CF_SEC_20221231.xlsx]CF PS'!$BY$70</t>
  </si>
  <si>
    <t>='C:\Users\jaime.benazar\Quorum Business Solutions\Ecopetrol Prometeo - Documents\Planning Space Implementation\3. Analysis &amp; Design\Design\FC22\DRR Jaime\Por presentar a ECP\Cantagallo\Cristalina\[VRC_CRISTALINA_CF_SEC_20221231.xlsx]CF PS'!$BY$71</t>
  </si>
  <si>
    <t>='C:\Users\jaime.benazar\Quorum Business Solutions\Ecopetrol Prometeo - Documents\Planning Space Implementation\3. Analysis &amp; Design\Design\FC22\DRR Jaime\Por presentar a ECP\Cantagallo\Cristalina\[VRC_CRISTALINA_CF_SEC_20221231.xlsx]CF PS'!$BY$72</t>
  </si>
  <si>
    <t>='C:\Users\jaime.benazar\Quorum Business Solutions\Ecopetrol Prometeo - Documents\Planning Space Implementation\3. Analysis &amp; Design\Design\FC22\DRR Jaime\Por presentar a ECP\Cantagallo\Cristalina\[VRC_CRISTALINA_CF_SEC_20221231.xlsx]Consolidado'!$J$12</t>
  </si>
  <si>
    <t>='C:\Users\jaime.benazar\Quorum Business Solutions\Ecopetrol Prometeo - Documents\Planning Space Implementation\3. Analysis &amp; Design\Design\FC22\DRR Jaime\Por presentar a ECP\Cantagallo\Cristalina\[VRC_CRISTALINA_CF_SEC_20221231.xlsx]Consolidado'!$J$13</t>
  </si>
  <si>
    <t>='C:\Users\jaime.benazar\Quorum Business Solutions\Ecopetrol Prometeo - Documents\Planning Space Implementation\3. Analysis &amp; Design\Design\FC22\DRR Jaime\Por presentar a ECP\Cantagallo\Cristalina\[VRC_CRISTALINA_CF_SEC_20221231.xlsx]Consolidado'!$J$14</t>
  </si>
  <si>
    <t>='C:\Users\jaime.benazar\Quorum Business Solutions\Ecopetrol Prometeo - Documents\Planning Space Implementation\3. Analysis &amp; Design\Design\FC22\DRR Jaime\Por presentar a ECP\Cantagallo\Cristalina\[VRC_CRISTALINA_CF_SEC_20221231.xlsx]Consolidado'!$J$17</t>
  </si>
  <si>
    <t>='C:\Users\jaime.benazar\Quorum Business Solutions\Ecopetrol Prometeo - Documents\Planning Space Implementation\3. Analysis &amp; Design\Design\FC22\DRR Jaime\Por presentar a ECP\Cantagallo\Cristalina\[VRC_CRISTALINA_CF_SEC_20221231.xlsx]Consolidado'!$J$18</t>
  </si>
  <si>
    <t>='C:\Users\jaime.benazar\Quorum Business Solutions\Ecopetrol Prometeo - Documents\Planning Space Implementation\3. Analysis &amp; Design\Design\FC22\DRR Jaime\Por presentar a ECP\Cantagallo\Cristalina\[VRC_CRISTALINA_CF_SEC_20221231.xlsx]Consolidado'!$J$19</t>
  </si>
  <si>
    <t>='C:\Users\jaime.benazar\Quorum Business Solutions\Ecopetrol Prometeo - Documents\Planning Space Implementation\3. Analysis &amp; Design\Design\FC22\DRR Jaime\Por presentar a ECP\Cantagallo\Cristalina\[VRC_CRISTALINA_CF_SEC_20221231.xlsx]Consolidado'!$J$21</t>
  </si>
  <si>
    <t>='C:\Users\jaime.benazar\Quorum Business Solutions\Ecopetrol Prometeo - Documents\Planning Space Implementation\3. Analysis &amp; Design\Design\FC22\DRR Jaime\Por presentar a ECP\Cantagallo\Cristalina\[VRC_CRISTALINA_CF_SEC_20221231.xlsx]Consolidado'!$J$22</t>
  </si>
  <si>
    <t>='C:\Users\jaime.benazar\Quorum Business Solutions\Ecopetrol Prometeo - Documents\Planning Space Implementation\3. Analysis &amp; Design\Design\FC22\DRR Jaime\Por presentar a ECP\Cantagallo\Cristalina\[VRC_CRISTALINA_CF_SEC_20221231.xlsx]Consolidado'!$J$23</t>
  </si>
  <si>
    <t>='C:\Users\jaime.benazar\Quorum Business Solutions\Ecopetrol Prometeo - Documents\Planning Space Implementation\3. Analysis &amp; Design\Design\FC22\DRR Jaime\Por presentar a ECP\Cantagallo\Cristalina\[VRC_CRISTALINA_CF_SEC_20221231.xlsx]Consolidado'!$L$12</t>
  </si>
  <si>
    <t>='C:\Users\jaime.benazar\Quorum Business Solutions\Ecopetrol Prometeo - Documents\Planning Space Implementation\3. Analysis &amp; Design\Design\FC22\DRR Jaime\Por presentar a ECP\Cantagallo\Cristalina\[VRC_CRISTALINA_CF_SEC_20221231.xlsx]Consolidado'!$L$13</t>
  </si>
  <si>
    <t>='C:\Users\jaime.benazar\Quorum Business Solutions\Ecopetrol Prometeo - Documents\Planning Space Implementation\3. Analysis &amp; Design\Design\FC22\DRR Jaime\Por presentar a ECP\Cantagallo\Cristalina\[VRC_CRISTALINA_CF_SEC_20221231.xlsx]Consolidado'!$L$14</t>
  </si>
  <si>
    <t>='C:\Users\jaime.benazar\Quorum Business Solutions\Ecopetrol Prometeo - Documents\Planning Space Implementation\3. Analysis &amp; Design\Design\FC22\DRR Jaime\Por presentar a ECP\Cantagallo\Cristalina\[VRC_CRISTALINA_CF_SEC_20221231.xlsx]Consolidado'!$L$17</t>
  </si>
  <si>
    <t>='C:\Users\jaime.benazar\Quorum Business Solutions\Ecopetrol Prometeo - Documents\Planning Space Implementation\3. Analysis &amp; Design\Design\FC22\DRR Jaime\Por presentar a ECP\Cantagallo\Cristalina\[VRC_CRISTALINA_CF_SEC_20221231.xlsx]Consolidado'!$L$18</t>
  </si>
  <si>
    <t>='C:\Users\jaime.benazar\Quorum Business Solutions\Ecopetrol Prometeo - Documents\Planning Space Implementation\3. Analysis &amp; Design\Design\FC22\DRR Jaime\Por presentar a ECP\Cantagallo\Cristalina\[VRC_CRISTALINA_CF_SEC_20221231.xlsx]Consolidado'!$L$19</t>
  </si>
  <si>
    <t>='C:\Users\jaime.benazar\Quorum Business Solutions\Ecopetrol Prometeo - Documents\Planning Space Implementation\3. Analysis &amp; Design\Design\FC22\DRR Jaime\Por presentar a ECP\Cantagallo\Cristalina\[VRC_CRISTALINA_CF_SEC_20221231.xlsx]Consolidado'!$L$21</t>
  </si>
  <si>
    <t>='C:\Users\jaime.benazar\Quorum Business Solutions\Ecopetrol Prometeo - Documents\Planning Space Implementation\3. Analysis &amp; Design\Design\FC22\DRR Jaime\Por presentar a ECP\Cantagallo\Cristalina\[VRC_CRISTALINA_CF_SEC_20221231.xlsx]Consolidado'!$L$22</t>
  </si>
  <si>
    <t>='C:\Users\jaime.benazar\Quorum Business Solutions\Ecopetrol Prometeo - Documents\Planning Space Implementation\3. Analysis &amp; Design\Design\FC22\DRR Jaime\Por presentar a ECP\Cantagallo\Cristalina\[VRC_CRISTALINA_CF_SEC_20221231.xlsx]Consolidado'!$L$23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</si>
</sst>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0.000"/>
    <numFmt numFmtId="167" formatCode="0.0000"/>
    <numFmt numFmtId="168" formatCode="_(* #,##0.0000_);_(* \(#,##0.0000\);_(* &quot;-&quot;??_);_(@_)"/>
    <numFmt numFmtId="169" formatCode="0.000%"/>
    <numFmt numFmtId="170" formatCode="_(* #,##0.00000_);_(* \(#,##0.0000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Franklin Gothic Book"/>
      <family val="2"/>
    </font>
    <font>
      <sz val="10"/>
      <color theme="1"/>
      <name val="Franklin Gothic Book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Franklin Gothic Book"/>
      <family val="2"/>
    </font>
    <font>
      <b/>
      <sz val="11"/>
      <color theme="1"/>
      <name val="Franklin Gothic Book"/>
      <family val="2"/>
    </font>
    <font>
      <b/>
      <sz val="10"/>
      <name val="Franklin Gothic Book"/>
      <family val="2"/>
    </font>
    <font>
      <sz val="11"/>
      <color theme="0"/>
      <name val="Franklin Gothic Book"/>
      <family val="2"/>
    </font>
    <font>
      <sz val="11"/>
      <color theme="6" tint="-0.499984740745262"/>
      <name val="Franklin Gothic Book"/>
      <family val="2"/>
    </font>
    <font>
      <b/>
      <sz val="10"/>
      <color theme="6" tint="-0.249977111117893"/>
      <name val="Franklin Gothic Book"/>
      <family val="2"/>
    </font>
    <font>
      <sz val="11"/>
      <color theme="6" tint="-0.249977111117893"/>
      <name val="Franklin Gothic Book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2">
    <xf numFmtId="0" fontId="0" fillId="0" borderId="0" xfId="0"/>
    <xf numFmtId="0" fontId="0" fillId="2" borderId="0" xfId="0" applyFill="1"/>
    <xf numFmtId="0" fontId="0" fillId="2" borderId="0" xfId="0" quotePrefix="1" applyFill="1"/>
    <xf numFmtId="0" fontId="5" fillId="0" borderId="0" xfId="0" applyFont="1" applyAlignment="1">
      <alignment horizontal="center" vertical="center" wrapText="1"/>
    </xf>
    <xf numFmtId="0" fontId="0" fillId="3" borderId="0" xfId="0" applyFill="1"/>
    <xf numFmtId="0" fontId="0" fillId="3" borderId="0" xfId="0" quotePrefix="1" applyFill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quotePrefix="1" applyFill="1" applyAlignment="1">
      <alignment horizontal="center"/>
    </xf>
    <xf numFmtId="0" fontId="0" fillId="3" borderId="0" xfId="0" quotePrefix="1" applyFill="1" applyAlignment="1">
      <alignment horizontal="center"/>
    </xf>
    <xf numFmtId="0" fontId="3" fillId="0" borderId="0" xfId="0" applyFont="1" applyAlignment="1">
      <alignment horizontal="center" vertical="center"/>
    </xf>
    <xf numFmtId="2" fontId="0" fillId="2" borderId="0" xfId="0" applyNumberFormat="1" applyFill="1"/>
    <xf numFmtId="0" fontId="6" fillId="0" borderId="0" xfId="0" applyFont="1"/>
    <xf numFmtId="164" fontId="6" fillId="0" borderId="0" xfId="3" applyNumberFormat="1" applyFont="1" applyFill="1" applyBorder="1" applyAlignment="1"/>
    <xf numFmtId="0" fontId="6" fillId="0" borderId="0" xfId="0" applyFont="1" applyAlignment="1">
      <alignment horizontal="center"/>
    </xf>
    <xf numFmtId="164" fontId="6" fillId="0" borderId="4" xfId="3" applyNumberFormat="1" applyFont="1" applyFill="1" applyBorder="1" applyAlignment="1"/>
    <xf numFmtId="0" fontId="6" fillId="2" borderId="8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7" fillId="4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9" fontId="6" fillId="0" borderId="0" xfId="4" applyFont="1"/>
    <xf numFmtId="0" fontId="8" fillId="4" borderId="0" xfId="0" applyFont="1" applyFill="1" applyAlignment="1">
      <alignment horizontal="center" vertical="center" wrapText="1"/>
    </xf>
    <xf numFmtId="164" fontId="6" fillId="0" borderId="0" xfId="3" applyNumberFormat="1" applyFont="1" applyFill="1" applyBorder="1"/>
    <xf numFmtId="164" fontId="6" fillId="0" borderId="1" xfId="3" applyNumberFormat="1" applyFont="1" applyFill="1" applyBorder="1"/>
    <xf numFmtId="164" fontId="6" fillId="0" borderId="5" xfId="3" applyNumberFormat="1" applyFont="1" applyFill="1" applyBorder="1"/>
    <xf numFmtId="164" fontId="6" fillId="0" borderId="5" xfId="3" applyNumberFormat="1" applyFont="1" applyFill="1" applyBorder="1" applyAlignment="1"/>
    <xf numFmtId="0" fontId="2" fillId="0" borderId="11" xfId="0" applyFont="1" applyBorder="1"/>
    <xf numFmtId="0" fontId="2" fillId="0" borderId="12" xfId="0" applyFont="1" applyBorder="1"/>
    <xf numFmtId="0" fontId="3" fillId="0" borderId="11" xfId="0" applyFont="1" applyBorder="1"/>
    <xf numFmtId="0" fontId="0" fillId="5" borderId="0" xfId="0" applyFill="1" applyAlignment="1">
      <alignment horizontal="center"/>
    </xf>
    <xf numFmtId="0" fontId="0" fillId="5" borderId="0" xfId="0" applyFill="1"/>
    <xf numFmtId="0" fontId="0" fillId="5" borderId="0" xfId="0" quotePrefix="1" applyFill="1"/>
    <xf numFmtId="0" fontId="0" fillId="5" borderId="0" xfId="0" quotePrefix="1" applyFill="1" applyAlignment="1">
      <alignment horizontal="center"/>
    </xf>
    <xf numFmtId="2" fontId="0" fillId="5" borderId="0" xfId="0" applyNumberFormat="1" applyFill="1"/>
    <xf numFmtId="43" fontId="0" fillId="5" borderId="0" xfId="0" applyNumberFormat="1" applyFill="1"/>
    <xf numFmtId="165" fontId="6" fillId="0" borderId="0" xfId="2" applyNumberFormat="1" applyFont="1" applyFill="1" applyBorder="1" applyAlignment="1"/>
    <xf numFmtId="165" fontId="6" fillId="0" borderId="9" xfId="5" applyNumberFormat="1" applyFont="1" applyFill="1" applyBorder="1" applyAlignment="1"/>
    <xf numFmtId="165" fontId="6" fillId="0" borderId="3" xfId="5" applyNumberFormat="1" applyFont="1" applyFill="1" applyBorder="1" applyAlignment="1"/>
    <xf numFmtId="165" fontId="6" fillId="0" borderId="2" xfId="5" applyNumberFormat="1" applyFont="1" applyFill="1" applyBorder="1" applyAlignment="1"/>
    <xf numFmtId="0" fontId="0" fillId="6" borderId="0" xfId="0" applyFill="1" applyAlignment="1">
      <alignment horizontal="center"/>
    </xf>
    <xf numFmtId="0" fontId="0" fillId="6" borderId="0" xfId="0" applyFill="1"/>
    <xf numFmtId="0" fontId="2" fillId="0" borderId="10" xfId="0" applyFont="1" applyBorder="1"/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/>
    </xf>
    <xf numFmtId="0" fontId="6" fillId="7" borderId="8" xfId="0" applyFont="1" applyFill="1" applyBorder="1"/>
    <xf numFmtId="0" fontId="6" fillId="7" borderId="6" xfId="0" applyFont="1" applyFill="1" applyBorder="1"/>
    <xf numFmtId="0" fontId="6" fillId="7" borderId="7" xfId="0" applyFont="1" applyFill="1" applyBorder="1" applyAlignment="1">
      <alignment vertical="center" wrapText="1"/>
    </xf>
    <xf numFmtId="0" fontId="6" fillId="7" borderId="5" xfId="0" applyFont="1" applyFill="1" applyBorder="1" applyAlignment="1">
      <alignment horizontal="center"/>
    </xf>
    <xf numFmtId="0" fontId="6" fillId="7" borderId="0" xfId="0" applyFont="1" applyFill="1"/>
    <xf numFmtId="0" fontId="6" fillId="7" borderId="1" xfId="0" applyFont="1" applyFill="1" applyBorder="1"/>
    <xf numFmtId="0" fontId="9" fillId="7" borderId="0" xfId="0" applyFont="1" applyFill="1"/>
    <xf numFmtId="0" fontId="6" fillId="7" borderId="1" xfId="0" applyFont="1" applyFill="1" applyBorder="1" applyAlignment="1">
      <alignment vertical="center" wrapText="1"/>
    </xf>
    <xf numFmtId="0" fontId="6" fillId="7" borderId="9" xfId="0" applyFont="1" applyFill="1" applyBorder="1" applyAlignment="1">
      <alignment horizontal="center"/>
    </xf>
    <xf numFmtId="0" fontId="6" fillId="7" borderId="3" xfId="0" applyFont="1" applyFill="1" applyBorder="1"/>
    <xf numFmtId="0" fontId="6" fillId="7" borderId="2" xfId="0" applyFont="1" applyFill="1" applyBorder="1"/>
    <xf numFmtId="0" fontId="6" fillId="7" borderId="7" xfId="0" applyFont="1" applyFill="1" applyBorder="1"/>
    <xf numFmtId="0" fontId="6" fillId="7" borderId="8" xfId="0" applyFont="1" applyFill="1" applyBorder="1" applyAlignment="1">
      <alignment horizontal="center"/>
    </xf>
    <xf numFmtId="165" fontId="10" fillId="0" borderId="2" xfId="5" applyNumberFormat="1" applyFont="1" applyFill="1" applyBorder="1" applyAlignment="1"/>
    <xf numFmtId="0" fontId="11" fillId="0" borderId="11" xfId="0" applyFont="1" applyBorder="1"/>
    <xf numFmtId="0" fontId="11" fillId="0" borderId="12" xfId="0" applyFont="1" applyBorder="1"/>
    <xf numFmtId="164" fontId="12" fillId="0" borderId="5" xfId="3" applyNumberFormat="1" applyFont="1" applyFill="1" applyBorder="1" applyAlignment="1"/>
    <xf numFmtId="164" fontId="12" fillId="0" borderId="0" xfId="3" applyNumberFormat="1" applyFont="1" applyFill="1" applyBorder="1" applyAlignment="1"/>
    <xf numFmtId="164" fontId="12" fillId="0" borderId="4" xfId="3" applyNumberFormat="1" applyFont="1" applyFill="1" applyBorder="1" applyAlignment="1"/>
    <xf numFmtId="164" fontId="12" fillId="0" borderId="5" xfId="3" applyNumberFormat="1" applyFont="1" applyFill="1" applyBorder="1"/>
    <xf numFmtId="164" fontId="12" fillId="0" borderId="0" xfId="3" applyNumberFormat="1" applyFont="1" applyFill="1" applyBorder="1"/>
    <xf numFmtId="164" fontId="12" fillId="0" borderId="1" xfId="3" applyNumberFormat="1" applyFont="1" applyFill="1" applyBorder="1"/>
    <xf numFmtId="165" fontId="12" fillId="0" borderId="9" xfId="5" applyNumberFormat="1" applyFont="1" applyFill="1" applyBorder="1" applyAlignment="1"/>
    <xf numFmtId="165" fontId="12" fillId="0" borderId="3" xfId="5" applyNumberFormat="1" applyFont="1" applyFill="1" applyBorder="1" applyAlignment="1"/>
    <xf numFmtId="165" fontId="12" fillId="0" borderId="2" xfId="5" applyNumberFormat="1" applyFont="1" applyFill="1" applyBorder="1" applyAlignment="1"/>
    <xf numFmtId="0" fontId="11" fillId="0" borderId="10" xfId="0" applyFont="1" applyBorder="1"/>
    <xf numFmtId="0" fontId="7" fillId="0" borderId="15" xfId="0" applyFont="1" applyBorder="1" applyAlignment="1">
      <alignment horizontal="center" vertical="center"/>
    </xf>
    <xf numFmtId="0" fontId="7" fillId="4" borderId="10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left" vertical="center" wrapText="1"/>
    </xf>
    <xf numFmtId="0" fontId="6" fillId="2" borderId="7" xfId="0" applyFont="1" applyFill="1" applyBorder="1" applyAlignment="1">
      <alignment horizontal="left" vertical="center" wrapText="1"/>
    </xf>
    <xf numFmtId="0" fontId="6" fillId="2" borderId="0" xfId="0" applyFont="1" applyFill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6" fillId="2" borderId="3" xfId="0" applyFont="1" applyFill="1" applyBorder="1" applyAlignment="1">
      <alignment horizontal="left" vertical="center" wrapText="1"/>
    </xf>
    <xf numFmtId="0" fontId="6" fillId="2" borderId="2" xfId="0" applyFont="1" applyFill="1" applyBorder="1" applyAlignment="1">
      <alignment horizontal="left" vertical="center" wrapText="1"/>
    </xf>
    <xf numFmtId="0" fontId="6" fillId="2" borderId="0" xfId="0" applyFont="1" applyFill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6" fontId="6" fillId="0" borderId="8" xfId="0" applyNumberFormat="1" applyFont="1" applyBorder="1" applyAlignment="1">
      <alignment horizontal="center"/>
    </xf>
    <xf numFmtId="166" fontId="6" fillId="0" borderId="6" xfId="0" applyNumberFormat="1" applyFont="1" applyBorder="1" applyAlignment="1">
      <alignment horizontal="center"/>
    </xf>
    <xf numFmtId="166" fontId="6" fillId="0" borderId="7" xfId="0" applyNumberFormat="1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164" fontId="12" fillId="0" borderId="8" xfId="3" applyNumberFormat="1" applyFont="1" applyFill="1" applyBorder="1" applyAlignment="1">
      <alignment horizontal="center" vertical="center"/>
    </xf>
    <xf numFmtId="164" fontId="12" fillId="0" borderId="6" xfId="3" applyNumberFormat="1" applyFont="1" applyFill="1" applyBorder="1" applyAlignment="1">
      <alignment horizontal="center" vertical="center"/>
    </xf>
    <xf numFmtId="164" fontId="12" fillId="0" borderId="7" xfId="3" applyNumberFormat="1" applyFont="1" applyFill="1" applyBorder="1" applyAlignment="1">
      <alignment horizontal="center" vertical="center"/>
    </xf>
    <xf numFmtId="167" fontId="6" fillId="0" borderId="8" xfId="0" applyNumberFormat="1" applyFont="1" applyBorder="1" applyAlignment="1">
      <alignment horizontal="center"/>
    </xf>
    <xf numFmtId="167" fontId="6" fillId="0" borderId="6" xfId="0" applyNumberFormat="1" applyFont="1" applyBorder="1" applyAlignment="1">
      <alignment horizontal="center"/>
    </xf>
    <xf numFmtId="167" fontId="6" fillId="0" borderId="7" xfId="0" applyNumberFormat="1" applyFont="1" applyBorder="1" applyAlignment="1">
      <alignment horizontal="center"/>
    </xf>
    <xf numFmtId="10" fontId="6" fillId="0" borderId="9" xfId="2" applyNumberFormat="1" applyFont="1" applyFill="1" applyBorder="1" applyAlignment="1">
      <alignment horizontal="center"/>
    </xf>
    <xf numFmtId="10" fontId="6" fillId="0" borderId="3" xfId="2" applyNumberFormat="1" applyFont="1" applyFill="1" applyBorder="1" applyAlignment="1">
      <alignment horizontal="center"/>
    </xf>
    <xf numFmtId="10" fontId="6" fillId="0" borderId="2" xfId="2" applyNumberFormat="1" applyFont="1" applyFill="1" applyBorder="1" applyAlignment="1">
      <alignment horizont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11" fillId="0" borderId="5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66" fontId="6" fillId="0" borderId="5" xfId="0" applyNumberFormat="1" applyFont="1" applyBorder="1" applyAlignment="1">
      <alignment horizontal="center"/>
    </xf>
    <xf numFmtId="166" fontId="6" fillId="0" borderId="0" xfId="0" applyNumberFormat="1" applyFont="1" applyAlignment="1">
      <alignment horizontal="center"/>
    </xf>
    <xf numFmtId="166" fontId="6" fillId="0" borderId="1" xfId="0" applyNumberFormat="1" applyFont="1" applyBorder="1" applyAlignment="1">
      <alignment horizontal="center"/>
    </xf>
    <xf numFmtId="165" fontId="6" fillId="0" borderId="9" xfId="2" applyNumberFormat="1" applyFont="1" applyFill="1" applyBorder="1" applyAlignment="1">
      <alignment horizontal="center"/>
    </xf>
    <xf numFmtId="165" fontId="6" fillId="0" borderId="3" xfId="2" applyNumberFormat="1" applyFont="1" applyFill="1" applyBorder="1" applyAlignment="1">
      <alignment horizontal="center"/>
    </xf>
    <xf numFmtId="165" fontId="6" fillId="0" borderId="2" xfId="2" applyNumberFormat="1" applyFont="1" applyFill="1" applyBorder="1" applyAlignment="1">
      <alignment horizontal="center"/>
    </xf>
    <xf numFmtId="166" fontId="12" fillId="0" borderId="8" xfId="0" applyNumberFormat="1" applyFont="1" applyBorder="1" applyAlignment="1">
      <alignment horizontal="center"/>
    </xf>
    <xf numFmtId="166" fontId="12" fillId="0" borderId="6" xfId="0" applyNumberFormat="1" applyFont="1" applyBorder="1" applyAlignment="1">
      <alignment horizontal="center"/>
    </xf>
    <xf numFmtId="166" fontId="12" fillId="0" borderId="7" xfId="0" applyNumberFormat="1" applyFont="1" applyBorder="1" applyAlignment="1">
      <alignment horizontal="center"/>
    </xf>
    <xf numFmtId="170" fontId="6" fillId="0" borderId="5" xfId="3" applyNumberFormat="1" applyFont="1" applyBorder="1" applyAlignment="1">
      <alignment horizontal="center"/>
    </xf>
    <xf numFmtId="170" fontId="6" fillId="0" borderId="0" xfId="3" applyNumberFormat="1" applyFont="1" applyBorder="1" applyAlignment="1">
      <alignment horizontal="center"/>
    </xf>
    <xf numFmtId="170" fontId="6" fillId="0" borderId="1" xfId="3" applyNumberFormat="1" applyFont="1" applyBorder="1" applyAlignment="1">
      <alignment horizontal="center"/>
    </xf>
    <xf numFmtId="169" fontId="6" fillId="0" borderId="9" xfId="4" applyNumberFormat="1" applyFont="1" applyBorder="1" applyAlignment="1">
      <alignment horizontal="center"/>
    </xf>
    <xf numFmtId="169" fontId="6" fillId="0" borderId="3" xfId="4" applyNumberFormat="1" applyFont="1" applyBorder="1" applyAlignment="1">
      <alignment horizontal="center"/>
    </xf>
    <xf numFmtId="169" fontId="6" fillId="0" borderId="2" xfId="4" applyNumberFormat="1" applyFont="1" applyBorder="1" applyAlignment="1">
      <alignment horizontal="center"/>
    </xf>
    <xf numFmtId="167" fontId="6" fillId="0" borderId="5" xfId="0" applyNumberFormat="1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167" fontId="6" fillId="0" borderId="1" xfId="0" applyNumberFormat="1" applyFont="1" applyBorder="1" applyAlignment="1">
      <alignment horizontal="center"/>
    </xf>
    <xf numFmtId="170" fontId="6" fillId="0" borderId="8" xfId="3" applyNumberFormat="1" applyFont="1" applyFill="1" applyBorder="1" applyAlignment="1">
      <alignment horizontal="center" vertical="center"/>
    </xf>
    <xf numFmtId="170" fontId="6" fillId="0" borderId="6" xfId="3" applyNumberFormat="1" applyFont="1" applyFill="1" applyBorder="1" applyAlignment="1">
      <alignment horizontal="center" vertical="center"/>
    </xf>
    <xf numFmtId="170" fontId="6" fillId="0" borderId="7" xfId="3" applyNumberFormat="1" applyFont="1" applyFill="1" applyBorder="1" applyAlignment="1">
      <alignment horizontal="center" vertical="center"/>
    </xf>
    <xf numFmtId="168" fontId="6" fillId="0" borderId="8" xfId="3" applyNumberFormat="1" applyFont="1" applyFill="1" applyBorder="1" applyAlignment="1">
      <alignment horizontal="center" vertical="center"/>
    </xf>
    <xf numFmtId="168" fontId="6" fillId="0" borderId="6" xfId="3" applyNumberFormat="1" applyFont="1" applyFill="1" applyBorder="1" applyAlignment="1">
      <alignment horizontal="center" vertical="center"/>
    </xf>
    <xf numFmtId="168" fontId="6" fillId="0" borderId="7" xfId="3" applyNumberFormat="1" applyFont="1" applyFill="1" applyBorder="1" applyAlignment="1">
      <alignment horizontal="center" vertical="center"/>
    </xf>
    <xf numFmtId="169" fontId="6" fillId="0" borderId="3" xfId="4" applyNumberFormat="1" applyFont="1" applyFill="1" applyBorder="1" applyAlignment="1">
      <alignment horizontal="center"/>
    </xf>
    <xf numFmtId="169" fontId="6" fillId="0" borderId="2" xfId="4" applyNumberFormat="1" applyFont="1" applyFill="1" applyBorder="1" applyAlignment="1">
      <alignment horizontal="center"/>
    </xf>
    <xf numFmtId="168" fontId="6" fillId="0" borderId="5" xfId="3" applyNumberFormat="1" applyFont="1" applyBorder="1" applyAlignment="1">
      <alignment horizontal="center"/>
    </xf>
    <xf numFmtId="168" fontId="6" fillId="0" borderId="0" xfId="3" applyNumberFormat="1" applyFont="1" applyBorder="1" applyAlignment="1">
      <alignment horizontal="center"/>
    </xf>
    <xf numFmtId="168" fontId="6" fillId="0" borderId="1" xfId="3" applyNumberFormat="1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horizontal="center"/>
    </xf>
  </cellXfs>
  <cellStyles count="6">
    <cellStyle name="Comma" xfId="3" builtinId="3"/>
    <cellStyle name="Millares 2" xfId="1" xr:uid="{F0204734-268D-4614-A880-590FBC333794}"/>
    <cellStyle name="Normal" xfId="0" builtinId="0"/>
    <cellStyle name="Percent" xfId="4" builtinId="5"/>
    <cellStyle name="Percent 3 2 2 2 2" xfId="5" xr:uid="{9376B193-A76F-40FB-AC28-25C018E12B21}"/>
    <cellStyle name="Porcentaje 2" xfId="2" xr:uid="{26191977-15B0-4E0B-AB43-D7E908FBCA51}"/>
  </cellStyles>
  <dxfs count="3"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20</xdr:row>
          <xdr:rowOff>19050</xdr:rowOff>
        </xdr:from>
        <xdr:to>
          <xdr:col>4</xdr:col>
          <xdr:colOff>742950</xdr:colOff>
          <xdr:row>21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 Linkeo con Reporte de 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317500</xdr:colOff>
          <xdr:row>16</xdr:row>
          <xdr:rowOff>19050</xdr:rowOff>
        </xdr:from>
        <xdr:to>
          <xdr:col>4</xdr:col>
          <xdr:colOff>755650</xdr:colOff>
          <xdr:row>17</xdr:row>
          <xdr:rowOff>279400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 Linkeo con FC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190500</xdr:rowOff>
        </xdr:from>
        <xdr:to>
          <xdr:col>4</xdr:col>
          <xdr:colOff>755650</xdr:colOff>
          <xdr:row>25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Duplicar Hoja solo con valores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file:///C:\Users\jaime.benazar\Quorum%20Business%20Solutions\Ecopetrol%20Prometeo%20-%20Documents\Planning%20Space%20Implementation\3.%20Analysis%20&amp;%20Design\Design\FC22\DRR%20Jaime\Por%20presentar%20a%20ECP\Cantagallo\Cristalina\CRISTALINA_CF_SEC_New_09-Feb-2024.xlsx?99FF19B0" TargetMode="External"/><Relationship Id="rId1" Type="http://schemas.openxmlformats.org/officeDocument/2006/relationships/externalLinkPath" Target="file:///\\99FF19B0\CRISTALINA_CF_SEC_New_09-Feb-2024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microsoft.com/office/2019/04/relationships/externalLinkLongPath" Target="file:///C:\Users\jaime.benazar\Quorum%20Business%20Solutions\Ecopetrol%20Prometeo%20-%20Documents\Planning%20Space%20Implementation\3.%20Analysis%20&amp;%20Design\Design\FC22\DRR%20Jaime\Por%20presentar%20a%20ECP\Cantagallo\Cristalina\VRC_CRISTALINA_CF_SEC_20221231.xlsx?99FF19B0" TargetMode="External"/><Relationship Id="rId1" Type="http://schemas.openxmlformats.org/officeDocument/2006/relationships/externalLinkPath" Target="file:///\\99FF19B0\VRC_CRISTALINA_CF_SEC_2022123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trib and Scalars"/>
      <sheetName val="D-PDP"/>
      <sheetName val="D-PNP"/>
      <sheetName val="D-PND"/>
      <sheetName val="D-PRBDP"/>
      <sheetName val="D-PRBNP"/>
      <sheetName val="D-PRBND"/>
      <sheetName val="D-PRB"/>
      <sheetName val="D-PSDP"/>
      <sheetName val="D-PSNP"/>
      <sheetName val="D-PSND"/>
      <sheetName val="D-PS"/>
      <sheetName val="Consolidado"/>
      <sheetName val="General Data"/>
      <sheetName val="Pozos Activos"/>
      <sheetName val="Pozos Inactivos"/>
      <sheetName val="Pozos productores"/>
      <sheetName val="Pozos iny disposal"/>
      <sheetName val="Pozos iny Agua"/>
      <sheetName val="Pozos iny gas"/>
      <sheetName val="Pozos a Abandonar"/>
      <sheetName val="Pozos EOR"/>
      <sheetName val="Aceite para Ventas"/>
      <sheetName val="Aceite para consumo"/>
      <sheetName val="Gas Total Producido"/>
      <sheetName val="Gas de Consumo"/>
      <sheetName val="Gas Inyectado"/>
      <sheetName val="Gas Quemado"/>
      <sheetName val="Gas Penalizado"/>
      <sheetName val="Gas Venta"/>
      <sheetName val="Volumen de GLP"/>
      <sheetName val="Volumen Propano"/>
      <sheetName val="Volumen Butano"/>
      <sheetName val="Volumen Gasolina"/>
      <sheetName val="Agua Producida"/>
      <sheetName val="Agua Vapor Inyectado"/>
      <sheetName val="Agua Vertida"/>
      <sheetName val="Agua Aspersion"/>
      <sheetName val="Inyeccion Vapor"/>
      <sheetName val="Agua Dispuesta en pozos"/>
      <sheetName val="Agua inyectada con Polímero"/>
      <sheetName val="Aceite Ventas Reservas"/>
      <sheetName val="Aceite Consumo Reservas"/>
      <sheetName val="Gas Ventas Reservas"/>
      <sheetName val="Gas Consumo Reservas"/>
      <sheetName val="GLP Reservas"/>
      <sheetName val="Propano Reservas"/>
      <sheetName val="Butano Reservas"/>
      <sheetName val="Gasolina Reservas"/>
      <sheetName val="Regalias Aceite ventas"/>
      <sheetName val="Regalias Gas ventas"/>
      <sheetName val="Regalias Efectivas Gas + NGL"/>
      <sheetName val="Regalias Total Aceite"/>
      <sheetName val="Regalias Total Gas_NGL"/>
      <sheetName val="Produccion Participacion ECP"/>
      <sheetName val="Aceite Ventas ECP"/>
      <sheetName val="Aceite Consumo ECP"/>
      <sheetName val="Gas Ventas ECP"/>
      <sheetName val="Gas Consumo ECP"/>
      <sheetName val="GLP ECP"/>
      <sheetName val="Propano ECP"/>
      <sheetName val="Butano ECP"/>
      <sheetName val="Gasolina ECP"/>
      <sheetName val="Regalias Total Aceite ECP"/>
      <sheetName val="Regalias Total Gas_NGL ECP"/>
      <sheetName val="Regalias Total NGL ECP"/>
      <sheetName val="Aceite Ventas Neto ECP"/>
      <sheetName val="Aceite Consumo Neto ECP"/>
      <sheetName val="Gas Ventas Neto ECP"/>
      <sheetName val="Gas Consumo Neto ECP"/>
      <sheetName val="GLP Neto ECP"/>
      <sheetName val="Propano Neto ECP"/>
      <sheetName val="Butano Neto ECP"/>
      <sheetName val="Gasolina Neto ECP"/>
      <sheetName val="Precio Aceite"/>
      <sheetName val="Descuento Calidad"/>
      <sheetName val="Descuento Transporte"/>
      <sheetName val="Poder Calorífico"/>
      <sheetName val="Precio Gas"/>
      <sheetName val="Precio Gas Quema"/>
      <sheetName val="Precio GLP"/>
      <sheetName val="Precio Propano"/>
      <sheetName val="Precio Butano"/>
      <sheetName val="Precio Gasolina"/>
      <sheetName val="Ingresos Brutos"/>
      <sheetName val="Regalias en Cash"/>
      <sheetName val="Ingresos después de regalías"/>
      <sheetName val="OpEx Ecopetrol"/>
      <sheetName val="OPEX Participacion ECP"/>
      <sheetName val="Fijo"/>
      <sheetName val="Semifijo"/>
      <sheetName val="Total Variable"/>
      <sheetName val="Variable Aceite"/>
      <sheetName val="Variable Gas"/>
      <sheetName val="Variable Fluido"/>
      <sheetName val="Variable agua de Inyección"/>
      <sheetName val="Variable agua de Producción"/>
      <sheetName val="Variable agua de Aspersión"/>
      <sheetName val="Variable agua de Disposición"/>
      <sheetName val="Variable agua de Vertimiento"/>
      <sheetName val="Variable Gas de Inyección"/>
      <sheetName val="Variable Vapor de Inyección"/>
      <sheetName val="Variable Polímero Inyección"/>
      <sheetName val="Pozo Productor"/>
      <sheetName val="Pozo Inyector de Agua"/>
      <sheetName val="Pozo Inyector de Agua Disposal"/>
      <sheetName val="Pozo Inyector de Vapor"/>
      <sheetName val="Pozo Inyector de gas"/>
      <sheetName val="Pozo Delta Inyector"/>
      <sheetName val="Facilidades Nuevas Tecnologias"/>
      <sheetName val="Diluyente"/>
      <sheetName val="Volumen Diluyente"/>
      <sheetName val="Nafta - Aceite"/>
      <sheetName val="CAPEX ECP"/>
      <sheetName val="CAPEX Participacion ECP"/>
      <sheetName val="CapEx 100% Ecopetrol"/>
      <sheetName val="Gastos G-A"/>
      <sheetName val="Gastos G-G"/>
      <sheetName val="Perforacion Productores"/>
      <sheetName val="Perforacion Inyectores"/>
      <sheetName val="Workover"/>
      <sheetName val="Workover Injector"/>
      <sheetName val="Facilidades"/>
      <sheetName val="Plataformas"/>
      <sheetName val="Plantas"/>
      <sheetName val="Lineas de Flujo"/>
      <sheetName val="Predios"/>
      <sheetName val="Ambiental"/>
      <sheetName val="Social"/>
      <sheetName val="Contigency"/>
      <sheetName val="Costo Abandono"/>
      <sheetName val="Participacion Abandono ECP"/>
      <sheetName val="Regalias Gas"/>
      <sheetName val="Penalidad Quema de gas"/>
      <sheetName val="PAP ANH"/>
      <sheetName val="Uso Subsuelo"/>
      <sheetName val="FC Operativo Ecopetrol"/>
      <sheetName val="Flujo de Caja Neto Ecopetrol"/>
      <sheetName val="FC Descontado Eco"/>
      <sheetName val="tocopy"/>
      <sheetName val="ServiceWorksheet_HIDDEN_DATA"/>
    </sheetNames>
    <sheetDataSet>
      <sheetData sheetId="0"/>
      <sheetData sheetId="1">
        <row r="12">
          <cell r="BB12">
            <v>11578.599609375</v>
          </cell>
          <cell r="BE12">
            <v>46314.3984375</v>
          </cell>
          <cell r="BW12">
            <v>4703604</v>
          </cell>
          <cell r="BX12">
            <v>1432467.75</v>
          </cell>
          <cell r="BZ12">
            <v>1260635</v>
          </cell>
          <cell r="CA12">
            <v>26449.93359375</v>
          </cell>
          <cell r="CB12">
            <v>145382.84375</v>
          </cell>
          <cell r="DC12">
            <v>0</v>
          </cell>
          <cell r="DT12">
            <v>0</v>
          </cell>
          <cell r="EA12">
            <v>3271136.25</v>
          </cell>
        </row>
        <row r="13">
          <cell r="BB13">
            <v>9762.7998046875</v>
          </cell>
          <cell r="BE13">
            <v>39051.19921875</v>
          </cell>
          <cell r="BW13">
            <v>3965966.75</v>
          </cell>
          <cell r="BX13">
            <v>1430560.5</v>
          </cell>
          <cell r="BZ13">
            <v>1260635</v>
          </cell>
          <cell r="CA13">
            <v>24028.029296875</v>
          </cell>
          <cell r="CB13">
            <v>145897.484375</v>
          </cell>
          <cell r="DC13">
            <v>0</v>
          </cell>
          <cell r="DT13">
            <v>0</v>
          </cell>
          <cell r="EA13">
            <v>2535406.25</v>
          </cell>
        </row>
        <row r="14">
          <cell r="BB14">
            <v>8341.80078125</v>
          </cell>
          <cell r="BE14">
            <v>33367.19921875</v>
          </cell>
          <cell r="BW14">
            <v>3388710.25</v>
          </cell>
          <cell r="BX14">
            <v>1428741.625</v>
          </cell>
          <cell r="BZ14">
            <v>1260635</v>
          </cell>
          <cell r="CA14">
            <v>21932.884765625</v>
          </cell>
          <cell r="CB14">
            <v>146173.71875</v>
          </cell>
          <cell r="DC14">
            <v>0</v>
          </cell>
          <cell r="DT14">
            <v>0</v>
          </cell>
          <cell r="EA14">
            <v>1959968.625</v>
          </cell>
        </row>
        <row r="15">
          <cell r="BB15">
            <v>7258.00048828125</v>
          </cell>
          <cell r="BE15">
            <v>29032.001953125</v>
          </cell>
          <cell r="BW15">
            <v>2948435.5</v>
          </cell>
          <cell r="BX15">
            <v>1425930.25</v>
          </cell>
          <cell r="BZ15">
            <v>1260635</v>
          </cell>
          <cell r="CA15">
            <v>18879.900390625</v>
          </cell>
          <cell r="CB15">
            <v>146415.40625</v>
          </cell>
          <cell r="DC15">
            <v>0</v>
          </cell>
          <cell r="DT15">
            <v>0</v>
          </cell>
          <cell r="EA15">
            <v>1522505.25</v>
          </cell>
        </row>
        <row r="16">
          <cell r="BB16">
            <v>6393.19970703125</v>
          </cell>
          <cell r="BE16">
            <v>25572.80078125</v>
          </cell>
          <cell r="BW16">
            <v>2597125.75</v>
          </cell>
          <cell r="BX16">
            <v>1422201</v>
          </cell>
          <cell r="BZ16">
            <v>1260635</v>
          </cell>
          <cell r="CA16">
            <v>14972.59765625</v>
          </cell>
          <cell r="CB16">
            <v>146593.515625</v>
          </cell>
          <cell r="DC16">
            <v>0</v>
          </cell>
          <cell r="DT16">
            <v>0</v>
          </cell>
          <cell r="EA16">
            <v>1174924.5</v>
          </cell>
        </row>
        <row r="17">
          <cell r="BB17">
            <v>5705.2001953125</v>
          </cell>
          <cell r="BE17">
            <v>22820.80078125</v>
          </cell>
          <cell r="BW17">
            <v>2317637.75</v>
          </cell>
          <cell r="BX17">
            <v>1420055.875</v>
          </cell>
          <cell r="BZ17">
            <v>1260635</v>
          </cell>
          <cell r="CA17">
            <v>12639.4814453125</v>
          </cell>
          <cell r="CB17">
            <v>146781.5</v>
          </cell>
          <cell r="DC17">
            <v>0</v>
          </cell>
          <cell r="DT17">
            <v>0</v>
          </cell>
          <cell r="EA17">
            <v>897581.8125</v>
          </cell>
        </row>
        <row r="18">
          <cell r="BB18">
            <v>5108.2001953125</v>
          </cell>
          <cell r="BE18">
            <v>20432.80078125</v>
          </cell>
          <cell r="BW18">
            <v>2075117</v>
          </cell>
          <cell r="BX18">
            <v>1418379.75</v>
          </cell>
          <cell r="BZ18">
            <v>1260635</v>
          </cell>
          <cell r="CA18">
            <v>10922.857421875</v>
          </cell>
          <cell r="CB18">
            <v>146821.921875</v>
          </cell>
          <cell r="DC18">
            <v>0</v>
          </cell>
          <cell r="DT18">
            <v>0</v>
          </cell>
          <cell r="EA18">
            <v>656737.1875</v>
          </cell>
        </row>
        <row r="19">
          <cell r="BB19">
            <v>4621.7998046875</v>
          </cell>
          <cell r="BE19">
            <v>18487.19921875</v>
          </cell>
          <cell r="BW19">
            <v>1877525.375</v>
          </cell>
          <cell r="BX19">
            <v>1416874.125</v>
          </cell>
          <cell r="BZ19">
            <v>1260635</v>
          </cell>
          <cell r="CA19">
            <v>9347.86328125</v>
          </cell>
          <cell r="CB19">
            <v>146891.328125</v>
          </cell>
          <cell r="DC19">
            <v>0</v>
          </cell>
          <cell r="DT19">
            <v>0</v>
          </cell>
          <cell r="EA19">
            <v>460651.3125</v>
          </cell>
        </row>
        <row r="20">
          <cell r="BB20">
            <v>4208.7998046875</v>
          </cell>
          <cell r="BE20">
            <v>16835.201171875</v>
          </cell>
          <cell r="BW20">
            <v>1709751.5</v>
          </cell>
          <cell r="BX20">
            <v>1414929.125</v>
          </cell>
          <cell r="BZ20">
            <v>1260635</v>
          </cell>
          <cell r="CA20">
            <v>7355.3447265625</v>
          </cell>
          <cell r="CB20">
            <v>146938.78125</v>
          </cell>
          <cell r="DC20">
            <v>0</v>
          </cell>
          <cell r="DT20">
            <v>0</v>
          </cell>
          <cell r="EA20">
            <v>294822.28125</v>
          </cell>
        </row>
        <row r="21">
          <cell r="BB21">
            <v>3865.199951171875</v>
          </cell>
          <cell r="BE21">
            <v>15460.7998046875</v>
          </cell>
          <cell r="BW21">
            <v>1570169.875</v>
          </cell>
          <cell r="BX21">
            <v>1412466.625</v>
          </cell>
          <cell r="BZ21">
            <v>1260635</v>
          </cell>
          <cell r="CA21">
            <v>4803.7646484375</v>
          </cell>
          <cell r="CB21">
            <v>147027.890625</v>
          </cell>
          <cell r="DC21">
            <v>0</v>
          </cell>
          <cell r="DT21">
            <v>0</v>
          </cell>
          <cell r="EA21">
            <v>157703.21875</v>
          </cell>
        </row>
        <row r="22">
          <cell r="BB22">
            <v>2975.2001953125</v>
          </cell>
          <cell r="BE22">
            <v>11900.7998046875</v>
          </cell>
          <cell r="BW22">
            <v>1208622.875</v>
          </cell>
          <cell r="BX22">
            <v>1174390.375</v>
          </cell>
          <cell r="BZ22">
            <v>1050529.125</v>
          </cell>
          <cell r="CA22">
            <v>1229.4700927734375</v>
          </cell>
          <cell r="CB22">
            <v>122480.703125</v>
          </cell>
          <cell r="DC22">
            <v>0</v>
          </cell>
          <cell r="DT22">
            <v>0</v>
          </cell>
          <cell r="EA22">
            <v>34232.60546875</v>
          </cell>
        </row>
        <row r="23">
          <cell r="BB23">
            <v>0</v>
          </cell>
          <cell r="BE23">
            <v>0</v>
          </cell>
          <cell r="BW23">
            <v>0</v>
          </cell>
          <cell r="BX23">
            <v>0</v>
          </cell>
          <cell r="BZ23">
            <v>0</v>
          </cell>
          <cell r="CA23">
            <v>0</v>
          </cell>
          <cell r="CB23">
            <v>0</v>
          </cell>
          <cell r="DC23">
            <v>0</v>
          </cell>
          <cell r="DT23">
            <v>720068</v>
          </cell>
          <cell r="EA23">
            <v>0</v>
          </cell>
        </row>
        <row r="24">
          <cell r="BB24">
            <v>0</v>
          </cell>
          <cell r="BE24">
            <v>0</v>
          </cell>
          <cell r="BW24">
            <v>0</v>
          </cell>
          <cell r="BX24">
            <v>0</v>
          </cell>
          <cell r="BZ24">
            <v>0</v>
          </cell>
          <cell r="CA24">
            <v>0</v>
          </cell>
          <cell r="CB24">
            <v>0</v>
          </cell>
          <cell r="DC24">
            <v>0</v>
          </cell>
          <cell r="DT24">
            <v>0</v>
          </cell>
          <cell r="EA24">
            <v>0</v>
          </cell>
        </row>
        <row r="25">
          <cell r="BB25">
            <v>0</v>
          </cell>
          <cell r="BE25">
            <v>0</v>
          </cell>
          <cell r="BW25">
            <v>0</v>
          </cell>
          <cell r="BX25">
            <v>0</v>
          </cell>
          <cell r="BZ25">
            <v>0</v>
          </cell>
          <cell r="CA25">
            <v>0</v>
          </cell>
          <cell r="CB25">
            <v>0</v>
          </cell>
          <cell r="DC25">
            <v>0</v>
          </cell>
          <cell r="DT25">
            <v>0</v>
          </cell>
          <cell r="EA25">
            <v>0</v>
          </cell>
        </row>
        <row r="26">
          <cell r="BB26">
            <v>0</v>
          </cell>
          <cell r="BE26">
            <v>0</v>
          </cell>
          <cell r="BW26">
            <v>0</v>
          </cell>
          <cell r="BX26">
            <v>0</v>
          </cell>
          <cell r="BZ26">
            <v>0</v>
          </cell>
          <cell r="CA26">
            <v>0</v>
          </cell>
          <cell r="CB26">
            <v>0</v>
          </cell>
          <cell r="DC26">
            <v>0</v>
          </cell>
          <cell r="DT26">
            <v>0</v>
          </cell>
          <cell r="EA26">
            <v>0</v>
          </cell>
        </row>
        <row r="27">
          <cell r="BB27">
            <v>0</v>
          </cell>
          <cell r="BE27">
            <v>0</v>
          </cell>
          <cell r="BW27">
            <v>0</v>
          </cell>
          <cell r="BX27">
            <v>0</v>
          </cell>
          <cell r="BZ27">
            <v>0</v>
          </cell>
          <cell r="CA27">
            <v>0</v>
          </cell>
          <cell r="CB27">
            <v>0</v>
          </cell>
          <cell r="DC27">
            <v>0</v>
          </cell>
          <cell r="DT27">
            <v>0</v>
          </cell>
          <cell r="EA27">
            <v>0</v>
          </cell>
        </row>
        <row r="28">
          <cell r="BB28">
            <v>0</v>
          </cell>
          <cell r="BE28">
            <v>0</v>
          </cell>
          <cell r="BW28">
            <v>0</v>
          </cell>
          <cell r="BX28">
            <v>0</v>
          </cell>
          <cell r="BZ28">
            <v>0</v>
          </cell>
          <cell r="CA28">
            <v>0</v>
          </cell>
          <cell r="CB28">
            <v>0</v>
          </cell>
          <cell r="DC28">
            <v>0</v>
          </cell>
          <cell r="DT28">
            <v>0</v>
          </cell>
          <cell r="EA28">
            <v>0</v>
          </cell>
        </row>
        <row r="29">
          <cell r="BB29">
            <v>0</v>
          </cell>
          <cell r="BE29">
            <v>0</v>
          </cell>
          <cell r="BW29">
            <v>0</v>
          </cell>
          <cell r="BX29">
            <v>0</v>
          </cell>
          <cell r="BZ29">
            <v>0</v>
          </cell>
          <cell r="CA29">
            <v>0</v>
          </cell>
          <cell r="CB29">
            <v>0</v>
          </cell>
          <cell r="DC29">
            <v>0</v>
          </cell>
          <cell r="DT29">
            <v>0</v>
          </cell>
          <cell r="EA29">
            <v>0</v>
          </cell>
        </row>
        <row r="30">
          <cell r="BB30">
            <v>0</v>
          </cell>
          <cell r="BE30">
            <v>0</v>
          </cell>
          <cell r="BW30">
            <v>0</v>
          </cell>
          <cell r="BX30">
            <v>0</v>
          </cell>
          <cell r="BZ30">
            <v>0</v>
          </cell>
          <cell r="CA30">
            <v>0</v>
          </cell>
          <cell r="CB30">
            <v>0</v>
          </cell>
          <cell r="DC30">
            <v>0</v>
          </cell>
          <cell r="DT30">
            <v>0</v>
          </cell>
          <cell r="EA30">
            <v>0</v>
          </cell>
        </row>
        <row r="31">
          <cell r="BB31">
            <v>0</v>
          </cell>
          <cell r="BE31">
            <v>0</v>
          </cell>
          <cell r="BW31">
            <v>0</v>
          </cell>
          <cell r="BX31">
            <v>0</v>
          </cell>
          <cell r="BZ31">
            <v>0</v>
          </cell>
          <cell r="CA31">
            <v>0</v>
          </cell>
          <cell r="CB31">
            <v>0</v>
          </cell>
          <cell r="DC31">
            <v>0</v>
          </cell>
          <cell r="DT31">
            <v>0</v>
          </cell>
          <cell r="EA31">
            <v>0</v>
          </cell>
        </row>
        <row r="32">
          <cell r="BB32">
            <v>0</v>
          </cell>
          <cell r="BE32">
            <v>0</v>
          </cell>
          <cell r="BW32">
            <v>0</v>
          </cell>
          <cell r="BX32">
            <v>0</v>
          </cell>
          <cell r="BZ32">
            <v>0</v>
          </cell>
          <cell r="CA32">
            <v>0</v>
          </cell>
          <cell r="CB32">
            <v>0</v>
          </cell>
          <cell r="DC32">
            <v>0</v>
          </cell>
          <cell r="DT32">
            <v>0</v>
          </cell>
          <cell r="EA32">
            <v>0</v>
          </cell>
        </row>
        <row r="33">
          <cell r="BB33">
            <v>0</v>
          </cell>
          <cell r="BE33">
            <v>0</v>
          </cell>
          <cell r="BW33">
            <v>0</v>
          </cell>
          <cell r="BX33">
            <v>0</v>
          </cell>
          <cell r="BZ33">
            <v>0</v>
          </cell>
          <cell r="CA33">
            <v>0</v>
          </cell>
          <cell r="CB33">
            <v>0</v>
          </cell>
          <cell r="DC33">
            <v>0</v>
          </cell>
          <cell r="DT33">
            <v>0</v>
          </cell>
          <cell r="EA33">
            <v>0</v>
          </cell>
        </row>
        <row r="34">
          <cell r="BB34">
            <v>0</v>
          </cell>
          <cell r="BE34">
            <v>0</v>
          </cell>
          <cell r="BW34">
            <v>0</v>
          </cell>
          <cell r="BX34">
            <v>0</v>
          </cell>
          <cell r="BZ34">
            <v>0</v>
          </cell>
          <cell r="CA34">
            <v>0</v>
          </cell>
          <cell r="CB34">
            <v>0</v>
          </cell>
          <cell r="DC34">
            <v>0</v>
          </cell>
          <cell r="DT34">
            <v>0</v>
          </cell>
          <cell r="EA34">
            <v>0</v>
          </cell>
        </row>
        <row r="35">
          <cell r="BB35">
            <v>0</v>
          </cell>
          <cell r="BE35">
            <v>0</v>
          </cell>
          <cell r="BW35">
            <v>0</v>
          </cell>
          <cell r="BX35">
            <v>0</v>
          </cell>
          <cell r="BZ35">
            <v>0</v>
          </cell>
          <cell r="CA35">
            <v>0</v>
          </cell>
          <cell r="CB35">
            <v>0</v>
          </cell>
          <cell r="DC35">
            <v>0</v>
          </cell>
          <cell r="DT35">
            <v>0</v>
          </cell>
          <cell r="EA35">
            <v>0</v>
          </cell>
        </row>
        <row r="36">
          <cell r="BB36">
            <v>0</v>
          </cell>
          <cell r="BE36">
            <v>0</v>
          </cell>
          <cell r="BW36">
            <v>0</v>
          </cell>
          <cell r="BX36">
            <v>0</v>
          </cell>
          <cell r="BZ36">
            <v>0</v>
          </cell>
          <cell r="CA36">
            <v>0</v>
          </cell>
          <cell r="CB36">
            <v>0</v>
          </cell>
          <cell r="DC36">
            <v>0</v>
          </cell>
          <cell r="DT36">
            <v>0</v>
          </cell>
          <cell r="EA36">
            <v>0</v>
          </cell>
        </row>
        <row r="37">
          <cell r="BB37">
            <v>0</v>
          </cell>
          <cell r="BE37">
            <v>0</v>
          </cell>
          <cell r="BW37">
            <v>0</v>
          </cell>
          <cell r="BX37">
            <v>0</v>
          </cell>
          <cell r="BZ37">
            <v>0</v>
          </cell>
          <cell r="CA37">
            <v>0</v>
          </cell>
          <cell r="CB37">
            <v>0</v>
          </cell>
          <cell r="DC37">
            <v>0</v>
          </cell>
          <cell r="DT37">
            <v>0</v>
          </cell>
          <cell r="EA37">
            <v>0</v>
          </cell>
        </row>
        <row r="38">
          <cell r="BB38">
            <v>0</v>
          </cell>
          <cell r="BE38">
            <v>0</v>
          </cell>
          <cell r="BW38">
            <v>0</v>
          </cell>
          <cell r="BX38">
            <v>0</v>
          </cell>
          <cell r="BZ38">
            <v>0</v>
          </cell>
          <cell r="CA38">
            <v>0</v>
          </cell>
          <cell r="CB38">
            <v>0</v>
          </cell>
          <cell r="DC38">
            <v>0</v>
          </cell>
          <cell r="DT38">
            <v>0</v>
          </cell>
          <cell r="EA38">
            <v>0</v>
          </cell>
        </row>
        <row r="39">
          <cell r="BB39">
            <v>0</v>
          </cell>
          <cell r="BE39">
            <v>0</v>
          </cell>
          <cell r="BW39">
            <v>0</v>
          </cell>
          <cell r="BX39">
            <v>0</v>
          </cell>
          <cell r="BZ39">
            <v>0</v>
          </cell>
          <cell r="CA39">
            <v>0</v>
          </cell>
          <cell r="CB39">
            <v>0</v>
          </cell>
          <cell r="DC39">
            <v>0</v>
          </cell>
          <cell r="DT39">
            <v>0</v>
          </cell>
          <cell r="EA39">
            <v>0</v>
          </cell>
        </row>
        <row r="40">
          <cell r="BB40">
            <v>0</v>
          </cell>
          <cell r="BE40">
            <v>0</v>
          </cell>
          <cell r="BW40">
            <v>0</v>
          </cell>
          <cell r="BX40">
            <v>0</v>
          </cell>
          <cell r="BZ40">
            <v>0</v>
          </cell>
          <cell r="CA40">
            <v>0</v>
          </cell>
          <cell r="CB40">
            <v>0</v>
          </cell>
          <cell r="DC40">
            <v>0</v>
          </cell>
          <cell r="DT40">
            <v>0</v>
          </cell>
          <cell r="EA40">
            <v>0</v>
          </cell>
        </row>
        <row r="41">
          <cell r="BB41">
            <v>0</v>
          </cell>
          <cell r="BE41">
            <v>0</v>
          </cell>
          <cell r="BW41">
            <v>0</v>
          </cell>
          <cell r="BX41">
            <v>0</v>
          </cell>
          <cell r="BZ41">
            <v>0</v>
          </cell>
          <cell r="CA41">
            <v>0</v>
          </cell>
          <cell r="CB41">
            <v>0</v>
          </cell>
          <cell r="DC41">
            <v>0</v>
          </cell>
          <cell r="DT41">
            <v>0</v>
          </cell>
          <cell r="EA41">
            <v>0</v>
          </cell>
        </row>
        <row r="42">
          <cell r="BB42">
            <v>0</v>
          </cell>
          <cell r="BE42">
            <v>0</v>
          </cell>
          <cell r="BW42">
            <v>0</v>
          </cell>
          <cell r="BX42">
            <v>0</v>
          </cell>
          <cell r="BZ42">
            <v>0</v>
          </cell>
          <cell r="CA42">
            <v>0</v>
          </cell>
          <cell r="CB42">
            <v>0</v>
          </cell>
          <cell r="DC42">
            <v>0</v>
          </cell>
          <cell r="DT42">
            <v>0</v>
          </cell>
          <cell r="EA42">
            <v>0</v>
          </cell>
        </row>
        <row r="43">
          <cell r="BB43">
            <v>0</v>
          </cell>
          <cell r="BE43">
            <v>0</v>
          </cell>
          <cell r="BW43">
            <v>0</v>
          </cell>
          <cell r="BX43">
            <v>0</v>
          </cell>
          <cell r="BZ43">
            <v>0</v>
          </cell>
          <cell r="CA43">
            <v>0</v>
          </cell>
          <cell r="CB43">
            <v>0</v>
          </cell>
          <cell r="DC43">
            <v>0</v>
          </cell>
          <cell r="DT43">
            <v>0</v>
          </cell>
          <cell r="EA43">
            <v>0</v>
          </cell>
        </row>
        <row r="44">
          <cell r="BB44">
            <v>0</v>
          </cell>
          <cell r="BE44">
            <v>0</v>
          </cell>
          <cell r="BW44">
            <v>0</v>
          </cell>
          <cell r="BX44">
            <v>0</v>
          </cell>
          <cell r="BZ44">
            <v>0</v>
          </cell>
          <cell r="CA44">
            <v>0</v>
          </cell>
          <cell r="CB44">
            <v>0</v>
          </cell>
          <cell r="DC44">
            <v>0</v>
          </cell>
          <cell r="DT44">
            <v>0</v>
          </cell>
          <cell r="EA44">
            <v>0</v>
          </cell>
        </row>
        <row r="45">
          <cell r="BB45">
            <v>0</v>
          </cell>
          <cell r="BE45">
            <v>0</v>
          </cell>
          <cell r="BW45">
            <v>0</v>
          </cell>
          <cell r="BX45">
            <v>0</v>
          </cell>
          <cell r="BZ45">
            <v>0</v>
          </cell>
          <cell r="CA45">
            <v>0</v>
          </cell>
          <cell r="CB45">
            <v>0</v>
          </cell>
          <cell r="DC45">
            <v>0</v>
          </cell>
          <cell r="DT45">
            <v>0</v>
          </cell>
          <cell r="EA45">
            <v>0</v>
          </cell>
        </row>
        <row r="46">
          <cell r="BB46">
            <v>0</v>
          </cell>
          <cell r="BE46">
            <v>0</v>
          </cell>
          <cell r="BW46">
            <v>0</v>
          </cell>
          <cell r="BX46">
            <v>0</v>
          </cell>
          <cell r="BZ46">
            <v>0</v>
          </cell>
          <cell r="CA46">
            <v>0</v>
          </cell>
          <cell r="CB46">
            <v>0</v>
          </cell>
          <cell r="DC46">
            <v>0</v>
          </cell>
          <cell r="DT46">
            <v>0</v>
          </cell>
          <cell r="EA46">
            <v>0</v>
          </cell>
        </row>
        <row r="47">
          <cell r="BB47">
            <v>0</v>
          </cell>
          <cell r="BE47">
            <v>0</v>
          </cell>
          <cell r="BW47">
            <v>0</v>
          </cell>
          <cell r="BX47">
            <v>0</v>
          </cell>
          <cell r="BZ47">
            <v>0</v>
          </cell>
          <cell r="CA47">
            <v>0</v>
          </cell>
          <cell r="CB47">
            <v>0</v>
          </cell>
          <cell r="DC47">
            <v>0</v>
          </cell>
          <cell r="DT47">
            <v>0</v>
          </cell>
          <cell r="EA47">
            <v>0</v>
          </cell>
        </row>
        <row r="48">
          <cell r="BB48">
            <v>0</v>
          </cell>
          <cell r="BE48">
            <v>0</v>
          </cell>
          <cell r="BW48">
            <v>0</v>
          </cell>
          <cell r="BX48">
            <v>0</v>
          </cell>
          <cell r="BZ48">
            <v>0</v>
          </cell>
          <cell r="CA48">
            <v>0</v>
          </cell>
          <cell r="CB48">
            <v>0</v>
          </cell>
          <cell r="DC48">
            <v>0</v>
          </cell>
          <cell r="DT48">
            <v>0</v>
          </cell>
          <cell r="EA48">
            <v>0</v>
          </cell>
        </row>
      </sheetData>
      <sheetData sheetId="2">
        <row r="12">
          <cell r="BB12">
            <v>0</v>
          </cell>
          <cell r="BE12">
            <v>0</v>
          </cell>
          <cell r="BW12">
            <v>0</v>
          </cell>
          <cell r="BX12">
            <v>0</v>
          </cell>
          <cell r="BZ12">
            <v>0</v>
          </cell>
          <cell r="CA12">
            <v>0</v>
          </cell>
          <cell r="CB12">
            <v>0</v>
          </cell>
          <cell r="DC12">
            <v>0</v>
          </cell>
          <cell r="DT12">
            <v>0</v>
          </cell>
          <cell r="EA12">
            <v>0</v>
          </cell>
        </row>
        <row r="13">
          <cell r="BB13">
            <v>0</v>
          </cell>
          <cell r="BE13">
            <v>0</v>
          </cell>
          <cell r="BW13">
            <v>0</v>
          </cell>
          <cell r="BX13">
            <v>0</v>
          </cell>
          <cell r="BZ13">
            <v>0</v>
          </cell>
          <cell r="CA13">
            <v>0</v>
          </cell>
          <cell r="CB13">
            <v>0</v>
          </cell>
          <cell r="DC13">
            <v>0</v>
          </cell>
          <cell r="DT13">
            <v>0</v>
          </cell>
          <cell r="EA13">
            <v>0</v>
          </cell>
        </row>
        <row r="14">
          <cell r="BB14">
            <v>0</v>
          </cell>
          <cell r="BE14">
            <v>0</v>
          </cell>
          <cell r="BW14">
            <v>0</v>
          </cell>
          <cell r="BX14">
            <v>0</v>
          </cell>
          <cell r="BZ14">
            <v>0</v>
          </cell>
          <cell r="CA14">
            <v>0</v>
          </cell>
          <cell r="CB14">
            <v>0</v>
          </cell>
          <cell r="DC14">
            <v>0</v>
          </cell>
          <cell r="DT14">
            <v>0</v>
          </cell>
          <cell r="EA14">
            <v>0</v>
          </cell>
        </row>
        <row r="15">
          <cell r="BB15">
            <v>0</v>
          </cell>
          <cell r="BE15">
            <v>0</v>
          </cell>
          <cell r="BW15">
            <v>0</v>
          </cell>
          <cell r="BX15">
            <v>0</v>
          </cell>
          <cell r="BZ15">
            <v>0</v>
          </cell>
          <cell r="CA15">
            <v>0</v>
          </cell>
          <cell r="CB15">
            <v>0</v>
          </cell>
          <cell r="DC15">
            <v>0</v>
          </cell>
          <cell r="DT15">
            <v>0</v>
          </cell>
          <cell r="EA15">
            <v>0</v>
          </cell>
        </row>
        <row r="16">
          <cell r="BB16">
            <v>0</v>
          </cell>
          <cell r="BE16">
            <v>0</v>
          </cell>
          <cell r="BW16">
            <v>0</v>
          </cell>
          <cell r="BX16">
            <v>0</v>
          </cell>
          <cell r="BZ16">
            <v>0</v>
          </cell>
          <cell r="CA16">
            <v>0</v>
          </cell>
          <cell r="CB16">
            <v>0</v>
          </cell>
          <cell r="DC16">
            <v>0</v>
          </cell>
          <cell r="DT16">
            <v>0</v>
          </cell>
          <cell r="EA16">
            <v>0</v>
          </cell>
        </row>
        <row r="17">
          <cell r="BB17">
            <v>0</v>
          </cell>
          <cell r="BE17">
            <v>0</v>
          </cell>
          <cell r="BW17">
            <v>0</v>
          </cell>
          <cell r="BX17">
            <v>0</v>
          </cell>
          <cell r="BZ17">
            <v>0</v>
          </cell>
          <cell r="CA17">
            <v>0</v>
          </cell>
          <cell r="CB17">
            <v>0</v>
          </cell>
          <cell r="DC17">
            <v>0</v>
          </cell>
          <cell r="DT17">
            <v>0</v>
          </cell>
          <cell r="EA17">
            <v>0</v>
          </cell>
        </row>
        <row r="18">
          <cell r="BB18">
            <v>0</v>
          </cell>
          <cell r="BE18">
            <v>0</v>
          </cell>
          <cell r="BW18">
            <v>0</v>
          </cell>
          <cell r="BX18">
            <v>0</v>
          </cell>
          <cell r="BZ18">
            <v>0</v>
          </cell>
          <cell r="CA18">
            <v>0</v>
          </cell>
          <cell r="CB18">
            <v>0</v>
          </cell>
          <cell r="DC18">
            <v>0</v>
          </cell>
          <cell r="DT18">
            <v>0</v>
          </cell>
          <cell r="EA18">
            <v>0</v>
          </cell>
        </row>
        <row r="19">
          <cell r="BB19">
            <v>0</v>
          </cell>
          <cell r="BE19">
            <v>0</v>
          </cell>
          <cell r="BW19">
            <v>0</v>
          </cell>
          <cell r="BX19">
            <v>0</v>
          </cell>
          <cell r="BZ19">
            <v>0</v>
          </cell>
          <cell r="CA19">
            <v>0</v>
          </cell>
          <cell r="CB19">
            <v>0</v>
          </cell>
          <cell r="DC19">
            <v>0</v>
          </cell>
          <cell r="DT19">
            <v>0</v>
          </cell>
          <cell r="EA19">
            <v>0</v>
          </cell>
        </row>
        <row r="20">
          <cell r="BB20">
            <v>0</v>
          </cell>
          <cell r="BE20">
            <v>0</v>
          </cell>
          <cell r="BW20">
            <v>0</v>
          </cell>
          <cell r="BX20">
            <v>0</v>
          </cell>
          <cell r="BZ20">
            <v>0</v>
          </cell>
          <cell r="CA20">
            <v>0</v>
          </cell>
          <cell r="CB20">
            <v>0</v>
          </cell>
          <cell r="DC20">
            <v>0</v>
          </cell>
          <cell r="DT20">
            <v>0</v>
          </cell>
          <cell r="EA20">
            <v>0</v>
          </cell>
        </row>
        <row r="21">
          <cell r="BB21">
            <v>0</v>
          </cell>
          <cell r="BE21">
            <v>0</v>
          </cell>
          <cell r="BW21">
            <v>0</v>
          </cell>
          <cell r="BX21">
            <v>0</v>
          </cell>
          <cell r="BZ21">
            <v>0</v>
          </cell>
          <cell r="CA21">
            <v>0</v>
          </cell>
          <cell r="CB21">
            <v>0</v>
          </cell>
          <cell r="DC21">
            <v>0</v>
          </cell>
          <cell r="DT21">
            <v>0</v>
          </cell>
          <cell r="EA21">
            <v>0</v>
          </cell>
        </row>
        <row r="22">
          <cell r="BB22">
            <v>0</v>
          </cell>
          <cell r="BE22">
            <v>0</v>
          </cell>
          <cell r="BW22">
            <v>0</v>
          </cell>
          <cell r="BX22">
            <v>0</v>
          </cell>
          <cell r="BZ22">
            <v>0</v>
          </cell>
          <cell r="CA22">
            <v>0</v>
          </cell>
          <cell r="CB22">
            <v>0</v>
          </cell>
          <cell r="DC22">
            <v>0</v>
          </cell>
          <cell r="DT22">
            <v>0</v>
          </cell>
          <cell r="EA22">
            <v>0</v>
          </cell>
        </row>
        <row r="23">
          <cell r="BB23">
            <v>0</v>
          </cell>
          <cell r="BE23">
            <v>0</v>
          </cell>
          <cell r="BW23">
            <v>0</v>
          </cell>
          <cell r="BX23">
            <v>0</v>
          </cell>
          <cell r="BZ23">
            <v>0</v>
          </cell>
          <cell r="CA23">
            <v>0</v>
          </cell>
          <cell r="CB23">
            <v>0</v>
          </cell>
          <cell r="DC23">
            <v>0</v>
          </cell>
          <cell r="DT23">
            <v>0</v>
          </cell>
          <cell r="EA23">
            <v>0</v>
          </cell>
        </row>
        <row r="24">
          <cell r="BB24">
            <v>0</v>
          </cell>
          <cell r="BE24">
            <v>0</v>
          </cell>
          <cell r="BW24">
            <v>0</v>
          </cell>
          <cell r="BX24">
            <v>0</v>
          </cell>
          <cell r="BZ24">
            <v>0</v>
          </cell>
          <cell r="CA24">
            <v>0</v>
          </cell>
          <cell r="CB24">
            <v>0</v>
          </cell>
          <cell r="DC24">
            <v>0</v>
          </cell>
          <cell r="DT24">
            <v>0</v>
          </cell>
          <cell r="EA24">
            <v>0</v>
          </cell>
        </row>
        <row r="25">
          <cell r="BB25">
            <v>0</v>
          </cell>
          <cell r="BE25">
            <v>0</v>
          </cell>
          <cell r="BW25">
            <v>0</v>
          </cell>
          <cell r="BX25">
            <v>0</v>
          </cell>
          <cell r="BZ25">
            <v>0</v>
          </cell>
          <cell r="CA25">
            <v>0</v>
          </cell>
          <cell r="CB25">
            <v>0</v>
          </cell>
          <cell r="DC25">
            <v>0</v>
          </cell>
          <cell r="DT25">
            <v>0</v>
          </cell>
          <cell r="EA25">
            <v>0</v>
          </cell>
        </row>
        <row r="26">
          <cell r="BB26">
            <v>0</v>
          </cell>
          <cell r="BE26">
            <v>0</v>
          </cell>
          <cell r="BW26">
            <v>0</v>
          </cell>
          <cell r="BX26">
            <v>0</v>
          </cell>
          <cell r="BZ26">
            <v>0</v>
          </cell>
          <cell r="CA26">
            <v>0</v>
          </cell>
          <cell r="CB26">
            <v>0</v>
          </cell>
          <cell r="DC26">
            <v>0</v>
          </cell>
          <cell r="DT26">
            <v>0</v>
          </cell>
          <cell r="EA26">
            <v>0</v>
          </cell>
        </row>
        <row r="27">
          <cell r="BB27">
            <v>0</v>
          </cell>
          <cell r="BE27">
            <v>0</v>
          </cell>
          <cell r="BW27">
            <v>0</v>
          </cell>
          <cell r="BX27">
            <v>0</v>
          </cell>
          <cell r="BZ27">
            <v>0</v>
          </cell>
          <cell r="CA27">
            <v>0</v>
          </cell>
          <cell r="CB27">
            <v>0</v>
          </cell>
          <cell r="DC27">
            <v>0</v>
          </cell>
          <cell r="DT27">
            <v>0</v>
          </cell>
          <cell r="EA27">
            <v>0</v>
          </cell>
        </row>
        <row r="28">
          <cell r="BB28">
            <v>0</v>
          </cell>
          <cell r="BE28">
            <v>0</v>
          </cell>
          <cell r="BW28">
            <v>0</v>
          </cell>
          <cell r="BX28">
            <v>0</v>
          </cell>
          <cell r="BZ28">
            <v>0</v>
          </cell>
          <cell r="CA28">
            <v>0</v>
          </cell>
          <cell r="CB28">
            <v>0</v>
          </cell>
          <cell r="DC28">
            <v>0</v>
          </cell>
          <cell r="DT28">
            <v>0</v>
          </cell>
          <cell r="EA28">
            <v>0</v>
          </cell>
        </row>
        <row r="29">
          <cell r="BB29">
            <v>0</v>
          </cell>
          <cell r="BE29">
            <v>0</v>
          </cell>
          <cell r="BW29">
            <v>0</v>
          </cell>
          <cell r="BX29">
            <v>0</v>
          </cell>
          <cell r="BZ29">
            <v>0</v>
          </cell>
          <cell r="CA29">
            <v>0</v>
          </cell>
          <cell r="CB29">
            <v>0</v>
          </cell>
          <cell r="DC29">
            <v>0</v>
          </cell>
          <cell r="DT29">
            <v>0</v>
          </cell>
          <cell r="EA29">
            <v>0</v>
          </cell>
        </row>
        <row r="30">
          <cell r="BB30">
            <v>0</v>
          </cell>
          <cell r="BE30">
            <v>0</v>
          </cell>
          <cell r="BW30">
            <v>0</v>
          </cell>
          <cell r="BX30">
            <v>0</v>
          </cell>
          <cell r="BZ30">
            <v>0</v>
          </cell>
          <cell r="CA30">
            <v>0</v>
          </cell>
          <cell r="CB30">
            <v>0</v>
          </cell>
          <cell r="DC30">
            <v>0</v>
          </cell>
          <cell r="DT30">
            <v>0</v>
          </cell>
          <cell r="EA30">
            <v>0</v>
          </cell>
        </row>
        <row r="31">
          <cell r="BB31">
            <v>0</v>
          </cell>
          <cell r="BE31">
            <v>0</v>
          </cell>
          <cell r="BW31">
            <v>0</v>
          </cell>
          <cell r="BX31">
            <v>0</v>
          </cell>
          <cell r="BZ31">
            <v>0</v>
          </cell>
          <cell r="CA31">
            <v>0</v>
          </cell>
          <cell r="CB31">
            <v>0</v>
          </cell>
          <cell r="DC31">
            <v>0</v>
          </cell>
          <cell r="DT31">
            <v>0</v>
          </cell>
          <cell r="EA31">
            <v>0</v>
          </cell>
        </row>
        <row r="32">
          <cell r="BB32">
            <v>0</v>
          </cell>
          <cell r="BE32">
            <v>0</v>
          </cell>
          <cell r="BW32">
            <v>0</v>
          </cell>
          <cell r="BX32">
            <v>0</v>
          </cell>
          <cell r="BZ32">
            <v>0</v>
          </cell>
          <cell r="CA32">
            <v>0</v>
          </cell>
          <cell r="CB32">
            <v>0</v>
          </cell>
          <cell r="DC32">
            <v>0</v>
          </cell>
          <cell r="DT32">
            <v>0</v>
          </cell>
          <cell r="EA32">
            <v>0</v>
          </cell>
        </row>
        <row r="33">
          <cell r="BB33">
            <v>0</v>
          </cell>
          <cell r="BE33">
            <v>0</v>
          </cell>
          <cell r="BW33">
            <v>0</v>
          </cell>
          <cell r="BX33">
            <v>0</v>
          </cell>
          <cell r="BZ33">
            <v>0</v>
          </cell>
          <cell r="CA33">
            <v>0</v>
          </cell>
          <cell r="CB33">
            <v>0</v>
          </cell>
          <cell r="DC33">
            <v>0</v>
          </cell>
          <cell r="DT33">
            <v>0</v>
          </cell>
          <cell r="EA33">
            <v>0</v>
          </cell>
        </row>
        <row r="34">
          <cell r="BB34">
            <v>0</v>
          </cell>
          <cell r="BE34">
            <v>0</v>
          </cell>
          <cell r="BW34">
            <v>0</v>
          </cell>
          <cell r="BX34">
            <v>0</v>
          </cell>
          <cell r="BZ34">
            <v>0</v>
          </cell>
          <cell r="CA34">
            <v>0</v>
          </cell>
          <cell r="CB34">
            <v>0</v>
          </cell>
          <cell r="DC34">
            <v>0</v>
          </cell>
          <cell r="DT34">
            <v>0</v>
          </cell>
          <cell r="EA34">
            <v>0</v>
          </cell>
        </row>
        <row r="35">
          <cell r="BB35">
            <v>0</v>
          </cell>
          <cell r="BE35">
            <v>0</v>
          </cell>
          <cell r="BW35">
            <v>0</v>
          </cell>
          <cell r="BX35">
            <v>0</v>
          </cell>
          <cell r="BZ35">
            <v>0</v>
          </cell>
          <cell r="CA35">
            <v>0</v>
          </cell>
          <cell r="CB35">
            <v>0</v>
          </cell>
          <cell r="DC35">
            <v>0</v>
          </cell>
          <cell r="DT35">
            <v>0</v>
          </cell>
          <cell r="EA35">
            <v>0</v>
          </cell>
        </row>
        <row r="36">
          <cell r="BB36">
            <v>0</v>
          </cell>
          <cell r="BE36">
            <v>0</v>
          </cell>
          <cell r="BW36">
            <v>0</v>
          </cell>
          <cell r="BX36">
            <v>0</v>
          </cell>
          <cell r="BZ36">
            <v>0</v>
          </cell>
          <cell r="CA36">
            <v>0</v>
          </cell>
          <cell r="CB36">
            <v>0</v>
          </cell>
          <cell r="DC36">
            <v>0</v>
          </cell>
          <cell r="DT36">
            <v>0</v>
          </cell>
          <cell r="EA36">
            <v>0</v>
          </cell>
        </row>
        <row r="37">
          <cell r="BB37">
            <v>0</v>
          </cell>
          <cell r="BE37">
            <v>0</v>
          </cell>
          <cell r="BW37">
            <v>0</v>
          </cell>
          <cell r="BX37">
            <v>0</v>
          </cell>
          <cell r="BZ37">
            <v>0</v>
          </cell>
          <cell r="CA37">
            <v>0</v>
          </cell>
          <cell r="CB37">
            <v>0</v>
          </cell>
          <cell r="DC37">
            <v>0</v>
          </cell>
          <cell r="DT37">
            <v>0</v>
          </cell>
          <cell r="EA37">
            <v>0</v>
          </cell>
        </row>
        <row r="38">
          <cell r="BB38">
            <v>0</v>
          </cell>
          <cell r="BE38">
            <v>0</v>
          </cell>
          <cell r="BW38">
            <v>0</v>
          </cell>
          <cell r="BX38">
            <v>0</v>
          </cell>
          <cell r="BZ38">
            <v>0</v>
          </cell>
          <cell r="CA38">
            <v>0</v>
          </cell>
          <cell r="CB38">
            <v>0</v>
          </cell>
          <cell r="DC38">
            <v>0</v>
          </cell>
          <cell r="DT38">
            <v>0</v>
          </cell>
          <cell r="EA38">
            <v>0</v>
          </cell>
        </row>
        <row r="39">
          <cell r="BB39">
            <v>0</v>
          </cell>
          <cell r="BE39">
            <v>0</v>
          </cell>
          <cell r="BW39">
            <v>0</v>
          </cell>
          <cell r="BX39">
            <v>0</v>
          </cell>
          <cell r="BZ39">
            <v>0</v>
          </cell>
          <cell r="CA39">
            <v>0</v>
          </cell>
          <cell r="CB39">
            <v>0</v>
          </cell>
          <cell r="DC39">
            <v>0</v>
          </cell>
          <cell r="DT39">
            <v>0</v>
          </cell>
          <cell r="EA39">
            <v>0</v>
          </cell>
        </row>
        <row r="40">
          <cell r="BB40">
            <v>0</v>
          </cell>
          <cell r="BE40">
            <v>0</v>
          </cell>
          <cell r="BW40">
            <v>0</v>
          </cell>
          <cell r="BX40">
            <v>0</v>
          </cell>
          <cell r="BZ40">
            <v>0</v>
          </cell>
          <cell r="CA40">
            <v>0</v>
          </cell>
          <cell r="CB40">
            <v>0</v>
          </cell>
          <cell r="DC40">
            <v>0</v>
          </cell>
          <cell r="DT40">
            <v>0</v>
          </cell>
          <cell r="EA40">
            <v>0</v>
          </cell>
        </row>
        <row r="41">
          <cell r="BB41">
            <v>0</v>
          </cell>
          <cell r="BE41">
            <v>0</v>
          </cell>
          <cell r="BW41">
            <v>0</v>
          </cell>
          <cell r="BX41">
            <v>0</v>
          </cell>
          <cell r="BZ41">
            <v>0</v>
          </cell>
          <cell r="CA41">
            <v>0</v>
          </cell>
          <cell r="CB41">
            <v>0</v>
          </cell>
          <cell r="DC41">
            <v>0</v>
          </cell>
          <cell r="DT41">
            <v>0</v>
          </cell>
          <cell r="EA41">
            <v>0</v>
          </cell>
        </row>
        <row r="42">
          <cell r="BB42">
            <v>0</v>
          </cell>
          <cell r="BE42">
            <v>0</v>
          </cell>
          <cell r="BW42">
            <v>0</v>
          </cell>
          <cell r="BX42">
            <v>0</v>
          </cell>
          <cell r="BZ42">
            <v>0</v>
          </cell>
          <cell r="CA42">
            <v>0</v>
          </cell>
          <cell r="CB42">
            <v>0</v>
          </cell>
          <cell r="DC42">
            <v>0</v>
          </cell>
          <cell r="DT42">
            <v>0</v>
          </cell>
          <cell r="EA42">
            <v>0</v>
          </cell>
        </row>
        <row r="43">
          <cell r="BB43">
            <v>0</v>
          </cell>
          <cell r="BE43">
            <v>0</v>
          </cell>
          <cell r="BW43">
            <v>0</v>
          </cell>
          <cell r="BX43">
            <v>0</v>
          </cell>
          <cell r="BZ43">
            <v>0</v>
          </cell>
          <cell r="CA43">
            <v>0</v>
          </cell>
          <cell r="CB43">
            <v>0</v>
          </cell>
          <cell r="DC43">
            <v>0</v>
          </cell>
          <cell r="DT43">
            <v>0</v>
          </cell>
          <cell r="EA43">
            <v>0</v>
          </cell>
        </row>
        <row r="44">
          <cell r="BB44">
            <v>0</v>
          </cell>
          <cell r="BE44">
            <v>0</v>
          </cell>
          <cell r="BW44">
            <v>0</v>
          </cell>
          <cell r="BX44">
            <v>0</v>
          </cell>
          <cell r="BZ44">
            <v>0</v>
          </cell>
          <cell r="CA44">
            <v>0</v>
          </cell>
          <cell r="CB44">
            <v>0</v>
          </cell>
          <cell r="DC44">
            <v>0</v>
          </cell>
          <cell r="DT44">
            <v>0</v>
          </cell>
          <cell r="EA44">
            <v>0</v>
          </cell>
        </row>
        <row r="45">
          <cell r="BB45">
            <v>0</v>
          </cell>
          <cell r="BE45">
            <v>0</v>
          </cell>
          <cell r="BW45">
            <v>0</v>
          </cell>
          <cell r="BX45">
            <v>0</v>
          </cell>
          <cell r="BZ45">
            <v>0</v>
          </cell>
          <cell r="CA45">
            <v>0</v>
          </cell>
          <cell r="CB45">
            <v>0</v>
          </cell>
          <cell r="DC45">
            <v>0</v>
          </cell>
          <cell r="DT45">
            <v>0</v>
          </cell>
          <cell r="EA45">
            <v>0</v>
          </cell>
        </row>
        <row r="46">
          <cell r="BB46">
            <v>0</v>
          </cell>
          <cell r="BE46">
            <v>0</v>
          </cell>
          <cell r="BW46">
            <v>0</v>
          </cell>
          <cell r="BX46">
            <v>0</v>
          </cell>
          <cell r="BZ46">
            <v>0</v>
          </cell>
          <cell r="CA46">
            <v>0</v>
          </cell>
          <cell r="CB46">
            <v>0</v>
          </cell>
          <cell r="DC46">
            <v>0</v>
          </cell>
          <cell r="DT46">
            <v>0</v>
          </cell>
          <cell r="EA46">
            <v>0</v>
          </cell>
        </row>
        <row r="47">
          <cell r="BB47">
            <v>0</v>
          </cell>
          <cell r="BE47">
            <v>0</v>
          </cell>
          <cell r="BW47">
            <v>0</v>
          </cell>
          <cell r="BX47">
            <v>0</v>
          </cell>
          <cell r="BZ47">
            <v>0</v>
          </cell>
          <cell r="CA47">
            <v>0</v>
          </cell>
          <cell r="CB47">
            <v>0</v>
          </cell>
          <cell r="DC47">
            <v>0</v>
          </cell>
          <cell r="DT47">
            <v>0</v>
          </cell>
          <cell r="EA47">
            <v>0</v>
          </cell>
        </row>
        <row r="48">
          <cell r="BB48">
            <v>0</v>
          </cell>
          <cell r="BE48">
            <v>0</v>
          </cell>
          <cell r="BW48">
            <v>0</v>
          </cell>
          <cell r="BX48">
            <v>0</v>
          </cell>
          <cell r="BZ48">
            <v>0</v>
          </cell>
          <cell r="CA48">
            <v>0</v>
          </cell>
          <cell r="CB48">
            <v>0</v>
          </cell>
          <cell r="DC48">
            <v>0</v>
          </cell>
          <cell r="DT48">
            <v>0</v>
          </cell>
          <cell r="EA48">
            <v>0</v>
          </cell>
        </row>
      </sheetData>
      <sheetData sheetId="3">
        <row r="12">
          <cell r="BB12">
            <v>0</v>
          </cell>
          <cell r="BE12">
            <v>0</v>
          </cell>
          <cell r="BW12">
            <v>0</v>
          </cell>
          <cell r="BX12">
            <v>0</v>
          </cell>
          <cell r="BZ12">
            <v>0</v>
          </cell>
          <cell r="CA12">
            <v>0</v>
          </cell>
          <cell r="CB12">
            <v>0</v>
          </cell>
          <cell r="DC12">
            <v>0</v>
          </cell>
          <cell r="DT12">
            <v>0</v>
          </cell>
          <cell r="EA12">
            <v>0</v>
          </cell>
        </row>
        <row r="13">
          <cell r="BB13">
            <v>0</v>
          </cell>
          <cell r="BE13">
            <v>0</v>
          </cell>
          <cell r="BW13">
            <v>0</v>
          </cell>
          <cell r="BX13">
            <v>0</v>
          </cell>
          <cell r="BZ13">
            <v>0</v>
          </cell>
          <cell r="CA13">
            <v>0</v>
          </cell>
          <cell r="CB13">
            <v>0</v>
          </cell>
          <cell r="DC13">
            <v>0</v>
          </cell>
          <cell r="DT13">
            <v>0</v>
          </cell>
          <cell r="EA13">
            <v>0</v>
          </cell>
        </row>
        <row r="14">
          <cell r="BB14">
            <v>0</v>
          </cell>
          <cell r="BE14">
            <v>0</v>
          </cell>
          <cell r="BW14">
            <v>0</v>
          </cell>
          <cell r="BX14">
            <v>0</v>
          </cell>
          <cell r="BZ14">
            <v>0</v>
          </cell>
          <cell r="CA14">
            <v>0</v>
          </cell>
          <cell r="CB14">
            <v>0</v>
          </cell>
          <cell r="DC14">
            <v>0</v>
          </cell>
          <cell r="DT14">
            <v>0</v>
          </cell>
          <cell r="EA14">
            <v>0</v>
          </cell>
        </row>
        <row r="15">
          <cell r="BB15">
            <v>0</v>
          </cell>
          <cell r="BE15">
            <v>0</v>
          </cell>
          <cell r="BW15">
            <v>0</v>
          </cell>
          <cell r="BX15">
            <v>0</v>
          </cell>
          <cell r="BZ15">
            <v>0</v>
          </cell>
          <cell r="CA15">
            <v>0</v>
          </cell>
          <cell r="CB15">
            <v>0</v>
          </cell>
          <cell r="DC15">
            <v>0</v>
          </cell>
          <cell r="DT15">
            <v>0</v>
          </cell>
          <cell r="EA15">
            <v>0</v>
          </cell>
        </row>
        <row r="16">
          <cell r="BB16">
            <v>0</v>
          </cell>
          <cell r="BE16">
            <v>0</v>
          </cell>
          <cell r="BW16">
            <v>0</v>
          </cell>
          <cell r="BX16">
            <v>0</v>
          </cell>
          <cell r="BZ16">
            <v>0</v>
          </cell>
          <cell r="CA16">
            <v>0</v>
          </cell>
          <cell r="CB16">
            <v>0</v>
          </cell>
          <cell r="DC16">
            <v>0</v>
          </cell>
          <cell r="DT16">
            <v>0</v>
          </cell>
          <cell r="EA16">
            <v>0</v>
          </cell>
        </row>
        <row r="17">
          <cell r="BB17">
            <v>0</v>
          </cell>
          <cell r="BE17">
            <v>0</v>
          </cell>
          <cell r="BW17">
            <v>0</v>
          </cell>
          <cell r="BX17">
            <v>0</v>
          </cell>
          <cell r="BZ17">
            <v>0</v>
          </cell>
          <cell r="CA17">
            <v>0</v>
          </cell>
          <cell r="CB17">
            <v>0</v>
          </cell>
          <cell r="DC17">
            <v>0</v>
          </cell>
          <cell r="DT17">
            <v>0</v>
          </cell>
          <cell r="EA17">
            <v>0</v>
          </cell>
        </row>
        <row r="18">
          <cell r="BB18">
            <v>0</v>
          </cell>
          <cell r="BE18">
            <v>0</v>
          </cell>
          <cell r="BW18">
            <v>0</v>
          </cell>
          <cell r="BX18">
            <v>0</v>
          </cell>
          <cell r="BZ18">
            <v>0</v>
          </cell>
          <cell r="CA18">
            <v>0</v>
          </cell>
          <cell r="CB18">
            <v>0</v>
          </cell>
          <cell r="DC18">
            <v>0</v>
          </cell>
          <cell r="DT18">
            <v>0</v>
          </cell>
          <cell r="EA18">
            <v>0</v>
          </cell>
        </row>
        <row r="19">
          <cell r="BB19">
            <v>0</v>
          </cell>
          <cell r="BE19">
            <v>0</v>
          </cell>
          <cell r="BW19">
            <v>0</v>
          </cell>
          <cell r="BX19">
            <v>0</v>
          </cell>
          <cell r="BZ19">
            <v>0</v>
          </cell>
          <cell r="CA19">
            <v>0</v>
          </cell>
          <cell r="CB19">
            <v>0</v>
          </cell>
          <cell r="DC19">
            <v>0</v>
          </cell>
          <cell r="DT19">
            <v>0</v>
          </cell>
          <cell r="EA19">
            <v>0</v>
          </cell>
        </row>
        <row r="20">
          <cell r="BB20">
            <v>0</v>
          </cell>
          <cell r="BE20">
            <v>0</v>
          </cell>
          <cell r="BW20">
            <v>0</v>
          </cell>
          <cell r="BX20">
            <v>0</v>
          </cell>
          <cell r="BZ20">
            <v>0</v>
          </cell>
          <cell r="CA20">
            <v>0</v>
          </cell>
          <cell r="CB20">
            <v>0</v>
          </cell>
          <cell r="DC20">
            <v>0</v>
          </cell>
          <cell r="DT20">
            <v>0</v>
          </cell>
          <cell r="EA20">
            <v>0</v>
          </cell>
        </row>
        <row r="21">
          <cell r="BB21">
            <v>0</v>
          </cell>
          <cell r="BE21">
            <v>0</v>
          </cell>
          <cell r="BW21">
            <v>0</v>
          </cell>
          <cell r="BX21">
            <v>0</v>
          </cell>
          <cell r="BZ21">
            <v>0</v>
          </cell>
          <cell r="CA21">
            <v>0</v>
          </cell>
          <cell r="CB21">
            <v>0</v>
          </cell>
          <cell r="DC21">
            <v>0</v>
          </cell>
          <cell r="DT21">
            <v>0</v>
          </cell>
          <cell r="EA21">
            <v>0</v>
          </cell>
        </row>
        <row r="22">
          <cell r="BB22">
            <v>0</v>
          </cell>
          <cell r="BE22">
            <v>0</v>
          </cell>
          <cell r="BW22">
            <v>0</v>
          </cell>
          <cell r="BX22">
            <v>0</v>
          </cell>
          <cell r="BZ22">
            <v>0</v>
          </cell>
          <cell r="CA22">
            <v>0</v>
          </cell>
          <cell r="CB22">
            <v>0</v>
          </cell>
          <cell r="DC22">
            <v>0</v>
          </cell>
          <cell r="DT22">
            <v>0</v>
          </cell>
          <cell r="EA22">
            <v>0</v>
          </cell>
        </row>
        <row r="23">
          <cell r="BB23">
            <v>0</v>
          </cell>
          <cell r="BE23">
            <v>0</v>
          </cell>
          <cell r="BW23">
            <v>0</v>
          </cell>
          <cell r="BX23">
            <v>0</v>
          </cell>
          <cell r="BZ23">
            <v>0</v>
          </cell>
          <cell r="CA23">
            <v>0</v>
          </cell>
          <cell r="CB23">
            <v>0</v>
          </cell>
          <cell r="DC23">
            <v>0</v>
          </cell>
          <cell r="DT23">
            <v>0</v>
          </cell>
          <cell r="EA23">
            <v>0</v>
          </cell>
        </row>
        <row r="24">
          <cell r="BB24">
            <v>0</v>
          </cell>
          <cell r="BE24">
            <v>0</v>
          </cell>
          <cell r="BW24">
            <v>0</v>
          </cell>
          <cell r="BX24">
            <v>0</v>
          </cell>
          <cell r="BZ24">
            <v>0</v>
          </cell>
          <cell r="CA24">
            <v>0</v>
          </cell>
          <cell r="CB24">
            <v>0</v>
          </cell>
          <cell r="DC24">
            <v>0</v>
          </cell>
          <cell r="DT24">
            <v>0</v>
          </cell>
          <cell r="EA24">
            <v>0</v>
          </cell>
        </row>
        <row r="25">
          <cell r="BB25">
            <v>0</v>
          </cell>
          <cell r="BE25">
            <v>0</v>
          </cell>
          <cell r="BW25">
            <v>0</v>
          </cell>
          <cell r="BX25">
            <v>0</v>
          </cell>
          <cell r="BZ25">
            <v>0</v>
          </cell>
          <cell r="CA25">
            <v>0</v>
          </cell>
          <cell r="CB25">
            <v>0</v>
          </cell>
          <cell r="DC25">
            <v>0</v>
          </cell>
          <cell r="DT25">
            <v>0</v>
          </cell>
          <cell r="EA25">
            <v>0</v>
          </cell>
        </row>
        <row r="26">
          <cell r="BB26">
            <v>0</v>
          </cell>
          <cell r="BE26">
            <v>0</v>
          </cell>
          <cell r="BW26">
            <v>0</v>
          </cell>
          <cell r="BX26">
            <v>0</v>
          </cell>
          <cell r="BZ26">
            <v>0</v>
          </cell>
          <cell r="CA26">
            <v>0</v>
          </cell>
          <cell r="CB26">
            <v>0</v>
          </cell>
          <cell r="DC26">
            <v>0</v>
          </cell>
          <cell r="DT26">
            <v>0</v>
          </cell>
          <cell r="EA26">
            <v>0</v>
          </cell>
        </row>
        <row r="27">
          <cell r="BB27">
            <v>0</v>
          </cell>
          <cell r="BE27">
            <v>0</v>
          </cell>
          <cell r="BW27">
            <v>0</v>
          </cell>
          <cell r="BX27">
            <v>0</v>
          </cell>
          <cell r="BZ27">
            <v>0</v>
          </cell>
          <cell r="CA27">
            <v>0</v>
          </cell>
          <cell r="CB27">
            <v>0</v>
          </cell>
          <cell r="DC27">
            <v>0</v>
          </cell>
          <cell r="DT27">
            <v>0</v>
          </cell>
          <cell r="EA27">
            <v>0</v>
          </cell>
        </row>
        <row r="28">
          <cell r="BB28">
            <v>0</v>
          </cell>
          <cell r="BE28">
            <v>0</v>
          </cell>
          <cell r="BW28">
            <v>0</v>
          </cell>
          <cell r="BX28">
            <v>0</v>
          </cell>
          <cell r="BZ28">
            <v>0</v>
          </cell>
          <cell r="CA28">
            <v>0</v>
          </cell>
          <cell r="CB28">
            <v>0</v>
          </cell>
          <cell r="DC28">
            <v>0</v>
          </cell>
          <cell r="DT28">
            <v>0</v>
          </cell>
          <cell r="EA28">
            <v>0</v>
          </cell>
        </row>
        <row r="29">
          <cell r="BB29">
            <v>0</v>
          </cell>
          <cell r="BE29">
            <v>0</v>
          </cell>
          <cell r="BW29">
            <v>0</v>
          </cell>
          <cell r="BX29">
            <v>0</v>
          </cell>
          <cell r="BZ29">
            <v>0</v>
          </cell>
          <cell r="CA29">
            <v>0</v>
          </cell>
          <cell r="CB29">
            <v>0</v>
          </cell>
          <cell r="DC29">
            <v>0</v>
          </cell>
          <cell r="DT29">
            <v>0</v>
          </cell>
          <cell r="EA29">
            <v>0</v>
          </cell>
        </row>
        <row r="30">
          <cell r="BB30">
            <v>0</v>
          </cell>
          <cell r="BE30">
            <v>0</v>
          </cell>
          <cell r="BW30">
            <v>0</v>
          </cell>
          <cell r="BX30">
            <v>0</v>
          </cell>
          <cell r="BZ30">
            <v>0</v>
          </cell>
          <cell r="CA30">
            <v>0</v>
          </cell>
          <cell r="CB30">
            <v>0</v>
          </cell>
          <cell r="DC30">
            <v>0</v>
          </cell>
          <cell r="DT30">
            <v>0</v>
          </cell>
          <cell r="EA30">
            <v>0</v>
          </cell>
        </row>
        <row r="31">
          <cell r="BB31">
            <v>0</v>
          </cell>
          <cell r="BE31">
            <v>0</v>
          </cell>
          <cell r="BW31">
            <v>0</v>
          </cell>
          <cell r="BX31">
            <v>0</v>
          </cell>
          <cell r="BZ31">
            <v>0</v>
          </cell>
          <cell r="CA31">
            <v>0</v>
          </cell>
          <cell r="CB31">
            <v>0</v>
          </cell>
          <cell r="DC31">
            <v>0</v>
          </cell>
          <cell r="DT31">
            <v>0</v>
          </cell>
          <cell r="EA31">
            <v>0</v>
          </cell>
        </row>
        <row r="32">
          <cell r="BB32">
            <v>0</v>
          </cell>
          <cell r="BE32">
            <v>0</v>
          </cell>
          <cell r="BW32">
            <v>0</v>
          </cell>
          <cell r="BX32">
            <v>0</v>
          </cell>
          <cell r="BZ32">
            <v>0</v>
          </cell>
          <cell r="CA32">
            <v>0</v>
          </cell>
          <cell r="CB32">
            <v>0</v>
          </cell>
          <cell r="DC32">
            <v>0</v>
          </cell>
          <cell r="DT32">
            <v>0</v>
          </cell>
          <cell r="EA32">
            <v>0</v>
          </cell>
        </row>
        <row r="33">
          <cell r="BB33">
            <v>0</v>
          </cell>
          <cell r="BE33">
            <v>0</v>
          </cell>
          <cell r="BW33">
            <v>0</v>
          </cell>
          <cell r="BX33">
            <v>0</v>
          </cell>
          <cell r="BZ33">
            <v>0</v>
          </cell>
          <cell r="CA33">
            <v>0</v>
          </cell>
          <cell r="CB33">
            <v>0</v>
          </cell>
          <cell r="DC33">
            <v>0</v>
          </cell>
          <cell r="DT33">
            <v>0</v>
          </cell>
          <cell r="EA33">
            <v>0</v>
          </cell>
        </row>
        <row r="34">
          <cell r="BB34">
            <v>0</v>
          </cell>
          <cell r="BE34">
            <v>0</v>
          </cell>
          <cell r="BW34">
            <v>0</v>
          </cell>
          <cell r="BX34">
            <v>0</v>
          </cell>
          <cell r="BZ34">
            <v>0</v>
          </cell>
          <cell r="CA34">
            <v>0</v>
          </cell>
          <cell r="CB34">
            <v>0</v>
          </cell>
          <cell r="DC34">
            <v>0</v>
          </cell>
          <cell r="DT34">
            <v>0</v>
          </cell>
          <cell r="EA34">
            <v>0</v>
          </cell>
        </row>
        <row r="35">
          <cell r="BB35">
            <v>0</v>
          </cell>
          <cell r="BE35">
            <v>0</v>
          </cell>
          <cell r="BW35">
            <v>0</v>
          </cell>
          <cell r="BX35">
            <v>0</v>
          </cell>
          <cell r="BZ35">
            <v>0</v>
          </cell>
          <cell r="CA35">
            <v>0</v>
          </cell>
          <cell r="CB35">
            <v>0</v>
          </cell>
          <cell r="DC35">
            <v>0</v>
          </cell>
          <cell r="DT35">
            <v>0</v>
          </cell>
          <cell r="EA35">
            <v>0</v>
          </cell>
        </row>
        <row r="36">
          <cell r="BB36">
            <v>0</v>
          </cell>
          <cell r="BE36">
            <v>0</v>
          </cell>
          <cell r="BW36">
            <v>0</v>
          </cell>
          <cell r="BX36">
            <v>0</v>
          </cell>
          <cell r="BZ36">
            <v>0</v>
          </cell>
          <cell r="CA36">
            <v>0</v>
          </cell>
          <cell r="CB36">
            <v>0</v>
          </cell>
          <cell r="DC36">
            <v>0</v>
          </cell>
          <cell r="DT36">
            <v>0</v>
          </cell>
          <cell r="EA36">
            <v>0</v>
          </cell>
        </row>
        <row r="37">
          <cell r="BB37">
            <v>0</v>
          </cell>
          <cell r="BE37">
            <v>0</v>
          </cell>
          <cell r="BW37">
            <v>0</v>
          </cell>
          <cell r="BX37">
            <v>0</v>
          </cell>
          <cell r="BZ37">
            <v>0</v>
          </cell>
          <cell r="CA37">
            <v>0</v>
          </cell>
          <cell r="CB37">
            <v>0</v>
          </cell>
          <cell r="DC37">
            <v>0</v>
          </cell>
          <cell r="DT37">
            <v>0</v>
          </cell>
          <cell r="EA37">
            <v>0</v>
          </cell>
        </row>
        <row r="38">
          <cell r="BB38">
            <v>0</v>
          </cell>
          <cell r="BE38">
            <v>0</v>
          </cell>
          <cell r="BW38">
            <v>0</v>
          </cell>
          <cell r="BX38">
            <v>0</v>
          </cell>
          <cell r="BZ38">
            <v>0</v>
          </cell>
          <cell r="CA38">
            <v>0</v>
          </cell>
          <cell r="CB38">
            <v>0</v>
          </cell>
          <cell r="DC38">
            <v>0</v>
          </cell>
          <cell r="DT38">
            <v>0</v>
          </cell>
          <cell r="EA38">
            <v>0</v>
          </cell>
        </row>
        <row r="39">
          <cell r="BB39">
            <v>0</v>
          </cell>
          <cell r="BE39">
            <v>0</v>
          </cell>
          <cell r="BW39">
            <v>0</v>
          </cell>
          <cell r="BX39">
            <v>0</v>
          </cell>
          <cell r="BZ39">
            <v>0</v>
          </cell>
          <cell r="CA39">
            <v>0</v>
          </cell>
          <cell r="CB39">
            <v>0</v>
          </cell>
          <cell r="DC39">
            <v>0</v>
          </cell>
          <cell r="DT39">
            <v>0</v>
          </cell>
          <cell r="EA39">
            <v>0</v>
          </cell>
        </row>
        <row r="40">
          <cell r="BB40">
            <v>0</v>
          </cell>
          <cell r="BE40">
            <v>0</v>
          </cell>
          <cell r="BW40">
            <v>0</v>
          </cell>
          <cell r="BX40">
            <v>0</v>
          </cell>
          <cell r="BZ40">
            <v>0</v>
          </cell>
          <cell r="CA40">
            <v>0</v>
          </cell>
          <cell r="CB40">
            <v>0</v>
          </cell>
          <cell r="DC40">
            <v>0</v>
          </cell>
          <cell r="DT40">
            <v>0</v>
          </cell>
          <cell r="EA40">
            <v>0</v>
          </cell>
        </row>
        <row r="41">
          <cell r="BB41">
            <v>0</v>
          </cell>
          <cell r="BE41">
            <v>0</v>
          </cell>
          <cell r="BW41">
            <v>0</v>
          </cell>
          <cell r="BX41">
            <v>0</v>
          </cell>
          <cell r="BZ41">
            <v>0</v>
          </cell>
          <cell r="CA41">
            <v>0</v>
          </cell>
          <cell r="CB41">
            <v>0</v>
          </cell>
          <cell r="DC41">
            <v>0</v>
          </cell>
          <cell r="DT41">
            <v>0</v>
          </cell>
          <cell r="EA41">
            <v>0</v>
          </cell>
        </row>
        <row r="42">
          <cell r="BB42">
            <v>0</v>
          </cell>
          <cell r="BE42">
            <v>0</v>
          </cell>
          <cell r="BW42">
            <v>0</v>
          </cell>
          <cell r="BX42">
            <v>0</v>
          </cell>
          <cell r="BZ42">
            <v>0</v>
          </cell>
          <cell r="CA42">
            <v>0</v>
          </cell>
          <cell r="CB42">
            <v>0</v>
          </cell>
          <cell r="DC42">
            <v>0</v>
          </cell>
          <cell r="DT42">
            <v>0</v>
          </cell>
          <cell r="EA42">
            <v>0</v>
          </cell>
        </row>
        <row r="43">
          <cell r="BB43">
            <v>0</v>
          </cell>
          <cell r="BE43">
            <v>0</v>
          </cell>
          <cell r="BW43">
            <v>0</v>
          </cell>
          <cell r="BX43">
            <v>0</v>
          </cell>
          <cell r="BZ43">
            <v>0</v>
          </cell>
          <cell r="CA43">
            <v>0</v>
          </cell>
          <cell r="CB43">
            <v>0</v>
          </cell>
          <cell r="DC43">
            <v>0</v>
          </cell>
          <cell r="DT43">
            <v>0</v>
          </cell>
          <cell r="EA43">
            <v>0</v>
          </cell>
        </row>
        <row r="44">
          <cell r="BB44">
            <v>0</v>
          </cell>
          <cell r="BE44">
            <v>0</v>
          </cell>
          <cell r="BW44">
            <v>0</v>
          </cell>
          <cell r="BX44">
            <v>0</v>
          </cell>
          <cell r="BZ44">
            <v>0</v>
          </cell>
          <cell r="CA44">
            <v>0</v>
          </cell>
          <cell r="CB44">
            <v>0</v>
          </cell>
          <cell r="DC44">
            <v>0</v>
          </cell>
          <cell r="DT44">
            <v>0</v>
          </cell>
          <cell r="EA44">
            <v>0</v>
          </cell>
        </row>
        <row r="45">
          <cell r="BB45">
            <v>0</v>
          </cell>
          <cell r="BE45">
            <v>0</v>
          </cell>
          <cell r="BW45">
            <v>0</v>
          </cell>
          <cell r="BX45">
            <v>0</v>
          </cell>
          <cell r="BZ45">
            <v>0</v>
          </cell>
          <cell r="CA45">
            <v>0</v>
          </cell>
          <cell r="CB45">
            <v>0</v>
          </cell>
          <cell r="DC45">
            <v>0</v>
          </cell>
          <cell r="DT45">
            <v>0</v>
          </cell>
          <cell r="EA45">
            <v>0</v>
          </cell>
        </row>
        <row r="46">
          <cell r="BB46">
            <v>0</v>
          </cell>
          <cell r="BE46">
            <v>0</v>
          </cell>
          <cell r="BW46">
            <v>0</v>
          </cell>
          <cell r="BX46">
            <v>0</v>
          </cell>
          <cell r="BZ46">
            <v>0</v>
          </cell>
          <cell r="CA46">
            <v>0</v>
          </cell>
          <cell r="CB46">
            <v>0</v>
          </cell>
          <cell r="DC46">
            <v>0</v>
          </cell>
          <cell r="DT46">
            <v>0</v>
          </cell>
          <cell r="EA46">
            <v>0</v>
          </cell>
        </row>
        <row r="47">
          <cell r="BB47">
            <v>0</v>
          </cell>
          <cell r="BE47">
            <v>0</v>
          </cell>
          <cell r="BW47">
            <v>0</v>
          </cell>
          <cell r="BX47">
            <v>0</v>
          </cell>
          <cell r="BZ47">
            <v>0</v>
          </cell>
          <cell r="CA47">
            <v>0</v>
          </cell>
          <cell r="CB47">
            <v>0</v>
          </cell>
          <cell r="DC47">
            <v>0</v>
          </cell>
          <cell r="DT47">
            <v>0</v>
          </cell>
          <cell r="EA47">
            <v>0</v>
          </cell>
        </row>
        <row r="48">
          <cell r="BB48">
            <v>0</v>
          </cell>
          <cell r="BE48">
            <v>0</v>
          </cell>
          <cell r="BW48">
            <v>0</v>
          </cell>
          <cell r="BX48">
            <v>0</v>
          </cell>
          <cell r="BZ48">
            <v>0</v>
          </cell>
          <cell r="CA48">
            <v>0</v>
          </cell>
          <cell r="CB48">
            <v>0</v>
          </cell>
          <cell r="DC48">
            <v>0</v>
          </cell>
          <cell r="DT48">
            <v>0</v>
          </cell>
          <cell r="EA48">
            <v>0</v>
          </cell>
        </row>
      </sheetData>
      <sheetData sheetId="4"/>
      <sheetData sheetId="5"/>
      <sheetData sheetId="6"/>
      <sheetData sheetId="7">
        <row r="12">
          <cell r="BB12">
            <v>1480</v>
          </cell>
          <cell r="BE12">
            <v>5922</v>
          </cell>
          <cell r="BW12">
            <v>601386.5625</v>
          </cell>
          <cell r="BX12">
            <v>4763.84716796875</v>
          </cell>
          <cell r="BZ12">
            <v>0</v>
          </cell>
          <cell r="CA12">
            <v>0</v>
          </cell>
          <cell r="CB12">
            <v>4763.84912109375</v>
          </cell>
          <cell r="DC12">
            <v>0</v>
          </cell>
          <cell r="DT12">
            <v>0</v>
          </cell>
          <cell r="EA12">
            <v>596622.6875</v>
          </cell>
        </row>
        <row r="13">
          <cell r="BB13">
            <v>2613.000244140625</v>
          </cell>
          <cell r="BE13">
            <v>10448</v>
          </cell>
          <cell r="BW13">
            <v>1061160.5</v>
          </cell>
          <cell r="BX13">
            <v>4523.2734375</v>
          </cell>
          <cell r="BZ13">
            <v>0</v>
          </cell>
          <cell r="CA13">
            <v>0</v>
          </cell>
          <cell r="CB13">
            <v>1507.7581380208333</v>
          </cell>
          <cell r="DC13">
            <v>0</v>
          </cell>
          <cell r="DT13">
            <v>0</v>
          </cell>
          <cell r="EA13">
            <v>1056637.375</v>
          </cell>
        </row>
        <row r="14">
          <cell r="BB14">
            <v>3322</v>
          </cell>
          <cell r="BE14">
            <v>13283</v>
          </cell>
          <cell r="BW14">
            <v>1349098.125</v>
          </cell>
          <cell r="BX14">
            <v>4376.52880859375</v>
          </cell>
          <cell r="BZ14">
            <v>0</v>
          </cell>
          <cell r="CA14">
            <v>0</v>
          </cell>
          <cell r="CB14">
            <v>1458.8429361979167</v>
          </cell>
          <cell r="DC14">
            <v>0</v>
          </cell>
          <cell r="DT14">
            <v>0</v>
          </cell>
          <cell r="EA14">
            <v>1344721.5</v>
          </cell>
        </row>
        <row r="15">
          <cell r="BB15">
            <v>3766</v>
          </cell>
          <cell r="BE15">
            <v>15058</v>
          </cell>
          <cell r="BW15">
            <v>1529384.25</v>
          </cell>
          <cell r="BX15">
            <v>4319.93017578125</v>
          </cell>
          <cell r="BZ15">
            <v>0</v>
          </cell>
          <cell r="CA15">
            <v>0</v>
          </cell>
          <cell r="CB15">
            <v>1439.9767252604167</v>
          </cell>
          <cell r="DC15">
            <v>0</v>
          </cell>
          <cell r="DT15">
            <v>0</v>
          </cell>
          <cell r="EA15">
            <v>1525064.375</v>
          </cell>
        </row>
        <row r="16">
          <cell r="BB16">
            <v>4024.000244140625</v>
          </cell>
          <cell r="BE16">
            <v>16099.0009765625</v>
          </cell>
          <cell r="BW16">
            <v>1634923.5</v>
          </cell>
          <cell r="BX16">
            <v>4317.04052734375</v>
          </cell>
          <cell r="BZ16">
            <v>0</v>
          </cell>
          <cell r="CA16">
            <v>0</v>
          </cell>
          <cell r="CB16">
            <v>1439.0135091145833</v>
          </cell>
          <cell r="DC16">
            <v>0</v>
          </cell>
          <cell r="DT16">
            <v>0</v>
          </cell>
          <cell r="EA16">
            <v>1630606.375</v>
          </cell>
        </row>
        <row r="17">
          <cell r="BB17">
            <v>4167</v>
          </cell>
          <cell r="BE17">
            <v>16667</v>
          </cell>
          <cell r="BW17">
            <v>1692689.75</v>
          </cell>
          <cell r="BX17">
            <v>4362.669921875</v>
          </cell>
          <cell r="BZ17">
            <v>0</v>
          </cell>
          <cell r="CA17">
            <v>0</v>
          </cell>
          <cell r="CB17">
            <v>1454.2233072916667</v>
          </cell>
          <cell r="DC17">
            <v>0</v>
          </cell>
          <cell r="DT17">
            <v>0</v>
          </cell>
          <cell r="EA17">
            <v>1688327</v>
          </cell>
        </row>
        <row r="18">
          <cell r="BB18">
            <v>4196</v>
          </cell>
          <cell r="BE18">
            <v>16783</v>
          </cell>
          <cell r="BW18">
            <v>1704470.375</v>
          </cell>
          <cell r="BX18">
            <v>4410.0322265625</v>
          </cell>
          <cell r="BZ18">
            <v>0</v>
          </cell>
          <cell r="CA18">
            <v>0</v>
          </cell>
          <cell r="CB18">
            <v>1470.0107421875</v>
          </cell>
          <cell r="DC18">
            <v>0</v>
          </cell>
          <cell r="DT18">
            <v>0</v>
          </cell>
          <cell r="EA18">
            <v>1700060.25</v>
          </cell>
        </row>
        <row r="19">
          <cell r="BB19">
            <v>4170</v>
          </cell>
          <cell r="BE19">
            <v>16687</v>
          </cell>
          <cell r="BW19">
            <v>1694558.25</v>
          </cell>
          <cell r="BX19">
            <v>4488.59033203125</v>
          </cell>
          <cell r="BZ19">
            <v>0</v>
          </cell>
          <cell r="CA19">
            <v>0</v>
          </cell>
          <cell r="CB19">
            <v>1496.19677734375</v>
          </cell>
          <cell r="DC19">
            <v>0</v>
          </cell>
          <cell r="DT19">
            <v>0</v>
          </cell>
          <cell r="EA19">
            <v>1690069.75</v>
          </cell>
        </row>
        <row r="20">
          <cell r="BB20">
            <v>4102</v>
          </cell>
          <cell r="BE20">
            <v>16407</v>
          </cell>
          <cell r="BW20">
            <v>1666284.5</v>
          </cell>
          <cell r="BX20">
            <v>4580.46728515625</v>
          </cell>
          <cell r="BZ20">
            <v>0</v>
          </cell>
          <cell r="CA20">
            <v>0</v>
          </cell>
          <cell r="CB20">
            <v>1526.8224283854167</v>
          </cell>
          <cell r="DC20">
            <v>0</v>
          </cell>
          <cell r="DT20">
            <v>0</v>
          </cell>
          <cell r="EA20">
            <v>1661704.125</v>
          </cell>
        </row>
        <row r="21">
          <cell r="BB21">
            <v>4010.000244140625</v>
          </cell>
          <cell r="BE21">
            <v>16039</v>
          </cell>
          <cell r="BW21">
            <v>1628911.125</v>
          </cell>
          <cell r="BX21">
            <v>4693.57470703125</v>
          </cell>
          <cell r="BZ21">
            <v>0</v>
          </cell>
          <cell r="CA21">
            <v>0</v>
          </cell>
          <cell r="CB21">
            <v>1564.52490234375</v>
          </cell>
          <cell r="DC21">
            <v>0</v>
          </cell>
          <cell r="DT21">
            <v>0</v>
          </cell>
          <cell r="EA21">
            <v>1624217.5</v>
          </cell>
        </row>
        <row r="22">
          <cell r="BB22">
            <v>4447</v>
          </cell>
          <cell r="BE22">
            <v>17789</v>
          </cell>
          <cell r="BW22">
            <v>1806597.25</v>
          </cell>
          <cell r="BX22">
            <v>239401.75</v>
          </cell>
          <cell r="BZ22">
            <v>210105.828125</v>
          </cell>
          <cell r="CA22">
            <v>0</v>
          </cell>
          <cell r="CB22">
            <v>9765.3020833333339</v>
          </cell>
          <cell r="DC22">
            <v>0</v>
          </cell>
          <cell r="DT22">
            <v>0</v>
          </cell>
          <cell r="EA22">
            <v>1567195.375</v>
          </cell>
        </row>
        <row r="23">
          <cell r="BB23">
            <v>7015.00048828125</v>
          </cell>
          <cell r="BE23">
            <v>28059</v>
          </cell>
          <cell r="BW23">
            <v>2849640</v>
          </cell>
          <cell r="BX23">
            <v>1412529.25</v>
          </cell>
          <cell r="BZ23">
            <v>1260635</v>
          </cell>
          <cell r="CA23">
            <v>0</v>
          </cell>
          <cell r="CB23">
            <v>50631.416666666664</v>
          </cell>
          <cell r="DC23">
            <v>0</v>
          </cell>
          <cell r="DT23">
            <v>0</v>
          </cell>
          <cell r="EA23">
            <v>1437110.625</v>
          </cell>
        </row>
        <row r="24">
          <cell r="BB24">
            <v>6629</v>
          </cell>
          <cell r="BE24">
            <v>26519.001953125</v>
          </cell>
          <cell r="BW24">
            <v>2693159.25</v>
          </cell>
          <cell r="BX24">
            <v>1412640.375</v>
          </cell>
          <cell r="BZ24">
            <v>1260635</v>
          </cell>
          <cell r="CA24">
            <v>0</v>
          </cell>
          <cell r="CB24">
            <v>50668.46875</v>
          </cell>
          <cell r="DC24">
            <v>0</v>
          </cell>
          <cell r="DT24">
            <v>0</v>
          </cell>
          <cell r="EA24">
            <v>1280518.75</v>
          </cell>
        </row>
        <row r="25">
          <cell r="BB25">
            <v>6281</v>
          </cell>
          <cell r="BE25">
            <v>25130</v>
          </cell>
          <cell r="BW25">
            <v>2552034</v>
          </cell>
          <cell r="BX25">
            <v>1412817.125</v>
          </cell>
          <cell r="BZ25">
            <v>1260635</v>
          </cell>
          <cell r="CA25">
            <v>0</v>
          </cell>
          <cell r="CB25">
            <v>50727.375</v>
          </cell>
          <cell r="DC25">
            <v>0</v>
          </cell>
          <cell r="DT25">
            <v>0</v>
          </cell>
          <cell r="EA25">
            <v>1139216.75</v>
          </cell>
        </row>
        <row r="26">
          <cell r="BB26">
            <v>5920</v>
          </cell>
          <cell r="BE26">
            <v>23685</v>
          </cell>
          <cell r="BW26">
            <v>2405302.75</v>
          </cell>
          <cell r="BX26">
            <v>1412845.625</v>
          </cell>
          <cell r="BZ26">
            <v>1260635</v>
          </cell>
          <cell r="CA26">
            <v>0</v>
          </cell>
          <cell r="CB26">
            <v>50736.864583333336</v>
          </cell>
          <cell r="DC26">
            <v>0</v>
          </cell>
          <cell r="DT26">
            <v>0</v>
          </cell>
          <cell r="EA26">
            <v>992457.0625</v>
          </cell>
        </row>
        <row r="27">
          <cell r="BB27">
            <v>5595</v>
          </cell>
          <cell r="BE27">
            <v>22383</v>
          </cell>
          <cell r="BW27">
            <v>2273114.75</v>
          </cell>
          <cell r="BX27">
            <v>1412939</v>
          </cell>
          <cell r="BZ27">
            <v>1260635</v>
          </cell>
          <cell r="CA27">
            <v>0</v>
          </cell>
          <cell r="CB27">
            <v>50767.984375</v>
          </cell>
          <cell r="DC27">
            <v>0</v>
          </cell>
          <cell r="DT27">
            <v>0</v>
          </cell>
          <cell r="EA27">
            <v>860175.75</v>
          </cell>
        </row>
        <row r="28">
          <cell r="BB28">
            <v>5290</v>
          </cell>
          <cell r="BE28">
            <v>21153</v>
          </cell>
          <cell r="BW28">
            <v>2148401</v>
          </cell>
          <cell r="BX28">
            <v>1413028.25</v>
          </cell>
          <cell r="BZ28">
            <v>1260635</v>
          </cell>
          <cell r="CA28">
            <v>0</v>
          </cell>
          <cell r="CB28">
            <v>50797.744791666664</v>
          </cell>
          <cell r="DC28">
            <v>0</v>
          </cell>
          <cell r="DT28">
            <v>0</v>
          </cell>
          <cell r="EA28">
            <v>735373.125</v>
          </cell>
        </row>
        <row r="29">
          <cell r="BB29">
            <v>5014</v>
          </cell>
          <cell r="BE29">
            <v>20046</v>
          </cell>
          <cell r="BW29">
            <v>2036037.375</v>
          </cell>
          <cell r="BX29">
            <v>1413185.125</v>
          </cell>
          <cell r="BZ29">
            <v>1260635</v>
          </cell>
          <cell r="CA29">
            <v>0</v>
          </cell>
          <cell r="CB29">
            <v>50850.078125</v>
          </cell>
          <cell r="DC29">
            <v>0</v>
          </cell>
          <cell r="DT29">
            <v>0</v>
          </cell>
          <cell r="EA29">
            <v>622852.1875</v>
          </cell>
        </row>
        <row r="30">
          <cell r="BB30">
            <v>4724</v>
          </cell>
          <cell r="BE30">
            <v>18891</v>
          </cell>
          <cell r="BW30">
            <v>1918636.125</v>
          </cell>
          <cell r="BX30">
            <v>1413191.25</v>
          </cell>
          <cell r="BZ30">
            <v>1260635</v>
          </cell>
          <cell r="CA30">
            <v>0</v>
          </cell>
          <cell r="CB30">
            <v>50852.104166666664</v>
          </cell>
          <cell r="DC30">
            <v>0</v>
          </cell>
          <cell r="DT30">
            <v>0</v>
          </cell>
          <cell r="EA30">
            <v>505444.8125</v>
          </cell>
        </row>
        <row r="31">
          <cell r="BB31">
            <v>4463</v>
          </cell>
          <cell r="BE31">
            <v>17856</v>
          </cell>
          <cell r="BW31">
            <v>1813340.625</v>
          </cell>
          <cell r="BX31">
            <v>1413266.75</v>
          </cell>
          <cell r="BZ31">
            <v>1260635</v>
          </cell>
          <cell r="CA31">
            <v>0</v>
          </cell>
          <cell r="CB31">
            <v>50877.260416666664</v>
          </cell>
          <cell r="DC31">
            <v>0</v>
          </cell>
          <cell r="DT31">
            <v>0</v>
          </cell>
          <cell r="EA31">
            <v>400073.90625</v>
          </cell>
        </row>
        <row r="32">
          <cell r="BB32">
            <v>4220</v>
          </cell>
          <cell r="BE32">
            <v>16876.998046875</v>
          </cell>
          <cell r="BW32">
            <v>1714057.5</v>
          </cell>
          <cell r="BX32">
            <v>1424982.5</v>
          </cell>
          <cell r="BZ32">
            <v>1260635</v>
          </cell>
          <cell r="CA32">
            <v>11644.310546875</v>
          </cell>
          <cell r="CB32">
            <v>50901.067708333336</v>
          </cell>
          <cell r="DC32">
            <v>0</v>
          </cell>
          <cell r="DT32">
            <v>0</v>
          </cell>
          <cell r="EA32">
            <v>289075.03125</v>
          </cell>
        </row>
        <row r="33">
          <cell r="BB33">
            <v>3998.000244140625</v>
          </cell>
          <cell r="BE33">
            <v>15991</v>
          </cell>
          <cell r="BW33">
            <v>1624036.25</v>
          </cell>
          <cell r="BX33">
            <v>1480328.75</v>
          </cell>
          <cell r="BZ33">
            <v>1260635</v>
          </cell>
          <cell r="CA33">
            <v>66850.953125</v>
          </cell>
          <cell r="CB33">
            <v>50947.598958333336</v>
          </cell>
          <cell r="DC33">
            <v>0</v>
          </cell>
          <cell r="DT33">
            <v>0</v>
          </cell>
          <cell r="EA33">
            <v>143707.59375</v>
          </cell>
        </row>
        <row r="34">
          <cell r="BB34">
            <v>3766</v>
          </cell>
          <cell r="BE34">
            <v>15074</v>
          </cell>
          <cell r="BW34">
            <v>1530684.25</v>
          </cell>
          <cell r="BX34">
            <v>1477811.125</v>
          </cell>
          <cell r="BZ34">
            <v>1260635</v>
          </cell>
          <cell r="CA34">
            <v>64342.90234375</v>
          </cell>
          <cell r="CB34">
            <v>50944.421875</v>
          </cell>
          <cell r="DC34">
            <v>0</v>
          </cell>
          <cell r="DT34">
            <v>0</v>
          </cell>
          <cell r="EA34">
            <v>52873.0390625</v>
          </cell>
        </row>
        <row r="35">
          <cell r="BB35">
            <v>310</v>
          </cell>
          <cell r="BE35">
            <v>1242</v>
          </cell>
          <cell r="BW35">
            <v>126094.5625</v>
          </cell>
          <cell r="BX35">
            <v>125563.875</v>
          </cell>
          <cell r="BZ35">
            <v>105052.9140625</v>
          </cell>
          <cell r="CA35">
            <v>7729.06103515625</v>
          </cell>
          <cell r="CB35">
            <v>4260.631510416667</v>
          </cell>
          <cell r="DC35">
            <v>0</v>
          </cell>
          <cell r="DT35">
            <v>0</v>
          </cell>
          <cell r="EA35">
            <v>530.69683837890625</v>
          </cell>
        </row>
        <row r="36">
          <cell r="BB36">
            <v>0</v>
          </cell>
          <cell r="BE36">
            <v>0</v>
          </cell>
          <cell r="BW36">
            <v>0</v>
          </cell>
          <cell r="BX36">
            <v>0</v>
          </cell>
          <cell r="BZ36">
            <v>0</v>
          </cell>
          <cell r="CA36">
            <v>0</v>
          </cell>
          <cell r="CB36">
            <v>0</v>
          </cell>
          <cell r="DC36">
            <v>0</v>
          </cell>
          <cell r="DT36">
            <v>0</v>
          </cell>
          <cell r="EA36">
            <v>0</v>
          </cell>
        </row>
        <row r="37">
          <cell r="BB37">
            <v>0</v>
          </cell>
          <cell r="BE37">
            <v>0</v>
          </cell>
          <cell r="BW37">
            <v>0</v>
          </cell>
          <cell r="BX37">
            <v>0</v>
          </cell>
          <cell r="BZ37">
            <v>0</v>
          </cell>
          <cell r="CA37">
            <v>0</v>
          </cell>
          <cell r="CB37">
            <v>0</v>
          </cell>
          <cell r="DC37">
            <v>0</v>
          </cell>
          <cell r="DT37">
            <v>0</v>
          </cell>
          <cell r="EA37">
            <v>0</v>
          </cell>
        </row>
        <row r="38">
          <cell r="BB38">
            <v>0</v>
          </cell>
          <cell r="BE38">
            <v>0</v>
          </cell>
          <cell r="BW38">
            <v>0</v>
          </cell>
          <cell r="BX38">
            <v>0</v>
          </cell>
          <cell r="BZ38">
            <v>0</v>
          </cell>
          <cell r="CA38">
            <v>0</v>
          </cell>
          <cell r="CB38">
            <v>0</v>
          </cell>
          <cell r="DC38">
            <v>0</v>
          </cell>
          <cell r="DT38">
            <v>0</v>
          </cell>
          <cell r="EA38">
            <v>0</v>
          </cell>
        </row>
        <row r="39">
          <cell r="BB39">
            <v>0</v>
          </cell>
          <cell r="BE39">
            <v>0</v>
          </cell>
          <cell r="BW39">
            <v>0</v>
          </cell>
          <cell r="BX39">
            <v>0</v>
          </cell>
          <cell r="BZ39">
            <v>0</v>
          </cell>
          <cell r="CA39">
            <v>0</v>
          </cell>
          <cell r="CB39">
            <v>0</v>
          </cell>
          <cell r="DC39">
            <v>0</v>
          </cell>
          <cell r="DT39">
            <v>0</v>
          </cell>
          <cell r="EA39">
            <v>0</v>
          </cell>
        </row>
        <row r="40">
          <cell r="BB40">
            <v>0</v>
          </cell>
          <cell r="BE40">
            <v>0</v>
          </cell>
          <cell r="BW40">
            <v>0</v>
          </cell>
          <cell r="BX40">
            <v>0</v>
          </cell>
          <cell r="BZ40">
            <v>0</v>
          </cell>
          <cell r="CA40">
            <v>0</v>
          </cell>
          <cell r="CB40">
            <v>0</v>
          </cell>
          <cell r="DC40">
            <v>0</v>
          </cell>
          <cell r="DT40">
            <v>0</v>
          </cell>
          <cell r="EA40">
            <v>0</v>
          </cell>
        </row>
        <row r="41">
          <cell r="BB41">
            <v>0</v>
          </cell>
          <cell r="BE41">
            <v>0</v>
          </cell>
          <cell r="BW41">
            <v>0</v>
          </cell>
          <cell r="BX41">
            <v>0</v>
          </cell>
          <cell r="BZ41">
            <v>0</v>
          </cell>
          <cell r="CA41">
            <v>0</v>
          </cell>
          <cell r="CB41">
            <v>0</v>
          </cell>
          <cell r="DC41">
            <v>0</v>
          </cell>
          <cell r="DT41">
            <v>0</v>
          </cell>
          <cell r="EA41">
            <v>0</v>
          </cell>
        </row>
        <row r="42">
          <cell r="BB42">
            <v>0</v>
          </cell>
          <cell r="BE42">
            <v>0</v>
          </cell>
          <cell r="BW42">
            <v>0</v>
          </cell>
          <cell r="BX42">
            <v>0</v>
          </cell>
          <cell r="BZ42">
            <v>0</v>
          </cell>
          <cell r="CA42">
            <v>0</v>
          </cell>
          <cell r="CB42">
            <v>0</v>
          </cell>
          <cell r="DC42">
            <v>0</v>
          </cell>
          <cell r="DT42">
            <v>0</v>
          </cell>
          <cell r="EA42">
            <v>0</v>
          </cell>
        </row>
        <row r="43">
          <cell r="BB43">
            <v>0</v>
          </cell>
          <cell r="BE43">
            <v>0</v>
          </cell>
          <cell r="BW43">
            <v>0</v>
          </cell>
          <cell r="BX43">
            <v>0</v>
          </cell>
          <cell r="BZ43">
            <v>0</v>
          </cell>
          <cell r="CA43">
            <v>0</v>
          </cell>
          <cell r="CB43">
            <v>0</v>
          </cell>
          <cell r="DC43">
            <v>0</v>
          </cell>
          <cell r="DT43">
            <v>0</v>
          </cell>
          <cell r="EA43">
            <v>0</v>
          </cell>
        </row>
        <row r="44">
          <cell r="BB44">
            <v>0</v>
          </cell>
          <cell r="BE44">
            <v>0</v>
          </cell>
          <cell r="BW44">
            <v>0</v>
          </cell>
          <cell r="BX44">
            <v>0</v>
          </cell>
          <cell r="BZ44">
            <v>0</v>
          </cell>
          <cell r="CA44">
            <v>0</v>
          </cell>
          <cell r="CB44">
            <v>0</v>
          </cell>
          <cell r="DC44">
            <v>0</v>
          </cell>
          <cell r="DT44">
            <v>0</v>
          </cell>
          <cell r="EA44">
            <v>0</v>
          </cell>
        </row>
        <row r="45">
          <cell r="BB45">
            <v>0</v>
          </cell>
          <cell r="BE45">
            <v>0</v>
          </cell>
          <cell r="BW45">
            <v>0</v>
          </cell>
          <cell r="BX45">
            <v>0</v>
          </cell>
          <cell r="BZ45">
            <v>0</v>
          </cell>
          <cell r="CA45">
            <v>0</v>
          </cell>
          <cell r="CB45">
            <v>0</v>
          </cell>
          <cell r="DC45">
            <v>0</v>
          </cell>
          <cell r="DT45">
            <v>0</v>
          </cell>
          <cell r="EA45">
            <v>0</v>
          </cell>
        </row>
        <row r="46">
          <cell r="BB46">
            <v>0</v>
          </cell>
          <cell r="BE46">
            <v>0</v>
          </cell>
          <cell r="BW46">
            <v>0</v>
          </cell>
          <cell r="BX46">
            <v>0</v>
          </cell>
          <cell r="BZ46">
            <v>0</v>
          </cell>
          <cell r="CA46">
            <v>0</v>
          </cell>
          <cell r="CB46">
            <v>0</v>
          </cell>
          <cell r="DC46">
            <v>0</v>
          </cell>
          <cell r="DT46">
            <v>0</v>
          </cell>
          <cell r="EA46">
            <v>0</v>
          </cell>
        </row>
        <row r="47">
          <cell r="BB47">
            <v>0</v>
          </cell>
          <cell r="BE47">
            <v>0</v>
          </cell>
          <cell r="BW47">
            <v>0</v>
          </cell>
          <cell r="BX47">
            <v>0</v>
          </cell>
          <cell r="BZ47">
            <v>0</v>
          </cell>
          <cell r="CA47">
            <v>0</v>
          </cell>
          <cell r="CB47">
            <v>0</v>
          </cell>
          <cell r="DC47">
            <v>0</v>
          </cell>
          <cell r="DT47">
            <v>0</v>
          </cell>
          <cell r="EA47">
            <v>0</v>
          </cell>
        </row>
        <row r="48">
          <cell r="BB48">
            <v>0</v>
          </cell>
          <cell r="BE48">
            <v>0</v>
          </cell>
          <cell r="BW48">
            <v>0</v>
          </cell>
          <cell r="BX48">
            <v>0</v>
          </cell>
          <cell r="BZ48">
            <v>0</v>
          </cell>
          <cell r="CA48">
            <v>0</v>
          </cell>
          <cell r="CB48">
            <v>0</v>
          </cell>
          <cell r="DC48">
            <v>0</v>
          </cell>
          <cell r="DT48">
            <v>0</v>
          </cell>
          <cell r="EA48">
            <v>0</v>
          </cell>
        </row>
      </sheetData>
      <sheetData sheetId="8"/>
      <sheetData sheetId="9"/>
      <sheetData sheetId="10"/>
      <sheetData sheetId="11">
        <row r="12">
          <cell r="BB12">
            <v>33</v>
          </cell>
          <cell r="BE12">
            <v>133</v>
          </cell>
          <cell r="BW12">
            <v>13486.9765625</v>
          </cell>
          <cell r="BX12">
            <v>889.65606689453125</v>
          </cell>
          <cell r="BZ12">
            <v>0</v>
          </cell>
          <cell r="CA12">
            <v>0</v>
          </cell>
          <cell r="CB12">
            <v>889.6541748046875</v>
          </cell>
          <cell r="DC12">
            <v>0</v>
          </cell>
          <cell r="DT12">
            <v>0</v>
          </cell>
          <cell r="EA12">
            <v>12597.3818359375</v>
          </cell>
        </row>
        <row r="13">
          <cell r="BB13">
            <v>98</v>
          </cell>
          <cell r="BE13">
            <v>383</v>
          </cell>
          <cell r="BW13">
            <v>39079.6796875</v>
          </cell>
          <cell r="BX13">
            <v>873.6829833984375</v>
          </cell>
          <cell r="BZ13">
            <v>0</v>
          </cell>
          <cell r="CA13">
            <v>0</v>
          </cell>
          <cell r="CB13">
            <v>291.22733561197919</v>
          </cell>
          <cell r="DC13">
            <v>0</v>
          </cell>
          <cell r="DT13">
            <v>0</v>
          </cell>
          <cell r="EA13">
            <v>38205.83984375</v>
          </cell>
        </row>
        <row r="14">
          <cell r="BB14">
            <v>151</v>
          </cell>
          <cell r="BE14">
            <v>611</v>
          </cell>
          <cell r="BW14">
            <v>61909.875</v>
          </cell>
          <cell r="BX14">
            <v>855.926513671875</v>
          </cell>
          <cell r="BZ14">
            <v>0</v>
          </cell>
          <cell r="CA14">
            <v>0</v>
          </cell>
          <cell r="CB14">
            <v>285.30851236979169</v>
          </cell>
          <cell r="DC14">
            <v>0</v>
          </cell>
          <cell r="DT14">
            <v>0</v>
          </cell>
          <cell r="EA14">
            <v>61053.984375</v>
          </cell>
        </row>
        <row r="15">
          <cell r="BB15">
            <v>201</v>
          </cell>
          <cell r="BE15">
            <v>810</v>
          </cell>
          <cell r="BW15">
            <v>82140.1640625</v>
          </cell>
          <cell r="BX15">
            <v>841.27142333984375</v>
          </cell>
          <cell r="BZ15">
            <v>0</v>
          </cell>
          <cell r="CA15">
            <v>0</v>
          </cell>
          <cell r="CB15">
            <v>280.42380777994794</v>
          </cell>
          <cell r="DC15">
            <v>0</v>
          </cell>
          <cell r="DT15">
            <v>0</v>
          </cell>
          <cell r="EA15">
            <v>81298.984375</v>
          </cell>
        </row>
        <row r="16">
          <cell r="BB16">
            <v>245.99998474121094</v>
          </cell>
          <cell r="BE16">
            <v>984</v>
          </cell>
          <cell r="BW16">
            <v>99933.0703125</v>
          </cell>
          <cell r="BX16">
            <v>828.60565185546875</v>
          </cell>
          <cell r="BZ16">
            <v>0</v>
          </cell>
          <cell r="CA16">
            <v>0</v>
          </cell>
          <cell r="CB16">
            <v>276.20188395182294</v>
          </cell>
          <cell r="DC16">
            <v>0</v>
          </cell>
          <cell r="DT16">
            <v>0</v>
          </cell>
          <cell r="EA16">
            <v>99104.703125</v>
          </cell>
        </row>
        <row r="17">
          <cell r="BB17">
            <v>285</v>
          </cell>
          <cell r="BE17">
            <v>1145</v>
          </cell>
          <cell r="BW17">
            <v>116182.3828125</v>
          </cell>
          <cell r="BX17">
            <v>819.5352783203125</v>
          </cell>
          <cell r="BZ17">
            <v>0</v>
          </cell>
          <cell r="CA17">
            <v>0</v>
          </cell>
          <cell r="CB17">
            <v>273.17842610677081</v>
          </cell>
          <cell r="DC17">
            <v>0</v>
          </cell>
          <cell r="DT17">
            <v>0</v>
          </cell>
          <cell r="EA17">
            <v>115362.9453125</v>
          </cell>
        </row>
        <row r="18">
          <cell r="BB18">
            <v>319</v>
          </cell>
          <cell r="BE18">
            <v>1279</v>
          </cell>
          <cell r="BW18">
            <v>129832.125</v>
          </cell>
          <cell r="BX18">
            <v>808.318115234375</v>
          </cell>
          <cell r="BZ18">
            <v>0</v>
          </cell>
          <cell r="CA18">
            <v>0</v>
          </cell>
          <cell r="CB18">
            <v>269.43906656901044</v>
          </cell>
          <cell r="DC18">
            <v>0</v>
          </cell>
          <cell r="DT18">
            <v>0</v>
          </cell>
          <cell r="EA18">
            <v>129023.5625</v>
          </cell>
        </row>
        <row r="19">
          <cell r="BB19">
            <v>349</v>
          </cell>
          <cell r="BE19">
            <v>1398</v>
          </cell>
          <cell r="BW19">
            <v>141937.75</v>
          </cell>
          <cell r="BX19">
            <v>799.2000732421875</v>
          </cell>
          <cell r="BZ19">
            <v>0</v>
          </cell>
          <cell r="CA19">
            <v>0</v>
          </cell>
          <cell r="CB19">
            <v>266.4000244140625</v>
          </cell>
          <cell r="DC19">
            <v>0</v>
          </cell>
          <cell r="DT19">
            <v>0</v>
          </cell>
          <cell r="EA19">
            <v>141138.484375</v>
          </cell>
        </row>
        <row r="20">
          <cell r="BB20">
            <v>375</v>
          </cell>
          <cell r="BE20">
            <v>1500</v>
          </cell>
          <cell r="BW20">
            <v>152337.140625</v>
          </cell>
          <cell r="BX20">
            <v>791.797607421875</v>
          </cell>
          <cell r="BZ20">
            <v>0</v>
          </cell>
          <cell r="CA20">
            <v>0</v>
          </cell>
          <cell r="CB20">
            <v>263.93223063151044</v>
          </cell>
          <cell r="DC20">
            <v>0</v>
          </cell>
          <cell r="DT20">
            <v>0</v>
          </cell>
          <cell r="EA20">
            <v>151545.453125</v>
          </cell>
        </row>
        <row r="21">
          <cell r="BB21">
            <v>398</v>
          </cell>
          <cell r="BE21">
            <v>1595</v>
          </cell>
          <cell r="BW21">
            <v>161924.28125</v>
          </cell>
          <cell r="BX21">
            <v>787.4718017578125</v>
          </cell>
          <cell r="BZ21">
            <v>0</v>
          </cell>
          <cell r="CA21">
            <v>0</v>
          </cell>
          <cell r="CB21">
            <v>262.48994954427081</v>
          </cell>
          <cell r="DC21">
            <v>0</v>
          </cell>
          <cell r="DT21">
            <v>0</v>
          </cell>
          <cell r="EA21">
            <v>161136.875</v>
          </cell>
        </row>
        <row r="22">
          <cell r="BB22">
            <v>416</v>
          </cell>
          <cell r="BE22">
            <v>1663</v>
          </cell>
          <cell r="BW22">
            <v>168911.421875</v>
          </cell>
          <cell r="BX22">
            <v>779.25299072265625</v>
          </cell>
          <cell r="BZ22">
            <v>0</v>
          </cell>
          <cell r="CA22">
            <v>0</v>
          </cell>
          <cell r="CB22">
            <v>259.75099690755206</v>
          </cell>
          <cell r="DC22">
            <v>0</v>
          </cell>
          <cell r="DT22">
            <v>0</v>
          </cell>
          <cell r="EA22">
            <v>168132.3125</v>
          </cell>
        </row>
        <row r="23">
          <cell r="BB23">
            <v>432</v>
          </cell>
          <cell r="BE23">
            <v>1727.9998779296875</v>
          </cell>
          <cell r="BW23">
            <v>175492.359375</v>
          </cell>
          <cell r="BX23">
            <v>775.05780029296875</v>
          </cell>
          <cell r="BZ23">
            <v>0</v>
          </cell>
          <cell r="CA23">
            <v>0</v>
          </cell>
          <cell r="CB23">
            <v>258.35260009765625</v>
          </cell>
          <cell r="DC23">
            <v>0</v>
          </cell>
          <cell r="DT23">
            <v>0</v>
          </cell>
          <cell r="EA23">
            <v>174717.203125</v>
          </cell>
        </row>
        <row r="24">
          <cell r="BB24">
            <v>446</v>
          </cell>
          <cell r="BE24">
            <v>1779</v>
          </cell>
          <cell r="BW24">
            <v>180773.453125</v>
          </cell>
          <cell r="BX24">
            <v>771.801025390625</v>
          </cell>
          <cell r="BZ24">
            <v>0</v>
          </cell>
          <cell r="CA24">
            <v>0</v>
          </cell>
          <cell r="CB24">
            <v>257.26668294270831</v>
          </cell>
          <cell r="DC24">
            <v>0</v>
          </cell>
          <cell r="DT24">
            <v>0</v>
          </cell>
          <cell r="EA24">
            <v>180001.6875</v>
          </cell>
        </row>
        <row r="25">
          <cell r="BB25">
            <v>457</v>
          </cell>
          <cell r="BE25">
            <v>1827</v>
          </cell>
          <cell r="BW25">
            <v>185566.984375</v>
          </cell>
          <cell r="BX25">
            <v>771.13720703125</v>
          </cell>
          <cell r="BZ25">
            <v>0</v>
          </cell>
          <cell r="CA25">
            <v>0</v>
          </cell>
          <cell r="CB25">
            <v>257.04543050130206</v>
          </cell>
          <cell r="DC25">
            <v>0</v>
          </cell>
          <cell r="DT25">
            <v>0</v>
          </cell>
          <cell r="EA25">
            <v>184795.921875</v>
          </cell>
        </row>
        <row r="26">
          <cell r="BB26">
            <v>462</v>
          </cell>
          <cell r="BE26">
            <v>1856.0001220703125</v>
          </cell>
          <cell r="BW26">
            <v>188329.375</v>
          </cell>
          <cell r="BX26">
            <v>766.1695556640625</v>
          </cell>
          <cell r="BZ26">
            <v>0</v>
          </cell>
          <cell r="CA26">
            <v>0</v>
          </cell>
          <cell r="CB26">
            <v>255.38985188802084</v>
          </cell>
          <cell r="DC26">
            <v>0</v>
          </cell>
          <cell r="DT26">
            <v>0</v>
          </cell>
          <cell r="EA26">
            <v>187563.234375</v>
          </cell>
        </row>
        <row r="27">
          <cell r="BB27">
            <v>472</v>
          </cell>
          <cell r="BE27">
            <v>1877</v>
          </cell>
          <cell r="BW27">
            <v>190848</v>
          </cell>
          <cell r="BX27">
            <v>764.87255859375</v>
          </cell>
          <cell r="BZ27">
            <v>0</v>
          </cell>
          <cell r="CA27">
            <v>0</v>
          </cell>
          <cell r="CB27">
            <v>254.95751953125</v>
          </cell>
          <cell r="DC27">
            <v>0</v>
          </cell>
          <cell r="DT27">
            <v>0</v>
          </cell>
          <cell r="EA27">
            <v>190083.171875</v>
          </cell>
        </row>
        <row r="28">
          <cell r="BB28">
            <v>472</v>
          </cell>
          <cell r="BE28">
            <v>1897</v>
          </cell>
          <cell r="BW28">
            <v>192472.953125</v>
          </cell>
          <cell r="BX28">
            <v>763.46685791015625</v>
          </cell>
          <cell r="BZ28">
            <v>0</v>
          </cell>
          <cell r="CA28">
            <v>0</v>
          </cell>
          <cell r="CB28">
            <v>254.48895263671875</v>
          </cell>
          <cell r="DC28">
            <v>0</v>
          </cell>
          <cell r="DT28">
            <v>0</v>
          </cell>
          <cell r="EA28">
            <v>191709.5</v>
          </cell>
        </row>
        <row r="29">
          <cell r="BB29">
            <v>475.99996948242188</v>
          </cell>
          <cell r="BE29">
            <v>1910.0001220703125</v>
          </cell>
          <cell r="BW29">
            <v>193854.125</v>
          </cell>
          <cell r="BX29">
            <v>764.48822021484375</v>
          </cell>
          <cell r="BZ29">
            <v>0</v>
          </cell>
          <cell r="CA29">
            <v>0</v>
          </cell>
          <cell r="CB29">
            <v>254.82940673828125</v>
          </cell>
          <cell r="DC29">
            <v>0</v>
          </cell>
          <cell r="DT29">
            <v>0</v>
          </cell>
          <cell r="EA29">
            <v>193089.65625</v>
          </cell>
        </row>
        <row r="30">
          <cell r="BB30">
            <v>477</v>
          </cell>
          <cell r="BE30">
            <v>1908</v>
          </cell>
          <cell r="BW30">
            <v>193772.921875</v>
          </cell>
          <cell r="BX30">
            <v>762.2938232421875</v>
          </cell>
          <cell r="BZ30">
            <v>0</v>
          </cell>
          <cell r="CA30">
            <v>0</v>
          </cell>
          <cell r="CB30">
            <v>254.09761555989584</v>
          </cell>
          <cell r="DC30">
            <v>0</v>
          </cell>
          <cell r="DT30">
            <v>0</v>
          </cell>
          <cell r="EA30">
            <v>193010.625</v>
          </cell>
        </row>
        <row r="31">
          <cell r="BB31">
            <v>475.99996948242188</v>
          </cell>
          <cell r="BE31">
            <v>1907.0001220703125</v>
          </cell>
          <cell r="BW31">
            <v>193610.453125</v>
          </cell>
          <cell r="BX31">
            <v>762.90606689453125</v>
          </cell>
          <cell r="BZ31">
            <v>0</v>
          </cell>
          <cell r="CA31">
            <v>0</v>
          </cell>
          <cell r="CB31">
            <v>254.30171712239584</v>
          </cell>
          <cell r="DC31">
            <v>0</v>
          </cell>
          <cell r="DT31">
            <v>0</v>
          </cell>
          <cell r="EA31">
            <v>192847.5</v>
          </cell>
        </row>
        <row r="32">
          <cell r="BB32">
            <v>472</v>
          </cell>
          <cell r="BE32">
            <v>1897</v>
          </cell>
          <cell r="BW32">
            <v>192472.96875</v>
          </cell>
          <cell r="BX32">
            <v>762.22515869140625</v>
          </cell>
          <cell r="BZ32">
            <v>0</v>
          </cell>
          <cell r="CA32">
            <v>0</v>
          </cell>
          <cell r="CB32">
            <v>254.07505289713541</v>
          </cell>
          <cell r="DC32">
            <v>0</v>
          </cell>
          <cell r="DT32">
            <v>0</v>
          </cell>
          <cell r="EA32">
            <v>191710.75</v>
          </cell>
        </row>
        <row r="33">
          <cell r="BB33">
            <v>474</v>
          </cell>
          <cell r="BE33">
            <v>1891</v>
          </cell>
          <cell r="BW33">
            <v>192147.984375</v>
          </cell>
          <cell r="BX33">
            <v>765.94921875</v>
          </cell>
          <cell r="BZ33">
            <v>0</v>
          </cell>
          <cell r="CA33">
            <v>0</v>
          </cell>
          <cell r="CB33">
            <v>255.31640625</v>
          </cell>
          <cell r="DC33">
            <v>0</v>
          </cell>
          <cell r="DT33">
            <v>0</v>
          </cell>
          <cell r="EA33">
            <v>191382.078125</v>
          </cell>
        </row>
        <row r="34">
          <cell r="BB34">
            <v>468</v>
          </cell>
          <cell r="BE34">
            <v>1868</v>
          </cell>
          <cell r="BW34">
            <v>189791.78125</v>
          </cell>
          <cell r="BX34">
            <v>764.1353759765625</v>
          </cell>
          <cell r="BZ34">
            <v>0</v>
          </cell>
          <cell r="CA34">
            <v>0</v>
          </cell>
          <cell r="CB34">
            <v>254.7117919921875</v>
          </cell>
          <cell r="DC34">
            <v>0</v>
          </cell>
          <cell r="DT34">
            <v>0</v>
          </cell>
          <cell r="EA34">
            <v>189027.71875</v>
          </cell>
        </row>
        <row r="35">
          <cell r="BB35">
            <v>3713</v>
          </cell>
          <cell r="BE35">
            <v>14854</v>
          </cell>
          <cell r="BW35">
            <v>1508503.75</v>
          </cell>
          <cell r="BX35">
            <v>1458612.875</v>
          </cell>
          <cell r="BZ35">
            <v>1260635</v>
          </cell>
          <cell r="CA35">
            <v>57101.02734375</v>
          </cell>
          <cell r="CB35">
            <v>46958.958333333336</v>
          </cell>
          <cell r="DC35">
            <v>0</v>
          </cell>
          <cell r="DT35">
            <v>0</v>
          </cell>
          <cell r="EA35">
            <v>49890.92578125</v>
          </cell>
        </row>
        <row r="36">
          <cell r="BB36">
            <v>3824</v>
          </cell>
          <cell r="BE36">
            <v>15291</v>
          </cell>
          <cell r="BW36">
            <v>1553026.875</v>
          </cell>
          <cell r="BX36">
            <v>1465907.5</v>
          </cell>
          <cell r="BZ36">
            <v>1260635</v>
          </cell>
          <cell r="CA36">
            <v>51555.1484375</v>
          </cell>
          <cell r="CB36">
            <v>51239.114583333336</v>
          </cell>
          <cell r="DC36">
            <v>0</v>
          </cell>
          <cell r="DT36">
            <v>0</v>
          </cell>
          <cell r="EA36">
            <v>87119.40625</v>
          </cell>
        </row>
        <row r="37">
          <cell r="BB37">
            <v>1225</v>
          </cell>
          <cell r="BE37">
            <v>4898</v>
          </cell>
          <cell r="BW37">
            <v>497472.34375</v>
          </cell>
          <cell r="BX37">
            <v>482609.78125</v>
          </cell>
          <cell r="BZ37">
            <v>420211.65625</v>
          </cell>
          <cell r="CA37">
            <v>11197.373046875</v>
          </cell>
          <cell r="CB37">
            <v>17066.91796875</v>
          </cell>
          <cell r="DC37">
            <v>0</v>
          </cell>
          <cell r="DT37">
            <v>0</v>
          </cell>
          <cell r="EA37">
            <v>14862.5478515625</v>
          </cell>
        </row>
        <row r="38">
          <cell r="BB38">
            <v>0</v>
          </cell>
          <cell r="BE38">
            <v>0</v>
          </cell>
          <cell r="BW38">
            <v>0</v>
          </cell>
          <cell r="BX38">
            <v>0</v>
          </cell>
          <cell r="BZ38">
            <v>0</v>
          </cell>
          <cell r="CA38">
            <v>0</v>
          </cell>
          <cell r="CB38">
            <v>0</v>
          </cell>
          <cell r="DC38">
            <v>0</v>
          </cell>
          <cell r="DT38">
            <v>0</v>
          </cell>
          <cell r="EA38">
            <v>0</v>
          </cell>
        </row>
        <row r="39">
          <cell r="BB39">
            <v>0</v>
          </cell>
          <cell r="BE39">
            <v>0</v>
          </cell>
          <cell r="BW39">
            <v>0</v>
          </cell>
          <cell r="BX39">
            <v>0</v>
          </cell>
          <cell r="BZ39">
            <v>0</v>
          </cell>
          <cell r="CA39">
            <v>0</v>
          </cell>
          <cell r="CB39">
            <v>0</v>
          </cell>
          <cell r="DC39">
            <v>0</v>
          </cell>
          <cell r="DT39">
            <v>0</v>
          </cell>
          <cell r="EA39">
            <v>0</v>
          </cell>
        </row>
        <row r="40">
          <cell r="BB40">
            <v>0</v>
          </cell>
          <cell r="BE40">
            <v>0</v>
          </cell>
          <cell r="BW40">
            <v>0</v>
          </cell>
          <cell r="BX40">
            <v>0</v>
          </cell>
          <cell r="BZ40">
            <v>0</v>
          </cell>
          <cell r="CA40">
            <v>0</v>
          </cell>
          <cell r="CB40">
            <v>0</v>
          </cell>
          <cell r="DC40">
            <v>0</v>
          </cell>
          <cell r="DT40">
            <v>0</v>
          </cell>
          <cell r="EA40">
            <v>0</v>
          </cell>
        </row>
        <row r="41">
          <cell r="BB41">
            <v>0</v>
          </cell>
          <cell r="BE41">
            <v>0</v>
          </cell>
          <cell r="BW41">
            <v>0</v>
          </cell>
          <cell r="BX41">
            <v>0</v>
          </cell>
          <cell r="BZ41">
            <v>0</v>
          </cell>
          <cell r="CA41">
            <v>0</v>
          </cell>
          <cell r="CB41">
            <v>0</v>
          </cell>
          <cell r="DC41">
            <v>0</v>
          </cell>
          <cell r="DT41">
            <v>0</v>
          </cell>
          <cell r="EA41">
            <v>0</v>
          </cell>
        </row>
        <row r="42">
          <cell r="BB42">
            <v>0</v>
          </cell>
          <cell r="BE42">
            <v>0</v>
          </cell>
          <cell r="BW42">
            <v>0</v>
          </cell>
          <cell r="BX42">
            <v>0</v>
          </cell>
          <cell r="BZ42">
            <v>0</v>
          </cell>
          <cell r="CA42">
            <v>0</v>
          </cell>
          <cell r="CB42">
            <v>0</v>
          </cell>
          <cell r="DC42">
            <v>0</v>
          </cell>
          <cell r="DT42">
            <v>0</v>
          </cell>
          <cell r="EA42">
            <v>0</v>
          </cell>
        </row>
        <row r="43">
          <cell r="BB43">
            <v>0</v>
          </cell>
          <cell r="BE43">
            <v>0</v>
          </cell>
          <cell r="BW43">
            <v>0</v>
          </cell>
          <cell r="BX43">
            <v>0</v>
          </cell>
          <cell r="BZ43">
            <v>0</v>
          </cell>
          <cell r="CA43">
            <v>0</v>
          </cell>
          <cell r="CB43">
            <v>0</v>
          </cell>
          <cell r="DC43">
            <v>0</v>
          </cell>
          <cell r="DT43">
            <v>0</v>
          </cell>
          <cell r="EA43">
            <v>0</v>
          </cell>
        </row>
        <row r="44">
          <cell r="BB44">
            <v>0</v>
          </cell>
          <cell r="BE44">
            <v>0</v>
          </cell>
          <cell r="BW44">
            <v>0</v>
          </cell>
          <cell r="BX44">
            <v>0</v>
          </cell>
          <cell r="BZ44">
            <v>0</v>
          </cell>
          <cell r="CA44">
            <v>0</v>
          </cell>
          <cell r="CB44">
            <v>0</v>
          </cell>
          <cell r="DC44">
            <v>0</v>
          </cell>
          <cell r="DT44">
            <v>0</v>
          </cell>
          <cell r="EA44">
            <v>0</v>
          </cell>
        </row>
        <row r="45">
          <cell r="BB45">
            <v>0</v>
          </cell>
          <cell r="BE45">
            <v>0</v>
          </cell>
          <cell r="BW45">
            <v>0</v>
          </cell>
          <cell r="BX45">
            <v>0</v>
          </cell>
          <cell r="BZ45">
            <v>0</v>
          </cell>
          <cell r="CA45">
            <v>0</v>
          </cell>
          <cell r="CB45">
            <v>0</v>
          </cell>
          <cell r="DC45">
            <v>0</v>
          </cell>
          <cell r="DT45">
            <v>0</v>
          </cell>
          <cell r="EA45">
            <v>0</v>
          </cell>
        </row>
        <row r="46">
          <cell r="BB46">
            <v>0</v>
          </cell>
          <cell r="BE46">
            <v>0</v>
          </cell>
          <cell r="BW46">
            <v>0</v>
          </cell>
          <cell r="BX46">
            <v>0</v>
          </cell>
          <cell r="BZ46">
            <v>0</v>
          </cell>
          <cell r="CA46">
            <v>0</v>
          </cell>
          <cell r="CB46">
            <v>0</v>
          </cell>
          <cell r="DC46">
            <v>0</v>
          </cell>
          <cell r="DT46">
            <v>0</v>
          </cell>
          <cell r="EA46">
            <v>0</v>
          </cell>
        </row>
        <row r="47">
          <cell r="BB47">
            <v>0</v>
          </cell>
          <cell r="BE47">
            <v>0</v>
          </cell>
          <cell r="BW47">
            <v>0</v>
          </cell>
          <cell r="BX47">
            <v>0</v>
          </cell>
          <cell r="BZ47">
            <v>0</v>
          </cell>
          <cell r="CA47">
            <v>0</v>
          </cell>
          <cell r="CB47">
            <v>0</v>
          </cell>
          <cell r="DC47">
            <v>0</v>
          </cell>
          <cell r="DT47">
            <v>0</v>
          </cell>
          <cell r="EA47">
            <v>0</v>
          </cell>
        </row>
        <row r="48">
          <cell r="BB48">
            <v>0</v>
          </cell>
          <cell r="BE48">
            <v>0</v>
          </cell>
          <cell r="BW48">
            <v>0</v>
          </cell>
          <cell r="BX48">
            <v>0</v>
          </cell>
          <cell r="BZ48">
            <v>0</v>
          </cell>
          <cell r="CA48">
            <v>0</v>
          </cell>
          <cell r="CB48">
            <v>0</v>
          </cell>
          <cell r="DC48">
            <v>0</v>
          </cell>
          <cell r="DT48">
            <v>0</v>
          </cell>
          <cell r="EA48">
            <v>0</v>
          </cell>
        </row>
      </sheetData>
      <sheetData sheetId="12">
        <row r="12">
          <cell r="J12">
            <v>0.27927520117187499</v>
          </cell>
        </row>
        <row r="13">
          <cell r="J13">
            <v>0</v>
          </cell>
        </row>
        <row r="14">
          <cell r="J14">
            <v>0</v>
          </cell>
          <cell r="L14">
            <v>0</v>
          </cell>
        </row>
        <row r="17">
          <cell r="J17">
            <v>0.41408800097656251</v>
          </cell>
          <cell r="L17">
            <v>0</v>
          </cell>
        </row>
        <row r="18">
          <cell r="J18">
            <v>0</v>
          </cell>
          <cell r="L18">
            <v>0</v>
          </cell>
        </row>
        <row r="19">
          <cell r="J19">
            <v>0</v>
          </cell>
          <cell r="L19">
            <v>0</v>
          </cell>
        </row>
        <row r="20">
          <cell r="J20">
            <v>0.41408800097656251</v>
          </cell>
          <cell r="L20">
            <v>0</v>
          </cell>
        </row>
        <row r="22">
          <cell r="J22">
            <v>6.888900024414063E-2</v>
          </cell>
          <cell r="L22">
            <v>0</v>
          </cell>
        </row>
        <row r="23">
          <cell r="J23">
            <v>0</v>
          </cell>
          <cell r="L23">
            <v>0</v>
          </cell>
        </row>
        <row r="24">
          <cell r="J24">
            <v>0</v>
          </cell>
          <cell r="L24">
            <v>0</v>
          </cell>
        </row>
        <row r="25">
          <cell r="J25">
            <v>6.888900024414063E-2</v>
          </cell>
          <cell r="L25">
            <v>0</v>
          </cell>
        </row>
        <row r="26">
          <cell r="L26"/>
        </row>
        <row r="27">
          <cell r="L27"/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-PDP"/>
      <sheetName val="D-PNP"/>
      <sheetName val="D-PND"/>
      <sheetName val="D-PRB"/>
      <sheetName val="D-PS"/>
      <sheetName val="CF PDP"/>
      <sheetName val="Benchmark"/>
      <sheetName val="CF PNP"/>
      <sheetName val="CF PND"/>
      <sheetName val="CF PRB"/>
      <sheetName val="CF PS"/>
      <sheetName val="PDP"/>
      <sheetName val="PNP"/>
      <sheetName val="PND"/>
      <sheetName val="PRB"/>
      <sheetName val="PS"/>
      <sheetName val="PD"/>
      <sheetName val="1P"/>
      <sheetName val="2P"/>
      <sheetName val="3P"/>
      <sheetName val="Consolidado"/>
      <sheetName val="Lista"/>
    </sheetNames>
    <sheetDataSet>
      <sheetData sheetId="0"/>
      <sheetData sheetId="1"/>
      <sheetData sheetId="2"/>
      <sheetData sheetId="3"/>
      <sheetData sheetId="4"/>
      <sheetData sheetId="5">
        <row r="36">
          <cell r="AY36">
            <v>11579</v>
          </cell>
          <cell r="BB36">
            <v>46314</v>
          </cell>
          <cell r="BT36">
            <v>4703563</v>
          </cell>
          <cell r="BU36">
            <v>1432502</v>
          </cell>
          <cell r="BW36">
            <v>1260635</v>
          </cell>
          <cell r="BX36">
            <v>26483</v>
          </cell>
          <cell r="BY36">
            <v>145383</v>
          </cell>
          <cell r="CT36">
            <v>0</v>
          </cell>
          <cell r="DI36">
            <v>0</v>
          </cell>
          <cell r="DN36">
            <v>3271061</v>
          </cell>
        </row>
        <row r="37">
          <cell r="AY37">
            <v>9762</v>
          </cell>
          <cell r="BB37">
            <v>39052</v>
          </cell>
          <cell r="BT37">
            <v>3966048</v>
          </cell>
          <cell r="BU37">
            <v>1430588</v>
          </cell>
          <cell r="BW37">
            <v>1260636</v>
          </cell>
          <cell r="BX37">
            <v>24054</v>
          </cell>
          <cell r="BY37">
            <v>145897</v>
          </cell>
          <cell r="CT37">
            <v>0</v>
          </cell>
          <cell r="DI37">
            <v>0</v>
          </cell>
          <cell r="DN37">
            <v>2535460</v>
          </cell>
        </row>
        <row r="38">
          <cell r="AY38">
            <v>8342</v>
          </cell>
          <cell r="BB38">
            <v>33367</v>
          </cell>
          <cell r="BT38">
            <v>3388690</v>
          </cell>
          <cell r="BU38">
            <v>1428770</v>
          </cell>
          <cell r="BW38">
            <v>1260636</v>
          </cell>
          <cell r="BX38">
            <v>21959</v>
          </cell>
          <cell r="BY38">
            <v>146174</v>
          </cell>
          <cell r="CT38">
            <v>0</v>
          </cell>
          <cell r="DI38">
            <v>0</v>
          </cell>
          <cell r="DN38">
            <v>1959920</v>
          </cell>
        </row>
        <row r="39">
          <cell r="AY39">
            <v>7258</v>
          </cell>
          <cell r="BB39">
            <v>29032</v>
          </cell>
          <cell r="BT39">
            <v>2948436</v>
          </cell>
          <cell r="BU39">
            <v>1425954</v>
          </cell>
          <cell r="BW39">
            <v>1260635</v>
          </cell>
          <cell r="BX39">
            <v>18903</v>
          </cell>
          <cell r="BY39">
            <v>146415</v>
          </cell>
          <cell r="CT39">
            <v>0</v>
          </cell>
          <cell r="DI39">
            <v>0</v>
          </cell>
          <cell r="DN39">
            <v>1522482</v>
          </cell>
        </row>
        <row r="40">
          <cell r="AY40">
            <v>6393</v>
          </cell>
          <cell r="BB40">
            <v>25573</v>
          </cell>
          <cell r="BT40">
            <v>2597146</v>
          </cell>
          <cell r="BU40">
            <v>1422198</v>
          </cell>
          <cell r="BW40">
            <v>1260636</v>
          </cell>
          <cell r="BX40">
            <v>14967</v>
          </cell>
          <cell r="BY40">
            <v>146594</v>
          </cell>
          <cell r="CT40">
            <v>0</v>
          </cell>
          <cell r="DI40">
            <v>0</v>
          </cell>
          <cell r="DN40">
            <v>1174948</v>
          </cell>
        </row>
        <row r="41">
          <cell r="AY41">
            <v>5705</v>
          </cell>
          <cell r="BB41">
            <v>22821</v>
          </cell>
          <cell r="BT41">
            <v>2317658</v>
          </cell>
          <cell r="BU41">
            <v>1420081</v>
          </cell>
          <cell r="BW41">
            <v>1260636</v>
          </cell>
          <cell r="BX41">
            <v>12663</v>
          </cell>
          <cell r="BY41">
            <v>146781</v>
          </cell>
          <cell r="CT41">
            <v>0</v>
          </cell>
          <cell r="DI41">
            <v>0</v>
          </cell>
          <cell r="DN41">
            <v>897577</v>
          </cell>
        </row>
        <row r="42">
          <cell r="AY42">
            <v>5108</v>
          </cell>
          <cell r="BB42">
            <v>20433</v>
          </cell>
          <cell r="BT42">
            <v>2075137</v>
          </cell>
          <cell r="BU42">
            <v>1418411</v>
          </cell>
          <cell r="BW42">
            <v>1260636</v>
          </cell>
          <cell r="BX42">
            <v>10952</v>
          </cell>
          <cell r="BY42">
            <v>146822</v>
          </cell>
          <cell r="CT42">
            <v>0</v>
          </cell>
          <cell r="DI42">
            <v>0</v>
          </cell>
          <cell r="DN42">
            <v>656726</v>
          </cell>
        </row>
        <row r="43">
          <cell r="AY43">
            <v>4622</v>
          </cell>
          <cell r="BB43">
            <v>18487</v>
          </cell>
          <cell r="BT43">
            <v>1877505</v>
          </cell>
          <cell r="BU43">
            <v>1416911</v>
          </cell>
          <cell r="BW43">
            <v>1260636</v>
          </cell>
          <cell r="BX43">
            <v>9383</v>
          </cell>
          <cell r="BY43">
            <v>146891</v>
          </cell>
          <cell r="CT43">
            <v>0</v>
          </cell>
          <cell r="DI43">
            <v>0</v>
          </cell>
          <cell r="DN43">
            <v>460594</v>
          </cell>
        </row>
        <row r="44">
          <cell r="AY44">
            <v>4209</v>
          </cell>
          <cell r="BB44">
            <v>16835</v>
          </cell>
          <cell r="BT44">
            <v>1709731</v>
          </cell>
          <cell r="BU44">
            <v>1414979</v>
          </cell>
          <cell r="BW44">
            <v>1260636</v>
          </cell>
          <cell r="BX44">
            <v>7403</v>
          </cell>
          <cell r="BY44">
            <v>146939</v>
          </cell>
          <cell r="CT44">
            <v>0</v>
          </cell>
          <cell r="DI44">
            <v>0</v>
          </cell>
          <cell r="DN44">
            <v>294752</v>
          </cell>
        </row>
        <row r="45">
          <cell r="AY45">
            <v>3865</v>
          </cell>
          <cell r="BB45">
            <v>15461</v>
          </cell>
          <cell r="BT45">
            <v>1570190</v>
          </cell>
          <cell r="BU45">
            <v>1412527</v>
          </cell>
          <cell r="BW45">
            <v>1260635</v>
          </cell>
          <cell r="BX45">
            <v>4863</v>
          </cell>
          <cell r="BY45">
            <v>147028</v>
          </cell>
          <cell r="CT45">
            <v>0</v>
          </cell>
          <cell r="DI45">
            <v>0</v>
          </cell>
          <cell r="DN45">
            <v>157663</v>
          </cell>
        </row>
        <row r="46">
          <cell r="AY46">
            <v>3549</v>
          </cell>
          <cell r="BB46">
            <v>14195</v>
          </cell>
          <cell r="BT46">
            <v>1441618</v>
          </cell>
          <cell r="BU46">
            <v>1408876</v>
          </cell>
          <cell r="BW46">
            <v>1260635</v>
          </cell>
          <cell r="BX46">
            <v>1251</v>
          </cell>
          <cell r="BY46">
            <v>146989</v>
          </cell>
          <cell r="CT46">
            <v>0</v>
          </cell>
          <cell r="DI46">
            <v>720068</v>
          </cell>
          <cell r="DN46">
            <v>32742</v>
          </cell>
        </row>
        <row r="47">
          <cell r="AY47">
            <v>0</v>
          </cell>
          <cell r="BB47">
            <v>0</v>
          </cell>
          <cell r="BT47">
            <v>0</v>
          </cell>
          <cell r="BU47">
            <v>0</v>
          </cell>
          <cell r="BW47">
            <v>0</v>
          </cell>
          <cell r="BX47">
            <v>0</v>
          </cell>
          <cell r="BY47">
            <v>0</v>
          </cell>
          <cell r="CT47">
            <v>0</v>
          </cell>
          <cell r="DI47">
            <v>0</v>
          </cell>
          <cell r="DN47">
            <v>0</v>
          </cell>
        </row>
        <row r="48">
          <cell r="AY48">
            <v>0</v>
          </cell>
          <cell r="BB48">
            <v>0</v>
          </cell>
          <cell r="BT48">
            <v>0</v>
          </cell>
          <cell r="BU48">
            <v>0</v>
          </cell>
          <cell r="BW48">
            <v>0</v>
          </cell>
          <cell r="BX48">
            <v>0</v>
          </cell>
          <cell r="BY48">
            <v>0</v>
          </cell>
          <cell r="CT48">
            <v>0</v>
          </cell>
          <cell r="DI48">
            <v>0</v>
          </cell>
          <cell r="DN48">
            <v>0</v>
          </cell>
        </row>
        <row r="49">
          <cell r="AY49">
            <v>0</v>
          </cell>
          <cell r="BB49">
            <v>0</v>
          </cell>
          <cell r="BT49">
            <v>0</v>
          </cell>
          <cell r="BU49">
            <v>0</v>
          </cell>
          <cell r="BW49">
            <v>0</v>
          </cell>
          <cell r="BX49">
            <v>0</v>
          </cell>
          <cell r="BY49">
            <v>0</v>
          </cell>
          <cell r="CT49">
            <v>0</v>
          </cell>
          <cell r="DI49">
            <v>0</v>
          </cell>
          <cell r="DN49">
            <v>0</v>
          </cell>
        </row>
        <row r="50">
          <cell r="AY50">
            <v>0</v>
          </cell>
          <cell r="BB50">
            <v>0</v>
          </cell>
          <cell r="BT50">
            <v>0</v>
          </cell>
          <cell r="BU50">
            <v>0</v>
          </cell>
          <cell r="BW50">
            <v>0</v>
          </cell>
          <cell r="BX50">
            <v>0</v>
          </cell>
          <cell r="BY50">
            <v>0</v>
          </cell>
          <cell r="CT50">
            <v>0</v>
          </cell>
          <cell r="DI50">
            <v>0</v>
          </cell>
          <cell r="DN50">
            <v>0</v>
          </cell>
        </row>
        <row r="51">
          <cell r="AY51">
            <v>0</v>
          </cell>
          <cell r="BB51">
            <v>0</v>
          </cell>
          <cell r="BT51">
            <v>0</v>
          </cell>
          <cell r="BU51">
            <v>0</v>
          </cell>
          <cell r="BW51">
            <v>0</v>
          </cell>
          <cell r="BX51">
            <v>0</v>
          </cell>
          <cell r="BY51">
            <v>0</v>
          </cell>
          <cell r="CT51">
            <v>0</v>
          </cell>
          <cell r="DI51">
            <v>0</v>
          </cell>
          <cell r="DN51">
            <v>0</v>
          </cell>
        </row>
        <row r="52">
          <cell r="AY52">
            <v>0</v>
          </cell>
          <cell r="BB52">
            <v>0</v>
          </cell>
          <cell r="BT52">
            <v>0</v>
          </cell>
          <cell r="BU52">
            <v>0</v>
          </cell>
          <cell r="BW52">
            <v>0</v>
          </cell>
          <cell r="BX52">
            <v>0</v>
          </cell>
          <cell r="BY52">
            <v>0</v>
          </cell>
          <cell r="CT52">
            <v>0</v>
          </cell>
          <cell r="DI52">
            <v>0</v>
          </cell>
          <cell r="DN52">
            <v>0</v>
          </cell>
        </row>
        <row r="53">
          <cell r="AY53">
            <v>0</v>
          </cell>
          <cell r="BB53">
            <v>0</v>
          </cell>
          <cell r="BT53">
            <v>0</v>
          </cell>
          <cell r="BU53">
            <v>0</v>
          </cell>
          <cell r="BW53">
            <v>0</v>
          </cell>
          <cell r="BX53">
            <v>0</v>
          </cell>
          <cell r="BY53">
            <v>0</v>
          </cell>
          <cell r="CT53">
            <v>0</v>
          </cell>
          <cell r="DI53">
            <v>0</v>
          </cell>
          <cell r="DN53">
            <v>0</v>
          </cell>
        </row>
        <row r="54">
          <cell r="AY54">
            <v>0</v>
          </cell>
          <cell r="BB54">
            <v>0</v>
          </cell>
          <cell r="BT54">
            <v>0</v>
          </cell>
          <cell r="BU54">
            <v>0</v>
          </cell>
          <cell r="BW54">
            <v>0</v>
          </cell>
          <cell r="BX54">
            <v>0</v>
          </cell>
          <cell r="BY54">
            <v>0</v>
          </cell>
          <cell r="CT54">
            <v>0</v>
          </cell>
          <cell r="DI54">
            <v>0</v>
          </cell>
          <cell r="DN54">
            <v>0</v>
          </cell>
        </row>
        <row r="55">
          <cell r="AY55">
            <v>0</v>
          </cell>
          <cell r="BB55">
            <v>0</v>
          </cell>
          <cell r="BT55">
            <v>0</v>
          </cell>
          <cell r="BU55">
            <v>0</v>
          </cell>
          <cell r="BW55">
            <v>0</v>
          </cell>
          <cell r="BX55">
            <v>0</v>
          </cell>
          <cell r="BY55">
            <v>0</v>
          </cell>
          <cell r="CT55">
            <v>0</v>
          </cell>
          <cell r="DI55">
            <v>0</v>
          </cell>
          <cell r="DN55">
            <v>0</v>
          </cell>
        </row>
        <row r="56">
          <cell r="AY56">
            <v>0</v>
          </cell>
          <cell r="BB56">
            <v>0</v>
          </cell>
          <cell r="BT56">
            <v>0</v>
          </cell>
          <cell r="BU56">
            <v>0</v>
          </cell>
          <cell r="BW56">
            <v>0</v>
          </cell>
          <cell r="BX56">
            <v>0</v>
          </cell>
          <cell r="BY56">
            <v>0</v>
          </cell>
          <cell r="CT56">
            <v>0</v>
          </cell>
          <cell r="DI56">
            <v>0</v>
          </cell>
          <cell r="DN56">
            <v>0</v>
          </cell>
        </row>
        <row r="57">
          <cell r="AY57">
            <v>0</v>
          </cell>
          <cell r="BB57">
            <v>0</v>
          </cell>
          <cell r="BT57">
            <v>0</v>
          </cell>
          <cell r="BU57">
            <v>0</v>
          </cell>
          <cell r="BW57">
            <v>0</v>
          </cell>
          <cell r="BX57">
            <v>0</v>
          </cell>
          <cell r="BY57">
            <v>0</v>
          </cell>
          <cell r="CT57">
            <v>0</v>
          </cell>
          <cell r="DI57">
            <v>0</v>
          </cell>
          <cell r="DN57">
            <v>0</v>
          </cell>
        </row>
        <row r="58">
          <cell r="AY58">
            <v>0</v>
          </cell>
          <cell r="BB58">
            <v>0</v>
          </cell>
          <cell r="BT58">
            <v>0</v>
          </cell>
          <cell r="BU58">
            <v>0</v>
          </cell>
          <cell r="BW58">
            <v>0</v>
          </cell>
          <cell r="BX58">
            <v>0</v>
          </cell>
          <cell r="BY58">
            <v>0</v>
          </cell>
          <cell r="CT58">
            <v>0</v>
          </cell>
          <cell r="DI58">
            <v>0</v>
          </cell>
          <cell r="DN58">
            <v>0</v>
          </cell>
        </row>
        <row r="59">
          <cell r="AY59">
            <v>0</v>
          </cell>
          <cell r="BB59">
            <v>0</v>
          </cell>
          <cell r="BT59">
            <v>0</v>
          </cell>
          <cell r="BU59">
            <v>0</v>
          </cell>
          <cell r="BW59">
            <v>0</v>
          </cell>
          <cell r="BX59">
            <v>0</v>
          </cell>
          <cell r="BY59">
            <v>0</v>
          </cell>
          <cell r="CT59">
            <v>0</v>
          </cell>
          <cell r="DI59">
            <v>0</v>
          </cell>
          <cell r="DN59">
            <v>0</v>
          </cell>
        </row>
        <row r="60">
          <cell r="AY60">
            <v>0</v>
          </cell>
          <cell r="BB60">
            <v>0</v>
          </cell>
          <cell r="BT60">
            <v>0</v>
          </cell>
          <cell r="BU60">
            <v>0</v>
          </cell>
          <cell r="BW60">
            <v>0</v>
          </cell>
          <cell r="BX60">
            <v>0</v>
          </cell>
          <cell r="BY60">
            <v>0</v>
          </cell>
          <cell r="CT60">
            <v>0</v>
          </cell>
          <cell r="DI60">
            <v>0</v>
          </cell>
          <cell r="DN60">
            <v>0</v>
          </cell>
        </row>
        <row r="61">
          <cell r="AY61">
            <v>0</v>
          </cell>
          <cell r="BB61">
            <v>0</v>
          </cell>
          <cell r="BT61">
            <v>0</v>
          </cell>
          <cell r="BU61">
            <v>0</v>
          </cell>
          <cell r="BW61">
            <v>0</v>
          </cell>
          <cell r="BX61">
            <v>0</v>
          </cell>
          <cell r="BY61">
            <v>0</v>
          </cell>
          <cell r="CT61">
            <v>0</v>
          </cell>
          <cell r="DI61">
            <v>0</v>
          </cell>
          <cell r="DN61">
            <v>0</v>
          </cell>
        </row>
        <row r="62">
          <cell r="AY62">
            <v>0</v>
          </cell>
          <cell r="BB62">
            <v>0</v>
          </cell>
          <cell r="BT62">
            <v>0</v>
          </cell>
          <cell r="BU62">
            <v>0</v>
          </cell>
          <cell r="BW62">
            <v>0</v>
          </cell>
          <cell r="BX62">
            <v>0</v>
          </cell>
          <cell r="BY62">
            <v>0</v>
          </cell>
          <cell r="CT62">
            <v>0</v>
          </cell>
          <cell r="DI62">
            <v>0</v>
          </cell>
          <cell r="DN62">
            <v>0</v>
          </cell>
        </row>
        <row r="63">
          <cell r="AY63">
            <v>0</v>
          </cell>
          <cell r="BB63">
            <v>0</v>
          </cell>
          <cell r="BT63">
            <v>0</v>
          </cell>
          <cell r="BU63">
            <v>0</v>
          </cell>
          <cell r="BW63">
            <v>0</v>
          </cell>
          <cell r="BX63">
            <v>0</v>
          </cell>
          <cell r="BY63">
            <v>0</v>
          </cell>
          <cell r="CT63">
            <v>0</v>
          </cell>
          <cell r="DI63">
            <v>0</v>
          </cell>
          <cell r="DN63">
            <v>0</v>
          </cell>
        </row>
        <row r="64">
          <cell r="AY64">
            <v>0</v>
          </cell>
          <cell r="BB64">
            <v>0</v>
          </cell>
          <cell r="BT64">
            <v>0</v>
          </cell>
          <cell r="BU64">
            <v>0</v>
          </cell>
          <cell r="BW64">
            <v>0</v>
          </cell>
          <cell r="BX64">
            <v>0</v>
          </cell>
          <cell r="BY64">
            <v>0</v>
          </cell>
          <cell r="CT64">
            <v>0</v>
          </cell>
          <cell r="DI64">
            <v>0</v>
          </cell>
          <cell r="DN64">
            <v>0</v>
          </cell>
        </row>
        <row r="65">
          <cell r="AY65">
            <v>0</v>
          </cell>
          <cell r="BB65">
            <v>0</v>
          </cell>
          <cell r="BT65">
            <v>0</v>
          </cell>
          <cell r="BU65">
            <v>0</v>
          </cell>
          <cell r="BW65">
            <v>0</v>
          </cell>
          <cell r="BX65">
            <v>0</v>
          </cell>
          <cell r="BY65">
            <v>0</v>
          </cell>
          <cell r="CT65">
            <v>0</v>
          </cell>
          <cell r="DI65">
            <v>0</v>
          </cell>
          <cell r="DN65">
            <v>0</v>
          </cell>
        </row>
        <row r="66">
          <cell r="AY66">
            <v>0</v>
          </cell>
          <cell r="BB66">
            <v>0</v>
          </cell>
          <cell r="BT66">
            <v>0</v>
          </cell>
          <cell r="BU66">
            <v>0</v>
          </cell>
          <cell r="BW66">
            <v>0</v>
          </cell>
          <cell r="BX66">
            <v>0</v>
          </cell>
          <cell r="BY66">
            <v>0</v>
          </cell>
          <cell r="CT66">
            <v>0</v>
          </cell>
          <cell r="DI66">
            <v>0</v>
          </cell>
          <cell r="DN66">
            <v>0</v>
          </cell>
        </row>
        <row r="67">
          <cell r="AY67">
            <v>0</v>
          </cell>
          <cell r="BB67">
            <v>0</v>
          </cell>
          <cell r="BT67">
            <v>0</v>
          </cell>
          <cell r="BU67">
            <v>0</v>
          </cell>
          <cell r="BW67">
            <v>0</v>
          </cell>
          <cell r="BX67">
            <v>0</v>
          </cell>
          <cell r="BY67">
            <v>0</v>
          </cell>
          <cell r="CT67">
            <v>0</v>
          </cell>
          <cell r="DI67">
            <v>0</v>
          </cell>
          <cell r="DN67">
            <v>0</v>
          </cell>
        </row>
        <row r="68">
          <cell r="AY68">
            <v>0</v>
          </cell>
          <cell r="BB68">
            <v>0</v>
          </cell>
          <cell r="BT68">
            <v>0</v>
          </cell>
          <cell r="BU68">
            <v>0</v>
          </cell>
          <cell r="BW68">
            <v>0</v>
          </cell>
          <cell r="BX68">
            <v>0</v>
          </cell>
          <cell r="BY68">
            <v>0</v>
          </cell>
          <cell r="CT68">
            <v>0</v>
          </cell>
          <cell r="DI68">
            <v>0</v>
          </cell>
          <cell r="DN68">
            <v>0</v>
          </cell>
        </row>
        <row r="69">
          <cell r="AY69">
            <v>0</v>
          </cell>
          <cell r="BB69">
            <v>0</v>
          </cell>
          <cell r="BT69">
            <v>0</v>
          </cell>
          <cell r="BU69">
            <v>0</v>
          </cell>
          <cell r="BW69">
            <v>0</v>
          </cell>
          <cell r="BX69">
            <v>0</v>
          </cell>
          <cell r="BY69">
            <v>0</v>
          </cell>
          <cell r="CT69">
            <v>0</v>
          </cell>
          <cell r="DI69">
            <v>0</v>
          </cell>
          <cell r="DN69">
            <v>0</v>
          </cell>
        </row>
        <row r="70">
          <cell r="AY70">
            <v>0</v>
          </cell>
          <cell r="BB70">
            <v>0</v>
          </cell>
          <cell r="BT70">
            <v>0</v>
          </cell>
          <cell r="BU70">
            <v>0</v>
          </cell>
          <cell r="BW70">
            <v>0</v>
          </cell>
          <cell r="BX70">
            <v>0</v>
          </cell>
          <cell r="BY70">
            <v>0</v>
          </cell>
          <cell r="CT70">
            <v>0</v>
          </cell>
          <cell r="DI70">
            <v>0</v>
          </cell>
          <cell r="DN70">
            <v>0</v>
          </cell>
        </row>
        <row r="71">
          <cell r="AY71">
            <v>0</v>
          </cell>
          <cell r="BB71">
            <v>0</v>
          </cell>
          <cell r="BT71">
            <v>0</v>
          </cell>
          <cell r="BU71">
            <v>0</v>
          </cell>
          <cell r="BW71">
            <v>0</v>
          </cell>
          <cell r="BX71">
            <v>0</v>
          </cell>
          <cell r="BY71">
            <v>0</v>
          </cell>
          <cell r="CT71">
            <v>0</v>
          </cell>
          <cell r="DI71">
            <v>0</v>
          </cell>
          <cell r="DN71">
            <v>0</v>
          </cell>
        </row>
        <row r="72">
          <cell r="AY72">
            <v>0</v>
          </cell>
          <cell r="BB72">
            <v>0</v>
          </cell>
          <cell r="BT72">
            <v>0</v>
          </cell>
          <cell r="BU72">
            <v>0</v>
          </cell>
          <cell r="BW72">
            <v>0</v>
          </cell>
          <cell r="BX72">
            <v>0</v>
          </cell>
          <cell r="BY72">
            <v>0</v>
          </cell>
          <cell r="CT72">
            <v>0</v>
          </cell>
          <cell r="DI72">
            <v>0</v>
          </cell>
          <cell r="DN72">
            <v>0</v>
          </cell>
        </row>
      </sheetData>
      <sheetData sheetId="6"/>
      <sheetData sheetId="7">
        <row r="36">
          <cell r="AY36">
            <v>0</v>
          </cell>
          <cell r="BB36">
            <v>0</v>
          </cell>
          <cell r="BT36">
            <v>0</v>
          </cell>
          <cell r="BU36">
            <v>0</v>
          </cell>
          <cell r="BW36">
            <v>0</v>
          </cell>
          <cell r="BX36">
            <v>0</v>
          </cell>
          <cell r="BY36">
            <v>0</v>
          </cell>
          <cell r="CT36">
            <v>0</v>
          </cell>
          <cell r="DI36">
            <v>0</v>
          </cell>
          <cell r="DN36">
            <v>0</v>
          </cell>
        </row>
        <row r="37">
          <cell r="AY37">
            <v>0</v>
          </cell>
          <cell r="BB37">
            <v>0</v>
          </cell>
          <cell r="BT37">
            <v>0</v>
          </cell>
          <cell r="BU37">
            <v>0</v>
          </cell>
          <cell r="BW37">
            <v>0</v>
          </cell>
          <cell r="BX37">
            <v>0</v>
          </cell>
          <cell r="BY37">
            <v>0</v>
          </cell>
          <cell r="CT37">
            <v>0</v>
          </cell>
          <cell r="DI37">
            <v>0</v>
          </cell>
          <cell r="DN37">
            <v>0</v>
          </cell>
        </row>
        <row r="38">
          <cell r="AY38">
            <v>0</v>
          </cell>
          <cell r="BB38">
            <v>0</v>
          </cell>
          <cell r="BT38">
            <v>0</v>
          </cell>
          <cell r="BU38">
            <v>0</v>
          </cell>
          <cell r="BW38">
            <v>0</v>
          </cell>
          <cell r="BX38">
            <v>0</v>
          </cell>
          <cell r="BY38">
            <v>0</v>
          </cell>
          <cell r="CT38">
            <v>0</v>
          </cell>
          <cell r="DI38">
            <v>0</v>
          </cell>
          <cell r="DN38">
            <v>0</v>
          </cell>
        </row>
        <row r="39">
          <cell r="AY39">
            <v>0</v>
          </cell>
          <cell r="BB39">
            <v>0</v>
          </cell>
          <cell r="BT39">
            <v>0</v>
          </cell>
          <cell r="BU39">
            <v>0</v>
          </cell>
          <cell r="BW39">
            <v>0</v>
          </cell>
          <cell r="BX39">
            <v>0</v>
          </cell>
          <cell r="BY39">
            <v>0</v>
          </cell>
          <cell r="CT39">
            <v>0</v>
          </cell>
          <cell r="DI39">
            <v>0</v>
          </cell>
          <cell r="DN39">
            <v>0</v>
          </cell>
        </row>
        <row r="40">
          <cell r="AY40">
            <v>0</v>
          </cell>
          <cell r="BB40">
            <v>0</v>
          </cell>
          <cell r="BT40">
            <v>0</v>
          </cell>
          <cell r="BU40">
            <v>0</v>
          </cell>
          <cell r="BW40">
            <v>0</v>
          </cell>
          <cell r="BX40">
            <v>0</v>
          </cell>
          <cell r="BY40">
            <v>0</v>
          </cell>
          <cell r="CT40">
            <v>0</v>
          </cell>
          <cell r="DI40">
            <v>0</v>
          </cell>
          <cell r="DN40">
            <v>0</v>
          </cell>
        </row>
        <row r="41">
          <cell r="AY41">
            <v>0</v>
          </cell>
          <cell r="BB41">
            <v>0</v>
          </cell>
          <cell r="BT41">
            <v>0</v>
          </cell>
          <cell r="BU41">
            <v>0</v>
          </cell>
          <cell r="BW41">
            <v>0</v>
          </cell>
          <cell r="BX41">
            <v>0</v>
          </cell>
          <cell r="BY41">
            <v>0</v>
          </cell>
          <cell r="CT41">
            <v>0</v>
          </cell>
          <cell r="DI41">
            <v>0</v>
          </cell>
          <cell r="DN41">
            <v>0</v>
          </cell>
        </row>
        <row r="42">
          <cell r="AY42">
            <v>0</v>
          </cell>
          <cell r="BB42">
            <v>0</v>
          </cell>
          <cell r="BT42">
            <v>0</v>
          </cell>
          <cell r="BU42">
            <v>0</v>
          </cell>
          <cell r="BW42">
            <v>0</v>
          </cell>
          <cell r="BX42">
            <v>0</v>
          </cell>
          <cell r="BY42">
            <v>0</v>
          </cell>
          <cell r="CT42">
            <v>0</v>
          </cell>
          <cell r="DI42">
            <v>0</v>
          </cell>
          <cell r="DN42">
            <v>0</v>
          </cell>
        </row>
        <row r="43">
          <cell r="AY43">
            <v>0</v>
          </cell>
          <cell r="BB43">
            <v>0</v>
          </cell>
          <cell r="BT43">
            <v>0</v>
          </cell>
          <cell r="BU43">
            <v>0</v>
          </cell>
          <cell r="BW43">
            <v>0</v>
          </cell>
          <cell r="BX43">
            <v>0</v>
          </cell>
          <cell r="BY43">
            <v>0</v>
          </cell>
          <cell r="CT43">
            <v>0</v>
          </cell>
          <cell r="DI43">
            <v>0</v>
          </cell>
          <cell r="DN43">
            <v>0</v>
          </cell>
        </row>
        <row r="44">
          <cell r="AY44">
            <v>0</v>
          </cell>
          <cell r="BB44">
            <v>0</v>
          </cell>
          <cell r="BT44">
            <v>0</v>
          </cell>
          <cell r="BU44">
            <v>0</v>
          </cell>
          <cell r="BW44">
            <v>0</v>
          </cell>
          <cell r="BX44">
            <v>0</v>
          </cell>
          <cell r="BY44">
            <v>0</v>
          </cell>
          <cell r="CT44">
            <v>0</v>
          </cell>
          <cell r="DI44">
            <v>0</v>
          </cell>
          <cell r="DN44">
            <v>0</v>
          </cell>
        </row>
        <row r="45">
          <cell r="AY45">
            <v>0</v>
          </cell>
          <cell r="BB45">
            <v>0</v>
          </cell>
          <cell r="BT45">
            <v>0</v>
          </cell>
          <cell r="BU45">
            <v>0</v>
          </cell>
          <cell r="BW45">
            <v>0</v>
          </cell>
          <cell r="BX45">
            <v>0</v>
          </cell>
          <cell r="BY45">
            <v>0</v>
          </cell>
          <cell r="CT45">
            <v>0</v>
          </cell>
          <cell r="DI45">
            <v>0</v>
          </cell>
          <cell r="DN45">
            <v>0</v>
          </cell>
        </row>
        <row r="46">
          <cell r="AY46">
            <v>0</v>
          </cell>
          <cell r="BB46">
            <v>0</v>
          </cell>
          <cell r="BT46">
            <v>0</v>
          </cell>
          <cell r="BU46">
            <v>0</v>
          </cell>
          <cell r="BW46">
            <v>0</v>
          </cell>
          <cell r="BX46">
            <v>0</v>
          </cell>
          <cell r="BY46">
            <v>0</v>
          </cell>
          <cell r="CT46">
            <v>0</v>
          </cell>
          <cell r="DI46">
            <v>0</v>
          </cell>
          <cell r="DN46">
            <v>0</v>
          </cell>
        </row>
        <row r="47">
          <cell r="AY47">
            <v>0</v>
          </cell>
          <cell r="BB47">
            <v>0</v>
          </cell>
          <cell r="BT47">
            <v>0</v>
          </cell>
          <cell r="BU47">
            <v>0</v>
          </cell>
          <cell r="BW47">
            <v>0</v>
          </cell>
          <cell r="BX47">
            <v>0</v>
          </cell>
          <cell r="BY47">
            <v>0</v>
          </cell>
          <cell r="CT47">
            <v>0</v>
          </cell>
          <cell r="DI47">
            <v>0</v>
          </cell>
          <cell r="DN47">
            <v>0</v>
          </cell>
        </row>
        <row r="48">
          <cell r="AY48">
            <v>0</v>
          </cell>
          <cell r="BB48">
            <v>0</v>
          </cell>
          <cell r="BT48">
            <v>0</v>
          </cell>
          <cell r="BU48">
            <v>0</v>
          </cell>
          <cell r="BW48">
            <v>0</v>
          </cell>
          <cell r="BX48">
            <v>0</v>
          </cell>
          <cell r="BY48">
            <v>0</v>
          </cell>
          <cell r="CT48">
            <v>0</v>
          </cell>
          <cell r="DI48">
            <v>0</v>
          </cell>
          <cell r="DN48">
            <v>0</v>
          </cell>
        </row>
        <row r="49">
          <cell r="AY49">
            <v>0</v>
          </cell>
          <cell r="BB49">
            <v>0</v>
          </cell>
          <cell r="BT49">
            <v>0</v>
          </cell>
          <cell r="BU49">
            <v>0</v>
          </cell>
          <cell r="BW49">
            <v>0</v>
          </cell>
          <cell r="BX49">
            <v>0</v>
          </cell>
          <cell r="BY49">
            <v>0</v>
          </cell>
          <cell r="CT49">
            <v>0</v>
          </cell>
          <cell r="DI49">
            <v>0</v>
          </cell>
          <cell r="DN49">
            <v>0</v>
          </cell>
        </row>
        <row r="50">
          <cell r="AY50">
            <v>0</v>
          </cell>
          <cell r="BB50">
            <v>0</v>
          </cell>
          <cell r="BT50">
            <v>0</v>
          </cell>
          <cell r="BU50">
            <v>0</v>
          </cell>
          <cell r="BW50">
            <v>0</v>
          </cell>
          <cell r="BX50">
            <v>0</v>
          </cell>
          <cell r="BY50">
            <v>0</v>
          </cell>
          <cell r="CT50">
            <v>0</v>
          </cell>
          <cell r="DI50">
            <v>0</v>
          </cell>
          <cell r="DN50">
            <v>0</v>
          </cell>
        </row>
        <row r="51">
          <cell r="AY51">
            <v>0</v>
          </cell>
          <cell r="BB51">
            <v>0</v>
          </cell>
          <cell r="BT51">
            <v>0</v>
          </cell>
          <cell r="BU51">
            <v>0</v>
          </cell>
          <cell r="BW51">
            <v>0</v>
          </cell>
          <cell r="BX51">
            <v>0</v>
          </cell>
          <cell r="BY51">
            <v>0</v>
          </cell>
          <cell r="CT51">
            <v>0</v>
          </cell>
          <cell r="DI51">
            <v>0</v>
          </cell>
          <cell r="DN51">
            <v>0</v>
          </cell>
        </row>
        <row r="52">
          <cell r="AY52">
            <v>0</v>
          </cell>
          <cell r="BB52">
            <v>0</v>
          </cell>
          <cell r="BT52">
            <v>0</v>
          </cell>
          <cell r="BU52">
            <v>0</v>
          </cell>
          <cell r="BW52">
            <v>0</v>
          </cell>
          <cell r="BX52">
            <v>0</v>
          </cell>
          <cell r="BY52">
            <v>0</v>
          </cell>
          <cell r="CT52">
            <v>0</v>
          </cell>
          <cell r="DI52">
            <v>0</v>
          </cell>
          <cell r="DN52">
            <v>0</v>
          </cell>
        </row>
        <row r="53">
          <cell r="AY53">
            <v>0</v>
          </cell>
          <cell r="BB53">
            <v>0</v>
          </cell>
          <cell r="BT53">
            <v>0</v>
          </cell>
          <cell r="BU53">
            <v>0</v>
          </cell>
          <cell r="BW53">
            <v>0</v>
          </cell>
          <cell r="BX53">
            <v>0</v>
          </cell>
          <cell r="BY53">
            <v>0</v>
          </cell>
          <cell r="CT53">
            <v>0</v>
          </cell>
          <cell r="DI53">
            <v>0</v>
          </cell>
          <cell r="DN53">
            <v>0</v>
          </cell>
        </row>
        <row r="54">
          <cell r="AY54">
            <v>0</v>
          </cell>
          <cell r="BB54">
            <v>0</v>
          </cell>
          <cell r="BT54">
            <v>0</v>
          </cell>
          <cell r="BU54">
            <v>0</v>
          </cell>
          <cell r="BW54">
            <v>0</v>
          </cell>
          <cell r="BX54">
            <v>0</v>
          </cell>
          <cell r="BY54">
            <v>0</v>
          </cell>
          <cell r="CT54">
            <v>0</v>
          </cell>
          <cell r="DI54">
            <v>0</v>
          </cell>
          <cell r="DN54">
            <v>0</v>
          </cell>
        </row>
        <row r="55">
          <cell r="AY55">
            <v>0</v>
          </cell>
          <cell r="BB55">
            <v>0</v>
          </cell>
          <cell r="BT55">
            <v>0</v>
          </cell>
          <cell r="BU55">
            <v>0</v>
          </cell>
          <cell r="BW55">
            <v>0</v>
          </cell>
          <cell r="BX55">
            <v>0</v>
          </cell>
          <cell r="BY55">
            <v>0</v>
          </cell>
          <cell r="CT55">
            <v>0</v>
          </cell>
          <cell r="DI55">
            <v>0</v>
          </cell>
          <cell r="DN55">
            <v>0</v>
          </cell>
        </row>
        <row r="56">
          <cell r="AY56">
            <v>0</v>
          </cell>
          <cell r="BB56">
            <v>0</v>
          </cell>
          <cell r="BT56">
            <v>0</v>
          </cell>
          <cell r="BU56">
            <v>0</v>
          </cell>
          <cell r="BW56">
            <v>0</v>
          </cell>
          <cell r="BX56">
            <v>0</v>
          </cell>
          <cell r="BY56">
            <v>0</v>
          </cell>
          <cell r="CT56">
            <v>0</v>
          </cell>
          <cell r="DI56">
            <v>0</v>
          </cell>
          <cell r="DN56">
            <v>0</v>
          </cell>
        </row>
        <row r="57">
          <cell r="AY57">
            <v>0</v>
          </cell>
          <cell r="BB57">
            <v>0</v>
          </cell>
          <cell r="BT57">
            <v>0</v>
          </cell>
          <cell r="BU57">
            <v>0</v>
          </cell>
          <cell r="BW57">
            <v>0</v>
          </cell>
          <cell r="BX57">
            <v>0</v>
          </cell>
          <cell r="BY57">
            <v>0</v>
          </cell>
          <cell r="CT57">
            <v>0</v>
          </cell>
          <cell r="DI57">
            <v>0</v>
          </cell>
          <cell r="DN57">
            <v>0</v>
          </cell>
        </row>
        <row r="58">
          <cell r="AY58">
            <v>0</v>
          </cell>
          <cell r="BB58">
            <v>0</v>
          </cell>
          <cell r="BT58">
            <v>0</v>
          </cell>
          <cell r="BU58">
            <v>0</v>
          </cell>
          <cell r="BW58">
            <v>0</v>
          </cell>
          <cell r="BX58">
            <v>0</v>
          </cell>
          <cell r="BY58">
            <v>0</v>
          </cell>
          <cell r="CT58">
            <v>0</v>
          </cell>
          <cell r="DI58">
            <v>0</v>
          </cell>
          <cell r="DN58">
            <v>0</v>
          </cell>
        </row>
        <row r="59">
          <cell r="AY59">
            <v>0</v>
          </cell>
          <cell r="BB59">
            <v>0</v>
          </cell>
          <cell r="BT59">
            <v>0</v>
          </cell>
          <cell r="BU59">
            <v>0</v>
          </cell>
          <cell r="BW59">
            <v>0</v>
          </cell>
          <cell r="BX59">
            <v>0</v>
          </cell>
          <cell r="BY59">
            <v>0</v>
          </cell>
          <cell r="CT59">
            <v>0</v>
          </cell>
          <cell r="DI59">
            <v>0</v>
          </cell>
          <cell r="DN59">
            <v>0</v>
          </cell>
        </row>
        <row r="60">
          <cell r="AY60">
            <v>0</v>
          </cell>
          <cell r="BB60">
            <v>0</v>
          </cell>
          <cell r="BT60">
            <v>0</v>
          </cell>
          <cell r="BU60">
            <v>0</v>
          </cell>
          <cell r="BW60">
            <v>0</v>
          </cell>
          <cell r="BX60">
            <v>0</v>
          </cell>
          <cell r="BY60">
            <v>0</v>
          </cell>
          <cell r="CT60">
            <v>0</v>
          </cell>
          <cell r="DI60">
            <v>0</v>
          </cell>
          <cell r="DN60">
            <v>0</v>
          </cell>
        </row>
        <row r="61">
          <cell r="AY61">
            <v>0</v>
          </cell>
          <cell r="BB61">
            <v>0</v>
          </cell>
          <cell r="BT61">
            <v>0</v>
          </cell>
          <cell r="BU61">
            <v>0</v>
          </cell>
          <cell r="BW61">
            <v>0</v>
          </cell>
          <cell r="BX61">
            <v>0</v>
          </cell>
          <cell r="BY61">
            <v>0</v>
          </cell>
          <cell r="CT61">
            <v>0</v>
          </cell>
          <cell r="DI61">
            <v>0</v>
          </cell>
          <cell r="DN61">
            <v>0</v>
          </cell>
        </row>
        <row r="62">
          <cell r="AY62">
            <v>0</v>
          </cell>
          <cell r="BB62">
            <v>0</v>
          </cell>
          <cell r="BT62">
            <v>0</v>
          </cell>
          <cell r="BU62">
            <v>0</v>
          </cell>
          <cell r="BW62">
            <v>0</v>
          </cell>
          <cell r="BX62">
            <v>0</v>
          </cell>
          <cell r="BY62">
            <v>0</v>
          </cell>
          <cell r="CT62">
            <v>0</v>
          </cell>
          <cell r="DI62">
            <v>0</v>
          </cell>
          <cell r="DN62">
            <v>0</v>
          </cell>
        </row>
        <row r="63">
          <cell r="AY63">
            <v>0</v>
          </cell>
          <cell r="BB63">
            <v>0</v>
          </cell>
          <cell r="BT63">
            <v>0</v>
          </cell>
          <cell r="BU63">
            <v>0</v>
          </cell>
          <cell r="BW63">
            <v>0</v>
          </cell>
          <cell r="BX63">
            <v>0</v>
          </cell>
          <cell r="BY63">
            <v>0</v>
          </cell>
          <cell r="CT63">
            <v>0</v>
          </cell>
          <cell r="DI63">
            <v>0</v>
          </cell>
          <cell r="DN63">
            <v>0</v>
          </cell>
        </row>
        <row r="64">
          <cell r="AY64">
            <v>0</v>
          </cell>
          <cell r="BB64">
            <v>0</v>
          </cell>
          <cell r="BT64">
            <v>0</v>
          </cell>
          <cell r="BU64">
            <v>0</v>
          </cell>
          <cell r="BW64">
            <v>0</v>
          </cell>
          <cell r="BX64">
            <v>0</v>
          </cell>
          <cell r="BY64">
            <v>0</v>
          </cell>
          <cell r="CT64">
            <v>0</v>
          </cell>
          <cell r="DI64">
            <v>0</v>
          </cell>
          <cell r="DN64">
            <v>0</v>
          </cell>
        </row>
        <row r="65">
          <cell r="AY65">
            <v>0</v>
          </cell>
          <cell r="BB65">
            <v>0</v>
          </cell>
          <cell r="BT65">
            <v>0</v>
          </cell>
          <cell r="BU65">
            <v>0</v>
          </cell>
          <cell r="BW65">
            <v>0</v>
          </cell>
          <cell r="BX65">
            <v>0</v>
          </cell>
          <cell r="BY65">
            <v>0</v>
          </cell>
          <cell r="CT65">
            <v>0</v>
          </cell>
          <cell r="DI65">
            <v>0</v>
          </cell>
          <cell r="DN65">
            <v>0</v>
          </cell>
        </row>
        <row r="66">
          <cell r="AY66">
            <v>0</v>
          </cell>
          <cell r="BB66">
            <v>0</v>
          </cell>
          <cell r="BT66">
            <v>0</v>
          </cell>
          <cell r="BU66">
            <v>0</v>
          </cell>
          <cell r="BW66">
            <v>0</v>
          </cell>
          <cell r="BX66">
            <v>0</v>
          </cell>
          <cell r="BY66">
            <v>0</v>
          </cell>
          <cell r="CT66">
            <v>0</v>
          </cell>
          <cell r="DI66">
            <v>0</v>
          </cell>
          <cell r="DN66">
            <v>0</v>
          </cell>
        </row>
        <row r="67">
          <cell r="AY67">
            <v>0</v>
          </cell>
          <cell r="BB67">
            <v>0</v>
          </cell>
          <cell r="BT67">
            <v>0</v>
          </cell>
          <cell r="BU67">
            <v>0</v>
          </cell>
          <cell r="BW67">
            <v>0</v>
          </cell>
          <cell r="BX67">
            <v>0</v>
          </cell>
          <cell r="BY67">
            <v>0</v>
          </cell>
          <cell r="CT67">
            <v>0</v>
          </cell>
          <cell r="DI67">
            <v>0</v>
          </cell>
          <cell r="DN67">
            <v>0</v>
          </cell>
        </row>
        <row r="68">
          <cell r="AY68">
            <v>0</v>
          </cell>
          <cell r="BB68">
            <v>0</v>
          </cell>
          <cell r="BT68">
            <v>0</v>
          </cell>
          <cell r="BU68">
            <v>0</v>
          </cell>
          <cell r="BW68">
            <v>0</v>
          </cell>
          <cell r="BX68">
            <v>0</v>
          </cell>
          <cell r="BY68">
            <v>0</v>
          </cell>
          <cell r="CT68">
            <v>0</v>
          </cell>
          <cell r="DI68">
            <v>0</v>
          </cell>
          <cell r="DN68">
            <v>0</v>
          </cell>
        </row>
        <row r="69">
          <cell r="AY69">
            <v>0</v>
          </cell>
          <cell r="BB69">
            <v>0</v>
          </cell>
          <cell r="BT69">
            <v>0</v>
          </cell>
          <cell r="BU69">
            <v>0</v>
          </cell>
          <cell r="BW69">
            <v>0</v>
          </cell>
          <cell r="BX69">
            <v>0</v>
          </cell>
          <cell r="BY69">
            <v>0</v>
          </cell>
          <cell r="CT69">
            <v>0</v>
          </cell>
          <cell r="DI69">
            <v>0</v>
          </cell>
          <cell r="DN69">
            <v>0</v>
          </cell>
        </row>
        <row r="70">
          <cell r="AY70">
            <v>0</v>
          </cell>
          <cell r="BB70">
            <v>0</v>
          </cell>
          <cell r="BT70">
            <v>0</v>
          </cell>
          <cell r="BU70">
            <v>0</v>
          </cell>
          <cell r="BW70">
            <v>0</v>
          </cell>
          <cell r="BX70">
            <v>0</v>
          </cell>
          <cell r="BY70">
            <v>0</v>
          </cell>
          <cell r="CT70">
            <v>0</v>
          </cell>
          <cell r="DI70">
            <v>0</v>
          </cell>
          <cell r="DN70">
            <v>0</v>
          </cell>
        </row>
        <row r="71">
          <cell r="AY71">
            <v>0</v>
          </cell>
          <cell r="BB71">
            <v>0</v>
          </cell>
          <cell r="BT71">
            <v>0</v>
          </cell>
          <cell r="BU71">
            <v>0</v>
          </cell>
          <cell r="BW71">
            <v>0</v>
          </cell>
          <cell r="BX71">
            <v>0</v>
          </cell>
          <cell r="BY71">
            <v>0</v>
          </cell>
          <cell r="CT71">
            <v>0</v>
          </cell>
          <cell r="DI71">
            <v>0</v>
          </cell>
          <cell r="DN71">
            <v>0</v>
          </cell>
        </row>
        <row r="72">
          <cell r="AY72">
            <v>0</v>
          </cell>
          <cell r="BB72">
            <v>0</v>
          </cell>
          <cell r="BT72">
            <v>0</v>
          </cell>
          <cell r="BU72">
            <v>0</v>
          </cell>
          <cell r="BW72">
            <v>0</v>
          </cell>
          <cell r="BX72">
            <v>0</v>
          </cell>
          <cell r="BY72">
            <v>0</v>
          </cell>
          <cell r="CT72">
            <v>0</v>
          </cell>
          <cell r="DI72">
            <v>0</v>
          </cell>
          <cell r="DN72">
            <v>0</v>
          </cell>
        </row>
      </sheetData>
      <sheetData sheetId="8">
        <row r="36">
          <cell r="AY36">
            <v>0</v>
          </cell>
          <cell r="BB36">
            <v>0</v>
          </cell>
          <cell r="BT36">
            <v>0</v>
          </cell>
          <cell r="BU36">
            <v>0</v>
          </cell>
          <cell r="BW36">
            <v>0</v>
          </cell>
          <cell r="BX36">
            <v>0</v>
          </cell>
          <cell r="BY36">
            <v>0</v>
          </cell>
          <cell r="CT36">
            <v>0</v>
          </cell>
          <cell r="DI36">
            <v>0</v>
          </cell>
          <cell r="DN36">
            <v>0</v>
          </cell>
        </row>
        <row r="37">
          <cell r="AY37">
            <v>0</v>
          </cell>
          <cell r="BB37">
            <v>0</v>
          </cell>
          <cell r="BT37">
            <v>0</v>
          </cell>
          <cell r="BU37">
            <v>0</v>
          </cell>
          <cell r="BW37">
            <v>0</v>
          </cell>
          <cell r="BX37">
            <v>0</v>
          </cell>
          <cell r="BY37">
            <v>0</v>
          </cell>
          <cell r="CT37">
            <v>0</v>
          </cell>
          <cell r="DI37">
            <v>0</v>
          </cell>
          <cell r="DN37">
            <v>0</v>
          </cell>
        </row>
        <row r="38">
          <cell r="AY38">
            <v>0</v>
          </cell>
          <cell r="BB38">
            <v>0</v>
          </cell>
          <cell r="BT38">
            <v>0</v>
          </cell>
          <cell r="BU38">
            <v>0</v>
          </cell>
          <cell r="BW38">
            <v>0</v>
          </cell>
          <cell r="BX38">
            <v>0</v>
          </cell>
          <cell r="BY38">
            <v>0</v>
          </cell>
          <cell r="CT38">
            <v>0</v>
          </cell>
          <cell r="DI38">
            <v>0</v>
          </cell>
          <cell r="DN38">
            <v>0</v>
          </cell>
        </row>
        <row r="39">
          <cell r="AY39">
            <v>0</v>
          </cell>
          <cell r="BB39">
            <v>0</v>
          </cell>
          <cell r="BT39">
            <v>0</v>
          </cell>
          <cell r="BU39">
            <v>0</v>
          </cell>
          <cell r="BW39">
            <v>0</v>
          </cell>
          <cell r="BX39">
            <v>0</v>
          </cell>
          <cell r="BY39">
            <v>0</v>
          </cell>
          <cell r="CT39">
            <v>0</v>
          </cell>
          <cell r="DI39">
            <v>0</v>
          </cell>
          <cell r="DN39">
            <v>0</v>
          </cell>
        </row>
        <row r="40">
          <cell r="AY40">
            <v>0</v>
          </cell>
          <cell r="BB40">
            <v>0</v>
          </cell>
          <cell r="BT40">
            <v>0</v>
          </cell>
          <cell r="BU40">
            <v>0</v>
          </cell>
          <cell r="BW40">
            <v>0</v>
          </cell>
          <cell r="BX40">
            <v>0</v>
          </cell>
          <cell r="BY40">
            <v>0</v>
          </cell>
          <cell r="CT40">
            <v>0</v>
          </cell>
          <cell r="DI40">
            <v>0</v>
          </cell>
          <cell r="DN40">
            <v>0</v>
          </cell>
        </row>
        <row r="41">
          <cell r="AY41">
            <v>0</v>
          </cell>
          <cell r="BB41">
            <v>0</v>
          </cell>
          <cell r="BT41">
            <v>0</v>
          </cell>
          <cell r="BU41">
            <v>0</v>
          </cell>
          <cell r="BW41">
            <v>0</v>
          </cell>
          <cell r="BX41">
            <v>0</v>
          </cell>
          <cell r="BY41">
            <v>0</v>
          </cell>
          <cell r="CT41">
            <v>0</v>
          </cell>
          <cell r="DI41">
            <v>0</v>
          </cell>
          <cell r="DN41">
            <v>0</v>
          </cell>
        </row>
        <row r="42">
          <cell r="AY42">
            <v>0</v>
          </cell>
          <cell r="BB42">
            <v>0</v>
          </cell>
          <cell r="BT42">
            <v>0</v>
          </cell>
          <cell r="BU42">
            <v>0</v>
          </cell>
          <cell r="BW42">
            <v>0</v>
          </cell>
          <cell r="BX42">
            <v>0</v>
          </cell>
          <cell r="BY42">
            <v>0</v>
          </cell>
          <cell r="CT42">
            <v>0</v>
          </cell>
          <cell r="DI42">
            <v>0</v>
          </cell>
          <cell r="DN42">
            <v>0</v>
          </cell>
        </row>
        <row r="43">
          <cell r="AY43">
            <v>0</v>
          </cell>
          <cell r="BB43">
            <v>0</v>
          </cell>
          <cell r="BT43">
            <v>0</v>
          </cell>
          <cell r="BU43">
            <v>0</v>
          </cell>
          <cell r="BW43">
            <v>0</v>
          </cell>
          <cell r="BX43">
            <v>0</v>
          </cell>
          <cell r="BY43">
            <v>0</v>
          </cell>
          <cell r="CT43">
            <v>0</v>
          </cell>
          <cell r="DI43">
            <v>0</v>
          </cell>
          <cell r="DN43">
            <v>0</v>
          </cell>
        </row>
        <row r="44">
          <cell r="AY44">
            <v>0</v>
          </cell>
          <cell r="BB44">
            <v>0</v>
          </cell>
          <cell r="BT44">
            <v>0</v>
          </cell>
          <cell r="BU44">
            <v>0</v>
          </cell>
          <cell r="BW44">
            <v>0</v>
          </cell>
          <cell r="BX44">
            <v>0</v>
          </cell>
          <cell r="BY44">
            <v>0</v>
          </cell>
          <cell r="CT44">
            <v>0</v>
          </cell>
          <cell r="DI44">
            <v>0</v>
          </cell>
          <cell r="DN44">
            <v>0</v>
          </cell>
        </row>
        <row r="45">
          <cell r="AY45">
            <v>0</v>
          </cell>
          <cell r="BB45">
            <v>0</v>
          </cell>
          <cell r="BT45">
            <v>0</v>
          </cell>
          <cell r="BU45">
            <v>0</v>
          </cell>
          <cell r="BW45">
            <v>0</v>
          </cell>
          <cell r="BX45">
            <v>0</v>
          </cell>
          <cell r="BY45">
            <v>0</v>
          </cell>
          <cell r="CT45">
            <v>0</v>
          </cell>
          <cell r="DI45">
            <v>0</v>
          </cell>
          <cell r="DN45">
            <v>0</v>
          </cell>
        </row>
        <row r="46">
          <cell r="AY46">
            <v>0</v>
          </cell>
          <cell r="BB46">
            <v>0</v>
          </cell>
          <cell r="BT46">
            <v>0</v>
          </cell>
          <cell r="BU46">
            <v>0</v>
          </cell>
          <cell r="BW46">
            <v>0</v>
          </cell>
          <cell r="BX46">
            <v>0</v>
          </cell>
          <cell r="BY46">
            <v>0</v>
          </cell>
          <cell r="CT46">
            <v>0</v>
          </cell>
          <cell r="DI46">
            <v>0</v>
          </cell>
          <cell r="DN46">
            <v>0</v>
          </cell>
        </row>
        <row r="47">
          <cell r="AY47">
            <v>0</v>
          </cell>
          <cell r="BB47">
            <v>0</v>
          </cell>
          <cell r="BT47">
            <v>0</v>
          </cell>
          <cell r="BU47">
            <v>0</v>
          </cell>
          <cell r="BW47">
            <v>0</v>
          </cell>
          <cell r="BX47">
            <v>0</v>
          </cell>
          <cell r="BY47">
            <v>0</v>
          </cell>
          <cell r="CT47">
            <v>0</v>
          </cell>
          <cell r="DI47">
            <v>0</v>
          </cell>
          <cell r="DN47">
            <v>0</v>
          </cell>
        </row>
        <row r="48">
          <cell r="AY48">
            <v>0</v>
          </cell>
          <cell r="BB48">
            <v>0</v>
          </cell>
          <cell r="BT48">
            <v>0</v>
          </cell>
          <cell r="BU48">
            <v>0</v>
          </cell>
          <cell r="BW48">
            <v>0</v>
          </cell>
          <cell r="BX48">
            <v>0</v>
          </cell>
          <cell r="BY48">
            <v>0</v>
          </cell>
          <cell r="CT48">
            <v>0</v>
          </cell>
          <cell r="DI48">
            <v>0</v>
          </cell>
          <cell r="DN48">
            <v>0</v>
          </cell>
        </row>
        <row r="49">
          <cell r="AY49">
            <v>0</v>
          </cell>
          <cell r="BB49">
            <v>0</v>
          </cell>
          <cell r="BT49">
            <v>0</v>
          </cell>
          <cell r="BU49">
            <v>0</v>
          </cell>
          <cell r="BW49">
            <v>0</v>
          </cell>
          <cell r="BX49">
            <v>0</v>
          </cell>
          <cell r="BY49">
            <v>0</v>
          </cell>
          <cell r="CT49">
            <v>0</v>
          </cell>
          <cell r="DI49">
            <v>0</v>
          </cell>
          <cell r="DN49">
            <v>0</v>
          </cell>
        </row>
        <row r="50">
          <cell r="AY50">
            <v>0</v>
          </cell>
          <cell r="BB50">
            <v>0</v>
          </cell>
          <cell r="BT50">
            <v>0</v>
          </cell>
          <cell r="BU50">
            <v>0</v>
          </cell>
          <cell r="BW50">
            <v>0</v>
          </cell>
          <cell r="BX50">
            <v>0</v>
          </cell>
          <cell r="BY50">
            <v>0</v>
          </cell>
          <cell r="CT50">
            <v>0</v>
          </cell>
          <cell r="DI50">
            <v>0</v>
          </cell>
          <cell r="DN50">
            <v>0</v>
          </cell>
        </row>
        <row r="51">
          <cell r="AY51">
            <v>0</v>
          </cell>
          <cell r="BB51">
            <v>0</v>
          </cell>
          <cell r="BT51">
            <v>0</v>
          </cell>
          <cell r="BU51">
            <v>0</v>
          </cell>
          <cell r="BW51">
            <v>0</v>
          </cell>
          <cell r="BX51">
            <v>0</v>
          </cell>
          <cell r="BY51">
            <v>0</v>
          </cell>
          <cell r="CT51">
            <v>0</v>
          </cell>
          <cell r="DI51">
            <v>0</v>
          </cell>
          <cell r="DN51">
            <v>0</v>
          </cell>
        </row>
        <row r="52">
          <cell r="AY52">
            <v>0</v>
          </cell>
          <cell r="BB52">
            <v>0</v>
          </cell>
          <cell r="BT52">
            <v>0</v>
          </cell>
          <cell r="BU52">
            <v>0</v>
          </cell>
          <cell r="BW52">
            <v>0</v>
          </cell>
          <cell r="BX52">
            <v>0</v>
          </cell>
          <cell r="BY52">
            <v>0</v>
          </cell>
          <cell r="CT52">
            <v>0</v>
          </cell>
          <cell r="DI52">
            <v>0</v>
          </cell>
          <cell r="DN52">
            <v>0</v>
          </cell>
        </row>
        <row r="53">
          <cell r="AY53">
            <v>0</v>
          </cell>
          <cell r="BB53">
            <v>0</v>
          </cell>
          <cell r="BT53">
            <v>0</v>
          </cell>
          <cell r="BU53">
            <v>0</v>
          </cell>
          <cell r="BW53">
            <v>0</v>
          </cell>
          <cell r="BX53">
            <v>0</v>
          </cell>
          <cell r="BY53">
            <v>0</v>
          </cell>
          <cell r="CT53">
            <v>0</v>
          </cell>
          <cell r="DI53">
            <v>0</v>
          </cell>
          <cell r="DN53">
            <v>0</v>
          </cell>
        </row>
        <row r="54">
          <cell r="AY54">
            <v>0</v>
          </cell>
          <cell r="BB54">
            <v>0</v>
          </cell>
          <cell r="BT54">
            <v>0</v>
          </cell>
          <cell r="BU54">
            <v>0</v>
          </cell>
          <cell r="BW54">
            <v>0</v>
          </cell>
          <cell r="BX54">
            <v>0</v>
          </cell>
          <cell r="BY54">
            <v>0</v>
          </cell>
          <cell r="CT54">
            <v>0</v>
          </cell>
          <cell r="DI54">
            <v>0</v>
          </cell>
          <cell r="DN54">
            <v>0</v>
          </cell>
        </row>
        <row r="55">
          <cell r="AY55">
            <v>0</v>
          </cell>
          <cell r="BB55">
            <v>0</v>
          </cell>
          <cell r="BT55">
            <v>0</v>
          </cell>
          <cell r="BU55">
            <v>0</v>
          </cell>
          <cell r="BW55">
            <v>0</v>
          </cell>
          <cell r="BX55">
            <v>0</v>
          </cell>
          <cell r="BY55">
            <v>0</v>
          </cell>
          <cell r="CT55">
            <v>0</v>
          </cell>
          <cell r="DI55">
            <v>0</v>
          </cell>
          <cell r="DN55">
            <v>0</v>
          </cell>
        </row>
        <row r="56">
          <cell r="AY56">
            <v>0</v>
          </cell>
          <cell r="BB56">
            <v>0</v>
          </cell>
          <cell r="BT56">
            <v>0</v>
          </cell>
          <cell r="BU56">
            <v>0</v>
          </cell>
          <cell r="BW56">
            <v>0</v>
          </cell>
          <cell r="BX56">
            <v>0</v>
          </cell>
          <cell r="BY56">
            <v>0</v>
          </cell>
          <cell r="CT56">
            <v>0</v>
          </cell>
          <cell r="DI56">
            <v>0</v>
          </cell>
          <cell r="DN56">
            <v>0</v>
          </cell>
        </row>
        <row r="57">
          <cell r="AY57">
            <v>0</v>
          </cell>
          <cell r="BB57">
            <v>0</v>
          </cell>
          <cell r="BT57">
            <v>0</v>
          </cell>
          <cell r="BU57">
            <v>0</v>
          </cell>
          <cell r="BW57">
            <v>0</v>
          </cell>
          <cell r="BX57">
            <v>0</v>
          </cell>
          <cell r="BY57">
            <v>0</v>
          </cell>
          <cell r="CT57">
            <v>0</v>
          </cell>
          <cell r="DI57">
            <v>0</v>
          </cell>
          <cell r="DN57">
            <v>0</v>
          </cell>
        </row>
        <row r="58">
          <cell r="AY58">
            <v>0</v>
          </cell>
          <cell r="BB58">
            <v>0</v>
          </cell>
          <cell r="BT58">
            <v>0</v>
          </cell>
          <cell r="BU58">
            <v>0</v>
          </cell>
          <cell r="BW58">
            <v>0</v>
          </cell>
          <cell r="BX58">
            <v>0</v>
          </cell>
          <cell r="BY58">
            <v>0</v>
          </cell>
          <cell r="CT58">
            <v>0</v>
          </cell>
          <cell r="DI58">
            <v>0</v>
          </cell>
          <cell r="DN58">
            <v>0</v>
          </cell>
        </row>
        <row r="59">
          <cell r="AY59">
            <v>0</v>
          </cell>
          <cell r="BB59">
            <v>0</v>
          </cell>
          <cell r="BT59">
            <v>0</v>
          </cell>
          <cell r="BU59">
            <v>0</v>
          </cell>
          <cell r="BW59">
            <v>0</v>
          </cell>
          <cell r="BX59">
            <v>0</v>
          </cell>
          <cell r="BY59">
            <v>0</v>
          </cell>
          <cell r="CT59">
            <v>0</v>
          </cell>
          <cell r="DI59">
            <v>0</v>
          </cell>
          <cell r="DN59">
            <v>0</v>
          </cell>
        </row>
        <row r="60">
          <cell r="AY60">
            <v>0</v>
          </cell>
          <cell r="BB60">
            <v>0</v>
          </cell>
          <cell r="BT60">
            <v>0</v>
          </cell>
          <cell r="BU60">
            <v>0</v>
          </cell>
          <cell r="BW60">
            <v>0</v>
          </cell>
          <cell r="BX60">
            <v>0</v>
          </cell>
          <cell r="BY60">
            <v>0</v>
          </cell>
          <cell r="CT60">
            <v>0</v>
          </cell>
          <cell r="DI60">
            <v>0</v>
          </cell>
          <cell r="DN60">
            <v>0</v>
          </cell>
        </row>
        <row r="61">
          <cell r="AY61">
            <v>0</v>
          </cell>
          <cell r="BB61">
            <v>0</v>
          </cell>
          <cell r="BT61">
            <v>0</v>
          </cell>
          <cell r="BU61">
            <v>0</v>
          </cell>
          <cell r="BW61">
            <v>0</v>
          </cell>
          <cell r="BX61">
            <v>0</v>
          </cell>
          <cell r="BY61">
            <v>0</v>
          </cell>
          <cell r="CT61">
            <v>0</v>
          </cell>
          <cell r="DI61">
            <v>0</v>
          </cell>
          <cell r="DN61">
            <v>0</v>
          </cell>
        </row>
        <row r="62">
          <cell r="AY62">
            <v>0</v>
          </cell>
          <cell r="BB62">
            <v>0</v>
          </cell>
          <cell r="BT62">
            <v>0</v>
          </cell>
          <cell r="BU62">
            <v>0</v>
          </cell>
          <cell r="BW62">
            <v>0</v>
          </cell>
          <cell r="BX62">
            <v>0</v>
          </cell>
          <cell r="BY62">
            <v>0</v>
          </cell>
          <cell r="CT62">
            <v>0</v>
          </cell>
          <cell r="DI62">
            <v>0</v>
          </cell>
          <cell r="DN62">
            <v>0</v>
          </cell>
        </row>
        <row r="63">
          <cell r="AY63">
            <v>0</v>
          </cell>
          <cell r="BB63">
            <v>0</v>
          </cell>
          <cell r="BT63">
            <v>0</v>
          </cell>
          <cell r="BU63">
            <v>0</v>
          </cell>
          <cell r="BW63">
            <v>0</v>
          </cell>
          <cell r="BX63">
            <v>0</v>
          </cell>
          <cell r="BY63">
            <v>0</v>
          </cell>
          <cell r="CT63">
            <v>0</v>
          </cell>
          <cell r="DI63">
            <v>0</v>
          </cell>
          <cell r="DN63">
            <v>0</v>
          </cell>
        </row>
        <row r="64">
          <cell r="AY64">
            <v>0</v>
          </cell>
          <cell r="BB64">
            <v>0</v>
          </cell>
          <cell r="BT64">
            <v>0</v>
          </cell>
          <cell r="BU64">
            <v>0</v>
          </cell>
          <cell r="BW64">
            <v>0</v>
          </cell>
          <cell r="BX64">
            <v>0</v>
          </cell>
          <cell r="BY64">
            <v>0</v>
          </cell>
          <cell r="CT64">
            <v>0</v>
          </cell>
          <cell r="DI64">
            <v>0</v>
          </cell>
          <cell r="DN64">
            <v>0</v>
          </cell>
        </row>
        <row r="65">
          <cell r="AY65">
            <v>0</v>
          </cell>
          <cell r="BB65">
            <v>0</v>
          </cell>
          <cell r="BT65">
            <v>0</v>
          </cell>
          <cell r="BU65">
            <v>0</v>
          </cell>
          <cell r="BW65">
            <v>0</v>
          </cell>
          <cell r="BX65">
            <v>0</v>
          </cell>
          <cell r="BY65">
            <v>0</v>
          </cell>
          <cell r="CT65">
            <v>0</v>
          </cell>
          <cell r="DI65">
            <v>0</v>
          </cell>
          <cell r="DN65">
            <v>0</v>
          </cell>
        </row>
        <row r="66">
          <cell r="AY66">
            <v>0</v>
          </cell>
          <cell r="BB66">
            <v>0</v>
          </cell>
          <cell r="BT66">
            <v>0</v>
          </cell>
          <cell r="BU66">
            <v>0</v>
          </cell>
          <cell r="BW66">
            <v>0</v>
          </cell>
          <cell r="BX66">
            <v>0</v>
          </cell>
          <cell r="BY66">
            <v>0</v>
          </cell>
          <cell r="CT66">
            <v>0</v>
          </cell>
          <cell r="DI66">
            <v>0</v>
          </cell>
          <cell r="DN66">
            <v>0</v>
          </cell>
        </row>
        <row r="67">
          <cell r="AY67">
            <v>0</v>
          </cell>
          <cell r="BB67">
            <v>0</v>
          </cell>
          <cell r="BT67">
            <v>0</v>
          </cell>
          <cell r="BU67">
            <v>0</v>
          </cell>
          <cell r="BW67">
            <v>0</v>
          </cell>
          <cell r="BX67">
            <v>0</v>
          </cell>
          <cell r="BY67">
            <v>0</v>
          </cell>
          <cell r="CT67">
            <v>0</v>
          </cell>
          <cell r="DI67">
            <v>0</v>
          </cell>
          <cell r="DN67">
            <v>0</v>
          </cell>
        </row>
        <row r="68">
          <cell r="AY68">
            <v>0</v>
          </cell>
          <cell r="BB68">
            <v>0</v>
          </cell>
          <cell r="BT68">
            <v>0</v>
          </cell>
          <cell r="BU68">
            <v>0</v>
          </cell>
          <cell r="BW68">
            <v>0</v>
          </cell>
          <cell r="BX68">
            <v>0</v>
          </cell>
          <cell r="BY68">
            <v>0</v>
          </cell>
          <cell r="CT68">
            <v>0</v>
          </cell>
          <cell r="DI68">
            <v>0</v>
          </cell>
          <cell r="DN68">
            <v>0</v>
          </cell>
        </row>
        <row r="69">
          <cell r="AY69">
            <v>0</v>
          </cell>
          <cell r="BB69">
            <v>0</v>
          </cell>
          <cell r="BT69">
            <v>0</v>
          </cell>
          <cell r="BU69">
            <v>0</v>
          </cell>
          <cell r="BW69">
            <v>0</v>
          </cell>
          <cell r="BX69">
            <v>0</v>
          </cell>
          <cell r="BY69">
            <v>0</v>
          </cell>
          <cell r="CT69">
            <v>0</v>
          </cell>
          <cell r="DI69">
            <v>0</v>
          </cell>
          <cell r="DN69">
            <v>0</v>
          </cell>
        </row>
        <row r="70">
          <cell r="AY70">
            <v>0</v>
          </cell>
          <cell r="BB70">
            <v>0</v>
          </cell>
          <cell r="BT70">
            <v>0</v>
          </cell>
          <cell r="BU70">
            <v>0</v>
          </cell>
          <cell r="BW70">
            <v>0</v>
          </cell>
          <cell r="BX70">
            <v>0</v>
          </cell>
          <cell r="BY70">
            <v>0</v>
          </cell>
          <cell r="CT70">
            <v>0</v>
          </cell>
          <cell r="DI70">
            <v>0</v>
          </cell>
          <cell r="DN70">
            <v>0</v>
          </cell>
        </row>
        <row r="71">
          <cell r="AY71">
            <v>0</v>
          </cell>
          <cell r="BB71">
            <v>0</v>
          </cell>
          <cell r="BT71">
            <v>0</v>
          </cell>
          <cell r="BU71">
            <v>0</v>
          </cell>
          <cell r="BW71">
            <v>0</v>
          </cell>
          <cell r="BX71">
            <v>0</v>
          </cell>
          <cell r="BY71">
            <v>0</v>
          </cell>
          <cell r="CT71">
            <v>0</v>
          </cell>
          <cell r="DI71">
            <v>0</v>
          </cell>
          <cell r="DN71">
            <v>0</v>
          </cell>
        </row>
        <row r="72">
          <cell r="AY72">
            <v>0</v>
          </cell>
          <cell r="BB72">
            <v>0</v>
          </cell>
          <cell r="BT72">
            <v>0</v>
          </cell>
          <cell r="BU72">
            <v>0</v>
          </cell>
          <cell r="BW72">
            <v>0</v>
          </cell>
          <cell r="BX72">
            <v>0</v>
          </cell>
          <cell r="BY72">
            <v>0</v>
          </cell>
          <cell r="CT72">
            <v>0</v>
          </cell>
          <cell r="DI72">
            <v>0</v>
          </cell>
          <cell r="DN72">
            <v>0</v>
          </cell>
        </row>
      </sheetData>
      <sheetData sheetId="9">
        <row r="36">
          <cell r="AY36">
            <v>1480</v>
          </cell>
          <cell r="BB36">
            <v>5922</v>
          </cell>
          <cell r="BT36">
            <v>601427</v>
          </cell>
          <cell r="BU36">
            <v>4764</v>
          </cell>
          <cell r="BW36">
            <v>0</v>
          </cell>
          <cell r="BX36">
            <v>0</v>
          </cell>
          <cell r="BY36">
            <v>4764</v>
          </cell>
          <cell r="CT36">
            <v>0</v>
          </cell>
          <cell r="DI36">
            <v>0</v>
          </cell>
          <cell r="DN36">
            <v>596663</v>
          </cell>
        </row>
        <row r="37">
          <cell r="AY37">
            <v>2613</v>
          </cell>
          <cell r="BB37">
            <v>10448</v>
          </cell>
          <cell r="BT37">
            <v>1061079</v>
          </cell>
          <cell r="BU37">
            <v>4523</v>
          </cell>
          <cell r="BW37">
            <v>0</v>
          </cell>
          <cell r="BX37">
            <v>0</v>
          </cell>
          <cell r="BY37">
            <v>4523</v>
          </cell>
          <cell r="CT37">
            <v>0</v>
          </cell>
          <cell r="DI37">
            <v>0</v>
          </cell>
          <cell r="DN37">
            <v>1056556</v>
          </cell>
        </row>
        <row r="38">
          <cell r="AY38">
            <v>3321</v>
          </cell>
          <cell r="BB38">
            <v>13284</v>
          </cell>
          <cell r="BT38">
            <v>1349098</v>
          </cell>
          <cell r="BU38">
            <v>4377</v>
          </cell>
          <cell r="BW38">
            <v>0</v>
          </cell>
          <cell r="BX38">
            <v>0</v>
          </cell>
          <cell r="BY38">
            <v>4377</v>
          </cell>
          <cell r="CT38">
            <v>0</v>
          </cell>
          <cell r="DI38">
            <v>0</v>
          </cell>
          <cell r="DN38">
            <v>1344721</v>
          </cell>
        </row>
        <row r="39">
          <cell r="AY39">
            <v>3765</v>
          </cell>
          <cell r="BB39">
            <v>15059</v>
          </cell>
          <cell r="BT39">
            <v>1529364</v>
          </cell>
          <cell r="BU39">
            <v>4320</v>
          </cell>
          <cell r="BW39">
            <v>0</v>
          </cell>
          <cell r="BX39">
            <v>0</v>
          </cell>
          <cell r="BY39">
            <v>4320</v>
          </cell>
          <cell r="CT39">
            <v>0</v>
          </cell>
          <cell r="DI39">
            <v>0</v>
          </cell>
          <cell r="DN39">
            <v>1525044</v>
          </cell>
        </row>
        <row r="40">
          <cell r="AY40">
            <v>4025</v>
          </cell>
          <cell r="BB40">
            <v>16098</v>
          </cell>
          <cell r="BT40">
            <v>1634883</v>
          </cell>
          <cell r="BU40">
            <v>4317</v>
          </cell>
          <cell r="BW40">
            <v>0</v>
          </cell>
          <cell r="BX40">
            <v>0</v>
          </cell>
          <cell r="BY40">
            <v>4317</v>
          </cell>
          <cell r="CT40">
            <v>0</v>
          </cell>
          <cell r="DI40">
            <v>0</v>
          </cell>
          <cell r="DN40">
            <v>1630566</v>
          </cell>
        </row>
        <row r="41">
          <cell r="AY41">
            <v>4167</v>
          </cell>
          <cell r="BB41">
            <v>16667</v>
          </cell>
          <cell r="BT41">
            <v>1692669</v>
          </cell>
          <cell r="BU41">
            <v>4363</v>
          </cell>
          <cell r="BW41">
            <v>0</v>
          </cell>
          <cell r="BX41">
            <v>0</v>
          </cell>
          <cell r="BY41">
            <v>4363</v>
          </cell>
          <cell r="CT41">
            <v>0</v>
          </cell>
          <cell r="DI41">
            <v>0</v>
          </cell>
          <cell r="DN41">
            <v>1688306</v>
          </cell>
        </row>
        <row r="42">
          <cell r="AY42">
            <v>4196</v>
          </cell>
          <cell r="BB42">
            <v>16783</v>
          </cell>
          <cell r="BT42">
            <v>1704450</v>
          </cell>
          <cell r="BU42">
            <v>4410</v>
          </cell>
          <cell r="BW42">
            <v>0</v>
          </cell>
          <cell r="BX42">
            <v>0</v>
          </cell>
          <cell r="BY42">
            <v>4410</v>
          </cell>
          <cell r="CT42">
            <v>0</v>
          </cell>
          <cell r="DI42">
            <v>0</v>
          </cell>
          <cell r="DN42">
            <v>1700040</v>
          </cell>
        </row>
        <row r="43">
          <cell r="AY43">
            <v>4171</v>
          </cell>
          <cell r="BB43">
            <v>16686</v>
          </cell>
          <cell r="BT43">
            <v>1694599</v>
          </cell>
          <cell r="BU43">
            <v>4489</v>
          </cell>
          <cell r="BW43">
            <v>0</v>
          </cell>
          <cell r="BX43">
            <v>0</v>
          </cell>
          <cell r="BY43">
            <v>4489</v>
          </cell>
          <cell r="CT43">
            <v>0</v>
          </cell>
          <cell r="DI43">
            <v>0</v>
          </cell>
          <cell r="DN43">
            <v>1690110</v>
          </cell>
        </row>
        <row r="44">
          <cell r="AY44">
            <v>4102</v>
          </cell>
          <cell r="BB44">
            <v>16407</v>
          </cell>
          <cell r="BT44">
            <v>1666264</v>
          </cell>
          <cell r="BU44">
            <v>4580</v>
          </cell>
          <cell r="BW44">
            <v>0</v>
          </cell>
          <cell r="BX44">
            <v>0</v>
          </cell>
          <cell r="BY44">
            <v>4580</v>
          </cell>
          <cell r="CT44">
            <v>0</v>
          </cell>
          <cell r="DI44">
            <v>0</v>
          </cell>
          <cell r="DN44">
            <v>1661684</v>
          </cell>
        </row>
        <row r="45">
          <cell r="AY45">
            <v>4010</v>
          </cell>
          <cell r="BB45">
            <v>16039</v>
          </cell>
          <cell r="BT45">
            <v>1628891</v>
          </cell>
          <cell r="BU45">
            <v>4694</v>
          </cell>
          <cell r="BW45">
            <v>0</v>
          </cell>
          <cell r="BX45">
            <v>0</v>
          </cell>
          <cell r="BY45">
            <v>4694</v>
          </cell>
          <cell r="CT45">
            <v>0</v>
          </cell>
          <cell r="DI45">
            <v>0</v>
          </cell>
          <cell r="DN45">
            <v>1624197</v>
          </cell>
        </row>
        <row r="46">
          <cell r="AY46">
            <v>3874</v>
          </cell>
          <cell r="BB46">
            <v>15494</v>
          </cell>
          <cell r="BT46">
            <v>1573542</v>
          </cell>
          <cell r="BU46">
            <v>4787</v>
          </cell>
          <cell r="BW46">
            <v>0</v>
          </cell>
          <cell r="BX46">
            <v>0</v>
          </cell>
          <cell r="BY46">
            <v>4787</v>
          </cell>
          <cell r="CT46">
            <v>0</v>
          </cell>
          <cell r="DI46">
            <v>0</v>
          </cell>
          <cell r="DN46">
            <v>1568755</v>
          </cell>
        </row>
        <row r="47">
          <cell r="AY47">
            <v>7015</v>
          </cell>
          <cell r="BB47">
            <v>28059</v>
          </cell>
          <cell r="BT47">
            <v>2849620</v>
          </cell>
          <cell r="BU47">
            <v>1412530</v>
          </cell>
          <cell r="BW47">
            <v>1260636</v>
          </cell>
          <cell r="BX47">
            <v>0</v>
          </cell>
          <cell r="BY47">
            <v>151894</v>
          </cell>
          <cell r="CT47">
            <v>0</v>
          </cell>
          <cell r="DI47">
            <v>0</v>
          </cell>
          <cell r="DN47">
            <v>1437090</v>
          </cell>
        </row>
        <row r="48">
          <cell r="AY48">
            <v>6630</v>
          </cell>
          <cell r="BB48">
            <v>26518</v>
          </cell>
          <cell r="BT48">
            <v>2693119</v>
          </cell>
          <cell r="BU48">
            <v>1412641</v>
          </cell>
          <cell r="BW48">
            <v>1260636</v>
          </cell>
          <cell r="BX48">
            <v>0</v>
          </cell>
          <cell r="BY48">
            <v>152005</v>
          </cell>
          <cell r="CT48">
            <v>0</v>
          </cell>
          <cell r="DI48">
            <v>0</v>
          </cell>
          <cell r="DN48">
            <v>1280478</v>
          </cell>
        </row>
        <row r="49">
          <cell r="AY49">
            <v>6282</v>
          </cell>
          <cell r="BB49">
            <v>25129</v>
          </cell>
          <cell r="BT49">
            <v>2552054</v>
          </cell>
          <cell r="BU49">
            <v>1412818</v>
          </cell>
          <cell r="BW49">
            <v>1260636</v>
          </cell>
          <cell r="BX49">
            <v>0</v>
          </cell>
          <cell r="BY49">
            <v>152182</v>
          </cell>
          <cell r="CT49">
            <v>0</v>
          </cell>
          <cell r="DI49">
            <v>0</v>
          </cell>
          <cell r="DN49">
            <v>1139236</v>
          </cell>
        </row>
        <row r="50">
          <cell r="AY50">
            <v>5921</v>
          </cell>
          <cell r="BB50">
            <v>23684</v>
          </cell>
          <cell r="BT50">
            <v>2405303</v>
          </cell>
          <cell r="BU50">
            <v>1412847</v>
          </cell>
          <cell r="BW50">
            <v>1260636</v>
          </cell>
          <cell r="BX50">
            <v>0</v>
          </cell>
          <cell r="BY50">
            <v>152211</v>
          </cell>
          <cell r="CT50">
            <v>0</v>
          </cell>
          <cell r="DI50">
            <v>0</v>
          </cell>
          <cell r="DN50">
            <v>992456</v>
          </cell>
        </row>
        <row r="51">
          <cell r="AY51">
            <v>5596</v>
          </cell>
          <cell r="BB51">
            <v>22382</v>
          </cell>
          <cell r="BT51">
            <v>2273074</v>
          </cell>
          <cell r="BU51">
            <v>1412940</v>
          </cell>
          <cell r="BW51">
            <v>1260636</v>
          </cell>
          <cell r="BX51">
            <v>0</v>
          </cell>
          <cell r="BY51">
            <v>152304</v>
          </cell>
          <cell r="CT51">
            <v>0</v>
          </cell>
          <cell r="DI51">
            <v>0</v>
          </cell>
          <cell r="DN51">
            <v>860134</v>
          </cell>
        </row>
        <row r="52">
          <cell r="AY52">
            <v>5289</v>
          </cell>
          <cell r="BB52">
            <v>21154</v>
          </cell>
          <cell r="BT52">
            <v>2148361</v>
          </cell>
          <cell r="BU52">
            <v>1413029</v>
          </cell>
          <cell r="BW52">
            <v>1260636</v>
          </cell>
          <cell r="BX52">
            <v>0</v>
          </cell>
          <cell r="BY52">
            <v>152393</v>
          </cell>
          <cell r="CT52">
            <v>0</v>
          </cell>
          <cell r="DI52">
            <v>0</v>
          </cell>
          <cell r="DN52">
            <v>735332</v>
          </cell>
        </row>
        <row r="53">
          <cell r="AY53">
            <v>5012</v>
          </cell>
          <cell r="BB53">
            <v>20048</v>
          </cell>
          <cell r="BT53">
            <v>2036037</v>
          </cell>
          <cell r="BU53">
            <v>1413186</v>
          </cell>
          <cell r="BW53">
            <v>1260636</v>
          </cell>
          <cell r="BX53">
            <v>0</v>
          </cell>
          <cell r="BY53">
            <v>152550</v>
          </cell>
          <cell r="CT53">
            <v>0</v>
          </cell>
          <cell r="DI53">
            <v>0</v>
          </cell>
          <cell r="DN53">
            <v>622851</v>
          </cell>
        </row>
        <row r="54">
          <cell r="AY54">
            <v>4723</v>
          </cell>
          <cell r="BB54">
            <v>18892</v>
          </cell>
          <cell r="BT54">
            <v>1918636</v>
          </cell>
          <cell r="BU54">
            <v>1413192</v>
          </cell>
          <cell r="BW54">
            <v>1260636</v>
          </cell>
          <cell r="BX54">
            <v>0</v>
          </cell>
          <cell r="BY54">
            <v>152556</v>
          </cell>
          <cell r="CT54">
            <v>0</v>
          </cell>
          <cell r="DI54">
            <v>0</v>
          </cell>
          <cell r="DN54">
            <v>505444</v>
          </cell>
        </row>
        <row r="55">
          <cell r="AY55">
            <v>4464</v>
          </cell>
          <cell r="BB55">
            <v>17855</v>
          </cell>
          <cell r="BT55">
            <v>1813320</v>
          </cell>
          <cell r="BU55">
            <v>1413268</v>
          </cell>
          <cell r="BW55">
            <v>1260636</v>
          </cell>
          <cell r="BX55">
            <v>0</v>
          </cell>
          <cell r="BY55">
            <v>152632</v>
          </cell>
          <cell r="CT55">
            <v>0</v>
          </cell>
          <cell r="DI55">
            <v>0</v>
          </cell>
          <cell r="DN55">
            <v>400052</v>
          </cell>
        </row>
        <row r="56">
          <cell r="AY56">
            <v>4219</v>
          </cell>
          <cell r="BB56">
            <v>16878</v>
          </cell>
          <cell r="BT56">
            <v>1714098</v>
          </cell>
          <cell r="BU56">
            <v>1413339</v>
          </cell>
          <cell r="BW56">
            <v>1260636</v>
          </cell>
          <cell r="BX56">
            <v>0</v>
          </cell>
          <cell r="BY56">
            <v>152703</v>
          </cell>
          <cell r="CT56">
            <v>0</v>
          </cell>
          <cell r="DI56">
            <v>0</v>
          </cell>
          <cell r="DN56">
            <v>300759</v>
          </cell>
        </row>
        <row r="57">
          <cell r="AY57">
            <v>3998</v>
          </cell>
          <cell r="BB57">
            <v>15991</v>
          </cell>
          <cell r="BT57">
            <v>1624016</v>
          </cell>
          <cell r="BU57">
            <v>1480728</v>
          </cell>
          <cell r="BW57">
            <v>1260636</v>
          </cell>
          <cell r="BX57">
            <v>67249</v>
          </cell>
          <cell r="BY57">
            <v>152843</v>
          </cell>
          <cell r="CT57">
            <v>0</v>
          </cell>
          <cell r="DI57">
            <v>0</v>
          </cell>
          <cell r="DN57">
            <v>143288</v>
          </cell>
        </row>
        <row r="58">
          <cell r="AY58">
            <v>3768</v>
          </cell>
          <cell r="BB58">
            <v>15072</v>
          </cell>
          <cell r="BT58">
            <v>1530684</v>
          </cell>
          <cell r="BU58">
            <v>1477768</v>
          </cell>
          <cell r="BW58">
            <v>1260636</v>
          </cell>
          <cell r="BX58">
            <v>64299</v>
          </cell>
          <cell r="BY58">
            <v>152833</v>
          </cell>
          <cell r="CT58">
            <v>0</v>
          </cell>
          <cell r="DI58">
            <v>0</v>
          </cell>
          <cell r="DN58">
            <v>52916</v>
          </cell>
        </row>
        <row r="59">
          <cell r="AY59">
            <v>0</v>
          </cell>
          <cell r="BB59">
            <v>0</v>
          </cell>
          <cell r="BT59">
            <v>0</v>
          </cell>
          <cell r="BU59">
            <v>0</v>
          </cell>
          <cell r="BW59">
            <v>0</v>
          </cell>
          <cell r="BX59">
            <v>0</v>
          </cell>
          <cell r="BY59">
            <v>0</v>
          </cell>
          <cell r="CT59">
            <v>0</v>
          </cell>
          <cell r="DI59">
            <v>0</v>
          </cell>
          <cell r="DN59">
            <v>0</v>
          </cell>
        </row>
        <row r="60">
          <cell r="AY60">
            <v>0</v>
          </cell>
          <cell r="BB60">
            <v>0</v>
          </cell>
          <cell r="BT60">
            <v>0</v>
          </cell>
          <cell r="BU60">
            <v>0</v>
          </cell>
          <cell r="BW60">
            <v>0</v>
          </cell>
          <cell r="BX60">
            <v>0</v>
          </cell>
          <cell r="BY60">
            <v>0</v>
          </cell>
          <cell r="CT60">
            <v>0</v>
          </cell>
          <cell r="DI60">
            <v>0</v>
          </cell>
          <cell r="DN60">
            <v>0</v>
          </cell>
        </row>
        <row r="61">
          <cell r="AY61">
            <v>0</v>
          </cell>
          <cell r="BB61">
            <v>0</v>
          </cell>
          <cell r="BT61">
            <v>0</v>
          </cell>
          <cell r="BU61">
            <v>0</v>
          </cell>
          <cell r="BW61">
            <v>0</v>
          </cell>
          <cell r="BX61">
            <v>0</v>
          </cell>
          <cell r="BY61">
            <v>0</v>
          </cell>
          <cell r="CT61">
            <v>0</v>
          </cell>
          <cell r="DI61">
            <v>0</v>
          </cell>
          <cell r="DN61">
            <v>0</v>
          </cell>
        </row>
        <row r="62">
          <cell r="AY62">
            <v>0</v>
          </cell>
          <cell r="BB62">
            <v>0</v>
          </cell>
          <cell r="BT62">
            <v>0</v>
          </cell>
          <cell r="BU62">
            <v>0</v>
          </cell>
          <cell r="BW62">
            <v>0</v>
          </cell>
          <cell r="BX62">
            <v>0</v>
          </cell>
          <cell r="BY62">
            <v>0</v>
          </cell>
          <cell r="CT62">
            <v>0</v>
          </cell>
          <cell r="DI62">
            <v>0</v>
          </cell>
          <cell r="DN62">
            <v>0</v>
          </cell>
        </row>
        <row r="63">
          <cell r="AY63">
            <v>0</v>
          </cell>
          <cell r="BB63">
            <v>0</v>
          </cell>
          <cell r="BT63">
            <v>0</v>
          </cell>
          <cell r="BU63">
            <v>0</v>
          </cell>
          <cell r="BW63">
            <v>0</v>
          </cell>
          <cell r="BX63">
            <v>0</v>
          </cell>
          <cell r="BY63">
            <v>0</v>
          </cell>
          <cell r="CT63">
            <v>0</v>
          </cell>
          <cell r="DI63">
            <v>0</v>
          </cell>
          <cell r="DN63">
            <v>0</v>
          </cell>
        </row>
        <row r="64">
          <cell r="AY64">
            <v>0</v>
          </cell>
          <cell r="BB64">
            <v>0</v>
          </cell>
          <cell r="BT64">
            <v>0</v>
          </cell>
          <cell r="BU64">
            <v>0</v>
          </cell>
          <cell r="BW64">
            <v>0</v>
          </cell>
          <cell r="BX64">
            <v>0</v>
          </cell>
          <cell r="BY64">
            <v>0</v>
          </cell>
          <cell r="CT64">
            <v>0</v>
          </cell>
          <cell r="DI64">
            <v>0</v>
          </cell>
          <cell r="DN64">
            <v>0</v>
          </cell>
        </row>
        <row r="65">
          <cell r="AY65">
            <v>0</v>
          </cell>
          <cell r="BB65">
            <v>0</v>
          </cell>
          <cell r="BT65">
            <v>0</v>
          </cell>
          <cell r="BU65">
            <v>0</v>
          </cell>
          <cell r="BW65">
            <v>0</v>
          </cell>
          <cell r="BX65">
            <v>0</v>
          </cell>
          <cell r="BY65">
            <v>0</v>
          </cell>
          <cell r="CT65">
            <v>0</v>
          </cell>
          <cell r="DI65">
            <v>0</v>
          </cell>
          <cell r="DN65">
            <v>0</v>
          </cell>
        </row>
        <row r="66">
          <cell r="AY66">
            <v>0</v>
          </cell>
          <cell r="BB66">
            <v>0</v>
          </cell>
          <cell r="BT66">
            <v>0</v>
          </cell>
          <cell r="BU66">
            <v>0</v>
          </cell>
          <cell r="BW66">
            <v>0</v>
          </cell>
          <cell r="BX66">
            <v>0</v>
          </cell>
          <cell r="BY66">
            <v>0</v>
          </cell>
          <cell r="CT66">
            <v>0</v>
          </cell>
          <cell r="DI66">
            <v>0</v>
          </cell>
          <cell r="DN66">
            <v>0</v>
          </cell>
        </row>
        <row r="67">
          <cell r="AY67">
            <v>0</v>
          </cell>
          <cell r="BB67">
            <v>0</v>
          </cell>
          <cell r="BT67">
            <v>0</v>
          </cell>
          <cell r="BU67">
            <v>0</v>
          </cell>
          <cell r="BW67">
            <v>0</v>
          </cell>
          <cell r="BX67">
            <v>0</v>
          </cell>
          <cell r="BY67">
            <v>0</v>
          </cell>
          <cell r="CT67">
            <v>0</v>
          </cell>
          <cell r="DI67">
            <v>0</v>
          </cell>
          <cell r="DN67">
            <v>0</v>
          </cell>
        </row>
        <row r="68">
          <cell r="AY68">
            <v>0</v>
          </cell>
          <cell r="BB68">
            <v>0</v>
          </cell>
          <cell r="BT68">
            <v>0</v>
          </cell>
          <cell r="BU68">
            <v>0</v>
          </cell>
          <cell r="BW68">
            <v>0</v>
          </cell>
          <cell r="BX68">
            <v>0</v>
          </cell>
          <cell r="BY68">
            <v>0</v>
          </cell>
          <cell r="CT68">
            <v>0</v>
          </cell>
          <cell r="DI68">
            <v>0</v>
          </cell>
          <cell r="DN68">
            <v>0</v>
          </cell>
        </row>
        <row r="69">
          <cell r="AY69">
            <v>0</v>
          </cell>
          <cell r="BB69">
            <v>0</v>
          </cell>
          <cell r="BT69">
            <v>0</v>
          </cell>
          <cell r="BU69">
            <v>0</v>
          </cell>
          <cell r="BW69">
            <v>0</v>
          </cell>
          <cell r="BX69">
            <v>0</v>
          </cell>
          <cell r="BY69">
            <v>0</v>
          </cell>
          <cell r="CT69">
            <v>0</v>
          </cell>
          <cell r="DI69">
            <v>0</v>
          </cell>
          <cell r="DN69">
            <v>0</v>
          </cell>
        </row>
        <row r="70">
          <cell r="AY70">
            <v>0</v>
          </cell>
          <cell r="BB70">
            <v>0</v>
          </cell>
          <cell r="BT70">
            <v>0</v>
          </cell>
          <cell r="BU70">
            <v>0</v>
          </cell>
          <cell r="BW70">
            <v>0</v>
          </cell>
          <cell r="BX70">
            <v>0</v>
          </cell>
          <cell r="BY70">
            <v>0</v>
          </cell>
          <cell r="CT70">
            <v>0</v>
          </cell>
          <cell r="DI70">
            <v>0</v>
          </cell>
          <cell r="DN70">
            <v>0</v>
          </cell>
        </row>
        <row r="71">
          <cell r="AY71">
            <v>0</v>
          </cell>
          <cell r="BB71">
            <v>0</v>
          </cell>
          <cell r="BT71">
            <v>0</v>
          </cell>
          <cell r="BU71">
            <v>0</v>
          </cell>
          <cell r="BW71">
            <v>0</v>
          </cell>
          <cell r="BX71">
            <v>0</v>
          </cell>
          <cell r="BY71">
            <v>0</v>
          </cell>
          <cell r="CT71">
            <v>0</v>
          </cell>
          <cell r="DI71">
            <v>0</v>
          </cell>
          <cell r="DN71">
            <v>0</v>
          </cell>
        </row>
        <row r="72">
          <cell r="AY72">
            <v>0</v>
          </cell>
          <cell r="BB72">
            <v>0</v>
          </cell>
          <cell r="BT72">
            <v>0</v>
          </cell>
          <cell r="BU72">
            <v>0</v>
          </cell>
          <cell r="BW72">
            <v>0</v>
          </cell>
          <cell r="BX72">
            <v>0</v>
          </cell>
          <cell r="BY72">
            <v>0</v>
          </cell>
          <cell r="CT72">
            <v>0</v>
          </cell>
          <cell r="DI72">
            <v>0</v>
          </cell>
          <cell r="DN72">
            <v>0</v>
          </cell>
        </row>
      </sheetData>
      <sheetData sheetId="10">
        <row r="36">
          <cell r="AY36">
            <v>33</v>
          </cell>
          <cell r="BB36">
            <v>133</v>
          </cell>
          <cell r="BT36">
            <v>13507</v>
          </cell>
          <cell r="BU36">
            <v>890</v>
          </cell>
          <cell r="BW36">
            <v>0</v>
          </cell>
          <cell r="BX36">
            <v>0</v>
          </cell>
          <cell r="BY36">
            <v>890</v>
          </cell>
          <cell r="CT36">
            <v>0</v>
          </cell>
          <cell r="DI36">
            <v>0</v>
          </cell>
          <cell r="DN36">
            <v>12617</v>
          </cell>
        </row>
        <row r="37">
          <cell r="AY37">
            <v>98</v>
          </cell>
          <cell r="BB37">
            <v>383</v>
          </cell>
          <cell r="BT37">
            <v>38897</v>
          </cell>
          <cell r="BU37">
            <v>874</v>
          </cell>
          <cell r="BW37">
            <v>0</v>
          </cell>
          <cell r="BX37">
            <v>0</v>
          </cell>
          <cell r="BY37">
            <v>874</v>
          </cell>
          <cell r="CT37">
            <v>0</v>
          </cell>
          <cell r="DI37">
            <v>0</v>
          </cell>
          <cell r="DN37">
            <v>38023</v>
          </cell>
        </row>
        <row r="38">
          <cell r="AY38">
            <v>152</v>
          </cell>
          <cell r="BB38">
            <v>610</v>
          </cell>
          <cell r="BT38">
            <v>61950</v>
          </cell>
          <cell r="BU38">
            <v>856</v>
          </cell>
          <cell r="BW38">
            <v>0</v>
          </cell>
          <cell r="BX38">
            <v>0</v>
          </cell>
          <cell r="BY38">
            <v>856</v>
          </cell>
          <cell r="CT38">
            <v>0</v>
          </cell>
          <cell r="DI38">
            <v>0</v>
          </cell>
          <cell r="DN38">
            <v>61094</v>
          </cell>
        </row>
        <row r="39">
          <cell r="AY39">
            <v>202</v>
          </cell>
          <cell r="BB39">
            <v>809</v>
          </cell>
          <cell r="BT39">
            <v>82161</v>
          </cell>
          <cell r="BU39">
            <v>841</v>
          </cell>
          <cell r="BW39">
            <v>0</v>
          </cell>
          <cell r="BX39">
            <v>0</v>
          </cell>
          <cell r="BY39">
            <v>841</v>
          </cell>
          <cell r="CT39">
            <v>0</v>
          </cell>
          <cell r="DI39">
            <v>0</v>
          </cell>
          <cell r="DN39">
            <v>81320</v>
          </cell>
        </row>
        <row r="40">
          <cell r="AY40">
            <v>246</v>
          </cell>
          <cell r="BB40">
            <v>984</v>
          </cell>
          <cell r="BT40">
            <v>99933</v>
          </cell>
          <cell r="BU40">
            <v>829</v>
          </cell>
          <cell r="BW40">
            <v>0</v>
          </cell>
          <cell r="BX40">
            <v>0</v>
          </cell>
          <cell r="BY40">
            <v>829</v>
          </cell>
          <cell r="CT40">
            <v>0</v>
          </cell>
          <cell r="DI40">
            <v>0</v>
          </cell>
          <cell r="DN40">
            <v>99104</v>
          </cell>
        </row>
        <row r="41">
          <cell r="AY41">
            <v>286</v>
          </cell>
          <cell r="BB41">
            <v>1144</v>
          </cell>
          <cell r="BT41">
            <v>116183</v>
          </cell>
          <cell r="BU41">
            <v>820</v>
          </cell>
          <cell r="BW41">
            <v>0</v>
          </cell>
          <cell r="BX41">
            <v>0</v>
          </cell>
          <cell r="BY41">
            <v>820</v>
          </cell>
          <cell r="CT41">
            <v>0</v>
          </cell>
          <cell r="DI41">
            <v>0</v>
          </cell>
          <cell r="DN41">
            <v>115363</v>
          </cell>
        </row>
        <row r="42">
          <cell r="AY42">
            <v>320</v>
          </cell>
          <cell r="BB42">
            <v>1278</v>
          </cell>
          <cell r="BT42">
            <v>129791</v>
          </cell>
          <cell r="BU42">
            <v>808</v>
          </cell>
          <cell r="BW42">
            <v>0</v>
          </cell>
          <cell r="BX42">
            <v>0</v>
          </cell>
          <cell r="BY42">
            <v>808</v>
          </cell>
          <cell r="CT42">
            <v>0</v>
          </cell>
          <cell r="DI42">
            <v>0</v>
          </cell>
          <cell r="DN42">
            <v>128983</v>
          </cell>
        </row>
        <row r="43">
          <cell r="AY43">
            <v>349</v>
          </cell>
          <cell r="BB43">
            <v>1398</v>
          </cell>
          <cell r="BT43">
            <v>141978</v>
          </cell>
          <cell r="BU43">
            <v>799</v>
          </cell>
          <cell r="BW43">
            <v>0</v>
          </cell>
          <cell r="BX43">
            <v>0</v>
          </cell>
          <cell r="BY43">
            <v>799</v>
          </cell>
          <cell r="CT43">
            <v>0</v>
          </cell>
          <cell r="DI43">
            <v>0</v>
          </cell>
          <cell r="DN43">
            <v>141179</v>
          </cell>
        </row>
        <row r="44">
          <cell r="AY44">
            <v>375</v>
          </cell>
          <cell r="BB44">
            <v>1500</v>
          </cell>
          <cell r="BT44">
            <v>152337</v>
          </cell>
          <cell r="BU44">
            <v>792</v>
          </cell>
          <cell r="BW44">
            <v>0</v>
          </cell>
          <cell r="BX44">
            <v>0</v>
          </cell>
          <cell r="BY44">
            <v>792</v>
          </cell>
          <cell r="CT44">
            <v>0</v>
          </cell>
          <cell r="DI44">
            <v>0</v>
          </cell>
          <cell r="DN44">
            <v>151545</v>
          </cell>
        </row>
        <row r="45">
          <cell r="AY45">
            <v>399</v>
          </cell>
          <cell r="BB45">
            <v>1594</v>
          </cell>
          <cell r="BT45">
            <v>161884</v>
          </cell>
          <cell r="BU45">
            <v>787</v>
          </cell>
          <cell r="BW45">
            <v>0</v>
          </cell>
          <cell r="BX45">
            <v>0</v>
          </cell>
          <cell r="BY45">
            <v>787</v>
          </cell>
          <cell r="CT45">
            <v>0</v>
          </cell>
          <cell r="DI45">
            <v>0</v>
          </cell>
          <cell r="DN45">
            <v>161097</v>
          </cell>
        </row>
        <row r="46">
          <cell r="AY46">
            <v>416</v>
          </cell>
          <cell r="BB46">
            <v>1663</v>
          </cell>
          <cell r="BT46">
            <v>168891</v>
          </cell>
          <cell r="BU46">
            <v>779</v>
          </cell>
          <cell r="BW46">
            <v>0</v>
          </cell>
          <cell r="BX46">
            <v>0</v>
          </cell>
          <cell r="BY46">
            <v>779</v>
          </cell>
          <cell r="CT46">
            <v>0</v>
          </cell>
          <cell r="DI46">
            <v>0</v>
          </cell>
          <cell r="DN46">
            <v>168112</v>
          </cell>
        </row>
        <row r="47">
          <cell r="AY47">
            <v>432</v>
          </cell>
          <cell r="BB47">
            <v>1728</v>
          </cell>
          <cell r="BT47">
            <v>175492</v>
          </cell>
          <cell r="BU47">
            <v>775</v>
          </cell>
          <cell r="BW47">
            <v>0</v>
          </cell>
          <cell r="BX47">
            <v>0</v>
          </cell>
          <cell r="BY47">
            <v>775</v>
          </cell>
          <cell r="CT47">
            <v>0</v>
          </cell>
          <cell r="DI47">
            <v>0</v>
          </cell>
          <cell r="DN47">
            <v>174717</v>
          </cell>
        </row>
        <row r="48">
          <cell r="AY48">
            <v>445</v>
          </cell>
          <cell r="BB48">
            <v>1780</v>
          </cell>
          <cell r="BT48">
            <v>180773</v>
          </cell>
          <cell r="BU48">
            <v>772</v>
          </cell>
          <cell r="BW48">
            <v>0</v>
          </cell>
          <cell r="BX48">
            <v>0</v>
          </cell>
          <cell r="BY48">
            <v>772</v>
          </cell>
          <cell r="CT48">
            <v>0</v>
          </cell>
          <cell r="DI48">
            <v>0</v>
          </cell>
          <cell r="DN48">
            <v>180001</v>
          </cell>
        </row>
        <row r="49">
          <cell r="AY49">
            <v>457</v>
          </cell>
          <cell r="BB49">
            <v>1827</v>
          </cell>
          <cell r="BT49">
            <v>185547</v>
          </cell>
          <cell r="BU49">
            <v>771</v>
          </cell>
          <cell r="BW49">
            <v>0</v>
          </cell>
          <cell r="BX49">
            <v>0</v>
          </cell>
          <cell r="BY49">
            <v>771</v>
          </cell>
          <cell r="CT49">
            <v>0</v>
          </cell>
          <cell r="DI49">
            <v>0</v>
          </cell>
          <cell r="DN49">
            <v>184776</v>
          </cell>
        </row>
        <row r="50">
          <cell r="AY50">
            <v>464</v>
          </cell>
          <cell r="BB50">
            <v>1854</v>
          </cell>
          <cell r="BT50">
            <v>188289</v>
          </cell>
          <cell r="BU50">
            <v>766</v>
          </cell>
          <cell r="BW50">
            <v>0</v>
          </cell>
          <cell r="BX50">
            <v>0</v>
          </cell>
          <cell r="BY50">
            <v>766</v>
          </cell>
          <cell r="CT50">
            <v>0</v>
          </cell>
          <cell r="DI50">
            <v>0</v>
          </cell>
          <cell r="DN50">
            <v>187523</v>
          </cell>
        </row>
        <row r="51">
          <cell r="AY51">
            <v>470</v>
          </cell>
          <cell r="BB51">
            <v>1879</v>
          </cell>
          <cell r="BT51">
            <v>190828</v>
          </cell>
          <cell r="BU51">
            <v>765</v>
          </cell>
          <cell r="BW51">
            <v>0</v>
          </cell>
          <cell r="BX51">
            <v>0</v>
          </cell>
          <cell r="BY51">
            <v>765</v>
          </cell>
          <cell r="CT51">
            <v>0</v>
          </cell>
          <cell r="DI51">
            <v>0</v>
          </cell>
          <cell r="DN51">
            <v>190063</v>
          </cell>
        </row>
        <row r="52">
          <cell r="AY52">
            <v>474</v>
          </cell>
          <cell r="BB52">
            <v>1895</v>
          </cell>
          <cell r="BT52">
            <v>192453</v>
          </cell>
          <cell r="BU52">
            <v>763</v>
          </cell>
          <cell r="BW52">
            <v>0</v>
          </cell>
          <cell r="BX52">
            <v>0</v>
          </cell>
          <cell r="BY52">
            <v>763</v>
          </cell>
          <cell r="CT52">
            <v>0</v>
          </cell>
          <cell r="DI52">
            <v>0</v>
          </cell>
          <cell r="DN52">
            <v>191690</v>
          </cell>
        </row>
        <row r="53">
          <cell r="AY53">
            <v>477</v>
          </cell>
          <cell r="BB53">
            <v>1909</v>
          </cell>
          <cell r="BT53">
            <v>193874</v>
          </cell>
          <cell r="BU53">
            <v>764</v>
          </cell>
          <cell r="BW53">
            <v>0</v>
          </cell>
          <cell r="BX53">
            <v>0</v>
          </cell>
          <cell r="BY53">
            <v>764</v>
          </cell>
          <cell r="CT53">
            <v>0</v>
          </cell>
          <cell r="DI53">
            <v>0</v>
          </cell>
          <cell r="DN53">
            <v>193110</v>
          </cell>
        </row>
        <row r="54">
          <cell r="AY54">
            <v>477</v>
          </cell>
          <cell r="BB54">
            <v>1908</v>
          </cell>
          <cell r="BT54">
            <v>193773</v>
          </cell>
          <cell r="BU54">
            <v>762</v>
          </cell>
          <cell r="BW54">
            <v>0</v>
          </cell>
          <cell r="BX54">
            <v>0</v>
          </cell>
          <cell r="BY54">
            <v>762</v>
          </cell>
          <cell r="CT54">
            <v>0</v>
          </cell>
          <cell r="DI54">
            <v>0</v>
          </cell>
          <cell r="DN54">
            <v>193011</v>
          </cell>
        </row>
        <row r="55">
          <cell r="AY55">
            <v>477</v>
          </cell>
          <cell r="BB55">
            <v>1906</v>
          </cell>
          <cell r="BT55">
            <v>193570</v>
          </cell>
          <cell r="BU55">
            <v>763</v>
          </cell>
          <cell r="BW55">
            <v>0</v>
          </cell>
          <cell r="BX55">
            <v>0</v>
          </cell>
          <cell r="BY55">
            <v>763</v>
          </cell>
          <cell r="CT55">
            <v>0</v>
          </cell>
          <cell r="DI55">
            <v>0</v>
          </cell>
          <cell r="DN55">
            <v>192807</v>
          </cell>
        </row>
        <row r="56">
          <cell r="AY56">
            <v>474</v>
          </cell>
          <cell r="BB56">
            <v>1895</v>
          </cell>
          <cell r="BT56">
            <v>192453</v>
          </cell>
          <cell r="BU56">
            <v>762</v>
          </cell>
          <cell r="BW56">
            <v>0</v>
          </cell>
          <cell r="BX56">
            <v>0</v>
          </cell>
          <cell r="BY56">
            <v>762</v>
          </cell>
          <cell r="CT56">
            <v>0</v>
          </cell>
          <cell r="DI56">
            <v>0</v>
          </cell>
          <cell r="DN56">
            <v>191691</v>
          </cell>
        </row>
        <row r="57">
          <cell r="AY57">
            <v>473</v>
          </cell>
          <cell r="BB57">
            <v>1892</v>
          </cell>
          <cell r="BT57">
            <v>192148</v>
          </cell>
          <cell r="BU57">
            <v>766</v>
          </cell>
          <cell r="BW57">
            <v>0</v>
          </cell>
          <cell r="BX57">
            <v>0</v>
          </cell>
          <cell r="BY57">
            <v>766</v>
          </cell>
          <cell r="CT57">
            <v>0</v>
          </cell>
          <cell r="DI57">
            <v>0</v>
          </cell>
          <cell r="DN57">
            <v>191382</v>
          </cell>
        </row>
        <row r="58">
          <cell r="AY58">
            <v>467</v>
          </cell>
          <cell r="BB58">
            <v>1869</v>
          </cell>
          <cell r="BT58">
            <v>189812</v>
          </cell>
          <cell r="BU58">
            <v>764</v>
          </cell>
          <cell r="BW58">
            <v>0</v>
          </cell>
          <cell r="BX58">
            <v>0</v>
          </cell>
          <cell r="BY58">
            <v>764</v>
          </cell>
          <cell r="CT58">
            <v>0</v>
          </cell>
          <cell r="DI58">
            <v>0</v>
          </cell>
          <cell r="DN58">
            <v>189048</v>
          </cell>
        </row>
        <row r="59">
          <cell r="AY59">
            <v>4024</v>
          </cell>
          <cell r="BB59">
            <v>16095</v>
          </cell>
          <cell r="BT59">
            <v>1634578</v>
          </cell>
          <cell r="BU59">
            <v>1478370</v>
          </cell>
          <cell r="BW59">
            <v>1260636</v>
          </cell>
          <cell r="BX59">
            <v>64075</v>
          </cell>
          <cell r="BY59">
            <v>153659</v>
          </cell>
          <cell r="CT59">
            <v>0</v>
          </cell>
          <cell r="DI59">
            <v>0</v>
          </cell>
          <cell r="DN59">
            <v>156208</v>
          </cell>
        </row>
        <row r="60">
          <cell r="AY60">
            <v>3823</v>
          </cell>
          <cell r="BB60">
            <v>15292</v>
          </cell>
          <cell r="BT60">
            <v>1553027</v>
          </cell>
          <cell r="BU60">
            <v>1467625</v>
          </cell>
          <cell r="BW60">
            <v>1260636</v>
          </cell>
          <cell r="BX60">
            <v>53271</v>
          </cell>
          <cell r="BY60">
            <v>153717</v>
          </cell>
          <cell r="CT60">
            <v>0</v>
          </cell>
          <cell r="DI60">
            <v>0</v>
          </cell>
          <cell r="DN60">
            <v>85402</v>
          </cell>
        </row>
        <row r="61">
          <cell r="AY61">
            <v>0</v>
          </cell>
          <cell r="BB61">
            <v>0</v>
          </cell>
          <cell r="BT61">
            <v>0</v>
          </cell>
          <cell r="BU61">
            <v>0</v>
          </cell>
          <cell r="BW61">
            <v>0</v>
          </cell>
          <cell r="BX61">
            <v>0</v>
          </cell>
          <cell r="BY61">
            <v>0</v>
          </cell>
          <cell r="CT61">
            <v>0</v>
          </cell>
          <cell r="DI61">
            <v>0</v>
          </cell>
          <cell r="DN61">
            <v>0</v>
          </cell>
        </row>
        <row r="62">
          <cell r="AY62">
            <v>0</v>
          </cell>
          <cell r="BB62">
            <v>0</v>
          </cell>
          <cell r="BT62">
            <v>0</v>
          </cell>
          <cell r="BU62">
            <v>0</v>
          </cell>
          <cell r="BW62">
            <v>0</v>
          </cell>
          <cell r="BX62">
            <v>0</v>
          </cell>
          <cell r="BY62">
            <v>0</v>
          </cell>
          <cell r="CT62">
            <v>0</v>
          </cell>
          <cell r="DI62">
            <v>0</v>
          </cell>
          <cell r="DN62">
            <v>0</v>
          </cell>
        </row>
        <row r="63">
          <cell r="AY63">
            <v>0</v>
          </cell>
          <cell r="BB63">
            <v>0</v>
          </cell>
          <cell r="BT63">
            <v>0</v>
          </cell>
          <cell r="BU63">
            <v>0</v>
          </cell>
          <cell r="BW63">
            <v>0</v>
          </cell>
          <cell r="BX63">
            <v>0</v>
          </cell>
          <cell r="BY63">
            <v>0</v>
          </cell>
          <cell r="CT63">
            <v>0</v>
          </cell>
          <cell r="DI63">
            <v>0</v>
          </cell>
          <cell r="DN63">
            <v>0</v>
          </cell>
        </row>
        <row r="64">
          <cell r="AY64">
            <v>0</v>
          </cell>
          <cell r="BB64">
            <v>0</v>
          </cell>
          <cell r="BT64">
            <v>0</v>
          </cell>
          <cell r="BU64">
            <v>0</v>
          </cell>
          <cell r="BW64">
            <v>0</v>
          </cell>
          <cell r="BX64">
            <v>0</v>
          </cell>
          <cell r="BY64">
            <v>0</v>
          </cell>
          <cell r="CT64">
            <v>0</v>
          </cell>
          <cell r="DI64">
            <v>0</v>
          </cell>
          <cell r="DN64">
            <v>0</v>
          </cell>
        </row>
        <row r="65">
          <cell r="AY65">
            <v>0</v>
          </cell>
          <cell r="BB65">
            <v>0</v>
          </cell>
          <cell r="BT65">
            <v>0</v>
          </cell>
          <cell r="BU65">
            <v>0</v>
          </cell>
          <cell r="BW65">
            <v>0</v>
          </cell>
          <cell r="BX65">
            <v>0</v>
          </cell>
          <cell r="BY65">
            <v>0</v>
          </cell>
          <cell r="CT65">
            <v>0</v>
          </cell>
          <cell r="DI65">
            <v>0</v>
          </cell>
          <cell r="DN65">
            <v>0</v>
          </cell>
        </row>
        <row r="66">
          <cell r="AY66">
            <v>0</v>
          </cell>
          <cell r="BB66">
            <v>0</v>
          </cell>
          <cell r="BT66">
            <v>0</v>
          </cell>
          <cell r="BU66">
            <v>0</v>
          </cell>
          <cell r="BW66">
            <v>0</v>
          </cell>
          <cell r="BX66">
            <v>0</v>
          </cell>
          <cell r="BY66">
            <v>0</v>
          </cell>
          <cell r="CT66">
            <v>0</v>
          </cell>
          <cell r="DI66">
            <v>0</v>
          </cell>
          <cell r="DN66">
            <v>0</v>
          </cell>
        </row>
        <row r="67">
          <cell r="AY67">
            <v>0</v>
          </cell>
          <cell r="BB67">
            <v>0</v>
          </cell>
          <cell r="BT67">
            <v>0</v>
          </cell>
          <cell r="BU67">
            <v>0</v>
          </cell>
          <cell r="BW67">
            <v>0</v>
          </cell>
          <cell r="BX67">
            <v>0</v>
          </cell>
          <cell r="BY67">
            <v>0</v>
          </cell>
          <cell r="CT67">
            <v>0</v>
          </cell>
          <cell r="DI67">
            <v>0</v>
          </cell>
          <cell r="DN67">
            <v>0</v>
          </cell>
        </row>
        <row r="68">
          <cell r="AY68">
            <v>0</v>
          </cell>
          <cell r="BB68">
            <v>0</v>
          </cell>
          <cell r="BT68">
            <v>0</v>
          </cell>
          <cell r="BU68">
            <v>0</v>
          </cell>
          <cell r="BW68">
            <v>0</v>
          </cell>
          <cell r="BX68">
            <v>0</v>
          </cell>
          <cell r="BY68">
            <v>0</v>
          </cell>
          <cell r="CT68">
            <v>0</v>
          </cell>
          <cell r="DI68">
            <v>0</v>
          </cell>
          <cell r="DN68">
            <v>0</v>
          </cell>
        </row>
        <row r="69">
          <cell r="AY69">
            <v>0</v>
          </cell>
          <cell r="BB69">
            <v>0</v>
          </cell>
          <cell r="BT69">
            <v>0</v>
          </cell>
          <cell r="BU69">
            <v>0</v>
          </cell>
          <cell r="BW69">
            <v>0</v>
          </cell>
          <cell r="BX69">
            <v>0</v>
          </cell>
          <cell r="BY69">
            <v>0</v>
          </cell>
          <cell r="CT69">
            <v>0</v>
          </cell>
          <cell r="DI69">
            <v>0</v>
          </cell>
          <cell r="DN69">
            <v>0</v>
          </cell>
        </row>
        <row r="70">
          <cell r="AY70">
            <v>0</v>
          </cell>
          <cell r="BB70">
            <v>0</v>
          </cell>
          <cell r="BT70">
            <v>0</v>
          </cell>
          <cell r="BU70">
            <v>0</v>
          </cell>
          <cell r="BW70">
            <v>0</v>
          </cell>
          <cell r="BX70">
            <v>0</v>
          </cell>
          <cell r="BY70">
            <v>0</v>
          </cell>
          <cell r="CT70">
            <v>0</v>
          </cell>
          <cell r="DI70">
            <v>0</v>
          </cell>
          <cell r="DN70">
            <v>0</v>
          </cell>
        </row>
        <row r="71">
          <cell r="AY71">
            <v>0</v>
          </cell>
          <cell r="BB71">
            <v>0</v>
          </cell>
          <cell r="BT71">
            <v>0</v>
          </cell>
          <cell r="BU71">
            <v>0</v>
          </cell>
          <cell r="BW71">
            <v>0</v>
          </cell>
          <cell r="BX71">
            <v>0</v>
          </cell>
          <cell r="BY71">
            <v>0</v>
          </cell>
          <cell r="CT71">
            <v>0</v>
          </cell>
          <cell r="DI71">
            <v>0</v>
          </cell>
          <cell r="DN71">
            <v>0</v>
          </cell>
        </row>
        <row r="72">
          <cell r="AY72">
            <v>0</v>
          </cell>
          <cell r="BB72">
            <v>0</v>
          </cell>
          <cell r="BT72">
            <v>0</v>
          </cell>
          <cell r="BU72">
            <v>0</v>
          </cell>
          <cell r="BW72">
            <v>0</v>
          </cell>
          <cell r="BX72">
            <v>0</v>
          </cell>
          <cell r="BY72">
            <v>0</v>
          </cell>
          <cell r="CT72">
            <v>0</v>
          </cell>
          <cell r="DI72">
            <v>0</v>
          </cell>
          <cell r="DN72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12">
          <cell r="J12">
            <v>0.28156999999999999</v>
          </cell>
          <cell r="L12">
            <v>0</v>
          </cell>
        </row>
        <row r="13">
          <cell r="J13">
            <v>0</v>
          </cell>
          <cell r="L13">
            <v>0</v>
          </cell>
        </row>
        <row r="14">
          <cell r="J14">
            <v>0</v>
          </cell>
          <cell r="L14">
            <v>0</v>
          </cell>
        </row>
        <row r="17">
          <cell r="J17">
            <v>0.410549</v>
          </cell>
          <cell r="L17">
            <v>0</v>
          </cell>
        </row>
        <row r="18">
          <cell r="J18">
            <v>0</v>
          </cell>
          <cell r="L18">
            <v>0</v>
          </cell>
        </row>
        <row r="19">
          <cell r="J19">
            <v>0.410549</v>
          </cell>
          <cell r="L19">
            <v>0</v>
          </cell>
        </row>
        <row r="21">
          <cell r="J21">
            <v>6.5225000000000005E-2</v>
          </cell>
          <cell r="L21">
            <v>0</v>
          </cell>
        </row>
        <row r="22">
          <cell r="J22">
            <v>0</v>
          </cell>
          <cell r="L22">
            <v>0</v>
          </cell>
        </row>
        <row r="23">
          <cell r="J23">
            <v>6.5225000000000005E-2</v>
          </cell>
          <cell r="L23">
            <v>0</v>
          </cell>
        </row>
      </sheetData>
      <sheetData sheetId="2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aime Benazar Irausquin" id="{A07E460A-0763-4A73-A3BD-F4D66AB02A13}" userId="S::jaime.benazar@quorumsoftware.com::90b285ee-16d3-4f4a-b12f-ba7161cffcd6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4" dT="2024-02-09T19:31:14.49" personId="{A07E460A-0763-4A73-A3BD-F4D66AB02A13}" id="{B3CD8A12-950E-4B79-A1CD-EBAC65B0C035}">
    <text>El auditor, al calcular el EL anualizado, le da diciembre de 2033. En cambio PS hace el cálculo mensualizado, por lo cual corta en octubre de 2033</text>
  </threadedComment>
  <threadedComment ref="IF4" dT="2024-02-09T19:34:04.89" personId="{A07E460A-0763-4A73-A3BD-F4D66AB02A13}" id="{89AC244B-CF99-48D2-8A86-C336FE0CFDAA}">
    <text>Como el EL de Probadas cierra en PS en octubre 2033, trae la cola dos meses antes que el audito que cortó en diciembre 2033</text>
  </threadedComment>
  <threadedComment ref="IS4" dT="2024-02-09T19:34:48.84" personId="{A07E460A-0763-4A73-A3BD-F4D66AB02A13}" id="{AD9DF0BE-EDA9-4EBD-BEAE-1E9EEB7408E8}">
    <text>El auditor, al calcular el EL anualizado, le da diciembre de 2045. En cambio PS hace el cálculo mensualizado, por lo cual corta en enero 2046</text>
  </threadedComment>
  <threadedComment ref="OO4" dT="2024-02-09T19:37:27.03" personId="{A07E460A-0763-4A73-A3BD-F4D66AB02A13}" id="{B10B8B3B-C715-4D76-8128-E9777416541C}">
    <text xml:space="preserve">Como el EL de Probadas cierra en PS en enero 2046, trae la cola din mes antes que el audito que cortó en diciembre 2045
</text>
  </threadedComment>
  <threadedComment ref="OQ4" dT="2024-02-09T19:38:20.22" personId="{A07E460A-0763-4A73-A3BD-F4D66AB02A13}" id="{18A2005F-6710-40C7-BEE5-4F1FB3C8BFD6}">
    <text>El auditor, al calcular el EL anualizado, le da diciembre de 2047. En cambio PS hace el cálculo mensualizado, por lo cual corta en abril 2048</text>
  </threadedComment>
  <threadedComment ref="L31" dT="2024-02-09T19:32:05.52" personId="{A07E460A-0763-4A73-A3BD-F4D66AB02A13}" id="{73F28A32-32BF-446A-8A64-B5D341B2F1CA}">
    <text>El auditor asigna el abandono en la fecha del EL. En cambio, PS lo asigna 12 meses después por requerimiento de ECP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2553-B68D-4FC8-9EBF-2B0555B292C0}">
  <sheetPr codeName="Hoja5"/>
  <dimension ref="A1:H26"/>
  <sheetViews>
    <sheetView workbookViewId="0">
      <selection activeCell="H9" sqref="H9"/>
    </sheetView>
  </sheetViews>
  <sheetFormatPr defaultColWidth="11.453125" defaultRowHeight="15" x14ac:dyDescent="0.4"/>
  <cols>
    <col min="1" max="1" width="4.7265625" style="15" customWidth="1"/>
    <col min="2" max="2" width="11.453125" style="13" customWidth="1"/>
    <col min="3" max="7" width="11.453125" style="13"/>
    <col min="8" max="8" width="49.81640625" style="13" customWidth="1"/>
    <col min="9" max="16384" width="11.453125" style="13"/>
  </cols>
  <sheetData>
    <row r="1" spans="1:8" ht="15.5" thickBot="1" x14ac:dyDescent="0.45">
      <c r="A1" s="77" t="s">
        <v>0</v>
      </c>
      <c r="B1" s="78"/>
      <c r="C1" s="78"/>
      <c r="D1" s="78"/>
      <c r="E1" s="79"/>
    </row>
    <row r="2" spans="1:8" s="18" customFormat="1" x14ac:dyDescent="0.35">
      <c r="A2" s="17">
        <v>1</v>
      </c>
      <c r="B2" s="80" t="s">
        <v>1</v>
      </c>
      <c r="C2" s="80"/>
      <c r="D2" s="80"/>
      <c r="E2" s="81"/>
    </row>
    <row r="3" spans="1:8" s="18" customFormat="1" x14ac:dyDescent="0.35">
      <c r="A3" s="19">
        <v>2</v>
      </c>
      <c r="B3" s="82" t="s">
        <v>2</v>
      </c>
      <c r="C3" s="82"/>
      <c r="D3" s="82"/>
      <c r="E3" s="83"/>
    </row>
    <row r="4" spans="1:8" s="18" customFormat="1" ht="34.5" customHeight="1" x14ac:dyDescent="0.35">
      <c r="A4" s="19">
        <v>3</v>
      </c>
      <c r="B4" s="82" t="s">
        <v>3</v>
      </c>
      <c r="C4" s="82"/>
      <c r="D4" s="82"/>
      <c r="E4" s="83"/>
    </row>
    <row r="5" spans="1:8" s="18" customFormat="1" ht="15.5" thickBot="1" x14ac:dyDescent="0.4">
      <c r="A5" s="20">
        <v>4</v>
      </c>
      <c r="B5" s="84" t="s">
        <v>4</v>
      </c>
      <c r="C5" s="84"/>
      <c r="D5" s="84"/>
      <c r="E5" s="85"/>
    </row>
    <row r="6" spans="1:8" ht="15.5" thickBot="1" x14ac:dyDescent="0.45"/>
    <row r="7" spans="1:8" ht="15.5" thickBot="1" x14ac:dyDescent="0.45">
      <c r="A7" s="77" t="s">
        <v>5</v>
      </c>
      <c r="B7" s="78"/>
      <c r="C7" s="78"/>
      <c r="D7" s="78"/>
      <c r="E7" s="79"/>
    </row>
    <row r="8" spans="1:8" x14ac:dyDescent="0.4">
      <c r="A8" s="17">
        <v>1</v>
      </c>
      <c r="B8" s="80" t="s">
        <v>6</v>
      </c>
      <c r="C8" s="80"/>
      <c r="D8" s="80"/>
      <c r="E8" s="81"/>
    </row>
    <row r="9" spans="1:8" x14ac:dyDescent="0.4">
      <c r="A9" s="19">
        <v>2</v>
      </c>
      <c r="B9" s="82" t="s">
        <v>7</v>
      </c>
      <c r="C9" s="82"/>
      <c r="D9" s="82"/>
      <c r="E9" s="83"/>
    </row>
    <row r="10" spans="1:8" x14ac:dyDescent="0.4">
      <c r="A10" s="19">
        <v>3</v>
      </c>
      <c r="B10" s="82" t="s">
        <v>8</v>
      </c>
      <c r="C10" s="82"/>
      <c r="D10" s="82"/>
      <c r="E10" s="83"/>
    </row>
    <row r="11" spans="1:8" x14ac:dyDescent="0.4">
      <c r="A11" s="19">
        <v>4</v>
      </c>
      <c r="B11" s="86" t="s">
        <v>9</v>
      </c>
      <c r="C11" s="86"/>
      <c r="D11" s="86"/>
      <c r="E11" s="87"/>
    </row>
    <row r="12" spans="1:8" ht="15.5" thickBot="1" x14ac:dyDescent="0.45">
      <c r="A12" s="20">
        <v>5</v>
      </c>
      <c r="B12" s="84" t="s">
        <v>10</v>
      </c>
      <c r="C12" s="84"/>
      <c r="D12" s="84"/>
      <c r="E12" s="85"/>
    </row>
    <row r="14" spans="1:8" ht="15.5" thickBot="1" x14ac:dyDescent="0.45"/>
    <row r="15" spans="1:8" x14ac:dyDescent="0.4">
      <c r="A15" s="50" t="s">
        <v>11</v>
      </c>
      <c r="B15" s="51"/>
      <c r="C15" s="51"/>
      <c r="D15" s="51"/>
      <c r="E15" s="51"/>
      <c r="F15" s="51"/>
      <c r="G15" s="51"/>
      <c r="H15" s="52"/>
    </row>
    <row r="16" spans="1:8" x14ac:dyDescent="0.4">
      <c r="A16" s="53"/>
      <c r="B16" s="13" t="s">
        <v>2001</v>
      </c>
      <c r="C16" s="54"/>
      <c r="D16" s="54"/>
      <c r="E16" s="54"/>
      <c r="F16" s="54"/>
      <c r="G16" s="54"/>
      <c r="H16" s="55"/>
    </row>
    <row r="17" spans="1:8" ht="15" customHeight="1" x14ac:dyDescent="0.4">
      <c r="A17" s="53"/>
      <c r="B17" s="56" t="s">
        <v>2002</v>
      </c>
      <c r="C17" s="54"/>
      <c r="D17" s="54"/>
      <c r="E17" s="54"/>
      <c r="F17" s="54"/>
      <c r="G17" s="54"/>
      <c r="H17" s="57"/>
    </row>
    <row r="18" spans="1:8" ht="28.5" customHeight="1" thickBot="1" x14ac:dyDescent="0.45">
      <c r="A18" s="58"/>
      <c r="B18" s="59"/>
      <c r="C18" s="59"/>
      <c r="D18" s="59"/>
      <c r="E18" s="59"/>
      <c r="F18" s="59"/>
      <c r="G18" s="59"/>
      <c r="H18" s="60"/>
    </row>
    <row r="19" spans="1:8" x14ac:dyDescent="0.4">
      <c r="A19" s="50" t="s">
        <v>12</v>
      </c>
      <c r="B19" s="51"/>
      <c r="C19" s="51"/>
      <c r="D19" s="51"/>
      <c r="E19" s="51"/>
      <c r="F19" s="51"/>
      <c r="G19" s="51"/>
      <c r="H19" s="61"/>
    </row>
    <row r="20" spans="1:8" ht="27" customHeight="1" x14ac:dyDescent="0.4">
      <c r="A20" s="53"/>
      <c r="B20" s="13" t="s">
        <v>126</v>
      </c>
      <c r="C20" s="54"/>
      <c r="D20" s="54"/>
      <c r="E20" s="54"/>
      <c r="F20" s="54"/>
      <c r="G20" s="54"/>
      <c r="H20" s="55"/>
    </row>
    <row r="21" spans="1:8" ht="17.25" customHeight="1" x14ac:dyDescent="0.4">
      <c r="A21" s="53"/>
      <c r="B21" s="56" t="s">
        <v>127</v>
      </c>
      <c r="C21" s="54"/>
      <c r="D21" s="54"/>
      <c r="E21" s="54"/>
      <c r="F21" s="54"/>
      <c r="G21" s="54"/>
      <c r="H21" s="55"/>
    </row>
    <row r="22" spans="1:8" ht="28.5" customHeight="1" thickBot="1" x14ac:dyDescent="0.45">
      <c r="A22" s="58"/>
      <c r="B22" s="59"/>
      <c r="C22" s="59"/>
      <c r="D22" s="59"/>
      <c r="E22" s="59"/>
      <c r="F22" s="59"/>
      <c r="G22" s="59"/>
      <c r="H22" s="60"/>
    </row>
    <row r="23" spans="1:8" ht="9.75" customHeight="1" x14ac:dyDescent="0.4">
      <c r="A23" s="62"/>
      <c r="B23" s="51"/>
      <c r="C23" s="51"/>
      <c r="D23" s="51"/>
      <c r="E23" s="51"/>
      <c r="F23" s="51"/>
      <c r="G23" s="51"/>
      <c r="H23" s="61"/>
    </row>
    <row r="24" spans="1:8" x14ac:dyDescent="0.4">
      <c r="A24" s="53"/>
      <c r="B24" s="54"/>
      <c r="C24" s="54"/>
      <c r="D24" s="54"/>
      <c r="E24" s="54"/>
      <c r="F24" s="54"/>
      <c r="G24" s="54"/>
      <c r="H24" s="55"/>
    </row>
    <row r="25" spans="1:8" x14ac:dyDescent="0.4">
      <c r="A25" s="53"/>
      <c r="B25" s="54"/>
      <c r="C25" s="54"/>
      <c r="D25" s="54"/>
      <c r="E25" s="54"/>
      <c r="F25" s="54"/>
      <c r="G25" s="54"/>
      <c r="H25" s="55"/>
    </row>
    <row r="26" spans="1:8" ht="6" customHeight="1" thickBot="1" x14ac:dyDescent="0.45">
      <c r="A26" s="58"/>
      <c r="B26" s="59"/>
      <c r="C26" s="59"/>
      <c r="D26" s="59"/>
      <c r="E26" s="59"/>
      <c r="F26" s="59"/>
      <c r="G26" s="59"/>
      <c r="H26" s="60"/>
    </row>
  </sheetData>
  <mergeCells count="11">
    <mergeCell ref="A1:E1"/>
    <mergeCell ref="B2:E2"/>
    <mergeCell ref="B3:E3"/>
    <mergeCell ref="B4:E4"/>
    <mergeCell ref="B5:E5"/>
    <mergeCell ref="A7:E7"/>
    <mergeCell ref="B8:E8"/>
    <mergeCell ref="B9:E9"/>
    <mergeCell ref="B10:E10"/>
    <mergeCell ref="B12:E12"/>
    <mergeCell ref="B11:E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doPS">
                <anchor moveWithCells="1" sizeWithCells="1">
                  <from>
                    <xdr:col>1</xdr:col>
                    <xdr:colOff>12700</xdr:colOff>
                    <xdr:row>20</xdr:row>
                    <xdr:rowOff>19050</xdr:rowOff>
                  </from>
                  <to>
                    <xdr:col>4</xdr:col>
                    <xdr:colOff>742950</xdr:colOff>
                    <xdr:row>21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odoFC">
                <anchor moveWithCells="1" sizeWithCells="1">
                  <from>
                    <xdr:col>0</xdr:col>
                    <xdr:colOff>317500</xdr:colOff>
                    <xdr:row>16</xdr:row>
                    <xdr:rowOff>19050</xdr:rowOff>
                  </from>
                  <to>
                    <xdr:col>4</xdr:col>
                    <xdr:colOff>755650</xdr:colOff>
                    <xdr:row>17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uplicarHojaConValores">
                <anchor moveWithCells="1" sizeWithCells="1">
                  <from>
                    <xdr:col>1</xdr:col>
                    <xdr:colOff>0</xdr:colOff>
                    <xdr:row>22</xdr:row>
                    <xdr:rowOff>190500</xdr:rowOff>
                  </from>
                  <to>
                    <xdr:col>4</xdr:col>
                    <xdr:colOff>755650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40CD3-F5B8-40B5-9959-BB2774A0DE78}">
  <sheetPr codeName="Hoja1">
    <tabColor rgb="FFFF0000"/>
  </sheetPr>
  <dimension ref="A1:PC2642"/>
  <sheetViews>
    <sheetView tabSelected="1" zoomScale="80" zoomScaleNormal="80" workbookViewId="0">
      <selection activeCell="PE20" sqref="PE20"/>
    </sheetView>
  </sheetViews>
  <sheetFormatPr defaultColWidth="10.26953125" defaultRowHeight="15" outlineLevelRow="1" outlineLevelCol="1" x14ac:dyDescent="0.4"/>
  <cols>
    <col min="1" max="1" width="38.81640625" style="13" customWidth="1"/>
    <col min="2" max="2" width="25.54296875" style="13" hidden="1" customWidth="1" outlineLevel="1"/>
    <col min="3" max="3" width="18.453125" style="13" hidden="1" customWidth="1" outlineLevel="1"/>
    <col min="4" max="4" width="16.81640625" style="13" hidden="1" customWidth="1" outlineLevel="1"/>
    <col min="5" max="5" width="15.7265625" style="13" hidden="1" customWidth="1" outlineLevel="1"/>
    <col min="6" max="6" width="14" style="13" hidden="1" customWidth="1" outlineLevel="1"/>
    <col min="7" max="12" width="14.7265625" style="13" hidden="1" customWidth="1" outlineLevel="1"/>
    <col min="13" max="13" width="16.7265625" style="13" hidden="1" customWidth="1" outlineLevel="1"/>
    <col min="14" max="38" width="10.453125" style="13" hidden="1" customWidth="1" outlineLevel="1"/>
    <col min="39" max="39" width="19.1796875" style="13" customWidth="1" collapsed="1"/>
    <col min="40" max="76" width="16.7265625" style="13" hidden="1" customWidth="1" outlineLevel="1"/>
    <col min="77" max="77" width="16.7265625" style="13" customWidth="1" collapsed="1"/>
    <col min="78" max="114" width="16.7265625" style="13" hidden="1" customWidth="1" outlineLevel="1"/>
    <col min="115" max="115" width="16.7265625" style="13" customWidth="1" collapsed="1"/>
    <col min="116" max="152" width="16.7265625" style="13" hidden="1" customWidth="1" outlineLevel="1"/>
    <col min="153" max="153" width="16.7265625" style="13" customWidth="1" collapsed="1"/>
    <col min="154" max="190" width="16.7265625" style="13" hidden="1" customWidth="1" outlineLevel="1"/>
    <col min="191" max="191" width="16.7265625" style="13" customWidth="1" collapsed="1"/>
    <col min="192" max="228" width="16.7265625" style="13" hidden="1" customWidth="1" outlineLevel="1"/>
    <col min="229" max="229" width="16.7265625" style="13" customWidth="1" collapsed="1"/>
    <col min="230" max="266" width="16.7265625" style="13" hidden="1" customWidth="1" outlineLevel="1"/>
    <col min="267" max="267" width="16.7265625" style="13" customWidth="1" collapsed="1"/>
    <col min="268" max="304" width="16.7265625" style="13" hidden="1" customWidth="1" outlineLevel="1"/>
    <col min="305" max="305" width="16.7265625" style="13" customWidth="1" collapsed="1"/>
    <col min="306" max="342" width="16.7265625" style="13" hidden="1" customWidth="1" outlineLevel="1"/>
    <col min="343" max="343" width="16.7265625" style="13" customWidth="1" collapsed="1"/>
    <col min="344" max="380" width="16.7265625" style="13" hidden="1" customWidth="1" outlineLevel="1"/>
    <col min="381" max="381" width="16.7265625" style="13" customWidth="1" collapsed="1"/>
    <col min="382" max="418" width="16.7265625" style="13" hidden="1" customWidth="1" outlineLevel="1"/>
    <col min="419" max="419" width="16.7265625" style="13" customWidth="1" collapsed="1"/>
    <col min="420" max="16384" width="10.26953125" style="13"/>
  </cols>
  <sheetData>
    <row r="1" spans="1:419" s="11" customFormat="1" ht="15.75" customHeight="1" thickBot="1" x14ac:dyDescent="0.4">
      <c r="A1" s="48" t="s">
        <v>13</v>
      </c>
      <c r="B1" s="88" t="s">
        <v>14</v>
      </c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9"/>
      <c r="AN1" s="90" t="s">
        <v>15</v>
      </c>
      <c r="AO1" s="88"/>
      <c r="AP1" s="88"/>
      <c r="AQ1" s="88"/>
      <c r="AR1" s="88"/>
      <c r="AS1" s="88"/>
      <c r="AT1" s="88"/>
      <c r="AU1" s="88"/>
      <c r="AV1" s="88"/>
      <c r="AW1" s="88"/>
      <c r="AX1" s="88"/>
      <c r="AY1" s="88"/>
      <c r="AZ1" s="88"/>
      <c r="BA1" s="88"/>
      <c r="BB1" s="88"/>
      <c r="BC1" s="88"/>
      <c r="BD1" s="88"/>
      <c r="BE1" s="88"/>
      <c r="BF1" s="88"/>
      <c r="BG1" s="88"/>
      <c r="BH1" s="88"/>
      <c r="BI1" s="88"/>
      <c r="BJ1" s="88"/>
      <c r="BK1" s="88"/>
      <c r="BL1" s="88"/>
      <c r="BM1" s="88"/>
      <c r="BN1" s="88"/>
      <c r="BO1" s="88"/>
      <c r="BP1" s="88"/>
      <c r="BQ1" s="88"/>
      <c r="BR1" s="88"/>
      <c r="BS1" s="88"/>
      <c r="BT1" s="88"/>
      <c r="BU1" s="88"/>
      <c r="BV1" s="88"/>
      <c r="BW1" s="88"/>
      <c r="BX1" s="88"/>
      <c r="BY1" s="89"/>
      <c r="BZ1" s="112" t="s">
        <v>16</v>
      </c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113"/>
      <c r="CU1" s="113"/>
      <c r="CV1" s="113"/>
      <c r="CW1" s="113"/>
      <c r="CX1" s="113"/>
      <c r="CY1" s="113"/>
      <c r="CZ1" s="113"/>
      <c r="DA1" s="113"/>
      <c r="DB1" s="113"/>
      <c r="DC1" s="113"/>
      <c r="DD1" s="113"/>
      <c r="DE1" s="113"/>
      <c r="DF1" s="113"/>
      <c r="DG1" s="113"/>
      <c r="DH1" s="113"/>
      <c r="DI1" s="113"/>
      <c r="DJ1" s="113"/>
      <c r="DK1" s="114"/>
      <c r="DL1" s="109" t="s">
        <v>17</v>
      </c>
      <c r="DM1" s="110"/>
      <c r="DN1" s="110"/>
      <c r="DO1" s="110"/>
      <c r="DP1" s="110"/>
      <c r="DQ1" s="110"/>
      <c r="DR1" s="110"/>
      <c r="DS1" s="110"/>
      <c r="DT1" s="110"/>
      <c r="DU1" s="110"/>
      <c r="DV1" s="110"/>
      <c r="DW1" s="110"/>
      <c r="DX1" s="110"/>
      <c r="DY1" s="110"/>
      <c r="DZ1" s="110"/>
      <c r="EA1" s="110"/>
      <c r="EB1" s="110"/>
      <c r="EC1" s="110"/>
      <c r="ED1" s="110"/>
      <c r="EE1" s="110"/>
      <c r="EF1" s="110"/>
      <c r="EG1" s="110"/>
      <c r="EH1" s="110"/>
      <c r="EI1" s="110"/>
      <c r="EJ1" s="110"/>
      <c r="EK1" s="110"/>
      <c r="EL1" s="110"/>
      <c r="EM1" s="110"/>
      <c r="EN1" s="110"/>
      <c r="EO1" s="110"/>
      <c r="EP1" s="110"/>
      <c r="EQ1" s="110"/>
      <c r="ER1" s="110"/>
      <c r="ES1" s="110"/>
      <c r="ET1" s="110"/>
      <c r="EU1" s="110"/>
      <c r="EV1" s="110"/>
      <c r="EW1" s="111"/>
      <c r="EX1" s="118" t="s">
        <v>18</v>
      </c>
      <c r="EY1" s="119"/>
      <c r="EZ1" s="119"/>
      <c r="FA1" s="119"/>
      <c r="FB1" s="119"/>
      <c r="FC1" s="119"/>
      <c r="FD1" s="119"/>
      <c r="FE1" s="119"/>
      <c r="FF1" s="119"/>
      <c r="FG1" s="119"/>
      <c r="FH1" s="119"/>
      <c r="FI1" s="119"/>
      <c r="FJ1" s="119"/>
      <c r="FK1" s="119"/>
      <c r="FL1" s="119"/>
      <c r="FM1" s="119"/>
      <c r="FN1" s="119"/>
      <c r="FO1" s="119"/>
      <c r="FP1" s="119"/>
      <c r="FQ1" s="119"/>
      <c r="FR1" s="119"/>
      <c r="FS1" s="119"/>
      <c r="FT1" s="119"/>
      <c r="FU1" s="119"/>
      <c r="FV1" s="119"/>
      <c r="FW1" s="119"/>
      <c r="FX1" s="119"/>
      <c r="FY1" s="119"/>
      <c r="FZ1" s="119"/>
      <c r="GA1" s="119"/>
      <c r="GB1" s="119"/>
      <c r="GC1" s="119"/>
      <c r="GD1" s="119"/>
      <c r="GE1" s="119"/>
      <c r="GF1" s="119"/>
      <c r="GG1" s="119"/>
      <c r="GH1" s="119"/>
      <c r="GI1" s="120"/>
      <c r="GJ1" s="118" t="s">
        <v>19</v>
      </c>
      <c r="GK1" s="119"/>
      <c r="GL1" s="119"/>
      <c r="GM1" s="119"/>
      <c r="GN1" s="119"/>
      <c r="GO1" s="119"/>
      <c r="GP1" s="119"/>
      <c r="GQ1" s="119"/>
      <c r="GR1" s="119"/>
      <c r="GS1" s="119"/>
      <c r="GT1" s="119"/>
      <c r="GU1" s="119"/>
      <c r="GV1" s="119"/>
      <c r="GW1" s="119"/>
      <c r="GX1" s="119"/>
      <c r="GY1" s="119"/>
      <c r="GZ1" s="119"/>
      <c r="HA1" s="119"/>
      <c r="HB1" s="119"/>
      <c r="HC1" s="119"/>
      <c r="HD1" s="119"/>
      <c r="HE1" s="119"/>
      <c r="HF1" s="119"/>
      <c r="HG1" s="119"/>
      <c r="HH1" s="119"/>
      <c r="HI1" s="119"/>
      <c r="HJ1" s="119"/>
      <c r="HK1" s="119"/>
      <c r="HL1" s="119"/>
      <c r="HM1" s="119"/>
      <c r="HN1" s="119"/>
      <c r="HO1" s="119"/>
      <c r="HP1" s="119"/>
      <c r="HQ1" s="119"/>
      <c r="HR1" s="119"/>
      <c r="HS1" s="119"/>
      <c r="HT1" s="119"/>
      <c r="HU1" s="120"/>
      <c r="HV1" s="124" t="s">
        <v>20</v>
      </c>
      <c r="HW1" s="125"/>
      <c r="HX1" s="125"/>
      <c r="HY1" s="125"/>
      <c r="HZ1" s="125"/>
      <c r="IA1" s="125"/>
      <c r="IB1" s="125"/>
      <c r="IC1" s="125"/>
      <c r="ID1" s="125"/>
      <c r="IE1" s="125"/>
      <c r="IF1" s="125"/>
      <c r="IG1" s="125"/>
      <c r="IH1" s="125"/>
      <c r="II1" s="125"/>
      <c r="IJ1" s="125"/>
      <c r="IK1" s="125"/>
      <c r="IL1" s="125"/>
      <c r="IM1" s="125"/>
      <c r="IN1" s="125"/>
      <c r="IO1" s="125"/>
      <c r="IP1" s="125"/>
      <c r="IQ1" s="125"/>
      <c r="IR1" s="125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6"/>
      <c r="JH1" s="121" t="s">
        <v>21</v>
      </c>
      <c r="JI1" s="122"/>
      <c r="JJ1" s="122"/>
      <c r="JK1" s="122"/>
      <c r="JL1" s="122"/>
      <c r="JM1" s="122"/>
      <c r="JN1" s="122"/>
      <c r="JO1" s="122"/>
      <c r="JP1" s="122"/>
      <c r="JQ1" s="122"/>
      <c r="JR1" s="122"/>
      <c r="JS1" s="122"/>
      <c r="JT1" s="122"/>
      <c r="JU1" s="122"/>
      <c r="JV1" s="122"/>
      <c r="JW1" s="122"/>
      <c r="JX1" s="122"/>
      <c r="JY1" s="122"/>
      <c r="JZ1" s="122"/>
      <c r="KA1" s="122"/>
      <c r="KB1" s="122"/>
      <c r="KC1" s="122"/>
      <c r="KD1" s="122"/>
      <c r="KE1" s="122"/>
      <c r="KF1" s="122"/>
      <c r="KG1" s="122"/>
      <c r="KH1" s="122"/>
      <c r="KI1" s="122"/>
      <c r="KJ1" s="122"/>
      <c r="KK1" s="122"/>
      <c r="KL1" s="122"/>
      <c r="KM1" s="122"/>
      <c r="KN1" s="122"/>
      <c r="KO1" s="122"/>
      <c r="KP1" s="122"/>
      <c r="KQ1" s="122"/>
      <c r="KR1" s="122"/>
      <c r="KS1" s="123"/>
      <c r="KT1" s="109" t="s">
        <v>22</v>
      </c>
      <c r="KU1" s="110"/>
      <c r="KV1" s="110"/>
      <c r="KW1" s="110"/>
      <c r="KX1" s="110"/>
      <c r="KY1" s="110"/>
      <c r="KZ1" s="110"/>
      <c r="LA1" s="110"/>
      <c r="LB1" s="110"/>
      <c r="LC1" s="110"/>
      <c r="LD1" s="110"/>
      <c r="LE1" s="110"/>
      <c r="LF1" s="110"/>
      <c r="LG1" s="110"/>
      <c r="LH1" s="110"/>
      <c r="LI1" s="110"/>
      <c r="LJ1" s="110"/>
      <c r="LK1" s="110"/>
      <c r="LL1" s="110"/>
      <c r="LM1" s="110"/>
      <c r="LN1" s="110"/>
      <c r="LO1" s="110"/>
      <c r="LP1" s="110"/>
      <c r="LQ1" s="110"/>
      <c r="LR1" s="110"/>
      <c r="LS1" s="110"/>
      <c r="LT1" s="110"/>
      <c r="LU1" s="110"/>
      <c r="LV1" s="110"/>
      <c r="LW1" s="110"/>
      <c r="LX1" s="110"/>
      <c r="LY1" s="110"/>
      <c r="LZ1" s="110"/>
      <c r="MA1" s="110"/>
      <c r="MB1" s="110"/>
      <c r="MC1" s="110"/>
      <c r="MD1" s="110"/>
      <c r="ME1" s="111"/>
      <c r="MF1" s="109" t="s">
        <v>23</v>
      </c>
      <c r="MG1" s="110"/>
      <c r="MH1" s="110"/>
      <c r="MI1" s="110"/>
      <c r="MJ1" s="110"/>
      <c r="MK1" s="110"/>
      <c r="ML1" s="110"/>
      <c r="MM1" s="110"/>
      <c r="MN1" s="110"/>
      <c r="MO1" s="110"/>
      <c r="MP1" s="110"/>
      <c r="MQ1" s="110"/>
      <c r="MR1" s="110"/>
      <c r="MS1" s="110"/>
      <c r="MT1" s="110"/>
      <c r="MU1" s="110"/>
      <c r="MV1" s="110"/>
      <c r="MW1" s="110"/>
      <c r="MX1" s="110"/>
      <c r="MY1" s="110"/>
      <c r="MZ1" s="110"/>
      <c r="NA1" s="110"/>
      <c r="NB1" s="110"/>
      <c r="NC1" s="110"/>
      <c r="ND1" s="110"/>
      <c r="NE1" s="110"/>
      <c r="NF1" s="110"/>
      <c r="NG1" s="110"/>
      <c r="NH1" s="110"/>
      <c r="NI1" s="110"/>
      <c r="NJ1" s="110"/>
      <c r="NK1" s="110"/>
      <c r="NL1" s="110"/>
      <c r="NM1" s="110"/>
      <c r="NN1" s="110"/>
      <c r="NO1" s="110"/>
      <c r="NP1" s="110"/>
      <c r="NQ1" s="111"/>
      <c r="NR1" s="112" t="s">
        <v>24</v>
      </c>
      <c r="NS1" s="113"/>
      <c r="NT1" s="113"/>
      <c r="NU1" s="113"/>
      <c r="NV1" s="113"/>
      <c r="NW1" s="113"/>
      <c r="NX1" s="113"/>
      <c r="NY1" s="113"/>
      <c r="NZ1" s="113"/>
      <c r="OA1" s="113"/>
      <c r="OB1" s="113"/>
      <c r="OC1" s="113"/>
      <c r="OD1" s="113"/>
      <c r="OE1" s="113"/>
      <c r="OF1" s="113"/>
      <c r="OG1" s="113"/>
      <c r="OH1" s="113"/>
      <c r="OI1" s="113"/>
      <c r="OJ1" s="113"/>
      <c r="OK1" s="113"/>
      <c r="OL1" s="113"/>
      <c r="OM1" s="113"/>
      <c r="ON1" s="113"/>
      <c r="OO1" s="113"/>
      <c r="OP1" s="113"/>
      <c r="OQ1" s="113"/>
      <c r="OR1" s="113"/>
      <c r="OS1" s="113"/>
      <c r="OT1" s="113"/>
      <c r="OU1" s="113"/>
      <c r="OV1" s="113"/>
      <c r="OW1" s="113"/>
      <c r="OX1" s="113"/>
      <c r="OY1" s="113"/>
      <c r="OZ1" s="113"/>
      <c r="PA1" s="113"/>
      <c r="PB1" s="113"/>
      <c r="PC1" s="114"/>
    </row>
    <row r="2" spans="1:419" s="31" customFormat="1" ht="15.75" customHeight="1" thickBot="1" x14ac:dyDescent="0.4">
      <c r="A2" s="49" t="s">
        <v>25</v>
      </c>
      <c r="B2" s="29">
        <v>2023</v>
      </c>
      <c r="C2" s="29">
        <v>2024</v>
      </c>
      <c r="D2" s="29">
        <v>2025</v>
      </c>
      <c r="E2" s="29">
        <v>2026</v>
      </c>
      <c r="F2" s="29">
        <v>2027</v>
      </c>
      <c r="G2" s="29">
        <v>2028</v>
      </c>
      <c r="H2" s="29">
        <v>2029</v>
      </c>
      <c r="I2" s="29">
        <v>2030</v>
      </c>
      <c r="J2" s="29">
        <v>2031</v>
      </c>
      <c r="K2" s="29">
        <v>2032</v>
      </c>
      <c r="L2" s="29">
        <v>2033</v>
      </c>
      <c r="M2" s="29">
        <v>2034</v>
      </c>
      <c r="N2" s="29">
        <v>2035</v>
      </c>
      <c r="O2" s="29">
        <v>2036</v>
      </c>
      <c r="P2" s="29">
        <v>2037</v>
      </c>
      <c r="Q2" s="29">
        <v>2038</v>
      </c>
      <c r="R2" s="29">
        <v>2039</v>
      </c>
      <c r="S2" s="29">
        <v>2040</v>
      </c>
      <c r="T2" s="29">
        <v>2041</v>
      </c>
      <c r="U2" s="29">
        <v>2042</v>
      </c>
      <c r="V2" s="29">
        <v>2043</v>
      </c>
      <c r="W2" s="29">
        <v>2044</v>
      </c>
      <c r="X2" s="29">
        <v>2045</v>
      </c>
      <c r="Y2" s="29">
        <v>2046</v>
      </c>
      <c r="Z2" s="29">
        <v>2047</v>
      </c>
      <c r="AA2" s="29">
        <v>2048</v>
      </c>
      <c r="AB2" s="29">
        <v>2049</v>
      </c>
      <c r="AC2" s="29">
        <v>2050</v>
      </c>
      <c r="AD2" s="29">
        <v>2051</v>
      </c>
      <c r="AE2" s="29">
        <v>2052</v>
      </c>
      <c r="AF2" s="29">
        <v>2053</v>
      </c>
      <c r="AG2" s="29">
        <v>2054</v>
      </c>
      <c r="AH2" s="29">
        <v>2055</v>
      </c>
      <c r="AI2" s="29">
        <v>2056</v>
      </c>
      <c r="AJ2" s="29">
        <v>2057</v>
      </c>
      <c r="AK2" s="29">
        <v>2058</v>
      </c>
      <c r="AL2" s="29">
        <v>2059</v>
      </c>
      <c r="AM2" s="30" t="s">
        <v>26</v>
      </c>
      <c r="AN2" s="29">
        <v>2023</v>
      </c>
      <c r="AO2" s="29">
        <v>2024</v>
      </c>
      <c r="AP2" s="29">
        <v>2025</v>
      </c>
      <c r="AQ2" s="29">
        <v>2026</v>
      </c>
      <c r="AR2" s="29">
        <v>2027</v>
      </c>
      <c r="AS2" s="29">
        <v>2028</v>
      </c>
      <c r="AT2" s="29">
        <v>2029</v>
      </c>
      <c r="AU2" s="29">
        <v>2030</v>
      </c>
      <c r="AV2" s="29">
        <v>2031</v>
      </c>
      <c r="AW2" s="29">
        <v>2032</v>
      </c>
      <c r="AX2" s="29">
        <v>2033</v>
      </c>
      <c r="AY2" s="29">
        <v>2034</v>
      </c>
      <c r="AZ2" s="29">
        <v>2035</v>
      </c>
      <c r="BA2" s="29">
        <v>2036</v>
      </c>
      <c r="BB2" s="29">
        <v>2037</v>
      </c>
      <c r="BC2" s="29">
        <v>2038</v>
      </c>
      <c r="BD2" s="29">
        <v>2039</v>
      </c>
      <c r="BE2" s="29">
        <v>2040</v>
      </c>
      <c r="BF2" s="29">
        <v>2041</v>
      </c>
      <c r="BG2" s="29">
        <v>2042</v>
      </c>
      <c r="BH2" s="29">
        <v>2043</v>
      </c>
      <c r="BI2" s="29">
        <v>2044</v>
      </c>
      <c r="BJ2" s="29">
        <v>2045</v>
      </c>
      <c r="BK2" s="29">
        <v>2046</v>
      </c>
      <c r="BL2" s="29">
        <v>2047</v>
      </c>
      <c r="BM2" s="29">
        <v>2048</v>
      </c>
      <c r="BN2" s="29">
        <v>2049</v>
      </c>
      <c r="BO2" s="29">
        <v>2050</v>
      </c>
      <c r="BP2" s="29">
        <v>2051</v>
      </c>
      <c r="BQ2" s="29">
        <v>2052</v>
      </c>
      <c r="BR2" s="29">
        <v>2053</v>
      </c>
      <c r="BS2" s="29">
        <v>2054</v>
      </c>
      <c r="BT2" s="29">
        <v>2055</v>
      </c>
      <c r="BU2" s="29">
        <v>2056</v>
      </c>
      <c r="BV2" s="29">
        <v>2057</v>
      </c>
      <c r="BW2" s="29">
        <v>2058</v>
      </c>
      <c r="BX2" s="29">
        <v>2059</v>
      </c>
      <c r="BY2" s="30" t="s">
        <v>26</v>
      </c>
      <c r="BZ2" s="29">
        <v>2023</v>
      </c>
      <c r="CA2" s="29">
        <v>2024</v>
      </c>
      <c r="CB2" s="29">
        <v>2025</v>
      </c>
      <c r="CC2" s="29">
        <v>2026</v>
      </c>
      <c r="CD2" s="29">
        <v>2027</v>
      </c>
      <c r="CE2" s="29">
        <v>2028</v>
      </c>
      <c r="CF2" s="29">
        <v>2029</v>
      </c>
      <c r="CG2" s="29">
        <v>2030</v>
      </c>
      <c r="CH2" s="29">
        <v>2031</v>
      </c>
      <c r="CI2" s="29">
        <v>2032</v>
      </c>
      <c r="CJ2" s="29">
        <v>2033</v>
      </c>
      <c r="CK2" s="29">
        <v>2034</v>
      </c>
      <c r="CL2" s="29">
        <v>2035</v>
      </c>
      <c r="CM2" s="29">
        <v>2036</v>
      </c>
      <c r="CN2" s="29">
        <v>2037</v>
      </c>
      <c r="CO2" s="29">
        <v>2038</v>
      </c>
      <c r="CP2" s="29">
        <v>2039</v>
      </c>
      <c r="CQ2" s="29">
        <v>2040</v>
      </c>
      <c r="CR2" s="29">
        <v>2041</v>
      </c>
      <c r="CS2" s="29">
        <v>2042</v>
      </c>
      <c r="CT2" s="29">
        <v>2043</v>
      </c>
      <c r="CU2" s="29">
        <v>2044</v>
      </c>
      <c r="CV2" s="29">
        <v>2045</v>
      </c>
      <c r="CW2" s="29">
        <v>2046</v>
      </c>
      <c r="CX2" s="29">
        <v>2047</v>
      </c>
      <c r="CY2" s="29">
        <v>2048</v>
      </c>
      <c r="CZ2" s="29">
        <v>2049</v>
      </c>
      <c r="DA2" s="29">
        <v>2050</v>
      </c>
      <c r="DB2" s="29">
        <v>2051</v>
      </c>
      <c r="DC2" s="29">
        <v>2052</v>
      </c>
      <c r="DD2" s="29">
        <v>2053</v>
      </c>
      <c r="DE2" s="29">
        <v>2054</v>
      </c>
      <c r="DF2" s="29">
        <v>2055</v>
      </c>
      <c r="DG2" s="29">
        <v>2056</v>
      </c>
      <c r="DH2" s="29">
        <v>2057</v>
      </c>
      <c r="DI2" s="29">
        <v>2058</v>
      </c>
      <c r="DJ2" s="29">
        <v>2059</v>
      </c>
      <c r="DK2" s="30" t="s">
        <v>26</v>
      </c>
      <c r="DL2" s="64">
        <v>2023</v>
      </c>
      <c r="DM2" s="64">
        <v>2024</v>
      </c>
      <c r="DN2" s="64">
        <v>2025</v>
      </c>
      <c r="DO2" s="64">
        <v>2026</v>
      </c>
      <c r="DP2" s="64">
        <v>2027</v>
      </c>
      <c r="DQ2" s="64">
        <v>2028</v>
      </c>
      <c r="DR2" s="64">
        <v>2029</v>
      </c>
      <c r="DS2" s="64">
        <v>2030</v>
      </c>
      <c r="DT2" s="64">
        <v>2031</v>
      </c>
      <c r="DU2" s="64">
        <v>2032</v>
      </c>
      <c r="DV2" s="64">
        <v>2033</v>
      </c>
      <c r="DW2" s="64">
        <v>2034</v>
      </c>
      <c r="DX2" s="64">
        <v>2035</v>
      </c>
      <c r="DY2" s="64">
        <v>2036</v>
      </c>
      <c r="DZ2" s="64">
        <v>2037</v>
      </c>
      <c r="EA2" s="64">
        <v>2038</v>
      </c>
      <c r="EB2" s="64">
        <v>2039</v>
      </c>
      <c r="EC2" s="64">
        <v>2040</v>
      </c>
      <c r="ED2" s="64">
        <v>2041</v>
      </c>
      <c r="EE2" s="64">
        <v>2042</v>
      </c>
      <c r="EF2" s="64">
        <v>2043</v>
      </c>
      <c r="EG2" s="64">
        <v>2044</v>
      </c>
      <c r="EH2" s="64">
        <v>2045</v>
      </c>
      <c r="EI2" s="64">
        <v>2046</v>
      </c>
      <c r="EJ2" s="64">
        <v>2047</v>
      </c>
      <c r="EK2" s="64">
        <v>2048</v>
      </c>
      <c r="EL2" s="64">
        <v>2049</v>
      </c>
      <c r="EM2" s="64">
        <v>2050</v>
      </c>
      <c r="EN2" s="64">
        <v>2051</v>
      </c>
      <c r="EO2" s="64">
        <v>2052</v>
      </c>
      <c r="EP2" s="64">
        <v>2053</v>
      </c>
      <c r="EQ2" s="64">
        <v>2054</v>
      </c>
      <c r="ER2" s="64">
        <v>2055</v>
      </c>
      <c r="ES2" s="64">
        <v>2056</v>
      </c>
      <c r="ET2" s="64">
        <v>2057</v>
      </c>
      <c r="EU2" s="64">
        <v>2058</v>
      </c>
      <c r="EV2" s="64">
        <v>2059</v>
      </c>
      <c r="EW2" s="65" t="s">
        <v>26</v>
      </c>
      <c r="EX2" s="64">
        <v>2023</v>
      </c>
      <c r="EY2" s="64">
        <v>2024</v>
      </c>
      <c r="EZ2" s="64">
        <v>2025</v>
      </c>
      <c r="FA2" s="64">
        <v>2026</v>
      </c>
      <c r="FB2" s="64">
        <v>2027</v>
      </c>
      <c r="FC2" s="64">
        <v>2028</v>
      </c>
      <c r="FD2" s="64">
        <v>2029</v>
      </c>
      <c r="FE2" s="64">
        <v>2030</v>
      </c>
      <c r="FF2" s="64">
        <v>2031</v>
      </c>
      <c r="FG2" s="64">
        <v>2032</v>
      </c>
      <c r="FH2" s="64">
        <v>2033</v>
      </c>
      <c r="FI2" s="64">
        <v>2034</v>
      </c>
      <c r="FJ2" s="64">
        <v>2035</v>
      </c>
      <c r="FK2" s="64">
        <v>2036</v>
      </c>
      <c r="FL2" s="64">
        <v>2037</v>
      </c>
      <c r="FM2" s="64">
        <v>2038</v>
      </c>
      <c r="FN2" s="64">
        <v>2039</v>
      </c>
      <c r="FO2" s="64">
        <v>2040</v>
      </c>
      <c r="FP2" s="64">
        <v>2041</v>
      </c>
      <c r="FQ2" s="64">
        <v>2042</v>
      </c>
      <c r="FR2" s="64">
        <v>2043</v>
      </c>
      <c r="FS2" s="64">
        <v>2044</v>
      </c>
      <c r="FT2" s="64">
        <v>2045</v>
      </c>
      <c r="FU2" s="64">
        <v>2046</v>
      </c>
      <c r="FV2" s="64">
        <v>2047</v>
      </c>
      <c r="FW2" s="64">
        <v>2048</v>
      </c>
      <c r="FX2" s="64">
        <v>2049</v>
      </c>
      <c r="FY2" s="64">
        <v>2050</v>
      </c>
      <c r="FZ2" s="64">
        <v>2051</v>
      </c>
      <c r="GA2" s="64">
        <v>2052</v>
      </c>
      <c r="GB2" s="64">
        <v>2053</v>
      </c>
      <c r="GC2" s="64">
        <v>2054</v>
      </c>
      <c r="GD2" s="64">
        <v>2055</v>
      </c>
      <c r="GE2" s="64">
        <v>2056</v>
      </c>
      <c r="GF2" s="64">
        <v>2057</v>
      </c>
      <c r="GG2" s="64">
        <v>2058</v>
      </c>
      <c r="GH2" s="64">
        <v>2059</v>
      </c>
      <c r="GI2" s="65" t="s">
        <v>26</v>
      </c>
      <c r="GJ2" s="64">
        <v>2023</v>
      </c>
      <c r="GK2" s="64">
        <v>2024</v>
      </c>
      <c r="GL2" s="64">
        <v>2025</v>
      </c>
      <c r="GM2" s="64">
        <v>2026</v>
      </c>
      <c r="GN2" s="64">
        <v>2027</v>
      </c>
      <c r="GO2" s="64">
        <v>2028</v>
      </c>
      <c r="GP2" s="64">
        <v>2029</v>
      </c>
      <c r="GQ2" s="64">
        <v>2030</v>
      </c>
      <c r="GR2" s="64">
        <v>2031</v>
      </c>
      <c r="GS2" s="64">
        <v>2032</v>
      </c>
      <c r="GT2" s="64">
        <v>2033</v>
      </c>
      <c r="GU2" s="64">
        <v>2034</v>
      </c>
      <c r="GV2" s="64">
        <v>2035</v>
      </c>
      <c r="GW2" s="64">
        <v>2036</v>
      </c>
      <c r="GX2" s="64">
        <v>2037</v>
      </c>
      <c r="GY2" s="64">
        <v>2038</v>
      </c>
      <c r="GZ2" s="64">
        <v>2039</v>
      </c>
      <c r="HA2" s="64">
        <v>2040</v>
      </c>
      <c r="HB2" s="64">
        <v>2041</v>
      </c>
      <c r="HC2" s="64">
        <v>2042</v>
      </c>
      <c r="HD2" s="64">
        <v>2043</v>
      </c>
      <c r="HE2" s="64">
        <v>2044</v>
      </c>
      <c r="HF2" s="64">
        <v>2045</v>
      </c>
      <c r="HG2" s="64">
        <v>2046</v>
      </c>
      <c r="HH2" s="64">
        <v>2047</v>
      </c>
      <c r="HI2" s="64">
        <v>2048</v>
      </c>
      <c r="HJ2" s="64">
        <v>2049</v>
      </c>
      <c r="HK2" s="64">
        <v>2050</v>
      </c>
      <c r="HL2" s="64">
        <v>2051</v>
      </c>
      <c r="HM2" s="64">
        <v>2052</v>
      </c>
      <c r="HN2" s="64">
        <v>2053</v>
      </c>
      <c r="HO2" s="64">
        <v>2054</v>
      </c>
      <c r="HP2" s="64">
        <v>2055</v>
      </c>
      <c r="HQ2" s="64">
        <v>2056</v>
      </c>
      <c r="HR2" s="64">
        <v>2057</v>
      </c>
      <c r="HS2" s="64">
        <v>2058</v>
      </c>
      <c r="HT2" s="64">
        <v>2059</v>
      </c>
      <c r="HU2" s="65" t="s">
        <v>26</v>
      </c>
      <c r="HV2" s="44">
        <v>2023</v>
      </c>
      <c r="HW2" s="29">
        <v>2024</v>
      </c>
      <c r="HX2" s="29">
        <v>2025</v>
      </c>
      <c r="HY2" s="29">
        <v>2026</v>
      </c>
      <c r="HZ2" s="29">
        <v>2027</v>
      </c>
      <c r="IA2" s="29">
        <v>2028</v>
      </c>
      <c r="IB2" s="29">
        <v>2029</v>
      </c>
      <c r="IC2" s="29">
        <v>2030</v>
      </c>
      <c r="ID2" s="29">
        <v>2031</v>
      </c>
      <c r="IE2" s="29">
        <v>2032</v>
      </c>
      <c r="IF2" s="29">
        <v>2033</v>
      </c>
      <c r="IG2" s="29">
        <v>2034</v>
      </c>
      <c r="IH2" s="29">
        <v>2035</v>
      </c>
      <c r="II2" s="29">
        <v>2036</v>
      </c>
      <c r="IJ2" s="29">
        <v>2037</v>
      </c>
      <c r="IK2" s="29">
        <v>2038</v>
      </c>
      <c r="IL2" s="29">
        <v>2039</v>
      </c>
      <c r="IM2" s="29">
        <v>2040</v>
      </c>
      <c r="IN2" s="29">
        <v>2041</v>
      </c>
      <c r="IO2" s="29">
        <v>2042</v>
      </c>
      <c r="IP2" s="29">
        <v>2043</v>
      </c>
      <c r="IQ2" s="29">
        <v>2044</v>
      </c>
      <c r="IR2" s="29">
        <v>2045</v>
      </c>
      <c r="IS2" s="29">
        <v>2046</v>
      </c>
      <c r="IT2" s="29">
        <v>2047</v>
      </c>
      <c r="IU2" s="29">
        <v>2048</v>
      </c>
      <c r="IV2" s="29">
        <v>2049</v>
      </c>
      <c r="IW2" s="29">
        <v>2050</v>
      </c>
      <c r="IX2" s="29">
        <v>2051</v>
      </c>
      <c r="IY2" s="29">
        <v>2052</v>
      </c>
      <c r="IZ2" s="29">
        <v>2053</v>
      </c>
      <c r="JA2" s="29">
        <v>2054</v>
      </c>
      <c r="JB2" s="29">
        <v>2055</v>
      </c>
      <c r="JC2" s="29">
        <v>2056</v>
      </c>
      <c r="JD2" s="29">
        <v>2057</v>
      </c>
      <c r="JE2" s="29">
        <v>2058</v>
      </c>
      <c r="JF2" s="29">
        <v>2059</v>
      </c>
      <c r="JG2" s="30" t="s">
        <v>26</v>
      </c>
      <c r="JH2" s="75">
        <v>2023</v>
      </c>
      <c r="JI2" s="64">
        <v>2024</v>
      </c>
      <c r="JJ2" s="64">
        <v>2025</v>
      </c>
      <c r="JK2" s="64">
        <v>2026</v>
      </c>
      <c r="JL2" s="64">
        <v>2027</v>
      </c>
      <c r="JM2" s="64">
        <v>2028</v>
      </c>
      <c r="JN2" s="64">
        <v>2029</v>
      </c>
      <c r="JO2" s="64">
        <v>2030</v>
      </c>
      <c r="JP2" s="64">
        <v>2031</v>
      </c>
      <c r="JQ2" s="64">
        <v>2032</v>
      </c>
      <c r="JR2" s="64">
        <v>2033</v>
      </c>
      <c r="JS2" s="64">
        <v>2034</v>
      </c>
      <c r="JT2" s="64">
        <v>2035</v>
      </c>
      <c r="JU2" s="64">
        <v>2036</v>
      </c>
      <c r="JV2" s="64">
        <v>2037</v>
      </c>
      <c r="JW2" s="64">
        <v>2038</v>
      </c>
      <c r="JX2" s="64">
        <v>2039</v>
      </c>
      <c r="JY2" s="64">
        <v>2040</v>
      </c>
      <c r="JZ2" s="64">
        <v>2041</v>
      </c>
      <c r="KA2" s="64">
        <v>2042</v>
      </c>
      <c r="KB2" s="64">
        <v>2043</v>
      </c>
      <c r="KC2" s="64">
        <v>2044</v>
      </c>
      <c r="KD2" s="64">
        <v>2045</v>
      </c>
      <c r="KE2" s="64">
        <v>2046</v>
      </c>
      <c r="KF2" s="64">
        <v>2047</v>
      </c>
      <c r="KG2" s="64">
        <v>2048</v>
      </c>
      <c r="KH2" s="64">
        <v>2049</v>
      </c>
      <c r="KI2" s="64">
        <v>2050</v>
      </c>
      <c r="KJ2" s="64">
        <v>2051</v>
      </c>
      <c r="KK2" s="64">
        <v>2052</v>
      </c>
      <c r="KL2" s="64">
        <v>2053</v>
      </c>
      <c r="KM2" s="64">
        <v>2054</v>
      </c>
      <c r="KN2" s="64">
        <v>2055</v>
      </c>
      <c r="KO2" s="64">
        <v>2056</v>
      </c>
      <c r="KP2" s="64">
        <v>2057</v>
      </c>
      <c r="KQ2" s="64">
        <v>2058</v>
      </c>
      <c r="KR2" s="64">
        <v>2059</v>
      </c>
      <c r="KS2" s="65" t="s">
        <v>26</v>
      </c>
      <c r="KT2" s="75">
        <v>2023</v>
      </c>
      <c r="KU2" s="64">
        <v>2024</v>
      </c>
      <c r="KV2" s="64">
        <v>2025</v>
      </c>
      <c r="KW2" s="64">
        <v>2026</v>
      </c>
      <c r="KX2" s="64">
        <v>2027</v>
      </c>
      <c r="KY2" s="64">
        <v>2028</v>
      </c>
      <c r="KZ2" s="64">
        <v>2029</v>
      </c>
      <c r="LA2" s="64">
        <v>2030</v>
      </c>
      <c r="LB2" s="64">
        <v>2031</v>
      </c>
      <c r="LC2" s="64">
        <v>2032</v>
      </c>
      <c r="LD2" s="64">
        <v>2033</v>
      </c>
      <c r="LE2" s="64">
        <v>2034</v>
      </c>
      <c r="LF2" s="64">
        <v>2035</v>
      </c>
      <c r="LG2" s="64">
        <v>2036</v>
      </c>
      <c r="LH2" s="64">
        <v>2037</v>
      </c>
      <c r="LI2" s="64">
        <v>2038</v>
      </c>
      <c r="LJ2" s="64">
        <v>2039</v>
      </c>
      <c r="LK2" s="64">
        <v>2040</v>
      </c>
      <c r="LL2" s="64">
        <v>2041</v>
      </c>
      <c r="LM2" s="64">
        <v>2042</v>
      </c>
      <c r="LN2" s="64">
        <v>2043</v>
      </c>
      <c r="LO2" s="64">
        <v>2044</v>
      </c>
      <c r="LP2" s="64">
        <v>2045</v>
      </c>
      <c r="LQ2" s="64">
        <v>2046</v>
      </c>
      <c r="LR2" s="64">
        <v>2047</v>
      </c>
      <c r="LS2" s="64">
        <v>2048</v>
      </c>
      <c r="LT2" s="64">
        <v>2049</v>
      </c>
      <c r="LU2" s="64">
        <v>2050</v>
      </c>
      <c r="LV2" s="64">
        <v>2051</v>
      </c>
      <c r="LW2" s="64">
        <v>2052</v>
      </c>
      <c r="LX2" s="64">
        <v>2053</v>
      </c>
      <c r="LY2" s="64">
        <v>2054</v>
      </c>
      <c r="LZ2" s="64">
        <v>2055</v>
      </c>
      <c r="MA2" s="64">
        <v>2056</v>
      </c>
      <c r="MB2" s="64">
        <v>2057</v>
      </c>
      <c r="MC2" s="64">
        <v>2058</v>
      </c>
      <c r="MD2" s="64">
        <v>2059</v>
      </c>
      <c r="ME2" s="65" t="s">
        <v>26</v>
      </c>
      <c r="MF2" s="64">
        <v>2023</v>
      </c>
      <c r="MG2" s="64">
        <v>2024</v>
      </c>
      <c r="MH2" s="64">
        <v>2025</v>
      </c>
      <c r="MI2" s="64">
        <v>2026</v>
      </c>
      <c r="MJ2" s="64">
        <v>2027</v>
      </c>
      <c r="MK2" s="64">
        <v>2028</v>
      </c>
      <c r="ML2" s="64">
        <v>2029</v>
      </c>
      <c r="MM2" s="64">
        <v>2030</v>
      </c>
      <c r="MN2" s="64">
        <v>2031</v>
      </c>
      <c r="MO2" s="64">
        <v>2032</v>
      </c>
      <c r="MP2" s="64">
        <v>2033</v>
      </c>
      <c r="MQ2" s="64">
        <v>2034</v>
      </c>
      <c r="MR2" s="64">
        <v>2035</v>
      </c>
      <c r="MS2" s="64">
        <v>2036</v>
      </c>
      <c r="MT2" s="64">
        <v>2037</v>
      </c>
      <c r="MU2" s="64">
        <v>2038</v>
      </c>
      <c r="MV2" s="64">
        <v>2039</v>
      </c>
      <c r="MW2" s="64">
        <v>2040</v>
      </c>
      <c r="MX2" s="64">
        <v>2041</v>
      </c>
      <c r="MY2" s="64">
        <v>2042</v>
      </c>
      <c r="MZ2" s="64">
        <v>2043</v>
      </c>
      <c r="NA2" s="64">
        <v>2044</v>
      </c>
      <c r="NB2" s="64">
        <v>2045</v>
      </c>
      <c r="NC2" s="64">
        <v>2046</v>
      </c>
      <c r="ND2" s="64">
        <v>2047</v>
      </c>
      <c r="NE2" s="64">
        <v>2048</v>
      </c>
      <c r="NF2" s="64">
        <v>2049</v>
      </c>
      <c r="NG2" s="64">
        <v>2050</v>
      </c>
      <c r="NH2" s="64">
        <v>2051</v>
      </c>
      <c r="NI2" s="64">
        <v>2052</v>
      </c>
      <c r="NJ2" s="64">
        <v>2053</v>
      </c>
      <c r="NK2" s="64">
        <v>2054</v>
      </c>
      <c r="NL2" s="64">
        <v>2055</v>
      </c>
      <c r="NM2" s="64">
        <v>2056</v>
      </c>
      <c r="NN2" s="64">
        <v>2057</v>
      </c>
      <c r="NO2" s="64">
        <v>2058</v>
      </c>
      <c r="NP2" s="64">
        <v>2059</v>
      </c>
      <c r="NQ2" s="65" t="s">
        <v>26</v>
      </c>
      <c r="NR2" s="29">
        <v>2023</v>
      </c>
      <c r="NS2" s="29">
        <v>2024</v>
      </c>
      <c r="NT2" s="29">
        <v>2025</v>
      </c>
      <c r="NU2" s="29">
        <v>2026</v>
      </c>
      <c r="NV2" s="29">
        <v>2027</v>
      </c>
      <c r="NW2" s="29">
        <v>2028</v>
      </c>
      <c r="NX2" s="29">
        <v>2029</v>
      </c>
      <c r="NY2" s="29">
        <v>2030</v>
      </c>
      <c r="NZ2" s="29">
        <v>2031</v>
      </c>
      <c r="OA2" s="29">
        <v>2032</v>
      </c>
      <c r="OB2" s="29">
        <v>2033</v>
      </c>
      <c r="OC2" s="29">
        <v>2034</v>
      </c>
      <c r="OD2" s="29">
        <v>2035</v>
      </c>
      <c r="OE2" s="29">
        <v>2036</v>
      </c>
      <c r="OF2" s="29">
        <v>2037</v>
      </c>
      <c r="OG2" s="29">
        <v>2038</v>
      </c>
      <c r="OH2" s="29">
        <v>2039</v>
      </c>
      <c r="OI2" s="29">
        <v>2040</v>
      </c>
      <c r="OJ2" s="29">
        <v>2041</v>
      </c>
      <c r="OK2" s="29">
        <v>2042</v>
      </c>
      <c r="OL2" s="29">
        <v>2043</v>
      </c>
      <c r="OM2" s="29">
        <v>2044</v>
      </c>
      <c r="ON2" s="29">
        <v>2045</v>
      </c>
      <c r="OO2" s="29">
        <v>2046</v>
      </c>
      <c r="OP2" s="29">
        <v>2047</v>
      </c>
      <c r="OQ2" s="29">
        <v>2048</v>
      </c>
      <c r="OR2" s="29">
        <v>2049</v>
      </c>
      <c r="OS2" s="29">
        <v>2050</v>
      </c>
      <c r="OT2" s="29">
        <v>2051</v>
      </c>
      <c r="OU2" s="29">
        <v>2052</v>
      </c>
      <c r="OV2" s="29">
        <v>2053</v>
      </c>
      <c r="OW2" s="29">
        <v>2054</v>
      </c>
      <c r="OX2" s="29">
        <v>2055</v>
      </c>
      <c r="OY2" s="29">
        <v>2056</v>
      </c>
      <c r="OZ2" s="29">
        <v>2057</v>
      </c>
      <c r="PA2" s="29">
        <v>2058</v>
      </c>
      <c r="PB2" s="29">
        <v>2059</v>
      </c>
      <c r="PC2" s="30" t="s">
        <v>26</v>
      </c>
    </row>
    <row r="3" spans="1:419" outlineLevel="1" x14ac:dyDescent="0.4">
      <c r="A3" s="76" t="s">
        <v>27</v>
      </c>
      <c r="B3" s="14">
        <f>'[1]D-PDP'!$BE$12</f>
        <v>46314.3984375</v>
      </c>
      <c r="C3" s="14">
        <f>'[1]D-PDP'!$BE$13</f>
        <v>39051.19921875</v>
      </c>
      <c r="D3" s="14">
        <f>'[1]D-PDP'!$BE$14</f>
        <v>33367.19921875</v>
      </c>
      <c r="E3" s="14">
        <f>'[1]D-PDP'!$BE$15</f>
        <v>29032.001953125</v>
      </c>
      <c r="F3" s="14">
        <f>'[1]D-PDP'!$BE$16</f>
        <v>25572.80078125</v>
      </c>
      <c r="G3" s="14">
        <f>'[1]D-PDP'!$BE$17</f>
        <v>22820.80078125</v>
      </c>
      <c r="H3" s="14">
        <f>'[1]D-PDP'!$BE$18</f>
        <v>20432.80078125</v>
      </c>
      <c r="I3" s="14">
        <f>'[1]D-PDP'!$BE$19</f>
        <v>18487.19921875</v>
      </c>
      <c r="J3" s="14">
        <f>'[1]D-PDP'!$BE$20</f>
        <v>16835.201171875</v>
      </c>
      <c r="K3" s="14">
        <f>'[1]D-PDP'!$BE$21</f>
        <v>15460.7998046875</v>
      </c>
      <c r="L3" s="14">
        <f>'[1]D-PDP'!$BE$22</f>
        <v>11900.7998046875</v>
      </c>
      <c r="M3" s="14">
        <f>'[1]D-PDP'!$BE$23</f>
        <v>0</v>
      </c>
      <c r="N3" s="14">
        <f>'[1]D-PDP'!$BE$24</f>
        <v>0</v>
      </c>
      <c r="O3" s="14">
        <f>'[1]D-PDP'!$BE$25</f>
        <v>0</v>
      </c>
      <c r="P3" s="14">
        <f>'[1]D-PDP'!$BE$26</f>
        <v>0</v>
      </c>
      <c r="Q3" s="14">
        <f>'[1]D-PDP'!$BE$27</f>
        <v>0</v>
      </c>
      <c r="R3" s="14">
        <f>'[1]D-PDP'!$BE$28</f>
        <v>0</v>
      </c>
      <c r="S3" s="14">
        <f>'[1]D-PDP'!$BE$29</f>
        <v>0</v>
      </c>
      <c r="T3" s="14">
        <f>'[1]D-PDP'!$BE$30</f>
        <v>0</v>
      </c>
      <c r="U3" s="14">
        <f>'[1]D-PDP'!$BE$31</f>
        <v>0</v>
      </c>
      <c r="V3" s="14">
        <f>'[1]D-PDP'!$BE$32</f>
        <v>0</v>
      </c>
      <c r="W3" s="14">
        <f>'[1]D-PDP'!$BE$33</f>
        <v>0</v>
      </c>
      <c r="X3" s="14">
        <f>'[1]D-PDP'!$BE$34</f>
        <v>0</v>
      </c>
      <c r="Y3" s="14">
        <f>'[1]D-PDP'!$BE$35</f>
        <v>0</v>
      </c>
      <c r="Z3" s="14">
        <f>'[1]D-PDP'!$BE$36</f>
        <v>0</v>
      </c>
      <c r="AA3" s="14">
        <f>'[1]D-PDP'!$BE$37</f>
        <v>0</v>
      </c>
      <c r="AB3" s="14">
        <f>'[1]D-PDP'!$BE$38</f>
        <v>0</v>
      </c>
      <c r="AC3" s="14">
        <f>'[1]D-PDP'!$BE$39</f>
        <v>0</v>
      </c>
      <c r="AD3" s="14">
        <f>'[1]D-PDP'!$BE$40</f>
        <v>0</v>
      </c>
      <c r="AE3" s="14">
        <f>'[1]D-PDP'!$BE$41</f>
        <v>0</v>
      </c>
      <c r="AF3" s="14">
        <f>'[1]D-PDP'!$BE$42</f>
        <v>0</v>
      </c>
      <c r="AG3" s="14">
        <f>'[1]D-PDP'!$BE$43</f>
        <v>0</v>
      </c>
      <c r="AH3" s="14">
        <f>'[1]D-PDP'!$BE$44</f>
        <v>0</v>
      </c>
      <c r="AI3" s="14">
        <f>'[1]D-PDP'!$BE$45</f>
        <v>0</v>
      </c>
      <c r="AJ3" s="14">
        <f>'[1]D-PDP'!$BE$46</f>
        <v>0</v>
      </c>
      <c r="AK3" s="14">
        <f>'[1]D-PDP'!$BE$47</f>
        <v>0</v>
      </c>
      <c r="AL3" s="14">
        <f>'[1]D-PDP'!$BE$48</f>
        <v>0</v>
      </c>
      <c r="AM3" s="16">
        <f>SUM(B3:AL3)</f>
        <v>279275.201171875</v>
      </c>
      <c r="AN3" s="28">
        <f>'[1]D-PNP'!$BE$12</f>
        <v>0</v>
      </c>
      <c r="AO3" s="14">
        <f>'[1]D-PNP'!$BE$13</f>
        <v>0</v>
      </c>
      <c r="AP3" s="14">
        <f>'[1]D-PNP'!$BE$14</f>
        <v>0</v>
      </c>
      <c r="AQ3" s="14">
        <f>'[1]D-PNP'!$BE$15</f>
        <v>0</v>
      </c>
      <c r="AR3" s="14">
        <f>'[1]D-PNP'!$BE$16</f>
        <v>0</v>
      </c>
      <c r="AS3" s="14">
        <f>'[1]D-PNP'!$BE$17</f>
        <v>0</v>
      </c>
      <c r="AT3" s="14">
        <f>'[1]D-PNP'!$BE$18</f>
        <v>0</v>
      </c>
      <c r="AU3" s="14">
        <f>'[1]D-PNP'!$BE$19</f>
        <v>0</v>
      </c>
      <c r="AV3" s="14">
        <f>'[1]D-PNP'!$BE$20</f>
        <v>0</v>
      </c>
      <c r="AW3" s="14">
        <f>'[1]D-PNP'!$BE$21</f>
        <v>0</v>
      </c>
      <c r="AX3" s="14">
        <f>'[1]D-PNP'!$BE$22</f>
        <v>0</v>
      </c>
      <c r="AY3" s="14">
        <f>'[1]D-PNP'!$BE$23</f>
        <v>0</v>
      </c>
      <c r="AZ3" s="14">
        <f>'[1]D-PNP'!$BE$24</f>
        <v>0</v>
      </c>
      <c r="BA3" s="14">
        <f>'[1]D-PNP'!$BE$25</f>
        <v>0</v>
      </c>
      <c r="BB3" s="14">
        <f>'[1]D-PNP'!$BE$26</f>
        <v>0</v>
      </c>
      <c r="BC3" s="14">
        <f>'[1]D-PNP'!$BE$27</f>
        <v>0</v>
      </c>
      <c r="BD3" s="14">
        <f>'[1]D-PNP'!$BE$28</f>
        <v>0</v>
      </c>
      <c r="BE3" s="14">
        <f>'[1]D-PNP'!$BE$29</f>
        <v>0</v>
      </c>
      <c r="BF3" s="14">
        <f>'[1]D-PNP'!$BE$30</f>
        <v>0</v>
      </c>
      <c r="BG3" s="14">
        <f>'[1]D-PNP'!$BE$31</f>
        <v>0</v>
      </c>
      <c r="BH3" s="14">
        <f>'[1]D-PNP'!$BE$32</f>
        <v>0</v>
      </c>
      <c r="BI3" s="14">
        <f>'[1]D-PNP'!$BE$33</f>
        <v>0</v>
      </c>
      <c r="BJ3" s="14">
        <f>'[1]D-PNP'!$BE$34</f>
        <v>0</v>
      </c>
      <c r="BK3" s="14">
        <f>'[1]D-PNP'!$BE$35</f>
        <v>0</v>
      </c>
      <c r="BL3" s="14">
        <f>'[1]D-PNP'!$BE$36</f>
        <v>0</v>
      </c>
      <c r="BM3" s="14">
        <f>'[1]D-PNP'!$BE$37</f>
        <v>0</v>
      </c>
      <c r="BN3" s="14">
        <f>'[1]D-PNP'!$BE$38</f>
        <v>0</v>
      </c>
      <c r="BO3" s="14">
        <f>'[1]D-PNP'!$BE$39</f>
        <v>0</v>
      </c>
      <c r="BP3" s="14">
        <f>'[1]D-PNP'!$BE$40</f>
        <v>0</v>
      </c>
      <c r="BQ3" s="14">
        <f>'[1]D-PNP'!$BE$41</f>
        <v>0</v>
      </c>
      <c r="BR3" s="14">
        <f>'[1]D-PNP'!$BE$42</f>
        <v>0</v>
      </c>
      <c r="BS3" s="14">
        <f>'[1]D-PNP'!$BE$43</f>
        <v>0</v>
      </c>
      <c r="BT3" s="14">
        <f>'[1]D-PNP'!$BE$44</f>
        <v>0</v>
      </c>
      <c r="BU3" s="14">
        <f>'[1]D-PNP'!$BE$45</f>
        <v>0</v>
      </c>
      <c r="BV3" s="14">
        <f>'[1]D-PNP'!$BE$46</f>
        <v>0</v>
      </c>
      <c r="BW3" s="14">
        <f>'[1]D-PNP'!$BE$47</f>
        <v>0</v>
      </c>
      <c r="BX3" s="14">
        <f>'[1]D-PNP'!$BE$48</f>
        <v>0</v>
      </c>
      <c r="BY3" s="16">
        <f>SUM(AN3:BX3)</f>
        <v>0</v>
      </c>
      <c r="BZ3" s="28">
        <f>'[1]D-PND'!$BE$12</f>
        <v>0</v>
      </c>
      <c r="CA3" s="14">
        <f>'[1]D-PND'!$BE$13</f>
        <v>0</v>
      </c>
      <c r="CB3" s="14">
        <f>'[1]D-PND'!$BE$14</f>
        <v>0</v>
      </c>
      <c r="CC3" s="14">
        <f>'[1]D-PND'!$BE$15</f>
        <v>0</v>
      </c>
      <c r="CD3" s="14">
        <f>'[1]D-PND'!$BE$16</f>
        <v>0</v>
      </c>
      <c r="CE3" s="14">
        <f>'[1]D-PND'!$BE$17</f>
        <v>0</v>
      </c>
      <c r="CF3" s="14">
        <f>'[1]D-PND'!$BE$18</f>
        <v>0</v>
      </c>
      <c r="CG3" s="14">
        <f>'[1]D-PND'!$BE$19</f>
        <v>0</v>
      </c>
      <c r="CH3" s="14">
        <f>'[1]D-PND'!$BE$20</f>
        <v>0</v>
      </c>
      <c r="CI3" s="14">
        <f>'[1]D-PND'!$BE$21</f>
        <v>0</v>
      </c>
      <c r="CJ3" s="14">
        <f>'[1]D-PND'!$BE$22</f>
        <v>0</v>
      </c>
      <c r="CK3" s="14">
        <f>'[1]D-PND'!$BE$23</f>
        <v>0</v>
      </c>
      <c r="CL3" s="14">
        <f>'[1]D-PND'!$BE$24</f>
        <v>0</v>
      </c>
      <c r="CM3" s="14">
        <f>'[1]D-PND'!$BE$25</f>
        <v>0</v>
      </c>
      <c r="CN3" s="14">
        <f>'[1]D-PND'!$BE$26</f>
        <v>0</v>
      </c>
      <c r="CO3" s="14">
        <f>'[1]D-PND'!$BE$27</f>
        <v>0</v>
      </c>
      <c r="CP3" s="14">
        <f>'[1]D-PND'!$BE$28</f>
        <v>0</v>
      </c>
      <c r="CQ3" s="14">
        <f>'[1]D-PND'!$BE$29</f>
        <v>0</v>
      </c>
      <c r="CR3" s="14">
        <f>'[1]D-PND'!$BE$30</f>
        <v>0</v>
      </c>
      <c r="CS3" s="14">
        <f>'[1]D-PND'!$BE$31</f>
        <v>0</v>
      </c>
      <c r="CT3" s="14">
        <f>'[1]D-PND'!$BE$32</f>
        <v>0</v>
      </c>
      <c r="CU3" s="14">
        <f>'[1]D-PND'!$BE$33</f>
        <v>0</v>
      </c>
      <c r="CV3" s="14">
        <f>'[1]D-PND'!$BE$34</f>
        <v>0</v>
      </c>
      <c r="CW3" s="14">
        <f>'[1]D-PND'!$BE$35</f>
        <v>0</v>
      </c>
      <c r="CX3" s="14">
        <f>'[1]D-PND'!$BE$36</f>
        <v>0</v>
      </c>
      <c r="CY3" s="14">
        <f>'[1]D-PND'!$BE$37</f>
        <v>0</v>
      </c>
      <c r="CZ3" s="14">
        <f>'[1]D-PND'!$BE$38</f>
        <v>0</v>
      </c>
      <c r="DA3" s="14">
        <f>'[1]D-PND'!$BE$39</f>
        <v>0</v>
      </c>
      <c r="DB3" s="14">
        <f>'[1]D-PND'!$BE$40</f>
        <v>0</v>
      </c>
      <c r="DC3" s="14">
        <f>'[1]D-PND'!$BE$41</f>
        <v>0</v>
      </c>
      <c r="DD3" s="14">
        <f>'[1]D-PND'!$BE$42</f>
        <v>0</v>
      </c>
      <c r="DE3" s="14">
        <f>'[1]D-PND'!$BE$43</f>
        <v>0</v>
      </c>
      <c r="DF3" s="14">
        <f>'[1]D-PND'!$BE$44</f>
        <v>0</v>
      </c>
      <c r="DG3" s="14">
        <f>'[1]D-PND'!$BE$45</f>
        <v>0</v>
      </c>
      <c r="DH3" s="14">
        <f>'[1]D-PND'!$BE$46</f>
        <v>0</v>
      </c>
      <c r="DI3" s="14">
        <f>'[1]D-PND'!$BE$47</f>
        <v>0</v>
      </c>
      <c r="DJ3" s="14">
        <f>'[1]D-PND'!$BE$48</f>
        <v>0</v>
      </c>
      <c r="DK3" s="16">
        <f>SUM(BZ3:DJ3)</f>
        <v>0</v>
      </c>
      <c r="DL3" s="66"/>
      <c r="DM3" s="67"/>
      <c r="DN3" s="67"/>
      <c r="DO3" s="67"/>
      <c r="DP3" s="67"/>
      <c r="DQ3" s="67"/>
      <c r="DR3" s="67"/>
      <c r="DS3" s="67"/>
      <c r="DT3" s="67"/>
      <c r="DU3" s="67"/>
      <c r="DV3" s="67"/>
      <c r="DW3" s="67"/>
      <c r="DX3" s="67"/>
      <c r="DY3" s="67"/>
      <c r="DZ3" s="67"/>
      <c r="EA3" s="67"/>
      <c r="EB3" s="67"/>
      <c r="EC3" s="67"/>
      <c r="ED3" s="67"/>
      <c r="EE3" s="67"/>
      <c r="EF3" s="67"/>
      <c r="EG3" s="67"/>
      <c r="EH3" s="67"/>
      <c r="EI3" s="67"/>
      <c r="EJ3" s="67"/>
      <c r="EK3" s="67"/>
      <c r="EL3" s="67"/>
      <c r="EM3" s="67"/>
      <c r="EN3" s="67"/>
      <c r="EO3" s="67"/>
      <c r="EP3" s="67"/>
      <c r="EQ3" s="67"/>
      <c r="ER3" s="67"/>
      <c r="ES3" s="67"/>
      <c r="ET3" s="67"/>
      <c r="EU3" s="67"/>
      <c r="EV3" s="67"/>
      <c r="EW3" s="68">
        <f>SUM(DL3:EV3)</f>
        <v>0</v>
      </c>
      <c r="EX3" s="66"/>
      <c r="EY3" s="67"/>
      <c r="EZ3" s="67"/>
      <c r="FA3" s="67"/>
      <c r="FB3" s="67"/>
      <c r="FC3" s="67"/>
      <c r="FD3" s="67"/>
      <c r="FE3" s="67"/>
      <c r="FF3" s="67"/>
      <c r="FG3" s="67"/>
      <c r="FH3" s="67"/>
      <c r="FI3" s="67"/>
      <c r="FJ3" s="67"/>
      <c r="FK3" s="67"/>
      <c r="FL3" s="67"/>
      <c r="FM3" s="67"/>
      <c r="FN3" s="67"/>
      <c r="FO3" s="67"/>
      <c r="FP3" s="67"/>
      <c r="FQ3" s="67"/>
      <c r="FR3" s="67"/>
      <c r="FS3" s="67"/>
      <c r="FT3" s="67"/>
      <c r="FU3" s="67"/>
      <c r="FV3" s="67"/>
      <c r="FW3" s="67"/>
      <c r="FX3" s="67"/>
      <c r="FY3" s="67"/>
      <c r="FZ3" s="67"/>
      <c r="GA3" s="67"/>
      <c r="GB3" s="67"/>
      <c r="GC3" s="67"/>
      <c r="GD3" s="67"/>
      <c r="GE3" s="67"/>
      <c r="GF3" s="67"/>
      <c r="GG3" s="67"/>
      <c r="GH3" s="67"/>
      <c r="GI3" s="68">
        <f>SUM(EX3:GH3)</f>
        <v>0</v>
      </c>
      <c r="GJ3" s="66"/>
      <c r="GK3" s="67"/>
      <c r="GL3" s="67"/>
      <c r="GM3" s="67"/>
      <c r="GN3" s="67"/>
      <c r="GO3" s="67"/>
      <c r="GP3" s="67"/>
      <c r="GQ3" s="67"/>
      <c r="GR3" s="67"/>
      <c r="GS3" s="67"/>
      <c r="GT3" s="67"/>
      <c r="GU3" s="67"/>
      <c r="GV3" s="67"/>
      <c r="GW3" s="67"/>
      <c r="GX3" s="67"/>
      <c r="GY3" s="67"/>
      <c r="GZ3" s="67"/>
      <c r="HA3" s="67"/>
      <c r="HB3" s="67"/>
      <c r="HC3" s="67"/>
      <c r="HD3" s="67"/>
      <c r="HE3" s="67"/>
      <c r="HF3" s="67"/>
      <c r="HG3" s="67"/>
      <c r="HH3" s="67"/>
      <c r="HI3" s="67"/>
      <c r="HJ3" s="67"/>
      <c r="HK3" s="67"/>
      <c r="HL3" s="67"/>
      <c r="HM3" s="67"/>
      <c r="HN3" s="67"/>
      <c r="HO3" s="67"/>
      <c r="HP3" s="67"/>
      <c r="HQ3" s="67"/>
      <c r="HR3" s="67"/>
      <c r="HS3" s="67"/>
      <c r="HT3" s="67"/>
      <c r="HU3" s="68">
        <f>SUM(GJ3:HT3)</f>
        <v>0</v>
      </c>
      <c r="HV3" s="28">
        <f>'[1]D-PRB'!$BE$12</f>
        <v>5922</v>
      </c>
      <c r="HW3" s="14">
        <f>'[1]D-PRB'!$BE$13</f>
        <v>10448</v>
      </c>
      <c r="HX3" s="14">
        <f>'[1]D-PRB'!$BE$14</f>
        <v>13283</v>
      </c>
      <c r="HY3" s="14">
        <f>'[1]D-PRB'!$BE$15</f>
        <v>15058</v>
      </c>
      <c r="HZ3" s="14">
        <f>'[1]D-PRB'!$BE$16</f>
        <v>16099.0009765625</v>
      </c>
      <c r="IA3" s="14">
        <f>'[1]D-PRB'!$BE$17</f>
        <v>16667</v>
      </c>
      <c r="IB3" s="14">
        <f>'[1]D-PRB'!$BE$18</f>
        <v>16783</v>
      </c>
      <c r="IC3" s="14">
        <f>'[1]D-PRB'!$BE$19</f>
        <v>16687</v>
      </c>
      <c r="ID3" s="14">
        <f>'[1]D-PRB'!$BE$20</f>
        <v>16407</v>
      </c>
      <c r="IE3" s="14">
        <f>'[1]D-PRB'!$BE$21</f>
        <v>16039</v>
      </c>
      <c r="IF3" s="14">
        <f>'[1]D-PRB'!$BE$22</f>
        <v>17789</v>
      </c>
      <c r="IG3" s="14">
        <f>'[1]D-PRB'!$BE$23</f>
        <v>28059</v>
      </c>
      <c r="IH3" s="14">
        <f>'[1]D-PRB'!$BE$24</f>
        <v>26519.001953125</v>
      </c>
      <c r="II3" s="14">
        <f>'[1]D-PRB'!$BE$25</f>
        <v>25130</v>
      </c>
      <c r="IJ3" s="14">
        <f>'[1]D-PRB'!$BE$26</f>
        <v>23685</v>
      </c>
      <c r="IK3" s="14">
        <f>'[1]D-PRB'!$BE$27</f>
        <v>22383</v>
      </c>
      <c r="IL3" s="14">
        <f>'[1]D-PRB'!$BE$28</f>
        <v>21153</v>
      </c>
      <c r="IM3" s="14">
        <f>'[1]D-PRB'!$BE$29</f>
        <v>20046</v>
      </c>
      <c r="IN3" s="14">
        <f>'[1]D-PRB'!$BE$30</f>
        <v>18891</v>
      </c>
      <c r="IO3" s="14">
        <f>'[1]D-PRB'!$BE$31</f>
        <v>17856</v>
      </c>
      <c r="IP3" s="14">
        <f>'[1]D-PRB'!$BE$32</f>
        <v>16876.998046875</v>
      </c>
      <c r="IQ3" s="14">
        <f>'[1]D-PRB'!$BE$33</f>
        <v>15991</v>
      </c>
      <c r="IR3" s="14">
        <f>'[1]D-PRB'!$BE$34</f>
        <v>15074</v>
      </c>
      <c r="IS3" s="14">
        <f>'[1]D-PRB'!$BE$35</f>
        <v>1242</v>
      </c>
      <c r="IT3" s="14">
        <f>'[1]D-PRB'!$BE$36</f>
        <v>0</v>
      </c>
      <c r="IU3" s="14">
        <f>'[1]D-PRB'!$BE$37</f>
        <v>0</v>
      </c>
      <c r="IV3" s="14">
        <f>'[1]D-PRB'!$BE$38</f>
        <v>0</v>
      </c>
      <c r="IW3" s="14">
        <f>'[1]D-PRB'!$BE$39</f>
        <v>0</v>
      </c>
      <c r="IX3" s="14">
        <f>'[1]D-PRB'!$BE$40</f>
        <v>0</v>
      </c>
      <c r="IY3" s="14">
        <f>'[1]D-PRB'!$BE$41</f>
        <v>0</v>
      </c>
      <c r="IZ3" s="14">
        <f>'[1]D-PRB'!$BE$42</f>
        <v>0</v>
      </c>
      <c r="JA3" s="14">
        <f>'[1]D-PRB'!$BE$43</f>
        <v>0</v>
      </c>
      <c r="JB3" s="14">
        <f>'[1]D-PRB'!$BE$44</f>
        <v>0</v>
      </c>
      <c r="JC3" s="14">
        <f>'[1]D-PRB'!$BE$45</f>
        <v>0</v>
      </c>
      <c r="JD3" s="14">
        <f>'[1]D-PRB'!$BE$46</f>
        <v>0</v>
      </c>
      <c r="JE3" s="14">
        <f>'[1]D-PRB'!$BE$47</f>
        <v>0</v>
      </c>
      <c r="JF3" s="14">
        <f>'[1]D-PRB'!$BE$48</f>
        <v>0</v>
      </c>
      <c r="JG3" s="16">
        <f>SUM(HV3:JF3)</f>
        <v>414088.0009765625</v>
      </c>
      <c r="JH3" s="66"/>
      <c r="JI3" s="67"/>
      <c r="JJ3" s="67"/>
      <c r="JK3" s="67"/>
      <c r="JL3" s="67"/>
      <c r="JM3" s="67"/>
      <c r="JN3" s="67"/>
      <c r="JO3" s="67"/>
      <c r="JP3" s="67"/>
      <c r="JQ3" s="67"/>
      <c r="JR3" s="67"/>
      <c r="JS3" s="67"/>
      <c r="JT3" s="67"/>
      <c r="JU3" s="67"/>
      <c r="JV3" s="67"/>
      <c r="JW3" s="67"/>
      <c r="JX3" s="67"/>
      <c r="JY3" s="67"/>
      <c r="JZ3" s="67"/>
      <c r="KA3" s="67"/>
      <c r="KB3" s="67"/>
      <c r="KC3" s="67"/>
      <c r="KD3" s="67"/>
      <c r="KE3" s="67"/>
      <c r="KF3" s="67"/>
      <c r="KG3" s="67"/>
      <c r="KH3" s="67"/>
      <c r="KI3" s="67"/>
      <c r="KJ3" s="67"/>
      <c r="KK3" s="67"/>
      <c r="KL3" s="67"/>
      <c r="KM3" s="67"/>
      <c r="KN3" s="67"/>
      <c r="KO3" s="67"/>
      <c r="KP3" s="67"/>
      <c r="KQ3" s="67"/>
      <c r="KR3" s="67"/>
      <c r="KS3" s="68">
        <f>SUM(JH3:KR3)</f>
        <v>0</v>
      </c>
      <c r="KT3" s="66"/>
      <c r="KU3" s="67"/>
      <c r="KV3" s="67"/>
      <c r="KW3" s="67"/>
      <c r="KX3" s="67"/>
      <c r="KY3" s="67"/>
      <c r="KZ3" s="67"/>
      <c r="LA3" s="67"/>
      <c r="LB3" s="67"/>
      <c r="LC3" s="67"/>
      <c r="LD3" s="67"/>
      <c r="LE3" s="67"/>
      <c r="LF3" s="67"/>
      <c r="LG3" s="67"/>
      <c r="LH3" s="67"/>
      <c r="LI3" s="67"/>
      <c r="LJ3" s="67"/>
      <c r="LK3" s="67"/>
      <c r="LL3" s="67"/>
      <c r="LM3" s="67"/>
      <c r="LN3" s="67"/>
      <c r="LO3" s="67"/>
      <c r="LP3" s="67"/>
      <c r="LQ3" s="67"/>
      <c r="LR3" s="67"/>
      <c r="LS3" s="67"/>
      <c r="LT3" s="67"/>
      <c r="LU3" s="67"/>
      <c r="LV3" s="67"/>
      <c r="LW3" s="67"/>
      <c r="LX3" s="67"/>
      <c r="LY3" s="67"/>
      <c r="LZ3" s="67"/>
      <c r="MA3" s="67"/>
      <c r="MB3" s="67"/>
      <c r="MC3" s="67"/>
      <c r="MD3" s="67"/>
      <c r="ME3" s="68">
        <f>SUM(KT3:MD3)</f>
        <v>0</v>
      </c>
      <c r="MF3" s="66"/>
      <c r="MG3" s="67"/>
      <c r="MH3" s="67"/>
      <c r="MI3" s="67"/>
      <c r="MJ3" s="67"/>
      <c r="MK3" s="67"/>
      <c r="ML3" s="67"/>
      <c r="MM3" s="67"/>
      <c r="MN3" s="67"/>
      <c r="MO3" s="67"/>
      <c r="MP3" s="67"/>
      <c r="MQ3" s="67"/>
      <c r="MR3" s="67"/>
      <c r="MS3" s="67"/>
      <c r="MT3" s="67"/>
      <c r="MU3" s="67"/>
      <c r="MV3" s="67"/>
      <c r="MW3" s="67"/>
      <c r="MX3" s="67"/>
      <c r="MY3" s="67"/>
      <c r="MZ3" s="67"/>
      <c r="NA3" s="67"/>
      <c r="NB3" s="67"/>
      <c r="NC3" s="67"/>
      <c r="ND3" s="67"/>
      <c r="NE3" s="67"/>
      <c r="NF3" s="67"/>
      <c r="NG3" s="67"/>
      <c r="NH3" s="67"/>
      <c r="NI3" s="67"/>
      <c r="NJ3" s="67"/>
      <c r="NK3" s="67"/>
      <c r="NL3" s="67"/>
      <c r="NM3" s="67"/>
      <c r="NN3" s="67"/>
      <c r="NO3" s="67"/>
      <c r="NP3" s="67"/>
      <c r="NQ3" s="68">
        <f>SUM(MF3:NP3)</f>
        <v>0</v>
      </c>
      <c r="NR3" s="14">
        <f>'[1]D-PS'!$BE$12</f>
        <v>133</v>
      </c>
      <c r="NS3" s="14">
        <f>'[1]D-PS'!$BE$13</f>
        <v>383</v>
      </c>
      <c r="NT3" s="14">
        <f>'[1]D-PS'!$BE$14</f>
        <v>611</v>
      </c>
      <c r="NU3" s="14">
        <f>'[1]D-PS'!$BE$15</f>
        <v>810</v>
      </c>
      <c r="NV3" s="14">
        <f>'[1]D-PS'!$BE$16</f>
        <v>984</v>
      </c>
      <c r="NW3" s="14">
        <f>'[1]D-PS'!$BE$17</f>
        <v>1145</v>
      </c>
      <c r="NX3" s="14">
        <f>'[1]D-PS'!$BE$18</f>
        <v>1279</v>
      </c>
      <c r="NY3" s="14">
        <f>'[1]D-PS'!$BE$19</f>
        <v>1398</v>
      </c>
      <c r="NZ3" s="14">
        <f>'[1]D-PS'!$BE$20</f>
        <v>1500</v>
      </c>
      <c r="OA3" s="14">
        <f>'[1]D-PS'!$BE$21</f>
        <v>1595</v>
      </c>
      <c r="OB3" s="14">
        <f>'[1]D-PS'!$BE$22</f>
        <v>1663</v>
      </c>
      <c r="OC3" s="14">
        <f>'[1]D-PS'!$BE$23</f>
        <v>1727.9998779296875</v>
      </c>
      <c r="OD3" s="14">
        <f>'[1]D-PS'!$BE$24</f>
        <v>1779</v>
      </c>
      <c r="OE3" s="14">
        <f>'[1]D-PS'!$BE$25</f>
        <v>1827</v>
      </c>
      <c r="OF3" s="14">
        <f>'[1]D-PS'!$BE$26</f>
        <v>1856.0001220703125</v>
      </c>
      <c r="OG3" s="14">
        <f>'[1]D-PS'!$BE$27</f>
        <v>1877</v>
      </c>
      <c r="OH3" s="14">
        <f>'[1]D-PS'!$BE$28</f>
        <v>1897</v>
      </c>
      <c r="OI3" s="14">
        <f>'[1]D-PS'!$BE$29</f>
        <v>1910.0001220703125</v>
      </c>
      <c r="OJ3" s="14">
        <f>'[1]D-PS'!$BE$30</f>
        <v>1908</v>
      </c>
      <c r="OK3" s="14">
        <f>'[1]D-PS'!$BE$31</f>
        <v>1907.0001220703125</v>
      </c>
      <c r="OL3" s="14">
        <f>'[1]D-PS'!$BE$32</f>
        <v>1897</v>
      </c>
      <c r="OM3" s="14">
        <f>'[1]D-PS'!$BE$33</f>
        <v>1891</v>
      </c>
      <c r="ON3" s="14">
        <f>'[1]D-PS'!$BE$34</f>
        <v>1868</v>
      </c>
      <c r="OO3" s="14">
        <f>'[1]D-PS'!$BE$35</f>
        <v>14854</v>
      </c>
      <c r="OP3" s="14">
        <f>'[1]D-PS'!$BE$36</f>
        <v>15291</v>
      </c>
      <c r="OQ3" s="14">
        <f>'[1]D-PS'!$BE$37</f>
        <v>4898</v>
      </c>
      <c r="OR3" s="14">
        <f>'[1]D-PS'!$BE$38</f>
        <v>0</v>
      </c>
      <c r="OS3" s="14">
        <f>'[1]D-PS'!$BE$39</f>
        <v>0</v>
      </c>
      <c r="OT3" s="14">
        <f>'[1]D-PS'!$BE$40</f>
        <v>0</v>
      </c>
      <c r="OU3" s="14">
        <f>'[1]D-PS'!$BE$41</f>
        <v>0</v>
      </c>
      <c r="OV3" s="14">
        <f>'[1]D-PS'!$BE$42</f>
        <v>0</v>
      </c>
      <c r="OW3" s="14">
        <f>'[1]D-PS'!$BE$43</f>
        <v>0</v>
      </c>
      <c r="OX3" s="14">
        <f>'[1]D-PS'!$BE$44</f>
        <v>0</v>
      </c>
      <c r="OY3" s="14">
        <f>'[1]D-PS'!$BE$45</f>
        <v>0</v>
      </c>
      <c r="OZ3" s="14">
        <f>'[1]D-PS'!$BE$46</f>
        <v>0</v>
      </c>
      <c r="PA3" s="14">
        <f>'[1]D-PS'!$BE$47</f>
        <v>0</v>
      </c>
      <c r="PB3" s="14">
        <f>'[1]D-PS'!$BE$48</f>
        <v>0</v>
      </c>
      <c r="PC3" s="16">
        <f>SUM(NR3:PB3)</f>
        <v>68889.000244140625</v>
      </c>
    </row>
    <row r="4" spans="1:419" outlineLevel="1" x14ac:dyDescent="0.4">
      <c r="A4" s="76" t="s">
        <v>28</v>
      </c>
      <c r="B4" s="25">
        <f>'[2]CF PDP'!$BB$36</f>
        <v>46314</v>
      </c>
      <c r="C4" s="25">
        <f>'[2]CF PDP'!$BB$37</f>
        <v>39052</v>
      </c>
      <c r="D4" s="25">
        <f>'[2]CF PDP'!$BB$38</f>
        <v>33367</v>
      </c>
      <c r="E4" s="25">
        <f>'[2]CF PDP'!$BB$39</f>
        <v>29032</v>
      </c>
      <c r="F4" s="25">
        <f>'[2]CF PDP'!$BB$40</f>
        <v>25573</v>
      </c>
      <c r="G4" s="25">
        <f>'[2]CF PDP'!$BB$41</f>
        <v>22821</v>
      </c>
      <c r="H4" s="25">
        <f>'[2]CF PDP'!$BB$42</f>
        <v>20433</v>
      </c>
      <c r="I4" s="25">
        <f>'[2]CF PDP'!$BB$43</f>
        <v>18487</v>
      </c>
      <c r="J4" s="25">
        <f>'[2]CF PDP'!$BB$44</f>
        <v>16835</v>
      </c>
      <c r="K4" s="25">
        <f>'[2]CF PDP'!$BB$45</f>
        <v>15461</v>
      </c>
      <c r="L4" s="25">
        <f>'[2]CF PDP'!$BB$46</f>
        <v>14195</v>
      </c>
      <c r="M4" s="25">
        <f>'[2]CF PDP'!$BB$47</f>
        <v>0</v>
      </c>
      <c r="N4" s="25">
        <f>'[2]CF PDP'!$BB$48</f>
        <v>0</v>
      </c>
      <c r="O4" s="25">
        <f>'[2]CF PDP'!$BB$49</f>
        <v>0</v>
      </c>
      <c r="P4" s="25">
        <f>'[2]CF PDP'!$BB$50</f>
        <v>0</v>
      </c>
      <c r="Q4" s="25">
        <f>'[2]CF PDP'!$BB$51</f>
        <v>0</v>
      </c>
      <c r="R4" s="25">
        <f>'[2]CF PDP'!$BB$52</f>
        <v>0</v>
      </c>
      <c r="S4" s="25">
        <f>'[2]CF PDP'!$BB$53</f>
        <v>0</v>
      </c>
      <c r="T4" s="25">
        <f>'[2]CF PDP'!$BB$54</f>
        <v>0</v>
      </c>
      <c r="U4" s="25">
        <f>'[2]CF PDP'!$BB$55</f>
        <v>0</v>
      </c>
      <c r="V4" s="25">
        <f>'[2]CF PDP'!$BB$56</f>
        <v>0</v>
      </c>
      <c r="W4" s="25">
        <f>'[2]CF PDP'!$BB$57</f>
        <v>0</v>
      </c>
      <c r="X4" s="25">
        <f>'[2]CF PDP'!$BB$58</f>
        <v>0</v>
      </c>
      <c r="Y4" s="25">
        <f>'[2]CF PDP'!$BB$59</f>
        <v>0</v>
      </c>
      <c r="Z4" s="25">
        <f>'[2]CF PDP'!$BB$60</f>
        <v>0</v>
      </c>
      <c r="AA4" s="25">
        <f>'[2]CF PDP'!$BB$61</f>
        <v>0</v>
      </c>
      <c r="AB4" s="25">
        <f>'[2]CF PDP'!$BB$62</f>
        <v>0</v>
      </c>
      <c r="AC4" s="25">
        <f>'[2]CF PDP'!$BB$63</f>
        <v>0</v>
      </c>
      <c r="AD4" s="25">
        <f>'[2]CF PDP'!$BB$64</f>
        <v>0</v>
      </c>
      <c r="AE4" s="25">
        <f>'[2]CF PDP'!$BB$65</f>
        <v>0</v>
      </c>
      <c r="AF4" s="25">
        <f>'[2]CF PDP'!$BB$66</f>
        <v>0</v>
      </c>
      <c r="AG4" s="25">
        <f>'[2]CF PDP'!$BB$67</f>
        <v>0</v>
      </c>
      <c r="AH4" s="25">
        <f>'[2]CF PDP'!$BB$68</f>
        <v>0</v>
      </c>
      <c r="AI4" s="25">
        <f>'[2]CF PDP'!$BB$69</f>
        <v>0</v>
      </c>
      <c r="AJ4" s="25">
        <f>'[2]CF PDP'!$BB$70</f>
        <v>0</v>
      </c>
      <c r="AK4" s="25">
        <f>'[2]CF PDP'!$BB$71</f>
        <v>0</v>
      </c>
      <c r="AL4" s="25">
        <f>'[2]CF PDP'!$BB$72</f>
        <v>0</v>
      </c>
      <c r="AM4" s="26">
        <f>SUM(B4:AL4)</f>
        <v>281570</v>
      </c>
      <c r="AN4" s="27">
        <f>'[2]CF PNP'!$BB$36</f>
        <v>0</v>
      </c>
      <c r="AO4" s="25">
        <f>'[2]CF PNP'!$BB$37</f>
        <v>0</v>
      </c>
      <c r="AP4" s="25">
        <f>'[2]CF PNP'!$BB$38</f>
        <v>0</v>
      </c>
      <c r="AQ4" s="25">
        <f>'[2]CF PNP'!$BB$39</f>
        <v>0</v>
      </c>
      <c r="AR4" s="25">
        <f>'[2]CF PNP'!$BB$40</f>
        <v>0</v>
      </c>
      <c r="AS4" s="25">
        <f>'[2]CF PNP'!$BB$41</f>
        <v>0</v>
      </c>
      <c r="AT4" s="25">
        <f>'[2]CF PNP'!$BB$42</f>
        <v>0</v>
      </c>
      <c r="AU4" s="25">
        <f>'[2]CF PNP'!$BB$43</f>
        <v>0</v>
      </c>
      <c r="AV4" s="25">
        <f>'[2]CF PNP'!$BB$44</f>
        <v>0</v>
      </c>
      <c r="AW4" s="25">
        <f>'[2]CF PNP'!$BB$45</f>
        <v>0</v>
      </c>
      <c r="AX4" s="25">
        <f>'[2]CF PNP'!$BB$46</f>
        <v>0</v>
      </c>
      <c r="AY4" s="25">
        <f>'[2]CF PNP'!$BB$47</f>
        <v>0</v>
      </c>
      <c r="AZ4" s="25">
        <f>'[2]CF PNP'!$BB$48</f>
        <v>0</v>
      </c>
      <c r="BA4" s="25">
        <f>'[2]CF PNP'!$BB$49</f>
        <v>0</v>
      </c>
      <c r="BB4" s="25">
        <f>'[2]CF PNP'!$BB$50</f>
        <v>0</v>
      </c>
      <c r="BC4" s="25">
        <f>'[2]CF PNP'!$BB$51</f>
        <v>0</v>
      </c>
      <c r="BD4" s="25">
        <f>'[2]CF PNP'!$BB$52</f>
        <v>0</v>
      </c>
      <c r="BE4" s="25">
        <f>'[2]CF PNP'!$BB$53</f>
        <v>0</v>
      </c>
      <c r="BF4" s="25">
        <f>'[2]CF PNP'!$BB$54</f>
        <v>0</v>
      </c>
      <c r="BG4" s="25">
        <f>'[2]CF PNP'!$BB$55</f>
        <v>0</v>
      </c>
      <c r="BH4" s="25">
        <f>'[2]CF PNP'!$BB$56</f>
        <v>0</v>
      </c>
      <c r="BI4" s="25">
        <f>'[2]CF PNP'!$BB$57</f>
        <v>0</v>
      </c>
      <c r="BJ4" s="25">
        <f>'[2]CF PNP'!$BB$58</f>
        <v>0</v>
      </c>
      <c r="BK4" s="25">
        <f>'[2]CF PNP'!$BB$59</f>
        <v>0</v>
      </c>
      <c r="BL4" s="25">
        <f>'[2]CF PNP'!$BB$60</f>
        <v>0</v>
      </c>
      <c r="BM4" s="25">
        <f>'[2]CF PNP'!$BB$61</f>
        <v>0</v>
      </c>
      <c r="BN4" s="25">
        <f>'[2]CF PNP'!$BB$62</f>
        <v>0</v>
      </c>
      <c r="BO4" s="25">
        <f>'[2]CF PNP'!$BB$63</f>
        <v>0</v>
      </c>
      <c r="BP4" s="25">
        <f>'[2]CF PNP'!$BB$64</f>
        <v>0</v>
      </c>
      <c r="BQ4" s="25">
        <f>'[2]CF PNP'!$BB$65</f>
        <v>0</v>
      </c>
      <c r="BR4" s="25">
        <f>'[2]CF PNP'!$BB$66</f>
        <v>0</v>
      </c>
      <c r="BS4" s="25">
        <f>'[2]CF PNP'!$BB$67</f>
        <v>0</v>
      </c>
      <c r="BT4" s="25">
        <f>'[2]CF PNP'!$BB$68</f>
        <v>0</v>
      </c>
      <c r="BU4" s="25">
        <f>'[2]CF PNP'!$BB$69</f>
        <v>0</v>
      </c>
      <c r="BV4" s="25">
        <f>'[2]CF PNP'!$BB$70</f>
        <v>0</v>
      </c>
      <c r="BW4" s="25">
        <f>'[2]CF PNP'!$BB$71</f>
        <v>0</v>
      </c>
      <c r="BX4" s="25">
        <f>'[2]CF PNP'!$BB$72</f>
        <v>0</v>
      </c>
      <c r="BY4" s="26">
        <f>SUM(AN4:BX4)</f>
        <v>0</v>
      </c>
      <c r="BZ4" s="27">
        <f>'[2]CF PND'!$BB$36</f>
        <v>0</v>
      </c>
      <c r="CA4" s="25">
        <f>'[2]CF PND'!$BB$37</f>
        <v>0</v>
      </c>
      <c r="CB4" s="25">
        <f>'[2]CF PND'!$BB$38</f>
        <v>0</v>
      </c>
      <c r="CC4" s="25">
        <f>'[2]CF PND'!$BB$39</f>
        <v>0</v>
      </c>
      <c r="CD4" s="25">
        <f>'[2]CF PND'!$BB$40</f>
        <v>0</v>
      </c>
      <c r="CE4" s="25">
        <f>'[2]CF PND'!$BB$41</f>
        <v>0</v>
      </c>
      <c r="CF4" s="25">
        <f>'[2]CF PND'!$BB$42</f>
        <v>0</v>
      </c>
      <c r="CG4" s="25">
        <f>'[2]CF PND'!$BB$43</f>
        <v>0</v>
      </c>
      <c r="CH4" s="25">
        <f>'[2]CF PND'!$BB$44</f>
        <v>0</v>
      </c>
      <c r="CI4" s="25">
        <f>'[2]CF PND'!$BB$45</f>
        <v>0</v>
      </c>
      <c r="CJ4" s="25">
        <f>'[2]CF PND'!$BB$46</f>
        <v>0</v>
      </c>
      <c r="CK4" s="25">
        <f>'[2]CF PND'!$BB$47</f>
        <v>0</v>
      </c>
      <c r="CL4" s="25">
        <f>'[2]CF PND'!$BB$48</f>
        <v>0</v>
      </c>
      <c r="CM4" s="25">
        <f>'[2]CF PND'!$BB$49</f>
        <v>0</v>
      </c>
      <c r="CN4" s="25">
        <f>'[2]CF PND'!$BB$50</f>
        <v>0</v>
      </c>
      <c r="CO4" s="25">
        <f>'[2]CF PND'!$BB$51</f>
        <v>0</v>
      </c>
      <c r="CP4" s="25">
        <f>'[2]CF PND'!$BB$52</f>
        <v>0</v>
      </c>
      <c r="CQ4" s="25">
        <f>'[2]CF PND'!$BB$53</f>
        <v>0</v>
      </c>
      <c r="CR4" s="25">
        <f>'[2]CF PND'!$BB$54</f>
        <v>0</v>
      </c>
      <c r="CS4" s="25">
        <f>'[2]CF PND'!$BB$55</f>
        <v>0</v>
      </c>
      <c r="CT4" s="25">
        <f>'[2]CF PND'!$BB$56</f>
        <v>0</v>
      </c>
      <c r="CU4" s="25">
        <f>'[2]CF PND'!$BB$57</f>
        <v>0</v>
      </c>
      <c r="CV4" s="25">
        <f>'[2]CF PND'!$BB$58</f>
        <v>0</v>
      </c>
      <c r="CW4" s="25">
        <f>'[2]CF PND'!$BB$59</f>
        <v>0</v>
      </c>
      <c r="CX4" s="25">
        <f>'[2]CF PND'!$BB$60</f>
        <v>0</v>
      </c>
      <c r="CY4" s="25">
        <f>'[2]CF PND'!$BB$61</f>
        <v>0</v>
      </c>
      <c r="CZ4" s="25">
        <f>'[2]CF PND'!$BB$62</f>
        <v>0</v>
      </c>
      <c r="DA4" s="25">
        <f>'[2]CF PND'!$BB$63</f>
        <v>0</v>
      </c>
      <c r="DB4" s="25">
        <f>'[2]CF PND'!$BB$64</f>
        <v>0</v>
      </c>
      <c r="DC4" s="25">
        <f>'[2]CF PND'!$BB$65</f>
        <v>0</v>
      </c>
      <c r="DD4" s="25">
        <f>'[2]CF PND'!$BB$66</f>
        <v>0</v>
      </c>
      <c r="DE4" s="25">
        <f>'[2]CF PND'!$BB$67</f>
        <v>0</v>
      </c>
      <c r="DF4" s="25">
        <f>'[2]CF PND'!$BB$68</f>
        <v>0</v>
      </c>
      <c r="DG4" s="25">
        <f>'[2]CF PND'!$BB$69</f>
        <v>0</v>
      </c>
      <c r="DH4" s="25">
        <f>'[2]CF PND'!$BB$70</f>
        <v>0</v>
      </c>
      <c r="DI4" s="25">
        <f>'[2]CF PND'!$BB$71</f>
        <v>0</v>
      </c>
      <c r="DJ4" s="25">
        <f>'[2]CF PND'!$BB$72</f>
        <v>0</v>
      </c>
      <c r="DK4" s="26">
        <f>SUM(BZ4:DJ4)</f>
        <v>0</v>
      </c>
      <c r="DL4" s="69"/>
      <c r="DM4" s="70"/>
      <c r="DN4" s="70"/>
      <c r="DO4" s="70"/>
      <c r="DP4" s="70"/>
      <c r="DQ4" s="70"/>
      <c r="DR4" s="70"/>
      <c r="DS4" s="70"/>
      <c r="DT4" s="70"/>
      <c r="DU4" s="70"/>
      <c r="DV4" s="70"/>
      <c r="DW4" s="70"/>
      <c r="DX4" s="70"/>
      <c r="DY4" s="70"/>
      <c r="DZ4" s="70"/>
      <c r="EA4" s="70"/>
      <c r="EB4" s="70"/>
      <c r="EC4" s="70"/>
      <c r="ED4" s="70"/>
      <c r="EE4" s="70"/>
      <c r="EF4" s="70"/>
      <c r="EG4" s="70"/>
      <c r="EH4" s="70"/>
      <c r="EI4" s="70"/>
      <c r="EJ4" s="70"/>
      <c r="EK4" s="70"/>
      <c r="EL4" s="70"/>
      <c r="EM4" s="70"/>
      <c r="EN4" s="70"/>
      <c r="EO4" s="70"/>
      <c r="EP4" s="70"/>
      <c r="EQ4" s="70"/>
      <c r="ER4" s="70"/>
      <c r="ES4" s="70"/>
      <c r="ET4" s="70"/>
      <c r="EU4" s="70"/>
      <c r="EV4" s="70"/>
      <c r="EW4" s="71">
        <f>SUM(DL4:EV4)</f>
        <v>0</v>
      </c>
      <c r="EX4" s="69"/>
      <c r="EY4" s="70"/>
      <c r="EZ4" s="70"/>
      <c r="FA4" s="70"/>
      <c r="FB4" s="70"/>
      <c r="FC4" s="70"/>
      <c r="FD4" s="70"/>
      <c r="FE4" s="70"/>
      <c r="FF4" s="70"/>
      <c r="FG4" s="70"/>
      <c r="FH4" s="70"/>
      <c r="FI4" s="70"/>
      <c r="FJ4" s="70"/>
      <c r="FK4" s="70"/>
      <c r="FL4" s="70"/>
      <c r="FM4" s="70"/>
      <c r="FN4" s="70"/>
      <c r="FO4" s="70"/>
      <c r="FP4" s="70"/>
      <c r="FQ4" s="70"/>
      <c r="FR4" s="70"/>
      <c r="FS4" s="70"/>
      <c r="FT4" s="70"/>
      <c r="FU4" s="70"/>
      <c r="FV4" s="70"/>
      <c r="FW4" s="70"/>
      <c r="FX4" s="70"/>
      <c r="FY4" s="70"/>
      <c r="FZ4" s="70"/>
      <c r="GA4" s="70"/>
      <c r="GB4" s="70"/>
      <c r="GC4" s="70"/>
      <c r="GD4" s="70"/>
      <c r="GE4" s="70"/>
      <c r="GF4" s="70"/>
      <c r="GG4" s="70"/>
      <c r="GH4" s="70"/>
      <c r="GI4" s="71">
        <f>SUM(EX4:GH4)</f>
        <v>0</v>
      </c>
      <c r="GJ4" s="69"/>
      <c r="GK4" s="70"/>
      <c r="GL4" s="70"/>
      <c r="GM4" s="70"/>
      <c r="GN4" s="70"/>
      <c r="GO4" s="70"/>
      <c r="GP4" s="70"/>
      <c r="GQ4" s="70"/>
      <c r="GR4" s="70"/>
      <c r="GS4" s="70"/>
      <c r="GT4" s="70"/>
      <c r="GU4" s="70"/>
      <c r="GV4" s="70"/>
      <c r="GW4" s="70"/>
      <c r="GX4" s="70"/>
      <c r="GY4" s="70"/>
      <c r="GZ4" s="70"/>
      <c r="HA4" s="70"/>
      <c r="HB4" s="70"/>
      <c r="HC4" s="70"/>
      <c r="HD4" s="70"/>
      <c r="HE4" s="70"/>
      <c r="HF4" s="70"/>
      <c r="HG4" s="70"/>
      <c r="HH4" s="70"/>
      <c r="HI4" s="70"/>
      <c r="HJ4" s="70"/>
      <c r="HK4" s="70"/>
      <c r="HL4" s="70"/>
      <c r="HM4" s="70"/>
      <c r="HN4" s="70"/>
      <c r="HO4" s="70"/>
      <c r="HP4" s="70"/>
      <c r="HQ4" s="70"/>
      <c r="HR4" s="70"/>
      <c r="HS4" s="70"/>
      <c r="HT4" s="70"/>
      <c r="HU4" s="71">
        <f>SUM(GJ4:HT4)</f>
        <v>0</v>
      </c>
      <c r="HV4" s="27">
        <f>'[2]CF PRB'!$BB$36</f>
        <v>5922</v>
      </c>
      <c r="HW4" s="25">
        <f>'[2]CF PRB'!$BB$37</f>
        <v>10448</v>
      </c>
      <c r="HX4" s="25">
        <f>'[2]CF PRB'!$BB$38</f>
        <v>13284</v>
      </c>
      <c r="HY4" s="25">
        <f>'[2]CF PRB'!$BB$39</f>
        <v>15059</v>
      </c>
      <c r="HZ4" s="25">
        <f>'[2]CF PRB'!$BB$40</f>
        <v>16098</v>
      </c>
      <c r="IA4" s="25">
        <f>'[2]CF PRB'!$BB$41</f>
        <v>16667</v>
      </c>
      <c r="IB4" s="25">
        <f>'[2]CF PRB'!$BB$42</f>
        <v>16783</v>
      </c>
      <c r="IC4" s="25">
        <f>'[2]CF PRB'!$BB$43</f>
        <v>16686</v>
      </c>
      <c r="ID4" s="25">
        <f>'[2]CF PRB'!$BB$44</f>
        <v>16407</v>
      </c>
      <c r="IE4" s="25">
        <f>'[2]CF PRB'!$BB$45</f>
        <v>16039</v>
      </c>
      <c r="IF4" s="25">
        <f>'[2]CF PRB'!$BB$46</f>
        <v>15494</v>
      </c>
      <c r="IG4" s="25">
        <f>'[2]CF PRB'!$BB$47</f>
        <v>28059</v>
      </c>
      <c r="IH4" s="25">
        <f>'[2]CF PRB'!$BB$48</f>
        <v>26518</v>
      </c>
      <c r="II4" s="25">
        <f>'[2]CF PRB'!$BB$49</f>
        <v>25129</v>
      </c>
      <c r="IJ4" s="25">
        <f>'[2]CF PRB'!$BB$50</f>
        <v>23684</v>
      </c>
      <c r="IK4" s="25">
        <f>'[2]CF PRB'!$BB$51</f>
        <v>22382</v>
      </c>
      <c r="IL4" s="25">
        <f>'[2]CF PRB'!$BB$52</f>
        <v>21154</v>
      </c>
      <c r="IM4" s="25">
        <f>'[2]CF PRB'!$BB$53</f>
        <v>20048</v>
      </c>
      <c r="IN4" s="25">
        <f>'[2]CF PRB'!$BB$54</f>
        <v>18892</v>
      </c>
      <c r="IO4" s="25">
        <f>'[2]CF PRB'!$BB$55</f>
        <v>17855</v>
      </c>
      <c r="IP4" s="25">
        <f>'[2]CF PRB'!$BB$56</f>
        <v>16878</v>
      </c>
      <c r="IQ4" s="25">
        <f>'[2]CF PRB'!$BB$57</f>
        <v>15991</v>
      </c>
      <c r="IR4" s="25">
        <f>'[2]CF PRB'!$BB$58</f>
        <v>15072</v>
      </c>
      <c r="IS4" s="25">
        <f>'[2]CF PRB'!$BB$59</f>
        <v>0</v>
      </c>
      <c r="IT4" s="25">
        <f>'[2]CF PRB'!$BB$60</f>
        <v>0</v>
      </c>
      <c r="IU4" s="25">
        <f>'[2]CF PRB'!$BB$61</f>
        <v>0</v>
      </c>
      <c r="IV4" s="25">
        <f>'[2]CF PRB'!$BB$62</f>
        <v>0</v>
      </c>
      <c r="IW4" s="25">
        <f>'[2]CF PRB'!$BB$63</f>
        <v>0</v>
      </c>
      <c r="IX4" s="25">
        <f>'[2]CF PRB'!$BB$64</f>
        <v>0</v>
      </c>
      <c r="IY4" s="25">
        <f>'[2]CF PRB'!$BB$65</f>
        <v>0</v>
      </c>
      <c r="IZ4" s="25">
        <f>'[2]CF PRB'!$BB$66</f>
        <v>0</v>
      </c>
      <c r="JA4" s="25">
        <f>'[2]CF PRB'!$BB$67</f>
        <v>0</v>
      </c>
      <c r="JB4" s="25">
        <f>'[2]CF PRB'!$BB$68</f>
        <v>0</v>
      </c>
      <c r="JC4" s="25">
        <f>'[2]CF PRB'!$BB$69</f>
        <v>0</v>
      </c>
      <c r="JD4" s="25">
        <f>'[2]CF PRB'!$BB$70</f>
        <v>0</v>
      </c>
      <c r="JE4" s="25">
        <f>'[2]CF PRB'!$BB$71</f>
        <v>0</v>
      </c>
      <c r="JF4" s="25">
        <f>'[2]CF PRB'!$BB$72</f>
        <v>0</v>
      </c>
      <c r="JG4" s="26">
        <f>SUM(HV4:JF4)</f>
        <v>410549</v>
      </c>
      <c r="JH4" s="69"/>
      <c r="JI4" s="70"/>
      <c r="JJ4" s="70"/>
      <c r="JK4" s="70"/>
      <c r="JL4" s="70"/>
      <c r="JM4" s="70"/>
      <c r="JN4" s="70"/>
      <c r="JO4" s="70"/>
      <c r="JP4" s="70"/>
      <c r="JQ4" s="70"/>
      <c r="JR4" s="70"/>
      <c r="JS4" s="70"/>
      <c r="JT4" s="70"/>
      <c r="JU4" s="70"/>
      <c r="JV4" s="70"/>
      <c r="JW4" s="70"/>
      <c r="JX4" s="70"/>
      <c r="JY4" s="70"/>
      <c r="JZ4" s="70"/>
      <c r="KA4" s="70"/>
      <c r="KB4" s="70"/>
      <c r="KC4" s="70"/>
      <c r="KD4" s="70"/>
      <c r="KE4" s="70"/>
      <c r="KF4" s="70"/>
      <c r="KG4" s="70"/>
      <c r="KH4" s="70"/>
      <c r="KI4" s="70"/>
      <c r="KJ4" s="70"/>
      <c r="KK4" s="70"/>
      <c r="KL4" s="70"/>
      <c r="KM4" s="70"/>
      <c r="KN4" s="70"/>
      <c r="KO4" s="70"/>
      <c r="KP4" s="70"/>
      <c r="KQ4" s="70"/>
      <c r="KR4" s="70"/>
      <c r="KS4" s="71">
        <f>SUM(JH4:KR4)</f>
        <v>0</v>
      </c>
      <c r="KT4" s="69"/>
      <c r="KU4" s="70"/>
      <c r="KV4" s="70"/>
      <c r="KW4" s="70"/>
      <c r="KX4" s="70"/>
      <c r="KY4" s="70"/>
      <c r="KZ4" s="70"/>
      <c r="LA4" s="70"/>
      <c r="LB4" s="70"/>
      <c r="LC4" s="70"/>
      <c r="LD4" s="70"/>
      <c r="LE4" s="70"/>
      <c r="LF4" s="70"/>
      <c r="LG4" s="70"/>
      <c r="LH4" s="70"/>
      <c r="LI4" s="70"/>
      <c r="LJ4" s="70"/>
      <c r="LK4" s="70"/>
      <c r="LL4" s="70"/>
      <c r="LM4" s="70"/>
      <c r="LN4" s="70"/>
      <c r="LO4" s="70"/>
      <c r="LP4" s="70"/>
      <c r="LQ4" s="70"/>
      <c r="LR4" s="70"/>
      <c r="LS4" s="70"/>
      <c r="LT4" s="70"/>
      <c r="LU4" s="70"/>
      <c r="LV4" s="70"/>
      <c r="LW4" s="70"/>
      <c r="LX4" s="70"/>
      <c r="LY4" s="70"/>
      <c r="LZ4" s="70"/>
      <c r="MA4" s="70"/>
      <c r="MB4" s="70"/>
      <c r="MC4" s="70"/>
      <c r="MD4" s="70"/>
      <c r="ME4" s="71">
        <f>SUM(KT4:MD4)</f>
        <v>0</v>
      </c>
      <c r="MF4" s="69"/>
      <c r="MG4" s="70"/>
      <c r="MH4" s="70"/>
      <c r="MI4" s="70"/>
      <c r="MJ4" s="70"/>
      <c r="MK4" s="70"/>
      <c r="ML4" s="70"/>
      <c r="MM4" s="70"/>
      <c r="MN4" s="70"/>
      <c r="MO4" s="70"/>
      <c r="MP4" s="70"/>
      <c r="MQ4" s="70"/>
      <c r="MR4" s="70"/>
      <c r="MS4" s="70"/>
      <c r="MT4" s="70"/>
      <c r="MU4" s="70"/>
      <c r="MV4" s="70"/>
      <c r="MW4" s="70"/>
      <c r="MX4" s="70"/>
      <c r="MY4" s="70"/>
      <c r="MZ4" s="70"/>
      <c r="NA4" s="70"/>
      <c r="NB4" s="70"/>
      <c r="NC4" s="70"/>
      <c r="ND4" s="70"/>
      <c r="NE4" s="70"/>
      <c r="NF4" s="70"/>
      <c r="NG4" s="70"/>
      <c r="NH4" s="70"/>
      <c r="NI4" s="70"/>
      <c r="NJ4" s="70"/>
      <c r="NK4" s="70"/>
      <c r="NL4" s="70"/>
      <c r="NM4" s="70"/>
      <c r="NN4" s="70"/>
      <c r="NO4" s="70"/>
      <c r="NP4" s="70"/>
      <c r="NQ4" s="71">
        <f>SUM(MF4:NP4)</f>
        <v>0</v>
      </c>
      <c r="NR4" s="25">
        <f>'[2]CF PS'!$BB$36</f>
        <v>133</v>
      </c>
      <c r="NS4" s="25">
        <f>'[2]CF PS'!$BB$37</f>
        <v>383</v>
      </c>
      <c r="NT4" s="25">
        <f>'[2]CF PS'!$BB$38</f>
        <v>610</v>
      </c>
      <c r="NU4" s="25">
        <f>'[2]CF PS'!$BB$39</f>
        <v>809</v>
      </c>
      <c r="NV4" s="25">
        <f>'[2]CF PS'!$BB$40</f>
        <v>984</v>
      </c>
      <c r="NW4" s="25">
        <f>'[2]CF PS'!$BB$41</f>
        <v>1144</v>
      </c>
      <c r="NX4" s="25">
        <f>'[2]CF PS'!$BB$42</f>
        <v>1278</v>
      </c>
      <c r="NY4" s="25">
        <f>'[2]CF PS'!$BB$43</f>
        <v>1398</v>
      </c>
      <c r="NZ4" s="25">
        <f>'[2]CF PS'!$BB$44</f>
        <v>1500</v>
      </c>
      <c r="OA4" s="25">
        <f>'[2]CF PS'!$BB$45</f>
        <v>1594</v>
      </c>
      <c r="OB4" s="25">
        <f>'[2]CF PS'!$BB$46</f>
        <v>1663</v>
      </c>
      <c r="OC4" s="25">
        <f>'[2]CF PS'!$BB$47</f>
        <v>1728</v>
      </c>
      <c r="OD4" s="25">
        <f>'[2]CF PS'!$BB$48</f>
        <v>1780</v>
      </c>
      <c r="OE4" s="25">
        <f>'[2]CF PS'!$BB$49</f>
        <v>1827</v>
      </c>
      <c r="OF4" s="25">
        <f>'[2]CF PS'!$BB$50</f>
        <v>1854</v>
      </c>
      <c r="OG4" s="25">
        <f>'[2]CF PS'!$BB$51</f>
        <v>1879</v>
      </c>
      <c r="OH4" s="25">
        <f>'[2]CF PS'!$BB$52</f>
        <v>1895</v>
      </c>
      <c r="OI4" s="25">
        <f>'[2]CF PS'!$BB$53</f>
        <v>1909</v>
      </c>
      <c r="OJ4" s="25">
        <f>'[2]CF PS'!$BB$54</f>
        <v>1908</v>
      </c>
      <c r="OK4" s="25">
        <f>'[2]CF PS'!$BB$55</f>
        <v>1906</v>
      </c>
      <c r="OL4" s="25">
        <f>'[2]CF PS'!$BB$56</f>
        <v>1895</v>
      </c>
      <c r="OM4" s="25">
        <f>'[2]CF PS'!$BB$57</f>
        <v>1892</v>
      </c>
      <c r="ON4" s="25">
        <f>'[2]CF PS'!$BB$58</f>
        <v>1869</v>
      </c>
      <c r="OO4" s="25">
        <f>'[2]CF PS'!$BB$59</f>
        <v>16095</v>
      </c>
      <c r="OP4" s="25">
        <f>'[2]CF PS'!$BB$60</f>
        <v>15292</v>
      </c>
      <c r="OQ4" s="25">
        <f>'[2]CF PS'!$BB$61</f>
        <v>0</v>
      </c>
      <c r="OR4" s="25">
        <f>'[2]CF PS'!$BB$62</f>
        <v>0</v>
      </c>
      <c r="OS4" s="25">
        <f>'[2]CF PS'!$BB$63</f>
        <v>0</v>
      </c>
      <c r="OT4" s="25">
        <f>'[2]CF PS'!$BB$64</f>
        <v>0</v>
      </c>
      <c r="OU4" s="25">
        <f>'[2]CF PS'!$BB$65</f>
        <v>0</v>
      </c>
      <c r="OV4" s="25">
        <f>'[2]CF PS'!$BB$66</f>
        <v>0</v>
      </c>
      <c r="OW4" s="25">
        <f>'[2]CF PS'!$BB$67</f>
        <v>0</v>
      </c>
      <c r="OX4" s="25">
        <f>'[2]CF PS'!$BB$68</f>
        <v>0</v>
      </c>
      <c r="OY4" s="25">
        <f>'[2]CF PS'!$BB$69</f>
        <v>0</v>
      </c>
      <c r="OZ4" s="25">
        <f>'[2]CF PS'!$BB$70</f>
        <v>0</v>
      </c>
      <c r="PA4" s="25">
        <f>'[2]CF PS'!$BB$71</f>
        <v>0</v>
      </c>
      <c r="PB4" s="25">
        <f>'[2]CF PS'!$BB$72</f>
        <v>0</v>
      </c>
      <c r="PC4" s="26">
        <f>SUM(NR4:PB4)</f>
        <v>65225</v>
      </c>
    </row>
    <row r="5" spans="1:419" ht="15.5" thickBot="1" x14ac:dyDescent="0.45">
      <c r="A5" s="47" t="s">
        <v>29</v>
      </c>
      <c r="B5" s="40">
        <f>IF(AND(B3&lt;&gt;0,B4&lt;&gt;0),(B3-B4)/B4,IF(AND(B3=0,B4=0),"",IF(AND(B3="",B4=""),"",IF(AND(B3=0,B4=""),"", IF(AND(B3="",B4=0),"",1)))))</f>
        <v>8.6029602280088089E-6</v>
      </c>
      <c r="C5" s="40">
        <f t="shared" ref="C5" si="0">IF(AND(C3&lt;&gt;0,C4&lt;&gt;0),(C3-C4)/C4,IF(AND(C3=0,C4=0),"",IF(AND(C3="",C4=""),"",IF(AND(C3=0,C4=""),"", IF(AND(C3="",C4=0),"",1)))))</f>
        <v>-2.0505511881593771E-5</v>
      </c>
      <c r="D5" s="40">
        <f t="shared" ref="D5" si="1">IF(AND(D3&lt;&gt;0,D4&lt;&gt;0),(D3-D4)/D4,IF(AND(D3=0,D4=0),"",IF(AND(D3="",D4=""),"",IF(AND(D3=0,D4=""),"", IF(AND(D3="",D4=0),"",1)))))</f>
        <v>5.9705322624149608E-6</v>
      </c>
      <c r="E5" s="40">
        <f t="shared" ref="E5" si="2">IF(AND(E3&lt;&gt;0,E4&lt;&gt;0),(E3-E4)/E4,IF(AND(E3=0,E4=0),"",IF(AND(E3="",E4=""),"",IF(AND(E3=0,E4=""),"", IF(AND(E3="",E4=0),"",1)))))</f>
        <v>6.727490355469827E-8</v>
      </c>
      <c r="F5" s="40">
        <f t="shared" ref="F5" si="3">IF(AND(F3&lt;&gt;0,F4&lt;&gt;0),(F3-F4)/F4,IF(AND(F3=0,F4=0),"",IF(AND(F3="",F4=""),"",IF(AND(F3=0,F4=""),"", IF(AND(F3="",F4=0),"",1)))))</f>
        <v>-7.7901986470105196E-6</v>
      </c>
      <c r="G5" s="40">
        <f t="shared" ref="G5" si="4">IF(AND(G3&lt;&gt;0,G4&lt;&gt;0),(G3-G4)/G4,IF(AND(G3=0,G4=0),"",IF(AND(G3="",G4=""),"",IF(AND(G3=0,G4=""),"", IF(AND(G3="",G4=0),"",1)))))</f>
        <v>-8.7296240304982252E-6</v>
      </c>
      <c r="H5" s="40">
        <f t="shared" ref="H5" si="5">IF(AND(H3&lt;&gt;0,H4&lt;&gt;0),(H3-H4)/H4,IF(AND(H3=0,H4=0),"",IF(AND(H3="",H4=""),"",IF(AND(H3=0,H4=""),"", IF(AND(H3="",H4=0),"",1)))))</f>
        <v>-9.7498531786815454E-6</v>
      </c>
      <c r="I5" s="40">
        <f t="shared" ref="I5" si="6">IF(AND(I3&lt;&gt;0,I4&lt;&gt;0),(I3-I4)/I4,IF(AND(I3=0,I4=0),"",IF(AND(I3="",I4=""),"",IF(AND(I3=0,I4=""),"", IF(AND(I3="",I4=0),"",1)))))</f>
        <v>1.0776153513279603E-5</v>
      </c>
      <c r="J5" s="40">
        <f t="shared" ref="J5" si="7">IF(AND(J3&lt;&gt;0,J4&lt;&gt;0),(J3-J4)/J4,IF(AND(J3=0,J4=0),"",IF(AND(J3="",J4=""),"",IF(AND(J3=0,J4=""),"", IF(AND(J3="",J4=0),"",1)))))</f>
        <v>1.1949621324621324E-5</v>
      </c>
      <c r="K5" s="40">
        <f t="shared" ref="K5" si="8">IF(AND(K3&lt;&gt;0,K4&lt;&gt;0),(K3-K4)/K4,IF(AND(K3=0,K4=0),"",IF(AND(K3="",K4=""),"",IF(AND(K3=0,K4=""),"", IF(AND(K3="",K4=0),"",1)))))</f>
        <v>-1.2948406474354828E-5</v>
      </c>
      <c r="L5" s="40">
        <f t="shared" ref="L5" si="9">IF(AND(L3&lt;&gt;0,L4&lt;&gt;0),(L3-L4)/L4,IF(AND(L3=0,L4=0),"",IF(AND(L3="",L4=""),"",IF(AND(L3=0,L4=""),"", IF(AND(L3="",L4=0),"",1)))))</f>
        <v>-0.16162030259334273</v>
      </c>
      <c r="M5" s="40" t="str">
        <f t="shared" ref="M5" si="10">IF(AND(M3&lt;&gt;0,M4&lt;&gt;0),(M3-M4)/M4,IF(AND(M3=0,M4=0),"",IF(AND(M3="",M4=""),"",IF(AND(M3=0,M4=""),"", IF(AND(M3="",M4=0),"",1)))))</f>
        <v/>
      </c>
      <c r="N5" s="40" t="str">
        <f t="shared" ref="N5" si="11">IF(AND(N3&lt;&gt;0,N4&lt;&gt;0),(N3-N4)/N4,IF(AND(N3=0,N4=0),"",IF(AND(N3="",N4=""),"",IF(AND(N3=0,N4=""),"", IF(AND(N3="",N4=0),"",1)))))</f>
        <v/>
      </c>
      <c r="O5" s="40" t="str">
        <f t="shared" ref="O5" si="12">IF(AND(O3&lt;&gt;0,O4&lt;&gt;0),(O3-O4)/O4,IF(AND(O3=0,O4=0),"",IF(AND(O3="",O4=""),"",IF(AND(O3=0,O4=""),"", IF(AND(O3="",O4=0),"",1)))))</f>
        <v/>
      </c>
      <c r="P5" s="40" t="str">
        <f t="shared" ref="P5" si="13">IF(AND(P3&lt;&gt;0,P4&lt;&gt;0),(P3-P4)/P4,IF(AND(P3=0,P4=0),"",IF(AND(P3="",P4=""),"",IF(AND(P3=0,P4=""),"", IF(AND(P3="",P4=0),"",1)))))</f>
        <v/>
      </c>
      <c r="Q5" s="40" t="str">
        <f t="shared" ref="Q5" si="14">IF(AND(Q3&lt;&gt;0,Q4&lt;&gt;0),(Q3-Q4)/Q4,IF(AND(Q3=0,Q4=0),"",IF(AND(Q3="",Q4=""),"",IF(AND(Q3=0,Q4=""),"", IF(AND(Q3="",Q4=0),"",1)))))</f>
        <v/>
      </c>
      <c r="R5" s="40" t="str">
        <f t="shared" ref="R5" si="15">IF(AND(R3&lt;&gt;0,R4&lt;&gt;0),(R3-R4)/R4,IF(AND(R3=0,R4=0),"",IF(AND(R3="",R4=""),"",IF(AND(R3=0,R4=""),"", IF(AND(R3="",R4=0),"",1)))))</f>
        <v/>
      </c>
      <c r="S5" s="40" t="str">
        <f t="shared" ref="S5" si="16">IF(AND(S3&lt;&gt;0,S4&lt;&gt;0),(S3-S4)/S4,IF(AND(S3=0,S4=0),"",IF(AND(S3="",S4=""),"",IF(AND(S3=0,S4=""),"", IF(AND(S3="",S4=0),"",1)))))</f>
        <v/>
      </c>
      <c r="T5" s="40" t="str">
        <f t="shared" ref="T5" si="17">IF(AND(T3&lt;&gt;0,T4&lt;&gt;0),(T3-T4)/T4,IF(AND(T3=0,T4=0),"",IF(AND(T3="",T4=""),"",IF(AND(T3=0,T4=""),"", IF(AND(T3="",T4=0),"",1)))))</f>
        <v/>
      </c>
      <c r="U5" s="40" t="str">
        <f t="shared" ref="U5" si="18">IF(AND(U3&lt;&gt;0,U4&lt;&gt;0),(U3-U4)/U4,IF(AND(U3=0,U4=0),"",IF(AND(U3="",U4=""),"",IF(AND(U3=0,U4=""),"", IF(AND(U3="",U4=0),"",1)))))</f>
        <v/>
      </c>
      <c r="V5" s="40" t="str">
        <f t="shared" ref="V5" si="19">IF(AND(V3&lt;&gt;0,V4&lt;&gt;0),(V3-V4)/V4,IF(AND(V3=0,V4=0),"",IF(AND(V3="",V4=""),"",IF(AND(V3=0,V4=""),"", IF(AND(V3="",V4=0),"",1)))))</f>
        <v/>
      </c>
      <c r="W5" s="40" t="str">
        <f t="shared" ref="W5" si="20">IF(AND(W3&lt;&gt;0,W4&lt;&gt;0),(W3-W4)/W4,IF(AND(W3=0,W4=0),"",IF(AND(W3="",W4=""),"",IF(AND(W3=0,W4=""),"", IF(AND(W3="",W4=0),"",1)))))</f>
        <v/>
      </c>
      <c r="X5" s="40" t="str">
        <f>IF(AND(X3&lt;&gt;0,X4&lt;&gt;0),(X3-X4)/X4,IF(AND(X3=0,X4=0),"",IF(AND(X3="",X4=""),"",IF(AND(X3=0,X4=""),"", IF(AND(X3="",X4=0),"",1)))))</f>
        <v/>
      </c>
      <c r="Y5" s="40" t="str">
        <f t="shared" ref="Y5:AL5" si="21">IF(AND(Y3&lt;&gt;0,Y4&lt;&gt;0),(Y3-Y4)/Y4,IF(AND(Y3=0,Y4=0),"",IF(AND(Y3="",Y4=""),"",IF(AND(Y3=0,Y4=""),"", IF(AND(Y3="",Y4=0),"",1)))))</f>
        <v/>
      </c>
      <c r="Z5" s="40" t="str">
        <f t="shared" si="21"/>
        <v/>
      </c>
      <c r="AA5" s="40" t="str">
        <f t="shared" si="21"/>
        <v/>
      </c>
      <c r="AB5" s="40" t="str">
        <f t="shared" si="21"/>
        <v/>
      </c>
      <c r="AC5" s="40" t="str">
        <f t="shared" si="21"/>
        <v/>
      </c>
      <c r="AD5" s="40" t="str">
        <f t="shared" si="21"/>
        <v/>
      </c>
      <c r="AE5" s="40" t="str">
        <f t="shared" si="21"/>
        <v/>
      </c>
      <c r="AF5" s="40" t="str">
        <f t="shared" si="21"/>
        <v/>
      </c>
      <c r="AG5" s="40" t="str">
        <f t="shared" si="21"/>
        <v/>
      </c>
      <c r="AH5" s="40" t="str">
        <f t="shared" si="21"/>
        <v/>
      </c>
      <c r="AI5" s="40" t="str">
        <f t="shared" si="21"/>
        <v/>
      </c>
      <c r="AJ5" s="40" t="str">
        <f t="shared" si="21"/>
        <v/>
      </c>
      <c r="AK5" s="40" t="str">
        <f t="shared" si="21"/>
        <v/>
      </c>
      <c r="AL5" s="40" t="str">
        <f t="shared" si="21"/>
        <v/>
      </c>
      <c r="AM5" s="41">
        <f>IF(AND(AM3&lt;&gt;0,AM4&lt;&gt;0),(AM3-AM4)/AM4,IF(AND(AM3=0,AM4=0),"",IF(AND(AM3="",AM4=""),"",IF(AND(AM3=0,AM4=""),"", IF(AND(AM3="",AM4=0),"",1)))))</f>
        <v>-8.1500118198849312E-3</v>
      </c>
      <c r="AN5" s="39" t="str">
        <f t="shared" ref="AN5" si="22">IF(AND(AN3&lt;&gt;0,AN4&lt;&gt;0),(AN3-AN4)/AN4,IF(AND(AN3=0,AN4=0),"",IF(AND(AN3="",AN4=""),"",IF(AND(AN3=0,AN4=""),"", IF(AND(AN3="",AN4=0),"",1)))))</f>
        <v/>
      </c>
      <c r="AO5" s="40" t="str">
        <f t="shared" ref="AO5" si="23">IF(AND(AO3&lt;&gt;0,AO4&lt;&gt;0),(AO3-AO4)/AO4,IF(AND(AO3=0,AO4=0),"",IF(AND(AO3="",AO4=""),"",IF(AND(AO3=0,AO4=""),"", IF(AND(AO3="",AO4=0),"",1)))))</f>
        <v/>
      </c>
      <c r="AP5" s="40" t="str">
        <f t="shared" ref="AP5" si="24">IF(AND(AP3&lt;&gt;0,AP4&lt;&gt;0),(AP3-AP4)/AP4,IF(AND(AP3=0,AP4=0),"",IF(AND(AP3="",AP4=""),"",IF(AND(AP3=0,AP4=""),"", IF(AND(AP3="",AP4=0),"",1)))))</f>
        <v/>
      </c>
      <c r="AQ5" s="40" t="str">
        <f t="shared" ref="AQ5" si="25">IF(AND(AQ3&lt;&gt;0,AQ4&lt;&gt;0),(AQ3-AQ4)/AQ4,IF(AND(AQ3=0,AQ4=0),"",IF(AND(AQ3="",AQ4=""),"",IF(AND(AQ3=0,AQ4=""),"", IF(AND(AQ3="",AQ4=0),"",1)))))</f>
        <v/>
      </c>
      <c r="AR5" s="40" t="str">
        <f t="shared" ref="AR5" si="26">IF(AND(AR3&lt;&gt;0,AR4&lt;&gt;0),(AR3-AR4)/AR4,IF(AND(AR3=0,AR4=0),"",IF(AND(AR3="",AR4=""),"",IF(AND(AR3=0,AR4=""),"", IF(AND(AR3="",AR4=0),"",1)))))</f>
        <v/>
      </c>
      <c r="AS5" s="40" t="str">
        <f t="shared" ref="AS5" si="27">IF(AND(AS3&lt;&gt;0,AS4&lt;&gt;0),(AS3-AS4)/AS4,IF(AND(AS3=0,AS4=0),"",IF(AND(AS3="",AS4=""),"",IF(AND(AS3=0,AS4=""),"", IF(AND(AS3="",AS4=0),"",1)))))</f>
        <v/>
      </c>
      <c r="AT5" s="40" t="str">
        <f t="shared" ref="AT5" si="28">IF(AND(AT3&lt;&gt;0,AT4&lt;&gt;0),(AT3-AT4)/AT4,IF(AND(AT3=0,AT4=0),"",IF(AND(AT3="",AT4=""),"",IF(AND(AT3=0,AT4=""),"", IF(AND(AT3="",AT4=0),"",1)))))</f>
        <v/>
      </c>
      <c r="AU5" s="40" t="str">
        <f t="shared" ref="AU5" si="29">IF(AND(AU3&lt;&gt;0,AU4&lt;&gt;0),(AU3-AU4)/AU4,IF(AND(AU3=0,AU4=0),"",IF(AND(AU3="",AU4=""),"",IF(AND(AU3=0,AU4=""),"", IF(AND(AU3="",AU4=0),"",1)))))</f>
        <v/>
      </c>
      <c r="AV5" s="40" t="str">
        <f t="shared" ref="AV5" si="30">IF(AND(AV3&lt;&gt;0,AV4&lt;&gt;0),(AV3-AV4)/AV4,IF(AND(AV3=0,AV4=0),"",IF(AND(AV3="",AV4=""),"",IF(AND(AV3=0,AV4=""),"", IF(AND(AV3="",AV4=0),"",1)))))</f>
        <v/>
      </c>
      <c r="AW5" s="40" t="str">
        <f t="shared" ref="AW5" si="31">IF(AND(AW3&lt;&gt;0,AW4&lt;&gt;0),(AW3-AW4)/AW4,IF(AND(AW3=0,AW4=0),"",IF(AND(AW3="",AW4=""),"",IF(AND(AW3=0,AW4=""),"", IF(AND(AW3="",AW4=0),"",1)))))</f>
        <v/>
      </c>
      <c r="AX5" s="40" t="str">
        <f t="shared" ref="AX5" si="32">IF(AND(AX3&lt;&gt;0,AX4&lt;&gt;0),(AX3-AX4)/AX4,IF(AND(AX3=0,AX4=0),"",IF(AND(AX3="",AX4=""),"",IF(AND(AX3=0,AX4=""),"", IF(AND(AX3="",AX4=0),"",1)))))</f>
        <v/>
      </c>
      <c r="AY5" s="40" t="str">
        <f t="shared" ref="AY5" si="33">IF(AND(AY3&lt;&gt;0,AY4&lt;&gt;0),(AY3-AY4)/AY4,IF(AND(AY3=0,AY4=0),"",IF(AND(AY3="",AY4=""),"",IF(AND(AY3=0,AY4=""),"", IF(AND(AY3="",AY4=0),"",1)))))</f>
        <v/>
      </c>
      <c r="AZ5" s="40" t="str">
        <f t="shared" ref="AZ5" si="34">IF(AND(AZ3&lt;&gt;0,AZ4&lt;&gt;0),(AZ3-AZ4)/AZ4,IF(AND(AZ3=0,AZ4=0),"",IF(AND(AZ3="",AZ4=""),"",IF(AND(AZ3=0,AZ4=""),"", IF(AND(AZ3="",AZ4=0),"",1)))))</f>
        <v/>
      </c>
      <c r="BA5" s="40" t="str">
        <f t="shared" ref="BA5" si="35">IF(AND(BA3&lt;&gt;0,BA4&lt;&gt;0),(BA3-BA4)/BA4,IF(AND(BA3=0,BA4=0),"",IF(AND(BA3="",BA4=""),"",IF(AND(BA3=0,BA4=""),"", IF(AND(BA3="",BA4=0),"",1)))))</f>
        <v/>
      </c>
      <c r="BB5" s="40" t="str">
        <f t="shared" ref="BB5" si="36">IF(AND(BB3&lt;&gt;0,BB4&lt;&gt;0),(BB3-BB4)/BB4,IF(AND(BB3=0,BB4=0),"",IF(AND(BB3="",BB4=""),"",IF(AND(BB3=0,BB4=""),"", IF(AND(BB3="",BB4=0),"",1)))))</f>
        <v/>
      </c>
      <c r="BC5" s="40" t="str">
        <f t="shared" ref="BC5" si="37">IF(AND(BC3&lt;&gt;0,BC4&lt;&gt;0),(BC3-BC4)/BC4,IF(AND(BC3=0,BC4=0),"",IF(AND(BC3="",BC4=""),"",IF(AND(BC3=0,BC4=""),"", IF(AND(BC3="",BC4=0),"",1)))))</f>
        <v/>
      </c>
      <c r="BD5" s="40" t="str">
        <f t="shared" ref="BD5" si="38">IF(AND(BD3&lt;&gt;0,BD4&lt;&gt;0),(BD3-BD4)/BD4,IF(AND(BD3=0,BD4=0),"",IF(AND(BD3="",BD4=""),"",IF(AND(BD3=0,BD4=""),"", IF(AND(BD3="",BD4=0),"",1)))))</f>
        <v/>
      </c>
      <c r="BE5" s="40" t="str">
        <f t="shared" ref="BE5" si="39">IF(AND(BE3&lt;&gt;0,BE4&lt;&gt;0),(BE3-BE4)/BE4,IF(AND(BE3=0,BE4=0),"",IF(AND(BE3="",BE4=""),"",IF(AND(BE3=0,BE4=""),"", IF(AND(BE3="",BE4=0),"",1)))))</f>
        <v/>
      </c>
      <c r="BF5" s="40" t="str">
        <f t="shared" ref="BF5" si="40">IF(AND(BF3&lt;&gt;0,BF4&lt;&gt;0),(BF3-BF4)/BF4,IF(AND(BF3=0,BF4=0),"",IF(AND(BF3="",BF4=""),"",IF(AND(BF3=0,BF4=""),"", IF(AND(BF3="",BF4=0),"",1)))))</f>
        <v/>
      </c>
      <c r="BG5" s="40" t="str">
        <f t="shared" ref="BG5" si="41">IF(AND(BG3&lt;&gt;0,BG4&lt;&gt;0),(BG3-BG4)/BG4,IF(AND(BG3=0,BG4=0),"",IF(AND(BG3="",BG4=""),"",IF(AND(BG3=0,BG4=""),"", IF(AND(BG3="",BG4=0),"",1)))))</f>
        <v/>
      </c>
      <c r="BH5" s="40" t="str">
        <f t="shared" ref="BH5" si="42">IF(AND(BH3&lt;&gt;0,BH4&lt;&gt;0),(BH3-BH4)/BH4,IF(AND(BH3=0,BH4=0),"",IF(AND(BH3="",BH4=""),"",IF(AND(BH3=0,BH4=""),"", IF(AND(BH3="",BH4=0),"",1)))))</f>
        <v/>
      </c>
      <c r="BI5" s="40" t="str">
        <f t="shared" ref="BI5" si="43">IF(AND(BI3&lt;&gt;0,BI4&lt;&gt;0),(BI3-BI4)/BI4,IF(AND(BI3=0,BI4=0),"",IF(AND(BI3="",BI4=""),"",IF(AND(BI3=0,BI4=""),"", IF(AND(BI3="",BI4=0),"",1)))))</f>
        <v/>
      </c>
      <c r="BJ5" s="40" t="str">
        <f t="shared" ref="BJ5:BX5" si="44">IF(AND(BJ3&lt;&gt;0,BJ4&lt;&gt;0),(BJ3-BJ4)/BJ4,IF(AND(BJ3=0,BJ4=0),"",IF(AND(BJ3="",BJ4=""),"",IF(AND(BJ3=0,BJ4=""),"", IF(AND(BJ3="",BJ4=0),"",1)))))</f>
        <v/>
      </c>
      <c r="BK5" s="40" t="str">
        <f t="shared" si="44"/>
        <v/>
      </c>
      <c r="BL5" s="40" t="str">
        <f t="shared" si="44"/>
        <v/>
      </c>
      <c r="BM5" s="40" t="str">
        <f t="shared" si="44"/>
        <v/>
      </c>
      <c r="BN5" s="40" t="str">
        <f t="shared" si="44"/>
        <v/>
      </c>
      <c r="BO5" s="40" t="str">
        <f t="shared" si="44"/>
        <v/>
      </c>
      <c r="BP5" s="40" t="str">
        <f t="shared" si="44"/>
        <v/>
      </c>
      <c r="BQ5" s="40" t="str">
        <f t="shared" si="44"/>
        <v/>
      </c>
      <c r="BR5" s="40" t="str">
        <f t="shared" si="44"/>
        <v/>
      </c>
      <c r="BS5" s="40" t="str">
        <f t="shared" si="44"/>
        <v/>
      </c>
      <c r="BT5" s="40" t="str">
        <f t="shared" si="44"/>
        <v/>
      </c>
      <c r="BU5" s="40" t="str">
        <f t="shared" si="44"/>
        <v/>
      </c>
      <c r="BV5" s="40" t="str">
        <f t="shared" si="44"/>
        <v/>
      </c>
      <c r="BW5" s="40" t="str">
        <f t="shared" si="44"/>
        <v/>
      </c>
      <c r="BX5" s="40" t="str">
        <f t="shared" si="44"/>
        <v/>
      </c>
      <c r="BY5" s="41" t="str">
        <f t="shared" ref="BY5" si="45">IF(AND(BY3&lt;&gt;0,BY4&lt;&gt;0),(BY3-BY4)/BY4,IF(AND(BY3=0,BY4=0),"",IF(AND(BY3="",BY4=""),"",IF(AND(BY3=0,BY4=""),"", IF(AND(BY3="",BY4=0),"",1)))))</f>
        <v/>
      </c>
      <c r="BZ5" s="39" t="str">
        <f t="shared" ref="BZ5" si="46">IF(AND(BZ3&lt;&gt;0,BZ4&lt;&gt;0),(BZ3-BZ4)/BZ4,IF(AND(BZ3=0,BZ4=0),"",IF(AND(BZ3="",BZ4=""),"",IF(AND(BZ3=0,BZ4=""),"", IF(AND(BZ3="",BZ4=0),"",1)))))</f>
        <v/>
      </c>
      <c r="CA5" s="40" t="str">
        <f t="shared" ref="CA5" si="47">IF(AND(CA3&lt;&gt;0,CA4&lt;&gt;0),(CA3-CA4)/CA4,IF(AND(CA3=0,CA4=0),"",IF(AND(CA3="",CA4=""),"",IF(AND(CA3=0,CA4=""),"", IF(AND(CA3="",CA4=0),"",1)))))</f>
        <v/>
      </c>
      <c r="CB5" s="40" t="str">
        <f t="shared" ref="CB5" si="48">IF(AND(CB3&lt;&gt;0,CB4&lt;&gt;0),(CB3-CB4)/CB4,IF(AND(CB3=0,CB4=0),"",IF(AND(CB3="",CB4=""),"",IF(AND(CB3=0,CB4=""),"", IF(AND(CB3="",CB4=0),"",1)))))</f>
        <v/>
      </c>
      <c r="CC5" s="40" t="str">
        <f t="shared" ref="CC5" si="49">IF(AND(CC3&lt;&gt;0,CC4&lt;&gt;0),(CC3-CC4)/CC4,IF(AND(CC3=0,CC4=0),"",IF(AND(CC3="",CC4=""),"",IF(AND(CC3=0,CC4=""),"", IF(AND(CC3="",CC4=0),"",1)))))</f>
        <v/>
      </c>
      <c r="CD5" s="40" t="str">
        <f t="shared" ref="CD5" si="50">IF(AND(CD3&lt;&gt;0,CD4&lt;&gt;0),(CD3-CD4)/CD4,IF(AND(CD3=0,CD4=0),"",IF(AND(CD3="",CD4=""),"",IF(AND(CD3=0,CD4=""),"", IF(AND(CD3="",CD4=0),"",1)))))</f>
        <v/>
      </c>
      <c r="CE5" s="40" t="str">
        <f t="shared" ref="CE5" si="51">IF(AND(CE3&lt;&gt;0,CE4&lt;&gt;0),(CE3-CE4)/CE4,IF(AND(CE3=0,CE4=0),"",IF(AND(CE3="",CE4=""),"",IF(AND(CE3=0,CE4=""),"", IF(AND(CE3="",CE4=0),"",1)))))</f>
        <v/>
      </c>
      <c r="CF5" s="40" t="str">
        <f t="shared" ref="CF5" si="52">IF(AND(CF3&lt;&gt;0,CF4&lt;&gt;0),(CF3-CF4)/CF4,IF(AND(CF3=0,CF4=0),"",IF(AND(CF3="",CF4=""),"",IF(AND(CF3=0,CF4=""),"", IF(AND(CF3="",CF4=0),"",1)))))</f>
        <v/>
      </c>
      <c r="CG5" s="40" t="str">
        <f t="shared" ref="CG5" si="53">IF(AND(CG3&lt;&gt;0,CG4&lt;&gt;0),(CG3-CG4)/CG4,IF(AND(CG3=0,CG4=0),"",IF(AND(CG3="",CG4=""),"",IF(AND(CG3=0,CG4=""),"", IF(AND(CG3="",CG4=0),"",1)))))</f>
        <v/>
      </c>
      <c r="CH5" s="40" t="str">
        <f t="shared" ref="CH5" si="54">IF(AND(CH3&lt;&gt;0,CH4&lt;&gt;0),(CH3-CH4)/CH4,IF(AND(CH3=0,CH4=0),"",IF(AND(CH3="",CH4=""),"",IF(AND(CH3=0,CH4=""),"", IF(AND(CH3="",CH4=0),"",1)))))</f>
        <v/>
      </c>
      <c r="CI5" s="40" t="str">
        <f t="shared" ref="CI5" si="55">IF(AND(CI3&lt;&gt;0,CI4&lt;&gt;0),(CI3-CI4)/CI4,IF(AND(CI3=0,CI4=0),"",IF(AND(CI3="",CI4=""),"",IF(AND(CI3=0,CI4=""),"", IF(AND(CI3="",CI4=0),"",1)))))</f>
        <v/>
      </c>
      <c r="CJ5" s="40" t="str">
        <f t="shared" ref="CJ5" si="56">IF(AND(CJ3&lt;&gt;0,CJ4&lt;&gt;0),(CJ3-CJ4)/CJ4,IF(AND(CJ3=0,CJ4=0),"",IF(AND(CJ3="",CJ4=""),"",IF(AND(CJ3=0,CJ4=""),"", IF(AND(CJ3="",CJ4=0),"",1)))))</f>
        <v/>
      </c>
      <c r="CK5" s="40" t="str">
        <f t="shared" ref="CK5" si="57">IF(AND(CK3&lt;&gt;0,CK4&lt;&gt;0),(CK3-CK4)/CK4,IF(AND(CK3=0,CK4=0),"",IF(AND(CK3="",CK4=""),"",IF(AND(CK3=0,CK4=""),"", IF(AND(CK3="",CK4=0),"",1)))))</f>
        <v/>
      </c>
      <c r="CL5" s="40" t="str">
        <f t="shared" ref="CL5" si="58">IF(AND(CL3&lt;&gt;0,CL4&lt;&gt;0),(CL3-CL4)/CL4,IF(AND(CL3=0,CL4=0),"",IF(AND(CL3="",CL4=""),"",IF(AND(CL3=0,CL4=""),"", IF(AND(CL3="",CL4=0),"",1)))))</f>
        <v/>
      </c>
      <c r="CM5" s="40" t="str">
        <f t="shared" ref="CM5" si="59">IF(AND(CM3&lt;&gt;0,CM4&lt;&gt;0),(CM3-CM4)/CM4,IF(AND(CM3=0,CM4=0),"",IF(AND(CM3="",CM4=""),"",IF(AND(CM3=0,CM4=""),"", IF(AND(CM3="",CM4=0),"",1)))))</f>
        <v/>
      </c>
      <c r="CN5" s="40" t="str">
        <f t="shared" ref="CN5" si="60">IF(AND(CN3&lt;&gt;0,CN4&lt;&gt;0),(CN3-CN4)/CN4,IF(AND(CN3=0,CN4=0),"",IF(AND(CN3="",CN4=""),"",IF(AND(CN3=0,CN4=""),"", IF(AND(CN3="",CN4=0),"",1)))))</f>
        <v/>
      </c>
      <c r="CO5" s="40" t="str">
        <f t="shared" ref="CO5" si="61">IF(AND(CO3&lt;&gt;0,CO4&lt;&gt;0),(CO3-CO4)/CO4,IF(AND(CO3=0,CO4=0),"",IF(AND(CO3="",CO4=""),"",IF(AND(CO3=0,CO4=""),"", IF(AND(CO3="",CO4=0),"",1)))))</f>
        <v/>
      </c>
      <c r="CP5" s="40" t="str">
        <f t="shared" ref="CP5" si="62">IF(AND(CP3&lt;&gt;0,CP4&lt;&gt;0),(CP3-CP4)/CP4,IF(AND(CP3=0,CP4=0),"",IF(AND(CP3="",CP4=""),"",IF(AND(CP3=0,CP4=""),"", IF(AND(CP3="",CP4=0),"",1)))))</f>
        <v/>
      </c>
      <c r="CQ5" s="40" t="str">
        <f t="shared" ref="CQ5" si="63">IF(AND(CQ3&lt;&gt;0,CQ4&lt;&gt;0),(CQ3-CQ4)/CQ4,IF(AND(CQ3=0,CQ4=0),"",IF(AND(CQ3="",CQ4=""),"",IF(AND(CQ3=0,CQ4=""),"", IF(AND(CQ3="",CQ4=0),"",1)))))</f>
        <v/>
      </c>
      <c r="CR5" s="40" t="str">
        <f t="shared" ref="CR5" si="64">IF(AND(CR3&lt;&gt;0,CR4&lt;&gt;0),(CR3-CR4)/CR4,IF(AND(CR3=0,CR4=0),"",IF(AND(CR3="",CR4=""),"",IF(AND(CR3=0,CR4=""),"", IF(AND(CR3="",CR4=0),"",1)))))</f>
        <v/>
      </c>
      <c r="CS5" s="40" t="str">
        <f t="shared" ref="CS5" si="65">IF(AND(CS3&lt;&gt;0,CS4&lt;&gt;0),(CS3-CS4)/CS4,IF(AND(CS3=0,CS4=0),"",IF(AND(CS3="",CS4=""),"",IF(AND(CS3=0,CS4=""),"", IF(AND(CS3="",CS4=0),"",1)))))</f>
        <v/>
      </c>
      <c r="CT5" s="40" t="str">
        <f t="shared" ref="CT5" si="66">IF(AND(CT3&lt;&gt;0,CT4&lt;&gt;0),(CT3-CT4)/CT4,IF(AND(CT3=0,CT4=0),"",IF(AND(CT3="",CT4=""),"",IF(AND(CT3=0,CT4=""),"", IF(AND(CT3="",CT4=0),"",1)))))</f>
        <v/>
      </c>
      <c r="CU5" s="40" t="str">
        <f t="shared" ref="CU5" si="67">IF(AND(CU3&lt;&gt;0,CU4&lt;&gt;0),(CU3-CU4)/CU4,IF(AND(CU3=0,CU4=0),"",IF(AND(CU3="",CU4=""),"",IF(AND(CU3=0,CU4=""),"", IF(AND(CU3="",CU4=0),"",1)))))</f>
        <v/>
      </c>
      <c r="CV5" s="40" t="str">
        <f t="shared" ref="CV5:DJ5" si="68">IF(AND(CV3&lt;&gt;0,CV4&lt;&gt;0),(CV3-CV4)/CV4,IF(AND(CV3=0,CV4=0),"",IF(AND(CV3="",CV4=""),"",IF(AND(CV3=0,CV4=""),"", IF(AND(CV3="",CV4=0),"",1)))))</f>
        <v/>
      </c>
      <c r="CW5" s="40" t="str">
        <f t="shared" si="68"/>
        <v/>
      </c>
      <c r="CX5" s="40" t="str">
        <f t="shared" si="68"/>
        <v/>
      </c>
      <c r="CY5" s="40" t="str">
        <f t="shared" si="68"/>
        <v/>
      </c>
      <c r="CZ5" s="40" t="str">
        <f t="shared" si="68"/>
        <v/>
      </c>
      <c r="DA5" s="40" t="str">
        <f t="shared" si="68"/>
        <v/>
      </c>
      <c r="DB5" s="40" t="str">
        <f t="shared" si="68"/>
        <v/>
      </c>
      <c r="DC5" s="40" t="str">
        <f t="shared" si="68"/>
        <v/>
      </c>
      <c r="DD5" s="40" t="str">
        <f t="shared" si="68"/>
        <v/>
      </c>
      <c r="DE5" s="40" t="str">
        <f t="shared" si="68"/>
        <v/>
      </c>
      <c r="DF5" s="40" t="str">
        <f t="shared" si="68"/>
        <v/>
      </c>
      <c r="DG5" s="40" t="str">
        <f t="shared" si="68"/>
        <v/>
      </c>
      <c r="DH5" s="40" t="str">
        <f t="shared" si="68"/>
        <v/>
      </c>
      <c r="DI5" s="40" t="str">
        <f t="shared" si="68"/>
        <v/>
      </c>
      <c r="DJ5" s="40" t="str">
        <f t="shared" si="68"/>
        <v/>
      </c>
      <c r="DK5" s="41" t="str">
        <f t="shared" ref="DK5:HU5" si="69">IF(AND(DK3&lt;&gt;0,DK4&lt;&gt;0),(DK3-DK4)/DK4,IF(AND(DK3=0,DK4=0),"",IF(AND(DK3="",DK4=""),"",IF(AND(DK3=0,DK4=""),"", IF(AND(DK3="",DK4=0),"",1)))))</f>
        <v/>
      </c>
      <c r="DL5" s="72" t="str">
        <f t="shared" si="69"/>
        <v/>
      </c>
      <c r="DM5" s="73" t="str">
        <f t="shared" si="69"/>
        <v/>
      </c>
      <c r="DN5" s="73" t="str">
        <f t="shared" si="69"/>
        <v/>
      </c>
      <c r="DO5" s="73" t="str">
        <f t="shared" si="69"/>
        <v/>
      </c>
      <c r="DP5" s="73" t="str">
        <f t="shared" si="69"/>
        <v/>
      </c>
      <c r="DQ5" s="73" t="str">
        <f t="shared" si="69"/>
        <v/>
      </c>
      <c r="DR5" s="73" t="str">
        <f t="shared" si="69"/>
        <v/>
      </c>
      <c r="DS5" s="73" t="str">
        <f t="shared" si="69"/>
        <v/>
      </c>
      <c r="DT5" s="73" t="str">
        <f t="shared" si="69"/>
        <v/>
      </c>
      <c r="DU5" s="73" t="str">
        <f t="shared" si="69"/>
        <v/>
      </c>
      <c r="DV5" s="73" t="str">
        <f t="shared" si="69"/>
        <v/>
      </c>
      <c r="DW5" s="73" t="str">
        <f t="shared" si="69"/>
        <v/>
      </c>
      <c r="DX5" s="73" t="str">
        <f t="shared" si="69"/>
        <v/>
      </c>
      <c r="DY5" s="73" t="str">
        <f t="shared" si="69"/>
        <v/>
      </c>
      <c r="DZ5" s="73" t="str">
        <f t="shared" si="69"/>
        <v/>
      </c>
      <c r="EA5" s="73" t="str">
        <f t="shared" si="69"/>
        <v/>
      </c>
      <c r="EB5" s="73" t="str">
        <f t="shared" si="69"/>
        <v/>
      </c>
      <c r="EC5" s="73" t="str">
        <f t="shared" si="69"/>
        <v/>
      </c>
      <c r="ED5" s="73" t="str">
        <f t="shared" si="69"/>
        <v/>
      </c>
      <c r="EE5" s="73" t="str">
        <f t="shared" si="69"/>
        <v/>
      </c>
      <c r="EF5" s="73" t="str">
        <f t="shared" si="69"/>
        <v/>
      </c>
      <c r="EG5" s="73" t="str">
        <f t="shared" si="69"/>
        <v/>
      </c>
      <c r="EH5" s="73" t="str">
        <f t="shared" si="69"/>
        <v/>
      </c>
      <c r="EI5" s="73" t="str">
        <f t="shared" ref="EI5:EV5" si="70">IF(AND(EI3&lt;&gt;0,EI4&lt;&gt;0),(EI3-EI4)/EI4,IF(AND(EI3=0,EI4=0),"",IF(AND(EI3="",EI4=""),"",IF(AND(EI3=0,EI4=""),"", IF(AND(EI3="",EI4=0),"",1)))))</f>
        <v/>
      </c>
      <c r="EJ5" s="73" t="str">
        <f t="shared" si="70"/>
        <v/>
      </c>
      <c r="EK5" s="73" t="str">
        <f t="shared" si="70"/>
        <v/>
      </c>
      <c r="EL5" s="73" t="str">
        <f t="shared" si="70"/>
        <v/>
      </c>
      <c r="EM5" s="73" t="str">
        <f t="shared" si="70"/>
        <v/>
      </c>
      <c r="EN5" s="73" t="str">
        <f t="shared" si="70"/>
        <v/>
      </c>
      <c r="EO5" s="73" t="str">
        <f t="shared" si="70"/>
        <v/>
      </c>
      <c r="EP5" s="73" t="str">
        <f t="shared" si="70"/>
        <v/>
      </c>
      <c r="EQ5" s="73" t="str">
        <f t="shared" si="70"/>
        <v/>
      </c>
      <c r="ER5" s="73" t="str">
        <f t="shared" si="70"/>
        <v/>
      </c>
      <c r="ES5" s="73" t="str">
        <f t="shared" si="70"/>
        <v/>
      </c>
      <c r="ET5" s="73" t="str">
        <f t="shared" si="70"/>
        <v/>
      </c>
      <c r="EU5" s="73" t="str">
        <f t="shared" si="70"/>
        <v/>
      </c>
      <c r="EV5" s="73" t="str">
        <f t="shared" si="70"/>
        <v/>
      </c>
      <c r="EW5" s="74" t="str">
        <f t="shared" si="69"/>
        <v/>
      </c>
      <c r="EX5" s="72" t="str">
        <f t="shared" ref="EX5:GI5" si="71">IF(AND(EX3&lt;&gt;0,EX4&lt;&gt;0),(EX3-EX4)/EX4,IF(AND(EX3=0,EX4=0),"",IF(AND(EX3="",EX4=""),"",IF(AND(EX3=0,EX4=""),"", IF(AND(EX3="",EX4=0),"",1)))))</f>
        <v/>
      </c>
      <c r="EY5" s="73" t="str">
        <f t="shared" si="71"/>
        <v/>
      </c>
      <c r="EZ5" s="73" t="str">
        <f t="shared" si="71"/>
        <v/>
      </c>
      <c r="FA5" s="73" t="str">
        <f t="shared" si="71"/>
        <v/>
      </c>
      <c r="FB5" s="73" t="str">
        <f t="shared" si="71"/>
        <v/>
      </c>
      <c r="FC5" s="73" t="str">
        <f t="shared" si="71"/>
        <v/>
      </c>
      <c r="FD5" s="73" t="str">
        <f t="shared" si="71"/>
        <v/>
      </c>
      <c r="FE5" s="73" t="str">
        <f t="shared" si="71"/>
        <v/>
      </c>
      <c r="FF5" s="73" t="str">
        <f t="shared" si="71"/>
        <v/>
      </c>
      <c r="FG5" s="73" t="str">
        <f t="shared" si="71"/>
        <v/>
      </c>
      <c r="FH5" s="73" t="str">
        <f t="shared" si="71"/>
        <v/>
      </c>
      <c r="FI5" s="73" t="str">
        <f t="shared" si="71"/>
        <v/>
      </c>
      <c r="FJ5" s="73" t="str">
        <f t="shared" si="71"/>
        <v/>
      </c>
      <c r="FK5" s="73" t="str">
        <f t="shared" si="71"/>
        <v/>
      </c>
      <c r="FL5" s="73" t="str">
        <f t="shared" si="71"/>
        <v/>
      </c>
      <c r="FM5" s="73" t="str">
        <f t="shared" si="71"/>
        <v/>
      </c>
      <c r="FN5" s="73" t="str">
        <f t="shared" si="71"/>
        <v/>
      </c>
      <c r="FO5" s="73" t="str">
        <f t="shared" si="71"/>
        <v/>
      </c>
      <c r="FP5" s="73" t="str">
        <f t="shared" si="71"/>
        <v/>
      </c>
      <c r="FQ5" s="73" t="str">
        <f t="shared" si="71"/>
        <v/>
      </c>
      <c r="FR5" s="73" t="str">
        <f t="shared" si="71"/>
        <v/>
      </c>
      <c r="FS5" s="73" t="str">
        <f t="shared" si="71"/>
        <v/>
      </c>
      <c r="FT5" s="73" t="str">
        <f t="shared" si="71"/>
        <v/>
      </c>
      <c r="FU5" s="73" t="str">
        <f t="shared" ref="FU5:GH5" si="72">IF(AND(FU3&lt;&gt;0,FU4&lt;&gt;0),(FU3-FU4)/FU4,IF(AND(FU3=0,FU4=0),"",IF(AND(FU3="",FU4=""),"",IF(AND(FU3=0,FU4=""),"", IF(AND(FU3="",FU4=0),"",1)))))</f>
        <v/>
      </c>
      <c r="FV5" s="73" t="str">
        <f t="shared" si="72"/>
        <v/>
      </c>
      <c r="FW5" s="73" t="str">
        <f t="shared" si="72"/>
        <v/>
      </c>
      <c r="FX5" s="73" t="str">
        <f t="shared" si="72"/>
        <v/>
      </c>
      <c r="FY5" s="73" t="str">
        <f t="shared" si="72"/>
        <v/>
      </c>
      <c r="FZ5" s="73" t="str">
        <f t="shared" si="72"/>
        <v/>
      </c>
      <c r="GA5" s="73" t="str">
        <f t="shared" si="72"/>
        <v/>
      </c>
      <c r="GB5" s="73" t="str">
        <f t="shared" si="72"/>
        <v/>
      </c>
      <c r="GC5" s="73" t="str">
        <f t="shared" si="72"/>
        <v/>
      </c>
      <c r="GD5" s="73" t="str">
        <f t="shared" si="72"/>
        <v/>
      </c>
      <c r="GE5" s="73" t="str">
        <f t="shared" si="72"/>
        <v/>
      </c>
      <c r="GF5" s="73" t="str">
        <f t="shared" si="72"/>
        <v/>
      </c>
      <c r="GG5" s="73" t="str">
        <f t="shared" si="72"/>
        <v/>
      </c>
      <c r="GH5" s="73" t="str">
        <f t="shared" si="72"/>
        <v/>
      </c>
      <c r="GI5" s="74" t="str">
        <f t="shared" si="71"/>
        <v/>
      </c>
      <c r="GJ5" s="72" t="str">
        <f t="shared" si="69"/>
        <v/>
      </c>
      <c r="GK5" s="73" t="str">
        <f t="shared" si="69"/>
        <v/>
      </c>
      <c r="GL5" s="73" t="str">
        <f t="shared" si="69"/>
        <v/>
      </c>
      <c r="GM5" s="73" t="str">
        <f t="shared" si="69"/>
        <v/>
      </c>
      <c r="GN5" s="73" t="str">
        <f t="shared" si="69"/>
        <v/>
      </c>
      <c r="GO5" s="73" t="str">
        <f t="shared" si="69"/>
        <v/>
      </c>
      <c r="GP5" s="73" t="str">
        <f t="shared" si="69"/>
        <v/>
      </c>
      <c r="GQ5" s="73" t="str">
        <f t="shared" si="69"/>
        <v/>
      </c>
      <c r="GR5" s="73" t="str">
        <f t="shared" si="69"/>
        <v/>
      </c>
      <c r="GS5" s="73" t="str">
        <f t="shared" si="69"/>
        <v/>
      </c>
      <c r="GT5" s="73" t="str">
        <f t="shared" si="69"/>
        <v/>
      </c>
      <c r="GU5" s="73" t="str">
        <f t="shared" si="69"/>
        <v/>
      </c>
      <c r="GV5" s="73" t="str">
        <f t="shared" si="69"/>
        <v/>
      </c>
      <c r="GW5" s="73" t="str">
        <f t="shared" si="69"/>
        <v/>
      </c>
      <c r="GX5" s="73" t="str">
        <f t="shared" si="69"/>
        <v/>
      </c>
      <c r="GY5" s="73" t="str">
        <f t="shared" si="69"/>
        <v/>
      </c>
      <c r="GZ5" s="73" t="str">
        <f t="shared" si="69"/>
        <v/>
      </c>
      <c r="HA5" s="73" t="str">
        <f t="shared" si="69"/>
        <v/>
      </c>
      <c r="HB5" s="73" t="str">
        <f t="shared" si="69"/>
        <v/>
      </c>
      <c r="HC5" s="73" t="str">
        <f t="shared" si="69"/>
        <v/>
      </c>
      <c r="HD5" s="73" t="str">
        <f t="shared" si="69"/>
        <v/>
      </c>
      <c r="HE5" s="73" t="str">
        <f t="shared" si="69"/>
        <v/>
      </c>
      <c r="HF5" s="73" t="str">
        <f t="shared" si="69"/>
        <v/>
      </c>
      <c r="HG5" s="73" t="str">
        <f t="shared" ref="HG5:HT5" si="73">IF(AND(HG3&lt;&gt;0,HG4&lt;&gt;0),(HG3-HG4)/HG4,IF(AND(HG3=0,HG4=0),"",IF(AND(HG3="",HG4=""),"",IF(AND(HG3=0,HG4=""),"", IF(AND(HG3="",HG4=0),"",1)))))</f>
        <v/>
      </c>
      <c r="HH5" s="73" t="str">
        <f t="shared" si="73"/>
        <v/>
      </c>
      <c r="HI5" s="73" t="str">
        <f t="shared" si="73"/>
        <v/>
      </c>
      <c r="HJ5" s="73" t="str">
        <f t="shared" si="73"/>
        <v/>
      </c>
      <c r="HK5" s="73" t="str">
        <f t="shared" si="73"/>
        <v/>
      </c>
      <c r="HL5" s="73" t="str">
        <f t="shared" si="73"/>
        <v/>
      </c>
      <c r="HM5" s="73" t="str">
        <f t="shared" si="73"/>
        <v/>
      </c>
      <c r="HN5" s="73" t="str">
        <f t="shared" si="73"/>
        <v/>
      </c>
      <c r="HO5" s="73" t="str">
        <f t="shared" si="73"/>
        <v/>
      </c>
      <c r="HP5" s="73" t="str">
        <f t="shared" si="73"/>
        <v/>
      </c>
      <c r="HQ5" s="73" t="str">
        <f t="shared" si="73"/>
        <v/>
      </c>
      <c r="HR5" s="73" t="str">
        <f t="shared" si="73"/>
        <v/>
      </c>
      <c r="HS5" s="73" t="str">
        <f t="shared" si="73"/>
        <v/>
      </c>
      <c r="HT5" s="73" t="str">
        <f t="shared" si="73"/>
        <v/>
      </c>
      <c r="HU5" s="74" t="str">
        <f t="shared" si="69"/>
        <v/>
      </c>
      <c r="HV5" s="39">
        <f t="shared" ref="HV5" si="74">IF(AND(HV3&lt;&gt;0,HV4&lt;&gt;0),(HV3-HV4)/HV4,IF(AND(HV3=0,HV4=0),"",IF(AND(HV3="",HV4=""),"",IF(AND(HV3=0,HV4=""),"", IF(AND(HV3="",HV4=0),"",1)))))</f>
        <v>0</v>
      </c>
      <c r="HW5" s="40">
        <f t="shared" ref="HW5" si="75">IF(AND(HW3&lt;&gt;0,HW4&lt;&gt;0),(HW3-HW4)/HW4,IF(AND(HW3=0,HW4=0),"",IF(AND(HW3="",HW4=""),"",IF(AND(HW3=0,HW4=""),"", IF(AND(HW3="",HW4=0),"",1)))))</f>
        <v>0</v>
      </c>
      <c r="HX5" s="40">
        <f t="shared" ref="HX5" si="76">IF(AND(HX3&lt;&gt;0,HX4&lt;&gt;0),(HX3-HX4)/HX4,IF(AND(HX3=0,HX4=0),"",IF(AND(HX3="",HX4=""),"",IF(AND(HX3=0,HX4=""),"", IF(AND(HX3="",HX4=0),"",1)))))</f>
        <v>-7.527853056308341E-5</v>
      </c>
      <c r="HY5" s="40">
        <f t="shared" ref="HY5" si="77">IF(AND(HY3&lt;&gt;0,HY4&lt;&gt;0),(HY3-HY4)/HY4,IF(AND(HY3=0,HY4=0),"",IF(AND(HY3="",HY4=""),"",IF(AND(HY3=0,HY4=""),"", IF(AND(HY3="",HY4=0),"",1)))))</f>
        <v>-6.6405471810877218E-5</v>
      </c>
      <c r="HZ5" s="40">
        <f t="shared" ref="HZ5" si="78">IF(AND(HZ3&lt;&gt;0,HZ4&lt;&gt;0),(HZ3-HZ4)/HZ4,IF(AND(HZ3=0,HZ4=0),"",IF(AND(HZ3="",HZ4=""),"",IF(AND(HZ3=0,HZ4=""),"", IF(AND(HZ3="",HZ4=0),"",1)))))</f>
        <v>6.2180181544291215E-5</v>
      </c>
      <c r="IA5" s="40">
        <f t="shared" ref="IA5" si="79">IF(AND(IA3&lt;&gt;0,IA4&lt;&gt;0),(IA3-IA4)/IA4,IF(AND(IA3=0,IA4=0),"",IF(AND(IA3="",IA4=""),"",IF(AND(IA3=0,IA4=""),"", IF(AND(IA3="",IA4=0),"",1)))))</f>
        <v>0</v>
      </c>
      <c r="IB5" s="40">
        <f t="shared" ref="IB5" si="80">IF(AND(IB3&lt;&gt;0,IB4&lt;&gt;0),(IB3-IB4)/IB4,IF(AND(IB3=0,IB4=0),"",IF(AND(IB3="",IB4=""),"",IF(AND(IB3=0,IB4=""),"", IF(AND(IB3="",IB4=0),"",1)))))</f>
        <v>0</v>
      </c>
      <c r="IC5" s="40">
        <f t="shared" ref="IC5" si="81">IF(AND(IC3&lt;&gt;0,IC4&lt;&gt;0),(IC3-IC4)/IC4,IF(AND(IC3=0,IC4=0),"",IF(AND(IC3="",IC4=""),"",IF(AND(IC3=0,IC4=""),"", IF(AND(IC3="",IC4=0),"",1)))))</f>
        <v>5.9930480642454755E-5</v>
      </c>
      <c r="ID5" s="40">
        <f t="shared" ref="ID5" si="82">IF(AND(ID3&lt;&gt;0,ID4&lt;&gt;0),(ID3-ID4)/ID4,IF(AND(ID3=0,ID4=0),"",IF(AND(ID3="",ID4=""),"",IF(AND(ID3=0,ID4=""),"", IF(AND(ID3="",ID4=0),"",1)))))</f>
        <v>0</v>
      </c>
      <c r="IE5" s="40">
        <f t="shared" ref="IE5" si="83">IF(AND(IE3&lt;&gt;0,IE4&lt;&gt;0),(IE3-IE4)/IE4,IF(AND(IE3=0,IE4=0),"",IF(AND(IE3="",IE4=""),"",IF(AND(IE3=0,IE4=""),"", IF(AND(IE3="",IE4=0),"",1)))))</f>
        <v>0</v>
      </c>
      <c r="IF5" s="40">
        <f t="shared" ref="IF5" si="84">IF(AND(IF3&lt;&gt;0,IF4&lt;&gt;0),(IF3-IF4)/IF4,IF(AND(IF3=0,IF4=0),"",IF(AND(IF3="",IF4=""),"",IF(AND(IF3=0,IF4=""),"", IF(AND(IF3="",IF4=0),"",1)))))</f>
        <v>0.14812185362075642</v>
      </c>
      <c r="IG5" s="40">
        <f t="shared" ref="IG5" si="85">IF(AND(IG3&lt;&gt;0,IG4&lt;&gt;0),(IG3-IG4)/IG4,IF(AND(IG3=0,IG4=0),"",IF(AND(IG3="",IG4=""),"",IF(AND(IG3=0,IG4=""),"", IF(AND(IG3="",IG4=0),"",1)))))</f>
        <v>0</v>
      </c>
      <c r="IH5" s="40">
        <f t="shared" ref="IH5" si="86">IF(AND(IH3&lt;&gt;0,IH4&lt;&gt;0),(IH3-IH4)/IH4,IF(AND(IH3=0,IH4=0),"",IF(AND(IH3="",IH4=""),"",IF(AND(IH3=0,IH4=""),"", IF(AND(IH3="",IH4=0),"",1)))))</f>
        <v>3.7783887359529376E-5</v>
      </c>
      <c r="II5" s="40">
        <f t="shared" ref="II5" si="87">IF(AND(II3&lt;&gt;0,II4&lt;&gt;0),(II3-II4)/II4,IF(AND(II3=0,II4=0),"",IF(AND(II3="",II4=""),"",IF(AND(II3=0,II4=""),"", IF(AND(II3="",II4=0),"",1)))))</f>
        <v>3.979465955668749E-5</v>
      </c>
      <c r="IJ5" s="40">
        <f t="shared" ref="IJ5" si="88">IF(AND(IJ3&lt;&gt;0,IJ4&lt;&gt;0),(IJ3-IJ4)/IJ4,IF(AND(IJ3=0,IJ4=0),"",IF(AND(IJ3="",IJ4=""),"",IF(AND(IJ3=0,IJ4=""),"", IF(AND(IJ3="",IJ4=0),"",1)))))</f>
        <v>4.2222597534200305E-5</v>
      </c>
      <c r="IK5" s="40">
        <f t="shared" ref="IK5" si="89">IF(AND(IK3&lt;&gt;0,IK4&lt;&gt;0),(IK3-IK4)/IK4,IF(AND(IK3=0,IK4=0),"",IF(AND(IK3="",IK4=""),"",IF(AND(IK3=0,IK4=""),"", IF(AND(IK3="",IK4=0),"",1)))))</f>
        <v>4.4678759717630238E-5</v>
      </c>
      <c r="IL5" s="40">
        <f t="shared" ref="IL5" si="90">IF(AND(IL3&lt;&gt;0,IL4&lt;&gt;0),(IL3-IL4)/IL4,IF(AND(IL3=0,IL4=0),"",IF(AND(IL3="",IL4=""),"",IF(AND(IL3=0,IL4=""),"", IF(AND(IL3="",IL4=0),"",1)))))</f>
        <v>-4.7272383473574737E-5</v>
      </c>
      <c r="IM5" s="40">
        <f t="shared" ref="IM5" si="91">IF(AND(IM3&lt;&gt;0,IM4&lt;&gt;0),(IM3-IM4)/IM4,IF(AND(IM3=0,IM4=0),"",IF(AND(IM3="",IM4=""),"",IF(AND(IM3=0,IM4=""),"", IF(AND(IM3="",IM4=0),"",1)))))</f>
        <v>-9.9760574620909822E-5</v>
      </c>
      <c r="IN5" s="40">
        <f t="shared" ref="IN5" si="92">IF(AND(IN3&lt;&gt;0,IN4&lt;&gt;0),(IN3-IN4)/IN4,IF(AND(IN3=0,IN4=0),"",IF(AND(IN3="",IN4=""),"",IF(AND(IN3=0,IN4=""),"", IF(AND(IN3="",IN4=0),"",1)))))</f>
        <v>-5.2932458183358036E-5</v>
      </c>
      <c r="IO5" s="40">
        <f t="shared" ref="IO5" si="93">IF(AND(IO3&lt;&gt;0,IO4&lt;&gt;0),(IO3-IO4)/IO4,IF(AND(IO3=0,IO4=0),"",IF(AND(IO3="",IO4=""),"",IF(AND(IO3=0,IO4=""),"", IF(AND(IO3="",IO4=0),"",1)))))</f>
        <v>5.6006720806496778E-5</v>
      </c>
      <c r="IP5" s="40">
        <f t="shared" ref="IP5" si="94">IF(AND(IP3&lt;&gt;0,IP4&lt;&gt;0),(IP3-IP4)/IP4,IF(AND(IP3=0,IP4=0),"",IF(AND(IP3="",IP4=""),"",IF(AND(IP3=0,IP4=""),"", IF(AND(IP3="",IP4=0),"",1)))))</f>
        <v>-5.9364446320654103E-5</v>
      </c>
      <c r="IQ5" s="40">
        <f t="shared" ref="IQ5" si="95">IF(AND(IQ3&lt;&gt;0,IQ4&lt;&gt;0),(IQ3-IQ4)/IQ4,IF(AND(IQ3=0,IQ4=0),"",IF(AND(IQ3="",IQ4=""),"",IF(AND(IQ3=0,IQ4=""),"", IF(AND(IQ3="",IQ4=0),"",1)))))</f>
        <v>0</v>
      </c>
      <c r="IR5" s="40">
        <f t="shared" ref="IR5:JF5" si="96">IF(AND(IR3&lt;&gt;0,IR4&lt;&gt;0),(IR3-IR4)/IR4,IF(AND(IR3=0,IR4=0),"",IF(AND(IR3="",IR4=""),"",IF(AND(IR3=0,IR4=""),"", IF(AND(IR3="",IR4=0),"",1)))))</f>
        <v>1.326963906581741E-4</v>
      </c>
      <c r="IS5" s="40">
        <f t="shared" si="96"/>
        <v>1</v>
      </c>
      <c r="IT5" s="40" t="str">
        <f t="shared" si="96"/>
        <v/>
      </c>
      <c r="IU5" s="40" t="str">
        <f t="shared" si="96"/>
        <v/>
      </c>
      <c r="IV5" s="40" t="str">
        <f t="shared" si="96"/>
        <v/>
      </c>
      <c r="IW5" s="40" t="str">
        <f t="shared" si="96"/>
        <v/>
      </c>
      <c r="IX5" s="40" t="str">
        <f t="shared" si="96"/>
        <v/>
      </c>
      <c r="IY5" s="40" t="str">
        <f t="shared" si="96"/>
        <v/>
      </c>
      <c r="IZ5" s="40" t="str">
        <f t="shared" si="96"/>
        <v/>
      </c>
      <c r="JA5" s="40" t="str">
        <f t="shared" si="96"/>
        <v/>
      </c>
      <c r="JB5" s="40" t="str">
        <f t="shared" si="96"/>
        <v/>
      </c>
      <c r="JC5" s="40" t="str">
        <f t="shared" si="96"/>
        <v/>
      </c>
      <c r="JD5" s="40" t="str">
        <f t="shared" si="96"/>
        <v/>
      </c>
      <c r="JE5" s="40" t="str">
        <f t="shared" si="96"/>
        <v/>
      </c>
      <c r="JF5" s="40" t="str">
        <f t="shared" si="96"/>
        <v/>
      </c>
      <c r="JG5" s="41">
        <f t="shared" ref="JG5:NQ5" si="97">IF(AND(JG3&lt;&gt;0,JG4&lt;&gt;0),(JG3-JG4)/JG4,IF(AND(JG3=0,JG4=0),"",IF(AND(JG3="",JG4=""),"",IF(AND(JG3=0,JG4=""),"", IF(AND(JG3="",JG4=0),"",1)))))</f>
        <v>8.6201670849581895E-3</v>
      </c>
      <c r="JH5" s="72" t="str">
        <f t="shared" si="97"/>
        <v/>
      </c>
      <c r="JI5" s="73" t="str">
        <f t="shared" si="97"/>
        <v/>
      </c>
      <c r="JJ5" s="73" t="str">
        <f t="shared" si="97"/>
        <v/>
      </c>
      <c r="JK5" s="73" t="str">
        <f t="shared" si="97"/>
        <v/>
      </c>
      <c r="JL5" s="73" t="str">
        <f t="shared" si="97"/>
        <v/>
      </c>
      <c r="JM5" s="73" t="str">
        <f t="shared" si="97"/>
        <v/>
      </c>
      <c r="JN5" s="73" t="str">
        <f t="shared" si="97"/>
        <v/>
      </c>
      <c r="JO5" s="73" t="str">
        <f t="shared" si="97"/>
        <v/>
      </c>
      <c r="JP5" s="73" t="str">
        <f t="shared" si="97"/>
        <v/>
      </c>
      <c r="JQ5" s="73" t="str">
        <f t="shared" si="97"/>
        <v/>
      </c>
      <c r="JR5" s="73" t="str">
        <f t="shared" si="97"/>
        <v/>
      </c>
      <c r="JS5" s="73" t="str">
        <f t="shared" si="97"/>
        <v/>
      </c>
      <c r="JT5" s="73" t="str">
        <f t="shared" si="97"/>
        <v/>
      </c>
      <c r="JU5" s="73" t="str">
        <f t="shared" si="97"/>
        <v/>
      </c>
      <c r="JV5" s="73" t="str">
        <f t="shared" si="97"/>
        <v/>
      </c>
      <c r="JW5" s="73" t="str">
        <f t="shared" si="97"/>
        <v/>
      </c>
      <c r="JX5" s="73" t="str">
        <f t="shared" si="97"/>
        <v/>
      </c>
      <c r="JY5" s="73" t="str">
        <f t="shared" si="97"/>
        <v/>
      </c>
      <c r="JZ5" s="73" t="str">
        <f t="shared" si="97"/>
        <v/>
      </c>
      <c r="KA5" s="73" t="str">
        <f t="shared" si="97"/>
        <v/>
      </c>
      <c r="KB5" s="73" t="str">
        <f t="shared" si="97"/>
        <v/>
      </c>
      <c r="KC5" s="73" t="str">
        <f t="shared" si="97"/>
        <v/>
      </c>
      <c r="KD5" s="73" t="str">
        <f t="shared" si="97"/>
        <v/>
      </c>
      <c r="KE5" s="73" t="str">
        <f t="shared" ref="KE5:KR5" si="98">IF(AND(KE3&lt;&gt;0,KE4&lt;&gt;0),(KE3-KE4)/KE4,IF(AND(KE3=0,KE4=0),"",IF(AND(KE3="",KE4=""),"",IF(AND(KE3=0,KE4=""),"", IF(AND(KE3="",KE4=0),"",1)))))</f>
        <v/>
      </c>
      <c r="KF5" s="73" t="str">
        <f t="shared" si="98"/>
        <v/>
      </c>
      <c r="KG5" s="73" t="str">
        <f t="shared" si="98"/>
        <v/>
      </c>
      <c r="KH5" s="73" t="str">
        <f t="shared" si="98"/>
        <v/>
      </c>
      <c r="KI5" s="73" t="str">
        <f t="shared" si="98"/>
        <v/>
      </c>
      <c r="KJ5" s="73" t="str">
        <f t="shared" si="98"/>
        <v/>
      </c>
      <c r="KK5" s="73" t="str">
        <f t="shared" si="98"/>
        <v/>
      </c>
      <c r="KL5" s="73" t="str">
        <f t="shared" si="98"/>
        <v/>
      </c>
      <c r="KM5" s="73" t="str">
        <f t="shared" si="98"/>
        <v/>
      </c>
      <c r="KN5" s="73" t="str">
        <f t="shared" si="98"/>
        <v/>
      </c>
      <c r="KO5" s="73" t="str">
        <f t="shared" si="98"/>
        <v/>
      </c>
      <c r="KP5" s="73" t="str">
        <f t="shared" si="98"/>
        <v/>
      </c>
      <c r="KQ5" s="73" t="str">
        <f t="shared" si="98"/>
        <v/>
      </c>
      <c r="KR5" s="73" t="str">
        <f t="shared" si="98"/>
        <v/>
      </c>
      <c r="KS5" s="74" t="str">
        <f t="shared" si="97"/>
        <v/>
      </c>
      <c r="KT5" s="72" t="str">
        <f t="shared" ref="KT5:ME5" si="99">IF(AND(KT3&lt;&gt;0,KT4&lt;&gt;0),(KT3-KT4)/KT4,IF(AND(KT3=0,KT4=0),"",IF(AND(KT3="",KT4=""),"",IF(AND(KT3=0,KT4=""),"", IF(AND(KT3="",KT4=0),"",1)))))</f>
        <v/>
      </c>
      <c r="KU5" s="73" t="str">
        <f t="shared" si="99"/>
        <v/>
      </c>
      <c r="KV5" s="73" t="str">
        <f t="shared" si="99"/>
        <v/>
      </c>
      <c r="KW5" s="73" t="str">
        <f t="shared" si="99"/>
        <v/>
      </c>
      <c r="KX5" s="73" t="str">
        <f t="shared" si="99"/>
        <v/>
      </c>
      <c r="KY5" s="73" t="str">
        <f t="shared" si="99"/>
        <v/>
      </c>
      <c r="KZ5" s="73" t="str">
        <f t="shared" si="99"/>
        <v/>
      </c>
      <c r="LA5" s="73" t="str">
        <f t="shared" si="99"/>
        <v/>
      </c>
      <c r="LB5" s="73" t="str">
        <f t="shared" si="99"/>
        <v/>
      </c>
      <c r="LC5" s="73" t="str">
        <f t="shared" si="99"/>
        <v/>
      </c>
      <c r="LD5" s="73" t="str">
        <f t="shared" si="99"/>
        <v/>
      </c>
      <c r="LE5" s="73" t="str">
        <f t="shared" si="99"/>
        <v/>
      </c>
      <c r="LF5" s="73" t="str">
        <f t="shared" si="99"/>
        <v/>
      </c>
      <c r="LG5" s="73" t="str">
        <f t="shared" si="99"/>
        <v/>
      </c>
      <c r="LH5" s="73" t="str">
        <f t="shared" si="99"/>
        <v/>
      </c>
      <c r="LI5" s="73" t="str">
        <f t="shared" si="99"/>
        <v/>
      </c>
      <c r="LJ5" s="73" t="str">
        <f t="shared" si="99"/>
        <v/>
      </c>
      <c r="LK5" s="73" t="str">
        <f t="shared" si="99"/>
        <v/>
      </c>
      <c r="LL5" s="73" t="str">
        <f t="shared" si="99"/>
        <v/>
      </c>
      <c r="LM5" s="73" t="str">
        <f t="shared" si="99"/>
        <v/>
      </c>
      <c r="LN5" s="73" t="str">
        <f t="shared" si="99"/>
        <v/>
      </c>
      <c r="LO5" s="73" t="str">
        <f t="shared" si="99"/>
        <v/>
      </c>
      <c r="LP5" s="73" t="str">
        <f t="shared" si="99"/>
        <v/>
      </c>
      <c r="LQ5" s="73" t="str">
        <f t="shared" ref="LQ5:MD5" si="100">IF(AND(LQ3&lt;&gt;0,LQ4&lt;&gt;0),(LQ3-LQ4)/LQ4,IF(AND(LQ3=0,LQ4=0),"",IF(AND(LQ3="",LQ4=""),"",IF(AND(LQ3=0,LQ4=""),"", IF(AND(LQ3="",LQ4=0),"",1)))))</f>
        <v/>
      </c>
      <c r="LR5" s="73" t="str">
        <f t="shared" si="100"/>
        <v/>
      </c>
      <c r="LS5" s="73" t="str">
        <f t="shared" si="100"/>
        <v/>
      </c>
      <c r="LT5" s="73" t="str">
        <f t="shared" si="100"/>
        <v/>
      </c>
      <c r="LU5" s="73" t="str">
        <f t="shared" si="100"/>
        <v/>
      </c>
      <c r="LV5" s="73" t="str">
        <f t="shared" si="100"/>
        <v/>
      </c>
      <c r="LW5" s="73" t="str">
        <f t="shared" si="100"/>
        <v/>
      </c>
      <c r="LX5" s="73" t="str">
        <f t="shared" si="100"/>
        <v/>
      </c>
      <c r="LY5" s="73" t="str">
        <f t="shared" si="100"/>
        <v/>
      </c>
      <c r="LZ5" s="73" t="str">
        <f t="shared" si="100"/>
        <v/>
      </c>
      <c r="MA5" s="73" t="str">
        <f t="shared" si="100"/>
        <v/>
      </c>
      <c r="MB5" s="73" t="str">
        <f t="shared" si="100"/>
        <v/>
      </c>
      <c r="MC5" s="73" t="str">
        <f t="shared" si="100"/>
        <v/>
      </c>
      <c r="MD5" s="73" t="str">
        <f t="shared" si="100"/>
        <v/>
      </c>
      <c r="ME5" s="74" t="str">
        <f t="shared" si="99"/>
        <v/>
      </c>
      <c r="MF5" s="72" t="str">
        <f t="shared" si="97"/>
        <v/>
      </c>
      <c r="MG5" s="73" t="str">
        <f t="shared" si="97"/>
        <v/>
      </c>
      <c r="MH5" s="73" t="str">
        <f t="shared" si="97"/>
        <v/>
      </c>
      <c r="MI5" s="73" t="str">
        <f t="shared" si="97"/>
        <v/>
      </c>
      <c r="MJ5" s="73" t="str">
        <f t="shared" si="97"/>
        <v/>
      </c>
      <c r="MK5" s="73" t="str">
        <f t="shared" si="97"/>
        <v/>
      </c>
      <c r="ML5" s="73" t="str">
        <f t="shared" si="97"/>
        <v/>
      </c>
      <c r="MM5" s="73" t="str">
        <f t="shared" si="97"/>
        <v/>
      </c>
      <c r="MN5" s="73" t="str">
        <f t="shared" si="97"/>
        <v/>
      </c>
      <c r="MO5" s="73" t="str">
        <f t="shared" si="97"/>
        <v/>
      </c>
      <c r="MP5" s="73" t="str">
        <f t="shared" si="97"/>
        <v/>
      </c>
      <c r="MQ5" s="73" t="str">
        <f t="shared" si="97"/>
        <v/>
      </c>
      <c r="MR5" s="73" t="str">
        <f t="shared" si="97"/>
        <v/>
      </c>
      <c r="MS5" s="73" t="str">
        <f t="shared" si="97"/>
        <v/>
      </c>
      <c r="MT5" s="73" t="str">
        <f t="shared" si="97"/>
        <v/>
      </c>
      <c r="MU5" s="73" t="str">
        <f t="shared" si="97"/>
        <v/>
      </c>
      <c r="MV5" s="73" t="str">
        <f t="shared" si="97"/>
        <v/>
      </c>
      <c r="MW5" s="73" t="str">
        <f t="shared" si="97"/>
        <v/>
      </c>
      <c r="MX5" s="73" t="str">
        <f t="shared" si="97"/>
        <v/>
      </c>
      <c r="MY5" s="73" t="str">
        <f t="shared" si="97"/>
        <v/>
      </c>
      <c r="MZ5" s="73" t="str">
        <f t="shared" si="97"/>
        <v/>
      </c>
      <c r="NA5" s="73" t="str">
        <f t="shared" si="97"/>
        <v/>
      </c>
      <c r="NB5" s="73" t="str">
        <f t="shared" si="97"/>
        <v/>
      </c>
      <c r="NC5" s="73" t="str">
        <f t="shared" ref="NC5:NP5" si="101">IF(AND(NC3&lt;&gt;0,NC4&lt;&gt;0),(NC3-NC4)/NC4,IF(AND(NC3=0,NC4=0),"",IF(AND(NC3="",NC4=""),"",IF(AND(NC3=0,NC4=""),"", IF(AND(NC3="",NC4=0),"",1)))))</f>
        <v/>
      </c>
      <c r="ND5" s="73" t="str">
        <f t="shared" si="101"/>
        <v/>
      </c>
      <c r="NE5" s="73" t="str">
        <f t="shared" si="101"/>
        <v/>
      </c>
      <c r="NF5" s="73" t="str">
        <f t="shared" si="101"/>
        <v/>
      </c>
      <c r="NG5" s="73" t="str">
        <f t="shared" si="101"/>
        <v/>
      </c>
      <c r="NH5" s="73" t="str">
        <f t="shared" si="101"/>
        <v/>
      </c>
      <c r="NI5" s="73" t="str">
        <f t="shared" si="101"/>
        <v/>
      </c>
      <c r="NJ5" s="73" t="str">
        <f t="shared" si="101"/>
        <v/>
      </c>
      <c r="NK5" s="73" t="str">
        <f t="shared" si="101"/>
        <v/>
      </c>
      <c r="NL5" s="73" t="str">
        <f t="shared" si="101"/>
        <v/>
      </c>
      <c r="NM5" s="73" t="str">
        <f t="shared" si="101"/>
        <v/>
      </c>
      <c r="NN5" s="73" t="str">
        <f t="shared" si="101"/>
        <v/>
      </c>
      <c r="NO5" s="73" t="str">
        <f t="shared" si="101"/>
        <v/>
      </c>
      <c r="NP5" s="73" t="str">
        <f t="shared" si="101"/>
        <v/>
      </c>
      <c r="NQ5" s="74" t="str">
        <f t="shared" si="97"/>
        <v/>
      </c>
      <c r="NR5" s="40">
        <f t="shared" ref="NR5:NT5" si="102">IF(AND(NR3&lt;&gt;0,NR4&lt;&gt;0),(NR3-NR4)/NR4,IF(AND(NR3=0,NR4=0),"",IF(AND(NR3="",NR4=""),"",IF(AND(NR3=0,NR4=""),"", IF(AND(NR3="",NR4=0),"",1)))))</f>
        <v>0</v>
      </c>
      <c r="NS5" s="40">
        <f t="shared" si="102"/>
        <v>0</v>
      </c>
      <c r="NT5" s="40">
        <f t="shared" si="102"/>
        <v>1.639344262295082E-3</v>
      </c>
      <c r="NU5" s="40">
        <f t="shared" ref="NU5" si="103">IF(AND(NU3&lt;&gt;0,NU4&lt;&gt;0),(NU3-NU4)/NU4,IF(AND(NU3=0,NU4=0),"",IF(AND(NU3="",NU4=""),"",IF(AND(NU3=0,NU4=""),"", IF(AND(NU3="",NU4=0),"",1)))))</f>
        <v>1.2360939431396785E-3</v>
      </c>
      <c r="NV5" s="40">
        <f t="shared" ref="NV5" si="104">IF(AND(NV3&lt;&gt;0,NV4&lt;&gt;0),(NV3-NV4)/NV4,IF(AND(NV3=0,NV4=0),"",IF(AND(NV3="",NV4=""),"",IF(AND(NV3=0,NV4=""),"", IF(AND(NV3="",NV4=0),"",1)))))</f>
        <v>0</v>
      </c>
      <c r="NW5" s="40">
        <f t="shared" ref="NW5" si="105">IF(AND(NW3&lt;&gt;0,NW4&lt;&gt;0),(NW3-NW4)/NW4,IF(AND(NW3=0,NW4=0),"",IF(AND(NW3="",NW4=""),"",IF(AND(NW3=0,NW4=""),"", IF(AND(NW3="",NW4=0),"",1)))))</f>
        <v>8.7412587412587413E-4</v>
      </c>
      <c r="NX5" s="40">
        <f t="shared" ref="NX5" si="106">IF(AND(NX3&lt;&gt;0,NX4&lt;&gt;0),(NX3-NX4)/NX4,IF(AND(NX3=0,NX4=0),"",IF(AND(NX3="",NX4=""),"",IF(AND(NX3=0,NX4=""),"", IF(AND(NX3="",NX4=0),"",1)))))</f>
        <v>7.8247261345852897E-4</v>
      </c>
      <c r="NY5" s="40">
        <f t="shared" ref="NY5" si="107">IF(AND(NY3&lt;&gt;0,NY4&lt;&gt;0),(NY3-NY4)/NY4,IF(AND(NY3=0,NY4=0),"",IF(AND(NY3="",NY4=""),"",IF(AND(NY3=0,NY4=""),"", IF(AND(NY3="",NY4=0),"",1)))))</f>
        <v>0</v>
      </c>
      <c r="NZ5" s="40">
        <f t="shared" ref="NZ5" si="108">IF(AND(NZ3&lt;&gt;0,NZ4&lt;&gt;0),(NZ3-NZ4)/NZ4,IF(AND(NZ3=0,NZ4=0),"",IF(AND(NZ3="",NZ4=""),"",IF(AND(NZ3=0,NZ4=""),"", IF(AND(NZ3="",NZ4=0),"",1)))))</f>
        <v>0</v>
      </c>
      <c r="OA5" s="40">
        <f t="shared" ref="OA5" si="109">IF(AND(OA3&lt;&gt;0,OA4&lt;&gt;0),(OA3-OA4)/OA4,IF(AND(OA3=0,OA4=0),"",IF(AND(OA3="",OA4=""),"",IF(AND(OA3=0,OA4=""),"", IF(AND(OA3="",OA4=0),"",1)))))</f>
        <v>6.2735257214554575E-4</v>
      </c>
      <c r="OB5" s="40">
        <f t="shared" ref="OB5" si="110">IF(AND(OB3&lt;&gt;0,OB4&lt;&gt;0),(OB3-OB4)/OB4,IF(AND(OB3=0,OB4=0),"",IF(AND(OB3="",OB4=""),"",IF(AND(OB3=0,OB4=""),"", IF(AND(OB3="",OB4=0),"",1)))))</f>
        <v>0</v>
      </c>
      <c r="OC5" s="40">
        <f t="shared" ref="OC5" si="111">IF(AND(OC3&lt;&gt;0,OC4&lt;&gt;0),(OC3-OC4)/OC4,IF(AND(OC3=0,OC4=0),"",IF(AND(OC3="",OC4=""),"",IF(AND(OC3=0,OC4=""),"", IF(AND(OC3="",OC4=0),"",1)))))</f>
        <v>-7.0642541956018515E-8</v>
      </c>
      <c r="OD5" s="40">
        <f t="shared" ref="OD5" si="112">IF(AND(OD3&lt;&gt;0,OD4&lt;&gt;0),(OD3-OD4)/OD4,IF(AND(OD3=0,OD4=0),"",IF(AND(OD3="",OD4=""),"",IF(AND(OD3=0,OD4=""),"", IF(AND(OD3="",OD4=0),"",1)))))</f>
        <v>-5.6179775280898881E-4</v>
      </c>
      <c r="OE5" s="40">
        <f t="shared" ref="OE5" si="113">IF(AND(OE3&lt;&gt;0,OE4&lt;&gt;0),(OE3-OE4)/OE4,IF(AND(OE3=0,OE4=0),"",IF(AND(OE3="",OE4=""),"",IF(AND(OE3=0,OE4=""),"", IF(AND(OE3="",OE4=0),"",1)))))</f>
        <v>0</v>
      </c>
      <c r="OF5" s="40">
        <f t="shared" ref="OF5" si="114">IF(AND(OF3&lt;&gt;0,OF4&lt;&gt;0),(OF3-OF4)/OF4,IF(AND(OF3=0,OF4=0),"",IF(AND(OF3="",OF4=""),"",IF(AND(OF3=0,OF4=""),"", IF(AND(OF3="",OF4=0),"",1)))))</f>
        <v>1.0788144931566882E-3</v>
      </c>
      <c r="OG5" s="40">
        <f t="shared" ref="OG5" si="115">IF(AND(OG3&lt;&gt;0,OG4&lt;&gt;0),(OG3-OG4)/OG4,IF(AND(OG3=0,OG4=0),"",IF(AND(OG3="",OG4=""),"",IF(AND(OG3=0,OG4=""),"", IF(AND(OG3="",OG4=0),"",1)))))</f>
        <v>-1.0643959552953698E-3</v>
      </c>
      <c r="OH5" s="40">
        <f t="shared" ref="OH5" si="116">IF(AND(OH3&lt;&gt;0,OH4&lt;&gt;0),(OH3-OH4)/OH4,IF(AND(OH3=0,OH4=0),"",IF(AND(OH3="",OH4=""),"",IF(AND(OH3=0,OH4=""),"", IF(AND(OH3="",OH4=0),"",1)))))</f>
        <v>1.0554089709762533E-3</v>
      </c>
      <c r="OI5" s="40">
        <f t="shared" ref="OI5" si="117">IF(AND(OI3&lt;&gt;0,OI4&lt;&gt;0),(OI3-OI4)/OI4,IF(AND(OI3=0,OI4=0),"",IF(AND(OI3="",OI4=""),"",IF(AND(OI3=0,OI4=""),"", IF(AND(OI3="",OI4=0),"",1)))))</f>
        <v>5.2389841294525933E-4</v>
      </c>
      <c r="OJ5" s="40">
        <f t="shared" ref="OJ5" si="118">IF(AND(OJ3&lt;&gt;0,OJ4&lt;&gt;0),(OJ3-OJ4)/OJ4,IF(AND(OJ3=0,OJ4=0),"",IF(AND(OJ3="",OJ4=""),"",IF(AND(OJ3=0,OJ4=""),"", IF(AND(OJ3="",OJ4=0),"",1)))))</f>
        <v>0</v>
      </c>
      <c r="OK5" s="40">
        <f t="shared" ref="OK5" si="119">IF(AND(OK3&lt;&gt;0,OK4&lt;&gt;0),(OK3-OK4)/OK4,IF(AND(OK3=0,OK4=0),"",IF(AND(OK3="",OK4=""),"",IF(AND(OK3=0,OK4=""),"", IF(AND(OK3="",OK4=0),"",1)))))</f>
        <v>5.2472301695304297E-4</v>
      </c>
      <c r="OL5" s="40">
        <f t="shared" ref="OL5" si="120">IF(AND(OL3&lt;&gt;0,OL4&lt;&gt;0),(OL3-OL4)/OL4,IF(AND(OL3=0,OL4=0),"",IF(AND(OL3="",OL4=""),"",IF(AND(OL3=0,OL4=""),"", IF(AND(OL3="",OL4=0),"",1)))))</f>
        <v>1.0554089709762533E-3</v>
      </c>
      <c r="OM5" s="40">
        <f t="shared" ref="OM5" si="121">IF(AND(OM3&lt;&gt;0,OM4&lt;&gt;0),(OM3-OM4)/OM4,IF(AND(OM3=0,OM4=0),"",IF(AND(OM3="",OM4=""),"",IF(AND(OM3=0,OM4=""),"", IF(AND(OM3="",OM4=0),"",1)))))</f>
        <v>-5.2854122621564484E-4</v>
      </c>
      <c r="ON5" s="40">
        <f t="shared" ref="ON5:PB5" si="122">IF(AND(ON3&lt;&gt;0,ON4&lt;&gt;0),(ON3-ON4)/ON4,IF(AND(ON3=0,ON4=0),"",IF(AND(ON3="",ON4=""),"",IF(AND(ON3=0,ON4=""),"", IF(AND(ON3="",ON4=0),"",1)))))</f>
        <v>-5.3504547886570354E-4</v>
      </c>
      <c r="OO5" s="40">
        <f t="shared" si="122"/>
        <v>-7.7104690897794342E-2</v>
      </c>
      <c r="OP5" s="40">
        <f t="shared" si="122"/>
        <v>-6.5393669892754375E-5</v>
      </c>
      <c r="OQ5" s="40">
        <f t="shared" si="122"/>
        <v>1</v>
      </c>
      <c r="OR5" s="40" t="str">
        <f t="shared" si="122"/>
        <v/>
      </c>
      <c r="OS5" s="40" t="str">
        <f t="shared" si="122"/>
        <v/>
      </c>
      <c r="OT5" s="40" t="str">
        <f t="shared" si="122"/>
        <v/>
      </c>
      <c r="OU5" s="40" t="str">
        <f t="shared" si="122"/>
        <v/>
      </c>
      <c r="OV5" s="40" t="str">
        <f t="shared" si="122"/>
        <v/>
      </c>
      <c r="OW5" s="40" t="str">
        <f t="shared" si="122"/>
        <v/>
      </c>
      <c r="OX5" s="40" t="str">
        <f t="shared" si="122"/>
        <v/>
      </c>
      <c r="OY5" s="40" t="str">
        <f t="shared" si="122"/>
        <v/>
      </c>
      <c r="OZ5" s="40" t="str">
        <f t="shared" si="122"/>
        <v/>
      </c>
      <c r="PA5" s="40" t="str">
        <f t="shared" si="122"/>
        <v/>
      </c>
      <c r="PB5" s="40" t="str">
        <f t="shared" si="122"/>
        <v/>
      </c>
      <c r="PC5" s="63">
        <f>IF(AND(PC3&lt;&gt;0,PC4&lt;&gt;0),(PC3-PC4)/PC4,IF(AND(PC3=0,PC4=0),"",IF(AND(PC3="",PC4=""),"",IF(AND(PC3=0,PC4=""),"", IF(AND(PC3="",PC4=0),"",1)))))</f>
        <v>5.6174783352098502E-2</v>
      </c>
    </row>
    <row r="6" spans="1:419" outlineLevel="1" x14ac:dyDescent="0.4">
      <c r="A6" s="76" t="s">
        <v>30</v>
      </c>
      <c r="B6" s="14">
        <f>'[1]D-PDP'!$BB$12</f>
        <v>11578.599609375</v>
      </c>
      <c r="C6" s="14">
        <f>'[1]D-PDP'!$BB$13</f>
        <v>9762.7998046875</v>
      </c>
      <c r="D6" s="14">
        <f>'[1]D-PDP'!$BB$14</f>
        <v>8341.80078125</v>
      </c>
      <c r="E6" s="14">
        <f>'[1]D-PDP'!$BB$15</f>
        <v>7258.00048828125</v>
      </c>
      <c r="F6" s="14">
        <f>'[1]D-PDP'!$BB$16</f>
        <v>6393.19970703125</v>
      </c>
      <c r="G6" s="14">
        <f>'[1]D-PDP'!$BB$17</f>
        <v>5705.2001953125</v>
      </c>
      <c r="H6" s="14">
        <f>'[1]D-PDP'!$BB$18</f>
        <v>5108.2001953125</v>
      </c>
      <c r="I6" s="14">
        <f>'[1]D-PDP'!$BB$19</f>
        <v>4621.7998046875</v>
      </c>
      <c r="J6" s="14">
        <f>'[1]D-PDP'!$BB$20</f>
        <v>4208.7998046875</v>
      </c>
      <c r="K6" s="14">
        <f>'[1]D-PDP'!$BB$21</f>
        <v>3865.199951171875</v>
      </c>
      <c r="L6" s="14">
        <f>'[1]D-PDP'!$BB$22</f>
        <v>2975.2001953125</v>
      </c>
      <c r="M6" s="14">
        <f>'[1]D-PDP'!$BB$23</f>
        <v>0</v>
      </c>
      <c r="N6" s="14">
        <f>'[1]D-PDP'!$BB$24</f>
        <v>0</v>
      </c>
      <c r="O6" s="14">
        <f>'[1]D-PDP'!$BB$25</f>
        <v>0</v>
      </c>
      <c r="P6" s="14">
        <f>'[1]D-PDP'!$BB$26</f>
        <v>0</v>
      </c>
      <c r="Q6" s="14">
        <f>'[1]D-PDP'!$BB$27</f>
        <v>0</v>
      </c>
      <c r="R6" s="14">
        <f>'[1]D-PDP'!$BB$28</f>
        <v>0</v>
      </c>
      <c r="S6" s="14">
        <f>'[1]D-PDP'!$BB$29</f>
        <v>0</v>
      </c>
      <c r="T6" s="14">
        <f>'[1]D-PDP'!$BB$30</f>
        <v>0</v>
      </c>
      <c r="U6" s="14">
        <f>'[1]D-PDP'!$BB$31</f>
        <v>0</v>
      </c>
      <c r="V6" s="14">
        <f>'[1]D-PDP'!$BB$32</f>
        <v>0</v>
      </c>
      <c r="W6" s="14">
        <f>'[1]D-PDP'!$BB$33</f>
        <v>0</v>
      </c>
      <c r="X6" s="14">
        <f>'[1]D-PDP'!$BB$34</f>
        <v>0</v>
      </c>
      <c r="Y6" s="14">
        <f>'[1]D-PDP'!$BB$35</f>
        <v>0</v>
      </c>
      <c r="Z6" s="14">
        <f>'[1]D-PDP'!$BB$36</f>
        <v>0</v>
      </c>
      <c r="AA6" s="14">
        <f>'[1]D-PDP'!$BB$37</f>
        <v>0</v>
      </c>
      <c r="AB6" s="14">
        <f>'[1]D-PDP'!$BB$38</f>
        <v>0</v>
      </c>
      <c r="AC6" s="14">
        <f>'[1]D-PDP'!$BB$39</f>
        <v>0</v>
      </c>
      <c r="AD6" s="14">
        <f>'[1]D-PDP'!$BB$40</f>
        <v>0</v>
      </c>
      <c r="AE6" s="14">
        <f>'[1]D-PDP'!$BB$41</f>
        <v>0</v>
      </c>
      <c r="AF6" s="14">
        <f>'[1]D-PDP'!$BB$42</f>
        <v>0</v>
      </c>
      <c r="AG6" s="14">
        <f>'[1]D-PDP'!$BB$43</f>
        <v>0</v>
      </c>
      <c r="AH6" s="14">
        <f>'[1]D-PDP'!$BB$44</f>
        <v>0</v>
      </c>
      <c r="AI6" s="14">
        <f>'[1]D-PDP'!$BB$45</f>
        <v>0</v>
      </c>
      <c r="AJ6" s="14">
        <f>'[1]D-PDP'!$BB$46</f>
        <v>0</v>
      </c>
      <c r="AK6" s="14">
        <f>'[1]D-PDP'!$BB$47</f>
        <v>0</v>
      </c>
      <c r="AL6" s="14">
        <f>'[1]D-PDP'!$BB$48</f>
        <v>0</v>
      </c>
      <c r="AM6" s="16">
        <f>SUM(B6:AL6)</f>
        <v>69818.800537109375</v>
      </c>
      <c r="AN6" s="28">
        <f>'[1]D-PNP'!$BB$12</f>
        <v>0</v>
      </c>
      <c r="AO6" s="14">
        <f>'[1]D-PNP'!$BB$13</f>
        <v>0</v>
      </c>
      <c r="AP6" s="14">
        <f>'[1]D-PNP'!$BB$14</f>
        <v>0</v>
      </c>
      <c r="AQ6" s="14">
        <f>'[1]D-PNP'!$BB$15</f>
        <v>0</v>
      </c>
      <c r="AR6" s="14">
        <f>'[1]D-PNP'!$BB$16</f>
        <v>0</v>
      </c>
      <c r="AS6" s="14">
        <f>'[1]D-PNP'!$BB$17</f>
        <v>0</v>
      </c>
      <c r="AT6" s="14">
        <f>'[1]D-PNP'!$BB$18</f>
        <v>0</v>
      </c>
      <c r="AU6" s="14">
        <f>'[1]D-PNP'!$BB$19</f>
        <v>0</v>
      </c>
      <c r="AV6" s="14">
        <f>'[1]D-PNP'!$BB$20</f>
        <v>0</v>
      </c>
      <c r="AW6" s="14">
        <f>'[1]D-PNP'!$BB$21</f>
        <v>0</v>
      </c>
      <c r="AX6" s="14">
        <f>'[1]D-PNP'!$BB$22</f>
        <v>0</v>
      </c>
      <c r="AY6" s="14">
        <f>'[1]D-PNP'!$BB$23</f>
        <v>0</v>
      </c>
      <c r="AZ6" s="14">
        <f>'[1]D-PNP'!$BB$24</f>
        <v>0</v>
      </c>
      <c r="BA6" s="14">
        <f>'[1]D-PNP'!$BB$25</f>
        <v>0</v>
      </c>
      <c r="BB6" s="14">
        <f>'[1]D-PNP'!$BB$26</f>
        <v>0</v>
      </c>
      <c r="BC6" s="14">
        <f>'[1]D-PNP'!$BB$27</f>
        <v>0</v>
      </c>
      <c r="BD6" s="14">
        <f>'[1]D-PNP'!$BB$28</f>
        <v>0</v>
      </c>
      <c r="BE6" s="14">
        <f>'[1]D-PNP'!$BB$29</f>
        <v>0</v>
      </c>
      <c r="BF6" s="14">
        <f>'[1]D-PNP'!$BB$30</f>
        <v>0</v>
      </c>
      <c r="BG6" s="14">
        <f>'[1]D-PNP'!$BB$31</f>
        <v>0</v>
      </c>
      <c r="BH6" s="14">
        <f>'[1]D-PNP'!$BB$32</f>
        <v>0</v>
      </c>
      <c r="BI6" s="14">
        <f>'[1]D-PNP'!$BB$33</f>
        <v>0</v>
      </c>
      <c r="BJ6" s="14">
        <f>'[1]D-PNP'!$BB$34</f>
        <v>0</v>
      </c>
      <c r="BK6" s="14">
        <f>'[1]D-PNP'!$BB$35</f>
        <v>0</v>
      </c>
      <c r="BL6" s="14">
        <f>'[1]D-PNP'!$BB$36</f>
        <v>0</v>
      </c>
      <c r="BM6" s="14">
        <f>'[1]D-PNP'!$BB$37</f>
        <v>0</v>
      </c>
      <c r="BN6" s="14">
        <f>'[1]D-PNP'!$BB$38</f>
        <v>0</v>
      </c>
      <c r="BO6" s="14">
        <f>'[1]D-PNP'!$BB$39</f>
        <v>0</v>
      </c>
      <c r="BP6" s="14">
        <f>'[1]D-PNP'!$BB$40</f>
        <v>0</v>
      </c>
      <c r="BQ6" s="14">
        <f>'[1]D-PNP'!$BB$41</f>
        <v>0</v>
      </c>
      <c r="BR6" s="14">
        <f>'[1]D-PNP'!$BB$42</f>
        <v>0</v>
      </c>
      <c r="BS6" s="14">
        <f>'[1]D-PNP'!$BB$43</f>
        <v>0</v>
      </c>
      <c r="BT6" s="14">
        <f>'[1]D-PNP'!$BB$44</f>
        <v>0</v>
      </c>
      <c r="BU6" s="14">
        <f>'[1]D-PNP'!$BB$45</f>
        <v>0</v>
      </c>
      <c r="BV6" s="14">
        <f>'[1]D-PNP'!$BB$46</f>
        <v>0</v>
      </c>
      <c r="BW6" s="14">
        <f>'[1]D-PNP'!$BB$47</f>
        <v>0</v>
      </c>
      <c r="BX6" s="14">
        <f>'[1]D-PNP'!$BB$48</f>
        <v>0</v>
      </c>
      <c r="BY6" s="16">
        <f>SUM(AN6:BX6)</f>
        <v>0</v>
      </c>
      <c r="BZ6" s="28">
        <f>'[1]D-PND'!$BB$12</f>
        <v>0</v>
      </c>
      <c r="CA6" s="14">
        <f>'[1]D-PND'!$BB$13</f>
        <v>0</v>
      </c>
      <c r="CB6" s="14">
        <f>'[1]D-PND'!$BB$14</f>
        <v>0</v>
      </c>
      <c r="CC6" s="14">
        <f>'[1]D-PND'!$BB$15</f>
        <v>0</v>
      </c>
      <c r="CD6" s="14">
        <f>'[1]D-PND'!$BB$16</f>
        <v>0</v>
      </c>
      <c r="CE6" s="14">
        <f>'[1]D-PND'!$BB$17</f>
        <v>0</v>
      </c>
      <c r="CF6" s="14">
        <f>'[1]D-PND'!$BB$18</f>
        <v>0</v>
      </c>
      <c r="CG6" s="14">
        <f>'[1]D-PND'!$BB$19</f>
        <v>0</v>
      </c>
      <c r="CH6" s="14">
        <f>'[1]D-PND'!$BB$20</f>
        <v>0</v>
      </c>
      <c r="CI6" s="14">
        <f>'[1]D-PND'!$BB$21</f>
        <v>0</v>
      </c>
      <c r="CJ6" s="14">
        <f>'[1]D-PND'!$BB$22</f>
        <v>0</v>
      </c>
      <c r="CK6" s="14">
        <f>'[1]D-PND'!$BB$23</f>
        <v>0</v>
      </c>
      <c r="CL6" s="14">
        <f>'[1]D-PND'!$BB$24</f>
        <v>0</v>
      </c>
      <c r="CM6" s="14">
        <f>'[1]D-PND'!$BB$25</f>
        <v>0</v>
      </c>
      <c r="CN6" s="14">
        <f>'[1]D-PND'!$BB$26</f>
        <v>0</v>
      </c>
      <c r="CO6" s="14">
        <f>'[1]D-PND'!$BB$27</f>
        <v>0</v>
      </c>
      <c r="CP6" s="14">
        <f>'[1]D-PND'!$BB$28</f>
        <v>0</v>
      </c>
      <c r="CQ6" s="14">
        <f>'[1]D-PND'!$BB$29</f>
        <v>0</v>
      </c>
      <c r="CR6" s="14">
        <f>'[1]D-PND'!$BB$30</f>
        <v>0</v>
      </c>
      <c r="CS6" s="14">
        <f>'[1]D-PND'!$BB$31</f>
        <v>0</v>
      </c>
      <c r="CT6" s="14">
        <f>'[1]D-PND'!$BB$32</f>
        <v>0</v>
      </c>
      <c r="CU6" s="14">
        <f>'[1]D-PND'!$BB$33</f>
        <v>0</v>
      </c>
      <c r="CV6" s="14">
        <f>'[1]D-PND'!$BB$34</f>
        <v>0</v>
      </c>
      <c r="CW6" s="14">
        <f>'[1]D-PND'!$BB$35</f>
        <v>0</v>
      </c>
      <c r="CX6" s="14">
        <f>'[1]D-PND'!$BB$36</f>
        <v>0</v>
      </c>
      <c r="CY6" s="14">
        <f>'[1]D-PND'!$BB$37</f>
        <v>0</v>
      </c>
      <c r="CZ6" s="14">
        <f>'[1]D-PND'!$BB$38</f>
        <v>0</v>
      </c>
      <c r="DA6" s="14">
        <f>'[1]D-PND'!$BB$39</f>
        <v>0</v>
      </c>
      <c r="DB6" s="14">
        <f>'[1]D-PND'!$BB$40</f>
        <v>0</v>
      </c>
      <c r="DC6" s="14">
        <f>'[1]D-PND'!$BB$41</f>
        <v>0</v>
      </c>
      <c r="DD6" s="14">
        <f>'[1]D-PND'!$BB$42</f>
        <v>0</v>
      </c>
      <c r="DE6" s="14">
        <f>'[1]D-PND'!$BB$43</f>
        <v>0</v>
      </c>
      <c r="DF6" s="14">
        <f>'[1]D-PND'!$BB$44</f>
        <v>0</v>
      </c>
      <c r="DG6" s="14">
        <f>'[1]D-PND'!$BB$45</f>
        <v>0</v>
      </c>
      <c r="DH6" s="14">
        <f>'[1]D-PND'!$BB$46</f>
        <v>0</v>
      </c>
      <c r="DI6" s="14">
        <f>'[1]D-PND'!$BB$47</f>
        <v>0</v>
      </c>
      <c r="DJ6" s="14">
        <f>'[1]D-PND'!$BB$48</f>
        <v>0</v>
      </c>
      <c r="DK6" s="16">
        <f>SUM(BZ6:DJ6)</f>
        <v>0</v>
      </c>
      <c r="DL6" s="66"/>
      <c r="DM6" s="67"/>
      <c r="DN6" s="67"/>
      <c r="DO6" s="67"/>
      <c r="DP6" s="67"/>
      <c r="DQ6" s="67"/>
      <c r="DR6" s="67"/>
      <c r="DS6" s="67"/>
      <c r="DT6" s="67"/>
      <c r="DU6" s="67"/>
      <c r="DV6" s="67"/>
      <c r="DW6" s="67"/>
      <c r="DX6" s="67"/>
      <c r="DY6" s="67"/>
      <c r="DZ6" s="67"/>
      <c r="EA6" s="67"/>
      <c r="EB6" s="67"/>
      <c r="EC6" s="67"/>
      <c r="ED6" s="67"/>
      <c r="EE6" s="67"/>
      <c r="EF6" s="67"/>
      <c r="EG6" s="67"/>
      <c r="EH6" s="67"/>
      <c r="EI6" s="67"/>
      <c r="EJ6" s="67"/>
      <c r="EK6" s="67"/>
      <c r="EL6" s="67"/>
      <c r="EM6" s="67"/>
      <c r="EN6" s="67"/>
      <c r="EO6" s="67"/>
      <c r="EP6" s="67"/>
      <c r="EQ6" s="67"/>
      <c r="ER6" s="67"/>
      <c r="ES6" s="67"/>
      <c r="ET6" s="67"/>
      <c r="EU6" s="67"/>
      <c r="EV6" s="67"/>
      <c r="EW6" s="68">
        <f>SUM(DL6:EV6)</f>
        <v>0</v>
      </c>
      <c r="EX6" s="66"/>
      <c r="EY6" s="67"/>
      <c r="EZ6" s="67"/>
      <c r="FA6" s="67"/>
      <c r="FB6" s="67"/>
      <c r="FC6" s="67"/>
      <c r="FD6" s="67"/>
      <c r="FE6" s="67"/>
      <c r="FF6" s="67"/>
      <c r="FG6" s="67"/>
      <c r="FH6" s="67"/>
      <c r="FI6" s="67"/>
      <c r="FJ6" s="67"/>
      <c r="FK6" s="67"/>
      <c r="FL6" s="67"/>
      <c r="FM6" s="67"/>
      <c r="FN6" s="67"/>
      <c r="FO6" s="67"/>
      <c r="FP6" s="67"/>
      <c r="FQ6" s="67"/>
      <c r="FR6" s="67"/>
      <c r="FS6" s="67"/>
      <c r="FT6" s="67"/>
      <c r="FU6" s="67"/>
      <c r="FV6" s="67"/>
      <c r="FW6" s="67"/>
      <c r="FX6" s="67"/>
      <c r="FY6" s="67"/>
      <c r="FZ6" s="67"/>
      <c r="GA6" s="67"/>
      <c r="GB6" s="67"/>
      <c r="GC6" s="67"/>
      <c r="GD6" s="67"/>
      <c r="GE6" s="67"/>
      <c r="GF6" s="67"/>
      <c r="GG6" s="67"/>
      <c r="GH6" s="67"/>
      <c r="GI6" s="68">
        <f>SUM(EX6:GH6)</f>
        <v>0</v>
      </c>
      <c r="GJ6" s="66"/>
      <c r="GK6" s="67"/>
      <c r="GL6" s="67"/>
      <c r="GM6" s="67"/>
      <c r="GN6" s="67"/>
      <c r="GO6" s="67"/>
      <c r="GP6" s="67"/>
      <c r="GQ6" s="67"/>
      <c r="GR6" s="67"/>
      <c r="GS6" s="67"/>
      <c r="GT6" s="67"/>
      <c r="GU6" s="67"/>
      <c r="GV6" s="67"/>
      <c r="GW6" s="67"/>
      <c r="GX6" s="67"/>
      <c r="GY6" s="67"/>
      <c r="GZ6" s="67"/>
      <c r="HA6" s="67"/>
      <c r="HB6" s="67"/>
      <c r="HC6" s="67"/>
      <c r="HD6" s="67"/>
      <c r="HE6" s="67"/>
      <c r="HF6" s="67"/>
      <c r="HG6" s="67"/>
      <c r="HH6" s="67"/>
      <c r="HI6" s="67"/>
      <c r="HJ6" s="67"/>
      <c r="HK6" s="67"/>
      <c r="HL6" s="67"/>
      <c r="HM6" s="67"/>
      <c r="HN6" s="67"/>
      <c r="HO6" s="67"/>
      <c r="HP6" s="67"/>
      <c r="HQ6" s="67"/>
      <c r="HR6" s="67"/>
      <c r="HS6" s="67"/>
      <c r="HT6" s="67"/>
      <c r="HU6" s="68">
        <f>SUM(GJ6:HT6)</f>
        <v>0</v>
      </c>
      <c r="HV6" s="28">
        <f>'[1]D-PRB'!$BB$12</f>
        <v>1480</v>
      </c>
      <c r="HW6" s="14">
        <f>'[1]D-PRB'!$BB$13</f>
        <v>2613.000244140625</v>
      </c>
      <c r="HX6" s="14">
        <f>'[1]D-PRB'!$BB$14</f>
        <v>3322</v>
      </c>
      <c r="HY6" s="14">
        <f>'[1]D-PRB'!$BB$15</f>
        <v>3766</v>
      </c>
      <c r="HZ6" s="14">
        <f>'[1]D-PRB'!$BB$16</f>
        <v>4024.000244140625</v>
      </c>
      <c r="IA6" s="14">
        <f>'[1]D-PRB'!$BB$17</f>
        <v>4167</v>
      </c>
      <c r="IB6" s="14">
        <f>'[1]D-PRB'!$BB$18</f>
        <v>4196</v>
      </c>
      <c r="IC6" s="14">
        <f>'[1]D-PRB'!$BB$19</f>
        <v>4170</v>
      </c>
      <c r="ID6" s="14">
        <f>'[1]D-PRB'!$BB$20</f>
        <v>4102</v>
      </c>
      <c r="IE6" s="14">
        <f>'[1]D-PRB'!$BB$21</f>
        <v>4010.000244140625</v>
      </c>
      <c r="IF6" s="14">
        <f>'[1]D-PRB'!$BB$22</f>
        <v>4447</v>
      </c>
      <c r="IG6" s="14">
        <f>'[1]D-PRB'!$BB$23</f>
        <v>7015.00048828125</v>
      </c>
      <c r="IH6" s="14">
        <f>'[1]D-PRB'!$BB$24</f>
        <v>6629</v>
      </c>
      <c r="II6" s="14">
        <f>'[1]D-PRB'!$BB$25</f>
        <v>6281</v>
      </c>
      <c r="IJ6" s="14">
        <f>'[1]D-PRB'!$BB$26</f>
        <v>5920</v>
      </c>
      <c r="IK6" s="14">
        <f>'[1]D-PRB'!$BB$27</f>
        <v>5595</v>
      </c>
      <c r="IL6" s="14">
        <f>'[1]D-PRB'!$BB$28</f>
        <v>5290</v>
      </c>
      <c r="IM6" s="14">
        <f>'[1]D-PRB'!$BB$29</f>
        <v>5014</v>
      </c>
      <c r="IN6" s="14">
        <f>'[1]D-PRB'!$BB$30</f>
        <v>4724</v>
      </c>
      <c r="IO6" s="14">
        <f>'[1]D-PRB'!$BB$31</f>
        <v>4463</v>
      </c>
      <c r="IP6" s="14">
        <f>'[1]D-PRB'!$BB$32</f>
        <v>4220</v>
      </c>
      <c r="IQ6" s="14">
        <f>'[1]D-PRB'!$BB$33</f>
        <v>3998.000244140625</v>
      </c>
      <c r="IR6" s="14">
        <f>'[1]D-PRB'!$BB$34</f>
        <v>3766</v>
      </c>
      <c r="IS6" s="14">
        <f>'[1]D-PRB'!$BB$35</f>
        <v>310</v>
      </c>
      <c r="IT6" s="14">
        <f>'[1]D-PRB'!$BB$36</f>
        <v>0</v>
      </c>
      <c r="IU6" s="14">
        <f>'[1]D-PRB'!$BB$37</f>
        <v>0</v>
      </c>
      <c r="IV6" s="14">
        <f>'[1]D-PRB'!$BB$38</f>
        <v>0</v>
      </c>
      <c r="IW6" s="14">
        <f>'[1]D-PRB'!$BB$39</f>
        <v>0</v>
      </c>
      <c r="IX6" s="14">
        <f>'[1]D-PRB'!$BB$40</f>
        <v>0</v>
      </c>
      <c r="IY6" s="14">
        <f>'[1]D-PRB'!$BB$41</f>
        <v>0</v>
      </c>
      <c r="IZ6" s="14">
        <f>'[1]D-PRB'!$BB$42</f>
        <v>0</v>
      </c>
      <c r="JA6" s="14">
        <f>'[1]D-PRB'!$BB$43</f>
        <v>0</v>
      </c>
      <c r="JB6" s="14">
        <f>'[1]D-PRB'!$BB$44</f>
        <v>0</v>
      </c>
      <c r="JC6" s="14">
        <f>'[1]D-PRB'!$BB$45</f>
        <v>0</v>
      </c>
      <c r="JD6" s="14">
        <f>'[1]D-PRB'!$BB$46</f>
        <v>0</v>
      </c>
      <c r="JE6" s="14">
        <f>'[1]D-PRB'!$BB$47</f>
        <v>0</v>
      </c>
      <c r="JF6" s="14">
        <f>'[1]D-PRB'!$BB$48</f>
        <v>0</v>
      </c>
      <c r="JG6" s="16">
        <f>SUM(HV6:JF6)</f>
        <v>103522.00146484375</v>
      </c>
      <c r="JH6" s="66"/>
      <c r="JI6" s="67"/>
      <c r="JJ6" s="67"/>
      <c r="JK6" s="67"/>
      <c r="JL6" s="67"/>
      <c r="JM6" s="67"/>
      <c r="JN6" s="67"/>
      <c r="JO6" s="67"/>
      <c r="JP6" s="67"/>
      <c r="JQ6" s="67"/>
      <c r="JR6" s="67"/>
      <c r="JS6" s="67"/>
      <c r="JT6" s="67"/>
      <c r="JU6" s="67"/>
      <c r="JV6" s="67"/>
      <c r="JW6" s="67"/>
      <c r="JX6" s="67"/>
      <c r="JY6" s="67"/>
      <c r="JZ6" s="67"/>
      <c r="KA6" s="67"/>
      <c r="KB6" s="67"/>
      <c r="KC6" s="67"/>
      <c r="KD6" s="67"/>
      <c r="KE6" s="67"/>
      <c r="KF6" s="67"/>
      <c r="KG6" s="67"/>
      <c r="KH6" s="67"/>
      <c r="KI6" s="67"/>
      <c r="KJ6" s="67"/>
      <c r="KK6" s="67"/>
      <c r="KL6" s="67"/>
      <c r="KM6" s="67"/>
      <c r="KN6" s="67"/>
      <c r="KO6" s="67"/>
      <c r="KP6" s="67"/>
      <c r="KQ6" s="67"/>
      <c r="KR6" s="67"/>
      <c r="KS6" s="68">
        <f>SUM(JH6:KR6)</f>
        <v>0</v>
      </c>
      <c r="KT6" s="66"/>
      <c r="KU6" s="67"/>
      <c r="KV6" s="67"/>
      <c r="KW6" s="67"/>
      <c r="KX6" s="67"/>
      <c r="KY6" s="67"/>
      <c r="KZ6" s="67"/>
      <c r="LA6" s="67"/>
      <c r="LB6" s="67"/>
      <c r="LC6" s="67"/>
      <c r="LD6" s="67"/>
      <c r="LE6" s="67"/>
      <c r="LF6" s="67"/>
      <c r="LG6" s="67"/>
      <c r="LH6" s="67"/>
      <c r="LI6" s="67"/>
      <c r="LJ6" s="67"/>
      <c r="LK6" s="67"/>
      <c r="LL6" s="67"/>
      <c r="LM6" s="67"/>
      <c r="LN6" s="67"/>
      <c r="LO6" s="67"/>
      <c r="LP6" s="67"/>
      <c r="LQ6" s="67"/>
      <c r="LR6" s="67"/>
      <c r="LS6" s="67"/>
      <c r="LT6" s="67"/>
      <c r="LU6" s="67"/>
      <c r="LV6" s="67"/>
      <c r="LW6" s="67"/>
      <c r="LX6" s="67"/>
      <c r="LY6" s="67"/>
      <c r="LZ6" s="67"/>
      <c r="MA6" s="67"/>
      <c r="MB6" s="67"/>
      <c r="MC6" s="67"/>
      <c r="MD6" s="67"/>
      <c r="ME6" s="68">
        <f>SUM(KT6:MD6)</f>
        <v>0</v>
      </c>
      <c r="MF6" s="66"/>
      <c r="MG6" s="67"/>
      <c r="MH6" s="67"/>
      <c r="MI6" s="67"/>
      <c r="MJ6" s="67"/>
      <c r="MK6" s="67"/>
      <c r="ML6" s="67"/>
      <c r="MM6" s="67"/>
      <c r="MN6" s="67"/>
      <c r="MO6" s="67"/>
      <c r="MP6" s="67"/>
      <c r="MQ6" s="67"/>
      <c r="MR6" s="67"/>
      <c r="MS6" s="67"/>
      <c r="MT6" s="67"/>
      <c r="MU6" s="67"/>
      <c r="MV6" s="67"/>
      <c r="MW6" s="67"/>
      <c r="MX6" s="67"/>
      <c r="MY6" s="67"/>
      <c r="MZ6" s="67"/>
      <c r="NA6" s="67"/>
      <c r="NB6" s="67"/>
      <c r="NC6" s="67"/>
      <c r="ND6" s="67"/>
      <c r="NE6" s="67"/>
      <c r="NF6" s="67"/>
      <c r="NG6" s="67"/>
      <c r="NH6" s="67"/>
      <c r="NI6" s="67"/>
      <c r="NJ6" s="67"/>
      <c r="NK6" s="67"/>
      <c r="NL6" s="67"/>
      <c r="NM6" s="67"/>
      <c r="NN6" s="67"/>
      <c r="NO6" s="67"/>
      <c r="NP6" s="67"/>
      <c r="NQ6" s="68">
        <f>SUM(MF6:NP6)</f>
        <v>0</v>
      </c>
      <c r="NR6" s="14">
        <f>'[1]D-PS'!$BB$12</f>
        <v>33</v>
      </c>
      <c r="NS6" s="14">
        <f>'[1]D-PS'!$BB$13</f>
        <v>98</v>
      </c>
      <c r="NT6" s="14">
        <f>'[1]D-PS'!$BB$14</f>
        <v>151</v>
      </c>
      <c r="NU6" s="14">
        <f>'[1]D-PS'!$BB$15</f>
        <v>201</v>
      </c>
      <c r="NV6" s="14">
        <f>'[1]D-PS'!$BB$16</f>
        <v>245.99998474121094</v>
      </c>
      <c r="NW6" s="14">
        <f>'[1]D-PS'!$BB$17</f>
        <v>285</v>
      </c>
      <c r="NX6" s="14">
        <f>'[1]D-PS'!$BB$18</f>
        <v>319</v>
      </c>
      <c r="NY6" s="14">
        <f>'[1]D-PS'!$BB$19</f>
        <v>349</v>
      </c>
      <c r="NZ6" s="14">
        <f>'[1]D-PS'!$BB$20</f>
        <v>375</v>
      </c>
      <c r="OA6" s="14">
        <f>'[1]D-PS'!$BB$21</f>
        <v>398</v>
      </c>
      <c r="OB6" s="14">
        <f>'[1]D-PS'!$BB$22</f>
        <v>416</v>
      </c>
      <c r="OC6" s="14">
        <f>'[1]D-PS'!$BB$23</f>
        <v>432</v>
      </c>
      <c r="OD6" s="14">
        <f>'[1]D-PS'!$BB$24</f>
        <v>446</v>
      </c>
      <c r="OE6" s="14">
        <f>'[1]D-PS'!$BB$25</f>
        <v>457</v>
      </c>
      <c r="OF6" s="14">
        <f>'[1]D-PS'!$BB$26</f>
        <v>462</v>
      </c>
      <c r="OG6" s="14">
        <f>'[1]D-PS'!$BB$27</f>
        <v>472</v>
      </c>
      <c r="OH6" s="14">
        <f>'[1]D-PS'!$BB$28</f>
        <v>472</v>
      </c>
      <c r="OI6" s="14">
        <f>'[1]D-PS'!$BB$29</f>
        <v>475.99996948242188</v>
      </c>
      <c r="OJ6" s="14">
        <f>'[1]D-PS'!$BB$30</f>
        <v>477</v>
      </c>
      <c r="OK6" s="14">
        <f>'[1]D-PS'!$BB$31</f>
        <v>475.99996948242188</v>
      </c>
      <c r="OL6" s="14">
        <f>'[1]D-PS'!$BB$32</f>
        <v>472</v>
      </c>
      <c r="OM6" s="14">
        <f>'[1]D-PS'!$BB$33</f>
        <v>474</v>
      </c>
      <c r="ON6" s="14">
        <f>'[1]D-PS'!$BB$34</f>
        <v>468</v>
      </c>
      <c r="OO6" s="14">
        <f>'[1]D-PS'!$BB$35</f>
        <v>3713</v>
      </c>
      <c r="OP6" s="14">
        <f>'[1]D-PS'!$BB$36</f>
        <v>3824</v>
      </c>
      <c r="OQ6" s="14">
        <f>'[1]D-PS'!$BB$37</f>
        <v>1225</v>
      </c>
      <c r="OR6" s="14">
        <f>'[1]D-PS'!$BB$38</f>
        <v>0</v>
      </c>
      <c r="OS6" s="14">
        <f>'[1]D-PS'!$BB$39</f>
        <v>0</v>
      </c>
      <c r="OT6" s="14">
        <f>'[1]D-PS'!$BB$40</f>
        <v>0</v>
      </c>
      <c r="OU6" s="14">
        <f>'[1]D-PS'!$BB$41</f>
        <v>0</v>
      </c>
      <c r="OV6" s="14">
        <f>'[1]D-PS'!$BB$42</f>
        <v>0</v>
      </c>
      <c r="OW6" s="14">
        <f>'[1]D-PS'!$BB$43</f>
        <v>0</v>
      </c>
      <c r="OX6" s="14">
        <f>'[1]D-PS'!$BB$44</f>
        <v>0</v>
      </c>
      <c r="OY6" s="14">
        <f>'[1]D-PS'!$BB$45</f>
        <v>0</v>
      </c>
      <c r="OZ6" s="14">
        <f>'[1]D-PS'!$BB$46</f>
        <v>0</v>
      </c>
      <c r="PA6" s="14">
        <f>'[1]D-PS'!$BB$47</f>
        <v>0</v>
      </c>
      <c r="PB6" s="14">
        <f>'[1]D-PS'!$BB$48</f>
        <v>0</v>
      </c>
      <c r="PC6" s="16">
        <f>SUM(NR6:PB6)</f>
        <v>17216.999923706055</v>
      </c>
    </row>
    <row r="7" spans="1:419" outlineLevel="1" x14ac:dyDescent="0.4">
      <c r="A7" s="76" t="s">
        <v>31</v>
      </c>
      <c r="B7" s="25">
        <f>'[2]CF PDP'!$AY$36</f>
        <v>11579</v>
      </c>
      <c r="C7" s="25">
        <f>'[2]CF PDP'!$AY$37</f>
        <v>9762</v>
      </c>
      <c r="D7" s="25">
        <f>'[2]CF PDP'!$AY$38</f>
        <v>8342</v>
      </c>
      <c r="E7" s="25">
        <f>'[2]CF PDP'!$AY$39</f>
        <v>7258</v>
      </c>
      <c r="F7" s="25">
        <f>'[2]CF PDP'!$AY$40</f>
        <v>6393</v>
      </c>
      <c r="G7" s="25">
        <f>'[2]CF PDP'!$AY$41</f>
        <v>5705</v>
      </c>
      <c r="H7" s="25">
        <f>'[2]CF PDP'!$AY$42</f>
        <v>5108</v>
      </c>
      <c r="I7" s="25">
        <f>'[2]CF PDP'!$AY$43</f>
        <v>4622</v>
      </c>
      <c r="J7" s="25">
        <f>'[2]CF PDP'!$AY$44</f>
        <v>4209</v>
      </c>
      <c r="K7" s="25">
        <f>'[2]CF PDP'!$AY$45</f>
        <v>3865</v>
      </c>
      <c r="L7" s="25">
        <f>'[2]CF PDP'!$AY$46</f>
        <v>3549</v>
      </c>
      <c r="M7" s="25">
        <f>'[2]CF PDP'!$AY$47</f>
        <v>0</v>
      </c>
      <c r="N7" s="25">
        <f>'[2]CF PDP'!$AY$48</f>
        <v>0</v>
      </c>
      <c r="O7" s="25">
        <f>'[2]CF PDP'!$AY$49</f>
        <v>0</v>
      </c>
      <c r="P7" s="25">
        <f>'[2]CF PDP'!$AY$50</f>
        <v>0</v>
      </c>
      <c r="Q7" s="25">
        <f>'[2]CF PDP'!$AY$51</f>
        <v>0</v>
      </c>
      <c r="R7" s="25">
        <f>'[2]CF PDP'!$AY$52</f>
        <v>0</v>
      </c>
      <c r="S7" s="25">
        <f>'[2]CF PDP'!$AY$53</f>
        <v>0</v>
      </c>
      <c r="T7" s="25">
        <f>'[2]CF PDP'!$AY$54</f>
        <v>0</v>
      </c>
      <c r="U7" s="25">
        <f>'[2]CF PDP'!$AY$55</f>
        <v>0</v>
      </c>
      <c r="V7" s="25">
        <f>'[2]CF PDP'!$AY$56</f>
        <v>0</v>
      </c>
      <c r="W7" s="25">
        <f>'[2]CF PDP'!$AY$57</f>
        <v>0</v>
      </c>
      <c r="X7" s="25">
        <f>'[2]CF PDP'!$AY$58</f>
        <v>0</v>
      </c>
      <c r="Y7" s="25">
        <f>'[2]CF PDP'!$AY$59</f>
        <v>0</v>
      </c>
      <c r="Z7" s="25">
        <f>'[2]CF PDP'!$AY$60</f>
        <v>0</v>
      </c>
      <c r="AA7" s="25">
        <f>'[2]CF PDP'!$AY$61</f>
        <v>0</v>
      </c>
      <c r="AB7" s="25">
        <f>'[2]CF PDP'!$AY$62</f>
        <v>0</v>
      </c>
      <c r="AC7" s="25">
        <f>'[2]CF PDP'!$AY$63</f>
        <v>0</v>
      </c>
      <c r="AD7" s="25">
        <f>'[2]CF PDP'!$AY$64</f>
        <v>0</v>
      </c>
      <c r="AE7" s="25">
        <f>'[2]CF PDP'!$AY$65</f>
        <v>0</v>
      </c>
      <c r="AF7" s="25">
        <f>'[2]CF PDP'!$AY$66</f>
        <v>0</v>
      </c>
      <c r="AG7" s="25">
        <f>'[2]CF PDP'!$AY$67</f>
        <v>0</v>
      </c>
      <c r="AH7" s="25">
        <f>'[2]CF PDP'!$AY$68</f>
        <v>0</v>
      </c>
      <c r="AI7" s="25">
        <f>'[2]CF PDP'!$AY$69</f>
        <v>0</v>
      </c>
      <c r="AJ7" s="25">
        <f>'[2]CF PDP'!$AY$70</f>
        <v>0</v>
      </c>
      <c r="AK7" s="25">
        <f>'[2]CF PDP'!$AY$71</f>
        <v>0</v>
      </c>
      <c r="AL7" s="25">
        <f>'[2]CF PDP'!$AY$72</f>
        <v>0</v>
      </c>
      <c r="AM7" s="26">
        <f>SUM(B7:AL7)</f>
        <v>70392</v>
      </c>
      <c r="AN7" s="27">
        <f>'[2]CF PNP'!$AY$36</f>
        <v>0</v>
      </c>
      <c r="AO7" s="25">
        <f>'[2]CF PNP'!$AY$37</f>
        <v>0</v>
      </c>
      <c r="AP7" s="25">
        <f>'[2]CF PNP'!$AY$38</f>
        <v>0</v>
      </c>
      <c r="AQ7" s="25">
        <f>'[2]CF PNP'!$AY$39</f>
        <v>0</v>
      </c>
      <c r="AR7" s="25">
        <f>'[2]CF PNP'!$AY$40</f>
        <v>0</v>
      </c>
      <c r="AS7" s="25">
        <f>'[2]CF PNP'!$AY$41</f>
        <v>0</v>
      </c>
      <c r="AT7" s="25">
        <f>'[2]CF PNP'!$AY$42</f>
        <v>0</v>
      </c>
      <c r="AU7" s="25">
        <f>'[2]CF PNP'!$AY$43</f>
        <v>0</v>
      </c>
      <c r="AV7" s="25">
        <f>'[2]CF PNP'!$AY$44</f>
        <v>0</v>
      </c>
      <c r="AW7" s="25">
        <f>'[2]CF PNP'!$AY$45</f>
        <v>0</v>
      </c>
      <c r="AX7" s="25">
        <f>'[2]CF PNP'!$AY$46</f>
        <v>0</v>
      </c>
      <c r="AY7" s="25">
        <f>'[2]CF PNP'!$AY$47</f>
        <v>0</v>
      </c>
      <c r="AZ7" s="25">
        <f>'[2]CF PNP'!$AY$48</f>
        <v>0</v>
      </c>
      <c r="BA7" s="25">
        <f>'[2]CF PNP'!$AY$49</f>
        <v>0</v>
      </c>
      <c r="BB7" s="25">
        <f>'[2]CF PNP'!$AY$50</f>
        <v>0</v>
      </c>
      <c r="BC7" s="25">
        <f>'[2]CF PNP'!$AY$51</f>
        <v>0</v>
      </c>
      <c r="BD7" s="25">
        <f>'[2]CF PNP'!$AY$52</f>
        <v>0</v>
      </c>
      <c r="BE7" s="25">
        <f>'[2]CF PNP'!$AY$53</f>
        <v>0</v>
      </c>
      <c r="BF7" s="25">
        <f>'[2]CF PNP'!$AY$54</f>
        <v>0</v>
      </c>
      <c r="BG7" s="25">
        <f>'[2]CF PNP'!$AY$55</f>
        <v>0</v>
      </c>
      <c r="BH7" s="25">
        <f>'[2]CF PNP'!$AY$56</f>
        <v>0</v>
      </c>
      <c r="BI7" s="25">
        <f>'[2]CF PNP'!$AY$57</f>
        <v>0</v>
      </c>
      <c r="BJ7" s="25">
        <f>'[2]CF PNP'!$AY$58</f>
        <v>0</v>
      </c>
      <c r="BK7" s="25">
        <f>'[2]CF PNP'!$AY$59</f>
        <v>0</v>
      </c>
      <c r="BL7" s="25">
        <f>'[2]CF PNP'!$AY$60</f>
        <v>0</v>
      </c>
      <c r="BM7" s="25">
        <f>'[2]CF PNP'!$AY$61</f>
        <v>0</v>
      </c>
      <c r="BN7" s="25">
        <f>'[2]CF PNP'!$AY$62</f>
        <v>0</v>
      </c>
      <c r="BO7" s="25">
        <f>'[2]CF PNP'!$AY$63</f>
        <v>0</v>
      </c>
      <c r="BP7" s="25">
        <f>'[2]CF PNP'!$AY$64</f>
        <v>0</v>
      </c>
      <c r="BQ7" s="25">
        <f>'[2]CF PNP'!$AY$65</f>
        <v>0</v>
      </c>
      <c r="BR7" s="25">
        <f>'[2]CF PNP'!$AY$66</f>
        <v>0</v>
      </c>
      <c r="BS7" s="25">
        <f>'[2]CF PNP'!$AY$67</f>
        <v>0</v>
      </c>
      <c r="BT7" s="25">
        <f>'[2]CF PNP'!$AY$68</f>
        <v>0</v>
      </c>
      <c r="BU7" s="25">
        <f>'[2]CF PNP'!$AY$69</f>
        <v>0</v>
      </c>
      <c r="BV7" s="25">
        <f>'[2]CF PNP'!$AY$70</f>
        <v>0</v>
      </c>
      <c r="BW7" s="25">
        <f>'[2]CF PNP'!$AY$71</f>
        <v>0</v>
      </c>
      <c r="BX7" s="25">
        <f>'[2]CF PNP'!$AY$72</f>
        <v>0</v>
      </c>
      <c r="BY7" s="26">
        <f>SUM(AN7:BX7)</f>
        <v>0</v>
      </c>
      <c r="BZ7" s="27">
        <f>'[2]CF PND'!$AY$36</f>
        <v>0</v>
      </c>
      <c r="CA7" s="25">
        <f>'[2]CF PND'!$AY$37</f>
        <v>0</v>
      </c>
      <c r="CB7" s="25">
        <f>'[2]CF PND'!$AY$38</f>
        <v>0</v>
      </c>
      <c r="CC7" s="25">
        <f>'[2]CF PND'!$AY$39</f>
        <v>0</v>
      </c>
      <c r="CD7" s="25">
        <f>'[2]CF PND'!$AY$40</f>
        <v>0</v>
      </c>
      <c r="CE7" s="25">
        <f>'[2]CF PND'!$AY$41</f>
        <v>0</v>
      </c>
      <c r="CF7" s="25">
        <f>'[2]CF PND'!$AY$42</f>
        <v>0</v>
      </c>
      <c r="CG7" s="25">
        <f>'[2]CF PND'!$AY$43</f>
        <v>0</v>
      </c>
      <c r="CH7" s="25">
        <f>'[2]CF PND'!$AY$44</f>
        <v>0</v>
      </c>
      <c r="CI7" s="25">
        <f>'[2]CF PND'!$AY$45</f>
        <v>0</v>
      </c>
      <c r="CJ7" s="25">
        <f>'[2]CF PND'!$AY$46</f>
        <v>0</v>
      </c>
      <c r="CK7" s="25">
        <f>'[2]CF PND'!$AY$47</f>
        <v>0</v>
      </c>
      <c r="CL7" s="25">
        <f>'[2]CF PND'!$AY$48</f>
        <v>0</v>
      </c>
      <c r="CM7" s="25">
        <f>'[2]CF PND'!$AY$49</f>
        <v>0</v>
      </c>
      <c r="CN7" s="25">
        <f>'[2]CF PND'!$AY$50</f>
        <v>0</v>
      </c>
      <c r="CO7" s="25">
        <f>'[2]CF PND'!$AY$51</f>
        <v>0</v>
      </c>
      <c r="CP7" s="25">
        <f>'[2]CF PND'!$AY$52</f>
        <v>0</v>
      </c>
      <c r="CQ7" s="25">
        <f>'[2]CF PND'!$AY$53</f>
        <v>0</v>
      </c>
      <c r="CR7" s="25">
        <f>'[2]CF PND'!$AY$54</f>
        <v>0</v>
      </c>
      <c r="CS7" s="25">
        <f>'[2]CF PND'!$AY$55</f>
        <v>0</v>
      </c>
      <c r="CT7" s="25">
        <f>'[2]CF PND'!$AY$56</f>
        <v>0</v>
      </c>
      <c r="CU7" s="25">
        <f>'[2]CF PND'!$AY$57</f>
        <v>0</v>
      </c>
      <c r="CV7" s="25">
        <f>'[2]CF PND'!$AY$58</f>
        <v>0</v>
      </c>
      <c r="CW7" s="25">
        <f>'[2]CF PND'!$AY$59</f>
        <v>0</v>
      </c>
      <c r="CX7" s="25">
        <f>'[2]CF PND'!$AY$60</f>
        <v>0</v>
      </c>
      <c r="CY7" s="25">
        <f>'[2]CF PND'!$AY$61</f>
        <v>0</v>
      </c>
      <c r="CZ7" s="25">
        <f>'[2]CF PND'!$AY$62</f>
        <v>0</v>
      </c>
      <c r="DA7" s="25">
        <f>'[2]CF PND'!$AY$63</f>
        <v>0</v>
      </c>
      <c r="DB7" s="25">
        <f>'[2]CF PND'!$AY$64</f>
        <v>0</v>
      </c>
      <c r="DC7" s="25">
        <f>'[2]CF PND'!$AY$65</f>
        <v>0</v>
      </c>
      <c r="DD7" s="25">
        <f>'[2]CF PND'!$AY$66</f>
        <v>0</v>
      </c>
      <c r="DE7" s="25">
        <f>'[2]CF PND'!$AY$67</f>
        <v>0</v>
      </c>
      <c r="DF7" s="25">
        <f>'[2]CF PND'!$AY$68</f>
        <v>0</v>
      </c>
      <c r="DG7" s="25">
        <f>'[2]CF PND'!$AY$69</f>
        <v>0</v>
      </c>
      <c r="DH7" s="25">
        <f>'[2]CF PND'!$AY$70</f>
        <v>0</v>
      </c>
      <c r="DI7" s="25">
        <f>'[2]CF PND'!$AY$71</f>
        <v>0</v>
      </c>
      <c r="DJ7" s="25">
        <f>'[2]CF PND'!$AY$72</f>
        <v>0</v>
      </c>
      <c r="DK7" s="26">
        <f>SUM(BZ7:DJ7)</f>
        <v>0</v>
      </c>
      <c r="DL7" s="69"/>
      <c r="DM7" s="70"/>
      <c r="DN7" s="70"/>
      <c r="DO7" s="70"/>
      <c r="DP7" s="70"/>
      <c r="DQ7" s="70"/>
      <c r="DR7" s="70"/>
      <c r="DS7" s="70"/>
      <c r="DT7" s="70"/>
      <c r="DU7" s="70"/>
      <c r="DV7" s="70"/>
      <c r="DW7" s="70"/>
      <c r="DX7" s="70"/>
      <c r="DY7" s="70"/>
      <c r="DZ7" s="70"/>
      <c r="EA7" s="70"/>
      <c r="EB7" s="70"/>
      <c r="EC7" s="70"/>
      <c r="ED7" s="70"/>
      <c r="EE7" s="70"/>
      <c r="EF7" s="70"/>
      <c r="EG7" s="70"/>
      <c r="EH7" s="70"/>
      <c r="EI7" s="70"/>
      <c r="EJ7" s="70"/>
      <c r="EK7" s="70"/>
      <c r="EL7" s="70"/>
      <c r="EM7" s="70"/>
      <c r="EN7" s="70"/>
      <c r="EO7" s="70"/>
      <c r="EP7" s="70"/>
      <c r="EQ7" s="70"/>
      <c r="ER7" s="70"/>
      <c r="ES7" s="70"/>
      <c r="ET7" s="70"/>
      <c r="EU7" s="70"/>
      <c r="EV7" s="70"/>
      <c r="EW7" s="71">
        <f>SUM(DL7:EV7)</f>
        <v>0</v>
      </c>
      <c r="EX7" s="69"/>
      <c r="EY7" s="70"/>
      <c r="EZ7" s="70"/>
      <c r="FA7" s="70"/>
      <c r="FB7" s="70"/>
      <c r="FC7" s="70"/>
      <c r="FD7" s="70"/>
      <c r="FE7" s="70"/>
      <c r="FF7" s="70"/>
      <c r="FG7" s="70"/>
      <c r="FH7" s="70"/>
      <c r="FI7" s="70"/>
      <c r="FJ7" s="70"/>
      <c r="FK7" s="70"/>
      <c r="FL7" s="70"/>
      <c r="FM7" s="70"/>
      <c r="FN7" s="70"/>
      <c r="FO7" s="70"/>
      <c r="FP7" s="70"/>
      <c r="FQ7" s="70"/>
      <c r="FR7" s="70"/>
      <c r="FS7" s="70"/>
      <c r="FT7" s="70"/>
      <c r="FU7" s="70"/>
      <c r="FV7" s="70"/>
      <c r="FW7" s="70"/>
      <c r="FX7" s="70"/>
      <c r="FY7" s="70"/>
      <c r="FZ7" s="70"/>
      <c r="GA7" s="70"/>
      <c r="GB7" s="70"/>
      <c r="GC7" s="70"/>
      <c r="GD7" s="70"/>
      <c r="GE7" s="70"/>
      <c r="GF7" s="70"/>
      <c r="GG7" s="70"/>
      <c r="GH7" s="70"/>
      <c r="GI7" s="71">
        <f>SUM(EX7:GH7)</f>
        <v>0</v>
      </c>
      <c r="GJ7" s="69"/>
      <c r="GK7" s="70"/>
      <c r="GL7" s="70"/>
      <c r="GM7" s="70"/>
      <c r="GN7" s="70"/>
      <c r="GO7" s="70"/>
      <c r="GP7" s="70"/>
      <c r="GQ7" s="70"/>
      <c r="GR7" s="70"/>
      <c r="GS7" s="70"/>
      <c r="GT7" s="70"/>
      <c r="GU7" s="70"/>
      <c r="GV7" s="70"/>
      <c r="GW7" s="70"/>
      <c r="GX7" s="70"/>
      <c r="GY7" s="70"/>
      <c r="GZ7" s="70"/>
      <c r="HA7" s="70"/>
      <c r="HB7" s="70"/>
      <c r="HC7" s="70"/>
      <c r="HD7" s="70"/>
      <c r="HE7" s="70"/>
      <c r="HF7" s="70"/>
      <c r="HG7" s="70"/>
      <c r="HH7" s="70"/>
      <c r="HI7" s="70"/>
      <c r="HJ7" s="70"/>
      <c r="HK7" s="70"/>
      <c r="HL7" s="70"/>
      <c r="HM7" s="70"/>
      <c r="HN7" s="70"/>
      <c r="HO7" s="70"/>
      <c r="HP7" s="70"/>
      <c r="HQ7" s="70"/>
      <c r="HR7" s="70"/>
      <c r="HS7" s="70"/>
      <c r="HT7" s="70"/>
      <c r="HU7" s="71">
        <f>SUM(GJ7:HT7)</f>
        <v>0</v>
      </c>
      <c r="HV7" s="27">
        <f>'[2]CF PRB'!$AY$36</f>
        <v>1480</v>
      </c>
      <c r="HW7" s="25">
        <f>'[2]CF PRB'!$AY$37</f>
        <v>2613</v>
      </c>
      <c r="HX7" s="25">
        <f>'[2]CF PRB'!$AY$38</f>
        <v>3321</v>
      </c>
      <c r="HY7" s="25">
        <f>'[2]CF PRB'!$AY$39</f>
        <v>3765</v>
      </c>
      <c r="HZ7" s="25">
        <f>'[2]CF PRB'!$AY$40</f>
        <v>4025</v>
      </c>
      <c r="IA7" s="25">
        <f>'[2]CF PRB'!$AY$41</f>
        <v>4167</v>
      </c>
      <c r="IB7" s="25">
        <f>'[2]CF PRB'!$AY$42</f>
        <v>4196</v>
      </c>
      <c r="IC7" s="25">
        <f>'[2]CF PRB'!$AY$43</f>
        <v>4171</v>
      </c>
      <c r="ID7" s="25">
        <f>'[2]CF PRB'!$AY$44</f>
        <v>4102</v>
      </c>
      <c r="IE7" s="25">
        <f>'[2]CF PRB'!$AY$45</f>
        <v>4010</v>
      </c>
      <c r="IF7" s="25">
        <f>'[2]CF PRB'!$AY$46</f>
        <v>3874</v>
      </c>
      <c r="IG7" s="25">
        <f>'[2]CF PRB'!$AY$47</f>
        <v>7015</v>
      </c>
      <c r="IH7" s="25">
        <f>'[2]CF PRB'!$AY$48</f>
        <v>6630</v>
      </c>
      <c r="II7" s="25">
        <f>'[2]CF PRB'!$AY$49</f>
        <v>6282</v>
      </c>
      <c r="IJ7" s="25">
        <f>'[2]CF PRB'!$AY$50</f>
        <v>5921</v>
      </c>
      <c r="IK7" s="25">
        <f>'[2]CF PRB'!$AY$51</f>
        <v>5596</v>
      </c>
      <c r="IL7" s="25">
        <f>'[2]CF PRB'!$AY$52</f>
        <v>5289</v>
      </c>
      <c r="IM7" s="25">
        <f>'[2]CF PRB'!$AY$53</f>
        <v>5012</v>
      </c>
      <c r="IN7" s="25">
        <f>'[2]CF PRB'!$AY$54</f>
        <v>4723</v>
      </c>
      <c r="IO7" s="25">
        <f>'[2]CF PRB'!$AY$55</f>
        <v>4464</v>
      </c>
      <c r="IP7" s="25">
        <f>'[2]CF PRB'!$AY$56</f>
        <v>4219</v>
      </c>
      <c r="IQ7" s="25">
        <f>'[2]CF PRB'!$AY$57</f>
        <v>3998</v>
      </c>
      <c r="IR7" s="25">
        <f>'[2]CF PRB'!$AY$58</f>
        <v>3768</v>
      </c>
      <c r="IS7" s="25">
        <f>'[2]CF PRB'!$AY$59</f>
        <v>0</v>
      </c>
      <c r="IT7" s="25">
        <f>'[2]CF PRB'!$AY$60</f>
        <v>0</v>
      </c>
      <c r="IU7" s="25">
        <f>'[2]CF PRB'!$AY$61</f>
        <v>0</v>
      </c>
      <c r="IV7" s="25">
        <f>'[2]CF PRB'!$AY$62</f>
        <v>0</v>
      </c>
      <c r="IW7" s="25">
        <f>'[2]CF PRB'!$AY$63</f>
        <v>0</v>
      </c>
      <c r="IX7" s="25">
        <f>'[2]CF PRB'!$AY$64</f>
        <v>0</v>
      </c>
      <c r="IY7" s="25">
        <f>'[2]CF PRB'!$AY$65</f>
        <v>0</v>
      </c>
      <c r="IZ7" s="25">
        <f>'[2]CF PRB'!$AY$66</f>
        <v>0</v>
      </c>
      <c r="JA7" s="25">
        <f>'[2]CF PRB'!$AY$67</f>
        <v>0</v>
      </c>
      <c r="JB7" s="25">
        <f>'[2]CF PRB'!$AY$68</f>
        <v>0</v>
      </c>
      <c r="JC7" s="25">
        <f>'[2]CF PRB'!$AY$69</f>
        <v>0</v>
      </c>
      <c r="JD7" s="25">
        <f>'[2]CF PRB'!$AY$70</f>
        <v>0</v>
      </c>
      <c r="JE7" s="25">
        <f>'[2]CF PRB'!$AY$71</f>
        <v>0</v>
      </c>
      <c r="JF7" s="25">
        <f>'[2]CF PRB'!$AY$72</f>
        <v>0</v>
      </c>
      <c r="JG7" s="26">
        <f>SUM(HV7:JF7)</f>
        <v>102641</v>
      </c>
      <c r="JH7" s="69"/>
      <c r="JI7" s="70"/>
      <c r="JJ7" s="70"/>
      <c r="JK7" s="70"/>
      <c r="JL7" s="70"/>
      <c r="JM7" s="70"/>
      <c r="JN7" s="70"/>
      <c r="JO7" s="70"/>
      <c r="JP7" s="70"/>
      <c r="JQ7" s="70"/>
      <c r="JR7" s="70"/>
      <c r="JS7" s="70"/>
      <c r="JT7" s="70"/>
      <c r="JU7" s="70"/>
      <c r="JV7" s="70"/>
      <c r="JW7" s="70"/>
      <c r="JX7" s="70"/>
      <c r="JY7" s="70"/>
      <c r="JZ7" s="70"/>
      <c r="KA7" s="70"/>
      <c r="KB7" s="70"/>
      <c r="KC7" s="70"/>
      <c r="KD7" s="70"/>
      <c r="KE7" s="70"/>
      <c r="KF7" s="70"/>
      <c r="KG7" s="70"/>
      <c r="KH7" s="70"/>
      <c r="KI7" s="70"/>
      <c r="KJ7" s="70"/>
      <c r="KK7" s="70"/>
      <c r="KL7" s="70"/>
      <c r="KM7" s="70"/>
      <c r="KN7" s="70"/>
      <c r="KO7" s="70"/>
      <c r="KP7" s="70"/>
      <c r="KQ7" s="70"/>
      <c r="KR7" s="70"/>
      <c r="KS7" s="71">
        <f>SUM(JH7:KR7)</f>
        <v>0</v>
      </c>
      <c r="KT7" s="69"/>
      <c r="KU7" s="70"/>
      <c r="KV7" s="70"/>
      <c r="KW7" s="70"/>
      <c r="KX7" s="70"/>
      <c r="KY7" s="70"/>
      <c r="KZ7" s="70"/>
      <c r="LA7" s="70"/>
      <c r="LB7" s="70"/>
      <c r="LC7" s="70"/>
      <c r="LD7" s="70"/>
      <c r="LE7" s="70"/>
      <c r="LF7" s="70"/>
      <c r="LG7" s="70"/>
      <c r="LH7" s="70"/>
      <c r="LI7" s="70"/>
      <c r="LJ7" s="70"/>
      <c r="LK7" s="70"/>
      <c r="LL7" s="70"/>
      <c r="LM7" s="70"/>
      <c r="LN7" s="70"/>
      <c r="LO7" s="70"/>
      <c r="LP7" s="70"/>
      <c r="LQ7" s="70"/>
      <c r="LR7" s="70"/>
      <c r="LS7" s="70"/>
      <c r="LT7" s="70"/>
      <c r="LU7" s="70"/>
      <c r="LV7" s="70"/>
      <c r="LW7" s="70"/>
      <c r="LX7" s="70"/>
      <c r="LY7" s="70"/>
      <c r="LZ7" s="70"/>
      <c r="MA7" s="70"/>
      <c r="MB7" s="70"/>
      <c r="MC7" s="70"/>
      <c r="MD7" s="70"/>
      <c r="ME7" s="71">
        <f>SUM(KT7:MD7)</f>
        <v>0</v>
      </c>
      <c r="MF7" s="69"/>
      <c r="MG7" s="70"/>
      <c r="MH7" s="70"/>
      <c r="MI7" s="70"/>
      <c r="MJ7" s="70"/>
      <c r="MK7" s="70"/>
      <c r="ML7" s="70"/>
      <c r="MM7" s="70"/>
      <c r="MN7" s="70"/>
      <c r="MO7" s="70"/>
      <c r="MP7" s="70"/>
      <c r="MQ7" s="70"/>
      <c r="MR7" s="70"/>
      <c r="MS7" s="70"/>
      <c r="MT7" s="70"/>
      <c r="MU7" s="70"/>
      <c r="MV7" s="70"/>
      <c r="MW7" s="70"/>
      <c r="MX7" s="70"/>
      <c r="MY7" s="70"/>
      <c r="MZ7" s="70"/>
      <c r="NA7" s="70"/>
      <c r="NB7" s="70"/>
      <c r="NC7" s="70"/>
      <c r="ND7" s="70"/>
      <c r="NE7" s="70"/>
      <c r="NF7" s="70"/>
      <c r="NG7" s="70"/>
      <c r="NH7" s="70"/>
      <c r="NI7" s="70"/>
      <c r="NJ7" s="70"/>
      <c r="NK7" s="70"/>
      <c r="NL7" s="70"/>
      <c r="NM7" s="70"/>
      <c r="NN7" s="70"/>
      <c r="NO7" s="70"/>
      <c r="NP7" s="70"/>
      <c r="NQ7" s="71">
        <f>SUM(MF7:NP7)</f>
        <v>0</v>
      </c>
      <c r="NR7" s="25">
        <f>'[2]CF PS'!$AY$36</f>
        <v>33</v>
      </c>
      <c r="NS7" s="25">
        <f>'[2]CF PS'!$AY$37</f>
        <v>98</v>
      </c>
      <c r="NT7" s="25">
        <f>'[2]CF PS'!$AY$38</f>
        <v>152</v>
      </c>
      <c r="NU7" s="25">
        <f>'[2]CF PS'!$AY$39</f>
        <v>202</v>
      </c>
      <c r="NV7" s="25">
        <f>'[2]CF PS'!$AY$40</f>
        <v>246</v>
      </c>
      <c r="NW7" s="25">
        <f>'[2]CF PS'!$AY$41</f>
        <v>286</v>
      </c>
      <c r="NX7" s="25">
        <f>'[2]CF PS'!$AY$42</f>
        <v>320</v>
      </c>
      <c r="NY7" s="25">
        <f>'[2]CF PS'!$AY$43</f>
        <v>349</v>
      </c>
      <c r="NZ7" s="25">
        <f>'[2]CF PS'!$AY$44</f>
        <v>375</v>
      </c>
      <c r="OA7" s="25">
        <f>'[2]CF PS'!$AY$45</f>
        <v>399</v>
      </c>
      <c r="OB7" s="25">
        <f>'[2]CF PS'!$AY$46</f>
        <v>416</v>
      </c>
      <c r="OC7" s="25">
        <f>'[2]CF PS'!$AY$47</f>
        <v>432</v>
      </c>
      <c r="OD7" s="25">
        <f>'[2]CF PS'!$AY$48</f>
        <v>445</v>
      </c>
      <c r="OE7" s="25">
        <f>'[2]CF PS'!$AY$49</f>
        <v>457</v>
      </c>
      <c r="OF7" s="25">
        <f>'[2]CF PS'!$AY$50</f>
        <v>464</v>
      </c>
      <c r="OG7" s="25">
        <f>'[2]CF PS'!$AY$51</f>
        <v>470</v>
      </c>
      <c r="OH7" s="25">
        <f>'[2]CF PS'!$AY$52</f>
        <v>474</v>
      </c>
      <c r="OI7" s="25">
        <f>'[2]CF PS'!$AY$53</f>
        <v>477</v>
      </c>
      <c r="OJ7" s="25">
        <f>'[2]CF PS'!$AY$54</f>
        <v>477</v>
      </c>
      <c r="OK7" s="25">
        <f>'[2]CF PS'!$AY$55</f>
        <v>477</v>
      </c>
      <c r="OL7" s="25">
        <f>'[2]CF PS'!$AY$56</f>
        <v>474</v>
      </c>
      <c r="OM7" s="25">
        <f>'[2]CF PS'!$AY$57</f>
        <v>473</v>
      </c>
      <c r="ON7" s="25">
        <f>'[2]CF PS'!$AY$58</f>
        <v>467</v>
      </c>
      <c r="OO7" s="25">
        <f>'[2]CF PS'!$AY$59</f>
        <v>4024</v>
      </c>
      <c r="OP7" s="25">
        <f>'[2]CF PS'!$AY$60</f>
        <v>3823</v>
      </c>
      <c r="OQ7" s="25">
        <f>'[2]CF PS'!$AY$61</f>
        <v>0</v>
      </c>
      <c r="OR7" s="25">
        <f>'[2]CF PS'!$AY$62</f>
        <v>0</v>
      </c>
      <c r="OS7" s="25">
        <f>'[2]CF PS'!$AY$63</f>
        <v>0</v>
      </c>
      <c r="OT7" s="25">
        <f>'[2]CF PS'!$AY$64</f>
        <v>0</v>
      </c>
      <c r="OU7" s="25">
        <f>'[2]CF PS'!$AY$65</f>
        <v>0</v>
      </c>
      <c r="OV7" s="25">
        <f>'[2]CF PS'!$AY$66</f>
        <v>0</v>
      </c>
      <c r="OW7" s="25">
        <f>'[2]CF PS'!$AY$67</f>
        <v>0</v>
      </c>
      <c r="OX7" s="25">
        <f>'[2]CF PS'!$AY$68</f>
        <v>0</v>
      </c>
      <c r="OY7" s="25">
        <f>'[2]CF PS'!$AY$69</f>
        <v>0</v>
      </c>
      <c r="OZ7" s="25">
        <f>'[2]CF PS'!$AY$70</f>
        <v>0</v>
      </c>
      <c r="PA7" s="25">
        <f>'[2]CF PS'!$AY$71</f>
        <v>0</v>
      </c>
      <c r="PB7" s="25">
        <f>'[2]CF PS'!$AY$72</f>
        <v>0</v>
      </c>
      <c r="PC7" s="26">
        <f>SUM(NR7:PB7)</f>
        <v>16310</v>
      </c>
    </row>
    <row r="8" spans="1:419" ht="15.5" thickBot="1" x14ac:dyDescent="0.45">
      <c r="A8" s="47" t="s">
        <v>32</v>
      </c>
      <c r="B8" s="40">
        <f>IF(AND(B6&lt;&gt;0,B7&lt;&gt;0),(B6-B7)/B7,IF(AND(B6=0,B7=0),"",IF(AND(B6="",B7=""),"",IF(AND(B6=0,B7=""),"", IF(AND(B6="",B7=0),"",1)))))</f>
        <v>-3.4579033163485618E-5</v>
      </c>
      <c r="C8" s="40">
        <f t="shared" ref="C8" si="123">IF(AND(C6&lt;&gt;0,C7&lt;&gt;0),(C6-C7)/C7,IF(AND(C6=0,C7=0),"",IF(AND(C6="",C7=""),"",IF(AND(C6=0,C7=""),"", IF(AND(C6="",C7=0),"",1)))))</f>
        <v>8.1930412569145673E-5</v>
      </c>
      <c r="D8" s="40">
        <f t="shared" ref="D8" si="124">IF(AND(D6&lt;&gt;0,D7&lt;&gt;0),(D6-D7)/D7,IF(AND(D6=0,D7=0),"",IF(AND(D6="",D7=""),"",IF(AND(D6=0,D7=""),"", IF(AND(D6="",D7=0),"",1)))))</f>
        <v>-2.3881413330136658E-5</v>
      </c>
      <c r="E8" s="40">
        <f t="shared" ref="E8" si="125">IF(AND(E6&lt;&gt;0,E7&lt;&gt;0),(E6-E7)/E7,IF(AND(E6=0,E7=0),"",IF(AND(E6="",E7=""),"",IF(AND(E6=0,E7=""),"", IF(AND(E6="",E7=0),"",1)))))</f>
        <v>6.727490355469827E-8</v>
      </c>
      <c r="F8" s="40">
        <f t="shared" ref="F8" si="126">IF(AND(F6&lt;&gt;0,F7&lt;&gt;0),(F6-F7)/F7,IF(AND(F6=0,F7=0),"",IF(AND(F6="",F7=""),"",IF(AND(F6=0,F7=""),"", IF(AND(F6="",F7=0),"",1)))))</f>
        <v>3.1238390622555923E-5</v>
      </c>
      <c r="G8" s="40">
        <f t="shared" ref="G8" si="127">IF(AND(G6&lt;&gt;0,G7&lt;&gt;0),(G6-G7)/G7,IF(AND(G6=0,G7=0),"",IF(AND(G6="",G7=""),"",IF(AND(G6=0,G7=""),"", IF(AND(G6="",G7=0),"",1)))))</f>
        <v>3.5091202892199826E-5</v>
      </c>
      <c r="H8" s="40">
        <f t="shared" ref="H8" si="128">IF(AND(H6&lt;&gt;0,H7&lt;&gt;0),(H6-H7)/H7,IF(AND(H6=0,H7=0),"",IF(AND(H6="",H7=""),"",IF(AND(H6=0,H7=""),"", IF(AND(H6="",H7=0),"",1)))))</f>
        <v>3.919250440485513E-5</v>
      </c>
      <c r="I8" s="40">
        <f t="shared" ref="I8" si="129">IF(AND(I6&lt;&gt;0,I7&lt;&gt;0),(I6-I7)/I7,IF(AND(I6=0,I7=0),"",IF(AND(I6="",I7=""),"",IF(AND(I6=0,I7=""),"", IF(AND(I6="",I7=0),"",1)))))</f>
        <v>-4.3313568260493291E-5</v>
      </c>
      <c r="J8" s="40">
        <f t="shared" ref="J8" si="130">IF(AND(J6&lt;&gt;0,J7&lt;&gt;0),(J6-J7)/J7,IF(AND(J6=0,J7=0),"",IF(AND(J6="",J7=""),"",IF(AND(J6=0,J7=""),"", IF(AND(J6="",J7=0),"",1)))))</f>
        <v>-4.7563628534093606E-5</v>
      </c>
      <c r="K8" s="40">
        <f t="shared" ref="K8" si="131">IF(AND(K6&lt;&gt;0,K7&lt;&gt;0),(K6-K7)/K7,IF(AND(K6=0,K7=0),"",IF(AND(K6="",K7=""),"",IF(AND(K6=0,K7=""),"", IF(AND(K6="",K7=0),"",1)))))</f>
        <v>5.1733809023285899E-5</v>
      </c>
      <c r="L8" s="40">
        <f t="shared" ref="L8" si="132">IF(AND(L6&lt;&gt;0,L7&lt;&gt;0),(L6-L7)/L7,IF(AND(L6=0,L7=0),"",IF(AND(L6="",L7=""),"",IF(AND(L6=0,L7=""),"", IF(AND(L6="",L7=0),"",1)))))</f>
        <v>-0.161679291261623</v>
      </c>
      <c r="M8" s="40" t="str">
        <f t="shared" ref="M8" si="133">IF(AND(M6&lt;&gt;0,M7&lt;&gt;0),(M6-M7)/M7,IF(AND(M6=0,M7=0),"",IF(AND(M6="",M7=""),"",IF(AND(M6=0,M7=""),"", IF(AND(M6="",M7=0),"",1)))))</f>
        <v/>
      </c>
      <c r="N8" s="40" t="str">
        <f t="shared" ref="N8" si="134">IF(AND(N6&lt;&gt;0,N7&lt;&gt;0),(N6-N7)/N7,IF(AND(N6=0,N7=0),"",IF(AND(N6="",N7=""),"",IF(AND(N6=0,N7=""),"", IF(AND(N6="",N7=0),"",1)))))</f>
        <v/>
      </c>
      <c r="O8" s="40" t="str">
        <f t="shared" ref="O8" si="135">IF(AND(O6&lt;&gt;0,O7&lt;&gt;0),(O6-O7)/O7,IF(AND(O6=0,O7=0),"",IF(AND(O6="",O7=""),"",IF(AND(O6=0,O7=""),"", IF(AND(O6="",O7=0),"",1)))))</f>
        <v/>
      </c>
      <c r="P8" s="40" t="str">
        <f t="shared" ref="P8" si="136">IF(AND(P6&lt;&gt;0,P7&lt;&gt;0),(P6-P7)/P7,IF(AND(P6=0,P7=0),"",IF(AND(P6="",P7=""),"",IF(AND(P6=0,P7=""),"", IF(AND(P6="",P7=0),"",1)))))</f>
        <v/>
      </c>
      <c r="Q8" s="40" t="str">
        <f t="shared" ref="Q8" si="137">IF(AND(Q6&lt;&gt;0,Q7&lt;&gt;0),(Q6-Q7)/Q7,IF(AND(Q6=0,Q7=0),"",IF(AND(Q6="",Q7=""),"",IF(AND(Q6=0,Q7=""),"", IF(AND(Q6="",Q7=0),"",1)))))</f>
        <v/>
      </c>
      <c r="R8" s="40" t="str">
        <f t="shared" ref="R8" si="138">IF(AND(R6&lt;&gt;0,R7&lt;&gt;0),(R6-R7)/R7,IF(AND(R6=0,R7=0),"",IF(AND(R6="",R7=""),"",IF(AND(R6=0,R7=""),"", IF(AND(R6="",R7=0),"",1)))))</f>
        <v/>
      </c>
      <c r="S8" s="40" t="str">
        <f t="shared" ref="S8" si="139">IF(AND(S6&lt;&gt;0,S7&lt;&gt;0),(S6-S7)/S7,IF(AND(S6=0,S7=0),"",IF(AND(S6="",S7=""),"",IF(AND(S6=0,S7=""),"", IF(AND(S6="",S7=0),"",1)))))</f>
        <v/>
      </c>
      <c r="T8" s="40" t="str">
        <f t="shared" ref="T8" si="140">IF(AND(T6&lt;&gt;0,T7&lt;&gt;0),(T6-T7)/T7,IF(AND(T6=0,T7=0),"",IF(AND(T6="",T7=""),"",IF(AND(T6=0,T7=""),"", IF(AND(T6="",T7=0),"",1)))))</f>
        <v/>
      </c>
      <c r="U8" s="40" t="str">
        <f t="shared" ref="U8" si="141">IF(AND(U6&lt;&gt;0,U7&lt;&gt;0),(U6-U7)/U7,IF(AND(U6=0,U7=0),"",IF(AND(U6="",U7=""),"",IF(AND(U6=0,U7=""),"", IF(AND(U6="",U7=0),"",1)))))</f>
        <v/>
      </c>
      <c r="V8" s="40" t="str">
        <f t="shared" ref="V8" si="142">IF(AND(V6&lt;&gt;0,V7&lt;&gt;0),(V6-V7)/V7,IF(AND(V6=0,V7=0),"",IF(AND(V6="",V7=""),"",IF(AND(V6=0,V7=""),"", IF(AND(V6="",V7=0),"",1)))))</f>
        <v/>
      </c>
      <c r="W8" s="40" t="str">
        <f t="shared" ref="W8" si="143">IF(AND(W6&lt;&gt;0,W7&lt;&gt;0),(W6-W7)/W7,IF(AND(W6=0,W7=0),"",IF(AND(W6="",W7=""),"",IF(AND(W6=0,W7=""),"", IF(AND(W6="",W7=0),"",1)))))</f>
        <v/>
      </c>
      <c r="X8" s="40" t="str">
        <f t="shared" ref="X8:AM8" si="144">IF(AND(X6&lt;&gt;0,X7&lt;&gt;0),(X6-X7)/X7,IF(AND(X6=0,X7=0),"",IF(AND(X6="",X7=""),"",IF(AND(X6=0,X7=""),"", IF(AND(X6="",X7=0),"",1)))))</f>
        <v/>
      </c>
      <c r="Y8" s="40" t="str">
        <f t="shared" ref="Y8:AL8" si="145">IF(AND(Y6&lt;&gt;0,Y7&lt;&gt;0),(Y6-Y7)/Y7,IF(AND(Y6=0,Y7=0),"",IF(AND(Y6="",Y7=""),"",IF(AND(Y6=0,Y7=""),"", IF(AND(Y6="",Y7=0),"",1)))))</f>
        <v/>
      </c>
      <c r="Z8" s="40" t="str">
        <f t="shared" si="145"/>
        <v/>
      </c>
      <c r="AA8" s="40" t="str">
        <f t="shared" si="145"/>
        <v/>
      </c>
      <c r="AB8" s="40" t="str">
        <f t="shared" si="145"/>
        <v/>
      </c>
      <c r="AC8" s="40" t="str">
        <f t="shared" si="145"/>
        <v/>
      </c>
      <c r="AD8" s="40" t="str">
        <f t="shared" si="145"/>
        <v/>
      </c>
      <c r="AE8" s="40" t="str">
        <f t="shared" si="145"/>
        <v/>
      </c>
      <c r="AF8" s="40" t="str">
        <f t="shared" si="145"/>
        <v/>
      </c>
      <c r="AG8" s="40" t="str">
        <f t="shared" si="145"/>
        <v/>
      </c>
      <c r="AH8" s="40" t="str">
        <f t="shared" si="145"/>
        <v/>
      </c>
      <c r="AI8" s="40" t="str">
        <f t="shared" si="145"/>
        <v/>
      </c>
      <c r="AJ8" s="40" t="str">
        <f t="shared" si="145"/>
        <v/>
      </c>
      <c r="AK8" s="40" t="str">
        <f t="shared" si="145"/>
        <v/>
      </c>
      <c r="AL8" s="40" t="str">
        <f t="shared" si="145"/>
        <v/>
      </c>
      <c r="AM8" s="41">
        <f t="shared" si="144"/>
        <v>-8.1429631618738629E-3</v>
      </c>
      <c r="AN8" s="39" t="str">
        <f t="shared" ref="AN8" si="146">IF(AND(AN6&lt;&gt;0,AN7&lt;&gt;0),(AN6-AN7)/AN7,IF(AND(AN6=0,AN7=0),"",IF(AND(AN6="",AN7=""),"",IF(AND(AN6=0,AN7=""),"", IF(AND(AN6="",AN7=0),"",1)))))</f>
        <v/>
      </c>
      <c r="AO8" s="40" t="str">
        <f t="shared" ref="AO8" si="147">IF(AND(AO6&lt;&gt;0,AO7&lt;&gt;0),(AO6-AO7)/AO7,IF(AND(AO6=0,AO7=0),"",IF(AND(AO6="",AO7=""),"",IF(AND(AO6=0,AO7=""),"", IF(AND(AO6="",AO7=0),"",1)))))</f>
        <v/>
      </c>
      <c r="AP8" s="40" t="str">
        <f t="shared" ref="AP8" si="148">IF(AND(AP6&lt;&gt;0,AP7&lt;&gt;0),(AP6-AP7)/AP7,IF(AND(AP6=0,AP7=0),"",IF(AND(AP6="",AP7=""),"",IF(AND(AP6=0,AP7=""),"", IF(AND(AP6="",AP7=0),"",1)))))</f>
        <v/>
      </c>
      <c r="AQ8" s="40" t="str">
        <f t="shared" ref="AQ8" si="149">IF(AND(AQ6&lt;&gt;0,AQ7&lt;&gt;0),(AQ6-AQ7)/AQ7,IF(AND(AQ6=0,AQ7=0),"",IF(AND(AQ6="",AQ7=""),"",IF(AND(AQ6=0,AQ7=""),"", IF(AND(AQ6="",AQ7=0),"",1)))))</f>
        <v/>
      </c>
      <c r="AR8" s="40" t="str">
        <f t="shared" ref="AR8" si="150">IF(AND(AR6&lt;&gt;0,AR7&lt;&gt;0),(AR6-AR7)/AR7,IF(AND(AR6=0,AR7=0),"",IF(AND(AR6="",AR7=""),"",IF(AND(AR6=0,AR7=""),"", IF(AND(AR6="",AR7=0),"",1)))))</f>
        <v/>
      </c>
      <c r="AS8" s="40" t="str">
        <f t="shared" ref="AS8" si="151">IF(AND(AS6&lt;&gt;0,AS7&lt;&gt;0),(AS6-AS7)/AS7,IF(AND(AS6=0,AS7=0),"",IF(AND(AS6="",AS7=""),"",IF(AND(AS6=0,AS7=""),"", IF(AND(AS6="",AS7=0),"",1)))))</f>
        <v/>
      </c>
      <c r="AT8" s="40" t="str">
        <f t="shared" ref="AT8" si="152">IF(AND(AT6&lt;&gt;0,AT7&lt;&gt;0),(AT6-AT7)/AT7,IF(AND(AT6=0,AT7=0),"",IF(AND(AT6="",AT7=""),"",IF(AND(AT6=0,AT7=""),"", IF(AND(AT6="",AT7=0),"",1)))))</f>
        <v/>
      </c>
      <c r="AU8" s="40" t="str">
        <f t="shared" ref="AU8" si="153">IF(AND(AU6&lt;&gt;0,AU7&lt;&gt;0),(AU6-AU7)/AU7,IF(AND(AU6=0,AU7=0),"",IF(AND(AU6="",AU7=""),"",IF(AND(AU6=0,AU7=""),"", IF(AND(AU6="",AU7=0),"",1)))))</f>
        <v/>
      </c>
      <c r="AV8" s="40" t="str">
        <f t="shared" ref="AV8" si="154">IF(AND(AV6&lt;&gt;0,AV7&lt;&gt;0),(AV6-AV7)/AV7,IF(AND(AV6=0,AV7=0),"",IF(AND(AV6="",AV7=""),"",IF(AND(AV6=0,AV7=""),"", IF(AND(AV6="",AV7=0),"",1)))))</f>
        <v/>
      </c>
      <c r="AW8" s="40" t="str">
        <f t="shared" ref="AW8" si="155">IF(AND(AW6&lt;&gt;0,AW7&lt;&gt;0),(AW6-AW7)/AW7,IF(AND(AW6=0,AW7=0),"",IF(AND(AW6="",AW7=""),"",IF(AND(AW6=0,AW7=""),"", IF(AND(AW6="",AW7=0),"",1)))))</f>
        <v/>
      </c>
      <c r="AX8" s="40" t="str">
        <f t="shared" ref="AX8" si="156">IF(AND(AX6&lt;&gt;0,AX7&lt;&gt;0),(AX6-AX7)/AX7,IF(AND(AX6=0,AX7=0),"",IF(AND(AX6="",AX7=""),"",IF(AND(AX6=0,AX7=""),"", IF(AND(AX6="",AX7=0),"",1)))))</f>
        <v/>
      </c>
      <c r="AY8" s="40" t="str">
        <f t="shared" ref="AY8" si="157">IF(AND(AY6&lt;&gt;0,AY7&lt;&gt;0),(AY6-AY7)/AY7,IF(AND(AY6=0,AY7=0),"",IF(AND(AY6="",AY7=""),"",IF(AND(AY6=0,AY7=""),"", IF(AND(AY6="",AY7=0),"",1)))))</f>
        <v/>
      </c>
      <c r="AZ8" s="40" t="str">
        <f t="shared" ref="AZ8" si="158">IF(AND(AZ6&lt;&gt;0,AZ7&lt;&gt;0),(AZ6-AZ7)/AZ7,IF(AND(AZ6=0,AZ7=0),"",IF(AND(AZ6="",AZ7=""),"",IF(AND(AZ6=0,AZ7=""),"", IF(AND(AZ6="",AZ7=0),"",1)))))</f>
        <v/>
      </c>
      <c r="BA8" s="40" t="str">
        <f t="shared" ref="BA8" si="159">IF(AND(BA6&lt;&gt;0,BA7&lt;&gt;0),(BA6-BA7)/BA7,IF(AND(BA6=0,BA7=0),"",IF(AND(BA6="",BA7=""),"",IF(AND(BA6=0,BA7=""),"", IF(AND(BA6="",BA7=0),"",1)))))</f>
        <v/>
      </c>
      <c r="BB8" s="40" t="str">
        <f t="shared" ref="BB8" si="160">IF(AND(BB6&lt;&gt;0,BB7&lt;&gt;0),(BB6-BB7)/BB7,IF(AND(BB6=0,BB7=0),"",IF(AND(BB6="",BB7=""),"",IF(AND(BB6=0,BB7=""),"", IF(AND(BB6="",BB7=0),"",1)))))</f>
        <v/>
      </c>
      <c r="BC8" s="40" t="str">
        <f t="shared" ref="BC8" si="161">IF(AND(BC6&lt;&gt;0,BC7&lt;&gt;0),(BC6-BC7)/BC7,IF(AND(BC6=0,BC7=0),"",IF(AND(BC6="",BC7=""),"",IF(AND(BC6=0,BC7=""),"", IF(AND(BC6="",BC7=0),"",1)))))</f>
        <v/>
      </c>
      <c r="BD8" s="40" t="str">
        <f t="shared" ref="BD8" si="162">IF(AND(BD6&lt;&gt;0,BD7&lt;&gt;0),(BD6-BD7)/BD7,IF(AND(BD6=0,BD7=0),"",IF(AND(BD6="",BD7=""),"",IF(AND(BD6=0,BD7=""),"", IF(AND(BD6="",BD7=0),"",1)))))</f>
        <v/>
      </c>
      <c r="BE8" s="40" t="str">
        <f t="shared" ref="BE8" si="163">IF(AND(BE6&lt;&gt;0,BE7&lt;&gt;0),(BE6-BE7)/BE7,IF(AND(BE6=0,BE7=0),"",IF(AND(BE6="",BE7=""),"",IF(AND(BE6=0,BE7=""),"", IF(AND(BE6="",BE7=0),"",1)))))</f>
        <v/>
      </c>
      <c r="BF8" s="40" t="str">
        <f t="shared" ref="BF8" si="164">IF(AND(BF6&lt;&gt;0,BF7&lt;&gt;0),(BF6-BF7)/BF7,IF(AND(BF6=0,BF7=0),"",IF(AND(BF6="",BF7=""),"",IF(AND(BF6=0,BF7=""),"", IF(AND(BF6="",BF7=0),"",1)))))</f>
        <v/>
      </c>
      <c r="BG8" s="40" t="str">
        <f t="shared" ref="BG8" si="165">IF(AND(BG6&lt;&gt;0,BG7&lt;&gt;0),(BG6-BG7)/BG7,IF(AND(BG6=0,BG7=0),"",IF(AND(BG6="",BG7=""),"",IF(AND(BG6=0,BG7=""),"", IF(AND(BG6="",BG7=0),"",1)))))</f>
        <v/>
      </c>
      <c r="BH8" s="40" t="str">
        <f t="shared" ref="BH8" si="166">IF(AND(BH6&lt;&gt;0,BH7&lt;&gt;0),(BH6-BH7)/BH7,IF(AND(BH6=0,BH7=0),"",IF(AND(BH6="",BH7=""),"",IF(AND(BH6=0,BH7=""),"", IF(AND(BH6="",BH7=0),"",1)))))</f>
        <v/>
      </c>
      <c r="BI8" s="40" t="str">
        <f t="shared" ref="BI8" si="167">IF(AND(BI6&lt;&gt;0,BI7&lt;&gt;0),(BI6-BI7)/BI7,IF(AND(BI6=0,BI7=0),"",IF(AND(BI6="",BI7=""),"",IF(AND(BI6=0,BI7=""),"", IF(AND(BI6="",BI7=0),"",1)))))</f>
        <v/>
      </c>
      <c r="BJ8" s="40" t="str">
        <f t="shared" ref="BJ8:BX8" si="168">IF(AND(BJ6&lt;&gt;0,BJ7&lt;&gt;0),(BJ6-BJ7)/BJ7,IF(AND(BJ6=0,BJ7=0),"",IF(AND(BJ6="",BJ7=""),"",IF(AND(BJ6=0,BJ7=""),"", IF(AND(BJ6="",BJ7=0),"",1)))))</f>
        <v/>
      </c>
      <c r="BK8" s="40" t="str">
        <f t="shared" si="168"/>
        <v/>
      </c>
      <c r="BL8" s="40" t="str">
        <f t="shared" si="168"/>
        <v/>
      </c>
      <c r="BM8" s="40" t="str">
        <f t="shared" si="168"/>
        <v/>
      </c>
      <c r="BN8" s="40" t="str">
        <f t="shared" si="168"/>
        <v/>
      </c>
      <c r="BO8" s="40" t="str">
        <f t="shared" si="168"/>
        <v/>
      </c>
      <c r="BP8" s="40" t="str">
        <f t="shared" si="168"/>
        <v/>
      </c>
      <c r="BQ8" s="40" t="str">
        <f t="shared" si="168"/>
        <v/>
      </c>
      <c r="BR8" s="40" t="str">
        <f t="shared" si="168"/>
        <v/>
      </c>
      <c r="BS8" s="40" t="str">
        <f t="shared" si="168"/>
        <v/>
      </c>
      <c r="BT8" s="40" t="str">
        <f t="shared" si="168"/>
        <v/>
      </c>
      <c r="BU8" s="40" t="str">
        <f t="shared" si="168"/>
        <v/>
      </c>
      <c r="BV8" s="40" t="str">
        <f t="shared" si="168"/>
        <v/>
      </c>
      <c r="BW8" s="40" t="str">
        <f t="shared" si="168"/>
        <v/>
      </c>
      <c r="BX8" s="40" t="str">
        <f t="shared" si="168"/>
        <v/>
      </c>
      <c r="BY8" s="41" t="str">
        <f t="shared" ref="BY8" si="169">IF(AND(BY6&lt;&gt;0,BY7&lt;&gt;0),(BY6-BY7)/BY7,IF(AND(BY6=0,BY7=0),"",IF(AND(BY6="",BY7=""),"",IF(AND(BY6=0,BY7=""),"", IF(AND(BY6="",BY7=0),"",1)))))</f>
        <v/>
      </c>
      <c r="BZ8" s="39" t="str">
        <f t="shared" ref="BZ8" si="170">IF(AND(BZ6&lt;&gt;0,BZ7&lt;&gt;0),(BZ6-BZ7)/BZ7,IF(AND(BZ6=0,BZ7=0),"",IF(AND(BZ6="",BZ7=""),"",IF(AND(BZ6=0,BZ7=""),"", IF(AND(BZ6="",BZ7=0),"",1)))))</f>
        <v/>
      </c>
      <c r="CA8" s="40" t="str">
        <f t="shared" ref="CA8" si="171">IF(AND(CA6&lt;&gt;0,CA7&lt;&gt;0),(CA6-CA7)/CA7,IF(AND(CA6=0,CA7=0),"",IF(AND(CA6="",CA7=""),"",IF(AND(CA6=0,CA7=""),"", IF(AND(CA6="",CA7=0),"",1)))))</f>
        <v/>
      </c>
      <c r="CB8" s="40" t="str">
        <f t="shared" ref="CB8" si="172">IF(AND(CB6&lt;&gt;0,CB7&lt;&gt;0),(CB6-CB7)/CB7,IF(AND(CB6=0,CB7=0),"",IF(AND(CB6="",CB7=""),"",IF(AND(CB6=0,CB7=""),"", IF(AND(CB6="",CB7=0),"",1)))))</f>
        <v/>
      </c>
      <c r="CC8" s="40" t="str">
        <f t="shared" ref="CC8" si="173">IF(AND(CC6&lt;&gt;0,CC7&lt;&gt;0),(CC6-CC7)/CC7,IF(AND(CC6=0,CC7=0),"",IF(AND(CC6="",CC7=""),"",IF(AND(CC6=0,CC7=""),"", IF(AND(CC6="",CC7=0),"",1)))))</f>
        <v/>
      </c>
      <c r="CD8" s="40" t="str">
        <f t="shared" ref="CD8" si="174">IF(AND(CD6&lt;&gt;0,CD7&lt;&gt;0),(CD6-CD7)/CD7,IF(AND(CD6=0,CD7=0),"",IF(AND(CD6="",CD7=""),"",IF(AND(CD6=0,CD7=""),"", IF(AND(CD6="",CD7=0),"",1)))))</f>
        <v/>
      </c>
      <c r="CE8" s="40" t="str">
        <f t="shared" ref="CE8" si="175">IF(AND(CE6&lt;&gt;0,CE7&lt;&gt;0),(CE6-CE7)/CE7,IF(AND(CE6=0,CE7=0),"",IF(AND(CE6="",CE7=""),"",IF(AND(CE6=0,CE7=""),"", IF(AND(CE6="",CE7=0),"",1)))))</f>
        <v/>
      </c>
      <c r="CF8" s="40" t="str">
        <f t="shared" ref="CF8" si="176">IF(AND(CF6&lt;&gt;0,CF7&lt;&gt;0),(CF6-CF7)/CF7,IF(AND(CF6=0,CF7=0),"",IF(AND(CF6="",CF7=""),"",IF(AND(CF6=0,CF7=""),"", IF(AND(CF6="",CF7=0),"",1)))))</f>
        <v/>
      </c>
      <c r="CG8" s="40" t="str">
        <f t="shared" ref="CG8" si="177">IF(AND(CG6&lt;&gt;0,CG7&lt;&gt;0),(CG6-CG7)/CG7,IF(AND(CG6=0,CG7=0),"",IF(AND(CG6="",CG7=""),"",IF(AND(CG6=0,CG7=""),"", IF(AND(CG6="",CG7=0),"",1)))))</f>
        <v/>
      </c>
      <c r="CH8" s="40" t="str">
        <f t="shared" ref="CH8" si="178">IF(AND(CH6&lt;&gt;0,CH7&lt;&gt;0),(CH6-CH7)/CH7,IF(AND(CH6=0,CH7=0),"",IF(AND(CH6="",CH7=""),"",IF(AND(CH6=0,CH7=""),"", IF(AND(CH6="",CH7=0),"",1)))))</f>
        <v/>
      </c>
      <c r="CI8" s="40" t="str">
        <f t="shared" ref="CI8" si="179">IF(AND(CI6&lt;&gt;0,CI7&lt;&gt;0),(CI6-CI7)/CI7,IF(AND(CI6=0,CI7=0),"",IF(AND(CI6="",CI7=""),"",IF(AND(CI6=0,CI7=""),"", IF(AND(CI6="",CI7=0),"",1)))))</f>
        <v/>
      </c>
      <c r="CJ8" s="40" t="str">
        <f t="shared" ref="CJ8" si="180">IF(AND(CJ6&lt;&gt;0,CJ7&lt;&gt;0),(CJ6-CJ7)/CJ7,IF(AND(CJ6=0,CJ7=0),"",IF(AND(CJ6="",CJ7=""),"",IF(AND(CJ6=0,CJ7=""),"", IF(AND(CJ6="",CJ7=0),"",1)))))</f>
        <v/>
      </c>
      <c r="CK8" s="40" t="str">
        <f t="shared" ref="CK8" si="181">IF(AND(CK6&lt;&gt;0,CK7&lt;&gt;0),(CK6-CK7)/CK7,IF(AND(CK6=0,CK7=0),"",IF(AND(CK6="",CK7=""),"",IF(AND(CK6=0,CK7=""),"", IF(AND(CK6="",CK7=0),"",1)))))</f>
        <v/>
      </c>
      <c r="CL8" s="40" t="str">
        <f t="shared" ref="CL8" si="182">IF(AND(CL6&lt;&gt;0,CL7&lt;&gt;0),(CL6-CL7)/CL7,IF(AND(CL6=0,CL7=0),"",IF(AND(CL6="",CL7=""),"",IF(AND(CL6=0,CL7=""),"", IF(AND(CL6="",CL7=0),"",1)))))</f>
        <v/>
      </c>
      <c r="CM8" s="40" t="str">
        <f t="shared" ref="CM8" si="183">IF(AND(CM6&lt;&gt;0,CM7&lt;&gt;0),(CM6-CM7)/CM7,IF(AND(CM6=0,CM7=0),"",IF(AND(CM6="",CM7=""),"",IF(AND(CM6=0,CM7=""),"", IF(AND(CM6="",CM7=0),"",1)))))</f>
        <v/>
      </c>
      <c r="CN8" s="40" t="str">
        <f t="shared" ref="CN8" si="184">IF(AND(CN6&lt;&gt;0,CN7&lt;&gt;0),(CN6-CN7)/CN7,IF(AND(CN6=0,CN7=0),"",IF(AND(CN6="",CN7=""),"",IF(AND(CN6=0,CN7=""),"", IF(AND(CN6="",CN7=0),"",1)))))</f>
        <v/>
      </c>
      <c r="CO8" s="40" t="str">
        <f t="shared" ref="CO8" si="185">IF(AND(CO6&lt;&gt;0,CO7&lt;&gt;0),(CO6-CO7)/CO7,IF(AND(CO6=0,CO7=0),"",IF(AND(CO6="",CO7=""),"",IF(AND(CO6=0,CO7=""),"", IF(AND(CO6="",CO7=0),"",1)))))</f>
        <v/>
      </c>
      <c r="CP8" s="40" t="str">
        <f t="shared" ref="CP8" si="186">IF(AND(CP6&lt;&gt;0,CP7&lt;&gt;0),(CP6-CP7)/CP7,IF(AND(CP6=0,CP7=0),"",IF(AND(CP6="",CP7=""),"",IF(AND(CP6=0,CP7=""),"", IF(AND(CP6="",CP7=0),"",1)))))</f>
        <v/>
      </c>
      <c r="CQ8" s="40" t="str">
        <f t="shared" ref="CQ8" si="187">IF(AND(CQ6&lt;&gt;0,CQ7&lt;&gt;0),(CQ6-CQ7)/CQ7,IF(AND(CQ6=0,CQ7=0),"",IF(AND(CQ6="",CQ7=""),"",IF(AND(CQ6=0,CQ7=""),"", IF(AND(CQ6="",CQ7=0),"",1)))))</f>
        <v/>
      </c>
      <c r="CR8" s="40" t="str">
        <f t="shared" ref="CR8" si="188">IF(AND(CR6&lt;&gt;0,CR7&lt;&gt;0),(CR6-CR7)/CR7,IF(AND(CR6=0,CR7=0),"",IF(AND(CR6="",CR7=""),"",IF(AND(CR6=0,CR7=""),"", IF(AND(CR6="",CR7=0),"",1)))))</f>
        <v/>
      </c>
      <c r="CS8" s="40" t="str">
        <f t="shared" ref="CS8" si="189">IF(AND(CS6&lt;&gt;0,CS7&lt;&gt;0),(CS6-CS7)/CS7,IF(AND(CS6=0,CS7=0),"",IF(AND(CS6="",CS7=""),"",IF(AND(CS6=0,CS7=""),"", IF(AND(CS6="",CS7=0),"",1)))))</f>
        <v/>
      </c>
      <c r="CT8" s="40" t="str">
        <f t="shared" ref="CT8" si="190">IF(AND(CT6&lt;&gt;0,CT7&lt;&gt;0),(CT6-CT7)/CT7,IF(AND(CT6=0,CT7=0),"",IF(AND(CT6="",CT7=""),"",IF(AND(CT6=0,CT7=""),"", IF(AND(CT6="",CT7=0),"",1)))))</f>
        <v/>
      </c>
      <c r="CU8" s="40" t="str">
        <f t="shared" ref="CU8" si="191">IF(AND(CU6&lt;&gt;0,CU7&lt;&gt;0),(CU6-CU7)/CU7,IF(AND(CU6=0,CU7=0),"",IF(AND(CU6="",CU7=""),"",IF(AND(CU6=0,CU7=""),"", IF(AND(CU6="",CU7=0),"",1)))))</f>
        <v/>
      </c>
      <c r="CV8" s="40" t="str">
        <f t="shared" ref="CV8:DJ8" si="192">IF(AND(CV6&lt;&gt;0,CV7&lt;&gt;0),(CV6-CV7)/CV7,IF(AND(CV6=0,CV7=0),"",IF(AND(CV6="",CV7=""),"",IF(AND(CV6=0,CV7=""),"", IF(AND(CV6="",CV7=0),"",1)))))</f>
        <v/>
      </c>
      <c r="CW8" s="40" t="str">
        <f t="shared" si="192"/>
        <v/>
      </c>
      <c r="CX8" s="40" t="str">
        <f t="shared" si="192"/>
        <v/>
      </c>
      <c r="CY8" s="40" t="str">
        <f t="shared" si="192"/>
        <v/>
      </c>
      <c r="CZ8" s="40" t="str">
        <f t="shared" si="192"/>
        <v/>
      </c>
      <c r="DA8" s="40" t="str">
        <f t="shared" si="192"/>
        <v/>
      </c>
      <c r="DB8" s="40" t="str">
        <f t="shared" si="192"/>
        <v/>
      </c>
      <c r="DC8" s="40" t="str">
        <f t="shared" si="192"/>
        <v/>
      </c>
      <c r="DD8" s="40" t="str">
        <f t="shared" si="192"/>
        <v/>
      </c>
      <c r="DE8" s="40" t="str">
        <f t="shared" si="192"/>
        <v/>
      </c>
      <c r="DF8" s="40" t="str">
        <f t="shared" si="192"/>
        <v/>
      </c>
      <c r="DG8" s="40" t="str">
        <f t="shared" si="192"/>
        <v/>
      </c>
      <c r="DH8" s="40" t="str">
        <f t="shared" si="192"/>
        <v/>
      </c>
      <c r="DI8" s="40" t="str">
        <f t="shared" si="192"/>
        <v/>
      </c>
      <c r="DJ8" s="40" t="str">
        <f t="shared" si="192"/>
        <v/>
      </c>
      <c r="DK8" s="41" t="str">
        <f t="shared" ref="DK8:HU8" si="193">IF(AND(DK6&lt;&gt;0,DK7&lt;&gt;0),(DK6-DK7)/DK7,IF(AND(DK6=0,DK7=0),"",IF(AND(DK6="",DK7=""),"",IF(AND(DK6=0,DK7=""),"", IF(AND(DK6="",DK7=0),"",1)))))</f>
        <v/>
      </c>
      <c r="DL8" s="72" t="str">
        <f t="shared" si="193"/>
        <v/>
      </c>
      <c r="DM8" s="73" t="str">
        <f t="shared" si="193"/>
        <v/>
      </c>
      <c r="DN8" s="73" t="str">
        <f t="shared" si="193"/>
        <v/>
      </c>
      <c r="DO8" s="73" t="str">
        <f t="shared" si="193"/>
        <v/>
      </c>
      <c r="DP8" s="73" t="str">
        <f t="shared" si="193"/>
        <v/>
      </c>
      <c r="DQ8" s="73" t="str">
        <f t="shared" si="193"/>
        <v/>
      </c>
      <c r="DR8" s="73" t="str">
        <f t="shared" si="193"/>
        <v/>
      </c>
      <c r="DS8" s="73" t="str">
        <f t="shared" si="193"/>
        <v/>
      </c>
      <c r="DT8" s="73" t="str">
        <f t="shared" si="193"/>
        <v/>
      </c>
      <c r="DU8" s="73" t="str">
        <f t="shared" si="193"/>
        <v/>
      </c>
      <c r="DV8" s="73" t="str">
        <f t="shared" si="193"/>
        <v/>
      </c>
      <c r="DW8" s="73" t="str">
        <f t="shared" si="193"/>
        <v/>
      </c>
      <c r="DX8" s="73" t="str">
        <f t="shared" si="193"/>
        <v/>
      </c>
      <c r="DY8" s="73" t="str">
        <f t="shared" si="193"/>
        <v/>
      </c>
      <c r="DZ8" s="73" t="str">
        <f t="shared" si="193"/>
        <v/>
      </c>
      <c r="EA8" s="73" t="str">
        <f t="shared" si="193"/>
        <v/>
      </c>
      <c r="EB8" s="73" t="str">
        <f t="shared" si="193"/>
        <v/>
      </c>
      <c r="EC8" s="73" t="str">
        <f t="shared" si="193"/>
        <v/>
      </c>
      <c r="ED8" s="73" t="str">
        <f t="shared" si="193"/>
        <v/>
      </c>
      <c r="EE8" s="73" t="str">
        <f t="shared" si="193"/>
        <v/>
      </c>
      <c r="EF8" s="73" t="str">
        <f t="shared" ref="EF8:EY8" si="194">IF(AND(EF6&lt;&gt;0,EF7&lt;&gt;0),(EF6-EF7)/EF7,IF(AND(EF6=0,EF7=0),"",IF(AND(EF6="",EF7=""),"",IF(AND(EF6=0,EF7=""),"", IF(AND(EF6="",EF7=0),"",1)))))</f>
        <v/>
      </c>
      <c r="EG8" s="73" t="str">
        <f t="shared" si="194"/>
        <v/>
      </c>
      <c r="EH8" s="73" t="str">
        <f t="shared" si="194"/>
        <v/>
      </c>
      <c r="EI8" s="73" t="str">
        <f t="shared" ref="EI8" si="195">IF(AND(EI6&lt;&gt;0,EI7&lt;&gt;0),(EI6-EI7)/EI7,IF(AND(EI6=0,EI7=0),"",IF(AND(EI6="",EI7=""),"",IF(AND(EI6=0,EI7=""),"", IF(AND(EI6="",EI7=0),"",1)))))</f>
        <v/>
      </c>
      <c r="EJ8" s="73" t="str">
        <f t="shared" ref="EJ8" si="196">IF(AND(EJ6&lt;&gt;0,EJ7&lt;&gt;0),(EJ6-EJ7)/EJ7,IF(AND(EJ6=0,EJ7=0),"",IF(AND(EJ6="",EJ7=""),"",IF(AND(EJ6=0,EJ7=""),"", IF(AND(EJ6="",EJ7=0),"",1)))))</f>
        <v/>
      </c>
      <c r="EK8" s="73" t="str">
        <f t="shared" ref="EK8" si="197">IF(AND(EK6&lt;&gt;0,EK7&lt;&gt;0),(EK6-EK7)/EK7,IF(AND(EK6=0,EK7=0),"",IF(AND(EK6="",EK7=""),"",IF(AND(EK6=0,EK7=""),"", IF(AND(EK6="",EK7=0),"",1)))))</f>
        <v/>
      </c>
      <c r="EL8" s="73" t="str">
        <f t="shared" ref="EL8" si="198">IF(AND(EL6&lt;&gt;0,EL7&lt;&gt;0),(EL6-EL7)/EL7,IF(AND(EL6=0,EL7=0),"",IF(AND(EL6="",EL7=""),"",IF(AND(EL6=0,EL7=""),"", IF(AND(EL6="",EL7=0),"",1)))))</f>
        <v/>
      </c>
      <c r="EM8" s="73" t="str">
        <f t="shared" ref="EM8" si="199">IF(AND(EM6&lt;&gt;0,EM7&lt;&gt;0),(EM6-EM7)/EM7,IF(AND(EM6=0,EM7=0),"",IF(AND(EM6="",EM7=""),"",IF(AND(EM6=0,EM7=""),"", IF(AND(EM6="",EM7=0),"",1)))))</f>
        <v/>
      </c>
      <c r="EN8" s="73" t="str">
        <f t="shared" ref="EN8" si="200">IF(AND(EN6&lt;&gt;0,EN7&lt;&gt;0),(EN6-EN7)/EN7,IF(AND(EN6=0,EN7=0),"",IF(AND(EN6="",EN7=""),"",IF(AND(EN6=0,EN7=""),"", IF(AND(EN6="",EN7=0),"",1)))))</f>
        <v/>
      </c>
      <c r="EO8" s="73" t="str">
        <f t="shared" ref="EO8" si="201">IF(AND(EO6&lt;&gt;0,EO7&lt;&gt;0),(EO6-EO7)/EO7,IF(AND(EO6=0,EO7=0),"",IF(AND(EO6="",EO7=""),"",IF(AND(EO6=0,EO7=""),"", IF(AND(EO6="",EO7=0),"",1)))))</f>
        <v/>
      </c>
      <c r="EP8" s="73" t="str">
        <f t="shared" ref="EP8" si="202">IF(AND(EP6&lt;&gt;0,EP7&lt;&gt;0),(EP6-EP7)/EP7,IF(AND(EP6=0,EP7=0),"",IF(AND(EP6="",EP7=""),"",IF(AND(EP6=0,EP7=""),"", IF(AND(EP6="",EP7=0),"",1)))))</f>
        <v/>
      </c>
      <c r="EQ8" s="73" t="str">
        <f t="shared" ref="EQ8" si="203">IF(AND(EQ6&lt;&gt;0,EQ7&lt;&gt;0),(EQ6-EQ7)/EQ7,IF(AND(EQ6=0,EQ7=0),"",IF(AND(EQ6="",EQ7=""),"",IF(AND(EQ6=0,EQ7=""),"", IF(AND(EQ6="",EQ7=0),"",1)))))</f>
        <v/>
      </c>
      <c r="ER8" s="73" t="str">
        <f t="shared" ref="ER8" si="204">IF(AND(ER6&lt;&gt;0,ER7&lt;&gt;0),(ER6-ER7)/ER7,IF(AND(ER6=0,ER7=0),"",IF(AND(ER6="",ER7=""),"",IF(AND(ER6=0,ER7=""),"", IF(AND(ER6="",ER7=0),"",1)))))</f>
        <v/>
      </c>
      <c r="ES8" s="73" t="str">
        <f t="shared" ref="ES8" si="205">IF(AND(ES6&lt;&gt;0,ES7&lt;&gt;0),(ES6-ES7)/ES7,IF(AND(ES6=0,ES7=0),"",IF(AND(ES6="",ES7=""),"",IF(AND(ES6=0,ES7=""),"", IF(AND(ES6="",ES7=0),"",1)))))</f>
        <v/>
      </c>
      <c r="ET8" s="73" t="str">
        <f t="shared" ref="ET8" si="206">IF(AND(ET6&lt;&gt;0,ET7&lt;&gt;0),(ET6-ET7)/ET7,IF(AND(ET6=0,ET7=0),"",IF(AND(ET6="",ET7=""),"",IF(AND(ET6=0,ET7=""),"", IF(AND(ET6="",ET7=0),"",1)))))</f>
        <v/>
      </c>
      <c r="EU8" s="73" t="str">
        <f t="shared" ref="EU8" si="207">IF(AND(EU6&lt;&gt;0,EU7&lt;&gt;0),(EU6-EU7)/EU7,IF(AND(EU6=0,EU7=0),"",IF(AND(EU6="",EU7=""),"",IF(AND(EU6=0,EU7=""),"", IF(AND(EU6="",EU7=0),"",1)))))</f>
        <v/>
      </c>
      <c r="EV8" s="73" t="str">
        <f t="shared" ref="EV8" si="208">IF(AND(EV6&lt;&gt;0,EV7&lt;&gt;0),(EV6-EV7)/EV7,IF(AND(EV6=0,EV7=0),"",IF(AND(EV6="",EV7=""),"",IF(AND(EV6=0,EV7=""),"", IF(AND(EV6="",EV7=0),"",1)))))</f>
        <v/>
      </c>
      <c r="EW8" s="74" t="str">
        <f t="shared" si="194"/>
        <v/>
      </c>
      <c r="EX8" s="72" t="str">
        <f t="shared" si="194"/>
        <v/>
      </c>
      <c r="EY8" s="73" t="str">
        <f t="shared" si="194"/>
        <v/>
      </c>
      <c r="EZ8" s="73" t="str">
        <f t="shared" ref="EZ8:GI8" si="209">IF(AND(EZ6&lt;&gt;0,EZ7&lt;&gt;0),(EZ6-EZ7)/EZ7,IF(AND(EZ6=0,EZ7=0),"",IF(AND(EZ6="",EZ7=""),"",IF(AND(EZ6=0,EZ7=""),"", IF(AND(EZ6="",EZ7=0),"",1)))))</f>
        <v/>
      </c>
      <c r="FA8" s="73" t="str">
        <f t="shared" si="209"/>
        <v/>
      </c>
      <c r="FB8" s="73" t="str">
        <f t="shared" si="209"/>
        <v/>
      </c>
      <c r="FC8" s="73" t="str">
        <f t="shared" si="209"/>
        <v/>
      </c>
      <c r="FD8" s="73" t="str">
        <f t="shared" si="209"/>
        <v/>
      </c>
      <c r="FE8" s="73" t="str">
        <f t="shared" si="209"/>
        <v/>
      </c>
      <c r="FF8" s="73" t="str">
        <f t="shared" si="209"/>
        <v/>
      </c>
      <c r="FG8" s="73" t="str">
        <f t="shared" si="209"/>
        <v/>
      </c>
      <c r="FH8" s="73" t="str">
        <f t="shared" si="209"/>
        <v/>
      </c>
      <c r="FI8" s="73" t="str">
        <f t="shared" si="209"/>
        <v/>
      </c>
      <c r="FJ8" s="73" t="str">
        <f t="shared" si="209"/>
        <v/>
      </c>
      <c r="FK8" s="73" t="str">
        <f t="shared" si="209"/>
        <v/>
      </c>
      <c r="FL8" s="73" t="str">
        <f t="shared" si="209"/>
        <v/>
      </c>
      <c r="FM8" s="73" t="str">
        <f t="shared" si="209"/>
        <v/>
      </c>
      <c r="FN8" s="73" t="str">
        <f t="shared" si="209"/>
        <v/>
      </c>
      <c r="FO8" s="73" t="str">
        <f t="shared" si="209"/>
        <v/>
      </c>
      <c r="FP8" s="73" t="str">
        <f t="shared" si="209"/>
        <v/>
      </c>
      <c r="FQ8" s="73" t="str">
        <f t="shared" si="209"/>
        <v/>
      </c>
      <c r="FR8" s="73" t="str">
        <f t="shared" si="209"/>
        <v/>
      </c>
      <c r="FS8" s="73" t="str">
        <f t="shared" si="209"/>
        <v/>
      </c>
      <c r="FT8" s="73" t="str">
        <f t="shared" si="209"/>
        <v/>
      </c>
      <c r="FU8" s="73" t="str">
        <f t="shared" ref="FU8:GH8" si="210">IF(AND(FU6&lt;&gt;0,FU7&lt;&gt;0),(FU6-FU7)/FU7,IF(AND(FU6=0,FU7=0),"",IF(AND(FU6="",FU7=""),"",IF(AND(FU6=0,FU7=""),"", IF(AND(FU6="",FU7=0),"",1)))))</f>
        <v/>
      </c>
      <c r="FV8" s="73" t="str">
        <f t="shared" si="210"/>
        <v/>
      </c>
      <c r="FW8" s="73" t="str">
        <f t="shared" si="210"/>
        <v/>
      </c>
      <c r="FX8" s="73" t="str">
        <f t="shared" si="210"/>
        <v/>
      </c>
      <c r="FY8" s="73" t="str">
        <f t="shared" si="210"/>
        <v/>
      </c>
      <c r="FZ8" s="73" t="str">
        <f t="shared" si="210"/>
        <v/>
      </c>
      <c r="GA8" s="73" t="str">
        <f t="shared" si="210"/>
        <v/>
      </c>
      <c r="GB8" s="73" t="str">
        <f t="shared" si="210"/>
        <v/>
      </c>
      <c r="GC8" s="73" t="str">
        <f t="shared" si="210"/>
        <v/>
      </c>
      <c r="GD8" s="73" t="str">
        <f t="shared" si="210"/>
        <v/>
      </c>
      <c r="GE8" s="73" t="str">
        <f t="shared" si="210"/>
        <v/>
      </c>
      <c r="GF8" s="73" t="str">
        <f t="shared" si="210"/>
        <v/>
      </c>
      <c r="GG8" s="73" t="str">
        <f t="shared" si="210"/>
        <v/>
      </c>
      <c r="GH8" s="73" t="str">
        <f t="shared" si="210"/>
        <v/>
      </c>
      <c r="GI8" s="74" t="str">
        <f t="shared" si="209"/>
        <v/>
      </c>
      <c r="GJ8" s="72" t="str">
        <f t="shared" si="193"/>
        <v/>
      </c>
      <c r="GK8" s="73" t="str">
        <f t="shared" si="193"/>
        <v/>
      </c>
      <c r="GL8" s="73" t="str">
        <f t="shared" si="193"/>
        <v/>
      </c>
      <c r="GM8" s="73" t="str">
        <f t="shared" si="193"/>
        <v/>
      </c>
      <c r="GN8" s="73" t="str">
        <f t="shared" si="193"/>
        <v/>
      </c>
      <c r="GO8" s="73" t="str">
        <f t="shared" si="193"/>
        <v/>
      </c>
      <c r="GP8" s="73" t="str">
        <f t="shared" si="193"/>
        <v/>
      </c>
      <c r="GQ8" s="73" t="str">
        <f t="shared" si="193"/>
        <v/>
      </c>
      <c r="GR8" s="73" t="str">
        <f t="shared" si="193"/>
        <v/>
      </c>
      <c r="GS8" s="73" t="str">
        <f t="shared" si="193"/>
        <v/>
      </c>
      <c r="GT8" s="73" t="str">
        <f t="shared" si="193"/>
        <v/>
      </c>
      <c r="GU8" s="73" t="str">
        <f t="shared" si="193"/>
        <v/>
      </c>
      <c r="GV8" s="73" t="str">
        <f t="shared" si="193"/>
        <v/>
      </c>
      <c r="GW8" s="73" t="str">
        <f t="shared" si="193"/>
        <v/>
      </c>
      <c r="GX8" s="73" t="str">
        <f t="shared" si="193"/>
        <v/>
      </c>
      <c r="GY8" s="73" t="str">
        <f t="shared" si="193"/>
        <v/>
      </c>
      <c r="GZ8" s="73" t="str">
        <f t="shared" si="193"/>
        <v/>
      </c>
      <c r="HA8" s="73" t="str">
        <f t="shared" si="193"/>
        <v/>
      </c>
      <c r="HB8" s="73" t="str">
        <f t="shared" si="193"/>
        <v/>
      </c>
      <c r="HC8" s="73" t="str">
        <f t="shared" si="193"/>
        <v/>
      </c>
      <c r="HD8" s="73" t="str">
        <f t="shared" si="193"/>
        <v/>
      </c>
      <c r="HE8" s="73" t="str">
        <f t="shared" si="193"/>
        <v/>
      </c>
      <c r="HF8" s="73" t="str">
        <f t="shared" si="193"/>
        <v/>
      </c>
      <c r="HG8" s="73" t="str">
        <f t="shared" ref="HG8:HT8" si="211">IF(AND(HG6&lt;&gt;0,HG7&lt;&gt;0),(HG6-HG7)/HG7,IF(AND(HG6=0,HG7=0),"",IF(AND(HG6="",HG7=""),"",IF(AND(HG6=0,HG7=""),"", IF(AND(HG6="",HG7=0),"",1)))))</f>
        <v/>
      </c>
      <c r="HH8" s="73" t="str">
        <f t="shared" si="211"/>
        <v/>
      </c>
      <c r="HI8" s="73" t="str">
        <f t="shared" si="211"/>
        <v/>
      </c>
      <c r="HJ8" s="73" t="str">
        <f t="shared" si="211"/>
        <v/>
      </c>
      <c r="HK8" s="73" t="str">
        <f t="shared" si="211"/>
        <v/>
      </c>
      <c r="HL8" s="73" t="str">
        <f t="shared" si="211"/>
        <v/>
      </c>
      <c r="HM8" s="73" t="str">
        <f t="shared" si="211"/>
        <v/>
      </c>
      <c r="HN8" s="73" t="str">
        <f t="shared" si="211"/>
        <v/>
      </c>
      <c r="HO8" s="73" t="str">
        <f t="shared" si="211"/>
        <v/>
      </c>
      <c r="HP8" s="73" t="str">
        <f t="shared" si="211"/>
        <v/>
      </c>
      <c r="HQ8" s="73" t="str">
        <f t="shared" si="211"/>
        <v/>
      </c>
      <c r="HR8" s="73" t="str">
        <f t="shared" si="211"/>
        <v/>
      </c>
      <c r="HS8" s="73" t="str">
        <f t="shared" si="211"/>
        <v/>
      </c>
      <c r="HT8" s="73" t="str">
        <f t="shared" si="211"/>
        <v/>
      </c>
      <c r="HU8" s="74" t="str">
        <f t="shared" si="193"/>
        <v/>
      </c>
      <c r="HV8" s="39">
        <f t="shared" ref="HV8" si="212">IF(AND(HV6&lt;&gt;0,HV7&lt;&gt;0),(HV6-HV7)/HV7,IF(AND(HV6=0,HV7=0),"",IF(AND(HV6="",HV7=""),"",IF(AND(HV6=0,HV7=""),"", IF(AND(HV6="",HV7=0),"",1)))))</f>
        <v>0</v>
      </c>
      <c r="HW8" s="40">
        <f t="shared" ref="HW8" si="213">IF(AND(HW6&lt;&gt;0,HW7&lt;&gt;0),(HW6-HW7)/HW7,IF(AND(HW6=0,HW7=0),"",IF(AND(HW6="",HW7=""),"",IF(AND(HW6=0,HW7=""),"", IF(AND(HW6="",HW7=0),"",1)))))</f>
        <v>9.3433075009567549E-8</v>
      </c>
      <c r="HX8" s="40">
        <f t="shared" ref="HX8" si="214">IF(AND(HX6&lt;&gt;0,HX7&lt;&gt;0),(HX6-HX7)/HX7,IF(AND(HX6=0,HX7=0),"",IF(AND(HX6="",HX7=""),"",IF(AND(HX6=0,HX7=""),"", IF(AND(HX6="",HX7=0),"",1)))))</f>
        <v>3.0111412225233364E-4</v>
      </c>
      <c r="HY8" s="40">
        <f t="shared" ref="HY8" si="215">IF(AND(HY6&lt;&gt;0,HY7&lt;&gt;0),(HY6-HY7)/HY7,IF(AND(HY6=0,HY7=0),"",IF(AND(HY6="",HY7=""),"",IF(AND(HY6=0,HY7=""),"", IF(AND(HY6="",HY7=0),"",1)))))</f>
        <v>2.6560424966799468E-4</v>
      </c>
      <c r="HZ8" s="40">
        <f t="shared" ref="HZ8" si="216">IF(AND(HZ6&lt;&gt;0,HZ7&lt;&gt;0),(HZ6-HZ7)/HZ7,IF(AND(HZ6=0,HZ7=0),"",IF(AND(HZ6="",HZ7=""),"",IF(AND(HZ6=0,HZ7=""),"", IF(AND(HZ6="",HZ7=0),"",1)))))</f>
        <v>-2.4838654891304345E-4</v>
      </c>
      <c r="IA8" s="40">
        <f t="shared" ref="IA8" si="217">IF(AND(IA6&lt;&gt;0,IA7&lt;&gt;0),(IA6-IA7)/IA7,IF(AND(IA6=0,IA7=0),"",IF(AND(IA6="",IA7=""),"",IF(AND(IA6=0,IA7=""),"", IF(AND(IA6="",IA7=0),"",1)))))</f>
        <v>0</v>
      </c>
      <c r="IB8" s="40">
        <f t="shared" ref="IB8" si="218">IF(AND(IB6&lt;&gt;0,IB7&lt;&gt;0),(IB6-IB7)/IB7,IF(AND(IB6=0,IB7=0),"",IF(AND(IB6="",IB7=""),"",IF(AND(IB6=0,IB7=""),"", IF(AND(IB6="",IB7=0),"",1)))))</f>
        <v>0</v>
      </c>
      <c r="IC8" s="40">
        <f t="shared" ref="IC8" si="219">IF(AND(IC6&lt;&gt;0,IC7&lt;&gt;0),(IC6-IC7)/IC7,IF(AND(IC6=0,IC7=0),"",IF(AND(IC6="",IC7=""),"",IF(AND(IC6=0,IC7=""),"", IF(AND(IC6="",IC7=0),"",1)))))</f>
        <v>-2.3975065931431311E-4</v>
      </c>
      <c r="ID8" s="40">
        <f t="shared" ref="ID8" si="220">IF(AND(ID6&lt;&gt;0,ID7&lt;&gt;0),(ID6-ID7)/ID7,IF(AND(ID6=0,ID7=0),"",IF(AND(ID6="",ID7=""),"",IF(AND(ID6=0,ID7=""),"", IF(AND(ID6="",ID7=0),"",1)))))</f>
        <v>0</v>
      </c>
      <c r="IE8" s="40">
        <f t="shared" ref="IE8" si="221">IF(AND(IE6&lt;&gt;0,IE7&lt;&gt;0),(IE6-IE7)/IE7,IF(AND(IE6=0,IE7=0),"",IF(AND(IE6="",IE7=""),"",IF(AND(IE6=0,IE7=""),"", IF(AND(IE6="",IE7=0),"",1)))))</f>
        <v>6.0882948877805482E-8</v>
      </c>
      <c r="IF8" s="40">
        <f t="shared" ref="IF8" si="222">IF(AND(IF6&lt;&gt;0,IF7&lt;&gt;0),(IF6-IF7)/IF7,IF(AND(IF6=0,IF7=0),"",IF(AND(IF6="",IF7=""),"",IF(AND(IF6=0,IF7=""),"", IF(AND(IF6="",IF7=0),"",1)))))</f>
        <v>0.14790913784202375</v>
      </c>
      <c r="IG8" s="40">
        <f t="shared" ref="IG8" si="223">IF(AND(IG6&lt;&gt;0,IG7&lt;&gt;0),(IG6-IG7)/IG7,IF(AND(IG6=0,IG7=0),"",IF(AND(IG6="",IG7=""),"",IF(AND(IG6=0,IG7=""),"", IF(AND(IG6="",IG7=0),"",1)))))</f>
        <v>6.9605310049893093E-8</v>
      </c>
      <c r="IH8" s="40">
        <f t="shared" ref="IH8" si="224">IF(AND(IH6&lt;&gt;0,IH7&lt;&gt;0),(IH6-IH7)/IH7,IF(AND(IH6=0,IH7=0),"",IF(AND(IH6="",IH7=""),"",IF(AND(IH6=0,IH7=""),"", IF(AND(IH6="",IH7=0),"",1)))))</f>
        <v>-1.5082956259426848E-4</v>
      </c>
      <c r="II8" s="40">
        <f t="shared" ref="II8" si="225">IF(AND(II6&lt;&gt;0,II7&lt;&gt;0),(II6-II7)/II7,IF(AND(II6=0,II7=0),"",IF(AND(II6="",II7=""),"",IF(AND(II6=0,II7=""),"", IF(AND(II6="",II7=0),"",1)))))</f>
        <v>-1.591849729385546E-4</v>
      </c>
      <c r="IJ8" s="40">
        <f t="shared" ref="IJ8" si="226">IF(AND(IJ6&lt;&gt;0,IJ7&lt;&gt;0),(IJ6-IJ7)/IJ7,IF(AND(IJ6=0,IJ7=0),"",IF(AND(IJ6="",IJ7=""),"",IF(AND(IJ6=0,IJ7=""),"", IF(AND(IJ6="",IJ7=0),"",1)))))</f>
        <v>-1.6889039013680122E-4</v>
      </c>
      <c r="IK8" s="40">
        <f t="shared" ref="IK8" si="227">IF(AND(IK6&lt;&gt;0,IK7&lt;&gt;0),(IK6-IK7)/IK7,IF(AND(IK6=0,IK7=0),"",IF(AND(IK6="",IK7=""),"",IF(AND(IK6=0,IK7=""),"", IF(AND(IK6="",IK7=0),"",1)))))</f>
        <v>-1.7869907076483203E-4</v>
      </c>
      <c r="IL8" s="40">
        <f t="shared" ref="IL8" si="228">IF(AND(IL6&lt;&gt;0,IL7&lt;&gt;0),(IL6-IL7)/IL7,IF(AND(IL6=0,IL7=0),"",IF(AND(IL6="",IL7=""),"",IF(AND(IL6=0,IL7=""),"", IF(AND(IL6="",IL7=0),"",1)))))</f>
        <v>1.8907165815844205E-4</v>
      </c>
      <c r="IM8" s="40">
        <f t="shared" ref="IM8" si="229">IF(AND(IM6&lt;&gt;0,IM7&lt;&gt;0),(IM6-IM7)/IM7,IF(AND(IM6=0,IM7=0),"",IF(AND(IM6="",IM7=""),"",IF(AND(IM6=0,IM7=""),"", IF(AND(IM6="",IM7=0),"",1)))))</f>
        <v>3.9904229848363929E-4</v>
      </c>
      <c r="IN8" s="40">
        <f t="shared" ref="IN8" si="230">IF(AND(IN6&lt;&gt;0,IN7&lt;&gt;0),(IN6-IN7)/IN7,IF(AND(IN6=0,IN7=0),"",IF(AND(IN6="",IN7=""),"",IF(AND(IN6=0,IN7=""),"", IF(AND(IN6="",IN7=0),"",1)))))</f>
        <v>2.1172983273343214E-4</v>
      </c>
      <c r="IO8" s="40">
        <f t="shared" ref="IO8" si="231">IF(AND(IO6&lt;&gt;0,IO7&lt;&gt;0),(IO6-IO7)/IO7,IF(AND(IO6=0,IO7=0),"",IF(AND(IO6="",IO7=""),"",IF(AND(IO6=0,IO7=""),"", IF(AND(IO6="",IO7=0),"",1)))))</f>
        <v>-2.2401433691756272E-4</v>
      </c>
      <c r="IP8" s="40">
        <f t="shared" ref="IP8" si="232">IF(AND(IP6&lt;&gt;0,IP7&lt;&gt;0),(IP6-IP7)/IP7,IF(AND(IP6=0,IP7=0),"",IF(AND(IP6="",IP7=""),"",IF(AND(IP6=0,IP7=""),"", IF(AND(IP6="",IP7=0),"",1)))))</f>
        <v>2.3702299123014932E-4</v>
      </c>
      <c r="IQ8" s="40">
        <f t="shared" ref="IQ8" si="233">IF(AND(IQ6&lt;&gt;0,IQ7&lt;&gt;0),(IQ6-IQ7)/IQ7,IF(AND(IQ6=0,IQ7=0),"",IF(AND(IQ6="",IQ7=""),"",IF(AND(IQ6=0,IQ7=""),"", IF(AND(IQ6="",IQ7=0),"",1)))))</f>
        <v>6.1065689094547269E-8</v>
      </c>
      <c r="IR8" s="40">
        <f t="shared" ref="IR8:JF8" si="234">IF(AND(IR6&lt;&gt;0,IR7&lt;&gt;0),(IR6-IR7)/IR7,IF(AND(IR6=0,IR7=0),"",IF(AND(IR6="",IR7=""),"",IF(AND(IR6=0,IR7=""),"", IF(AND(IR6="",IR7=0),"",1)))))</f>
        <v>-5.3078556263269638E-4</v>
      </c>
      <c r="IS8" s="40">
        <f t="shared" si="234"/>
        <v>1</v>
      </c>
      <c r="IT8" s="40" t="str">
        <f t="shared" si="234"/>
        <v/>
      </c>
      <c r="IU8" s="40" t="str">
        <f t="shared" si="234"/>
        <v/>
      </c>
      <c r="IV8" s="40" t="str">
        <f t="shared" si="234"/>
        <v/>
      </c>
      <c r="IW8" s="40" t="str">
        <f t="shared" si="234"/>
        <v/>
      </c>
      <c r="IX8" s="40" t="str">
        <f t="shared" si="234"/>
        <v/>
      </c>
      <c r="IY8" s="40" t="str">
        <f t="shared" si="234"/>
        <v/>
      </c>
      <c r="IZ8" s="40" t="str">
        <f t="shared" si="234"/>
        <v/>
      </c>
      <c r="JA8" s="40" t="str">
        <f t="shared" si="234"/>
        <v/>
      </c>
      <c r="JB8" s="40" t="str">
        <f t="shared" si="234"/>
        <v/>
      </c>
      <c r="JC8" s="40" t="str">
        <f t="shared" si="234"/>
        <v/>
      </c>
      <c r="JD8" s="40" t="str">
        <f t="shared" si="234"/>
        <v/>
      </c>
      <c r="JE8" s="40" t="str">
        <f t="shared" si="234"/>
        <v/>
      </c>
      <c r="JF8" s="40" t="str">
        <f t="shared" si="234"/>
        <v/>
      </c>
      <c r="JG8" s="41">
        <f t="shared" ref="JG8:NQ8" si="235">IF(AND(JG6&lt;&gt;0,JG7&lt;&gt;0),(JG6-JG7)/JG7,IF(AND(JG6=0,JG7=0),"",IF(AND(JG6="",JG7=""),"",IF(AND(JG6=0,JG7=""),"", IF(AND(JG6="",JG7=0),"",1)))))</f>
        <v>8.5833289313602748E-3</v>
      </c>
      <c r="JH8" s="72" t="str">
        <f t="shared" si="235"/>
        <v/>
      </c>
      <c r="JI8" s="73" t="str">
        <f t="shared" si="235"/>
        <v/>
      </c>
      <c r="JJ8" s="73" t="str">
        <f t="shared" si="235"/>
        <v/>
      </c>
      <c r="JK8" s="73" t="str">
        <f t="shared" si="235"/>
        <v/>
      </c>
      <c r="JL8" s="73" t="str">
        <f t="shared" si="235"/>
        <v/>
      </c>
      <c r="JM8" s="73" t="str">
        <f t="shared" si="235"/>
        <v/>
      </c>
      <c r="JN8" s="73" t="str">
        <f t="shared" si="235"/>
        <v/>
      </c>
      <c r="JO8" s="73" t="str">
        <f t="shared" si="235"/>
        <v/>
      </c>
      <c r="JP8" s="73" t="str">
        <f t="shared" si="235"/>
        <v/>
      </c>
      <c r="JQ8" s="73" t="str">
        <f t="shared" si="235"/>
        <v/>
      </c>
      <c r="JR8" s="73" t="str">
        <f t="shared" si="235"/>
        <v/>
      </c>
      <c r="JS8" s="73" t="str">
        <f t="shared" si="235"/>
        <v/>
      </c>
      <c r="JT8" s="73" t="str">
        <f t="shared" si="235"/>
        <v/>
      </c>
      <c r="JU8" s="73" t="str">
        <f t="shared" si="235"/>
        <v/>
      </c>
      <c r="JV8" s="73" t="str">
        <f t="shared" si="235"/>
        <v/>
      </c>
      <c r="JW8" s="73" t="str">
        <f t="shared" si="235"/>
        <v/>
      </c>
      <c r="JX8" s="73" t="str">
        <f t="shared" si="235"/>
        <v/>
      </c>
      <c r="JY8" s="73" t="str">
        <f t="shared" si="235"/>
        <v/>
      </c>
      <c r="JZ8" s="73" t="str">
        <f t="shared" si="235"/>
        <v/>
      </c>
      <c r="KA8" s="73" t="str">
        <f t="shared" si="235"/>
        <v/>
      </c>
      <c r="KB8" s="73" t="str">
        <f t="shared" si="235"/>
        <v/>
      </c>
      <c r="KC8" s="73" t="str">
        <f t="shared" si="235"/>
        <v/>
      </c>
      <c r="KD8" s="73" t="str">
        <f t="shared" si="235"/>
        <v/>
      </c>
      <c r="KE8" s="73" t="str">
        <f t="shared" ref="KE8:KR8" si="236">IF(AND(KE6&lt;&gt;0,KE7&lt;&gt;0),(KE6-KE7)/KE7,IF(AND(KE6=0,KE7=0),"",IF(AND(KE6="",KE7=""),"",IF(AND(KE6=0,KE7=""),"", IF(AND(KE6="",KE7=0),"",1)))))</f>
        <v/>
      </c>
      <c r="KF8" s="73" t="str">
        <f t="shared" si="236"/>
        <v/>
      </c>
      <c r="KG8" s="73" t="str">
        <f t="shared" si="236"/>
        <v/>
      </c>
      <c r="KH8" s="73" t="str">
        <f t="shared" si="236"/>
        <v/>
      </c>
      <c r="KI8" s="73" t="str">
        <f t="shared" si="236"/>
        <v/>
      </c>
      <c r="KJ8" s="73" t="str">
        <f t="shared" si="236"/>
        <v/>
      </c>
      <c r="KK8" s="73" t="str">
        <f t="shared" si="236"/>
        <v/>
      </c>
      <c r="KL8" s="73" t="str">
        <f t="shared" si="236"/>
        <v/>
      </c>
      <c r="KM8" s="73" t="str">
        <f t="shared" si="236"/>
        <v/>
      </c>
      <c r="KN8" s="73" t="str">
        <f t="shared" si="236"/>
        <v/>
      </c>
      <c r="KO8" s="73" t="str">
        <f t="shared" si="236"/>
        <v/>
      </c>
      <c r="KP8" s="73" t="str">
        <f t="shared" si="236"/>
        <v/>
      </c>
      <c r="KQ8" s="73" t="str">
        <f t="shared" si="236"/>
        <v/>
      </c>
      <c r="KR8" s="73" t="str">
        <f t="shared" si="236"/>
        <v/>
      </c>
      <c r="KS8" s="74" t="str">
        <f t="shared" si="235"/>
        <v/>
      </c>
      <c r="KT8" s="72" t="str">
        <f t="shared" ref="KT8:ME8" si="237">IF(AND(KT6&lt;&gt;0,KT7&lt;&gt;0),(KT6-KT7)/KT7,IF(AND(KT6=0,KT7=0),"",IF(AND(KT6="",KT7=""),"",IF(AND(KT6=0,KT7=""),"", IF(AND(KT6="",KT7=0),"",1)))))</f>
        <v/>
      </c>
      <c r="KU8" s="73" t="str">
        <f t="shared" si="237"/>
        <v/>
      </c>
      <c r="KV8" s="73" t="str">
        <f t="shared" si="237"/>
        <v/>
      </c>
      <c r="KW8" s="73" t="str">
        <f t="shared" si="237"/>
        <v/>
      </c>
      <c r="KX8" s="73" t="str">
        <f t="shared" si="237"/>
        <v/>
      </c>
      <c r="KY8" s="73" t="str">
        <f t="shared" si="237"/>
        <v/>
      </c>
      <c r="KZ8" s="73" t="str">
        <f t="shared" si="237"/>
        <v/>
      </c>
      <c r="LA8" s="73" t="str">
        <f t="shared" si="237"/>
        <v/>
      </c>
      <c r="LB8" s="73" t="str">
        <f t="shared" si="237"/>
        <v/>
      </c>
      <c r="LC8" s="73" t="str">
        <f t="shared" si="237"/>
        <v/>
      </c>
      <c r="LD8" s="73" t="str">
        <f t="shared" si="237"/>
        <v/>
      </c>
      <c r="LE8" s="73" t="str">
        <f t="shared" si="237"/>
        <v/>
      </c>
      <c r="LF8" s="73" t="str">
        <f t="shared" si="237"/>
        <v/>
      </c>
      <c r="LG8" s="73" t="str">
        <f t="shared" si="237"/>
        <v/>
      </c>
      <c r="LH8" s="73" t="str">
        <f t="shared" si="237"/>
        <v/>
      </c>
      <c r="LI8" s="73" t="str">
        <f t="shared" si="237"/>
        <v/>
      </c>
      <c r="LJ8" s="73" t="str">
        <f t="shared" si="237"/>
        <v/>
      </c>
      <c r="LK8" s="73" t="str">
        <f t="shared" si="237"/>
        <v/>
      </c>
      <c r="LL8" s="73" t="str">
        <f t="shared" si="237"/>
        <v/>
      </c>
      <c r="LM8" s="73" t="str">
        <f t="shared" si="237"/>
        <v/>
      </c>
      <c r="LN8" s="73" t="str">
        <f t="shared" si="237"/>
        <v/>
      </c>
      <c r="LO8" s="73" t="str">
        <f t="shared" si="237"/>
        <v/>
      </c>
      <c r="LP8" s="73" t="str">
        <f t="shared" si="237"/>
        <v/>
      </c>
      <c r="LQ8" s="73" t="str">
        <f t="shared" ref="LQ8:MD8" si="238">IF(AND(LQ6&lt;&gt;0,LQ7&lt;&gt;0),(LQ6-LQ7)/LQ7,IF(AND(LQ6=0,LQ7=0),"",IF(AND(LQ6="",LQ7=""),"",IF(AND(LQ6=0,LQ7=""),"", IF(AND(LQ6="",LQ7=0),"",1)))))</f>
        <v/>
      </c>
      <c r="LR8" s="73" t="str">
        <f t="shared" si="238"/>
        <v/>
      </c>
      <c r="LS8" s="73" t="str">
        <f t="shared" si="238"/>
        <v/>
      </c>
      <c r="LT8" s="73" t="str">
        <f t="shared" si="238"/>
        <v/>
      </c>
      <c r="LU8" s="73" t="str">
        <f t="shared" si="238"/>
        <v/>
      </c>
      <c r="LV8" s="73" t="str">
        <f t="shared" si="238"/>
        <v/>
      </c>
      <c r="LW8" s="73" t="str">
        <f t="shared" si="238"/>
        <v/>
      </c>
      <c r="LX8" s="73" t="str">
        <f t="shared" si="238"/>
        <v/>
      </c>
      <c r="LY8" s="73" t="str">
        <f t="shared" si="238"/>
        <v/>
      </c>
      <c r="LZ8" s="73" t="str">
        <f t="shared" si="238"/>
        <v/>
      </c>
      <c r="MA8" s="73" t="str">
        <f t="shared" si="238"/>
        <v/>
      </c>
      <c r="MB8" s="73" t="str">
        <f t="shared" si="238"/>
        <v/>
      </c>
      <c r="MC8" s="73" t="str">
        <f t="shared" si="238"/>
        <v/>
      </c>
      <c r="MD8" s="73" t="str">
        <f t="shared" si="238"/>
        <v/>
      </c>
      <c r="ME8" s="74" t="str">
        <f t="shared" si="237"/>
        <v/>
      </c>
      <c r="MF8" s="72" t="str">
        <f t="shared" si="235"/>
        <v/>
      </c>
      <c r="MG8" s="73" t="str">
        <f t="shared" si="235"/>
        <v/>
      </c>
      <c r="MH8" s="73" t="str">
        <f t="shared" si="235"/>
        <v/>
      </c>
      <c r="MI8" s="73" t="str">
        <f t="shared" si="235"/>
        <v/>
      </c>
      <c r="MJ8" s="73" t="str">
        <f t="shared" si="235"/>
        <v/>
      </c>
      <c r="MK8" s="73" t="str">
        <f t="shared" si="235"/>
        <v/>
      </c>
      <c r="ML8" s="73" t="str">
        <f t="shared" si="235"/>
        <v/>
      </c>
      <c r="MM8" s="73" t="str">
        <f t="shared" si="235"/>
        <v/>
      </c>
      <c r="MN8" s="73" t="str">
        <f t="shared" si="235"/>
        <v/>
      </c>
      <c r="MO8" s="73" t="str">
        <f t="shared" si="235"/>
        <v/>
      </c>
      <c r="MP8" s="73" t="str">
        <f t="shared" si="235"/>
        <v/>
      </c>
      <c r="MQ8" s="73" t="str">
        <f t="shared" si="235"/>
        <v/>
      </c>
      <c r="MR8" s="73" t="str">
        <f t="shared" si="235"/>
        <v/>
      </c>
      <c r="MS8" s="73" t="str">
        <f t="shared" si="235"/>
        <v/>
      </c>
      <c r="MT8" s="73" t="str">
        <f t="shared" si="235"/>
        <v/>
      </c>
      <c r="MU8" s="73" t="str">
        <f t="shared" si="235"/>
        <v/>
      </c>
      <c r="MV8" s="73" t="str">
        <f t="shared" si="235"/>
        <v/>
      </c>
      <c r="MW8" s="73" t="str">
        <f t="shared" si="235"/>
        <v/>
      </c>
      <c r="MX8" s="73" t="str">
        <f t="shared" si="235"/>
        <v/>
      </c>
      <c r="MY8" s="73" t="str">
        <f t="shared" si="235"/>
        <v/>
      </c>
      <c r="MZ8" s="73" t="str">
        <f t="shared" si="235"/>
        <v/>
      </c>
      <c r="NA8" s="73" t="str">
        <f t="shared" si="235"/>
        <v/>
      </c>
      <c r="NB8" s="73" t="str">
        <f t="shared" si="235"/>
        <v/>
      </c>
      <c r="NC8" s="73" t="str">
        <f t="shared" ref="NC8:NP8" si="239">IF(AND(NC6&lt;&gt;0,NC7&lt;&gt;0),(NC6-NC7)/NC7,IF(AND(NC6=0,NC7=0),"",IF(AND(NC6="",NC7=""),"",IF(AND(NC6=0,NC7=""),"", IF(AND(NC6="",NC7=0),"",1)))))</f>
        <v/>
      </c>
      <c r="ND8" s="73" t="str">
        <f t="shared" si="239"/>
        <v/>
      </c>
      <c r="NE8" s="73" t="str">
        <f t="shared" si="239"/>
        <v/>
      </c>
      <c r="NF8" s="73" t="str">
        <f t="shared" si="239"/>
        <v/>
      </c>
      <c r="NG8" s="73" t="str">
        <f t="shared" si="239"/>
        <v/>
      </c>
      <c r="NH8" s="73" t="str">
        <f t="shared" si="239"/>
        <v/>
      </c>
      <c r="NI8" s="73" t="str">
        <f t="shared" si="239"/>
        <v/>
      </c>
      <c r="NJ8" s="73" t="str">
        <f t="shared" si="239"/>
        <v/>
      </c>
      <c r="NK8" s="73" t="str">
        <f t="shared" si="239"/>
        <v/>
      </c>
      <c r="NL8" s="73" t="str">
        <f t="shared" si="239"/>
        <v/>
      </c>
      <c r="NM8" s="73" t="str">
        <f t="shared" si="239"/>
        <v/>
      </c>
      <c r="NN8" s="73" t="str">
        <f t="shared" si="239"/>
        <v/>
      </c>
      <c r="NO8" s="73" t="str">
        <f t="shared" si="239"/>
        <v/>
      </c>
      <c r="NP8" s="73" t="str">
        <f t="shared" si="239"/>
        <v/>
      </c>
      <c r="NQ8" s="74" t="str">
        <f t="shared" si="235"/>
        <v/>
      </c>
      <c r="NR8" s="40">
        <f t="shared" ref="NR8" si="240">IF(AND(NR6&lt;&gt;0,NR7&lt;&gt;0),(NR6-NR7)/NR7,IF(AND(NR6=0,NR7=0),"",IF(AND(NR6="",NR7=""),"",IF(AND(NR6=0,NR7=""),"", IF(AND(NR6="",NR7=0),"",1)))))</f>
        <v>0</v>
      </c>
      <c r="NS8" s="40">
        <f t="shared" ref="NS8" si="241">IF(AND(NS6&lt;&gt;0,NS7&lt;&gt;0),(NS6-NS7)/NS7,IF(AND(NS6=0,NS7=0),"",IF(AND(NS6="",NS7=""),"",IF(AND(NS6=0,NS7=""),"", IF(AND(NS6="",NS7=0),"",1)))))</f>
        <v>0</v>
      </c>
      <c r="NT8" s="40">
        <f t="shared" ref="NT8" si="242">IF(AND(NT6&lt;&gt;0,NT7&lt;&gt;0),(NT6-NT7)/NT7,IF(AND(NT6=0,NT7=0),"",IF(AND(NT6="",NT7=""),"",IF(AND(NT6=0,NT7=""),"", IF(AND(NT6="",NT7=0),"",1)))))</f>
        <v>-6.5789473684210523E-3</v>
      </c>
      <c r="NU8" s="40">
        <f t="shared" ref="NU8" si="243">IF(AND(NU6&lt;&gt;0,NU7&lt;&gt;0),(NU6-NU7)/NU7,IF(AND(NU6=0,NU7=0),"",IF(AND(NU6="",NU7=""),"",IF(AND(NU6=0,NU7=""),"", IF(AND(NU6="",NU7=0),"",1)))))</f>
        <v>-4.9504950495049506E-3</v>
      </c>
      <c r="NV8" s="40">
        <f t="shared" ref="NV8" si="244">IF(AND(NV6&lt;&gt;0,NV7&lt;&gt;0),(NV6-NV7)/NV7,IF(AND(NV6=0,NV7=0),"",IF(AND(NV6="",NV7=""),"",IF(AND(NV6=0,NV7=""),"", IF(AND(NV6="",NV7=0),"",1)))))</f>
        <v>-6.2027597815040657E-8</v>
      </c>
      <c r="NW8" s="40">
        <f t="shared" ref="NW8" si="245">IF(AND(NW6&lt;&gt;0,NW7&lt;&gt;0),(NW6-NW7)/NW7,IF(AND(NW6=0,NW7=0),"",IF(AND(NW6="",NW7=""),"",IF(AND(NW6=0,NW7=""),"", IF(AND(NW6="",NW7=0),"",1)))))</f>
        <v>-3.4965034965034965E-3</v>
      </c>
      <c r="NX8" s="40">
        <f t="shared" ref="NX8" si="246">IF(AND(NX6&lt;&gt;0,NX7&lt;&gt;0),(NX6-NX7)/NX7,IF(AND(NX6=0,NX7=0),"",IF(AND(NX6="",NX7=""),"",IF(AND(NX6=0,NX7=""),"", IF(AND(NX6="",NX7=0),"",1)))))</f>
        <v>-3.1250000000000002E-3</v>
      </c>
      <c r="NY8" s="40">
        <f t="shared" ref="NY8" si="247">IF(AND(NY6&lt;&gt;0,NY7&lt;&gt;0),(NY6-NY7)/NY7,IF(AND(NY6=0,NY7=0),"",IF(AND(NY6="",NY7=""),"",IF(AND(NY6=0,NY7=""),"", IF(AND(NY6="",NY7=0),"",1)))))</f>
        <v>0</v>
      </c>
      <c r="NZ8" s="40">
        <f t="shared" ref="NZ8" si="248">IF(AND(NZ6&lt;&gt;0,NZ7&lt;&gt;0),(NZ6-NZ7)/NZ7,IF(AND(NZ6=0,NZ7=0),"",IF(AND(NZ6="",NZ7=""),"",IF(AND(NZ6=0,NZ7=""),"", IF(AND(NZ6="",NZ7=0),"",1)))))</f>
        <v>0</v>
      </c>
      <c r="OA8" s="40">
        <f t="shared" ref="OA8" si="249">IF(AND(OA6&lt;&gt;0,OA7&lt;&gt;0),(OA6-OA7)/OA7,IF(AND(OA6=0,OA7=0),"",IF(AND(OA6="",OA7=""),"",IF(AND(OA6=0,OA7=""),"", IF(AND(OA6="",OA7=0),"",1)))))</f>
        <v>-2.5062656641604009E-3</v>
      </c>
      <c r="OB8" s="40">
        <f t="shared" ref="OB8" si="250">IF(AND(OB6&lt;&gt;0,OB7&lt;&gt;0),(OB6-OB7)/OB7,IF(AND(OB6=0,OB7=0),"",IF(AND(OB6="",OB7=""),"",IF(AND(OB6=0,OB7=""),"", IF(AND(OB6="",OB7=0),"",1)))))</f>
        <v>0</v>
      </c>
      <c r="OC8" s="40">
        <f t="shared" ref="OC8" si="251">IF(AND(OC6&lt;&gt;0,OC7&lt;&gt;0),(OC6-OC7)/OC7,IF(AND(OC6=0,OC7=0),"",IF(AND(OC6="",OC7=""),"",IF(AND(OC6=0,OC7=""),"", IF(AND(OC6="",OC7=0),"",1)))))</f>
        <v>0</v>
      </c>
      <c r="OD8" s="40">
        <f t="shared" ref="OD8" si="252">IF(AND(OD6&lt;&gt;0,OD7&lt;&gt;0),(OD6-OD7)/OD7,IF(AND(OD6=0,OD7=0),"",IF(AND(OD6="",OD7=""),"",IF(AND(OD6=0,OD7=""),"", IF(AND(OD6="",OD7=0),"",1)))))</f>
        <v>2.2471910112359553E-3</v>
      </c>
      <c r="OE8" s="40">
        <f t="shared" ref="OE8" si="253">IF(AND(OE6&lt;&gt;0,OE7&lt;&gt;0),(OE6-OE7)/OE7,IF(AND(OE6=0,OE7=0),"",IF(AND(OE6="",OE7=""),"",IF(AND(OE6=0,OE7=""),"", IF(AND(OE6="",OE7=0),"",1)))))</f>
        <v>0</v>
      </c>
      <c r="OF8" s="40">
        <f t="shared" ref="OF8" si="254">IF(AND(OF6&lt;&gt;0,OF7&lt;&gt;0),(OF6-OF7)/OF7,IF(AND(OF6=0,OF7=0),"",IF(AND(OF6="",OF7=""),"",IF(AND(OF6=0,OF7=""),"", IF(AND(OF6="",OF7=0),"",1)))))</f>
        <v>-4.3103448275862068E-3</v>
      </c>
      <c r="OG8" s="40">
        <f t="shared" ref="OG8" si="255">IF(AND(OG6&lt;&gt;0,OG7&lt;&gt;0),(OG6-OG7)/OG7,IF(AND(OG6=0,OG7=0),"",IF(AND(OG6="",OG7=""),"",IF(AND(OG6=0,OG7=""),"", IF(AND(OG6="",OG7=0),"",1)))))</f>
        <v>4.2553191489361703E-3</v>
      </c>
      <c r="OH8" s="40">
        <f t="shared" ref="OH8" si="256">IF(AND(OH6&lt;&gt;0,OH7&lt;&gt;0),(OH6-OH7)/OH7,IF(AND(OH6=0,OH7=0),"",IF(AND(OH6="",OH7=""),"",IF(AND(OH6=0,OH7=""),"", IF(AND(OH6="",OH7=0),"",1)))))</f>
        <v>-4.2194092827004216E-3</v>
      </c>
      <c r="OI8" s="40">
        <f t="shared" ref="OI8" si="257">IF(AND(OI6&lt;&gt;0,OI7&lt;&gt;0),(OI6-OI7)/OI7,IF(AND(OI6=0,OI7=0),"",IF(AND(OI6="",OI7=""),"",IF(AND(OI6=0,OI7=""),"", IF(AND(OI6="",OI7=0),"",1)))))</f>
        <v>-2.096500036851415E-3</v>
      </c>
      <c r="OJ8" s="40">
        <f t="shared" ref="OJ8" si="258">IF(AND(OJ6&lt;&gt;0,OJ7&lt;&gt;0),(OJ6-OJ7)/OJ7,IF(AND(OJ6=0,OJ7=0),"",IF(AND(OJ6="",OJ7=""),"",IF(AND(OJ6=0,OJ7=""),"", IF(AND(OJ6="",OJ7=0),"",1)))))</f>
        <v>0</v>
      </c>
      <c r="OK8" s="40">
        <f t="shared" ref="OK8" si="259">IF(AND(OK6&lt;&gt;0,OK7&lt;&gt;0),(OK6-OK7)/OK7,IF(AND(OK6=0,OK7=0),"",IF(AND(OK6="",OK7=""),"",IF(AND(OK6=0,OK7=""),"", IF(AND(OK6="",OK7=0),"",1)))))</f>
        <v>-2.096500036851415E-3</v>
      </c>
      <c r="OL8" s="40">
        <f t="shared" ref="OL8" si="260">IF(AND(OL6&lt;&gt;0,OL7&lt;&gt;0),(OL6-OL7)/OL7,IF(AND(OL6=0,OL7=0),"",IF(AND(OL6="",OL7=""),"",IF(AND(OL6=0,OL7=""),"", IF(AND(OL6="",OL7=0),"",1)))))</f>
        <v>-4.2194092827004216E-3</v>
      </c>
      <c r="OM8" s="40">
        <f t="shared" ref="OM8" si="261">IF(AND(OM6&lt;&gt;0,OM7&lt;&gt;0),(OM6-OM7)/OM7,IF(AND(OM6=0,OM7=0),"",IF(AND(OM6="",OM7=""),"",IF(AND(OM6=0,OM7=""),"", IF(AND(OM6="",OM7=0),"",1)))))</f>
        <v>2.1141649048625794E-3</v>
      </c>
      <c r="ON8" s="40">
        <f t="shared" ref="ON8:PB8" si="262">IF(AND(ON6&lt;&gt;0,ON7&lt;&gt;0),(ON6-ON7)/ON7,IF(AND(ON6=0,ON7=0),"",IF(AND(ON6="",ON7=""),"",IF(AND(ON6=0,ON7=""),"", IF(AND(ON6="",ON7=0),"",1)))))</f>
        <v>2.1413276231263384E-3</v>
      </c>
      <c r="OO8" s="40">
        <f t="shared" si="262"/>
        <v>-7.7286282306163023E-2</v>
      </c>
      <c r="OP8" s="40">
        <f t="shared" si="262"/>
        <v>2.615746795710175E-4</v>
      </c>
      <c r="OQ8" s="40">
        <f t="shared" si="262"/>
        <v>1</v>
      </c>
      <c r="OR8" s="40" t="str">
        <f t="shared" si="262"/>
        <v/>
      </c>
      <c r="OS8" s="40" t="str">
        <f t="shared" si="262"/>
        <v/>
      </c>
      <c r="OT8" s="40" t="str">
        <f t="shared" si="262"/>
        <v/>
      </c>
      <c r="OU8" s="40" t="str">
        <f t="shared" si="262"/>
        <v/>
      </c>
      <c r="OV8" s="40" t="str">
        <f t="shared" si="262"/>
        <v/>
      </c>
      <c r="OW8" s="40" t="str">
        <f t="shared" si="262"/>
        <v/>
      </c>
      <c r="OX8" s="40" t="str">
        <f t="shared" si="262"/>
        <v/>
      </c>
      <c r="OY8" s="40" t="str">
        <f t="shared" si="262"/>
        <v/>
      </c>
      <c r="OZ8" s="40" t="str">
        <f t="shared" si="262"/>
        <v/>
      </c>
      <c r="PA8" s="40" t="str">
        <f t="shared" si="262"/>
        <v/>
      </c>
      <c r="PB8" s="40" t="str">
        <f t="shared" si="262"/>
        <v/>
      </c>
      <c r="PC8" s="41">
        <f>IF(AND(PC6&lt;&gt;0,PC7&lt;&gt;0),(PC6-PC7)/PC7,IF(AND(PC6=0,PC7=0),"",IF(AND(PC6="",PC7=""),"",IF(AND(PC6=0,PC7=""),"", IF(AND(PC6="",PC7=0),"",1)))))</f>
        <v>5.5610050503130268E-2</v>
      </c>
    </row>
    <row r="9" spans="1:419" outlineLevel="1" x14ac:dyDescent="0.4">
      <c r="A9" s="46" t="s">
        <v>33</v>
      </c>
      <c r="B9" s="14">
        <f>'[1]D-PDP'!$BW$12</f>
        <v>4703604</v>
      </c>
      <c r="C9" s="14">
        <f>'[1]D-PDP'!$BW$13</f>
        <v>3965966.75</v>
      </c>
      <c r="D9" s="14">
        <f>'[1]D-PDP'!$BW$14</f>
        <v>3388710.25</v>
      </c>
      <c r="E9" s="14">
        <f>'[1]D-PDP'!$BW$15</f>
        <v>2948435.5</v>
      </c>
      <c r="F9" s="14">
        <f>'[1]D-PDP'!$BW$16</f>
        <v>2597125.75</v>
      </c>
      <c r="G9" s="14">
        <f>'[1]D-PDP'!$BW$17</f>
        <v>2317637.75</v>
      </c>
      <c r="H9" s="14">
        <f>'[1]D-PDP'!$BW$18</f>
        <v>2075117</v>
      </c>
      <c r="I9" s="14">
        <f>'[1]D-PDP'!$BW$19</f>
        <v>1877525.375</v>
      </c>
      <c r="J9" s="14">
        <f>'[1]D-PDP'!$BW$20</f>
        <v>1709751.5</v>
      </c>
      <c r="K9" s="14">
        <f>'[1]D-PDP'!$BW$21</f>
        <v>1570169.875</v>
      </c>
      <c r="L9" s="14">
        <f>'[1]D-PDP'!$BW$22</f>
        <v>1208622.875</v>
      </c>
      <c r="M9" s="14">
        <f>'[1]D-PDP'!$BW$23</f>
        <v>0</v>
      </c>
      <c r="N9" s="14">
        <f>'[1]D-PDP'!$BW$24</f>
        <v>0</v>
      </c>
      <c r="O9" s="14">
        <f>'[1]D-PDP'!$BW$25</f>
        <v>0</v>
      </c>
      <c r="P9" s="14">
        <f>'[1]D-PDP'!$BW$26</f>
        <v>0</v>
      </c>
      <c r="Q9" s="14">
        <f>'[1]D-PDP'!$BW$27</f>
        <v>0</v>
      </c>
      <c r="R9" s="14">
        <f>'[1]D-PDP'!$BW$28</f>
        <v>0</v>
      </c>
      <c r="S9" s="14">
        <f>'[1]D-PDP'!$BW$29</f>
        <v>0</v>
      </c>
      <c r="T9" s="14">
        <f>'[1]D-PDP'!$BW$30</f>
        <v>0</v>
      </c>
      <c r="U9" s="14">
        <f>'[1]D-PDP'!$BW$31</f>
        <v>0</v>
      </c>
      <c r="V9" s="14">
        <f>'[1]D-PDP'!$BW$32</f>
        <v>0</v>
      </c>
      <c r="W9" s="14">
        <f>'[1]D-PDP'!$BW$33</f>
        <v>0</v>
      </c>
      <c r="X9" s="14">
        <f>'[1]D-PDP'!$BW$34</f>
        <v>0</v>
      </c>
      <c r="Y9" s="14">
        <f>'[1]D-PDP'!$BW$35</f>
        <v>0</v>
      </c>
      <c r="Z9" s="14">
        <f>'[1]D-PDP'!$BW$36</f>
        <v>0</v>
      </c>
      <c r="AA9" s="14">
        <f>'[1]D-PDP'!$BW$37</f>
        <v>0</v>
      </c>
      <c r="AB9" s="14">
        <f>'[1]D-PDP'!$BW$38</f>
        <v>0</v>
      </c>
      <c r="AC9" s="14">
        <f>'[1]D-PDP'!$BW$39</f>
        <v>0</v>
      </c>
      <c r="AD9" s="14">
        <f>'[1]D-PDP'!$BW$40</f>
        <v>0</v>
      </c>
      <c r="AE9" s="14">
        <f>'[1]D-PDP'!$BW$41</f>
        <v>0</v>
      </c>
      <c r="AF9" s="14">
        <f>'[1]D-PDP'!$BW$42</f>
        <v>0</v>
      </c>
      <c r="AG9" s="14">
        <f>'[1]D-PDP'!$BW$43</f>
        <v>0</v>
      </c>
      <c r="AH9" s="14">
        <f>'[1]D-PDP'!$BW$44</f>
        <v>0</v>
      </c>
      <c r="AI9" s="14">
        <f>'[1]D-PDP'!$BW$45</f>
        <v>0</v>
      </c>
      <c r="AJ9" s="14">
        <f>'[1]D-PDP'!$BW$46</f>
        <v>0</v>
      </c>
      <c r="AK9" s="14">
        <f>'[1]D-PDP'!$BW$47</f>
        <v>0</v>
      </c>
      <c r="AL9" s="14">
        <f>'[1]D-PDP'!$BW$48</f>
        <v>0</v>
      </c>
      <c r="AM9" s="16">
        <f>SUM(B9:AL9)</f>
        <v>28362666.625</v>
      </c>
      <c r="AN9" s="28">
        <f>'[1]D-PNP'!$BW$12</f>
        <v>0</v>
      </c>
      <c r="AO9" s="14">
        <f>'[1]D-PNP'!$BW$13</f>
        <v>0</v>
      </c>
      <c r="AP9" s="14">
        <f>'[1]D-PNP'!$BW$14</f>
        <v>0</v>
      </c>
      <c r="AQ9" s="14">
        <f>'[1]D-PNP'!$BW$15</f>
        <v>0</v>
      </c>
      <c r="AR9" s="14">
        <f>'[1]D-PNP'!$BW$16</f>
        <v>0</v>
      </c>
      <c r="AS9" s="14">
        <f>'[1]D-PNP'!$BW$17</f>
        <v>0</v>
      </c>
      <c r="AT9" s="14">
        <f>'[1]D-PNP'!$BW$18</f>
        <v>0</v>
      </c>
      <c r="AU9" s="14">
        <f>'[1]D-PNP'!$BW$19</f>
        <v>0</v>
      </c>
      <c r="AV9" s="14">
        <f>'[1]D-PNP'!$BW$20</f>
        <v>0</v>
      </c>
      <c r="AW9" s="14">
        <f>'[1]D-PNP'!$BW$21</f>
        <v>0</v>
      </c>
      <c r="AX9" s="14">
        <f>'[1]D-PNP'!$BW$22</f>
        <v>0</v>
      </c>
      <c r="AY9" s="14">
        <f>'[1]D-PNP'!$BW$23</f>
        <v>0</v>
      </c>
      <c r="AZ9" s="14">
        <f>'[1]D-PNP'!$BW$24</f>
        <v>0</v>
      </c>
      <c r="BA9" s="14">
        <f>'[1]D-PNP'!$BW$25</f>
        <v>0</v>
      </c>
      <c r="BB9" s="14">
        <f>'[1]D-PNP'!$BW$26</f>
        <v>0</v>
      </c>
      <c r="BC9" s="14">
        <f>'[1]D-PNP'!$BW$27</f>
        <v>0</v>
      </c>
      <c r="BD9" s="14">
        <f>'[1]D-PNP'!$BW$28</f>
        <v>0</v>
      </c>
      <c r="BE9" s="14">
        <f>'[1]D-PNP'!$BW$29</f>
        <v>0</v>
      </c>
      <c r="BF9" s="14">
        <f>'[1]D-PNP'!$BW$30</f>
        <v>0</v>
      </c>
      <c r="BG9" s="14">
        <f>'[1]D-PNP'!$BW$31</f>
        <v>0</v>
      </c>
      <c r="BH9" s="14">
        <f>'[1]D-PNP'!$BW$32</f>
        <v>0</v>
      </c>
      <c r="BI9" s="14">
        <f>'[1]D-PNP'!$BW$33</f>
        <v>0</v>
      </c>
      <c r="BJ9" s="14">
        <f>'[1]D-PNP'!$BW$34</f>
        <v>0</v>
      </c>
      <c r="BK9" s="14">
        <f>'[1]D-PNP'!$BW$35</f>
        <v>0</v>
      </c>
      <c r="BL9" s="14">
        <f>'[1]D-PNP'!$BW$36</f>
        <v>0</v>
      </c>
      <c r="BM9" s="14">
        <f>'[1]D-PNP'!$BW$37</f>
        <v>0</v>
      </c>
      <c r="BN9" s="14">
        <f>'[1]D-PNP'!$BW$38</f>
        <v>0</v>
      </c>
      <c r="BO9" s="14">
        <f>'[1]D-PNP'!$BW$39</f>
        <v>0</v>
      </c>
      <c r="BP9" s="14">
        <f>'[1]D-PNP'!$BW$40</f>
        <v>0</v>
      </c>
      <c r="BQ9" s="14">
        <f>'[1]D-PNP'!$BW$41</f>
        <v>0</v>
      </c>
      <c r="BR9" s="14">
        <f>'[1]D-PNP'!$BW$42</f>
        <v>0</v>
      </c>
      <c r="BS9" s="14">
        <f>'[1]D-PNP'!$BW$43</f>
        <v>0</v>
      </c>
      <c r="BT9" s="14">
        <f>'[1]D-PNP'!$BW$44</f>
        <v>0</v>
      </c>
      <c r="BU9" s="14">
        <f>'[1]D-PNP'!$BW$45</f>
        <v>0</v>
      </c>
      <c r="BV9" s="14">
        <f>'[1]D-PNP'!$BW$46</f>
        <v>0</v>
      </c>
      <c r="BW9" s="14">
        <f>'[1]D-PNP'!$BW$47</f>
        <v>0</v>
      </c>
      <c r="BX9" s="14">
        <f>'[1]D-PNP'!$BW$48</f>
        <v>0</v>
      </c>
      <c r="BY9" s="16">
        <f>SUM(AN9:BX9)</f>
        <v>0</v>
      </c>
      <c r="BZ9" s="28">
        <f>'[1]D-PND'!$BW$12</f>
        <v>0</v>
      </c>
      <c r="CA9" s="14">
        <f>'[1]D-PND'!$BW$13</f>
        <v>0</v>
      </c>
      <c r="CB9" s="14">
        <f>'[1]D-PND'!$BW$14</f>
        <v>0</v>
      </c>
      <c r="CC9" s="14">
        <f>'[1]D-PND'!$BW$15</f>
        <v>0</v>
      </c>
      <c r="CD9" s="14">
        <f>'[1]D-PND'!$BW$16</f>
        <v>0</v>
      </c>
      <c r="CE9" s="14">
        <f>'[1]D-PND'!$BW$17</f>
        <v>0</v>
      </c>
      <c r="CF9" s="14">
        <f>'[1]D-PND'!$BW$18</f>
        <v>0</v>
      </c>
      <c r="CG9" s="14">
        <f>'[1]D-PND'!$BW$19</f>
        <v>0</v>
      </c>
      <c r="CH9" s="14">
        <f>'[1]D-PND'!$BW$20</f>
        <v>0</v>
      </c>
      <c r="CI9" s="14">
        <f>'[1]D-PND'!$BW$21</f>
        <v>0</v>
      </c>
      <c r="CJ9" s="14">
        <f>'[1]D-PND'!$BW$22</f>
        <v>0</v>
      </c>
      <c r="CK9" s="14">
        <f>'[1]D-PND'!$BW$23</f>
        <v>0</v>
      </c>
      <c r="CL9" s="14">
        <f>'[1]D-PND'!$BW$24</f>
        <v>0</v>
      </c>
      <c r="CM9" s="14">
        <f>'[1]D-PND'!$BW$25</f>
        <v>0</v>
      </c>
      <c r="CN9" s="14">
        <f>'[1]D-PND'!$BW$26</f>
        <v>0</v>
      </c>
      <c r="CO9" s="14">
        <f>'[1]D-PND'!$BW$27</f>
        <v>0</v>
      </c>
      <c r="CP9" s="14">
        <f>'[1]D-PND'!$BW$28</f>
        <v>0</v>
      </c>
      <c r="CQ9" s="14">
        <f>'[1]D-PND'!$BW$29</f>
        <v>0</v>
      </c>
      <c r="CR9" s="14">
        <f>'[1]D-PND'!$BW$30</f>
        <v>0</v>
      </c>
      <c r="CS9" s="14">
        <f>'[1]D-PND'!$BW$31</f>
        <v>0</v>
      </c>
      <c r="CT9" s="14">
        <f>'[1]D-PND'!$BW$32</f>
        <v>0</v>
      </c>
      <c r="CU9" s="14">
        <f>'[1]D-PND'!$BW$33</f>
        <v>0</v>
      </c>
      <c r="CV9" s="14">
        <f>'[1]D-PND'!$BW$34</f>
        <v>0</v>
      </c>
      <c r="CW9" s="14">
        <f>'[1]D-PND'!$BW$35</f>
        <v>0</v>
      </c>
      <c r="CX9" s="14">
        <f>'[1]D-PND'!$BW$36</f>
        <v>0</v>
      </c>
      <c r="CY9" s="14">
        <f>'[1]D-PND'!$BW$37</f>
        <v>0</v>
      </c>
      <c r="CZ9" s="14">
        <f>'[1]D-PND'!$BW$38</f>
        <v>0</v>
      </c>
      <c r="DA9" s="14">
        <f>'[1]D-PND'!$BW$39</f>
        <v>0</v>
      </c>
      <c r="DB9" s="14">
        <f>'[1]D-PND'!$BW$40</f>
        <v>0</v>
      </c>
      <c r="DC9" s="14">
        <f>'[1]D-PND'!$BW$41</f>
        <v>0</v>
      </c>
      <c r="DD9" s="14">
        <f>'[1]D-PND'!$BW$42</f>
        <v>0</v>
      </c>
      <c r="DE9" s="14">
        <f>'[1]D-PND'!$BW$43</f>
        <v>0</v>
      </c>
      <c r="DF9" s="14">
        <f>'[1]D-PND'!$BW$44</f>
        <v>0</v>
      </c>
      <c r="DG9" s="14">
        <f>'[1]D-PND'!$BW$45</f>
        <v>0</v>
      </c>
      <c r="DH9" s="14">
        <f>'[1]D-PND'!$BW$46</f>
        <v>0</v>
      </c>
      <c r="DI9" s="14">
        <f>'[1]D-PND'!$BW$47</f>
        <v>0</v>
      </c>
      <c r="DJ9" s="14">
        <f>'[1]D-PND'!$BW$48</f>
        <v>0</v>
      </c>
      <c r="DK9" s="16">
        <f>SUM(BZ9:DJ9)</f>
        <v>0</v>
      </c>
      <c r="DL9" s="66"/>
      <c r="DM9" s="67"/>
      <c r="DN9" s="67"/>
      <c r="DO9" s="67"/>
      <c r="DP9" s="67"/>
      <c r="DQ9" s="67"/>
      <c r="DR9" s="67"/>
      <c r="DS9" s="67"/>
      <c r="DT9" s="67"/>
      <c r="DU9" s="67"/>
      <c r="DV9" s="67"/>
      <c r="DW9" s="67"/>
      <c r="DX9" s="67"/>
      <c r="DY9" s="67"/>
      <c r="DZ9" s="67"/>
      <c r="EA9" s="67"/>
      <c r="EB9" s="67"/>
      <c r="EC9" s="67"/>
      <c r="ED9" s="67"/>
      <c r="EE9" s="67"/>
      <c r="EF9" s="67"/>
      <c r="EG9" s="67"/>
      <c r="EH9" s="67"/>
      <c r="EI9" s="67"/>
      <c r="EJ9" s="67"/>
      <c r="EK9" s="67"/>
      <c r="EL9" s="67"/>
      <c r="EM9" s="67"/>
      <c r="EN9" s="67"/>
      <c r="EO9" s="67"/>
      <c r="EP9" s="67"/>
      <c r="EQ9" s="67"/>
      <c r="ER9" s="67"/>
      <c r="ES9" s="67"/>
      <c r="ET9" s="67"/>
      <c r="EU9" s="67"/>
      <c r="EV9" s="67"/>
      <c r="EW9" s="68">
        <f>SUM(DL9:EV9)</f>
        <v>0</v>
      </c>
      <c r="EX9" s="66"/>
      <c r="EY9" s="67"/>
      <c r="EZ9" s="67"/>
      <c r="FA9" s="67"/>
      <c r="FB9" s="67"/>
      <c r="FC9" s="67"/>
      <c r="FD9" s="67"/>
      <c r="FE9" s="67"/>
      <c r="FF9" s="67"/>
      <c r="FG9" s="67"/>
      <c r="FH9" s="67"/>
      <c r="FI9" s="67"/>
      <c r="FJ9" s="67"/>
      <c r="FK9" s="67"/>
      <c r="FL9" s="67"/>
      <c r="FM9" s="67"/>
      <c r="FN9" s="67"/>
      <c r="FO9" s="67"/>
      <c r="FP9" s="67"/>
      <c r="FQ9" s="67"/>
      <c r="FR9" s="67"/>
      <c r="FS9" s="67"/>
      <c r="FT9" s="67"/>
      <c r="FU9" s="67"/>
      <c r="FV9" s="67"/>
      <c r="FW9" s="67"/>
      <c r="FX9" s="67"/>
      <c r="FY9" s="67"/>
      <c r="FZ9" s="67"/>
      <c r="GA9" s="67"/>
      <c r="GB9" s="67"/>
      <c r="GC9" s="67"/>
      <c r="GD9" s="67"/>
      <c r="GE9" s="67"/>
      <c r="GF9" s="67"/>
      <c r="GG9" s="67"/>
      <c r="GH9" s="67"/>
      <c r="GI9" s="68">
        <f>SUM(EX9:GH9)</f>
        <v>0</v>
      </c>
      <c r="GJ9" s="66"/>
      <c r="GK9" s="67"/>
      <c r="GL9" s="67"/>
      <c r="GM9" s="67"/>
      <c r="GN9" s="67"/>
      <c r="GO9" s="67"/>
      <c r="GP9" s="67"/>
      <c r="GQ9" s="67"/>
      <c r="GR9" s="67"/>
      <c r="GS9" s="67"/>
      <c r="GT9" s="67"/>
      <c r="GU9" s="67"/>
      <c r="GV9" s="67"/>
      <c r="GW9" s="67"/>
      <c r="GX9" s="67"/>
      <c r="GY9" s="67"/>
      <c r="GZ9" s="67"/>
      <c r="HA9" s="67"/>
      <c r="HB9" s="67"/>
      <c r="HC9" s="67"/>
      <c r="HD9" s="67"/>
      <c r="HE9" s="67"/>
      <c r="HF9" s="67"/>
      <c r="HG9" s="67"/>
      <c r="HH9" s="67"/>
      <c r="HI9" s="67"/>
      <c r="HJ9" s="67"/>
      <c r="HK9" s="67"/>
      <c r="HL9" s="67"/>
      <c r="HM9" s="67"/>
      <c r="HN9" s="67"/>
      <c r="HO9" s="67"/>
      <c r="HP9" s="67"/>
      <c r="HQ9" s="67"/>
      <c r="HR9" s="67"/>
      <c r="HS9" s="67"/>
      <c r="HT9" s="67"/>
      <c r="HU9" s="68">
        <f>SUM(GJ9:HT9)</f>
        <v>0</v>
      </c>
      <c r="HV9" s="28">
        <f>'[1]D-PRB'!$BW$12</f>
        <v>601386.5625</v>
      </c>
      <c r="HW9" s="14">
        <f>'[1]D-PRB'!$BW$13</f>
        <v>1061160.5</v>
      </c>
      <c r="HX9" s="14">
        <f>'[1]D-PRB'!$BW$14</f>
        <v>1349098.125</v>
      </c>
      <c r="HY9" s="14">
        <f>'[1]D-PRB'!$BW$15</f>
        <v>1529384.25</v>
      </c>
      <c r="HZ9" s="14">
        <f>'[1]D-PRB'!$BW$16</f>
        <v>1634923.5</v>
      </c>
      <c r="IA9" s="14">
        <f>'[1]D-PRB'!$BW$17</f>
        <v>1692689.75</v>
      </c>
      <c r="IB9" s="14">
        <f>'[1]D-PRB'!$BW$18</f>
        <v>1704470.375</v>
      </c>
      <c r="IC9" s="14">
        <f>'[1]D-PRB'!$BW$19</f>
        <v>1694558.25</v>
      </c>
      <c r="ID9" s="14">
        <f>'[1]D-PRB'!$BW$20</f>
        <v>1666284.5</v>
      </c>
      <c r="IE9" s="14">
        <f>'[1]D-PRB'!$BW$21</f>
        <v>1628911.125</v>
      </c>
      <c r="IF9" s="14">
        <f>'[1]D-PRB'!$BW$22</f>
        <v>1806597.25</v>
      </c>
      <c r="IG9" s="14">
        <f>'[1]D-PRB'!$BW$23</f>
        <v>2849640</v>
      </c>
      <c r="IH9" s="14">
        <f>'[1]D-PRB'!$BW$24</f>
        <v>2693159.25</v>
      </c>
      <c r="II9" s="14">
        <f>'[1]D-PRB'!$BW$25</f>
        <v>2552034</v>
      </c>
      <c r="IJ9" s="14">
        <f>'[1]D-PRB'!$BW$26</f>
        <v>2405302.75</v>
      </c>
      <c r="IK9" s="14">
        <f>'[1]D-PRB'!$BW$27</f>
        <v>2273114.75</v>
      </c>
      <c r="IL9" s="14">
        <f>'[1]D-PRB'!$BW$28</f>
        <v>2148401</v>
      </c>
      <c r="IM9" s="14">
        <f>'[1]D-PRB'!$BW$29</f>
        <v>2036037.375</v>
      </c>
      <c r="IN9" s="14">
        <f>'[1]D-PRB'!$BW$30</f>
        <v>1918636.125</v>
      </c>
      <c r="IO9" s="14">
        <f>'[1]D-PRB'!$BW$31</f>
        <v>1813340.625</v>
      </c>
      <c r="IP9" s="14">
        <f>'[1]D-PRB'!$BW$32</f>
        <v>1714057.5</v>
      </c>
      <c r="IQ9" s="14">
        <f>'[1]D-PRB'!$BW$33</f>
        <v>1624036.25</v>
      </c>
      <c r="IR9" s="14">
        <f>'[1]D-PRB'!$BW$34</f>
        <v>1530684.25</v>
      </c>
      <c r="IS9" s="14">
        <f>'[1]D-PRB'!$BW$35</f>
        <v>126094.5625</v>
      </c>
      <c r="IT9" s="14">
        <f>'[1]D-PRB'!$BW$36</f>
        <v>0</v>
      </c>
      <c r="IU9" s="14">
        <f>'[1]D-PRB'!$BW$37</f>
        <v>0</v>
      </c>
      <c r="IV9" s="14">
        <f>'[1]D-PRB'!$BW$38</f>
        <v>0</v>
      </c>
      <c r="IW9" s="14">
        <f>'[1]D-PRB'!$BW$39</f>
        <v>0</v>
      </c>
      <c r="IX9" s="14">
        <f>'[1]D-PRB'!$BW$40</f>
        <v>0</v>
      </c>
      <c r="IY9" s="14">
        <f>'[1]D-PRB'!$BW$41</f>
        <v>0</v>
      </c>
      <c r="IZ9" s="14">
        <f>'[1]D-PRB'!$BW$42</f>
        <v>0</v>
      </c>
      <c r="JA9" s="14">
        <f>'[1]D-PRB'!$BW$43</f>
        <v>0</v>
      </c>
      <c r="JB9" s="14">
        <f>'[1]D-PRB'!$BW$44</f>
        <v>0</v>
      </c>
      <c r="JC9" s="14">
        <f>'[1]D-PRB'!$BW$45</f>
        <v>0</v>
      </c>
      <c r="JD9" s="14">
        <f>'[1]D-PRB'!$BW$46</f>
        <v>0</v>
      </c>
      <c r="JE9" s="14">
        <f>'[1]D-PRB'!$BW$47</f>
        <v>0</v>
      </c>
      <c r="JF9" s="14">
        <f>'[1]D-PRB'!$BW$48</f>
        <v>0</v>
      </c>
      <c r="JG9" s="16">
        <f>SUM(HV9:JF9)</f>
        <v>42054002.625</v>
      </c>
      <c r="JH9" s="66"/>
      <c r="JI9" s="67"/>
      <c r="JJ9" s="67"/>
      <c r="JK9" s="67"/>
      <c r="JL9" s="67"/>
      <c r="JM9" s="67"/>
      <c r="JN9" s="67"/>
      <c r="JO9" s="67"/>
      <c r="JP9" s="67"/>
      <c r="JQ9" s="67"/>
      <c r="JR9" s="67"/>
      <c r="JS9" s="67"/>
      <c r="JT9" s="67"/>
      <c r="JU9" s="67"/>
      <c r="JV9" s="67"/>
      <c r="JW9" s="67"/>
      <c r="JX9" s="67"/>
      <c r="JY9" s="67"/>
      <c r="JZ9" s="67"/>
      <c r="KA9" s="67"/>
      <c r="KB9" s="67"/>
      <c r="KC9" s="67"/>
      <c r="KD9" s="67"/>
      <c r="KE9" s="67"/>
      <c r="KF9" s="67"/>
      <c r="KG9" s="67"/>
      <c r="KH9" s="67"/>
      <c r="KI9" s="67"/>
      <c r="KJ9" s="67"/>
      <c r="KK9" s="67"/>
      <c r="KL9" s="67"/>
      <c r="KM9" s="67"/>
      <c r="KN9" s="67"/>
      <c r="KO9" s="67"/>
      <c r="KP9" s="67"/>
      <c r="KQ9" s="67"/>
      <c r="KR9" s="67"/>
      <c r="KS9" s="68">
        <f>SUM(JH9:KR9)</f>
        <v>0</v>
      </c>
      <c r="KT9" s="66"/>
      <c r="KU9" s="67"/>
      <c r="KV9" s="67"/>
      <c r="KW9" s="67"/>
      <c r="KX9" s="67"/>
      <c r="KY9" s="67"/>
      <c r="KZ9" s="67"/>
      <c r="LA9" s="67"/>
      <c r="LB9" s="67"/>
      <c r="LC9" s="67"/>
      <c r="LD9" s="67"/>
      <c r="LE9" s="67"/>
      <c r="LF9" s="67"/>
      <c r="LG9" s="67"/>
      <c r="LH9" s="67"/>
      <c r="LI9" s="67"/>
      <c r="LJ9" s="67"/>
      <c r="LK9" s="67"/>
      <c r="LL9" s="67"/>
      <c r="LM9" s="67"/>
      <c r="LN9" s="67"/>
      <c r="LO9" s="67"/>
      <c r="LP9" s="67"/>
      <c r="LQ9" s="67"/>
      <c r="LR9" s="67"/>
      <c r="LS9" s="67"/>
      <c r="LT9" s="67"/>
      <c r="LU9" s="67"/>
      <c r="LV9" s="67"/>
      <c r="LW9" s="67"/>
      <c r="LX9" s="67"/>
      <c r="LY9" s="67"/>
      <c r="LZ9" s="67"/>
      <c r="MA9" s="67"/>
      <c r="MB9" s="67"/>
      <c r="MC9" s="67"/>
      <c r="MD9" s="67"/>
      <c r="ME9" s="68">
        <f>SUM(KT9:MD9)</f>
        <v>0</v>
      </c>
      <c r="MF9" s="66"/>
      <c r="MG9" s="67"/>
      <c r="MH9" s="67"/>
      <c r="MI9" s="67"/>
      <c r="MJ9" s="67"/>
      <c r="MK9" s="67"/>
      <c r="ML9" s="67"/>
      <c r="MM9" s="67"/>
      <c r="MN9" s="67"/>
      <c r="MO9" s="67"/>
      <c r="MP9" s="67"/>
      <c r="MQ9" s="67"/>
      <c r="MR9" s="67"/>
      <c r="MS9" s="67"/>
      <c r="MT9" s="67"/>
      <c r="MU9" s="67"/>
      <c r="MV9" s="67"/>
      <c r="MW9" s="67"/>
      <c r="MX9" s="67"/>
      <c r="MY9" s="67"/>
      <c r="MZ9" s="67"/>
      <c r="NA9" s="67"/>
      <c r="NB9" s="67"/>
      <c r="NC9" s="67"/>
      <c r="ND9" s="67"/>
      <c r="NE9" s="67"/>
      <c r="NF9" s="67"/>
      <c r="NG9" s="67"/>
      <c r="NH9" s="67"/>
      <c r="NI9" s="67"/>
      <c r="NJ9" s="67"/>
      <c r="NK9" s="67"/>
      <c r="NL9" s="67"/>
      <c r="NM9" s="67"/>
      <c r="NN9" s="67"/>
      <c r="NO9" s="67"/>
      <c r="NP9" s="67"/>
      <c r="NQ9" s="68">
        <f>SUM(MF9:NP9)</f>
        <v>0</v>
      </c>
      <c r="NR9" s="14">
        <f>'[1]D-PS'!$BW$12</f>
        <v>13486.9765625</v>
      </c>
      <c r="NS9" s="14">
        <f>'[1]D-PS'!$BW$13</f>
        <v>39079.6796875</v>
      </c>
      <c r="NT9" s="14">
        <f>'[1]D-PS'!$BW$14</f>
        <v>61909.875</v>
      </c>
      <c r="NU9" s="14">
        <f>'[1]D-PS'!$BW$15</f>
        <v>82140.1640625</v>
      </c>
      <c r="NV9" s="14">
        <f>'[1]D-PS'!$BW$16</f>
        <v>99933.0703125</v>
      </c>
      <c r="NW9" s="14">
        <f>'[1]D-PS'!$BW$17</f>
        <v>116182.3828125</v>
      </c>
      <c r="NX9" s="14">
        <f>'[1]D-PS'!$BW$18</f>
        <v>129832.125</v>
      </c>
      <c r="NY9" s="14">
        <f>'[1]D-PS'!$BW$19</f>
        <v>141937.75</v>
      </c>
      <c r="NZ9" s="14">
        <f>'[1]D-PS'!$BW$20</f>
        <v>152337.140625</v>
      </c>
      <c r="OA9" s="14">
        <f>'[1]D-PS'!$BW$21</f>
        <v>161924.28125</v>
      </c>
      <c r="OB9" s="14">
        <f>'[1]D-PS'!$BW$22</f>
        <v>168911.421875</v>
      </c>
      <c r="OC9" s="14">
        <f>'[1]D-PS'!$BW$23</f>
        <v>175492.359375</v>
      </c>
      <c r="OD9" s="14">
        <f>'[1]D-PS'!$BW$24</f>
        <v>180773.453125</v>
      </c>
      <c r="OE9" s="14">
        <f>'[1]D-PS'!$BW$25</f>
        <v>185566.984375</v>
      </c>
      <c r="OF9" s="14">
        <f>'[1]D-PS'!$BW$26</f>
        <v>188329.375</v>
      </c>
      <c r="OG9" s="14">
        <f>'[1]D-PS'!$BW$27</f>
        <v>190848</v>
      </c>
      <c r="OH9" s="14">
        <f>'[1]D-PS'!$BW$28</f>
        <v>192472.953125</v>
      </c>
      <c r="OI9" s="14">
        <f>'[1]D-PS'!$BW$29</f>
        <v>193854.125</v>
      </c>
      <c r="OJ9" s="14">
        <f>'[1]D-PS'!$BW$30</f>
        <v>193772.921875</v>
      </c>
      <c r="OK9" s="14">
        <f>'[1]D-PS'!$BW$31</f>
        <v>193610.453125</v>
      </c>
      <c r="OL9" s="14">
        <f>'[1]D-PS'!$BW$32</f>
        <v>192472.96875</v>
      </c>
      <c r="OM9" s="14">
        <f>'[1]D-PS'!$BW$33</f>
        <v>192147.984375</v>
      </c>
      <c r="ON9" s="14">
        <f>'[1]D-PS'!$BW$34</f>
        <v>189791.78125</v>
      </c>
      <c r="OO9" s="14">
        <f>'[1]D-PS'!$BW$35</f>
        <v>1508503.75</v>
      </c>
      <c r="OP9" s="14">
        <f>'[1]D-PS'!$BW$36</f>
        <v>1553026.875</v>
      </c>
      <c r="OQ9" s="14">
        <f>'[1]D-PS'!$BW$37</f>
        <v>497472.34375</v>
      </c>
      <c r="OR9" s="14">
        <f>'[1]D-PS'!$BW$38</f>
        <v>0</v>
      </c>
      <c r="OS9" s="14">
        <f>'[1]D-PS'!$BW$39</f>
        <v>0</v>
      </c>
      <c r="OT9" s="14">
        <f>'[1]D-PS'!$BW$40</f>
        <v>0</v>
      </c>
      <c r="OU9" s="14">
        <f>'[1]D-PS'!$BW$41</f>
        <v>0</v>
      </c>
      <c r="OV9" s="14">
        <f>'[1]D-PS'!$BW$42</f>
        <v>0</v>
      </c>
      <c r="OW9" s="14">
        <f>'[1]D-PS'!$BW$43</f>
        <v>0</v>
      </c>
      <c r="OX9" s="14">
        <f>'[1]D-PS'!$BW$44</f>
        <v>0</v>
      </c>
      <c r="OY9" s="14">
        <f>'[1]D-PS'!$BW$45</f>
        <v>0</v>
      </c>
      <c r="OZ9" s="14">
        <f>'[1]D-PS'!$BW$46</f>
        <v>0</v>
      </c>
      <c r="PA9" s="14">
        <f>'[1]D-PS'!$BW$47</f>
        <v>0</v>
      </c>
      <c r="PB9" s="14">
        <f>'[1]D-PS'!$BW$48</f>
        <v>0</v>
      </c>
      <c r="PC9" s="16">
        <f>SUM(NR9:PB9)</f>
        <v>6995811.1953125</v>
      </c>
    </row>
    <row r="10" spans="1:419" outlineLevel="1" x14ac:dyDescent="0.4">
      <c r="A10" s="46" t="s">
        <v>34</v>
      </c>
      <c r="B10" s="25">
        <f>'[2]CF PDP'!$BT$36</f>
        <v>4703563</v>
      </c>
      <c r="C10" s="25">
        <f>'[2]CF PDP'!$BT$37</f>
        <v>3966048</v>
      </c>
      <c r="D10" s="25">
        <f>'[2]CF PDP'!$BT$38</f>
        <v>3388690</v>
      </c>
      <c r="E10" s="25">
        <f>'[2]CF PDP'!$BT$39</f>
        <v>2948436</v>
      </c>
      <c r="F10" s="25">
        <f>'[2]CF PDP'!$BT$40</f>
        <v>2597146</v>
      </c>
      <c r="G10" s="25">
        <f>'[2]CF PDP'!$BT$41</f>
        <v>2317658</v>
      </c>
      <c r="H10" s="25">
        <f>'[2]CF PDP'!$BT$42</f>
        <v>2075137</v>
      </c>
      <c r="I10" s="25">
        <f>'[2]CF PDP'!$BT$43</f>
        <v>1877505</v>
      </c>
      <c r="J10" s="25">
        <f>'[2]CF PDP'!$BT$44</f>
        <v>1709731</v>
      </c>
      <c r="K10" s="25">
        <f>'[2]CF PDP'!$BT$45</f>
        <v>1570190</v>
      </c>
      <c r="L10" s="25">
        <f>'[2]CF PDP'!$BT$46</f>
        <v>1441618</v>
      </c>
      <c r="M10" s="25">
        <f>'[2]CF PDP'!$BT$47</f>
        <v>0</v>
      </c>
      <c r="N10" s="25">
        <f>'[2]CF PDP'!$BT$48</f>
        <v>0</v>
      </c>
      <c r="O10" s="25">
        <f>'[2]CF PDP'!$BT$49</f>
        <v>0</v>
      </c>
      <c r="P10" s="25">
        <f>'[2]CF PDP'!$BT$50</f>
        <v>0</v>
      </c>
      <c r="Q10" s="25">
        <f>'[2]CF PDP'!$BT$51</f>
        <v>0</v>
      </c>
      <c r="R10" s="25">
        <f>'[2]CF PDP'!$BT$52</f>
        <v>0</v>
      </c>
      <c r="S10" s="25">
        <f>'[2]CF PDP'!$BT$53</f>
        <v>0</v>
      </c>
      <c r="T10" s="25">
        <f>'[2]CF PDP'!$BT$54</f>
        <v>0</v>
      </c>
      <c r="U10" s="25">
        <f>'[2]CF PDP'!$BT$55</f>
        <v>0</v>
      </c>
      <c r="V10" s="25">
        <f>'[2]CF PDP'!$BT$56</f>
        <v>0</v>
      </c>
      <c r="W10" s="25">
        <f>'[2]CF PDP'!$BT$57</f>
        <v>0</v>
      </c>
      <c r="X10" s="25">
        <f>'[2]CF PDP'!$BT$58</f>
        <v>0</v>
      </c>
      <c r="Y10" s="25">
        <f>'[2]CF PDP'!$BT$59</f>
        <v>0</v>
      </c>
      <c r="Z10" s="25">
        <f>'[2]CF PDP'!$BT$60</f>
        <v>0</v>
      </c>
      <c r="AA10" s="25">
        <f>'[2]CF PDP'!$BT$61</f>
        <v>0</v>
      </c>
      <c r="AB10" s="25">
        <f>'[2]CF PDP'!$BT$62</f>
        <v>0</v>
      </c>
      <c r="AC10" s="25">
        <f>'[2]CF PDP'!$BT$63</f>
        <v>0</v>
      </c>
      <c r="AD10" s="25">
        <f>'[2]CF PDP'!$BT$64</f>
        <v>0</v>
      </c>
      <c r="AE10" s="25">
        <f>'[2]CF PDP'!$BT$65</f>
        <v>0</v>
      </c>
      <c r="AF10" s="25">
        <f>'[2]CF PDP'!$BT$66</f>
        <v>0</v>
      </c>
      <c r="AG10" s="25">
        <f>'[2]CF PDP'!$BT$67</f>
        <v>0</v>
      </c>
      <c r="AH10" s="25">
        <f>'[2]CF PDP'!$BT$68</f>
        <v>0</v>
      </c>
      <c r="AI10" s="25">
        <f>'[2]CF PDP'!$BT$69</f>
        <v>0</v>
      </c>
      <c r="AJ10" s="25">
        <f>'[2]CF PDP'!$BT$70</f>
        <v>0</v>
      </c>
      <c r="AK10" s="25">
        <f>'[2]CF PDP'!$BT$71</f>
        <v>0</v>
      </c>
      <c r="AL10" s="25">
        <f>'[2]CF PDP'!$BT$72</f>
        <v>0</v>
      </c>
      <c r="AM10" s="26">
        <f>SUM(B10:AL10)</f>
        <v>28595722</v>
      </c>
      <c r="AN10" s="27">
        <f>'[2]CF PNP'!$BT$36</f>
        <v>0</v>
      </c>
      <c r="AO10" s="25">
        <f>'[2]CF PNP'!$BT$37</f>
        <v>0</v>
      </c>
      <c r="AP10" s="25">
        <f>'[2]CF PNP'!$BT$38</f>
        <v>0</v>
      </c>
      <c r="AQ10" s="25">
        <f>'[2]CF PNP'!$BT$39</f>
        <v>0</v>
      </c>
      <c r="AR10" s="25">
        <f>'[2]CF PNP'!$BT$40</f>
        <v>0</v>
      </c>
      <c r="AS10" s="25">
        <f>'[2]CF PNP'!$BT$41</f>
        <v>0</v>
      </c>
      <c r="AT10" s="25">
        <f>'[2]CF PNP'!$BT$42</f>
        <v>0</v>
      </c>
      <c r="AU10" s="25">
        <f>'[2]CF PNP'!$BT$43</f>
        <v>0</v>
      </c>
      <c r="AV10" s="25">
        <f>'[2]CF PNP'!$BT$44</f>
        <v>0</v>
      </c>
      <c r="AW10" s="25">
        <f>'[2]CF PNP'!$BT$45</f>
        <v>0</v>
      </c>
      <c r="AX10" s="25">
        <f>'[2]CF PNP'!$BT$46</f>
        <v>0</v>
      </c>
      <c r="AY10" s="25">
        <f>'[2]CF PNP'!$BT$47</f>
        <v>0</v>
      </c>
      <c r="AZ10" s="25">
        <f>'[2]CF PNP'!$BT$48</f>
        <v>0</v>
      </c>
      <c r="BA10" s="25">
        <f>'[2]CF PNP'!$BT$49</f>
        <v>0</v>
      </c>
      <c r="BB10" s="25">
        <f>'[2]CF PNP'!$BT$50</f>
        <v>0</v>
      </c>
      <c r="BC10" s="25">
        <f>'[2]CF PNP'!$BT$51</f>
        <v>0</v>
      </c>
      <c r="BD10" s="25">
        <f>'[2]CF PNP'!$BT$52</f>
        <v>0</v>
      </c>
      <c r="BE10" s="25">
        <f>'[2]CF PNP'!$BT$53</f>
        <v>0</v>
      </c>
      <c r="BF10" s="25">
        <f>'[2]CF PNP'!$BT$54</f>
        <v>0</v>
      </c>
      <c r="BG10" s="25">
        <f>'[2]CF PNP'!$BT$55</f>
        <v>0</v>
      </c>
      <c r="BH10" s="25">
        <f>'[2]CF PNP'!$BT$56</f>
        <v>0</v>
      </c>
      <c r="BI10" s="25">
        <f>'[2]CF PNP'!$BT$57</f>
        <v>0</v>
      </c>
      <c r="BJ10" s="25">
        <f>'[2]CF PNP'!$BT$58</f>
        <v>0</v>
      </c>
      <c r="BK10" s="25">
        <f>'[2]CF PNP'!$BT$59</f>
        <v>0</v>
      </c>
      <c r="BL10" s="25">
        <f>'[2]CF PNP'!$BT$60</f>
        <v>0</v>
      </c>
      <c r="BM10" s="25">
        <f>'[2]CF PNP'!$BT$61</f>
        <v>0</v>
      </c>
      <c r="BN10" s="25">
        <f>'[2]CF PNP'!$BT$62</f>
        <v>0</v>
      </c>
      <c r="BO10" s="25">
        <f>'[2]CF PNP'!$BT$63</f>
        <v>0</v>
      </c>
      <c r="BP10" s="25">
        <f>'[2]CF PNP'!$BT$64</f>
        <v>0</v>
      </c>
      <c r="BQ10" s="25">
        <f>'[2]CF PNP'!$BT$65</f>
        <v>0</v>
      </c>
      <c r="BR10" s="25">
        <f>'[2]CF PNP'!$BT$66</f>
        <v>0</v>
      </c>
      <c r="BS10" s="25">
        <f>'[2]CF PNP'!$BT$67</f>
        <v>0</v>
      </c>
      <c r="BT10" s="25">
        <f>'[2]CF PNP'!$BT$68</f>
        <v>0</v>
      </c>
      <c r="BU10" s="25">
        <f>'[2]CF PNP'!$BT$69</f>
        <v>0</v>
      </c>
      <c r="BV10" s="25">
        <f>'[2]CF PNP'!$BT$70</f>
        <v>0</v>
      </c>
      <c r="BW10" s="25">
        <f>'[2]CF PNP'!$BT$71</f>
        <v>0</v>
      </c>
      <c r="BX10" s="25">
        <f>'[2]CF PNP'!$BT$72</f>
        <v>0</v>
      </c>
      <c r="BY10" s="26">
        <f>SUM(AN10:BX10)</f>
        <v>0</v>
      </c>
      <c r="BZ10" s="27">
        <f>'[2]CF PND'!$BT$36</f>
        <v>0</v>
      </c>
      <c r="CA10" s="25">
        <f>'[2]CF PND'!$BT$37</f>
        <v>0</v>
      </c>
      <c r="CB10" s="25">
        <f>'[2]CF PND'!$BT$38</f>
        <v>0</v>
      </c>
      <c r="CC10" s="25">
        <f>'[2]CF PND'!$BT$39</f>
        <v>0</v>
      </c>
      <c r="CD10" s="25">
        <f>'[2]CF PND'!$BT$40</f>
        <v>0</v>
      </c>
      <c r="CE10" s="25">
        <f>'[2]CF PND'!$BT$41</f>
        <v>0</v>
      </c>
      <c r="CF10" s="25">
        <f>'[2]CF PND'!$BT$42</f>
        <v>0</v>
      </c>
      <c r="CG10" s="25">
        <f>'[2]CF PND'!$BT$43</f>
        <v>0</v>
      </c>
      <c r="CH10" s="25">
        <f>'[2]CF PND'!$BT$44</f>
        <v>0</v>
      </c>
      <c r="CI10" s="25">
        <f>'[2]CF PND'!$BT$45</f>
        <v>0</v>
      </c>
      <c r="CJ10" s="25">
        <f>'[2]CF PND'!$BT$46</f>
        <v>0</v>
      </c>
      <c r="CK10" s="25">
        <f>'[2]CF PND'!$BT$47</f>
        <v>0</v>
      </c>
      <c r="CL10" s="25">
        <f>'[2]CF PND'!$BT$48</f>
        <v>0</v>
      </c>
      <c r="CM10" s="25">
        <f>'[2]CF PND'!$BT$49</f>
        <v>0</v>
      </c>
      <c r="CN10" s="25">
        <f>'[2]CF PND'!$BT$50</f>
        <v>0</v>
      </c>
      <c r="CO10" s="25">
        <f>'[2]CF PND'!$BT$51</f>
        <v>0</v>
      </c>
      <c r="CP10" s="25">
        <f>'[2]CF PND'!$BT$52</f>
        <v>0</v>
      </c>
      <c r="CQ10" s="25">
        <f>'[2]CF PND'!$BT$53</f>
        <v>0</v>
      </c>
      <c r="CR10" s="25">
        <f>'[2]CF PND'!$BT$54</f>
        <v>0</v>
      </c>
      <c r="CS10" s="25">
        <f>'[2]CF PND'!$BT$55</f>
        <v>0</v>
      </c>
      <c r="CT10" s="25">
        <f>'[2]CF PND'!$BT$56</f>
        <v>0</v>
      </c>
      <c r="CU10" s="25">
        <f>'[2]CF PND'!$BT$57</f>
        <v>0</v>
      </c>
      <c r="CV10" s="25">
        <f>'[2]CF PND'!$BT$58</f>
        <v>0</v>
      </c>
      <c r="CW10" s="25">
        <f>'[2]CF PND'!$BT$59</f>
        <v>0</v>
      </c>
      <c r="CX10" s="25">
        <f>'[2]CF PND'!$BT$60</f>
        <v>0</v>
      </c>
      <c r="CY10" s="25">
        <f>'[2]CF PND'!$BT$61</f>
        <v>0</v>
      </c>
      <c r="CZ10" s="25">
        <f>'[2]CF PND'!$BT$62</f>
        <v>0</v>
      </c>
      <c r="DA10" s="25">
        <f>'[2]CF PND'!$BT$63</f>
        <v>0</v>
      </c>
      <c r="DB10" s="25">
        <f>'[2]CF PND'!$BT$64</f>
        <v>0</v>
      </c>
      <c r="DC10" s="25">
        <f>'[2]CF PND'!$BT$65</f>
        <v>0</v>
      </c>
      <c r="DD10" s="25">
        <f>'[2]CF PND'!$BT$66</f>
        <v>0</v>
      </c>
      <c r="DE10" s="25">
        <f>'[2]CF PND'!$BT$67</f>
        <v>0</v>
      </c>
      <c r="DF10" s="25">
        <f>'[2]CF PND'!$BT$68</f>
        <v>0</v>
      </c>
      <c r="DG10" s="25">
        <f>'[2]CF PND'!$BT$69</f>
        <v>0</v>
      </c>
      <c r="DH10" s="25">
        <f>'[2]CF PND'!$BT$70</f>
        <v>0</v>
      </c>
      <c r="DI10" s="25">
        <f>'[2]CF PND'!$BT$71</f>
        <v>0</v>
      </c>
      <c r="DJ10" s="25">
        <f>'[2]CF PND'!$BT$72</f>
        <v>0</v>
      </c>
      <c r="DK10" s="26">
        <f>SUM(BZ10:DJ10)</f>
        <v>0</v>
      </c>
      <c r="DL10" s="69"/>
      <c r="DM10" s="70"/>
      <c r="DN10" s="70"/>
      <c r="DO10" s="70"/>
      <c r="DP10" s="70"/>
      <c r="DQ10" s="70"/>
      <c r="DR10" s="70"/>
      <c r="DS10" s="70"/>
      <c r="DT10" s="70"/>
      <c r="DU10" s="70"/>
      <c r="DV10" s="70"/>
      <c r="DW10" s="70"/>
      <c r="DX10" s="70"/>
      <c r="DY10" s="70"/>
      <c r="DZ10" s="70"/>
      <c r="EA10" s="70"/>
      <c r="EB10" s="70"/>
      <c r="EC10" s="70"/>
      <c r="ED10" s="70"/>
      <c r="EE10" s="70"/>
      <c r="EF10" s="70"/>
      <c r="EG10" s="70"/>
      <c r="EH10" s="70"/>
      <c r="EI10" s="70"/>
      <c r="EJ10" s="70"/>
      <c r="EK10" s="70"/>
      <c r="EL10" s="70"/>
      <c r="EM10" s="70"/>
      <c r="EN10" s="70"/>
      <c r="EO10" s="70"/>
      <c r="EP10" s="70"/>
      <c r="EQ10" s="70"/>
      <c r="ER10" s="70"/>
      <c r="ES10" s="70"/>
      <c r="ET10" s="70"/>
      <c r="EU10" s="70"/>
      <c r="EV10" s="70"/>
      <c r="EW10" s="71">
        <f>SUM(DL10:EV10)</f>
        <v>0</v>
      </c>
      <c r="EX10" s="69"/>
      <c r="EY10" s="70"/>
      <c r="EZ10" s="70"/>
      <c r="FA10" s="70"/>
      <c r="FB10" s="70"/>
      <c r="FC10" s="70"/>
      <c r="FD10" s="70"/>
      <c r="FE10" s="70"/>
      <c r="FF10" s="70"/>
      <c r="FG10" s="70"/>
      <c r="FH10" s="70"/>
      <c r="FI10" s="70"/>
      <c r="FJ10" s="70"/>
      <c r="FK10" s="70"/>
      <c r="FL10" s="70"/>
      <c r="FM10" s="70"/>
      <c r="FN10" s="70"/>
      <c r="FO10" s="70"/>
      <c r="FP10" s="70"/>
      <c r="FQ10" s="70"/>
      <c r="FR10" s="70"/>
      <c r="FS10" s="70"/>
      <c r="FT10" s="70"/>
      <c r="FU10" s="70"/>
      <c r="FV10" s="70"/>
      <c r="FW10" s="70"/>
      <c r="FX10" s="70"/>
      <c r="FY10" s="70"/>
      <c r="FZ10" s="70"/>
      <c r="GA10" s="70"/>
      <c r="GB10" s="70"/>
      <c r="GC10" s="70"/>
      <c r="GD10" s="70"/>
      <c r="GE10" s="70"/>
      <c r="GF10" s="70"/>
      <c r="GG10" s="70"/>
      <c r="GH10" s="70"/>
      <c r="GI10" s="71">
        <f>SUM(EX10:GH10)</f>
        <v>0</v>
      </c>
      <c r="GJ10" s="69"/>
      <c r="GK10" s="70"/>
      <c r="GL10" s="70"/>
      <c r="GM10" s="70"/>
      <c r="GN10" s="70"/>
      <c r="GO10" s="70"/>
      <c r="GP10" s="70"/>
      <c r="GQ10" s="70"/>
      <c r="GR10" s="70"/>
      <c r="GS10" s="70"/>
      <c r="GT10" s="70"/>
      <c r="GU10" s="70"/>
      <c r="GV10" s="70"/>
      <c r="GW10" s="70"/>
      <c r="GX10" s="70"/>
      <c r="GY10" s="70"/>
      <c r="GZ10" s="70"/>
      <c r="HA10" s="70"/>
      <c r="HB10" s="70"/>
      <c r="HC10" s="70"/>
      <c r="HD10" s="70"/>
      <c r="HE10" s="70"/>
      <c r="HF10" s="70"/>
      <c r="HG10" s="70"/>
      <c r="HH10" s="70"/>
      <c r="HI10" s="70"/>
      <c r="HJ10" s="70"/>
      <c r="HK10" s="70"/>
      <c r="HL10" s="70"/>
      <c r="HM10" s="70"/>
      <c r="HN10" s="70"/>
      <c r="HO10" s="70"/>
      <c r="HP10" s="70"/>
      <c r="HQ10" s="70"/>
      <c r="HR10" s="70"/>
      <c r="HS10" s="70"/>
      <c r="HT10" s="70"/>
      <c r="HU10" s="71">
        <f>SUM(GJ10:HT10)</f>
        <v>0</v>
      </c>
      <c r="HV10" s="27">
        <f>'[2]CF PRB'!$BT$36</f>
        <v>601427</v>
      </c>
      <c r="HW10" s="25">
        <f>'[2]CF PRB'!$BT$37</f>
        <v>1061079</v>
      </c>
      <c r="HX10" s="25">
        <f>'[2]CF PRB'!$BT$38</f>
        <v>1349098</v>
      </c>
      <c r="HY10" s="25">
        <f>'[2]CF PRB'!$BT$39</f>
        <v>1529364</v>
      </c>
      <c r="HZ10" s="25">
        <f>'[2]CF PRB'!$BT$40</f>
        <v>1634883</v>
      </c>
      <c r="IA10" s="25">
        <f>'[2]CF PRB'!$BT$41</f>
        <v>1692669</v>
      </c>
      <c r="IB10" s="25">
        <f>'[2]CF PRB'!$BT$42</f>
        <v>1704450</v>
      </c>
      <c r="IC10" s="25">
        <f>'[2]CF PRB'!$BT$43</f>
        <v>1694599</v>
      </c>
      <c r="ID10" s="25">
        <f>'[2]CF PRB'!$BT$44</f>
        <v>1666264</v>
      </c>
      <c r="IE10" s="25">
        <f>'[2]CF PRB'!$BT$45</f>
        <v>1628891</v>
      </c>
      <c r="IF10" s="25">
        <f>'[2]CF PRB'!$BT$46</f>
        <v>1573542</v>
      </c>
      <c r="IG10" s="25">
        <f>'[2]CF PRB'!$BT$47</f>
        <v>2849620</v>
      </c>
      <c r="IH10" s="25">
        <f>'[2]CF PRB'!$BT$48</f>
        <v>2693119</v>
      </c>
      <c r="II10" s="25">
        <f>'[2]CF PRB'!$BT$49</f>
        <v>2552054</v>
      </c>
      <c r="IJ10" s="25">
        <f>'[2]CF PRB'!$BT$50</f>
        <v>2405303</v>
      </c>
      <c r="IK10" s="25">
        <f>'[2]CF PRB'!$BT$51</f>
        <v>2273074</v>
      </c>
      <c r="IL10" s="25">
        <f>'[2]CF PRB'!$BT$52</f>
        <v>2148361</v>
      </c>
      <c r="IM10" s="25">
        <f>'[2]CF PRB'!$BT$53</f>
        <v>2036037</v>
      </c>
      <c r="IN10" s="25">
        <f>'[2]CF PRB'!$BT$54</f>
        <v>1918636</v>
      </c>
      <c r="IO10" s="25">
        <f>'[2]CF PRB'!$BT$55</f>
        <v>1813320</v>
      </c>
      <c r="IP10" s="25">
        <f>'[2]CF PRB'!$BT$56</f>
        <v>1714098</v>
      </c>
      <c r="IQ10" s="25">
        <f>'[2]CF PRB'!$BT$57</f>
        <v>1624016</v>
      </c>
      <c r="IR10" s="25">
        <f>'[2]CF PRB'!$BT$58</f>
        <v>1530684</v>
      </c>
      <c r="IS10" s="25">
        <f>'[2]CF PRB'!$BT$59</f>
        <v>0</v>
      </c>
      <c r="IT10" s="25">
        <f>'[2]CF PRB'!$BT$60</f>
        <v>0</v>
      </c>
      <c r="IU10" s="25">
        <f>'[2]CF PRB'!$BT$61</f>
        <v>0</v>
      </c>
      <c r="IV10" s="25">
        <f>'[2]CF PRB'!$BT$62</f>
        <v>0</v>
      </c>
      <c r="IW10" s="25">
        <f>'[2]CF PRB'!$BT$63</f>
        <v>0</v>
      </c>
      <c r="IX10" s="25">
        <f>'[2]CF PRB'!$BT$64</f>
        <v>0</v>
      </c>
      <c r="IY10" s="25">
        <f>'[2]CF PRB'!$BT$65</f>
        <v>0</v>
      </c>
      <c r="IZ10" s="25">
        <f>'[2]CF PRB'!$BT$66</f>
        <v>0</v>
      </c>
      <c r="JA10" s="25">
        <f>'[2]CF PRB'!$BT$67</f>
        <v>0</v>
      </c>
      <c r="JB10" s="25">
        <f>'[2]CF PRB'!$BT$68</f>
        <v>0</v>
      </c>
      <c r="JC10" s="25">
        <f>'[2]CF PRB'!$BT$69</f>
        <v>0</v>
      </c>
      <c r="JD10" s="25">
        <f>'[2]CF PRB'!$BT$70</f>
        <v>0</v>
      </c>
      <c r="JE10" s="25">
        <f>'[2]CF PRB'!$BT$71</f>
        <v>0</v>
      </c>
      <c r="JF10" s="25">
        <f>'[2]CF PRB'!$BT$72</f>
        <v>0</v>
      </c>
      <c r="JG10" s="26">
        <f>SUM(HV10:JF10)</f>
        <v>41694588</v>
      </c>
      <c r="JH10" s="69"/>
      <c r="JI10" s="70"/>
      <c r="JJ10" s="70"/>
      <c r="JK10" s="70"/>
      <c r="JL10" s="70"/>
      <c r="JM10" s="70"/>
      <c r="JN10" s="70"/>
      <c r="JO10" s="70"/>
      <c r="JP10" s="70"/>
      <c r="JQ10" s="70"/>
      <c r="JR10" s="70"/>
      <c r="JS10" s="70"/>
      <c r="JT10" s="70"/>
      <c r="JU10" s="70"/>
      <c r="JV10" s="70"/>
      <c r="JW10" s="70"/>
      <c r="JX10" s="70"/>
      <c r="JY10" s="70"/>
      <c r="JZ10" s="70"/>
      <c r="KA10" s="70"/>
      <c r="KB10" s="70"/>
      <c r="KC10" s="70"/>
      <c r="KD10" s="70"/>
      <c r="KE10" s="70"/>
      <c r="KF10" s="70"/>
      <c r="KG10" s="70"/>
      <c r="KH10" s="70"/>
      <c r="KI10" s="70"/>
      <c r="KJ10" s="70"/>
      <c r="KK10" s="70"/>
      <c r="KL10" s="70"/>
      <c r="KM10" s="70"/>
      <c r="KN10" s="70"/>
      <c r="KO10" s="70"/>
      <c r="KP10" s="70"/>
      <c r="KQ10" s="70"/>
      <c r="KR10" s="70"/>
      <c r="KS10" s="71">
        <f>SUM(JH10:KR10)</f>
        <v>0</v>
      </c>
      <c r="KT10" s="69"/>
      <c r="KU10" s="70"/>
      <c r="KV10" s="70"/>
      <c r="KW10" s="70"/>
      <c r="KX10" s="70"/>
      <c r="KY10" s="70"/>
      <c r="KZ10" s="70"/>
      <c r="LA10" s="70"/>
      <c r="LB10" s="70"/>
      <c r="LC10" s="70"/>
      <c r="LD10" s="70"/>
      <c r="LE10" s="70"/>
      <c r="LF10" s="70"/>
      <c r="LG10" s="70"/>
      <c r="LH10" s="70"/>
      <c r="LI10" s="70"/>
      <c r="LJ10" s="70"/>
      <c r="LK10" s="70"/>
      <c r="LL10" s="70"/>
      <c r="LM10" s="70"/>
      <c r="LN10" s="70"/>
      <c r="LO10" s="70"/>
      <c r="LP10" s="70"/>
      <c r="LQ10" s="70"/>
      <c r="LR10" s="70"/>
      <c r="LS10" s="70"/>
      <c r="LT10" s="70"/>
      <c r="LU10" s="70"/>
      <c r="LV10" s="70"/>
      <c r="LW10" s="70"/>
      <c r="LX10" s="70"/>
      <c r="LY10" s="70"/>
      <c r="LZ10" s="70"/>
      <c r="MA10" s="70"/>
      <c r="MB10" s="70"/>
      <c r="MC10" s="70"/>
      <c r="MD10" s="70"/>
      <c r="ME10" s="71">
        <f>SUM(KT10:MD10)</f>
        <v>0</v>
      </c>
      <c r="MF10" s="69"/>
      <c r="MG10" s="70"/>
      <c r="MH10" s="70"/>
      <c r="MI10" s="70"/>
      <c r="MJ10" s="70"/>
      <c r="MK10" s="70"/>
      <c r="ML10" s="70"/>
      <c r="MM10" s="70"/>
      <c r="MN10" s="70"/>
      <c r="MO10" s="70"/>
      <c r="MP10" s="70"/>
      <c r="MQ10" s="70"/>
      <c r="MR10" s="70"/>
      <c r="MS10" s="70"/>
      <c r="MT10" s="70"/>
      <c r="MU10" s="70"/>
      <c r="MV10" s="70"/>
      <c r="MW10" s="70"/>
      <c r="MX10" s="70"/>
      <c r="MY10" s="70"/>
      <c r="MZ10" s="70"/>
      <c r="NA10" s="70"/>
      <c r="NB10" s="70"/>
      <c r="NC10" s="70"/>
      <c r="ND10" s="70"/>
      <c r="NE10" s="70"/>
      <c r="NF10" s="70"/>
      <c r="NG10" s="70"/>
      <c r="NH10" s="70"/>
      <c r="NI10" s="70"/>
      <c r="NJ10" s="70"/>
      <c r="NK10" s="70"/>
      <c r="NL10" s="70"/>
      <c r="NM10" s="70"/>
      <c r="NN10" s="70"/>
      <c r="NO10" s="70"/>
      <c r="NP10" s="70"/>
      <c r="NQ10" s="71">
        <f>SUM(MF10:NP10)</f>
        <v>0</v>
      </c>
      <c r="NR10" s="25">
        <f>'[2]CF PS'!$BT$36</f>
        <v>13507</v>
      </c>
      <c r="NS10" s="25">
        <f>'[2]CF PS'!$BT$37</f>
        <v>38897</v>
      </c>
      <c r="NT10" s="25">
        <f>'[2]CF PS'!$BT$38</f>
        <v>61950</v>
      </c>
      <c r="NU10" s="25">
        <f>'[2]CF PS'!$BT$39</f>
        <v>82161</v>
      </c>
      <c r="NV10" s="25">
        <f>'[2]CF PS'!$BT$40</f>
        <v>99933</v>
      </c>
      <c r="NW10" s="25">
        <f>'[2]CF PS'!$BT$41</f>
        <v>116183</v>
      </c>
      <c r="NX10" s="25">
        <f>'[2]CF PS'!$BT$42</f>
        <v>129791</v>
      </c>
      <c r="NY10" s="25">
        <f>'[2]CF PS'!$BT$43</f>
        <v>141978</v>
      </c>
      <c r="NZ10" s="25">
        <f>'[2]CF PS'!$BT$44</f>
        <v>152337</v>
      </c>
      <c r="OA10" s="25">
        <f>'[2]CF PS'!$BT$45</f>
        <v>161884</v>
      </c>
      <c r="OB10" s="25">
        <f>'[2]CF PS'!$BT$46</f>
        <v>168891</v>
      </c>
      <c r="OC10" s="25">
        <f>'[2]CF PS'!$BT$47</f>
        <v>175492</v>
      </c>
      <c r="OD10" s="25">
        <f>'[2]CF PS'!$BT$48</f>
        <v>180773</v>
      </c>
      <c r="OE10" s="25">
        <f>'[2]CF PS'!$BT$49</f>
        <v>185547</v>
      </c>
      <c r="OF10" s="25">
        <f>'[2]CF PS'!$BT$50</f>
        <v>188289</v>
      </c>
      <c r="OG10" s="25">
        <f>'[2]CF PS'!$BT$51</f>
        <v>190828</v>
      </c>
      <c r="OH10" s="25">
        <f>'[2]CF PS'!$BT$52</f>
        <v>192453</v>
      </c>
      <c r="OI10" s="25">
        <f>'[2]CF PS'!$BT$53</f>
        <v>193874</v>
      </c>
      <c r="OJ10" s="25">
        <f>'[2]CF PS'!$BT$54</f>
        <v>193773</v>
      </c>
      <c r="OK10" s="25">
        <f>'[2]CF PS'!$BT$55</f>
        <v>193570</v>
      </c>
      <c r="OL10" s="25">
        <f>'[2]CF PS'!$BT$56</f>
        <v>192453</v>
      </c>
      <c r="OM10" s="25">
        <f>'[2]CF PS'!$BT$57</f>
        <v>192148</v>
      </c>
      <c r="ON10" s="25">
        <f>'[2]CF PS'!$BT$58</f>
        <v>189812</v>
      </c>
      <c r="OO10" s="25">
        <f>'[2]CF PS'!$BT$59</f>
        <v>1634578</v>
      </c>
      <c r="OP10" s="25">
        <f>'[2]CF PS'!$BT$60</f>
        <v>1553027</v>
      </c>
      <c r="OQ10" s="25">
        <f>'[2]CF PS'!$BT$61</f>
        <v>0</v>
      </c>
      <c r="OR10" s="25">
        <f>'[2]CF PS'!$BT$62</f>
        <v>0</v>
      </c>
      <c r="OS10" s="25">
        <f>'[2]CF PS'!$BT$63</f>
        <v>0</v>
      </c>
      <c r="OT10" s="25">
        <f>'[2]CF PS'!$BT$64</f>
        <v>0</v>
      </c>
      <c r="OU10" s="25">
        <f>'[2]CF PS'!$BT$65</f>
        <v>0</v>
      </c>
      <c r="OV10" s="25">
        <f>'[2]CF PS'!$BT$66</f>
        <v>0</v>
      </c>
      <c r="OW10" s="25">
        <f>'[2]CF PS'!$BT$67</f>
        <v>0</v>
      </c>
      <c r="OX10" s="25">
        <f>'[2]CF PS'!$BT$68</f>
        <v>0</v>
      </c>
      <c r="OY10" s="25">
        <f>'[2]CF PS'!$BT$69</f>
        <v>0</v>
      </c>
      <c r="OZ10" s="25">
        <f>'[2]CF PS'!$BT$70</f>
        <v>0</v>
      </c>
      <c r="PA10" s="25">
        <f>'[2]CF PS'!$BT$71</f>
        <v>0</v>
      </c>
      <c r="PB10" s="25">
        <f>'[2]CF PS'!$BT$72</f>
        <v>0</v>
      </c>
      <c r="PC10" s="26">
        <f>SUM(NR10:PB10)</f>
        <v>6624129</v>
      </c>
    </row>
    <row r="11" spans="1:419" ht="15.5" thickBot="1" x14ac:dyDescent="0.45">
      <c r="A11" s="47" t="s">
        <v>35</v>
      </c>
      <c r="B11" s="40">
        <f>IF(AND(B9&lt;&gt;0,B10&lt;&gt;0),(B9-B10)/B10,IF(AND(B9=0,B10=0),"",IF(AND(B9="",B10=""),"",IF(AND(B9=0,B10=""),"", IF(AND(B9="",B10=0),"",1)))))</f>
        <v>8.7167961819582303E-6</v>
      </c>
      <c r="C11" s="40">
        <f t="shared" ref="C11" si="263">IF(AND(C9&lt;&gt;0,C10&lt;&gt;0),(C9-C10)/C10,IF(AND(C9=0,C10=0),"",IF(AND(C9="",C10=""),"",IF(AND(C9=0,C10=""),"", IF(AND(C9="",C10=0),"",1)))))</f>
        <v>-2.0486388465293411E-5</v>
      </c>
      <c r="D11" s="40">
        <f t="shared" ref="D11" si="264">IF(AND(D9&lt;&gt;0,D10&lt;&gt;0),(D9-D10)/D10,IF(AND(D9=0,D10=0),"",IF(AND(D9="",D10=""),"",IF(AND(D9=0,D10=""),"", IF(AND(D9="",D10=0),"",1)))))</f>
        <v>5.9757605446352421E-6</v>
      </c>
      <c r="E11" s="40">
        <f t="shared" ref="E11" si="265">IF(AND(E9&lt;&gt;0,E10&lt;&gt;0),(E9-E10)/E10,IF(AND(E9=0,E10=0),"",IF(AND(E9="",E10=""),"",IF(AND(E9=0,E10=""),"", IF(AND(E9="",E10=0),"",1)))))</f>
        <v>-1.6958143232547696E-7</v>
      </c>
      <c r="F11" s="40">
        <f t="shared" ref="F11" si="266">IF(AND(F9&lt;&gt;0,F10&lt;&gt;0),(F9-F10)/F10,IF(AND(F9=0,F10=0),"",IF(AND(F9="",F10=""),"",IF(AND(F9=0,F10=""),"", IF(AND(F9="",F10=0),"",1)))))</f>
        <v>-7.7970202676322398E-6</v>
      </c>
      <c r="G11" s="40">
        <f t="shared" ref="G11" si="267">IF(AND(G9&lt;&gt;0,G10&lt;&gt;0),(G9-G10)/G10,IF(AND(G9=0,G10=0),"",IF(AND(G9="",G10=""),"",IF(AND(G9=0,G10=""),"", IF(AND(G9="",G10=0),"",1)))))</f>
        <v>-8.7372683976669552E-6</v>
      </c>
      <c r="H11" s="40">
        <f t="shared" ref="H11" si="268">IF(AND(H9&lt;&gt;0,H10&lt;&gt;0),(H9-H10)/H10,IF(AND(H9=0,H10=0),"",IF(AND(H9="",H10=""),"",IF(AND(H9=0,H10=""),"", IF(AND(H9="",H10=0),"",1)))))</f>
        <v>-9.637917882048269E-6</v>
      </c>
      <c r="I11" s="40">
        <f t="shared" ref="I11" si="269">IF(AND(I9&lt;&gt;0,I10&lt;&gt;0),(I9-I10)/I10,IF(AND(I9=0,I10=0),"",IF(AND(I9="",I10=""),"",IF(AND(I9=0,I10=""),"", IF(AND(I9="",I10=0),"",1)))))</f>
        <v>1.0852168169991557E-5</v>
      </c>
      <c r="J11" s="40">
        <f t="shared" ref="J11" si="270">IF(AND(J9&lt;&gt;0,J10&lt;&gt;0),(J9-J10)/J10,IF(AND(J9=0,J10=0),"",IF(AND(J9="",J10=""),"",IF(AND(J9=0,J10=""),"", IF(AND(J9="",J10=0),"",1)))))</f>
        <v>1.1990190269697396E-5</v>
      </c>
      <c r="K11" s="40">
        <f t="shared" ref="K11" si="271">IF(AND(K9&lt;&gt;0,K10&lt;&gt;0),(K9-K10)/K10,IF(AND(K9=0,K10=0),"",IF(AND(K9="",K10=""),"",IF(AND(K9=0,K10=""),"", IF(AND(K9="",K10=0),"",1)))))</f>
        <v>-1.281692024532063E-5</v>
      </c>
      <c r="L11" s="40">
        <f t="shared" ref="L11" si="272">IF(AND(L9&lt;&gt;0,L10&lt;&gt;0),(L9-L10)/L10,IF(AND(L9=0,L10=0),"",IF(AND(L9="",L10=""),"",IF(AND(L9=0,L10=""),"", IF(AND(L9="",L10=0),"",1)))))</f>
        <v>-0.16162057146900219</v>
      </c>
      <c r="M11" s="40" t="str">
        <f t="shared" ref="M11" si="273">IF(AND(M9&lt;&gt;0,M10&lt;&gt;0),(M9-M10)/M10,IF(AND(M9=0,M10=0),"",IF(AND(M9="",M10=""),"",IF(AND(M9=0,M10=""),"", IF(AND(M9="",M10=0),"",1)))))</f>
        <v/>
      </c>
      <c r="N11" s="40" t="str">
        <f t="shared" ref="N11" si="274">IF(AND(N9&lt;&gt;0,N10&lt;&gt;0),(N9-N10)/N10,IF(AND(N9=0,N10=0),"",IF(AND(N9="",N10=""),"",IF(AND(N9=0,N10=""),"", IF(AND(N9="",N10=0),"",1)))))</f>
        <v/>
      </c>
      <c r="O11" s="40" t="str">
        <f t="shared" ref="O11" si="275">IF(AND(O9&lt;&gt;0,O10&lt;&gt;0),(O9-O10)/O10,IF(AND(O9=0,O10=0),"",IF(AND(O9="",O10=""),"",IF(AND(O9=0,O10=""),"", IF(AND(O9="",O10=0),"",1)))))</f>
        <v/>
      </c>
      <c r="P11" s="40" t="str">
        <f t="shared" ref="P11" si="276">IF(AND(P9&lt;&gt;0,P10&lt;&gt;0),(P9-P10)/P10,IF(AND(P9=0,P10=0),"",IF(AND(P9="",P10=""),"",IF(AND(P9=0,P10=""),"", IF(AND(P9="",P10=0),"",1)))))</f>
        <v/>
      </c>
      <c r="Q11" s="40" t="str">
        <f t="shared" ref="Q11" si="277">IF(AND(Q9&lt;&gt;0,Q10&lt;&gt;0),(Q9-Q10)/Q10,IF(AND(Q9=0,Q10=0),"",IF(AND(Q9="",Q10=""),"",IF(AND(Q9=0,Q10=""),"", IF(AND(Q9="",Q10=0),"",1)))))</f>
        <v/>
      </c>
      <c r="R11" s="40" t="str">
        <f t="shared" ref="R11" si="278">IF(AND(R9&lt;&gt;0,R10&lt;&gt;0),(R9-R10)/R10,IF(AND(R9=0,R10=0),"",IF(AND(R9="",R10=""),"",IF(AND(R9=0,R10=""),"", IF(AND(R9="",R10=0),"",1)))))</f>
        <v/>
      </c>
      <c r="S11" s="40" t="str">
        <f t="shared" ref="S11" si="279">IF(AND(S9&lt;&gt;0,S10&lt;&gt;0),(S9-S10)/S10,IF(AND(S9=0,S10=0),"",IF(AND(S9="",S10=""),"",IF(AND(S9=0,S10=""),"", IF(AND(S9="",S10=0),"",1)))))</f>
        <v/>
      </c>
      <c r="T11" s="40" t="str">
        <f t="shared" ref="T11" si="280">IF(AND(T9&lt;&gt;0,T10&lt;&gt;0),(T9-T10)/T10,IF(AND(T9=0,T10=0),"",IF(AND(T9="",T10=""),"",IF(AND(T9=0,T10=""),"", IF(AND(T9="",T10=0),"",1)))))</f>
        <v/>
      </c>
      <c r="U11" s="40" t="str">
        <f t="shared" ref="U11" si="281">IF(AND(U9&lt;&gt;0,U10&lt;&gt;0),(U9-U10)/U10,IF(AND(U9=0,U10=0),"",IF(AND(U9="",U10=""),"",IF(AND(U9=0,U10=""),"", IF(AND(U9="",U10=0),"",1)))))</f>
        <v/>
      </c>
      <c r="V11" s="40" t="str">
        <f t="shared" ref="V11" si="282">IF(AND(V9&lt;&gt;0,V10&lt;&gt;0),(V9-V10)/V10,IF(AND(V9=0,V10=0),"",IF(AND(V9="",V10=""),"",IF(AND(V9=0,V10=""),"", IF(AND(V9="",V10=0),"",1)))))</f>
        <v/>
      </c>
      <c r="W11" s="40" t="str">
        <f t="shared" ref="W11" si="283">IF(AND(W9&lt;&gt;0,W10&lt;&gt;0),(W9-W10)/W10,IF(AND(W9=0,W10=0),"",IF(AND(W9="",W10=""),"",IF(AND(W9=0,W10=""),"", IF(AND(W9="",W10=0),"",1)))))</f>
        <v/>
      </c>
      <c r="X11" s="40" t="str">
        <f t="shared" ref="X11:AL11" si="284">IF(AND(X9&lt;&gt;0,X10&lt;&gt;0),(X9-X10)/X10,IF(AND(X9=0,X10=0),"",IF(AND(X9="",X10=""),"",IF(AND(X9=0,X10=""),"", IF(AND(X9="",X10=0),"",1)))))</f>
        <v/>
      </c>
      <c r="Y11" s="40" t="str">
        <f t="shared" si="284"/>
        <v/>
      </c>
      <c r="Z11" s="40" t="str">
        <f t="shared" si="284"/>
        <v/>
      </c>
      <c r="AA11" s="40" t="str">
        <f t="shared" si="284"/>
        <v/>
      </c>
      <c r="AB11" s="40" t="str">
        <f t="shared" si="284"/>
        <v/>
      </c>
      <c r="AC11" s="40" t="str">
        <f t="shared" si="284"/>
        <v/>
      </c>
      <c r="AD11" s="40" t="str">
        <f t="shared" si="284"/>
        <v/>
      </c>
      <c r="AE11" s="40" t="str">
        <f t="shared" si="284"/>
        <v/>
      </c>
      <c r="AF11" s="40" t="str">
        <f t="shared" si="284"/>
        <v/>
      </c>
      <c r="AG11" s="40" t="str">
        <f t="shared" si="284"/>
        <v/>
      </c>
      <c r="AH11" s="40" t="str">
        <f t="shared" si="284"/>
        <v/>
      </c>
      <c r="AI11" s="40" t="str">
        <f t="shared" si="284"/>
        <v/>
      </c>
      <c r="AJ11" s="40" t="str">
        <f t="shared" si="284"/>
        <v/>
      </c>
      <c r="AK11" s="40" t="str">
        <f t="shared" si="284"/>
        <v/>
      </c>
      <c r="AL11" s="40" t="str">
        <f t="shared" si="284"/>
        <v/>
      </c>
      <c r="AM11" s="41">
        <f t="shared" ref="AM11" si="285">IF(AND(AM9&lt;&gt;0,AM10&lt;&gt;0),(AM9-AM10)/AM10,IF(AND(AM9=0,AM10=0),"",IF(AND(AM9="",AM10=""),"",IF(AND(AM9=0,AM10=""),"", IF(AND(AM9="",AM10=0),"",1)))))</f>
        <v>-8.1500084173429851E-3</v>
      </c>
      <c r="AN11" s="39" t="str">
        <f t="shared" ref="AN11" si="286">IF(AND(AN9&lt;&gt;0,AN10&lt;&gt;0),(AN9-AN10)/AN10,IF(AND(AN9=0,AN10=0),"",IF(AND(AN9="",AN10=""),"",IF(AND(AN9=0,AN10=""),"", IF(AND(AN9="",AN10=0),"",1)))))</f>
        <v/>
      </c>
      <c r="AO11" s="40" t="str">
        <f t="shared" ref="AO11" si="287">IF(AND(AO9&lt;&gt;0,AO10&lt;&gt;0),(AO9-AO10)/AO10,IF(AND(AO9=0,AO10=0),"",IF(AND(AO9="",AO10=""),"",IF(AND(AO9=0,AO10=""),"", IF(AND(AO9="",AO10=0),"",1)))))</f>
        <v/>
      </c>
      <c r="AP11" s="40" t="str">
        <f t="shared" ref="AP11" si="288">IF(AND(AP9&lt;&gt;0,AP10&lt;&gt;0),(AP9-AP10)/AP10,IF(AND(AP9=0,AP10=0),"",IF(AND(AP9="",AP10=""),"",IF(AND(AP9=0,AP10=""),"", IF(AND(AP9="",AP10=0),"",1)))))</f>
        <v/>
      </c>
      <c r="AQ11" s="40" t="str">
        <f t="shared" ref="AQ11" si="289">IF(AND(AQ9&lt;&gt;0,AQ10&lt;&gt;0),(AQ9-AQ10)/AQ10,IF(AND(AQ9=0,AQ10=0),"",IF(AND(AQ9="",AQ10=""),"",IF(AND(AQ9=0,AQ10=""),"", IF(AND(AQ9="",AQ10=0),"",1)))))</f>
        <v/>
      </c>
      <c r="AR11" s="40" t="str">
        <f t="shared" ref="AR11" si="290">IF(AND(AR9&lt;&gt;0,AR10&lt;&gt;0),(AR9-AR10)/AR10,IF(AND(AR9=0,AR10=0),"",IF(AND(AR9="",AR10=""),"",IF(AND(AR9=0,AR10=""),"", IF(AND(AR9="",AR10=0),"",1)))))</f>
        <v/>
      </c>
      <c r="AS11" s="40" t="str">
        <f t="shared" ref="AS11" si="291">IF(AND(AS9&lt;&gt;0,AS10&lt;&gt;0),(AS9-AS10)/AS10,IF(AND(AS9=0,AS10=0),"",IF(AND(AS9="",AS10=""),"",IF(AND(AS9=0,AS10=""),"", IF(AND(AS9="",AS10=0),"",1)))))</f>
        <v/>
      </c>
      <c r="AT11" s="40" t="str">
        <f t="shared" ref="AT11" si="292">IF(AND(AT9&lt;&gt;0,AT10&lt;&gt;0),(AT9-AT10)/AT10,IF(AND(AT9=0,AT10=0),"",IF(AND(AT9="",AT10=""),"",IF(AND(AT9=0,AT10=""),"", IF(AND(AT9="",AT10=0),"",1)))))</f>
        <v/>
      </c>
      <c r="AU11" s="40" t="str">
        <f t="shared" ref="AU11" si="293">IF(AND(AU9&lt;&gt;0,AU10&lt;&gt;0),(AU9-AU10)/AU10,IF(AND(AU9=0,AU10=0),"",IF(AND(AU9="",AU10=""),"",IF(AND(AU9=0,AU10=""),"", IF(AND(AU9="",AU10=0),"",1)))))</f>
        <v/>
      </c>
      <c r="AV11" s="40" t="str">
        <f t="shared" ref="AV11" si="294">IF(AND(AV9&lt;&gt;0,AV10&lt;&gt;0),(AV9-AV10)/AV10,IF(AND(AV9=0,AV10=0),"",IF(AND(AV9="",AV10=""),"",IF(AND(AV9=0,AV10=""),"", IF(AND(AV9="",AV10=0),"",1)))))</f>
        <v/>
      </c>
      <c r="AW11" s="40" t="str">
        <f t="shared" ref="AW11" si="295">IF(AND(AW9&lt;&gt;0,AW10&lt;&gt;0),(AW9-AW10)/AW10,IF(AND(AW9=0,AW10=0),"",IF(AND(AW9="",AW10=""),"",IF(AND(AW9=0,AW10=""),"", IF(AND(AW9="",AW10=0),"",1)))))</f>
        <v/>
      </c>
      <c r="AX11" s="40" t="str">
        <f t="shared" ref="AX11" si="296">IF(AND(AX9&lt;&gt;0,AX10&lt;&gt;0),(AX9-AX10)/AX10,IF(AND(AX9=0,AX10=0),"",IF(AND(AX9="",AX10=""),"",IF(AND(AX9=0,AX10=""),"", IF(AND(AX9="",AX10=0),"",1)))))</f>
        <v/>
      </c>
      <c r="AY11" s="40" t="str">
        <f t="shared" ref="AY11" si="297">IF(AND(AY9&lt;&gt;0,AY10&lt;&gt;0),(AY9-AY10)/AY10,IF(AND(AY9=0,AY10=0),"",IF(AND(AY9="",AY10=""),"",IF(AND(AY9=0,AY10=""),"", IF(AND(AY9="",AY10=0),"",1)))))</f>
        <v/>
      </c>
      <c r="AZ11" s="40" t="str">
        <f t="shared" ref="AZ11" si="298">IF(AND(AZ9&lt;&gt;0,AZ10&lt;&gt;0),(AZ9-AZ10)/AZ10,IF(AND(AZ9=0,AZ10=0),"",IF(AND(AZ9="",AZ10=""),"",IF(AND(AZ9=0,AZ10=""),"", IF(AND(AZ9="",AZ10=0),"",1)))))</f>
        <v/>
      </c>
      <c r="BA11" s="40" t="str">
        <f t="shared" ref="BA11" si="299">IF(AND(BA9&lt;&gt;0,BA10&lt;&gt;0),(BA9-BA10)/BA10,IF(AND(BA9=0,BA10=0),"",IF(AND(BA9="",BA10=""),"",IF(AND(BA9=0,BA10=""),"", IF(AND(BA9="",BA10=0),"",1)))))</f>
        <v/>
      </c>
      <c r="BB11" s="40" t="str">
        <f t="shared" ref="BB11" si="300">IF(AND(BB9&lt;&gt;0,BB10&lt;&gt;0),(BB9-BB10)/BB10,IF(AND(BB9=0,BB10=0),"",IF(AND(BB9="",BB10=""),"",IF(AND(BB9=0,BB10=""),"", IF(AND(BB9="",BB10=0),"",1)))))</f>
        <v/>
      </c>
      <c r="BC11" s="40" t="str">
        <f t="shared" ref="BC11" si="301">IF(AND(BC9&lt;&gt;0,BC10&lt;&gt;0),(BC9-BC10)/BC10,IF(AND(BC9=0,BC10=0),"",IF(AND(BC9="",BC10=""),"",IF(AND(BC9=0,BC10=""),"", IF(AND(BC9="",BC10=0),"",1)))))</f>
        <v/>
      </c>
      <c r="BD11" s="40" t="str">
        <f t="shared" ref="BD11" si="302">IF(AND(BD9&lt;&gt;0,BD10&lt;&gt;0),(BD9-BD10)/BD10,IF(AND(BD9=0,BD10=0),"",IF(AND(BD9="",BD10=""),"",IF(AND(BD9=0,BD10=""),"", IF(AND(BD9="",BD10=0),"",1)))))</f>
        <v/>
      </c>
      <c r="BE11" s="40" t="str">
        <f t="shared" ref="BE11" si="303">IF(AND(BE9&lt;&gt;0,BE10&lt;&gt;0),(BE9-BE10)/BE10,IF(AND(BE9=0,BE10=0),"",IF(AND(BE9="",BE10=""),"",IF(AND(BE9=0,BE10=""),"", IF(AND(BE9="",BE10=0),"",1)))))</f>
        <v/>
      </c>
      <c r="BF11" s="40" t="str">
        <f t="shared" ref="BF11" si="304">IF(AND(BF9&lt;&gt;0,BF10&lt;&gt;0),(BF9-BF10)/BF10,IF(AND(BF9=0,BF10=0),"",IF(AND(BF9="",BF10=""),"",IF(AND(BF9=0,BF10=""),"", IF(AND(BF9="",BF10=0),"",1)))))</f>
        <v/>
      </c>
      <c r="BG11" s="40" t="str">
        <f t="shared" ref="BG11" si="305">IF(AND(BG9&lt;&gt;0,BG10&lt;&gt;0),(BG9-BG10)/BG10,IF(AND(BG9=0,BG10=0),"",IF(AND(BG9="",BG10=""),"",IF(AND(BG9=0,BG10=""),"", IF(AND(BG9="",BG10=0),"",1)))))</f>
        <v/>
      </c>
      <c r="BH11" s="40" t="str">
        <f t="shared" ref="BH11" si="306">IF(AND(BH9&lt;&gt;0,BH10&lt;&gt;0),(BH9-BH10)/BH10,IF(AND(BH9=0,BH10=0),"",IF(AND(BH9="",BH10=""),"",IF(AND(BH9=0,BH10=""),"", IF(AND(BH9="",BH10=0),"",1)))))</f>
        <v/>
      </c>
      <c r="BI11" s="40" t="str">
        <f t="shared" ref="BI11" si="307">IF(AND(BI9&lt;&gt;0,BI10&lt;&gt;0),(BI9-BI10)/BI10,IF(AND(BI9=0,BI10=0),"",IF(AND(BI9="",BI10=""),"",IF(AND(BI9=0,BI10=""),"", IF(AND(BI9="",BI10=0),"",1)))))</f>
        <v/>
      </c>
      <c r="BJ11" s="40" t="str">
        <f t="shared" ref="BJ11:BX11" si="308">IF(AND(BJ9&lt;&gt;0,BJ10&lt;&gt;0),(BJ9-BJ10)/BJ10,IF(AND(BJ9=0,BJ10=0),"",IF(AND(BJ9="",BJ10=""),"",IF(AND(BJ9=0,BJ10=""),"", IF(AND(BJ9="",BJ10=0),"",1)))))</f>
        <v/>
      </c>
      <c r="BK11" s="40" t="str">
        <f t="shared" si="308"/>
        <v/>
      </c>
      <c r="BL11" s="40" t="str">
        <f t="shared" si="308"/>
        <v/>
      </c>
      <c r="BM11" s="40" t="str">
        <f t="shared" si="308"/>
        <v/>
      </c>
      <c r="BN11" s="40" t="str">
        <f t="shared" si="308"/>
        <v/>
      </c>
      <c r="BO11" s="40" t="str">
        <f t="shared" si="308"/>
        <v/>
      </c>
      <c r="BP11" s="40" t="str">
        <f t="shared" si="308"/>
        <v/>
      </c>
      <c r="BQ11" s="40" t="str">
        <f t="shared" si="308"/>
        <v/>
      </c>
      <c r="BR11" s="40" t="str">
        <f t="shared" si="308"/>
        <v/>
      </c>
      <c r="BS11" s="40" t="str">
        <f t="shared" si="308"/>
        <v/>
      </c>
      <c r="BT11" s="40" t="str">
        <f t="shared" si="308"/>
        <v/>
      </c>
      <c r="BU11" s="40" t="str">
        <f t="shared" si="308"/>
        <v/>
      </c>
      <c r="BV11" s="40" t="str">
        <f t="shared" si="308"/>
        <v/>
      </c>
      <c r="BW11" s="40" t="str">
        <f t="shared" si="308"/>
        <v/>
      </c>
      <c r="BX11" s="40" t="str">
        <f t="shared" si="308"/>
        <v/>
      </c>
      <c r="BY11" s="41" t="str">
        <f t="shared" ref="BY11" si="309">IF(AND(BY9&lt;&gt;0,BY10&lt;&gt;0),(BY9-BY10)/BY10,IF(AND(BY9=0,BY10=0),"",IF(AND(BY9="",BY10=""),"",IF(AND(BY9=0,BY10=""),"", IF(AND(BY9="",BY10=0),"",1)))))</f>
        <v/>
      </c>
      <c r="BZ11" s="39" t="str">
        <f t="shared" ref="BZ11" si="310">IF(AND(BZ9&lt;&gt;0,BZ10&lt;&gt;0),(BZ9-BZ10)/BZ10,IF(AND(BZ9=0,BZ10=0),"",IF(AND(BZ9="",BZ10=""),"",IF(AND(BZ9=0,BZ10=""),"", IF(AND(BZ9="",BZ10=0),"",1)))))</f>
        <v/>
      </c>
      <c r="CA11" s="40" t="str">
        <f t="shared" ref="CA11" si="311">IF(AND(CA9&lt;&gt;0,CA10&lt;&gt;0),(CA9-CA10)/CA10,IF(AND(CA9=0,CA10=0),"",IF(AND(CA9="",CA10=""),"",IF(AND(CA9=0,CA10=""),"", IF(AND(CA9="",CA10=0),"",1)))))</f>
        <v/>
      </c>
      <c r="CB11" s="40" t="str">
        <f t="shared" ref="CB11" si="312">IF(AND(CB9&lt;&gt;0,CB10&lt;&gt;0),(CB9-CB10)/CB10,IF(AND(CB9=0,CB10=0),"",IF(AND(CB9="",CB10=""),"",IF(AND(CB9=0,CB10=""),"", IF(AND(CB9="",CB10=0),"",1)))))</f>
        <v/>
      </c>
      <c r="CC11" s="40" t="str">
        <f t="shared" ref="CC11" si="313">IF(AND(CC9&lt;&gt;0,CC10&lt;&gt;0),(CC9-CC10)/CC10,IF(AND(CC9=0,CC10=0),"",IF(AND(CC9="",CC10=""),"",IF(AND(CC9=0,CC10=""),"", IF(AND(CC9="",CC10=0),"",1)))))</f>
        <v/>
      </c>
      <c r="CD11" s="40" t="str">
        <f t="shared" ref="CD11" si="314">IF(AND(CD9&lt;&gt;0,CD10&lt;&gt;0),(CD9-CD10)/CD10,IF(AND(CD9=0,CD10=0),"",IF(AND(CD9="",CD10=""),"",IF(AND(CD9=0,CD10=""),"", IF(AND(CD9="",CD10=0),"",1)))))</f>
        <v/>
      </c>
      <c r="CE11" s="40" t="str">
        <f t="shared" ref="CE11" si="315">IF(AND(CE9&lt;&gt;0,CE10&lt;&gt;0),(CE9-CE10)/CE10,IF(AND(CE9=0,CE10=0),"",IF(AND(CE9="",CE10=""),"",IF(AND(CE9=0,CE10=""),"", IF(AND(CE9="",CE10=0),"",1)))))</f>
        <v/>
      </c>
      <c r="CF11" s="40" t="str">
        <f t="shared" ref="CF11" si="316">IF(AND(CF9&lt;&gt;0,CF10&lt;&gt;0),(CF9-CF10)/CF10,IF(AND(CF9=0,CF10=0),"",IF(AND(CF9="",CF10=""),"",IF(AND(CF9=0,CF10=""),"", IF(AND(CF9="",CF10=0),"",1)))))</f>
        <v/>
      </c>
      <c r="CG11" s="40" t="str">
        <f t="shared" ref="CG11" si="317">IF(AND(CG9&lt;&gt;0,CG10&lt;&gt;0),(CG9-CG10)/CG10,IF(AND(CG9=0,CG10=0),"",IF(AND(CG9="",CG10=""),"",IF(AND(CG9=0,CG10=""),"", IF(AND(CG9="",CG10=0),"",1)))))</f>
        <v/>
      </c>
      <c r="CH11" s="40" t="str">
        <f t="shared" ref="CH11" si="318">IF(AND(CH9&lt;&gt;0,CH10&lt;&gt;0),(CH9-CH10)/CH10,IF(AND(CH9=0,CH10=0),"",IF(AND(CH9="",CH10=""),"",IF(AND(CH9=0,CH10=""),"", IF(AND(CH9="",CH10=0),"",1)))))</f>
        <v/>
      </c>
      <c r="CI11" s="40" t="str">
        <f t="shared" ref="CI11" si="319">IF(AND(CI9&lt;&gt;0,CI10&lt;&gt;0),(CI9-CI10)/CI10,IF(AND(CI9=0,CI10=0),"",IF(AND(CI9="",CI10=""),"",IF(AND(CI9=0,CI10=""),"", IF(AND(CI9="",CI10=0),"",1)))))</f>
        <v/>
      </c>
      <c r="CJ11" s="40" t="str">
        <f t="shared" ref="CJ11" si="320">IF(AND(CJ9&lt;&gt;0,CJ10&lt;&gt;0),(CJ9-CJ10)/CJ10,IF(AND(CJ9=0,CJ10=0),"",IF(AND(CJ9="",CJ10=""),"",IF(AND(CJ9=0,CJ10=""),"", IF(AND(CJ9="",CJ10=0),"",1)))))</f>
        <v/>
      </c>
      <c r="CK11" s="40" t="str">
        <f t="shared" ref="CK11" si="321">IF(AND(CK9&lt;&gt;0,CK10&lt;&gt;0),(CK9-CK10)/CK10,IF(AND(CK9=0,CK10=0),"",IF(AND(CK9="",CK10=""),"",IF(AND(CK9=0,CK10=""),"", IF(AND(CK9="",CK10=0),"",1)))))</f>
        <v/>
      </c>
      <c r="CL11" s="40" t="str">
        <f t="shared" ref="CL11" si="322">IF(AND(CL9&lt;&gt;0,CL10&lt;&gt;0),(CL9-CL10)/CL10,IF(AND(CL9=0,CL10=0),"",IF(AND(CL9="",CL10=""),"",IF(AND(CL9=0,CL10=""),"", IF(AND(CL9="",CL10=0),"",1)))))</f>
        <v/>
      </c>
      <c r="CM11" s="40" t="str">
        <f t="shared" ref="CM11" si="323">IF(AND(CM9&lt;&gt;0,CM10&lt;&gt;0),(CM9-CM10)/CM10,IF(AND(CM9=0,CM10=0),"",IF(AND(CM9="",CM10=""),"",IF(AND(CM9=0,CM10=""),"", IF(AND(CM9="",CM10=0),"",1)))))</f>
        <v/>
      </c>
      <c r="CN11" s="40" t="str">
        <f t="shared" ref="CN11" si="324">IF(AND(CN9&lt;&gt;0,CN10&lt;&gt;0),(CN9-CN10)/CN10,IF(AND(CN9=0,CN10=0),"",IF(AND(CN9="",CN10=""),"",IF(AND(CN9=0,CN10=""),"", IF(AND(CN9="",CN10=0),"",1)))))</f>
        <v/>
      </c>
      <c r="CO11" s="40" t="str">
        <f t="shared" ref="CO11" si="325">IF(AND(CO9&lt;&gt;0,CO10&lt;&gt;0),(CO9-CO10)/CO10,IF(AND(CO9=0,CO10=0),"",IF(AND(CO9="",CO10=""),"",IF(AND(CO9=0,CO10=""),"", IF(AND(CO9="",CO10=0),"",1)))))</f>
        <v/>
      </c>
      <c r="CP11" s="40" t="str">
        <f t="shared" ref="CP11" si="326">IF(AND(CP9&lt;&gt;0,CP10&lt;&gt;0),(CP9-CP10)/CP10,IF(AND(CP9=0,CP10=0),"",IF(AND(CP9="",CP10=""),"",IF(AND(CP9=0,CP10=""),"", IF(AND(CP9="",CP10=0),"",1)))))</f>
        <v/>
      </c>
      <c r="CQ11" s="40" t="str">
        <f t="shared" ref="CQ11" si="327">IF(AND(CQ9&lt;&gt;0,CQ10&lt;&gt;0),(CQ9-CQ10)/CQ10,IF(AND(CQ9=0,CQ10=0),"",IF(AND(CQ9="",CQ10=""),"",IF(AND(CQ9=0,CQ10=""),"", IF(AND(CQ9="",CQ10=0),"",1)))))</f>
        <v/>
      </c>
      <c r="CR11" s="40" t="str">
        <f t="shared" ref="CR11" si="328">IF(AND(CR9&lt;&gt;0,CR10&lt;&gt;0),(CR9-CR10)/CR10,IF(AND(CR9=0,CR10=0),"",IF(AND(CR9="",CR10=""),"",IF(AND(CR9=0,CR10=""),"", IF(AND(CR9="",CR10=0),"",1)))))</f>
        <v/>
      </c>
      <c r="CS11" s="40" t="str">
        <f t="shared" ref="CS11" si="329">IF(AND(CS9&lt;&gt;0,CS10&lt;&gt;0),(CS9-CS10)/CS10,IF(AND(CS9=0,CS10=0),"",IF(AND(CS9="",CS10=""),"",IF(AND(CS9=0,CS10=""),"", IF(AND(CS9="",CS10=0),"",1)))))</f>
        <v/>
      </c>
      <c r="CT11" s="40" t="str">
        <f t="shared" ref="CT11" si="330">IF(AND(CT9&lt;&gt;0,CT10&lt;&gt;0),(CT9-CT10)/CT10,IF(AND(CT9=0,CT10=0),"",IF(AND(CT9="",CT10=""),"",IF(AND(CT9=0,CT10=""),"", IF(AND(CT9="",CT10=0),"",1)))))</f>
        <v/>
      </c>
      <c r="CU11" s="40" t="str">
        <f t="shared" ref="CU11" si="331">IF(AND(CU9&lt;&gt;0,CU10&lt;&gt;0),(CU9-CU10)/CU10,IF(AND(CU9=0,CU10=0),"",IF(AND(CU9="",CU10=""),"",IF(AND(CU9=0,CU10=""),"", IF(AND(CU9="",CU10=0),"",1)))))</f>
        <v/>
      </c>
      <c r="CV11" s="40" t="str">
        <f t="shared" ref="CV11:DJ11" si="332">IF(AND(CV9&lt;&gt;0,CV10&lt;&gt;0),(CV9-CV10)/CV10,IF(AND(CV9=0,CV10=0),"",IF(AND(CV9="",CV10=""),"",IF(AND(CV9=0,CV10=""),"", IF(AND(CV9="",CV10=0),"",1)))))</f>
        <v/>
      </c>
      <c r="CW11" s="40" t="str">
        <f t="shared" si="332"/>
        <v/>
      </c>
      <c r="CX11" s="40" t="str">
        <f t="shared" si="332"/>
        <v/>
      </c>
      <c r="CY11" s="40" t="str">
        <f t="shared" si="332"/>
        <v/>
      </c>
      <c r="CZ11" s="40" t="str">
        <f t="shared" si="332"/>
        <v/>
      </c>
      <c r="DA11" s="40" t="str">
        <f t="shared" si="332"/>
        <v/>
      </c>
      <c r="DB11" s="40" t="str">
        <f t="shared" si="332"/>
        <v/>
      </c>
      <c r="DC11" s="40" t="str">
        <f t="shared" si="332"/>
        <v/>
      </c>
      <c r="DD11" s="40" t="str">
        <f t="shared" si="332"/>
        <v/>
      </c>
      <c r="DE11" s="40" t="str">
        <f t="shared" si="332"/>
        <v/>
      </c>
      <c r="DF11" s="40" t="str">
        <f t="shared" si="332"/>
        <v/>
      </c>
      <c r="DG11" s="40" t="str">
        <f t="shared" si="332"/>
        <v/>
      </c>
      <c r="DH11" s="40" t="str">
        <f t="shared" si="332"/>
        <v/>
      </c>
      <c r="DI11" s="40" t="str">
        <f t="shared" si="332"/>
        <v/>
      </c>
      <c r="DJ11" s="40" t="str">
        <f t="shared" si="332"/>
        <v/>
      </c>
      <c r="DK11" s="41" t="str">
        <f t="shared" ref="DK11:HU11" si="333">IF(AND(DK9&lt;&gt;0,DK10&lt;&gt;0),(DK9-DK10)/DK10,IF(AND(DK9=0,DK10=0),"",IF(AND(DK9="",DK10=""),"",IF(AND(DK9=0,DK10=""),"", IF(AND(DK9="",DK10=0),"",1)))))</f>
        <v/>
      </c>
      <c r="DL11" s="72" t="str">
        <f t="shared" si="333"/>
        <v/>
      </c>
      <c r="DM11" s="73" t="str">
        <f t="shared" si="333"/>
        <v/>
      </c>
      <c r="DN11" s="73" t="str">
        <f t="shared" si="333"/>
        <v/>
      </c>
      <c r="DO11" s="73" t="str">
        <f t="shared" si="333"/>
        <v/>
      </c>
      <c r="DP11" s="73" t="str">
        <f t="shared" si="333"/>
        <v/>
      </c>
      <c r="DQ11" s="73" t="str">
        <f t="shared" si="333"/>
        <v/>
      </c>
      <c r="DR11" s="73" t="str">
        <f t="shared" si="333"/>
        <v/>
      </c>
      <c r="DS11" s="73" t="str">
        <f t="shared" si="333"/>
        <v/>
      </c>
      <c r="DT11" s="73" t="str">
        <f t="shared" si="333"/>
        <v/>
      </c>
      <c r="DU11" s="73" t="str">
        <f t="shared" si="333"/>
        <v/>
      </c>
      <c r="DV11" s="73" t="str">
        <f t="shared" si="333"/>
        <v/>
      </c>
      <c r="DW11" s="73" t="str">
        <f t="shared" si="333"/>
        <v/>
      </c>
      <c r="DX11" s="73" t="str">
        <f t="shared" si="333"/>
        <v/>
      </c>
      <c r="DY11" s="73" t="str">
        <f t="shared" si="333"/>
        <v/>
      </c>
      <c r="DZ11" s="73" t="str">
        <f t="shared" si="333"/>
        <v/>
      </c>
      <c r="EA11" s="73" t="str">
        <f t="shared" si="333"/>
        <v/>
      </c>
      <c r="EB11" s="73" t="str">
        <f t="shared" si="333"/>
        <v/>
      </c>
      <c r="EC11" s="73" t="str">
        <f t="shared" si="333"/>
        <v/>
      </c>
      <c r="ED11" s="73" t="str">
        <f t="shared" si="333"/>
        <v/>
      </c>
      <c r="EE11" s="73" t="str">
        <f t="shared" si="333"/>
        <v/>
      </c>
      <c r="EF11" s="73" t="str">
        <f t="shared" si="333"/>
        <v/>
      </c>
      <c r="EG11" s="73" t="str">
        <f t="shared" si="333"/>
        <v/>
      </c>
      <c r="EH11" s="73" t="str">
        <f t="shared" si="333"/>
        <v/>
      </c>
      <c r="EI11" s="73" t="str">
        <f t="shared" ref="EI11:EV11" si="334">IF(AND(EI9&lt;&gt;0,EI10&lt;&gt;0),(EI9-EI10)/EI10,IF(AND(EI9=0,EI10=0),"",IF(AND(EI9="",EI10=""),"",IF(AND(EI9=0,EI10=""),"", IF(AND(EI9="",EI10=0),"",1)))))</f>
        <v/>
      </c>
      <c r="EJ11" s="73" t="str">
        <f t="shared" si="334"/>
        <v/>
      </c>
      <c r="EK11" s="73" t="str">
        <f t="shared" si="334"/>
        <v/>
      </c>
      <c r="EL11" s="73" t="str">
        <f t="shared" si="334"/>
        <v/>
      </c>
      <c r="EM11" s="73" t="str">
        <f t="shared" si="334"/>
        <v/>
      </c>
      <c r="EN11" s="73" t="str">
        <f t="shared" si="334"/>
        <v/>
      </c>
      <c r="EO11" s="73" t="str">
        <f t="shared" si="334"/>
        <v/>
      </c>
      <c r="EP11" s="73" t="str">
        <f t="shared" si="334"/>
        <v/>
      </c>
      <c r="EQ11" s="73" t="str">
        <f t="shared" si="334"/>
        <v/>
      </c>
      <c r="ER11" s="73" t="str">
        <f t="shared" si="334"/>
        <v/>
      </c>
      <c r="ES11" s="73" t="str">
        <f t="shared" si="334"/>
        <v/>
      </c>
      <c r="ET11" s="73" t="str">
        <f t="shared" si="334"/>
        <v/>
      </c>
      <c r="EU11" s="73" t="str">
        <f t="shared" si="334"/>
        <v/>
      </c>
      <c r="EV11" s="73" t="str">
        <f t="shared" si="334"/>
        <v/>
      </c>
      <c r="EW11" s="74" t="str">
        <f t="shared" si="333"/>
        <v/>
      </c>
      <c r="EX11" s="72" t="str">
        <f t="shared" ref="EX11:GI11" si="335">IF(AND(EX9&lt;&gt;0,EX10&lt;&gt;0),(EX9-EX10)/EX10,IF(AND(EX9=0,EX10=0),"",IF(AND(EX9="",EX10=""),"",IF(AND(EX9=0,EX10=""),"", IF(AND(EX9="",EX10=0),"",1)))))</f>
        <v/>
      </c>
      <c r="EY11" s="73" t="str">
        <f t="shared" si="335"/>
        <v/>
      </c>
      <c r="EZ11" s="73" t="str">
        <f t="shared" si="335"/>
        <v/>
      </c>
      <c r="FA11" s="73" t="str">
        <f t="shared" si="335"/>
        <v/>
      </c>
      <c r="FB11" s="73" t="str">
        <f t="shared" si="335"/>
        <v/>
      </c>
      <c r="FC11" s="73" t="str">
        <f t="shared" si="335"/>
        <v/>
      </c>
      <c r="FD11" s="73" t="str">
        <f t="shared" si="335"/>
        <v/>
      </c>
      <c r="FE11" s="73" t="str">
        <f t="shared" si="335"/>
        <v/>
      </c>
      <c r="FF11" s="73" t="str">
        <f t="shared" si="335"/>
        <v/>
      </c>
      <c r="FG11" s="73" t="str">
        <f t="shared" si="335"/>
        <v/>
      </c>
      <c r="FH11" s="73" t="str">
        <f t="shared" si="335"/>
        <v/>
      </c>
      <c r="FI11" s="73" t="str">
        <f t="shared" si="335"/>
        <v/>
      </c>
      <c r="FJ11" s="73" t="str">
        <f t="shared" si="335"/>
        <v/>
      </c>
      <c r="FK11" s="73" t="str">
        <f t="shared" si="335"/>
        <v/>
      </c>
      <c r="FL11" s="73" t="str">
        <f t="shared" si="335"/>
        <v/>
      </c>
      <c r="FM11" s="73" t="str">
        <f t="shared" si="335"/>
        <v/>
      </c>
      <c r="FN11" s="73" t="str">
        <f t="shared" si="335"/>
        <v/>
      </c>
      <c r="FO11" s="73" t="str">
        <f t="shared" si="335"/>
        <v/>
      </c>
      <c r="FP11" s="73" t="str">
        <f t="shared" si="335"/>
        <v/>
      </c>
      <c r="FQ11" s="73" t="str">
        <f t="shared" si="335"/>
        <v/>
      </c>
      <c r="FR11" s="73" t="str">
        <f t="shared" si="335"/>
        <v/>
      </c>
      <c r="FS11" s="73" t="str">
        <f t="shared" si="335"/>
        <v/>
      </c>
      <c r="FT11" s="73" t="str">
        <f t="shared" si="335"/>
        <v/>
      </c>
      <c r="FU11" s="73" t="str">
        <f t="shared" ref="FU11:GH11" si="336">IF(AND(FU9&lt;&gt;0,FU10&lt;&gt;0),(FU9-FU10)/FU10,IF(AND(FU9=0,FU10=0),"",IF(AND(FU9="",FU10=""),"",IF(AND(FU9=0,FU10=""),"", IF(AND(FU9="",FU10=0),"",1)))))</f>
        <v/>
      </c>
      <c r="FV11" s="73" t="str">
        <f t="shared" si="336"/>
        <v/>
      </c>
      <c r="FW11" s="73" t="str">
        <f t="shared" si="336"/>
        <v/>
      </c>
      <c r="FX11" s="73" t="str">
        <f t="shared" si="336"/>
        <v/>
      </c>
      <c r="FY11" s="73" t="str">
        <f t="shared" si="336"/>
        <v/>
      </c>
      <c r="FZ11" s="73" t="str">
        <f t="shared" si="336"/>
        <v/>
      </c>
      <c r="GA11" s="73" t="str">
        <f t="shared" si="336"/>
        <v/>
      </c>
      <c r="GB11" s="73" t="str">
        <f t="shared" si="336"/>
        <v/>
      </c>
      <c r="GC11" s="73" t="str">
        <f t="shared" si="336"/>
        <v/>
      </c>
      <c r="GD11" s="73" t="str">
        <f t="shared" si="336"/>
        <v/>
      </c>
      <c r="GE11" s="73" t="str">
        <f t="shared" si="336"/>
        <v/>
      </c>
      <c r="GF11" s="73" t="str">
        <f t="shared" si="336"/>
        <v/>
      </c>
      <c r="GG11" s="73" t="str">
        <f t="shared" si="336"/>
        <v/>
      </c>
      <c r="GH11" s="73" t="str">
        <f t="shared" si="336"/>
        <v/>
      </c>
      <c r="GI11" s="74" t="str">
        <f t="shared" si="335"/>
        <v/>
      </c>
      <c r="GJ11" s="72" t="str">
        <f t="shared" si="333"/>
        <v/>
      </c>
      <c r="GK11" s="73" t="str">
        <f t="shared" si="333"/>
        <v/>
      </c>
      <c r="GL11" s="73" t="str">
        <f t="shared" si="333"/>
        <v/>
      </c>
      <c r="GM11" s="73" t="str">
        <f t="shared" si="333"/>
        <v/>
      </c>
      <c r="GN11" s="73" t="str">
        <f t="shared" si="333"/>
        <v/>
      </c>
      <c r="GO11" s="73" t="str">
        <f t="shared" si="333"/>
        <v/>
      </c>
      <c r="GP11" s="73" t="str">
        <f t="shared" si="333"/>
        <v/>
      </c>
      <c r="GQ11" s="73" t="str">
        <f t="shared" si="333"/>
        <v/>
      </c>
      <c r="GR11" s="73" t="str">
        <f t="shared" si="333"/>
        <v/>
      </c>
      <c r="GS11" s="73" t="str">
        <f t="shared" si="333"/>
        <v/>
      </c>
      <c r="GT11" s="73" t="str">
        <f t="shared" si="333"/>
        <v/>
      </c>
      <c r="GU11" s="73" t="str">
        <f t="shared" si="333"/>
        <v/>
      </c>
      <c r="GV11" s="73" t="str">
        <f t="shared" si="333"/>
        <v/>
      </c>
      <c r="GW11" s="73" t="str">
        <f t="shared" si="333"/>
        <v/>
      </c>
      <c r="GX11" s="73" t="str">
        <f t="shared" si="333"/>
        <v/>
      </c>
      <c r="GY11" s="73" t="str">
        <f t="shared" si="333"/>
        <v/>
      </c>
      <c r="GZ11" s="73" t="str">
        <f t="shared" si="333"/>
        <v/>
      </c>
      <c r="HA11" s="73" t="str">
        <f t="shared" si="333"/>
        <v/>
      </c>
      <c r="HB11" s="73" t="str">
        <f t="shared" si="333"/>
        <v/>
      </c>
      <c r="HC11" s="73" t="str">
        <f t="shared" si="333"/>
        <v/>
      </c>
      <c r="HD11" s="73" t="str">
        <f t="shared" si="333"/>
        <v/>
      </c>
      <c r="HE11" s="73" t="str">
        <f t="shared" si="333"/>
        <v/>
      </c>
      <c r="HF11" s="73" t="str">
        <f t="shared" si="333"/>
        <v/>
      </c>
      <c r="HG11" s="73" t="str">
        <f t="shared" ref="HG11:HT11" si="337">IF(AND(HG9&lt;&gt;0,HG10&lt;&gt;0),(HG9-HG10)/HG10,IF(AND(HG9=0,HG10=0),"",IF(AND(HG9="",HG10=""),"",IF(AND(HG9=0,HG10=""),"", IF(AND(HG9="",HG10=0),"",1)))))</f>
        <v/>
      </c>
      <c r="HH11" s="73" t="str">
        <f t="shared" si="337"/>
        <v/>
      </c>
      <c r="HI11" s="73" t="str">
        <f t="shared" si="337"/>
        <v/>
      </c>
      <c r="HJ11" s="73" t="str">
        <f t="shared" si="337"/>
        <v/>
      </c>
      <c r="HK11" s="73" t="str">
        <f t="shared" si="337"/>
        <v/>
      </c>
      <c r="HL11" s="73" t="str">
        <f t="shared" si="337"/>
        <v/>
      </c>
      <c r="HM11" s="73" t="str">
        <f t="shared" si="337"/>
        <v/>
      </c>
      <c r="HN11" s="73" t="str">
        <f t="shared" si="337"/>
        <v/>
      </c>
      <c r="HO11" s="73" t="str">
        <f t="shared" si="337"/>
        <v/>
      </c>
      <c r="HP11" s="73" t="str">
        <f t="shared" si="337"/>
        <v/>
      </c>
      <c r="HQ11" s="73" t="str">
        <f t="shared" si="337"/>
        <v/>
      </c>
      <c r="HR11" s="73" t="str">
        <f t="shared" si="337"/>
        <v/>
      </c>
      <c r="HS11" s="73" t="str">
        <f t="shared" si="337"/>
        <v/>
      </c>
      <c r="HT11" s="73" t="str">
        <f t="shared" si="337"/>
        <v/>
      </c>
      <c r="HU11" s="74" t="str">
        <f t="shared" si="333"/>
        <v/>
      </c>
      <c r="HV11" s="39">
        <f t="shared" ref="HV11" si="338">IF(AND(HV9&lt;&gt;0,HV10&lt;&gt;0),(HV9-HV10)/HV10,IF(AND(HV9=0,HV10=0),"",IF(AND(HV9="",HV10=""),"",IF(AND(HV9=0,HV10=""),"", IF(AND(HV9="",HV10=0),"",1)))))</f>
        <v>-6.7235923894337963E-5</v>
      </c>
      <c r="HW11" s="40">
        <f t="shared" ref="HW11" si="339">IF(AND(HW9&lt;&gt;0,HW10&lt;&gt;0),(HW9-HW10)/HW10,IF(AND(HW9=0,HW10=0),"",IF(AND(HW9="",HW10=""),"",IF(AND(HW9=0,HW10=""),"", IF(AND(HW9="",HW10=0),"",1)))))</f>
        <v>7.6808607087690923E-5</v>
      </c>
      <c r="HX11" s="40">
        <f t="shared" ref="HX11" si="340">IF(AND(HX9&lt;&gt;0,HX10&lt;&gt;0),(HX9-HX10)/HX10,IF(AND(HX9=0,HX10=0),"",IF(AND(HX9="",HX10=""),"",IF(AND(HX9=0,HX10=""),"", IF(AND(HX9="",HX10=0),"",1)))))</f>
        <v>9.2654499524867725E-8</v>
      </c>
      <c r="HY11" s="40">
        <f t="shared" ref="HY11" si="341">IF(AND(HY9&lt;&gt;0,HY10&lt;&gt;0),(HY9-HY10)/HY10,IF(AND(HY9=0,HY10=0),"",IF(AND(HY9="",HY10=""),"",IF(AND(HY9=0,HY10=""),"", IF(AND(HY9="",HY10=0),"",1)))))</f>
        <v>1.3240798135695623E-5</v>
      </c>
      <c r="HZ11" s="40">
        <f t="shared" ref="HZ11" si="342">IF(AND(HZ9&lt;&gt;0,HZ10&lt;&gt;0),(HZ9-HZ10)/HZ10,IF(AND(HZ9=0,HZ10=0),"",IF(AND(HZ9="",HZ10=""),"",IF(AND(HZ9=0,HZ10=""),"", IF(AND(HZ9="",HZ10=0),"",1)))))</f>
        <v>2.4772414906754796E-5</v>
      </c>
      <c r="IA11" s="40">
        <f t="shared" ref="IA11" si="343">IF(AND(IA9&lt;&gt;0,IA10&lt;&gt;0),(IA9-IA10)/IA10,IF(AND(IA9=0,IA10=0),"",IF(AND(IA9="",IA10=""),"",IF(AND(IA9=0,IA10=""),"", IF(AND(IA9="",IA10=0),"",1)))))</f>
        <v>1.2258746394008515E-5</v>
      </c>
      <c r="IB11" s="40">
        <f t="shared" ref="IB11" si="344">IF(AND(IB9&lt;&gt;0,IB10&lt;&gt;0),(IB9-IB10)/IB10,IF(AND(IB9=0,IB10=0),"",IF(AND(IB9="",IB10=""),"",IF(AND(IB9=0,IB10=""),"", IF(AND(IB9="",IB10=0),"",1)))))</f>
        <v>1.1954002757487753E-5</v>
      </c>
      <c r="IC11" s="40">
        <f t="shared" ref="IC11" si="345">IF(AND(IC9&lt;&gt;0,IC10&lt;&gt;0),(IC9-IC10)/IC10,IF(AND(IC9=0,IC10=0),"",IF(AND(IC9="",IC10=""),"",IF(AND(IC9=0,IC10=""),"", IF(AND(IC9="",IC10=0),"",1)))))</f>
        <v>-2.4046986927290763E-5</v>
      </c>
      <c r="ID11" s="40">
        <f t="shared" ref="ID11" si="346">IF(AND(ID9&lt;&gt;0,ID10&lt;&gt;0),(ID9-ID10)/ID10,IF(AND(ID9=0,ID10=0),"",IF(AND(ID9="",ID10=""),"",IF(AND(ID9=0,ID10=""),"", IF(AND(ID9="",ID10=0),"",1)))))</f>
        <v>1.2302972398131388E-5</v>
      </c>
      <c r="IE11" s="40">
        <f t="shared" ref="IE11" si="347">IF(AND(IE9&lt;&gt;0,IE10&lt;&gt;0),(IE9-IE10)/IE10,IF(AND(IE9=0,IE10=0),"",IF(AND(IE9="",IE10=""),"",IF(AND(IE9=0,IE10=""),"", IF(AND(IE9="",IE10=0),"",1)))))</f>
        <v>1.2355031736316304E-5</v>
      </c>
      <c r="IF11" s="40">
        <f t="shared" ref="IF11" si="348">IF(AND(IF9&lt;&gt;0,IF10&lt;&gt;0),(IF9-IF10)/IF10,IF(AND(IF9=0,IF10=0),"",IF(AND(IF9="",IF10=""),"",IF(AND(IF9=0,IF10=""),"", IF(AND(IF9="",IF10=0),"",1)))))</f>
        <v>0.14810869363512383</v>
      </c>
      <c r="IG11" s="40">
        <f t="shared" ref="IG11" si="349">IF(AND(IG9&lt;&gt;0,IG10&lt;&gt;0),(IG9-IG10)/IG10,IF(AND(IG9=0,IG10=0),"",IF(AND(IG9="",IG10=""),"",IF(AND(IG9=0,IG10=""),"", IF(AND(IG9="",IG10=0),"",1)))))</f>
        <v>7.018479656936714E-6</v>
      </c>
      <c r="IH11" s="40">
        <f t="shared" ref="IH11" si="350">IF(AND(IH9&lt;&gt;0,IH10&lt;&gt;0),(IH9-IH10)/IH10,IF(AND(IH9=0,IH10=0),"",IF(AND(IH9="",IH10=""),"",IF(AND(IH9=0,IH10=""),"", IF(AND(IH9="",IH10=0),"",1)))))</f>
        <v>1.494549628144913E-5</v>
      </c>
      <c r="II11" s="40">
        <f t="shared" ref="II11" si="351">IF(AND(II9&lt;&gt;0,II10&lt;&gt;0),(II9-II10)/II10,IF(AND(II9=0,II10=0),"",IF(AND(II9="",II10=""),"",IF(AND(II9=0,II10=""),"", IF(AND(II9="",II10=0),"",1)))))</f>
        <v>-7.8368247693818387E-6</v>
      </c>
      <c r="IJ11" s="40">
        <f t="shared" ref="IJ11" si="352">IF(AND(IJ9&lt;&gt;0,IJ10&lt;&gt;0),(IJ9-IJ10)/IJ10,IF(AND(IJ9=0,IJ10=0),"",IF(AND(IJ9="",IJ10=""),"",IF(AND(IJ9=0,IJ10=""),"", IF(AND(IJ9="",IJ10=0),"",1)))))</f>
        <v>-1.0393700918345838E-7</v>
      </c>
      <c r="IK11" s="40">
        <f t="shared" ref="IK11" si="353">IF(AND(IK9&lt;&gt;0,IK10&lt;&gt;0),(IK9-IK10)/IK10,IF(AND(IK9=0,IK10=0),"",IF(AND(IK9="",IK10=""),"",IF(AND(IK9=0,IK10=""),"", IF(AND(IK9="",IK10=0),"",1)))))</f>
        <v>1.792726501644909E-5</v>
      </c>
      <c r="IL11" s="40">
        <f t="shared" ref="IL11" si="354">IF(AND(IL9&lt;&gt;0,IL10&lt;&gt;0),(IL9-IL10)/IL10,IF(AND(IL9=0,IL10=0),"",IF(AND(IL9="",IL10=""),"",IF(AND(IL9=0,IL10=""),"", IF(AND(IL9="",IL10=0),"",1)))))</f>
        <v>1.8618844784465926E-5</v>
      </c>
      <c r="IM11" s="40">
        <f t="shared" ref="IM11" si="355">IF(AND(IM9&lt;&gt;0,IM10&lt;&gt;0),(IM9-IM10)/IM10,IF(AND(IM9=0,IM10=0),"",IF(AND(IM9="",IM10=""),"",IF(AND(IM9=0,IM10=""),"", IF(AND(IM9="",IM10=0),"",1)))))</f>
        <v>1.8418132872830897E-7</v>
      </c>
      <c r="IN11" s="40">
        <f t="shared" ref="IN11" si="356">IF(AND(IN9&lt;&gt;0,IN10&lt;&gt;0),(IN9-IN10)/IN10,IF(AND(IN9=0,IN10=0),"",IF(AND(IN9="",IN10=""),"",IF(AND(IN9=0,IN10=""),"", IF(AND(IN9="",IN10=0),"",1)))))</f>
        <v>6.5150450632636933E-8</v>
      </c>
      <c r="IO11" s="40">
        <f t="shared" ref="IO11" si="357">IF(AND(IO9&lt;&gt;0,IO10&lt;&gt;0),(IO9-IO10)/IO10,IF(AND(IO9=0,IO10=0),"",IF(AND(IO9="",IO10=""),"",IF(AND(IO9=0,IO10=""),"", IF(AND(IO9="",IO10=0),"",1)))))</f>
        <v>1.1374164515915557E-5</v>
      </c>
      <c r="IP11" s="40">
        <f t="shared" ref="IP11" si="358">IF(AND(IP9&lt;&gt;0,IP10&lt;&gt;0),(IP9-IP10)/IP10,IF(AND(IP9=0,IP10=0),"",IF(AND(IP9="",IP10=""),"",IF(AND(IP9=0,IP10=""),"", IF(AND(IP9="",IP10=0),"",1)))))</f>
        <v>-2.3627587220800678E-5</v>
      </c>
      <c r="IQ11" s="40">
        <f t="shared" ref="IQ11" si="359">IF(AND(IQ9&lt;&gt;0,IQ10&lt;&gt;0),(IQ9-IQ10)/IQ10,IF(AND(IQ9=0,IQ10=0),"",IF(AND(IQ9="",IQ10=""),"",IF(AND(IQ9=0,IQ10=""),"", IF(AND(IQ9="",IQ10=0),"",1)))))</f>
        <v>1.2469088974492862E-5</v>
      </c>
      <c r="IR11" s="40">
        <f t="shared" ref="IR11:JF11" si="360">IF(AND(IR9&lt;&gt;0,IR10&lt;&gt;0),(IR9-IR10)/IR10,IF(AND(IR9=0,IR10=0),"",IF(AND(IR9="",IR10=""),"",IF(AND(IR9=0,IR10=""),"", IF(AND(IR9="",IR10=0),"",1)))))</f>
        <v>1.6332567662561311E-7</v>
      </c>
      <c r="IS11" s="40">
        <f t="shared" si="360"/>
        <v>1</v>
      </c>
      <c r="IT11" s="40" t="str">
        <f t="shared" si="360"/>
        <v/>
      </c>
      <c r="IU11" s="40" t="str">
        <f t="shared" si="360"/>
        <v/>
      </c>
      <c r="IV11" s="40" t="str">
        <f t="shared" si="360"/>
        <v/>
      </c>
      <c r="IW11" s="40" t="str">
        <f t="shared" si="360"/>
        <v/>
      </c>
      <c r="IX11" s="40" t="str">
        <f t="shared" si="360"/>
        <v/>
      </c>
      <c r="IY11" s="40" t="str">
        <f t="shared" si="360"/>
        <v/>
      </c>
      <c r="IZ11" s="40" t="str">
        <f t="shared" si="360"/>
        <v/>
      </c>
      <c r="JA11" s="40" t="str">
        <f t="shared" si="360"/>
        <v/>
      </c>
      <c r="JB11" s="40" t="str">
        <f t="shared" si="360"/>
        <v/>
      </c>
      <c r="JC11" s="40" t="str">
        <f t="shared" si="360"/>
        <v/>
      </c>
      <c r="JD11" s="40" t="str">
        <f t="shared" si="360"/>
        <v/>
      </c>
      <c r="JE11" s="40" t="str">
        <f t="shared" si="360"/>
        <v/>
      </c>
      <c r="JF11" s="40" t="str">
        <f t="shared" si="360"/>
        <v/>
      </c>
      <c r="JG11" s="41">
        <f t="shared" ref="JG11:NQ11" si="361">IF(AND(JG9&lt;&gt;0,JG10&lt;&gt;0),(JG9-JG10)/JG10,IF(AND(JG9=0,JG10=0),"",IF(AND(JG9="",JG10=""),"",IF(AND(JG9=0,JG10=""),"", IF(AND(JG9="",JG10=0),"",1)))))</f>
        <v>8.6201745176136529E-3</v>
      </c>
      <c r="JH11" s="72" t="str">
        <f t="shared" si="361"/>
        <v/>
      </c>
      <c r="JI11" s="73" t="str">
        <f t="shared" si="361"/>
        <v/>
      </c>
      <c r="JJ11" s="73" t="str">
        <f t="shared" si="361"/>
        <v/>
      </c>
      <c r="JK11" s="73" t="str">
        <f t="shared" si="361"/>
        <v/>
      </c>
      <c r="JL11" s="73" t="str">
        <f t="shared" si="361"/>
        <v/>
      </c>
      <c r="JM11" s="73" t="str">
        <f t="shared" si="361"/>
        <v/>
      </c>
      <c r="JN11" s="73" t="str">
        <f t="shared" si="361"/>
        <v/>
      </c>
      <c r="JO11" s="73" t="str">
        <f t="shared" si="361"/>
        <v/>
      </c>
      <c r="JP11" s="73" t="str">
        <f t="shared" si="361"/>
        <v/>
      </c>
      <c r="JQ11" s="73" t="str">
        <f t="shared" si="361"/>
        <v/>
      </c>
      <c r="JR11" s="73" t="str">
        <f t="shared" si="361"/>
        <v/>
      </c>
      <c r="JS11" s="73" t="str">
        <f t="shared" si="361"/>
        <v/>
      </c>
      <c r="JT11" s="73" t="str">
        <f t="shared" si="361"/>
        <v/>
      </c>
      <c r="JU11" s="73" t="str">
        <f t="shared" si="361"/>
        <v/>
      </c>
      <c r="JV11" s="73" t="str">
        <f t="shared" si="361"/>
        <v/>
      </c>
      <c r="JW11" s="73" t="str">
        <f t="shared" si="361"/>
        <v/>
      </c>
      <c r="JX11" s="73" t="str">
        <f t="shared" si="361"/>
        <v/>
      </c>
      <c r="JY11" s="73" t="str">
        <f t="shared" si="361"/>
        <v/>
      </c>
      <c r="JZ11" s="73" t="str">
        <f t="shared" si="361"/>
        <v/>
      </c>
      <c r="KA11" s="73" t="str">
        <f t="shared" si="361"/>
        <v/>
      </c>
      <c r="KB11" s="73" t="str">
        <f t="shared" si="361"/>
        <v/>
      </c>
      <c r="KC11" s="73" t="str">
        <f t="shared" si="361"/>
        <v/>
      </c>
      <c r="KD11" s="73" t="str">
        <f t="shared" si="361"/>
        <v/>
      </c>
      <c r="KE11" s="73" t="str">
        <f t="shared" ref="KE11:KR11" si="362">IF(AND(KE9&lt;&gt;0,KE10&lt;&gt;0),(KE9-KE10)/KE10,IF(AND(KE9=0,KE10=0),"",IF(AND(KE9="",KE10=""),"",IF(AND(KE9=0,KE10=""),"", IF(AND(KE9="",KE10=0),"",1)))))</f>
        <v/>
      </c>
      <c r="KF11" s="73" t="str">
        <f t="shared" si="362"/>
        <v/>
      </c>
      <c r="KG11" s="73" t="str">
        <f t="shared" si="362"/>
        <v/>
      </c>
      <c r="KH11" s="73" t="str">
        <f t="shared" si="362"/>
        <v/>
      </c>
      <c r="KI11" s="73" t="str">
        <f t="shared" si="362"/>
        <v/>
      </c>
      <c r="KJ11" s="73" t="str">
        <f t="shared" si="362"/>
        <v/>
      </c>
      <c r="KK11" s="73" t="str">
        <f t="shared" si="362"/>
        <v/>
      </c>
      <c r="KL11" s="73" t="str">
        <f t="shared" si="362"/>
        <v/>
      </c>
      <c r="KM11" s="73" t="str">
        <f t="shared" si="362"/>
        <v/>
      </c>
      <c r="KN11" s="73" t="str">
        <f t="shared" si="362"/>
        <v/>
      </c>
      <c r="KO11" s="73" t="str">
        <f t="shared" si="362"/>
        <v/>
      </c>
      <c r="KP11" s="73" t="str">
        <f t="shared" si="362"/>
        <v/>
      </c>
      <c r="KQ11" s="73" t="str">
        <f t="shared" si="362"/>
        <v/>
      </c>
      <c r="KR11" s="73" t="str">
        <f t="shared" si="362"/>
        <v/>
      </c>
      <c r="KS11" s="74" t="str">
        <f t="shared" si="361"/>
        <v/>
      </c>
      <c r="KT11" s="72" t="str">
        <f t="shared" ref="KT11:ME11" si="363">IF(AND(KT9&lt;&gt;0,KT10&lt;&gt;0),(KT9-KT10)/KT10,IF(AND(KT9=0,KT10=0),"",IF(AND(KT9="",KT10=""),"",IF(AND(KT9=0,KT10=""),"", IF(AND(KT9="",KT10=0),"",1)))))</f>
        <v/>
      </c>
      <c r="KU11" s="73" t="str">
        <f t="shared" si="363"/>
        <v/>
      </c>
      <c r="KV11" s="73" t="str">
        <f t="shared" si="363"/>
        <v/>
      </c>
      <c r="KW11" s="73" t="str">
        <f t="shared" si="363"/>
        <v/>
      </c>
      <c r="KX11" s="73" t="str">
        <f t="shared" si="363"/>
        <v/>
      </c>
      <c r="KY11" s="73" t="str">
        <f t="shared" si="363"/>
        <v/>
      </c>
      <c r="KZ11" s="73" t="str">
        <f t="shared" si="363"/>
        <v/>
      </c>
      <c r="LA11" s="73" t="str">
        <f t="shared" si="363"/>
        <v/>
      </c>
      <c r="LB11" s="73" t="str">
        <f t="shared" si="363"/>
        <v/>
      </c>
      <c r="LC11" s="73" t="str">
        <f t="shared" si="363"/>
        <v/>
      </c>
      <c r="LD11" s="73" t="str">
        <f t="shared" si="363"/>
        <v/>
      </c>
      <c r="LE11" s="73" t="str">
        <f t="shared" si="363"/>
        <v/>
      </c>
      <c r="LF11" s="73" t="str">
        <f t="shared" si="363"/>
        <v/>
      </c>
      <c r="LG11" s="73" t="str">
        <f t="shared" si="363"/>
        <v/>
      </c>
      <c r="LH11" s="73" t="str">
        <f t="shared" si="363"/>
        <v/>
      </c>
      <c r="LI11" s="73" t="str">
        <f t="shared" si="363"/>
        <v/>
      </c>
      <c r="LJ11" s="73" t="str">
        <f t="shared" si="363"/>
        <v/>
      </c>
      <c r="LK11" s="73" t="str">
        <f t="shared" si="363"/>
        <v/>
      </c>
      <c r="LL11" s="73" t="str">
        <f t="shared" si="363"/>
        <v/>
      </c>
      <c r="LM11" s="73" t="str">
        <f t="shared" si="363"/>
        <v/>
      </c>
      <c r="LN11" s="73" t="str">
        <f t="shared" si="363"/>
        <v/>
      </c>
      <c r="LO11" s="73" t="str">
        <f t="shared" si="363"/>
        <v/>
      </c>
      <c r="LP11" s="73" t="str">
        <f t="shared" si="363"/>
        <v/>
      </c>
      <c r="LQ11" s="73" t="str">
        <f t="shared" ref="LQ11:MD11" si="364">IF(AND(LQ9&lt;&gt;0,LQ10&lt;&gt;0),(LQ9-LQ10)/LQ10,IF(AND(LQ9=0,LQ10=0),"",IF(AND(LQ9="",LQ10=""),"",IF(AND(LQ9=0,LQ10=""),"", IF(AND(LQ9="",LQ10=0),"",1)))))</f>
        <v/>
      </c>
      <c r="LR11" s="73" t="str">
        <f t="shared" si="364"/>
        <v/>
      </c>
      <c r="LS11" s="73" t="str">
        <f t="shared" si="364"/>
        <v/>
      </c>
      <c r="LT11" s="73" t="str">
        <f t="shared" si="364"/>
        <v/>
      </c>
      <c r="LU11" s="73" t="str">
        <f t="shared" si="364"/>
        <v/>
      </c>
      <c r="LV11" s="73" t="str">
        <f t="shared" si="364"/>
        <v/>
      </c>
      <c r="LW11" s="73" t="str">
        <f t="shared" si="364"/>
        <v/>
      </c>
      <c r="LX11" s="73" t="str">
        <f t="shared" si="364"/>
        <v/>
      </c>
      <c r="LY11" s="73" t="str">
        <f t="shared" si="364"/>
        <v/>
      </c>
      <c r="LZ11" s="73" t="str">
        <f t="shared" si="364"/>
        <v/>
      </c>
      <c r="MA11" s="73" t="str">
        <f t="shared" si="364"/>
        <v/>
      </c>
      <c r="MB11" s="73" t="str">
        <f t="shared" si="364"/>
        <v/>
      </c>
      <c r="MC11" s="73" t="str">
        <f t="shared" si="364"/>
        <v/>
      </c>
      <c r="MD11" s="73" t="str">
        <f t="shared" si="364"/>
        <v/>
      </c>
      <c r="ME11" s="74" t="str">
        <f t="shared" si="363"/>
        <v/>
      </c>
      <c r="MF11" s="72" t="str">
        <f t="shared" si="361"/>
        <v/>
      </c>
      <c r="MG11" s="73" t="str">
        <f t="shared" si="361"/>
        <v/>
      </c>
      <c r="MH11" s="73" t="str">
        <f t="shared" si="361"/>
        <v/>
      </c>
      <c r="MI11" s="73" t="str">
        <f t="shared" si="361"/>
        <v/>
      </c>
      <c r="MJ11" s="73" t="str">
        <f t="shared" si="361"/>
        <v/>
      </c>
      <c r="MK11" s="73" t="str">
        <f t="shared" si="361"/>
        <v/>
      </c>
      <c r="ML11" s="73" t="str">
        <f t="shared" si="361"/>
        <v/>
      </c>
      <c r="MM11" s="73" t="str">
        <f t="shared" si="361"/>
        <v/>
      </c>
      <c r="MN11" s="73" t="str">
        <f t="shared" si="361"/>
        <v/>
      </c>
      <c r="MO11" s="73" t="str">
        <f t="shared" si="361"/>
        <v/>
      </c>
      <c r="MP11" s="73" t="str">
        <f t="shared" si="361"/>
        <v/>
      </c>
      <c r="MQ11" s="73" t="str">
        <f t="shared" si="361"/>
        <v/>
      </c>
      <c r="MR11" s="73" t="str">
        <f t="shared" si="361"/>
        <v/>
      </c>
      <c r="MS11" s="73" t="str">
        <f t="shared" si="361"/>
        <v/>
      </c>
      <c r="MT11" s="73" t="str">
        <f t="shared" si="361"/>
        <v/>
      </c>
      <c r="MU11" s="73" t="str">
        <f t="shared" si="361"/>
        <v/>
      </c>
      <c r="MV11" s="73" t="str">
        <f t="shared" si="361"/>
        <v/>
      </c>
      <c r="MW11" s="73" t="str">
        <f t="shared" si="361"/>
        <v/>
      </c>
      <c r="MX11" s="73" t="str">
        <f t="shared" si="361"/>
        <v/>
      </c>
      <c r="MY11" s="73" t="str">
        <f t="shared" si="361"/>
        <v/>
      </c>
      <c r="MZ11" s="73" t="str">
        <f t="shared" si="361"/>
        <v/>
      </c>
      <c r="NA11" s="73" t="str">
        <f t="shared" si="361"/>
        <v/>
      </c>
      <c r="NB11" s="73" t="str">
        <f t="shared" si="361"/>
        <v/>
      </c>
      <c r="NC11" s="73" t="str">
        <f t="shared" ref="NC11:NP11" si="365">IF(AND(NC9&lt;&gt;0,NC10&lt;&gt;0),(NC9-NC10)/NC10,IF(AND(NC9=0,NC10=0),"",IF(AND(NC9="",NC10=""),"",IF(AND(NC9=0,NC10=""),"", IF(AND(NC9="",NC10=0),"",1)))))</f>
        <v/>
      </c>
      <c r="ND11" s="73" t="str">
        <f t="shared" si="365"/>
        <v/>
      </c>
      <c r="NE11" s="73" t="str">
        <f t="shared" si="365"/>
        <v/>
      </c>
      <c r="NF11" s="73" t="str">
        <f t="shared" si="365"/>
        <v/>
      </c>
      <c r="NG11" s="73" t="str">
        <f t="shared" si="365"/>
        <v/>
      </c>
      <c r="NH11" s="73" t="str">
        <f t="shared" si="365"/>
        <v/>
      </c>
      <c r="NI11" s="73" t="str">
        <f t="shared" si="365"/>
        <v/>
      </c>
      <c r="NJ11" s="73" t="str">
        <f t="shared" si="365"/>
        <v/>
      </c>
      <c r="NK11" s="73" t="str">
        <f t="shared" si="365"/>
        <v/>
      </c>
      <c r="NL11" s="73" t="str">
        <f t="shared" si="365"/>
        <v/>
      </c>
      <c r="NM11" s="73" t="str">
        <f t="shared" si="365"/>
        <v/>
      </c>
      <c r="NN11" s="73" t="str">
        <f t="shared" si="365"/>
        <v/>
      </c>
      <c r="NO11" s="73" t="str">
        <f t="shared" si="365"/>
        <v/>
      </c>
      <c r="NP11" s="73" t="str">
        <f t="shared" si="365"/>
        <v/>
      </c>
      <c r="NQ11" s="74" t="str">
        <f t="shared" si="361"/>
        <v/>
      </c>
      <c r="NR11" s="40">
        <f t="shared" ref="NR11" si="366">IF(AND(NR9&lt;&gt;0,NR10&lt;&gt;0),(NR9-NR10)/NR10,IF(AND(NR9=0,NR10=0),"",IF(AND(NR9="",NR10=""),"",IF(AND(NR9=0,NR10=""),"", IF(AND(NR9="",NR10=0),"",1)))))</f>
        <v>-1.4824489153772119E-3</v>
      </c>
      <c r="NS11" s="40">
        <f t="shared" ref="NS11" si="367">IF(AND(NS9&lt;&gt;0,NS10&lt;&gt;0),(NS9-NS10)/NS10,IF(AND(NS9=0,NS10=0),"",IF(AND(NS9="",NS10=""),"",IF(AND(NS9=0,NS10=""),"", IF(AND(NS9="",NS10=0),"",1)))))</f>
        <v>4.6964981232485792E-3</v>
      </c>
      <c r="NT11" s="40">
        <f t="shared" ref="NT11" si="368">IF(AND(NT9&lt;&gt;0,NT10&lt;&gt;0),(NT9-NT10)/NT10,IF(AND(NT9=0,NT10=0),"",IF(AND(NT9="",NT10=""),"",IF(AND(NT9=0,NT10=""),"", IF(AND(NT9="",NT10=0),"",1)))))</f>
        <v>-6.4769975786924941E-4</v>
      </c>
      <c r="NU11" s="40">
        <f t="shared" ref="NU11" si="369">IF(AND(NU9&lt;&gt;0,NU10&lt;&gt;0),(NU9-NU10)/NU10,IF(AND(NU9=0,NU10=0),"",IF(AND(NU9="",NU10=""),"",IF(AND(NU9=0,NU10=""),"", IF(AND(NU9="",NU10=0),"",1)))))</f>
        <v>-2.5359887903019678E-4</v>
      </c>
      <c r="NV11" s="40">
        <f t="shared" ref="NV11" si="370">IF(AND(NV9&lt;&gt;0,NV10&lt;&gt;0),(NV9-NV10)/NV10,IF(AND(NV9=0,NV10=0),"",IF(AND(NV9="",NV10=""),"",IF(AND(NV9=0,NV10=""),"", IF(AND(NV9="",NV10=0),"",1)))))</f>
        <v>7.0359640959442826E-7</v>
      </c>
      <c r="NW11" s="40">
        <f t="shared" ref="NW11" si="371">IF(AND(NW9&lt;&gt;0,NW10&lt;&gt;0),(NW9-NW10)/NW10,IF(AND(NW9=0,NW10=0),"",IF(AND(NW9="",NW10=""),"",IF(AND(NW9=0,NW10=""),"", IF(AND(NW9="",NW10=0),"",1)))))</f>
        <v>-5.312201440830414E-6</v>
      </c>
      <c r="NX11" s="40">
        <f t="shared" ref="NX11" si="372">IF(AND(NX9&lt;&gt;0,NX10&lt;&gt;0),(NX9-NX10)/NX10,IF(AND(NX9=0,NX10=0),"",IF(AND(NX9="",NX10=""),"",IF(AND(NX9=0,NX10=""),"", IF(AND(NX9="",NX10=0),"",1)))))</f>
        <v>3.1685556009276454E-4</v>
      </c>
      <c r="NY11" s="40">
        <f t="shared" ref="NY11" si="373">IF(AND(NY9&lt;&gt;0,NY10&lt;&gt;0),(NY9-NY10)/NY10,IF(AND(NY9=0,NY10=0),"",IF(AND(NY9="",NY10=""),"",IF(AND(NY9=0,NY10=""),"", IF(AND(NY9="",NY10=0),"",1)))))</f>
        <v>-2.8349462592796069E-4</v>
      </c>
      <c r="NZ11" s="40">
        <f t="shared" ref="NZ11" si="374">IF(AND(NZ9&lt;&gt;0,NZ10&lt;&gt;0),(NZ9-NZ10)/NZ10,IF(AND(NZ9=0,NZ10=0),"",IF(AND(NZ9="",NZ10=""),"",IF(AND(NZ9=0,NZ10=""),"", IF(AND(NZ9="",NZ10=0),"",1)))))</f>
        <v>9.2311782429744575E-7</v>
      </c>
      <c r="OA11" s="40">
        <f t="shared" ref="OA11" si="375">IF(AND(OA9&lt;&gt;0,OA10&lt;&gt;0),(OA9-OA10)/OA10,IF(AND(OA9=0,OA10=0),"",IF(AND(OA9="",OA10=""),"",IF(AND(OA9=0,OA10=""),"", IF(AND(OA9="",OA10=0),"",1)))))</f>
        <v>2.4882786439672853E-4</v>
      </c>
      <c r="OB11" s="40">
        <f t="shared" ref="OB11" si="376">IF(AND(OB9&lt;&gt;0,OB10&lt;&gt;0),(OB9-OB10)/OB10,IF(AND(OB9=0,OB10=0),"",IF(AND(OB9="",OB10=""),"",IF(AND(OB9=0,OB10=""),"", IF(AND(OB9="",OB10=0),"",1)))))</f>
        <v>1.209174852419608E-4</v>
      </c>
      <c r="OC11" s="40">
        <f t="shared" ref="OC11" si="377">IF(AND(OC9&lt;&gt;0,OC10&lt;&gt;0),(OC9-OC10)/OC10,IF(AND(OC9=0,OC10=0),"",IF(AND(OC9="",OC10=""),"",IF(AND(OC9=0,OC10=""),"", IF(AND(OC9="",OC10=0),"",1)))))</f>
        <v>2.0478141453741481E-6</v>
      </c>
      <c r="OD11" s="40">
        <f t="shared" ref="OD11" si="378">IF(AND(OD9&lt;&gt;0,OD10&lt;&gt;0),(OD9-OD10)/OD10,IF(AND(OD9=0,OD10=0),"",IF(AND(OD9="",OD10=""),"",IF(AND(OD9=0,OD10=""),"", IF(AND(OD9="",OD10=0),"",1)))))</f>
        <v>2.506596670963031E-6</v>
      </c>
      <c r="OE11" s="40">
        <f t="shared" ref="OE11" si="379">IF(AND(OE9&lt;&gt;0,OE10&lt;&gt;0),(OE9-OE10)/OE10,IF(AND(OE9=0,OE10=0),"",IF(AND(OE9="",OE10=""),"",IF(AND(OE9=0,OE10=""),"", IF(AND(OE9="",OE10=0),"",1)))))</f>
        <v>1.0770519059860844E-4</v>
      </c>
      <c r="OF11" s="40">
        <f t="shared" ref="OF11" si="380">IF(AND(OF9&lt;&gt;0,OF10&lt;&gt;0),(OF9-OF10)/OF10,IF(AND(OF9=0,OF10=0),"",IF(AND(OF9="",OF10=""),"",IF(AND(OF9=0,OF10=""),"", IF(AND(OF9="",OF10=0),"",1)))))</f>
        <v>2.1443100765312898E-4</v>
      </c>
      <c r="OG11" s="40">
        <f t="shared" ref="OG11" si="381">IF(AND(OG9&lt;&gt;0,OG10&lt;&gt;0),(OG9-OG10)/OG10,IF(AND(OG9=0,OG10=0),"",IF(AND(OG9="",OG10=""),"",IF(AND(OG9=0,OG10=""),"", IF(AND(OG9="",OG10=0),"",1)))))</f>
        <v>1.048064225375731E-4</v>
      </c>
      <c r="OH11" s="40">
        <f t="shared" ref="OH11" si="382">IF(AND(OH9&lt;&gt;0,OH10&lt;&gt;0),(OH9-OH10)/OH10,IF(AND(OH9=0,OH10=0),"",IF(AND(OH9="",OH10=""),"",IF(AND(OH9=0,OH10=""),"", IF(AND(OH9="",OH10=0),"",1)))))</f>
        <v>1.0367791097047071E-4</v>
      </c>
      <c r="OI11" s="40">
        <f t="shared" ref="OI11" si="383">IF(AND(OI9&lt;&gt;0,OI10&lt;&gt;0),(OI9-OI10)/OI10,IF(AND(OI9=0,OI10=0),"",IF(AND(OI9="",OI10=""),"",IF(AND(OI9=0,OI10=""),"", IF(AND(OI9="",OI10=0),"",1)))))</f>
        <v>-1.0251503553854565E-4</v>
      </c>
      <c r="OJ11" s="40">
        <f t="shared" ref="OJ11" si="384">IF(AND(OJ9&lt;&gt;0,OJ10&lt;&gt;0),(OJ9-OJ10)/OJ10,IF(AND(OJ9=0,OJ10=0),"",IF(AND(OJ9="",OJ10=""),"",IF(AND(OJ9=0,OJ10=""),"", IF(AND(OJ9="",OJ10=0),"",1)))))</f>
        <v>-4.0317794532778047E-7</v>
      </c>
      <c r="OK11" s="40">
        <f t="shared" ref="OK11" si="385">IF(AND(OK9&lt;&gt;0,OK10&lt;&gt;0),(OK9-OK10)/OK10,IF(AND(OK9=0,OK10=0),"",IF(AND(OK9="",OK10=""),"",IF(AND(OK9=0,OK10=""),"", IF(AND(OK9="",OK10=0),"",1)))))</f>
        <v>2.0898447590019114E-4</v>
      </c>
      <c r="OL11" s="40">
        <f t="shared" ref="OL11" si="386">IF(AND(OL9&lt;&gt;0,OL10&lt;&gt;0),(OL9-OL10)/OL10,IF(AND(OL9=0,OL10=0),"",IF(AND(OL9="",OL10=""),"",IF(AND(OL9=0,OL10=""),"", IF(AND(OL9="",OL10=0),"",1)))))</f>
        <v>1.0375909962432387E-4</v>
      </c>
      <c r="OM11" s="40">
        <f t="shared" ref="OM11" si="387">IF(AND(OM9&lt;&gt;0,OM10&lt;&gt;0),(OM9-OM10)/OM10,IF(AND(OM9=0,OM10=0),"",IF(AND(OM9="",OM10=""),"",IF(AND(OM9=0,OM10=""),"", IF(AND(OM9="",OM10=0),"",1)))))</f>
        <v>-8.1317526073651555E-8</v>
      </c>
      <c r="ON11" s="40">
        <f t="shared" ref="ON11:PB11" si="388">IF(AND(ON9&lt;&gt;0,ON10&lt;&gt;0),(ON9-ON10)/ON10,IF(AND(ON9=0,ON10=0),"",IF(AND(ON9="",ON10=""),"",IF(AND(ON9=0,ON10=""),"", IF(AND(ON9="",ON10=0),"",1)))))</f>
        <v>-1.0651987229469158E-4</v>
      </c>
      <c r="OO11" s="40">
        <f t="shared" si="388"/>
        <v>-7.7129540468549071E-2</v>
      </c>
      <c r="OP11" s="40">
        <f t="shared" si="388"/>
        <v>-8.0487976062232018E-8</v>
      </c>
      <c r="OQ11" s="40">
        <f t="shared" si="388"/>
        <v>1</v>
      </c>
      <c r="OR11" s="40" t="str">
        <f t="shared" si="388"/>
        <v/>
      </c>
      <c r="OS11" s="40" t="str">
        <f t="shared" si="388"/>
        <v/>
      </c>
      <c r="OT11" s="40" t="str">
        <f t="shared" si="388"/>
        <v/>
      </c>
      <c r="OU11" s="40" t="str">
        <f t="shared" si="388"/>
        <v/>
      </c>
      <c r="OV11" s="40" t="str">
        <f t="shared" si="388"/>
        <v/>
      </c>
      <c r="OW11" s="40" t="str">
        <f t="shared" si="388"/>
        <v/>
      </c>
      <c r="OX11" s="40" t="str">
        <f t="shared" si="388"/>
        <v/>
      </c>
      <c r="OY11" s="40" t="str">
        <f t="shared" si="388"/>
        <v/>
      </c>
      <c r="OZ11" s="40" t="str">
        <f t="shared" si="388"/>
        <v/>
      </c>
      <c r="PA11" s="40" t="str">
        <f t="shared" si="388"/>
        <v/>
      </c>
      <c r="PB11" s="40" t="str">
        <f t="shared" si="388"/>
        <v/>
      </c>
      <c r="PC11" s="41">
        <f t="shared" ref="PC11" si="389">IF(AND(PC9&lt;&gt;0,PC10&lt;&gt;0),(PC9-PC10)/PC10,IF(AND(PC9=0,PC10=0),"",IF(AND(PC9="",PC10=""),"",IF(AND(PC9=0,PC10=""),"", IF(AND(PC9="",PC10=0),"",1)))))</f>
        <v>5.6110349800328467E-2</v>
      </c>
    </row>
    <row r="12" spans="1:419" outlineLevel="1" x14ac:dyDescent="0.4">
      <c r="A12" s="46" t="s">
        <v>36</v>
      </c>
      <c r="B12" s="14">
        <f>'[1]D-PDP'!$BZ$12</f>
        <v>1260635</v>
      </c>
      <c r="C12" s="14">
        <f>'[1]D-PDP'!$BZ$13</f>
        <v>1260635</v>
      </c>
      <c r="D12" s="14">
        <f>'[1]D-PDP'!$BZ$14</f>
        <v>1260635</v>
      </c>
      <c r="E12" s="14">
        <f>'[1]D-PDP'!$BZ$15</f>
        <v>1260635</v>
      </c>
      <c r="F12" s="14">
        <f>'[1]D-PDP'!$BZ$16</f>
        <v>1260635</v>
      </c>
      <c r="G12" s="14">
        <f>'[1]D-PDP'!$BZ$17</f>
        <v>1260635</v>
      </c>
      <c r="H12" s="14">
        <f>'[1]D-PDP'!$BZ$18</f>
        <v>1260635</v>
      </c>
      <c r="I12" s="14">
        <f>'[1]D-PDP'!$BZ$19</f>
        <v>1260635</v>
      </c>
      <c r="J12" s="14">
        <f>'[1]D-PDP'!$BZ$20</f>
        <v>1260635</v>
      </c>
      <c r="K12" s="14">
        <f>'[1]D-PDP'!$BZ$21</f>
        <v>1260635</v>
      </c>
      <c r="L12" s="14">
        <f>'[1]D-PDP'!$BZ$22</f>
        <v>1050529.125</v>
      </c>
      <c r="M12" s="14">
        <f>'[1]D-PDP'!$BZ$23</f>
        <v>0</v>
      </c>
      <c r="N12" s="14">
        <f>'[1]D-PDP'!$BZ$24</f>
        <v>0</v>
      </c>
      <c r="O12" s="14">
        <f>'[1]D-PDP'!$BZ$25</f>
        <v>0</v>
      </c>
      <c r="P12" s="14">
        <f>'[1]D-PDP'!$BZ$26</f>
        <v>0</v>
      </c>
      <c r="Q12" s="14">
        <f>'[1]D-PDP'!$BZ$27</f>
        <v>0</v>
      </c>
      <c r="R12" s="14">
        <f>'[1]D-PDP'!$BZ$28</f>
        <v>0</v>
      </c>
      <c r="S12" s="14">
        <f>'[1]D-PDP'!$BZ$29</f>
        <v>0</v>
      </c>
      <c r="T12" s="14">
        <f>'[1]D-PDP'!$BZ$30</f>
        <v>0</v>
      </c>
      <c r="U12" s="14">
        <f>'[1]D-PDP'!$BZ$31</f>
        <v>0</v>
      </c>
      <c r="V12" s="14">
        <f>'[1]D-PDP'!$BZ$32</f>
        <v>0</v>
      </c>
      <c r="W12" s="14">
        <f>'[1]D-PDP'!$BZ$33</f>
        <v>0</v>
      </c>
      <c r="X12" s="14">
        <f>'[1]D-PDP'!$BZ$34</f>
        <v>0</v>
      </c>
      <c r="Y12" s="14">
        <f>'[1]D-PDP'!$BZ$35</f>
        <v>0</v>
      </c>
      <c r="Z12" s="14">
        <f>'[1]D-PDP'!$BZ$36</f>
        <v>0</v>
      </c>
      <c r="AA12" s="14">
        <f>'[1]D-PDP'!$BZ$37</f>
        <v>0</v>
      </c>
      <c r="AB12" s="14">
        <f>'[1]D-PDP'!$BZ$38</f>
        <v>0</v>
      </c>
      <c r="AC12" s="14">
        <f>'[1]D-PDP'!$BZ$39</f>
        <v>0</v>
      </c>
      <c r="AD12" s="14">
        <f>'[1]D-PDP'!$BZ$40</f>
        <v>0</v>
      </c>
      <c r="AE12" s="14">
        <f>'[1]D-PDP'!$BZ$41</f>
        <v>0</v>
      </c>
      <c r="AF12" s="14">
        <f>'[1]D-PDP'!$BZ$42</f>
        <v>0</v>
      </c>
      <c r="AG12" s="14">
        <f>'[1]D-PDP'!$BZ$43</f>
        <v>0</v>
      </c>
      <c r="AH12" s="14">
        <f>'[1]D-PDP'!$BZ$44</f>
        <v>0</v>
      </c>
      <c r="AI12" s="14">
        <f>'[1]D-PDP'!$BZ$45</f>
        <v>0</v>
      </c>
      <c r="AJ12" s="14">
        <f>'[1]D-PDP'!$BZ$46</f>
        <v>0</v>
      </c>
      <c r="AK12" s="14">
        <f>'[1]D-PDP'!$BZ$47</f>
        <v>0</v>
      </c>
      <c r="AL12" s="14">
        <f>'[1]D-PDP'!$BZ$48</f>
        <v>0</v>
      </c>
      <c r="AM12" s="16">
        <f>SUM(B12:AL12)</f>
        <v>13656879.125</v>
      </c>
      <c r="AN12" s="28">
        <f>'[1]D-PNP'!$BZ$12</f>
        <v>0</v>
      </c>
      <c r="AO12" s="14">
        <f>'[1]D-PNP'!$BZ$13</f>
        <v>0</v>
      </c>
      <c r="AP12" s="14">
        <f>'[1]D-PNP'!$BZ$14</f>
        <v>0</v>
      </c>
      <c r="AQ12" s="14">
        <f>'[1]D-PNP'!$BZ$15</f>
        <v>0</v>
      </c>
      <c r="AR12" s="14">
        <f>'[1]D-PNP'!$BZ$16</f>
        <v>0</v>
      </c>
      <c r="AS12" s="14">
        <f>'[1]D-PNP'!$BZ$17</f>
        <v>0</v>
      </c>
      <c r="AT12" s="14">
        <f>'[1]D-PNP'!$BZ$18</f>
        <v>0</v>
      </c>
      <c r="AU12" s="14">
        <f>'[1]D-PNP'!$BZ$19</f>
        <v>0</v>
      </c>
      <c r="AV12" s="14">
        <f>'[1]D-PNP'!$BZ$20</f>
        <v>0</v>
      </c>
      <c r="AW12" s="14">
        <f>'[1]D-PNP'!$BZ$21</f>
        <v>0</v>
      </c>
      <c r="AX12" s="14">
        <f>'[1]D-PNP'!$BZ$22</f>
        <v>0</v>
      </c>
      <c r="AY12" s="14">
        <f>'[1]D-PNP'!$BZ$23</f>
        <v>0</v>
      </c>
      <c r="AZ12" s="14">
        <f>'[1]D-PNP'!$BZ$24</f>
        <v>0</v>
      </c>
      <c r="BA12" s="14">
        <f>'[1]D-PNP'!$BZ$25</f>
        <v>0</v>
      </c>
      <c r="BB12" s="14">
        <f>'[1]D-PNP'!$BZ$26</f>
        <v>0</v>
      </c>
      <c r="BC12" s="14">
        <f>'[1]D-PNP'!$BZ$27</f>
        <v>0</v>
      </c>
      <c r="BD12" s="14">
        <f>'[1]D-PNP'!$BZ$28</f>
        <v>0</v>
      </c>
      <c r="BE12" s="14">
        <f>'[1]D-PNP'!$BZ$29</f>
        <v>0</v>
      </c>
      <c r="BF12" s="14">
        <f>'[1]D-PNP'!$BZ$30</f>
        <v>0</v>
      </c>
      <c r="BG12" s="14">
        <f>'[1]D-PNP'!$BZ$31</f>
        <v>0</v>
      </c>
      <c r="BH12" s="14">
        <f>'[1]D-PNP'!$BZ$32</f>
        <v>0</v>
      </c>
      <c r="BI12" s="14">
        <f>'[1]D-PNP'!$BZ$33</f>
        <v>0</v>
      </c>
      <c r="BJ12" s="14">
        <f>'[1]D-PNP'!$BZ$34</f>
        <v>0</v>
      </c>
      <c r="BK12" s="14">
        <f>'[1]D-PNP'!$BZ$35</f>
        <v>0</v>
      </c>
      <c r="BL12" s="14">
        <f>'[1]D-PNP'!$BZ$36</f>
        <v>0</v>
      </c>
      <c r="BM12" s="14">
        <f>'[1]D-PNP'!$BZ$37</f>
        <v>0</v>
      </c>
      <c r="BN12" s="14">
        <f>'[1]D-PNP'!$BZ$38</f>
        <v>0</v>
      </c>
      <c r="BO12" s="14">
        <f>'[1]D-PNP'!$BZ$39</f>
        <v>0</v>
      </c>
      <c r="BP12" s="14">
        <f>'[1]D-PNP'!$BZ$40</f>
        <v>0</v>
      </c>
      <c r="BQ12" s="14">
        <f>'[1]D-PNP'!$BZ$41</f>
        <v>0</v>
      </c>
      <c r="BR12" s="14">
        <f>'[1]D-PNP'!$BZ$42</f>
        <v>0</v>
      </c>
      <c r="BS12" s="14">
        <f>'[1]D-PNP'!$BZ$43</f>
        <v>0</v>
      </c>
      <c r="BT12" s="14">
        <f>'[1]D-PNP'!$BZ$44</f>
        <v>0</v>
      </c>
      <c r="BU12" s="14">
        <f>'[1]D-PNP'!$BZ$45</f>
        <v>0</v>
      </c>
      <c r="BV12" s="14">
        <f>'[1]D-PNP'!$BZ$46</f>
        <v>0</v>
      </c>
      <c r="BW12" s="14">
        <f>'[1]D-PNP'!$BZ$47</f>
        <v>0</v>
      </c>
      <c r="BX12" s="14">
        <f>'[1]D-PNP'!$BZ$48</f>
        <v>0</v>
      </c>
      <c r="BY12" s="16">
        <f>SUM(AN12:BX12)</f>
        <v>0</v>
      </c>
      <c r="BZ12" s="28">
        <f>'[1]D-PND'!$BZ$12</f>
        <v>0</v>
      </c>
      <c r="CA12" s="14">
        <f>'[1]D-PND'!$BZ$13</f>
        <v>0</v>
      </c>
      <c r="CB12" s="14">
        <f>'[1]D-PND'!$BZ$14</f>
        <v>0</v>
      </c>
      <c r="CC12" s="14">
        <f>'[1]D-PND'!$BZ$15</f>
        <v>0</v>
      </c>
      <c r="CD12" s="14">
        <f>'[1]D-PND'!$BZ$16</f>
        <v>0</v>
      </c>
      <c r="CE12" s="14">
        <f>'[1]D-PND'!$BZ$17</f>
        <v>0</v>
      </c>
      <c r="CF12" s="14">
        <f>'[1]D-PND'!$BZ$18</f>
        <v>0</v>
      </c>
      <c r="CG12" s="14">
        <f>'[1]D-PND'!$BZ$19</f>
        <v>0</v>
      </c>
      <c r="CH12" s="14">
        <f>'[1]D-PND'!$BZ$20</f>
        <v>0</v>
      </c>
      <c r="CI12" s="14">
        <f>'[1]D-PND'!$BZ$21</f>
        <v>0</v>
      </c>
      <c r="CJ12" s="14">
        <f>'[1]D-PND'!$BZ$22</f>
        <v>0</v>
      </c>
      <c r="CK12" s="14">
        <f>'[1]D-PND'!$BZ$23</f>
        <v>0</v>
      </c>
      <c r="CL12" s="14">
        <f>'[1]D-PND'!$BZ$24</f>
        <v>0</v>
      </c>
      <c r="CM12" s="14">
        <f>'[1]D-PND'!$BZ$25</f>
        <v>0</v>
      </c>
      <c r="CN12" s="14">
        <f>'[1]D-PND'!$BZ$26</f>
        <v>0</v>
      </c>
      <c r="CO12" s="14">
        <f>'[1]D-PND'!$BZ$27</f>
        <v>0</v>
      </c>
      <c r="CP12" s="14">
        <f>'[1]D-PND'!$BZ$28</f>
        <v>0</v>
      </c>
      <c r="CQ12" s="14">
        <f>'[1]D-PND'!$BZ$29</f>
        <v>0</v>
      </c>
      <c r="CR12" s="14">
        <f>'[1]D-PND'!$BZ$30</f>
        <v>0</v>
      </c>
      <c r="CS12" s="14">
        <f>'[1]D-PND'!$BZ$31</f>
        <v>0</v>
      </c>
      <c r="CT12" s="14">
        <f>'[1]D-PND'!$BZ$32</f>
        <v>0</v>
      </c>
      <c r="CU12" s="14">
        <f>'[1]D-PND'!$BZ$33</f>
        <v>0</v>
      </c>
      <c r="CV12" s="14">
        <f>'[1]D-PND'!$BZ$34</f>
        <v>0</v>
      </c>
      <c r="CW12" s="14">
        <f>'[1]D-PND'!$BZ$35</f>
        <v>0</v>
      </c>
      <c r="CX12" s="14">
        <f>'[1]D-PND'!$BZ$36</f>
        <v>0</v>
      </c>
      <c r="CY12" s="14">
        <f>'[1]D-PND'!$BZ$37</f>
        <v>0</v>
      </c>
      <c r="CZ12" s="14">
        <f>'[1]D-PND'!$BZ$38</f>
        <v>0</v>
      </c>
      <c r="DA12" s="14">
        <f>'[1]D-PND'!$BZ$39</f>
        <v>0</v>
      </c>
      <c r="DB12" s="14">
        <f>'[1]D-PND'!$BZ$40</f>
        <v>0</v>
      </c>
      <c r="DC12" s="14">
        <f>'[1]D-PND'!$BZ$41</f>
        <v>0</v>
      </c>
      <c r="DD12" s="14">
        <f>'[1]D-PND'!$BZ$42</f>
        <v>0</v>
      </c>
      <c r="DE12" s="14">
        <f>'[1]D-PND'!$BZ$43</f>
        <v>0</v>
      </c>
      <c r="DF12" s="14">
        <f>'[1]D-PND'!$BZ$44</f>
        <v>0</v>
      </c>
      <c r="DG12" s="14">
        <f>'[1]D-PND'!$BZ$45</f>
        <v>0</v>
      </c>
      <c r="DH12" s="14">
        <f>'[1]D-PND'!$BZ$46</f>
        <v>0</v>
      </c>
      <c r="DI12" s="14">
        <f>'[1]D-PND'!$BZ$47</f>
        <v>0</v>
      </c>
      <c r="DJ12" s="14">
        <f>'[1]D-PND'!$BZ$48</f>
        <v>0</v>
      </c>
      <c r="DK12" s="16">
        <f>SUM(BZ12:DJ12)</f>
        <v>0</v>
      </c>
      <c r="DL12" s="66"/>
      <c r="DM12" s="67"/>
      <c r="DN12" s="67"/>
      <c r="DO12" s="67"/>
      <c r="DP12" s="67"/>
      <c r="DQ12" s="67"/>
      <c r="DR12" s="67"/>
      <c r="DS12" s="67"/>
      <c r="DT12" s="67"/>
      <c r="DU12" s="67"/>
      <c r="DV12" s="67"/>
      <c r="DW12" s="67"/>
      <c r="DX12" s="67"/>
      <c r="DY12" s="67"/>
      <c r="DZ12" s="67"/>
      <c r="EA12" s="67"/>
      <c r="EB12" s="67"/>
      <c r="EC12" s="67"/>
      <c r="ED12" s="67"/>
      <c r="EE12" s="67"/>
      <c r="EF12" s="67"/>
      <c r="EG12" s="67"/>
      <c r="EH12" s="67"/>
      <c r="EI12" s="67"/>
      <c r="EJ12" s="67"/>
      <c r="EK12" s="67"/>
      <c r="EL12" s="67"/>
      <c r="EM12" s="67"/>
      <c r="EN12" s="67"/>
      <c r="EO12" s="67"/>
      <c r="EP12" s="67"/>
      <c r="EQ12" s="67"/>
      <c r="ER12" s="67"/>
      <c r="ES12" s="67"/>
      <c r="ET12" s="67"/>
      <c r="EU12" s="67"/>
      <c r="EV12" s="67"/>
      <c r="EW12" s="68">
        <f>SUM(DL12:EV12)</f>
        <v>0</v>
      </c>
      <c r="EX12" s="66"/>
      <c r="EY12" s="67"/>
      <c r="EZ12" s="67"/>
      <c r="FA12" s="67"/>
      <c r="FB12" s="67"/>
      <c r="FC12" s="67"/>
      <c r="FD12" s="67"/>
      <c r="FE12" s="67"/>
      <c r="FF12" s="67"/>
      <c r="FG12" s="67"/>
      <c r="FH12" s="67"/>
      <c r="FI12" s="67"/>
      <c r="FJ12" s="67"/>
      <c r="FK12" s="67"/>
      <c r="FL12" s="67"/>
      <c r="FM12" s="67"/>
      <c r="FN12" s="67"/>
      <c r="FO12" s="67"/>
      <c r="FP12" s="67"/>
      <c r="FQ12" s="67"/>
      <c r="FR12" s="67"/>
      <c r="FS12" s="67"/>
      <c r="FT12" s="67"/>
      <c r="FU12" s="67"/>
      <c r="FV12" s="67"/>
      <c r="FW12" s="67"/>
      <c r="FX12" s="67"/>
      <c r="FY12" s="67"/>
      <c r="FZ12" s="67"/>
      <c r="GA12" s="67"/>
      <c r="GB12" s="67"/>
      <c r="GC12" s="67"/>
      <c r="GD12" s="67"/>
      <c r="GE12" s="67"/>
      <c r="GF12" s="67"/>
      <c r="GG12" s="67"/>
      <c r="GH12" s="67"/>
      <c r="GI12" s="68">
        <f>SUM(EX12:GH12)</f>
        <v>0</v>
      </c>
      <c r="GJ12" s="66"/>
      <c r="GK12" s="67"/>
      <c r="GL12" s="67"/>
      <c r="GM12" s="67"/>
      <c r="GN12" s="67"/>
      <c r="GO12" s="67"/>
      <c r="GP12" s="67"/>
      <c r="GQ12" s="67"/>
      <c r="GR12" s="67"/>
      <c r="GS12" s="67"/>
      <c r="GT12" s="67"/>
      <c r="GU12" s="67"/>
      <c r="GV12" s="67"/>
      <c r="GW12" s="67"/>
      <c r="GX12" s="67"/>
      <c r="GY12" s="67"/>
      <c r="GZ12" s="67"/>
      <c r="HA12" s="67"/>
      <c r="HB12" s="67"/>
      <c r="HC12" s="67"/>
      <c r="HD12" s="67"/>
      <c r="HE12" s="67"/>
      <c r="HF12" s="67"/>
      <c r="HG12" s="67"/>
      <c r="HH12" s="67"/>
      <c r="HI12" s="67"/>
      <c r="HJ12" s="67"/>
      <c r="HK12" s="67"/>
      <c r="HL12" s="67"/>
      <c r="HM12" s="67"/>
      <c r="HN12" s="67"/>
      <c r="HO12" s="67"/>
      <c r="HP12" s="67"/>
      <c r="HQ12" s="67"/>
      <c r="HR12" s="67"/>
      <c r="HS12" s="67"/>
      <c r="HT12" s="67"/>
      <c r="HU12" s="68">
        <f>SUM(GJ12:HT12)</f>
        <v>0</v>
      </c>
      <c r="HV12" s="28">
        <f>'[1]D-PRB'!$BZ$12</f>
        <v>0</v>
      </c>
      <c r="HW12" s="14">
        <f>'[1]D-PRB'!$BZ$13</f>
        <v>0</v>
      </c>
      <c r="HX12" s="14">
        <f>'[1]D-PRB'!$BZ$14</f>
        <v>0</v>
      </c>
      <c r="HY12" s="14">
        <f>'[1]D-PRB'!$BZ$15</f>
        <v>0</v>
      </c>
      <c r="HZ12" s="14">
        <f>'[1]D-PRB'!$BZ$16</f>
        <v>0</v>
      </c>
      <c r="IA12" s="14">
        <f>'[1]D-PRB'!$BZ$17</f>
        <v>0</v>
      </c>
      <c r="IB12" s="14">
        <f>'[1]D-PRB'!$BZ$18</f>
        <v>0</v>
      </c>
      <c r="IC12" s="14">
        <f>'[1]D-PRB'!$BZ$19</f>
        <v>0</v>
      </c>
      <c r="ID12" s="14">
        <f>'[1]D-PRB'!$BZ$20</f>
        <v>0</v>
      </c>
      <c r="IE12" s="14">
        <f>'[1]D-PRB'!$BZ$21</f>
        <v>0</v>
      </c>
      <c r="IF12" s="14">
        <f>'[1]D-PRB'!$BZ$22</f>
        <v>210105.828125</v>
      </c>
      <c r="IG12" s="14">
        <f>'[1]D-PRB'!$BZ$23</f>
        <v>1260635</v>
      </c>
      <c r="IH12" s="14">
        <f>'[1]D-PRB'!$BZ$24</f>
        <v>1260635</v>
      </c>
      <c r="II12" s="14">
        <f>'[1]D-PRB'!$BZ$25</f>
        <v>1260635</v>
      </c>
      <c r="IJ12" s="14">
        <f>'[1]D-PRB'!$BZ$26</f>
        <v>1260635</v>
      </c>
      <c r="IK12" s="14">
        <f>'[1]D-PRB'!$BZ$27</f>
        <v>1260635</v>
      </c>
      <c r="IL12" s="14">
        <f>'[1]D-PRB'!$BZ$28</f>
        <v>1260635</v>
      </c>
      <c r="IM12" s="14">
        <f>'[1]D-PRB'!$BZ$29</f>
        <v>1260635</v>
      </c>
      <c r="IN12" s="14">
        <f>'[1]D-PRB'!$BZ$30</f>
        <v>1260635</v>
      </c>
      <c r="IO12" s="14">
        <f>'[1]D-PRB'!$BZ$31</f>
        <v>1260635</v>
      </c>
      <c r="IP12" s="14">
        <f>'[1]D-PRB'!$BZ$32</f>
        <v>1260635</v>
      </c>
      <c r="IQ12" s="14">
        <f>'[1]D-PRB'!$BZ$33</f>
        <v>1260635</v>
      </c>
      <c r="IR12" s="14">
        <f>'[1]D-PRB'!$BZ$34</f>
        <v>1260635</v>
      </c>
      <c r="IS12" s="14">
        <f>'[1]D-PRB'!$BZ$35</f>
        <v>105052.9140625</v>
      </c>
      <c r="IT12" s="14">
        <f>'[1]D-PRB'!$BZ$36</f>
        <v>0</v>
      </c>
      <c r="IU12" s="14">
        <f>'[1]D-PRB'!$BZ$37</f>
        <v>0</v>
      </c>
      <c r="IV12" s="14">
        <f>'[1]D-PRB'!$BZ$38</f>
        <v>0</v>
      </c>
      <c r="IW12" s="14">
        <f>'[1]D-PRB'!$BZ$39</f>
        <v>0</v>
      </c>
      <c r="IX12" s="14">
        <f>'[1]D-PRB'!$BZ$40</f>
        <v>0</v>
      </c>
      <c r="IY12" s="14">
        <f>'[1]D-PRB'!$BZ$41</f>
        <v>0</v>
      </c>
      <c r="IZ12" s="14">
        <f>'[1]D-PRB'!$BZ$42</f>
        <v>0</v>
      </c>
      <c r="JA12" s="14">
        <f>'[1]D-PRB'!$BZ$43</f>
        <v>0</v>
      </c>
      <c r="JB12" s="14">
        <f>'[1]D-PRB'!$BZ$44</f>
        <v>0</v>
      </c>
      <c r="JC12" s="14">
        <f>'[1]D-PRB'!$BZ$45</f>
        <v>0</v>
      </c>
      <c r="JD12" s="14">
        <f>'[1]D-PRB'!$BZ$46</f>
        <v>0</v>
      </c>
      <c r="JE12" s="14">
        <f>'[1]D-PRB'!$BZ$47</f>
        <v>0</v>
      </c>
      <c r="JF12" s="14">
        <f>'[1]D-PRB'!$BZ$48</f>
        <v>0</v>
      </c>
      <c r="JG12" s="16">
        <f>SUM(HV12:JF12)</f>
        <v>15442778.7421875</v>
      </c>
      <c r="JH12" s="66"/>
      <c r="JI12" s="67"/>
      <c r="JJ12" s="67"/>
      <c r="JK12" s="67"/>
      <c r="JL12" s="67"/>
      <c r="JM12" s="67"/>
      <c r="JN12" s="67"/>
      <c r="JO12" s="67"/>
      <c r="JP12" s="67"/>
      <c r="JQ12" s="67"/>
      <c r="JR12" s="67"/>
      <c r="JS12" s="67"/>
      <c r="JT12" s="67"/>
      <c r="JU12" s="67"/>
      <c r="JV12" s="67"/>
      <c r="JW12" s="67"/>
      <c r="JX12" s="67"/>
      <c r="JY12" s="67"/>
      <c r="JZ12" s="67"/>
      <c r="KA12" s="67"/>
      <c r="KB12" s="67"/>
      <c r="KC12" s="67"/>
      <c r="KD12" s="67"/>
      <c r="KE12" s="67"/>
      <c r="KF12" s="67"/>
      <c r="KG12" s="67"/>
      <c r="KH12" s="67"/>
      <c r="KI12" s="67"/>
      <c r="KJ12" s="67"/>
      <c r="KK12" s="67"/>
      <c r="KL12" s="67"/>
      <c r="KM12" s="67"/>
      <c r="KN12" s="67"/>
      <c r="KO12" s="67"/>
      <c r="KP12" s="67"/>
      <c r="KQ12" s="67"/>
      <c r="KR12" s="67"/>
      <c r="KS12" s="68">
        <f>SUM(JH12:KR12)</f>
        <v>0</v>
      </c>
      <c r="KT12" s="66"/>
      <c r="KU12" s="67"/>
      <c r="KV12" s="67"/>
      <c r="KW12" s="67"/>
      <c r="KX12" s="67"/>
      <c r="KY12" s="67"/>
      <c r="KZ12" s="67"/>
      <c r="LA12" s="67"/>
      <c r="LB12" s="67"/>
      <c r="LC12" s="67"/>
      <c r="LD12" s="67"/>
      <c r="LE12" s="67"/>
      <c r="LF12" s="67"/>
      <c r="LG12" s="67"/>
      <c r="LH12" s="67"/>
      <c r="LI12" s="67"/>
      <c r="LJ12" s="67"/>
      <c r="LK12" s="67"/>
      <c r="LL12" s="67"/>
      <c r="LM12" s="67"/>
      <c r="LN12" s="67"/>
      <c r="LO12" s="67"/>
      <c r="LP12" s="67"/>
      <c r="LQ12" s="67"/>
      <c r="LR12" s="67"/>
      <c r="LS12" s="67"/>
      <c r="LT12" s="67"/>
      <c r="LU12" s="67"/>
      <c r="LV12" s="67"/>
      <c r="LW12" s="67"/>
      <c r="LX12" s="67"/>
      <c r="LY12" s="67"/>
      <c r="LZ12" s="67"/>
      <c r="MA12" s="67"/>
      <c r="MB12" s="67"/>
      <c r="MC12" s="67"/>
      <c r="MD12" s="67"/>
      <c r="ME12" s="68">
        <f>SUM(KT12:MD12)</f>
        <v>0</v>
      </c>
      <c r="MF12" s="66"/>
      <c r="MG12" s="67"/>
      <c r="MH12" s="67"/>
      <c r="MI12" s="67"/>
      <c r="MJ12" s="67"/>
      <c r="MK12" s="67"/>
      <c r="ML12" s="67"/>
      <c r="MM12" s="67"/>
      <c r="MN12" s="67"/>
      <c r="MO12" s="67"/>
      <c r="MP12" s="67"/>
      <c r="MQ12" s="67"/>
      <c r="MR12" s="67"/>
      <c r="MS12" s="67"/>
      <c r="MT12" s="67"/>
      <c r="MU12" s="67"/>
      <c r="MV12" s="67"/>
      <c r="MW12" s="67"/>
      <c r="MX12" s="67"/>
      <c r="MY12" s="67"/>
      <c r="MZ12" s="67"/>
      <c r="NA12" s="67"/>
      <c r="NB12" s="67"/>
      <c r="NC12" s="67"/>
      <c r="ND12" s="67"/>
      <c r="NE12" s="67"/>
      <c r="NF12" s="67"/>
      <c r="NG12" s="67"/>
      <c r="NH12" s="67"/>
      <c r="NI12" s="67"/>
      <c r="NJ12" s="67"/>
      <c r="NK12" s="67"/>
      <c r="NL12" s="67"/>
      <c r="NM12" s="67"/>
      <c r="NN12" s="67"/>
      <c r="NO12" s="67"/>
      <c r="NP12" s="67"/>
      <c r="NQ12" s="68">
        <f>SUM(MF12:NP12)</f>
        <v>0</v>
      </c>
      <c r="NR12" s="14">
        <f>'[1]D-PS'!$BZ$12</f>
        <v>0</v>
      </c>
      <c r="NS12" s="14">
        <f>'[1]D-PS'!$BZ$13</f>
        <v>0</v>
      </c>
      <c r="NT12" s="14">
        <f>'[1]D-PS'!$BZ$14</f>
        <v>0</v>
      </c>
      <c r="NU12" s="14">
        <f>'[1]D-PS'!$BZ$15</f>
        <v>0</v>
      </c>
      <c r="NV12" s="14">
        <f>'[1]D-PS'!$BZ$16</f>
        <v>0</v>
      </c>
      <c r="NW12" s="14">
        <f>'[1]D-PS'!$BZ$17</f>
        <v>0</v>
      </c>
      <c r="NX12" s="14">
        <f>'[1]D-PS'!$BZ$18</f>
        <v>0</v>
      </c>
      <c r="NY12" s="14">
        <f>'[1]D-PS'!$BZ$19</f>
        <v>0</v>
      </c>
      <c r="NZ12" s="14">
        <f>'[1]D-PS'!$BZ$20</f>
        <v>0</v>
      </c>
      <c r="OA12" s="14">
        <f>'[1]D-PS'!$BZ$21</f>
        <v>0</v>
      </c>
      <c r="OB12" s="14">
        <f>'[1]D-PS'!$BZ$22</f>
        <v>0</v>
      </c>
      <c r="OC12" s="14">
        <f>'[1]D-PS'!$BZ$23</f>
        <v>0</v>
      </c>
      <c r="OD12" s="14">
        <f>'[1]D-PS'!$BZ$24</f>
        <v>0</v>
      </c>
      <c r="OE12" s="14">
        <f>'[1]D-PS'!$BZ$25</f>
        <v>0</v>
      </c>
      <c r="OF12" s="14">
        <f>'[1]D-PS'!$BZ$26</f>
        <v>0</v>
      </c>
      <c r="OG12" s="14">
        <f>'[1]D-PS'!$BZ$27</f>
        <v>0</v>
      </c>
      <c r="OH12" s="14">
        <f>'[1]D-PS'!$BZ$28</f>
        <v>0</v>
      </c>
      <c r="OI12" s="14">
        <f>'[1]D-PS'!$BZ$29</f>
        <v>0</v>
      </c>
      <c r="OJ12" s="14">
        <f>'[1]D-PS'!$BZ$30</f>
        <v>0</v>
      </c>
      <c r="OK12" s="14">
        <f>'[1]D-PS'!$BZ$31</f>
        <v>0</v>
      </c>
      <c r="OL12" s="14">
        <f>'[1]D-PS'!$BZ$32</f>
        <v>0</v>
      </c>
      <c r="OM12" s="14">
        <f>'[1]D-PS'!$BZ$33</f>
        <v>0</v>
      </c>
      <c r="ON12" s="14">
        <f>'[1]D-PS'!$BZ$34</f>
        <v>0</v>
      </c>
      <c r="OO12" s="14">
        <f>'[1]D-PS'!$BZ$35</f>
        <v>1260635</v>
      </c>
      <c r="OP12" s="14">
        <f>'[1]D-PS'!$BZ$36</f>
        <v>1260635</v>
      </c>
      <c r="OQ12" s="14">
        <f>'[1]D-PS'!$BZ$37</f>
        <v>420211.65625</v>
      </c>
      <c r="OR12" s="14">
        <f>'[1]D-PS'!$BZ$38</f>
        <v>0</v>
      </c>
      <c r="OS12" s="14">
        <f>'[1]D-PS'!$BZ$39</f>
        <v>0</v>
      </c>
      <c r="OT12" s="14">
        <f>'[1]D-PS'!$BZ$40</f>
        <v>0</v>
      </c>
      <c r="OU12" s="14">
        <f>'[1]D-PS'!$BZ$41</f>
        <v>0</v>
      </c>
      <c r="OV12" s="14">
        <f>'[1]D-PS'!$BZ$42</f>
        <v>0</v>
      </c>
      <c r="OW12" s="14">
        <f>'[1]D-PS'!$BZ$43</f>
        <v>0</v>
      </c>
      <c r="OX12" s="14">
        <f>'[1]D-PS'!$BZ$44</f>
        <v>0</v>
      </c>
      <c r="OY12" s="14">
        <f>'[1]D-PS'!$BZ$45</f>
        <v>0</v>
      </c>
      <c r="OZ12" s="14">
        <f>'[1]D-PS'!$BZ$46</f>
        <v>0</v>
      </c>
      <c r="PA12" s="14">
        <f>'[1]D-PS'!$BZ$47</f>
        <v>0</v>
      </c>
      <c r="PB12" s="14">
        <f>'[1]D-PS'!$BZ$48</f>
        <v>0</v>
      </c>
      <c r="PC12" s="16">
        <f>SUM(NR12:PB12)</f>
        <v>2941481.65625</v>
      </c>
    </row>
    <row r="13" spans="1:419" outlineLevel="1" x14ac:dyDescent="0.4">
      <c r="A13" s="46" t="s">
        <v>37</v>
      </c>
      <c r="B13" s="25">
        <f>'[2]CF PDP'!$BW$36</f>
        <v>1260635</v>
      </c>
      <c r="C13" s="25">
        <f>'[2]CF PDP'!$BW$37</f>
        <v>1260636</v>
      </c>
      <c r="D13" s="25">
        <f>'[2]CF PDP'!$BW$38</f>
        <v>1260636</v>
      </c>
      <c r="E13" s="25">
        <f>'[2]CF PDP'!$BW$39</f>
        <v>1260635</v>
      </c>
      <c r="F13" s="25">
        <f>'[2]CF PDP'!$BW$40</f>
        <v>1260636</v>
      </c>
      <c r="G13" s="25">
        <f>'[2]CF PDP'!$BW$41</f>
        <v>1260636</v>
      </c>
      <c r="H13" s="25">
        <f>'[2]CF PDP'!$BW$42</f>
        <v>1260636</v>
      </c>
      <c r="I13" s="25">
        <f>'[2]CF PDP'!$BW$43</f>
        <v>1260636</v>
      </c>
      <c r="J13" s="25">
        <f>'[2]CF PDP'!$BW$44</f>
        <v>1260636</v>
      </c>
      <c r="K13" s="25">
        <f>'[2]CF PDP'!$BW$45</f>
        <v>1260635</v>
      </c>
      <c r="L13" s="25">
        <f>'[2]CF PDP'!$BW$46</f>
        <v>1260635</v>
      </c>
      <c r="M13" s="25">
        <f>'[2]CF PDP'!$BW$47</f>
        <v>0</v>
      </c>
      <c r="N13" s="25">
        <f>'[2]CF PDP'!$BW$48</f>
        <v>0</v>
      </c>
      <c r="O13" s="25">
        <f>'[2]CF PDP'!$BW$49</f>
        <v>0</v>
      </c>
      <c r="P13" s="25">
        <f>'[2]CF PDP'!$BW$50</f>
        <v>0</v>
      </c>
      <c r="Q13" s="25">
        <f>'[2]CF PDP'!$BW$51</f>
        <v>0</v>
      </c>
      <c r="R13" s="25">
        <f>'[2]CF PDP'!$BW$52</f>
        <v>0</v>
      </c>
      <c r="S13" s="25">
        <f>'[2]CF PDP'!$BW$53</f>
        <v>0</v>
      </c>
      <c r="T13" s="25">
        <f>'[2]CF PDP'!$BW$54</f>
        <v>0</v>
      </c>
      <c r="U13" s="25">
        <f>'[2]CF PDP'!$BW$55</f>
        <v>0</v>
      </c>
      <c r="V13" s="25">
        <f>'[2]CF PDP'!$BW$56</f>
        <v>0</v>
      </c>
      <c r="W13" s="25">
        <f>'[2]CF PDP'!$BW$57</f>
        <v>0</v>
      </c>
      <c r="X13" s="25">
        <f>'[2]CF PDP'!$BW$58</f>
        <v>0</v>
      </c>
      <c r="Y13" s="25">
        <f>'[2]CF PDP'!$BW$59</f>
        <v>0</v>
      </c>
      <c r="Z13" s="25">
        <f>'[2]CF PDP'!$BW$60</f>
        <v>0</v>
      </c>
      <c r="AA13" s="25">
        <f>'[2]CF PDP'!$BW$61</f>
        <v>0</v>
      </c>
      <c r="AB13" s="25">
        <f>'[2]CF PDP'!$BW$62</f>
        <v>0</v>
      </c>
      <c r="AC13" s="25">
        <f>'[2]CF PDP'!$BW$63</f>
        <v>0</v>
      </c>
      <c r="AD13" s="25">
        <f>'[2]CF PDP'!$BW$64</f>
        <v>0</v>
      </c>
      <c r="AE13" s="25">
        <f>'[2]CF PDP'!$BW$65</f>
        <v>0</v>
      </c>
      <c r="AF13" s="25">
        <f>'[2]CF PDP'!$BW$66</f>
        <v>0</v>
      </c>
      <c r="AG13" s="25">
        <f>'[2]CF PDP'!$BW$67</f>
        <v>0</v>
      </c>
      <c r="AH13" s="25">
        <f>'[2]CF PDP'!$BW$68</f>
        <v>0</v>
      </c>
      <c r="AI13" s="25">
        <f>'[2]CF PDP'!$BW$69</f>
        <v>0</v>
      </c>
      <c r="AJ13" s="25">
        <f>'[2]CF PDP'!$BW$70</f>
        <v>0</v>
      </c>
      <c r="AK13" s="25">
        <f>'[2]CF PDP'!$BW$71</f>
        <v>0</v>
      </c>
      <c r="AL13" s="25">
        <f>'[2]CF PDP'!$BW$72</f>
        <v>0</v>
      </c>
      <c r="AM13" s="26">
        <f>SUM(B13:AL13)</f>
        <v>13866992</v>
      </c>
      <c r="AN13" s="27">
        <f>'[2]CF PNP'!$BW$36</f>
        <v>0</v>
      </c>
      <c r="AO13" s="25">
        <f>'[2]CF PNP'!$BW$37</f>
        <v>0</v>
      </c>
      <c r="AP13" s="25">
        <f>'[2]CF PNP'!$BW$38</f>
        <v>0</v>
      </c>
      <c r="AQ13" s="25">
        <f>'[2]CF PNP'!$BW$39</f>
        <v>0</v>
      </c>
      <c r="AR13" s="25">
        <f>'[2]CF PNP'!$BW$40</f>
        <v>0</v>
      </c>
      <c r="AS13" s="25">
        <f>'[2]CF PNP'!$BW$41</f>
        <v>0</v>
      </c>
      <c r="AT13" s="25">
        <f>'[2]CF PNP'!$BW$42</f>
        <v>0</v>
      </c>
      <c r="AU13" s="25">
        <f>'[2]CF PNP'!$BW$43</f>
        <v>0</v>
      </c>
      <c r="AV13" s="25">
        <f>'[2]CF PNP'!$BW$44</f>
        <v>0</v>
      </c>
      <c r="AW13" s="25">
        <f>'[2]CF PNP'!$BW$45</f>
        <v>0</v>
      </c>
      <c r="AX13" s="25">
        <f>'[2]CF PNP'!$BW$46</f>
        <v>0</v>
      </c>
      <c r="AY13" s="25">
        <f>'[2]CF PNP'!$BW$47</f>
        <v>0</v>
      </c>
      <c r="AZ13" s="25">
        <f>'[2]CF PNP'!$BW$48</f>
        <v>0</v>
      </c>
      <c r="BA13" s="25">
        <f>'[2]CF PNP'!$BW$49</f>
        <v>0</v>
      </c>
      <c r="BB13" s="25">
        <f>'[2]CF PNP'!$BW$50</f>
        <v>0</v>
      </c>
      <c r="BC13" s="25">
        <f>'[2]CF PNP'!$BW$51</f>
        <v>0</v>
      </c>
      <c r="BD13" s="25">
        <f>'[2]CF PNP'!$BW$52</f>
        <v>0</v>
      </c>
      <c r="BE13" s="25">
        <f>'[2]CF PNP'!$BW$53</f>
        <v>0</v>
      </c>
      <c r="BF13" s="25">
        <f>'[2]CF PNP'!$BW$54</f>
        <v>0</v>
      </c>
      <c r="BG13" s="25">
        <f>'[2]CF PNP'!$BW$55</f>
        <v>0</v>
      </c>
      <c r="BH13" s="25">
        <f>'[2]CF PNP'!$BW$56</f>
        <v>0</v>
      </c>
      <c r="BI13" s="25">
        <f>'[2]CF PNP'!$BW$57</f>
        <v>0</v>
      </c>
      <c r="BJ13" s="25">
        <f>'[2]CF PNP'!$BW$58</f>
        <v>0</v>
      </c>
      <c r="BK13" s="25">
        <f>'[2]CF PNP'!$BW$59</f>
        <v>0</v>
      </c>
      <c r="BL13" s="25">
        <f>'[2]CF PNP'!$BW$60</f>
        <v>0</v>
      </c>
      <c r="BM13" s="25">
        <f>'[2]CF PNP'!$BW$61</f>
        <v>0</v>
      </c>
      <c r="BN13" s="25">
        <f>'[2]CF PNP'!$BW$62</f>
        <v>0</v>
      </c>
      <c r="BO13" s="25">
        <f>'[2]CF PNP'!$BW$63</f>
        <v>0</v>
      </c>
      <c r="BP13" s="25">
        <f>'[2]CF PNP'!$BW$64</f>
        <v>0</v>
      </c>
      <c r="BQ13" s="25">
        <f>'[2]CF PNP'!$BW$65</f>
        <v>0</v>
      </c>
      <c r="BR13" s="25">
        <f>'[2]CF PNP'!$BW$66</f>
        <v>0</v>
      </c>
      <c r="BS13" s="25">
        <f>'[2]CF PNP'!$BW$67</f>
        <v>0</v>
      </c>
      <c r="BT13" s="25">
        <f>'[2]CF PNP'!$BW$68</f>
        <v>0</v>
      </c>
      <c r="BU13" s="25">
        <f>'[2]CF PNP'!$BW$69</f>
        <v>0</v>
      </c>
      <c r="BV13" s="25">
        <f>'[2]CF PNP'!$BW$70</f>
        <v>0</v>
      </c>
      <c r="BW13" s="25">
        <f>'[2]CF PNP'!$BW$71</f>
        <v>0</v>
      </c>
      <c r="BX13" s="25">
        <f>'[2]CF PNP'!$BW$72</f>
        <v>0</v>
      </c>
      <c r="BY13" s="26">
        <f>SUM(AN13:BX13)</f>
        <v>0</v>
      </c>
      <c r="BZ13" s="27">
        <f>'[2]CF PND'!$BW$36</f>
        <v>0</v>
      </c>
      <c r="CA13" s="25">
        <f>'[2]CF PND'!$BW$37</f>
        <v>0</v>
      </c>
      <c r="CB13" s="25">
        <f>'[2]CF PND'!$BW$38</f>
        <v>0</v>
      </c>
      <c r="CC13" s="25">
        <f>'[2]CF PND'!$BW$39</f>
        <v>0</v>
      </c>
      <c r="CD13" s="25">
        <f>'[2]CF PND'!$BW$40</f>
        <v>0</v>
      </c>
      <c r="CE13" s="25">
        <f>'[2]CF PND'!$BW$41</f>
        <v>0</v>
      </c>
      <c r="CF13" s="25">
        <f>'[2]CF PND'!$BW$42</f>
        <v>0</v>
      </c>
      <c r="CG13" s="25">
        <f>'[2]CF PND'!$BW$43</f>
        <v>0</v>
      </c>
      <c r="CH13" s="25">
        <f>'[2]CF PND'!$BW$44</f>
        <v>0</v>
      </c>
      <c r="CI13" s="25">
        <f>'[2]CF PND'!$BW$45</f>
        <v>0</v>
      </c>
      <c r="CJ13" s="25">
        <f>'[2]CF PND'!$BW$46</f>
        <v>0</v>
      </c>
      <c r="CK13" s="25">
        <f>'[2]CF PND'!$BW$47</f>
        <v>0</v>
      </c>
      <c r="CL13" s="25">
        <f>'[2]CF PND'!$BW$48</f>
        <v>0</v>
      </c>
      <c r="CM13" s="25">
        <f>'[2]CF PND'!$BW$49</f>
        <v>0</v>
      </c>
      <c r="CN13" s="25">
        <f>'[2]CF PND'!$BW$50</f>
        <v>0</v>
      </c>
      <c r="CO13" s="25">
        <f>'[2]CF PND'!$BW$51</f>
        <v>0</v>
      </c>
      <c r="CP13" s="25">
        <f>'[2]CF PND'!$BW$52</f>
        <v>0</v>
      </c>
      <c r="CQ13" s="25">
        <f>'[2]CF PND'!$BW$53</f>
        <v>0</v>
      </c>
      <c r="CR13" s="25">
        <f>'[2]CF PND'!$BW$54</f>
        <v>0</v>
      </c>
      <c r="CS13" s="25">
        <f>'[2]CF PND'!$BW$55</f>
        <v>0</v>
      </c>
      <c r="CT13" s="25">
        <f>'[2]CF PND'!$BW$56</f>
        <v>0</v>
      </c>
      <c r="CU13" s="25">
        <f>'[2]CF PND'!$BW$57</f>
        <v>0</v>
      </c>
      <c r="CV13" s="25">
        <f>'[2]CF PND'!$BW$58</f>
        <v>0</v>
      </c>
      <c r="CW13" s="25">
        <f>'[2]CF PND'!$BW$59</f>
        <v>0</v>
      </c>
      <c r="CX13" s="25">
        <f>'[2]CF PND'!$BW$60</f>
        <v>0</v>
      </c>
      <c r="CY13" s="25">
        <f>'[2]CF PND'!$BW$61</f>
        <v>0</v>
      </c>
      <c r="CZ13" s="25">
        <f>'[2]CF PND'!$BW$62</f>
        <v>0</v>
      </c>
      <c r="DA13" s="25">
        <f>'[2]CF PND'!$BW$63</f>
        <v>0</v>
      </c>
      <c r="DB13" s="25">
        <f>'[2]CF PND'!$BW$64</f>
        <v>0</v>
      </c>
      <c r="DC13" s="25">
        <f>'[2]CF PND'!$BW$65</f>
        <v>0</v>
      </c>
      <c r="DD13" s="25">
        <f>'[2]CF PND'!$BW$66</f>
        <v>0</v>
      </c>
      <c r="DE13" s="25">
        <f>'[2]CF PND'!$BW$67</f>
        <v>0</v>
      </c>
      <c r="DF13" s="25">
        <f>'[2]CF PND'!$BW$68</f>
        <v>0</v>
      </c>
      <c r="DG13" s="25">
        <f>'[2]CF PND'!$BW$69</f>
        <v>0</v>
      </c>
      <c r="DH13" s="25">
        <f>'[2]CF PND'!$BW$70</f>
        <v>0</v>
      </c>
      <c r="DI13" s="25">
        <f>'[2]CF PND'!$BW$71</f>
        <v>0</v>
      </c>
      <c r="DJ13" s="25">
        <f>'[2]CF PND'!$BW$72</f>
        <v>0</v>
      </c>
      <c r="DK13" s="26">
        <f>SUM(BZ13:DJ13)</f>
        <v>0</v>
      </c>
      <c r="DL13" s="69"/>
      <c r="DM13" s="70"/>
      <c r="DN13" s="70"/>
      <c r="DO13" s="70"/>
      <c r="DP13" s="70"/>
      <c r="DQ13" s="70"/>
      <c r="DR13" s="70"/>
      <c r="DS13" s="70"/>
      <c r="DT13" s="70"/>
      <c r="DU13" s="70"/>
      <c r="DV13" s="70"/>
      <c r="DW13" s="70"/>
      <c r="DX13" s="70"/>
      <c r="DY13" s="70"/>
      <c r="DZ13" s="70"/>
      <c r="EA13" s="70"/>
      <c r="EB13" s="70"/>
      <c r="EC13" s="70"/>
      <c r="ED13" s="70"/>
      <c r="EE13" s="70"/>
      <c r="EF13" s="70"/>
      <c r="EG13" s="70"/>
      <c r="EH13" s="70"/>
      <c r="EI13" s="70"/>
      <c r="EJ13" s="70"/>
      <c r="EK13" s="70"/>
      <c r="EL13" s="70"/>
      <c r="EM13" s="70"/>
      <c r="EN13" s="70"/>
      <c r="EO13" s="70"/>
      <c r="EP13" s="70"/>
      <c r="EQ13" s="70"/>
      <c r="ER13" s="70"/>
      <c r="ES13" s="70"/>
      <c r="ET13" s="70"/>
      <c r="EU13" s="70"/>
      <c r="EV13" s="70"/>
      <c r="EW13" s="71">
        <f>SUM(DL13:EV13)</f>
        <v>0</v>
      </c>
      <c r="EX13" s="69"/>
      <c r="EY13" s="70"/>
      <c r="EZ13" s="70"/>
      <c r="FA13" s="70"/>
      <c r="FB13" s="70"/>
      <c r="FC13" s="70"/>
      <c r="FD13" s="70"/>
      <c r="FE13" s="70"/>
      <c r="FF13" s="70"/>
      <c r="FG13" s="70"/>
      <c r="FH13" s="70"/>
      <c r="FI13" s="70"/>
      <c r="FJ13" s="70"/>
      <c r="FK13" s="70"/>
      <c r="FL13" s="70"/>
      <c r="FM13" s="70"/>
      <c r="FN13" s="70"/>
      <c r="FO13" s="70"/>
      <c r="FP13" s="70"/>
      <c r="FQ13" s="70"/>
      <c r="FR13" s="70"/>
      <c r="FS13" s="70"/>
      <c r="FT13" s="70"/>
      <c r="FU13" s="70"/>
      <c r="FV13" s="70"/>
      <c r="FW13" s="70"/>
      <c r="FX13" s="70"/>
      <c r="FY13" s="70"/>
      <c r="FZ13" s="70"/>
      <c r="GA13" s="70"/>
      <c r="GB13" s="70"/>
      <c r="GC13" s="70"/>
      <c r="GD13" s="70"/>
      <c r="GE13" s="70"/>
      <c r="GF13" s="70"/>
      <c r="GG13" s="70"/>
      <c r="GH13" s="70"/>
      <c r="GI13" s="71">
        <f>SUM(EX13:GH13)</f>
        <v>0</v>
      </c>
      <c r="GJ13" s="69"/>
      <c r="GK13" s="70"/>
      <c r="GL13" s="70"/>
      <c r="GM13" s="70"/>
      <c r="GN13" s="70"/>
      <c r="GO13" s="70"/>
      <c r="GP13" s="70"/>
      <c r="GQ13" s="70"/>
      <c r="GR13" s="70"/>
      <c r="GS13" s="70"/>
      <c r="GT13" s="70"/>
      <c r="GU13" s="70"/>
      <c r="GV13" s="70"/>
      <c r="GW13" s="70"/>
      <c r="GX13" s="70"/>
      <c r="GY13" s="70"/>
      <c r="GZ13" s="70"/>
      <c r="HA13" s="70"/>
      <c r="HB13" s="70"/>
      <c r="HC13" s="70"/>
      <c r="HD13" s="70"/>
      <c r="HE13" s="70"/>
      <c r="HF13" s="70"/>
      <c r="HG13" s="70"/>
      <c r="HH13" s="70"/>
      <c r="HI13" s="70"/>
      <c r="HJ13" s="70"/>
      <c r="HK13" s="70"/>
      <c r="HL13" s="70"/>
      <c r="HM13" s="70"/>
      <c r="HN13" s="70"/>
      <c r="HO13" s="70"/>
      <c r="HP13" s="70"/>
      <c r="HQ13" s="70"/>
      <c r="HR13" s="70"/>
      <c r="HS13" s="70"/>
      <c r="HT13" s="70"/>
      <c r="HU13" s="71">
        <f>SUM(GJ13:HT13)</f>
        <v>0</v>
      </c>
      <c r="HV13" s="27">
        <f>'[2]CF PRB'!$BW$36</f>
        <v>0</v>
      </c>
      <c r="HW13" s="25">
        <f>'[2]CF PRB'!$BW$37</f>
        <v>0</v>
      </c>
      <c r="HX13" s="25">
        <f>'[2]CF PRB'!$BW$38</f>
        <v>0</v>
      </c>
      <c r="HY13" s="25">
        <f>'[2]CF PRB'!$BW$39</f>
        <v>0</v>
      </c>
      <c r="HZ13" s="25">
        <f>'[2]CF PRB'!$BW$40</f>
        <v>0</v>
      </c>
      <c r="IA13" s="25">
        <f>'[2]CF PRB'!$BW$41</f>
        <v>0</v>
      </c>
      <c r="IB13" s="25">
        <f>'[2]CF PRB'!$BW$42</f>
        <v>0</v>
      </c>
      <c r="IC13" s="25">
        <f>'[2]CF PRB'!$BW$43</f>
        <v>0</v>
      </c>
      <c r="ID13" s="25">
        <f>'[2]CF PRB'!$BW$44</f>
        <v>0</v>
      </c>
      <c r="IE13" s="25">
        <f>'[2]CF PRB'!$BW$45</f>
        <v>0</v>
      </c>
      <c r="IF13" s="25">
        <f>'[2]CF PRB'!$BW$46</f>
        <v>0</v>
      </c>
      <c r="IG13" s="25">
        <f>'[2]CF PRB'!$BW$47</f>
        <v>1260636</v>
      </c>
      <c r="IH13" s="25">
        <f>'[2]CF PRB'!$BW$48</f>
        <v>1260636</v>
      </c>
      <c r="II13" s="25">
        <f>'[2]CF PRB'!$BW$49</f>
        <v>1260636</v>
      </c>
      <c r="IJ13" s="25">
        <f>'[2]CF PRB'!$BW$50</f>
        <v>1260636</v>
      </c>
      <c r="IK13" s="25">
        <f>'[2]CF PRB'!$BW$51</f>
        <v>1260636</v>
      </c>
      <c r="IL13" s="25">
        <f>'[2]CF PRB'!$BW$52</f>
        <v>1260636</v>
      </c>
      <c r="IM13" s="25">
        <f>'[2]CF PRB'!$BW$53</f>
        <v>1260636</v>
      </c>
      <c r="IN13" s="25">
        <f>'[2]CF PRB'!$BW$54</f>
        <v>1260636</v>
      </c>
      <c r="IO13" s="25">
        <f>'[2]CF PRB'!$BW$55</f>
        <v>1260636</v>
      </c>
      <c r="IP13" s="25">
        <f>'[2]CF PRB'!$BW$56</f>
        <v>1260636</v>
      </c>
      <c r="IQ13" s="25">
        <f>'[2]CF PRB'!$BW$57</f>
        <v>1260636</v>
      </c>
      <c r="IR13" s="25">
        <f>'[2]CF PRB'!$BW$58</f>
        <v>1260636</v>
      </c>
      <c r="IS13" s="25">
        <f>'[2]CF PRB'!$BW$59</f>
        <v>0</v>
      </c>
      <c r="IT13" s="25">
        <f>'[2]CF PRB'!$BW$60</f>
        <v>0</v>
      </c>
      <c r="IU13" s="25">
        <f>'[2]CF PRB'!$BW$61</f>
        <v>0</v>
      </c>
      <c r="IV13" s="25">
        <f>'[2]CF PRB'!$BW$62</f>
        <v>0</v>
      </c>
      <c r="IW13" s="25">
        <f>'[2]CF PRB'!$BW$63</f>
        <v>0</v>
      </c>
      <c r="IX13" s="25">
        <f>'[2]CF PRB'!$BW$64</f>
        <v>0</v>
      </c>
      <c r="IY13" s="25">
        <f>'[2]CF PRB'!$BW$65</f>
        <v>0</v>
      </c>
      <c r="IZ13" s="25">
        <f>'[2]CF PRB'!$BW$66</f>
        <v>0</v>
      </c>
      <c r="JA13" s="25">
        <f>'[2]CF PRB'!$BW$67</f>
        <v>0</v>
      </c>
      <c r="JB13" s="25">
        <f>'[2]CF PRB'!$BW$68</f>
        <v>0</v>
      </c>
      <c r="JC13" s="25">
        <f>'[2]CF PRB'!$BW$69</f>
        <v>0</v>
      </c>
      <c r="JD13" s="25">
        <f>'[2]CF PRB'!$BW$70</f>
        <v>0</v>
      </c>
      <c r="JE13" s="25">
        <f>'[2]CF PRB'!$BW$71</f>
        <v>0</v>
      </c>
      <c r="JF13" s="25">
        <f>'[2]CF PRB'!$BW$72</f>
        <v>0</v>
      </c>
      <c r="JG13" s="26">
        <f>SUM(HV13:JF13)</f>
        <v>15127632</v>
      </c>
      <c r="JH13" s="69"/>
      <c r="JI13" s="70"/>
      <c r="JJ13" s="70"/>
      <c r="JK13" s="70"/>
      <c r="JL13" s="70"/>
      <c r="JM13" s="70"/>
      <c r="JN13" s="70"/>
      <c r="JO13" s="70"/>
      <c r="JP13" s="70"/>
      <c r="JQ13" s="70"/>
      <c r="JR13" s="70"/>
      <c r="JS13" s="70"/>
      <c r="JT13" s="70"/>
      <c r="JU13" s="70"/>
      <c r="JV13" s="70"/>
      <c r="JW13" s="70"/>
      <c r="JX13" s="70"/>
      <c r="JY13" s="70"/>
      <c r="JZ13" s="70"/>
      <c r="KA13" s="70"/>
      <c r="KB13" s="70"/>
      <c r="KC13" s="70"/>
      <c r="KD13" s="70"/>
      <c r="KE13" s="70"/>
      <c r="KF13" s="70"/>
      <c r="KG13" s="70"/>
      <c r="KH13" s="70"/>
      <c r="KI13" s="70"/>
      <c r="KJ13" s="70"/>
      <c r="KK13" s="70"/>
      <c r="KL13" s="70"/>
      <c r="KM13" s="70"/>
      <c r="KN13" s="70"/>
      <c r="KO13" s="70"/>
      <c r="KP13" s="70"/>
      <c r="KQ13" s="70"/>
      <c r="KR13" s="70"/>
      <c r="KS13" s="71">
        <f>SUM(JH13:KR13)</f>
        <v>0</v>
      </c>
      <c r="KT13" s="69"/>
      <c r="KU13" s="70"/>
      <c r="KV13" s="70"/>
      <c r="KW13" s="70"/>
      <c r="KX13" s="70"/>
      <c r="KY13" s="70"/>
      <c r="KZ13" s="70"/>
      <c r="LA13" s="70"/>
      <c r="LB13" s="70"/>
      <c r="LC13" s="70"/>
      <c r="LD13" s="70"/>
      <c r="LE13" s="70"/>
      <c r="LF13" s="70"/>
      <c r="LG13" s="70"/>
      <c r="LH13" s="70"/>
      <c r="LI13" s="70"/>
      <c r="LJ13" s="70"/>
      <c r="LK13" s="70"/>
      <c r="LL13" s="70"/>
      <c r="LM13" s="70"/>
      <c r="LN13" s="70"/>
      <c r="LO13" s="70"/>
      <c r="LP13" s="70"/>
      <c r="LQ13" s="70"/>
      <c r="LR13" s="70"/>
      <c r="LS13" s="70"/>
      <c r="LT13" s="70"/>
      <c r="LU13" s="70"/>
      <c r="LV13" s="70"/>
      <c r="LW13" s="70"/>
      <c r="LX13" s="70"/>
      <c r="LY13" s="70"/>
      <c r="LZ13" s="70"/>
      <c r="MA13" s="70"/>
      <c r="MB13" s="70"/>
      <c r="MC13" s="70"/>
      <c r="MD13" s="70"/>
      <c r="ME13" s="71">
        <f>SUM(KT13:MD13)</f>
        <v>0</v>
      </c>
      <c r="MF13" s="69"/>
      <c r="MG13" s="70"/>
      <c r="MH13" s="70"/>
      <c r="MI13" s="70"/>
      <c r="MJ13" s="70"/>
      <c r="MK13" s="70"/>
      <c r="ML13" s="70"/>
      <c r="MM13" s="70"/>
      <c r="MN13" s="70"/>
      <c r="MO13" s="70"/>
      <c r="MP13" s="70"/>
      <c r="MQ13" s="70"/>
      <c r="MR13" s="70"/>
      <c r="MS13" s="70"/>
      <c r="MT13" s="70"/>
      <c r="MU13" s="70"/>
      <c r="MV13" s="70"/>
      <c r="MW13" s="70"/>
      <c r="MX13" s="70"/>
      <c r="MY13" s="70"/>
      <c r="MZ13" s="70"/>
      <c r="NA13" s="70"/>
      <c r="NB13" s="70"/>
      <c r="NC13" s="70"/>
      <c r="ND13" s="70"/>
      <c r="NE13" s="70"/>
      <c r="NF13" s="70"/>
      <c r="NG13" s="70"/>
      <c r="NH13" s="70"/>
      <c r="NI13" s="70"/>
      <c r="NJ13" s="70"/>
      <c r="NK13" s="70"/>
      <c r="NL13" s="70"/>
      <c r="NM13" s="70"/>
      <c r="NN13" s="70"/>
      <c r="NO13" s="70"/>
      <c r="NP13" s="70"/>
      <c r="NQ13" s="71">
        <f>SUM(MF13:NP13)</f>
        <v>0</v>
      </c>
      <c r="NR13" s="25">
        <f>'[2]CF PS'!$BW$36</f>
        <v>0</v>
      </c>
      <c r="NS13" s="25">
        <f>'[2]CF PS'!$BW$37</f>
        <v>0</v>
      </c>
      <c r="NT13" s="25">
        <f>'[2]CF PS'!$BW$38</f>
        <v>0</v>
      </c>
      <c r="NU13" s="25">
        <f>'[2]CF PS'!$BW$39</f>
        <v>0</v>
      </c>
      <c r="NV13" s="25">
        <f>'[2]CF PS'!$BW$40</f>
        <v>0</v>
      </c>
      <c r="NW13" s="25">
        <f>'[2]CF PS'!$BW$41</f>
        <v>0</v>
      </c>
      <c r="NX13" s="25">
        <f>'[2]CF PS'!$BW$42</f>
        <v>0</v>
      </c>
      <c r="NY13" s="25">
        <f>'[2]CF PS'!$BW$43</f>
        <v>0</v>
      </c>
      <c r="NZ13" s="25">
        <f>'[2]CF PS'!$BW$44</f>
        <v>0</v>
      </c>
      <c r="OA13" s="25">
        <f>'[2]CF PS'!$BW$45</f>
        <v>0</v>
      </c>
      <c r="OB13" s="25">
        <f>'[2]CF PS'!$BW$46</f>
        <v>0</v>
      </c>
      <c r="OC13" s="25">
        <f>'[2]CF PS'!$BW$47</f>
        <v>0</v>
      </c>
      <c r="OD13" s="25">
        <f>'[2]CF PS'!$BW$48</f>
        <v>0</v>
      </c>
      <c r="OE13" s="25">
        <f>'[2]CF PS'!$BW$49</f>
        <v>0</v>
      </c>
      <c r="OF13" s="25">
        <f>'[2]CF PS'!$BW$50</f>
        <v>0</v>
      </c>
      <c r="OG13" s="25">
        <f>'[2]CF PS'!$BW$51</f>
        <v>0</v>
      </c>
      <c r="OH13" s="25">
        <f>'[2]CF PS'!$BW$52</f>
        <v>0</v>
      </c>
      <c r="OI13" s="25">
        <f>'[2]CF PS'!$BW$53</f>
        <v>0</v>
      </c>
      <c r="OJ13" s="25">
        <f>'[2]CF PS'!$BW$54</f>
        <v>0</v>
      </c>
      <c r="OK13" s="25">
        <f>'[2]CF PS'!$BW$55</f>
        <v>0</v>
      </c>
      <c r="OL13" s="25">
        <f>'[2]CF PS'!$BW$56</f>
        <v>0</v>
      </c>
      <c r="OM13" s="25">
        <f>'[2]CF PS'!$BW$57</f>
        <v>0</v>
      </c>
      <c r="ON13" s="25">
        <f>'[2]CF PS'!$BW$58</f>
        <v>0</v>
      </c>
      <c r="OO13" s="25">
        <f>'[2]CF PS'!$BW$59</f>
        <v>1260636</v>
      </c>
      <c r="OP13" s="25">
        <f>'[2]CF PS'!$BW$60</f>
        <v>1260636</v>
      </c>
      <c r="OQ13" s="25">
        <f>'[2]CF PS'!$BW$61</f>
        <v>0</v>
      </c>
      <c r="OR13" s="25">
        <f>'[2]CF PS'!$BW$62</f>
        <v>0</v>
      </c>
      <c r="OS13" s="25">
        <f>'[2]CF PS'!$BW$63</f>
        <v>0</v>
      </c>
      <c r="OT13" s="25">
        <f>'[2]CF PS'!$BW$64</f>
        <v>0</v>
      </c>
      <c r="OU13" s="25">
        <f>'[2]CF PS'!$BW$65</f>
        <v>0</v>
      </c>
      <c r="OV13" s="25">
        <f>'[2]CF PS'!$BW$66</f>
        <v>0</v>
      </c>
      <c r="OW13" s="25">
        <f>'[2]CF PS'!$BW$67</f>
        <v>0</v>
      </c>
      <c r="OX13" s="25">
        <f>'[2]CF PS'!$BW$68</f>
        <v>0</v>
      </c>
      <c r="OY13" s="25">
        <f>'[2]CF PS'!$BW$69</f>
        <v>0</v>
      </c>
      <c r="OZ13" s="25">
        <f>'[2]CF PS'!$BW$70</f>
        <v>0</v>
      </c>
      <c r="PA13" s="25">
        <f>'[2]CF PS'!$BW$71</f>
        <v>0</v>
      </c>
      <c r="PB13" s="25">
        <f>'[2]CF PS'!$BW$72</f>
        <v>0</v>
      </c>
      <c r="PC13" s="26">
        <f>SUM(NR13:PB13)</f>
        <v>2521272</v>
      </c>
    </row>
    <row r="14" spans="1:419" ht="15.5" thickBot="1" x14ac:dyDescent="0.45">
      <c r="A14" s="47" t="s">
        <v>38</v>
      </c>
      <c r="B14" s="40">
        <f>IF(AND(B12&lt;&gt;0,B13&lt;&gt;0),(B12-B13)/B13,IF(AND(B12=0,B13=0),"",IF(AND(B12="",B13=""),"",IF(AND(B12=0,B13=""),"", IF(AND(B12="",B13=0),"",1)))))</f>
        <v>0</v>
      </c>
      <c r="C14" s="40">
        <f t="shared" ref="C14" si="390">IF(AND(C12&lt;&gt;0,C13&lt;&gt;0),(C12-C13)/C13,IF(AND(C12=0,C13=0),"",IF(AND(C12="",C13=""),"",IF(AND(C12=0,C13=""),"", IF(AND(C12="",C13=0),"",1)))))</f>
        <v>-7.9325039107244284E-7</v>
      </c>
      <c r="D14" s="40">
        <f t="shared" ref="D14" si="391">IF(AND(D12&lt;&gt;0,D13&lt;&gt;0),(D12-D13)/D13,IF(AND(D12=0,D13=0),"",IF(AND(D12="",D13=""),"",IF(AND(D12=0,D13=""),"", IF(AND(D12="",D13=0),"",1)))))</f>
        <v>-7.9325039107244284E-7</v>
      </c>
      <c r="E14" s="40">
        <f t="shared" ref="E14" si="392">IF(AND(E12&lt;&gt;0,E13&lt;&gt;0),(E12-E13)/E13,IF(AND(E12=0,E13=0),"",IF(AND(E12="",E13=""),"",IF(AND(E12=0,E13=""),"", IF(AND(E12="",E13=0),"",1)))))</f>
        <v>0</v>
      </c>
      <c r="F14" s="40">
        <f t="shared" ref="F14" si="393">IF(AND(F12&lt;&gt;0,F13&lt;&gt;0),(F12-F13)/F13,IF(AND(F12=0,F13=0),"",IF(AND(F12="",F13=""),"",IF(AND(F12=0,F13=""),"", IF(AND(F12="",F13=0),"",1)))))</f>
        <v>-7.9325039107244284E-7</v>
      </c>
      <c r="G14" s="40">
        <f t="shared" ref="G14" si="394">IF(AND(G12&lt;&gt;0,G13&lt;&gt;0),(G12-G13)/G13,IF(AND(G12=0,G13=0),"",IF(AND(G12="",G13=""),"",IF(AND(G12=0,G13=""),"", IF(AND(G12="",G13=0),"",1)))))</f>
        <v>-7.9325039107244284E-7</v>
      </c>
      <c r="H14" s="40">
        <f t="shared" ref="H14" si="395">IF(AND(H12&lt;&gt;0,H13&lt;&gt;0),(H12-H13)/H13,IF(AND(H12=0,H13=0),"",IF(AND(H12="",H13=""),"",IF(AND(H12=0,H13=""),"", IF(AND(H12="",H13=0),"",1)))))</f>
        <v>-7.9325039107244284E-7</v>
      </c>
      <c r="I14" s="40">
        <f t="shared" ref="I14" si="396">IF(AND(I12&lt;&gt;0,I13&lt;&gt;0),(I12-I13)/I13,IF(AND(I12=0,I13=0),"",IF(AND(I12="",I13=""),"",IF(AND(I12=0,I13=""),"", IF(AND(I12="",I13=0),"",1)))))</f>
        <v>-7.9325039107244284E-7</v>
      </c>
      <c r="J14" s="40">
        <f t="shared" ref="J14" si="397">IF(AND(J12&lt;&gt;0,J13&lt;&gt;0),(J12-J13)/J13,IF(AND(J12=0,J13=0),"",IF(AND(J12="",J13=""),"",IF(AND(J12=0,J13=""),"", IF(AND(J12="",J13=0),"",1)))))</f>
        <v>-7.9325039107244284E-7</v>
      </c>
      <c r="K14" s="40">
        <f t="shared" ref="K14" si="398">IF(AND(K12&lt;&gt;0,K13&lt;&gt;0),(K12-K13)/K13,IF(AND(K12=0,K13=0),"",IF(AND(K12="",K13=""),"",IF(AND(K12=0,K13=""),"", IF(AND(K12="",K13=0),"",1)))))</f>
        <v>0</v>
      </c>
      <c r="L14" s="40">
        <f t="shared" ref="L14" si="399">IF(AND(L12&lt;&gt;0,L13&lt;&gt;0),(L12-L13)/L13,IF(AND(L12=0,L13=0),"",IF(AND(L12="",L13=""),"",IF(AND(L12=0,L13=""),"", IF(AND(L12="",L13=0),"",1)))))</f>
        <v>-0.16666669971879253</v>
      </c>
      <c r="M14" s="40" t="str">
        <f t="shared" ref="M14" si="400">IF(AND(M12&lt;&gt;0,M13&lt;&gt;0),(M12-M13)/M13,IF(AND(M12=0,M13=0),"",IF(AND(M12="",M13=""),"",IF(AND(M12=0,M13=""),"", IF(AND(M12="",M13=0),"",1)))))</f>
        <v/>
      </c>
      <c r="N14" s="40" t="str">
        <f t="shared" ref="N14" si="401">IF(AND(N12&lt;&gt;0,N13&lt;&gt;0),(N12-N13)/N13,IF(AND(N12=0,N13=0),"",IF(AND(N12="",N13=""),"",IF(AND(N12=0,N13=""),"", IF(AND(N12="",N13=0),"",1)))))</f>
        <v/>
      </c>
      <c r="O14" s="40" t="str">
        <f t="shared" ref="O14" si="402">IF(AND(O12&lt;&gt;0,O13&lt;&gt;0),(O12-O13)/O13,IF(AND(O12=0,O13=0),"",IF(AND(O12="",O13=""),"",IF(AND(O12=0,O13=""),"", IF(AND(O12="",O13=0),"",1)))))</f>
        <v/>
      </c>
      <c r="P14" s="40" t="str">
        <f t="shared" ref="P14" si="403">IF(AND(P12&lt;&gt;0,P13&lt;&gt;0),(P12-P13)/P13,IF(AND(P12=0,P13=0),"",IF(AND(P12="",P13=""),"",IF(AND(P12=0,P13=""),"", IF(AND(P12="",P13=0),"",1)))))</f>
        <v/>
      </c>
      <c r="Q14" s="40" t="str">
        <f t="shared" ref="Q14" si="404">IF(AND(Q12&lt;&gt;0,Q13&lt;&gt;0),(Q12-Q13)/Q13,IF(AND(Q12=0,Q13=0),"",IF(AND(Q12="",Q13=""),"",IF(AND(Q12=0,Q13=""),"", IF(AND(Q12="",Q13=0),"",1)))))</f>
        <v/>
      </c>
      <c r="R14" s="40" t="str">
        <f t="shared" ref="R14" si="405">IF(AND(R12&lt;&gt;0,R13&lt;&gt;0),(R12-R13)/R13,IF(AND(R12=0,R13=0),"",IF(AND(R12="",R13=""),"",IF(AND(R12=0,R13=""),"", IF(AND(R12="",R13=0),"",1)))))</f>
        <v/>
      </c>
      <c r="S14" s="40" t="str">
        <f t="shared" ref="S14" si="406">IF(AND(S12&lt;&gt;0,S13&lt;&gt;0),(S12-S13)/S13,IF(AND(S12=0,S13=0),"",IF(AND(S12="",S13=""),"",IF(AND(S12=0,S13=""),"", IF(AND(S12="",S13=0),"",1)))))</f>
        <v/>
      </c>
      <c r="T14" s="40" t="str">
        <f t="shared" ref="T14" si="407">IF(AND(T12&lt;&gt;0,T13&lt;&gt;0),(T12-T13)/T13,IF(AND(T12=0,T13=0),"",IF(AND(T12="",T13=""),"",IF(AND(T12=0,T13=""),"", IF(AND(T12="",T13=0),"",1)))))</f>
        <v/>
      </c>
      <c r="U14" s="40" t="str">
        <f t="shared" ref="U14" si="408">IF(AND(U12&lt;&gt;0,U13&lt;&gt;0),(U12-U13)/U13,IF(AND(U12=0,U13=0),"",IF(AND(U12="",U13=""),"",IF(AND(U12=0,U13=""),"", IF(AND(U12="",U13=0),"",1)))))</f>
        <v/>
      </c>
      <c r="V14" s="40" t="str">
        <f t="shared" ref="V14" si="409">IF(AND(V12&lt;&gt;0,V13&lt;&gt;0),(V12-V13)/V13,IF(AND(V12=0,V13=0),"",IF(AND(V12="",V13=""),"",IF(AND(V12=0,V13=""),"", IF(AND(V12="",V13=0),"",1)))))</f>
        <v/>
      </c>
      <c r="W14" s="40" t="str">
        <f t="shared" ref="W14" si="410">IF(AND(W12&lt;&gt;0,W13&lt;&gt;0),(W12-W13)/W13,IF(AND(W12=0,W13=0),"",IF(AND(W12="",W13=""),"",IF(AND(W12=0,W13=""),"", IF(AND(W12="",W13=0),"",1)))))</f>
        <v/>
      </c>
      <c r="X14" s="40" t="str">
        <f t="shared" ref="X14:AL14" si="411">IF(AND(X12&lt;&gt;0,X13&lt;&gt;0),(X12-X13)/X13,IF(AND(X12=0,X13=0),"",IF(AND(X12="",X13=""),"",IF(AND(X12=0,X13=""),"", IF(AND(X12="",X13=0),"",1)))))</f>
        <v/>
      </c>
      <c r="Y14" s="40" t="str">
        <f t="shared" si="411"/>
        <v/>
      </c>
      <c r="Z14" s="40" t="str">
        <f t="shared" si="411"/>
        <v/>
      </c>
      <c r="AA14" s="40" t="str">
        <f t="shared" si="411"/>
        <v/>
      </c>
      <c r="AB14" s="40" t="str">
        <f t="shared" si="411"/>
        <v/>
      </c>
      <c r="AC14" s="40" t="str">
        <f t="shared" si="411"/>
        <v/>
      </c>
      <c r="AD14" s="40" t="str">
        <f t="shared" si="411"/>
        <v/>
      </c>
      <c r="AE14" s="40" t="str">
        <f t="shared" si="411"/>
        <v/>
      </c>
      <c r="AF14" s="40" t="str">
        <f t="shared" si="411"/>
        <v/>
      </c>
      <c r="AG14" s="40" t="str">
        <f t="shared" si="411"/>
        <v/>
      </c>
      <c r="AH14" s="40" t="str">
        <f t="shared" si="411"/>
        <v/>
      </c>
      <c r="AI14" s="40" t="str">
        <f t="shared" si="411"/>
        <v/>
      </c>
      <c r="AJ14" s="40" t="str">
        <f t="shared" si="411"/>
        <v/>
      </c>
      <c r="AK14" s="40" t="str">
        <f t="shared" si="411"/>
        <v/>
      </c>
      <c r="AL14" s="40" t="str">
        <f t="shared" si="411"/>
        <v/>
      </c>
      <c r="AM14" s="41">
        <f t="shared" ref="AM14" si="412">IF(AND(AM12&lt;&gt;0,AM13&lt;&gt;0),(AM12-AM13)/AM13,IF(AND(AM12=0,AM13=0),"",IF(AND(AM12="",AM13=""),"",IF(AND(AM12=0,AM13=""),"", IF(AND(AM12="",AM13=0),"",1)))))</f>
        <v>-1.5152015303679415E-2</v>
      </c>
      <c r="AN14" s="39" t="str">
        <f t="shared" ref="AN14" si="413">IF(AND(AN12&lt;&gt;0,AN13&lt;&gt;0),(AN12-AN13)/AN13,IF(AND(AN12=0,AN13=0),"",IF(AND(AN12="",AN13=""),"",IF(AND(AN12=0,AN13=""),"", IF(AND(AN12="",AN13=0),"",1)))))</f>
        <v/>
      </c>
      <c r="AO14" s="40" t="str">
        <f t="shared" ref="AO14" si="414">IF(AND(AO12&lt;&gt;0,AO13&lt;&gt;0),(AO12-AO13)/AO13,IF(AND(AO12=0,AO13=0),"",IF(AND(AO12="",AO13=""),"",IF(AND(AO12=0,AO13=""),"", IF(AND(AO12="",AO13=0),"",1)))))</f>
        <v/>
      </c>
      <c r="AP14" s="40" t="str">
        <f t="shared" ref="AP14" si="415">IF(AND(AP12&lt;&gt;0,AP13&lt;&gt;0),(AP12-AP13)/AP13,IF(AND(AP12=0,AP13=0),"",IF(AND(AP12="",AP13=""),"",IF(AND(AP12=0,AP13=""),"", IF(AND(AP12="",AP13=0),"",1)))))</f>
        <v/>
      </c>
      <c r="AQ14" s="40" t="str">
        <f t="shared" ref="AQ14" si="416">IF(AND(AQ12&lt;&gt;0,AQ13&lt;&gt;0),(AQ12-AQ13)/AQ13,IF(AND(AQ12=0,AQ13=0),"",IF(AND(AQ12="",AQ13=""),"",IF(AND(AQ12=0,AQ13=""),"", IF(AND(AQ12="",AQ13=0),"",1)))))</f>
        <v/>
      </c>
      <c r="AR14" s="40" t="str">
        <f t="shared" ref="AR14" si="417">IF(AND(AR12&lt;&gt;0,AR13&lt;&gt;0),(AR12-AR13)/AR13,IF(AND(AR12=0,AR13=0),"",IF(AND(AR12="",AR13=""),"",IF(AND(AR12=0,AR13=""),"", IF(AND(AR12="",AR13=0),"",1)))))</f>
        <v/>
      </c>
      <c r="AS14" s="40" t="str">
        <f t="shared" ref="AS14" si="418">IF(AND(AS12&lt;&gt;0,AS13&lt;&gt;0),(AS12-AS13)/AS13,IF(AND(AS12=0,AS13=0),"",IF(AND(AS12="",AS13=""),"",IF(AND(AS12=0,AS13=""),"", IF(AND(AS12="",AS13=0),"",1)))))</f>
        <v/>
      </c>
      <c r="AT14" s="40" t="str">
        <f t="shared" ref="AT14" si="419">IF(AND(AT12&lt;&gt;0,AT13&lt;&gt;0),(AT12-AT13)/AT13,IF(AND(AT12=0,AT13=0),"",IF(AND(AT12="",AT13=""),"",IF(AND(AT12=0,AT13=""),"", IF(AND(AT12="",AT13=0),"",1)))))</f>
        <v/>
      </c>
      <c r="AU14" s="40" t="str">
        <f t="shared" ref="AU14" si="420">IF(AND(AU12&lt;&gt;0,AU13&lt;&gt;0),(AU12-AU13)/AU13,IF(AND(AU12=0,AU13=0),"",IF(AND(AU12="",AU13=""),"",IF(AND(AU12=0,AU13=""),"", IF(AND(AU12="",AU13=0),"",1)))))</f>
        <v/>
      </c>
      <c r="AV14" s="40" t="str">
        <f t="shared" ref="AV14" si="421">IF(AND(AV12&lt;&gt;0,AV13&lt;&gt;0),(AV12-AV13)/AV13,IF(AND(AV12=0,AV13=0),"",IF(AND(AV12="",AV13=""),"",IF(AND(AV12=0,AV13=""),"", IF(AND(AV12="",AV13=0),"",1)))))</f>
        <v/>
      </c>
      <c r="AW14" s="40" t="str">
        <f t="shared" ref="AW14" si="422">IF(AND(AW12&lt;&gt;0,AW13&lt;&gt;0),(AW12-AW13)/AW13,IF(AND(AW12=0,AW13=0),"",IF(AND(AW12="",AW13=""),"",IF(AND(AW12=0,AW13=""),"", IF(AND(AW12="",AW13=0),"",1)))))</f>
        <v/>
      </c>
      <c r="AX14" s="40" t="str">
        <f t="shared" ref="AX14" si="423">IF(AND(AX12&lt;&gt;0,AX13&lt;&gt;0),(AX12-AX13)/AX13,IF(AND(AX12=0,AX13=0),"",IF(AND(AX12="",AX13=""),"",IF(AND(AX12=0,AX13=""),"", IF(AND(AX12="",AX13=0),"",1)))))</f>
        <v/>
      </c>
      <c r="AY14" s="40" t="str">
        <f t="shared" ref="AY14" si="424">IF(AND(AY12&lt;&gt;0,AY13&lt;&gt;0),(AY12-AY13)/AY13,IF(AND(AY12=0,AY13=0),"",IF(AND(AY12="",AY13=""),"",IF(AND(AY12=0,AY13=""),"", IF(AND(AY12="",AY13=0),"",1)))))</f>
        <v/>
      </c>
      <c r="AZ14" s="40" t="str">
        <f t="shared" ref="AZ14" si="425">IF(AND(AZ12&lt;&gt;0,AZ13&lt;&gt;0),(AZ12-AZ13)/AZ13,IF(AND(AZ12=0,AZ13=0),"",IF(AND(AZ12="",AZ13=""),"",IF(AND(AZ12=0,AZ13=""),"", IF(AND(AZ12="",AZ13=0),"",1)))))</f>
        <v/>
      </c>
      <c r="BA14" s="40" t="str">
        <f t="shared" ref="BA14" si="426">IF(AND(BA12&lt;&gt;0,BA13&lt;&gt;0),(BA12-BA13)/BA13,IF(AND(BA12=0,BA13=0),"",IF(AND(BA12="",BA13=""),"",IF(AND(BA12=0,BA13=""),"", IF(AND(BA12="",BA13=0),"",1)))))</f>
        <v/>
      </c>
      <c r="BB14" s="40" t="str">
        <f t="shared" ref="BB14" si="427">IF(AND(BB12&lt;&gt;0,BB13&lt;&gt;0),(BB12-BB13)/BB13,IF(AND(BB12=0,BB13=0),"",IF(AND(BB12="",BB13=""),"",IF(AND(BB12=0,BB13=""),"", IF(AND(BB12="",BB13=0),"",1)))))</f>
        <v/>
      </c>
      <c r="BC14" s="40" t="str">
        <f t="shared" ref="BC14" si="428">IF(AND(BC12&lt;&gt;0,BC13&lt;&gt;0),(BC12-BC13)/BC13,IF(AND(BC12=0,BC13=0),"",IF(AND(BC12="",BC13=""),"",IF(AND(BC12=0,BC13=""),"", IF(AND(BC12="",BC13=0),"",1)))))</f>
        <v/>
      </c>
      <c r="BD14" s="40" t="str">
        <f t="shared" ref="BD14" si="429">IF(AND(BD12&lt;&gt;0,BD13&lt;&gt;0),(BD12-BD13)/BD13,IF(AND(BD12=0,BD13=0),"",IF(AND(BD12="",BD13=""),"",IF(AND(BD12=0,BD13=""),"", IF(AND(BD12="",BD13=0),"",1)))))</f>
        <v/>
      </c>
      <c r="BE14" s="40" t="str">
        <f t="shared" ref="BE14" si="430">IF(AND(BE12&lt;&gt;0,BE13&lt;&gt;0),(BE12-BE13)/BE13,IF(AND(BE12=0,BE13=0),"",IF(AND(BE12="",BE13=""),"",IF(AND(BE12=0,BE13=""),"", IF(AND(BE12="",BE13=0),"",1)))))</f>
        <v/>
      </c>
      <c r="BF14" s="40" t="str">
        <f t="shared" ref="BF14" si="431">IF(AND(BF12&lt;&gt;0,BF13&lt;&gt;0),(BF12-BF13)/BF13,IF(AND(BF12=0,BF13=0),"",IF(AND(BF12="",BF13=""),"",IF(AND(BF12=0,BF13=""),"", IF(AND(BF12="",BF13=0),"",1)))))</f>
        <v/>
      </c>
      <c r="BG14" s="40" t="str">
        <f t="shared" ref="BG14" si="432">IF(AND(BG12&lt;&gt;0,BG13&lt;&gt;0),(BG12-BG13)/BG13,IF(AND(BG12=0,BG13=0),"",IF(AND(BG12="",BG13=""),"",IF(AND(BG12=0,BG13=""),"", IF(AND(BG12="",BG13=0),"",1)))))</f>
        <v/>
      </c>
      <c r="BH14" s="40" t="str">
        <f t="shared" ref="BH14" si="433">IF(AND(BH12&lt;&gt;0,BH13&lt;&gt;0),(BH12-BH13)/BH13,IF(AND(BH12=0,BH13=0),"",IF(AND(BH12="",BH13=""),"",IF(AND(BH12=0,BH13=""),"", IF(AND(BH12="",BH13=0),"",1)))))</f>
        <v/>
      </c>
      <c r="BI14" s="40" t="str">
        <f t="shared" ref="BI14" si="434">IF(AND(BI12&lt;&gt;0,BI13&lt;&gt;0),(BI12-BI13)/BI13,IF(AND(BI12=0,BI13=0),"",IF(AND(BI12="",BI13=""),"",IF(AND(BI12=0,BI13=""),"", IF(AND(BI12="",BI13=0),"",1)))))</f>
        <v/>
      </c>
      <c r="BJ14" s="40" t="str">
        <f t="shared" ref="BJ14:BX14" si="435">IF(AND(BJ12&lt;&gt;0,BJ13&lt;&gt;0),(BJ12-BJ13)/BJ13,IF(AND(BJ12=0,BJ13=0),"",IF(AND(BJ12="",BJ13=""),"",IF(AND(BJ12=0,BJ13=""),"", IF(AND(BJ12="",BJ13=0),"",1)))))</f>
        <v/>
      </c>
      <c r="BK14" s="40" t="str">
        <f t="shared" si="435"/>
        <v/>
      </c>
      <c r="BL14" s="40" t="str">
        <f t="shared" si="435"/>
        <v/>
      </c>
      <c r="BM14" s="40" t="str">
        <f t="shared" si="435"/>
        <v/>
      </c>
      <c r="BN14" s="40" t="str">
        <f t="shared" si="435"/>
        <v/>
      </c>
      <c r="BO14" s="40" t="str">
        <f t="shared" si="435"/>
        <v/>
      </c>
      <c r="BP14" s="40" t="str">
        <f t="shared" si="435"/>
        <v/>
      </c>
      <c r="BQ14" s="40" t="str">
        <f t="shared" si="435"/>
        <v/>
      </c>
      <c r="BR14" s="40" t="str">
        <f t="shared" si="435"/>
        <v/>
      </c>
      <c r="BS14" s="40" t="str">
        <f t="shared" si="435"/>
        <v/>
      </c>
      <c r="BT14" s="40" t="str">
        <f t="shared" si="435"/>
        <v/>
      </c>
      <c r="BU14" s="40" t="str">
        <f t="shared" si="435"/>
        <v/>
      </c>
      <c r="BV14" s="40" t="str">
        <f t="shared" si="435"/>
        <v/>
      </c>
      <c r="BW14" s="40" t="str">
        <f t="shared" si="435"/>
        <v/>
      </c>
      <c r="BX14" s="40" t="str">
        <f t="shared" si="435"/>
        <v/>
      </c>
      <c r="BY14" s="41" t="str">
        <f t="shared" ref="BY14" si="436">IF(AND(BY12&lt;&gt;0,BY13&lt;&gt;0),(BY12-BY13)/BY13,IF(AND(BY12=0,BY13=0),"",IF(AND(BY12="",BY13=""),"",IF(AND(BY12=0,BY13=""),"", IF(AND(BY12="",BY13=0),"",1)))))</f>
        <v/>
      </c>
      <c r="BZ14" s="39" t="str">
        <f t="shared" ref="BZ14" si="437">IF(AND(BZ12&lt;&gt;0,BZ13&lt;&gt;0),(BZ12-BZ13)/BZ13,IF(AND(BZ12=0,BZ13=0),"",IF(AND(BZ12="",BZ13=""),"",IF(AND(BZ12=0,BZ13=""),"", IF(AND(BZ12="",BZ13=0),"",1)))))</f>
        <v/>
      </c>
      <c r="CA14" s="40" t="str">
        <f t="shared" ref="CA14" si="438">IF(AND(CA12&lt;&gt;0,CA13&lt;&gt;0),(CA12-CA13)/CA13,IF(AND(CA12=0,CA13=0),"",IF(AND(CA12="",CA13=""),"",IF(AND(CA12=0,CA13=""),"", IF(AND(CA12="",CA13=0),"",1)))))</f>
        <v/>
      </c>
      <c r="CB14" s="40" t="str">
        <f t="shared" ref="CB14" si="439">IF(AND(CB12&lt;&gt;0,CB13&lt;&gt;0),(CB12-CB13)/CB13,IF(AND(CB12=0,CB13=0),"",IF(AND(CB12="",CB13=""),"",IF(AND(CB12=0,CB13=""),"", IF(AND(CB12="",CB13=0),"",1)))))</f>
        <v/>
      </c>
      <c r="CC14" s="40" t="str">
        <f t="shared" ref="CC14" si="440">IF(AND(CC12&lt;&gt;0,CC13&lt;&gt;0),(CC12-CC13)/CC13,IF(AND(CC12=0,CC13=0),"",IF(AND(CC12="",CC13=""),"",IF(AND(CC12=0,CC13=""),"", IF(AND(CC12="",CC13=0),"",1)))))</f>
        <v/>
      </c>
      <c r="CD14" s="40" t="str">
        <f t="shared" ref="CD14" si="441">IF(AND(CD12&lt;&gt;0,CD13&lt;&gt;0),(CD12-CD13)/CD13,IF(AND(CD12=0,CD13=0),"",IF(AND(CD12="",CD13=""),"",IF(AND(CD12=0,CD13=""),"", IF(AND(CD12="",CD13=0),"",1)))))</f>
        <v/>
      </c>
      <c r="CE14" s="40" t="str">
        <f t="shared" ref="CE14" si="442">IF(AND(CE12&lt;&gt;0,CE13&lt;&gt;0),(CE12-CE13)/CE13,IF(AND(CE12=0,CE13=0),"",IF(AND(CE12="",CE13=""),"",IF(AND(CE12=0,CE13=""),"", IF(AND(CE12="",CE13=0),"",1)))))</f>
        <v/>
      </c>
      <c r="CF14" s="40" t="str">
        <f t="shared" ref="CF14" si="443">IF(AND(CF12&lt;&gt;0,CF13&lt;&gt;0),(CF12-CF13)/CF13,IF(AND(CF12=0,CF13=0),"",IF(AND(CF12="",CF13=""),"",IF(AND(CF12=0,CF13=""),"", IF(AND(CF12="",CF13=0),"",1)))))</f>
        <v/>
      </c>
      <c r="CG14" s="40" t="str">
        <f t="shared" ref="CG14" si="444">IF(AND(CG12&lt;&gt;0,CG13&lt;&gt;0),(CG12-CG13)/CG13,IF(AND(CG12=0,CG13=0),"",IF(AND(CG12="",CG13=""),"",IF(AND(CG12=0,CG13=""),"", IF(AND(CG12="",CG13=0),"",1)))))</f>
        <v/>
      </c>
      <c r="CH14" s="40" t="str">
        <f t="shared" ref="CH14" si="445">IF(AND(CH12&lt;&gt;0,CH13&lt;&gt;0),(CH12-CH13)/CH13,IF(AND(CH12=0,CH13=0),"",IF(AND(CH12="",CH13=""),"",IF(AND(CH12=0,CH13=""),"", IF(AND(CH12="",CH13=0),"",1)))))</f>
        <v/>
      </c>
      <c r="CI14" s="40" t="str">
        <f t="shared" ref="CI14" si="446">IF(AND(CI12&lt;&gt;0,CI13&lt;&gt;0),(CI12-CI13)/CI13,IF(AND(CI12=0,CI13=0),"",IF(AND(CI12="",CI13=""),"",IF(AND(CI12=0,CI13=""),"", IF(AND(CI12="",CI13=0),"",1)))))</f>
        <v/>
      </c>
      <c r="CJ14" s="40" t="str">
        <f t="shared" ref="CJ14" si="447">IF(AND(CJ12&lt;&gt;0,CJ13&lt;&gt;0),(CJ12-CJ13)/CJ13,IF(AND(CJ12=0,CJ13=0),"",IF(AND(CJ12="",CJ13=""),"",IF(AND(CJ12=0,CJ13=""),"", IF(AND(CJ12="",CJ13=0),"",1)))))</f>
        <v/>
      </c>
      <c r="CK14" s="40" t="str">
        <f t="shared" ref="CK14" si="448">IF(AND(CK12&lt;&gt;0,CK13&lt;&gt;0),(CK12-CK13)/CK13,IF(AND(CK12=0,CK13=0),"",IF(AND(CK12="",CK13=""),"",IF(AND(CK12=0,CK13=""),"", IF(AND(CK12="",CK13=0),"",1)))))</f>
        <v/>
      </c>
      <c r="CL14" s="40" t="str">
        <f t="shared" ref="CL14" si="449">IF(AND(CL12&lt;&gt;0,CL13&lt;&gt;0),(CL12-CL13)/CL13,IF(AND(CL12=0,CL13=0),"",IF(AND(CL12="",CL13=""),"",IF(AND(CL12=0,CL13=""),"", IF(AND(CL12="",CL13=0),"",1)))))</f>
        <v/>
      </c>
      <c r="CM14" s="40" t="str">
        <f t="shared" ref="CM14" si="450">IF(AND(CM12&lt;&gt;0,CM13&lt;&gt;0),(CM12-CM13)/CM13,IF(AND(CM12=0,CM13=0),"",IF(AND(CM12="",CM13=""),"",IF(AND(CM12=0,CM13=""),"", IF(AND(CM12="",CM13=0),"",1)))))</f>
        <v/>
      </c>
      <c r="CN14" s="40" t="str">
        <f t="shared" ref="CN14" si="451">IF(AND(CN12&lt;&gt;0,CN13&lt;&gt;0),(CN12-CN13)/CN13,IF(AND(CN12=0,CN13=0),"",IF(AND(CN12="",CN13=""),"",IF(AND(CN12=0,CN13=""),"", IF(AND(CN12="",CN13=0),"",1)))))</f>
        <v/>
      </c>
      <c r="CO14" s="40" t="str">
        <f t="shared" ref="CO14" si="452">IF(AND(CO12&lt;&gt;0,CO13&lt;&gt;0),(CO12-CO13)/CO13,IF(AND(CO12=0,CO13=0),"",IF(AND(CO12="",CO13=""),"",IF(AND(CO12=0,CO13=""),"", IF(AND(CO12="",CO13=0),"",1)))))</f>
        <v/>
      </c>
      <c r="CP14" s="40" t="str">
        <f t="shared" ref="CP14" si="453">IF(AND(CP12&lt;&gt;0,CP13&lt;&gt;0),(CP12-CP13)/CP13,IF(AND(CP12=0,CP13=0),"",IF(AND(CP12="",CP13=""),"",IF(AND(CP12=0,CP13=""),"", IF(AND(CP12="",CP13=0),"",1)))))</f>
        <v/>
      </c>
      <c r="CQ14" s="40" t="str">
        <f t="shared" ref="CQ14" si="454">IF(AND(CQ12&lt;&gt;0,CQ13&lt;&gt;0),(CQ12-CQ13)/CQ13,IF(AND(CQ12=0,CQ13=0),"",IF(AND(CQ12="",CQ13=""),"",IF(AND(CQ12=0,CQ13=""),"", IF(AND(CQ12="",CQ13=0),"",1)))))</f>
        <v/>
      </c>
      <c r="CR14" s="40" t="str">
        <f t="shared" ref="CR14" si="455">IF(AND(CR12&lt;&gt;0,CR13&lt;&gt;0),(CR12-CR13)/CR13,IF(AND(CR12=0,CR13=0),"",IF(AND(CR12="",CR13=""),"",IF(AND(CR12=0,CR13=""),"", IF(AND(CR12="",CR13=0),"",1)))))</f>
        <v/>
      </c>
      <c r="CS14" s="40" t="str">
        <f t="shared" ref="CS14" si="456">IF(AND(CS12&lt;&gt;0,CS13&lt;&gt;0),(CS12-CS13)/CS13,IF(AND(CS12=0,CS13=0),"",IF(AND(CS12="",CS13=""),"",IF(AND(CS12=0,CS13=""),"", IF(AND(CS12="",CS13=0),"",1)))))</f>
        <v/>
      </c>
      <c r="CT14" s="40" t="str">
        <f t="shared" ref="CT14" si="457">IF(AND(CT12&lt;&gt;0,CT13&lt;&gt;0),(CT12-CT13)/CT13,IF(AND(CT12=0,CT13=0),"",IF(AND(CT12="",CT13=""),"",IF(AND(CT12=0,CT13=""),"", IF(AND(CT12="",CT13=0),"",1)))))</f>
        <v/>
      </c>
      <c r="CU14" s="40" t="str">
        <f t="shared" ref="CU14" si="458">IF(AND(CU12&lt;&gt;0,CU13&lt;&gt;0),(CU12-CU13)/CU13,IF(AND(CU12=0,CU13=0),"",IF(AND(CU12="",CU13=""),"",IF(AND(CU12=0,CU13=""),"", IF(AND(CU12="",CU13=0),"",1)))))</f>
        <v/>
      </c>
      <c r="CV14" s="40" t="str">
        <f t="shared" ref="CV14:DJ14" si="459">IF(AND(CV12&lt;&gt;0,CV13&lt;&gt;0),(CV12-CV13)/CV13,IF(AND(CV12=0,CV13=0),"",IF(AND(CV12="",CV13=""),"",IF(AND(CV12=0,CV13=""),"", IF(AND(CV12="",CV13=0),"",1)))))</f>
        <v/>
      </c>
      <c r="CW14" s="40" t="str">
        <f t="shared" si="459"/>
        <v/>
      </c>
      <c r="CX14" s="40" t="str">
        <f t="shared" si="459"/>
        <v/>
      </c>
      <c r="CY14" s="40" t="str">
        <f t="shared" si="459"/>
        <v/>
      </c>
      <c r="CZ14" s="40" t="str">
        <f t="shared" si="459"/>
        <v/>
      </c>
      <c r="DA14" s="40" t="str">
        <f t="shared" si="459"/>
        <v/>
      </c>
      <c r="DB14" s="40" t="str">
        <f t="shared" si="459"/>
        <v/>
      </c>
      <c r="DC14" s="40" t="str">
        <f t="shared" si="459"/>
        <v/>
      </c>
      <c r="DD14" s="40" t="str">
        <f t="shared" si="459"/>
        <v/>
      </c>
      <c r="DE14" s="40" t="str">
        <f t="shared" si="459"/>
        <v/>
      </c>
      <c r="DF14" s="40" t="str">
        <f t="shared" si="459"/>
        <v/>
      </c>
      <c r="DG14" s="40" t="str">
        <f t="shared" si="459"/>
        <v/>
      </c>
      <c r="DH14" s="40" t="str">
        <f t="shared" si="459"/>
        <v/>
      </c>
      <c r="DI14" s="40" t="str">
        <f t="shared" si="459"/>
        <v/>
      </c>
      <c r="DJ14" s="40" t="str">
        <f t="shared" si="459"/>
        <v/>
      </c>
      <c r="DK14" s="41" t="str">
        <f t="shared" ref="DK14:HU14" si="460">IF(AND(DK12&lt;&gt;0,DK13&lt;&gt;0),(DK12-DK13)/DK13,IF(AND(DK12=0,DK13=0),"",IF(AND(DK12="",DK13=""),"",IF(AND(DK12=0,DK13=""),"", IF(AND(DK12="",DK13=0),"",1)))))</f>
        <v/>
      </c>
      <c r="DL14" s="72" t="str">
        <f t="shared" si="460"/>
        <v/>
      </c>
      <c r="DM14" s="73" t="str">
        <f t="shared" si="460"/>
        <v/>
      </c>
      <c r="DN14" s="73" t="str">
        <f t="shared" si="460"/>
        <v/>
      </c>
      <c r="DO14" s="73" t="str">
        <f t="shared" si="460"/>
        <v/>
      </c>
      <c r="DP14" s="73" t="str">
        <f t="shared" si="460"/>
        <v/>
      </c>
      <c r="DQ14" s="73" t="str">
        <f t="shared" si="460"/>
        <v/>
      </c>
      <c r="DR14" s="73" t="str">
        <f t="shared" si="460"/>
        <v/>
      </c>
      <c r="DS14" s="73" t="str">
        <f t="shared" si="460"/>
        <v/>
      </c>
      <c r="DT14" s="73" t="str">
        <f t="shared" si="460"/>
        <v/>
      </c>
      <c r="DU14" s="73" t="str">
        <f t="shared" si="460"/>
        <v/>
      </c>
      <c r="DV14" s="73" t="str">
        <f t="shared" si="460"/>
        <v/>
      </c>
      <c r="DW14" s="73" t="str">
        <f t="shared" si="460"/>
        <v/>
      </c>
      <c r="DX14" s="73" t="str">
        <f t="shared" si="460"/>
        <v/>
      </c>
      <c r="DY14" s="73" t="str">
        <f t="shared" si="460"/>
        <v/>
      </c>
      <c r="DZ14" s="73" t="str">
        <f t="shared" si="460"/>
        <v/>
      </c>
      <c r="EA14" s="73" t="str">
        <f t="shared" si="460"/>
        <v/>
      </c>
      <c r="EB14" s="73" t="str">
        <f t="shared" si="460"/>
        <v/>
      </c>
      <c r="EC14" s="73" t="str">
        <f t="shared" si="460"/>
        <v/>
      </c>
      <c r="ED14" s="73" t="str">
        <f t="shared" si="460"/>
        <v/>
      </c>
      <c r="EE14" s="73" t="str">
        <f t="shared" si="460"/>
        <v/>
      </c>
      <c r="EF14" s="73" t="str">
        <f t="shared" si="460"/>
        <v/>
      </c>
      <c r="EG14" s="73" t="str">
        <f t="shared" si="460"/>
        <v/>
      </c>
      <c r="EH14" s="73" t="str">
        <f t="shared" si="460"/>
        <v/>
      </c>
      <c r="EI14" s="73" t="str">
        <f t="shared" ref="EI14:EV14" si="461">IF(AND(EI12&lt;&gt;0,EI13&lt;&gt;0),(EI12-EI13)/EI13,IF(AND(EI12=0,EI13=0),"",IF(AND(EI12="",EI13=""),"",IF(AND(EI12=0,EI13=""),"", IF(AND(EI12="",EI13=0),"",1)))))</f>
        <v/>
      </c>
      <c r="EJ14" s="73" t="str">
        <f t="shared" si="461"/>
        <v/>
      </c>
      <c r="EK14" s="73" t="str">
        <f t="shared" si="461"/>
        <v/>
      </c>
      <c r="EL14" s="73" t="str">
        <f t="shared" si="461"/>
        <v/>
      </c>
      <c r="EM14" s="73" t="str">
        <f t="shared" si="461"/>
        <v/>
      </c>
      <c r="EN14" s="73" t="str">
        <f t="shared" si="461"/>
        <v/>
      </c>
      <c r="EO14" s="73" t="str">
        <f t="shared" si="461"/>
        <v/>
      </c>
      <c r="EP14" s="73" t="str">
        <f t="shared" si="461"/>
        <v/>
      </c>
      <c r="EQ14" s="73" t="str">
        <f t="shared" si="461"/>
        <v/>
      </c>
      <c r="ER14" s="73" t="str">
        <f t="shared" si="461"/>
        <v/>
      </c>
      <c r="ES14" s="73" t="str">
        <f t="shared" si="461"/>
        <v/>
      </c>
      <c r="ET14" s="73" t="str">
        <f t="shared" si="461"/>
        <v/>
      </c>
      <c r="EU14" s="73" t="str">
        <f t="shared" si="461"/>
        <v/>
      </c>
      <c r="EV14" s="73" t="str">
        <f t="shared" si="461"/>
        <v/>
      </c>
      <c r="EW14" s="74" t="str">
        <f t="shared" si="460"/>
        <v/>
      </c>
      <c r="EX14" s="72" t="str">
        <f t="shared" ref="EX14:GI14" si="462">IF(AND(EX12&lt;&gt;0,EX13&lt;&gt;0),(EX12-EX13)/EX13,IF(AND(EX12=0,EX13=0),"",IF(AND(EX12="",EX13=""),"",IF(AND(EX12=0,EX13=""),"", IF(AND(EX12="",EX13=0),"",1)))))</f>
        <v/>
      </c>
      <c r="EY14" s="73" t="str">
        <f t="shared" si="462"/>
        <v/>
      </c>
      <c r="EZ14" s="73" t="str">
        <f t="shared" si="462"/>
        <v/>
      </c>
      <c r="FA14" s="73" t="str">
        <f t="shared" si="462"/>
        <v/>
      </c>
      <c r="FB14" s="73" t="str">
        <f t="shared" si="462"/>
        <v/>
      </c>
      <c r="FC14" s="73" t="str">
        <f t="shared" si="462"/>
        <v/>
      </c>
      <c r="FD14" s="73" t="str">
        <f t="shared" si="462"/>
        <v/>
      </c>
      <c r="FE14" s="73" t="str">
        <f t="shared" si="462"/>
        <v/>
      </c>
      <c r="FF14" s="73" t="str">
        <f t="shared" si="462"/>
        <v/>
      </c>
      <c r="FG14" s="73" t="str">
        <f t="shared" si="462"/>
        <v/>
      </c>
      <c r="FH14" s="73" t="str">
        <f t="shared" si="462"/>
        <v/>
      </c>
      <c r="FI14" s="73" t="str">
        <f t="shared" si="462"/>
        <v/>
      </c>
      <c r="FJ14" s="73" t="str">
        <f t="shared" si="462"/>
        <v/>
      </c>
      <c r="FK14" s="73" t="str">
        <f t="shared" si="462"/>
        <v/>
      </c>
      <c r="FL14" s="73" t="str">
        <f t="shared" si="462"/>
        <v/>
      </c>
      <c r="FM14" s="73" t="str">
        <f t="shared" si="462"/>
        <v/>
      </c>
      <c r="FN14" s="73" t="str">
        <f t="shared" si="462"/>
        <v/>
      </c>
      <c r="FO14" s="73" t="str">
        <f t="shared" si="462"/>
        <v/>
      </c>
      <c r="FP14" s="73" t="str">
        <f t="shared" si="462"/>
        <v/>
      </c>
      <c r="FQ14" s="73" t="str">
        <f t="shared" si="462"/>
        <v/>
      </c>
      <c r="FR14" s="73" t="str">
        <f t="shared" si="462"/>
        <v/>
      </c>
      <c r="FS14" s="73" t="str">
        <f t="shared" si="462"/>
        <v/>
      </c>
      <c r="FT14" s="73" t="str">
        <f t="shared" si="462"/>
        <v/>
      </c>
      <c r="FU14" s="73" t="str">
        <f t="shared" ref="FU14:GH14" si="463">IF(AND(FU12&lt;&gt;0,FU13&lt;&gt;0),(FU12-FU13)/FU13,IF(AND(FU12=0,FU13=0),"",IF(AND(FU12="",FU13=""),"",IF(AND(FU12=0,FU13=""),"", IF(AND(FU12="",FU13=0),"",1)))))</f>
        <v/>
      </c>
      <c r="FV14" s="73" t="str">
        <f t="shared" si="463"/>
        <v/>
      </c>
      <c r="FW14" s="73" t="str">
        <f t="shared" si="463"/>
        <v/>
      </c>
      <c r="FX14" s="73" t="str">
        <f t="shared" si="463"/>
        <v/>
      </c>
      <c r="FY14" s="73" t="str">
        <f t="shared" si="463"/>
        <v/>
      </c>
      <c r="FZ14" s="73" t="str">
        <f t="shared" si="463"/>
        <v/>
      </c>
      <c r="GA14" s="73" t="str">
        <f t="shared" si="463"/>
        <v/>
      </c>
      <c r="GB14" s="73" t="str">
        <f t="shared" si="463"/>
        <v/>
      </c>
      <c r="GC14" s="73" t="str">
        <f t="shared" si="463"/>
        <v/>
      </c>
      <c r="GD14" s="73" t="str">
        <f t="shared" si="463"/>
        <v/>
      </c>
      <c r="GE14" s="73" t="str">
        <f t="shared" si="463"/>
        <v/>
      </c>
      <c r="GF14" s="73" t="str">
        <f t="shared" si="463"/>
        <v/>
      </c>
      <c r="GG14" s="73" t="str">
        <f t="shared" si="463"/>
        <v/>
      </c>
      <c r="GH14" s="73" t="str">
        <f t="shared" si="463"/>
        <v/>
      </c>
      <c r="GI14" s="74" t="str">
        <f t="shared" si="462"/>
        <v/>
      </c>
      <c r="GJ14" s="72" t="str">
        <f t="shared" si="460"/>
        <v/>
      </c>
      <c r="GK14" s="73" t="str">
        <f t="shared" si="460"/>
        <v/>
      </c>
      <c r="GL14" s="73" t="str">
        <f t="shared" si="460"/>
        <v/>
      </c>
      <c r="GM14" s="73" t="str">
        <f t="shared" si="460"/>
        <v/>
      </c>
      <c r="GN14" s="73" t="str">
        <f t="shared" si="460"/>
        <v/>
      </c>
      <c r="GO14" s="73" t="str">
        <f t="shared" si="460"/>
        <v/>
      </c>
      <c r="GP14" s="73" t="str">
        <f t="shared" si="460"/>
        <v/>
      </c>
      <c r="GQ14" s="73" t="str">
        <f t="shared" si="460"/>
        <v/>
      </c>
      <c r="GR14" s="73" t="str">
        <f t="shared" si="460"/>
        <v/>
      </c>
      <c r="GS14" s="73" t="str">
        <f t="shared" si="460"/>
        <v/>
      </c>
      <c r="GT14" s="73" t="str">
        <f t="shared" si="460"/>
        <v/>
      </c>
      <c r="GU14" s="73" t="str">
        <f t="shared" si="460"/>
        <v/>
      </c>
      <c r="GV14" s="73" t="str">
        <f t="shared" si="460"/>
        <v/>
      </c>
      <c r="GW14" s="73" t="str">
        <f t="shared" si="460"/>
        <v/>
      </c>
      <c r="GX14" s="73" t="str">
        <f t="shared" si="460"/>
        <v/>
      </c>
      <c r="GY14" s="73" t="str">
        <f t="shared" si="460"/>
        <v/>
      </c>
      <c r="GZ14" s="73" t="str">
        <f t="shared" si="460"/>
        <v/>
      </c>
      <c r="HA14" s="73" t="str">
        <f t="shared" si="460"/>
        <v/>
      </c>
      <c r="HB14" s="73" t="str">
        <f t="shared" si="460"/>
        <v/>
      </c>
      <c r="HC14" s="73" t="str">
        <f t="shared" si="460"/>
        <v/>
      </c>
      <c r="HD14" s="73" t="str">
        <f t="shared" si="460"/>
        <v/>
      </c>
      <c r="HE14" s="73" t="str">
        <f t="shared" si="460"/>
        <v/>
      </c>
      <c r="HF14" s="73" t="str">
        <f t="shared" si="460"/>
        <v/>
      </c>
      <c r="HG14" s="73" t="str">
        <f t="shared" ref="HG14:HT14" si="464">IF(AND(HG12&lt;&gt;0,HG13&lt;&gt;0),(HG12-HG13)/HG13,IF(AND(HG12=0,HG13=0),"",IF(AND(HG12="",HG13=""),"",IF(AND(HG12=0,HG13=""),"", IF(AND(HG12="",HG13=0),"",1)))))</f>
        <v/>
      </c>
      <c r="HH14" s="73" t="str">
        <f t="shared" si="464"/>
        <v/>
      </c>
      <c r="HI14" s="73" t="str">
        <f t="shared" si="464"/>
        <v/>
      </c>
      <c r="HJ14" s="73" t="str">
        <f t="shared" si="464"/>
        <v/>
      </c>
      <c r="HK14" s="73" t="str">
        <f t="shared" si="464"/>
        <v/>
      </c>
      <c r="HL14" s="73" t="str">
        <f t="shared" si="464"/>
        <v/>
      </c>
      <c r="HM14" s="73" t="str">
        <f t="shared" si="464"/>
        <v/>
      </c>
      <c r="HN14" s="73" t="str">
        <f t="shared" si="464"/>
        <v/>
      </c>
      <c r="HO14" s="73" t="str">
        <f t="shared" si="464"/>
        <v/>
      </c>
      <c r="HP14" s="73" t="str">
        <f t="shared" si="464"/>
        <v/>
      </c>
      <c r="HQ14" s="73" t="str">
        <f t="shared" si="464"/>
        <v/>
      </c>
      <c r="HR14" s="73" t="str">
        <f t="shared" si="464"/>
        <v/>
      </c>
      <c r="HS14" s="73" t="str">
        <f t="shared" si="464"/>
        <v/>
      </c>
      <c r="HT14" s="73" t="str">
        <f t="shared" si="464"/>
        <v/>
      </c>
      <c r="HU14" s="74" t="str">
        <f t="shared" si="460"/>
        <v/>
      </c>
      <c r="HV14" s="39" t="str">
        <f t="shared" ref="HV14" si="465">IF(AND(HV12&lt;&gt;0,HV13&lt;&gt;0),(HV12-HV13)/HV13,IF(AND(HV12=0,HV13=0),"",IF(AND(HV12="",HV13=""),"",IF(AND(HV12=0,HV13=""),"", IF(AND(HV12="",HV13=0),"",1)))))</f>
        <v/>
      </c>
      <c r="HW14" s="40" t="str">
        <f t="shared" ref="HW14" si="466">IF(AND(HW12&lt;&gt;0,HW13&lt;&gt;0),(HW12-HW13)/HW13,IF(AND(HW12=0,HW13=0),"",IF(AND(HW12="",HW13=""),"",IF(AND(HW12=0,HW13=""),"", IF(AND(HW12="",HW13=0),"",1)))))</f>
        <v/>
      </c>
      <c r="HX14" s="40" t="str">
        <f t="shared" ref="HX14" si="467">IF(AND(HX12&lt;&gt;0,HX13&lt;&gt;0),(HX12-HX13)/HX13,IF(AND(HX12=0,HX13=0),"",IF(AND(HX12="",HX13=""),"",IF(AND(HX12=0,HX13=""),"", IF(AND(HX12="",HX13=0),"",1)))))</f>
        <v/>
      </c>
      <c r="HY14" s="40" t="str">
        <f t="shared" ref="HY14" si="468">IF(AND(HY12&lt;&gt;0,HY13&lt;&gt;0),(HY12-HY13)/HY13,IF(AND(HY12=0,HY13=0),"",IF(AND(HY12="",HY13=""),"",IF(AND(HY12=0,HY13=""),"", IF(AND(HY12="",HY13=0),"",1)))))</f>
        <v/>
      </c>
      <c r="HZ14" s="40" t="str">
        <f t="shared" ref="HZ14" si="469">IF(AND(HZ12&lt;&gt;0,HZ13&lt;&gt;0),(HZ12-HZ13)/HZ13,IF(AND(HZ12=0,HZ13=0),"",IF(AND(HZ12="",HZ13=""),"",IF(AND(HZ12=0,HZ13=""),"", IF(AND(HZ12="",HZ13=0),"",1)))))</f>
        <v/>
      </c>
      <c r="IA14" s="40" t="str">
        <f t="shared" ref="IA14" si="470">IF(AND(IA12&lt;&gt;0,IA13&lt;&gt;0),(IA12-IA13)/IA13,IF(AND(IA12=0,IA13=0),"",IF(AND(IA12="",IA13=""),"",IF(AND(IA12=0,IA13=""),"", IF(AND(IA12="",IA13=0),"",1)))))</f>
        <v/>
      </c>
      <c r="IB14" s="40" t="str">
        <f t="shared" ref="IB14" si="471">IF(AND(IB12&lt;&gt;0,IB13&lt;&gt;0),(IB12-IB13)/IB13,IF(AND(IB12=0,IB13=0),"",IF(AND(IB12="",IB13=""),"",IF(AND(IB12=0,IB13=""),"", IF(AND(IB12="",IB13=0),"",1)))))</f>
        <v/>
      </c>
      <c r="IC14" s="40" t="str">
        <f t="shared" ref="IC14" si="472">IF(AND(IC12&lt;&gt;0,IC13&lt;&gt;0),(IC12-IC13)/IC13,IF(AND(IC12=0,IC13=0),"",IF(AND(IC12="",IC13=""),"",IF(AND(IC12=0,IC13=""),"", IF(AND(IC12="",IC13=0),"",1)))))</f>
        <v/>
      </c>
      <c r="ID14" s="40" t="str">
        <f t="shared" ref="ID14" si="473">IF(AND(ID12&lt;&gt;0,ID13&lt;&gt;0),(ID12-ID13)/ID13,IF(AND(ID12=0,ID13=0),"",IF(AND(ID12="",ID13=""),"",IF(AND(ID12=0,ID13=""),"", IF(AND(ID12="",ID13=0),"",1)))))</f>
        <v/>
      </c>
      <c r="IE14" s="40" t="str">
        <f t="shared" ref="IE14" si="474">IF(AND(IE12&lt;&gt;0,IE13&lt;&gt;0),(IE12-IE13)/IE13,IF(AND(IE12=0,IE13=0),"",IF(AND(IE12="",IE13=""),"",IF(AND(IE12=0,IE13=""),"", IF(AND(IE12="",IE13=0),"",1)))))</f>
        <v/>
      </c>
      <c r="IF14" s="40">
        <f t="shared" ref="IF14" si="475">IF(AND(IF12&lt;&gt;0,IF13&lt;&gt;0),(IF12-IF13)/IF13,IF(AND(IF12=0,IF13=0),"",IF(AND(IF12="",IF13=""),"",IF(AND(IF12=0,IF13=""),"", IF(AND(IF12="",IF13=0),"",1)))))</f>
        <v>1</v>
      </c>
      <c r="IG14" s="40">
        <f t="shared" ref="IG14" si="476">IF(AND(IG12&lt;&gt;0,IG13&lt;&gt;0),(IG12-IG13)/IG13,IF(AND(IG12=0,IG13=0),"",IF(AND(IG12="",IG13=""),"",IF(AND(IG12=0,IG13=""),"", IF(AND(IG12="",IG13=0),"",1)))))</f>
        <v>-7.9325039107244284E-7</v>
      </c>
      <c r="IH14" s="40">
        <f t="shared" ref="IH14" si="477">IF(AND(IH12&lt;&gt;0,IH13&lt;&gt;0),(IH12-IH13)/IH13,IF(AND(IH12=0,IH13=0),"",IF(AND(IH12="",IH13=""),"",IF(AND(IH12=0,IH13=""),"", IF(AND(IH12="",IH13=0),"",1)))))</f>
        <v>-7.9325039107244284E-7</v>
      </c>
      <c r="II14" s="40">
        <f t="shared" ref="II14" si="478">IF(AND(II12&lt;&gt;0,II13&lt;&gt;0),(II12-II13)/II13,IF(AND(II12=0,II13=0),"",IF(AND(II12="",II13=""),"",IF(AND(II12=0,II13=""),"", IF(AND(II12="",II13=0),"",1)))))</f>
        <v>-7.9325039107244284E-7</v>
      </c>
      <c r="IJ14" s="40">
        <f t="shared" ref="IJ14" si="479">IF(AND(IJ12&lt;&gt;0,IJ13&lt;&gt;0),(IJ12-IJ13)/IJ13,IF(AND(IJ12=0,IJ13=0),"",IF(AND(IJ12="",IJ13=""),"",IF(AND(IJ12=0,IJ13=""),"", IF(AND(IJ12="",IJ13=0),"",1)))))</f>
        <v>-7.9325039107244284E-7</v>
      </c>
      <c r="IK14" s="40">
        <f t="shared" ref="IK14" si="480">IF(AND(IK12&lt;&gt;0,IK13&lt;&gt;0),(IK12-IK13)/IK13,IF(AND(IK12=0,IK13=0),"",IF(AND(IK12="",IK13=""),"",IF(AND(IK12=0,IK13=""),"", IF(AND(IK12="",IK13=0),"",1)))))</f>
        <v>-7.9325039107244284E-7</v>
      </c>
      <c r="IL14" s="40">
        <f t="shared" ref="IL14" si="481">IF(AND(IL12&lt;&gt;0,IL13&lt;&gt;0),(IL12-IL13)/IL13,IF(AND(IL12=0,IL13=0),"",IF(AND(IL12="",IL13=""),"",IF(AND(IL12=0,IL13=""),"", IF(AND(IL12="",IL13=0),"",1)))))</f>
        <v>-7.9325039107244284E-7</v>
      </c>
      <c r="IM14" s="40">
        <f t="shared" ref="IM14" si="482">IF(AND(IM12&lt;&gt;0,IM13&lt;&gt;0),(IM12-IM13)/IM13,IF(AND(IM12=0,IM13=0),"",IF(AND(IM12="",IM13=""),"",IF(AND(IM12=0,IM13=""),"", IF(AND(IM12="",IM13=0),"",1)))))</f>
        <v>-7.9325039107244284E-7</v>
      </c>
      <c r="IN14" s="40">
        <f t="shared" ref="IN14" si="483">IF(AND(IN12&lt;&gt;0,IN13&lt;&gt;0),(IN12-IN13)/IN13,IF(AND(IN12=0,IN13=0),"",IF(AND(IN12="",IN13=""),"",IF(AND(IN12=0,IN13=""),"", IF(AND(IN12="",IN13=0),"",1)))))</f>
        <v>-7.9325039107244284E-7</v>
      </c>
      <c r="IO14" s="40">
        <f t="shared" ref="IO14" si="484">IF(AND(IO12&lt;&gt;0,IO13&lt;&gt;0),(IO12-IO13)/IO13,IF(AND(IO12=0,IO13=0),"",IF(AND(IO12="",IO13=""),"",IF(AND(IO12=0,IO13=""),"", IF(AND(IO12="",IO13=0),"",1)))))</f>
        <v>-7.9325039107244284E-7</v>
      </c>
      <c r="IP14" s="40">
        <f t="shared" ref="IP14" si="485">IF(AND(IP12&lt;&gt;0,IP13&lt;&gt;0),(IP12-IP13)/IP13,IF(AND(IP12=0,IP13=0),"",IF(AND(IP12="",IP13=""),"",IF(AND(IP12=0,IP13=""),"", IF(AND(IP12="",IP13=0),"",1)))))</f>
        <v>-7.9325039107244284E-7</v>
      </c>
      <c r="IQ14" s="40">
        <f t="shared" ref="IQ14" si="486">IF(AND(IQ12&lt;&gt;0,IQ13&lt;&gt;0),(IQ12-IQ13)/IQ13,IF(AND(IQ12=0,IQ13=0),"",IF(AND(IQ12="",IQ13=""),"",IF(AND(IQ12=0,IQ13=""),"", IF(AND(IQ12="",IQ13=0),"",1)))))</f>
        <v>-7.9325039107244284E-7</v>
      </c>
      <c r="IR14" s="40">
        <f t="shared" ref="IR14:JF14" si="487">IF(AND(IR12&lt;&gt;0,IR13&lt;&gt;0),(IR12-IR13)/IR13,IF(AND(IR12=0,IR13=0),"",IF(AND(IR12="",IR13=""),"",IF(AND(IR12=0,IR13=""),"", IF(AND(IR12="",IR13=0),"",1)))))</f>
        <v>-7.9325039107244284E-7</v>
      </c>
      <c r="IS14" s="40">
        <f t="shared" si="487"/>
        <v>1</v>
      </c>
      <c r="IT14" s="40" t="str">
        <f t="shared" si="487"/>
        <v/>
      </c>
      <c r="IU14" s="40" t="str">
        <f t="shared" si="487"/>
        <v/>
      </c>
      <c r="IV14" s="40" t="str">
        <f t="shared" si="487"/>
        <v/>
      </c>
      <c r="IW14" s="40" t="str">
        <f t="shared" si="487"/>
        <v/>
      </c>
      <c r="IX14" s="40" t="str">
        <f t="shared" si="487"/>
        <v/>
      </c>
      <c r="IY14" s="40" t="str">
        <f t="shared" si="487"/>
        <v/>
      </c>
      <c r="IZ14" s="40" t="str">
        <f t="shared" si="487"/>
        <v/>
      </c>
      <c r="JA14" s="40" t="str">
        <f t="shared" si="487"/>
        <v/>
      </c>
      <c r="JB14" s="40" t="str">
        <f t="shared" si="487"/>
        <v/>
      </c>
      <c r="JC14" s="40" t="str">
        <f t="shared" si="487"/>
        <v/>
      </c>
      <c r="JD14" s="40" t="str">
        <f t="shared" si="487"/>
        <v/>
      </c>
      <c r="JE14" s="40" t="str">
        <f t="shared" si="487"/>
        <v/>
      </c>
      <c r="JF14" s="40" t="str">
        <f t="shared" si="487"/>
        <v/>
      </c>
      <c r="JG14" s="41">
        <f t="shared" ref="JG14:NQ14" si="488">IF(AND(JG12&lt;&gt;0,JG13&lt;&gt;0),(JG12-JG13)/JG13,IF(AND(JG12=0,JG13=0),"",IF(AND(JG12="",JG13=""),"",IF(AND(JG12=0,JG13=""),"", IF(AND(JG12="",JG13=0),"",1)))))</f>
        <v>2.0832523040453389E-2</v>
      </c>
      <c r="JH14" s="72" t="str">
        <f t="shared" si="488"/>
        <v/>
      </c>
      <c r="JI14" s="73" t="str">
        <f t="shared" si="488"/>
        <v/>
      </c>
      <c r="JJ14" s="73" t="str">
        <f t="shared" si="488"/>
        <v/>
      </c>
      <c r="JK14" s="73" t="str">
        <f t="shared" si="488"/>
        <v/>
      </c>
      <c r="JL14" s="73" t="str">
        <f t="shared" si="488"/>
        <v/>
      </c>
      <c r="JM14" s="73" t="str">
        <f t="shared" si="488"/>
        <v/>
      </c>
      <c r="JN14" s="73" t="str">
        <f t="shared" si="488"/>
        <v/>
      </c>
      <c r="JO14" s="73" t="str">
        <f t="shared" si="488"/>
        <v/>
      </c>
      <c r="JP14" s="73" t="str">
        <f t="shared" si="488"/>
        <v/>
      </c>
      <c r="JQ14" s="73" t="str">
        <f t="shared" si="488"/>
        <v/>
      </c>
      <c r="JR14" s="73" t="str">
        <f t="shared" si="488"/>
        <v/>
      </c>
      <c r="JS14" s="73" t="str">
        <f t="shared" si="488"/>
        <v/>
      </c>
      <c r="JT14" s="73" t="str">
        <f t="shared" si="488"/>
        <v/>
      </c>
      <c r="JU14" s="73" t="str">
        <f t="shared" si="488"/>
        <v/>
      </c>
      <c r="JV14" s="73" t="str">
        <f t="shared" si="488"/>
        <v/>
      </c>
      <c r="JW14" s="73" t="str">
        <f t="shared" si="488"/>
        <v/>
      </c>
      <c r="JX14" s="73" t="str">
        <f t="shared" si="488"/>
        <v/>
      </c>
      <c r="JY14" s="73" t="str">
        <f t="shared" si="488"/>
        <v/>
      </c>
      <c r="JZ14" s="73" t="str">
        <f t="shared" si="488"/>
        <v/>
      </c>
      <c r="KA14" s="73" t="str">
        <f t="shared" si="488"/>
        <v/>
      </c>
      <c r="KB14" s="73" t="str">
        <f t="shared" si="488"/>
        <v/>
      </c>
      <c r="KC14" s="73" t="str">
        <f t="shared" si="488"/>
        <v/>
      </c>
      <c r="KD14" s="73" t="str">
        <f t="shared" si="488"/>
        <v/>
      </c>
      <c r="KE14" s="73" t="str">
        <f t="shared" ref="KE14:KR14" si="489">IF(AND(KE12&lt;&gt;0,KE13&lt;&gt;0),(KE12-KE13)/KE13,IF(AND(KE12=0,KE13=0),"",IF(AND(KE12="",KE13=""),"",IF(AND(KE12=0,KE13=""),"", IF(AND(KE12="",KE13=0),"",1)))))</f>
        <v/>
      </c>
      <c r="KF14" s="73" t="str">
        <f t="shared" si="489"/>
        <v/>
      </c>
      <c r="KG14" s="73" t="str">
        <f t="shared" si="489"/>
        <v/>
      </c>
      <c r="KH14" s="73" t="str">
        <f t="shared" si="489"/>
        <v/>
      </c>
      <c r="KI14" s="73" t="str">
        <f t="shared" si="489"/>
        <v/>
      </c>
      <c r="KJ14" s="73" t="str">
        <f t="shared" si="489"/>
        <v/>
      </c>
      <c r="KK14" s="73" t="str">
        <f t="shared" si="489"/>
        <v/>
      </c>
      <c r="KL14" s="73" t="str">
        <f t="shared" si="489"/>
        <v/>
      </c>
      <c r="KM14" s="73" t="str">
        <f t="shared" si="489"/>
        <v/>
      </c>
      <c r="KN14" s="73" t="str">
        <f t="shared" si="489"/>
        <v/>
      </c>
      <c r="KO14" s="73" t="str">
        <f t="shared" si="489"/>
        <v/>
      </c>
      <c r="KP14" s="73" t="str">
        <f t="shared" si="489"/>
        <v/>
      </c>
      <c r="KQ14" s="73" t="str">
        <f t="shared" si="489"/>
        <v/>
      </c>
      <c r="KR14" s="73" t="str">
        <f t="shared" si="489"/>
        <v/>
      </c>
      <c r="KS14" s="74" t="str">
        <f t="shared" si="488"/>
        <v/>
      </c>
      <c r="KT14" s="72" t="str">
        <f t="shared" ref="KT14:ME14" si="490">IF(AND(KT12&lt;&gt;0,KT13&lt;&gt;0),(KT12-KT13)/KT13,IF(AND(KT12=0,KT13=0),"",IF(AND(KT12="",KT13=""),"",IF(AND(KT12=0,KT13=""),"", IF(AND(KT12="",KT13=0),"",1)))))</f>
        <v/>
      </c>
      <c r="KU14" s="73" t="str">
        <f t="shared" si="490"/>
        <v/>
      </c>
      <c r="KV14" s="73" t="str">
        <f t="shared" si="490"/>
        <v/>
      </c>
      <c r="KW14" s="73" t="str">
        <f t="shared" si="490"/>
        <v/>
      </c>
      <c r="KX14" s="73" t="str">
        <f t="shared" si="490"/>
        <v/>
      </c>
      <c r="KY14" s="73" t="str">
        <f t="shared" si="490"/>
        <v/>
      </c>
      <c r="KZ14" s="73" t="str">
        <f t="shared" si="490"/>
        <v/>
      </c>
      <c r="LA14" s="73" t="str">
        <f t="shared" si="490"/>
        <v/>
      </c>
      <c r="LB14" s="73" t="str">
        <f t="shared" si="490"/>
        <v/>
      </c>
      <c r="LC14" s="73" t="str">
        <f t="shared" si="490"/>
        <v/>
      </c>
      <c r="LD14" s="73" t="str">
        <f t="shared" si="490"/>
        <v/>
      </c>
      <c r="LE14" s="73" t="str">
        <f t="shared" si="490"/>
        <v/>
      </c>
      <c r="LF14" s="73" t="str">
        <f t="shared" si="490"/>
        <v/>
      </c>
      <c r="LG14" s="73" t="str">
        <f t="shared" si="490"/>
        <v/>
      </c>
      <c r="LH14" s="73" t="str">
        <f t="shared" si="490"/>
        <v/>
      </c>
      <c r="LI14" s="73" t="str">
        <f t="shared" si="490"/>
        <v/>
      </c>
      <c r="LJ14" s="73" t="str">
        <f t="shared" si="490"/>
        <v/>
      </c>
      <c r="LK14" s="73" t="str">
        <f t="shared" si="490"/>
        <v/>
      </c>
      <c r="LL14" s="73" t="str">
        <f t="shared" si="490"/>
        <v/>
      </c>
      <c r="LM14" s="73" t="str">
        <f t="shared" si="490"/>
        <v/>
      </c>
      <c r="LN14" s="73" t="str">
        <f t="shared" si="490"/>
        <v/>
      </c>
      <c r="LO14" s="73" t="str">
        <f t="shared" si="490"/>
        <v/>
      </c>
      <c r="LP14" s="73" t="str">
        <f t="shared" si="490"/>
        <v/>
      </c>
      <c r="LQ14" s="73" t="str">
        <f t="shared" ref="LQ14:MD14" si="491">IF(AND(LQ12&lt;&gt;0,LQ13&lt;&gt;0),(LQ12-LQ13)/LQ13,IF(AND(LQ12=0,LQ13=0),"",IF(AND(LQ12="",LQ13=""),"",IF(AND(LQ12=0,LQ13=""),"", IF(AND(LQ12="",LQ13=0),"",1)))))</f>
        <v/>
      </c>
      <c r="LR14" s="73" t="str">
        <f t="shared" si="491"/>
        <v/>
      </c>
      <c r="LS14" s="73" t="str">
        <f t="shared" si="491"/>
        <v/>
      </c>
      <c r="LT14" s="73" t="str">
        <f t="shared" si="491"/>
        <v/>
      </c>
      <c r="LU14" s="73" t="str">
        <f t="shared" si="491"/>
        <v/>
      </c>
      <c r="LV14" s="73" t="str">
        <f t="shared" si="491"/>
        <v/>
      </c>
      <c r="LW14" s="73" t="str">
        <f t="shared" si="491"/>
        <v/>
      </c>
      <c r="LX14" s="73" t="str">
        <f t="shared" si="491"/>
        <v/>
      </c>
      <c r="LY14" s="73" t="str">
        <f t="shared" si="491"/>
        <v/>
      </c>
      <c r="LZ14" s="73" t="str">
        <f t="shared" si="491"/>
        <v/>
      </c>
      <c r="MA14" s="73" t="str">
        <f t="shared" si="491"/>
        <v/>
      </c>
      <c r="MB14" s="73" t="str">
        <f t="shared" si="491"/>
        <v/>
      </c>
      <c r="MC14" s="73" t="str">
        <f t="shared" si="491"/>
        <v/>
      </c>
      <c r="MD14" s="73" t="str">
        <f t="shared" si="491"/>
        <v/>
      </c>
      <c r="ME14" s="74" t="str">
        <f t="shared" si="490"/>
        <v/>
      </c>
      <c r="MF14" s="72" t="str">
        <f t="shared" si="488"/>
        <v/>
      </c>
      <c r="MG14" s="73" t="str">
        <f t="shared" si="488"/>
        <v/>
      </c>
      <c r="MH14" s="73" t="str">
        <f t="shared" si="488"/>
        <v/>
      </c>
      <c r="MI14" s="73" t="str">
        <f t="shared" si="488"/>
        <v/>
      </c>
      <c r="MJ14" s="73" t="str">
        <f t="shared" si="488"/>
        <v/>
      </c>
      <c r="MK14" s="73" t="str">
        <f t="shared" si="488"/>
        <v/>
      </c>
      <c r="ML14" s="73" t="str">
        <f t="shared" si="488"/>
        <v/>
      </c>
      <c r="MM14" s="73" t="str">
        <f t="shared" si="488"/>
        <v/>
      </c>
      <c r="MN14" s="73" t="str">
        <f t="shared" si="488"/>
        <v/>
      </c>
      <c r="MO14" s="73" t="str">
        <f t="shared" si="488"/>
        <v/>
      </c>
      <c r="MP14" s="73" t="str">
        <f t="shared" si="488"/>
        <v/>
      </c>
      <c r="MQ14" s="73" t="str">
        <f t="shared" si="488"/>
        <v/>
      </c>
      <c r="MR14" s="73" t="str">
        <f t="shared" si="488"/>
        <v/>
      </c>
      <c r="MS14" s="73" t="str">
        <f t="shared" si="488"/>
        <v/>
      </c>
      <c r="MT14" s="73" t="str">
        <f t="shared" si="488"/>
        <v/>
      </c>
      <c r="MU14" s="73" t="str">
        <f t="shared" si="488"/>
        <v/>
      </c>
      <c r="MV14" s="73" t="str">
        <f t="shared" si="488"/>
        <v/>
      </c>
      <c r="MW14" s="73" t="str">
        <f t="shared" si="488"/>
        <v/>
      </c>
      <c r="MX14" s="73" t="str">
        <f t="shared" si="488"/>
        <v/>
      </c>
      <c r="MY14" s="73" t="str">
        <f t="shared" si="488"/>
        <v/>
      </c>
      <c r="MZ14" s="73" t="str">
        <f t="shared" si="488"/>
        <v/>
      </c>
      <c r="NA14" s="73" t="str">
        <f t="shared" si="488"/>
        <v/>
      </c>
      <c r="NB14" s="73" t="str">
        <f t="shared" si="488"/>
        <v/>
      </c>
      <c r="NC14" s="73" t="str">
        <f t="shared" ref="NC14:NP14" si="492">IF(AND(NC12&lt;&gt;0,NC13&lt;&gt;0),(NC12-NC13)/NC13,IF(AND(NC12=0,NC13=0),"",IF(AND(NC12="",NC13=""),"",IF(AND(NC12=0,NC13=""),"", IF(AND(NC12="",NC13=0),"",1)))))</f>
        <v/>
      </c>
      <c r="ND14" s="73" t="str">
        <f t="shared" si="492"/>
        <v/>
      </c>
      <c r="NE14" s="73" t="str">
        <f t="shared" si="492"/>
        <v/>
      </c>
      <c r="NF14" s="73" t="str">
        <f t="shared" si="492"/>
        <v/>
      </c>
      <c r="NG14" s="73" t="str">
        <f t="shared" si="492"/>
        <v/>
      </c>
      <c r="NH14" s="73" t="str">
        <f t="shared" si="492"/>
        <v/>
      </c>
      <c r="NI14" s="73" t="str">
        <f t="shared" si="492"/>
        <v/>
      </c>
      <c r="NJ14" s="73" t="str">
        <f t="shared" si="492"/>
        <v/>
      </c>
      <c r="NK14" s="73" t="str">
        <f t="shared" si="492"/>
        <v/>
      </c>
      <c r="NL14" s="73" t="str">
        <f t="shared" si="492"/>
        <v/>
      </c>
      <c r="NM14" s="73" t="str">
        <f t="shared" si="492"/>
        <v/>
      </c>
      <c r="NN14" s="73" t="str">
        <f t="shared" si="492"/>
        <v/>
      </c>
      <c r="NO14" s="73" t="str">
        <f t="shared" si="492"/>
        <v/>
      </c>
      <c r="NP14" s="73" t="str">
        <f t="shared" si="492"/>
        <v/>
      </c>
      <c r="NQ14" s="74" t="str">
        <f t="shared" si="488"/>
        <v/>
      </c>
      <c r="NR14" s="40" t="str">
        <f t="shared" ref="NR14" si="493">IF(AND(NR12&lt;&gt;0,NR13&lt;&gt;0),(NR12-NR13)/NR13,IF(AND(NR12=0,NR13=0),"",IF(AND(NR12="",NR13=""),"",IF(AND(NR12=0,NR13=""),"", IF(AND(NR12="",NR13=0),"",1)))))</f>
        <v/>
      </c>
      <c r="NS14" s="40" t="str">
        <f t="shared" ref="NS14" si="494">IF(AND(NS12&lt;&gt;0,NS13&lt;&gt;0),(NS12-NS13)/NS13,IF(AND(NS12=0,NS13=0),"",IF(AND(NS12="",NS13=""),"",IF(AND(NS12=0,NS13=""),"", IF(AND(NS12="",NS13=0),"",1)))))</f>
        <v/>
      </c>
      <c r="NT14" s="40" t="str">
        <f t="shared" ref="NT14" si="495">IF(AND(NT12&lt;&gt;0,NT13&lt;&gt;0),(NT12-NT13)/NT13,IF(AND(NT12=0,NT13=0),"",IF(AND(NT12="",NT13=""),"",IF(AND(NT12=0,NT13=""),"", IF(AND(NT12="",NT13=0),"",1)))))</f>
        <v/>
      </c>
      <c r="NU14" s="40" t="str">
        <f t="shared" ref="NU14" si="496">IF(AND(NU12&lt;&gt;0,NU13&lt;&gt;0),(NU12-NU13)/NU13,IF(AND(NU12=0,NU13=0),"",IF(AND(NU12="",NU13=""),"",IF(AND(NU12=0,NU13=""),"", IF(AND(NU12="",NU13=0),"",1)))))</f>
        <v/>
      </c>
      <c r="NV14" s="40" t="str">
        <f t="shared" ref="NV14" si="497">IF(AND(NV12&lt;&gt;0,NV13&lt;&gt;0),(NV12-NV13)/NV13,IF(AND(NV12=0,NV13=0),"",IF(AND(NV12="",NV13=""),"",IF(AND(NV12=0,NV13=""),"", IF(AND(NV12="",NV13=0),"",1)))))</f>
        <v/>
      </c>
      <c r="NW14" s="40" t="str">
        <f t="shared" ref="NW14" si="498">IF(AND(NW12&lt;&gt;0,NW13&lt;&gt;0),(NW12-NW13)/NW13,IF(AND(NW12=0,NW13=0),"",IF(AND(NW12="",NW13=""),"",IF(AND(NW12=0,NW13=""),"", IF(AND(NW12="",NW13=0),"",1)))))</f>
        <v/>
      </c>
      <c r="NX14" s="40" t="str">
        <f t="shared" ref="NX14" si="499">IF(AND(NX12&lt;&gt;0,NX13&lt;&gt;0),(NX12-NX13)/NX13,IF(AND(NX12=0,NX13=0),"",IF(AND(NX12="",NX13=""),"",IF(AND(NX12=0,NX13=""),"", IF(AND(NX12="",NX13=0),"",1)))))</f>
        <v/>
      </c>
      <c r="NY14" s="40" t="str">
        <f t="shared" ref="NY14" si="500">IF(AND(NY12&lt;&gt;0,NY13&lt;&gt;0),(NY12-NY13)/NY13,IF(AND(NY12=0,NY13=0),"",IF(AND(NY12="",NY13=""),"",IF(AND(NY12=0,NY13=""),"", IF(AND(NY12="",NY13=0),"",1)))))</f>
        <v/>
      </c>
      <c r="NZ14" s="40" t="str">
        <f t="shared" ref="NZ14" si="501">IF(AND(NZ12&lt;&gt;0,NZ13&lt;&gt;0),(NZ12-NZ13)/NZ13,IF(AND(NZ12=0,NZ13=0),"",IF(AND(NZ12="",NZ13=""),"",IF(AND(NZ12=0,NZ13=""),"", IF(AND(NZ12="",NZ13=0),"",1)))))</f>
        <v/>
      </c>
      <c r="OA14" s="40" t="str">
        <f t="shared" ref="OA14" si="502">IF(AND(OA12&lt;&gt;0,OA13&lt;&gt;0),(OA12-OA13)/OA13,IF(AND(OA12=0,OA13=0),"",IF(AND(OA12="",OA13=""),"",IF(AND(OA12=0,OA13=""),"", IF(AND(OA12="",OA13=0),"",1)))))</f>
        <v/>
      </c>
      <c r="OB14" s="40" t="str">
        <f t="shared" ref="OB14" si="503">IF(AND(OB12&lt;&gt;0,OB13&lt;&gt;0),(OB12-OB13)/OB13,IF(AND(OB12=0,OB13=0),"",IF(AND(OB12="",OB13=""),"",IF(AND(OB12=0,OB13=""),"", IF(AND(OB12="",OB13=0),"",1)))))</f>
        <v/>
      </c>
      <c r="OC14" s="40" t="str">
        <f t="shared" ref="OC14" si="504">IF(AND(OC12&lt;&gt;0,OC13&lt;&gt;0),(OC12-OC13)/OC13,IF(AND(OC12=0,OC13=0),"",IF(AND(OC12="",OC13=""),"",IF(AND(OC12=0,OC13=""),"", IF(AND(OC12="",OC13=0),"",1)))))</f>
        <v/>
      </c>
      <c r="OD14" s="40" t="str">
        <f t="shared" ref="OD14" si="505">IF(AND(OD12&lt;&gt;0,OD13&lt;&gt;0),(OD12-OD13)/OD13,IF(AND(OD12=0,OD13=0),"",IF(AND(OD12="",OD13=""),"",IF(AND(OD12=0,OD13=""),"", IF(AND(OD12="",OD13=0),"",1)))))</f>
        <v/>
      </c>
      <c r="OE14" s="40" t="str">
        <f t="shared" ref="OE14" si="506">IF(AND(OE12&lt;&gt;0,OE13&lt;&gt;0),(OE12-OE13)/OE13,IF(AND(OE12=0,OE13=0),"",IF(AND(OE12="",OE13=""),"",IF(AND(OE12=0,OE13=""),"", IF(AND(OE12="",OE13=0),"",1)))))</f>
        <v/>
      </c>
      <c r="OF14" s="40" t="str">
        <f t="shared" ref="OF14" si="507">IF(AND(OF12&lt;&gt;0,OF13&lt;&gt;0),(OF12-OF13)/OF13,IF(AND(OF12=0,OF13=0),"",IF(AND(OF12="",OF13=""),"",IF(AND(OF12=0,OF13=""),"", IF(AND(OF12="",OF13=0),"",1)))))</f>
        <v/>
      </c>
      <c r="OG14" s="40" t="str">
        <f t="shared" ref="OG14" si="508">IF(AND(OG12&lt;&gt;0,OG13&lt;&gt;0),(OG12-OG13)/OG13,IF(AND(OG12=0,OG13=0),"",IF(AND(OG12="",OG13=""),"",IF(AND(OG12=0,OG13=""),"", IF(AND(OG12="",OG13=0),"",1)))))</f>
        <v/>
      </c>
      <c r="OH14" s="40" t="str">
        <f t="shared" ref="OH14" si="509">IF(AND(OH12&lt;&gt;0,OH13&lt;&gt;0),(OH12-OH13)/OH13,IF(AND(OH12=0,OH13=0),"",IF(AND(OH12="",OH13=""),"",IF(AND(OH12=0,OH13=""),"", IF(AND(OH12="",OH13=0),"",1)))))</f>
        <v/>
      </c>
      <c r="OI14" s="40" t="str">
        <f t="shared" ref="OI14" si="510">IF(AND(OI12&lt;&gt;0,OI13&lt;&gt;0),(OI12-OI13)/OI13,IF(AND(OI12=0,OI13=0),"",IF(AND(OI12="",OI13=""),"",IF(AND(OI12=0,OI13=""),"", IF(AND(OI12="",OI13=0),"",1)))))</f>
        <v/>
      </c>
      <c r="OJ14" s="40" t="str">
        <f t="shared" ref="OJ14" si="511">IF(AND(OJ12&lt;&gt;0,OJ13&lt;&gt;0),(OJ12-OJ13)/OJ13,IF(AND(OJ12=0,OJ13=0),"",IF(AND(OJ12="",OJ13=""),"",IF(AND(OJ12=0,OJ13=""),"", IF(AND(OJ12="",OJ13=0),"",1)))))</f>
        <v/>
      </c>
      <c r="OK14" s="40" t="str">
        <f t="shared" ref="OK14" si="512">IF(AND(OK12&lt;&gt;0,OK13&lt;&gt;0),(OK12-OK13)/OK13,IF(AND(OK12=0,OK13=0),"",IF(AND(OK12="",OK13=""),"",IF(AND(OK12=0,OK13=""),"", IF(AND(OK12="",OK13=0),"",1)))))</f>
        <v/>
      </c>
      <c r="OL14" s="40" t="str">
        <f t="shared" ref="OL14" si="513">IF(AND(OL12&lt;&gt;0,OL13&lt;&gt;0),(OL12-OL13)/OL13,IF(AND(OL12=0,OL13=0),"",IF(AND(OL12="",OL13=""),"",IF(AND(OL12=0,OL13=""),"", IF(AND(OL12="",OL13=0),"",1)))))</f>
        <v/>
      </c>
      <c r="OM14" s="40" t="str">
        <f t="shared" ref="OM14" si="514">IF(AND(OM12&lt;&gt;0,OM13&lt;&gt;0),(OM12-OM13)/OM13,IF(AND(OM12=0,OM13=0),"",IF(AND(OM12="",OM13=""),"",IF(AND(OM12=0,OM13=""),"", IF(AND(OM12="",OM13=0),"",1)))))</f>
        <v/>
      </c>
      <c r="ON14" s="40" t="str">
        <f t="shared" ref="ON14:PB14" si="515">IF(AND(ON12&lt;&gt;0,ON13&lt;&gt;0),(ON12-ON13)/ON13,IF(AND(ON12=0,ON13=0),"",IF(AND(ON12="",ON13=""),"",IF(AND(ON12=0,ON13=""),"", IF(AND(ON12="",ON13=0),"",1)))))</f>
        <v/>
      </c>
      <c r="OO14" s="40">
        <f t="shared" si="515"/>
        <v>-7.9325039107244284E-7</v>
      </c>
      <c r="OP14" s="40">
        <f t="shared" si="515"/>
        <v>-7.9325039107244284E-7</v>
      </c>
      <c r="OQ14" s="40">
        <f t="shared" si="515"/>
        <v>1</v>
      </c>
      <c r="OR14" s="40" t="str">
        <f t="shared" si="515"/>
        <v/>
      </c>
      <c r="OS14" s="40" t="str">
        <f t="shared" si="515"/>
        <v/>
      </c>
      <c r="OT14" s="40" t="str">
        <f t="shared" si="515"/>
        <v/>
      </c>
      <c r="OU14" s="40" t="str">
        <f t="shared" si="515"/>
        <v/>
      </c>
      <c r="OV14" s="40" t="str">
        <f t="shared" si="515"/>
        <v/>
      </c>
      <c r="OW14" s="40" t="str">
        <f t="shared" si="515"/>
        <v/>
      </c>
      <c r="OX14" s="40" t="str">
        <f t="shared" si="515"/>
        <v/>
      </c>
      <c r="OY14" s="40" t="str">
        <f t="shared" si="515"/>
        <v/>
      </c>
      <c r="OZ14" s="40" t="str">
        <f t="shared" si="515"/>
        <v/>
      </c>
      <c r="PA14" s="40" t="str">
        <f t="shared" si="515"/>
        <v/>
      </c>
      <c r="PB14" s="40" t="str">
        <f t="shared" si="515"/>
        <v/>
      </c>
      <c r="PC14" s="41">
        <f t="shared" ref="PC14" si="516">IF(AND(PC12&lt;&gt;0,PC13&lt;&gt;0),(PC12-PC13)/PC13,IF(AND(PC12=0,PC13=0),"",IF(AND(PC12="",PC13=""),"",IF(AND(PC12=0,PC13=""),"", IF(AND(PC12="",PC13=0),"",1)))))</f>
        <v>0.16666573707636462</v>
      </c>
    </row>
    <row r="15" spans="1:419" outlineLevel="1" x14ac:dyDescent="0.4">
      <c r="A15" s="46" t="s">
        <v>39</v>
      </c>
      <c r="B15" s="14">
        <f>'[1]D-PDP'!$CA$12</f>
        <v>26449.93359375</v>
      </c>
      <c r="C15" s="14">
        <f>'[1]D-PDP'!$CA$13</f>
        <v>24028.029296875</v>
      </c>
      <c r="D15" s="14">
        <f>'[1]D-PDP'!$CA$14</f>
        <v>21932.884765625</v>
      </c>
      <c r="E15" s="14">
        <f>'[1]D-PDP'!$CA$15</f>
        <v>18879.900390625</v>
      </c>
      <c r="F15" s="14">
        <f>'[1]D-PDP'!$CA$16</f>
        <v>14972.59765625</v>
      </c>
      <c r="G15" s="14">
        <f>'[1]D-PDP'!$CA$17</f>
        <v>12639.4814453125</v>
      </c>
      <c r="H15" s="14">
        <f>'[1]D-PDP'!$CA$18</f>
        <v>10922.857421875</v>
      </c>
      <c r="I15" s="14">
        <f>'[1]D-PDP'!$CA$19</f>
        <v>9347.86328125</v>
      </c>
      <c r="J15" s="14">
        <f>'[1]D-PDP'!$CA$20</f>
        <v>7355.3447265625</v>
      </c>
      <c r="K15" s="14">
        <f>'[1]D-PDP'!$CA$21</f>
        <v>4803.7646484375</v>
      </c>
      <c r="L15" s="14">
        <f>'[1]D-PDP'!$CA$22</f>
        <v>1229.4700927734375</v>
      </c>
      <c r="M15" s="14">
        <f>'[1]D-PDP'!$CA$23</f>
        <v>0</v>
      </c>
      <c r="N15" s="14">
        <f>'[1]D-PDP'!$CA$24</f>
        <v>0</v>
      </c>
      <c r="O15" s="14">
        <f>'[1]D-PDP'!$CA$25</f>
        <v>0</v>
      </c>
      <c r="P15" s="14">
        <f>'[1]D-PDP'!$CA$26</f>
        <v>0</v>
      </c>
      <c r="Q15" s="14">
        <f>'[1]D-PDP'!$CA$27</f>
        <v>0</v>
      </c>
      <c r="R15" s="14">
        <f>'[1]D-PDP'!$CA$28</f>
        <v>0</v>
      </c>
      <c r="S15" s="14">
        <f>'[1]D-PDP'!$CA$29</f>
        <v>0</v>
      </c>
      <c r="T15" s="14">
        <f>'[1]D-PDP'!$CA$30</f>
        <v>0</v>
      </c>
      <c r="U15" s="14">
        <f>'[1]D-PDP'!$CA$31</f>
        <v>0</v>
      </c>
      <c r="V15" s="14">
        <f>'[1]D-PDP'!$CA$32</f>
        <v>0</v>
      </c>
      <c r="W15" s="14">
        <f>'[1]D-PDP'!$CA$33</f>
        <v>0</v>
      </c>
      <c r="X15" s="14">
        <f>'[1]D-PDP'!$CA$34</f>
        <v>0</v>
      </c>
      <c r="Y15" s="14">
        <f>'[1]D-PDP'!$CA$35</f>
        <v>0</v>
      </c>
      <c r="Z15" s="14">
        <f>'[1]D-PDP'!$CA$36</f>
        <v>0</v>
      </c>
      <c r="AA15" s="14">
        <f>'[1]D-PDP'!$CA$37</f>
        <v>0</v>
      </c>
      <c r="AB15" s="14">
        <f>'[1]D-PDP'!$CA$38</f>
        <v>0</v>
      </c>
      <c r="AC15" s="14">
        <f>'[1]D-PDP'!$CA$39</f>
        <v>0</v>
      </c>
      <c r="AD15" s="14">
        <f>'[1]D-PDP'!$CA$40</f>
        <v>0</v>
      </c>
      <c r="AE15" s="14">
        <f>'[1]D-PDP'!$CA$41</f>
        <v>0</v>
      </c>
      <c r="AF15" s="14">
        <f>'[1]D-PDP'!$CA$42</f>
        <v>0</v>
      </c>
      <c r="AG15" s="14">
        <f>'[1]D-PDP'!$CA$43</f>
        <v>0</v>
      </c>
      <c r="AH15" s="14">
        <f>'[1]D-PDP'!$CA$44</f>
        <v>0</v>
      </c>
      <c r="AI15" s="14">
        <f>'[1]D-PDP'!$CA$45</f>
        <v>0</v>
      </c>
      <c r="AJ15" s="14">
        <f>'[1]D-PDP'!$CA$46</f>
        <v>0</v>
      </c>
      <c r="AK15" s="14">
        <f>'[1]D-PDP'!$CA$47</f>
        <v>0</v>
      </c>
      <c r="AL15" s="14">
        <f>'[1]D-PDP'!$CA$48</f>
        <v>0</v>
      </c>
      <c r="AM15" s="16">
        <f>SUM(B15:AL15)</f>
        <v>152562.12731933594</v>
      </c>
      <c r="AN15" s="28">
        <f>'[1]D-PNP'!$CA$12</f>
        <v>0</v>
      </c>
      <c r="AO15" s="14">
        <f>'[1]D-PNP'!$CA$13</f>
        <v>0</v>
      </c>
      <c r="AP15" s="14">
        <f>'[1]D-PNP'!$CA$14</f>
        <v>0</v>
      </c>
      <c r="AQ15" s="14">
        <f>'[1]D-PNP'!$CA$15</f>
        <v>0</v>
      </c>
      <c r="AR15" s="14">
        <f>'[1]D-PNP'!$CA$16</f>
        <v>0</v>
      </c>
      <c r="AS15" s="14">
        <f>'[1]D-PNP'!$CA$17</f>
        <v>0</v>
      </c>
      <c r="AT15" s="14">
        <f>'[1]D-PNP'!$CA$18</f>
        <v>0</v>
      </c>
      <c r="AU15" s="14">
        <f>'[1]D-PNP'!$CA$19</f>
        <v>0</v>
      </c>
      <c r="AV15" s="14">
        <f>'[1]D-PNP'!$CA$20</f>
        <v>0</v>
      </c>
      <c r="AW15" s="14">
        <f>'[1]D-PNP'!$CA$21</f>
        <v>0</v>
      </c>
      <c r="AX15" s="14">
        <f>'[1]D-PNP'!$CA$22</f>
        <v>0</v>
      </c>
      <c r="AY15" s="14">
        <f>'[1]D-PNP'!$CA$23</f>
        <v>0</v>
      </c>
      <c r="AZ15" s="14">
        <f>'[1]D-PNP'!$CA$24</f>
        <v>0</v>
      </c>
      <c r="BA15" s="14">
        <f>'[1]D-PNP'!$CA$25</f>
        <v>0</v>
      </c>
      <c r="BB15" s="14">
        <f>'[1]D-PNP'!$CA$26</f>
        <v>0</v>
      </c>
      <c r="BC15" s="14">
        <f>'[1]D-PNP'!$CA$27</f>
        <v>0</v>
      </c>
      <c r="BD15" s="14">
        <f>'[1]D-PNP'!$CA$28</f>
        <v>0</v>
      </c>
      <c r="BE15" s="14">
        <f>'[1]D-PNP'!$CA$29</f>
        <v>0</v>
      </c>
      <c r="BF15" s="14">
        <f>'[1]D-PNP'!$CA$30</f>
        <v>0</v>
      </c>
      <c r="BG15" s="14">
        <f>'[1]D-PNP'!$CA$31</f>
        <v>0</v>
      </c>
      <c r="BH15" s="14">
        <f>'[1]D-PNP'!$CA$32</f>
        <v>0</v>
      </c>
      <c r="BI15" s="14">
        <f>'[1]D-PNP'!$CA$33</f>
        <v>0</v>
      </c>
      <c r="BJ15" s="14">
        <f>'[1]D-PNP'!$CA$34</f>
        <v>0</v>
      </c>
      <c r="BK15" s="14">
        <f>'[1]D-PNP'!$CA$35</f>
        <v>0</v>
      </c>
      <c r="BL15" s="14">
        <f>'[1]D-PNP'!$CA$36</f>
        <v>0</v>
      </c>
      <c r="BM15" s="14">
        <f>'[1]D-PNP'!$CA$37</f>
        <v>0</v>
      </c>
      <c r="BN15" s="14">
        <f>'[1]D-PNP'!$CA$38</f>
        <v>0</v>
      </c>
      <c r="BO15" s="14">
        <f>'[1]D-PNP'!$CA$39</f>
        <v>0</v>
      </c>
      <c r="BP15" s="14">
        <f>'[1]D-PNP'!$CA$40</f>
        <v>0</v>
      </c>
      <c r="BQ15" s="14">
        <f>'[1]D-PNP'!$CA$41</f>
        <v>0</v>
      </c>
      <c r="BR15" s="14">
        <f>'[1]D-PNP'!$CA$42</f>
        <v>0</v>
      </c>
      <c r="BS15" s="14">
        <f>'[1]D-PNP'!$CA$43</f>
        <v>0</v>
      </c>
      <c r="BT15" s="14">
        <f>'[1]D-PNP'!$CA$44</f>
        <v>0</v>
      </c>
      <c r="BU15" s="14">
        <f>'[1]D-PNP'!$CA$45</f>
        <v>0</v>
      </c>
      <c r="BV15" s="14">
        <f>'[1]D-PNP'!$CA$46</f>
        <v>0</v>
      </c>
      <c r="BW15" s="14">
        <f>'[1]D-PNP'!$CA$47</f>
        <v>0</v>
      </c>
      <c r="BX15" s="14">
        <f>'[1]D-PNP'!$CA$48</f>
        <v>0</v>
      </c>
      <c r="BY15" s="16">
        <f>SUM(AN15:BX15)</f>
        <v>0</v>
      </c>
      <c r="BZ15" s="28">
        <f>'[1]D-PND'!$CA$12</f>
        <v>0</v>
      </c>
      <c r="CA15" s="14">
        <f>'[1]D-PND'!$CA$13</f>
        <v>0</v>
      </c>
      <c r="CB15" s="14">
        <f>'[1]D-PND'!$CA$14</f>
        <v>0</v>
      </c>
      <c r="CC15" s="14">
        <f>'[1]D-PND'!$CA$15</f>
        <v>0</v>
      </c>
      <c r="CD15" s="14">
        <f>'[1]D-PND'!$CA$16</f>
        <v>0</v>
      </c>
      <c r="CE15" s="14">
        <f>'[1]D-PND'!$CA$17</f>
        <v>0</v>
      </c>
      <c r="CF15" s="14">
        <f>'[1]D-PND'!$CA$18</f>
        <v>0</v>
      </c>
      <c r="CG15" s="14">
        <f>'[1]D-PND'!$CA$19</f>
        <v>0</v>
      </c>
      <c r="CH15" s="14">
        <f>'[1]D-PND'!$CA$20</f>
        <v>0</v>
      </c>
      <c r="CI15" s="14">
        <f>'[1]D-PND'!$CA$21</f>
        <v>0</v>
      </c>
      <c r="CJ15" s="14">
        <f>'[1]D-PND'!$CA$22</f>
        <v>0</v>
      </c>
      <c r="CK15" s="14">
        <f>'[1]D-PND'!$CA$23</f>
        <v>0</v>
      </c>
      <c r="CL15" s="14">
        <f>'[1]D-PND'!$CA$24</f>
        <v>0</v>
      </c>
      <c r="CM15" s="14">
        <f>'[1]D-PND'!$CA$25</f>
        <v>0</v>
      </c>
      <c r="CN15" s="14">
        <f>'[1]D-PND'!$CA$26</f>
        <v>0</v>
      </c>
      <c r="CO15" s="14">
        <f>'[1]D-PND'!$CA$27</f>
        <v>0</v>
      </c>
      <c r="CP15" s="14">
        <f>'[1]D-PND'!$CA$28</f>
        <v>0</v>
      </c>
      <c r="CQ15" s="14">
        <f>'[1]D-PND'!$CA$29</f>
        <v>0</v>
      </c>
      <c r="CR15" s="14">
        <f>'[1]D-PND'!$CA$30</f>
        <v>0</v>
      </c>
      <c r="CS15" s="14">
        <f>'[1]D-PND'!$CA$31</f>
        <v>0</v>
      </c>
      <c r="CT15" s="14">
        <f>'[1]D-PND'!$CA$32</f>
        <v>0</v>
      </c>
      <c r="CU15" s="14">
        <f>'[1]D-PND'!$CA$33</f>
        <v>0</v>
      </c>
      <c r="CV15" s="14">
        <f>'[1]D-PND'!$CA$34</f>
        <v>0</v>
      </c>
      <c r="CW15" s="14">
        <f>'[1]D-PND'!$CA$35</f>
        <v>0</v>
      </c>
      <c r="CX15" s="14">
        <f>'[1]D-PND'!$CA$36</f>
        <v>0</v>
      </c>
      <c r="CY15" s="14">
        <f>'[1]D-PND'!$CA$37</f>
        <v>0</v>
      </c>
      <c r="CZ15" s="14">
        <f>'[1]D-PND'!$CA$38</f>
        <v>0</v>
      </c>
      <c r="DA15" s="14">
        <f>'[1]D-PND'!$CA$39</f>
        <v>0</v>
      </c>
      <c r="DB15" s="14">
        <f>'[1]D-PND'!$CA$40</f>
        <v>0</v>
      </c>
      <c r="DC15" s="14">
        <f>'[1]D-PND'!$CA$41</f>
        <v>0</v>
      </c>
      <c r="DD15" s="14">
        <f>'[1]D-PND'!$CA$42</f>
        <v>0</v>
      </c>
      <c r="DE15" s="14">
        <f>'[1]D-PND'!$CA$43</f>
        <v>0</v>
      </c>
      <c r="DF15" s="14">
        <f>'[1]D-PND'!$CA$44</f>
        <v>0</v>
      </c>
      <c r="DG15" s="14">
        <f>'[1]D-PND'!$CA$45</f>
        <v>0</v>
      </c>
      <c r="DH15" s="14">
        <f>'[1]D-PND'!$CA$46</f>
        <v>0</v>
      </c>
      <c r="DI15" s="14">
        <f>'[1]D-PND'!$CA$47</f>
        <v>0</v>
      </c>
      <c r="DJ15" s="14">
        <f>'[1]D-PND'!$CA$48</f>
        <v>0</v>
      </c>
      <c r="DK15" s="16">
        <f>SUM(BZ15:DJ15)</f>
        <v>0</v>
      </c>
      <c r="DL15" s="66"/>
      <c r="DM15" s="67"/>
      <c r="DN15" s="67"/>
      <c r="DO15" s="67"/>
      <c r="DP15" s="67"/>
      <c r="DQ15" s="67"/>
      <c r="DR15" s="67"/>
      <c r="DS15" s="67"/>
      <c r="DT15" s="67"/>
      <c r="DU15" s="67"/>
      <c r="DV15" s="67"/>
      <c r="DW15" s="67"/>
      <c r="DX15" s="67"/>
      <c r="DY15" s="67"/>
      <c r="DZ15" s="67"/>
      <c r="EA15" s="67"/>
      <c r="EB15" s="67"/>
      <c r="EC15" s="67"/>
      <c r="ED15" s="67"/>
      <c r="EE15" s="67"/>
      <c r="EF15" s="67"/>
      <c r="EG15" s="67"/>
      <c r="EH15" s="67"/>
      <c r="EI15" s="67"/>
      <c r="EJ15" s="67"/>
      <c r="EK15" s="67"/>
      <c r="EL15" s="67"/>
      <c r="EM15" s="67"/>
      <c r="EN15" s="67"/>
      <c r="EO15" s="67"/>
      <c r="EP15" s="67"/>
      <c r="EQ15" s="67"/>
      <c r="ER15" s="67"/>
      <c r="ES15" s="67"/>
      <c r="ET15" s="67"/>
      <c r="EU15" s="67"/>
      <c r="EV15" s="67"/>
      <c r="EW15" s="68">
        <f>SUM(DL15:EV15)</f>
        <v>0</v>
      </c>
      <c r="EX15" s="66"/>
      <c r="EY15" s="67"/>
      <c r="EZ15" s="67"/>
      <c r="FA15" s="67"/>
      <c r="FB15" s="67"/>
      <c r="FC15" s="67"/>
      <c r="FD15" s="67"/>
      <c r="FE15" s="67"/>
      <c r="FF15" s="67"/>
      <c r="FG15" s="67"/>
      <c r="FH15" s="67"/>
      <c r="FI15" s="67"/>
      <c r="FJ15" s="67"/>
      <c r="FK15" s="67"/>
      <c r="FL15" s="67"/>
      <c r="FM15" s="67"/>
      <c r="FN15" s="67"/>
      <c r="FO15" s="67"/>
      <c r="FP15" s="67"/>
      <c r="FQ15" s="67"/>
      <c r="FR15" s="67"/>
      <c r="FS15" s="67"/>
      <c r="FT15" s="67"/>
      <c r="FU15" s="67"/>
      <c r="FV15" s="67"/>
      <c r="FW15" s="67"/>
      <c r="FX15" s="67"/>
      <c r="FY15" s="67"/>
      <c r="FZ15" s="67"/>
      <c r="GA15" s="67"/>
      <c r="GB15" s="67"/>
      <c r="GC15" s="67"/>
      <c r="GD15" s="67"/>
      <c r="GE15" s="67"/>
      <c r="GF15" s="67"/>
      <c r="GG15" s="67"/>
      <c r="GH15" s="67"/>
      <c r="GI15" s="68">
        <f>SUM(EX15:GH15)</f>
        <v>0</v>
      </c>
      <c r="GJ15" s="66"/>
      <c r="GK15" s="67"/>
      <c r="GL15" s="67"/>
      <c r="GM15" s="67"/>
      <c r="GN15" s="67"/>
      <c r="GO15" s="67"/>
      <c r="GP15" s="67"/>
      <c r="GQ15" s="67"/>
      <c r="GR15" s="67"/>
      <c r="GS15" s="67"/>
      <c r="GT15" s="67"/>
      <c r="GU15" s="67"/>
      <c r="GV15" s="67"/>
      <c r="GW15" s="67"/>
      <c r="GX15" s="67"/>
      <c r="GY15" s="67"/>
      <c r="GZ15" s="67"/>
      <c r="HA15" s="67"/>
      <c r="HB15" s="67"/>
      <c r="HC15" s="67"/>
      <c r="HD15" s="67"/>
      <c r="HE15" s="67"/>
      <c r="HF15" s="67"/>
      <c r="HG15" s="67"/>
      <c r="HH15" s="67"/>
      <c r="HI15" s="67"/>
      <c r="HJ15" s="67"/>
      <c r="HK15" s="67"/>
      <c r="HL15" s="67"/>
      <c r="HM15" s="67"/>
      <c r="HN15" s="67"/>
      <c r="HO15" s="67"/>
      <c r="HP15" s="67"/>
      <c r="HQ15" s="67"/>
      <c r="HR15" s="67"/>
      <c r="HS15" s="67"/>
      <c r="HT15" s="67"/>
      <c r="HU15" s="68">
        <f>SUM(GJ15:HT15)</f>
        <v>0</v>
      </c>
      <c r="HV15" s="28">
        <f>'[1]D-PRB'!$CA$12</f>
        <v>0</v>
      </c>
      <c r="HW15" s="14">
        <f>'[1]D-PRB'!$CA$13</f>
        <v>0</v>
      </c>
      <c r="HX15" s="14">
        <f>'[1]D-PRB'!$CA$14</f>
        <v>0</v>
      </c>
      <c r="HY15" s="14">
        <f>'[1]D-PRB'!$CA$15</f>
        <v>0</v>
      </c>
      <c r="HZ15" s="14">
        <f>'[1]D-PRB'!$CA$16</f>
        <v>0</v>
      </c>
      <c r="IA15" s="14">
        <f>'[1]D-PRB'!$CA$17</f>
        <v>0</v>
      </c>
      <c r="IB15" s="14">
        <f>'[1]D-PRB'!$CA$18</f>
        <v>0</v>
      </c>
      <c r="IC15" s="14">
        <f>'[1]D-PRB'!$CA$19</f>
        <v>0</v>
      </c>
      <c r="ID15" s="14">
        <f>'[1]D-PRB'!$CA$20</f>
        <v>0</v>
      </c>
      <c r="IE15" s="14">
        <f>'[1]D-PRB'!$CA$21</f>
        <v>0</v>
      </c>
      <c r="IF15" s="14">
        <f>'[1]D-PRB'!$CA$22</f>
        <v>0</v>
      </c>
      <c r="IG15" s="14">
        <f>'[1]D-PRB'!$CA$23</f>
        <v>0</v>
      </c>
      <c r="IH15" s="14">
        <f>'[1]D-PRB'!$CA$24</f>
        <v>0</v>
      </c>
      <c r="II15" s="14">
        <f>'[1]D-PRB'!$CA$25</f>
        <v>0</v>
      </c>
      <c r="IJ15" s="14">
        <f>'[1]D-PRB'!$CA$26</f>
        <v>0</v>
      </c>
      <c r="IK15" s="14">
        <f>'[1]D-PRB'!$CA$27</f>
        <v>0</v>
      </c>
      <c r="IL15" s="14">
        <f>'[1]D-PRB'!$CA$28</f>
        <v>0</v>
      </c>
      <c r="IM15" s="14">
        <f>'[1]D-PRB'!$CA$29</f>
        <v>0</v>
      </c>
      <c r="IN15" s="14">
        <f>'[1]D-PRB'!$CA$30</f>
        <v>0</v>
      </c>
      <c r="IO15" s="14">
        <f>'[1]D-PRB'!$CA$31</f>
        <v>0</v>
      </c>
      <c r="IP15" s="14">
        <f>'[1]D-PRB'!$CA$32</f>
        <v>11644.310546875</v>
      </c>
      <c r="IQ15" s="14">
        <f>'[1]D-PRB'!$CA$33</f>
        <v>66850.953125</v>
      </c>
      <c r="IR15" s="14">
        <f>'[1]D-PRB'!$CA$34</f>
        <v>64342.90234375</v>
      </c>
      <c r="IS15" s="14">
        <f>'[1]D-PRB'!$CA$35</f>
        <v>7729.06103515625</v>
      </c>
      <c r="IT15" s="14">
        <f>'[1]D-PRB'!$CA$36</f>
        <v>0</v>
      </c>
      <c r="IU15" s="14">
        <f>'[1]D-PRB'!$CA$37</f>
        <v>0</v>
      </c>
      <c r="IV15" s="14">
        <f>'[1]D-PRB'!$CA$38</f>
        <v>0</v>
      </c>
      <c r="IW15" s="14">
        <f>'[1]D-PRB'!$CA$39</f>
        <v>0</v>
      </c>
      <c r="IX15" s="14">
        <f>'[1]D-PRB'!$CA$40</f>
        <v>0</v>
      </c>
      <c r="IY15" s="14">
        <f>'[1]D-PRB'!$CA$41</f>
        <v>0</v>
      </c>
      <c r="IZ15" s="14">
        <f>'[1]D-PRB'!$CA$42</f>
        <v>0</v>
      </c>
      <c r="JA15" s="14">
        <f>'[1]D-PRB'!$CA$43</f>
        <v>0</v>
      </c>
      <c r="JB15" s="14">
        <f>'[1]D-PRB'!$CA$44</f>
        <v>0</v>
      </c>
      <c r="JC15" s="14">
        <f>'[1]D-PRB'!$CA$45</f>
        <v>0</v>
      </c>
      <c r="JD15" s="14">
        <f>'[1]D-PRB'!$CA$46</f>
        <v>0</v>
      </c>
      <c r="JE15" s="14">
        <f>'[1]D-PRB'!$CA$47</f>
        <v>0</v>
      </c>
      <c r="JF15" s="14">
        <f>'[1]D-PRB'!$CA$48</f>
        <v>0</v>
      </c>
      <c r="JG15" s="16">
        <f>SUM(HV15:JF15)</f>
        <v>150567.22705078125</v>
      </c>
      <c r="JH15" s="66"/>
      <c r="JI15" s="67"/>
      <c r="JJ15" s="67"/>
      <c r="JK15" s="67"/>
      <c r="JL15" s="67"/>
      <c r="JM15" s="67"/>
      <c r="JN15" s="67"/>
      <c r="JO15" s="67"/>
      <c r="JP15" s="67"/>
      <c r="JQ15" s="67"/>
      <c r="JR15" s="67"/>
      <c r="JS15" s="67"/>
      <c r="JT15" s="67"/>
      <c r="JU15" s="67"/>
      <c r="JV15" s="67"/>
      <c r="JW15" s="67"/>
      <c r="JX15" s="67"/>
      <c r="JY15" s="67"/>
      <c r="JZ15" s="67"/>
      <c r="KA15" s="67"/>
      <c r="KB15" s="67"/>
      <c r="KC15" s="67"/>
      <c r="KD15" s="67"/>
      <c r="KE15" s="67"/>
      <c r="KF15" s="67"/>
      <c r="KG15" s="67"/>
      <c r="KH15" s="67"/>
      <c r="KI15" s="67"/>
      <c r="KJ15" s="67"/>
      <c r="KK15" s="67"/>
      <c r="KL15" s="67"/>
      <c r="KM15" s="67"/>
      <c r="KN15" s="67"/>
      <c r="KO15" s="67"/>
      <c r="KP15" s="67"/>
      <c r="KQ15" s="67"/>
      <c r="KR15" s="67"/>
      <c r="KS15" s="68">
        <f>SUM(JH15:KR15)</f>
        <v>0</v>
      </c>
      <c r="KT15" s="66"/>
      <c r="KU15" s="67"/>
      <c r="KV15" s="67"/>
      <c r="KW15" s="67"/>
      <c r="KX15" s="67"/>
      <c r="KY15" s="67"/>
      <c r="KZ15" s="67"/>
      <c r="LA15" s="67"/>
      <c r="LB15" s="67"/>
      <c r="LC15" s="67"/>
      <c r="LD15" s="67"/>
      <c r="LE15" s="67"/>
      <c r="LF15" s="67"/>
      <c r="LG15" s="67"/>
      <c r="LH15" s="67"/>
      <c r="LI15" s="67"/>
      <c r="LJ15" s="67"/>
      <c r="LK15" s="67"/>
      <c r="LL15" s="67"/>
      <c r="LM15" s="67"/>
      <c r="LN15" s="67"/>
      <c r="LO15" s="67"/>
      <c r="LP15" s="67"/>
      <c r="LQ15" s="67"/>
      <c r="LR15" s="67"/>
      <c r="LS15" s="67"/>
      <c r="LT15" s="67"/>
      <c r="LU15" s="67"/>
      <c r="LV15" s="67"/>
      <c r="LW15" s="67"/>
      <c r="LX15" s="67"/>
      <c r="LY15" s="67"/>
      <c r="LZ15" s="67"/>
      <c r="MA15" s="67"/>
      <c r="MB15" s="67"/>
      <c r="MC15" s="67"/>
      <c r="MD15" s="67"/>
      <c r="ME15" s="68">
        <f>SUM(KT15:MD15)</f>
        <v>0</v>
      </c>
      <c r="MF15" s="66"/>
      <c r="MG15" s="67"/>
      <c r="MH15" s="67"/>
      <c r="MI15" s="67"/>
      <c r="MJ15" s="67"/>
      <c r="MK15" s="67"/>
      <c r="ML15" s="67"/>
      <c r="MM15" s="67"/>
      <c r="MN15" s="67"/>
      <c r="MO15" s="67"/>
      <c r="MP15" s="67"/>
      <c r="MQ15" s="67"/>
      <c r="MR15" s="67"/>
      <c r="MS15" s="67"/>
      <c r="MT15" s="67"/>
      <c r="MU15" s="67"/>
      <c r="MV15" s="67"/>
      <c r="MW15" s="67"/>
      <c r="MX15" s="67"/>
      <c r="MY15" s="67"/>
      <c r="MZ15" s="67"/>
      <c r="NA15" s="67"/>
      <c r="NB15" s="67"/>
      <c r="NC15" s="67"/>
      <c r="ND15" s="67"/>
      <c r="NE15" s="67"/>
      <c r="NF15" s="67"/>
      <c r="NG15" s="67"/>
      <c r="NH15" s="67"/>
      <c r="NI15" s="67"/>
      <c r="NJ15" s="67"/>
      <c r="NK15" s="67"/>
      <c r="NL15" s="67"/>
      <c r="NM15" s="67"/>
      <c r="NN15" s="67"/>
      <c r="NO15" s="67"/>
      <c r="NP15" s="67"/>
      <c r="NQ15" s="68">
        <f>SUM(MF15:NP15)</f>
        <v>0</v>
      </c>
      <c r="NR15" s="14">
        <f>'[1]D-PS'!$CA$12</f>
        <v>0</v>
      </c>
      <c r="NS15" s="14">
        <f>'[1]D-PS'!$CA$13</f>
        <v>0</v>
      </c>
      <c r="NT15" s="14">
        <f>'[1]D-PS'!$CA$14</f>
        <v>0</v>
      </c>
      <c r="NU15" s="14">
        <f>'[1]D-PS'!$CA$15</f>
        <v>0</v>
      </c>
      <c r="NV15" s="14">
        <f>'[1]D-PS'!$CA$16</f>
        <v>0</v>
      </c>
      <c r="NW15" s="14">
        <f>'[1]D-PS'!$CA$17</f>
        <v>0</v>
      </c>
      <c r="NX15" s="14">
        <f>'[1]D-PS'!$CA$18</f>
        <v>0</v>
      </c>
      <c r="NY15" s="14">
        <f>'[1]D-PS'!$CA$19</f>
        <v>0</v>
      </c>
      <c r="NZ15" s="14">
        <f>'[1]D-PS'!$CA$20</f>
        <v>0</v>
      </c>
      <c r="OA15" s="14">
        <f>'[1]D-PS'!$CA$21</f>
        <v>0</v>
      </c>
      <c r="OB15" s="14">
        <f>'[1]D-PS'!$CA$22</f>
        <v>0</v>
      </c>
      <c r="OC15" s="14">
        <f>'[1]D-PS'!$CA$23</f>
        <v>0</v>
      </c>
      <c r="OD15" s="14">
        <f>'[1]D-PS'!$CA$24</f>
        <v>0</v>
      </c>
      <c r="OE15" s="14">
        <f>'[1]D-PS'!$CA$25</f>
        <v>0</v>
      </c>
      <c r="OF15" s="14">
        <f>'[1]D-PS'!$CA$26</f>
        <v>0</v>
      </c>
      <c r="OG15" s="14">
        <f>'[1]D-PS'!$CA$27</f>
        <v>0</v>
      </c>
      <c r="OH15" s="14">
        <f>'[1]D-PS'!$CA$28</f>
        <v>0</v>
      </c>
      <c r="OI15" s="14">
        <f>'[1]D-PS'!$CA$29</f>
        <v>0</v>
      </c>
      <c r="OJ15" s="14">
        <f>'[1]D-PS'!$CA$30</f>
        <v>0</v>
      </c>
      <c r="OK15" s="14">
        <f>'[1]D-PS'!$CA$31</f>
        <v>0</v>
      </c>
      <c r="OL15" s="14">
        <f>'[1]D-PS'!$CA$32</f>
        <v>0</v>
      </c>
      <c r="OM15" s="14">
        <f>'[1]D-PS'!$CA$33</f>
        <v>0</v>
      </c>
      <c r="ON15" s="14">
        <f>'[1]D-PS'!$CA$34</f>
        <v>0</v>
      </c>
      <c r="OO15" s="14">
        <f>'[1]D-PS'!$CA$35</f>
        <v>57101.02734375</v>
      </c>
      <c r="OP15" s="14">
        <f>'[1]D-PS'!$CA$36</f>
        <v>51555.1484375</v>
      </c>
      <c r="OQ15" s="14">
        <f>'[1]D-PS'!$CA$37</f>
        <v>11197.373046875</v>
      </c>
      <c r="OR15" s="14">
        <f>'[1]D-PS'!$CA$38</f>
        <v>0</v>
      </c>
      <c r="OS15" s="14">
        <f>'[1]D-PS'!$CA$39</f>
        <v>0</v>
      </c>
      <c r="OT15" s="14">
        <f>'[1]D-PS'!$CA$40</f>
        <v>0</v>
      </c>
      <c r="OU15" s="14">
        <f>'[1]D-PS'!$CA$41</f>
        <v>0</v>
      </c>
      <c r="OV15" s="14">
        <f>'[1]D-PS'!$CA$42</f>
        <v>0</v>
      </c>
      <c r="OW15" s="14">
        <f>'[1]D-PS'!$CA$43</f>
        <v>0</v>
      </c>
      <c r="OX15" s="14">
        <f>'[1]D-PS'!$CA$44</f>
        <v>0</v>
      </c>
      <c r="OY15" s="14">
        <f>'[1]D-PS'!$CA$45</f>
        <v>0</v>
      </c>
      <c r="OZ15" s="14">
        <f>'[1]D-PS'!$CA$46</f>
        <v>0</v>
      </c>
      <c r="PA15" s="14">
        <f>'[1]D-PS'!$CA$47</f>
        <v>0</v>
      </c>
      <c r="PB15" s="14">
        <f>'[1]D-PS'!$CA$48</f>
        <v>0</v>
      </c>
      <c r="PC15" s="16">
        <f>SUM(NR15:PB15)</f>
        <v>119853.548828125</v>
      </c>
    </row>
    <row r="16" spans="1:419" outlineLevel="1" x14ac:dyDescent="0.4">
      <c r="A16" s="46" t="s">
        <v>40</v>
      </c>
      <c r="B16" s="25">
        <f>'[2]CF PDP'!$BX$36</f>
        <v>26483</v>
      </c>
      <c r="C16" s="25">
        <f>'[2]CF PDP'!$BX$37</f>
        <v>24054</v>
      </c>
      <c r="D16" s="25">
        <f>'[2]CF PDP'!$BX$38</f>
        <v>21959</v>
      </c>
      <c r="E16" s="25">
        <f>'[2]CF PDP'!$BX$39</f>
        <v>18903</v>
      </c>
      <c r="F16" s="25">
        <f>'[2]CF PDP'!$BX$40</f>
        <v>14967</v>
      </c>
      <c r="G16" s="25">
        <f>'[2]CF PDP'!$BX$41</f>
        <v>12663</v>
      </c>
      <c r="H16" s="25">
        <f>'[2]CF PDP'!$BX$42</f>
        <v>10952</v>
      </c>
      <c r="I16" s="25">
        <f>'[2]CF PDP'!$BX$43</f>
        <v>9383</v>
      </c>
      <c r="J16" s="25">
        <f>'[2]CF PDP'!$BX$44</f>
        <v>7403</v>
      </c>
      <c r="K16" s="25">
        <f>'[2]CF PDP'!$BX$45</f>
        <v>4863</v>
      </c>
      <c r="L16" s="25">
        <f>'[2]CF PDP'!$BX$46</f>
        <v>1251</v>
      </c>
      <c r="M16" s="25">
        <f>'[2]CF PDP'!$BX$47</f>
        <v>0</v>
      </c>
      <c r="N16" s="25">
        <f>'[2]CF PDP'!$BX$48</f>
        <v>0</v>
      </c>
      <c r="O16" s="25">
        <f>'[2]CF PDP'!$BX$49</f>
        <v>0</v>
      </c>
      <c r="P16" s="25">
        <f>'[2]CF PDP'!$BX$50</f>
        <v>0</v>
      </c>
      <c r="Q16" s="25">
        <f>'[2]CF PDP'!$BX$51</f>
        <v>0</v>
      </c>
      <c r="R16" s="25">
        <f>'[2]CF PDP'!$BX$52</f>
        <v>0</v>
      </c>
      <c r="S16" s="25">
        <f>'[2]CF PDP'!$BX$53</f>
        <v>0</v>
      </c>
      <c r="T16" s="25">
        <f>'[2]CF PDP'!$BX$54</f>
        <v>0</v>
      </c>
      <c r="U16" s="25">
        <f>'[2]CF PDP'!$BX$55</f>
        <v>0</v>
      </c>
      <c r="V16" s="25">
        <f>'[2]CF PDP'!$BX$56</f>
        <v>0</v>
      </c>
      <c r="W16" s="25">
        <f>'[2]CF PDP'!$BX$57</f>
        <v>0</v>
      </c>
      <c r="X16" s="25">
        <f>'[2]CF PDP'!$BX$58</f>
        <v>0</v>
      </c>
      <c r="Y16" s="25">
        <f>'[2]CF PDP'!$BX$59</f>
        <v>0</v>
      </c>
      <c r="Z16" s="25">
        <f>'[2]CF PDP'!$BX$60</f>
        <v>0</v>
      </c>
      <c r="AA16" s="25">
        <f>'[2]CF PDP'!$BX$61</f>
        <v>0</v>
      </c>
      <c r="AB16" s="25">
        <f>'[2]CF PDP'!$BX$62</f>
        <v>0</v>
      </c>
      <c r="AC16" s="25">
        <f>'[2]CF PDP'!$BX$63</f>
        <v>0</v>
      </c>
      <c r="AD16" s="25">
        <f>'[2]CF PDP'!$BX$64</f>
        <v>0</v>
      </c>
      <c r="AE16" s="25">
        <f>'[2]CF PDP'!$BX$65</f>
        <v>0</v>
      </c>
      <c r="AF16" s="25">
        <f>'[2]CF PDP'!$BX$66</f>
        <v>0</v>
      </c>
      <c r="AG16" s="25">
        <f>'[2]CF PDP'!$BX$67</f>
        <v>0</v>
      </c>
      <c r="AH16" s="25">
        <f>'[2]CF PDP'!$BX$68</f>
        <v>0</v>
      </c>
      <c r="AI16" s="25">
        <f>'[2]CF PDP'!$BX$69</f>
        <v>0</v>
      </c>
      <c r="AJ16" s="25">
        <f>'[2]CF PDP'!$BX$70</f>
        <v>0</v>
      </c>
      <c r="AK16" s="25">
        <f>'[2]CF PDP'!$BX$71</f>
        <v>0</v>
      </c>
      <c r="AL16" s="25">
        <f>'[2]CF PDP'!$BX$72</f>
        <v>0</v>
      </c>
      <c r="AM16" s="26">
        <f>SUM(B16:AL16)</f>
        <v>152881</v>
      </c>
      <c r="AN16" s="27">
        <f>'[2]CF PNP'!$BX$36</f>
        <v>0</v>
      </c>
      <c r="AO16" s="25">
        <f>'[2]CF PNP'!$BX$37</f>
        <v>0</v>
      </c>
      <c r="AP16" s="25">
        <f>'[2]CF PNP'!$BX$38</f>
        <v>0</v>
      </c>
      <c r="AQ16" s="25">
        <f>'[2]CF PNP'!$BX$39</f>
        <v>0</v>
      </c>
      <c r="AR16" s="25">
        <f>'[2]CF PNP'!$BX$40</f>
        <v>0</v>
      </c>
      <c r="AS16" s="25">
        <f>'[2]CF PNP'!$BX$41</f>
        <v>0</v>
      </c>
      <c r="AT16" s="25">
        <f>'[2]CF PNP'!$BX$42</f>
        <v>0</v>
      </c>
      <c r="AU16" s="25">
        <f>'[2]CF PNP'!$BX$43</f>
        <v>0</v>
      </c>
      <c r="AV16" s="25">
        <f>'[2]CF PNP'!$BX$44</f>
        <v>0</v>
      </c>
      <c r="AW16" s="25">
        <f>'[2]CF PNP'!$BX$45</f>
        <v>0</v>
      </c>
      <c r="AX16" s="25">
        <f>'[2]CF PNP'!$BX$46</f>
        <v>0</v>
      </c>
      <c r="AY16" s="25">
        <f>'[2]CF PNP'!$BX$47</f>
        <v>0</v>
      </c>
      <c r="AZ16" s="25">
        <f>'[2]CF PNP'!$BX$48</f>
        <v>0</v>
      </c>
      <c r="BA16" s="25">
        <f>'[2]CF PNP'!$BX$49</f>
        <v>0</v>
      </c>
      <c r="BB16" s="25">
        <f>'[2]CF PNP'!$BX$50</f>
        <v>0</v>
      </c>
      <c r="BC16" s="25">
        <f>'[2]CF PNP'!$BX$51</f>
        <v>0</v>
      </c>
      <c r="BD16" s="25">
        <f>'[2]CF PNP'!$BX$52</f>
        <v>0</v>
      </c>
      <c r="BE16" s="25">
        <f>'[2]CF PNP'!$BX$53</f>
        <v>0</v>
      </c>
      <c r="BF16" s="25">
        <f>'[2]CF PNP'!$BX$54</f>
        <v>0</v>
      </c>
      <c r="BG16" s="25">
        <f>'[2]CF PNP'!$BX$55</f>
        <v>0</v>
      </c>
      <c r="BH16" s="25">
        <f>'[2]CF PNP'!$BX$56</f>
        <v>0</v>
      </c>
      <c r="BI16" s="25">
        <f>'[2]CF PNP'!$BX$57</f>
        <v>0</v>
      </c>
      <c r="BJ16" s="25">
        <f>'[2]CF PNP'!$BX$58</f>
        <v>0</v>
      </c>
      <c r="BK16" s="25">
        <f>'[2]CF PNP'!$BX$59</f>
        <v>0</v>
      </c>
      <c r="BL16" s="25">
        <f>'[2]CF PNP'!$BX$60</f>
        <v>0</v>
      </c>
      <c r="BM16" s="25">
        <f>'[2]CF PNP'!$BX$61</f>
        <v>0</v>
      </c>
      <c r="BN16" s="25">
        <f>'[2]CF PNP'!$BX$62</f>
        <v>0</v>
      </c>
      <c r="BO16" s="25">
        <f>'[2]CF PNP'!$BX$63</f>
        <v>0</v>
      </c>
      <c r="BP16" s="25">
        <f>'[2]CF PNP'!$BX$64</f>
        <v>0</v>
      </c>
      <c r="BQ16" s="25">
        <f>'[2]CF PNP'!$BX$65</f>
        <v>0</v>
      </c>
      <c r="BR16" s="25">
        <f>'[2]CF PNP'!$BX$66</f>
        <v>0</v>
      </c>
      <c r="BS16" s="25">
        <f>'[2]CF PNP'!$BX$67</f>
        <v>0</v>
      </c>
      <c r="BT16" s="25">
        <f>'[2]CF PNP'!$BX$68</f>
        <v>0</v>
      </c>
      <c r="BU16" s="25">
        <f>'[2]CF PNP'!$BX$69</f>
        <v>0</v>
      </c>
      <c r="BV16" s="25">
        <f>'[2]CF PNP'!$BX$70</f>
        <v>0</v>
      </c>
      <c r="BW16" s="25">
        <f>'[2]CF PNP'!$BX$71</f>
        <v>0</v>
      </c>
      <c r="BX16" s="25">
        <f>'[2]CF PNP'!$BX$72</f>
        <v>0</v>
      </c>
      <c r="BY16" s="26">
        <f>SUM(AN16:BX16)</f>
        <v>0</v>
      </c>
      <c r="BZ16" s="27">
        <f>'[2]CF PND'!$BX$36</f>
        <v>0</v>
      </c>
      <c r="CA16" s="25">
        <f>'[2]CF PND'!$BX$37</f>
        <v>0</v>
      </c>
      <c r="CB16" s="25">
        <f>'[2]CF PND'!$BX$38</f>
        <v>0</v>
      </c>
      <c r="CC16" s="25">
        <f>'[2]CF PND'!$BX$39</f>
        <v>0</v>
      </c>
      <c r="CD16" s="25">
        <f>'[2]CF PND'!$BX$40</f>
        <v>0</v>
      </c>
      <c r="CE16" s="25">
        <f>'[2]CF PND'!$BX$41</f>
        <v>0</v>
      </c>
      <c r="CF16" s="25">
        <f>'[2]CF PND'!$BX$42</f>
        <v>0</v>
      </c>
      <c r="CG16" s="25">
        <f>'[2]CF PND'!$BX$43</f>
        <v>0</v>
      </c>
      <c r="CH16" s="25">
        <f>'[2]CF PND'!$BX$44</f>
        <v>0</v>
      </c>
      <c r="CI16" s="25">
        <f>'[2]CF PND'!$BX$45</f>
        <v>0</v>
      </c>
      <c r="CJ16" s="25">
        <f>'[2]CF PND'!$BX$46</f>
        <v>0</v>
      </c>
      <c r="CK16" s="25">
        <f>'[2]CF PND'!$BX$47</f>
        <v>0</v>
      </c>
      <c r="CL16" s="25">
        <f>'[2]CF PND'!$BX$48</f>
        <v>0</v>
      </c>
      <c r="CM16" s="25">
        <f>'[2]CF PND'!$BX$49</f>
        <v>0</v>
      </c>
      <c r="CN16" s="25">
        <f>'[2]CF PND'!$BX$50</f>
        <v>0</v>
      </c>
      <c r="CO16" s="25">
        <f>'[2]CF PND'!$BX$51</f>
        <v>0</v>
      </c>
      <c r="CP16" s="25">
        <f>'[2]CF PND'!$BX$52</f>
        <v>0</v>
      </c>
      <c r="CQ16" s="25">
        <f>'[2]CF PND'!$BX$53</f>
        <v>0</v>
      </c>
      <c r="CR16" s="25">
        <f>'[2]CF PND'!$BX$54</f>
        <v>0</v>
      </c>
      <c r="CS16" s="25">
        <f>'[2]CF PND'!$BX$55</f>
        <v>0</v>
      </c>
      <c r="CT16" s="25">
        <f>'[2]CF PND'!$BX$56</f>
        <v>0</v>
      </c>
      <c r="CU16" s="25">
        <f>'[2]CF PND'!$BX$57</f>
        <v>0</v>
      </c>
      <c r="CV16" s="25">
        <f>'[2]CF PND'!$BX$58</f>
        <v>0</v>
      </c>
      <c r="CW16" s="25">
        <f>'[2]CF PND'!$BX$59</f>
        <v>0</v>
      </c>
      <c r="CX16" s="25">
        <f>'[2]CF PND'!$BX$60</f>
        <v>0</v>
      </c>
      <c r="CY16" s="25">
        <f>'[2]CF PND'!$BX$61</f>
        <v>0</v>
      </c>
      <c r="CZ16" s="25">
        <f>'[2]CF PND'!$BX$62</f>
        <v>0</v>
      </c>
      <c r="DA16" s="25">
        <f>'[2]CF PND'!$BX$63</f>
        <v>0</v>
      </c>
      <c r="DB16" s="25">
        <f>'[2]CF PND'!$BX$64</f>
        <v>0</v>
      </c>
      <c r="DC16" s="25">
        <f>'[2]CF PND'!$BX$65</f>
        <v>0</v>
      </c>
      <c r="DD16" s="25">
        <f>'[2]CF PND'!$BX$66</f>
        <v>0</v>
      </c>
      <c r="DE16" s="25">
        <f>'[2]CF PND'!$BX$67</f>
        <v>0</v>
      </c>
      <c r="DF16" s="25">
        <f>'[2]CF PND'!$BX$68</f>
        <v>0</v>
      </c>
      <c r="DG16" s="25">
        <f>'[2]CF PND'!$BX$69</f>
        <v>0</v>
      </c>
      <c r="DH16" s="25">
        <f>'[2]CF PND'!$BX$70</f>
        <v>0</v>
      </c>
      <c r="DI16" s="25">
        <f>'[2]CF PND'!$BX$71</f>
        <v>0</v>
      </c>
      <c r="DJ16" s="25">
        <f>'[2]CF PND'!$BX$72</f>
        <v>0</v>
      </c>
      <c r="DK16" s="26">
        <f>SUM(BZ16:DJ16)</f>
        <v>0</v>
      </c>
      <c r="DL16" s="69"/>
      <c r="DM16" s="70"/>
      <c r="DN16" s="70"/>
      <c r="DO16" s="70"/>
      <c r="DP16" s="70"/>
      <c r="DQ16" s="70"/>
      <c r="DR16" s="70"/>
      <c r="DS16" s="70"/>
      <c r="DT16" s="70"/>
      <c r="DU16" s="70"/>
      <c r="DV16" s="70"/>
      <c r="DW16" s="70"/>
      <c r="DX16" s="70"/>
      <c r="DY16" s="70"/>
      <c r="DZ16" s="70"/>
      <c r="EA16" s="70"/>
      <c r="EB16" s="70"/>
      <c r="EC16" s="70"/>
      <c r="ED16" s="70"/>
      <c r="EE16" s="70"/>
      <c r="EF16" s="70"/>
      <c r="EG16" s="70"/>
      <c r="EH16" s="70"/>
      <c r="EI16" s="70"/>
      <c r="EJ16" s="70"/>
      <c r="EK16" s="70"/>
      <c r="EL16" s="70"/>
      <c r="EM16" s="70"/>
      <c r="EN16" s="70"/>
      <c r="EO16" s="70"/>
      <c r="EP16" s="70"/>
      <c r="EQ16" s="70"/>
      <c r="ER16" s="70"/>
      <c r="ES16" s="70"/>
      <c r="ET16" s="70"/>
      <c r="EU16" s="70"/>
      <c r="EV16" s="70"/>
      <c r="EW16" s="71">
        <f>SUM(DL16:EV16)</f>
        <v>0</v>
      </c>
      <c r="EX16" s="69"/>
      <c r="EY16" s="70"/>
      <c r="EZ16" s="70"/>
      <c r="FA16" s="70"/>
      <c r="FB16" s="70"/>
      <c r="FC16" s="70"/>
      <c r="FD16" s="70"/>
      <c r="FE16" s="70"/>
      <c r="FF16" s="70"/>
      <c r="FG16" s="70"/>
      <c r="FH16" s="70"/>
      <c r="FI16" s="70"/>
      <c r="FJ16" s="70"/>
      <c r="FK16" s="70"/>
      <c r="FL16" s="70"/>
      <c r="FM16" s="70"/>
      <c r="FN16" s="70"/>
      <c r="FO16" s="70"/>
      <c r="FP16" s="70"/>
      <c r="FQ16" s="70"/>
      <c r="FR16" s="70"/>
      <c r="FS16" s="70"/>
      <c r="FT16" s="70"/>
      <c r="FU16" s="70"/>
      <c r="FV16" s="70"/>
      <c r="FW16" s="70"/>
      <c r="FX16" s="70"/>
      <c r="FY16" s="70"/>
      <c r="FZ16" s="70"/>
      <c r="GA16" s="70"/>
      <c r="GB16" s="70"/>
      <c r="GC16" s="70"/>
      <c r="GD16" s="70"/>
      <c r="GE16" s="70"/>
      <c r="GF16" s="70"/>
      <c r="GG16" s="70"/>
      <c r="GH16" s="70"/>
      <c r="GI16" s="71">
        <f>SUM(EX16:GH16)</f>
        <v>0</v>
      </c>
      <c r="GJ16" s="69"/>
      <c r="GK16" s="70"/>
      <c r="GL16" s="70"/>
      <c r="GM16" s="70"/>
      <c r="GN16" s="70"/>
      <c r="GO16" s="70"/>
      <c r="GP16" s="70"/>
      <c r="GQ16" s="70"/>
      <c r="GR16" s="70"/>
      <c r="GS16" s="70"/>
      <c r="GT16" s="70"/>
      <c r="GU16" s="70"/>
      <c r="GV16" s="70"/>
      <c r="GW16" s="70"/>
      <c r="GX16" s="70"/>
      <c r="GY16" s="70"/>
      <c r="GZ16" s="70"/>
      <c r="HA16" s="70"/>
      <c r="HB16" s="70"/>
      <c r="HC16" s="70"/>
      <c r="HD16" s="70"/>
      <c r="HE16" s="70"/>
      <c r="HF16" s="70"/>
      <c r="HG16" s="70"/>
      <c r="HH16" s="70"/>
      <c r="HI16" s="70"/>
      <c r="HJ16" s="70"/>
      <c r="HK16" s="70"/>
      <c r="HL16" s="70"/>
      <c r="HM16" s="70"/>
      <c r="HN16" s="70"/>
      <c r="HO16" s="70"/>
      <c r="HP16" s="70"/>
      <c r="HQ16" s="70"/>
      <c r="HR16" s="70"/>
      <c r="HS16" s="70"/>
      <c r="HT16" s="70"/>
      <c r="HU16" s="71">
        <f>SUM(GJ16:HT16)</f>
        <v>0</v>
      </c>
      <c r="HV16" s="27">
        <f>'[2]CF PRB'!$BX$36</f>
        <v>0</v>
      </c>
      <c r="HW16" s="25">
        <f>'[2]CF PRB'!$BX$37</f>
        <v>0</v>
      </c>
      <c r="HX16" s="25">
        <f>'[2]CF PRB'!$BX$38</f>
        <v>0</v>
      </c>
      <c r="HY16" s="25">
        <f>'[2]CF PRB'!$BX$39</f>
        <v>0</v>
      </c>
      <c r="HZ16" s="25">
        <f>'[2]CF PRB'!$BX$40</f>
        <v>0</v>
      </c>
      <c r="IA16" s="25">
        <f>'[2]CF PRB'!$BX$41</f>
        <v>0</v>
      </c>
      <c r="IB16" s="25">
        <f>'[2]CF PRB'!$BX$42</f>
        <v>0</v>
      </c>
      <c r="IC16" s="25">
        <f>'[2]CF PRB'!$BX$43</f>
        <v>0</v>
      </c>
      <c r="ID16" s="25">
        <f>'[2]CF PRB'!$BX$44</f>
        <v>0</v>
      </c>
      <c r="IE16" s="25">
        <f>'[2]CF PRB'!$BX$45</f>
        <v>0</v>
      </c>
      <c r="IF16" s="25">
        <f>'[2]CF PRB'!$BX$46</f>
        <v>0</v>
      </c>
      <c r="IG16" s="25">
        <f>'[2]CF PRB'!$BX$47</f>
        <v>0</v>
      </c>
      <c r="IH16" s="25">
        <f>'[2]CF PRB'!$BX$48</f>
        <v>0</v>
      </c>
      <c r="II16" s="25">
        <f>'[2]CF PRB'!$BX$49</f>
        <v>0</v>
      </c>
      <c r="IJ16" s="25">
        <f>'[2]CF PRB'!$BX$50</f>
        <v>0</v>
      </c>
      <c r="IK16" s="25">
        <f>'[2]CF PRB'!$BX$51</f>
        <v>0</v>
      </c>
      <c r="IL16" s="25">
        <f>'[2]CF PRB'!$BX$52</f>
        <v>0</v>
      </c>
      <c r="IM16" s="25">
        <f>'[2]CF PRB'!$BX$53</f>
        <v>0</v>
      </c>
      <c r="IN16" s="25">
        <f>'[2]CF PRB'!$BX$54</f>
        <v>0</v>
      </c>
      <c r="IO16" s="25">
        <f>'[2]CF PRB'!$BX$55</f>
        <v>0</v>
      </c>
      <c r="IP16" s="25">
        <f>'[2]CF PRB'!$BX$56</f>
        <v>0</v>
      </c>
      <c r="IQ16" s="25">
        <f>'[2]CF PRB'!$BX$57</f>
        <v>67249</v>
      </c>
      <c r="IR16" s="25">
        <f>'[2]CF PRB'!$BX$58</f>
        <v>64299</v>
      </c>
      <c r="IS16" s="25">
        <f>'[2]CF PRB'!$BX$59</f>
        <v>0</v>
      </c>
      <c r="IT16" s="25">
        <f>'[2]CF PRB'!$BX$60</f>
        <v>0</v>
      </c>
      <c r="IU16" s="25">
        <f>'[2]CF PRB'!$BX$61</f>
        <v>0</v>
      </c>
      <c r="IV16" s="25">
        <f>'[2]CF PRB'!$BX$62</f>
        <v>0</v>
      </c>
      <c r="IW16" s="25">
        <f>'[2]CF PRB'!$BX$63</f>
        <v>0</v>
      </c>
      <c r="IX16" s="25">
        <f>'[2]CF PRB'!$BX$64</f>
        <v>0</v>
      </c>
      <c r="IY16" s="25">
        <f>'[2]CF PRB'!$BX$65</f>
        <v>0</v>
      </c>
      <c r="IZ16" s="25">
        <f>'[2]CF PRB'!$BX$66</f>
        <v>0</v>
      </c>
      <c r="JA16" s="25">
        <f>'[2]CF PRB'!$BX$67</f>
        <v>0</v>
      </c>
      <c r="JB16" s="25">
        <f>'[2]CF PRB'!$BX$68</f>
        <v>0</v>
      </c>
      <c r="JC16" s="25">
        <f>'[2]CF PRB'!$BX$69</f>
        <v>0</v>
      </c>
      <c r="JD16" s="25">
        <f>'[2]CF PRB'!$BX$70</f>
        <v>0</v>
      </c>
      <c r="JE16" s="25">
        <f>'[2]CF PRB'!$BX$71</f>
        <v>0</v>
      </c>
      <c r="JF16" s="25">
        <f>'[2]CF PRB'!$BX$72</f>
        <v>0</v>
      </c>
      <c r="JG16" s="26">
        <f>SUM(HV16:JF16)</f>
        <v>131548</v>
      </c>
      <c r="JH16" s="69"/>
      <c r="JI16" s="70"/>
      <c r="JJ16" s="70"/>
      <c r="JK16" s="70"/>
      <c r="JL16" s="70"/>
      <c r="JM16" s="70"/>
      <c r="JN16" s="70"/>
      <c r="JO16" s="70"/>
      <c r="JP16" s="70"/>
      <c r="JQ16" s="70"/>
      <c r="JR16" s="70"/>
      <c r="JS16" s="70"/>
      <c r="JT16" s="70"/>
      <c r="JU16" s="70"/>
      <c r="JV16" s="70"/>
      <c r="JW16" s="70"/>
      <c r="JX16" s="70"/>
      <c r="JY16" s="70"/>
      <c r="JZ16" s="70"/>
      <c r="KA16" s="70"/>
      <c r="KB16" s="70"/>
      <c r="KC16" s="70"/>
      <c r="KD16" s="70"/>
      <c r="KE16" s="70"/>
      <c r="KF16" s="70"/>
      <c r="KG16" s="70"/>
      <c r="KH16" s="70"/>
      <c r="KI16" s="70"/>
      <c r="KJ16" s="70"/>
      <c r="KK16" s="70"/>
      <c r="KL16" s="70"/>
      <c r="KM16" s="70"/>
      <c r="KN16" s="70"/>
      <c r="KO16" s="70"/>
      <c r="KP16" s="70"/>
      <c r="KQ16" s="70"/>
      <c r="KR16" s="70"/>
      <c r="KS16" s="71">
        <f>SUM(JH16:KR16)</f>
        <v>0</v>
      </c>
      <c r="KT16" s="69"/>
      <c r="KU16" s="70"/>
      <c r="KV16" s="70"/>
      <c r="KW16" s="70"/>
      <c r="KX16" s="70"/>
      <c r="KY16" s="70"/>
      <c r="KZ16" s="70"/>
      <c r="LA16" s="70"/>
      <c r="LB16" s="70"/>
      <c r="LC16" s="70"/>
      <c r="LD16" s="70"/>
      <c r="LE16" s="70"/>
      <c r="LF16" s="70"/>
      <c r="LG16" s="70"/>
      <c r="LH16" s="70"/>
      <c r="LI16" s="70"/>
      <c r="LJ16" s="70"/>
      <c r="LK16" s="70"/>
      <c r="LL16" s="70"/>
      <c r="LM16" s="70"/>
      <c r="LN16" s="70"/>
      <c r="LO16" s="70"/>
      <c r="LP16" s="70"/>
      <c r="LQ16" s="70"/>
      <c r="LR16" s="70"/>
      <c r="LS16" s="70"/>
      <c r="LT16" s="70"/>
      <c r="LU16" s="70"/>
      <c r="LV16" s="70"/>
      <c r="LW16" s="70"/>
      <c r="LX16" s="70"/>
      <c r="LY16" s="70"/>
      <c r="LZ16" s="70"/>
      <c r="MA16" s="70"/>
      <c r="MB16" s="70"/>
      <c r="MC16" s="70"/>
      <c r="MD16" s="70"/>
      <c r="ME16" s="71">
        <f>SUM(KT16:MD16)</f>
        <v>0</v>
      </c>
      <c r="MF16" s="69"/>
      <c r="MG16" s="70"/>
      <c r="MH16" s="70"/>
      <c r="MI16" s="70"/>
      <c r="MJ16" s="70"/>
      <c r="MK16" s="70"/>
      <c r="ML16" s="70"/>
      <c r="MM16" s="70"/>
      <c r="MN16" s="70"/>
      <c r="MO16" s="70"/>
      <c r="MP16" s="70"/>
      <c r="MQ16" s="70"/>
      <c r="MR16" s="70"/>
      <c r="MS16" s="70"/>
      <c r="MT16" s="70"/>
      <c r="MU16" s="70"/>
      <c r="MV16" s="70"/>
      <c r="MW16" s="70"/>
      <c r="MX16" s="70"/>
      <c r="MY16" s="70"/>
      <c r="MZ16" s="70"/>
      <c r="NA16" s="70"/>
      <c r="NB16" s="70"/>
      <c r="NC16" s="70"/>
      <c r="ND16" s="70"/>
      <c r="NE16" s="70"/>
      <c r="NF16" s="70"/>
      <c r="NG16" s="70"/>
      <c r="NH16" s="70"/>
      <c r="NI16" s="70"/>
      <c r="NJ16" s="70"/>
      <c r="NK16" s="70"/>
      <c r="NL16" s="70"/>
      <c r="NM16" s="70"/>
      <c r="NN16" s="70"/>
      <c r="NO16" s="70"/>
      <c r="NP16" s="70"/>
      <c r="NQ16" s="71">
        <f>SUM(MF16:NP16)</f>
        <v>0</v>
      </c>
      <c r="NR16" s="25">
        <f>'[2]CF PS'!$BX$36</f>
        <v>0</v>
      </c>
      <c r="NS16" s="25">
        <f>'[2]CF PS'!$BX$37</f>
        <v>0</v>
      </c>
      <c r="NT16" s="25">
        <f>'[2]CF PS'!$BX$38</f>
        <v>0</v>
      </c>
      <c r="NU16" s="25">
        <f>'[2]CF PS'!$BX$39</f>
        <v>0</v>
      </c>
      <c r="NV16" s="25">
        <f>'[2]CF PS'!$BX$40</f>
        <v>0</v>
      </c>
      <c r="NW16" s="25">
        <f>'[2]CF PS'!$BX$41</f>
        <v>0</v>
      </c>
      <c r="NX16" s="25">
        <f>'[2]CF PS'!$BX$42</f>
        <v>0</v>
      </c>
      <c r="NY16" s="25">
        <f>'[2]CF PS'!$BX$43</f>
        <v>0</v>
      </c>
      <c r="NZ16" s="25">
        <f>'[2]CF PS'!$BX$44</f>
        <v>0</v>
      </c>
      <c r="OA16" s="25">
        <f>'[2]CF PS'!$BX$45</f>
        <v>0</v>
      </c>
      <c r="OB16" s="25">
        <f>'[2]CF PS'!$BX$46</f>
        <v>0</v>
      </c>
      <c r="OC16" s="25">
        <f>'[2]CF PS'!$BX$47</f>
        <v>0</v>
      </c>
      <c r="OD16" s="25">
        <f>'[2]CF PS'!$BX$48</f>
        <v>0</v>
      </c>
      <c r="OE16" s="25">
        <f>'[2]CF PS'!$BX$49</f>
        <v>0</v>
      </c>
      <c r="OF16" s="25">
        <f>'[2]CF PS'!$BX$50</f>
        <v>0</v>
      </c>
      <c r="OG16" s="25">
        <f>'[2]CF PS'!$BX$51</f>
        <v>0</v>
      </c>
      <c r="OH16" s="25">
        <f>'[2]CF PS'!$BX$52</f>
        <v>0</v>
      </c>
      <c r="OI16" s="25">
        <f>'[2]CF PS'!$BX$53</f>
        <v>0</v>
      </c>
      <c r="OJ16" s="25">
        <f>'[2]CF PS'!$BX$54</f>
        <v>0</v>
      </c>
      <c r="OK16" s="25">
        <f>'[2]CF PS'!$BX$55</f>
        <v>0</v>
      </c>
      <c r="OL16" s="25">
        <f>'[2]CF PS'!$BX$56</f>
        <v>0</v>
      </c>
      <c r="OM16" s="25">
        <f>'[2]CF PS'!$BX$57</f>
        <v>0</v>
      </c>
      <c r="ON16" s="25">
        <f>'[2]CF PS'!$BX$58</f>
        <v>0</v>
      </c>
      <c r="OO16" s="25">
        <f>'[2]CF PS'!$BX$59</f>
        <v>64075</v>
      </c>
      <c r="OP16" s="25">
        <f>'[2]CF PS'!$BX$60</f>
        <v>53271</v>
      </c>
      <c r="OQ16" s="25">
        <f>'[2]CF PS'!$BX$61</f>
        <v>0</v>
      </c>
      <c r="OR16" s="25">
        <f>'[2]CF PS'!$BX$62</f>
        <v>0</v>
      </c>
      <c r="OS16" s="25">
        <f>'[2]CF PS'!$BX$63</f>
        <v>0</v>
      </c>
      <c r="OT16" s="25">
        <f>'[2]CF PS'!$BX$64</f>
        <v>0</v>
      </c>
      <c r="OU16" s="25">
        <f>'[2]CF PS'!$BX$65</f>
        <v>0</v>
      </c>
      <c r="OV16" s="25">
        <f>'[2]CF PS'!$BX$66</f>
        <v>0</v>
      </c>
      <c r="OW16" s="25">
        <f>'[2]CF PS'!$BX$67</f>
        <v>0</v>
      </c>
      <c r="OX16" s="25">
        <f>'[2]CF PS'!$BX$68</f>
        <v>0</v>
      </c>
      <c r="OY16" s="25">
        <f>'[2]CF PS'!$BX$69</f>
        <v>0</v>
      </c>
      <c r="OZ16" s="25">
        <f>'[2]CF PS'!$BX$70</f>
        <v>0</v>
      </c>
      <c r="PA16" s="25">
        <f>'[2]CF PS'!$BX$71</f>
        <v>0</v>
      </c>
      <c r="PB16" s="25">
        <f>'[2]CF PS'!$BX$72</f>
        <v>0</v>
      </c>
      <c r="PC16" s="26">
        <f>SUM(NR16:PB16)</f>
        <v>117346</v>
      </c>
    </row>
    <row r="17" spans="1:419" ht="15.5" thickBot="1" x14ac:dyDescent="0.45">
      <c r="A17" s="47" t="s">
        <v>41</v>
      </c>
      <c r="B17" s="40">
        <f>IF(AND(B15&lt;&gt;0,B16&lt;&gt;0),(B15-B16)/B16,IF(AND(B15=0,B16=0),"",IF(AND(B15="",B16=""),"",IF(AND(B15=0,B16=""),"", IF(AND(B15="",B16=0),"",1)))))</f>
        <v>-1.2485898972926029E-3</v>
      </c>
      <c r="C17" s="40">
        <f t="shared" ref="C17" si="517">IF(AND(C15&lt;&gt;0,C16&lt;&gt;0),(C15-C16)/C16,IF(AND(C15=0,C16=0),"",IF(AND(C15="",C16=""),"",IF(AND(C15=0,C16=""),"", IF(AND(C15="",C16=0),"",1)))))</f>
        <v>-1.0796833426872869E-3</v>
      </c>
      <c r="D17" s="40">
        <f t="shared" ref="D17" si="518">IF(AND(D15&lt;&gt;0,D16&lt;&gt;0),(D15-D16)/D16,IF(AND(D15=0,D16=0),"",IF(AND(D15="",D16=""),"",IF(AND(D15=0,D16=""),"", IF(AND(D15="",D16=0),"",1)))))</f>
        <v>-1.1892724793934151E-3</v>
      </c>
      <c r="E17" s="40">
        <f t="shared" ref="E17" si="519">IF(AND(E15&lt;&gt;0,E16&lt;&gt;0),(E15-E16)/E16,IF(AND(E15=0,E16=0),"",IF(AND(E15="",E16=""),"",IF(AND(E15=0,E16=""),"", IF(AND(E15="",E16=0),"",1)))))</f>
        <v>-1.2220075847749034E-3</v>
      </c>
      <c r="F17" s="40">
        <f t="shared" ref="F17" si="520">IF(AND(F15&lt;&gt;0,F16&lt;&gt;0),(F15-F16)/F16,IF(AND(F15=0,F16=0),"",IF(AND(F15="",F16=""),"",IF(AND(F15=0,F16=""),"", IF(AND(F15="",F16=0),"",1)))))</f>
        <v>3.7399988307610076E-4</v>
      </c>
      <c r="G17" s="40">
        <f t="shared" ref="G17" si="521">IF(AND(G15&lt;&gt;0,G16&lt;&gt;0),(G15-G16)/G16,IF(AND(G15=0,G16=0),"",IF(AND(G15="",G16=""),"",IF(AND(G15=0,G16=""),"", IF(AND(G15="",G16=0),"",1)))))</f>
        <v>-1.857265631169549E-3</v>
      </c>
      <c r="H17" s="40">
        <f t="shared" ref="H17" si="522">IF(AND(H15&lt;&gt;0,H16&lt;&gt;0),(H15-H16)/H16,IF(AND(H15=0,H16=0),"",IF(AND(H15="",H16=""),"",IF(AND(H15=0,H16=""),"", IF(AND(H15="",H16=0),"",1)))))</f>
        <v>-2.6609366439919648E-3</v>
      </c>
      <c r="I17" s="40">
        <f t="shared" ref="I17" si="523">IF(AND(I15&lt;&gt;0,I16&lt;&gt;0),(I15-I16)/I16,IF(AND(I15=0,I16=0),"",IF(AND(I15="",I16=""),"",IF(AND(I15=0,I16=""),"", IF(AND(I15="",I16=0),"",1)))))</f>
        <v>-3.7447211712671852E-3</v>
      </c>
      <c r="J17" s="40">
        <f t="shared" ref="J17" si="524">IF(AND(J15&lt;&gt;0,J16&lt;&gt;0),(J15-J16)/J16,IF(AND(J15=0,J16=0),"",IF(AND(J15="",J16=""),"",IF(AND(J15=0,J16=""),"", IF(AND(J15="",J16=0),"",1)))))</f>
        <v>-6.4372921028637035E-3</v>
      </c>
      <c r="K17" s="40">
        <f t="shared" ref="K17" si="525">IF(AND(K15&lt;&gt;0,K16&lt;&gt;0),(K15-K16)/K16,IF(AND(K15=0,K16=0),"",IF(AND(K15="",K16=""),"",IF(AND(K15=0,K16=""),"", IF(AND(K15="",K16=0),"",1)))))</f>
        <v>-1.2180824915175817E-2</v>
      </c>
      <c r="L17" s="40">
        <f t="shared" ref="L17" si="526">IF(AND(L15&lt;&gt;0,L16&lt;&gt;0),(L15-L16)/L16,IF(AND(L15=0,L16=0),"",IF(AND(L15="",L16=""),"",IF(AND(L15=0,L16=""),"", IF(AND(L15="",L16=0),"",1)))))</f>
        <v>-1.7210157655125898E-2</v>
      </c>
      <c r="M17" s="40" t="str">
        <f t="shared" ref="M17" si="527">IF(AND(M15&lt;&gt;0,M16&lt;&gt;0),(M15-M16)/M16,IF(AND(M15=0,M16=0),"",IF(AND(M15="",M16=""),"",IF(AND(M15=0,M16=""),"", IF(AND(M15="",M16=0),"",1)))))</f>
        <v/>
      </c>
      <c r="N17" s="40" t="str">
        <f t="shared" ref="N17" si="528">IF(AND(N15&lt;&gt;0,N16&lt;&gt;0),(N15-N16)/N16,IF(AND(N15=0,N16=0),"",IF(AND(N15="",N16=""),"",IF(AND(N15=0,N16=""),"", IF(AND(N15="",N16=0),"",1)))))</f>
        <v/>
      </c>
      <c r="O17" s="40" t="str">
        <f t="shared" ref="O17" si="529">IF(AND(O15&lt;&gt;0,O16&lt;&gt;0),(O15-O16)/O16,IF(AND(O15=0,O16=0),"",IF(AND(O15="",O16=""),"",IF(AND(O15=0,O16=""),"", IF(AND(O15="",O16=0),"",1)))))</f>
        <v/>
      </c>
      <c r="P17" s="40" t="str">
        <f t="shared" ref="P17" si="530">IF(AND(P15&lt;&gt;0,P16&lt;&gt;0),(P15-P16)/P16,IF(AND(P15=0,P16=0),"",IF(AND(P15="",P16=""),"",IF(AND(P15=0,P16=""),"", IF(AND(P15="",P16=0),"",1)))))</f>
        <v/>
      </c>
      <c r="Q17" s="40" t="str">
        <f t="shared" ref="Q17" si="531">IF(AND(Q15&lt;&gt;0,Q16&lt;&gt;0),(Q15-Q16)/Q16,IF(AND(Q15=0,Q16=0),"",IF(AND(Q15="",Q16=""),"",IF(AND(Q15=0,Q16=""),"", IF(AND(Q15="",Q16=0),"",1)))))</f>
        <v/>
      </c>
      <c r="R17" s="40" t="str">
        <f t="shared" ref="R17" si="532">IF(AND(R15&lt;&gt;0,R16&lt;&gt;0),(R15-R16)/R16,IF(AND(R15=0,R16=0),"",IF(AND(R15="",R16=""),"",IF(AND(R15=0,R16=""),"", IF(AND(R15="",R16=0),"",1)))))</f>
        <v/>
      </c>
      <c r="S17" s="40" t="str">
        <f t="shared" ref="S17" si="533">IF(AND(S15&lt;&gt;0,S16&lt;&gt;0),(S15-S16)/S16,IF(AND(S15=0,S16=0),"",IF(AND(S15="",S16=""),"",IF(AND(S15=0,S16=""),"", IF(AND(S15="",S16=0),"",1)))))</f>
        <v/>
      </c>
      <c r="T17" s="40" t="str">
        <f t="shared" ref="T17" si="534">IF(AND(T15&lt;&gt;0,T16&lt;&gt;0),(T15-T16)/T16,IF(AND(T15=0,T16=0),"",IF(AND(T15="",T16=""),"",IF(AND(T15=0,T16=""),"", IF(AND(T15="",T16=0),"",1)))))</f>
        <v/>
      </c>
      <c r="U17" s="40" t="str">
        <f t="shared" ref="U17" si="535">IF(AND(U15&lt;&gt;0,U16&lt;&gt;0),(U15-U16)/U16,IF(AND(U15=0,U16=0),"",IF(AND(U15="",U16=""),"",IF(AND(U15=0,U16=""),"", IF(AND(U15="",U16=0),"",1)))))</f>
        <v/>
      </c>
      <c r="V17" s="40" t="str">
        <f t="shared" ref="V17" si="536">IF(AND(V15&lt;&gt;0,V16&lt;&gt;0),(V15-V16)/V16,IF(AND(V15=0,V16=0),"",IF(AND(V15="",V16=""),"",IF(AND(V15=0,V16=""),"", IF(AND(V15="",V16=0),"",1)))))</f>
        <v/>
      </c>
      <c r="W17" s="40" t="str">
        <f t="shared" ref="W17" si="537">IF(AND(W15&lt;&gt;0,W16&lt;&gt;0),(W15-W16)/W16,IF(AND(W15=0,W16=0),"",IF(AND(W15="",W16=""),"",IF(AND(W15=0,W16=""),"", IF(AND(W15="",W16=0),"",1)))))</f>
        <v/>
      </c>
      <c r="X17" s="40" t="str">
        <f t="shared" ref="X17:AL17" si="538">IF(AND(X15&lt;&gt;0,X16&lt;&gt;0),(X15-X16)/X16,IF(AND(X15=0,X16=0),"",IF(AND(X15="",X16=""),"",IF(AND(X15=0,X16=""),"", IF(AND(X15="",X16=0),"",1)))))</f>
        <v/>
      </c>
      <c r="Y17" s="40" t="str">
        <f t="shared" si="538"/>
        <v/>
      </c>
      <c r="Z17" s="40" t="str">
        <f t="shared" si="538"/>
        <v/>
      </c>
      <c r="AA17" s="40" t="str">
        <f t="shared" si="538"/>
        <v/>
      </c>
      <c r="AB17" s="40" t="str">
        <f t="shared" si="538"/>
        <v/>
      </c>
      <c r="AC17" s="40" t="str">
        <f t="shared" si="538"/>
        <v/>
      </c>
      <c r="AD17" s="40" t="str">
        <f t="shared" si="538"/>
        <v/>
      </c>
      <c r="AE17" s="40" t="str">
        <f t="shared" si="538"/>
        <v/>
      </c>
      <c r="AF17" s="40" t="str">
        <f t="shared" si="538"/>
        <v/>
      </c>
      <c r="AG17" s="40" t="str">
        <f t="shared" si="538"/>
        <v/>
      </c>
      <c r="AH17" s="40" t="str">
        <f t="shared" si="538"/>
        <v/>
      </c>
      <c r="AI17" s="40" t="str">
        <f t="shared" si="538"/>
        <v/>
      </c>
      <c r="AJ17" s="40" t="str">
        <f t="shared" si="538"/>
        <v/>
      </c>
      <c r="AK17" s="40" t="str">
        <f t="shared" si="538"/>
        <v/>
      </c>
      <c r="AL17" s="40" t="str">
        <f t="shared" si="538"/>
        <v/>
      </c>
      <c r="AM17" s="41">
        <f t="shared" ref="AM17" si="539">IF(AND(AM15&lt;&gt;0,AM16&lt;&gt;0),(AM15-AM16)/AM16,IF(AND(AM15=0,AM16=0),"",IF(AND(AM15="",AM16=""),"",IF(AND(AM15=0,AM16=""),"", IF(AND(AM15="",AM16=0),"",1)))))</f>
        <v>-2.0857574235128139E-3</v>
      </c>
      <c r="AN17" s="39" t="str">
        <f t="shared" ref="AN17" si="540">IF(AND(AN15&lt;&gt;0,AN16&lt;&gt;0),(AN15-AN16)/AN16,IF(AND(AN15=0,AN16=0),"",IF(AND(AN15="",AN16=""),"",IF(AND(AN15=0,AN16=""),"", IF(AND(AN15="",AN16=0),"",1)))))</f>
        <v/>
      </c>
      <c r="AO17" s="40" t="str">
        <f t="shared" ref="AO17" si="541">IF(AND(AO15&lt;&gt;0,AO16&lt;&gt;0),(AO15-AO16)/AO16,IF(AND(AO15=0,AO16=0),"",IF(AND(AO15="",AO16=""),"",IF(AND(AO15=0,AO16=""),"", IF(AND(AO15="",AO16=0),"",1)))))</f>
        <v/>
      </c>
      <c r="AP17" s="40" t="str">
        <f t="shared" ref="AP17" si="542">IF(AND(AP15&lt;&gt;0,AP16&lt;&gt;0),(AP15-AP16)/AP16,IF(AND(AP15=0,AP16=0),"",IF(AND(AP15="",AP16=""),"",IF(AND(AP15=0,AP16=""),"", IF(AND(AP15="",AP16=0),"",1)))))</f>
        <v/>
      </c>
      <c r="AQ17" s="40" t="str">
        <f t="shared" ref="AQ17" si="543">IF(AND(AQ15&lt;&gt;0,AQ16&lt;&gt;0),(AQ15-AQ16)/AQ16,IF(AND(AQ15=0,AQ16=0),"",IF(AND(AQ15="",AQ16=""),"",IF(AND(AQ15=0,AQ16=""),"", IF(AND(AQ15="",AQ16=0),"",1)))))</f>
        <v/>
      </c>
      <c r="AR17" s="40" t="str">
        <f t="shared" ref="AR17" si="544">IF(AND(AR15&lt;&gt;0,AR16&lt;&gt;0),(AR15-AR16)/AR16,IF(AND(AR15=0,AR16=0),"",IF(AND(AR15="",AR16=""),"",IF(AND(AR15=0,AR16=""),"", IF(AND(AR15="",AR16=0),"",1)))))</f>
        <v/>
      </c>
      <c r="AS17" s="40" t="str">
        <f t="shared" ref="AS17" si="545">IF(AND(AS15&lt;&gt;0,AS16&lt;&gt;0),(AS15-AS16)/AS16,IF(AND(AS15=0,AS16=0),"",IF(AND(AS15="",AS16=""),"",IF(AND(AS15=0,AS16=""),"", IF(AND(AS15="",AS16=0),"",1)))))</f>
        <v/>
      </c>
      <c r="AT17" s="40" t="str">
        <f t="shared" ref="AT17" si="546">IF(AND(AT15&lt;&gt;0,AT16&lt;&gt;0),(AT15-AT16)/AT16,IF(AND(AT15=0,AT16=0),"",IF(AND(AT15="",AT16=""),"",IF(AND(AT15=0,AT16=""),"", IF(AND(AT15="",AT16=0),"",1)))))</f>
        <v/>
      </c>
      <c r="AU17" s="40" t="str">
        <f t="shared" ref="AU17" si="547">IF(AND(AU15&lt;&gt;0,AU16&lt;&gt;0),(AU15-AU16)/AU16,IF(AND(AU15=0,AU16=0),"",IF(AND(AU15="",AU16=""),"",IF(AND(AU15=0,AU16=""),"", IF(AND(AU15="",AU16=0),"",1)))))</f>
        <v/>
      </c>
      <c r="AV17" s="40" t="str">
        <f t="shared" ref="AV17" si="548">IF(AND(AV15&lt;&gt;0,AV16&lt;&gt;0),(AV15-AV16)/AV16,IF(AND(AV15=0,AV16=0),"",IF(AND(AV15="",AV16=""),"",IF(AND(AV15=0,AV16=""),"", IF(AND(AV15="",AV16=0),"",1)))))</f>
        <v/>
      </c>
      <c r="AW17" s="40" t="str">
        <f t="shared" ref="AW17" si="549">IF(AND(AW15&lt;&gt;0,AW16&lt;&gt;0),(AW15-AW16)/AW16,IF(AND(AW15=0,AW16=0),"",IF(AND(AW15="",AW16=""),"",IF(AND(AW15=0,AW16=""),"", IF(AND(AW15="",AW16=0),"",1)))))</f>
        <v/>
      </c>
      <c r="AX17" s="40" t="str">
        <f t="shared" ref="AX17" si="550">IF(AND(AX15&lt;&gt;0,AX16&lt;&gt;0),(AX15-AX16)/AX16,IF(AND(AX15=0,AX16=0),"",IF(AND(AX15="",AX16=""),"",IF(AND(AX15=0,AX16=""),"", IF(AND(AX15="",AX16=0),"",1)))))</f>
        <v/>
      </c>
      <c r="AY17" s="40" t="str">
        <f t="shared" ref="AY17" si="551">IF(AND(AY15&lt;&gt;0,AY16&lt;&gt;0),(AY15-AY16)/AY16,IF(AND(AY15=0,AY16=0),"",IF(AND(AY15="",AY16=""),"",IF(AND(AY15=0,AY16=""),"", IF(AND(AY15="",AY16=0),"",1)))))</f>
        <v/>
      </c>
      <c r="AZ17" s="40" t="str">
        <f t="shared" ref="AZ17" si="552">IF(AND(AZ15&lt;&gt;0,AZ16&lt;&gt;0),(AZ15-AZ16)/AZ16,IF(AND(AZ15=0,AZ16=0),"",IF(AND(AZ15="",AZ16=""),"",IF(AND(AZ15=0,AZ16=""),"", IF(AND(AZ15="",AZ16=0),"",1)))))</f>
        <v/>
      </c>
      <c r="BA17" s="40" t="str">
        <f t="shared" ref="BA17" si="553">IF(AND(BA15&lt;&gt;0,BA16&lt;&gt;0),(BA15-BA16)/BA16,IF(AND(BA15=0,BA16=0),"",IF(AND(BA15="",BA16=""),"",IF(AND(BA15=0,BA16=""),"", IF(AND(BA15="",BA16=0),"",1)))))</f>
        <v/>
      </c>
      <c r="BB17" s="40" t="str">
        <f t="shared" ref="BB17" si="554">IF(AND(BB15&lt;&gt;0,BB16&lt;&gt;0),(BB15-BB16)/BB16,IF(AND(BB15=0,BB16=0),"",IF(AND(BB15="",BB16=""),"",IF(AND(BB15=0,BB16=""),"", IF(AND(BB15="",BB16=0),"",1)))))</f>
        <v/>
      </c>
      <c r="BC17" s="40" t="str">
        <f t="shared" ref="BC17" si="555">IF(AND(BC15&lt;&gt;0,BC16&lt;&gt;0),(BC15-BC16)/BC16,IF(AND(BC15=0,BC16=0),"",IF(AND(BC15="",BC16=""),"",IF(AND(BC15=0,BC16=""),"", IF(AND(BC15="",BC16=0),"",1)))))</f>
        <v/>
      </c>
      <c r="BD17" s="40" t="str">
        <f t="shared" ref="BD17" si="556">IF(AND(BD15&lt;&gt;0,BD16&lt;&gt;0),(BD15-BD16)/BD16,IF(AND(BD15=0,BD16=0),"",IF(AND(BD15="",BD16=""),"",IF(AND(BD15=0,BD16=""),"", IF(AND(BD15="",BD16=0),"",1)))))</f>
        <v/>
      </c>
      <c r="BE17" s="40" t="str">
        <f t="shared" ref="BE17" si="557">IF(AND(BE15&lt;&gt;0,BE16&lt;&gt;0),(BE15-BE16)/BE16,IF(AND(BE15=0,BE16=0),"",IF(AND(BE15="",BE16=""),"",IF(AND(BE15=0,BE16=""),"", IF(AND(BE15="",BE16=0),"",1)))))</f>
        <v/>
      </c>
      <c r="BF17" s="40" t="str">
        <f t="shared" ref="BF17" si="558">IF(AND(BF15&lt;&gt;0,BF16&lt;&gt;0),(BF15-BF16)/BF16,IF(AND(BF15=0,BF16=0),"",IF(AND(BF15="",BF16=""),"",IF(AND(BF15=0,BF16=""),"", IF(AND(BF15="",BF16=0),"",1)))))</f>
        <v/>
      </c>
      <c r="BG17" s="40" t="str">
        <f t="shared" ref="BG17" si="559">IF(AND(BG15&lt;&gt;0,BG16&lt;&gt;0),(BG15-BG16)/BG16,IF(AND(BG15=0,BG16=0),"",IF(AND(BG15="",BG16=""),"",IF(AND(BG15=0,BG16=""),"", IF(AND(BG15="",BG16=0),"",1)))))</f>
        <v/>
      </c>
      <c r="BH17" s="40" t="str">
        <f t="shared" ref="BH17" si="560">IF(AND(BH15&lt;&gt;0,BH16&lt;&gt;0),(BH15-BH16)/BH16,IF(AND(BH15=0,BH16=0),"",IF(AND(BH15="",BH16=""),"",IF(AND(BH15=0,BH16=""),"", IF(AND(BH15="",BH16=0),"",1)))))</f>
        <v/>
      </c>
      <c r="BI17" s="40" t="str">
        <f t="shared" ref="BI17" si="561">IF(AND(BI15&lt;&gt;0,BI16&lt;&gt;0),(BI15-BI16)/BI16,IF(AND(BI15=0,BI16=0),"",IF(AND(BI15="",BI16=""),"",IF(AND(BI15=0,BI16=""),"", IF(AND(BI15="",BI16=0),"",1)))))</f>
        <v/>
      </c>
      <c r="BJ17" s="40" t="str">
        <f t="shared" ref="BJ17:BX17" si="562">IF(AND(BJ15&lt;&gt;0,BJ16&lt;&gt;0),(BJ15-BJ16)/BJ16,IF(AND(BJ15=0,BJ16=0),"",IF(AND(BJ15="",BJ16=""),"",IF(AND(BJ15=0,BJ16=""),"", IF(AND(BJ15="",BJ16=0),"",1)))))</f>
        <v/>
      </c>
      <c r="BK17" s="40" t="str">
        <f t="shared" si="562"/>
        <v/>
      </c>
      <c r="BL17" s="40" t="str">
        <f t="shared" si="562"/>
        <v/>
      </c>
      <c r="BM17" s="40" t="str">
        <f t="shared" si="562"/>
        <v/>
      </c>
      <c r="BN17" s="40" t="str">
        <f t="shared" si="562"/>
        <v/>
      </c>
      <c r="BO17" s="40" t="str">
        <f t="shared" si="562"/>
        <v/>
      </c>
      <c r="BP17" s="40" t="str">
        <f t="shared" si="562"/>
        <v/>
      </c>
      <c r="BQ17" s="40" t="str">
        <f t="shared" si="562"/>
        <v/>
      </c>
      <c r="BR17" s="40" t="str">
        <f t="shared" si="562"/>
        <v/>
      </c>
      <c r="BS17" s="40" t="str">
        <f t="shared" si="562"/>
        <v/>
      </c>
      <c r="BT17" s="40" t="str">
        <f t="shared" si="562"/>
        <v/>
      </c>
      <c r="BU17" s="40" t="str">
        <f t="shared" si="562"/>
        <v/>
      </c>
      <c r="BV17" s="40" t="str">
        <f t="shared" si="562"/>
        <v/>
      </c>
      <c r="BW17" s="40" t="str">
        <f t="shared" si="562"/>
        <v/>
      </c>
      <c r="BX17" s="40" t="str">
        <f t="shared" si="562"/>
        <v/>
      </c>
      <c r="BY17" s="41" t="str">
        <f t="shared" ref="BY17" si="563">IF(AND(BY15&lt;&gt;0,BY16&lt;&gt;0),(BY15-BY16)/BY16,IF(AND(BY15=0,BY16=0),"",IF(AND(BY15="",BY16=""),"",IF(AND(BY15=0,BY16=""),"", IF(AND(BY15="",BY16=0),"",1)))))</f>
        <v/>
      </c>
      <c r="BZ17" s="39" t="str">
        <f t="shared" ref="BZ17" si="564">IF(AND(BZ15&lt;&gt;0,BZ16&lt;&gt;0),(BZ15-BZ16)/BZ16,IF(AND(BZ15=0,BZ16=0),"",IF(AND(BZ15="",BZ16=""),"",IF(AND(BZ15=0,BZ16=""),"", IF(AND(BZ15="",BZ16=0),"",1)))))</f>
        <v/>
      </c>
      <c r="CA17" s="40" t="str">
        <f t="shared" ref="CA17" si="565">IF(AND(CA15&lt;&gt;0,CA16&lt;&gt;0),(CA15-CA16)/CA16,IF(AND(CA15=0,CA16=0),"",IF(AND(CA15="",CA16=""),"",IF(AND(CA15=0,CA16=""),"", IF(AND(CA15="",CA16=0),"",1)))))</f>
        <v/>
      </c>
      <c r="CB17" s="40" t="str">
        <f t="shared" ref="CB17" si="566">IF(AND(CB15&lt;&gt;0,CB16&lt;&gt;0),(CB15-CB16)/CB16,IF(AND(CB15=0,CB16=0),"",IF(AND(CB15="",CB16=""),"",IF(AND(CB15=0,CB16=""),"", IF(AND(CB15="",CB16=0),"",1)))))</f>
        <v/>
      </c>
      <c r="CC17" s="40" t="str">
        <f t="shared" ref="CC17" si="567">IF(AND(CC15&lt;&gt;0,CC16&lt;&gt;0),(CC15-CC16)/CC16,IF(AND(CC15=0,CC16=0),"",IF(AND(CC15="",CC16=""),"",IF(AND(CC15=0,CC16=""),"", IF(AND(CC15="",CC16=0),"",1)))))</f>
        <v/>
      </c>
      <c r="CD17" s="40" t="str">
        <f t="shared" ref="CD17" si="568">IF(AND(CD15&lt;&gt;0,CD16&lt;&gt;0),(CD15-CD16)/CD16,IF(AND(CD15=0,CD16=0),"",IF(AND(CD15="",CD16=""),"",IF(AND(CD15=0,CD16=""),"", IF(AND(CD15="",CD16=0),"",1)))))</f>
        <v/>
      </c>
      <c r="CE17" s="40" t="str">
        <f t="shared" ref="CE17" si="569">IF(AND(CE15&lt;&gt;0,CE16&lt;&gt;0),(CE15-CE16)/CE16,IF(AND(CE15=0,CE16=0),"",IF(AND(CE15="",CE16=""),"",IF(AND(CE15=0,CE16=""),"", IF(AND(CE15="",CE16=0),"",1)))))</f>
        <v/>
      </c>
      <c r="CF17" s="40" t="str">
        <f t="shared" ref="CF17" si="570">IF(AND(CF15&lt;&gt;0,CF16&lt;&gt;0),(CF15-CF16)/CF16,IF(AND(CF15=0,CF16=0),"",IF(AND(CF15="",CF16=""),"",IF(AND(CF15=0,CF16=""),"", IF(AND(CF15="",CF16=0),"",1)))))</f>
        <v/>
      </c>
      <c r="CG17" s="40" t="str">
        <f t="shared" ref="CG17" si="571">IF(AND(CG15&lt;&gt;0,CG16&lt;&gt;0),(CG15-CG16)/CG16,IF(AND(CG15=0,CG16=0),"",IF(AND(CG15="",CG16=""),"",IF(AND(CG15=0,CG16=""),"", IF(AND(CG15="",CG16=0),"",1)))))</f>
        <v/>
      </c>
      <c r="CH17" s="40" t="str">
        <f t="shared" ref="CH17" si="572">IF(AND(CH15&lt;&gt;0,CH16&lt;&gt;0),(CH15-CH16)/CH16,IF(AND(CH15=0,CH16=0),"",IF(AND(CH15="",CH16=""),"",IF(AND(CH15=0,CH16=""),"", IF(AND(CH15="",CH16=0),"",1)))))</f>
        <v/>
      </c>
      <c r="CI17" s="40" t="str">
        <f t="shared" ref="CI17" si="573">IF(AND(CI15&lt;&gt;0,CI16&lt;&gt;0),(CI15-CI16)/CI16,IF(AND(CI15=0,CI16=0),"",IF(AND(CI15="",CI16=""),"",IF(AND(CI15=0,CI16=""),"", IF(AND(CI15="",CI16=0),"",1)))))</f>
        <v/>
      </c>
      <c r="CJ17" s="40" t="str">
        <f t="shared" ref="CJ17" si="574">IF(AND(CJ15&lt;&gt;0,CJ16&lt;&gt;0),(CJ15-CJ16)/CJ16,IF(AND(CJ15=0,CJ16=0),"",IF(AND(CJ15="",CJ16=""),"",IF(AND(CJ15=0,CJ16=""),"", IF(AND(CJ15="",CJ16=0),"",1)))))</f>
        <v/>
      </c>
      <c r="CK17" s="40" t="str">
        <f t="shared" ref="CK17" si="575">IF(AND(CK15&lt;&gt;0,CK16&lt;&gt;0),(CK15-CK16)/CK16,IF(AND(CK15=0,CK16=0),"",IF(AND(CK15="",CK16=""),"",IF(AND(CK15=0,CK16=""),"", IF(AND(CK15="",CK16=0),"",1)))))</f>
        <v/>
      </c>
      <c r="CL17" s="40" t="str">
        <f t="shared" ref="CL17" si="576">IF(AND(CL15&lt;&gt;0,CL16&lt;&gt;0),(CL15-CL16)/CL16,IF(AND(CL15=0,CL16=0),"",IF(AND(CL15="",CL16=""),"",IF(AND(CL15=0,CL16=""),"", IF(AND(CL15="",CL16=0),"",1)))))</f>
        <v/>
      </c>
      <c r="CM17" s="40" t="str">
        <f t="shared" ref="CM17" si="577">IF(AND(CM15&lt;&gt;0,CM16&lt;&gt;0),(CM15-CM16)/CM16,IF(AND(CM15=0,CM16=0),"",IF(AND(CM15="",CM16=""),"",IF(AND(CM15=0,CM16=""),"", IF(AND(CM15="",CM16=0),"",1)))))</f>
        <v/>
      </c>
      <c r="CN17" s="40" t="str">
        <f t="shared" ref="CN17" si="578">IF(AND(CN15&lt;&gt;0,CN16&lt;&gt;0),(CN15-CN16)/CN16,IF(AND(CN15=0,CN16=0),"",IF(AND(CN15="",CN16=""),"",IF(AND(CN15=0,CN16=""),"", IF(AND(CN15="",CN16=0),"",1)))))</f>
        <v/>
      </c>
      <c r="CO17" s="40" t="str">
        <f t="shared" ref="CO17" si="579">IF(AND(CO15&lt;&gt;0,CO16&lt;&gt;0),(CO15-CO16)/CO16,IF(AND(CO15=0,CO16=0),"",IF(AND(CO15="",CO16=""),"",IF(AND(CO15=0,CO16=""),"", IF(AND(CO15="",CO16=0),"",1)))))</f>
        <v/>
      </c>
      <c r="CP17" s="40" t="str">
        <f t="shared" ref="CP17" si="580">IF(AND(CP15&lt;&gt;0,CP16&lt;&gt;0),(CP15-CP16)/CP16,IF(AND(CP15=0,CP16=0),"",IF(AND(CP15="",CP16=""),"",IF(AND(CP15=0,CP16=""),"", IF(AND(CP15="",CP16=0),"",1)))))</f>
        <v/>
      </c>
      <c r="CQ17" s="40" t="str">
        <f t="shared" ref="CQ17" si="581">IF(AND(CQ15&lt;&gt;0,CQ16&lt;&gt;0),(CQ15-CQ16)/CQ16,IF(AND(CQ15=0,CQ16=0),"",IF(AND(CQ15="",CQ16=""),"",IF(AND(CQ15=0,CQ16=""),"", IF(AND(CQ15="",CQ16=0),"",1)))))</f>
        <v/>
      </c>
      <c r="CR17" s="40" t="str">
        <f t="shared" ref="CR17" si="582">IF(AND(CR15&lt;&gt;0,CR16&lt;&gt;0),(CR15-CR16)/CR16,IF(AND(CR15=0,CR16=0),"",IF(AND(CR15="",CR16=""),"",IF(AND(CR15=0,CR16=""),"", IF(AND(CR15="",CR16=0),"",1)))))</f>
        <v/>
      </c>
      <c r="CS17" s="40" t="str">
        <f t="shared" ref="CS17" si="583">IF(AND(CS15&lt;&gt;0,CS16&lt;&gt;0),(CS15-CS16)/CS16,IF(AND(CS15=0,CS16=0),"",IF(AND(CS15="",CS16=""),"",IF(AND(CS15=0,CS16=""),"", IF(AND(CS15="",CS16=0),"",1)))))</f>
        <v/>
      </c>
      <c r="CT17" s="40" t="str">
        <f t="shared" ref="CT17" si="584">IF(AND(CT15&lt;&gt;0,CT16&lt;&gt;0),(CT15-CT16)/CT16,IF(AND(CT15=0,CT16=0),"",IF(AND(CT15="",CT16=""),"",IF(AND(CT15=0,CT16=""),"", IF(AND(CT15="",CT16=0),"",1)))))</f>
        <v/>
      </c>
      <c r="CU17" s="40" t="str">
        <f t="shared" ref="CU17" si="585">IF(AND(CU15&lt;&gt;0,CU16&lt;&gt;0),(CU15-CU16)/CU16,IF(AND(CU15=0,CU16=0),"",IF(AND(CU15="",CU16=""),"",IF(AND(CU15=0,CU16=""),"", IF(AND(CU15="",CU16=0),"",1)))))</f>
        <v/>
      </c>
      <c r="CV17" s="40" t="str">
        <f t="shared" ref="CV17:DJ17" si="586">IF(AND(CV15&lt;&gt;0,CV16&lt;&gt;0),(CV15-CV16)/CV16,IF(AND(CV15=0,CV16=0),"",IF(AND(CV15="",CV16=""),"",IF(AND(CV15=0,CV16=""),"", IF(AND(CV15="",CV16=0),"",1)))))</f>
        <v/>
      </c>
      <c r="CW17" s="40" t="str">
        <f t="shared" si="586"/>
        <v/>
      </c>
      <c r="CX17" s="40" t="str">
        <f t="shared" si="586"/>
        <v/>
      </c>
      <c r="CY17" s="40" t="str">
        <f t="shared" si="586"/>
        <v/>
      </c>
      <c r="CZ17" s="40" t="str">
        <f t="shared" si="586"/>
        <v/>
      </c>
      <c r="DA17" s="40" t="str">
        <f t="shared" si="586"/>
        <v/>
      </c>
      <c r="DB17" s="40" t="str">
        <f t="shared" si="586"/>
        <v/>
      </c>
      <c r="DC17" s="40" t="str">
        <f t="shared" si="586"/>
        <v/>
      </c>
      <c r="DD17" s="40" t="str">
        <f t="shared" si="586"/>
        <v/>
      </c>
      <c r="DE17" s="40" t="str">
        <f t="shared" si="586"/>
        <v/>
      </c>
      <c r="DF17" s="40" t="str">
        <f t="shared" si="586"/>
        <v/>
      </c>
      <c r="DG17" s="40" t="str">
        <f t="shared" si="586"/>
        <v/>
      </c>
      <c r="DH17" s="40" t="str">
        <f t="shared" si="586"/>
        <v/>
      </c>
      <c r="DI17" s="40" t="str">
        <f t="shared" si="586"/>
        <v/>
      </c>
      <c r="DJ17" s="40" t="str">
        <f t="shared" si="586"/>
        <v/>
      </c>
      <c r="DK17" s="41" t="str">
        <f t="shared" ref="DK17:HU17" si="587">IF(AND(DK15&lt;&gt;0,DK16&lt;&gt;0),(DK15-DK16)/DK16,IF(AND(DK15=0,DK16=0),"",IF(AND(DK15="",DK16=""),"",IF(AND(DK15=0,DK16=""),"", IF(AND(DK15="",DK16=0),"",1)))))</f>
        <v/>
      </c>
      <c r="DL17" s="72" t="str">
        <f t="shared" si="587"/>
        <v/>
      </c>
      <c r="DM17" s="73" t="str">
        <f t="shared" si="587"/>
        <v/>
      </c>
      <c r="DN17" s="73" t="str">
        <f t="shared" si="587"/>
        <v/>
      </c>
      <c r="DO17" s="73" t="str">
        <f t="shared" si="587"/>
        <v/>
      </c>
      <c r="DP17" s="73" t="str">
        <f t="shared" si="587"/>
        <v/>
      </c>
      <c r="DQ17" s="73" t="str">
        <f t="shared" si="587"/>
        <v/>
      </c>
      <c r="DR17" s="73" t="str">
        <f t="shared" si="587"/>
        <v/>
      </c>
      <c r="DS17" s="73" t="str">
        <f t="shared" si="587"/>
        <v/>
      </c>
      <c r="DT17" s="73" t="str">
        <f t="shared" si="587"/>
        <v/>
      </c>
      <c r="DU17" s="73" t="str">
        <f t="shared" si="587"/>
        <v/>
      </c>
      <c r="DV17" s="73" t="str">
        <f t="shared" si="587"/>
        <v/>
      </c>
      <c r="DW17" s="73" t="str">
        <f t="shared" si="587"/>
        <v/>
      </c>
      <c r="DX17" s="73" t="str">
        <f t="shared" si="587"/>
        <v/>
      </c>
      <c r="DY17" s="73" t="str">
        <f t="shared" si="587"/>
        <v/>
      </c>
      <c r="DZ17" s="73" t="str">
        <f t="shared" si="587"/>
        <v/>
      </c>
      <c r="EA17" s="73" t="str">
        <f t="shared" si="587"/>
        <v/>
      </c>
      <c r="EB17" s="73" t="str">
        <f t="shared" si="587"/>
        <v/>
      </c>
      <c r="EC17" s="73" t="str">
        <f t="shared" si="587"/>
        <v/>
      </c>
      <c r="ED17" s="73" t="str">
        <f t="shared" si="587"/>
        <v/>
      </c>
      <c r="EE17" s="73" t="str">
        <f t="shared" si="587"/>
        <v/>
      </c>
      <c r="EF17" s="73" t="str">
        <f t="shared" si="587"/>
        <v/>
      </c>
      <c r="EG17" s="73" t="str">
        <f t="shared" si="587"/>
        <v/>
      </c>
      <c r="EH17" s="73" t="str">
        <f t="shared" si="587"/>
        <v/>
      </c>
      <c r="EI17" s="73" t="str">
        <f t="shared" ref="EI17:EV17" si="588">IF(AND(EI15&lt;&gt;0,EI16&lt;&gt;0),(EI15-EI16)/EI16,IF(AND(EI15=0,EI16=0),"",IF(AND(EI15="",EI16=""),"",IF(AND(EI15=0,EI16=""),"", IF(AND(EI15="",EI16=0),"",1)))))</f>
        <v/>
      </c>
      <c r="EJ17" s="73" t="str">
        <f t="shared" si="588"/>
        <v/>
      </c>
      <c r="EK17" s="73" t="str">
        <f t="shared" si="588"/>
        <v/>
      </c>
      <c r="EL17" s="73" t="str">
        <f t="shared" si="588"/>
        <v/>
      </c>
      <c r="EM17" s="73" t="str">
        <f t="shared" si="588"/>
        <v/>
      </c>
      <c r="EN17" s="73" t="str">
        <f t="shared" si="588"/>
        <v/>
      </c>
      <c r="EO17" s="73" t="str">
        <f t="shared" si="588"/>
        <v/>
      </c>
      <c r="EP17" s="73" t="str">
        <f t="shared" si="588"/>
        <v/>
      </c>
      <c r="EQ17" s="73" t="str">
        <f t="shared" si="588"/>
        <v/>
      </c>
      <c r="ER17" s="73" t="str">
        <f t="shared" si="588"/>
        <v/>
      </c>
      <c r="ES17" s="73" t="str">
        <f t="shared" si="588"/>
        <v/>
      </c>
      <c r="ET17" s="73" t="str">
        <f t="shared" si="588"/>
        <v/>
      </c>
      <c r="EU17" s="73" t="str">
        <f t="shared" si="588"/>
        <v/>
      </c>
      <c r="EV17" s="73" t="str">
        <f t="shared" si="588"/>
        <v/>
      </c>
      <c r="EW17" s="74" t="str">
        <f t="shared" si="587"/>
        <v/>
      </c>
      <c r="EX17" s="72" t="str">
        <f t="shared" ref="EX17:GI17" si="589">IF(AND(EX15&lt;&gt;0,EX16&lt;&gt;0),(EX15-EX16)/EX16,IF(AND(EX15=0,EX16=0),"",IF(AND(EX15="",EX16=""),"",IF(AND(EX15=0,EX16=""),"", IF(AND(EX15="",EX16=0),"",1)))))</f>
        <v/>
      </c>
      <c r="EY17" s="73" t="str">
        <f t="shared" si="589"/>
        <v/>
      </c>
      <c r="EZ17" s="73" t="str">
        <f t="shared" si="589"/>
        <v/>
      </c>
      <c r="FA17" s="73" t="str">
        <f t="shared" si="589"/>
        <v/>
      </c>
      <c r="FB17" s="73" t="str">
        <f t="shared" si="589"/>
        <v/>
      </c>
      <c r="FC17" s="73" t="str">
        <f t="shared" si="589"/>
        <v/>
      </c>
      <c r="FD17" s="73" t="str">
        <f t="shared" si="589"/>
        <v/>
      </c>
      <c r="FE17" s="73" t="str">
        <f t="shared" si="589"/>
        <v/>
      </c>
      <c r="FF17" s="73" t="str">
        <f t="shared" si="589"/>
        <v/>
      </c>
      <c r="FG17" s="73" t="str">
        <f t="shared" si="589"/>
        <v/>
      </c>
      <c r="FH17" s="73" t="str">
        <f t="shared" si="589"/>
        <v/>
      </c>
      <c r="FI17" s="73" t="str">
        <f t="shared" si="589"/>
        <v/>
      </c>
      <c r="FJ17" s="73" t="str">
        <f t="shared" si="589"/>
        <v/>
      </c>
      <c r="FK17" s="73" t="str">
        <f t="shared" si="589"/>
        <v/>
      </c>
      <c r="FL17" s="73" t="str">
        <f t="shared" si="589"/>
        <v/>
      </c>
      <c r="FM17" s="73" t="str">
        <f t="shared" si="589"/>
        <v/>
      </c>
      <c r="FN17" s="73" t="str">
        <f t="shared" si="589"/>
        <v/>
      </c>
      <c r="FO17" s="73" t="str">
        <f t="shared" si="589"/>
        <v/>
      </c>
      <c r="FP17" s="73" t="str">
        <f t="shared" si="589"/>
        <v/>
      </c>
      <c r="FQ17" s="73" t="str">
        <f t="shared" si="589"/>
        <v/>
      </c>
      <c r="FR17" s="73" t="str">
        <f t="shared" si="589"/>
        <v/>
      </c>
      <c r="FS17" s="73" t="str">
        <f t="shared" si="589"/>
        <v/>
      </c>
      <c r="FT17" s="73" t="str">
        <f t="shared" si="589"/>
        <v/>
      </c>
      <c r="FU17" s="73" t="str">
        <f t="shared" ref="FU17:GH17" si="590">IF(AND(FU15&lt;&gt;0,FU16&lt;&gt;0),(FU15-FU16)/FU16,IF(AND(FU15=0,FU16=0),"",IF(AND(FU15="",FU16=""),"",IF(AND(FU15=0,FU16=""),"", IF(AND(FU15="",FU16=0),"",1)))))</f>
        <v/>
      </c>
      <c r="FV17" s="73" t="str">
        <f t="shared" si="590"/>
        <v/>
      </c>
      <c r="FW17" s="73" t="str">
        <f t="shared" si="590"/>
        <v/>
      </c>
      <c r="FX17" s="73" t="str">
        <f t="shared" si="590"/>
        <v/>
      </c>
      <c r="FY17" s="73" t="str">
        <f t="shared" si="590"/>
        <v/>
      </c>
      <c r="FZ17" s="73" t="str">
        <f t="shared" si="590"/>
        <v/>
      </c>
      <c r="GA17" s="73" t="str">
        <f t="shared" si="590"/>
        <v/>
      </c>
      <c r="GB17" s="73" t="str">
        <f t="shared" si="590"/>
        <v/>
      </c>
      <c r="GC17" s="73" t="str">
        <f t="shared" si="590"/>
        <v/>
      </c>
      <c r="GD17" s="73" t="str">
        <f t="shared" si="590"/>
        <v/>
      </c>
      <c r="GE17" s="73" t="str">
        <f t="shared" si="590"/>
        <v/>
      </c>
      <c r="GF17" s="73" t="str">
        <f t="shared" si="590"/>
        <v/>
      </c>
      <c r="GG17" s="73" t="str">
        <f t="shared" si="590"/>
        <v/>
      </c>
      <c r="GH17" s="73" t="str">
        <f t="shared" si="590"/>
        <v/>
      </c>
      <c r="GI17" s="74" t="str">
        <f t="shared" si="589"/>
        <v/>
      </c>
      <c r="GJ17" s="72" t="str">
        <f t="shared" si="587"/>
        <v/>
      </c>
      <c r="GK17" s="73" t="str">
        <f t="shared" si="587"/>
        <v/>
      </c>
      <c r="GL17" s="73" t="str">
        <f t="shared" si="587"/>
        <v/>
      </c>
      <c r="GM17" s="73" t="str">
        <f t="shared" si="587"/>
        <v/>
      </c>
      <c r="GN17" s="73" t="str">
        <f t="shared" si="587"/>
        <v/>
      </c>
      <c r="GO17" s="73" t="str">
        <f t="shared" si="587"/>
        <v/>
      </c>
      <c r="GP17" s="73" t="str">
        <f t="shared" si="587"/>
        <v/>
      </c>
      <c r="GQ17" s="73" t="str">
        <f t="shared" si="587"/>
        <v/>
      </c>
      <c r="GR17" s="73" t="str">
        <f t="shared" si="587"/>
        <v/>
      </c>
      <c r="GS17" s="73" t="str">
        <f t="shared" si="587"/>
        <v/>
      </c>
      <c r="GT17" s="73" t="str">
        <f t="shared" si="587"/>
        <v/>
      </c>
      <c r="GU17" s="73" t="str">
        <f t="shared" si="587"/>
        <v/>
      </c>
      <c r="GV17" s="73" t="str">
        <f t="shared" si="587"/>
        <v/>
      </c>
      <c r="GW17" s="73" t="str">
        <f t="shared" si="587"/>
        <v/>
      </c>
      <c r="GX17" s="73" t="str">
        <f t="shared" si="587"/>
        <v/>
      </c>
      <c r="GY17" s="73" t="str">
        <f t="shared" si="587"/>
        <v/>
      </c>
      <c r="GZ17" s="73" t="str">
        <f t="shared" si="587"/>
        <v/>
      </c>
      <c r="HA17" s="73" t="str">
        <f t="shared" si="587"/>
        <v/>
      </c>
      <c r="HB17" s="73" t="str">
        <f t="shared" si="587"/>
        <v/>
      </c>
      <c r="HC17" s="73" t="str">
        <f t="shared" si="587"/>
        <v/>
      </c>
      <c r="HD17" s="73" t="str">
        <f t="shared" si="587"/>
        <v/>
      </c>
      <c r="HE17" s="73" t="str">
        <f t="shared" si="587"/>
        <v/>
      </c>
      <c r="HF17" s="73" t="str">
        <f t="shared" si="587"/>
        <v/>
      </c>
      <c r="HG17" s="73" t="str">
        <f t="shared" ref="HG17:HT17" si="591">IF(AND(HG15&lt;&gt;0,HG16&lt;&gt;0),(HG15-HG16)/HG16,IF(AND(HG15=0,HG16=0),"",IF(AND(HG15="",HG16=""),"",IF(AND(HG15=0,HG16=""),"", IF(AND(HG15="",HG16=0),"",1)))))</f>
        <v/>
      </c>
      <c r="HH17" s="73" t="str">
        <f t="shared" si="591"/>
        <v/>
      </c>
      <c r="HI17" s="73" t="str">
        <f t="shared" si="591"/>
        <v/>
      </c>
      <c r="HJ17" s="73" t="str">
        <f t="shared" si="591"/>
        <v/>
      </c>
      <c r="HK17" s="73" t="str">
        <f t="shared" si="591"/>
        <v/>
      </c>
      <c r="HL17" s="73" t="str">
        <f t="shared" si="591"/>
        <v/>
      </c>
      <c r="HM17" s="73" t="str">
        <f t="shared" si="591"/>
        <v/>
      </c>
      <c r="HN17" s="73" t="str">
        <f t="shared" si="591"/>
        <v/>
      </c>
      <c r="HO17" s="73" t="str">
        <f t="shared" si="591"/>
        <v/>
      </c>
      <c r="HP17" s="73" t="str">
        <f t="shared" si="591"/>
        <v/>
      </c>
      <c r="HQ17" s="73" t="str">
        <f t="shared" si="591"/>
        <v/>
      </c>
      <c r="HR17" s="73" t="str">
        <f t="shared" si="591"/>
        <v/>
      </c>
      <c r="HS17" s="73" t="str">
        <f t="shared" si="591"/>
        <v/>
      </c>
      <c r="HT17" s="73" t="str">
        <f t="shared" si="591"/>
        <v/>
      </c>
      <c r="HU17" s="74" t="str">
        <f t="shared" si="587"/>
        <v/>
      </c>
      <c r="HV17" s="39" t="str">
        <f t="shared" ref="HV17" si="592">IF(AND(HV15&lt;&gt;0,HV16&lt;&gt;0),(HV15-HV16)/HV16,IF(AND(HV15=0,HV16=0),"",IF(AND(HV15="",HV16=""),"",IF(AND(HV15=0,HV16=""),"", IF(AND(HV15="",HV16=0),"",1)))))</f>
        <v/>
      </c>
      <c r="HW17" s="40" t="str">
        <f t="shared" ref="HW17" si="593">IF(AND(HW15&lt;&gt;0,HW16&lt;&gt;0),(HW15-HW16)/HW16,IF(AND(HW15=0,HW16=0),"",IF(AND(HW15="",HW16=""),"",IF(AND(HW15=0,HW16=""),"", IF(AND(HW15="",HW16=0),"",1)))))</f>
        <v/>
      </c>
      <c r="HX17" s="40" t="str">
        <f t="shared" ref="HX17" si="594">IF(AND(HX15&lt;&gt;0,HX16&lt;&gt;0),(HX15-HX16)/HX16,IF(AND(HX15=0,HX16=0),"",IF(AND(HX15="",HX16=""),"",IF(AND(HX15=0,HX16=""),"", IF(AND(HX15="",HX16=0),"",1)))))</f>
        <v/>
      </c>
      <c r="HY17" s="40" t="str">
        <f t="shared" ref="HY17" si="595">IF(AND(HY15&lt;&gt;0,HY16&lt;&gt;0),(HY15-HY16)/HY16,IF(AND(HY15=0,HY16=0),"",IF(AND(HY15="",HY16=""),"",IF(AND(HY15=0,HY16=""),"", IF(AND(HY15="",HY16=0),"",1)))))</f>
        <v/>
      </c>
      <c r="HZ17" s="40" t="str">
        <f t="shared" ref="HZ17" si="596">IF(AND(HZ15&lt;&gt;0,HZ16&lt;&gt;0),(HZ15-HZ16)/HZ16,IF(AND(HZ15=0,HZ16=0),"",IF(AND(HZ15="",HZ16=""),"",IF(AND(HZ15=0,HZ16=""),"", IF(AND(HZ15="",HZ16=0),"",1)))))</f>
        <v/>
      </c>
      <c r="IA17" s="40" t="str">
        <f t="shared" ref="IA17" si="597">IF(AND(IA15&lt;&gt;0,IA16&lt;&gt;0),(IA15-IA16)/IA16,IF(AND(IA15=0,IA16=0),"",IF(AND(IA15="",IA16=""),"",IF(AND(IA15=0,IA16=""),"", IF(AND(IA15="",IA16=0),"",1)))))</f>
        <v/>
      </c>
      <c r="IB17" s="40" t="str">
        <f t="shared" ref="IB17" si="598">IF(AND(IB15&lt;&gt;0,IB16&lt;&gt;0),(IB15-IB16)/IB16,IF(AND(IB15=0,IB16=0),"",IF(AND(IB15="",IB16=""),"",IF(AND(IB15=0,IB16=""),"", IF(AND(IB15="",IB16=0),"",1)))))</f>
        <v/>
      </c>
      <c r="IC17" s="40" t="str">
        <f t="shared" ref="IC17" si="599">IF(AND(IC15&lt;&gt;0,IC16&lt;&gt;0),(IC15-IC16)/IC16,IF(AND(IC15=0,IC16=0),"",IF(AND(IC15="",IC16=""),"",IF(AND(IC15=0,IC16=""),"", IF(AND(IC15="",IC16=0),"",1)))))</f>
        <v/>
      </c>
      <c r="ID17" s="40" t="str">
        <f t="shared" ref="ID17" si="600">IF(AND(ID15&lt;&gt;0,ID16&lt;&gt;0),(ID15-ID16)/ID16,IF(AND(ID15=0,ID16=0),"",IF(AND(ID15="",ID16=""),"",IF(AND(ID15=0,ID16=""),"", IF(AND(ID15="",ID16=0),"",1)))))</f>
        <v/>
      </c>
      <c r="IE17" s="40" t="str">
        <f t="shared" ref="IE17" si="601">IF(AND(IE15&lt;&gt;0,IE16&lt;&gt;0),(IE15-IE16)/IE16,IF(AND(IE15=0,IE16=0),"",IF(AND(IE15="",IE16=""),"",IF(AND(IE15=0,IE16=""),"", IF(AND(IE15="",IE16=0),"",1)))))</f>
        <v/>
      </c>
      <c r="IF17" s="40" t="str">
        <f t="shared" ref="IF17" si="602">IF(AND(IF15&lt;&gt;0,IF16&lt;&gt;0),(IF15-IF16)/IF16,IF(AND(IF15=0,IF16=0),"",IF(AND(IF15="",IF16=""),"",IF(AND(IF15=0,IF16=""),"", IF(AND(IF15="",IF16=0),"",1)))))</f>
        <v/>
      </c>
      <c r="IG17" s="40" t="str">
        <f t="shared" ref="IG17" si="603">IF(AND(IG15&lt;&gt;0,IG16&lt;&gt;0),(IG15-IG16)/IG16,IF(AND(IG15=0,IG16=0),"",IF(AND(IG15="",IG16=""),"",IF(AND(IG15=0,IG16=""),"", IF(AND(IG15="",IG16=0),"",1)))))</f>
        <v/>
      </c>
      <c r="IH17" s="40" t="str">
        <f t="shared" ref="IH17" si="604">IF(AND(IH15&lt;&gt;0,IH16&lt;&gt;0),(IH15-IH16)/IH16,IF(AND(IH15=0,IH16=0),"",IF(AND(IH15="",IH16=""),"",IF(AND(IH15=0,IH16=""),"", IF(AND(IH15="",IH16=0),"",1)))))</f>
        <v/>
      </c>
      <c r="II17" s="40" t="str">
        <f t="shared" ref="II17" si="605">IF(AND(II15&lt;&gt;0,II16&lt;&gt;0),(II15-II16)/II16,IF(AND(II15=0,II16=0),"",IF(AND(II15="",II16=""),"",IF(AND(II15=0,II16=""),"", IF(AND(II15="",II16=0),"",1)))))</f>
        <v/>
      </c>
      <c r="IJ17" s="40" t="str">
        <f t="shared" ref="IJ17" si="606">IF(AND(IJ15&lt;&gt;0,IJ16&lt;&gt;0),(IJ15-IJ16)/IJ16,IF(AND(IJ15=0,IJ16=0),"",IF(AND(IJ15="",IJ16=""),"",IF(AND(IJ15=0,IJ16=""),"", IF(AND(IJ15="",IJ16=0),"",1)))))</f>
        <v/>
      </c>
      <c r="IK17" s="40" t="str">
        <f t="shared" ref="IK17" si="607">IF(AND(IK15&lt;&gt;0,IK16&lt;&gt;0),(IK15-IK16)/IK16,IF(AND(IK15=0,IK16=0),"",IF(AND(IK15="",IK16=""),"",IF(AND(IK15=0,IK16=""),"", IF(AND(IK15="",IK16=0),"",1)))))</f>
        <v/>
      </c>
      <c r="IL17" s="40" t="str">
        <f t="shared" ref="IL17" si="608">IF(AND(IL15&lt;&gt;0,IL16&lt;&gt;0),(IL15-IL16)/IL16,IF(AND(IL15=0,IL16=0),"",IF(AND(IL15="",IL16=""),"",IF(AND(IL15=0,IL16=""),"", IF(AND(IL15="",IL16=0),"",1)))))</f>
        <v/>
      </c>
      <c r="IM17" s="40" t="str">
        <f t="shared" ref="IM17" si="609">IF(AND(IM15&lt;&gt;0,IM16&lt;&gt;0),(IM15-IM16)/IM16,IF(AND(IM15=0,IM16=0),"",IF(AND(IM15="",IM16=""),"",IF(AND(IM15=0,IM16=""),"", IF(AND(IM15="",IM16=0),"",1)))))</f>
        <v/>
      </c>
      <c r="IN17" s="40" t="str">
        <f t="shared" ref="IN17" si="610">IF(AND(IN15&lt;&gt;0,IN16&lt;&gt;0),(IN15-IN16)/IN16,IF(AND(IN15=0,IN16=0),"",IF(AND(IN15="",IN16=""),"",IF(AND(IN15=0,IN16=""),"", IF(AND(IN15="",IN16=0),"",1)))))</f>
        <v/>
      </c>
      <c r="IO17" s="40" t="str">
        <f t="shared" ref="IO17" si="611">IF(AND(IO15&lt;&gt;0,IO16&lt;&gt;0),(IO15-IO16)/IO16,IF(AND(IO15=0,IO16=0),"",IF(AND(IO15="",IO16=""),"",IF(AND(IO15=0,IO16=""),"", IF(AND(IO15="",IO16=0),"",1)))))</f>
        <v/>
      </c>
      <c r="IP17" s="40">
        <f t="shared" ref="IP17" si="612">IF(AND(IP15&lt;&gt;0,IP16&lt;&gt;0),(IP15-IP16)/IP16,IF(AND(IP15=0,IP16=0),"",IF(AND(IP15="",IP16=""),"",IF(AND(IP15=0,IP16=""),"", IF(AND(IP15="",IP16=0),"",1)))))</f>
        <v>1</v>
      </c>
      <c r="IQ17" s="40">
        <f t="shared" ref="IQ17" si="613">IF(AND(IQ15&lt;&gt;0,IQ16&lt;&gt;0),(IQ15-IQ16)/IQ16,IF(AND(IQ15=0,IQ16=0),"",IF(AND(IQ15="",IQ16=""),"",IF(AND(IQ15=0,IQ16=""),"", IF(AND(IQ15="",IQ16=0),"",1)))))</f>
        <v>-5.9190006542848223E-3</v>
      </c>
      <c r="IR17" s="40">
        <f t="shared" ref="IR17:JF17" si="614">IF(AND(IR15&lt;&gt;0,IR16&lt;&gt;0),(IR15-IR16)/IR16,IF(AND(IR15=0,IR16=0),"",IF(AND(IR15="",IR16=""),"",IF(AND(IR15=0,IR16=""),"", IF(AND(IR15="",IR16=0),"",1)))))</f>
        <v>6.8278423847960312E-4</v>
      </c>
      <c r="IS17" s="40">
        <f t="shared" si="614"/>
        <v>1</v>
      </c>
      <c r="IT17" s="40" t="str">
        <f t="shared" si="614"/>
        <v/>
      </c>
      <c r="IU17" s="40" t="str">
        <f t="shared" si="614"/>
        <v/>
      </c>
      <c r="IV17" s="40" t="str">
        <f t="shared" si="614"/>
        <v/>
      </c>
      <c r="IW17" s="40" t="str">
        <f t="shared" si="614"/>
        <v/>
      </c>
      <c r="IX17" s="40" t="str">
        <f t="shared" si="614"/>
        <v/>
      </c>
      <c r="IY17" s="40" t="str">
        <f t="shared" si="614"/>
        <v/>
      </c>
      <c r="IZ17" s="40" t="str">
        <f t="shared" si="614"/>
        <v/>
      </c>
      <c r="JA17" s="40" t="str">
        <f t="shared" si="614"/>
        <v/>
      </c>
      <c r="JB17" s="40" t="str">
        <f t="shared" si="614"/>
        <v/>
      </c>
      <c r="JC17" s="40" t="str">
        <f t="shared" si="614"/>
        <v/>
      </c>
      <c r="JD17" s="40" t="str">
        <f t="shared" si="614"/>
        <v/>
      </c>
      <c r="JE17" s="40" t="str">
        <f t="shared" si="614"/>
        <v/>
      </c>
      <c r="JF17" s="40" t="str">
        <f t="shared" si="614"/>
        <v/>
      </c>
      <c r="JG17" s="41">
        <f t="shared" ref="JG17:NQ17" si="615">IF(AND(JG15&lt;&gt;0,JG16&lt;&gt;0),(JG15-JG16)/JG16,IF(AND(JG15=0,JG16=0),"",IF(AND(JG15="",JG16=""),"",IF(AND(JG15=0,JG16=""),"", IF(AND(JG15="",JG16=0),"",1)))))</f>
        <v>0.14458013083270935</v>
      </c>
      <c r="JH17" s="72" t="str">
        <f t="shared" si="615"/>
        <v/>
      </c>
      <c r="JI17" s="73" t="str">
        <f t="shared" si="615"/>
        <v/>
      </c>
      <c r="JJ17" s="73" t="str">
        <f t="shared" si="615"/>
        <v/>
      </c>
      <c r="JK17" s="73" t="str">
        <f t="shared" si="615"/>
        <v/>
      </c>
      <c r="JL17" s="73" t="str">
        <f t="shared" si="615"/>
        <v/>
      </c>
      <c r="JM17" s="73" t="str">
        <f t="shared" si="615"/>
        <v/>
      </c>
      <c r="JN17" s="73" t="str">
        <f t="shared" si="615"/>
        <v/>
      </c>
      <c r="JO17" s="73" t="str">
        <f t="shared" si="615"/>
        <v/>
      </c>
      <c r="JP17" s="73" t="str">
        <f t="shared" si="615"/>
        <v/>
      </c>
      <c r="JQ17" s="73" t="str">
        <f t="shared" si="615"/>
        <v/>
      </c>
      <c r="JR17" s="73" t="str">
        <f t="shared" si="615"/>
        <v/>
      </c>
      <c r="JS17" s="73" t="str">
        <f t="shared" si="615"/>
        <v/>
      </c>
      <c r="JT17" s="73" t="str">
        <f t="shared" si="615"/>
        <v/>
      </c>
      <c r="JU17" s="73" t="str">
        <f t="shared" si="615"/>
        <v/>
      </c>
      <c r="JV17" s="73" t="str">
        <f t="shared" si="615"/>
        <v/>
      </c>
      <c r="JW17" s="73" t="str">
        <f t="shared" si="615"/>
        <v/>
      </c>
      <c r="JX17" s="73" t="str">
        <f t="shared" si="615"/>
        <v/>
      </c>
      <c r="JY17" s="73" t="str">
        <f t="shared" si="615"/>
        <v/>
      </c>
      <c r="JZ17" s="73" t="str">
        <f t="shared" si="615"/>
        <v/>
      </c>
      <c r="KA17" s="73" t="str">
        <f t="shared" si="615"/>
        <v/>
      </c>
      <c r="KB17" s="73" t="str">
        <f t="shared" si="615"/>
        <v/>
      </c>
      <c r="KC17" s="73" t="str">
        <f t="shared" si="615"/>
        <v/>
      </c>
      <c r="KD17" s="73" t="str">
        <f t="shared" si="615"/>
        <v/>
      </c>
      <c r="KE17" s="73" t="str">
        <f t="shared" ref="KE17:KR17" si="616">IF(AND(KE15&lt;&gt;0,KE16&lt;&gt;0),(KE15-KE16)/KE16,IF(AND(KE15=0,KE16=0),"",IF(AND(KE15="",KE16=""),"",IF(AND(KE15=0,KE16=""),"", IF(AND(KE15="",KE16=0),"",1)))))</f>
        <v/>
      </c>
      <c r="KF17" s="73" t="str">
        <f t="shared" si="616"/>
        <v/>
      </c>
      <c r="KG17" s="73" t="str">
        <f t="shared" si="616"/>
        <v/>
      </c>
      <c r="KH17" s="73" t="str">
        <f t="shared" si="616"/>
        <v/>
      </c>
      <c r="KI17" s="73" t="str">
        <f t="shared" si="616"/>
        <v/>
      </c>
      <c r="KJ17" s="73" t="str">
        <f t="shared" si="616"/>
        <v/>
      </c>
      <c r="KK17" s="73" t="str">
        <f t="shared" si="616"/>
        <v/>
      </c>
      <c r="KL17" s="73" t="str">
        <f t="shared" si="616"/>
        <v/>
      </c>
      <c r="KM17" s="73" t="str">
        <f t="shared" si="616"/>
        <v/>
      </c>
      <c r="KN17" s="73" t="str">
        <f t="shared" si="616"/>
        <v/>
      </c>
      <c r="KO17" s="73" t="str">
        <f t="shared" si="616"/>
        <v/>
      </c>
      <c r="KP17" s="73" t="str">
        <f t="shared" si="616"/>
        <v/>
      </c>
      <c r="KQ17" s="73" t="str">
        <f t="shared" si="616"/>
        <v/>
      </c>
      <c r="KR17" s="73" t="str">
        <f t="shared" si="616"/>
        <v/>
      </c>
      <c r="KS17" s="74" t="str">
        <f t="shared" si="615"/>
        <v/>
      </c>
      <c r="KT17" s="72" t="str">
        <f t="shared" ref="KT17:ME17" si="617">IF(AND(KT15&lt;&gt;0,KT16&lt;&gt;0),(KT15-KT16)/KT16,IF(AND(KT15=0,KT16=0),"",IF(AND(KT15="",KT16=""),"",IF(AND(KT15=0,KT16=""),"", IF(AND(KT15="",KT16=0),"",1)))))</f>
        <v/>
      </c>
      <c r="KU17" s="73" t="str">
        <f t="shared" si="617"/>
        <v/>
      </c>
      <c r="KV17" s="73" t="str">
        <f t="shared" si="617"/>
        <v/>
      </c>
      <c r="KW17" s="73" t="str">
        <f t="shared" si="617"/>
        <v/>
      </c>
      <c r="KX17" s="73" t="str">
        <f t="shared" si="617"/>
        <v/>
      </c>
      <c r="KY17" s="73" t="str">
        <f t="shared" si="617"/>
        <v/>
      </c>
      <c r="KZ17" s="73" t="str">
        <f t="shared" si="617"/>
        <v/>
      </c>
      <c r="LA17" s="73" t="str">
        <f t="shared" si="617"/>
        <v/>
      </c>
      <c r="LB17" s="73" t="str">
        <f t="shared" si="617"/>
        <v/>
      </c>
      <c r="LC17" s="73" t="str">
        <f t="shared" si="617"/>
        <v/>
      </c>
      <c r="LD17" s="73" t="str">
        <f t="shared" si="617"/>
        <v/>
      </c>
      <c r="LE17" s="73" t="str">
        <f t="shared" si="617"/>
        <v/>
      </c>
      <c r="LF17" s="73" t="str">
        <f t="shared" si="617"/>
        <v/>
      </c>
      <c r="LG17" s="73" t="str">
        <f t="shared" si="617"/>
        <v/>
      </c>
      <c r="LH17" s="73" t="str">
        <f t="shared" si="617"/>
        <v/>
      </c>
      <c r="LI17" s="73" t="str">
        <f t="shared" si="617"/>
        <v/>
      </c>
      <c r="LJ17" s="73" t="str">
        <f t="shared" si="617"/>
        <v/>
      </c>
      <c r="LK17" s="73" t="str">
        <f t="shared" si="617"/>
        <v/>
      </c>
      <c r="LL17" s="73" t="str">
        <f t="shared" si="617"/>
        <v/>
      </c>
      <c r="LM17" s="73" t="str">
        <f t="shared" si="617"/>
        <v/>
      </c>
      <c r="LN17" s="73" t="str">
        <f t="shared" si="617"/>
        <v/>
      </c>
      <c r="LO17" s="73" t="str">
        <f t="shared" si="617"/>
        <v/>
      </c>
      <c r="LP17" s="73" t="str">
        <f t="shared" si="617"/>
        <v/>
      </c>
      <c r="LQ17" s="73" t="str">
        <f t="shared" ref="LQ17:MD17" si="618">IF(AND(LQ15&lt;&gt;0,LQ16&lt;&gt;0),(LQ15-LQ16)/LQ16,IF(AND(LQ15=0,LQ16=0),"",IF(AND(LQ15="",LQ16=""),"",IF(AND(LQ15=0,LQ16=""),"", IF(AND(LQ15="",LQ16=0),"",1)))))</f>
        <v/>
      </c>
      <c r="LR17" s="73" t="str">
        <f t="shared" si="618"/>
        <v/>
      </c>
      <c r="LS17" s="73" t="str">
        <f t="shared" si="618"/>
        <v/>
      </c>
      <c r="LT17" s="73" t="str">
        <f t="shared" si="618"/>
        <v/>
      </c>
      <c r="LU17" s="73" t="str">
        <f t="shared" si="618"/>
        <v/>
      </c>
      <c r="LV17" s="73" t="str">
        <f t="shared" si="618"/>
        <v/>
      </c>
      <c r="LW17" s="73" t="str">
        <f t="shared" si="618"/>
        <v/>
      </c>
      <c r="LX17" s="73" t="str">
        <f t="shared" si="618"/>
        <v/>
      </c>
      <c r="LY17" s="73" t="str">
        <f t="shared" si="618"/>
        <v/>
      </c>
      <c r="LZ17" s="73" t="str">
        <f t="shared" si="618"/>
        <v/>
      </c>
      <c r="MA17" s="73" t="str">
        <f t="shared" si="618"/>
        <v/>
      </c>
      <c r="MB17" s="73" t="str">
        <f t="shared" si="618"/>
        <v/>
      </c>
      <c r="MC17" s="73" t="str">
        <f t="shared" si="618"/>
        <v/>
      </c>
      <c r="MD17" s="73" t="str">
        <f t="shared" si="618"/>
        <v/>
      </c>
      <c r="ME17" s="74" t="str">
        <f t="shared" si="617"/>
        <v/>
      </c>
      <c r="MF17" s="72" t="str">
        <f t="shared" si="615"/>
        <v/>
      </c>
      <c r="MG17" s="73" t="str">
        <f t="shared" si="615"/>
        <v/>
      </c>
      <c r="MH17" s="73" t="str">
        <f t="shared" si="615"/>
        <v/>
      </c>
      <c r="MI17" s="73" t="str">
        <f t="shared" si="615"/>
        <v/>
      </c>
      <c r="MJ17" s="73" t="str">
        <f t="shared" si="615"/>
        <v/>
      </c>
      <c r="MK17" s="73" t="str">
        <f t="shared" si="615"/>
        <v/>
      </c>
      <c r="ML17" s="73" t="str">
        <f t="shared" si="615"/>
        <v/>
      </c>
      <c r="MM17" s="73" t="str">
        <f t="shared" si="615"/>
        <v/>
      </c>
      <c r="MN17" s="73" t="str">
        <f t="shared" si="615"/>
        <v/>
      </c>
      <c r="MO17" s="73" t="str">
        <f t="shared" si="615"/>
        <v/>
      </c>
      <c r="MP17" s="73" t="str">
        <f t="shared" si="615"/>
        <v/>
      </c>
      <c r="MQ17" s="73" t="str">
        <f t="shared" si="615"/>
        <v/>
      </c>
      <c r="MR17" s="73" t="str">
        <f t="shared" si="615"/>
        <v/>
      </c>
      <c r="MS17" s="73" t="str">
        <f t="shared" si="615"/>
        <v/>
      </c>
      <c r="MT17" s="73" t="str">
        <f t="shared" si="615"/>
        <v/>
      </c>
      <c r="MU17" s="73" t="str">
        <f t="shared" si="615"/>
        <v/>
      </c>
      <c r="MV17" s="73" t="str">
        <f t="shared" si="615"/>
        <v/>
      </c>
      <c r="MW17" s="73" t="str">
        <f t="shared" si="615"/>
        <v/>
      </c>
      <c r="MX17" s="73" t="str">
        <f t="shared" si="615"/>
        <v/>
      </c>
      <c r="MY17" s="73" t="str">
        <f t="shared" si="615"/>
        <v/>
      </c>
      <c r="MZ17" s="73" t="str">
        <f t="shared" si="615"/>
        <v/>
      </c>
      <c r="NA17" s="73" t="str">
        <f t="shared" si="615"/>
        <v/>
      </c>
      <c r="NB17" s="73" t="str">
        <f t="shared" si="615"/>
        <v/>
      </c>
      <c r="NC17" s="73" t="str">
        <f t="shared" ref="NC17:NP17" si="619">IF(AND(NC15&lt;&gt;0,NC16&lt;&gt;0),(NC15-NC16)/NC16,IF(AND(NC15=0,NC16=0),"",IF(AND(NC15="",NC16=""),"",IF(AND(NC15=0,NC16=""),"", IF(AND(NC15="",NC16=0),"",1)))))</f>
        <v/>
      </c>
      <c r="ND17" s="73" t="str">
        <f t="shared" si="619"/>
        <v/>
      </c>
      <c r="NE17" s="73" t="str">
        <f t="shared" si="619"/>
        <v/>
      </c>
      <c r="NF17" s="73" t="str">
        <f t="shared" si="619"/>
        <v/>
      </c>
      <c r="NG17" s="73" t="str">
        <f t="shared" si="619"/>
        <v/>
      </c>
      <c r="NH17" s="73" t="str">
        <f t="shared" si="619"/>
        <v/>
      </c>
      <c r="NI17" s="73" t="str">
        <f t="shared" si="619"/>
        <v/>
      </c>
      <c r="NJ17" s="73" t="str">
        <f t="shared" si="619"/>
        <v/>
      </c>
      <c r="NK17" s="73" t="str">
        <f t="shared" si="619"/>
        <v/>
      </c>
      <c r="NL17" s="73" t="str">
        <f t="shared" si="619"/>
        <v/>
      </c>
      <c r="NM17" s="73" t="str">
        <f t="shared" si="619"/>
        <v/>
      </c>
      <c r="NN17" s="73" t="str">
        <f t="shared" si="619"/>
        <v/>
      </c>
      <c r="NO17" s="73" t="str">
        <f t="shared" si="619"/>
        <v/>
      </c>
      <c r="NP17" s="73" t="str">
        <f t="shared" si="619"/>
        <v/>
      </c>
      <c r="NQ17" s="74" t="str">
        <f t="shared" si="615"/>
        <v/>
      </c>
      <c r="NR17" s="40" t="str">
        <f t="shared" ref="NR17" si="620">IF(AND(NR15&lt;&gt;0,NR16&lt;&gt;0),(NR15-NR16)/NR16,IF(AND(NR15=0,NR16=0),"",IF(AND(NR15="",NR16=""),"",IF(AND(NR15=0,NR16=""),"", IF(AND(NR15="",NR16=0),"",1)))))</f>
        <v/>
      </c>
      <c r="NS17" s="40" t="str">
        <f t="shared" ref="NS17" si="621">IF(AND(NS15&lt;&gt;0,NS16&lt;&gt;0),(NS15-NS16)/NS16,IF(AND(NS15=0,NS16=0),"",IF(AND(NS15="",NS16=""),"",IF(AND(NS15=0,NS16=""),"", IF(AND(NS15="",NS16=0),"",1)))))</f>
        <v/>
      </c>
      <c r="NT17" s="40" t="str">
        <f t="shared" ref="NT17" si="622">IF(AND(NT15&lt;&gt;0,NT16&lt;&gt;0),(NT15-NT16)/NT16,IF(AND(NT15=0,NT16=0),"",IF(AND(NT15="",NT16=""),"",IF(AND(NT15=0,NT16=""),"", IF(AND(NT15="",NT16=0),"",1)))))</f>
        <v/>
      </c>
      <c r="NU17" s="40" t="str">
        <f t="shared" ref="NU17" si="623">IF(AND(NU15&lt;&gt;0,NU16&lt;&gt;0),(NU15-NU16)/NU16,IF(AND(NU15=0,NU16=0),"",IF(AND(NU15="",NU16=""),"",IF(AND(NU15=0,NU16=""),"", IF(AND(NU15="",NU16=0),"",1)))))</f>
        <v/>
      </c>
      <c r="NV17" s="40" t="str">
        <f t="shared" ref="NV17" si="624">IF(AND(NV15&lt;&gt;0,NV16&lt;&gt;0),(NV15-NV16)/NV16,IF(AND(NV15=0,NV16=0),"",IF(AND(NV15="",NV16=""),"",IF(AND(NV15=0,NV16=""),"", IF(AND(NV15="",NV16=0),"",1)))))</f>
        <v/>
      </c>
      <c r="NW17" s="40" t="str">
        <f t="shared" ref="NW17" si="625">IF(AND(NW15&lt;&gt;0,NW16&lt;&gt;0),(NW15-NW16)/NW16,IF(AND(NW15=0,NW16=0),"",IF(AND(NW15="",NW16=""),"",IF(AND(NW15=0,NW16=""),"", IF(AND(NW15="",NW16=0),"",1)))))</f>
        <v/>
      </c>
      <c r="NX17" s="40" t="str">
        <f t="shared" ref="NX17" si="626">IF(AND(NX15&lt;&gt;0,NX16&lt;&gt;0),(NX15-NX16)/NX16,IF(AND(NX15=0,NX16=0),"",IF(AND(NX15="",NX16=""),"",IF(AND(NX15=0,NX16=""),"", IF(AND(NX15="",NX16=0),"",1)))))</f>
        <v/>
      </c>
      <c r="NY17" s="40" t="str">
        <f t="shared" ref="NY17" si="627">IF(AND(NY15&lt;&gt;0,NY16&lt;&gt;0),(NY15-NY16)/NY16,IF(AND(NY15=0,NY16=0),"",IF(AND(NY15="",NY16=""),"",IF(AND(NY15=0,NY16=""),"", IF(AND(NY15="",NY16=0),"",1)))))</f>
        <v/>
      </c>
      <c r="NZ17" s="40" t="str">
        <f t="shared" ref="NZ17" si="628">IF(AND(NZ15&lt;&gt;0,NZ16&lt;&gt;0),(NZ15-NZ16)/NZ16,IF(AND(NZ15=0,NZ16=0),"",IF(AND(NZ15="",NZ16=""),"",IF(AND(NZ15=0,NZ16=""),"", IF(AND(NZ15="",NZ16=0),"",1)))))</f>
        <v/>
      </c>
      <c r="OA17" s="40" t="str">
        <f t="shared" ref="OA17" si="629">IF(AND(OA15&lt;&gt;0,OA16&lt;&gt;0),(OA15-OA16)/OA16,IF(AND(OA15=0,OA16=0),"",IF(AND(OA15="",OA16=""),"",IF(AND(OA15=0,OA16=""),"", IF(AND(OA15="",OA16=0),"",1)))))</f>
        <v/>
      </c>
      <c r="OB17" s="40" t="str">
        <f t="shared" ref="OB17" si="630">IF(AND(OB15&lt;&gt;0,OB16&lt;&gt;0),(OB15-OB16)/OB16,IF(AND(OB15=0,OB16=0),"",IF(AND(OB15="",OB16=""),"",IF(AND(OB15=0,OB16=""),"", IF(AND(OB15="",OB16=0),"",1)))))</f>
        <v/>
      </c>
      <c r="OC17" s="40" t="str">
        <f t="shared" ref="OC17" si="631">IF(AND(OC15&lt;&gt;0,OC16&lt;&gt;0),(OC15-OC16)/OC16,IF(AND(OC15=0,OC16=0),"",IF(AND(OC15="",OC16=""),"",IF(AND(OC15=0,OC16=""),"", IF(AND(OC15="",OC16=0),"",1)))))</f>
        <v/>
      </c>
      <c r="OD17" s="40" t="str">
        <f t="shared" ref="OD17" si="632">IF(AND(OD15&lt;&gt;0,OD16&lt;&gt;0),(OD15-OD16)/OD16,IF(AND(OD15=0,OD16=0),"",IF(AND(OD15="",OD16=""),"",IF(AND(OD15=0,OD16=""),"", IF(AND(OD15="",OD16=0),"",1)))))</f>
        <v/>
      </c>
      <c r="OE17" s="40" t="str">
        <f t="shared" ref="OE17" si="633">IF(AND(OE15&lt;&gt;0,OE16&lt;&gt;0),(OE15-OE16)/OE16,IF(AND(OE15=0,OE16=0),"",IF(AND(OE15="",OE16=""),"",IF(AND(OE15=0,OE16=""),"", IF(AND(OE15="",OE16=0),"",1)))))</f>
        <v/>
      </c>
      <c r="OF17" s="40" t="str">
        <f t="shared" ref="OF17" si="634">IF(AND(OF15&lt;&gt;0,OF16&lt;&gt;0),(OF15-OF16)/OF16,IF(AND(OF15=0,OF16=0),"",IF(AND(OF15="",OF16=""),"",IF(AND(OF15=0,OF16=""),"", IF(AND(OF15="",OF16=0),"",1)))))</f>
        <v/>
      </c>
      <c r="OG17" s="40" t="str">
        <f t="shared" ref="OG17" si="635">IF(AND(OG15&lt;&gt;0,OG16&lt;&gt;0),(OG15-OG16)/OG16,IF(AND(OG15=0,OG16=0),"",IF(AND(OG15="",OG16=""),"",IF(AND(OG15=0,OG16=""),"", IF(AND(OG15="",OG16=0),"",1)))))</f>
        <v/>
      </c>
      <c r="OH17" s="40" t="str">
        <f t="shared" ref="OH17" si="636">IF(AND(OH15&lt;&gt;0,OH16&lt;&gt;0),(OH15-OH16)/OH16,IF(AND(OH15=0,OH16=0),"",IF(AND(OH15="",OH16=""),"",IF(AND(OH15=0,OH16=""),"", IF(AND(OH15="",OH16=0),"",1)))))</f>
        <v/>
      </c>
      <c r="OI17" s="40" t="str">
        <f t="shared" ref="OI17" si="637">IF(AND(OI15&lt;&gt;0,OI16&lt;&gt;0),(OI15-OI16)/OI16,IF(AND(OI15=0,OI16=0),"",IF(AND(OI15="",OI16=""),"",IF(AND(OI15=0,OI16=""),"", IF(AND(OI15="",OI16=0),"",1)))))</f>
        <v/>
      </c>
      <c r="OJ17" s="40" t="str">
        <f t="shared" ref="OJ17" si="638">IF(AND(OJ15&lt;&gt;0,OJ16&lt;&gt;0),(OJ15-OJ16)/OJ16,IF(AND(OJ15=0,OJ16=0),"",IF(AND(OJ15="",OJ16=""),"",IF(AND(OJ15=0,OJ16=""),"", IF(AND(OJ15="",OJ16=0),"",1)))))</f>
        <v/>
      </c>
      <c r="OK17" s="40" t="str">
        <f t="shared" ref="OK17" si="639">IF(AND(OK15&lt;&gt;0,OK16&lt;&gt;0),(OK15-OK16)/OK16,IF(AND(OK15=0,OK16=0),"",IF(AND(OK15="",OK16=""),"",IF(AND(OK15=0,OK16=""),"", IF(AND(OK15="",OK16=0),"",1)))))</f>
        <v/>
      </c>
      <c r="OL17" s="40" t="str">
        <f t="shared" ref="OL17" si="640">IF(AND(OL15&lt;&gt;0,OL16&lt;&gt;0),(OL15-OL16)/OL16,IF(AND(OL15=0,OL16=0),"",IF(AND(OL15="",OL16=""),"",IF(AND(OL15=0,OL16=""),"", IF(AND(OL15="",OL16=0),"",1)))))</f>
        <v/>
      </c>
      <c r="OM17" s="40" t="str">
        <f t="shared" ref="OM17" si="641">IF(AND(OM15&lt;&gt;0,OM16&lt;&gt;0),(OM15-OM16)/OM16,IF(AND(OM15=0,OM16=0),"",IF(AND(OM15="",OM16=""),"",IF(AND(OM15=0,OM16=""),"", IF(AND(OM15="",OM16=0),"",1)))))</f>
        <v/>
      </c>
      <c r="ON17" s="40" t="str">
        <f t="shared" ref="ON17:PB17" si="642">IF(AND(ON15&lt;&gt;0,ON16&lt;&gt;0),(ON15-ON16)/ON16,IF(AND(ON15=0,ON16=0),"",IF(AND(ON15="",ON16=""),"",IF(AND(ON15=0,ON16=""),"", IF(AND(ON15="",ON16=0),"",1)))))</f>
        <v/>
      </c>
      <c r="OO17" s="40">
        <f t="shared" si="642"/>
        <v>-0.10884077497073742</v>
      </c>
      <c r="OP17" s="40">
        <f t="shared" si="642"/>
        <v>-3.2209862073173022E-2</v>
      </c>
      <c r="OQ17" s="40">
        <f t="shared" si="642"/>
        <v>1</v>
      </c>
      <c r="OR17" s="40" t="str">
        <f t="shared" si="642"/>
        <v/>
      </c>
      <c r="OS17" s="40" t="str">
        <f t="shared" si="642"/>
        <v/>
      </c>
      <c r="OT17" s="40" t="str">
        <f t="shared" si="642"/>
        <v/>
      </c>
      <c r="OU17" s="40" t="str">
        <f t="shared" si="642"/>
        <v/>
      </c>
      <c r="OV17" s="40" t="str">
        <f t="shared" si="642"/>
        <v/>
      </c>
      <c r="OW17" s="40" t="str">
        <f t="shared" si="642"/>
        <v/>
      </c>
      <c r="OX17" s="40" t="str">
        <f t="shared" si="642"/>
        <v/>
      </c>
      <c r="OY17" s="40" t="str">
        <f t="shared" si="642"/>
        <v/>
      </c>
      <c r="OZ17" s="40" t="str">
        <f t="shared" si="642"/>
        <v/>
      </c>
      <c r="PA17" s="40" t="str">
        <f t="shared" si="642"/>
        <v/>
      </c>
      <c r="PB17" s="40" t="str">
        <f t="shared" si="642"/>
        <v/>
      </c>
      <c r="PC17" s="41">
        <f t="shared" ref="PC17" si="643">IF(AND(PC15&lt;&gt;0,PC16&lt;&gt;0),(PC15-PC16)/PC16,IF(AND(PC15=0,PC16=0),"",IF(AND(PC15="",PC16=""),"",IF(AND(PC15=0,PC16=""),"", IF(AND(PC15="",PC16=0),"",1)))))</f>
        <v>2.1368847920892064E-2</v>
      </c>
    </row>
    <row r="18" spans="1:419" outlineLevel="1" x14ac:dyDescent="0.4">
      <c r="A18" s="46" t="s">
        <v>42</v>
      </c>
      <c r="B18" s="14">
        <f>'[1]D-PDP'!$CB$12</f>
        <v>145382.84375</v>
      </c>
      <c r="C18" s="14">
        <f>'[1]D-PDP'!$CB$13</f>
        <v>145897.484375</v>
      </c>
      <c r="D18" s="14">
        <f>'[1]D-PDP'!$CB$14</f>
        <v>146173.71875</v>
      </c>
      <c r="E18" s="14">
        <f>'[1]D-PDP'!$CB$15</f>
        <v>146415.40625</v>
      </c>
      <c r="F18" s="14">
        <f>'[1]D-PDP'!$CB$16</f>
        <v>146593.515625</v>
      </c>
      <c r="G18" s="14">
        <f>'[1]D-PDP'!$CB$17</f>
        <v>146781.5</v>
      </c>
      <c r="H18" s="14">
        <f>'[1]D-PDP'!$CB$18</f>
        <v>146821.921875</v>
      </c>
      <c r="I18" s="14">
        <f>'[1]D-PDP'!$CB$19</f>
        <v>146891.328125</v>
      </c>
      <c r="J18" s="14">
        <f>'[1]D-PDP'!$CB$20</f>
        <v>146938.78125</v>
      </c>
      <c r="K18" s="14">
        <f>'[1]D-PDP'!$CB$21</f>
        <v>147027.890625</v>
      </c>
      <c r="L18" s="14">
        <f>'[1]D-PDP'!$CB$22</f>
        <v>122480.703125</v>
      </c>
      <c r="M18" s="14">
        <f>'[1]D-PDP'!$CB$23</f>
        <v>0</v>
      </c>
      <c r="N18" s="14">
        <f>'[1]D-PDP'!$CB$24</f>
        <v>0</v>
      </c>
      <c r="O18" s="14">
        <f>'[1]D-PDP'!$CB$25</f>
        <v>0</v>
      </c>
      <c r="P18" s="14">
        <f>'[1]D-PDP'!$CB$26</f>
        <v>0</v>
      </c>
      <c r="Q18" s="14">
        <f>'[1]D-PDP'!$CB$27</f>
        <v>0</v>
      </c>
      <c r="R18" s="14">
        <f>'[1]D-PDP'!$CB$28</f>
        <v>0</v>
      </c>
      <c r="S18" s="14">
        <f>'[1]D-PDP'!$CB$29</f>
        <v>0</v>
      </c>
      <c r="T18" s="14">
        <f>'[1]D-PDP'!$CB$30</f>
        <v>0</v>
      </c>
      <c r="U18" s="14">
        <f>'[1]D-PDP'!$CB$31</f>
        <v>0</v>
      </c>
      <c r="V18" s="14">
        <f>'[1]D-PDP'!$CB$32</f>
        <v>0</v>
      </c>
      <c r="W18" s="14">
        <f>'[1]D-PDP'!$CB$33</f>
        <v>0</v>
      </c>
      <c r="X18" s="14">
        <f>'[1]D-PDP'!$CB$34</f>
        <v>0</v>
      </c>
      <c r="Y18" s="14">
        <f>'[1]D-PDP'!$CB$35</f>
        <v>0</v>
      </c>
      <c r="Z18" s="14">
        <f>'[1]D-PDP'!$CB$36</f>
        <v>0</v>
      </c>
      <c r="AA18" s="14">
        <f>'[1]D-PDP'!$CB$37</f>
        <v>0</v>
      </c>
      <c r="AB18" s="14">
        <f>'[1]D-PDP'!$CB$38</f>
        <v>0</v>
      </c>
      <c r="AC18" s="14">
        <f>'[1]D-PDP'!$CB$39</f>
        <v>0</v>
      </c>
      <c r="AD18" s="14">
        <f>'[1]D-PDP'!$CB$40</f>
        <v>0</v>
      </c>
      <c r="AE18" s="14">
        <f>'[1]D-PDP'!$CB$41</f>
        <v>0</v>
      </c>
      <c r="AF18" s="14">
        <f>'[1]D-PDP'!$CB$42</f>
        <v>0</v>
      </c>
      <c r="AG18" s="14">
        <f>'[1]D-PDP'!$CB$43</f>
        <v>0</v>
      </c>
      <c r="AH18" s="14">
        <f>'[1]D-PDP'!$CB$44</f>
        <v>0</v>
      </c>
      <c r="AI18" s="14">
        <f>'[1]D-PDP'!$CB$45</f>
        <v>0</v>
      </c>
      <c r="AJ18" s="14">
        <f>'[1]D-PDP'!$CB$46</f>
        <v>0</v>
      </c>
      <c r="AK18" s="14">
        <f>'[1]D-PDP'!$CB$47</f>
        <v>0</v>
      </c>
      <c r="AL18" s="14">
        <f>'[1]D-PDP'!$CB$48</f>
        <v>0</v>
      </c>
      <c r="AM18" s="16">
        <f>SUM(B18:AL18)</f>
        <v>1587405.09375</v>
      </c>
      <c r="AN18" s="28">
        <f>'[1]D-PNP'!$CB$12</f>
        <v>0</v>
      </c>
      <c r="AO18" s="14">
        <f>'[1]D-PNP'!$CB$13</f>
        <v>0</v>
      </c>
      <c r="AP18" s="14">
        <f>'[1]D-PNP'!$CB$14</f>
        <v>0</v>
      </c>
      <c r="AQ18" s="14">
        <f>'[1]D-PNP'!$CB$15</f>
        <v>0</v>
      </c>
      <c r="AR18" s="14">
        <f>'[1]D-PNP'!$CB$16</f>
        <v>0</v>
      </c>
      <c r="AS18" s="14">
        <f>'[1]D-PNP'!$CB$17</f>
        <v>0</v>
      </c>
      <c r="AT18" s="14">
        <f>'[1]D-PNP'!$CB$18</f>
        <v>0</v>
      </c>
      <c r="AU18" s="14">
        <f>'[1]D-PNP'!$CB$19</f>
        <v>0</v>
      </c>
      <c r="AV18" s="14">
        <f>'[1]D-PNP'!$CB$20</f>
        <v>0</v>
      </c>
      <c r="AW18" s="14">
        <f>'[1]D-PNP'!$CB$21</f>
        <v>0</v>
      </c>
      <c r="AX18" s="14">
        <f>'[1]D-PNP'!$CB$22</f>
        <v>0</v>
      </c>
      <c r="AY18" s="14">
        <f>'[1]D-PNP'!$CB$23</f>
        <v>0</v>
      </c>
      <c r="AZ18" s="14">
        <f>'[1]D-PNP'!$CB$24</f>
        <v>0</v>
      </c>
      <c r="BA18" s="14">
        <f>'[1]D-PNP'!$CB$25</f>
        <v>0</v>
      </c>
      <c r="BB18" s="14">
        <f>'[1]D-PNP'!$CB$26</f>
        <v>0</v>
      </c>
      <c r="BC18" s="14">
        <f>'[1]D-PNP'!$CB$27</f>
        <v>0</v>
      </c>
      <c r="BD18" s="14">
        <f>'[1]D-PNP'!$CB$28</f>
        <v>0</v>
      </c>
      <c r="BE18" s="14">
        <f>'[1]D-PNP'!$CB$29</f>
        <v>0</v>
      </c>
      <c r="BF18" s="14">
        <f>'[1]D-PNP'!$CB$30</f>
        <v>0</v>
      </c>
      <c r="BG18" s="14">
        <f>'[1]D-PNP'!$CB$31</f>
        <v>0</v>
      </c>
      <c r="BH18" s="14">
        <f>'[1]D-PNP'!$CB$32</f>
        <v>0</v>
      </c>
      <c r="BI18" s="14">
        <f>'[1]D-PNP'!$CB$33</f>
        <v>0</v>
      </c>
      <c r="BJ18" s="14">
        <f>'[1]D-PNP'!$CB$34</f>
        <v>0</v>
      </c>
      <c r="BK18" s="14">
        <f>'[1]D-PNP'!$CB$35</f>
        <v>0</v>
      </c>
      <c r="BL18" s="14">
        <f>'[1]D-PNP'!$CB$36</f>
        <v>0</v>
      </c>
      <c r="BM18" s="14">
        <f>'[1]D-PNP'!$CB$37</f>
        <v>0</v>
      </c>
      <c r="BN18" s="14">
        <f>'[1]D-PNP'!$CB$38</f>
        <v>0</v>
      </c>
      <c r="BO18" s="14">
        <f>'[1]D-PNP'!$CB$39</f>
        <v>0</v>
      </c>
      <c r="BP18" s="14">
        <f>'[1]D-PNP'!$CB$40</f>
        <v>0</v>
      </c>
      <c r="BQ18" s="14">
        <f>'[1]D-PNP'!$CB$41</f>
        <v>0</v>
      </c>
      <c r="BR18" s="14">
        <f>'[1]D-PNP'!$CB$42</f>
        <v>0</v>
      </c>
      <c r="BS18" s="14">
        <f>'[1]D-PNP'!$CB$43</f>
        <v>0</v>
      </c>
      <c r="BT18" s="14">
        <f>'[1]D-PNP'!$CB$44</f>
        <v>0</v>
      </c>
      <c r="BU18" s="14">
        <f>'[1]D-PNP'!$CB$45</f>
        <v>0</v>
      </c>
      <c r="BV18" s="14">
        <f>'[1]D-PNP'!$CB$46</f>
        <v>0</v>
      </c>
      <c r="BW18" s="14">
        <f>'[1]D-PNP'!$CB$47</f>
        <v>0</v>
      </c>
      <c r="BX18" s="14">
        <f>'[1]D-PNP'!$CB$48</f>
        <v>0</v>
      </c>
      <c r="BY18" s="16">
        <f>SUM(AN18:BX18)</f>
        <v>0</v>
      </c>
      <c r="BZ18" s="28">
        <f>'[1]D-PND'!$CB$12</f>
        <v>0</v>
      </c>
      <c r="CA18" s="14">
        <f>'[1]D-PND'!$CB$13</f>
        <v>0</v>
      </c>
      <c r="CB18" s="14">
        <f>'[1]D-PND'!$CB$14</f>
        <v>0</v>
      </c>
      <c r="CC18" s="14">
        <f>'[1]D-PND'!$CB$15</f>
        <v>0</v>
      </c>
      <c r="CD18" s="14">
        <f>'[1]D-PND'!$CB$16</f>
        <v>0</v>
      </c>
      <c r="CE18" s="14">
        <f>'[1]D-PND'!$CB$17</f>
        <v>0</v>
      </c>
      <c r="CF18" s="14">
        <f>'[1]D-PND'!$CB$18</f>
        <v>0</v>
      </c>
      <c r="CG18" s="14">
        <f>'[1]D-PND'!$CB$19</f>
        <v>0</v>
      </c>
      <c r="CH18" s="14">
        <f>'[1]D-PND'!$CB$20</f>
        <v>0</v>
      </c>
      <c r="CI18" s="14">
        <f>'[1]D-PND'!$CB$21</f>
        <v>0</v>
      </c>
      <c r="CJ18" s="14">
        <f>'[1]D-PND'!$CB$22</f>
        <v>0</v>
      </c>
      <c r="CK18" s="14">
        <f>'[1]D-PND'!$CB$23</f>
        <v>0</v>
      </c>
      <c r="CL18" s="14">
        <f>'[1]D-PND'!$CB$24</f>
        <v>0</v>
      </c>
      <c r="CM18" s="14">
        <f>'[1]D-PND'!$CB$25</f>
        <v>0</v>
      </c>
      <c r="CN18" s="14">
        <f>'[1]D-PND'!$CB$26</f>
        <v>0</v>
      </c>
      <c r="CO18" s="14">
        <f>'[1]D-PND'!$CB$27</f>
        <v>0</v>
      </c>
      <c r="CP18" s="14">
        <f>'[1]D-PND'!$CB$28</f>
        <v>0</v>
      </c>
      <c r="CQ18" s="14">
        <f>'[1]D-PND'!$CB$29</f>
        <v>0</v>
      </c>
      <c r="CR18" s="14">
        <f>'[1]D-PND'!$CB$30</f>
        <v>0</v>
      </c>
      <c r="CS18" s="14">
        <f>'[1]D-PND'!$CB$31</f>
        <v>0</v>
      </c>
      <c r="CT18" s="14">
        <f>'[1]D-PND'!$CB$32</f>
        <v>0</v>
      </c>
      <c r="CU18" s="14">
        <f>'[1]D-PND'!$CB$33</f>
        <v>0</v>
      </c>
      <c r="CV18" s="14">
        <f>'[1]D-PND'!$CB$34</f>
        <v>0</v>
      </c>
      <c r="CW18" s="14">
        <f>'[1]D-PND'!$CB$35</f>
        <v>0</v>
      </c>
      <c r="CX18" s="14">
        <f>'[1]D-PND'!$CB$36</f>
        <v>0</v>
      </c>
      <c r="CY18" s="14">
        <f>'[1]D-PND'!$CB$37</f>
        <v>0</v>
      </c>
      <c r="CZ18" s="14">
        <f>'[1]D-PND'!$CB$38</f>
        <v>0</v>
      </c>
      <c r="DA18" s="14">
        <f>'[1]D-PND'!$CB$39</f>
        <v>0</v>
      </c>
      <c r="DB18" s="14">
        <f>'[1]D-PND'!$CB$40</f>
        <v>0</v>
      </c>
      <c r="DC18" s="14">
        <f>'[1]D-PND'!$CB$41</f>
        <v>0</v>
      </c>
      <c r="DD18" s="14">
        <f>'[1]D-PND'!$CB$42</f>
        <v>0</v>
      </c>
      <c r="DE18" s="14">
        <f>'[1]D-PND'!$CB$43</f>
        <v>0</v>
      </c>
      <c r="DF18" s="14">
        <f>'[1]D-PND'!$CB$44</f>
        <v>0</v>
      </c>
      <c r="DG18" s="14">
        <f>'[1]D-PND'!$CB$45</f>
        <v>0</v>
      </c>
      <c r="DH18" s="14">
        <f>'[1]D-PND'!$CB$46</f>
        <v>0</v>
      </c>
      <c r="DI18" s="14">
        <f>'[1]D-PND'!$CB$47</f>
        <v>0</v>
      </c>
      <c r="DJ18" s="14">
        <f>'[1]D-PND'!$CB$48</f>
        <v>0</v>
      </c>
      <c r="DK18" s="16">
        <f>SUM(BZ18:DJ18)</f>
        <v>0</v>
      </c>
      <c r="DL18" s="66"/>
      <c r="DM18" s="67"/>
      <c r="DN18" s="67"/>
      <c r="DO18" s="67"/>
      <c r="DP18" s="67"/>
      <c r="DQ18" s="67"/>
      <c r="DR18" s="67"/>
      <c r="DS18" s="67"/>
      <c r="DT18" s="67"/>
      <c r="DU18" s="67"/>
      <c r="DV18" s="67"/>
      <c r="DW18" s="67"/>
      <c r="DX18" s="67"/>
      <c r="DY18" s="67"/>
      <c r="DZ18" s="67"/>
      <c r="EA18" s="67"/>
      <c r="EB18" s="67"/>
      <c r="EC18" s="67"/>
      <c r="ED18" s="67"/>
      <c r="EE18" s="67"/>
      <c r="EF18" s="67"/>
      <c r="EG18" s="67"/>
      <c r="EH18" s="67"/>
      <c r="EI18" s="67"/>
      <c r="EJ18" s="67"/>
      <c r="EK18" s="67"/>
      <c r="EL18" s="67"/>
      <c r="EM18" s="67"/>
      <c r="EN18" s="67"/>
      <c r="EO18" s="67"/>
      <c r="EP18" s="67"/>
      <c r="EQ18" s="67"/>
      <c r="ER18" s="67"/>
      <c r="ES18" s="67"/>
      <c r="ET18" s="67"/>
      <c r="EU18" s="67"/>
      <c r="EV18" s="67"/>
      <c r="EW18" s="68">
        <f>SUM(DL18:EV18)</f>
        <v>0</v>
      </c>
      <c r="EX18" s="66"/>
      <c r="EY18" s="67"/>
      <c r="EZ18" s="67"/>
      <c r="FA18" s="67"/>
      <c r="FB18" s="67"/>
      <c r="FC18" s="67"/>
      <c r="FD18" s="67"/>
      <c r="FE18" s="67"/>
      <c r="FF18" s="67"/>
      <c r="FG18" s="67"/>
      <c r="FH18" s="67"/>
      <c r="FI18" s="67"/>
      <c r="FJ18" s="67"/>
      <c r="FK18" s="67"/>
      <c r="FL18" s="67"/>
      <c r="FM18" s="67"/>
      <c r="FN18" s="67"/>
      <c r="FO18" s="67"/>
      <c r="FP18" s="67"/>
      <c r="FQ18" s="67"/>
      <c r="FR18" s="67"/>
      <c r="FS18" s="67"/>
      <c r="FT18" s="67"/>
      <c r="FU18" s="67"/>
      <c r="FV18" s="67"/>
      <c r="FW18" s="67"/>
      <c r="FX18" s="67"/>
      <c r="FY18" s="67"/>
      <c r="FZ18" s="67"/>
      <c r="GA18" s="67"/>
      <c r="GB18" s="67"/>
      <c r="GC18" s="67"/>
      <c r="GD18" s="67"/>
      <c r="GE18" s="67"/>
      <c r="GF18" s="67"/>
      <c r="GG18" s="67"/>
      <c r="GH18" s="67"/>
      <c r="GI18" s="68">
        <f>SUM(EX18:GH18)</f>
        <v>0</v>
      </c>
      <c r="GJ18" s="66"/>
      <c r="GK18" s="67"/>
      <c r="GL18" s="67"/>
      <c r="GM18" s="67"/>
      <c r="GN18" s="67"/>
      <c r="GO18" s="67"/>
      <c r="GP18" s="67"/>
      <c r="GQ18" s="67"/>
      <c r="GR18" s="67"/>
      <c r="GS18" s="67"/>
      <c r="GT18" s="67"/>
      <c r="GU18" s="67"/>
      <c r="GV18" s="67"/>
      <c r="GW18" s="67"/>
      <c r="GX18" s="67"/>
      <c r="GY18" s="67"/>
      <c r="GZ18" s="67"/>
      <c r="HA18" s="67"/>
      <c r="HB18" s="67"/>
      <c r="HC18" s="67"/>
      <c r="HD18" s="67"/>
      <c r="HE18" s="67"/>
      <c r="HF18" s="67"/>
      <c r="HG18" s="67"/>
      <c r="HH18" s="67"/>
      <c r="HI18" s="67"/>
      <c r="HJ18" s="67"/>
      <c r="HK18" s="67"/>
      <c r="HL18" s="67"/>
      <c r="HM18" s="67"/>
      <c r="HN18" s="67"/>
      <c r="HO18" s="67"/>
      <c r="HP18" s="67"/>
      <c r="HQ18" s="67"/>
      <c r="HR18" s="67"/>
      <c r="HS18" s="67"/>
      <c r="HT18" s="67"/>
      <c r="HU18" s="68">
        <f>SUM(GJ18:HT18)</f>
        <v>0</v>
      </c>
      <c r="HV18" s="28">
        <f>'[1]D-PRB'!$CB$12</f>
        <v>4763.84912109375</v>
      </c>
      <c r="HW18" s="14">
        <f>'[1]D-PRB'!$CB$13</f>
        <v>1507.7581380208333</v>
      </c>
      <c r="HX18" s="14">
        <f>'[1]D-PRB'!$CB$14</f>
        <v>1458.8429361979167</v>
      </c>
      <c r="HY18" s="14">
        <f>'[1]D-PRB'!$CB$15</f>
        <v>1439.9767252604167</v>
      </c>
      <c r="HZ18" s="14">
        <f>'[1]D-PRB'!$CB$16</f>
        <v>1439.0135091145833</v>
      </c>
      <c r="IA18" s="14">
        <f>'[1]D-PRB'!$CB$17</f>
        <v>1454.2233072916667</v>
      </c>
      <c r="IB18" s="14">
        <f>'[1]D-PRB'!$CB$18</f>
        <v>1470.0107421875</v>
      </c>
      <c r="IC18" s="14">
        <f>'[1]D-PRB'!$CB$19</f>
        <v>1496.19677734375</v>
      </c>
      <c r="ID18" s="14">
        <f>'[1]D-PRB'!$CB$20</f>
        <v>1526.8224283854167</v>
      </c>
      <c r="IE18" s="14">
        <f>'[1]D-PRB'!$CB$21</f>
        <v>1564.52490234375</v>
      </c>
      <c r="IF18" s="14">
        <f>'[1]D-PRB'!$CB$22</f>
        <v>9765.3020833333339</v>
      </c>
      <c r="IG18" s="14">
        <f>'[1]D-PRB'!$CB$23</f>
        <v>50631.416666666664</v>
      </c>
      <c r="IH18" s="14">
        <f>'[1]D-PRB'!$CB$24</f>
        <v>50668.46875</v>
      </c>
      <c r="II18" s="14">
        <f>'[1]D-PRB'!$CB$25</f>
        <v>50727.375</v>
      </c>
      <c r="IJ18" s="14">
        <f>'[1]D-PRB'!$CB$26</f>
        <v>50736.864583333336</v>
      </c>
      <c r="IK18" s="14">
        <f>'[1]D-PRB'!$CB$27</f>
        <v>50767.984375</v>
      </c>
      <c r="IL18" s="14">
        <f>'[1]D-PRB'!$CB$28</f>
        <v>50797.744791666664</v>
      </c>
      <c r="IM18" s="14">
        <f>'[1]D-PRB'!$CB$29</f>
        <v>50850.078125</v>
      </c>
      <c r="IN18" s="14">
        <f>'[1]D-PRB'!$CB$30</f>
        <v>50852.104166666664</v>
      </c>
      <c r="IO18" s="14">
        <f>'[1]D-PRB'!$CB$31</f>
        <v>50877.260416666664</v>
      </c>
      <c r="IP18" s="14">
        <f>'[1]D-PRB'!$CB$32</f>
        <v>50901.067708333336</v>
      </c>
      <c r="IQ18" s="14">
        <f>'[1]D-PRB'!$CB$33</f>
        <v>50947.598958333336</v>
      </c>
      <c r="IR18" s="14">
        <f>'[1]D-PRB'!$CB$34</f>
        <v>50944.421875</v>
      </c>
      <c r="IS18" s="14">
        <f>'[1]D-PRB'!$CB$35</f>
        <v>4260.631510416667</v>
      </c>
      <c r="IT18" s="14">
        <f>'[1]D-PRB'!$CB$36</f>
        <v>0</v>
      </c>
      <c r="IU18" s="14">
        <f>'[1]D-PRB'!$CB$37</f>
        <v>0</v>
      </c>
      <c r="IV18" s="14">
        <f>'[1]D-PRB'!$CB$38</f>
        <v>0</v>
      </c>
      <c r="IW18" s="14">
        <f>'[1]D-PRB'!$CB$39</f>
        <v>0</v>
      </c>
      <c r="IX18" s="14">
        <f>'[1]D-PRB'!$CB$40</f>
        <v>0</v>
      </c>
      <c r="IY18" s="14">
        <f>'[1]D-PRB'!$CB$41</f>
        <v>0</v>
      </c>
      <c r="IZ18" s="14">
        <f>'[1]D-PRB'!$CB$42</f>
        <v>0</v>
      </c>
      <c r="JA18" s="14">
        <f>'[1]D-PRB'!$CB$43</f>
        <v>0</v>
      </c>
      <c r="JB18" s="14">
        <f>'[1]D-PRB'!$CB$44</f>
        <v>0</v>
      </c>
      <c r="JC18" s="14">
        <f>'[1]D-PRB'!$CB$45</f>
        <v>0</v>
      </c>
      <c r="JD18" s="14">
        <f>'[1]D-PRB'!$CB$46</f>
        <v>0</v>
      </c>
      <c r="JE18" s="14">
        <f>'[1]D-PRB'!$CB$47</f>
        <v>0</v>
      </c>
      <c r="JF18" s="14">
        <f>'[1]D-PRB'!$CB$48</f>
        <v>0</v>
      </c>
      <c r="JG18" s="16">
        <f>SUM(HV18:JF18)</f>
        <v>641849.53759765625</v>
      </c>
      <c r="JH18" s="66"/>
      <c r="JI18" s="67"/>
      <c r="JJ18" s="67"/>
      <c r="JK18" s="67"/>
      <c r="JL18" s="67"/>
      <c r="JM18" s="67"/>
      <c r="JN18" s="67"/>
      <c r="JO18" s="67"/>
      <c r="JP18" s="67"/>
      <c r="JQ18" s="67"/>
      <c r="JR18" s="67"/>
      <c r="JS18" s="67"/>
      <c r="JT18" s="67"/>
      <c r="JU18" s="67"/>
      <c r="JV18" s="67"/>
      <c r="JW18" s="67"/>
      <c r="JX18" s="67"/>
      <c r="JY18" s="67"/>
      <c r="JZ18" s="67"/>
      <c r="KA18" s="67"/>
      <c r="KB18" s="67"/>
      <c r="KC18" s="67"/>
      <c r="KD18" s="67"/>
      <c r="KE18" s="67"/>
      <c r="KF18" s="67"/>
      <c r="KG18" s="67"/>
      <c r="KH18" s="67"/>
      <c r="KI18" s="67"/>
      <c r="KJ18" s="67"/>
      <c r="KK18" s="67"/>
      <c r="KL18" s="67"/>
      <c r="KM18" s="67"/>
      <c r="KN18" s="67"/>
      <c r="KO18" s="67"/>
      <c r="KP18" s="67"/>
      <c r="KQ18" s="67"/>
      <c r="KR18" s="67"/>
      <c r="KS18" s="68">
        <f>SUM(JH18:KR18)</f>
        <v>0</v>
      </c>
      <c r="KT18" s="66"/>
      <c r="KU18" s="67"/>
      <c r="KV18" s="67"/>
      <c r="KW18" s="67"/>
      <c r="KX18" s="67"/>
      <c r="KY18" s="67"/>
      <c r="KZ18" s="67"/>
      <c r="LA18" s="67"/>
      <c r="LB18" s="67"/>
      <c r="LC18" s="67"/>
      <c r="LD18" s="67"/>
      <c r="LE18" s="67"/>
      <c r="LF18" s="67"/>
      <c r="LG18" s="67"/>
      <c r="LH18" s="67"/>
      <c r="LI18" s="67"/>
      <c r="LJ18" s="67"/>
      <c r="LK18" s="67"/>
      <c r="LL18" s="67"/>
      <c r="LM18" s="67"/>
      <c r="LN18" s="67"/>
      <c r="LO18" s="67"/>
      <c r="LP18" s="67"/>
      <c r="LQ18" s="67"/>
      <c r="LR18" s="67"/>
      <c r="LS18" s="67"/>
      <c r="LT18" s="67"/>
      <c r="LU18" s="67"/>
      <c r="LV18" s="67"/>
      <c r="LW18" s="67"/>
      <c r="LX18" s="67"/>
      <c r="LY18" s="67"/>
      <c r="LZ18" s="67"/>
      <c r="MA18" s="67"/>
      <c r="MB18" s="67"/>
      <c r="MC18" s="67"/>
      <c r="MD18" s="67"/>
      <c r="ME18" s="68">
        <f>SUM(KT18:MD18)</f>
        <v>0</v>
      </c>
      <c r="MF18" s="66"/>
      <c r="MG18" s="67"/>
      <c r="MH18" s="67"/>
      <c r="MI18" s="67"/>
      <c r="MJ18" s="67"/>
      <c r="MK18" s="67"/>
      <c r="ML18" s="67"/>
      <c r="MM18" s="67"/>
      <c r="MN18" s="67"/>
      <c r="MO18" s="67"/>
      <c r="MP18" s="67"/>
      <c r="MQ18" s="67"/>
      <c r="MR18" s="67"/>
      <c r="MS18" s="67"/>
      <c r="MT18" s="67"/>
      <c r="MU18" s="67"/>
      <c r="MV18" s="67"/>
      <c r="MW18" s="67"/>
      <c r="MX18" s="67"/>
      <c r="MY18" s="67"/>
      <c r="MZ18" s="67"/>
      <c r="NA18" s="67"/>
      <c r="NB18" s="67"/>
      <c r="NC18" s="67"/>
      <c r="ND18" s="67"/>
      <c r="NE18" s="67"/>
      <c r="NF18" s="67"/>
      <c r="NG18" s="67"/>
      <c r="NH18" s="67"/>
      <c r="NI18" s="67"/>
      <c r="NJ18" s="67"/>
      <c r="NK18" s="67"/>
      <c r="NL18" s="67"/>
      <c r="NM18" s="67"/>
      <c r="NN18" s="67"/>
      <c r="NO18" s="67"/>
      <c r="NP18" s="67"/>
      <c r="NQ18" s="68">
        <f>SUM(MF18:NP18)</f>
        <v>0</v>
      </c>
      <c r="NR18" s="14">
        <f>'[1]D-PS'!$CB$12</f>
        <v>889.6541748046875</v>
      </c>
      <c r="NS18" s="14">
        <f>'[1]D-PS'!$CB$13</f>
        <v>291.22733561197919</v>
      </c>
      <c r="NT18" s="14">
        <f>'[1]D-PS'!$CB$14</f>
        <v>285.30851236979169</v>
      </c>
      <c r="NU18" s="14">
        <f>'[1]D-PS'!$CB$15</f>
        <v>280.42380777994794</v>
      </c>
      <c r="NV18" s="14">
        <f>'[1]D-PS'!$CB$16</f>
        <v>276.20188395182294</v>
      </c>
      <c r="NW18" s="14">
        <f>'[1]D-PS'!$CB$17</f>
        <v>273.17842610677081</v>
      </c>
      <c r="NX18" s="14">
        <f>'[1]D-PS'!$CB$18</f>
        <v>269.43906656901044</v>
      </c>
      <c r="NY18" s="14">
        <f>'[1]D-PS'!$CB$19</f>
        <v>266.4000244140625</v>
      </c>
      <c r="NZ18" s="14">
        <f>'[1]D-PS'!$CB$20</f>
        <v>263.93223063151044</v>
      </c>
      <c r="OA18" s="14">
        <f>'[1]D-PS'!$CB$21</f>
        <v>262.48994954427081</v>
      </c>
      <c r="OB18" s="14">
        <f>'[1]D-PS'!$CB$22</f>
        <v>259.75099690755206</v>
      </c>
      <c r="OC18" s="14">
        <f>'[1]D-PS'!$CB$23</f>
        <v>258.35260009765625</v>
      </c>
      <c r="OD18" s="14">
        <f>'[1]D-PS'!$CB$24</f>
        <v>257.26668294270831</v>
      </c>
      <c r="OE18" s="14">
        <f>'[1]D-PS'!$CB$25</f>
        <v>257.04543050130206</v>
      </c>
      <c r="OF18" s="14">
        <f>'[1]D-PS'!$CB$26</f>
        <v>255.38985188802084</v>
      </c>
      <c r="OG18" s="14">
        <f>'[1]D-PS'!$CB$27</f>
        <v>254.95751953125</v>
      </c>
      <c r="OH18" s="14">
        <f>'[1]D-PS'!$CB$28</f>
        <v>254.48895263671875</v>
      </c>
      <c r="OI18" s="14">
        <f>'[1]D-PS'!$CB$29</f>
        <v>254.82940673828125</v>
      </c>
      <c r="OJ18" s="14">
        <f>'[1]D-PS'!$CB$30</f>
        <v>254.09761555989584</v>
      </c>
      <c r="OK18" s="14">
        <f>'[1]D-PS'!$CB$31</f>
        <v>254.30171712239584</v>
      </c>
      <c r="OL18" s="14">
        <f>'[1]D-PS'!$CB$32</f>
        <v>254.07505289713541</v>
      </c>
      <c r="OM18" s="14">
        <f>'[1]D-PS'!$CB$33</f>
        <v>255.31640625</v>
      </c>
      <c r="ON18" s="14">
        <f>'[1]D-PS'!$CB$34</f>
        <v>254.7117919921875</v>
      </c>
      <c r="OO18" s="14">
        <f>'[1]D-PS'!$CB$35</f>
        <v>46958.958333333336</v>
      </c>
      <c r="OP18" s="14">
        <f>'[1]D-PS'!$CB$36</f>
        <v>51239.114583333336</v>
      </c>
      <c r="OQ18" s="14">
        <f>'[1]D-PS'!$CB$37</f>
        <v>17066.91796875</v>
      </c>
      <c r="OR18" s="14">
        <f>'[1]D-PS'!$CB$38</f>
        <v>0</v>
      </c>
      <c r="OS18" s="14">
        <f>'[1]D-PS'!$CB$39</f>
        <v>0</v>
      </c>
      <c r="OT18" s="14">
        <f>'[1]D-PS'!$CB$40</f>
        <v>0</v>
      </c>
      <c r="OU18" s="14">
        <f>'[1]D-PS'!$CB$41</f>
        <v>0</v>
      </c>
      <c r="OV18" s="14">
        <f>'[1]D-PS'!$CB$42</f>
        <v>0</v>
      </c>
      <c r="OW18" s="14">
        <f>'[1]D-PS'!$CB$43</f>
        <v>0</v>
      </c>
      <c r="OX18" s="14">
        <f>'[1]D-PS'!$CB$44</f>
        <v>0</v>
      </c>
      <c r="OY18" s="14">
        <f>'[1]D-PS'!$CB$45</f>
        <v>0</v>
      </c>
      <c r="OZ18" s="14">
        <f>'[1]D-PS'!$CB$46</f>
        <v>0</v>
      </c>
      <c r="PA18" s="14">
        <f>'[1]D-PS'!$CB$47</f>
        <v>0</v>
      </c>
      <c r="PB18" s="14">
        <f>'[1]D-PS'!$CB$48</f>
        <v>0</v>
      </c>
      <c r="PC18" s="16">
        <f>SUM(NR18:PB18)</f>
        <v>121947.83032226563</v>
      </c>
    </row>
    <row r="19" spans="1:419" outlineLevel="1" x14ac:dyDescent="0.4">
      <c r="A19" s="46" t="s">
        <v>43</v>
      </c>
      <c r="B19" s="25">
        <f>'[2]CF PDP'!$BY$36</f>
        <v>145383</v>
      </c>
      <c r="C19" s="25">
        <f>'[2]CF PDP'!$BY$37</f>
        <v>145897</v>
      </c>
      <c r="D19" s="25">
        <f>'[2]CF PDP'!$BY$38</f>
        <v>146174</v>
      </c>
      <c r="E19" s="25">
        <f>'[2]CF PDP'!$BY$39</f>
        <v>146415</v>
      </c>
      <c r="F19" s="25">
        <f>'[2]CF PDP'!$BY$40</f>
        <v>146594</v>
      </c>
      <c r="G19" s="25">
        <f>'[2]CF PDP'!$BY$41</f>
        <v>146781</v>
      </c>
      <c r="H19" s="25">
        <f>'[2]CF PDP'!$BY$42</f>
        <v>146822</v>
      </c>
      <c r="I19" s="25">
        <f>'[2]CF PDP'!$BY$43</f>
        <v>146891</v>
      </c>
      <c r="J19" s="25">
        <f>'[2]CF PDP'!$BY$44</f>
        <v>146939</v>
      </c>
      <c r="K19" s="25">
        <f>'[2]CF PDP'!$BY$45</f>
        <v>147028</v>
      </c>
      <c r="L19" s="25">
        <f>'[2]CF PDP'!$BY$46</f>
        <v>146989</v>
      </c>
      <c r="M19" s="25">
        <f>'[2]CF PDP'!$BY$47</f>
        <v>0</v>
      </c>
      <c r="N19" s="25">
        <f>'[2]CF PDP'!$BY$48</f>
        <v>0</v>
      </c>
      <c r="O19" s="25">
        <f>'[2]CF PDP'!$BY$49</f>
        <v>0</v>
      </c>
      <c r="P19" s="25">
        <f>'[2]CF PDP'!$BY$50</f>
        <v>0</v>
      </c>
      <c r="Q19" s="25">
        <f>'[2]CF PDP'!$BY$51</f>
        <v>0</v>
      </c>
      <c r="R19" s="25">
        <f>'[2]CF PDP'!$BY$52</f>
        <v>0</v>
      </c>
      <c r="S19" s="25">
        <f>'[2]CF PDP'!$BY$53</f>
        <v>0</v>
      </c>
      <c r="T19" s="25">
        <f>'[2]CF PDP'!$BY$54</f>
        <v>0</v>
      </c>
      <c r="U19" s="25">
        <f>'[2]CF PDP'!$BY$55</f>
        <v>0</v>
      </c>
      <c r="V19" s="25">
        <f>'[2]CF PDP'!$BY$56</f>
        <v>0</v>
      </c>
      <c r="W19" s="25">
        <f>'[2]CF PDP'!$BY$57</f>
        <v>0</v>
      </c>
      <c r="X19" s="25">
        <f>'[2]CF PDP'!$BY$58</f>
        <v>0</v>
      </c>
      <c r="Y19" s="25">
        <f>'[2]CF PDP'!$BY$59</f>
        <v>0</v>
      </c>
      <c r="Z19" s="25">
        <f>'[2]CF PDP'!$BY$60</f>
        <v>0</v>
      </c>
      <c r="AA19" s="25">
        <f>'[2]CF PDP'!$BY$61</f>
        <v>0</v>
      </c>
      <c r="AB19" s="25">
        <f>'[2]CF PDP'!$BY$62</f>
        <v>0</v>
      </c>
      <c r="AC19" s="25">
        <f>'[2]CF PDP'!$BY$63</f>
        <v>0</v>
      </c>
      <c r="AD19" s="25">
        <f>'[2]CF PDP'!$BY$64</f>
        <v>0</v>
      </c>
      <c r="AE19" s="25">
        <f>'[2]CF PDP'!$BY$65</f>
        <v>0</v>
      </c>
      <c r="AF19" s="25">
        <f>'[2]CF PDP'!$BY$66</f>
        <v>0</v>
      </c>
      <c r="AG19" s="25">
        <f>'[2]CF PDP'!$BY$67</f>
        <v>0</v>
      </c>
      <c r="AH19" s="25">
        <f>'[2]CF PDP'!$BY$68</f>
        <v>0</v>
      </c>
      <c r="AI19" s="25">
        <f>'[2]CF PDP'!$BY$69</f>
        <v>0</v>
      </c>
      <c r="AJ19" s="25">
        <f>'[2]CF PDP'!$BY$70</f>
        <v>0</v>
      </c>
      <c r="AK19" s="25">
        <f>'[2]CF PDP'!$BY$71</f>
        <v>0</v>
      </c>
      <c r="AL19" s="25">
        <f>'[2]CF PDP'!$BY$72</f>
        <v>0</v>
      </c>
      <c r="AM19" s="26">
        <f>SUM(B19:AL19)</f>
        <v>1611913</v>
      </c>
      <c r="AN19" s="27">
        <f>'[2]CF PNP'!$BY$36</f>
        <v>0</v>
      </c>
      <c r="AO19" s="25">
        <f>'[2]CF PNP'!$BY$37</f>
        <v>0</v>
      </c>
      <c r="AP19" s="25">
        <f>'[2]CF PNP'!$BY$38</f>
        <v>0</v>
      </c>
      <c r="AQ19" s="25">
        <f>'[2]CF PNP'!$BY$39</f>
        <v>0</v>
      </c>
      <c r="AR19" s="25">
        <f>'[2]CF PNP'!$BY$40</f>
        <v>0</v>
      </c>
      <c r="AS19" s="25">
        <f>'[2]CF PNP'!$BY$41</f>
        <v>0</v>
      </c>
      <c r="AT19" s="25">
        <f>'[2]CF PNP'!$BY$42</f>
        <v>0</v>
      </c>
      <c r="AU19" s="25">
        <f>'[2]CF PNP'!$BY$43</f>
        <v>0</v>
      </c>
      <c r="AV19" s="25">
        <f>'[2]CF PNP'!$BY$44</f>
        <v>0</v>
      </c>
      <c r="AW19" s="25">
        <f>'[2]CF PNP'!$BY$45</f>
        <v>0</v>
      </c>
      <c r="AX19" s="25">
        <f>'[2]CF PNP'!$BY$46</f>
        <v>0</v>
      </c>
      <c r="AY19" s="25">
        <f>'[2]CF PNP'!$BY$47</f>
        <v>0</v>
      </c>
      <c r="AZ19" s="25">
        <f>'[2]CF PNP'!$BY$48</f>
        <v>0</v>
      </c>
      <c r="BA19" s="25">
        <f>'[2]CF PNP'!$BY$49</f>
        <v>0</v>
      </c>
      <c r="BB19" s="25">
        <f>'[2]CF PNP'!$BY$50</f>
        <v>0</v>
      </c>
      <c r="BC19" s="25">
        <f>'[2]CF PNP'!$BY$51</f>
        <v>0</v>
      </c>
      <c r="BD19" s="25">
        <f>'[2]CF PNP'!$BY$52</f>
        <v>0</v>
      </c>
      <c r="BE19" s="25">
        <f>'[2]CF PNP'!$BY$53</f>
        <v>0</v>
      </c>
      <c r="BF19" s="25">
        <f>'[2]CF PNP'!$BY$54</f>
        <v>0</v>
      </c>
      <c r="BG19" s="25">
        <f>'[2]CF PNP'!$BY$55</f>
        <v>0</v>
      </c>
      <c r="BH19" s="25">
        <f>'[2]CF PNP'!$BY$56</f>
        <v>0</v>
      </c>
      <c r="BI19" s="25">
        <f>'[2]CF PNP'!$BY$57</f>
        <v>0</v>
      </c>
      <c r="BJ19" s="25">
        <f>'[2]CF PNP'!$BY$58</f>
        <v>0</v>
      </c>
      <c r="BK19" s="25">
        <f>'[2]CF PNP'!$BY$59</f>
        <v>0</v>
      </c>
      <c r="BL19" s="25">
        <f>'[2]CF PNP'!$BY$60</f>
        <v>0</v>
      </c>
      <c r="BM19" s="25">
        <f>'[2]CF PNP'!$BY$61</f>
        <v>0</v>
      </c>
      <c r="BN19" s="25">
        <f>'[2]CF PNP'!$BY$62</f>
        <v>0</v>
      </c>
      <c r="BO19" s="25">
        <f>'[2]CF PNP'!$BY$63</f>
        <v>0</v>
      </c>
      <c r="BP19" s="25">
        <f>'[2]CF PNP'!$BY$64</f>
        <v>0</v>
      </c>
      <c r="BQ19" s="25">
        <f>'[2]CF PNP'!$BY$65</f>
        <v>0</v>
      </c>
      <c r="BR19" s="25">
        <f>'[2]CF PNP'!$BY$66</f>
        <v>0</v>
      </c>
      <c r="BS19" s="25">
        <f>'[2]CF PNP'!$BY$67</f>
        <v>0</v>
      </c>
      <c r="BT19" s="25">
        <f>'[2]CF PNP'!$BY$68</f>
        <v>0</v>
      </c>
      <c r="BU19" s="25">
        <f>'[2]CF PNP'!$BY$69</f>
        <v>0</v>
      </c>
      <c r="BV19" s="25">
        <f>'[2]CF PNP'!$BY$70</f>
        <v>0</v>
      </c>
      <c r="BW19" s="25">
        <f>'[2]CF PNP'!$BY$71</f>
        <v>0</v>
      </c>
      <c r="BX19" s="25">
        <f>'[2]CF PNP'!$BY$72</f>
        <v>0</v>
      </c>
      <c r="BY19" s="26">
        <f>SUM(AN19:BX19)</f>
        <v>0</v>
      </c>
      <c r="BZ19" s="27">
        <f>'[2]CF PND'!$BY$36</f>
        <v>0</v>
      </c>
      <c r="CA19" s="25">
        <f>'[2]CF PND'!$BY$37</f>
        <v>0</v>
      </c>
      <c r="CB19" s="25">
        <f>'[2]CF PND'!$BY$38</f>
        <v>0</v>
      </c>
      <c r="CC19" s="25">
        <f>'[2]CF PND'!$BY$39</f>
        <v>0</v>
      </c>
      <c r="CD19" s="25">
        <f>'[2]CF PND'!$BY$40</f>
        <v>0</v>
      </c>
      <c r="CE19" s="25">
        <f>'[2]CF PND'!$BY$41</f>
        <v>0</v>
      </c>
      <c r="CF19" s="25">
        <f>'[2]CF PND'!$BY$42</f>
        <v>0</v>
      </c>
      <c r="CG19" s="25">
        <f>'[2]CF PND'!$BY$43</f>
        <v>0</v>
      </c>
      <c r="CH19" s="25">
        <f>'[2]CF PND'!$BY$44</f>
        <v>0</v>
      </c>
      <c r="CI19" s="25">
        <f>'[2]CF PND'!$BY$45</f>
        <v>0</v>
      </c>
      <c r="CJ19" s="25">
        <f>'[2]CF PND'!$BY$46</f>
        <v>0</v>
      </c>
      <c r="CK19" s="25">
        <f>'[2]CF PND'!$BY$47</f>
        <v>0</v>
      </c>
      <c r="CL19" s="25">
        <f>'[2]CF PND'!$BY$48</f>
        <v>0</v>
      </c>
      <c r="CM19" s="25">
        <f>'[2]CF PND'!$BY$49</f>
        <v>0</v>
      </c>
      <c r="CN19" s="25">
        <f>'[2]CF PND'!$BY$50</f>
        <v>0</v>
      </c>
      <c r="CO19" s="25">
        <f>'[2]CF PND'!$BY$51</f>
        <v>0</v>
      </c>
      <c r="CP19" s="25">
        <f>'[2]CF PND'!$BY$52</f>
        <v>0</v>
      </c>
      <c r="CQ19" s="25">
        <f>'[2]CF PND'!$BY$53</f>
        <v>0</v>
      </c>
      <c r="CR19" s="25">
        <f>'[2]CF PND'!$BY$54</f>
        <v>0</v>
      </c>
      <c r="CS19" s="25">
        <f>'[2]CF PND'!$BY$55</f>
        <v>0</v>
      </c>
      <c r="CT19" s="25">
        <f>'[2]CF PND'!$BY$56</f>
        <v>0</v>
      </c>
      <c r="CU19" s="25">
        <f>'[2]CF PND'!$BY$57</f>
        <v>0</v>
      </c>
      <c r="CV19" s="25">
        <f>'[2]CF PND'!$BY$58</f>
        <v>0</v>
      </c>
      <c r="CW19" s="25">
        <f>'[2]CF PND'!$BY$59</f>
        <v>0</v>
      </c>
      <c r="CX19" s="25">
        <f>'[2]CF PND'!$BY$60</f>
        <v>0</v>
      </c>
      <c r="CY19" s="25">
        <f>'[2]CF PND'!$BY$61</f>
        <v>0</v>
      </c>
      <c r="CZ19" s="25">
        <f>'[2]CF PND'!$BY$62</f>
        <v>0</v>
      </c>
      <c r="DA19" s="25">
        <f>'[2]CF PND'!$BY$63</f>
        <v>0</v>
      </c>
      <c r="DB19" s="25">
        <f>'[2]CF PND'!$BY$64</f>
        <v>0</v>
      </c>
      <c r="DC19" s="25">
        <f>'[2]CF PND'!$BY$65</f>
        <v>0</v>
      </c>
      <c r="DD19" s="25">
        <f>'[2]CF PND'!$BY$66</f>
        <v>0</v>
      </c>
      <c r="DE19" s="25">
        <f>'[2]CF PND'!$BY$67</f>
        <v>0</v>
      </c>
      <c r="DF19" s="25">
        <f>'[2]CF PND'!$BY$68</f>
        <v>0</v>
      </c>
      <c r="DG19" s="25">
        <f>'[2]CF PND'!$BY$69</f>
        <v>0</v>
      </c>
      <c r="DH19" s="25">
        <f>'[2]CF PND'!$BY$70</f>
        <v>0</v>
      </c>
      <c r="DI19" s="25">
        <f>'[2]CF PND'!$BY$71</f>
        <v>0</v>
      </c>
      <c r="DJ19" s="25">
        <f>'[2]CF PND'!$BY$72</f>
        <v>0</v>
      </c>
      <c r="DK19" s="26">
        <f>SUM(BZ19:DJ19)</f>
        <v>0</v>
      </c>
      <c r="DL19" s="69"/>
      <c r="DM19" s="70"/>
      <c r="DN19" s="70"/>
      <c r="DO19" s="70"/>
      <c r="DP19" s="70"/>
      <c r="DQ19" s="70"/>
      <c r="DR19" s="70"/>
      <c r="DS19" s="70"/>
      <c r="DT19" s="70"/>
      <c r="DU19" s="70"/>
      <c r="DV19" s="70"/>
      <c r="DW19" s="70"/>
      <c r="DX19" s="70"/>
      <c r="DY19" s="70"/>
      <c r="DZ19" s="70"/>
      <c r="EA19" s="70"/>
      <c r="EB19" s="70"/>
      <c r="EC19" s="70"/>
      <c r="ED19" s="70"/>
      <c r="EE19" s="70"/>
      <c r="EF19" s="70"/>
      <c r="EG19" s="70"/>
      <c r="EH19" s="70"/>
      <c r="EI19" s="70"/>
      <c r="EJ19" s="70"/>
      <c r="EK19" s="70"/>
      <c r="EL19" s="70"/>
      <c r="EM19" s="70"/>
      <c r="EN19" s="70"/>
      <c r="EO19" s="70"/>
      <c r="EP19" s="70"/>
      <c r="EQ19" s="70"/>
      <c r="ER19" s="70"/>
      <c r="ES19" s="70"/>
      <c r="ET19" s="70"/>
      <c r="EU19" s="70"/>
      <c r="EV19" s="70"/>
      <c r="EW19" s="71">
        <f>SUM(DL19:EV19)</f>
        <v>0</v>
      </c>
      <c r="EX19" s="69"/>
      <c r="EY19" s="70"/>
      <c r="EZ19" s="70"/>
      <c r="FA19" s="70"/>
      <c r="FB19" s="70"/>
      <c r="FC19" s="70"/>
      <c r="FD19" s="70"/>
      <c r="FE19" s="70"/>
      <c r="FF19" s="70"/>
      <c r="FG19" s="70"/>
      <c r="FH19" s="70"/>
      <c r="FI19" s="70"/>
      <c r="FJ19" s="70"/>
      <c r="FK19" s="70"/>
      <c r="FL19" s="70"/>
      <c r="FM19" s="70"/>
      <c r="FN19" s="70"/>
      <c r="FO19" s="70"/>
      <c r="FP19" s="70"/>
      <c r="FQ19" s="70"/>
      <c r="FR19" s="70"/>
      <c r="FS19" s="70"/>
      <c r="FT19" s="70"/>
      <c r="FU19" s="70"/>
      <c r="FV19" s="70"/>
      <c r="FW19" s="70"/>
      <c r="FX19" s="70"/>
      <c r="FY19" s="70"/>
      <c r="FZ19" s="70"/>
      <c r="GA19" s="70"/>
      <c r="GB19" s="70"/>
      <c r="GC19" s="70"/>
      <c r="GD19" s="70"/>
      <c r="GE19" s="70"/>
      <c r="GF19" s="70"/>
      <c r="GG19" s="70"/>
      <c r="GH19" s="70"/>
      <c r="GI19" s="71">
        <f>SUM(EX19:GH19)</f>
        <v>0</v>
      </c>
      <c r="GJ19" s="69"/>
      <c r="GK19" s="70"/>
      <c r="GL19" s="70"/>
      <c r="GM19" s="70"/>
      <c r="GN19" s="70"/>
      <c r="GO19" s="70"/>
      <c r="GP19" s="70"/>
      <c r="GQ19" s="70"/>
      <c r="GR19" s="70"/>
      <c r="GS19" s="70"/>
      <c r="GT19" s="70"/>
      <c r="GU19" s="70"/>
      <c r="GV19" s="70"/>
      <c r="GW19" s="70"/>
      <c r="GX19" s="70"/>
      <c r="GY19" s="70"/>
      <c r="GZ19" s="70"/>
      <c r="HA19" s="70"/>
      <c r="HB19" s="70"/>
      <c r="HC19" s="70"/>
      <c r="HD19" s="70"/>
      <c r="HE19" s="70"/>
      <c r="HF19" s="70"/>
      <c r="HG19" s="70"/>
      <c r="HH19" s="70"/>
      <c r="HI19" s="70"/>
      <c r="HJ19" s="70"/>
      <c r="HK19" s="70"/>
      <c r="HL19" s="70"/>
      <c r="HM19" s="70"/>
      <c r="HN19" s="70"/>
      <c r="HO19" s="70"/>
      <c r="HP19" s="70"/>
      <c r="HQ19" s="70"/>
      <c r="HR19" s="70"/>
      <c r="HS19" s="70"/>
      <c r="HT19" s="70"/>
      <c r="HU19" s="71">
        <f>SUM(GJ19:HT19)</f>
        <v>0</v>
      </c>
      <c r="HV19" s="27">
        <f>'[2]CF PRB'!$BY$36</f>
        <v>4764</v>
      </c>
      <c r="HW19" s="25">
        <f>'[2]CF PRB'!$BY$37</f>
        <v>4523</v>
      </c>
      <c r="HX19" s="25">
        <f>'[2]CF PRB'!$BY$38</f>
        <v>4377</v>
      </c>
      <c r="HY19" s="25">
        <f>'[2]CF PRB'!$BY$39</f>
        <v>4320</v>
      </c>
      <c r="HZ19" s="25">
        <f>'[2]CF PRB'!$BY$40</f>
        <v>4317</v>
      </c>
      <c r="IA19" s="25">
        <f>'[2]CF PRB'!$BY$41</f>
        <v>4363</v>
      </c>
      <c r="IB19" s="25">
        <f>'[2]CF PRB'!$BY$42</f>
        <v>4410</v>
      </c>
      <c r="IC19" s="25">
        <f>'[2]CF PRB'!$BY$43</f>
        <v>4489</v>
      </c>
      <c r="ID19" s="25">
        <f>'[2]CF PRB'!$BY$44</f>
        <v>4580</v>
      </c>
      <c r="IE19" s="25">
        <f>'[2]CF PRB'!$BY$45</f>
        <v>4694</v>
      </c>
      <c r="IF19" s="25">
        <f>'[2]CF PRB'!$BY$46</f>
        <v>4787</v>
      </c>
      <c r="IG19" s="25">
        <f>'[2]CF PRB'!$BY$47</f>
        <v>151894</v>
      </c>
      <c r="IH19" s="25">
        <f>'[2]CF PRB'!$BY$48</f>
        <v>152005</v>
      </c>
      <c r="II19" s="25">
        <f>'[2]CF PRB'!$BY$49</f>
        <v>152182</v>
      </c>
      <c r="IJ19" s="25">
        <f>'[2]CF PRB'!$BY$50</f>
        <v>152211</v>
      </c>
      <c r="IK19" s="25">
        <f>'[2]CF PRB'!$BY$51</f>
        <v>152304</v>
      </c>
      <c r="IL19" s="25">
        <f>'[2]CF PRB'!$BY$52</f>
        <v>152393</v>
      </c>
      <c r="IM19" s="25">
        <f>'[2]CF PRB'!$BY$53</f>
        <v>152550</v>
      </c>
      <c r="IN19" s="25">
        <f>'[2]CF PRB'!$BY$54</f>
        <v>152556</v>
      </c>
      <c r="IO19" s="25">
        <f>'[2]CF PRB'!$BY$55</f>
        <v>152632</v>
      </c>
      <c r="IP19" s="25">
        <f>'[2]CF PRB'!$BY$56</f>
        <v>152703</v>
      </c>
      <c r="IQ19" s="25">
        <f>'[2]CF PRB'!$BY$57</f>
        <v>152843</v>
      </c>
      <c r="IR19" s="25">
        <f>'[2]CF PRB'!$BY$58</f>
        <v>152833</v>
      </c>
      <c r="IS19" s="25">
        <f>'[2]CF PRB'!$BY$59</f>
        <v>0</v>
      </c>
      <c r="IT19" s="25">
        <f>'[2]CF PRB'!$BY$60</f>
        <v>0</v>
      </c>
      <c r="IU19" s="25">
        <f>'[2]CF PRB'!$BY$61</f>
        <v>0</v>
      </c>
      <c r="IV19" s="25">
        <f>'[2]CF PRB'!$BY$62</f>
        <v>0</v>
      </c>
      <c r="IW19" s="25">
        <f>'[2]CF PRB'!$BY$63</f>
        <v>0</v>
      </c>
      <c r="IX19" s="25">
        <f>'[2]CF PRB'!$BY$64</f>
        <v>0</v>
      </c>
      <c r="IY19" s="25">
        <f>'[2]CF PRB'!$BY$65</f>
        <v>0</v>
      </c>
      <c r="IZ19" s="25">
        <f>'[2]CF PRB'!$BY$66</f>
        <v>0</v>
      </c>
      <c r="JA19" s="25">
        <f>'[2]CF PRB'!$BY$67</f>
        <v>0</v>
      </c>
      <c r="JB19" s="25">
        <f>'[2]CF PRB'!$BY$68</f>
        <v>0</v>
      </c>
      <c r="JC19" s="25">
        <f>'[2]CF PRB'!$BY$69</f>
        <v>0</v>
      </c>
      <c r="JD19" s="25">
        <f>'[2]CF PRB'!$BY$70</f>
        <v>0</v>
      </c>
      <c r="JE19" s="25">
        <f>'[2]CF PRB'!$BY$71</f>
        <v>0</v>
      </c>
      <c r="JF19" s="25">
        <f>'[2]CF PRB'!$BY$72</f>
        <v>0</v>
      </c>
      <c r="JG19" s="26">
        <f>SUM(HV19:JF19)</f>
        <v>1878730</v>
      </c>
      <c r="JH19" s="69"/>
      <c r="JI19" s="70"/>
      <c r="JJ19" s="70"/>
      <c r="JK19" s="70"/>
      <c r="JL19" s="70"/>
      <c r="JM19" s="70"/>
      <c r="JN19" s="70"/>
      <c r="JO19" s="70"/>
      <c r="JP19" s="70"/>
      <c r="JQ19" s="70"/>
      <c r="JR19" s="70"/>
      <c r="JS19" s="70"/>
      <c r="JT19" s="70"/>
      <c r="JU19" s="70"/>
      <c r="JV19" s="70"/>
      <c r="JW19" s="70"/>
      <c r="JX19" s="70"/>
      <c r="JY19" s="70"/>
      <c r="JZ19" s="70"/>
      <c r="KA19" s="70"/>
      <c r="KB19" s="70"/>
      <c r="KC19" s="70"/>
      <c r="KD19" s="70"/>
      <c r="KE19" s="70"/>
      <c r="KF19" s="70"/>
      <c r="KG19" s="70"/>
      <c r="KH19" s="70"/>
      <c r="KI19" s="70"/>
      <c r="KJ19" s="70"/>
      <c r="KK19" s="70"/>
      <c r="KL19" s="70"/>
      <c r="KM19" s="70"/>
      <c r="KN19" s="70"/>
      <c r="KO19" s="70"/>
      <c r="KP19" s="70"/>
      <c r="KQ19" s="70"/>
      <c r="KR19" s="70"/>
      <c r="KS19" s="71">
        <f>SUM(JH19:KR19)</f>
        <v>0</v>
      </c>
      <c r="KT19" s="69"/>
      <c r="KU19" s="70"/>
      <c r="KV19" s="70"/>
      <c r="KW19" s="70"/>
      <c r="KX19" s="70"/>
      <c r="KY19" s="70"/>
      <c r="KZ19" s="70"/>
      <c r="LA19" s="70"/>
      <c r="LB19" s="70"/>
      <c r="LC19" s="70"/>
      <c r="LD19" s="70"/>
      <c r="LE19" s="70"/>
      <c r="LF19" s="70"/>
      <c r="LG19" s="70"/>
      <c r="LH19" s="70"/>
      <c r="LI19" s="70"/>
      <c r="LJ19" s="70"/>
      <c r="LK19" s="70"/>
      <c r="LL19" s="70"/>
      <c r="LM19" s="70"/>
      <c r="LN19" s="70"/>
      <c r="LO19" s="70"/>
      <c r="LP19" s="70"/>
      <c r="LQ19" s="70"/>
      <c r="LR19" s="70"/>
      <c r="LS19" s="70"/>
      <c r="LT19" s="70"/>
      <c r="LU19" s="70"/>
      <c r="LV19" s="70"/>
      <c r="LW19" s="70"/>
      <c r="LX19" s="70"/>
      <c r="LY19" s="70"/>
      <c r="LZ19" s="70"/>
      <c r="MA19" s="70"/>
      <c r="MB19" s="70"/>
      <c r="MC19" s="70"/>
      <c r="MD19" s="70"/>
      <c r="ME19" s="71">
        <f>SUM(KT19:MD19)</f>
        <v>0</v>
      </c>
      <c r="MF19" s="69"/>
      <c r="MG19" s="70"/>
      <c r="MH19" s="70"/>
      <c r="MI19" s="70"/>
      <c r="MJ19" s="70"/>
      <c r="MK19" s="70"/>
      <c r="ML19" s="70"/>
      <c r="MM19" s="70"/>
      <c r="MN19" s="70"/>
      <c r="MO19" s="70"/>
      <c r="MP19" s="70"/>
      <c r="MQ19" s="70"/>
      <c r="MR19" s="70"/>
      <c r="MS19" s="70"/>
      <c r="MT19" s="70"/>
      <c r="MU19" s="70"/>
      <c r="MV19" s="70"/>
      <c r="MW19" s="70"/>
      <c r="MX19" s="70"/>
      <c r="MY19" s="70"/>
      <c r="MZ19" s="70"/>
      <c r="NA19" s="70"/>
      <c r="NB19" s="70"/>
      <c r="NC19" s="70"/>
      <c r="ND19" s="70"/>
      <c r="NE19" s="70"/>
      <c r="NF19" s="70"/>
      <c r="NG19" s="70"/>
      <c r="NH19" s="70"/>
      <c r="NI19" s="70"/>
      <c r="NJ19" s="70"/>
      <c r="NK19" s="70"/>
      <c r="NL19" s="70"/>
      <c r="NM19" s="70"/>
      <c r="NN19" s="70"/>
      <c r="NO19" s="70"/>
      <c r="NP19" s="70"/>
      <c r="NQ19" s="71">
        <f>SUM(MF19:NP19)</f>
        <v>0</v>
      </c>
      <c r="NR19" s="25">
        <f>'[2]CF PS'!$BY$36</f>
        <v>890</v>
      </c>
      <c r="NS19" s="25">
        <f>'[2]CF PS'!$BY$37</f>
        <v>874</v>
      </c>
      <c r="NT19" s="25">
        <f>'[2]CF PS'!$BY$38</f>
        <v>856</v>
      </c>
      <c r="NU19" s="25">
        <f>'[2]CF PS'!$BY$39</f>
        <v>841</v>
      </c>
      <c r="NV19" s="25">
        <f>'[2]CF PS'!$BY$40</f>
        <v>829</v>
      </c>
      <c r="NW19" s="25">
        <f>'[2]CF PS'!$BY$41</f>
        <v>820</v>
      </c>
      <c r="NX19" s="25">
        <f>'[2]CF PS'!$BY$42</f>
        <v>808</v>
      </c>
      <c r="NY19" s="25">
        <f>'[2]CF PS'!$BY$43</f>
        <v>799</v>
      </c>
      <c r="NZ19" s="25">
        <f>'[2]CF PS'!$BY$44</f>
        <v>792</v>
      </c>
      <c r="OA19" s="25">
        <f>'[2]CF PS'!$BY$45</f>
        <v>787</v>
      </c>
      <c r="OB19" s="25">
        <f>'[2]CF PS'!$BY$46</f>
        <v>779</v>
      </c>
      <c r="OC19" s="25">
        <f>'[2]CF PS'!$BY$47</f>
        <v>775</v>
      </c>
      <c r="OD19" s="25">
        <f>'[2]CF PS'!$BY$48</f>
        <v>772</v>
      </c>
      <c r="OE19" s="25">
        <f>'[2]CF PS'!$BY$49</f>
        <v>771</v>
      </c>
      <c r="OF19" s="25">
        <f>'[2]CF PS'!$BY$50</f>
        <v>766</v>
      </c>
      <c r="OG19" s="25">
        <f>'[2]CF PS'!$BY$51</f>
        <v>765</v>
      </c>
      <c r="OH19" s="25">
        <f>'[2]CF PS'!$BY$52</f>
        <v>763</v>
      </c>
      <c r="OI19" s="25">
        <f>'[2]CF PS'!$BY$53</f>
        <v>764</v>
      </c>
      <c r="OJ19" s="25">
        <f>'[2]CF PS'!$BY$54</f>
        <v>762</v>
      </c>
      <c r="OK19" s="25">
        <f>'[2]CF PS'!$BY$55</f>
        <v>763</v>
      </c>
      <c r="OL19" s="25">
        <f>'[2]CF PS'!$BY$56</f>
        <v>762</v>
      </c>
      <c r="OM19" s="25">
        <f>'[2]CF PS'!$BY$57</f>
        <v>766</v>
      </c>
      <c r="ON19" s="25">
        <f>'[2]CF PS'!$BY$58</f>
        <v>764</v>
      </c>
      <c r="OO19" s="25">
        <f>'[2]CF PS'!$BY$59</f>
        <v>153659</v>
      </c>
      <c r="OP19" s="25">
        <f>'[2]CF PS'!$BY$60</f>
        <v>153717</v>
      </c>
      <c r="OQ19" s="25">
        <f>'[2]CF PS'!$BY$61</f>
        <v>0</v>
      </c>
      <c r="OR19" s="25">
        <f>'[2]CF PS'!$BY$62</f>
        <v>0</v>
      </c>
      <c r="OS19" s="25">
        <f>'[2]CF PS'!$BY$63</f>
        <v>0</v>
      </c>
      <c r="OT19" s="25">
        <f>'[2]CF PS'!$BY$64</f>
        <v>0</v>
      </c>
      <c r="OU19" s="25">
        <f>'[2]CF PS'!$BY$65</f>
        <v>0</v>
      </c>
      <c r="OV19" s="25">
        <f>'[2]CF PS'!$BY$66</f>
        <v>0</v>
      </c>
      <c r="OW19" s="25">
        <f>'[2]CF PS'!$BY$67</f>
        <v>0</v>
      </c>
      <c r="OX19" s="25">
        <f>'[2]CF PS'!$BY$68</f>
        <v>0</v>
      </c>
      <c r="OY19" s="25">
        <f>'[2]CF PS'!$BY$69</f>
        <v>0</v>
      </c>
      <c r="OZ19" s="25">
        <f>'[2]CF PS'!$BY$70</f>
        <v>0</v>
      </c>
      <c r="PA19" s="25">
        <f>'[2]CF PS'!$BY$71</f>
        <v>0</v>
      </c>
      <c r="PB19" s="25">
        <f>'[2]CF PS'!$BY$72</f>
        <v>0</v>
      </c>
      <c r="PC19" s="26">
        <f>SUM(NR19:PB19)</f>
        <v>325644</v>
      </c>
    </row>
    <row r="20" spans="1:419" ht="15.5" thickBot="1" x14ac:dyDescent="0.45">
      <c r="A20" s="47" t="s">
        <v>44</v>
      </c>
      <c r="B20" s="40">
        <f>IF(AND(B18&lt;&gt;0,B19&lt;&gt;0),(B18-B19)/B19,IF(AND(B18=0,B19=0),"",IF(AND(B18="",B19=""),"",IF(AND(B18=0,B19=""),"", IF(AND(B18="",B19=0),"",1)))))</f>
        <v>-1.0747473913731317E-6</v>
      </c>
      <c r="C20" s="40">
        <f t="shared" ref="C20:CP20" si="644">IF(AND(C18&lt;&gt;0,C19&lt;&gt;0),(C18-C19)/C19,IF(AND(C18=0,C19=0),"",IF(AND(C18="",C19=""),"",IF(AND(C18=0,C19=""),"", IF(AND(C18="",C19=0),"",1)))))</f>
        <v>3.3199791633823861E-6</v>
      </c>
      <c r="D20" s="40">
        <f t="shared" si="644"/>
        <v>-1.9240767852011986E-6</v>
      </c>
      <c r="E20" s="40">
        <f t="shared" si="644"/>
        <v>2.7746474063449782E-6</v>
      </c>
      <c r="F20" s="40">
        <f t="shared" si="644"/>
        <v>-3.3041938960666877E-6</v>
      </c>
      <c r="G20" s="40">
        <f t="shared" si="644"/>
        <v>3.4064354378291468E-6</v>
      </c>
      <c r="H20" s="40">
        <f t="shared" si="644"/>
        <v>-5.3210690495974721E-7</v>
      </c>
      <c r="I20" s="40">
        <f t="shared" si="644"/>
        <v>2.2337992116603468E-6</v>
      </c>
      <c r="J20" s="40">
        <f t="shared" si="644"/>
        <v>-1.4887130033551337E-6</v>
      </c>
      <c r="K20" s="40">
        <f t="shared" si="644"/>
        <v>-7.4390592268139404E-7</v>
      </c>
      <c r="L20" s="40">
        <f t="shared" si="644"/>
        <v>-0.16673558480566572</v>
      </c>
      <c r="M20" s="40" t="str">
        <f t="shared" si="644"/>
        <v/>
      </c>
      <c r="N20" s="40" t="str">
        <f t="shared" si="644"/>
        <v/>
      </c>
      <c r="O20" s="40" t="str">
        <f t="shared" si="644"/>
        <v/>
      </c>
      <c r="P20" s="40" t="str">
        <f t="shared" si="644"/>
        <v/>
      </c>
      <c r="Q20" s="40" t="str">
        <f t="shared" si="644"/>
        <v/>
      </c>
      <c r="R20" s="40" t="str">
        <f t="shared" si="644"/>
        <v/>
      </c>
      <c r="S20" s="40" t="str">
        <f t="shared" si="644"/>
        <v/>
      </c>
      <c r="T20" s="40" t="str">
        <f t="shared" si="644"/>
        <v/>
      </c>
      <c r="U20" s="40" t="str">
        <f t="shared" si="644"/>
        <v/>
      </c>
      <c r="V20" s="40" t="str">
        <f t="shared" si="644"/>
        <v/>
      </c>
      <c r="W20" s="40" t="str">
        <f t="shared" si="644"/>
        <v/>
      </c>
      <c r="X20" s="40" t="str">
        <f t="shared" si="644"/>
        <v/>
      </c>
      <c r="Y20" s="40" t="str">
        <f t="shared" ref="Y20:AL20" si="645">IF(AND(Y18&lt;&gt;0,Y19&lt;&gt;0),(Y18-Y19)/Y19,IF(AND(Y18=0,Y19=0),"",IF(AND(Y18="",Y19=""),"",IF(AND(Y18=0,Y19=""),"", IF(AND(Y18="",Y19=0),"",1)))))</f>
        <v/>
      </c>
      <c r="Z20" s="40" t="str">
        <f t="shared" si="645"/>
        <v/>
      </c>
      <c r="AA20" s="40" t="str">
        <f t="shared" si="645"/>
        <v/>
      </c>
      <c r="AB20" s="40" t="str">
        <f t="shared" si="645"/>
        <v/>
      </c>
      <c r="AC20" s="40" t="str">
        <f t="shared" si="645"/>
        <v/>
      </c>
      <c r="AD20" s="40" t="str">
        <f t="shared" si="645"/>
        <v/>
      </c>
      <c r="AE20" s="40" t="str">
        <f t="shared" si="645"/>
        <v/>
      </c>
      <c r="AF20" s="40" t="str">
        <f t="shared" si="645"/>
        <v/>
      </c>
      <c r="AG20" s="40" t="str">
        <f t="shared" si="645"/>
        <v/>
      </c>
      <c r="AH20" s="40" t="str">
        <f t="shared" si="645"/>
        <v/>
      </c>
      <c r="AI20" s="40" t="str">
        <f t="shared" si="645"/>
        <v/>
      </c>
      <c r="AJ20" s="40" t="str">
        <f t="shared" si="645"/>
        <v/>
      </c>
      <c r="AK20" s="40" t="str">
        <f t="shared" si="645"/>
        <v/>
      </c>
      <c r="AL20" s="40" t="str">
        <f t="shared" si="645"/>
        <v/>
      </c>
      <c r="AM20" s="41">
        <f t="shared" si="644"/>
        <v>-1.5204236363873237E-2</v>
      </c>
      <c r="AN20" s="39" t="str">
        <f t="shared" si="644"/>
        <v/>
      </c>
      <c r="AO20" s="40" t="str">
        <f t="shared" si="644"/>
        <v/>
      </c>
      <c r="AP20" s="40" t="str">
        <f t="shared" si="644"/>
        <v/>
      </c>
      <c r="AQ20" s="40" t="str">
        <f t="shared" si="644"/>
        <v/>
      </c>
      <c r="AR20" s="40" t="str">
        <f t="shared" si="644"/>
        <v/>
      </c>
      <c r="AS20" s="40" t="str">
        <f t="shared" si="644"/>
        <v/>
      </c>
      <c r="AT20" s="40" t="str">
        <f t="shared" si="644"/>
        <v/>
      </c>
      <c r="AU20" s="40" t="str">
        <f t="shared" si="644"/>
        <v/>
      </c>
      <c r="AV20" s="40" t="str">
        <f t="shared" si="644"/>
        <v/>
      </c>
      <c r="AW20" s="40" t="str">
        <f t="shared" si="644"/>
        <v/>
      </c>
      <c r="AX20" s="40" t="str">
        <f t="shared" si="644"/>
        <v/>
      </c>
      <c r="AY20" s="40" t="str">
        <f t="shared" si="644"/>
        <v/>
      </c>
      <c r="AZ20" s="40" t="str">
        <f t="shared" si="644"/>
        <v/>
      </c>
      <c r="BA20" s="40" t="str">
        <f t="shared" si="644"/>
        <v/>
      </c>
      <c r="BB20" s="40" t="str">
        <f t="shared" si="644"/>
        <v/>
      </c>
      <c r="BC20" s="40" t="str">
        <f t="shared" si="644"/>
        <v/>
      </c>
      <c r="BD20" s="40" t="str">
        <f t="shared" si="644"/>
        <v/>
      </c>
      <c r="BE20" s="40" t="str">
        <f t="shared" si="644"/>
        <v/>
      </c>
      <c r="BF20" s="40" t="str">
        <f t="shared" si="644"/>
        <v/>
      </c>
      <c r="BG20" s="40" t="str">
        <f t="shared" si="644"/>
        <v/>
      </c>
      <c r="BH20" s="40" t="str">
        <f t="shared" si="644"/>
        <v/>
      </c>
      <c r="BI20" s="40" t="str">
        <f t="shared" si="644"/>
        <v/>
      </c>
      <c r="BJ20" s="40" t="str">
        <f t="shared" ref="BJ20:BX20" si="646">IF(AND(BJ18&lt;&gt;0,BJ19&lt;&gt;0),(BJ18-BJ19)/BJ19,IF(AND(BJ18=0,BJ19=0),"",IF(AND(BJ18="",BJ19=""),"",IF(AND(BJ18=0,BJ19=""),"", IF(AND(BJ18="",BJ19=0),"",1)))))</f>
        <v/>
      </c>
      <c r="BK20" s="40" t="str">
        <f t="shared" si="646"/>
        <v/>
      </c>
      <c r="BL20" s="40" t="str">
        <f t="shared" si="646"/>
        <v/>
      </c>
      <c r="BM20" s="40" t="str">
        <f t="shared" si="646"/>
        <v/>
      </c>
      <c r="BN20" s="40" t="str">
        <f t="shared" si="646"/>
        <v/>
      </c>
      <c r="BO20" s="40" t="str">
        <f t="shared" si="646"/>
        <v/>
      </c>
      <c r="BP20" s="40" t="str">
        <f t="shared" si="646"/>
        <v/>
      </c>
      <c r="BQ20" s="40" t="str">
        <f t="shared" si="646"/>
        <v/>
      </c>
      <c r="BR20" s="40" t="str">
        <f t="shared" si="646"/>
        <v/>
      </c>
      <c r="BS20" s="40" t="str">
        <f t="shared" si="646"/>
        <v/>
      </c>
      <c r="BT20" s="40" t="str">
        <f t="shared" si="646"/>
        <v/>
      </c>
      <c r="BU20" s="40" t="str">
        <f t="shared" si="646"/>
        <v/>
      </c>
      <c r="BV20" s="40" t="str">
        <f t="shared" si="646"/>
        <v/>
      </c>
      <c r="BW20" s="40" t="str">
        <f t="shared" si="646"/>
        <v/>
      </c>
      <c r="BX20" s="40" t="str">
        <f t="shared" si="646"/>
        <v/>
      </c>
      <c r="BY20" s="41" t="str">
        <f t="shared" si="644"/>
        <v/>
      </c>
      <c r="BZ20" s="39" t="str">
        <f t="shared" si="644"/>
        <v/>
      </c>
      <c r="CA20" s="40" t="str">
        <f t="shared" si="644"/>
        <v/>
      </c>
      <c r="CB20" s="40" t="str">
        <f t="shared" si="644"/>
        <v/>
      </c>
      <c r="CC20" s="40" t="str">
        <f t="shared" si="644"/>
        <v/>
      </c>
      <c r="CD20" s="40" t="str">
        <f t="shared" si="644"/>
        <v/>
      </c>
      <c r="CE20" s="40" t="str">
        <f t="shared" si="644"/>
        <v/>
      </c>
      <c r="CF20" s="40" t="str">
        <f t="shared" si="644"/>
        <v/>
      </c>
      <c r="CG20" s="40" t="str">
        <f t="shared" si="644"/>
        <v/>
      </c>
      <c r="CH20" s="40" t="str">
        <f t="shared" si="644"/>
        <v/>
      </c>
      <c r="CI20" s="40" t="str">
        <f t="shared" si="644"/>
        <v/>
      </c>
      <c r="CJ20" s="40" t="str">
        <f t="shared" si="644"/>
        <v/>
      </c>
      <c r="CK20" s="40" t="str">
        <f t="shared" si="644"/>
        <v/>
      </c>
      <c r="CL20" s="40" t="str">
        <f t="shared" si="644"/>
        <v/>
      </c>
      <c r="CM20" s="40" t="str">
        <f t="shared" si="644"/>
        <v/>
      </c>
      <c r="CN20" s="40" t="str">
        <f t="shared" si="644"/>
        <v/>
      </c>
      <c r="CO20" s="40" t="str">
        <f t="shared" si="644"/>
        <v/>
      </c>
      <c r="CP20" s="40" t="str">
        <f t="shared" si="644"/>
        <v/>
      </c>
      <c r="CQ20" s="40" t="str">
        <f t="shared" ref="CQ20:GR20" si="647">IF(AND(CQ18&lt;&gt;0,CQ19&lt;&gt;0),(CQ18-CQ19)/CQ19,IF(AND(CQ18=0,CQ19=0),"",IF(AND(CQ18="",CQ19=""),"",IF(AND(CQ18=0,CQ19=""),"", IF(AND(CQ18="",CQ19=0),"",1)))))</f>
        <v/>
      </c>
      <c r="CR20" s="40" t="str">
        <f t="shared" si="647"/>
        <v/>
      </c>
      <c r="CS20" s="40" t="str">
        <f t="shared" si="647"/>
        <v/>
      </c>
      <c r="CT20" s="40" t="str">
        <f t="shared" si="647"/>
        <v/>
      </c>
      <c r="CU20" s="40" t="str">
        <f t="shared" si="647"/>
        <v/>
      </c>
      <c r="CV20" s="40" t="str">
        <f t="shared" si="647"/>
        <v/>
      </c>
      <c r="CW20" s="40" t="str">
        <f t="shared" ref="CW20:DJ20" si="648">IF(AND(CW18&lt;&gt;0,CW19&lt;&gt;0),(CW18-CW19)/CW19,IF(AND(CW18=0,CW19=0),"",IF(AND(CW18="",CW19=""),"",IF(AND(CW18=0,CW19=""),"", IF(AND(CW18="",CW19=0),"",1)))))</f>
        <v/>
      </c>
      <c r="CX20" s="40" t="str">
        <f t="shared" si="648"/>
        <v/>
      </c>
      <c r="CY20" s="40" t="str">
        <f t="shared" si="648"/>
        <v/>
      </c>
      <c r="CZ20" s="40" t="str">
        <f t="shared" si="648"/>
        <v/>
      </c>
      <c r="DA20" s="40" t="str">
        <f t="shared" si="648"/>
        <v/>
      </c>
      <c r="DB20" s="40" t="str">
        <f t="shared" si="648"/>
        <v/>
      </c>
      <c r="DC20" s="40" t="str">
        <f t="shared" si="648"/>
        <v/>
      </c>
      <c r="DD20" s="40" t="str">
        <f t="shared" si="648"/>
        <v/>
      </c>
      <c r="DE20" s="40" t="str">
        <f t="shared" si="648"/>
        <v/>
      </c>
      <c r="DF20" s="40" t="str">
        <f t="shared" si="648"/>
        <v/>
      </c>
      <c r="DG20" s="40" t="str">
        <f t="shared" si="648"/>
        <v/>
      </c>
      <c r="DH20" s="40" t="str">
        <f t="shared" si="648"/>
        <v/>
      </c>
      <c r="DI20" s="40" t="str">
        <f t="shared" si="648"/>
        <v/>
      </c>
      <c r="DJ20" s="40" t="str">
        <f t="shared" si="648"/>
        <v/>
      </c>
      <c r="DK20" s="41" t="str">
        <f t="shared" si="647"/>
        <v/>
      </c>
      <c r="DL20" s="72" t="str">
        <f t="shared" si="647"/>
        <v/>
      </c>
      <c r="DM20" s="73" t="str">
        <f t="shared" si="647"/>
        <v/>
      </c>
      <c r="DN20" s="73" t="str">
        <f t="shared" si="647"/>
        <v/>
      </c>
      <c r="DO20" s="73" t="str">
        <f t="shared" si="647"/>
        <v/>
      </c>
      <c r="DP20" s="73" t="str">
        <f t="shared" si="647"/>
        <v/>
      </c>
      <c r="DQ20" s="73" t="str">
        <f t="shared" si="647"/>
        <v/>
      </c>
      <c r="DR20" s="73" t="str">
        <f t="shared" si="647"/>
        <v/>
      </c>
      <c r="DS20" s="73" t="str">
        <f t="shared" si="647"/>
        <v/>
      </c>
      <c r="DT20" s="73" t="str">
        <f t="shared" si="647"/>
        <v/>
      </c>
      <c r="DU20" s="73" t="str">
        <f t="shared" si="647"/>
        <v/>
      </c>
      <c r="DV20" s="73" t="str">
        <f t="shared" si="647"/>
        <v/>
      </c>
      <c r="DW20" s="73" t="str">
        <f t="shared" si="647"/>
        <v/>
      </c>
      <c r="DX20" s="73" t="str">
        <f t="shared" si="647"/>
        <v/>
      </c>
      <c r="DY20" s="73" t="str">
        <f t="shared" si="647"/>
        <v/>
      </c>
      <c r="DZ20" s="73" t="str">
        <f t="shared" si="647"/>
        <v/>
      </c>
      <c r="EA20" s="73" t="str">
        <f t="shared" si="647"/>
        <v/>
      </c>
      <c r="EB20" s="73" t="str">
        <f t="shared" si="647"/>
        <v/>
      </c>
      <c r="EC20" s="73" t="str">
        <f t="shared" si="647"/>
        <v/>
      </c>
      <c r="ED20" s="73" t="str">
        <f t="shared" si="647"/>
        <v/>
      </c>
      <c r="EE20" s="73" t="str">
        <f t="shared" si="647"/>
        <v/>
      </c>
      <c r="EF20" s="73" t="str">
        <f t="shared" si="647"/>
        <v/>
      </c>
      <c r="EG20" s="73" t="str">
        <f t="shared" si="647"/>
        <v/>
      </c>
      <c r="EH20" s="73" t="str">
        <f t="shared" si="647"/>
        <v/>
      </c>
      <c r="EI20" s="73" t="str">
        <f t="shared" ref="EI20:EV20" si="649">IF(AND(EI18&lt;&gt;0,EI19&lt;&gt;0),(EI18-EI19)/EI19,IF(AND(EI18=0,EI19=0),"",IF(AND(EI18="",EI19=""),"",IF(AND(EI18=0,EI19=""),"", IF(AND(EI18="",EI19=0),"",1)))))</f>
        <v/>
      </c>
      <c r="EJ20" s="73" t="str">
        <f t="shared" si="649"/>
        <v/>
      </c>
      <c r="EK20" s="73" t="str">
        <f t="shared" si="649"/>
        <v/>
      </c>
      <c r="EL20" s="73" t="str">
        <f t="shared" si="649"/>
        <v/>
      </c>
      <c r="EM20" s="73" t="str">
        <f t="shared" si="649"/>
        <v/>
      </c>
      <c r="EN20" s="73" t="str">
        <f t="shared" si="649"/>
        <v/>
      </c>
      <c r="EO20" s="73" t="str">
        <f t="shared" si="649"/>
        <v/>
      </c>
      <c r="EP20" s="73" t="str">
        <f t="shared" si="649"/>
        <v/>
      </c>
      <c r="EQ20" s="73" t="str">
        <f t="shared" si="649"/>
        <v/>
      </c>
      <c r="ER20" s="73" t="str">
        <f t="shared" si="649"/>
        <v/>
      </c>
      <c r="ES20" s="73" t="str">
        <f t="shared" si="649"/>
        <v/>
      </c>
      <c r="ET20" s="73" t="str">
        <f t="shared" si="649"/>
        <v/>
      </c>
      <c r="EU20" s="73" t="str">
        <f t="shared" si="649"/>
        <v/>
      </c>
      <c r="EV20" s="73" t="str">
        <f t="shared" si="649"/>
        <v/>
      </c>
      <c r="EW20" s="74" t="str">
        <f t="shared" si="647"/>
        <v/>
      </c>
      <c r="EX20" s="72" t="str">
        <f t="shared" si="647"/>
        <v/>
      </c>
      <c r="EY20" s="73" t="str">
        <f t="shared" si="647"/>
        <v/>
      </c>
      <c r="EZ20" s="73" t="str">
        <f t="shared" si="647"/>
        <v/>
      </c>
      <c r="FA20" s="73" t="str">
        <f t="shared" si="647"/>
        <v/>
      </c>
      <c r="FB20" s="73" t="str">
        <f t="shared" si="647"/>
        <v/>
      </c>
      <c r="FC20" s="73" t="str">
        <f t="shared" si="647"/>
        <v/>
      </c>
      <c r="FD20" s="73" t="str">
        <f t="shared" si="647"/>
        <v/>
      </c>
      <c r="FE20" s="73" t="str">
        <f t="shared" si="647"/>
        <v/>
      </c>
      <c r="FF20" s="73" t="str">
        <f t="shared" si="647"/>
        <v/>
      </c>
      <c r="FG20" s="73" t="str">
        <f t="shared" si="647"/>
        <v/>
      </c>
      <c r="FH20" s="73" t="str">
        <f t="shared" si="647"/>
        <v/>
      </c>
      <c r="FI20" s="73" t="str">
        <f t="shared" si="647"/>
        <v/>
      </c>
      <c r="FJ20" s="73" t="str">
        <f t="shared" si="647"/>
        <v/>
      </c>
      <c r="FK20" s="73" t="str">
        <f t="shared" si="647"/>
        <v/>
      </c>
      <c r="FL20" s="73" t="str">
        <f t="shared" si="647"/>
        <v/>
      </c>
      <c r="FM20" s="73" t="str">
        <f t="shared" si="647"/>
        <v/>
      </c>
      <c r="FN20" s="73" t="str">
        <f t="shared" si="647"/>
        <v/>
      </c>
      <c r="FO20" s="73" t="str">
        <f t="shared" si="647"/>
        <v/>
      </c>
      <c r="FP20" s="73" t="str">
        <f t="shared" si="647"/>
        <v/>
      </c>
      <c r="FQ20" s="73" t="str">
        <f t="shared" si="647"/>
        <v/>
      </c>
      <c r="FR20" s="73" t="str">
        <f t="shared" si="647"/>
        <v/>
      </c>
      <c r="FS20" s="73" t="str">
        <f t="shared" si="647"/>
        <v/>
      </c>
      <c r="FT20" s="73" t="str">
        <f t="shared" si="647"/>
        <v/>
      </c>
      <c r="FU20" s="73" t="str">
        <f t="shared" ref="FU20:GH20" si="650">IF(AND(FU18&lt;&gt;0,FU19&lt;&gt;0),(FU18-FU19)/FU19,IF(AND(FU18=0,FU19=0),"",IF(AND(FU18="",FU19=""),"",IF(AND(FU18=0,FU19=""),"", IF(AND(FU18="",FU19=0),"",1)))))</f>
        <v/>
      </c>
      <c r="FV20" s="73" t="str">
        <f t="shared" si="650"/>
        <v/>
      </c>
      <c r="FW20" s="73" t="str">
        <f t="shared" si="650"/>
        <v/>
      </c>
      <c r="FX20" s="73" t="str">
        <f t="shared" si="650"/>
        <v/>
      </c>
      <c r="FY20" s="73" t="str">
        <f t="shared" si="650"/>
        <v/>
      </c>
      <c r="FZ20" s="73" t="str">
        <f t="shared" si="650"/>
        <v/>
      </c>
      <c r="GA20" s="73" t="str">
        <f t="shared" si="650"/>
        <v/>
      </c>
      <c r="GB20" s="73" t="str">
        <f t="shared" si="650"/>
        <v/>
      </c>
      <c r="GC20" s="73" t="str">
        <f t="shared" si="650"/>
        <v/>
      </c>
      <c r="GD20" s="73" t="str">
        <f t="shared" si="650"/>
        <v/>
      </c>
      <c r="GE20" s="73" t="str">
        <f t="shared" si="650"/>
        <v/>
      </c>
      <c r="GF20" s="73" t="str">
        <f t="shared" si="650"/>
        <v/>
      </c>
      <c r="GG20" s="73" t="str">
        <f t="shared" si="650"/>
        <v/>
      </c>
      <c r="GH20" s="73" t="str">
        <f t="shared" si="650"/>
        <v/>
      </c>
      <c r="GI20" s="74" t="str">
        <f t="shared" si="647"/>
        <v/>
      </c>
      <c r="GJ20" s="72" t="str">
        <f t="shared" si="647"/>
        <v/>
      </c>
      <c r="GK20" s="73" t="str">
        <f t="shared" si="647"/>
        <v/>
      </c>
      <c r="GL20" s="73" t="str">
        <f t="shared" si="647"/>
        <v/>
      </c>
      <c r="GM20" s="73" t="str">
        <f t="shared" si="647"/>
        <v/>
      </c>
      <c r="GN20" s="73" t="str">
        <f t="shared" si="647"/>
        <v/>
      </c>
      <c r="GO20" s="73" t="str">
        <f t="shared" si="647"/>
        <v/>
      </c>
      <c r="GP20" s="73" t="str">
        <f t="shared" si="647"/>
        <v/>
      </c>
      <c r="GQ20" s="73" t="str">
        <f t="shared" si="647"/>
        <v/>
      </c>
      <c r="GR20" s="73" t="str">
        <f t="shared" si="647"/>
        <v/>
      </c>
      <c r="GS20" s="73" t="str">
        <f t="shared" ref="GS20:LC20" si="651">IF(AND(GS18&lt;&gt;0,GS19&lt;&gt;0),(GS18-GS19)/GS19,IF(AND(GS18=0,GS19=0),"",IF(AND(GS18="",GS19=""),"",IF(AND(GS18=0,GS19=""),"", IF(AND(GS18="",GS19=0),"",1)))))</f>
        <v/>
      </c>
      <c r="GT20" s="73" t="str">
        <f t="shared" si="651"/>
        <v/>
      </c>
      <c r="GU20" s="73" t="str">
        <f t="shared" si="651"/>
        <v/>
      </c>
      <c r="GV20" s="73" t="str">
        <f t="shared" si="651"/>
        <v/>
      </c>
      <c r="GW20" s="73" t="str">
        <f t="shared" si="651"/>
        <v/>
      </c>
      <c r="GX20" s="73" t="str">
        <f t="shared" si="651"/>
        <v/>
      </c>
      <c r="GY20" s="73" t="str">
        <f t="shared" si="651"/>
        <v/>
      </c>
      <c r="GZ20" s="73" t="str">
        <f t="shared" si="651"/>
        <v/>
      </c>
      <c r="HA20" s="73" t="str">
        <f t="shared" si="651"/>
        <v/>
      </c>
      <c r="HB20" s="73" t="str">
        <f t="shared" si="651"/>
        <v/>
      </c>
      <c r="HC20" s="73" t="str">
        <f t="shared" si="651"/>
        <v/>
      </c>
      <c r="HD20" s="73" t="str">
        <f t="shared" si="651"/>
        <v/>
      </c>
      <c r="HE20" s="73" t="str">
        <f t="shared" si="651"/>
        <v/>
      </c>
      <c r="HF20" s="73" t="str">
        <f t="shared" si="651"/>
        <v/>
      </c>
      <c r="HG20" s="73" t="str">
        <f t="shared" ref="HG20:HT20" si="652">IF(AND(HG18&lt;&gt;0,HG19&lt;&gt;0),(HG18-HG19)/HG19,IF(AND(HG18=0,HG19=0),"",IF(AND(HG18="",HG19=""),"",IF(AND(HG18=0,HG19=""),"", IF(AND(HG18="",HG19=0),"",1)))))</f>
        <v/>
      </c>
      <c r="HH20" s="73" t="str">
        <f t="shared" si="652"/>
        <v/>
      </c>
      <c r="HI20" s="73" t="str">
        <f t="shared" si="652"/>
        <v/>
      </c>
      <c r="HJ20" s="73" t="str">
        <f t="shared" si="652"/>
        <v/>
      </c>
      <c r="HK20" s="73" t="str">
        <f t="shared" si="652"/>
        <v/>
      </c>
      <c r="HL20" s="73" t="str">
        <f t="shared" si="652"/>
        <v/>
      </c>
      <c r="HM20" s="73" t="str">
        <f t="shared" si="652"/>
        <v/>
      </c>
      <c r="HN20" s="73" t="str">
        <f t="shared" si="652"/>
        <v/>
      </c>
      <c r="HO20" s="73" t="str">
        <f t="shared" si="652"/>
        <v/>
      </c>
      <c r="HP20" s="73" t="str">
        <f t="shared" si="652"/>
        <v/>
      </c>
      <c r="HQ20" s="73" t="str">
        <f t="shared" si="652"/>
        <v/>
      </c>
      <c r="HR20" s="73" t="str">
        <f t="shared" si="652"/>
        <v/>
      </c>
      <c r="HS20" s="73" t="str">
        <f t="shared" si="652"/>
        <v/>
      </c>
      <c r="HT20" s="73" t="str">
        <f t="shared" si="652"/>
        <v/>
      </c>
      <c r="HU20" s="74" t="str">
        <f t="shared" si="651"/>
        <v/>
      </c>
      <c r="HV20" s="39">
        <f t="shared" si="651"/>
        <v>-3.1670635232997483E-5</v>
      </c>
      <c r="HW20" s="40">
        <f t="shared" si="651"/>
        <v>-0.66664644306415366</v>
      </c>
      <c r="HX20" s="40">
        <f t="shared" si="651"/>
        <v>-0.66670255056021999</v>
      </c>
      <c r="HY20" s="40">
        <f t="shared" si="651"/>
        <v>-0.66667205433786647</v>
      </c>
      <c r="HZ20" s="40">
        <f t="shared" si="651"/>
        <v>-0.66666353738369633</v>
      </c>
      <c r="IA20" s="40">
        <f t="shared" si="651"/>
        <v>-0.66669188464550377</v>
      </c>
      <c r="IB20" s="40">
        <f t="shared" si="651"/>
        <v>-0.66666423079648529</v>
      </c>
      <c r="IC20" s="40">
        <f t="shared" si="651"/>
        <v>-0.66669708680246154</v>
      </c>
      <c r="ID20" s="40">
        <f t="shared" si="651"/>
        <v>-0.66663265755776924</v>
      </c>
      <c r="IE20" s="40">
        <f t="shared" si="651"/>
        <v>-0.66669686784325732</v>
      </c>
      <c r="IF20" s="40">
        <f t="shared" si="651"/>
        <v>1.0399628333681499</v>
      </c>
      <c r="IG20" s="40">
        <f t="shared" si="651"/>
        <v>-0.66666611803845666</v>
      </c>
      <c r="IH20" s="40">
        <f t="shared" si="651"/>
        <v>-0.66666577579684883</v>
      </c>
      <c r="II20" s="40">
        <f t="shared" si="651"/>
        <v>-0.66666639287169316</v>
      </c>
      <c r="IJ20" s="40">
        <f t="shared" si="651"/>
        <v>-0.66666755633079511</v>
      </c>
      <c r="IK20" s="40">
        <f t="shared" si="651"/>
        <v>-0.66666676925753754</v>
      </c>
      <c r="IL20" s="40">
        <f t="shared" si="651"/>
        <v>-0.666666154011886</v>
      </c>
      <c r="IM20" s="40">
        <f t="shared" si="651"/>
        <v>-0.66666615453949529</v>
      </c>
      <c r="IN20" s="40">
        <f t="shared" si="651"/>
        <v>-0.66666598385729403</v>
      </c>
      <c r="IO20" s="40">
        <f t="shared" si="651"/>
        <v>-0.66666714439523389</v>
      </c>
      <c r="IP20" s="40">
        <f t="shared" si="651"/>
        <v>-0.66666622326782488</v>
      </c>
      <c r="IQ20" s="40">
        <f t="shared" si="651"/>
        <v>-0.66666710965936715</v>
      </c>
      <c r="IR20" s="40">
        <f t="shared" si="651"/>
        <v>-0.66666608733061572</v>
      </c>
      <c r="IS20" s="40">
        <f t="shared" ref="IS20:JF20" si="653">IF(AND(IS18&lt;&gt;0,IS19&lt;&gt;0),(IS18-IS19)/IS19,IF(AND(IS18=0,IS19=0),"",IF(AND(IS18="",IS19=""),"",IF(AND(IS18=0,IS19=""),"", IF(AND(IS18="",IS19=0),"",1)))))</f>
        <v>1</v>
      </c>
      <c r="IT20" s="40" t="str">
        <f t="shared" si="653"/>
        <v/>
      </c>
      <c r="IU20" s="40" t="str">
        <f t="shared" si="653"/>
        <v/>
      </c>
      <c r="IV20" s="40" t="str">
        <f t="shared" si="653"/>
        <v/>
      </c>
      <c r="IW20" s="40" t="str">
        <f t="shared" si="653"/>
        <v/>
      </c>
      <c r="IX20" s="40" t="str">
        <f t="shared" si="653"/>
        <v/>
      </c>
      <c r="IY20" s="40" t="str">
        <f t="shared" si="653"/>
        <v/>
      </c>
      <c r="IZ20" s="40" t="str">
        <f t="shared" si="653"/>
        <v/>
      </c>
      <c r="JA20" s="40" t="str">
        <f t="shared" si="653"/>
        <v/>
      </c>
      <c r="JB20" s="40" t="str">
        <f t="shared" si="653"/>
        <v/>
      </c>
      <c r="JC20" s="40" t="str">
        <f t="shared" si="653"/>
        <v/>
      </c>
      <c r="JD20" s="40" t="str">
        <f t="shared" si="653"/>
        <v/>
      </c>
      <c r="JE20" s="40" t="str">
        <f t="shared" si="653"/>
        <v/>
      </c>
      <c r="JF20" s="40" t="str">
        <f t="shared" si="653"/>
        <v/>
      </c>
      <c r="JG20" s="41">
        <f t="shared" si="651"/>
        <v>-0.65835988268795609</v>
      </c>
      <c r="JH20" s="72" t="str">
        <f t="shared" si="651"/>
        <v/>
      </c>
      <c r="JI20" s="73" t="str">
        <f t="shared" si="651"/>
        <v/>
      </c>
      <c r="JJ20" s="73" t="str">
        <f t="shared" si="651"/>
        <v/>
      </c>
      <c r="JK20" s="73" t="str">
        <f t="shared" si="651"/>
        <v/>
      </c>
      <c r="JL20" s="73" t="str">
        <f t="shared" si="651"/>
        <v/>
      </c>
      <c r="JM20" s="73" t="str">
        <f t="shared" si="651"/>
        <v/>
      </c>
      <c r="JN20" s="73" t="str">
        <f t="shared" si="651"/>
        <v/>
      </c>
      <c r="JO20" s="73" t="str">
        <f t="shared" si="651"/>
        <v/>
      </c>
      <c r="JP20" s="73" t="str">
        <f t="shared" si="651"/>
        <v/>
      </c>
      <c r="JQ20" s="73" t="str">
        <f t="shared" si="651"/>
        <v/>
      </c>
      <c r="JR20" s="73" t="str">
        <f t="shared" si="651"/>
        <v/>
      </c>
      <c r="JS20" s="73" t="str">
        <f t="shared" si="651"/>
        <v/>
      </c>
      <c r="JT20" s="73" t="str">
        <f t="shared" si="651"/>
        <v/>
      </c>
      <c r="JU20" s="73" t="str">
        <f t="shared" si="651"/>
        <v/>
      </c>
      <c r="JV20" s="73" t="str">
        <f t="shared" si="651"/>
        <v/>
      </c>
      <c r="JW20" s="73" t="str">
        <f t="shared" si="651"/>
        <v/>
      </c>
      <c r="JX20" s="73" t="str">
        <f t="shared" si="651"/>
        <v/>
      </c>
      <c r="JY20" s="73" t="str">
        <f t="shared" si="651"/>
        <v/>
      </c>
      <c r="JZ20" s="73" t="str">
        <f t="shared" si="651"/>
        <v/>
      </c>
      <c r="KA20" s="73" t="str">
        <f t="shared" si="651"/>
        <v/>
      </c>
      <c r="KB20" s="73" t="str">
        <f t="shared" si="651"/>
        <v/>
      </c>
      <c r="KC20" s="73" t="str">
        <f t="shared" si="651"/>
        <v/>
      </c>
      <c r="KD20" s="73" t="str">
        <f t="shared" si="651"/>
        <v/>
      </c>
      <c r="KE20" s="73" t="str">
        <f t="shared" ref="KE20:KR20" si="654">IF(AND(KE18&lt;&gt;0,KE19&lt;&gt;0),(KE18-KE19)/KE19,IF(AND(KE18=0,KE19=0),"",IF(AND(KE18="",KE19=""),"",IF(AND(KE18=0,KE19=""),"", IF(AND(KE18="",KE19=0),"",1)))))</f>
        <v/>
      </c>
      <c r="KF20" s="73" t="str">
        <f t="shared" si="654"/>
        <v/>
      </c>
      <c r="KG20" s="73" t="str">
        <f t="shared" si="654"/>
        <v/>
      </c>
      <c r="KH20" s="73" t="str">
        <f t="shared" si="654"/>
        <v/>
      </c>
      <c r="KI20" s="73" t="str">
        <f t="shared" si="654"/>
        <v/>
      </c>
      <c r="KJ20" s="73" t="str">
        <f t="shared" si="654"/>
        <v/>
      </c>
      <c r="KK20" s="73" t="str">
        <f t="shared" si="654"/>
        <v/>
      </c>
      <c r="KL20" s="73" t="str">
        <f t="shared" si="654"/>
        <v/>
      </c>
      <c r="KM20" s="73" t="str">
        <f t="shared" si="654"/>
        <v/>
      </c>
      <c r="KN20" s="73" t="str">
        <f t="shared" si="654"/>
        <v/>
      </c>
      <c r="KO20" s="73" t="str">
        <f t="shared" si="654"/>
        <v/>
      </c>
      <c r="KP20" s="73" t="str">
        <f t="shared" si="654"/>
        <v/>
      </c>
      <c r="KQ20" s="73" t="str">
        <f t="shared" si="654"/>
        <v/>
      </c>
      <c r="KR20" s="73" t="str">
        <f t="shared" si="654"/>
        <v/>
      </c>
      <c r="KS20" s="74" t="str">
        <f t="shared" si="651"/>
        <v/>
      </c>
      <c r="KT20" s="72" t="str">
        <f t="shared" si="651"/>
        <v/>
      </c>
      <c r="KU20" s="73" t="str">
        <f t="shared" si="651"/>
        <v/>
      </c>
      <c r="KV20" s="73" t="str">
        <f t="shared" si="651"/>
        <v/>
      </c>
      <c r="KW20" s="73" t="str">
        <f t="shared" si="651"/>
        <v/>
      </c>
      <c r="KX20" s="73" t="str">
        <f t="shared" si="651"/>
        <v/>
      </c>
      <c r="KY20" s="73" t="str">
        <f t="shared" si="651"/>
        <v/>
      </c>
      <c r="KZ20" s="73" t="str">
        <f t="shared" si="651"/>
        <v/>
      </c>
      <c r="LA20" s="73" t="str">
        <f t="shared" si="651"/>
        <v/>
      </c>
      <c r="LB20" s="73" t="str">
        <f t="shared" si="651"/>
        <v/>
      </c>
      <c r="LC20" s="73" t="str">
        <f t="shared" si="651"/>
        <v/>
      </c>
      <c r="LD20" s="73" t="str">
        <f t="shared" ref="LD20:PC20" si="655">IF(AND(LD18&lt;&gt;0,LD19&lt;&gt;0),(LD18-LD19)/LD19,IF(AND(LD18=0,LD19=0),"",IF(AND(LD18="",LD19=""),"",IF(AND(LD18=0,LD19=""),"", IF(AND(LD18="",LD19=0),"",1)))))</f>
        <v/>
      </c>
      <c r="LE20" s="73" t="str">
        <f t="shared" si="655"/>
        <v/>
      </c>
      <c r="LF20" s="73" t="str">
        <f t="shared" si="655"/>
        <v/>
      </c>
      <c r="LG20" s="73" t="str">
        <f t="shared" si="655"/>
        <v/>
      </c>
      <c r="LH20" s="73" t="str">
        <f t="shared" si="655"/>
        <v/>
      </c>
      <c r="LI20" s="73" t="str">
        <f t="shared" si="655"/>
        <v/>
      </c>
      <c r="LJ20" s="73" t="str">
        <f t="shared" si="655"/>
        <v/>
      </c>
      <c r="LK20" s="73" t="str">
        <f t="shared" si="655"/>
        <v/>
      </c>
      <c r="LL20" s="73" t="str">
        <f t="shared" si="655"/>
        <v/>
      </c>
      <c r="LM20" s="73" t="str">
        <f t="shared" si="655"/>
        <v/>
      </c>
      <c r="LN20" s="73" t="str">
        <f t="shared" si="655"/>
        <v/>
      </c>
      <c r="LO20" s="73" t="str">
        <f t="shared" si="655"/>
        <v/>
      </c>
      <c r="LP20" s="73" t="str">
        <f t="shared" si="655"/>
        <v/>
      </c>
      <c r="LQ20" s="73" t="str">
        <f t="shared" ref="LQ20:MD20" si="656">IF(AND(LQ18&lt;&gt;0,LQ19&lt;&gt;0),(LQ18-LQ19)/LQ19,IF(AND(LQ18=0,LQ19=0),"",IF(AND(LQ18="",LQ19=""),"",IF(AND(LQ18=0,LQ19=""),"", IF(AND(LQ18="",LQ19=0),"",1)))))</f>
        <v/>
      </c>
      <c r="LR20" s="73" t="str">
        <f t="shared" si="656"/>
        <v/>
      </c>
      <c r="LS20" s="73" t="str">
        <f t="shared" si="656"/>
        <v/>
      </c>
      <c r="LT20" s="73" t="str">
        <f t="shared" si="656"/>
        <v/>
      </c>
      <c r="LU20" s="73" t="str">
        <f t="shared" si="656"/>
        <v/>
      </c>
      <c r="LV20" s="73" t="str">
        <f t="shared" si="656"/>
        <v/>
      </c>
      <c r="LW20" s="73" t="str">
        <f t="shared" si="656"/>
        <v/>
      </c>
      <c r="LX20" s="73" t="str">
        <f t="shared" si="656"/>
        <v/>
      </c>
      <c r="LY20" s="73" t="str">
        <f t="shared" si="656"/>
        <v/>
      </c>
      <c r="LZ20" s="73" t="str">
        <f t="shared" si="656"/>
        <v/>
      </c>
      <c r="MA20" s="73" t="str">
        <f t="shared" si="656"/>
        <v/>
      </c>
      <c r="MB20" s="73" t="str">
        <f t="shared" si="656"/>
        <v/>
      </c>
      <c r="MC20" s="73" t="str">
        <f t="shared" si="656"/>
        <v/>
      </c>
      <c r="MD20" s="73" t="str">
        <f t="shared" si="656"/>
        <v/>
      </c>
      <c r="ME20" s="74" t="str">
        <f t="shared" si="655"/>
        <v/>
      </c>
      <c r="MF20" s="72" t="str">
        <f t="shared" si="655"/>
        <v/>
      </c>
      <c r="MG20" s="73" t="str">
        <f t="shared" si="655"/>
        <v/>
      </c>
      <c r="MH20" s="73" t="str">
        <f t="shared" si="655"/>
        <v/>
      </c>
      <c r="MI20" s="73" t="str">
        <f t="shared" si="655"/>
        <v/>
      </c>
      <c r="MJ20" s="73" t="str">
        <f t="shared" si="655"/>
        <v/>
      </c>
      <c r="MK20" s="73" t="str">
        <f t="shared" si="655"/>
        <v/>
      </c>
      <c r="ML20" s="73" t="str">
        <f t="shared" si="655"/>
        <v/>
      </c>
      <c r="MM20" s="73" t="str">
        <f t="shared" si="655"/>
        <v/>
      </c>
      <c r="MN20" s="73" t="str">
        <f t="shared" si="655"/>
        <v/>
      </c>
      <c r="MO20" s="73" t="str">
        <f t="shared" si="655"/>
        <v/>
      </c>
      <c r="MP20" s="73" t="str">
        <f t="shared" si="655"/>
        <v/>
      </c>
      <c r="MQ20" s="73" t="str">
        <f t="shared" si="655"/>
        <v/>
      </c>
      <c r="MR20" s="73" t="str">
        <f t="shared" si="655"/>
        <v/>
      </c>
      <c r="MS20" s="73" t="str">
        <f t="shared" si="655"/>
        <v/>
      </c>
      <c r="MT20" s="73" t="str">
        <f t="shared" si="655"/>
        <v/>
      </c>
      <c r="MU20" s="73" t="str">
        <f t="shared" si="655"/>
        <v/>
      </c>
      <c r="MV20" s="73" t="str">
        <f t="shared" si="655"/>
        <v/>
      </c>
      <c r="MW20" s="73" t="str">
        <f t="shared" si="655"/>
        <v/>
      </c>
      <c r="MX20" s="73" t="str">
        <f t="shared" si="655"/>
        <v/>
      </c>
      <c r="MY20" s="73" t="str">
        <f t="shared" si="655"/>
        <v/>
      </c>
      <c r="MZ20" s="73" t="str">
        <f t="shared" si="655"/>
        <v/>
      </c>
      <c r="NA20" s="73" t="str">
        <f t="shared" si="655"/>
        <v/>
      </c>
      <c r="NB20" s="73" t="str">
        <f t="shared" si="655"/>
        <v/>
      </c>
      <c r="NC20" s="73" t="str">
        <f t="shared" ref="NC20:NP20" si="657">IF(AND(NC18&lt;&gt;0,NC19&lt;&gt;0),(NC18-NC19)/NC19,IF(AND(NC18=0,NC19=0),"",IF(AND(NC18="",NC19=""),"",IF(AND(NC18=0,NC19=""),"", IF(AND(NC18="",NC19=0),"",1)))))</f>
        <v/>
      </c>
      <c r="ND20" s="73" t="str">
        <f t="shared" si="657"/>
        <v/>
      </c>
      <c r="NE20" s="73" t="str">
        <f t="shared" si="657"/>
        <v/>
      </c>
      <c r="NF20" s="73" t="str">
        <f t="shared" si="657"/>
        <v/>
      </c>
      <c r="NG20" s="73" t="str">
        <f t="shared" si="657"/>
        <v/>
      </c>
      <c r="NH20" s="73" t="str">
        <f t="shared" si="657"/>
        <v/>
      </c>
      <c r="NI20" s="73" t="str">
        <f t="shared" si="657"/>
        <v/>
      </c>
      <c r="NJ20" s="73" t="str">
        <f t="shared" si="657"/>
        <v/>
      </c>
      <c r="NK20" s="73" t="str">
        <f t="shared" si="657"/>
        <v/>
      </c>
      <c r="NL20" s="73" t="str">
        <f t="shared" si="657"/>
        <v/>
      </c>
      <c r="NM20" s="73" t="str">
        <f t="shared" si="657"/>
        <v/>
      </c>
      <c r="NN20" s="73" t="str">
        <f t="shared" si="657"/>
        <v/>
      </c>
      <c r="NO20" s="73" t="str">
        <f t="shared" si="657"/>
        <v/>
      </c>
      <c r="NP20" s="73" t="str">
        <f t="shared" si="657"/>
        <v/>
      </c>
      <c r="NQ20" s="74" t="str">
        <f t="shared" si="655"/>
        <v/>
      </c>
      <c r="NR20" s="40">
        <f t="shared" si="655"/>
        <v>-3.8856763518258425E-4</v>
      </c>
      <c r="NS20" s="40">
        <f t="shared" si="655"/>
        <v>-0.66678794552405118</v>
      </c>
      <c r="NT20" s="40">
        <f t="shared" si="655"/>
        <v>-0.6666956631194022</v>
      </c>
      <c r="NU20" s="40">
        <f t="shared" si="655"/>
        <v>-0.66655908706308209</v>
      </c>
      <c r="NV20" s="40">
        <f t="shared" si="655"/>
        <v>-0.66682523045618458</v>
      </c>
      <c r="NW20" s="40">
        <f t="shared" si="655"/>
        <v>-0.6668555779185722</v>
      </c>
      <c r="NX20" s="40">
        <f t="shared" si="655"/>
        <v>-0.66653580870171969</v>
      </c>
      <c r="NY20" s="40">
        <f t="shared" si="655"/>
        <v>-0.6665831984805225</v>
      </c>
      <c r="NZ20" s="40">
        <f t="shared" si="655"/>
        <v>-0.66675223405112316</v>
      </c>
      <c r="OA20" s="40">
        <f t="shared" si="655"/>
        <v>-0.66646766258669532</v>
      </c>
      <c r="OB20" s="40">
        <f t="shared" si="655"/>
        <v>-0.66655841218542744</v>
      </c>
      <c r="OC20" s="40">
        <f t="shared" si="655"/>
        <v>-0.66664180632560488</v>
      </c>
      <c r="OD20" s="40">
        <f t="shared" si="655"/>
        <v>-0.66675300136954885</v>
      </c>
      <c r="OE20" s="40">
        <f t="shared" si="655"/>
        <v>-0.66660774254046429</v>
      </c>
      <c r="OF20" s="40">
        <f t="shared" si="655"/>
        <v>-0.66659288265271421</v>
      </c>
      <c r="OG20" s="40">
        <f t="shared" si="655"/>
        <v>-0.66672219669117649</v>
      </c>
      <c r="OH20" s="40">
        <f t="shared" si="655"/>
        <v>-0.66646270951937259</v>
      </c>
      <c r="OI20" s="40">
        <f t="shared" si="655"/>
        <v>-0.66645365610172613</v>
      </c>
      <c r="OJ20" s="40">
        <f t="shared" si="655"/>
        <v>-0.66653856225735453</v>
      </c>
      <c r="OK20" s="40">
        <f t="shared" si="655"/>
        <v>-0.66670810337824915</v>
      </c>
      <c r="OL20" s="40">
        <f t="shared" si="655"/>
        <v>-0.66656817205100349</v>
      </c>
      <c r="OM20" s="40">
        <f t="shared" si="655"/>
        <v>-0.66668876468668403</v>
      </c>
      <c r="ON20" s="40">
        <f t="shared" si="655"/>
        <v>-0.66660760210446657</v>
      </c>
      <c r="OO20" s="40">
        <f t="shared" ref="OO20:PB20" si="658">IF(AND(OO18&lt;&gt;0,OO19&lt;&gt;0),(OO18-OO19)/OO19,IF(AND(OO18=0,OO19=0),"",IF(AND(OO18="",OO19=""),"",IF(AND(OO18=0,OO19=""),"", IF(AND(OO18="",OO19=0),"",1)))))</f>
        <v>-0.69439500235369656</v>
      </c>
      <c r="OP20" s="40">
        <f t="shared" si="658"/>
        <v>-0.66666592124922197</v>
      </c>
      <c r="OQ20" s="40">
        <f t="shared" si="658"/>
        <v>1</v>
      </c>
      <c r="OR20" s="40" t="str">
        <f t="shared" si="658"/>
        <v/>
      </c>
      <c r="OS20" s="40" t="str">
        <f t="shared" si="658"/>
        <v/>
      </c>
      <c r="OT20" s="40" t="str">
        <f t="shared" si="658"/>
        <v/>
      </c>
      <c r="OU20" s="40" t="str">
        <f t="shared" si="658"/>
        <v/>
      </c>
      <c r="OV20" s="40" t="str">
        <f t="shared" si="658"/>
        <v/>
      </c>
      <c r="OW20" s="40" t="str">
        <f t="shared" si="658"/>
        <v/>
      </c>
      <c r="OX20" s="40" t="str">
        <f t="shared" si="658"/>
        <v/>
      </c>
      <c r="OY20" s="40" t="str">
        <f t="shared" si="658"/>
        <v/>
      </c>
      <c r="OZ20" s="40" t="str">
        <f t="shared" si="658"/>
        <v/>
      </c>
      <c r="PA20" s="40" t="str">
        <f t="shared" si="658"/>
        <v/>
      </c>
      <c r="PB20" s="40" t="str">
        <f t="shared" si="658"/>
        <v/>
      </c>
      <c r="PC20" s="41">
        <f t="shared" si="655"/>
        <v>-0.62551795727154313</v>
      </c>
    </row>
    <row r="21" spans="1:419" outlineLevel="1" x14ac:dyDescent="0.4">
      <c r="A21" s="46" t="s">
        <v>45</v>
      </c>
      <c r="B21" s="14">
        <f>'[1]D-PDP'!$BX$12</f>
        <v>1432467.75</v>
      </c>
      <c r="C21" s="14">
        <f>'[1]D-PDP'!$BX$13</f>
        <v>1430560.5</v>
      </c>
      <c r="D21" s="14">
        <f>'[1]D-PDP'!$BX$14</f>
        <v>1428741.625</v>
      </c>
      <c r="E21" s="14">
        <f>'[1]D-PDP'!$BX$15</f>
        <v>1425930.25</v>
      </c>
      <c r="F21" s="14">
        <f>'[1]D-PDP'!$BX$16</f>
        <v>1422201</v>
      </c>
      <c r="G21" s="14">
        <f>'[1]D-PDP'!$BX$17</f>
        <v>1420055.875</v>
      </c>
      <c r="H21" s="14">
        <f>'[1]D-PDP'!$BX$18</f>
        <v>1418379.75</v>
      </c>
      <c r="I21" s="14">
        <f>'[1]D-PDP'!$BX$19</f>
        <v>1416874.125</v>
      </c>
      <c r="J21" s="14">
        <f>'[1]D-PDP'!$BX$20</f>
        <v>1414929.125</v>
      </c>
      <c r="K21" s="14">
        <f>'[1]D-PDP'!$BX$21</f>
        <v>1412466.625</v>
      </c>
      <c r="L21" s="14">
        <f>'[1]D-PDP'!$BX$22</f>
        <v>1174390.375</v>
      </c>
      <c r="M21" s="14">
        <f>'[1]D-PDP'!$BX$23</f>
        <v>0</v>
      </c>
      <c r="N21" s="14">
        <f>'[1]D-PDP'!$BX$24</f>
        <v>0</v>
      </c>
      <c r="O21" s="14">
        <f>'[1]D-PDP'!$BX$25</f>
        <v>0</v>
      </c>
      <c r="P21" s="14">
        <f>'[1]D-PDP'!$BX$26</f>
        <v>0</v>
      </c>
      <c r="Q21" s="14">
        <f>'[1]D-PDP'!$BX$27</f>
        <v>0</v>
      </c>
      <c r="R21" s="14">
        <f>'[1]D-PDP'!$BX$28</f>
        <v>0</v>
      </c>
      <c r="S21" s="14">
        <f>'[1]D-PDP'!$BX$29</f>
        <v>0</v>
      </c>
      <c r="T21" s="14">
        <f>'[1]D-PDP'!$BX$30</f>
        <v>0</v>
      </c>
      <c r="U21" s="14">
        <f>'[1]D-PDP'!$BX$31</f>
        <v>0</v>
      </c>
      <c r="V21" s="14">
        <f>'[1]D-PDP'!$BX$32</f>
        <v>0</v>
      </c>
      <c r="W21" s="14">
        <f>'[1]D-PDP'!$BX$33</f>
        <v>0</v>
      </c>
      <c r="X21" s="14">
        <f>'[1]D-PDP'!$BX$34</f>
        <v>0</v>
      </c>
      <c r="Y21" s="14">
        <f>'[1]D-PDP'!$BX$35</f>
        <v>0</v>
      </c>
      <c r="Z21" s="14">
        <f>'[1]D-PDP'!$BX$36</f>
        <v>0</v>
      </c>
      <c r="AA21" s="14">
        <f>'[1]D-PDP'!$BX$37</f>
        <v>0</v>
      </c>
      <c r="AB21" s="14">
        <f>'[1]D-PDP'!$BX$38</f>
        <v>0</v>
      </c>
      <c r="AC21" s="14">
        <f>'[1]D-PDP'!$BX$39</f>
        <v>0</v>
      </c>
      <c r="AD21" s="14">
        <f>'[1]D-PDP'!$BX$40</f>
        <v>0</v>
      </c>
      <c r="AE21" s="14">
        <f>'[1]D-PDP'!$BX$41</f>
        <v>0</v>
      </c>
      <c r="AF21" s="14">
        <f>'[1]D-PDP'!$BX$42</f>
        <v>0</v>
      </c>
      <c r="AG21" s="14">
        <f>'[1]D-PDP'!$BX$43</f>
        <v>0</v>
      </c>
      <c r="AH21" s="14">
        <f>'[1]D-PDP'!$BX$44</f>
        <v>0</v>
      </c>
      <c r="AI21" s="14">
        <f>'[1]D-PDP'!$BX$45</f>
        <v>0</v>
      </c>
      <c r="AJ21" s="14">
        <f>'[1]D-PDP'!$BX$46</f>
        <v>0</v>
      </c>
      <c r="AK21" s="14">
        <f>'[1]D-PDP'!$BX$47</f>
        <v>0</v>
      </c>
      <c r="AL21" s="14">
        <f>'[1]D-PDP'!$BX$48</f>
        <v>0</v>
      </c>
      <c r="AM21" s="16">
        <f>SUM(B21:AL21)</f>
        <v>15396997</v>
      </c>
      <c r="AN21" s="28">
        <f>'[1]D-PNP'!$BX$12</f>
        <v>0</v>
      </c>
      <c r="AO21" s="14">
        <f>'[1]D-PNP'!$BX$13</f>
        <v>0</v>
      </c>
      <c r="AP21" s="14">
        <f>'[1]D-PNP'!$BX$14</f>
        <v>0</v>
      </c>
      <c r="AQ21" s="14">
        <f>'[1]D-PNP'!$BX$15</f>
        <v>0</v>
      </c>
      <c r="AR21" s="14">
        <f>'[1]D-PNP'!$BX$16</f>
        <v>0</v>
      </c>
      <c r="AS21" s="14">
        <f>'[1]D-PNP'!$BX$17</f>
        <v>0</v>
      </c>
      <c r="AT21" s="14">
        <f>'[1]D-PNP'!$BX$18</f>
        <v>0</v>
      </c>
      <c r="AU21" s="14">
        <f>'[1]D-PNP'!$BX$19</f>
        <v>0</v>
      </c>
      <c r="AV21" s="14">
        <f>'[1]D-PNP'!$BX$20</f>
        <v>0</v>
      </c>
      <c r="AW21" s="14">
        <f>'[1]D-PNP'!$BX$21</f>
        <v>0</v>
      </c>
      <c r="AX21" s="14">
        <f>'[1]D-PNP'!$BX$22</f>
        <v>0</v>
      </c>
      <c r="AY21" s="14">
        <f>'[1]D-PNP'!$BX$23</f>
        <v>0</v>
      </c>
      <c r="AZ21" s="14">
        <f>'[1]D-PNP'!$BX$24</f>
        <v>0</v>
      </c>
      <c r="BA21" s="14">
        <f>'[1]D-PNP'!$BX$25</f>
        <v>0</v>
      </c>
      <c r="BB21" s="14">
        <f>'[1]D-PNP'!$BX$26</f>
        <v>0</v>
      </c>
      <c r="BC21" s="14">
        <f>'[1]D-PNP'!$BX$27</f>
        <v>0</v>
      </c>
      <c r="BD21" s="14">
        <f>'[1]D-PNP'!$BX$28</f>
        <v>0</v>
      </c>
      <c r="BE21" s="14">
        <f>'[1]D-PNP'!$BX$29</f>
        <v>0</v>
      </c>
      <c r="BF21" s="14">
        <f>'[1]D-PNP'!$BX$30</f>
        <v>0</v>
      </c>
      <c r="BG21" s="14">
        <f>'[1]D-PNP'!$BX$31</f>
        <v>0</v>
      </c>
      <c r="BH21" s="14">
        <f>'[1]D-PNP'!$BX$32</f>
        <v>0</v>
      </c>
      <c r="BI21" s="14">
        <f>'[1]D-PNP'!$BX$33</f>
        <v>0</v>
      </c>
      <c r="BJ21" s="14">
        <f>'[1]D-PNP'!$BX$34</f>
        <v>0</v>
      </c>
      <c r="BK21" s="14">
        <f>'[1]D-PNP'!$BX$35</f>
        <v>0</v>
      </c>
      <c r="BL21" s="14">
        <f>'[1]D-PNP'!$BX$36</f>
        <v>0</v>
      </c>
      <c r="BM21" s="14">
        <f>'[1]D-PNP'!$BX$37</f>
        <v>0</v>
      </c>
      <c r="BN21" s="14">
        <f>'[1]D-PNP'!$BX$38</f>
        <v>0</v>
      </c>
      <c r="BO21" s="14">
        <f>'[1]D-PNP'!$BX$39</f>
        <v>0</v>
      </c>
      <c r="BP21" s="14">
        <f>'[1]D-PNP'!$BX$40</f>
        <v>0</v>
      </c>
      <c r="BQ21" s="14">
        <f>'[1]D-PNP'!$BX$41</f>
        <v>0</v>
      </c>
      <c r="BR21" s="14">
        <f>'[1]D-PNP'!$BX$42</f>
        <v>0</v>
      </c>
      <c r="BS21" s="14">
        <f>'[1]D-PNP'!$BX$43</f>
        <v>0</v>
      </c>
      <c r="BT21" s="14">
        <f>'[1]D-PNP'!$BX$44</f>
        <v>0</v>
      </c>
      <c r="BU21" s="14">
        <f>'[1]D-PNP'!$BX$45</f>
        <v>0</v>
      </c>
      <c r="BV21" s="14">
        <f>'[1]D-PNP'!$BX$46</f>
        <v>0</v>
      </c>
      <c r="BW21" s="14">
        <f>'[1]D-PNP'!$BX$47</f>
        <v>0</v>
      </c>
      <c r="BX21" s="14">
        <f>'[1]D-PNP'!$BX$48</f>
        <v>0</v>
      </c>
      <c r="BY21" s="16">
        <f>SUM(AN21:BX21)</f>
        <v>0</v>
      </c>
      <c r="BZ21" s="28">
        <f>'[1]D-PND'!$BX$12</f>
        <v>0</v>
      </c>
      <c r="CA21" s="14">
        <f>'[1]D-PND'!$BX$13</f>
        <v>0</v>
      </c>
      <c r="CB21" s="14">
        <f>'[1]D-PND'!$BX$14</f>
        <v>0</v>
      </c>
      <c r="CC21" s="14">
        <f>'[1]D-PND'!$BX$15</f>
        <v>0</v>
      </c>
      <c r="CD21" s="14">
        <f>'[1]D-PND'!$BX$16</f>
        <v>0</v>
      </c>
      <c r="CE21" s="14">
        <f>'[1]D-PND'!$BX$17</f>
        <v>0</v>
      </c>
      <c r="CF21" s="14">
        <f>'[1]D-PND'!$BX$18</f>
        <v>0</v>
      </c>
      <c r="CG21" s="14">
        <f>'[1]D-PND'!$BX$19</f>
        <v>0</v>
      </c>
      <c r="CH21" s="14">
        <f>'[1]D-PND'!$BX$20</f>
        <v>0</v>
      </c>
      <c r="CI21" s="14">
        <f>'[1]D-PND'!$BX$21</f>
        <v>0</v>
      </c>
      <c r="CJ21" s="14">
        <f>'[1]D-PND'!$BX$22</f>
        <v>0</v>
      </c>
      <c r="CK21" s="14">
        <f>'[1]D-PND'!$BX$23</f>
        <v>0</v>
      </c>
      <c r="CL21" s="14">
        <f>'[1]D-PND'!$BX$24</f>
        <v>0</v>
      </c>
      <c r="CM21" s="14">
        <f>'[1]D-PND'!$BX$25</f>
        <v>0</v>
      </c>
      <c r="CN21" s="14">
        <f>'[1]D-PND'!$BX$26</f>
        <v>0</v>
      </c>
      <c r="CO21" s="14">
        <f>'[1]D-PND'!$BX$27</f>
        <v>0</v>
      </c>
      <c r="CP21" s="14">
        <f>'[1]D-PND'!$BX$28</f>
        <v>0</v>
      </c>
      <c r="CQ21" s="14">
        <f>'[1]D-PND'!$BX$29</f>
        <v>0</v>
      </c>
      <c r="CR21" s="14">
        <f>'[1]D-PND'!$BX$30</f>
        <v>0</v>
      </c>
      <c r="CS21" s="14">
        <f>'[1]D-PND'!$BX$31</f>
        <v>0</v>
      </c>
      <c r="CT21" s="14">
        <f>'[1]D-PND'!$BX$32</f>
        <v>0</v>
      </c>
      <c r="CU21" s="14">
        <f>'[1]D-PND'!$BX$33</f>
        <v>0</v>
      </c>
      <c r="CV21" s="14">
        <f>'[1]D-PND'!$BX$34</f>
        <v>0</v>
      </c>
      <c r="CW21" s="14">
        <f>'[1]D-PND'!$BX$35</f>
        <v>0</v>
      </c>
      <c r="CX21" s="14">
        <f>'[1]D-PND'!$BX$36</f>
        <v>0</v>
      </c>
      <c r="CY21" s="14">
        <f>'[1]D-PND'!$BX$37</f>
        <v>0</v>
      </c>
      <c r="CZ21" s="14">
        <f>'[1]D-PND'!$BX$38</f>
        <v>0</v>
      </c>
      <c r="DA21" s="14">
        <f>'[1]D-PND'!$BX$39</f>
        <v>0</v>
      </c>
      <c r="DB21" s="14">
        <f>'[1]D-PND'!$BX$40</f>
        <v>0</v>
      </c>
      <c r="DC21" s="14">
        <f>'[1]D-PND'!$BX$41</f>
        <v>0</v>
      </c>
      <c r="DD21" s="14">
        <f>'[1]D-PND'!$BX$42</f>
        <v>0</v>
      </c>
      <c r="DE21" s="14">
        <f>'[1]D-PND'!$BX$43</f>
        <v>0</v>
      </c>
      <c r="DF21" s="14">
        <f>'[1]D-PND'!$BX$44</f>
        <v>0</v>
      </c>
      <c r="DG21" s="14">
        <f>'[1]D-PND'!$BX$45</f>
        <v>0</v>
      </c>
      <c r="DH21" s="14">
        <f>'[1]D-PND'!$BX$46</f>
        <v>0</v>
      </c>
      <c r="DI21" s="14">
        <f>'[1]D-PND'!$BX$47</f>
        <v>0</v>
      </c>
      <c r="DJ21" s="14">
        <f>'[1]D-PND'!$BX$48</f>
        <v>0</v>
      </c>
      <c r="DK21" s="16">
        <f>SUM(BZ21:DJ21)</f>
        <v>0</v>
      </c>
      <c r="DL21" s="66"/>
      <c r="DM21" s="67"/>
      <c r="DN21" s="67"/>
      <c r="DO21" s="67"/>
      <c r="DP21" s="67"/>
      <c r="DQ21" s="67"/>
      <c r="DR21" s="67"/>
      <c r="DS21" s="67"/>
      <c r="DT21" s="67"/>
      <c r="DU21" s="67"/>
      <c r="DV21" s="67"/>
      <c r="DW21" s="67"/>
      <c r="DX21" s="67"/>
      <c r="DY21" s="67"/>
      <c r="DZ21" s="67"/>
      <c r="EA21" s="67"/>
      <c r="EB21" s="67"/>
      <c r="EC21" s="67"/>
      <c r="ED21" s="67"/>
      <c r="EE21" s="67"/>
      <c r="EF21" s="67"/>
      <c r="EG21" s="67"/>
      <c r="EH21" s="67"/>
      <c r="EI21" s="67"/>
      <c r="EJ21" s="67"/>
      <c r="EK21" s="67"/>
      <c r="EL21" s="67"/>
      <c r="EM21" s="67"/>
      <c r="EN21" s="67"/>
      <c r="EO21" s="67"/>
      <c r="EP21" s="67"/>
      <c r="EQ21" s="67"/>
      <c r="ER21" s="67"/>
      <c r="ES21" s="67"/>
      <c r="ET21" s="67"/>
      <c r="EU21" s="67"/>
      <c r="EV21" s="67"/>
      <c r="EW21" s="68">
        <f>SUM(DL21:EV21)</f>
        <v>0</v>
      </c>
      <c r="EX21" s="66"/>
      <c r="EY21" s="67"/>
      <c r="EZ21" s="67"/>
      <c r="FA21" s="67"/>
      <c r="FB21" s="67"/>
      <c r="FC21" s="67"/>
      <c r="FD21" s="67"/>
      <c r="FE21" s="67"/>
      <c r="FF21" s="67"/>
      <c r="FG21" s="67"/>
      <c r="FH21" s="67"/>
      <c r="FI21" s="67"/>
      <c r="FJ21" s="67"/>
      <c r="FK21" s="67"/>
      <c r="FL21" s="67"/>
      <c r="FM21" s="67"/>
      <c r="FN21" s="67"/>
      <c r="FO21" s="67"/>
      <c r="FP21" s="67"/>
      <c r="FQ21" s="67"/>
      <c r="FR21" s="67"/>
      <c r="FS21" s="67"/>
      <c r="FT21" s="67"/>
      <c r="FU21" s="67"/>
      <c r="FV21" s="67"/>
      <c r="FW21" s="67"/>
      <c r="FX21" s="67"/>
      <c r="FY21" s="67"/>
      <c r="FZ21" s="67"/>
      <c r="GA21" s="67"/>
      <c r="GB21" s="67"/>
      <c r="GC21" s="67"/>
      <c r="GD21" s="67"/>
      <c r="GE21" s="67"/>
      <c r="GF21" s="67"/>
      <c r="GG21" s="67"/>
      <c r="GH21" s="67"/>
      <c r="GI21" s="68">
        <f>SUM(EX21:GH21)</f>
        <v>0</v>
      </c>
      <c r="GJ21" s="66"/>
      <c r="GK21" s="67"/>
      <c r="GL21" s="67"/>
      <c r="GM21" s="67"/>
      <c r="GN21" s="67"/>
      <c r="GO21" s="67"/>
      <c r="GP21" s="67"/>
      <c r="GQ21" s="67"/>
      <c r="GR21" s="67"/>
      <c r="GS21" s="67"/>
      <c r="GT21" s="67"/>
      <c r="GU21" s="67"/>
      <c r="GV21" s="67"/>
      <c r="GW21" s="67"/>
      <c r="GX21" s="67"/>
      <c r="GY21" s="67"/>
      <c r="GZ21" s="67"/>
      <c r="HA21" s="67"/>
      <c r="HB21" s="67"/>
      <c r="HC21" s="67"/>
      <c r="HD21" s="67"/>
      <c r="HE21" s="67"/>
      <c r="HF21" s="67"/>
      <c r="HG21" s="67"/>
      <c r="HH21" s="67"/>
      <c r="HI21" s="67"/>
      <c r="HJ21" s="67"/>
      <c r="HK21" s="67"/>
      <c r="HL21" s="67"/>
      <c r="HM21" s="67"/>
      <c r="HN21" s="67"/>
      <c r="HO21" s="67"/>
      <c r="HP21" s="67"/>
      <c r="HQ21" s="67"/>
      <c r="HR21" s="67"/>
      <c r="HS21" s="67"/>
      <c r="HT21" s="67"/>
      <c r="HU21" s="68">
        <f>SUM(GJ21:HT21)</f>
        <v>0</v>
      </c>
      <c r="HV21" s="28">
        <f>'[1]D-PRB'!$BX$12</f>
        <v>4763.84716796875</v>
      </c>
      <c r="HW21" s="14">
        <f>'[1]D-PRB'!$BX$13</f>
        <v>4523.2734375</v>
      </c>
      <c r="HX21" s="14">
        <f>'[1]D-PRB'!$BX$14</f>
        <v>4376.52880859375</v>
      </c>
      <c r="HY21" s="14">
        <f>'[1]D-PRB'!$BX$15</f>
        <v>4319.93017578125</v>
      </c>
      <c r="HZ21" s="14">
        <f>'[1]D-PRB'!$BX$16</f>
        <v>4317.04052734375</v>
      </c>
      <c r="IA21" s="14">
        <f>'[1]D-PRB'!$BX$17</f>
        <v>4362.669921875</v>
      </c>
      <c r="IB21" s="14">
        <f>'[1]D-PRB'!$BX$18</f>
        <v>4410.0322265625</v>
      </c>
      <c r="IC21" s="14">
        <f>'[1]D-PRB'!$BX$19</f>
        <v>4488.59033203125</v>
      </c>
      <c r="ID21" s="14">
        <f>'[1]D-PRB'!$BX$20</f>
        <v>4580.46728515625</v>
      </c>
      <c r="IE21" s="14">
        <f>'[1]D-PRB'!$BX$21</f>
        <v>4693.57470703125</v>
      </c>
      <c r="IF21" s="14">
        <f>'[1]D-PRB'!$BX$22</f>
        <v>239401.75</v>
      </c>
      <c r="IG21" s="14">
        <f>'[1]D-PRB'!$BX$23</f>
        <v>1412529.25</v>
      </c>
      <c r="IH21" s="14">
        <f>'[1]D-PRB'!$BX$24</f>
        <v>1412640.375</v>
      </c>
      <c r="II21" s="14">
        <f>'[1]D-PRB'!$BX$25</f>
        <v>1412817.125</v>
      </c>
      <c r="IJ21" s="14">
        <f>'[1]D-PRB'!$BX$26</f>
        <v>1412845.625</v>
      </c>
      <c r="IK21" s="14">
        <f>'[1]D-PRB'!$BX$27</f>
        <v>1412939</v>
      </c>
      <c r="IL21" s="14">
        <f>'[1]D-PRB'!$BX$28</f>
        <v>1413028.25</v>
      </c>
      <c r="IM21" s="14">
        <f>'[1]D-PRB'!$BX$29</f>
        <v>1413185.125</v>
      </c>
      <c r="IN21" s="14">
        <f>'[1]D-PRB'!$BX$30</f>
        <v>1413191.25</v>
      </c>
      <c r="IO21" s="14">
        <f>'[1]D-PRB'!$BX$31</f>
        <v>1413266.75</v>
      </c>
      <c r="IP21" s="14">
        <f>'[1]D-PRB'!$BX$32</f>
        <v>1424982.5</v>
      </c>
      <c r="IQ21" s="14">
        <f>'[1]D-PRB'!$BX$33</f>
        <v>1480328.75</v>
      </c>
      <c r="IR21" s="14">
        <f>'[1]D-PRB'!$BX$34</f>
        <v>1477811.125</v>
      </c>
      <c r="IS21" s="14">
        <f>'[1]D-PRB'!$BX$35</f>
        <v>125563.875</v>
      </c>
      <c r="IT21" s="14">
        <f>'[1]D-PRB'!$BX$36</f>
        <v>0</v>
      </c>
      <c r="IU21" s="14">
        <f>'[1]D-PRB'!$BX$37</f>
        <v>0</v>
      </c>
      <c r="IV21" s="14">
        <f>'[1]D-PRB'!$BX$38</f>
        <v>0</v>
      </c>
      <c r="IW21" s="14">
        <f>'[1]D-PRB'!$BX$39</f>
        <v>0</v>
      </c>
      <c r="IX21" s="14">
        <f>'[1]D-PRB'!$BX$40</f>
        <v>0</v>
      </c>
      <c r="IY21" s="14">
        <f>'[1]D-PRB'!$BX$41</f>
        <v>0</v>
      </c>
      <c r="IZ21" s="14">
        <f>'[1]D-PRB'!$BX$42</f>
        <v>0</v>
      </c>
      <c r="JA21" s="14">
        <f>'[1]D-PRB'!$BX$43</f>
        <v>0</v>
      </c>
      <c r="JB21" s="14">
        <f>'[1]D-PRB'!$BX$44</f>
        <v>0</v>
      </c>
      <c r="JC21" s="14">
        <f>'[1]D-PRB'!$BX$45</f>
        <v>0</v>
      </c>
      <c r="JD21" s="14">
        <f>'[1]D-PRB'!$BX$46</f>
        <v>0</v>
      </c>
      <c r="JE21" s="14">
        <f>'[1]D-PRB'!$BX$47</f>
        <v>0</v>
      </c>
      <c r="JF21" s="14">
        <f>'[1]D-PRB'!$BX$48</f>
        <v>0</v>
      </c>
      <c r="JG21" s="16">
        <f>SUM(HV21:JF21)</f>
        <v>17509366.704589844</v>
      </c>
      <c r="JH21" s="66"/>
      <c r="JI21" s="67"/>
      <c r="JJ21" s="67"/>
      <c r="JK21" s="67"/>
      <c r="JL21" s="67"/>
      <c r="JM21" s="67"/>
      <c r="JN21" s="67"/>
      <c r="JO21" s="67"/>
      <c r="JP21" s="67"/>
      <c r="JQ21" s="67"/>
      <c r="JR21" s="67"/>
      <c r="JS21" s="67"/>
      <c r="JT21" s="67"/>
      <c r="JU21" s="67"/>
      <c r="JV21" s="67"/>
      <c r="JW21" s="67"/>
      <c r="JX21" s="67"/>
      <c r="JY21" s="67"/>
      <c r="JZ21" s="67"/>
      <c r="KA21" s="67"/>
      <c r="KB21" s="67"/>
      <c r="KC21" s="67"/>
      <c r="KD21" s="67"/>
      <c r="KE21" s="67"/>
      <c r="KF21" s="67"/>
      <c r="KG21" s="67"/>
      <c r="KH21" s="67"/>
      <c r="KI21" s="67"/>
      <c r="KJ21" s="67"/>
      <c r="KK21" s="67"/>
      <c r="KL21" s="67"/>
      <c r="KM21" s="67"/>
      <c r="KN21" s="67"/>
      <c r="KO21" s="67"/>
      <c r="KP21" s="67"/>
      <c r="KQ21" s="67"/>
      <c r="KR21" s="67"/>
      <c r="KS21" s="68">
        <f>SUM(JH21:KR21)</f>
        <v>0</v>
      </c>
      <c r="KT21" s="66"/>
      <c r="KU21" s="67"/>
      <c r="KV21" s="67"/>
      <c r="KW21" s="67"/>
      <c r="KX21" s="67"/>
      <c r="KY21" s="67"/>
      <c r="KZ21" s="67"/>
      <c r="LA21" s="67"/>
      <c r="LB21" s="67"/>
      <c r="LC21" s="67"/>
      <c r="LD21" s="67"/>
      <c r="LE21" s="67"/>
      <c r="LF21" s="67"/>
      <c r="LG21" s="67"/>
      <c r="LH21" s="67"/>
      <c r="LI21" s="67"/>
      <c r="LJ21" s="67"/>
      <c r="LK21" s="67"/>
      <c r="LL21" s="67"/>
      <c r="LM21" s="67"/>
      <c r="LN21" s="67"/>
      <c r="LO21" s="67"/>
      <c r="LP21" s="67"/>
      <c r="LQ21" s="67"/>
      <c r="LR21" s="67"/>
      <c r="LS21" s="67"/>
      <c r="LT21" s="67"/>
      <c r="LU21" s="67"/>
      <c r="LV21" s="67"/>
      <c r="LW21" s="67"/>
      <c r="LX21" s="67"/>
      <c r="LY21" s="67"/>
      <c r="LZ21" s="67"/>
      <c r="MA21" s="67"/>
      <c r="MB21" s="67"/>
      <c r="MC21" s="67"/>
      <c r="MD21" s="67"/>
      <c r="ME21" s="68">
        <f>SUM(KT21:MD21)</f>
        <v>0</v>
      </c>
      <c r="MF21" s="66"/>
      <c r="MG21" s="67"/>
      <c r="MH21" s="67"/>
      <c r="MI21" s="67"/>
      <c r="MJ21" s="67"/>
      <c r="MK21" s="67"/>
      <c r="ML21" s="67"/>
      <c r="MM21" s="67"/>
      <c r="MN21" s="67"/>
      <c r="MO21" s="67"/>
      <c r="MP21" s="67"/>
      <c r="MQ21" s="67"/>
      <c r="MR21" s="67"/>
      <c r="MS21" s="67"/>
      <c r="MT21" s="67"/>
      <c r="MU21" s="67"/>
      <c r="MV21" s="67"/>
      <c r="MW21" s="67"/>
      <c r="MX21" s="67"/>
      <c r="MY21" s="67"/>
      <c r="MZ21" s="67"/>
      <c r="NA21" s="67"/>
      <c r="NB21" s="67"/>
      <c r="NC21" s="67"/>
      <c r="ND21" s="67"/>
      <c r="NE21" s="67"/>
      <c r="NF21" s="67"/>
      <c r="NG21" s="67"/>
      <c r="NH21" s="67"/>
      <c r="NI21" s="67"/>
      <c r="NJ21" s="67"/>
      <c r="NK21" s="67"/>
      <c r="NL21" s="67"/>
      <c r="NM21" s="67"/>
      <c r="NN21" s="67"/>
      <c r="NO21" s="67"/>
      <c r="NP21" s="67"/>
      <c r="NQ21" s="68">
        <f>SUM(MF21:NP21)</f>
        <v>0</v>
      </c>
      <c r="NR21" s="14">
        <f>'[1]D-PS'!$BX$12</f>
        <v>889.65606689453125</v>
      </c>
      <c r="NS21" s="14">
        <f>'[1]D-PS'!$BX$13</f>
        <v>873.6829833984375</v>
      </c>
      <c r="NT21" s="14">
        <f>'[1]D-PS'!$BX$14</f>
        <v>855.926513671875</v>
      </c>
      <c r="NU21" s="14">
        <f>'[1]D-PS'!$BX$15</f>
        <v>841.27142333984375</v>
      </c>
      <c r="NV21" s="14">
        <f>'[1]D-PS'!$BX$16</f>
        <v>828.60565185546875</v>
      </c>
      <c r="NW21" s="14">
        <f>'[1]D-PS'!$BX$17</f>
        <v>819.5352783203125</v>
      </c>
      <c r="NX21" s="14">
        <f>'[1]D-PS'!$BX$18</f>
        <v>808.318115234375</v>
      </c>
      <c r="NY21" s="14">
        <f>'[1]D-PS'!$BX$19</f>
        <v>799.2000732421875</v>
      </c>
      <c r="NZ21" s="14">
        <f>'[1]D-PS'!$BX$20</f>
        <v>791.797607421875</v>
      </c>
      <c r="OA21" s="14">
        <f>'[1]D-PS'!$BX$21</f>
        <v>787.4718017578125</v>
      </c>
      <c r="OB21" s="14">
        <f>'[1]D-PS'!$BX$22</f>
        <v>779.25299072265625</v>
      </c>
      <c r="OC21" s="14">
        <f>'[1]D-PS'!$BX$23</f>
        <v>775.05780029296875</v>
      </c>
      <c r="OD21" s="14">
        <f>'[1]D-PS'!$BX$24</f>
        <v>771.801025390625</v>
      </c>
      <c r="OE21" s="14">
        <f>'[1]D-PS'!$BX$25</f>
        <v>771.13720703125</v>
      </c>
      <c r="OF21" s="14">
        <f>'[1]D-PS'!$BX$26</f>
        <v>766.1695556640625</v>
      </c>
      <c r="OG21" s="14">
        <f>'[1]D-PS'!$BX$27</f>
        <v>764.87255859375</v>
      </c>
      <c r="OH21" s="14">
        <f>'[1]D-PS'!$BX$28</f>
        <v>763.46685791015625</v>
      </c>
      <c r="OI21" s="14">
        <f>'[1]D-PS'!$BX$29</f>
        <v>764.48822021484375</v>
      </c>
      <c r="OJ21" s="14">
        <f>'[1]D-PS'!$BX$30</f>
        <v>762.2938232421875</v>
      </c>
      <c r="OK21" s="14">
        <f>'[1]D-PS'!$BX$31</f>
        <v>762.90606689453125</v>
      </c>
      <c r="OL21" s="14">
        <f>'[1]D-PS'!$BX$32</f>
        <v>762.22515869140625</v>
      </c>
      <c r="OM21" s="14">
        <f>'[1]D-PS'!$BX$33</f>
        <v>765.94921875</v>
      </c>
      <c r="ON21" s="14">
        <f>'[1]D-PS'!$BX$34</f>
        <v>764.1353759765625</v>
      </c>
      <c r="OO21" s="14">
        <f>'[1]D-PS'!$BX$35</f>
        <v>1458612.875</v>
      </c>
      <c r="OP21" s="14">
        <f>'[1]D-PS'!$BX$36</f>
        <v>1465907.5</v>
      </c>
      <c r="OQ21" s="14">
        <f>'[1]D-PS'!$BX$37</f>
        <v>482609.78125</v>
      </c>
      <c r="OR21" s="14">
        <f>'[1]D-PS'!$BX$38</f>
        <v>0</v>
      </c>
      <c r="OS21" s="14">
        <f>'[1]D-PS'!$BX$39</f>
        <v>0</v>
      </c>
      <c r="OT21" s="14">
        <f>'[1]D-PS'!$BX$40</f>
        <v>0</v>
      </c>
      <c r="OU21" s="14">
        <f>'[1]D-PS'!$BX$41</f>
        <v>0</v>
      </c>
      <c r="OV21" s="14">
        <f>'[1]D-PS'!$BX$42</f>
        <v>0</v>
      </c>
      <c r="OW21" s="14">
        <f>'[1]D-PS'!$BX$43</f>
        <v>0</v>
      </c>
      <c r="OX21" s="14">
        <f>'[1]D-PS'!$BX$44</f>
        <v>0</v>
      </c>
      <c r="OY21" s="14">
        <f>'[1]D-PS'!$BX$45</f>
        <v>0</v>
      </c>
      <c r="OZ21" s="14">
        <f>'[1]D-PS'!$BX$46</f>
        <v>0</v>
      </c>
      <c r="PA21" s="14">
        <f>'[1]D-PS'!$BX$47</f>
        <v>0</v>
      </c>
      <c r="PB21" s="14">
        <f>'[1]D-PS'!$BX$48</f>
        <v>0</v>
      </c>
      <c r="PC21" s="16">
        <f>SUM(NR21:PB21)</f>
        <v>3425399.3776245117</v>
      </c>
    </row>
    <row r="22" spans="1:419" outlineLevel="1" x14ac:dyDescent="0.4">
      <c r="A22" s="46" t="s">
        <v>46</v>
      </c>
      <c r="B22" s="25">
        <f>'[2]CF PDP'!$BU$36</f>
        <v>1432502</v>
      </c>
      <c r="C22" s="25">
        <f>'[2]CF PDP'!$BU$37</f>
        <v>1430588</v>
      </c>
      <c r="D22" s="25">
        <f>'[2]CF PDP'!$BU$38</f>
        <v>1428770</v>
      </c>
      <c r="E22" s="25">
        <f>'[2]CF PDP'!$BU$39</f>
        <v>1425954</v>
      </c>
      <c r="F22" s="25">
        <f>'[2]CF PDP'!$BU$40</f>
        <v>1422198</v>
      </c>
      <c r="G22" s="25">
        <f>'[2]CF PDP'!$BU$41</f>
        <v>1420081</v>
      </c>
      <c r="H22" s="25">
        <f>'[2]CF PDP'!$BU$42</f>
        <v>1418411</v>
      </c>
      <c r="I22" s="25">
        <f>'[2]CF PDP'!$BU$43</f>
        <v>1416911</v>
      </c>
      <c r="J22" s="25">
        <f>'[2]CF PDP'!$BU$44</f>
        <v>1414979</v>
      </c>
      <c r="K22" s="25">
        <f>'[2]CF PDP'!$BU$45</f>
        <v>1412527</v>
      </c>
      <c r="L22" s="25">
        <f>'[2]CF PDP'!$BU$46</f>
        <v>1408876</v>
      </c>
      <c r="M22" s="25">
        <f>'[2]CF PDP'!$BU$47</f>
        <v>0</v>
      </c>
      <c r="N22" s="25">
        <f>'[2]CF PDP'!$BU$48</f>
        <v>0</v>
      </c>
      <c r="O22" s="25">
        <f>'[2]CF PDP'!$BU$49</f>
        <v>0</v>
      </c>
      <c r="P22" s="25">
        <f>'[2]CF PDP'!$BU$50</f>
        <v>0</v>
      </c>
      <c r="Q22" s="25">
        <f>'[2]CF PDP'!$BU$51</f>
        <v>0</v>
      </c>
      <c r="R22" s="25">
        <f>'[2]CF PDP'!$BU$52</f>
        <v>0</v>
      </c>
      <c r="S22" s="25">
        <f>'[2]CF PDP'!$BU$53</f>
        <v>0</v>
      </c>
      <c r="T22" s="25">
        <f>'[2]CF PDP'!$BU$54</f>
        <v>0</v>
      </c>
      <c r="U22" s="25">
        <f>'[2]CF PDP'!$BU$55</f>
        <v>0</v>
      </c>
      <c r="V22" s="25">
        <f>'[2]CF PDP'!$BU$56</f>
        <v>0</v>
      </c>
      <c r="W22" s="25">
        <f>'[2]CF PDP'!$BU$57</f>
        <v>0</v>
      </c>
      <c r="X22" s="25">
        <f>'[2]CF PDP'!$BU$58</f>
        <v>0</v>
      </c>
      <c r="Y22" s="25">
        <f>'[2]CF PDP'!$BU$59</f>
        <v>0</v>
      </c>
      <c r="Z22" s="25">
        <f>'[2]CF PDP'!$BU$60</f>
        <v>0</v>
      </c>
      <c r="AA22" s="25">
        <f>'[2]CF PDP'!$BU$61</f>
        <v>0</v>
      </c>
      <c r="AB22" s="25">
        <f>'[2]CF PDP'!$BU$62</f>
        <v>0</v>
      </c>
      <c r="AC22" s="25">
        <f>'[2]CF PDP'!$BU$63</f>
        <v>0</v>
      </c>
      <c r="AD22" s="25">
        <f>'[2]CF PDP'!$BU$64</f>
        <v>0</v>
      </c>
      <c r="AE22" s="25">
        <f>'[2]CF PDP'!$BU$65</f>
        <v>0</v>
      </c>
      <c r="AF22" s="25">
        <f>'[2]CF PDP'!$BU$66</f>
        <v>0</v>
      </c>
      <c r="AG22" s="25">
        <f>'[2]CF PDP'!$BU$67</f>
        <v>0</v>
      </c>
      <c r="AH22" s="25">
        <f>'[2]CF PDP'!$BU$68</f>
        <v>0</v>
      </c>
      <c r="AI22" s="25">
        <f>'[2]CF PDP'!$BU$69</f>
        <v>0</v>
      </c>
      <c r="AJ22" s="25">
        <f>'[2]CF PDP'!$BU$70</f>
        <v>0</v>
      </c>
      <c r="AK22" s="25">
        <f>'[2]CF PDP'!$BU$71</f>
        <v>0</v>
      </c>
      <c r="AL22" s="25">
        <f>'[2]CF PDP'!$BU$72</f>
        <v>0</v>
      </c>
      <c r="AM22" s="26">
        <f>SUM(B22:AL22)</f>
        <v>15631797</v>
      </c>
      <c r="AN22" s="27">
        <f>'[2]CF PNP'!$BU$36</f>
        <v>0</v>
      </c>
      <c r="AO22" s="25">
        <f>'[2]CF PNP'!$BU$37</f>
        <v>0</v>
      </c>
      <c r="AP22" s="25">
        <f>'[2]CF PNP'!$BU$38</f>
        <v>0</v>
      </c>
      <c r="AQ22" s="25">
        <f>'[2]CF PNP'!$BU$39</f>
        <v>0</v>
      </c>
      <c r="AR22" s="25">
        <f>'[2]CF PNP'!$BU$40</f>
        <v>0</v>
      </c>
      <c r="AS22" s="25">
        <f>'[2]CF PNP'!$BU$41</f>
        <v>0</v>
      </c>
      <c r="AT22" s="25">
        <f>'[2]CF PNP'!$BU$42</f>
        <v>0</v>
      </c>
      <c r="AU22" s="25">
        <f>'[2]CF PNP'!$BU$43</f>
        <v>0</v>
      </c>
      <c r="AV22" s="25">
        <f>'[2]CF PNP'!$BU$44</f>
        <v>0</v>
      </c>
      <c r="AW22" s="25">
        <f>'[2]CF PNP'!$BU$45</f>
        <v>0</v>
      </c>
      <c r="AX22" s="25">
        <f>'[2]CF PNP'!$BU$46</f>
        <v>0</v>
      </c>
      <c r="AY22" s="25">
        <f>'[2]CF PNP'!$BU$47</f>
        <v>0</v>
      </c>
      <c r="AZ22" s="25">
        <f>'[2]CF PNP'!$BU$48</f>
        <v>0</v>
      </c>
      <c r="BA22" s="25">
        <f>'[2]CF PNP'!$BU$49</f>
        <v>0</v>
      </c>
      <c r="BB22" s="25">
        <f>'[2]CF PNP'!$BU$50</f>
        <v>0</v>
      </c>
      <c r="BC22" s="25">
        <f>'[2]CF PNP'!$BU$51</f>
        <v>0</v>
      </c>
      <c r="BD22" s="25">
        <f>'[2]CF PNP'!$BU$52</f>
        <v>0</v>
      </c>
      <c r="BE22" s="25">
        <f>'[2]CF PNP'!$BU$53</f>
        <v>0</v>
      </c>
      <c r="BF22" s="25">
        <f>'[2]CF PNP'!$BU$54</f>
        <v>0</v>
      </c>
      <c r="BG22" s="25">
        <f>'[2]CF PNP'!$BU$55</f>
        <v>0</v>
      </c>
      <c r="BH22" s="25">
        <f>'[2]CF PNP'!$BU$56</f>
        <v>0</v>
      </c>
      <c r="BI22" s="25">
        <f>'[2]CF PNP'!$BU$57</f>
        <v>0</v>
      </c>
      <c r="BJ22" s="25">
        <f>'[2]CF PNP'!$BU$58</f>
        <v>0</v>
      </c>
      <c r="BK22" s="25">
        <f>'[2]CF PNP'!$BU$59</f>
        <v>0</v>
      </c>
      <c r="BL22" s="25">
        <f>'[2]CF PNP'!$BU$60</f>
        <v>0</v>
      </c>
      <c r="BM22" s="25">
        <f>'[2]CF PNP'!$BU$61</f>
        <v>0</v>
      </c>
      <c r="BN22" s="25">
        <f>'[2]CF PNP'!$BU$62</f>
        <v>0</v>
      </c>
      <c r="BO22" s="25">
        <f>'[2]CF PNP'!$BU$63</f>
        <v>0</v>
      </c>
      <c r="BP22" s="25">
        <f>'[2]CF PNP'!$BU$64</f>
        <v>0</v>
      </c>
      <c r="BQ22" s="25">
        <f>'[2]CF PNP'!$BU$65</f>
        <v>0</v>
      </c>
      <c r="BR22" s="25">
        <f>'[2]CF PNP'!$BU$66</f>
        <v>0</v>
      </c>
      <c r="BS22" s="25">
        <f>'[2]CF PNP'!$BU$67</f>
        <v>0</v>
      </c>
      <c r="BT22" s="25">
        <f>'[2]CF PNP'!$BU$68</f>
        <v>0</v>
      </c>
      <c r="BU22" s="25">
        <f>'[2]CF PNP'!$BU$69</f>
        <v>0</v>
      </c>
      <c r="BV22" s="25">
        <f>'[2]CF PNP'!$BU$70</f>
        <v>0</v>
      </c>
      <c r="BW22" s="25">
        <f>'[2]CF PNP'!$BU$71</f>
        <v>0</v>
      </c>
      <c r="BX22" s="25">
        <f>'[2]CF PNP'!$BU$72</f>
        <v>0</v>
      </c>
      <c r="BY22" s="26">
        <f>SUM(AN22:BX22)</f>
        <v>0</v>
      </c>
      <c r="BZ22" s="27">
        <f>'[2]CF PND'!$BU$36</f>
        <v>0</v>
      </c>
      <c r="CA22" s="25">
        <f>'[2]CF PND'!$BU$37</f>
        <v>0</v>
      </c>
      <c r="CB22" s="25">
        <f>'[2]CF PND'!$BU$38</f>
        <v>0</v>
      </c>
      <c r="CC22" s="25">
        <f>'[2]CF PND'!$BU$39</f>
        <v>0</v>
      </c>
      <c r="CD22" s="25">
        <f>'[2]CF PND'!$BU$40</f>
        <v>0</v>
      </c>
      <c r="CE22" s="25">
        <f>'[2]CF PND'!$BU$41</f>
        <v>0</v>
      </c>
      <c r="CF22" s="25">
        <f>'[2]CF PND'!$BU$42</f>
        <v>0</v>
      </c>
      <c r="CG22" s="25">
        <f>'[2]CF PND'!$BU$43</f>
        <v>0</v>
      </c>
      <c r="CH22" s="25">
        <f>'[2]CF PND'!$BU$44</f>
        <v>0</v>
      </c>
      <c r="CI22" s="25">
        <f>'[2]CF PND'!$BU$45</f>
        <v>0</v>
      </c>
      <c r="CJ22" s="25">
        <f>'[2]CF PND'!$BU$46</f>
        <v>0</v>
      </c>
      <c r="CK22" s="25">
        <f>'[2]CF PND'!$BU$47</f>
        <v>0</v>
      </c>
      <c r="CL22" s="25">
        <f>'[2]CF PND'!$BU$48</f>
        <v>0</v>
      </c>
      <c r="CM22" s="25">
        <f>'[2]CF PND'!$BU$49</f>
        <v>0</v>
      </c>
      <c r="CN22" s="25">
        <f>'[2]CF PND'!$BU$50</f>
        <v>0</v>
      </c>
      <c r="CO22" s="25">
        <f>'[2]CF PND'!$BU$51</f>
        <v>0</v>
      </c>
      <c r="CP22" s="25">
        <f>'[2]CF PND'!$BU$52</f>
        <v>0</v>
      </c>
      <c r="CQ22" s="25">
        <f>'[2]CF PND'!$BU$53</f>
        <v>0</v>
      </c>
      <c r="CR22" s="25">
        <f>'[2]CF PND'!$BU$54</f>
        <v>0</v>
      </c>
      <c r="CS22" s="25">
        <f>'[2]CF PND'!$BU$55</f>
        <v>0</v>
      </c>
      <c r="CT22" s="25">
        <f>'[2]CF PND'!$BU$56</f>
        <v>0</v>
      </c>
      <c r="CU22" s="25">
        <f>'[2]CF PND'!$BU$57</f>
        <v>0</v>
      </c>
      <c r="CV22" s="25">
        <f>'[2]CF PND'!$BU$58</f>
        <v>0</v>
      </c>
      <c r="CW22" s="25">
        <f>'[2]CF PND'!$BU$59</f>
        <v>0</v>
      </c>
      <c r="CX22" s="25">
        <f>'[2]CF PND'!$BU$60</f>
        <v>0</v>
      </c>
      <c r="CY22" s="25">
        <f>'[2]CF PND'!$BU$61</f>
        <v>0</v>
      </c>
      <c r="CZ22" s="25">
        <f>'[2]CF PND'!$BU$62</f>
        <v>0</v>
      </c>
      <c r="DA22" s="25">
        <f>'[2]CF PND'!$BU$63</f>
        <v>0</v>
      </c>
      <c r="DB22" s="25">
        <f>'[2]CF PND'!$BU$64</f>
        <v>0</v>
      </c>
      <c r="DC22" s="25">
        <f>'[2]CF PND'!$BU$65</f>
        <v>0</v>
      </c>
      <c r="DD22" s="25">
        <f>'[2]CF PND'!$BU$66</f>
        <v>0</v>
      </c>
      <c r="DE22" s="25">
        <f>'[2]CF PND'!$BU$67</f>
        <v>0</v>
      </c>
      <c r="DF22" s="25">
        <f>'[2]CF PND'!$BU$68</f>
        <v>0</v>
      </c>
      <c r="DG22" s="25">
        <f>'[2]CF PND'!$BU$69</f>
        <v>0</v>
      </c>
      <c r="DH22" s="25">
        <f>'[2]CF PND'!$BU$70</f>
        <v>0</v>
      </c>
      <c r="DI22" s="25">
        <f>'[2]CF PND'!$BU$71</f>
        <v>0</v>
      </c>
      <c r="DJ22" s="25">
        <f>'[2]CF PND'!$BU$72</f>
        <v>0</v>
      </c>
      <c r="DK22" s="26">
        <f>SUM(BZ22:DJ22)</f>
        <v>0</v>
      </c>
      <c r="DL22" s="69"/>
      <c r="DM22" s="70"/>
      <c r="DN22" s="70"/>
      <c r="DO22" s="70"/>
      <c r="DP22" s="70"/>
      <c r="DQ22" s="70"/>
      <c r="DR22" s="70"/>
      <c r="DS22" s="70"/>
      <c r="DT22" s="70"/>
      <c r="DU22" s="70"/>
      <c r="DV22" s="70"/>
      <c r="DW22" s="70"/>
      <c r="DX22" s="70"/>
      <c r="DY22" s="70"/>
      <c r="DZ22" s="70"/>
      <c r="EA22" s="70"/>
      <c r="EB22" s="70"/>
      <c r="EC22" s="70"/>
      <c r="ED22" s="70"/>
      <c r="EE22" s="70"/>
      <c r="EF22" s="70"/>
      <c r="EG22" s="70"/>
      <c r="EH22" s="70"/>
      <c r="EI22" s="70"/>
      <c r="EJ22" s="70"/>
      <c r="EK22" s="70"/>
      <c r="EL22" s="70"/>
      <c r="EM22" s="70"/>
      <c r="EN22" s="70"/>
      <c r="EO22" s="70"/>
      <c r="EP22" s="70"/>
      <c r="EQ22" s="70"/>
      <c r="ER22" s="70"/>
      <c r="ES22" s="70"/>
      <c r="ET22" s="70"/>
      <c r="EU22" s="70"/>
      <c r="EV22" s="70"/>
      <c r="EW22" s="71">
        <f>SUM(DL22:EV22)</f>
        <v>0</v>
      </c>
      <c r="EX22" s="69"/>
      <c r="EY22" s="70"/>
      <c r="EZ22" s="70"/>
      <c r="FA22" s="70"/>
      <c r="FB22" s="70"/>
      <c r="FC22" s="70"/>
      <c r="FD22" s="70"/>
      <c r="FE22" s="70"/>
      <c r="FF22" s="70"/>
      <c r="FG22" s="70"/>
      <c r="FH22" s="70"/>
      <c r="FI22" s="70"/>
      <c r="FJ22" s="70"/>
      <c r="FK22" s="70"/>
      <c r="FL22" s="70"/>
      <c r="FM22" s="70"/>
      <c r="FN22" s="70"/>
      <c r="FO22" s="70"/>
      <c r="FP22" s="70"/>
      <c r="FQ22" s="70"/>
      <c r="FR22" s="70"/>
      <c r="FS22" s="70"/>
      <c r="FT22" s="70"/>
      <c r="FU22" s="70"/>
      <c r="FV22" s="70"/>
      <c r="FW22" s="70"/>
      <c r="FX22" s="70"/>
      <c r="FY22" s="70"/>
      <c r="FZ22" s="70"/>
      <c r="GA22" s="70"/>
      <c r="GB22" s="70"/>
      <c r="GC22" s="70"/>
      <c r="GD22" s="70"/>
      <c r="GE22" s="70"/>
      <c r="GF22" s="70"/>
      <c r="GG22" s="70"/>
      <c r="GH22" s="70"/>
      <c r="GI22" s="71">
        <f>SUM(EX22:GH22)</f>
        <v>0</v>
      </c>
      <c r="GJ22" s="69"/>
      <c r="GK22" s="70"/>
      <c r="GL22" s="70"/>
      <c r="GM22" s="70"/>
      <c r="GN22" s="70"/>
      <c r="GO22" s="70"/>
      <c r="GP22" s="70"/>
      <c r="GQ22" s="70"/>
      <c r="GR22" s="70"/>
      <c r="GS22" s="70"/>
      <c r="GT22" s="70"/>
      <c r="GU22" s="70"/>
      <c r="GV22" s="70"/>
      <c r="GW22" s="70"/>
      <c r="GX22" s="70"/>
      <c r="GY22" s="70"/>
      <c r="GZ22" s="70"/>
      <c r="HA22" s="70"/>
      <c r="HB22" s="70"/>
      <c r="HC22" s="70"/>
      <c r="HD22" s="70"/>
      <c r="HE22" s="70"/>
      <c r="HF22" s="70"/>
      <c r="HG22" s="70"/>
      <c r="HH22" s="70"/>
      <c r="HI22" s="70"/>
      <c r="HJ22" s="70"/>
      <c r="HK22" s="70"/>
      <c r="HL22" s="70"/>
      <c r="HM22" s="70"/>
      <c r="HN22" s="70"/>
      <c r="HO22" s="70"/>
      <c r="HP22" s="70"/>
      <c r="HQ22" s="70"/>
      <c r="HR22" s="70"/>
      <c r="HS22" s="70"/>
      <c r="HT22" s="70"/>
      <c r="HU22" s="71">
        <f>SUM(GJ22:HT22)</f>
        <v>0</v>
      </c>
      <c r="HV22" s="27">
        <f>'[2]CF PRB'!$BU$36</f>
        <v>4764</v>
      </c>
      <c r="HW22" s="25">
        <f>'[2]CF PRB'!$BU$37</f>
        <v>4523</v>
      </c>
      <c r="HX22" s="25">
        <f>'[2]CF PRB'!$BU$38</f>
        <v>4377</v>
      </c>
      <c r="HY22" s="25">
        <f>'[2]CF PRB'!$BU$39</f>
        <v>4320</v>
      </c>
      <c r="HZ22" s="25">
        <f>'[2]CF PRB'!$BU$40</f>
        <v>4317</v>
      </c>
      <c r="IA22" s="25">
        <f>'[2]CF PRB'!$BU$41</f>
        <v>4363</v>
      </c>
      <c r="IB22" s="25">
        <f>'[2]CF PRB'!$BU$42</f>
        <v>4410</v>
      </c>
      <c r="IC22" s="25">
        <f>'[2]CF PRB'!$BU$43</f>
        <v>4489</v>
      </c>
      <c r="ID22" s="25">
        <f>'[2]CF PRB'!$BU$44</f>
        <v>4580</v>
      </c>
      <c r="IE22" s="25">
        <f>'[2]CF PRB'!$BU$45</f>
        <v>4694</v>
      </c>
      <c r="IF22" s="25">
        <f>'[2]CF PRB'!$BU$46</f>
        <v>4787</v>
      </c>
      <c r="IG22" s="25">
        <f>'[2]CF PRB'!$BU$47</f>
        <v>1412530</v>
      </c>
      <c r="IH22" s="25">
        <f>'[2]CF PRB'!$BU$48</f>
        <v>1412641</v>
      </c>
      <c r="II22" s="25">
        <f>'[2]CF PRB'!$BU$49</f>
        <v>1412818</v>
      </c>
      <c r="IJ22" s="25">
        <f>'[2]CF PRB'!$BU$50</f>
        <v>1412847</v>
      </c>
      <c r="IK22" s="25">
        <f>'[2]CF PRB'!$BU$51</f>
        <v>1412940</v>
      </c>
      <c r="IL22" s="25">
        <f>'[2]CF PRB'!$BU$52</f>
        <v>1413029</v>
      </c>
      <c r="IM22" s="25">
        <f>'[2]CF PRB'!$BU$53</f>
        <v>1413186</v>
      </c>
      <c r="IN22" s="25">
        <f>'[2]CF PRB'!$BU$54</f>
        <v>1413192</v>
      </c>
      <c r="IO22" s="25">
        <f>'[2]CF PRB'!$BU$55</f>
        <v>1413268</v>
      </c>
      <c r="IP22" s="25">
        <f>'[2]CF PRB'!$BU$56</f>
        <v>1413339</v>
      </c>
      <c r="IQ22" s="25">
        <f>'[2]CF PRB'!$BU$57</f>
        <v>1480728</v>
      </c>
      <c r="IR22" s="25">
        <f>'[2]CF PRB'!$BU$58</f>
        <v>1477768</v>
      </c>
      <c r="IS22" s="25">
        <f>'[2]CF PRB'!$BU$59</f>
        <v>0</v>
      </c>
      <c r="IT22" s="25">
        <f>'[2]CF PRB'!$BU$60</f>
        <v>0</v>
      </c>
      <c r="IU22" s="25">
        <f>'[2]CF PRB'!$BU$61</f>
        <v>0</v>
      </c>
      <c r="IV22" s="25">
        <f>'[2]CF PRB'!$BU$62</f>
        <v>0</v>
      </c>
      <c r="IW22" s="25">
        <f>'[2]CF PRB'!$BU$63</f>
        <v>0</v>
      </c>
      <c r="IX22" s="25">
        <f>'[2]CF PRB'!$BU$64</f>
        <v>0</v>
      </c>
      <c r="IY22" s="25">
        <f>'[2]CF PRB'!$BU$65</f>
        <v>0</v>
      </c>
      <c r="IZ22" s="25">
        <f>'[2]CF PRB'!$BU$66</f>
        <v>0</v>
      </c>
      <c r="JA22" s="25">
        <f>'[2]CF PRB'!$BU$67</f>
        <v>0</v>
      </c>
      <c r="JB22" s="25">
        <f>'[2]CF PRB'!$BU$68</f>
        <v>0</v>
      </c>
      <c r="JC22" s="25">
        <f>'[2]CF PRB'!$BU$69</f>
        <v>0</v>
      </c>
      <c r="JD22" s="25">
        <f>'[2]CF PRB'!$BU$70</f>
        <v>0</v>
      </c>
      <c r="JE22" s="25">
        <f>'[2]CF PRB'!$BU$71</f>
        <v>0</v>
      </c>
      <c r="JF22" s="25">
        <f>'[2]CF PRB'!$BU$72</f>
        <v>0</v>
      </c>
      <c r="JG22" s="26">
        <f>SUM(HV22:JF22)</f>
        <v>17137910</v>
      </c>
      <c r="JH22" s="69"/>
      <c r="JI22" s="70"/>
      <c r="JJ22" s="70"/>
      <c r="JK22" s="70"/>
      <c r="JL22" s="70"/>
      <c r="JM22" s="70"/>
      <c r="JN22" s="70"/>
      <c r="JO22" s="70"/>
      <c r="JP22" s="70"/>
      <c r="JQ22" s="70"/>
      <c r="JR22" s="70"/>
      <c r="JS22" s="70"/>
      <c r="JT22" s="70"/>
      <c r="JU22" s="70"/>
      <c r="JV22" s="70"/>
      <c r="JW22" s="70"/>
      <c r="JX22" s="70"/>
      <c r="JY22" s="70"/>
      <c r="JZ22" s="70"/>
      <c r="KA22" s="70"/>
      <c r="KB22" s="70"/>
      <c r="KC22" s="70"/>
      <c r="KD22" s="70"/>
      <c r="KE22" s="70"/>
      <c r="KF22" s="70"/>
      <c r="KG22" s="70"/>
      <c r="KH22" s="70"/>
      <c r="KI22" s="70"/>
      <c r="KJ22" s="70"/>
      <c r="KK22" s="70"/>
      <c r="KL22" s="70"/>
      <c r="KM22" s="70"/>
      <c r="KN22" s="70"/>
      <c r="KO22" s="70"/>
      <c r="KP22" s="70"/>
      <c r="KQ22" s="70"/>
      <c r="KR22" s="70"/>
      <c r="KS22" s="71">
        <f>SUM(JH22:KR22)</f>
        <v>0</v>
      </c>
      <c r="KT22" s="69"/>
      <c r="KU22" s="70"/>
      <c r="KV22" s="70"/>
      <c r="KW22" s="70"/>
      <c r="KX22" s="70"/>
      <c r="KY22" s="70"/>
      <c r="KZ22" s="70"/>
      <c r="LA22" s="70"/>
      <c r="LB22" s="70"/>
      <c r="LC22" s="70"/>
      <c r="LD22" s="70"/>
      <c r="LE22" s="70"/>
      <c r="LF22" s="70"/>
      <c r="LG22" s="70"/>
      <c r="LH22" s="70"/>
      <c r="LI22" s="70"/>
      <c r="LJ22" s="70"/>
      <c r="LK22" s="70"/>
      <c r="LL22" s="70"/>
      <c r="LM22" s="70"/>
      <c r="LN22" s="70"/>
      <c r="LO22" s="70"/>
      <c r="LP22" s="70"/>
      <c r="LQ22" s="70"/>
      <c r="LR22" s="70"/>
      <c r="LS22" s="70"/>
      <c r="LT22" s="70"/>
      <c r="LU22" s="70"/>
      <c r="LV22" s="70"/>
      <c r="LW22" s="70"/>
      <c r="LX22" s="70"/>
      <c r="LY22" s="70"/>
      <c r="LZ22" s="70"/>
      <c r="MA22" s="70"/>
      <c r="MB22" s="70"/>
      <c r="MC22" s="70"/>
      <c r="MD22" s="70"/>
      <c r="ME22" s="71">
        <f>SUM(KT22:MD22)</f>
        <v>0</v>
      </c>
      <c r="MF22" s="69"/>
      <c r="MG22" s="70"/>
      <c r="MH22" s="70"/>
      <c r="MI22" s="70"/>
      <c r="MJ22" s="70"/>
      <c r="MK22" s="70"/>
      <c r="ML22" s="70"/>
      <c r="MM22" s="70"/>
      <c r="MN22" s="70"/>
      <c r="MO22" s="70"/>
      <c r="MP22" s="70"/>
      <c r="MQ22" s="70"/>
      <c r="MR22" s="70"/>
      <c r="MS22" s="70"/>
      <c r="MT22" s="70"/>
      <c r="MU22" s="70"/>
      <c r="MV22" s="70"/>
      <c r="MW22" s="70"/>
      <c r="MX22" s="70"/>
      <c r="MY22" s="70"/>
      <c r="MZ22" s="70"/>
      <c r="NA22" s="70"/>
      <c r="NB22" s="70"/>
      <c r="NC22" s="70"/>
      <c r="ND22" s="70"/>
      <c r="NE22" s="70"/>
      <c r="NF22" s="70"/>
      <c r="NG22" s="70"/>
      <c r="NH22" s="70"/>
      <c r="NI22" s="70"/>
      <c r="NJ22" s="70"/>
      <c r="NK22" s="70"/>
      <c r="NL22" s="70"/>
      <c r="NM22" s="70"/>
      <c r="NN22" s="70"/>
      <c r="NO22" s="70"/>
      <c r="NP22" s="70"/>
      <c r="NQ22" s="71">
        <f>SUM(MF22:NP22)</f>
        <v>0</v>
      </c>
      <c r="NR22" s="25">
        <f>'[2]CF PS'!$BU$36</f>
        <v>890</v>
      </c>
      <c r="NS22" s="25">
        <f>'[2]CF PS'!$BU$37</f>
        <v>874</v>
      </c>
      <c r="NT22" s="25">
        <f>'[2]CF PS'!$BU$38</f>
        <v>856</v>
      </c>
      <c r="NU22" s="25">
        <f>'[2]CF PS'!$BU$39</f>
        <v>841</v>
      </c>
      <c r="NV22" s="25">
        <f>'[2]CF PS'!$BU$40</f>
        <v>829</v>
      </c>
      <c r="NW22" s="25">
        <f>'[2]CF PS'!$BU$41</f>
        <v>820</v>
      </c>
      <c r="NX22" s="25">
        <f>'[2]CF PS'!$BU$42</f>
        <v>808</v>
      </c>
      <c r="NY22" s="25">
        <f>'[2]CF PS'!$BU$43</f>
        <v>799</v>
      </c>
      <c r="NZ22" s="25">
        <f>'[2]CF PS'!$BU$44</f>
        <v>792</v>
      </c>
      <c r="OA22" s="25">
        <f>'[2]CF PS'!$BU$45</f>
        <v>787</v>
      </c>
      <c r="OB22" s="25">
        <f>'[2]CF PS'!$BU$46</f>
        <v>779</v>
      </c>
      <c r="OC22" s="25">
        <f>'[2]CF PS'!$BU$47</f>
        <v>775</v>
      </c>
      <c r="OD22" s="25">
        <f>'[2]CF PS'!$BU$48</f>
        <v>772</v>
      </c>
      <c r="OE22" s="25">
        <f>'[2]CF PS'!$BU$49</f>
        <v>771</v>
      </c>
      <c r="OF22" s="25">
        <f>'[2]CF PS'!$BU$50</f>
        <v>766</v>
      </c>
      <c r="OG22" s="25">
        <f>'[2]CF PS'!$BU$51</f>
        <v>765</v>
      </c>
      <c r="OH22" s="25">
        <f>'[2]CF PS'!$BU$52</f>
        <v>763</v>
      </c>
      <c r="OI22" s="25">
        <f>'[2]CF PS'!$BU$53</f>
        <v>764</v>
      </c>
      <c r="OJ22" s="25">
        <f>'[2]CF PS'!$BU$54</f>
        <v>762</v>
      </c>
      <c r="OK22" s="25">
        <f>'[2]CF PS'!$BU$55</f>
        <v>763</v>
      </c>
      <c r="OL22" s="25">
        <f>'[2]CF PS'!$BU$56</f>
        <v>762</v>
      </c>
      <c r="OM22" s="25">
        <f>'[2]CF PS'!$BU$57</f>
        <v>766</v>
      </c>
      <c r="ON22" s="25">
        <f>'[2]CF PS'!$BU$58</f>
        <v>764</v>
      </c>
      <c r="OO22" s="25">
        <f>'[2]CF PS'!$BU$59</f>
        <v>1478370</v>
      </c>
      <c r="OP22" s="25">
        <f>'[2]CF PS'!$BU$60</f>
        <v>1467625</v>
      </c>
      <c r="OQ22" s="25">
        <f>'[2]CF PS'!$BU$61</f>
        <v>0</v>
      </c>
      <c r="OR22" s="25">
        <f>'[2]CF PS'!$BU$62</f>
        <v>0</v>
      </c>
      <c r="OS22" s="25">
        <f>'[2]CF PS'!$BU$63</f>
        <v>0</v>
      </c>
      <c r="OT22" s="25">
        <f>'[2]CF PS'!$BU$64</f>
        <v>0</v>
      </c>
      <c r="OU22" s="25">
        <f>'[2]CF PS'!$BU$65</f>
        <v>0</v>
      </c>
      <c r="OV22" s="25">
        <f>'[2]CF PS'!$BU$66</f>
        <v>0</v>
      </c>
      <c r="OW22" s="25">
        <f>'[2]CF PS'!$BU$67</f>
        <v>0</v>
      </c>
      <c r="OX22" s="25">
        <f>'[2]CF PS'!$BU$68</f>
        <v>0</v>
      </c>
      <c r="OY22" s="25">
        <f>'[2]CF PS'!$BU$69</f>
        <v>0</v>
      </c>
      <c r="OZ22" s="25">
        <f>'[2]CF PS'!$BU$70</f>
        <v>0</v>
      </c>
      <c r="PA22" s="25">
        <f>'[2]CF PS'!$BU$71</f>
        <v>0</v>
      </c>
      <c r="PB22" s="25">
        <f>'[2]CF PS'!$BU$72</f>
        <v>0</v>
      </c>
      <c r="PC22" s="26">
        <f>SUM(NR22:PB22)</f>
        <v>2964263</v>
      </c>
    </row>
    <row r="23" spans="1:419" ht="15.5" thickBot="1" x14ac:dyDescent="0.45">
      <c r="A23" s="47" t="s">
        <v>47</v>
      </c>
      <c r="B23" s="40">
        <f>IF(AND(B21&lt;&gt;0,B22&lt;&gt;0),(B21-B22)/B22,IF(AND(B21=0,B22=0),"",IF(AND(B21="",B22=""),"",IF(AND(B21=0,B22=""),"", IF(AND(B21="",B22=0),"",1)))))</f>
        <v>-2.3909216182595206E-5</v>
      </c>
      <c r="C23" s="40">
        <f t="shared" ref="C23" si="659">IF(AND(C21&lt;&gt;0,C22&lt;&gt;0),(C21-C22)/C22,IF(AND(C21=0,C22=0),"",IF(AND(C21="",C22=""),"",IF(AND(C21=0,C22=""),"", IF(AND(C21="",C22=0),"",1)))))</f>
        <v>-1.922286500376069E-5</v>
      </c>
      <c r="D23" s="40">
        <f t="shared" ref="D23" si="660">IF(AND(D21&lt;&gt;0,D22&lt;&gt;0),(D21-D22)/D22,IF(AND(D21=0,D22=0),"",IF(AND(D21="",D22=""),"",IF(AND(D21=0,D22=""),"", IF(AND(D21="",D22=0),"",1)))))</f>
        <v>-1.9859739496210026E-5</v>
      </c>
      <c r="E23" s="40">
        <f t="shared" ref="E23" si="661">IF(AND(E21&lt;&gt;0,E22&lt;&gt;0),(E21-E22)/E22,IF(AND(E21=0,E22=0),"",IF(AND(E21="",E22=""),"",IF(AND(E21=0,E22=""),"", IF(AND(E21="",E22=0),"",1)))))</f>
        <v>-1.6655516236849156E-5</v>
      </c>
      <c r="F23" s="40">
        <f t="shared" ref="F23" si="662">IF(AND(F21&lt;&gt;0,F22&lt;&gt;0),(F21-F22)/F22,IF(AND(F21=0,F22=0),"",IF(AND(F21="",F22=""),"",IF(AND(F21=0,F22=""),"", IF(AND(F21="",F22=0),"",1)))))</f>
        <v>2.1094109259048317E-6</v>
      </c>
      <c r="G23" s="40">
        <f t="shared" ref="G23" si="663">IF(AND(G21&lt;&gt;0,G22&lt;&gt;0),(G21-G22)/G22,IF(AND(G21=0,G22=0),"",IF(AND(G21="",G22=""),"",IF(AND(G21=0,G22=""),"", IF(AND(G21="",G22=0),"",1)))))</f>
        <v>-1.7692652743047757E-5</v>
      </c>
      <c r="H23" s="40">
        <f t="shared" ref="H23" si="664">IF(AND(H21&lt;&gt;0,H22&lt;&gt;0),(H21-H22)/H22,IF(AND(H21=0,H22=0),"",IF(AND(H21="",H22=""),"",IF(AND(H21=0,H22=""),"", IF(AND(H21="",H22=0),"",1)))))</f>
        <v>-2.2031696031686161E-5</v>
      </c>
      <c r="I23" s="40">
        <f t="shared" ref="I23" si="665">IF(AND(I21&lt;&gt;0,I22&lt;&gt;0),(I21-I22)/I22,IF(AND(I21=0,I22=0),"",IF(AND(I21="",I22=""),"",IF(AND(I21=0,I22=""),"", IF(AND(I21="",I22=0),"",1)))))</f>
        <v>-2.6024923230887471E-5</v>
      </c>
      <c r="J23" s="40">
        <f t="shared" ref="J23" si="666">IF(AND(J21&lt;&gt;0,J22&lt;&gt;0),(J21-J22)/J22,IF(AND(J21=0,J22=0),"",IF(AND(J21="",J22=""),"",IF(AND(J21=0,J22=""),"", IF(AND(J21="",J22=0),"",1)))))</f>
        <v>-3.5247872936630156E-5</v>
      </c>
      <c r="K23" s="40">
        <f t="shared" ref="K23" si="667">IF(AND(K21&lt;&gt;0,K22&lt;&gt;0),(K21-K22)/K22,IF(AND(K21=0,K22=0),"",IF(AND(K21="",K22=""),"",IF(AND(K21=0,K22=""),"", IF(AND(K21="",K22=0),"",1)))))</f>
        <v>-4.2742545806204058E-5</v>
      </c>
      <c r="L23" s="40">
        <f t="shared" ref="L23" si="668">IF(AND(L21&lt;&gt;0,L22&lt;&gt;0),(L21-L22)/L22,IF(AND(L21=0,L22=0),"",IF(AND(L21="",L22=""),"",IF(AND(L21=0,L22=""),"", IF(AND(L21="",L22=0),"",1)))))</f>
        <v>-0.16643453717715398</v>
      </c>
      <c r="M23" s="40" t="str">
        <f t="shared" ref="M23" si="669">IF(AND(M21&lt;&gt;0,M22&lt;&gt;0),(M21-M22)/M22,IF(AND(M21=0,M22=0),"",IF(AND(M21="",M22=""),"",IF(AND(M21=0,M22=""),"", IF(AND(M21="",M22=0),"",1)))))</f>
        <v/>
      </c>
      <c r="N23" s="40" t="str">
        <f t="shared" ref="N23" si="670">IF(AND(N21&lt;&gt;0,N22&lt;&gt;0),(N21-N22)/N22,IF(AND(N21=0,N22=0),"",IF(AND(N21="",N22=""),"",IF(AND(N21=0,N22=""),"", IF(AND(N21="",N22=0),"",1)))))</f>
        <v/>
      </c>
      <c r="O23" s="40" t="str">
        <f t="shared" ref="O23" si="671">IF(AND(O21&lt;&gt;0,O22&lt;&gt;0),(O21-O22)/O22,IF(AND(O21=0,O22=0),"",IF(AND(O21="",O22=""),"",IF(AND(O21=0,O22=""),"", IF(AND(O21="",O22=0),"",1)))))</f>
        <v/>
      </c>
      <c r="P23" s="40" t="str">
        <f t="shared" ref="P23" si="672">IF(AND(P21&lt;&gt;0,P22&lt;&gt;0),(P21-P22)/P22,IF(AND(P21=0,P22=0),"",IF(AND(P21="",P22=""),"",IF(AND(P21=0,P22=""),"", IF(AND(P21="",P22=0),"",1)))))</f>
        <v/>
      </c>
      <c r="Q23" s="40" t="str">
        <f t="shared" ref="Q23" si="673">IF(AND(Q21&lt;&gt;0,Q22&lt;&gt;0),(Q21-Q22)/Q22,IF(AND(Q21=0,Q22=0),"",IF(AND(Q21="",Q22=""),"",IF(AND(Q21=0,Q22=""),"", IF(AND(Q21="",Q22=0),"",1)))))</f>
        <v/>
      </c>
      <c r="R23" s="40" t="str">
        <f t="shared" ref="R23" si="674">IF(AND(R21&lt;&gt;0,R22&lt;&gt;0),(R21-R22)/R22,IF(AND(R21=0,R22=0),"",IF(AND(R21="",R22=""),"",IF(AND(R21=0,R22=""),"", IF(AND(R21="",R22=0),"",1)))))</f>
        <v/>
      </c>
      <c r="S23" s="40" t="str">
        <f t="shared" ref="S23" si="675">IF(AND(S21&lt;&gt;0,S22&lt;&gt;0),(S21-S22)/S22,IF(AND(S21=0,S22=0),"",IF(AND(S21="",S22=""),"",IF(AND(S21=0,S22=""),"", IF(AND(S21="",S22=0),"",1)))))</f>
        <v/>
      </c>
      <c r="T23" s="40" t="str">
        <f t="shared" ref="T23" si="676">IF(AND(T21&lt;&gt;0,T22&lt;&gt;0),(T21-T22)/T22,IF(AND(T21=0,T22=0),"",IF(AND(T21="",T22=""),"",IF(AND(T21=0,T22=""),"", IF(AND(T21="",T22=0),"",1)))))</f>
        <v/>
      </c>
      <c r="U23" s="40" t="str">
        <f t="shared" ref="U23" si="677">IF(AND(U21&lt;&gt;0,U22&lt;&gt;0),(U21-U22)/U22,IF(AND(U21=0,U22=0),"",IF(AND(U21="",U22=""),"",IF(AND(U21=0,U22=""),"", IF(AND(U21="",U22=0),"",1)))))</f>
        <v/>
      </c>
      <c r="V23" s="40" t="str">
        <f t="shared" ref="V23" si="678">IF(AND(V21&lt;&gt;0,V22&lt;&gt;0),(V21-V22)/V22,IF(AND(V21=0,V22=0),"",IF(AND(V21="",V22=""),"",IF(AND(V21=0,V22=""),"", IF(AND(V21="",V22=0),"",1)))))</f>
        <v/>
      </c>
      <c r="W23" s="40" t="str">
        <f t="shared" ref="W23" si="679">IF(AND(W21&lt;&gt;0,W22&lt;&gt;0),(W21-W22)/W22,IF(AND(W21=0,W22=0),"",IF(AND(W21="",W22=""),"",IF(AND(W21=0,W22=""),"", IF(AND(W21="",W22=0),"",1)))))</f>
        <v/>
      </c>
      <c r="X23" s="40" t="str">
        <f t="shared" ref="X23:AL23" si="680">IF(AND(X21&lt;&gt;0,X22&lt;&gt;0),(X21-X22)/X22,IF(AND(X21=0,X22=0),"",IF(AND(X21="",X22=""),"",IF(AND(X21=0,X22=""),"", IF(AND(X21="",X22=0),"",1)))))</f>
        <v/>
      </c>
      <c r="Y23" s="40" t="str">
        <f t="shared" si="680"/>
        <v/>
      </c>
      <c r="Z23" s="40" t="str">
        <f t="shared" si="680"/>
        <v/>
      </c>
      <c r="AA23" s="40" t="str">
        <f t="shared" si="680"/>
        <v/>
      </c>
      <c r="AB23" s="40" t="str">
        <f t="shared" si="680"/>
        <v/>
      </c>
      <c r="AC23" s="40" t="str">
        <f t="shared" si="680"/>
        <v/>
      </c>
      <c r="AD23" s="40" t="str">
        <f t="shared" si="680"/>
        <v/>
      </c>
      <c r="AE23" s="40" t="str">
        <f t="shared" si="680"/>
        <v/>
      </c>
      <c r="AF23" s="40" t="str">
        <f t="shared" si="680"/>
        <v/>
      </c>
      <c r="AG23" s="40" t="str">
        <f t="shared" si="680"/>
        <v/>
      </c>
      <c r="AH23" s="40" t="str">
        <f t="shared" si="680"/>
        <v/>
      </c>
      <c r="AI23" s="40" t="str">
        <f t="shared" si="680"/>
        <v/>
      </c>
      <c r="AJ23" s="40" t="str">
        <f t="shared" si="680"/>
        <v/>
      </c>
      <c r="AK23" s="40" t="str">
        <f t="shared" si="680"/>
        <v/>
      </c>
      <c r="AL23" s="40" t="str">
        <f t="shared" si="680"/>
        <v/>
      </c>
      <c r="AM23" s="41">
        <f t="shared" ref="AM23" si="681">IF(AND(AM21&lt;&gt;0,AM22&lt;&gt;0),(AM21-AM22)/AM22,IF(AND(AM21=0,AM22=0),"",IF(AND(AM21="",AM22=""),"",IF(AND(AM21=0,AM22=""),"", IF(AND(AM21="",AM22=0),"",1)))))</f>
        <v>-1.5020665890172449E-2</v>
      </c>
      <c r="AN23" s="39" t="str">
        <f t="shared" ref="AN23" si="682">IF(AND(AN21&lt;&gt;0,AN22&lt;&gt;0),(AN21-AN22)/AN22,IF(AND(AN21=0,AN22=0),"",IF(AND(AN21="",AN22=""),"",IF(AND(AN21=0,AN22=""),"", IF(AND(AN21="",AN22=0),"",1)))))</f>
        <v/>
      </c>
      <c r="AO23" s="40" t="str">
        <f t="shared" ref="AO23" si="683">IF(AND(AO21&lt;&gt;0,AO22&lt;&gt;0),(AO21-AO22)/AO22,IF(AND(AO21=0,AO22=0),"",IF(AND(AO21="",AO22=""),"",IF(AND(AO21=0,AO22=""),"", IF(AND(AO21="",AO22=0),"",1)))))</f>
        <v/>
      </c>
      <c r="AP23" s="40" t="str">
        <f t="shared" ref="AP23" si="684">IF(AND(AP21&lt;&gt;0,AP22&lt;&gt;0),(AP21-AP22)/AP22,IF(AND(AP21=0,AP22=0),"",IF(AND(AP21="",AP22=""),"",IF(AND(AP21=0,AP22=""),"", IF(AND(AP21="",AP22=0),"",1)))))</f>
        <v/>
      </c>
      <c r="AQ23" s="40" t="str">
        <f t="shared" ref="AQ23" si="685">IF(AND(AQ21&lt;&gt;0,AQ22&lt;&gt;0),(AQ21-AQ22)/AQ22,IF(AND(AQ21=0,AQ22=0),"",IF(AND(AQ21="",AQ22=""),"",IF(AND(AQ21=0,AQ22=""),"", IF(AND(AQ21="",AQ22=0),"",1)))))</f>
        <v/>
      </c>
      <c r="AR23" s="40" t="str">
        <f t="shared" ref="AR23" si="686">IF(AND(AR21&lt;&gt;0,AR22&lt;&gt;0),(AR21-AR22)/AR22,IF(AND(AR21=0,AR22=0),"",IF(AND(AR21="",AR22=""),"",IF(AND(AR21=0,AR22=""),"", IF(AND(AR21="",AR22=0),"",1)))))</f>
        <v/>
      </c>
      <c r="AS23" s="40" t="str">
        <f t="shared" ref="AS23" si="687">IF(AND(AS21&lt;&gt;0,AS22&lt;&gt;0),(AS21-AS22)/AS22,IF(AND(AS21=0,AS22=0),"",IF(AND(AS21="",AS22=""),"",IF(AND(AS21=0,AS22=""),"", IF(AND(AS21="",AS22=0),"",1)))))</f>
        <v/>
      </c>
      <c r="AT23" s="40" t="str">
        <f t="shared" ref="AT23" si="688">IF(AND(AT21&lt;&gt;0,AT22&lt;&gt;0),(AT21-AT22)/AT22,IF(AND(AT21=0,AT22=0),"",IF(AND(AT21="",AT22=""),"",IF(AND(AT21=0,AT22=""),"", IF(AND(AT21="",AT22=0),"",1)))))</f>
        <v/>
      </c>
      <c r="AU23" s="40" t="str">
        <f t="shared" ref="AU23" si="689">IF(AND(AU21&lt;&gt;0,AU22&lt;&gt;0),(AU21-AU22)/AU22,IF(AND(AU21=0,AU22=0),"",IF(AND(AU21="",AU22=""),"",IF(AND(AU21=0,AU22=""),"", IF(AND(AU21="",AU22=0),"",1)))))</f>
        <v/>
      </c>
      <c r="AV23" s="40" t="str">
        <f t="shared" ref="AV23" si="690">IF(AND(AV21&lt;&gt;0,AV22&lt;&gt;0),(AV21-AV22)/AV22,IF(AND(AV21=0,AV22=0),"",IF(AND(AV21="",AV22=""),"",IF(AND(AV21=0,AV22=""),"", IF(AND(AV21="",AV22=0),"",1)))))</f>
        <v/>
      </c>
      <c r="AW23" s="40" t="str">
        <f t="shared" ref="AW23" si="691">IF(AND(AW21&lt;&gt;0,AW22&lt;&gt;0),(AW21-AW22)/AW22,IF(AND(AW21=0,AW22=0),"",IF(AND(AW21="",AW22=""),"",IF(AND(AW21=0,AW22=""),"", IF(AND(AW21="",AW22=0),"",1)))))</f>
        <v/>
      </c>
      <c r="AX23" s="40" t="str">
        <f t="shared" ref="AX23" si="692">IF(AND(AX21&lt;&gt;0,AX22&lt;&gt;0),(AX21-AX22)/AX22,IF(AND(AX21=0,AX22=0),"",IF(AND(AX21="",AX22=""),"",IF(AND(AX21=0,AX22=""),"", IF(AND(AX21="",AX22=0),"",1)))))</f>
        <v/>
      </c>
      <c r="AY23" s="40" t="str">
        <f t="shared" ref="AY23" si="693">IF(AND(AY21&lt;&gt;0,AY22&lt;&gt;0),(AY21-AY22)/AY22,IF(AND(AY21=0,AY22=0),"",IF(AND(AY21="",AY22=""),"",IF(AND(AY21=0,AY22=""),"", IF(AND(AY21="",AY22=0),"",1)))))</f>
        <v/>
      </c>
      <c r="AZ23" s="40" t="str">
        <f t="shared" ref="AZ23" si="694">IF(AND(AZ21&lt;&gt;0,AZ22&lt;&gt;0),(AZ21-AZ22)/AZ22,IF(AND(AZ21=0,AZ22=0),"",IF(AND(AZ21="",AZ22=""),"",IF(AND(AZ21=0,AZ22=""),"", IF(AND(AZ21="",AZ22=0),"",1)))))</f>
        <v/>
      </c>
      <c r="BA23" s="40" t="str">
        <f t="shared" ref="BA23" si="695">IF(AND(BA21&lt;&gt;0,BA22&lt;&gt;0),(BA21-BA22)/BA22,IF(AND(BA21=0,BA22=0),"",IF(AND(BA21="",BA22=""),"",IF(AND(BA21=0,BA22=""),"", IF(AND(BA21="",BA22=0),"",1)))))</f>
        <v/>
      </c>
      <c r="BB23" s="40" t="str">
        <f t="shared" ref="BB23" si="696">IF(AND(BB21&lt;&gt;0,BB22&lt;&gt;0),(BB21-BB22)/BB22,IF(AND(BB21=0,BB22=0),"",IF(AND(BB21="",BB22=""),"",IF(AND(BB21=0,BB22=""),"", IF(AND(BB21="",BB22=0),"",1)))))</f>
        <v/>
      </c>
      <c r="BC23" s="40" t="str">
        <f t="shared" ref="BC23" si="697">IF(AND(BC21&lt;&gt;0,BC22&lt;&gt;0),(BC21-BC22)/BC22,IF(AND(BC21=0,BC22=0),"",IF(AND(BC21="",BC22=""),"",IF(AND(BC21=0,BC22=""),"", IF(AND(BC21="",BC22=0),"",1)))))</f>
        <v/>
      </c>
      <c r="BD23" s="40" t="str">
        <f t="shared" ref="BD23" si="698">IF(AND(BD21&lt;&gt;0,BD22&lt;&gt;0),(BD21-BD22)/BD22,IF(AND(BD21=0,BD22=0),"",IF(AND(BD21="",BD22=""),"",IF(AND(BD21=0,BD22=""),"", IF(AND(BD21="",BD22=0),"",1)))))</f>
        <v/>
      </c>
      <c r="BE23" s="40" t="str">
        <f t="shared" ref="BE23" si="699">IF(AND(BE21&lt;&gt;0,BE22&lt;&gt;0),(BE21-BE22)/BE22,IF(AND(BE21=0,BE22=0),"",IF(AND(BE21="",BE22=""),"",IF(AND(BE21=0,BE22=""),"", IF(AND(BE21="",BE22=0),"",1)))))</f>
        <v/>
      </c>
      <c r="BF23" s="40" t="str">
        <f t="shared" ref="BF23" si="700">IF(AND(BF21&lt;&gt;0,BF22&lt;&gt;0),(BF21-BF22)/BF22,IF(AND(BF21=0,BF22=0),"",IF(AND(BF21="",BF22=""),"",IF(AND(BF21=0,BF22=""),"", IF(AND(BF21="",BF22=0),"",1)))))</f>
        <v/>
      </c>
      <c r="BG23" s="40" t="str">
        <f t="shared" ref="BG23" si="701">IF(AND(BG21&lt;&gt;0,BG22&lt;&gt;0),(BG21-BG22)/BG22,IF(AND(BG21=0,BG22=0),"",IF(AND(BG21="",BG22=""),"",IF(AND(BG21=0,BG22=""),"", IF(AND(BG21="",BG22=0),"",1)))))</f>
        <v/>
      </c>
      <c r="BH23" s="40" t="str">
        <f t="shared" ref="BH23" si="702">IF(AND(BH21&lt;&gt;0,BH22&lt;&gt;0),(BH21-BH22)/BH22,IF(AND(BH21=0,BH22=0),"",IF(AND(BH21="",BH22=""),"",IF(AND(BH21=0,BH22=""),"", IF(AND(BH21="",BH22=0),"",1)))))</f>
        <v/>
      </c>
      <c r="BI23" s="40" t="str">
        <f t="shared" ref="BI23" si="703">IF(AND(BI21&lt;&gt;0,BI22&lt;&gt;0),(BI21-BI22)/BI22,IF(AND(BI21=0,BI22=0),"",IF(AND(BI21="",BI22=""),"",IF(AND(BI21=0,BI22=""),"", IF(AND(BI21="",BI22=0),"",1)))))</f>
        <v/>
      </c>
      <c r="BJ23" s="40" t="str">
        <f t="shared" ref="BJ23:BX23" si="704">IF(AND(BJ21&lt;&gt;0,BJ22&lt;&gt;0),(BJ21-BJ22)/BJ22,IF(AND(BJ21=0,BJ22=0),"",IF(AND(BJ21="",BJ22=""),"",IF(AND(BJ21=0,BJ22=""),"", IF(AND(BJ21="",BJ22=0),"",1)))))</f>
        <v/>
      </c>
      <c r="BK23" s="40" t="str">
        <f t="shared" si="704"/>
        <v/>
      </c>
      <c r="BL23" s="40" t="str">
        <f t="shared" si="704"/>
        <v/>
      </c>
      <c r="BM23" s="40" t="str">
        <f t="shared" si="704"/>
        <v/>
      </c>
      <c r="BN23" s="40" t="str">
        <f t="shared" si="704"/>
        <v/>
      </c>
      <c r="BO23" s="40" t="str">
        <f t="shared" si="704"/>
        <v/>
      </c>
      <c r="BP23" s="40" t="str">
        <f t="shared" si="704"/>
        <v/>
      </c>
      <c r="BQ23" s="40" t="str">
        <f t="shared" si="704"/>
        <v/>
      </c>
      <c r="BR23" s="40" t="str">
        <f t="shared" si="704"/>
        <v/>
      </c>
      <c r="BS23" s="40" t="str">
        <f t="shared" si="704"/>
        <v/>
      </c>
      <c r="BT23" s="40" t="str">
        <f t="shared" si="704"/>
        <v/>
      </c>
      <c r="BU23" s="40" t="str">
        <f t="shared" si="704"/>
        <v/>
      </c>
      <c r="BV23" s="40" t="str">
        <f t="shared" si="704"/>
        <v/>
      </c>
      <c r="BW23" s="40" t="str">
        <f t="shared" si="704"/>
        <v/>
      </c>
      <c r="BX23" s="40" t="str">
        <f t="shared" si="704"/>
        <v/>
      </c>
      <c r="BY23" s="41" t="str">
        <f t="shared" ref="BY23" si="705">IF(AND(BY21&lt;&gt;0,BY22&lt;&gt;0),(BY21-BY22)/BY22,IF(AND(BY21=0,BY22=0),"",IF(AND(BY21="",BY22=""),"",IF(AND(BY21=0,BY22=""),"", IF(AND(BY21="",BY22=0),"",1)))))</f>
        <v/>
      </c>
      <c r="BZ23" s="39" t="str">
        <f t="shared" ref="BZ23" si="706">IF(AND(BZ21&lt;&gt;0,BZ22&lt;&gt;0),(BZ21-BZ22)/BZ22,IF(AND(BZ21=0,BZ22=0),"",IF(AND(BZ21="",BZ22=""),"",IF(AND(BZ21=0,BZ22=""),"", IF(AND(BZ21="",BZ22=0),"",1)))))</f>
        <v/>
      </c>
      <c r="CA23" s="40" t="str">
        <f t="shared" ref="CA23" si="707">IF(AND(CA21&lt;&gt;0,CA22&lt;&gt;0),(CA21-CA22)/CA22,IF(AND(CA21=0,CA22=0),"",IF(AND(CA21="",CA22=""),"",IF(AND(CA21=0,CA22=""),"", IF(AND(CA21="",CA22=0),"",1)))))</f>
        <v/>
      </c>
      <c r="CB23" s="40" t="str">
        <f t="shared" ref="CB23" si="708">IF(AND(CB21&lt;&gt;0,CB22&lt;&gt;0),(CB21-CB22)/CB22,IF(AND(CB21=0,CB22=0),"",IF(AND(CB21="",CB22=""),"",IF(AND(CB21=0,CB22=""),"", IF(AND(CB21="",CB22=0),"",1)))))</f>
        <v/>
      </c>
      <c r="CC23" s="40" t="str">
        <f t="shared" ref="CC23" si="709">IF(AND(CC21&lt;&gt;0,CC22&lt;&gt;0),(CC21-CC22)/CC22,IF(AND(CC21=0,CC22=0),"",IF(AND(CC21="",CC22=""),"",IF(AND(CC21=0,CC22=""),"", IF(AND(CC21="",CC22=0),"",1)))))</f>
        <v/>
      </c>
      <c r="CD23" s="40" t="str">
        <f t="shared" ref="CD23" si="710">IF(AND(CD21&lt;&gt;0,CD22&lt;&gt;0),(CD21-CD22)/CD22,IF(AND(CD21=0,CD22=0),"",IF(AND(CD21="",CD22=""),"",IF(AND(CD21=0,CD22=""),"", IF(AND(CD21="",CD22=0),"",1)))))</f>
        <v/>
      </c>
      <c r="CE23" s="40" t="str">
        <f t="shared" ref="CE23" si="711">IF(AND(CE21&lt;&gt;0,CE22&lt;&gt;0),(CE21-CE22)/CE22,IF(AND(CE21=0,CE22=0),"",IF(AND(CE21="",CE22=""),"",IF(AND(CE21=0,CE22=""),"", IF(AND(CE21="",CE22=0),"",1)))))</f>
        <v/>
      </c>
      <c r="CF23" s="40" t="str">
        <f t="shared" ref="CF23" si="712">IF(AND(CF21&lt;&gt;0,CF22&lt;&gt;0),(CF21-CF22)/CF22,IF(AND(CF21=0,CF22=0),"",IF(AND(CF21="",CF22=""),"",IF(AND(CF21=0,CF22=""),"", IF(AND(CF21="",CF22=0),"",1)))))</f>
        <v/>
      </c>
      <c r="CG23" s="40" t="str">
        <f t="shared" ref="CG23" si="713">IF(AND(CG21&lt;&gt;0,CG22&lt;&gt;0),(CG21-CG22)/CG22,IF(AND(CG21=0,CG22=0),"",IF(AND(CG21="",CG22=""),"",IF(AND(CG21=0,CG22=""),"", IF(AND(CG21="",CG22=0),"",1)))))</f>
        <v/>
      </c>
      <c r="CH23" s="40" t="str">
        <f t="shared" ref="CH23" si="714">IF(AND(CH21&lt;&gt;0,CH22&lt;&gt;0),(CH21-CH22)/CH22,IF(AND(CH21=0,CH22=0),"",IF(AND(CH21="",CH22=""),"",IF(AND(CH21=0,CH22=""),"", IF(AND(CH21="",CH22=0),"",1)))))</f>
        <v/>
      </c>
      <c r="CI23" s="40" t="str">
        <f t="shared" ref="CI23" si="715">IF(AND(CI21&lt;&gt;0,CI22&lt;&gt;0),(CI21-CI22)/CI22,IF(AND(CI21=0,CI22=0),"",IF(AND(CI21="",CI22=""),"",IF(AND(CI21=0,CI22=""),"", IF(AND(CI21="",CI22=0),"",1)))))</f>
        <v/>
      </c>
      <c r="CJ23" s="40" t="str">
        <f t="shared" ref="CJ23" si="716">IF(AND(CJ21&lt;&gt;0,CJ22&lt;&gt;0),(CJ21-CJ22)/CJ22,IF(AND(CJ21=0,CJ22=0),"",IF(AND(CJ21="",CJ22=""),"",IF(AND(CJ21=0,CJ22=""),"", IF(AND(CJ21="",CJ22=0),"",1)))))</f>
        <v/>
      </c>
      <c r="CK23" s="40" t="str">
        <f t="shared" ref="CK23" si="717">IF(AND(CK21&lt;&gt;0,CK22&lt;&gt;0),(CK21-CK22)/CK22,IF(AND(CK21=0,CK22=0),"",IF(AND(CK21="",CK22=""),"",IF(AND(CK21=0,CK22=""),"", IF(AND(CK21="",CK22=0),"",1)))))</f>
        <v/>
      </c>
      <c r="CL23" s="40" t="str">
        <f t="shared" ref="CL23" si="718">IF(AND(CL21&lt;&gt;0,CL22&lt;&gt;0),(CL21-CL22)/CL22,IF(AND(CL21=0,CL22=0),"",IF(AND(CL21="",CL22=""),"",IF(AND(CL21=0,CL22=""),"", IF(AND(CL21="",CL22=0),"",1)))))</f>
        <v/>
      </c>
      <c r="CM23" s="40" t="str">
        <f t="shared" ref="CM23" si="719">IF(AND(CM21&lt;&gt;0,CM22&lt;&gt;0),(CM21-CM22)/CM22,IF(AND(CM21=0,CM22=0),"",IF(AND(CM21="",CM22=""),"",IF(AND(CM21=0,CM22=""),"", IF(AND(CM21="",CM22=0),"",1)))))</f>
        <v/>
      </c>
      <c r="CN23" s="40" t="str">
        <f t="shared" ref="CN23" si="720">IF(AND(CN21&lt;&gt;0,CN22&lt;&gt;0),(CN21-CN22)/CN22,IF(AND(CN21=0,CN22=0),"",IF(AND(CN21="",CN22=""),"",IF(AND(CN21=0,CN22=""),"", IF(AND(CN21="",CN22=0),"",1)))))</f>
        <v/>
      </c>
      <c r="CO23" s="40" t="str">
        <f t="shared" ref="CO23" si="721">IF(AND(CO21&lt;&gt;0,CO22&lt;&gt;0),(CO21-CO22)/CO22,IF(AND(CO21=0,CO22=0),"",IF(AND(CO21="",CO22=""),"",IF(AND(CO21=0,CO22=""),"", IF(AND(CO21="",CO22=0),"",1)))))</f>
        <v/>
      </c>
      <c r="CP23" s="40" t="str">
        <f t="shared" ref="CP23" si="722">IF(AND(CP21&lt;&gt;0,CP22&lt;&gt;0),(CP21-CP22)/CP22,IF(AND(CP21=0,CP22=0),"",IF(AND(CP21="",CP22=""),"",IF(AND(CP21=0,CP22=""),"", IF(AND(CP21="",CP22=0),"",1)))))</f>
        <v/>
      </c>
      <c r="CQ23" s="40" t="str">
        <f t="shared" ref="CQ23" si="723">IF(AND(CQ21&lt;&gt;0,CQ22&lt;&gt;0),(CQ21-CQ22)/CQ22,IF(AND(CQ21=0,CQ22=0),"",IF(AND(CQ21="",CQ22=""),"",IF(AND(CQ21=0,CQ22=""),"", IF(AND(CQ21="",CQ22=0),"",1)))))</f>
        <v/>
      </c>
      <c r="CR23" s="40" t="str">
        <f t="shared" ref="CR23" si="724">IF(AND(CR21&lt;&gt;0,CR22&lt;&gt;0),(CR21-CR22)/CR22,IF(AND(CR21=0,CR22=0),"",IF(AND(CR21="",CR22=""),"",IF(AND(CR21=0,CR22=""),"", IF(AND(CR21="",CR22=0),"",1)))))</f>
        <v/>
      </c>
      <c r="CS23" s="40" t="str">
        <f t="shared" ref="CS23" si="725">IF(AND(CS21&lt;&gt;0,CS22&lt;&gt;0),(CS21-CS22)/CS22,IF(AND(CS21=0,CS22=0),"",IF(AND(CS21="",CS22=""),"",IF(AND(CS21=0,CS22=""),"", IF(AND(CS21="",CS22=0),"",1)))))</f>
        <v/>
      </c>
      <c r="CT23" s="40" t="str">
        <f t="shared" ref="CT23" si="726">IF(AND(CT21&lt;&gt;0,CT22&lt;&gt;0),(CT21-CT22)/CT22,IF(AND(CT21=0,CT22=0),"",IF(AND(CT21="",CT22=""),"",IF(AND(CT21=0,CT22=""),"", IF(AND(CT21="",CT22=0),"",1)))))</f>
        <v/>
      </c>
      <c r="CU23" s="40" t="str">
        <f t="shared" ref="CU23" si="727">IF(AND(CU21&lt;&gt;0,CU22&lt;&gt;0),(CU21-CU22)/CU22,IF(AND(CU21=0,CU22=0),"",IF(AND(CU21="",CU22=""),"",IF(AND(CU21=0,CU22=""),"", IF(AND(CU21="",CU22=0),"",1)))))</f>
        <v/>
      </c>
      <c r="CV23" s="40" t="str">
        <f t="shared" ref="CV23:DJ23" si="728">IF(AND(CV21&lt;&gt;0,CV22&lt;&gt;0),(CV21-CV22)/CV22,IF(AND(CV21=0,CV22=0),"",IF(AND(CV21="",CV22=""),"",IF(AND(CV21=0,CV22=""),"", IF(AND(CV21="",CV22=0),"",1)))))</f>
        <v/>
      </c>
      <c r="CW23" s="40" t="str">
        <f t="shared" si="728"/>
        <v/>
      </c>
      <c r="CX23" s="40" t="str">
        <f t="shared" si="728"/>
        <v/>
      </c>
      <c r="CY23" s="40" t="str">
        <f t="shared" si="728"/>
        <v/>
      </c>
      <c r="CZ23" s="40" t="str">
        <f t="shared" si="728"/>
        <v/>
      </c>
      <c r="DA23" s="40" t="str">
        <f t="shared" si="728"/>
        <v/>
      </c>
      <c r="DB23" s="40" t="str">
        <f t="shared" si="728"/>
        <v/>
      </c>
      <c r="DC23" s="40" t="str">
        <f t="shared" si="728"/>
        <v/>
      </c>
      <c r="DD23" s="40" t="str">
        <f t="shared" si="728"/>
        <v/>
      </c>
      <c r="DE23" s="40" t="str">
        <f t="shared" si="728"/>
        <v/>
      </c>
      <c r="DF23" s="40" t="str">
        <f t="shared" si="728"/>
        <v/>
      </c>
      <c r="DG23" s="40" t="str">
        <f t="shared" si="728"/>
        <v/>
      </c>
      <c r="DH23" s="40" t="str">
        <f t="shared" si="728"/>
        <v/>
      </c>
      <c r="DI23" s="40" t="str">
        <f t="shared" si="728"/>
        <v/>
      </c>
      <c r="DJ23" s="40" t="str">
        <f t="shared" si="728"/>
        <v/>
      </c>
      <c r="DK23" s="41" t="str">
        <f t="shared" ref="DK23:HU23" si="729">IF(AND(DK21&lt;&gt;0,DK22&lt;&gt;0),(DK21-DK22)/DK22,IF(AND(DK21=0,DK22=0),"",IF(AND(DK21="",DK22=""),"",IF(AND(DK21=0,DK22=""),"", IF(AND(DK21="",DK22=0),"",1)))))</f>
        <v/>
      </c>
      <c r="DL23" s="72" t="str">
        <f t="shared" si="729"/>
        <v/>
      </c>
      <c r="DM23" s="73" t="str">
        <f t="shared" si="729"/>
        <v/>
      </c>
      <c r="DN23" s="73" t="str">
        <f t="shared" si="729"/>
        <v/>
      </c>
      <c r="DO23" s="73" t="str">
        <f t="shared" si="729"/>
        <v/>
      </c>
      <c r="DP23" s="73" t="str">
        <f t="shared" si="729"/>
        <v/>
      </c>
      <c r="DQ23" s="73" t="str">
        <f t="shared" si="729"/>
        <v/>
      </c>
      <c r="DR23" s="73" t="str">
        <f t="shared" si="729"/>
        <v/>
      </c>
      <c r="DS23" s="73" t="str">
        <f t="shared" si="729"/>
        <v/>
      </c>
      <c r="DT23" s="73" t="str">
        <f t="shared" si="729"/>
        <v/>
      </c>
      <c r="DU23" s="73" t="str">
        <f t="shared" si="729"/>
        <v/>
      </c>
      <c r="DV23" s="73" t="str">
        <f t="shared" si="729"/>
        <v/>
      </c>
      <c r="DW23" s="73" t="str">
        <f t="shared" si="729"/>
        <v/>
      </c>
      <c r="DX23" s="73" t="str">
        <f t="shared" si="729"/>
        <v/>
      </c>
      <c r="DY23" s="73" t="str">
        <f t="shared" si="729"/>
        <v/>
      </c>
      <c r="DZ23" s="73" t="str">
        <f t="shared" si="729"/>
        <v/>
      </c>
      <c r="EA23" s="73" t="str">
        <f t="shared" si="729"/>
        <v/>
      </c>
      <c r="EB23" s="73" t="str">
        <f t="shared" si="729"/>
        <v/>
      </c>
      <c r="EC23" s="73" t="str">
        <f t="shared" si="729"/>
        <v/>
      </c>
      <c r="ED23" s="73" t="str">
        <f t="shared" si="729"/>
        <v/>
      </c>
      <c r="EE23" s="73" t="str">
        <f t="shared" si="729"/>
        <v/>
      </c>
      <c r="EF23" s="73" t="str">
        <f t="shared" si="729"/>
        <v/>
      </c>
      <c r="EG23" s="73" t="str">
        <f t="shared" si="729"/>
        <v/>
      </c>
      <c r="EH23" s="73" t="str">
        <f t="shared" si="729"/>
        <v/>
      </c>
      <c r="EI23" s="73" t="str">
        <f t="shared" ref="EI23:EV23" si="730">IF(AND(EI21&lt;&gt;0,EI22&lt;&gt;0),(EI21-EI22)/EI22,IF(AND(EI21=0,EI22=0),"",IF(AND(EI21="",EI22=""),"",IF(AND(EI21=0,EI22=""),"", IF(AND(EI21="",EI22=0),"",1)))))</f>
        <v/>
      </c>
      <c r="EJ23" s="73" t="str">
        <f t="shared" si="730"/>
        <v/>
      </c>
      <c r="EK23" s="73" t="str">
        <f t="shared" si="730"/>
        <v/>
      </c>
      <c r="EL23" s="73" t="str">
        <f t="shared" si="730"/>
        <v/>
      </c>
      <c r="EM23" s="73" t="str">
        <f t="shared" si="730"/>
        <v/>
      </c>
      <c r="EN23" s="73" t="str">
        <f t="shared" si="730"/>
        <v/>
      </c>
      <c r="EO23" s="73" t="str">
        <f t="shared" si="730"/>
        <v/>
      </c>
      <c r="EP23" s="73" t="str">
        <f t="shared" si="730"/>
        <v/>
      </c>
      <c r="EQ23" s="73" t="str">
        <f t="shared" si="730"/>
        <v/>
      </c>
      <c r="ER23" s="73" t="str">
        <f t="shared" si="730"/>
        <v/>
      </c>
      <c r="ES23" s="73" t="str">
        <f t="shared" si="730"/>
        <v/>
      </c>
      <c r="ET23" s="73" t="str">
        <f t="shared" si="730"/>
        <v/>
      </c>
      <c r="EU23" s="73" t="str">
        <f t="shared" si="730"/>
        <v/>
      </c>
      <c r="EV23" s="73" t="str">
        <f t="shared" si="730"/>
        <v/>
      </c>
      <c r="EW23" s="74" t="str">
        <f t="shared" si="729"/>
        <v/>
      </c>
      <c r="EX23" s="72" t="str">
        <f t="shared" ref="EX23:GI23" si="731">IF(AND(EX21&lt;&gt;0,EX22&lt;&gt;0),(EX21-EX22)/EX22,IF(AND(EX21=0,EX22=0),"",IF(AND(EX21="",EX22=""),"",IF(AND(EX21=0,EX22=""),"", IF(AND(EX21="",EX22=0),"",1)))))</f>
        <v/>
      </c>
      <c r="EY23" s="73" t="str">
        <f t="shared" si="731"/>
        <v/>
      </c>
      <c r="EZ23" s="73" t="str">
        <f t="shared" si="731"/>
        <v/>
      </c>
      <c r="FA23" s="73" t="str">
        <f t="shared" si="731"/>
        <v/>
      </c>
      <c r="FB23" s="73" t="str">
        <f t="shared" si="731"/>
        <v/>
      </c>
      <c r="FC23" s="73" t="str">
        <f t="shared" si="731"/>
        <v/>
      </c>
      <c r="FD23" s="73" t="str">
        <f t="shared" si="731"/>
        <v/>
      </c>
      <c r="FE23" s="73" t="str">
        <f t="shared" si="731"/>
        <v/>
      </c>
      <c r="FF23" s="73" t="str">
        <f t="shared" si="731"/>
        <v/>
      </c>
      <c r="FG23" s="73" t="str">
        <f t="shared" si="731"/>
        <v/>
      </c>
      <c r="FH23" s="73" t="str">
        <f t="shared" si="731"/>
        <v/>
      </c>
      <c r="FI23" s="73" t="str">
        <f t="shared" si="731"/>
        <v/>
      </c>
      <c r="FJ23" s="73" t="str">
        <f t="shared" si="731"/>
        <v/>
      </c>
      <c r="FK23" s="73" t="str">
        <f t="shared" si="731"/>
        <v/>
      </c>
      <c r="FL23" s="73" t="str">
        <f t="shared" si="731"/>
        <v/>
      </c>
      <c r="FM23" s="73" t="str">
        <f t="shared" si="731"/>
        <v/>
      </c>
      <c r="FN23" s="73" t="str">
        <f t="shared" si="731"/>
        <v/>
      </c>
      <c r="FO23" s="73" t="str">
        <f t="shared" si="731"/>
        <v/>
      </c>
      <c r="FP23" s="73" t="str">
        <f t="shared" si="731"/>
        <v/>
      </c>
      <c r="FQ23" s="73" t="str">
        <f t="shared" si="731"/>
        <v/>
      </c>
      <c r="FR23" s="73" t="str">
        <f t="shared" si="731"/>
        <v/>
      </c>
      <c r="FS23" s="73" t="str">
        <f t="shared" si="731"/>
        <v/>
      </c>
      <c r="FT23" s="73" t="str">
        <f t="shared" si="731"/>
        <v/>
      </c>
      <c r="FU23" s="73" t="str">
        <f t="shared" ref="FU23:GH23" si="732">IF(AND(FU21&lt;&gt;0,FU22&lt;&gt;0),(FU21-FU22)/FU22,IF(AND(FU21=0,FU22=0),"",IF(AND(FU21="",FU22=""),"",IF(AND(FU21=0,FU22=""),"", IF(AND(FU21="",FU22=0),"",1)))))</f>
        <v/>
      </c>
      <c r="FV23" s="73" t="str">
        <f t="shared" si="732"/>
        <v/>
      </c>
      <c r="FW23" s="73" t="str">
        <f t="shared" si="732"/>
        <v/>
      </c>
      <c r="FX23" s="73" t="str">
        <f t="shared" si="732"/>
        <v/>
      </c>
      <c r="FY23" s="73" t="str">
        <f t="shared" si="732"/>
        <v/>
      </c>
      <c r="FZ23" s="73" t="str">
        <f t="shared" si="732"/>
        <v/>
      </c>
      <c r="GA23" s="73" t="str">
        <f t="shared" si="732"/>
        <v/>
      </c>
      <c r="GB23" s="73" t="str">
        <f t="shared" si="732"/>
        <v/>
      </c>
      <c r="GC23" s="73" t="str">
        <f t="shared" si="732"/>
        <v/>
      </c>
      <c r="GD23" s="73" t="str">
        <f t="shared" si="732"/>
        <v/>
      </c>
      <c r="GE23" s="73" t="str">
        <f t="shared" si="732"/>
        <v/>
      </c>
      <c r="GF23" s="73" t="str">
        <f t="shared" si="732"/>
        <v/>
      </c>
      <c r="GG23" s="73" t="str">
        <f t="shared" si="732"/>
        <v/>
      </c>
      <c r="GH23" s="73" t="str">
        <f t="shared" si="732"/>
        <v/>
      </c>
      <c r="GI23" s="74" t="str">
        <f t="shared" si="731"/>
        <v/>
      </c>
      <c r="GJ23" s="72" t="str">
        <f t="shared" si="729"/>
        <v/>
      </c>
      <c r="GK23" s="73" t="str">
        <f t="shared" si="729"/>
        <v/>
      </c>
      <c r="GL23" s="73" t="str">
        <f t="shared" si="729"/>
        <v/>
      </c>
      <c r="GM23" s="73" t="str">
        <f t="shared" si="729"/>
        <v/>
      </c>
      <c r="GN23" s="73" t="str">
        <f t="shared" si="729"/>
        <v/>
      </c>
      <c r="GO23" s="73" t="str">
        <f t="shared" si="729"/>
        <v/>
      </c>
      <c r="GP23" s="73" t="str">
        <f t="shared" si="729"/>
        <v/>
      </c>
      <c r="GQ23" s="73" t="str">
        <f t="shared" si="729"/>
        <v/>
      </c>
      <c r="GR23" s="73" t="str">
        <f t="shared" si="729"/>
        <v/>
      </c>
      <c r="GS23" s="73" t="str">
        <f t="shared" si="729"/>
        <v/>
      </c>
      <c r="GT23" s="73" t="str">
        <f t="shared" si="729"/>
        <v/>
      </c>
      <c r="GU23" s="73" t="str">
        <f t="shared" si="729"/>
        <v/>
      </c>
      <c r="GV23" s="73" t="str">
        <f t="shared" si="729"/>
        <v/>
      </c>
      <c r="GW23" s="73" t="str">
        <f t="shared" si="729"/>
        <v/>
      </c>
      <c r="GX23" s="73" t="str">
        <f t="shared" si="729"/>
        <v/>
      </c>
      <c r="GY23" s="73" t="str">
        <f t="shared" si="729"/>
        <v/>
      </c>
      <c r="GZ23" s="73" t="str">
        <f t="shared" si="729"/>
        <v/>
      </c>
      <c r="HA23" s="73" t="str">
        <f t="shared" si="729"/>
        <v/>
      </c>
      <c r="HB23" s="73" t="str">
        <f t="shared" si="729"/>
        <v/>
      </c>
      <c r="HC23" s="73" t="str">
        <f t="shared" si="729"/>
        <v/>
      </c>
      <c r="HD23" s="73" t="str">
        <f t="shared" si="729"/>
        <v/>
      </c>
      <c r="HE23" s="73" t="str">
        <f t="shared" si="729"/>
        <v/>
      </c>
      <c r="HF23" s="73" t="str">
        <f t="shared" si="729"/>
        <v/>
      </c>
      <c r="HG23" s="73" t="str">
        <f t="shared" ref="HG23:HT23" si="733">IF(AND(HG21&lt;&gt;0,HG22&lt;&gt;0),(HG21-HG22)/HG22,IF(AND(HG21=0,HG22=0),"",IF(AND(HG21="",HG22=""),"",IF(AND(HG21=0,HG22=""),"", IF(AND(HG21="",HG22=0),"",1)))))</f>
        <v/>
      </c>
      <c r="HH23" s="73" t="str">
        <f t="shared" si="733"/>
        <v/>
      </c>
      <c r="HI23" s="73" t="str">
        <f t="shared" si="733"/>
        <v/>
      </c>
      <c r="HJ23" s="73" t="str">
        <f t="shared" si="733"/>
        <v/>
      </c>
      <c r="HK23" s="73" t="str">
        <f t="shared" si="733"/>
        <v/>
      </c>
      <c r="HL23" s="73" t="str">
        <f t="shared" si="733"/>
        <v/>
      </c>
      <c r="HM23" s="73" t="str">
        <f t="shared" si="733"/>
        <v/>
      </c>
      <c r="HN23" s="73" t="str">
        <f t="shared" si="733"/>
        <v/>
      </c>
      <c r="HO23" s="73" t="str">
        <f t="shared" si="733"/>
        <v/>
      </c>
      <c r="HP23" s="73" t="str">
        <f t="shared" si="733"/>
        <v/>
      </c>
      <c r="HQ23" s="73" t="str">
        <f t="shared" si="733"/>
        <v/>
      </c>
      <c r="HR23" s="73" t="str">
        <f t="shared" si="733"/>
        <v/>
      </c>
      <c r="HS23" s="73" t="str">
        <f t="shared" si="733"/>
        <v/>
      </c>
      <c r="HT23" s="73" t="str">
        <f t="shared" si="733"/>
        <v/>
      </c>
      <c r="HU23" s="74" t="str">
        <f t="shared" si="729"/>
        <v/>
      </c>
      <c r="HV23" s="39">
        <f t="shared" ref="HV23" si="734">IF(AND(HV21&lt;&gt;0,HV22&lt;&gt;0),(HV21-HV22)/HV22,IF(AND(HV21=0,HV22=0),"",IF(AND(HV21="",HV22=""),"",IF(AND(HV21=0,HV22=""),"", IF(AND(HV21="",HV22=0),"",1)))))</f>
        <v>-3.2080611093618807E-5</v>
      </c>
      <c r="HW23" s="40">
        <f t="shared" ref="HW23" si="735">IF(AND(HW21&lt;&gt;0,HW22&lt;&gt;0),(HW21-HW22)/HW22,IF(AND(HW21=0,HW22=0),"",IF(AND(HW21="",HW22=""),"",IF(AND(HW21=0,HW22=""),"", IF(AND(HW21="",HW22=0),"",1)))))</f>
        <v>6.0454897192129117E-5</v>
      </c>
      <c r="HX23" s="40">
        <f t="shared" ref="HX23" si="736">IF(AND(HX21&lt;&gt;0,HX22&lt;&gt;0),(HX21-HX22)/HX22,IF(AND(HX21=0,HX22=0),"",IF(AND(HX21="",HX22=""),"",IF(AND(HX21=0,HX22=""),"", IF(AND(HX21="",HX22=0),"",1)))))</f>
        <v>-1.0765168066026959E-4</v>
      </c>
      <c r="HY23" s="40">
        <f t="shared" ref="HY23" si="737">IF(AND(HY21&lt;&gt;0,HY22&lt;&gt;0),(HY21-HY22)/HY22,IF(AND(HY21=0,HY22=0),"",IF(AND(HY21="",HY22=""),"",IF(AND(HY21=0,HY22=""),"", IF(AND(HY21="",HY22=0),"",1)))))</f>
        <v>-1.6163013599537038E-5</v>
      </c>
      <c r="HZ23" s="40">
        <f t="shared" ref="HZ23" si="738">IF(AND(HZ21&lt;&gt;0,HZ22&lt;&gt;0),(HZ21-HZ22)/HZ22,IF(AND(HZ21=0,HZ22=0),"",IF(AND(HZ21="",HZ22=""),"",IF(AND(HZ21=0,HZ22=""),"", IF(AND(HZ21="",HZ22=0),"",1)))))</f>
        <v>9.3878489112809822E-6</v>
      </c>
      <c r="IA23" s="40">
        <f t="shared" ref="IA23" si="739">IF(AND(IA21&lt;&gt;0,IA22&lt;&gt;0),(IA21-IA22)/IA22,IF(AND(IA21=0,IA22=0),"",IF(AND(IA21="",IA22=""),"",IF(AND(IA21=0,IA22=""),"", IF(AND(IA21="",IA22=0),"",1)))))</f>
        <v>-7.5653936511574604E-5</v>
      </c>
      <c r="IB23" s="40">
        <f t="shared" ref="IB23" si="740">IF(AND(IB21&lt;&gt;0,IB22&lt;&gt;0),(IB21-IB22)/IB22,IF(AND(IB21=0,IB22=0),"",IF(AND(IB21="",IB22=""),"",IF(AND(IB21=0,IB22=""),"", IF(AND(IB21="",IB22=0),"",1)))))</f>
        <v>7.3076105442176869E-6</v>
      </c>
      <c r="IC23" s="40">
        <f t="shared" ref="IC23" si="741">IF(AND(IC21&lt;&gt;0,IC22&lt;&gt;0),(IC21-IC22)/IC22,IF(AND(IC21=0,IC22=0),"",IF(AND(IC21="",IC22=""),"",IF(AND(IC21=0,IC22=""),"", IF(AND(IC21="",IC22=0),"",1)))))</f>
        <v>-9.1260407384718194E-5</v>
      </c>
      <c r="ID23" s="40">
        <f t="shared" ref="ID23" si="742">IF(AND(ID21&lt;&gt;0,ID22&lt;&gt;0),(ID21-ID22)/ID22,IF(AND(ID21=0,ID22=0),"",IF(AND(ID21="",ID22=""),"",IF(AND(ID21=0,ID22=""),"", IF(AND(ID21="",ID22=0),"",1)))))</f>
        <v>1.0202732669213973E-4</v>
      </c>
      <c r="IE23" s="40">
        <f t="shared" ref="IE23" si="743">IF(AND(IE21&lt;&gt;0,IE22&lt;&gt;0),(IE21-IE22)/IE22,IF(AND(IE21=0,IE22=0),"",IF(AND(IE21="",IE22=""),"",IF(AND(IE21=0,IE22=""),"", IF(AND(IE21="",IE22=0),"",1)))))</f>
        <v>-9.060352977204943E-5</v>
      </c>
      <c r="IF23" s="40">
        <f t="shared" ref="IF23" si="744">IF(AND(IF21&lt;&gt;0,IF22&lt;&gt;0),(IF21-IF22)/IF22,IF(AND(IF21=0,IF22=0),"",IF(AND(IF21="",IF22=""),"",IF(AND(IF21=0,IF22=""),"", IF(AND(IF21="",IF22=0),"",1)))))</f>
        <v>49.010810528514725</v>
      </c>
      <c r="IG23" s="40">
        <f t="shared" ref="IG23" si="745">IF(AND(IG21&lt;&gt;0,IG22&lt;&gt;0),(IG21-IG22)/IG22,IF(AND(IG21=0,IG22=0),"",IF(AND(IG21="",IG22=""),"",IF(AND(IG21=0,IG22=""),"", IF(AND(IG21="",IG22=0),"",1)))))</f>
        <v>-5.3096217425470607E-7</v>
      </c>
      <c r="IH23" s="40">
        <f t="shared" ref="IH23" si="746">IF(AND(IH21&lt;&gt;0,IH22&lt;&gt;0),(IH21-IH22)/IH22,IF(AND(IH21=0,IH22=0),"",IF(AND(IH21="",IH22=""),"",IF(AND(IH21=0,IH22=""),"", IF(AND(IH21="",IH22=0),"",1)))))</f>
        <v>-4.4243371104194199E-7</v>
      </c>
      <c r="II23" s="40">
        <f t="shared" ref="II23" si="747">IF(AND(II21&lt;&gt;0,II22&lt;&gt;0),(II21-II22)/II22,IF(AND(II21=0,II22=0),"",IF(AND(II21="",II22=""),"",IF(AND(II21=0,II22=""),"", IF(AND(II21="",II22=0),"",1)))))</f>
        <v>-6.1932959517786436E-7</v>
      </c>
      <c r="IJ23" s="40">
        <f t="shared" ref="IJ23" si="748">IF(AND(IJ21&lt;&gt;0,IJ22&lt;&gt;0),(IJ21-IJ22)/IJ22,IF(AND(IJ21=0,IJ22=0),"",IF(AND(IJ21="",IJ22=""),"",IF(AND(IJ21=0,IJ22=""),"", IF(AND(IJ21="",IJ22=0),"",1)))))</f>
        <v>-9.7321224449639625E-7</v>
      </c>
      <c r="IK23" s="40">
        <f t="shared" ref="IK23" si="749">IF(AND(IK21&lt;&gt;0,IK22&lt;&gt;0),(IK21-IK22)/IK22,IF(AND(IK21=0,IK22=0),"",IF(AND(IK21="",IK22=""),"",IF(AND(IK21=0,IK22=""),"", IF(AND(IK21="",IK22=0),"",1)))))</f>
        <v>-7.0774413633983039E-7</v>
      </c>
      <c r="IL23" s="40">
        <f t="shared" ref="IL23" si="750">IF(AND(IL21&lt;&gt;0,IL22&lt;&gt;0),(IL21-IL22)/IL22,IF(AND(IL21=0,IL22=0),"",IF(AND(IL21="",IL22=""),"",IF(AND(IL21=0,IL22=""),"", IF(AND(IL21="",IL22=0),"",1)))))</f>
        <v>-5.3077466916814872E-7</v>
      </c>
      <c r="IM23" s="40">
        <f t="shared" ref="IM23" si="751">IF(AND(IM21&lt;&gt;0,IM22&lt;&gt;0),(IM21-IM22)/IM22,IF(AND(IM21=0,IM22=0),"",IF(AND(IM21="",IM22=""),"",IF(AND(IM21=0,IM22=""),"", IF(AND(IM21="",IM22=0),"",1)))))</f>
        <v>-6.1916831896155211E-7</v>
      </c>
      <c r="IN23" s="40">
        <f t="shared" ref="IN23" si="752">IF(AND(IN21&lt;&gt;0,IN22&lt;&gt;0),(IN21-IN22)/IN22,IF(AND(IN21=0,IN22=0),"",IF(AND(IN21="",IN22=""),"",IF(AND(IN21=0,IN22=""),"", IF(AND(IN21="",IN22=0),"",1)))))</f>
        <v>-5.3071344870336095E-7</v>
      </c>
      <c r="IO23" s="40">
        <f t="shared" ref="IO23" si="753">IF(AND(IO21&lt;&gt;0,IO22&lt;&gt;0),(IO21-IO22)/IO22,IF(AND(IO21=0,IO22=0),"",IF(AND(IO21="",IO22=""),"",IF(AND(IO21=0,IO22=""),"", IF(AND(IO21="",IO22=0),"",1)))))</f>
        <v>-8.8447484836563203E-7</v>
      </c>
      <c r="IP23" s="40">
        <f t="shared" ref="IP23" si="754">IF(AND(IP21&lt;&gt;0,IP22&lt;&gt;0),(IP21-IP22)/IP22,IF(AND(IP21=0,IP22=0),"",IF(AND(IP21="",IP22=""),"",IF(AND(IP21=0,IP22=""),"", IF(AND(IP21="",IP22=0),"",1)))))</f>
        <v>8.2382924408086096E-3</v>
      </c>
      <c r="IQ23" s="40">
        <f t="shared" ref="IQ23" si="755">IF(AND(IQ21&lt;&gt;0,IQ22&lt;&gt;0),(IQ21-IQ22)/IQ22,IF(AND(IQ21=0,IQ22=0),"",IF(AND(IQ21="",IQ22=""),"",IF(AND(IQ21=0,IQ22=""),"", IF(AND(IQ21="",IQ22=0),"",1)))))</f>
        <v>-2.6963088426773855E-4</v>
      </c>
      <c r="IR23" s="40">
        <f t="shared" ref="IR23:JF23" si="756">IF(AND(IR21&lt;&gt;0,IR22&lt;&gt;0),(IR21-IR22)/IR22,IF(AND(IR21=0,IR22=0),"",IF(AND(IR21="",IR22=""),"",IF(AND(IR21=0,IR22=""),"", IF(AND(IR21="",IR22=0),"",1)))))</f>
        <v>2.9182523914443946E-5</v>
      </c>
      <c r="IS23" s="40">
        <f t="shared" si="756"/>
        <v>1</v>
      </c>
      <c r="IT23" s="40" t="str">
        <f t="shared" si="756"/>
        <v/>
      </c>
      <c r="IU23" s="40" t="str">
        <f t="shared" si="756"/>
        <v/>
      </c>
      <c r="IV23" s="40" t="str">
        <f t="shared" si="756"/>
        <v/>
      </c>
      <c r="IW23" s="40" t="str">
        <f t="shared" si="756"/>
        <v/>
      </c>
      <c r="IX23" s="40" t="str">
        <f t="shared" si="756"/>
        <v/>
      </c>
      <c r="IY23" s="40" t="str">
        <f t="shared" si="756"/>
        <v/>
      </c>
      <c r="IZ23" s="40" t="str">
        <f t="shared" si="756"/>
        <v/>
      </c>
      <c r="JA23" s="40" t="str">
        <f t="shared" si="756"/>
        <v/>
      </c>
      <c r="JB23" s="40" t="str">
        <f t="shared" si="756"/>
        <v/>
      </c>
      <c r="JC23" s="40" t="str">
        <f t="shared" si="756"/>
        <v/>
      </c>
      <c r="JD23" s="40" t="str">
        <f t="shared" si="756"/>
        <v/>
      </c>
      <c r="JE23" s="40" t="str">
        <f t="shared" si="756"/>
        <v/>
      </c>
      <c r="JF23" s="40" t="str">
        <f t="shared" si="756"/>
        <v/>
      </c>
      <c r="JG23" s="41">
        <f t="shared" ref="JG23:NQ23" si="757">IF(AND(JG21&lt;&gt;0,JG22&lt;&gt;0),(JG21-JG22)/JG22,IF(AND(JG21=0,JG22=0),"",IF(AND(JG21="",JG22=""),"",IF(AND(JG21=0,JG22=""),"", IF(AND(JG21="",JG22=0),"",1)))))</f>
        <v>2.167456268528915E-2</v>
      </c>
      <c r="JH23" s="72" t="str">
        <f t="shared" si="757"/>
        <v/>
      </c>
      <c r="JI23" s="73" t="str">
        <f t="shared" si="757"/>
        <v/>
      </c>
      <c r="JJ23" s="73" t="str">
        <f t="shared" si="757"/>
        <v/>
      </c>
      <c r="JK23" s="73" t="str">
        <f t="shared" si="757"/>
        <v/>
      </c>
      <c r="JL23" s="73" t="str">
        <f t="shared" si="757"/>
        <v/>
      </c>
      <c r="JM23" s="73" t="str">
        <f t="shared" si="757"/>
        <v/>
      </c>
      <c r="JN23" s="73" t="str">
        <f t="shared" si="757"/>
        <v/>
      </c>
      <c r="JO23" s="73" t="str">
        <f t="shared" si="757"/>
        <v/>
      </c>
      <c r="JP23" s="73" t="str">
        <f t="shared" si="757"/>
        <v/>
      </c>
      <c r="JQ23" s="73" t="str">
        <f t="shared" si="757"/>
        <v/>
      </c>
      <c r="JR23" s="73" t="str">
        <f t="shared" si="757"/>
        <v/>
      </c>
      <c r="JS23" s="73" t="str">
        <f t="shared" si="757"/>
        <v/>
      </c>
      <c r="JT23" s="73" t="str">
        <f t="shared" si="757"/>
        <v/>
      </c>
      <c r="JU23" s="73" t="str">
        <f t="shared" si="757"/>
        <v/>
      </c>
      <c r="JV23" s="73" t="str">
        <f t="shared" si="757"/>
        <v/>
      </c>
      <c r="JW23" s="73" t="str">
        <f t="shared" si="757"/>
        <v/>
      </c>
      <c r="JX23" s="73" t="str">
        <f t="shared" si="757"/>
        <v/>
      </c>
      <c r="JY23" s="73" t="str">
        <f t="shared" si="757"/>
        <v/>
      </c>
      <c r="JZ23" s="73" t="str">
        <f t="shared" si="757"/>
        <v/>
      </c>
      <c r="KA23" s="73" t="str">
        <f t="shared" si="757"/>
        <v/>
      </c>
      <c r="KB23" s="73" t="str">
        <f t="shared" si="757"/>
        <v/>
      </c>
      <c r="KC23" s="73" t="str">
        <f t="shared" si="757"/>
        <v/>
      </c>
      <c r="KD23" s="73" t="str">
        <f t="shared" si="757"/>
        <v/>
      </c>
      <c r="KE23" s="73" t="str">
        <f t="shared" ref="KE23:KR23" si="758">IF(AND(KE21&lt;&gt;0,KE22&lt;&gt;0),(KE21-KE22)/KE22,IF(AND(KE21=0,KE22=0),"",IF(AND(KE21="",KE22=""),"",IF(AND(KE21=0,KE22=""),"", IF(AND(KE21="",KE22=0),"",1)))))</f>
        <v/>
      </c>
      <c r="KF23" s="73" t="str">
        <f t="shared" si="758"/>
        <v/>
      </c>
      <c r="KG23" s="73" t="str">
        <f t="shared" si="758"/>
        <v/>
      </c>
      <c r="KH23" s="73" t="str">
        <f t="shared" si="758"/>
        <v/>
      </c>
      <c r="KI23" s="73" t="str">
        <f t="shared" si="758"/>
        <v/>
      </c>
      <c r="KJ23" s="73" t="str">
        <f t="shared" si="758"/>
        <v/>
      </c>
      <c r="KK23" s="73" t="str">
        <f t="shared" si="758"/>
        <v/>
      </c>
      <c r="KL23" s="73" t="str">
        <f t="shared" si="758"/>
        <v/>
      </c>
      <c r="KM23" s="73" t="str">
        <f t="shared" si="758"/>
        <v/>
      </c>
      <c r="KN23" s="73" t="str">
        <f t="shared" si="758"/>
        <v/>
      </c>
      <c r="KO23" s="73" t="str">
        <f t="shared" si="758"/>
        <v/>
      </c>
      <c r="KP23" s="73" t="str">
        <f t="shared" si="758"/>
        <v/>
      </c>
      <c r="KQ23" s="73" t="str">
        <f t="shared" si="758"/>
        <v/>
      </c>
      <c r="KR23" s="73" t="str">
        <f t="shared" si="758"/>
        <v/>
      </c>
      <c r="KS23" s="74" t="str">
        <f t="shared" si="757"/>
        <v/>
      </c>
      <c r="KT23" s="72" t="str">
        <f t="shared" ref="KT23:ME23" si="759">IF(AND(KT21&lt;&gt;0,KT22&lt;&gt;0),(KT21-KT22)/KT22,IF(AND(KT21=0,KT22=0),"",IF(AND(KT21="",KT22=""),"",IF(AND(KT21=0,KT22=""),"", IF(AND(KT21="",KT22=0),"",1)))))</f>
        <v/>
      </c>
      <c r="KU23" s="73" t="str">
        <f t="shared" si="759"/>
        <v/>
      </c>
      <c r="KV23" s="73" t="str">
        <f t="shared" si="759"/>
        <v/>
      </c>
      <c r="KW23" s="73" t="str">
        <f t="shared" si="759"/>
        <v/>
      </c>
      <c r="KX23" s="73" t="str">
        <f t="shared" si="759"/>
        <v/>
      </c>
      <c r="KY23" s="73" t="str">
        <f t="shared" si="759"/>
        <v/>
      </c>
      <c r="KZ23" s="73" t="str">
        <f t="shared" si="759"/>
        <v/>
      </c>
      <c r="LA23" s="73" t="str">
        <f t="shared" si="759"/>
        <v/>
      </c>
      <c r="LB23" s="73" t="str">
        <f t="shared" si="759"/>
        <v/>
      </c>
      <c r="LC23" s="73" t="str">
        <f t="shared" si="759"/>
        <v/>
      </c>
      <c r="LD23" s="73" t="str">
        <f t="shared" si="759"/>
        <v/>
      </c>
      <c r="LE23" s="73" t="str">
        <f t="shared" si="759"/>
        <v/>
      </c>
      <c r="LF23" s="73" t="str">
        <f t="shared" si="759"/>
        <v/>
      </c>
      <c r="LG23" s="73" t="str">
        <f t="shared" si="759"/>
        <v/>
      </c>
      <c r="LH23" s="73" t="str">
        <f t="shared" si="759"/>
        <v/>
      </c>
      <c r="LI23" s="73" t="str">
        <f t="shared" si="759"/>
        <v/>
      </c>
      <c r="LJ23" s="73" t="str">
        <f t="shared" si="759"/>
        <v/>
      </c>
      <c r="LK23" s="73" t="str">
        <f t="shared" si="759"/>
        <v/>
      </c>
      <c r="LL23" s="73" t="str">
        <f t="shared" si="759"/>
        <v/>
      </c>
      <c r="LM23" s="73" t="str">
        <f t="shared" si="759"/>
        <v/>
      </c>
      <c r="LN23" s="73" t="str">
        <f t="shared" si="759"/>
        <v/>
      </c>
      <c r="LO23" s="73" t="str">
        <f t="shared" si="759"/>
        <v/>
      </c>
      <c r="LP23" s="73" t="str">
        <f t="shared" si="759"/>
        <v/>
      </c>
      <c r="LQ23" s="73" t="str">
        <f t="shared" ref="LQ23:MD23" si="760">IF(AND(LQ21&lt;&gt;0,LQ22&lt;&gt;0),(LQ21-LQ22)/LQ22,IF(AND(LQ21=0,LQ22=0),"",IF(AND(LQ21="",LQ22=""),"",IF(AND(LQ21=0,LQ22=""),"", IF(AND(LQ21="",LQ22=0),"",1)))))</f>
        <v/>
      </c>
      <c r="LR23" s="73" t="str">
        <f t="shared" si="760"/>
        <v/>
      </c>
      <c r="LS23" s="73" t="str">
        <f t="shared" si="760"/>
        <v/>
      </c>
      <c r="LT23" s="73" t="str">
        <f t="shared" si="760"/>
        <v/>
      </c>
      <c r="LU23" s="73" t="str">
        <f t="shared" si="760"/>
        <v/>
      </c>
      <c r="LV23" s="73" t="str">
        <f t="shared" si="760"/>
        <v/>
      </c>
      <c r="LW23" s="73" t="str">
        <f t="shared" si="760"/>
        <v/>
      </c>
      <c r="LX23" s="73" t="str">
        <f t="shared" si="760"/>
        <v/>
      </c>
      <c r="LY23" s="73" t="str">
        <f t="shared" si="760"/>
        <v/>
      </c>
      <c r="LZ23" s="73" t="str">
        <f t="shared" si="760"/>
        <v/>
      </c>
      <c r="MA23" s="73" t="str">
        <f t="shared" si="760"/>
        <v/>
      </c>
      <c r="MB23" s="73" t="str">
        <f t="shared" si="760"/>
        <v/>
      </c>
      <c r="MC23" s="73" t="str">
        <f t="shared" si="760"/>
        <v/>
      </c>
      <c r="MD23" s="73" t="str">
        <f t="shared" si="760"/>
        <v/>
      </c>
      <c r="ME23" s="74" t="str">
        <f t="shared" si="759"/>
        <v/>
      </c>
      <c r="MF23" s="72" t="str">
        <f t="shared" si="757"/>
        <v/>
      </c>
      <c r="MG23" s="73" t="str">
        <f t="shared" si="757"/>
        <v/>
      </c>
      <c r="MH23" s="73" t="str">
        <f t="shared" si="757"/>
        <v/>
      </c>
      <c r="MI23" s="73" t="str">
        <f t="shared" si="757"/>
        <v/>
      </c>
      <c r="MJ23" s="73" t="str">
        <f t="shared" si="757"/>
        <v/>
      </c>
      <c r="MK23" s="73" t="str">
        <f t="shared" si="757"/>
        <v/>
      </c>
      <c r="ML23" s="73" t="str">
        <f t="shared" si="757"/>
        <v/>
      </c>
      <c r="MM23" s="73" t="str">
        <f t="shared" si="757"/>
        <v/>
      </c>
      <c r="MN23" s="73" t="str">
        <f t="shared" si="757"/>
        <v/>
      </c>
      <c r="MO23" s="73" t="str">
        <f t="shared" si="757"/>
        <v/>
      </c>
      <c r="MP23" s="73" t="str">
        <f t="shared" si="757"/>
        <v/>
      </c>
      <c r="MQ23" s="73" t="str">
        <f t="shared" si="757"/>
        <v/>
      </c>
      <c r="MR23" s="73" t="str">
        <f t="shared" si="757"/>
        <v/>
      </c>
      <c r="MS23" s="73" t="str">
        <f t="shared" si="757"/>
        <v/>
      </c>
      <c r="MT23" s="73" t="str">
        <f t="shared" si="757"/>
        <v/>
      </c>
      <c r="MU23" s="73" t="str">
        <f t="shared" si="757"/>
        <v/>
      </c>
      <c r="MV23" s="73" t="str">
        <f t="shared" si="757"/>
        <v/>
      </c>
      <c r="MW23" s="73" t="str">
        <f t="shared" si="757"/>
        <v/>
      </c>
      <c r="MX23" s="73" t="str">
        <f t="shared" si="757"/>
        <v/>
      </c>
      <c r="MY23" s="73" t="str">
        <f t="shared" si="757"/>
        <v/>
      </c>
      <c r="MZ23" s="73" t="str">
        <f t="shared" si="757"/>
        <v/>
      </c>
      <c r="NA23" s="73" t="str">
        <f t="shared" si="757"/>
        <v/>
      </c>
      <c r="NB23" s="73" t="str">
        <f t="shared" si="757"/>
        <v/>
      </c>
      <c r="NC23" s="73" t="str">
        <f t="shared" ref="NC23:NP23" si="761">IF(AND(NC21&lt;&gt;0,NC22&lt;&gt;0),(NC21-NC22)/NC22,IF(AND(NC21=0,NC22=0),"",IF(AND(NC21="",NC22=""),"",IF(AND(NC21=0,NC22=""),"", IF(AND(NC21="",NC22=0),"",1)))))</f>
        <v/>
      </c>
      <c r="ND23" s="73" t="str">
        <f t="shared" si="761"/>
        <v/>
      </c>
      <c r="NE23" s="73" t="str">
        <f t="shared" si="761"/>
        <v/>
      </c>
      <c r="NF23" s="73" t="str">
        <f t="shared" si="761"/>
        <v/>
      </c>
      <c r="NG23" s="73" t="str">
        <f t="shared" si="761"/>
        <v/>
      </c>
      <c r="NH23" s="73" t="str">
        <f t="shared" si="761"/>
        <v/>
      </c>
      <c r="NI23" s="73" t="str">
        <f t="shared" si="761"/>
        <v/>
      </c>
      <c r="NJ23" s="73" t="str">
        <f t="shared" si="761"/>
        <v/>
      </c>
      <c r="NK23" s="73" t="str">
        <f t="shared" si="761"/>
        <v/>
      </c>
      <c r="NL23" s="73" t="str">
        <f t="shared" si="761"/>
        <v/>
      </c>
      <c r="NM23" s="73" t="str">
        <f t="shared" si="761"/>
        <v/>
      </c>
      <c r="NN23" s="73" t="str">
        <f t="shared" si="761"/>
        <v/>
      </c>
      <c r="NO23" s="73" t="str">
        <f t="shared" si="761"/>
        <v/>
      </c>
      <c r="NP23" s="73" t="str">
        <f t="shared" si="761"/>
        <v/>
      </c>
      <c r="NQ23" s="74" t="str">
        <f t="shared" si="757"/>
        <v/>
      </c>
      <c r="NR23" s="40">
        <f t="shared" ref="NR23" si="762">IF(AND(NR21&lt;&gt;0,NR22&lt;&gt;0),(NR21-NR22)/NR22,IF(AND(NR21=0,NR22=0),"",IF(AND(NR21="",NR22=""),"",IF(AND(NR21=0,NR22=""),"", IF(AND(NR21="",NR22=0),"",1)))))</f>
        <v>-3.8644169153792134E-4</v>
      </c>
      <c r="NS23" s="40">
        <f t="shared" ref="NS23" si="763">IF(AND(NS21&lt;&gt;0,NS22&lt;&gt;0),(NS21-NS22)/NS22,IF(AND(NS21=0,NS22=0),"",IF(AND(NS21="",NS22=""),"",IF(AND(NS21=0,NS22=""),"", IF(AND(NS21="",NS22=0),"",1)))))</f>
        <v>-3.6271922375572083E-4</v>
      </c>
      <c r="NT23" s="40">
        <f t="shared" ref="NT23" si="764">IF(AND(NT21&lt;&gt;0,NT22&lt;&gt;0),(NT21-NT22)/NT22,IF(AND(NT21=0,NT22=0),"",IF(AND(NT21="",NT22=""),"",IF(AND(NT21=0,NT22=""),"", IF(AND(NT21="",NT22=0),"",1)))))</f>
        <v>-8.5848514164719626E-5</v>
      </c>
      <c r="NU23" s="40">
        <f t="shared" ref="NU23" si="765">IF(AND(NU21&lt;&gt;0,NU22&lt;&gt;0),(NU21-NU22)/NU22,IF(AND(NU21=0,NU22=0),"",IF(AND(NU21="",NU22=""),"",IF(AND(NU21=0,NU22=""),"", IF(AND(NU21="",NU22=0),"",1)))))</f>
        <v>3.2273881075356719E-4</v>
      </c>
      <c r="NV23" s="40">
        <f t="shared" ref="NV23" si="766">IF(AND(NV21&lt;&gt;0,NV22&lt;&gt;0),(NV21-NV22)/NV22,IF(AND(NV21=0,NV22=0),"",IF(AND(NV21="",NV22=""),"",IF(AND(NV21=0,NV22=""),"", IF(AND(NV21="",NV22=0),"",1)))))</f>
        <v>-4.7569136855398072E-4</v>
      </c>
      <c r="NW23" s="40">
        <f t="shared" ref="NW23" si="767">IF(AND(NW21&lt;&gt;0,NW22&lt;&gt;0),(NW21-NW22)/NW22,IF(AND(NW21=0,NW22=0),"",IF(AND(NW21="",NW22=""),"",IF(AND(NW21=0,NW22=""),"", IF(AND(NW21="",NW22=0),"",1)))))</f>
        <v>-5.667337557164634E-4</v>
      </c>
      <c r="NX23" s="40">
        <f t="shared" ref="NX23" si="768">IF(AND(NX21&lt;&gt;0,NX22&lt;&gt;0),(NX21-NX22)/NX22,IF(AND(NX21=0,NX22=0),"",IF(AND(NX21="",NX22=""),"",IF(AND(NX21=0,NX22=""),"", IF(AND(NX21="",NX22=0),"",1)))))</f>
        <v>3.9370697323638614E-4</v>
      </c>
      <c r="NY23" s="40">
        <f t="shared" ref="NY23" si="769">IF(AND(NY21&lt;&gt;0,NY22&lt;&gt;0),(NY21-NY22)/NY22,IF(AND(NY21=0,NY22=0),"",IF(AND(NY21="",NY22=""),"",IF(AND(NY21=0,NY22=""),"", IF(AND(NY21="",NY22=0),"",1)))))</f>
        <v>2.5040455843241551E-4</v>
      </c>
      <c r="NZ23" s="40">
        <f t="shared" ref="NZ23" si="770">IF(AND(NZ21&lt;&gt;0,NZ22&lt;&gt;0),(NZ21-NZ22)/NZ22,IF(AND(NZ21=0,NZ22=0),"",IF(AND(NZ21="",NZ22=""),"",IF(AND(NZ21=0,NZ22=""),"", IF(AND(NZ21="",NZ22=0),"",1)))))</f>
        <v>-2.5554618450126263E-4</v>
      </c>
      <c r="OA23" s="40">
        <f t="shared" ref="OA23" si="771">IF(AND(OA21&lt;&gt;0,OA22&lt;&gt;0),(OA21-OA22)/OA22,IF(AND(OA21=0,OA22=0),"",IF(AND(OA21="",OA22=""),"",IF(AND(OA21=0,OA22=""),"", IF(AND(OA21="",OA22=0),"",1)))))</f>
        <v>5.9949397434879293E-4</v>
      </c>
      <c r="OB23" s="40">
        <f t="shared" ref="OB23" si="772">IF(AND(OB21&lt;&gt;0,OB22&lt;&gt;0),(OB21-OB22)/OB22,IF(AND(OB21=0,OB22=0),"",IF(AND(OB21="",OB22=""),"",IF(AND(OB21=0,OB22=""),"", IF(AND(OB21="",OB22=0),"",1)))))</f>
        <v>3.2476344371790757E-4</v>
      </c>
      <c r="OC23" s="40">
        <f t="shared" ref="OC23" si="773">IF(AND(OC21&lt;&gt;0,OC22&lt;&gt;0),(OC21-OC22)/OC22,IF(AND(OC21=0,OC22=0),"",IF(AND(OC21="",OC22=""),"",IF(AND(OC21=0,OC22=""),"", IF(AND(OC21="",OC22=0),"",1)))))</f>
        <v>7.458102318548387E-5</v>
      </c>
      <c r="OD23" s="40">
        <f t="shared" ref="OD23" si="774">IF(AND(OD21&lt;&gt;0,OD22&lt;&gt;0),(OD21-OD22)/OD22,IF(AND(OD21=0,OD22=0),"",IF(AND(OD21="",OD22=""),"",IF(AND(OD21=0,OD22=""),"", IF(AND(OD21="",OD22=0),"",1)))))</f>
        <v>-2.5773913131476683E-4</v>
      </c>
      <c r="OE23" s="40">
        <f t="shared" ref="OE23" si="775">IF(AND(OE21&lt;&gt;0,OE22&lt;&gt;0),(OE21-OE22)/OE22,IF(AND(OE21=0,OE22=0),"",IF(AND(OE21="",OE22=""),"",IF(AND(OE21=0,OE22=""),"", IF(AND(OE21="",OE22=0),"",1)))))</f>
        <v>1.7795983300907911E-4</v>
      </c>
      <c r="OF23" s="40">
        <f t="shared" ref="OF23" si="776">IF(AND(OF21&lt;&gt;0,OF22&lt;&gt;0),(OF21-OF22)/OF22,IF(AND(OF21=0,OF22=0),"",IF(AND(OF21="",OF22=""),"",IF(AND(OF21=0,OF22=""),"", IF(AND(OF21="",OF22=0),"",1)))))</f>
        <v>2.2135204185704961E-4</v>
      </c>
      <c r="OG23" s="40">
        <f t="shared" ref="OG23" si="777">IF(AND(OG21&lt;&gt;0,OG22&lt;&gt;0),(OG21-OG22)/OG22,IF(AND(OG21=0,OG22=0),"",IF(AND(OG21="",OG22=""),"",IF(AND(OG21=0,OG22=""),"", IF(AND(OG21="",OG22=0),"",1)))))</f>
        <v>-1.6659007352941177E-4</v>
      </c>
      <c r="OH23" s="40">
        <f t="shared" ref="OH23" si="778">IF(AND(OH21&lt;&gt;0,OH22&lt;&gt;0),(OH21-OH22)/OH22,IF(AND(OH21=0,OH22=0),"",IF(AND(OH21="",OH22=""),"",IF(AND(OH21=0,OH22=""),"", IF(AND(OH21="",OH22=0),"",1)))))</f>
        <v>6.1187144188237222E-4</v>
      </c>
      <c r="OI23" s="40">
        <f t="shared" ref="OI23" si="779">IF(AND(OI21&lt;&gt;0,OI22&lt;&gt;0),(OI21-OI22)/OI22,IF(AND(OI21=0,OI22=0),"",IF(AND(OI21="",OI22=""),"",IF(AND(OI21=0,OI22=""),"", IF(AND(OI21="",OI22=0),"",1)))))</f>
        <v>6.3903169482166231E-4</v>
      </c>
      <c r="OJ23" s="40">
        <f t="shared" ref="OJ23" si="780">IF(AND(OJ21&lt;&gt;0,OJ22&lt;&gt;0),(OJ21-OJ22)/OJ22,IF(AND(OJ21=0,OJ22=0),"",IF(AND(OJ21="",OJ22=""),"",IF(AND(OJ21=0,OJ22=""),"", IF(AND(OJ21="",OJ22=0),"",1)))))</f>
        <v>3.8559480602034119E-4</v>
      </c>
      <c r="OK23" s="40">
        <f t="shared" ref="OK23" si="781">IF(AND(OK21&lt;&gt;0,OK22&lt;&gt;0),(OK21-OK22)/OK22,IF(AND(OK21=0,OK22=0),"",IF(AND(OK21="",OK22=""),"",IF(AND(OK21=0,OK22=""),"", IF(AND(OK21="",OK22=0),"",1)))))</f>
        <v>-1.231102299721494E-4</v>
      </c>
      <c r="OL23" s="40">
        <f t="shared" ref="OL23" si="782">IF(AND(OL21&lt;&gt;0,OL22&lt;&gt;0),(OL21-OL22)/OL22,IF(AND(OL21=0,OL22=0),"",IF(AND(OL21="",OL22=""),"",IF(AND(OL21=0,OL22=""),"", IF(AND(OL21="",OL22=0),"",1)))))</f>
        <v>2.9548384698982938E-4</v>
      </c>
      <c r="OM23" s="40">
        <f t="shared" ref="OM23" si="783">IF(AND(OM21&lt;&gt;0,OM22&lt;&gt;0),(OM21-OM22)/OM22,IF(AND(OM21=0,OM22=0),"",IF(AND(OM21="",OM22=""),"",IF(AND(OM21=0,OM22=""),"", IF(AND(OM21="",OM22=0),"",1)))))</f>
        <v>-6.6294060052219327E-5</v>
      </c>
      <c r="ON23" s="40">
        <f t="shared" ref="ON23:PB23" si="784">IF(AND(ON21&lt;&gt;0,ON22&lt;&gt;0),(ON21-ON22)/ON22,IF(AND(ON21=0,ON22=0),"",IF(AND(ON21="",ON22=""),"",IF(AND(ON21=0,ON22=""),"", IF(AND(ON21="",ON22=0),"",1)))))</f>
        <v>1.7719368660013089E-4</v>
      </c>
      <c r="OO23" s="40">
        <f t="shared" si="784"/>
        <v>-1.3364127383537275E-2</v>
      </c>
      <c r="OP23" s="40">
        <f t="shared" si="784"/>
        <v>-1.1702580700110722E-3</v>
      </c>
      <c r="OQ23" s="40">
        <f t="shared" si="784"/>
        <v>1</v>
      </c>
      <c r="OR23" s="40" t="str">
        <f t="shared" si="784"/>
        <v/>
      </c>
      <c r="OS23" s="40" t="str">
        <f t="shared" si="784"/>
        <v/>
      </c>
      <c r="OT23" s="40" t="str">
        <f t="shared" si="784"/>
        <v/>
      </c>
      <c r="OU23" s="40" t="str">
        <f t="shared" si="784"/>
        <v/>
      </c>
      <c r="OV23" s="40" t="str">
        <f t="shared" si="784"/>
        <v/>
      </c>
      <c r="OW23" s="40" t="str">
        <f t="shared" si="784"/>
        <v/>
      </c>
      <c r="OX23" s="40" t="str">
        <f t="shared" si="784"/>
        <v/>
      </c>
      <c r="OY23" s="40" t="str">
        <f t="shared" si="784"/>
        <v/>
      </c>
      <c r="OZ23" s="40" t="str">
        <f t="shared" si="784"/>
        <v/>
      </c>
      <c r="PA23" s="40" t="str">
        <f t="shared" si="784"/>
        <v/>
      </c>
      <c r="PB23" s="40" t="str">
        <f t="shared" si="784"/>
        <v/>
      </c>
      <c r="PC23" s="41">
        <f t="shared" ref="PC23" si="785">IF(AND(PC21&lt;&gt;0,PC22&lt;&gt;0),(PC21-PC22)/PC22,IF(AND(PC21=0,PC22=0),"",IF(AND(PC21="",PC22=""),"",IF(AND(PC21=0,PC22=""),"", IF(AND(PC21="",PC22=0),"",1)))))</f>
        <v>0.15556527124094985</v>
      </c>
    </row>
    <row r="24" spans="1:419" outlineLevel="1" x14ac:dyDescent="0.4">
      <c r="A24" s="46" t="s">
        <v>48</v>
      </c>
      <c r="B24" s="14">
        <f>'[1]D-PDP'!$DC$12</f>
        <v>0</v>
      </c>
      <c r="C24" s="14">
        <f>'[1]D-PDP'!$DC$13</f>
        <v>0</v>
      </c>
      <c r="D24" s="14">
        <f>'[1]D-PDP'!$DC$14</f>
        <v>0</v>
      </c>
      <c r="E24" s="14">
        <f>'[1]D-PDP'!$DC$15</f>
        <v>0</v>
      </c>
      <c r="F24" s="14">
        <f>'[1]D-PDP'!$DC$16</f>
        <v>0</v>
      </c>
      <c r="G24" s="14">
        <f>'[1]D-PDP'!$DC$17</f>
        <v>0</v>
      </c>
      <c r="H24" s="14">
        <f>'[1]D-PDP'!$DC$18</f>
        <v>0</v>
      </c>
      <c r="I24" s="14">
        <f>'[1]D-PDP'!$DC$19</f>
        <v>0</v>
      </c>
      <c r="J24" s="14">
        <f>'[1]D-PDP'!$DC$20</f>
        <v>0</v>
      </c>
      <c r="K24" s="14">
        <f>'[1]D-PDP'!$DC$21</f>
        <v>0</v>
      </c>
      <c r="L24" s="14">
        <f>'[1]D-PDP'!$DC$22</f>
        <v>0</v>
      </c>
      <c r="M24" s="14">
        <f>'[1]D-PDP'!$DC$23</f>
        <v>0</v>
      </c>
      <c r="N24" s="14">
        <f>'[1]D-PDP'!$DC$24</f>
        <v>0</v>
      </c>
      <c r="O24" s="14">
        <f>'[1]D-PDP'!$DC$25</f>
        <v>0</v>
      </c>
      <c r="P24" s="14">
        <f>'[1]D-PDP'!$DC$26</f>
        <v>0</v>
      </c>
      <c r="Q24" s="14">
        <f>'[1]D-PDP'!$DC$27</f>
        <v>0</v>
      </c>
      <c r="R24" s="14">
        <f>'[1]D-PDP'!$DC$28</f>
        <v>0</v>
      </c>
      <c r="S24" s="14">
        <f>'[1]D-PDP'!$DC$29</f>
        <v>0</v>
      </c>
      <c r="T24" s="14">
        <f>'[1]D-PDP'!$DC$30</f>
        <v>0</v>
      </c>
      <c r="U24" s="14">
        <f>'[1]D-PDP'!$DC$31</f>
        <v>0</v>
      </c>
      <c r="V24" s="14">
        <f>'[1]D-PDP'!$DC$32</f>
        <v>0</v>
      </c>
      <c r="W24" s="14">
        <f>'[1]D-PDP'!$DC$33</f>
        <v>0</v>
      </c>
      <c r="X24" s="14">
        <f>'[1]D-PDP'!$DC$34</f>
        <v>0</v>
      </c>
      <c r="Y24" s="14">
        <f>'[1]D-PDP'!$DC$35</f>
        <v>0</v>
      </c>
      <c r="Z24" s="14">
        <f>'[1]D-PDP'!$DC$36</f>
        <v>0</v>
      </c>
      <c r="AA24" s="14">
        <f>'[1]D-PDP'!$DC$37</f>
        <v>0</v>
      </c>
      <c r="AB24" s="14">
        <f>'[1]D-PDP'!$DC$38</f>
        <v>0</v>
      </c>
      <c r="AC24" s="14">
        <f>'[1]D-PDP'!$DC$39</f>
        <v>0</v>
      </c>
      <c r="AD24" s="14">
        <f>'[1]D-PDP'!$DC$40</f>
        <v>0</v>
      </c>
      <c r="AE24" s="14">
        <f>'[1]D-PDP'!$DC$41</f>
        <v>0</v>
      </c>
      <c r="AF24" s="14">
        <f>'[1]D-PDP'!$DC$42</f>
        <v>0</v>
      </c>
      <c r="AG24" s="14">
        <f>'[1]D-PDP'!$DC$43</f>
        <v>0</v>
      </c>
      <c r="AH24" s="14">
        <f>'[1]D-PDP'!$DC$44</f>
        <v>0</v>
      </c>
      <c r="AI24" s="14">
        <f>'[1]D-PDP'!$DC$45</f>
        <v>0</v>
      </c>
      <c r="AJ24" s="14">
        <f>'[1]D-PDP'!$DC$46</f>
        <v>0</v>
      </c>
      <c r="AK24" s="14">
        <f>'[1]D-PDP'!$DC$47</f>
        <v>0</v>
      </c>
      <c r="AL24" s="14">
        <f>'[1]D-PDP'!$DC$48</f>
        <v>0</v>
      </c>
      <c r="AM24" s="16">
        <f>SUM(B24:AL24)</f>
        <v>0</v>
      </c>
      <c r="AN24" s="28">
        <f>'[1]D-PNP'!$DC$12</f>
        <v>0</v>
      </c>
      <c r="AO24" s="14">
        <f>'[1]D-PNP'!$DC$13</f>
        <v>0</v>
      </c>
      <c r="AP24" s="14">
        <f>'[1]D-PNP'!$DC$14</f>
        <v>0</v>
      </c>
      <c r="AQ24" s="14">
        <f>'[1]D-PNP'!$DC$15</f>
        <v>0</v>
      </c>
      <c r="AR24" s="14">
        <f>'[1]D-PNP'!$DC$16</f>
        <v>0</v>
      </c>
      <c r="AS24" s="14">
        <f>'[1]D-PNP'!$DC$17</f>
        <v>0</v>
      </c>
      <c r="AT24" s="14">
        <f>'[1]D-PNP'!$DC$18</f>
        <v>0</v>
      </c>
      <c r="AU24" s="14">
        <f>'[1]D-PNP'!$DC$19</f>
        <v>0</v>
      </c>
      <c r="AV24" s="14">
        <f>'[1]D-PNP'!$DC$20</f>
        <v>0</v>
      </c>
      <c r="AW24" s="14">
        <f>'[1]D-PNP'!$DC$21</f>
        <v>0</v>
      </c>
      <c r="AX24" s="14">
        <f>'[1]D-PNP'!$DC$22</f>
        <v>0</v>
      </c>
      <c r="AY24" s="14">
        <f>'[1]D-PNP'!$DC$23</f>
        <v>0</v>
      </c>
      <c r="AZ24" s="14">
        <f>'[1]D-PNP'!$DC$24</f>
        <v>0</v>
      </c>
      <c r="BA24" s="14">
        <f>'[1]D-PNP'!$DC$25</f>
        <v>0</v>
      </c>
      <c r="BB24" s="14">
        <f>'[1]D-PNP'!$DC$26</f>
        <v>0</v>
      </c>
      <c r="BC24" s="14">
        <f>'[1]D-PNP'!$DC$27</f>
        <v>0</v>
      </c>
      <c r="BD24" s="14">
        <f>'[1]D-PNP'!$DC$28</f>
        <v>0</v>
      </c>
      <c r="BE24" s="14">
        <f>'[1]D-PNP'!$DC$29</f>
        <v>0</v>
      </c>
      <c r="BF24" s="14">
        <f>'[1]D-PNP'!$DC$30</f>
        <v>0</v>
      </c>
      <c r="BG24" s="14">
        <f>'[1]D-PNP'!$DC$31</f>
        <v>0</v>
      </c>
      <c r="BH24" s="14">
        <f>'[1]D-PNP'!$DC$32</f>
        <v>0</v>
      </c>
      <c r="BI24" s="14">
        <f>'[1]D-PNP'!$DC$33</f>
        <v>0</v>
      </c>
      <c r="BJ24" s="14">
        <f>'[1]D-PNP'!$DC$34</f>
        <v>0</v>
      </c>
      <c r="BK24" s="14">
        <f>'[1]D-PNP'!$DC$35</f>
        <v>0</v>
      </c>
      <c r="BL24" s="14">
        <f>'[1]D-PNP'!$DC$36</f>
        <v>0</v>
      </c>
      <c r="BM24" s="14">
        <f>'[1]D-PNP'!$DC$37</f>
        <v>0</v>
      </c>
      <c r="BN24" s="14">
        <f>'[1]D-PNP'!$DC$38</f>
        <v>0</v>
      </c>
      <c r="BO24" s="14">
        <f>'[1]D-PNP'!$DC$39</f>
        <v>0</v>
      </c>
      <c r="BP24" s="14">
        <f>'[1]D-PNP'!$DC$40</f>
        <v>0</v>
      </c>
      <c r="BQ24" s="14">
        <f>'[1]D-PNP'!$DC$41</f>
        <v>0</v>
      </c>
      <c r="BR24" s="14">
        <f>'[1]D-PNP'!$DC$42</f>
        <v>0</v>
      </c>
      <c r="BS24" s="14">
        <f>'[1]D-PNP'!$DC$43</f>
        <v>0</v>
      </c>
      <c r="BT24" s="14">
        <f>'[1]D-PNP'!$DC$44</f>
        <v>0</v>
      </c>
      <c r="BU24" s="14">
        <f>'[1]D-PNP'!$DC$45</f>
        <v>0</v>
      </c>
      <c r="BV24" s="14">
        <f>'[1]D-PNP'!$DC$46</f>
        <v>0</v>
      </c>
      <c r="BW24" s="14">
        <f>'[1]D-PNP'!$DC$47</f>
        <v>0</v>
      </c>
      <c r="BX24" s="14">
        <f>'[1]D-PNP'!$DC$48</f>
        <v>0</v>
      </c>
      <c r="BY24" s="16">
        <f>SUM(AN24:BX24)</f>
        <v>0</v>
      </c>
      <c r="BZ24" s="28">
        <f>'[1]D-PND'!$DC$12</f>
        <v>0</v>
      </c>
      <c r="CA24" s="14">
        <f>'[1]D-PND'!$DC$13</f>
        <v>0</v>
      </c>
      <c r="CB24" s="14">
        <f>'[1]D-PND'!$DC$14</f>
        <v>0</v>
      </c>
      <c r="CC24" s="14">
        <f>'[1]D-PND'!$DC$15</f>
        <v>0</v>
      </c>
      <c r="CD24" s="14">
        <f>'[1]D-PND'!$DC$16</f>
        <v>0</v>
      </c>
      <c r="CE24" s="14">
        <f>'[1]D-PND'!$DC$17</f>
        <v>0</v>
      </c>
      <c r="CF24" s="14">
        <f>'[1]D-PND'!$DC$18</f>
        <v>0</v>
      </c>
      <c r="CG24" s="14">
        <f>'[1]D-PND'!$DC$19</f>
        <v>0</v>
      </c>
      <c r="CH24" s="14">
        <f>'[1]D-PND'!$DC$20</f>
        <v>0</v>
      </c>
      <c r="CI24" s="14">
        <f>'[1]D-PND'!$DC$21</f>
        <v>0</v>
      </c>
      <c r="CJ24" s="14">
        <f>'[1]D-PND'!$DC$22</f>
        <v>0</v>
      </c>
      <c r="CK24" s="14">
        <f>'[1]D-PND'!$DC$23</f>
        <v>0</v>
      </c>
      <c r="CL24" s="14">
        <f>'[1]D-PND'!$DC$24</f>
        <v>0</v>
      </c>
      <c r="CM24" s="14">
        <f>'[1]D-PND'!$DC$25</f>
        <v>0</v>
      </c>
      <c r="CN24" s="14">
        <f>'[1]D-PND'!$DC$26</f>
        <v>0</v>
      </c>
      <c r="CO24" s="14">
        <f>'[1]D-PND'!$DC$27</f>
        <v>0</v>
      </c>
      <c r="CP24" s="14">
        <f>'[1]D-PND'!$DC$28</f>
        <v>0</v>
      </c>
      <c r="CQ24" s="14">
        <f>'[1]D-PND'!$DC$29</f>
        <v>0</v>
      </c>
      <c r="CR24" s="14">
        <f>'[1]D-PND'!$DC$30</f>
        <v>0</v>
      </c>
      <c r="CS24" s="14">
        <f>'[1]D-PND'!$DC$31</f>
        <v>0</v>
      </c>
      <c r="CT24" s="14">
        <f>'[1]D-PND'!$DC$32</f>
        <v>0</v>
      </c>
      <c r="CU24" s="14">
        <f>'[1]D-PND'!$DC$33</f>
        <v>0</v>
      </c>
      <c r="CV24" s="14">
        <f>'[1]D-PND'!$DC$34</f>
        <v>0</v>
      </c>
      <c r="CW24" s="14">
        <f>'[1]D-PND'!$DC$35</f>
        <v>0</v>
      </c>
      <c r="CX24" s="14">
        <f>'[1]D-PND'!$DC$36</f>
        <v>0</v>
      </c>
      <c r="CY24" s="14">
        <f>'[1]D-PND'!$DC$37</f>
        <v>0</v>
      </c>
      <c r="CZ24" s="14">
        <f>'[1]D-PND'!$DC$38</f>
        <v>0</v>
      </c>
      <c r="DA24" s="14">
        <f>'[1]D-PND'!$DC$39</f>
        <v>0</v>
      </c>
      <c r="DB24" s="14">
        <f>'[1]D-PND'!$DC$40</f>
        <v>0</v>
      </c>
      <c r="DC24" s="14">
        <f>'[1]D-PND'!$DC$41</f>
        <v>0</v>
      </c>
      <c r="DD24" s="14">
        <f>'[1]D-PND'!$DC$42</f>
        <v>0</v>
      </c>
      <c r="DE24" s="14">
        <f>'[1]D-PND'!$DC$43</f>
        <v>0</v>
      </c>
      <c r="DF24" s="14">
        <f>'[1]D-PND'!$DC$44</f>
        <v>0</v>
      </c>
      <c r="DG24" s="14">
        <f>'[1]D-PND'!$DC$45</f>
        <v>0</v>
      </c>
      <c r="DH24" s="14">
        <f>'[1]D-PND'!$DC$46</f>
        <v>0</v>
      </c>
      <c r="DI24" s="14">
        <f>'[1]D-PND'!$DC$47</f>
        <v>0</v>
      </c>
      <c r="DJ24" s="14">
        <f>'[1]D-PND'!$DC$48</f>
        <v>0</v>
      </c>
      <c r="DK24" s="16">
        <f>SUM(BZ24:DJ24)</f>
        <v>0</v>
      </c>
      <c r="DL24" s="66"/>
      <c r="DM24" s="67"/>
      <c r="DN24" s="67"/>
      <c r="DO24" s="67"/>
      <c r="DP24" s="67"/>
      <c r="DQ24" s="67"/>
      <c r="DR24" s="67"/>
      <c r="DS24" s="67"/>
      <c r="DT24" s="67"/>
      <c r="DU24" s="67"/>
      <c r="DV24" s="67"/>
      <c r="DW24" s="67"/>
      <c r="DX24" s="67"/>
      <c r="DY24" s="67"/>
      <c r="DZ24" s="67"/>
      <c r="EA24" s="67"/>
      <c r="EB24" s="67"/>
      <c r="EC24" s="67"/>
      <c r="ED24" s="67"/>
      <c r="EE24" s="67"/>
      <c r="EF24" s="67"/>
      <c r="EG24" s="67"/>
      <c r="EH24" s="67"/>
      <c r="EI24" s="67"/>
      <c r="EJ24" s="67"/>
      <c r="EK24" s="67"/>
      <c r="EL24" s="67"/>
      <c r="EM24" s="67"/>
      <c r="EN24" s="67"/>
      <c r="EO24" s="67"/>
      <c r="EP24" s="67"/>
      <c r="EQ24" s="67"/>
      <c r="ER24" s="67"/>
      <c r="ES24" s="67"/>
      <c r="ET24" s="67"/>
      <c r="EU24" s="67"/>
      <c r="EV24" s="67"/>
      <c r="EW24" s="68">
        <f>SUM(DL24:EV24)</f>
        <v>0</v>
      </c>
      <c r="EX24" s="66"/>
      <c r="EY24" s="67"/>
      <c r="EZ24" s="67"/>
      <c r="FA24" s="67"/>
      <c r="FB24" s="67"/>
      <c r="FC24" s="67"/>
      <c r="FD24" s="67"/>
      <c r="FE24" s="67"/>
      <c r="FF24" s="67"/>
      <c r="FG24" s="67"/>
      <c r="FH24" s="67"/>
      <c r="FI24" s="67"/>
      <c r="FJ24" s="67"/>
      <c r="FK24" s="67"/>
      <c r="FL24" s="67"/>
      <c r="FM24" s="67"/>
      <c r="FN24" s="67"/>
      <c r="FO24" s="67"/>
      <c r="FP24" s="67"/>
      <c r="FQ24" s="67"/>
      <c r="FR24" s="67"/>
      <c r="FS24" s="67"/>
      <c r="FT24" s="67"/>
      <c r="FU24" s="67"/>
      <c r="FV24" s="67"/>
      <c r="FW24" s="67"/>
      <c r="FX24" s="67"/>
      <c r="FY24" s="67"/>
      <c r="FZ24" s="67"/>
      <c r="GA24" s="67"/>
      <c r="GB24" s="67"/>
      <c r="GC24" s="67"/>
      <c r="GD24" s="67"/>
      <c r="GE24" s="67"/>
      <c r="GF24" s="67"/>
      <c r="GG24" s="67"/>
      <c r="GH24" s="67"/>
      <c r="GI24" s="68">
        <f>SUM(EX24:GH24)</f>
        <v>0</v>
      </c>
      <c r="GJ24" s="66"/>
      <c r="GK24" s="67"/>
      <c r="GL24" s="67"/>
      <c r="GM24" s="67"/>
      <c r="GN24" s="67"/>
      <c r="GO24" s="67"/>
      <c r="GP24" s="67"/>
      <c r="GQ24" s="67"/>
      <c r="GR24" s="67"/>
      <c r="GS24" s="67"/>
      <c r="GT24" s="67"/>
      <c r="GU24" s="67"/>
      <c r="GV24" s="67"/>
      <c r="GW24" s="67"/>
      <c r="GX24" s="67"/>
      <c r="GY24" s="67"/>
      <c r="GZ24" s="67"/>
      <c r="HA24" s="67"/>
      <c r="HB24" s="67"/>
      <c r="HC24" s="67"/>
      <c r="HD24" s="67"/>
      <c r="HE24" s="67"/>
      <c r="HF24" s="67"/>
      <c r="HG24" s="67"/>
      <c r="HH24" s="67"/>
      <c r="HI24" s="67"/>
      <c r="HJ24" s="67"/>
      <c r="HK24" s="67"/>
      <c r="HL24" s="67"/>
      <c r="HM24" s="67"/>
      <c r="HN24" s="67"/>
      <c r="HO24" s="67"/>
      <c r="HP24" s="67"/>
      <c r="HQ24" s="67"/>
      <c r="HR24" s="67"/>
      <c r="HS24" s="67"/>
      <c r="HT24" s="67"/>
      <c r="HU24" s="68">
        <f>SUM(GJ24:HT24)</f>
        <v>0</v>
      </c>
      <c r="HV24" s="28">
        <f>'[1]D-PRB'!$DC$12</f>
        <v>0</v>
      </c>
      <c r="HW24" s="14">
        <f>'[1]D-PRB'!$DC$13</f>
        <v>0</v>
      </c>
      <c r="HX24" s="14">
        <f>'[1]D-PRB'!$DC$14</f>
        <v>0</v>
      </c>
      <c r="HY24" s="14">
        <f>'[1]D-PRB'!$DC$15</f>
        <v>0</v>
      </c>
      <c r="HZ24" s="14">
        <f>'[1]D-PRB'!$DC$16</f>
        <v>0</v>
      </c>
      <c r="IA24" s="14">
        <f>'[1]D-PRB'!$DC$17</f>
        <v>0</v>
      </c>
      <c r="IB24" s="14">
        <f>'[1]D-PRB'!$DC$18</f>
        <v>0</v>
      </c>
      <c r="IC24" s="14">
        <f>'[1]D-PRB'!$DC$19</f>
        <v>0</v>
      </c>
      <c r="ID24" s="14">
        <f>'[1]D-PRB'!$DC$20</f>
        <v>0</v>
      </c>
      <c r="IE24" s="14">
        <f>'[1]D-PRB'!$DC$21</f>
        <v>0</v>
      </c>
      <c r="IF24" s="14">
        <f>'[1]D-PRB'!$DC$22</f>
        <v>0</v>
      </c>
      <c r="IG24" s="14">
        <f>'[1]D-PRB'!$DC$23</f>
        <v>0</v>
      </c>
      <c r="IH24" s="14">
        <f>'[1]D-PRB'!$DC$24</f>
        <v>0</v>
      </c>
      <c r="II24" s="14">
        <f>'[1]D-PRB'!$DC$25</f>
        <v>0</v>
      </c>
      <c r="IJ24" s="14">
        <f>'[1]D-PRB'!$DC$26</f>
        <v>0</v>
      </c>
      <c r="IK24" s="14">
        <f>'[1]D-PRB'!$DC$27</f>
        <v>0</v>
      </c>
      <c r="IL24" s="14">
        <f>'[1]D-PRB'!$DC$28</f>
        <v>0</v>
      </c>
      <c r="IM24" s="14">
        <f>'[1]D-PRB'!$DC$29</f>
        <v>0</v>
      </c>
      <c r="IN24" s="14">
        <f>'[1]D-PRB'!$DC$30</f>
        <v>0</v>
      </c>
      <c r="IO24" s="14">
        <f>'[1]D-PRB'!$DC$31</f>
        <v>0</v>
      </c>
      <c r="IP24" s="14">
        <f>'[1]D-PRB'!$DC$32</f>
        <v>0</v>
      </c>
      <c r="IQ24" s="14">
        <f>'[1]D-PRB'!$DC$33</f>
        <v>0</v>
      </c>
      <c r="IR24" s="14">
        <f>'[1]D-PRB'!$DC$34</f>
        <v>0</v>
      </c>
      <c r="IS24" s="14">
        <f>'[1]D-PRB'!$DC$35</f>
        <v>0</v>
      </c>
      <c r="IT24" s="14">
        <f>'[1]D-PRB'!$DC$36</f>
        <v>0</v>
      </c>
      <c r="IU24" s="14">
        <f>'[1]D-PRB'!$DC$37</f>
        <v>0</v>
      </c>
      <c r="IV24" s="14">
        <f>'[1]D-PRB'!$DC$38</f>
        <v>0</v>
      </c>
      <c r="IW24" s="14">
        <f>'[1]D-PRB'!$DC$39</f>
        <v>0</v>
      </c>
      <c r="IX24" s="14">
        <f>'[1]D-PRB'!$DC$40</f>
        <v>0</v>
      </c>
      <c r="IY24" s="14">
        <f>'[1]D-PRB'!$DC$41</f>
        <v>0</v>
      </c>
      <c r="IZ24" s="14">
        <f>'[1]D-PRB'!$DC$42</f>
        <v>0</v>
      </c>
      <c r="JA24" s="14">
        <f>'[1]D-PRB'!$DC$43</f>
        <v>0</v>
      </c>
      <c r="JB24" s="14">
        <f>'[1]D-PRB'!$DC$44</f>
        <v>0</v>
      </c>
      <c r="JC24" s="14">
        <f>'[1]D-PRB'!$DC$45</f>
        <v>0</v>
      </c>
      <c r="JD24" s="14">
        <f>'[1]D-PRB'!$DC$46</f>
        <v>0</v>
      </c>
      <c r="JE24" s="14">
        <f>'[1]D-PRB'!$DC$47</f>
        <v>0</v>
      </c>
      <c r="JF24" s="14">
        <f>'[1]D-PRB'!$DC$48</f>
        <v>0</v>
      </c>
      <c r="JG24" s="16">
        <f>SUM(HV24:JF24)</f>
        <v>0</v>
      </c>
      <c r="JH24" s="66"/>
      <c r="JI24" s="67"/>
      <c r="JJ24" s="67"/>
      <c r="JK24" s="67"/>
      <c r="JL24" s="67"/>
      <c r="JM24" s="67"/>
      <c r="JN24" s="67"/>
      <c r="JO24" s="67"/>
      <c r="JP24" s="67"/>
      <c r="JQ24" s="67"/>
      <c r="JR24" s="67"/>
      <c r="JS24" s="67"/>
      <c r="JT24" s="67"/>
      <c r="JU24" s="67"/>
      <c r="JV24" s="67"/>
      <c r="JW24" s="67"/>
      <c r="JX24" s="67"/>
      <c r="JY24" s="67"/>
      <c r="JZ24" s="67"/>
      <c r="KA24" s="67"/>
      <c r="KB24" s="67"/>
      <c r="KC24" s="67"/>
      <c r="KD24" s="67"/>
      <c r="KE24" s="67"/>
      <c r="KF24" s="67"/>
      <c r="KG24" s="67"/>
      <c r="KH24" s="67"/>
      <c r="KI24" s="67"/>
      <c r="KJ24" s="67"/>
      <c r="KK24" s="67"/>
      <c r="KL24" s="67"/>
      <c r="KM24" s="67"/>
      <c r="KN24" s="67"/>
      <c r="KO24" s="67"/>
      <c r="KP24" s="67"/>
      <c r="KQ24" s="67"/>
      <c r="KR24" s="67"/>
      <c r="KS24" s="68">
        <f>SUM(JH24:KR24)</f>
        <v>0</v>
      </c>
      <c r="KT24" s="66"/>
      <c r="KU24" s="67"/>
      <c r="KV24" s="67"/>
      <c r="KW24" s="67"/>
      <c r="KX24" s="67"/>
      <c r="KY24" s="67"/>
      <c r="KZ24" s="67"/>
      <c r="LA24" s="67"/>
      <c r="LB24" s="67"/>
      <c r="LC24" s="67"/>
      <c r="LD24" s="67"/>
      <c r="LE24" s="67"/>
      <c r="LF24" s="67"/>
      <c r="LG24" s="67"/>
      <c r="LH24" s="67"/>
      <c r="LI24" s="67"/>
      <c r="LJ24" s="67"/>
      <c r="LK24" s="67"/>
      <c r="LL24" s="67"/>
      <c r="LM24" s="67"/>
      <c r="LN24" s="67"/>
      <c r="LO24" s="67"/>
      <c r="LP24" s="67"/>
      <c r="LQ24" s="67"/>
      <c r="LR24" s="67"/>
      <c r="LS24" s="67"/>
      <c r="LT24" s="67"/>
      <c r="LU24" s="67"/>
      <c r="LV24" s="67"/>
      <c r="LW24" s="67"/>
      <c r="LX24" s="67"/>
      <c r="LY24" s="67"/>
      <c r="LZ24" s="67"/>
      <c r="MA24" s="67"/>
      <c r="MB24" s="67"/>
      <c r="MC24" s="67"/>
      <c r="MD24" s="67"/>
      <c r="ME24" s="68">
        <f>SUM(KT24:MD24)</f>
        <v>0</v>
      </c>
      <c r="MF24" s="66"/>
      <c r="MG24" s="67"/>
      <c r="MH24" s="67"/>
      <c r="MI24" s="67"/>
      <c r="MJ24" s="67"/>
      <c r="MK24" s="67"/>
      <c r="ML24" s="67"/>
      <c r="MM24" s="67"/>
      <c r="MN24" s="67"/>
      <c r="MO24" s="67"/>
      <c r="MP24" s="67"/>
      <c r="MQ24" s="67"/>
      <c r="MR24" s="67"/>
      <c r="MS24" s="67"/>
      <c r="MT24" s="67"/>
      <c r="MU24" s="67"/>
      <c r="MV24" s="67"/>
      <c r="MW24" s="67"/>
      <c r="MX24" s="67"/>
      <c r="MY24" s="67"/>
      <c r="MZ24" s="67"/>
      <c r="NA24" s="67"/>
      <c r="NB24" s="67"/>
      <c r="NC24" s="67"/>
      <c r="ND24" s="67"/>
      <c r="NE24" s="67"/>
      <c r="NF24" s="67"/>
      <c r="NG24" s="67"/>
      <c r="NH24" s="67"/>
      <c r="NI24" s="67"/>
      <c r="NJ24" s="67"/>
      <c r="NK24" s="67"/>
      <c r="NL24" s="67"/>
      <c r="NM24" s="67"/>
      <c r="NN24" s="67"/>
      <c r="NO24" s="67"/>
      <c r="NP24" s="67"/>
      <c r="NQ24" s="68">
        <f>SUM(MF24:NP24)</f>
        <v>0</v>
      </c>
      <c r="NR24" s="14">
        <f>'[1]D-PS'!$DC$12</f>
        <v>0</v>
      </c>
      <c r="NS24" s="14">
        <f>'[1]D-PS'!$DC$13</f>
        <v>0</v>
      </c>
      <c r="NT24" s="14">
        <f>'[1]D-PS'!$DC$14</f>
        <v>0</v>
      </c>
      <c r="NU24" s="14">
        <f>'[1]D-PS'!$DC$15</f>
        <v>0</v>
      </c>
      <c r="NV24" s="14">
        <f>'[1]D-PS'!$DC$16</f>
        <v>0</v>
      </c>
      <c r="NW24" s="14">
        <f>'[1]D-PS'!$DC$17</f>
        <v>0</v>
      </c>
      <c r="NX24" s="14">
        <f>'[1]D-PS'!$DC$18</f>
        <v>0</v>
      </c>
      <c r="NY24" s="14">
        <f>'[1]D-PS'!$DC$19</f>
        <v>0</v>
      </c>
      <c r="NZ24" s="14">
        <f>'[1]D-PS'!$DC$20</f>
        <v>0</v>
      </c>
      <c r="OA24" s="14">
        <f>'[1]D-PS'!$DC$21</f>
        <v>0</v>
      </c>
      <c r="OB24" s="14">
        <f>'[1]D-PS'!$DC$22</f>
        <v>0</v>
      </c>
      <c r="OC24" s="14">
        <f>'[1]D-PS'!$DC$23</f>
        <v>0</v>
      </c>
      <c r="OD24" s="14">
        <f>'[1]D-PS'!$DC$24</f>
        <v>0</v>
      </c>
      <c r="OE24" s="14">
        <f>'[1]D-PS'!$DC$25</f>
        <v>0</v>
      </c>
      <c r="OF24" s="14">
        <f>'[1]D-PS'!$DC$26</f>
        <v>0</v>
      </c>
      <c r="OG24" s="14">
        <f>'[1]D-PS'!$DC$27</f>
        <v>0</v>
      </c>
      <c r="OH24" s="14">
        <f>'[1]D-PS'!$DC$28</f>
        <v>0</v>
      </c>
      <c r="OI24" s="14">
        <f>'[1]D-PS'!$DC$29</f>
        <v>0</v>
      </c>
      <c r="OJ24" s="14">
        <f>'[1]D-PS'!$DC$30</f>
        <v>0</v>
      </c>
      <c r="OK24" s="14">
        <f>'[1]D-PS'!$DC$31</f>
        <v>0</v>
      </c>
      <c r="OL24" s="14">
        <f>'[1]D-PS'!$DC$32</f>
        <v>0</v>
      </c>
      <c r="OM24" s="14">
        <f>'[1]D-PS'!$DC$33</f>
        <v>0</v>
      </c>
      <c r="ON24" s="14">
        <f>'[1]D-PS'!$DC$34</f>
        <v>0</v>
      </c>
      <c r="OO24" s="14">
        <f>'[1]D-PS'!$DC$35</f>
        <v>0</v>
      </c>
      <c r="OP24" s="14">
        <f>'[1]D-PS'!$DC$36</f>
        <v>0</v>
      </c>
      <c r="OQ24" s="14">
        <f>'[1]D-PS'!$DC$37</f>
        <v>0</v>
      </c>
      <c r="OR24" s="14">
        <f>'[1]D-PS'!$DC$38</f>
        <v>0</v>
      </c>
      <c r="OS24" s="14">
        <f>'[1]D-PS'!$DC$39</f>
        <v>0</v>
      </c>
      <c r="OT24" s="14">
        <f>'[1]D-PS'!$DC$40</f>
        <v>0</v>
      </c>
      <c r="OU24" s="14">
        <f>'[1]D-PS'!$DC$41</f>
        <v>0</v>
      </c>
      <c r="OV24" s="14">
        <f>'[1]D-PS'!$DC$42</f>
        <v>0</v>
      </c>
      <c r="OW24" s="14">
        <f>'[1]D-PS'!$DC$43</f>
        <v>0</v>
      </c>
      <c r="OX24" s="14">
        <f>'[1]D-PS'!$DC$44</f>
        <v>0</v>
      </c>
      <c r="OY24" s="14">
        <f>'[1]D-PS'!$DC$45</f>
        <v>0</v>
      </c>
      <c r="OZ24" s="14">
        <f>'[1]D-PS'!$DC$46</f>
        <v>0</v>
      </c>
      <c r="PA24" s="14">
        <f>'[1]D-PS'!$DC$47</f>
        <v>0</v>
      </c>
      <c r="PB24" s="14">
        <f>'[1]D-PS'!$DC$48</f>
        <v>0</v>
      </c>
      <c r="PC24" s="16">
        <f>SUM(NR24:PB24)</f>
        <v>0</v>
      </c>
    </row>
    <row r="25" spans="1:419" outlineLevel="1" x14ac:dyDescent="0.4">
      <c r="A25" s="46" t="s">
        <v>49</v>
      </c>
      <c r="B25" s="25">
        <f>'[2]CF PDP'!$CT$36</f>
        <v>0</v>
      </c>
      <c r="C25" s="25">
        <f>'[2]CF PDP'!$CT$37</f>
        <v>0</v>
      </c>
      <c r="D25" s="25">
        <f>'[2]CF PDP'!$CT$38</f>
        <v>0</v>
      </c>
      <c r="E25" s="25">
        <f>'[2]CF PDP'!$CT$39</f>
        <v>0</v>
      </c>
      <c r="F25" s="25">
        <f>'[2]CF PDP'!$CT$40</f>
        <v>0</v>
      </c>
      <c r="G25" s="25">
        <f>'[2]CF PDP'!$CT$41</f>
        <v>0</v>
      </c>
      <c r="H25" s="25">
        <f>'[2]CF PDP'!$CT$42</f>
        <v>0</v>
      </c>
      <c r="I25" s="25">
        <f>'[2]CF PDP'!$CT$43</f>
        <v>0</v>
      </c>
      <c r="J25" s="25">
        <f>'[2]CF PDP'!$CT$44</f>
        <v>0</v>
      </c>
      <c r="K25" s="25">
        <f>'[2]CF PDP'!$CT$45</f>
        <v>0</v>
      </c>
      <c r="L25" s="25">
        <f>'[2]CF PDP'!$CT$46</f>
        <v>0</v>
      </c>
      <c r="M25" s="25">
        <f>'[2]CF PDP'!$CT$47</f>
        <v>0</v>
      </c>
      <c r="N25" s="25">
        <f>'[2]CF PDP'!$CT$48</f>
        <v>0</v>
      </c>
      <c r="O25" s="25">
        <f>'[2]CF PDP'!$CT$49</f>
        <v>0</v>
      </c>
      <c r="P25" s="25">
        <f>'[2]CF PDP'!$CT$50</f>
        <v>0</v>
      </c>
      <c r="Q25" s="25">
        <f>'[2]CF PDP'!$CT$51</f>
        <v>0</v>
      </c>
      <c r="R25" s="25">
        <f>'[2]CF PDP'!$CT$52</f>
        <v>0</v>
      </c>
      <c r="S25" s="25">
        <f>'[2]CF PDP'!$CT$53</f>
        <v>0</v>
      </c>
      <c r="T25" s="25">
        <f>'[2]CF PDP'!$CT$54</f>
        <v>0</v>
      </c>
      <c r="U25" s="25">
        <f>'[2]CF PDP'!$CT$55</f>
        <v>0</v>
      </c>
      <c r="V25" s="25">
        <f>'[2]CF PDP'!$CT$56</f>
        <v>0</v>
      </c>
      <c r="W25" s="25">
        <f>'[2]CF PDP'!$CT$57</f>
        <v>0</v>
      </c>
      <c r="X25" s="25">
        <f>'[2]CF PDP'!$CT$58</f>
        <v>0</v>
      </c>
      <c r="Y25" s="25">
        <f>'[2]CF PDP'!$CT$59</f>
        <v>0</v>
      </c>
      <c r="Z25" s="25">
        <f>'[2]CF PDP'!$CT$60</f>
        <v>0</v>
      </c>
      <c r="AA25" s="25">
        <f>'[2]CF PDP'!$CT$61</f>
        <v>0</v>
      </c>
      <c r="AB25" s="25">
        <f>'[2]CF PDP'!$CT$62</f>
        <v>0</v>
      </c>
      <c r="AC25" s="25">
        <f>'[2]CF PDP'!$CT$63</f>
        <v>0</v>
      </c>
      <c r="AD25" s="25">
        <f>'[2]CF PDP'!$CT$64</f>
        <v>0</v>
      </c>
      <c r="AE25" s="25">
        <f>'[2]CF PDP'!$CT$65</f>
        <v>0</v>
      </c>
      <c r="AF25" s="25">
        <f>'[2]CF PDP'!$CT$66</f>
        <v>0</v>
      </c>
      <c r="AG25" s="25">
        <f>'[2]CF PDP'!$CT$67</f>
        <v>0</v>
      </c>
      <c r="AH25" s="25">
        <f>'[2]CF PDP'!$CT$68</f>
        <v>0</v>
      </c>
      <c r="AI25" s="25">
        <f>'[2]CF PDP'!$CT$69</f>
        <v>0</v>
      </c>
      <c r="AJ25" s="25">
        <f>'[2]CF PDP'!$CT$70</f>
        <v>0</v>
      </c>
      <c r="AK25" s="25">
        <f>'[2]CF PDP'!$CT$71</f>
        <v>0</v>
      </c>
      <c r="AL25" s="25">
        <f>'[2]CF PDP'!$CT$72</f>
        <v>0</v>
      </c>
      <c r="AM25" s="26">
        <f>SUM(B25:AL25)</f>
        <v>0</v>
      </c>
      <c r="AN25" s="27">
        <f>'[2]CF PNP'!$CT$36</f>
        <v>0</v>
      </c>
      <c r="AO25" s="25">
        <f>'[2]CF PNP'!$CT$37</f>
        <v>0</v>
      </c>
      <c r="AP25" s="25">
        <f>'[2]CF PNP'!$CT$38</f>
        <v>0</v>
      </c>
      <c r="AQ25" s="25">
        <f>'[2]CF PNP'!$CT$39</f>
        <v>0</v>
      </c>
      <c r="AR25" s="25">
        <f>'[2]CF PNP'!$CT$40</f>
        <v>0</v>
      </c>
      <c r="AS25" s="25">
        <f>'[2]CF PNP'!$CT$41</f>
        <v>0</v>
      </c>
      <c r="AT25" s="25">
        <f>'[2]CF PNP'!$CT$42</f>
        <v>0</v>
      </c>
      <c r="AU25" s="25">
        <f>'[2]CF PNP'!$CT$43</f>
        <v>0</v>
      </c>
      <c r="AV25" s="25">
        <f>'[2]CF PNP'!$CT$44</f>
        <v>0</v>
      </c>
      <c r="AW25" s="25">
        <f>'[2]CF PNP'!$CT$45</f>
        <v>0</v>
      </c>
      <c r="AX25" s="25">
        <f>'[2]CF PNP'!$CT$46</f>
        <v>0</v>
      </c>
      <c r="AY25" s="25">
        <f>'[2]CF PNP'!$CT$47</f>
        <v>0</v>
      </c>
      <c r="AZ25" s="25">
        <f>'[2]CF PNP'!$CT$48</f>
        <v>0</v>
      </c>
      <c r="BA25" s="25">
        <f>'[2]CF PNP'!$CT$49</f>
        <v>0</v>
      </c>
      <c r="BB25" s="25">
        <f>'[2]CF PNP'!$CT$50</f>
        <v>0</v>
      </c>
      <c r="BC25" s="25">
        <f>'[2]CF PNP'!$CT$51</f>
        <v>0</v>
      </c>
      <c r="BD25" s="25">
        <f>'[2]CF PNP'!$CT$52</f>
        <v>0</v>
      </c>
      <c r="BE25" s="25">
        <f>'[2]CF PNP'!$CT$53</f>
        <v>0</v>
      </c>
      <c r="BF25" s="25">
        <f>'[2]CF PNP'!$CT$54</f>
        <v>0</v>
      </c>
      <c r="BG25" s="25">
        <f>'[2]CF PNP'!$CT$55</f>
        <v>0</v>
      </c>
      <c r="BH25" s="25">
        <f>'[2]CF PNP'!$CT$56</f>
        <v>0</v>
      </c>
      <c r="BI25" s="25">
        <f>'[2]CF PNP'!$CT$57</f>
        <v>0</v>
      </c>
      <c r="BJ25" s="25">
        <f>'[2]CF PNP'!$CT$58</f>
        <v>0</v>
      </c>
      <c r="BK25" s="25">
        <f>'[2]CF PNP'!$CT$59</f>
        <v>0</v>
      </c>
      <c r="BL25" s="25">
        <f>'[2]CF PNP'!$CT$60</f>
        <v>0</v>
      </c>
      <c r="BM25" s="25">
        <f>'[2]CF PNP'!$CT$61</f>
        <v>0</v>
      </c>
      <c r="BN25" s="25">
        <f>'[2]CF PNP'!$CT$62</f>
        <v>0</v>
      </c>
      <c r="BO25" s="25">
        <f>'[2]CF PNP'!$CT$63</f>
        <v>0</v>
      </c>
      <c r="BP25" s="25">
        <f>'[2]CF PNP'!$CT$64</f>
        <v>0</v>
      </c>
      <c r="BQ25" s="25">
        <f>'[2]CF PNP'!$CT$65</f>
        <v>0</v>
      </c>
      <c r="BR25" s="25">
        <f>'[2]CF PNP'!$CT$66</f>
        <v>0</v>
      </c>
      <c r="BS25" s="25">
        <f>'[2]CF PNP'!$CT$67</f>
        <v>0</v>
      </c>
      <c r="BT25" s="25">
        <f>'[2]CF PNP'!$CT$68</f>
        <v>0</v>
      </c>
      <c r="BU25" s="25">
        <f>'[2]CF PNP'!$CT$69</f>
        <v>0</v>
      </c>
      <c r="BV25" s="25">
        <f>'[2]CF PNP'!$CT$70</f>
        <v>0</v>
      </c>
      <c r="BW25" s="25">
        <f>'[2]CF PNP'!$CT$71</f>
        <v>0</v>
      </c>
      <c r="BX25" s="25">
        <f>'[2]CF PNP'!$CT$72</f>
        <v>0</v>
      </c>
      <c r="BY25" s="26">
        <f>SUM(AN25:BX25)</f>
        <v>0</v>
      </c>
      <c r="BZ25" s="27">
        <f>'[2]CF PND'!$CT$36</f>
        <v>0</v>
      </c>
      <c r="CA25" s="25">
        <f>'[2]CF PND'!$CT$37</f>
        <v>0</v>
      </c>
      <c r="CB25" s="25">
        <f>'[2]CF PND'!$CT$38</f>
        <v>0</v>
      </c>
      <c r="CC25" s="25">
        <f>'[2]CF PND'!$CT$39</f>
        <v>0</v>
      </c>
      <c r="CD25" s="25">
        <f>'[2]CF PND'!$CT$40</f>
        <v>0</v>
      </c>
      <c r="CE25" s="25">
        <f>'[2]CF PND'!$CT$41</f>
        <v>0</v>
      </c>
      <c r="CF25" s="25">
        <f>'[2]CF PND'!$CT$42</f>
        <v>0</v>
      </c>
      <c r="CG25" s="25">
        <f>'[2]CF PND'!$CT$43</f>
        <v>0</v>
      </c>
      <c r="CH25" s="25">
        <f>'[2]CF PND'!$CT$44</f>
        <v>0</v>
      </c>
      <c r="CI25" s="25">
        <f>'[2]CF PND'!$CT$45</f>
        <v>0</v>
      </c>
      <c r="CJ25" s="25">
        <f>'[2]CF PND'!$CT$46</f>
        <v>0</v>
      </c>
      <c r="CK25" s="25">
        <f>'[2]CF PND'!$CT$47</f>
        <v>0</v>
      </c>
      <c r="CL25" s="25">
        <f>'[2]CF PND'!$CT$48</f>
        <v>0</v>
      </c>
      <c r="CM25" s="25">
        <f>'[2]CF PND'!$CT$49</f>
        <v>0</v>
      </c>
      <c r="CN25" s="25">
        <f>'[2]CF PND'!$CT$50</f>
        <v>0</v>
      </c>
      <c r="CO25" s="25">
        <f>'[2]CF PND'!$CT$51</f>
        <v>0</v>
      </c>
      <c r="CP25" s="25">
        <f>'[2]CF PND'!$CT$52</f>
        <v>0</v>
      </c>
      <c r="CQ25" s="25">
        <f>'[2]CF PND'!$CT$53</f>
        <v>0</v>
      </c>
      <c r="CR25" s="25">
        <f>'[2]CF PND'!$CT$54</f>
        <v>0</v>
      </c>
      <c r="CS25" s="25">
        <f>'[2]CF PND'!$CT$55</f>
        <v>0</v>
      </c>
      <c r="CT25" s="25">
        <f>'[2]CF PND'!$CT$56</f>
        <v>0</v>
      </c>
      <c r="CU25" s="25">
        <f>'[2]CF PND'!$CT$57</f>
        <v>0</v>
      </c>
      <c r="CV25" s="25">
        <f>'[2]CF PND'!$CT$58</f>
        <v>0</v>
      </c>
      <c r="CW25" s="25">
        <f>'[2]CF PND'!$CT$59</f>
        <v>0</v>
      </c>
      <c r="CX25" s="25">
        <f>'[2]CF PND'!$CT$60</f>
        <v>0</v>
      </c>
      <c r="CY25" s="25">
        <f>'[2]CF PND'!$CT$61</f>
        <v>0</v>
      </c>
      <c r="CZ25" s="25">
        <f>'[2]CF PND'!$CT$62</f>
        <v>0</v>
      </c>
      <c r="DA25" s="25">
        <f>'[2]CF PND'!$CT$63</f>
        <v>0</v>
      </c>
      <c r="DB25" s="25">
        <f>'[2]CF PND'!$CT$64</f>
        <v>0</v>
      </c>
      <c r="DC25" s="25">
        <f>'[2]CF PND'!$CT$65</f>
        <v>0</v>
      </c>
      <c r="DD25" s="25">
        <f>'[2]CF PND'!$CT$66</f>
        <v>0</v>
      </c>
      <c r="DE25" s="25">
        <f>'[2]CF PND'!$CT$67</f>
        <v>0</v>
      </c>
      <c r="DF25" s="25">
        <f>'[2]CF PND'!$CT$68</f>
        <v>0</v>
      </c>
      <c r="DG25" s="25">
        <f>'[2]CF PND'!$CT$69</f>
        <v>0</v>
      </c>
      <c r="DH25" s="25">
        <f>'[2]CF PND'!$CT$70</f>
        <v>0</v>
      </c>
      <c r="DI25" s="25">
        <f>'[2]CF PND'!$CT$71</f>
        <v>0</v>
      </c>
      <c r="DJ25" s="25">
        <f>'[2]CF PND'!$CT$72</f>
        <v>0</v>
      </c>
      <c r="DK25" s="26">
        <f>SUM(BZ25:DJ25)</f>
        <v>0</v>
      </c>
      <c r="DL25" s="69"/>
      <c r="DM25" s="70"/>
      <c r="DN25" s="70"/>
      <c r="DO25" s="70"/>
      <c r="DP25" s="70"/>
      <c r="DQ25" s="70"/>
      <c r="DR25" s="70"/>
      <c r="DS25" s="70"/>
      <c r="DT25" s="70"/>
      <c r="DU25" s="70"/>
      <c r="DV25" s="70"/>
      <c r="DW25" s="70"/>
      <c r="DX25" s="70"/>
      <c r="DY25" s="70"/>
      <c r="DZ25" s="70"/>
      <c r="EA25" s="70"/>
      <c r="EB25" s="70"/>
      <c r="EC25" s="70"/>
      <c r="ED25" s="70"/>
      <c r="EE25" s="70"/>
      <c r="EF25" s="70"/>
      <c r="EG25" s="70"/>
      <c r="EH25" s="70"/>
      <c r="EI25" s="70"/>
      <c r="EJ25" s="70"/>
      <c r="EK25" s="70"/>
      <c r="EL25" s="70"/>
      <c r="EM25" s="70"/>
      <c r="EN25" s="70"/>
      <c r="EO25" s="70"/>
      <c r="EP25" s="70"/>
      <c r="EQ25" s="70"/>
      <c r="ER25" s="70"/>
      <c r="ES25" s="70"/>
      <c r="ET25" s="70"/>
      <c r="EU25" s="70"/>
      <c r="EV25" s="70"/>
      <c r="EW25" s="71">
        <f>SUM(DL25:EV25)</f>
        <v>0</v>
      </c>
      <c r="EX25" s="69"/>
      <c r="EY25" s="70"/>
      <c r="EZ25" s="70"/>
      <c r="FA25" s="70"/>
      <c r="FB25" s="70"/>
      <c r="FC25" s="70"/>
      <c r="FD25" s="70"/>
      <c r="FE25" s="70"/>
      <c r="FF25" s="70"/>
      <c r="FG25" s="70"/>
      <c r="FH25" s="70"/>
      <c r="FI25" s="70"/>
      <c r="FJ25" s="70"/>
      <c r="FK25" s="70"/>
      <c r="FL25" s="70"/>
      <c r="FM25" s="70"/>
      <c r="FN25" s="70"/>
      <c r="FO25" s="70"/>
      <c r="FP25" s="70"/>
      <c r="FQ25" s="70"/>
      <c r="FR25" s="70"/>
      <c r="FS25" s="70"/>
      <c r="FT25" s="70"/>
      <c r="FU25" s="70"/>
      <c r="FV25" s="70"/>
      <c r="FW25" s="70"/>
      <c r="FX25" s="70"/>
      <c r="FY25" s="70"/>
      <c r="FZ25" s="70"/>
      <c r="GA25" s="70"/>
      <c r="GB25" s="70"/>
      <c r="GC25" s="70"/>
      <c r="GD25" s="70"/>
      <c r="GE25" s="70"/>
      <c r="GF25" s="70"/>
      <c r="GG25" s="70"/>
      <c r="GH25" s="70"/>
      <c r="GI25" s="71">
        <f>SUM(EX25:GH25)</f>
        <v>0</v>
      </c>
      <c r="GJ25" s="69"/>
      <c r="GK25" s="70"/>
      <c r="GL25" s="70"/>
      <c r="GM25" s="70"/>
      <c r="GN25" s="70"/>
      <c r="GO25" s="70"/>
      <c r="GP25" s="70"/>
      <c r="GQ25" s="70"/>
      <c r="GR25" s="70"/>
      <c r="GS25" s="70"/>
      <c r="GT25" s="70"/>
      <c r="GU25" s="70"/>
      <c r="GV25" s="70"/>
      <c r="GW25" s="70"/>
      <c r="GX25" s="70"/>
      <c r="GY25" s="70"/>
      <c r="GZ25" s="70"/>
      <c r="HA25" s="70"/>
      <c r="HB25" s="70"/>
      <c r="HC25" s="70"/>
      <c r="HD25" s="70"/>
      <c r="HE25" s="70"/>
      <c r="HF25" s="70"/>
      <c r="HG25" s="70"/>
      <c r="HH25" s="70"/>
      <c r="HI25" s="70"/>
      <c r="HJ25" s="70"/>
      <c r="HK25" s="70"/>
      <c r="HL25" s="70"/>
      <c r="HM25" s="70"/>
      <c r="HN25" s="70"/>
      <c r="HO25" s="70"/>
      <c r="HP25" s="70"/>
      <c r="HQ25" s="70"/>
      <c r="HR25" s="70"/>
      <c r="HS25" s="70"/>
      <c r="HT25" s="70"/>
      <c r="HU25" s="71">
        <f>SUM(GJ25:HT25)</f>
        <v>0</v>
      </c>
      <c r="HV25" s="27">
        <f>'[2]CF PRB'!$CT$36</f>
        <v>0</v>
      </c>
      <c r="HW25" s="25">
        <f>'[2]CF PRB'!$CT$37</f>
        <v>0</v>
      </c>
      <c r="HX25" s="25">
        <f>'[2]CF PRB'!$CT$38</f>
        <v>0</v>
      </c>
      <c r="HY25" s="25">
        <f>'[2]CF PRB'!$CT$39</f>
        <v>0</v>
      </c>
      <c r="HZ25" s="25">
        <f>'[2]CF PRB'!$CT$40</f>
        <v>0</v>
      </c>
      <c r="IA25" s="25">
        <f>'[2]CF PRB'!$CT$41</f>
        <v>0</v>
      </c>
      <c r="IB25" s="25">
        <f>'[2]CF PRB'!$CT$42</f>
        <v>0</v>
      </c>
      <c r="IC25" s="25">
        <f>'[2]CF PRB'!$CT$43</f>
        <v>0</v>
      </c>
      <c r="ID25" s="25">
        <f>'[2]CF PRB'!$CT$44</f>
        <v>0</v>
      </c>
      <c r="IE25" s="25">
        <f>'[2]CF PRB'!$CT$45</f>
        <v>0</v>
      </c>
      <c r="IF25" s="25">
        <f>'[2]CF PRB'!$CT$46</f>
        <v>0</v>
      </c>
      <c r="IG25" s="25">
        <f>'[2]CF PRB'!$CT$47</f>
        <v>0</v>
      </c>
      <c r="IH25" s="25">
        <f>'[2]CF PRB'!$CT$48</f>
        <v>0</v>
      </c>
      <c r="II25" s="25">
        <f>'[2]CF PRB'!$CT$49</f>
        <v>0</v>
      </c>
      <c r="IJ25" s="25">
        <f>'[2]CF PRB'!$CT$50</f>
        <v>0</v>
      </c>
      <c r="IK25" s="25">
        <f>'[2]CF PRB'!$CT$51</f>
        <v>0</v>
      </c>
      <c r="IL25" s="25">
        <f>'[2]CF PRB'!$CT$52</f>
        <v>0</v>
      </c>
      <c r="IM25" s="25">
        <f>'[2]CF PRB'!$CT$53</f>
        <v>0</v>
      </c>
      <c r="IN25" s="25">
        <f>'[2]CF PRB'!$CT$54</f>
        <v>0</v>
      </c>
      <c r="IO25" s="25">
        <f>'[2]CF PRB'!$CT$55</f>
        <v>0</v>
      </c>
      <c r="IP25" s="25">
        <f>'[2]CF PRB'!$CT$56</f>
        <v>0</v>
      </c>
      <c r="IQ25" s="25">
        <f>'[2]CF PRB'!$CT$57</f>
        <v>0</v>
      </c>
      <c r="IR25" s="25">
        <f>'[2]CF PRB'!$CT$58</f>
        <v>0</v>
      </c>
      <c r="IS25" s="25">
        <f>'[2]CF PRB'!$CT$59</f>
        <v>0</v>
      </c>
      <c r="IT25" s="25">
        <f>'[2]CF PRB'!$CT$60</f>
        <v>0</v>
      </c>
      <c r="IU25" s="25">
        <f>'[2]CF PRB'!$CT$61</f>
        <v>0</v>
      </c>
      <c r="IV25" s="25">
        <f>'[2]CF PRB'!$CT$62</f>
        <v>0</v>
      </c>
      <c r="IW25" s="25">
        <f>'[2]CF PRB'!$CT$63</f>
        <v>0</v>
      </c>
      <c r="IX25" s="25">
        <f>'[2]CF PRB'!$CT$64</f>
        <v>0</v>
      </c>
      <c r="IY25" s="25">
        <f>'[2]CF PRB'!$CT$65</f>
        <v>0</v>
      </c>
      <c r="IZ25" s="25">
        <f>'[2]CF PRB'!$CT$66</f>
        <v>0</v>
      </c>
      <c r="JA25" s="25">
        <f>'[2]CF PRB'!$CT$67</f>
        <v>0</v>
      </c>
      <c r="JB25" s="25">
        <f>'[2]CF PRB'!$CT$68</f>
        <v>0</v>
      </c>
      <c r="JC25" s="25">
        <f>'[2]CF PRB'!$CT$69</f>
        <v>0</v>
      </c>
      <c r="JD25" s="25">
        <f>'[2]CF PRB'!$CT$70</f>
        <v>0</v>
      </c>
      <c r="JE25" s="25">
        <f>'[2]CF PRB'!$CT$71</f>
        <v>0</v>
      </c>
      <c r="JF25" s="25">
        <f>'[2]CF PRB'!$CT$72</f>
        <v>0</v>
      </c>
      <c r="JG25" s="26">
        <f>SUM(HV25:JF25)</f>
        <v>0</v>
      </c>
      <c r="JH25" s="69"/>
      <c r="JI25" s="70"/>
      <c r="JJ25" s="70"/>
      <c r="JK25" s="70"/>
      <c r="JL25" s="70"/>
      <c r="JM25" s="70"/>
      <c r="JN25" s="70"/>
      <c r="JO25" s="70"/>
      <c r="JP25" s="70"/>
      <c r="JQ25" s="70"/>
      <c r="JR25" s="70"/>
      <c r="JS25" s="70"/>
      <c r="JT25" s="70"/>
      <c r="JU25" s="70"/>
      <c r="JV25" s="70"/>
      <c r="JW25" s="70"/>
      <c r="JX25" s="70"/>
      <c r="JY25" s="70"/>
      <c r="JZ25" s="70"/>
      <c r="KA25" s="70"/>
      <c r="KB25" s="70"/>
      <c r="KC25" s="70"/>
      <c r="KD25" s="70"/>
      <c r="KE25" s="70"/>
      <c r="KF25" s="70"/>
      <c r="KG25" s="70"/>
      <c r="KH25" s="70"/>
      <c r="KI25" s="70"/>
      <c r="KJ25" s="70"/>
      <c r="KK25" s="70"/>
      <c r="KL25" s="70"/>
      <c r="KM25" s="70"/>
      <c r="KN25" s="70"/>
      <c r="KO25" s="70"/>
      <c r="KP25" s="70"/>
      <c r="KQ25" s="70"/>
      <c r="KR25" s="70"/>
      <c r="KS25" s="71">
        <f>SUM(JH25:KR25)</f>
        <v>0</v>
      </c>
      <c r="KT25" s="69"/>
      <c r="KU25" s="70"/>
      <c r="KV25" s="70"/>
      <c r="KW25" s="70"/>
      <c r="KX25" s="70"/>
      <c r="KY25" s="70"/>
      <c r="KZ25" s="70"/>
      <c r="LA25" s="70"/>
      <c r="LB25" s="70"/>
      <c r="LC25" s="70"/>
      <c r="LD25" s="70"/>
      <c r="LE25" s="70"/>
      <c r="LF25" s="70"/>
      <c r="LG25" s="70"/>
      <c r="LH25" s="70"/>
      <c r="LI25" s="70"/>
      <c r="LJ25" s="70"/>
      <c r="LK25" s="70"/>
      <c r="LL25" s="70"/>
      <c r="LM25" s="70"/>
      <c r="LN25" s="70"/>
      <c r="LO25" s="70"/>
      <c r="LP25" s="70"/>
      <c r="LQ25" s="70"/>
      <c r="LR25" s="70"/>
      <c r="LS25" s="70"/>
      <c r="LT25" s="70"/>
      <c r="LU25" s="70"/>
      <c r="LV25" s="70"/>
      <c r="LW25" s="70"/>
      <c r="LX25" s="70"/>
      <c r="LY25" s="70"/>
      <c r="LZ25" s="70"/>
      <c r="MA25" s="70"/>
      <c r="MB25" s="70"/>
      <c r="MC25" s="70"/>
      <c r="MD25" s="70"/>
      <c r="ME25" s="71">
        <f>SUM(KT25:MD25)</f>
        <v>0</v>
      </c>
      <c r="MF25" s="69"/>
      <c r="MG25" s="70"/>
      <c r="MH25" s="70"/>
      <c r="MI25" s="70"/>
      <c r="MJ25" s="70"/>
      <c r="MK25" s="70"/>
      <c r="ML25" s="70"/>
      <c r="MM25" s="70"/>
      <c r="MN25" s="70"/>
      <c r="MO25" s="70"/>
      <c r="MP25" s="70"/>
      <c r="MQ25" s="70"/>
      <c r="MR25" s="70"/>
      <c r="MS25" s="70"/>
      <c r="MT25" s="70"/>
      <c r="MU25" s="70"/>
      <c r="MV25" s="70"/>
      <c r="MW25" s="70"/>
      <c r="MX25" s="70"/>
      <c r="MY25" s="70"/>
      <c r="MZ25" s="70"/>
      <c r="NA25" s="70"/>
      <c r="NB25" s="70"/>
      <c r="NC25" s="70"/>
      <c r="ND25" s="70"/>
      <c r="NE25" s="70"/>
      <c r="NF25" s="70"/>
      <c r="NG25" s="70"/>
      <c r="NH25" s="70"/>
      <c r="NI25" s="70"/>
      <c r="NJ25" s="70"/>
      <c r="NK25" s="70"/>
      <c r="NL25" s="70"/>
      <c r="NM25" s="70"/>
      <c r="NN25" s="70"/>
      <c r="NO25" s="70"/>
      <c r="NP25" s="70"/>
      <c r="NQ25" s="71">
        <f>SUM(MF25:NP25)</f>
        <v>0</v>
      </c>
      <c r="NR25" s="25">
        <f>'[2]CF PS'!$CT$36</f>
        <v>0</v>
      </c>
      <c r="NS25" s="25">
        <f>'[2]CF PS'!$CT$37</f>
        <v>0</v>
      </c>
      <c r="NT25" s="25">
        <f>'[2]CF PS'!$CT$38</f>
        <v>0</v>
      </c>
      <c r="NU25" s="25">
        <f>'[2]CF PS'!$CT$39</f>
        <v>0</v>
      </c>
      <c r="NV25" s="25">
        <f>'[2]CF PS'!$CT$40</f>
        <v>0</v>
      </c>
      <c r="NW25" s="25">
        <f>'[2]CF PS'!$CT$41</f>
        <v>0</v>
      </c>
      <c r="NX25" s="25">
        <f>'[2]CF PS'!$CT$42</f>
        <v>0</v>
      </c>
      <c r="NY25" s="25">
        <f>'[2]CF PS'!$CT$43</f>
        <v>0</v>
      </c>
      <c r="NZ25" s="25">
        <f>'[2]CF PS'!$CT$44</f>
        <v>0</v>
      </c>
      <c r="OA25" s="25">
        <f>'[2]CF PS'!$CT$45</f>
        <v>0</v>
      </c>
      <c r="OB25" s="25">
        <f>'[2]CF PS'!$CT$46</f>
        <v>0</v>
      </c>
      <c r="OC25" s="25">
        <f>'[2]CF PS'!$CT$47</f>
        <v>0</v>
      </c>
      <c r="OD25" s="25">
        <f>'[2]CF PS'!$CT$48</f>
        <v>0</v>
      </c>
      <c r="OE25" s="25">
        <f>'[2]CF PS'!$CT$49</f>
        <v>0</v>
      </c>
      <c r="OF25" s="25">
        <f>'[2]CF PS'!$CT$50</f>
        <v>0</v>
      </c>
      <c r="OG25" s="25">
        <f>'[2]CF PS'!$CT$51</f>
        <v>0</v>
      </c>
      <c r="OH25" s="25">
        <f>'[2]CF PS'!$CT$52</f>
        <v>0</v>
      </c>
      <c r="OI25" s="25">
        <f>'[2]CF PS'!$CT$53</f>
        <v>0</v>
      </c>
      <c r="OJ25" s="25">
        <f>'[2]CF PS'!$CT$54</f>
        <v>0</v>
      </c>
      <c r="OK25" s="25">
        <f>'[2]CF PS'!$CT$55</f>
        <v>0</v>
      </c>
      <c r="OL25" s="25">
        <f>'[2]CF PS'!$CT$56</f>
        <v>0</v>
      </c>
      <c r="OM25" s="25">
        <f>'[2]CF PS'!$CT$57</f>
        <v>0</v>
      </c>
      <c r="ON25" s="25">
        <f>'[2]CF PS'!$CT$58</f>
        <v>0</v>
      </c>
      <c r="OO25" s="25">
        <f>'[2]CF PS'!$CT$59</f>
        <v>0</v>
      </c>
      <c r="OP25" s="25">
        <f>'[2]CF PS'!$CT$60</f>
        <v>0</v>
      </c>
      <c r="OQ25" s="25">
        <f>'[2]CF PS'!$CT$61</f>
        <v>0</v>
      </c>
      <c r="OR25" s="25">
        <f>'[2]CF PS'!$CT$62</f>
        <v>0</v>
      </c>
      <c r="OS25" s="25">
        <f>'[2]CF PS'!$CT$63</f>
        <v>0</v>
      </c>
      <c r="OT25" s="25">
        <f>'[2]CF PS'!$CT$64</f>
        <v>0</v>
      </c>
      <c r="OU25" s="25">
        <f>'[2]CF PS'!$CT$65</f>
        <v>0</v>
      </c>
      <c r="OV25" s="25">
        <f>'[2]CF PS'!$CT$66</f>
        <v>0</v>
      </c>
      <c r="OW25" s="25">
        <f>'[2]CF PS'!$CT$67</f>
        <v>0</v>
      </c>
      <c r="OX25" s="25">
        <f>'[2]CF PS'!$CT$68</f>
        <v>0</v>
      </c>
      <c r="OY25" s="25">
        <f>'[2]CF PS'!$CT$69</f>
        <v>0</v>
      </c>
      <c r="OZ25" s="25">
        <f>'[2]CF PS'!$CT$70</f>
        <v>0</v>
      </c>
      <c r="PA25" s="25">
        <f>'[2]CF PS'!$CT$71</f>
        <v>0</v>
      </c>
      <c r="PB25" s="25">
        <f>'[2]CF PS'!$CT$72</f>
        <v>0</v>
      </c>
      <c r="PC25" s="26">
        <f>SUM(NR25:PB25)</f>
        <v>0</v>
      </c>
    </row>
    <row r="26" spans="1:419" ht="15.5" thickBot="1" x14ac:dyDescent="0.45">
      <c r="A26" s="47" t="s">
        <v>50</v>
      </c>
      <c r="B26" s="40" t="str">
        <f>IF(AND(B24&lt;&gt;0,B25&lt;&gt;0),(B24-B25)/B25,IF(AND(B24=0,B25=0),"",IF(AND(B24="",B25=""),"",IF(AND(B24=0,B25=""),"", IF(AND(B24="",B25=0),"",1)))))</f>
        <v/>
      </c>
      <c r="C26" s="40" t="str">
        <f t="shared" ref="C26" si="786">IF(AND(C24&lt;&gt;0,C25&lt;&gt;0),(C24-C25)/C25,IF(AND(C24=0,C25=0),"",IF(AND(C24="",C25=""),"",IF(AND(C24=0,C25=""),"", IF(AND(C24="",C25=0),"",1)))))</f>
        <v/>
      </c>
      <c r="D26" s="40" t="str">
        <f t="shared" ref="D26" si="787">IF(AND(D24&lt;&gt;0,D25&lt;&gt;0),(D24-D25)/D25,IF(AND(D24=0,D25=0),"",IF(AND(D24="",D25=""),"",IF(AND(D24=0,D25=""),"", IF(AND(D24="",D25=0),"",1)))))</f>
        <v/>
      </c>
      <c r="E26" s="40" t="str">
        <f t="shared" ref="E26" si="788">IF(AND(E24&lt;&gt;0,E25&lt;&gt;0),(E24-E25)/E25,IF(AND(E24=0,E25=0),"",IF(AND(E24="",E25=""),"",IF(AND(E24=0,E25=""),"", IF(AND(E24="",E25=0),"",1)))))</f>
        <v/>
      </c>
      <c r="F26" s="40" t="str">
        <f t="shared" ref="F26" si="789">IF(AND(F24&lt;&gt;0,F25&lt;&gt;0),(F24-F25)/F25,IF(AND(F24=0,F25=0),"",IF(AND(F24="",F25=""),"",IF(AND(F24=0,F25=""),"", IF(AND(F24="",F25=0),"",1)))))</f>
        <v/>
      </c>
      <c r="G26" s="40" t="str">
        <f t="shared" ref="G26" si="790">IF(AND(G24&lt;&gt;0,G25&lt;&gt;0),(G24-G25)/G25,IF(AND(G24=0,G25=0),"",IF(AND(G24="",G25=""),"",IF(AND(G24=0,G25=""),"", IF(AND(G24="",G25=0),"",1)))))</f>
        <v/>
      </c>
      <c r="H26" s="40" t="str">
        <f t="shared" ref="H26" si="791">IF(AND(H24&lt;&gt;0,H25&lt;&gt;0),(H24-H25)/H25,IF(AND(H24=0,H25=0),"",IF(AND(H24="",H25=""),"",IF(AND(H24=0,H25=""),"", IF(AND(H24="",H25=0),"",1)))))</f>
        <v/>
      </c>
      <c r="I26" s="40" t="str">
        <f t="shared" ref="I26" si="792">IF(AND(I24&lt;&gt;0,I25&lt;&gt;0),(I24-I25)/I25,IF(AND(I24=0,I25=0),"",IF(AND(I24="",I25=""),"",IF(AND(I24=0,I25=""),"", IF(AND(I24="",I25=0),"",1)))))</f>
        <v/>
      </c>
      <c r="J26" s="40" t="str">
        <f t="shared" ref="J26" si="793">IF(AND(J24&lt;&gt;0,J25&lt;&gt;0),(J24-J25)/J25,IF(AND(J24=0,J25=0),"",IF(AND(J24="",J25=""),"",IF(AND(J24=0,J25=""),"", IF(AND(J24="",J25=0),"",1)))))</f>
        <v/>
      </c>
      <c r="K26" s="40" t="str">
        <f t="shared" ref="K26" si="794">IF(AND(K24&lt;&gt;0,K25&lt;&gt;0),(K24-K25)/K25,IF(AND(K24=0,K25=0),"",IF(AND(K24="",K25=""),"",IF(AND(K24=0,K25=""),"", IF(AND(K24="",K25=0),"",1)))))</f>
        <v/>
      </c>
      <c r="L26" s="40" t="str">
        <f t="shared" ref="L26" si="795">IF(AND(L24&lt;&gt;0,L25&lt;&gt;0),(L24-L25)/L25,IF(AND(L24=0,L25=0),"",IF(AND(L24="",L25=""),"",IF(AND(L24=0,L25=""),"", IF(AND(L24="",L25=0),"",1)))))</f>
        <v/>
      </c>
      <c r="M26" s="40" t="str">
        <f t="shared" ref="M26" si="796">IF(AND(M24&lt;&gt;0,M25&lt;&gt;0),(M24-M25)/M25,IF(AND(M24=0,M25=0),"",IF(AND(M24="",M25=""),"",IF(AND(M24=0,M25=""),"", IF(AND(M24="",M25=0),"",1)))))</f>
        <v/>
      </c>
      <c r="N26" s="40" t="str">
        <f t="shared" ref="N26" si="797">IF(AND(N24&lt;&gt;0,N25&lt;&gt;0),(N24-N25)/N25,IF(AND(N24=0,N25=0),"",IF(AND(N24="",N25=""),"",IF(AND(N24=0,N25=""),"", IF(AND(N24="",N25=0),"",1)))))</f>
        <v/>
      </c>
      <c r="O26" s="40" t="str">
        <f t="shared" ref="O26" si="798">IF(AND(O24&lt;&gt;0,O25&lt;&gt;0),(O24-O25)/O25,IF(AND(O24=0,O25=0),"",IF(AND(O24="",O25=""),"",IF(AND(O24=0,O25=""),"", IF(AND(O24="",O25=0),"",1)))))</f>
        <v/>
      </c>
      <c r="P26" s="40" t="str">
        <f t="shared" ref="P26" si="799">IF(AND(P24&lt;&gt;0,P25&lt;&gt;0),(P24-P25)/P25,IF(AND(P24=0,P25=0),"",IF(AND(P24="",P25=""),"",IF(AND(P24=0,P25=""),"", IF(AND(P24="",P25=0),"",1)))))</f>
        <v/>
      </c>
      <c r="Q26" s="40" t="str">
        <f t="shared" ref="Q26" si="800">IF(AND(Q24&lt;&gt;0,Q25&lt;&gt;0),(Q24-Q25)/Q25,IF(AND(Q24=0,Q25=0),"",IF(AND(Q24="",Q25=""),"",IF(AND(Q24=0,Q25=""),"", IF(AND(Q24="",Q25=0),"",1)))))</f>
        <v/>
      </c>
      <c r="R26" s="40" t="str">
        <f t="shared" ref="R26" si="801">IF(AND(R24&lt;&gt;0,R25&lt;&gt;0),(R24-R25)/R25,IF(AND(R24=0,R25=0),"",IF(AND(R24="",R25=""),"",IF(AND(R24=0,R25=""),"", IF(AND(R24="",R25=0),"",1)))))</f>
        <v/>
      </c>
      <c r="S26" s="40" t="str">
        <f t="shared" ref="S26" si="802">IF(AND(S24&lt;&gt;0,S25&lt;&gt;0),(S24-S25)/S25,IF(AND(S24=0,S25=0),"",IF(AND(S24="",S25=""),"",IF(AND(S24=0,S25=""),"", IF(AND(S24="",S25=0),"",1)))))</f>
        <v/>
      </c>
      <c r="T26" s="40" t="str">
        <f t="shared" ref="T26" si="803">IF(AND(T24&lt;&gt;0,T25&lt;&gt;0),(T24-T25)/T25,IF(AND(T24=0,T25=0),"",IF(AND(T24="",T25=""),"",IF(AND(T24=0,T25=""),"", IF(AND(T24="",T25=0),"",1)))))</f>
        <v/>
      </c>
      <c r="U26" s="40" t="str">
        <f t="shared" ref="U26" si="804">IF(AND(U24&lt;&gt;0,U25&lt;&gt;0),(U24-U25)/U25,IF(AND(U24=0,U25=0),"",IF(AND(U24="",U25=""),"",IF(AND(U24=0,U25=""),"", IF(AND(U24="",U25=0),"",1)))))</f>
        <v/>
      </c>
      <c r="V26" s="40" t="str">
        <f t="shared" ref="V26" si="805">IF(AND(V24&lt;&gt;0,V25&lt;&gt;0),(V24-V25)/V25,IF(AND(V24=0,V25=0),"",IF(AND(V24="",V25=""),"",IF(AND(V24=0,V25=""),"", IF(AND(V24="",V25=0),"",1)))))</f>
        <v/>
      </c>
      <c r="W26" s="40" t="str">
        <f t="shared" ref="W26" si="806">IF(AND(W24&lt;&gt;0,W25&lt;&gt;0),(W24-W25)/W25,IF(AND(W24=0,W25=0),"",IF(AND(W24="",W25=""),"",IF(AND(W24=0,W25=""),"", IF(AND(W24="",W25=0),"",1)))))</f>
        <v/>
      </c>
      <c r="X26" s="40" t="str">
        <f t="shared" ref="X26:AL26" si="807">IF(AND(X24&lt;&gt;0,X25&lt;&gt;0),(X24-X25)/X25,IF(AND(X24=0,X25=0),"",IF(AND(X24="",X25=""),"",IF(AND(X24=0,X25=""),"", IF(AND(X24="",X25=0),"",1)))))</f>
        <v/>
      </c>
      <c r="Y26" s="40" t="str">
        <f t="shared" si="807"/>
        <v/>
      </c>
      <c r="Z26" s="40" t="str">
        <f t="shared" si="807"/>
        <v/>
      </c>
      <c r="AA26" s="40" t="str">
        <f t="shared" si="807"/>
        <v/>
      </c>
      <c r="AB26" s="40" t="str">
        <f t="shared" si="807"/>
        <v/>
      </c>
      <c r="AC26" s="40" t="str">
        <f t="shared" si="807"/>
        <v/>
      </c>
      <c r="AD26" s="40" t="str">
        <f t="shared" si="807"/>
        <v/>
      </c>
      <c r="AE26" s="40" t="str">
        <f t="shared" si="807"/>
        <v/>
      </c>
      <c r="AF26" s="40" t="str">
        <f t="shared" si="807"/>
        <v/>
      </c>
      <c r="AG26" s="40" t="str">
        <f t="shared" si="807"/>
        <v/>
      </c>
      <c r="AH26" s="40" t="str">
        <f t="shared" si="807"/>
        <v/>
      </c>
      <c r="AI26" s="40" t="str">
        <f t="shared" si="807"/>
        <v/>
      </c>
      <c r="AJ26" s="40" t="str">
        <f t="shared" si="807"/>
        <v/>
      </c>
      <c r="AK26" s="40" t="str">
        <f t="shared" si="807"/>
        <v/>
      </c>
      <c r="AL26" s="40" t="str">
        <f t="shared" si="807"/>
        <v/>
      </c>
      <c r="AM26" s="41" t="str">
        <f t="shared" ref="AM26" si="808">IF(AND(AM24&lt;&gt;0,AM25&lt;&gt;0),(AM24-AM25)/AM25,IF(AND(AM24=0,AM25=0),"",IF(AND(AM24="",AM25=""),"",IF(AND(AM24=0,AM25=""),"", IF(AND(AM24="",AM25=0),"",1)))))</f>
        <v/>
      </c>
      <c r="AN26" s="39" t="str">
        <f t="shared" ref="AN26" si="809">IF(AND(AN24&lt;&gt;0,AN25&lt;&gt;0),(AN24-AN25)/AN25,IF(AND(AN24=0,AN25=0),"",IF(AND(AN24="",AN25=""),"",IF(AND(AN24=0,AN25=""),"", IF(AND(AN24="",AN25=0),"",1)))))</f>
        <v/>
      </c>
      <c r="AO26" s="40" t="str">
        <f t="shared" ref="AO26" si="810">IF(AND(AO24&lt;&gt;0,AO25&lt;&gt;0),(AO24-AO25)/AO25,IF(AND(AO24=0,AO25=0),"",IF(AND(AO24="",AO25=""),"",IF(AND(AO24=0,AO25=""),"", IF(AND(AO24="",AO25=0),"",1)))))</f>
        <v/>
      </c>
      <c r="AP26" s="40" t="str">
        <f t="shared" ref="AP26" si="811">IF(AND(AP24&lt;&gt;0,AP25&lt;&gt;0),(AP24-AP25)/AP25,IF(AND(AP24=0,AP25=0),"",IF(AND(AP24="",AP25=""),"",IF(AND(AP24=0,AP25=""),"", IF(AND(AP24="",AP25=0),"",1)))))</f>
        <v/>
      </c>
      <c r="AQ26" s="40" t="str">
        <f t="shared" ref="AQ26" si="812">IF(AND(AQ24&lt;&gt;0,AQ25&lt;&gt;0),(AQ24-AQ25)/AQ25,IF(AND(AQ24=0,AQ25=0),"",IF(AND(AQ24="",AQ25=""),"",IF(AND(AQ24=0,AQ25=""),"", IF(AND(AQ24="",AQ25=0),"",1)))))</f>
        <v/>
      </c>
      <c r="AR26" s="40" t="str">
        <f t="shared" ref="AR26" si="813">IF(AND(AR24&lt;&gt;0,AR25&lt;&gt;0),(AR24-AR25)/AR25,IF(AND(AR24=0,AR25=0),"",IF(AND(AR24="",AR25=""),"",IF(AND(AR24=0,AR25=""),"", IF(AND(AR24="",AR25=0),"",1)))))</f>
        <v/>
      </c>
      <c r="AS26" s="40" t="str">
        <f t="shared" ref="AS26" si="814">IF(AND(AS24&lt;&gt;0,AS25&lt;&gt;0),(AS24-AS25)/AS25,IF(AND(AS24=0,AS25=0),"",IF(AND(AS24="",AS25=""),"",IF(AND(AS24=0,AS25=""),"", IF(AND(AS24="",AS25=0),"",1)))))</f>
        <v/>
      </c>
      <c r="AT26" s="40" t="str">
        <f t="shared" ref="AT26" si="815">IF(AND(AT24&lt;&gt;0,AT25&lt;&gt;0),(AT24-AT25)/AT25,IF(AND(AT24=0,AT25=0),"",IF(AND(AT24="",AT25=""),"",IF(AND(AT24=0,AT25=""),"", IF(AND(AT24="",AT25=0),"",1)))))</f>
        <v/>
      </c>
      <c r="AU26" s="40" t="str">
        <f t="shared" ref="AU26" si="816">IF(AND(AU24&lt;&gt;0,AU25&lt;&gt;0),(AU24-AU25)/AU25,IF(AND(AU24=0,AU25=0),"",IF(AND(AU24="",AU25=""),"",IF(AND(AU24=0,AU25=""),"", IF(AND(AU24="",AU25=0),"",1)))))</f>
        <v/>
      </c>
      <c r="AV26" s="40" t="str">
        <f t="shared" ref="AV26" si="817">IF(AND(AV24&lt;&gt;0,AV25&lt;&gt;0),(AV24-AV25)/AV25,IF(AND(AV24=0,AV25=0),"",IF(AND(AV24="",AV25=""),"",IF(AND(AV24=0,AV25=""),"", IF(AND(AV24="",AV25=0),"",1)))))</f>
        <v/>
      </c>
      <c r="AW26" s="40" t="str">
        <f t="shared" ref="AW26" si="818">IF(AND(AW24&lt;&gt;0,AW25&lt;&gt;0),(AW24-AW25)/AW25,IF(AND(AW24=0,AW25=0),"",IF(AND(AW24="",AW25=""),"",IF(AND(AW24=0,AW25=""),"", IF(AND(AW24="",AW25=0),"",1)))))</f>
        <v/>
      </c>
      <c r="AX26" s="40" t="str">
        <f t="shared" ref="AX26" si="819">IF(AND(AX24&lt;&gt;0,AX25&lt;&gt;0),(AX24-AX25)/AX25,IF(AND(AX24=0,AX25=0),"",IF(AND(AX24="",AX25=""),"",IF(AND(AX24=0,AX25=""),"", IF(AND(AX24="",AX25=0),"",1)))))</f>
        <v/>
      </c>
      <c r="AY26" s="40" t="str">
        <f t="shared" ref="AY26" si="820">IF(AND(AY24&lt;&gt;0,AY25&lt;&gt;0),(AY24-AY25)/AY25,IF(AND(AY24=0,AY25=0),"",IF(AND(AY24="",AY25=""),"",IF(AND(AY24=0,AY25=""),"", IF(AND(AY24="",AY25=0),"",1)))))</f>
        <v/>
      </c>
      <c r="AZ26" s="40" t="str">
        <f t="shared" ref="AZ26" si="821">IF(AND(AZ24&lt;&gt;0,AZ25&lt;&gt;0),(AZ24-AZ25)/AZ25,IF(AND(AZ24=0,AZ25=0),"",IF(AND(AZ24="",AZ25=""),"",IF(AND(AZ24=0,AZ25=""),"", IF(AND(AZ24="",AZ25=0),"",1)))))</f>
        <v/>
      </c>
      <c r="BA26" s="40" t="str">
        <f t="shared" ref="BA26" si="822">IF(AND(BA24&lt;&gt;0,BA25&lt;&gt;0),(BA24-BA25)/BA25,IF(AND(BA24=0,BA25=0),"",IF(AND(BA24="",BA25=""),"",IF(AND(BA24=0,BA25=""),"", IF(AND(BA24="",BA25=0),"",1)))))</f>
        <v/>
      </c>
      <c r="BB26" s="40" t="str">
        <f t="shared" ref="BB26" si="823">IF(AND(BB24&lt;&gt;0,BB25&lt;&gt;0),(BB24-BB25)/BB25,IF(AND(BB24=0,BB25=0),"",IF(AND(BB24="",BB25=""),"",IF(AND(BB24=0,BB25=""),"", IF(AND(BB24="",BB25=0),"",1)))))</f>
        <v/>
      </c>
      <c r="BC26" s="40" t="str">
        <f t="shared" ref="BC26" si="824">IF(AND(BC24&lt;&gt;0,BC25&lt;&gt;0),(BC24-BC25)/BC25,IF(AND(BC24=0,BC25=0),"",IF(AND(BC24="",BC25=""),"",IF(AND(BC24=0,BC25=""),"", IF(AND(BC24="",BC25=0),"",1)))))</f>
        <v/>
      </c>
      <c r="BD26" s="40" t="str">
        <f t="shared" ref="BD26" si="825">IF(AND(BD24&lt;&gt;0,BD25&lt;&gt;0),(BD24-BD25)/BD25,IF(AND(BD24=0,BD25=0),"",IF(AND(BD24="",BD25=""),"",IF(AND(BD24=0,BD25=""),"", IF(AND(BD24="",BD25=0),"",1)))))</f>
        <v/>
      </c>
      <c r="BE26" s="40" t="str">
        <f t="shared" ref="BE26" si="826">IF(AND(BE24&lt;&gt;0,BE25&lt;&gt;0),(BE24-BE25)/BE25,IF(AND(BE24=0,BE25=0),"",IF(AND(BE24="",BE25=""),"",IF(AND(BE24=0,BE25=""),"", IF(AND(BE24="",BE25=0),"",1)))))</f>
        <v/>
      </c>
      <c r="BF26" s="40" t="str">
        <f t="shared" ref="BF26" si="827">IF(AND(BF24&lt;&gt;0,BF25&lt;&gt;0),(BF24-BF25)/BF25,IF(AND(BF24=0,BF25=0),"",IF(AND(BF24="",BF25=""),"",IF(AND(BF24=0,BF25=""),"", IF(AND(BF24="",BF25=0),"",1)))))</f>
        <v/>
      </c>
      <c r="BG26" s="40" t="str">
        <f t="shared" ref="BG26" si="828">IF(AND(BG24&lt;&gt;0,BG25&lt;&gt;0),(BG24-BG25)/BG25,IF(AND(BG24=0,BG25=0),"",IF(AND(BG24="",BG25=""),"",IF(AND(BG24=0,BG25=""),"", IF(AND(BG24="",BG25=0),"",1)))))</f>
        <v/>
      </c>
      <c r="BH26" s="40" t="str">
        <f t="shared" ref="BH26" si="829">IF(AND(BH24&lt;&gt;0,BH25&lt;&gt;0),(BH24-BH25)/BH25,IF(AND(BH24=0,BH25=0),"",IF(AND(BH24="",BH25=""),"",IF(AND(BH24=0,BH25=""),"", IF(AND(BH24="",BH25=0),"",1)))))</f>
        <v/>
      </c>
      <c r="BI26" s="40" t="str">
        <f t="shared" ref="BI26" si="830">IF(AND(BI24&lt;&gt;0,BI25&lt;&gt;0),(BI24-BI25)/BI25,IF(AND(BI24=0,BI25=0),"",IF(AND(BI24="",BI25=""),"",IF(AND(BI24=0,BI25=""),"", IF(AND(BI24="",BI25=0),"",1)))))</f>
        <v/>
      </c>
      <c r="BJ26" s="40" t="str">
        <f t="shared" ref="BJ26:BX26" si="831">IF(AND(BJ24&lt;&gt;0,BJ25&lt;&gt;0),(BJ24-BJ25)/BJ25,IF(AND(BJ24=0,BJ25=0),"",IF(AND(BJ24="",BJ25=""),"",IF(AND(BJ24=0,BJ25=""),"", IF(AND(BJ24="",BJ25=0),"",1)))))</f>
        <v/>
      </c>
      <c r="BK26" s="40" t="str">
        <f t="shared" si="831"/>
        <v/>
      </c>
      <c r="BL26" s="40" t="str">
        <f t="shared" si="831"/>
        <v/>
      </c>
      <c r="BM26" s="40" t="str">
        <f t="shared" si="831"/>
        <v/>
      </c>
      <c r="BN26" s="40" t="str">
        <f t="shared" si="831"/>
        <v/>
      </c>
      <c r="BO26" s="40" t="str">
        <f t="shared" si="831"/>
        <v/>
      </c>
      <c r="BP26" s="40" t="str">
        <f t="shared" si="831"/>
        <v/>
      </c>
      <c r="BQ26" s="40" t="str">
        <f t="shared" si="831"/>
        <v/>
      </c>
      <c r="BR26" s="40" t="str">
        <f t="shared" si="831"/>
        <v/>
      </c>
      <c r="BS26" s="40" t="str">
        <f t="shared" si="831"/>
        <v/>
      </c>
      <c r="BT26" s="40" t="str">
        <f t="shared" si="831"/>
        <v/>
      </c>
      <c r="BU26" s="40" t="str">
        <f t="shared" si="831"/>
        <v/>
      </c>
      <c r="BV26" s="40" t="str">
        <f t="shared" si="831"/>
        <v/>
      </c>
      <c r="BW26" s="40" t="str">
        <f t="shared" si="831"/>
        <v/>
      </c>
      <c r="BX26" s="40" t="str">
        <f t="shared" si="831"/>
        <v/>
      </c>
      <c r="BY26" s="41" t="str">
        <f t="shared" ref="BY26" si="832">IF(AND(BY24&lt;&gt;0,BY25&lt;&gt;0),(BY24-BY25)/BY25,IF(AND(BY24=0,BY25=0),"",IF(AND(BY24="",BY25=""),"",IF(AND(BY24=0,BY25=""),"", IF(AND(BY24="",BY25=0),"",1)))))</f>
        <v/>
      </c>
      <c r="BZ26" s="39" t="str">
        <f t="shared" ref="BZ26" si="833">IF(AND(BZ24&lt;&gt;0,BZ25&lt;&gt;0),(BZ24-BZ25)/BZ25,IF(AND(BZ24=0,BZ25=0),"",IF(AND(BZ24="",BZ25=""),"",IF(AND(BZ24=0,BZ25=""),"", IF(AND(BZ24="",BZ25=0),"",1)))))</f>
        <v/>
      </c>
      <c r="CA26" s="40" t="str">
        <f t="shared" ref="CA26" si="834">IF(AND(CA24&lt;&gt;0,CA25&lt;&gt;0),(CA24-CA25)/CA25,IF(AND(CA24=0,CA25=0),"",IF(AND(CA24="",CA25=""),"",IF(AND(CA24=0,CA25=""),"", IF(AND(CA24="",CA25=0),"",1)))))</f>
        <v/>
      </c>
      <c r="CB26" s="40" t="str">
        <f t="shared" ref="CB26" si="835">IF(AND(CB24&lt;&gt;0,CB25&lt;&gt;0),(CB24-CB25)/CB25,IF(AND(CB24=0,CB25=0),"",IF(AND(CB24="",CB25=""),"",IF(AND(CB24=0,CB25=""),"", IF(AND(CB24="",CB25=0),"",1)))))</f>
        <v/>
      </c>
      <c r="CC26" s="40" t="str">
        <f t="shared" ref="CC26" si="836">IF(AND(CC24&lt;&gt;0,CC25&lt;&gt;0),(CC24-CC25)/CC25,IF(AND(CC24=0,CC25=0),"",IF(AND(CC24="",CC25=""),"",IF(AND(CC24=0,CC25=""),"", IF(AND(CC24="",CC25=0),"",1)))))</f>
        <v/>
      </c>
      <c r="CD26" s="40" t="str">
        <f t="shared" ref="CD26" si="837">IF(AND(CD24&lt;&gt;0,CD25&lt;&gt;0),(CD24-CD25)/CD25,IF(AND(CD24=0,CD25=0),"",IF(AND(CD24="",CD25=""),"",IF(AND(CD24=0,CD25=""),"", IF(AND(CD24="",CD25=0),"",1)))))</f>
        <v/>
      </c>
      <c r="CE26" s="40" t="str">
        <f t="shared" ref="CE26" si="838">IF(AND(CE24&lt;&gt;0,CE25&lt;&gt;0),(CE24-CE25)/CE25,IF(AND(CE24=0,CE25=0),"",IF(AND(CE24="",CE25=""),"",IF(AND(CE24=0,CE25=""),"", IF(AND(CE24="",CE25=0),"",1)))))</f>
        <v/>
      </c>
      <c r="CF26" s="40" t="str">
        <f t="shared" ref="CF26" si="839">IF(AND(CF24&lt;&gt;0,CF25&lt;&gt;0),(CF24-CF25)/CF25,IF(AND(CF24=0,CF25=0),"",IF(AND(CF24="",CF25=""),"",IF(AND(CF24=0,CF25=""),"", IF(AND(CF24="",CF25=0),"",1)))))</f>
        <v/>
      </c>
      <c r="CG26" s="40" t="str">
        <f t="shared" ref="CG26" si="840">IF(AND(CG24&lt;&gt;0,CG25&lt;&gt;0),(CG24-CG25)/CG25,IF(AND(CG24=0,CG25=0),"",IF(AND(CG24="",CG25=""),"",IF(AND(CG24=0,CG25=""),"", IF(AND(CG24="",CG25=0),"",1)))))</f>
        <v/>
      </c>
      <c r="CH26" s="40" t="str">
        <f t="shared" ref="CH26" si="841">IF(AND(CH24&lt;&gt;0,CH25&lt;&gt;0),(CH24-CH25)/CH25,IF(AND(CH24=0,CH25=0),"",IF(AND(CH24="",CH25=""),"",IF(AND(CH24=0,CH25=""),"", IF(AND(CH24="",CH25=0),"",1)))))</f>
        <v/>
      </c>
      <c r="CI26" s="40" t="str">
        <f t="shared" ref="CI26" si="842">IF(AND(CI24&lt;&gt;0,CI25&lt;&gt;0),(CI24-CI25)/CI25,IF(AND(CI24=0,CI25=0),"",IF(AND(CI24="",CI25=""),"",IF(AND(CI24=0,CI25=""),"", IF(AND(CI24="",CI25=0),"",1)))))</f>
        <v/>
      </c>
      <c r="CJ26" s="40" t="str">
        <f t="shared" ref="CJ26" si="843">IF(AND(CJ24&lt;&gt;0,CJ25&lt;&gt;0),(CJ24-CJ25)/CJ25,IF(AND(CJ24=0,CJ25=0),"",IF(AND(CJ24="",CJ25=""),"",IF(AND(CJ24=0,CJ25=""),"", IF(AND(CJ24="",CJ25=0),"",1)))))</f>
        <v/>
      </c>
      <c r="CK26" s="40" t="str">
        <f t="shared" ref="CK26" si="844">IF(AND(CK24&lt;&gt;0,CK25&lt;&gt;0),(CK24-CK25)/CK25,IF(AND(CK24=0,CK25=0),"",IF(AND(CK24="",CK25=""),"",IF(AND(CK24=0,CK25=""),"", IF(AND(CK24="",CK25=0),"",1)))))</f>
        <v/>
      </c>
      <c r="CL26" s="40" t="str">
        <f t="shared" ref="CL26" si="845">IF(AND(CL24&lt;&gt;0,CL25&lt;&gt;0),(CL24-CL25)/CL25,IF(AND(CL24=0,CL25=0),"",IF(AND(CL24="",CL25=""),"",IF(AND(CL24=0,CL25=""),"", IF(AND(CL24="",CL25=0),"",1)))))</f>
        <v/>
      </c>
      <c r="CM26" s="40" t="str">
        <f t="shared" ref="CM26" si="846">IF(AND(CM24&lt;&gt;0,CM25&lt;&gt;0),(CM24-CM25)/CM25,IF(AND(CM24=0,CM25=0),"",IF(AND(CM24="",CM25=""),"",IF(AND(CM24=0,CM25=""),"", IF(AND(CM24="",CM25=0),"",1)))))</f>
        <v/>
      </c>
      <c r="CN26" s="40" t="str">
        <f t="shared" ref="CN26" si="847">IF(AND(CN24&lt;&gt;0,CN25&lt;&gt;0),(CN24-CN25)/CN25,IF(AND(CN24=0,CN25=0),"",IF(AND(CN24="",CN25=""),"",IF(AND(CN24=0,CN25=""),"", IF(AND(CN24="",CN25=0),"",1)))))</f>
        <v/>
      </c>
      <c r="CO26" s="40" t="str">
        <f t="shared" ref="CO26" si="848">IF(AND(CO24&lt;&gt;0,CO25&lt;&gt;0),(CO24-CO25)/CO25,IF(AND(CO24=0,CO25=0),"",IF(AND(CO24="",CO25=""),"",IF(AND(CO24=0,CO25=""),"", IF(AND(CO24="",CO25=0),"",1)))))</f>
        <v/>
      </c>
      <c r="CP26" s="40" t="str">
        <f t="shared" ref="CP26" si="849">IF(AND(CP24&lt;&gt;0,CP25&lt;&gt;0),(CP24-CP25)/CP25,IF(AND(CP24=0,CP25=0),"",IF(AND(CP24="",CP25=""),"",IF(AND(CP24=0,CP25=""),"", IF(AND(CP24="",CP25=0),"",1)))))</f>
        <v/>
      </c>
      <c r="CQ26" s="40" t="str">
        <f t="shared" ref="CQ26" si="850">IF(AND(CQ24&lt;&gt;0,CQ25&lt;&gt;0),(CQ24-CQ25)/CQ25,IF(AND(CQ24=0,CQ25=0),"",IF(AND(CQ24="",CQ25=""),"",IF(AND(CQ24=0,CQ25=""),"", IF(AND(CQ24="",CQ25=0),"",1)))))</f>
        <v/>
      </c>
      <c r="CR26" s="40" t="str">
        <f t="shared" ref="CR26" si="851">IF(AND(CR24&lt;&gt;0,CR25&lt;&gt;0),(CR24-CR25)/CR25,IF(AND(CR24=0,CR25=0),"",IF(AND(CR24="",CR25=""),"",IF(AND(CR24=0,CR25=""),"", IF(AND(CR24="",CR25=0),"",1)))))</f>
        <v/>
      </c>
      <c r="CS26" s="40" t="str">
        <f t="shared" ref="CS26" si="852">IF(AND(CS24&lt;&gt;0,CS25&lt;&gt;0),(CS24-CS25)/CS25,IF(AND(CS24=0,CS25=0),"",IF(AND(CS24="",CS25=""),"",IF(AND(CS24=0,CS25=""),"", IF(AND(CS24="",CS25=0),"",1)))))</f>
        <v/>
      </c>
      <c r="CT26" s="40" t="str">
        <f t="shared" ref="CT26" si="853">IF(AND(CT24&lt;&gt;0,CT25&lt;&gt;0),(CT24-CT25)/CT25,IF(AND(CT24=0,CT25=0),"",IF(AND(CT24="",CT25=""),"",IF(AND(CT24=0,CT25=""),"", IF(AND(CT24="",CT25=0),"",1)))))</f>
        <v/>
      </c>
      <c r="CU26" s="40" t="str">
        <f t="shared" ref="CU26" si="854">IF(AND(CU24&lt;&gt;0,CU25&lt;&gt;0),(CU24-CU25)/CU25,IF(AND(CU24=0,CU25=0),"",IF(AND(CU24="",CU25=""),"",IF(AND(CU24=0,CU25=""),"", IF(AND(CU24="",CU25=0),"",1)))))</f>
        <v/>
      </c>
      <c r="CV26" s="40" t="str">
        <f t="shared" ref="CV26:DJ26" si="855">IF(AND(CV24&lt;&gt;0,CV25&lt;&gt;0),(CV24-CV25)/CV25,IF(AND(CV24=0,CV25=0),"",IF(AND(CV24="",CV25=""),"",IF(AND(CV24=0,CV25=""),"", IF(AND(CV24="",CV25=0),"",1)))))</f>
        <v/>
      </c>
      <c r="CW26" s="40" t="str">
        <f t="shared" si="855"/>
        <v/>
      </c>
      <c r="CX26" s="40" t="str">
        <f t="shared" si="855"/>
        <v/>
      </c>
      <c r="CY26" s="40" t="str">
        <f t="shared" si="855"/>
        <v/>
      </c>
      <c r="CZ26" s="40" t="str">
        <f t="shared" si="855"/>
        <v/>
      </c>
      <c r="DA26" s="40" t="str">
        <f t="shared" si="855"/>
        <v/>
      </c>
      <c r="DB26" s="40" t="str">
        <f t="shared" si="855"/>
        <v/>
      </c>
      <c r="DC26" s="40" t="str">
        <f t="shared" si="855"/>
        <v/>
      </c>
      <c r="DD26" s="40" t="str">
        <f t="shared" si="855"/>
        <v/>
      </c>
      <c r="DE26" s="40" t="str">
        <f t="shared" si="855"/>
        <v/>
      </c>
      <c r="DF26" s="40" t="str">
        <f t="shared" si="855"/>
        <v/>
      </c>
      <c r="DG26" s="40" t="str">
        <f t="shared" si="855"/>
        <v/>
      </c>
      <c r="DH26" s="40" t="str">
        <f t="shared" si="855"/>
        <v/>
      </c>
      <c r="DI26" s="40" t="str">
        <f t="shared" si="855"/>
        <v/>
      </c>
      <c r="DJ26" s="40" t="str">
        <f t="shared" si="855"/>
        <v/>
      </c>
      <c r="DK26" s="41" t="str">
        <f t="shared" ref="DK26:HU26" si="856">IF(AND(DK24&lt;&gt;0,DK25&lt;&gt;0),(DK24-DK25)/DK25,IF(AND(DK24=0,DK25=0),"",IF(AND(DK24="",DK25=""),"",IF(AND(DK24=0,DK25=""),"", IF(AND(DK24="",DK25=0),"",1)))))</f>
        <v/>
      </c>
      <c r="DL26" s="72" t="str">
        <f t="shared" si="856"/>
        <v/>
      </c>
      <c r="DM26" s="73" t="str">
        <f t="shared" si="856"/>
        <v/>
      </c>
      <c r="DN26" s="73" t="str">
        <f t="shared" si="856"/>
        <v/>
      </c>
      <c r="DO26" s="73" t="str">
        <f t="shared" si="856"/>
        <v/>
      </c>
      <c r="DP26" s="73" t="str">
        <f t="shared" si="856"/>
        <v/>
      </c>
      <c r="DQ26" s="73" t="str">
        <f t="shared" si="856"/>
        <v/>
      </c>
      <c r="DR26" s="73" t="str">
        <f t="shared" si="856"/>
        <v/>
      </c>
      <c r="DS26" s="73" t="str">
        <f t="shared" si="856"/>
        <v/>
      </c>
      <c r="DT26" s="73" t="str">
        <f t="shared" si="856"/>
        <v/>
      </c>
      <c r="DU26" s="73" t="str">
        <f t="shared" si="856"/>
        <v/>
      </c>
      <c r="DV26" s="73" t="str">
        <f t="shared" si="856"/>
        <v/>
      </c>
      <c r="DW26" s="73" t="str">
        <f t="shared" si="856"/>
        <v/>
      </c>
      <c r="DX26" s="73" t="str">
        <f t="shared" si="856"/>
        <v/>
      </c>
      <c r="DY26" s="73" t="str">
        <f t="shared" si="856"/>
        <v/>
      </c>
      <c r="DZ26" s="73" t="str">
        <f t="shared" si="856"/>
        <v/>
      </c>
      <c r="EA26" s="73" t="str">
        <f t="shared" si="856"/>
        <v/>
      </c>
      <c r="EB26" s="73" t="str">
        <f t="shared" si="856"/>
        <v/>
      </c>
      <c r="EC26" s="73" t="str">
        <f t="shared" si="856"/>
        <v/>
      </c>
      <c r="ED26" s="73" t="str">
        <f t="shared" si="856"/>
        <v/>
      </c>
      <c r="EE26" s="73" t="str">
        <f t="shared" si="856"/>
        <v/>
      </c>
      <c r="EF26" s="73" t="str">
        <f t="shared" si="856"/>
        <v/>
      </c>
      <c r="EG26" s="73" t="str">
        <f t="shared" si="856"/>
        <v/>
      </c>
      <c r="EH26" s="73" t="str">
        <f t="shared" si="856"/>
        <v/>
      </c>
      <c r="EI26" s="73" t="str">
        <f t="shared" ref="EI26:EV26" si="857">IF(AND(EI24&lt;&gt;0,EI25&lt;&gt;0),(EI24-EI25)/EI25,IF(AND(EI24=0,EI25=0),"",IF(AND(EI24="",EI25=""),"",IF(AND(EI24=0,EI25=""),"", IF(AND(EI24="",EI25=0),"",1)))))</f>
        <v/>
      </c>
      <c r="EJ26" s="73" t="str">
        <f t="shared" si="857"/>
        <v/>
      </c>
      <c r="EK26" s="73" t="str">
        <f t="shared" si="857"/>
        <v/>
      </c>
      <c r="EL26" s="73" t="str">
        <f t="shared" si="857"/>
        <v/>
      </c>
      <c r="EM26" s="73" t="str">
        <f t="shared" si="857"/>
        <v/>
      </c>
      <c r="EN26" s="73" t="str">
        <f t="shared" si="857"/>
        <v/>
      </c>
      <c r="EO26" s="73" t="str">
        <f t="shared" si="857"/>
        <v/>
      </c>
      <c r="EP26" s="73" t="str">
        <f t="shared" si="857"/>
        <v/>
      </c>
      <c r="EQ26" s="73" t="str">
        <f t="shared" si="857"/>
        <v/>
      </c>
      <c r="ER26" s="73" t="str">
        <f t="shared" si="857"/>
        <v/>
      </c>
      <c r="ES26" s="73" t="str">
        <f t="shared" si="857"/>
        <v/>
      </c>
      <c r="ET26" s="73" t="str">
        <f t="shared" si="857"/>
        <v/>
      </c>
      <c r="EU26" s="73" t="str">
        <f t="shared" si="857"/>
        <v/>
      </c>
      <c r="EV26" s="73" t="str">
        <f t="shared" si="857"/>
        <v/>
      </c>
      <c r="EW26" s="74" t="str">
        <f t="shared" si="856"/>
        <v/>
      </c>
      <c r="EX26" s="72" t="str">
        <f t="shared" ref="EX26:GI26" si="858">IF(AND(EX24&lt;&gt;0,EX25&lt;&gt;0),(EX24-EX25)/EX25,IF(AND(EX24=0,EX25=0),"",IF(AND(EX24="",EX25=""),"",IF(AND(EX24=0,EX25=""),"", IF(AND(EX24="",EX25=0),"",1)))))</f>
        <v/>
      </c>
      <c r="EY26" s="73" t="str">
        <f t="shared" si="858"/>
        <v/>
      </c>
      <c r="EZ26" s="73" t="str">
        <f t="shared" si="858"/>
        <v/>
      </c>
      <c r="FA26" s="73" t="str">
        <f t="shared" si="858"/>
        <v/>
      </c>
      <c r="FB26" s="73" t="str">
        <f t="shared" si="858"/>
        <v/>
      </c>
      <c r="FC26" s="73" t="str">
        <f t="shared" si="858"/>
        <v/>
      </c>
      <c r="FD26" s="73" t="str">
        <f t="shared" si="858"/>
        <v/>
      </c>
      <c r="FE26" s="73" t="str">
        <f t="shared" si="858"/>
        <v/>
      </c>
      <c r="FF26" s="73" t="str">
        <f t="shared" si="858"/>
        <v/>
      </c>
      <c r="FG26" s="73" t="str">
        <f t="shared" si="858"/>
        <v/>
      </c>
      <c r="FH26" s="73" t="str">
        <f t="shared" si="858"/>
        <v/>
      </c>
      <c r="FI26" s="73" t="str">
        <f t="shared" si="858"/>
        <v/>
      </c>
      <c r="FJ26" s="73" t="str">
        <f t="shared" si="858"/>
        <v/>
      </c>
      <c r="FK26" s="73" t="str">
        <f t="shared" si="858"/>
        <v/>
      </c>
      <c r="FL26" s="73" t="str">
        <f t="shared" si="858"/>
        <v/>
      </c>
      <c r="FM26" s="73" t="str">
        <f t="shared" si="858"/>
        <v/>
      </c>
      <c r="FN26" s="73" t="str">
        <f t="shared" si="858"/>
        <v/>
      </c>
      <c r="FO26" s="73" t="str">
        <f t="shared" si="858"/>
        <v/>
      </c>
      <c r="FP26" s="73" t="str">
        <f t="shared" si="858"/>
        <v/>
      </c>
      <c r="FQ26" s="73" t="str">
        <f t="shared" si="858"/>
        <v/>
      </c>
      <c r="FR26" s="73" t="str">
        <f t="shared" si="858"/>
        <v/>
      </c>
      <c r="FS26" s="73" t="str">
        <f t="shared" si="858"/>
        <v/>
      </c>
      <c r="FT26" s="73" t="str">
        <f t="shared" si="858"/>
        <v/>
      </c>
      <c r="FU26" s="73" t="str">
        <f t="shared" ref="FU26:GH26" si="859">IF(AND(FU24&lt;&gt;0,FU25&lt;&gt;0),(FU24-FU25)/FU25,IF(AND(FU24=0,FU25=0),"",IF(AND(FU24="",FU25=""),"",IF(AND(FU24=0,FU25=""),"", IF(AND(FU24="",FU25=0),"",1)))))</f>
        <v/>
      </c>
      <c r="FV26" s="73" t="str">
        <f t="shared" si="859"/>
        <v/>
      </c>
      <c r="FW26" s="73" t="str">
        <f t="shared" si="859"/>
        <v/>
      </c>
      <c r="FX26" s="73" t="str">
        <f t="shared" si="859"/>
        <v/>
      </c>
      <c r="FY26" s="73" t="str">
        <f t="shared" si="859"/>
        <v/>
      </c>
      <c r="FZ26" s="73" t="str">
        <f t="shared" si="859"/>
        <v/>
      </c>
      <c r="GA26" s="73" t="str">
        <f t="shared" si="859"/>
        <v/>
      </c>
      <c r="GB26" s="73" t="str">
        <f t="shared" si="859"/>
        <v/>
      </c>
      <c r="GC26" s="73" t="str">
        <f t="shared" si="859"/>
        <v/>
      </c>
      <c r="GD26" s="73" t="str">
        <f t="shared" si="859"/>
        <v/>
      </c>
      <c r="GE26" s="73" t="str">
        <f t="shared" si="859"/>
        <v/>
      </c>
      <c r="GF26" s="73" t="str">
        <f t="shared" si="859"/>
        <v/>
      </c>
      <c r="GG26" s="73" t="str">
        <f t="shared" si="859"/>
        <v/>
      </c>
      <c r="GH26" s="73" t="str">
        <f t="shared" si="859"/>
        <v/>
      </c>
      <c r="GI26" s="74" t="str">
        <f t="shared" si="858"/>
        <v/>
      </c>
      <c r="GJ26" s="72" t="str">
        <f t="shared" si="856"/>
        <v/>
      </c>
      <c r="GK26" s="73" t="str">
        <f t="shared" si="856"/>
        <v/>
      </c>
      <c r="GL26" s="73" t="str">
        <f t="shared" si="856"/>
        <v/>
      </c>
      <c r="GM26" s="73" t="str">
        <f t="shared" si="856"/>
        <v/>
      </c>
      <c r="GN26" s="73" t="str">
        <f t="shared" si="856"/>
        <v/>
      </c>
      <c r="GO26" s="73" t="str">
        <f t="shared" si="856"/>
        <v/>
      </c>
      <c r="GP26" s="73" t="str">
        <f t="shared" si="856"/>
        <v/>
      </c>
      <c r="GQ26" s="73" t="str">
        <f t="shared" si="856"/>
        <v/>
      </c>
      <c r="GR26" s="73" t="str">
        <f t="shared" si="856"/>
        <v/>
      </c>
      <c r="GS26" s="73" t="str">
        <f t="shared" si="856"/>
        <v/>
      </c>
      <c r="GT26" s="73" t="str">
        <f t="shared" si="856"/>
        <v/>
      </c>
      <c r="GU26" s="73" t="str">
        <f t="shared" si="856"/>
        <v/>
      </c>
      <c r="GV26" s="73" t="str">
        <f t="shared" si="856"/>
        <v/>
      </c>
      <c r="GW26" s="73" t="str">
        <f t="shared" si="856"/>
        <v/>
      </c>
      <c r="GX26" s="73" t="str">
        <f t="shared" si="856"/>
        <v/>
      </c>
      <c r="GY26" s="73" t="str">
        <f t="shared" si="856"/>
        <v/>
      </c>
      <c r="GZ26" s="73" t="str">
        <f t="shared" si="856"/>
        <v/>
      </c>
      <c r="HA26" s="73" t="str">
        <f t="shared" si="856"/>
        <v/>
      </c>
      <c r="HB26" s="73" t="str">
        <f t="shared" si="856"/>
        <v/>
      </c>
      <c r="HC26" s="73" t="str">
        <f t="shared" si="856"/>
        <v/>
      </c>
      <c r="HD26" s="73" t="str">
        <f t="shared" si="856"/>
        <v/>
      </c>
      <c r="HE26" s="73" t="str">
        <f t="shared" si="856"/>
        <v/>
      </c>
      <c r="HF26" s="73" t="str">
        <f t="shared" si="856"/>
        <v/>
      </c>
      <c r="HG26" s="73" t="str">
        <f t="shared" ref="HG26:HT26" si="860">IF(AND(HG24&lt;&gt;0,HG25&lt;&gt;0),(HG24-HG25)/HG25,IF(AND(HG24=0,HG25=0),"",IF(AND(HG24="",HG25=""),"",IF(AND(HG24=0,HG25=""),"", IF(AND(HG24="",HG25=0),"",1)))))</f>
        <v/>
      </c>
      <c r="HH26" s="73" t="str">
        <f t="shared" si="860"/>
        <v/>
      </c>
      <c r="HI26" s="73" t="str">
        <f t="shared" si="860"/>
        <v/>
      </c>
      <c r="HJ26" s="73" t="str">
        <f t="shared" si="860"/>
        <v/>
      </c>
      <c r="HK26" s="73" t="str">
        <f t="shared" si="860"/>
        <v/>
      </c>
      <c r="HL26" s="73" t="str">
        <f t="shared" si="860"/>
        <v/>
      </c>
      <c r="HM26" s="73" t="str">
        <f t="shared" si="860"/>
        <v/>
      </c>
      <c r="HN26" s="73" t="str">
        <f t="shared" si="860"/>
        <v/>
      </c>
      <c r="HO26" s="73" t="str">
        <f t="shared" si="860"/>
        <v/>
      </c>
      <c r="HP26" s="73" t="str">
        <f t="shared" si="860"/>
        <v/>
      </c>
      <c r="HQ26" s="73" t="str">
        <f t="shared" si="860"/>
        <v/>
      </c>
      <c r="HR26" s="73" t="str">
        <f t="shared" si="860"/>
        <v/>
      </c>
      <c r="HS26" s="73" t="str">
        <f t="shared" si="860"/>
        <v/>
      </c>
      <c r="HT26" s="73" t="str">
        <f t="shared" si="860"/>
        <v/>
      </c>
      <c r="HU26" s="74" t="str">
        <f t="shared" si="856"/>
        <v/>
      </c>
      <c r="HV26" s="39" t="str">
        <f t="shared" ref="HV26" si="861">IF(AND(HV24&lt;&gt;0,HV25&lt;&gt;0),(HV24-HV25)/HV25,IF(AND(HV24=0,HV25=0),"",IF(AND(HV24="",HV25=""),"",IF(AND(HV24=0,HV25=""),"", IF(AND(HV24="",HV25=0),"",1)))))</f>
        <v/>
      </c>
      <c r="HW26" s="40" t="str">
        <f t="shared" ref="HW26" si="862">IF(AND(HW24&lt;&gt;0,HW25&lt;&gt;0),(HW24-HW25)/HW25,IF(AND(HW24=0,HW25=0),"",IF(AND(HW24="",HW25=""),"",IF(AND(HW24=0,HW25=""),"", IF(AND(HW24="",HW25=0),"",1)))))</f>
        <v/>
      </c>
      <c r="HX26" s="40" t="str">
        <f t="shared" ref="HX26" si="863">IF(AND(HX24&lt;&gt;0,HX25&lt;&gt;0),(HX24-HX25)/HX25,IF(AND(HX24=0,HX25=0),"",IF(AND(HX24="",HX25=""),"",IF(AND(HX24=0,HX25=""),"", IF(AND(HX24="",HX25=0),"",1)))))</f>
        <v/>
      </c>
      <c r="HY26" s="40" t="str">
        <f t="shared" ref="HY26" si="864">IF(AND(HY24&lt;&gt;0,HY25&lt;&gt;0),(HY24-HY25)/HY25,IF(AND(HY24=0,HY25=0),"",IF(AND(HY24="",HY25=""),"",IF(AND(HY24=0,HY25=""),"", IF(AND(HY24="",HY25=0),"",1)))))</f>
        <v/>
      </c>
      <c r="HZ26" s="40" t="str">
        <f t="shared" ref="HZ26" si="865">IF(AND(HZ24&lt;&gt;0,HZ25&lt;&gt;0),(HZ24-HZ25)/HZ25,IF(AND(HZ24=0,HZ25=0),"",IF(AND(HZ24="",HZ25=""),"",IF(AND(HZ24=0,HZ25=""),"", IF(AND(HZ24="",HZ25=0),"",1)))))</f>
        <v/>
      </c>
      <c r="IA26" s="40" t="str">
        <f t="shared" ref="IA26" si="866">IF(AND(IA24&lt;&gt;0,IA25&lt;&gt;0),(IA24-IA25)/IA25,IF(AND(IA24=0,IA25=0),"",IF(AND(IA24="",IA25=""),"",IF(AND(IA24=0,IA25=""),"", IF(AND(IA24="",IA25=0),"",1)))))</f>
        <v/>
      </c>
      <c r="IB26" s="40" t="str">
        <f t="shared" ref="IB26" si="867">IF(AND(IB24&lt;&gt;0,IB25&lt;&gt;0),(IB24-IB25)/IB25,IF(AND(IB24=0,IB25=0),"",IF(AND(IB24="",IB25=""),"",IF(AND(IB24=0,IB25=""),"", IF(AND(IB24="",IB25=0),"",1)))))</f>
        <v/>
      </c>
      <c r="IC26" s="40" t="str">
        <f t="shared" ref="IC26" si="868">IF(AND(IC24&lt;&gt;0,IC25&lt;&gt;0),(IC24-IC25)/IC25,IF(AND(IC24=0,IC25=0),"",IF(AND(IC24="",IC25=""),"",IF(AND(IC24=0,IC25=""),"", IF(AND(IC24="",IC25=0),"",1)))))</f>
        <v/>
      </c>
      <c r="ID26" s="40" t="str">
        <f t="shared" ref="ID26" si="869">IF(AND(ID24&lt;&gt;0,ID25&lt;&gt;0),(ID24-ID25)/ID25,IF(AND(ID24=0,ID25=0),"",IF(AND(ID24="",ID25=""),"",IF(AND(ID24=0,ID25=""),"", IF(AND(ID24="",ID25=0),"",1)))))</f>
        <v/>
      </c>
      <c r="IE26" s="40" t="str">
        <f t="shared" ref="IE26" si="870">IF(AND(IE24&lt;&gt;0,IE25&lt;&gt;0),(IE24-IE25)/IE25,IF(AND(IE24=0,IE25=0),"",IF(AND(IE24="",IE25=""),"",IF(AND(IE24=0,IE25=""),"", IF(AND(IE24="",IE25=0),"",1)))))</f>
        <v/>
      </c>
      <c r="IF26" s="40" t="str">
        <f t="shared" ref="IF26" si="871">IF(AND(IF24&lt;&gt;0,IF25&lt;&gt;0),(IF24-IF25)/IF25,IF(AND(IF24=0,IF25=0),"",IF(AND(IF24="",IF25=""),"",IF(AND(IF24=0,IF25=""),"", IF(AND(IF24="",IF25=0),"",1)))))</f>
        <v/>
      </c>
      <c r="IG26" s="40" t="str">
        <f t="shared" ref="IG26" si="872">IF(AND(IG24&lt;&gt;0,IG25&lt;&gt;0),(IG24-IG25)/IG25,IF(AND(IG24=0,IG25=0),"",IF(AND(IG24="",IG25=""),"",IF(AND(IG24=0,IG25=""),"", IF(AND(IG24="",IG25=0),"",1)))))</f>
        <v/>
      </c>
      <c r="IH26" s="40" t="str">
        <f t="shared" ref="IH26" si="873">IF(AND(IH24&lt;&gt;0,IH25&lt;&gt;0),(IH24-IH25)/IH25,IF(AND(IH24=0,IH25=0),"",IF(AND(IH24="",IH25=""),"",IF(AND(IH24=0,IH25=""),"", IF(AND(IH24="",IH25=0),"",1)))))</f>
        <v/>
      </c>
      <c r="II26" s="40" t="str">
        <f t="shared" ref="II26" si="874">IF(AND(II24&lt;&gt;0,II25&lt;&gt;0),(II24-II25)/II25,IF(AND(II24=0,II25=0),"",IF(AND(II24="",II25=""),"",IF(AND(II24=0,II25=""),"", IF(AND(II24="",II25=0),"",1)))))</f>
        <v/>
      </c>
      <c r="IJ26" s="40" t="str">
        <f t="shared" ref="IJ26" si="875">IF(AND(IJ24&lt;&gt;0,IJ25&lt;&gt;0),(IJ24-IJ25)/IJ25,IF(AND(IJ24=0,IJ25=0),"",IF(AND(IJ24="",IJ25=""),"",IF(AND(IJ24=0,IJ25=""),"", IF(AND(IJ24="",IJ25=0),"",1)))))</f>
        <v/>
      </c>
      <c r="IK26" s="40" t="str">
        <f t="shared" ref="IK26" si="876">IF(AND(IK24&lt;&gt;0,IK25&lt;&gt;0),(IK24-IK25)/IK25,IF(AND(IK24=0,IK25=0),"",IF(AND(IK24="",IK25=""),"",IF(AND(IK24=0,IK25=""),"", IF(AND(IK24="",IK25=0),"",1)))))</f>
        <v/>
      </c>
      <c r="IL26" s="40" t="str">
        <f t="shared" ref="IL26" si="877">IF(AND(IL24&lt;&gt;0,IL25&lt;&gt;0),(IL24-IL25)/IL25,IF(AND(IL24=0,IL25=0),"",IF(AND(IL24="",IL25=""),"",IF(AND(IL24=0,IL25=""),"", IF(AND(IL24="",IL25=0),"",1)))))</f>
        <v/>
      </c>
      <c r="IM26" s="40" t="str">
        <f t="shared" ref="IM26" si="878">IF(AND(IM24&lt;&gt;0,IM25&lt;&gt;0),(IM24-IM25)/IM25,IF(AND(IM24=0,IM25=0),"",IF(AND(IM24="",IM25=""),"",IF(AND(IM24=0,IM25=""),"", IF(AND(IM24="",IM25=0),"",1)))))</f>
        <v/>
      </c>
      <c r="IN26" s="40" t="str">
        <f t="shared" ref="IN26" si="879">IF(AND(IN24&lt;&gt;0,IN25&lt;&gt;0),(IN24-IN25)/IN25,IF(AND(IN24=0,IN25=0),"",IF(AND(IN24="",IN25=""),"",IF(AND(IN24=0,IN25=""),"", IF(AND(IN24="",IN25=0),"",1)))))</f>
        <v/>
      </c>
      <c r="IO26" s="40" t="str">
        <f t="shared" ref="IO26" si="880">IF(AND(IO24&lt;&gt;0,IO25&lt;&gt;0),(IO24-IO25)/IO25,IF(AND(IO24=0,IO25=0),"",IF(AND(IO24="",IO25=""),"",IF(AND(IO24=0,IO25=""),"", IF(AND(IO24="",IO25=0),"",1)))))</f>
        <v/>
      </c>
      <c r="IP26" s="40" t="str">
        <f t="shared" ref="IP26" si="881">IF(AND(IP24&lt;&gt;0,IP25&lt;&gt;0),(IP24-IP25)/IP25,IF(AND(IP24=0,IP25=0),"",IF(AND(IP24="",IP25=""),"",IF(AND(IP24=0,IP25=""),"", IF(AND(IP24="",IP25=0),"",1)))))</f>
        <v/>
      </c>
      <c r="IQ26" s="40" t="str">
        <f t="shared" ref="IQ26" si="882">IF(AND(IQ24&lt;&gt;0,IQ25&lt;&gt;0),(IQ24-IQ25)/IQ25,IF(AND(IQ24=0,IQ25=0),"",IF(AND(IQ24="",IQ25=""),"",IF(AND(IQ24=0,IQ25=""),"", IF(AND(IQ24="",IQ25=0),"",1)))))</f>
        <v/>
      </c>
      <c r="IR26" s="40" t="str">
        <f t="shared" ref="IR26:JF26" si="883">IF(AND(IR24&lt;&gt;0,IR25&lt;&gt;0),(IR24-IR25)/IR25,IF(AND(IR24=0,IR25=0),"",IF(AND(IR24="",IR25=""),"",IF(AND(IR24=0,IR25=""),"", IF(AND(IR24="",IR25=0),"",1)))))</f>
        <v/>
      </c>
      <c r="IS26" s="40" t="str">
        <f t="shared" si="883"/>
        <v/>
      </c>
      <c r="IT26" s="40" t="str">
        <f t="shared" si="883"/>
        <v/>
      </c>
      <c r="IU26" s="40" t="str">
        <f t="shared" si="883"/>
        <v/>
      </c>
      <c r="IV26" s="40" t="str">
        <f t="shared" si="883"/>
        <v/>
      </c>
      <c r="IW26" s="40" t="str">
        <f t="shared" si="883"/>
        <v/>
      </c>
      <c r="IX26" s="40" t="str">
        <f t="shared" si="883"/>
        <v/>
      </c>
      <c r="IY26" s="40" t="str">
        <f t="shared" si="883"/>
        <v/>
      </c>
      <c r="IZ26" s="40" t="str">
        <f t="shared" si="883"/>
        <v/>
      </c>
      <c r="JA26" s="40" t="str">
        <f t="shared" si="883"/>
        <v/>
      </c>
      <c r="JB26" s="40" t="str">
        <f t="shared" si="883"/>
        <v/>
      </c>
      <c r="JC26" s="40" t="str">
        <f t="shared" si="883"/>
        <v/>
      </c>
      <c r="JD26" s="40" t="str">
        <f t="shared" si="883"/>
        <v/>
      </c>
      <c r="JE26" s="40" t="str">
        <f t="shared" si="883"/>
        <v/>
      </c>
      <c r="JF26" s="40" t="str">
        <f t="shared" si="883"/>
        <v/>
      </c>
      <c r="JG26" s="41" t="str">
        <f t="shared" ref="JG26:NQ26" si="884">IF(AND(JG24&lt;&gt;0,JG25&lt;&gt;0),(JG24-JG25)/JG25,IF(AND(JG24=0,JG25=0),"",IF(AND(JG24="",JG25=""),"",IF(AND(JG24=0,JG25=""),"", IF(AND(JG24="",JG25=0),"",1)))))</f>
        <v/>
      </c>
      <c r="JH26" s="72" t="str">
        <f t="shared" si="884"/>
        <v/>
      </c>
      <c r="JI26" s="73" t="str">
        <f t="shared" si="884"/>
        <v/>
      </c>
      <c r="JJ26" s="73" t="str">
        <f t="shared" si="884"/>
        <v/>
      </c>
      <c r="JK26" s="73" t="str">
        <f t="shared" si="884"/>
        <v/>
      </c>
      <c r="JL26" s="73" t="str">
        <f t="shared" si="884"/>
        <v/>
      </c>
      <c r="JM26" s="73" t="str">
        <f t="shared" si="884"/>
        <v/>
      </c>
      <c r="JN26" s="73" t="str">
        <f t="shared" si="884"/>
        <v/>
      </c>
      <c r="JO26" s="73" t="str">
        <f t="shared" si="884"/>
        <v/>
      </c>
      <c r="JP26" s="73" t="str">
        <f t="shared" si="884"/>
        <v/>
      </c>
      <c r="JQ26" s="73" t="str">
        <f t="shared" si="884"/>
        <v/>
      </c>
      <c r="JR26" s="73" t="str">
        <f t="shared" si="884"/>
        <v/>
      </c>
      <c r="JS26" s="73" t="str">
        <f t="shared" si="884"/>
        <v/>
      </c>
      <c r="JT26" s="73" t="str">
        <f t="shared" si="884"/>
        <v/>
      </c>
      <c r="JU26" s="73" t="str">
        <f t="shared" si="884"/>
        <v/>
      </c>
      <c r="JV26" s="73" t="str">
        <f t="shared" si="884"/>
        <v/>
      </c>
      <c r="JW26" s="73" t="str">
        <f t="shared" si="884"/>
        <v/>
      </c>
      <c r="JX26" s="73" t="str">
        <f t="shared" si="884"/>
        <v/>
      </c>
      <c r="JY26" s="73" t="str">
        <f t="shared" si="884"/>
        <v/>
      </c>
      <c r="JZ26" s="73" t="str">
        <f t="shared" si="884"/>
        <v/>
      </c>
      <c r="KA26" s="73" t="str">
        <f t="shared" si="884"/>
        <v/>
      </c>
      <c r="KB26" s="73" t="str">
        <f t="shared" si="884"/>
        <v/>
      </c>
      <c r="KC26" s="73" t="str">
        <f t="shared" si="884"/>
        <v/>
      </c>
      <c r="KD26" s="73" t="str">
        <f t="shared" si="884"/>
        <v/>
      </c>
      <c r="KE26" s="73" t="str">
        <f t="shared" ref="KE26:KR26" si="885">IF(AND(KE24&lt;&gt;0,KE25&lt;&gt;0),(KE24-KE25)/KE25,IF(AND(KE24=0,KE25=0),"",IF(AND(KE24="",KE25=""),"",IF(AND(KE24=0,KE25=""),"", IF(AND(KE24="",KE25=0),"",1)))))</f>
        <v/>
      </c>
      <c r="KF26" s="73" t="str">
        <f t="shared" si="885"/>
        <v/>
      </c>
      <c r="KG26" s="73" t="str">
        <f t="shared" si="885"/>
        <v/>
      </c>
      <c r="KH26" s="73" t="str">
        <f t="shared" si="885"/>
        <v/>
      </c>
      <c r="KI26" s="73" t="str">
        <f t="shared" si="885"/>
        <v/>
      </c>
      <c r="KJ26" s="73" t="str">
        <f t="shared" si="885"/>
        <v/>
      </c>
      <c r="KK26" s="73" t="str">
        <f t="shared" si="885"/>
        <v/>
      </c>
      <c r="KL26" s="73" t="str">
        <f t="shared" si="885"/>
        <v/>
      </c>
      <c r="KM26" s="73" t="str">
        <f t="shared" si="885"/>
        <v/>
      </c>
      <c r="KN26" s="73" t="str">
        <f t="shared" si="885"/>
        <v/>
      </c>
      <c r="KO26" s="73" t="str">
        <f t="shared" si="885"/>
        <v/>
      </c>
      <c r="KP26" s="73" t="str">
        <f t="shared" si="885"/>
        <v/>
      </c>
      <c r="KQ26" s="73" t="str">
        <f t="shared" si="885"/>
        <v/>
      </c>
      <c r="KR26" s="73" t="str">
        <f t="shared" si="885"/>
        <v/>
      </c>
      <c r="KS26" s="74" t="str">
        <f t="shared" si="884"/>
        <v/>
      </c>
      <c r="KT26" s="72" t="str">
        <f t="shared" ref="KT26:ME26" si="886">IF(AND(KT24&lt;&gt;0,KT25&lt;&gt;0),(KT24-KT25)/KT25,IF(AND(KT24=0,KT25=0),"",IF(AND(KT24="",KT25=""),"",IF(AND(KT24=0,KT25=""),"", IF(AND(KT24="",KT25=0),"",1)))))</f>
        <v/>
      </c>
      <c r="KU26" s="73" t="str">
        <f t="shared" si="886"/>
        <v/>
      </c>
      <c r="KV26" s="73" t="str">
        <f t="shared" si="886"/>
        <v/>
      </c>
      <c r="KW26" s="73" t="str">
        <f t="shared" si="886"/>
        <v/>
      </c>
      <c r="KX26" s="73" t="str">
        <f t="shared" si="886"/>
        <v/>
      </c>
      <c r="KY26" s="73" t="str">
        <f t="shared" si="886"/>
        <v/>
      </c>
      <c r="KZ26" s="73" t="str">
        <f t="shared" si="886"/>
        <v/>
      </c>
      <c r="LA26" s="73" t="str">
        <f t="shared" si="886"/>
        <v/>
      </c>
      <c r="LB26" s="73" t="str">
        <f t="shared" si="886"/>
        <v/>
      </c>
      <c r="LC26" s="73" t="str">
        <f t="shared" si="886"/>
        <v/>
      </c>
      <c r="LD26" s="73" t="str">
        <f t="shared" si="886"/>
        <v/>
      </c>
      <c r="LE26" s="73" t="str">
        <f t="shared" si="886"/>
        <v/>
      </c>
      <c r="LF26" s="73" t="str">
        <f t="shared" si="886"/>
        <v/>
      </c>
      <c r="LG26" s="73" t="str">
        <f t="shared" si="886"/>
        <v/>
      </c>
      <c r="LH26" s="73" t="str">
        <f t="shared" si="886"/>
        <v/>
      </c>
      <c r="LI26" s="73" t="str">
        <f t="shared" si="886"/>
        <v/>
      </c>
      <c r="LJ26" s="73" t="str">
        <f t="shared" si="886"/>
        <v/>
      </c>
      <c r="LK26" s="73" t="str">
        <f t="shared" si="886"/>
        <v/>
      </c>
      <c r="LL26" s="73" t="str">
        <f t="shared" si="886"/>
        <v/>
      </c>
      <c r="LM26" s="73" t="str">
        <f t="shared" si="886"/>
        <v/>
      </c>
      <c r="LN26" s="73" t="str">
        <f t="shared" si="886"/>
        <v/>
      </c>
      <c r="LO26" s="73" t="str">
        <f t="shared" si="886"/>
        <v/>
      </c>
      <c r="LP26" s="73" t="str">
        <f t="shared" si="886"/>
        <v/>
      </c>
      <c r="LQ26" s="73" t="str">
        <f t="shared" ref="LQ26:MD26" si="887">IF(AND(LQ24&lt;&gt;0,LQ25&lt;&gt;0),(LQ24-LQ25)/LQ25,IF(AND(LQ24=0,LQ25=0),"",IF(AND(LQ24="",LQ25=""),"",IF(AND(LQ24=0,LQ25=""),"", IF(AND(LQ24="",LQ25=0),"",1)))))</f>
        <v/>
      </c>
      <c r="LR26" s="73" t="str">
        <f t="shared" si="887"/>
        <v/>
      </c>
      <c r="LS26" s="73" t="str">
        <f t="shared" si="887"/>
        <v/>
      </c>
      <c r="LT26" s="73" t="str">
        <f t="shared" si="887"/>
        <v/>
      </c>
      <c r="LU26" s="73" t="str">
        <f t="shared" si="887"/>
        <v/>
      </c>
      <c r="LV26" s="73" t="str">
        <f t="shared" si="887"/>
        <v/>
      </c>
      <c r="LW26" s="73" t="str">
        <f t="shared" si="887"/>
        <v/>
      </c>
      <c r="LX26" s="73" t="str">
        <f t="shared" si="887"/>
        <v/>
      </c>
      <c r="LY26" s="73" t="str">
        <f t="shared" si="887"/>
        <v/>
      </c>
      <c r="LZ26" s="73" t="str">
        <f t="shared" si="887"/>
        <v/>
      </c>
      <c r="MA26" s="73" t="str">
        <f t="shared" si="887"/>
        <v/>
      </c>
      <c r="MB26" s="73" t="str">
        <f t="shared" si="887"/>
        <v/>
      </c>
      <c r="MC26" s="73" t="str">
        <f t="shared" si="887"/>
        <v/>
      </c>
      <c r="MD26" s="73" t="str">
        <f t="shared" si="887"/>
        <v/>
      </c>
      <c r="ME26" s="74" t="str">
        <f t="shared" si="886"/>
        <v/>
      </c>
      <c r="MF26" s="72" t="str">
        <f t="shared" si="884"/>
        <v/>
      </c>
      <c r="MG26" s="73" t="str">
        <f t="shared" si="884"/>
        <v/>
      </c>
      <c r="MH26" s="73" t="str">
        <f t="shared" si="884"/>
        <v/>
      </c>
      <c r="MI26" s="73" t="str">
        <f t="shared" si="884"/>
        <v/>
      </c>
      <c r="MJ26" s="73" t="str">
        <f t="shared" si="884"/>
        <v/>
      </c>
      <c r="MK26" s="73" t="str">
        <f t="shared" si="884"/>
        <v/>
      </c>
      <c r="ML26" s="73" t="str">
        <f t="shared" si="884"/>
        <v/>
      </c>
      <c r="MM26" s="73" t="str">
        <f t="shared" si="884"/>
        <v/>
      </c>
      <c r="MN26" s="73" t="str">
        <f t="shared" si="884"/>
        <v/>
      </c>
      <c r="MO26" s="73" t="str">
        <f t="shared" si="884"/>
        <v/>
      </c>
      <c r="MP26" s="73" t="str">
        <f t="shared" si="884"/>
        <v/>
      </c>
      <c r="MQ26" s="73" t="str">
        <f t="shared" si="884"/>
        <v/>
      </c>
      <c r="MR26" s="73" t="str">
        <f t="shared" si="884"/>
        <v/>
      </c>
      <c r="MS26" s="73" t="str">
        <f t="shared" si="884"/>
        <v/>
      </c>
      <c r="MT26" s="73" t="str">
        <f t="shared" si="884"/>
        <v/>
      </c>
      <c r="MU26" s="73" t="str">
        <f t="shared" si="884"/>
        <v/>
      </c>
      <c r="MV26" s="73" t="str">
        <f t="shared" si="884"/>
        <v/>
      </c>
      <c r="MW26" s="73" t="str">
        <f t="shared" si="884"/>
        <v/>
      </c>
      <c r="MX26" s="73" t="str">
        <f t="shared" si="884"/>
        <v/>
      </c>
      <c r="MY26" s="73" t="str">
        <f t="shared" si="884"/>
        <v/>
      </c>
      <c r="MZ26" s="73" t="str">
        <f t="shared" si="884"/>
        <v/>
      </c>
      <c r="NA26" s="73" t="str">
        <f t="shared" si="884"/>
        <v/>
      </c>
      <c r="NB26" s="73" t="str">
        <f t="shared" si="884"/>
        <v/>
      </c>
      <c r="NC26" s="73" t="str">
        <f t="shared" ref="NC26:NP26" si="888">IF(AND(NC24&lt;&gt;0,NC25&lt;&gt;0),(NC24-NC25)/NC25,IF(AND(NC24=0,NC25=0),"",IF(AND(NC24="",NC25=""),"",IF(AND(NC24=0,NC25=""),"", IF(AND(NC24="",NC25=0),"",1)))))</f>
        <v/>
      </c>
      <c r="ND26" s="73" t="str">
        <f t="shared" si="888"/>
        <v/>
      </c>
      <c r="NE26" s="73" t="str">
        <f t="shared" si="888"/>
        <v/>
      </c>
      <c r="NF26" s="73" t="str">
        <f t="shared" si="888"/>
        <v/>
      </c>
      <c r="NG26" s="73" t="str">
        <f t="shared" si="888"/>
        <v/>
      </c>
      <c r="NH26" s="73" t="str">
        <f t="shared" si="888"/>
        <v/>
      </c>
      <c r="NI26" s="73" t="str">
        <f t="shared" si="888"/>
        <v/>
      </c>
      <c r="NJ26" s="73" t="str">
        <f t="shared" si="888"/>
        <v/>
      </c>
      <c r="NK26" s="73" t="str">
        <f t="shared" si="888"/>
        <v/>
      </c>
      <c r="NL26" s="73" t="str">
        <f t="shared" si="888"/>
        <v/>
      </c>
      <c r="NM26" s="73" t="str">
        <f t="shared" si="888"/>
        <v/>
      </c>
      <c r="NN26" s="73" t="str">
        <f t="shared" si="888"/>
        <v/>
      </c>
      <c r="NO26" s="73" t="str">
        <f t="shared" si="888"/>
        <v/>
      </c>
      <c r="NP26" s="73" t="str">
        <f t="shared" si="888"/>
        <v/>
      </c>
      <c r="NQ26" s="74" t="str">
        <f t="shared" si="884"/>
        <v/>
      </c>
      <c r="NR26" s="40" t="str">
        <f t="shared" ref="NR26" si="889">IF(AND(NR24&lt;&gt;0,NR25&lt;&gt;0),(NR24-NR25)/NR25,IF(AND(NR24=0,NR25=0),"",IF(AND(NR24="",NR25=""),"",IF(AND(NR24=0,NR25=""),"", IF(AND(NR24="",NR25=0),"",1)))))</f>
        <v/>
      </c>
      <c r="NS26" s="40" t="str">
        <f t="shared" ref="NS26" si="890">IF(AND(NS24&lt;&gt;0,NS25&lt;&gt;0),(NS24-NS25)/NS25,IF(AND(NS24=0,NS25=0),"",IF(AND(NS24="",NS25=""),"",IF(AND(NS24=0,NS25=""),"", IF(AND(NS24="",NS25=0),"",1)))))</f>
        <v/>
      </c>
      <c r="NT26" s="40" t="str">
        <f t="shared" ref="NT26" si="891">IF(AND(NT24&lt;&gt;0,NT25&lt;&gt;0),(NT24-NT25)/NT25,IF(AND(NT24=0,NT25=0),"",IF(AND(NT24="",NT25=""),"",IF(AND(NT24=0,NT25=""),"", IF(AND(NT24="",NT25=0),"",1)))))</f>
        <v/>
      </c>
      <c r="NU26" s="40" t="str">
        <f t="shared" ref="NU26" si="892">IF(AND(NU24&lt;&gt;0,NU25&lt;&gt;0),(NU24-NU25)/NU25,IF(AND(NU24=0,NU25=0),"",IF(AND(NU24="",NU25=""),"",IF(AND(NU24=0,NU25=""),"", IF(AND(NU24="",NU25=0),"",1)))))</f>
        <v/>
      </c>
      <c r="NV26" s="40" t="str">
        <f t="shared" ref="NV26" si="893">IF(AND(NV24&lt;&gt;0,NV25&lt;&gt;0),(NV24-NV25)/NV25,IF(AND(NV24=0,NV25=0),"",IF(AND(NV24="",NV25=""),"",IF(AND(NV24=0,NV25=""),"", IF(AND(NV24="",NV25=0),"",1)))))</f>
        <v/>
      </c>
      <c r="NW26" s="40" t="str">
        <f t="shared" ref="NW26" si="894">IF(AND(NW24&lt;&gt;0,NW25&lt;&gt;0),(NW24-NW25)/NW25,IF(AND(NW24=0,NW25=0),"",IF(AND(NW24="",NW25=""),"",IF(AND(NW24=0,NW25=""),"", IF(AND(NW24="",NW25=0),"",1)))))</f>
        <v/>
      </c>
      <c r="NX26" s="40" t="str">
        <f t="shared" ref="NX26" si="895">IF(AND(NX24&lt;&gt;0,NX25&lt;&gt;0),(NX24-NX25)/NX25,IF(AND(NX24=0,NX25=0),"",IF(AND(NX24="",NX25=""),"",IF(AND(NX24=0,NX25=""),"", IF(AND(NX24="",NX25=0),"",1)))))</f>
        <v/>
      </c>
      <c r="NY26" s="40" t="str">
        <f t="shared" ref="NY26" si="896">IF(AND(NY24&lt;&gt;0,NY25&lt;&gt;0),(NY24-NY25)/NY25,IF(AND(NY24=0,NY25=0),"",IF(AND(NY24="",NY25=""),"",IF(AND(NY24=0,NY25=""),"", IF(AND(NY24="",NY25=0),"",1)))))</f>
        <v/>
      </c>
      <c r="NZ26" s="40" t="str">
        <f t="shared" ref="NZ26" si="897">IF(AND(NZ24&lt;&gt;0,NZ25&lt;&gt;0),(NZ24-NZ25)/NZ25,IF(AND(NZ24=0,NZ25=0),"",IF(AND(NZ24="",NZ25=""),"",IF(AND(NZ24=0,NZ25=""),"", IF(AND(NZ24="",NZ25=0),"",1)))))</f>
        <v/>
      </c>
      <c r="OA26" s="40" t="str">
        <f t="shared" ref="OA26" si="898">IF(AND(OA24&lt;&gt;0,OA25&lt;&gt;0),(OA24-OA25)/OA25,IF(AND(OA24=0,OA25=0),"",IF(AND(OA24="",OA25=""),"",IF(AND(OA24=0,OA25=""),"", IF(AND(OA24="",OA25=0),"",1)))))</f>
        <v/>
      </c>
      <c r="OB26" s="40" t="str">
        <f t="shared" ref="OB26" si="899">IF(AND(OB24&lt;&gt;0,OB25&lt;&gt;0),(OB24-OB25)/OB25,IF(AND(OB24=0,OB25=0),"",IF(AND(OB24="",OB25=""),"",IF(AND(OB24=0,OB25=""),"", IF(AND(OB24="",OB25=0),"",1)))))</f>
        <v/>
      </c>
      <c r="OC26" s="40" t="str">
        <f t="shared" ref="OC26" si="900">IF(AND(OC24&lt;&gt;0,OC25&lt;&gt;0),(OC24-OC25)/OC25,IF(AND(OC24=0,OC25=0),"",IF(AND(OC24="",OC25=""),"",IF(AND(OC24=0,OC25=""),"", IF(AND(OC24="",OC25=0),"",1)))))</f>
        <v/>
      </c>
      <c r="OD26" s="40" t="str">
        <f t="shared" ref="OD26" si="901">IF(AND(OD24&lt;&gt;0,OD25&lt;&gt;0),(OD24-OD25)/OD25,IF(AND(OD24=0,OD25=0),"",IF(AND(OD24="",OD25=""),"",IF(AND(OD24=0,OD25=""),"", IF(AND(OD24="",OD25=0),"",1)))))</f>
        <v/>
      </c>
      <c r="OE26" s="40" t="str">
        <f t="shared" ref="OE26" si="902">IF(AND(OE24&lt;&gt;0,OE25&lt;&gt;0),(OE24-OE25)/OE25,IF(AND(OE24=0,OE25=0),"",IF(AND(OE24="",OE25=""),"",IF(AND(OE24=0,OE25=""),"", IF(AND(OE24="",OE25=0),"",1)))))</f>
        <v/>
      </c>
      <c r="OF26" s="40" t="str">
        <f t="shared" ref="OF26" si="903">IF(AND(OF24&lt;&gt;0,OF25&lt;&gt;0),(OF24-OF25)/OF25,IF(AND(OF24=0,OF25=0),"",IF(AND(OF24="",OF25=""),"",IF(AND(OF24=0,OF25=""),"", IF(AND(OF24="",OF25=0),"",1)))))</f>
        <v/>
      </c>
      <c r="OG26" s="40" t="str">
        <f t="shared" ref="OG26" si="904">IF(AND(OG24&lt;&gt;0,OG25&lt;&gt;0),(OG24-OG25)/OG25,IF(AND(OG24=0,OG25=0),"",IF(AND(OG24="",OG25=""),"",IF(AND(OG24=0,OG25=""),"", IF(AND(OG24="",OG25=0),"",1)))))</f>
        <v/>
      </c>
      <c r="OH26" s="40" t="str">
        <f t="shared" ref="OH26" si="905">IF(AND(OH24&lt;&gt;0,OH25&lt;&gt;0),(OH24-OH25)/OH25,IF(AND(OH24=0,OH25=0),"",IF(AND(OH24="",OH25=""),"",IF(AND(OH24=0,OH25=""),"", IF(AND(OH24="",OH25=0),"",1)))))</f>
        <v/>
      </c>
      <c r="OI26" s="40" t="str">
        <f t="shared" ref="OI26" si="906">IF(AND(OI24&lt;&gt;0,OI25&lt;&gt;0),(OI24-OI25)/OI25,IF(AND(OI24=0,OI25=0),"",IF(AND(OI24="",OI25=""),"",IF(AND(OI24=0,OI25=""),"", IF(AND(OI24="",OI25=0),"",1)))))</f>
        <v/>
      </c>
      <c r="OJ26" s="40" t="str">
        <f t="shared" ref="OJ26" si="907">IF(AND(OJ24&lt;&gt;0,OJ25&lt;&gt;0),(OJ24-OJ25)/OJ25,IF(AND(OJ24=0,OJ25=0),"",IF(AND(OJ24="",OJ25=""),"",IF(AND(OJ24=0,OJ25=""),"", IF(AND(OJ24="",OJ25=0),"",1)))))</f>
        <v/>
      </c>
      <c r="OK26" s="40" t="str">
        <f t="shared" ref="OK26" si="908">IF(AND(OK24&lt;&gt;0,OK25&lt;&gt;0),(OK24-OK25)/OK25,IF(AND(OK24=0,OK25=0),"",IF(AND(OK24="",OK25=""),"",IF(AND(OK24=0,OK25=""),"", IF(AND(OK24="",OK25=0),"",1)))))</f>
        <v/>
      </c>
      <c r="OL26" s="40" t="str">
        <f t="shared" ref="OL26" si="909">IF(AND(OL24&lt;&gt;0,OL25&lt;&gt;0),(OL24-OL25)/OL25,IF(AND(OL24=0,OL25=0),"",IF(AND(OL24="",OL25=""),"",IF(AND(OL24=0,OL25=""),"", IF(AND(OL24="",OL25=0),"",1)))))</f>
        <v/>
      </c>
      <c r="OM26" s="40" t="str">
        <f t="shared" ref="OM26" si="910">IF(AND(OM24&lt;&gt;0,OM25&lt;&gt;0),(OM24-OM25)/OM25,IF(AND(OM24=0,OM25=0),"",IF(AND(OM24="",OM25=""),"",IF(AND(OM24=0,OM25=""),"", IF(AND(OM24="",OM25=0),"",1)))))</f>
        <v/>
      </c>
      <c r="ON26" s="40" t="str">
        <f t="shared" ref="ON26:PB26" si="911">IF(AND(ON24&lt;&gt;0,ON25&lt;&gt;0),(ON24-ON25)/ON25,IF(AND(ON24=0,ON25=0),"",IF(AND(ON24="",ON25=""),"",IF(AND(ON24=0,ON25=""),"", IF(AND(ON24="",ON25=0),"",1)))))</f>
        <v/>
      </c>
      <c r="OO26" s="40" t="str">
        <f t="shared" si="911"/>
        <v/>
      </c>
      <c r="OP26" s="40" t="str">
        <f t="shared" si="911"/>
        <v/>
      </c>
      <c r="OQ26" s="40" t="str">
        <f t="shared" si="911"/>
        <v/>
      </c>
      <c r="OR26" s="40" t="str">
        <f t="shared" si="911"/>
        <v/>
      </c>
      <c r="OS26" s="40" t="str">
        <f t="shared" si="911"/>
        <v/>
      </c>
      <c r="OT26" s="40" t="str">
        <f t="shared" si="911"/>
        <v/>
      </c>
      <c r="OU26" s="40" t="str">
        <f t="shared" si="911"/>
        <v/>
      </c>
      <c r="OV26" s="40" t="str">
        <f t="shared" si="911"/>
        <v/>
      </c>
      <c r="OW26" s="40" t="str">
        <f t="shared" si="911"/>
        <v/>
      </c>
      <c r="OX26" s="40" t="str">
        <f t="shared" si="911"/>
        <v/>
      </c>
      <c r="OY26" s="40" t="str">
        <f t="shared" si="911"/>
        <v/>
      </c>
      <c r="OZ26" s="40" t="str">
        <f t="shared" si="911"/>
        <v/>
      </c>
      <c r="PA26" s="40" t="str">
        <f t="shared" si="911"/>
        <v/>
      </c>
      <c r="PB26" s="40" t="str">
        <f t="shared" si="911"/>
        <v/>
      </c>
      <c r="PC26" s="41" t="str">
        <f t="shared" ref="PC26" si="912">IF(AND(PC24&lt;&gt;0,PC25&lt;&gt;0),(PC24-PC25)/PC25,IF(AND(PC24=0,PC25=0),"",IF(AND(PC24="",PC25=""),"",IF(AND(PC24=0,PC25=""),"", IF(AND(PC24="",PC25=0),"",1)))))</f>
        <v/>
      </c>
    </row>
    <row r="27" spans="1:419" outlineLevel="1" x14ac:dyDescent="0.4">
      <c r="A27" s="46" t="s">
        <v>51</v>
      </c>
      <c r="B27" s="14">
        <f>'[1]D-PDP'!$EA$12</f>
        <v>3271136.25</v>
      </c>
      <c r="C27" s="14">
        <f>'[1]D-PDP'!$EA$13</f>
        <v>2535406.25</v>
      </c>
      <c r="D27" s="14">
        <f>'[1]D-PDP'!$EA$14</f>
        <v>1959968.625</v>
      </c>
      <c r="E27" s="14">
        <f>'[1]D-PDP'!$EA$15</f>
        <v>1522505.25</v>
      </c>
      <c r="F27" s="14">
        <f>'[1]D-PDP'!$EA$16</f>
        <v>1174924.5</v>
      </c>
      <c r="G27" s="14">
        <f>'[1]D-PDP'!$EA$17</f>
        <v>897581.8125</v>
      </c>
      <c r="H27" s="14">
        <f>'[1]D-PDP'!$EA$18</f>
        <v>656737.1875</v>
      </c>
      <c r="I27" s="14">
        <f>'[1]D-PDP'!$EA$19</f>
        <v>460651.3125</v>
      </c>
      <c r="J27" s="14">
        <f>'[1]D-PDP'!$EA$20</f>
        <v>294822.28125</v>
      </c>
      <c r="K27" s="14">
        <f>'[1]D-PDP'!$EA$21</f>
        <v>157703.21875</v>
      </c>
      <c r="L27" s="14">
        <f>'[1]D-PDP'!$EA$22</f>
        <v>34232.60546875</v>
      </c>
      <c r="M27" s="14">
        <f>'[1]D-PDP'!$EA$23</f>
        <v>0</v>
      </c>
      <c r="N27" s="14">
        <f>'[1]D-PDP'!$EA$24</f>
        <v>0</v>
      </c>
      <c r="O27" s="14">
        <f>'[1]D-PDP'!$EA$25</f>
        <v>0</v>
      </c>
      <c r="P27" s="14">
        <f>'[1]D-PDP'!$EA$26</f>
        <v>0</v>
      </c>
      <c r="Q27" s="14">
        <f>'[1]D-PDP'!$EA$27</f>
        <v>0</v>
      </c>
      <c r="R27" s="14">
        <f>'[1]D-PDP'!$EA$28</f>
        <v>0</v>
      </c>
      <c r="S27" s="14">
        <f>'[1]D-PDP'!$EA$29</f>
        <v>0</v>
      </c>
      <c r="T27" s="14">
        <f>'[1]D-PDP'!$EA$30</f>
        <v>0</v>
      </c>
      <c r="U27" s="14">
        <f>'[1]D-PDP'!$EA$31</f>
        <v>0</v>
      </c>
      <c r="V27" s="14">
        <f>'[1]D-PDP'!$EA$32</f>
        <v>0</v>
      </c>
      <c r="W27" s="14">
        <f>'[1]D-PDP'!$EA$33</f>
        <v>0</v>
      </c>
      <c r="X27" s="14">
        <f>'[1]D-PDP'!$EA$34</f>
        <v>0</v>
      </c>
      <c r="Y27" s="14">
        <f>'[1]D-PDP'!$EA$35</f>
        <v>0</v>
      </c>
      <c r="Z27" s="14">
        <f>'[1]D-PDP'!$EA$36</f>
        <v>0</v>
      </c>
      <c r="AA27" s="14">
        <f>'[1]D-PDP'!$EA$37</f>
        <v>0</v>
      </c>
      <c r="AB27" s="14">
        <f>'[1]D-PDP'!$EA$38</f>
        <v>0</v>
      </c>
      <c r="AC27" s="14">
        <f>'[1]D-PDP'!$EA$39</f>
        <v>0</v>
      </c>
      <c r="AD27" s="14">
        <f>'[1]D-PDP'!$EA$40</f>
        <v>0</v>
      </c>
      <c r="AE27" s="14">
        <f>'[1]D-PDP'!$EA$41</f>
        <v>0</v>
      </c>
      <c r="AF27" s="14">
        <f>'[1]D-PDP'!$EA$42</f>
        <v>0</v>
      </c>
      <c r="AG27" s="14">
        <f>'[1]D-PDP'!$EA$43</f>
        <v>0</v>
      </c>
      <c r="AH27" s="14">
        <f>'[1]D-PDP'!$EA$44</f>
        <v>0</v>
      </c>
      <c r="AI27" s="14">
        <f>'[1]D-PDP'!$EA$45</f>
        <v>0</v>
      </c>
      <c r="AJ27" s="14">
        <f>'[1]D-PDP'!$EA$46</f>
        <v>0</v>
      </c>
      <c r="AK27" s="14">
        <f>'[1]D-PDP'!$EA$47</f>
        <v>0</v>
      </c>
      <c r="AL27" s="14">
        <f>'[1]D-PDP'!$EA$48</f>
        <v>0</v>
      </c>
      <c r="AM27" s="16">
        <f>SUM(B27:AL27)</f>
        <v>12965669.29296875</v>
      </c>
      <c r="AN27" s="28">
        <f>'[1]D-PNP'!$EA$12</f>
        <v>0</v>
      </c>
      <c r="AO27" s="14">
        <f>'[1]D-PNP'!$EA$13</f>
        <v>0</v>
      </c>
      <c r="AP27" s="14">
        <f>'[1]D-PNP'!$EA$14</f>
        <v>0</v>
      </c>
      <c r="AQ27" s="14">
        <f>'[1]D-PNP'!$EA$15</f>
        <v>0</v>
      </c>
      <c r="AR27" s="14">
        <f>'[1]D-PNP'!$EA$16</f>
        <v>0</v>
      </c>
      <c r="AS27" s="14">
        <f>'[1]D-PNP'!$EA$17</f>
        <v>0</v>
      </c>
      <c r="AT27" s="14">
        <f>'[1]D-PNP'!$EA$18</f>
        <v>0</v>
      </c>
      <c r="AU27" s="14">
        <f>'[1]D-PNP'!$EA$19</f>
        <v>0</v>
      </c>
      <c r="AV27" s="14">
        <f>'[1]D-PNP'!$EA$20</f>
        <v>0</v>
      </c>
      <c r="AW27" s="14">
        <f>'[1]D-PNP'!$EA$21</f>
        <v>0</v>
      </c>
      <c r="AX27" s="14">
        <f>'[1]D-PNP'!$EA$22</f>
        <v>0</v>
      </c>
      <c r="AY27" s="14">
        <f>'[1]D-PNP'!$EA$23</f>
        <v>0</v>
      </c>
      <c r="AZ27" s="14">
        <f>'[1]D-PNP'!$EA$24</f>
        <v>0</v>
      </c>
      <c r="BA27" s="14">
        <f>'[1]D-PNP'!$EA$25</f>
        <v>0</v>
      </c>
      <c r="BB27" s="14">
        <f>'[1]D-PNP'!$EA$26</f>
        <v>0</v>
      </c>
      <c r="BC27" s="14">
        <f>'[1]D-PNP'!$EA$27</f>
        <v>0</v>
      </c>
      <c r="BD27" s="14">
        <f>'[1]D-PNP'!$EA$28</f>
        <v>0</v>
      </c>
      <c r="BE27" s="14">
        <f>'[1]D-PNP'!$EA$29</f>
        <v>0</v>
      </c>
      <c r="BF27" s="14">
        <f>'[1]D-PNP'!$EA$30</f>
        <v>0</v>
      </c>
      <c r="BG27" s="14">
        <f>'[1]D-PNP'!$EA$31</f>
        <v>0</v>
      </c>
      <c r="BH27" s="14">
        <f>'[1]D-PNP'!$EA$32</f>
        <v>0</v>
      </c>
      <c r="BI27" s="14">
        <f>'[1]D-PNP'!$EA$33</f>
        <v>0</v>
      </c>
      <c r="BJ27" s="14">
        <f>'[1]D-PNP'!$EA$34</f>
        <v>0</v>
      </c>
      <c r="BK27" s="14">
        <f>'[1]D-PNP'!$EA$35</f>
        <v>0</v>
      </c>
      <c r="BL27" s="14">
        <f>'[1]D-PNP'!$EA$36</f>
        <v>0</v>
      </c>
      <c r="BM27" s="14">
        <f>'[1]D-PNP'!$EA$37</f>
        <v>0</v>
      </c>
      <c r="BN27" s="14">
        <f>'[1]D-PNP'!$EA$38</f>
        <v>0</v>
      </c>
      <c r="BO27" s="14">
        <f>'[1]D-PNP'!$EA$39</f>
        <v>0</v>
      </c>
      <c r="BP27" s="14">
        <f>'[1]D-PNP'!$EA$40</f>
        <v>0</v>
      </c>
      <c r="BQ27" s="14">
        <f>'[1]D-PNP'!$EA$41</f>
        <v>0</v>
      </c>
      <c r="BR27" s="14">
        <f>'[1]D-PNP'!$EA$42</f>
        <v>0</v>
      </c>
      <c r="BS27" s="14">
        <f>'[1]D-PNP'!$EA$43</f>
        <v>0</v>
      </c>
      <c r="BT27" s="14">
        <f>'[1]D-PNP'!$EA$44</f>
        <v>0</v>
      </c>
      <c r="BU27" s="14">
        <f>'[1]D-PNP'!$EA$45</f>
        <v>0</v>
      </c>
      <c r="BV27" s="14">
        <f>'[1]D-PNP'!$EA$46</f>
        <v>0</v>
      </c>
      <c r="BW27" s="14">
        <f>'[1]D-PNP'!$EA$47</f>
        <v>0</v>
      </c>
      <c r="BX27" s="14">
        <f>'[1]D-PNP'!$EA$48</f>
        <v>0</v>
      </c>
      <c r="BY27" s="16">
        <f>SUM(AN27:BX27)</f>
        <v>0</v>
      </c>
      <c r="BZ27" s="28">
        <f>'[1]D-PND'!$EA$12</f>
        <v>0</v>
      </c>
      <c r="CA27" s="14">
        <f>'[1]D-PND'!$EA$13</f>
        <v>0</v>
      </c>
      <c r="CB27" s="14">
        <f>'[1]D-PND'!$EA$14</f>
        <v>0</v>
      </c>
      <c r="CC27" s="14">
        <f>'[1]D-PND'!$EA$15</f>
        <v>0</v>
      </c>
      <c r="CD27" s="14">
        <f>'[1]D-PND'!$EA$16</f>
        <v>0</v>
      </c>
      <c r="CE27" s="14">
        <f>'[1]D-PND'!$EA$17</f>
        <v>0</v>
      </c>
      <c r="CF27" s="14">
        <f>'[1]D-PND'!$EA$18</f>
        <v>0</v>
      </c>
      <c r="CG27" s="14">
        <f>'[1]D-PND'!$EA$19</f>
        <v>0</v>
      </c>
      <c r="CH27" s="14">
        <f>'[1]D-PND'!$EA$20</f>
        <v>0</v>
      </c>
      <c r="CI27" s="14">
        <f>'[1]D-PND'!$EA$21</f>
        <v>0</v>
      </c>
      <c r="CJ27" s="14">
        <f>'[1]D-PND'!$EA$22</f>
        <v>0</v>
      </c>
      <c r="CK27" s="14">
        <f>'[1]D-PND'!$EA$23</f>
        <v>0</v>
      </c>
      <c r="CL27" s="14">
        <f>'[1]D-PND'!$EA$24</f>
        <v>0</v>
      </c>
      <c r="CM27" s="14">
        <f>'[1]D-PND'!$EA$25</f>
        <v>0</v>
      </c>
      <c r="CN27" s="14">
        <f>'[1]D-PND'!$EA$26</f>
        <v>0</v>
      </c>
      <c r="CO27" s="14">
        <f>'[1]D-PND'!$EA$27</f>
        <v>0</v>
      </c>
      <c r="CP27" s="14">
        <f>'[1]D-PND'!$EA$28</f>
        <v>0</v>
      </c>
      <c r="CQ27" s="14">
        <f>'[1]D-PND'!$EA$29</f>
        <v>0</v>
      </c>
      <c r="CR27" s="14">
        <f>'[1]D-PND'!$EA$30</f>
        <v>0</v>
      </c>
      <c r="CS27" s="14">
        <f>'[1]D-PND'!$EA$31</f>
        <v>0</v>
      </c>
      <c r="CT27" s="14">
        <f>'[1]D-PND'!$EA$32</f>
        <v>0</v>
      </c>
      <c r="CU27" s="14">
        <f>'[1]D-PND'!$EA$33</f>
        <v>0</v>
      </c>
      <c r="CV27" s="14">
        <f>'[1]D-PND'!$EA$34</f>
        <v>0</v>
      </c>
      <c r="CW27" s="14">
        <f>'[1]D-PND'!$EA$35</f>
        <v>0</v>
      </c>
      <c r="CX27" s="14">
        <f>'[1]D-PND'!$EA$36</f>
        <v>0</v>
      </c>
      <c r="CY27" s="14">
        <f>'[1]D-PND'!$EA$37</f>
        <v>0</v>
      </c>
      <c r="CZ27" s="14">
        <f>'[1]D-PND'!$EA$38</f>
        <v>0</v>
      </c>
      <c r="DA27" s="14">
        <f>'[1]D-PND'!$EA$39</f>
        <v>0</v>
      </c>
      <c r="DB27" s="14">
        <f>'[1]D-PND'!$EA$40</f>
        <v>0</v>
      </c>
      <c r="DC27" s="14">
        <f>'[1]D-PND'!$EA$41</f>
        <v>0</v>
      </c>
      <c r="DD27" s="14">
        <f>'[1]D-PND'!$EA$42</f>
        <v>0</v>
      </c>
      <c r="DE27" s="14">
        <f>'[1]D-PND'!$EA$43</f>
        <v>0</v>
      </c>
      <c r="DF27" s="14">
        <f>'[1]D-PND'!$EA$44</f>
        <v>0</v>
      </c>
      <c r="DG27" s="14">
        <f>'[1]D-PND'!$EA$45</f>
        <v>0</v>
      </c>
      <c r="DH27" s="14">
        <f>'[1]D-PND'!$EA$46</f>
        <v>0</v>
      </c>
      <c r="DI27" s="14">
        <f>'[1]D-PND'!$EA$47</f>
        <v>0</v>
      </c>
      <c r="DJ27" s="14">
        <f>'[1]D-PND'!$EA$48</f>
        <v>0</v>
      </c>
      <c r="DK27" s="16">
        <f>SUM(BZ27:DJ27)</f>
        <v>0</v>
      </c>
      <c r="DL27" s="66"/>
      <c r="DM27" s="67"/>
      <c r="DN27" s="67"/>
      <c r="DO27" s="67"/>
      <c r="DP27" s="67"/>
      <c r="DQ27" s="67"/>
      <c r="DR27" s="67"/>
      <c r="DS27" s="67"/>
      <c r="DT27" s="67"/>
      <c r="DU27" s="67"/>
      <c r="DV27" s="67"/>
      <c r="DW27" s="67"/>
      <c r="DX27" s="67"/>
      <c r="DY27" s="67"/>
      <c r="DZ27" s="67"/>
      <c r="EA27" s="67"/>
      <c r="EB27" s="67"/>
      <c r="EC27" s="67"/>
      <c r="ED27" s="67"/>
      <c r="EE27" s="67"/>
      <c r="EF27" s="67"/>
      <c r="EG27" s="67"/>
      <c r="EH27" s="67"/>
      <c r="EI27" s="67"/>
      <c r="EJ27" s="67"/>
      <c r="EK27" s="67"/>
      <c r="EL27" s="67"/>
      <c r="EM27" s="67"/>
      <c r="EN27" s="67"/>
      <c r="EO27" s="67"/>
      <c r="EP27" s="67"/>
      <c r="EQ27" s="67"/>
      <c r="ER27" s="67"/>
      <c r="ES27" s="67"/>
      <c r="ET27" s="67"/>
      <c r="EU27" s="67"/>
      <c r="EV27" s="67"/>
      <c r="EW27" s="68">
        <f>SUM(DL27:EV27)</f>
        <v>0</v>
      </c>
      <c r="EX27" s="66"/>
      <c r="EY27" s="67"/>
      <c r="EZ27" s="67"/>
      <c r="FA27" s="67"/>
      <c r="FB27" s="67"/>
      <c r="FC27" s="67"/>
      <c r="FD27" s="67"/>
      <c r="FE27" s="67"/>
      <c r="FF27" s="67"/>
      <c r="FG27" s="67"/>
      <c r="FH27" s="67"/>
      <c r="FI27" s="67"/>
      <c r="FJ27" s="67"/>
      <c r="FK27" s="67"/>
      <c r="FL27" s="67"/>
      <c r="FM27" s="67"/>
      <c r="FN27" s="67"/>
      <c r="FO27" s="67"/>
      <c r="FP27" s="67"/>
      <c r="FQ27" s="67"/>
      <c r="FR27" s="67"/>
      <c r="FS27" s="67"/>
      <c r="FT27" s="67"/>
      <c r="FU27" s="67"/>
      <c r="FV27" s="67"/>
      <c r="FW27" s="67"/>
      <c r="FX27" s="67"/>
      <c r="FY27" s="67"/>
      <c r="FZ27" s="67"/>
      <c r="GA27" s="67"/>
      <c r="GB27" s="67"/>
      <c r="GC27" s="67"/>
      <c r="GD27" s="67"/>
      <c r="GE27" s="67"/>
      <c r="GF27" s="67"/>
      <c r="GG27" s="67"/>
      <c r="GH27" s="67"/>
      <c r="GI27" s="68">
        <f>SUM(EX27:GH27)</f>
        <v>0</v>
      </c>
      <c r="GJ27" s="66"/>
      <c r="GK27" s="67"/>
      <c r="GL27" s="67"/>
      <c r="GM27" s="67"/>
      <c r="GN27" s="67"/>
      <c r="GO27" s="67"/>
      <c r="GP27" s="67"/>
      <c r="GQ27" s="67"/>
      <c r="GR27" s="67"/>
      <c r="GS27" s="67"/>
      <c r="GT27" s="67"/>
      <c r="GU27" s="67"/>
      <c r="GV27" s="67"/>
      <c r="GW27" s="67"/>
      <c r="GX27" s="67"/>
      <c r="GY27" s="67"/>
      <c r="GZ27" s="67"/>
      <c r="HA27" s="67"/>
      <c r="HB27" s="67"/>
      <c r="HC27" s="67"/>
      <c r="HD27" s="67"/>
      <c r="HE27" s="67"/>
      <c r="HF27" s="67"/>
      <c r="HG27" s="67"/>
      <c r="HH27" s="67"/>
      <c r="HI27" s="67"/>
      <c r="HJ27" s="67"/>
      <c r="HK27" s="67"/>
      <c r="HL27" s="67"/>
      <c r="HM27" s="67"/>
      <c r="HN27" s="67"/>
      <c r="HO27" s="67"/>
      <c r="HP27" s="67"/>
      <c r="HQ27" s="67"/>
      <c r="HR27" s="67"/>
      <c r="HS27" s="67"/>
      <c r="HT27" s="67"/>
      <c r="HU27" s="68">
        <f>SUM(GJ27:HT27)</f>
        <v>0</v>
      </c>
      <c r="HV27" s="28">
        <f>'[1]D-PRB'!$EA$12</f>
        <v>596622.6875</v>
      </c>
      <c r="HW27" s="14">
        <f>'[1]D-PRB'!$EA$13</f>
        <v>1056637.375</v>
      </c>
      <c r="HX27" s="14">
        <f>'[1]D-PRB'!$EA$14</f>
        <v>1344721.5</v>
      </c>
      <c r="HY27" s="14">
        <f>'[1]D-PRB'!$EA$15</f>
        <v>1525064.375</v>
      </c>
      <c r="HZ27" s="14">
        <f>'[1]D-PRB'!$EA$16</f>
        <v>1630606.375</v>
      </c>
      <c r="IA27" s="14">
        <f>'[1]D-PRB'!$EA$17</f>
        <v>1688327</v>
      </c>
      <c r="IB27" s="14">
        <f>'[1]D-PRB'!$EA$18</f>
        <v>1700060.25</v>
      </c>
      <c r="IC27" s="14">
        <f>'[1]D-PRB'!$EA$19</f>
        <v>1690069.75</v>
      </c>
      <c r="ID27" s="14">
        <f>'[1]D-PRB'!$EA$20</f>
        <v>1661704.125</v>
      </c>
      <c r="IE27" s="14">
        <f>'[1]D-PRB'!$EA$21</f>
        <v>1624217.5</v>
      </c>
      <c r="IF27" s="14">
        <f>'[1]D-PRB'!$EA$22</f>
        <v>1567195.375</v>
      </c>
      <c r="IG27" s="14">
        <f>'[1]D-PRB'!$EA$23</f>
        <v>1437110.625</v>
      </c>
      <c r="IH27" s="14">
        <f>'[1]D-PRB'!$EA$24</f>
        <v>1280518.75</v>
      </c>
      <c r="II27" s="14">
        <f>'[1]D-PRB'!$EA$25</f>
        <v>1139216.75</v>
      </c>
      <c r="IJ27" s="14">
        <f>'[1]D-PRB'!$EA$26</f>
        <v>992457.0625</v>
      </c>
      <c r="IK27" s="14">
        <f>'[1]D-PRB'!$EA$27</f>
        <v>860175.75</v>
      </c>
      <c r="IL27" s="14">
        <f>'[1]D-PRB'!$EA$28</f>
        <v>735373.125</v>
      </c>
      <c r="IM27" s="14">
        <f>'[1]D-PRB'!$EA$29</f>
        <v>622852.1875</v>
      </c>
      <c r="IN27" s="14">
        <f>'[1]D-PRB'!$EA$30</f>
        <v>505444.8125</v>
      </c>
      <c r="IO27" s="14">
        <f>'[1]D-PRB'!$EA$31</f>
        <v>400073.90625</v>
      </c>
      <c r="IP27" s="14">
        <f>'[1]D-PRB'!$EA$32</f>
        <v>289075.03125</v>
      </c>
      <c r="IQ27" s="14">
        <f>'[1]D-PRB'!$EA$33</f>
        <v>143707.59375</v>
      </c>
      <c r="IR27" s="14">
        <f>'[1]D-PRB'!$EA$34</f>
        <v>52873.0390625</v>
      </c>
      <c r="IS27" s="14">
        <f>'[1]D-PRB'!$EA$35</f>
        <v>530.69683837890625</v>
      </c>
      <c r="IT27" s="14">
        <f>'[1]D-PRB'!$EA$36</f>
        <v>0</v>
      </c>
      <c r="IU27" s="14">
        <f>'[1]D-PRB'!$EA$37</f>
        <v>0</v>
      </c>
      <c r="IV27" s="14">
        <f>'[1]D-PRB'!$EA$38</f>
        <v>0</v>
      </c>
      <c r="IW27" s="14">
        <f>'[1]D-PRB'!$EA$39</f>
        <v>0</v>
      </c>
      <c r="IX27" s="14">
        <f>'[1]D-PRB'!$EA$40</f>
        <v>0</v>
      </c>
      <c r="IY27" s="14">
        <f>'[1]D-PRB'!$EA$41</f>
        <v>0</v>
      </c>
      <c r="IZ27" s="14">
        <f>'[1]D-PRB'!$EA$42</f>
        <v>0</v>
      </c>
      <c r="JA27" s="14">
        <f>'[1]D-PRB'!$EA$43</f>
        <v>0</v>
      </c>
      <c r="JB27" s="14">
        <f>'[1]D-PRB'!$EA$44</f>
        <v>0</v>
      </c>
      <c r="JC27" s="14">
        <f>'[1]D-PRB'!$EA$45</f>
        <v>0</v>
      </c>
      <c r="JD27" s="14">
        <f>'[1]D-PRB'!$EA$46</f>
        <v>0</v>
      </c>
      <c r="JE27" s="14">
        <f>'[1]D-PRB'!$EA$47</f>
        <v>0</v>
      </c>
      <c r="JF27" s="14">
        <f>'[1]D-PRB'!$EA$48</f>
        <v>0</v>
      </c>
      <c r="JG27" s="16">
        <f>SUM(HV27:JF27)</f>
        <v>24544635.642150879</v>
      </c>
      <c r="JH27" s="66"/>
      <c r="JI27" s="67"/>
      <c r="JJ27" s="67"/>
      <c r="JK27" s="67"/>
      <c r="JL27" s="67"/>
      <c r="JM27" s="67"/>
      <c r="JN27" s="67"/>
      <c r="JO27" s="67"/>
      <c r="JP27" s="67"/>
      <c r="JQ27" s="67"/>
      <c r="JR27" s="67"/>
      <c r="JS27" s="67"/>
      <c r="JT27" s="67"/>
      <c r="JU27" s="67"/>
      <c r="JV27" s="67"/>
      <c r="JW27" s="67"/>
      <c r="JX27" s="67"/>
      <c r="JY27" s="67"/>
      <c r="JZ27" s="67"/>
      <c r="KA27" s="67"/>
      <c r="KB27" s="67"/>
      <c r="KC27" s="67"/>
      <c r="KD27" s="67"/>
      <c r="KE27" s="67"/>
      <c r="KF27" s="67"/>
      <c r="KG27" s="67"/>
      <c r="KH27" s="67"/>
      <c r="KI27" s="67"/>
      <c r="KJ27" s="67"/>
      <c r="KK27" s="67"/>
      <c r="KL27" s="67"/>
      <c r="KM27" s="67"/>
      <c r="KN27" s="67"/>
      <c r="KO27" s="67"/>
      <c r="KP27" s="67"/>
      <c r="KQ27" s="67"/>
      <c r="KR27" s="67"/>
      <c r="KS27" s="68">
        <f>SUM(JH27:KR27)</f>
        <v>0</v>
      </c>
      <c r="KT27" s="66"/>
      <c r="KU27" s="67"/>
      <c r="KV27" s="67"/>
      <c r="KW27" s="67"/>
      <c r="KX27" s="67"/>
      <c r="KY27" s="67"/>
      <c r="KZ27" s="67"/>
      <c r="LA27" s="67"/>
      <c r="LB27" s="67"/>
      <c r="LC27" s="67"/>
      <c r="LD27" s="67"/>
      <c r="LE27" s="67"/>
      <c r="LF27" s="67"/>
      <c r="LG27" s="67"/>
      <c r="LH27" s="67"/>
      <c r="LI27" s="67"/>
      <c r="LJ27" s="67"/>
      <c r="LK27" s="67"/>
      <c r="LL27" s="67"/>
      <c r="LM27" s="67"/>
      <c r="LN27" s="67"/>
      <c r="LO27" s="67"/>
      <c r="LP27" s="67"/>
      <c r="LQ27" s="67"/>
      <c r="LR27" s="67"/>
      <c r="LS27" s="67"/>
      <c r="LT27" s="67"/>
      <c r="LU27" s="67"/>
      <c r="LV27" s="67"/>
      <c r="LW27" s="67"/>
      <c r="LX27" s="67"/>
      <c r="LY27" s="67"/>
      <c r="LZ27" s="67"/>
      <c r="MA27" s="67"/>
      <c r="MB27" s="67"/>
      <c r="MC27" s="67"/>
      <c r="MD27" s="67"/>
      <c r="ME27" s="68">
        <f>SUM(KT27:MD27)</f>
        <v>0</v>
      </c>
      <c r="MF27" s="66"/>
      <c r="MG27" s="67"/>
      <c r="MH27" s="67"/>
      <c r="MI27" s="67"/>
      <c r="MJ27" s="67"/>
      <c r="MK27" s="67"/>
      <c r="ML27" s="67"/>
      <c r="MM27" s="67"/>
      <c r="MN27" s="67"/>
      <c r="MO27" s="67"/>
      <c r="MP27" s="67"/>
      <c r="MQ27" s="67"/>
      <c r="MR27" s="67"/>
      <c r="MS27" s="67"/>
      <c r="MT27" s="67"/>
      <c r="MU27" s="67"/>
      <c r="MV27" s="67"/>
      <c r="MW27" s="67"/>
      <c r="MX27" s="67"/>
      <c r="MY27" s="67"/>
      <c r="MZ27" s="67"/>
      <c r="NA27" s="67"/>
      <c r="NB27" s="67"/>
      <c r="NC27" s="67"/>
      <c r="ND27" s="67"/>
      <c r="NE27" s="67"/>
      <c r="NF27" s="67"/>
      <c r="NG27" s="67"/>
      <c r="NH27" s="67"/>
      <c r="NI27" s="67"/>
      <c r="NJ27" s="67"/>
      <c r="NK27" s="67"/>
      <c r="NL27" s="67"/>
      <c r="NM27" s="67"/>
      <c r="NN27" s="67"/>
      <c r="NO27" s="67"/>
      <c r="NP27" s="67"/>
      <c r="NQ27" s="68">
        <f>SUM(MF27:NP27)</f>
        <v>0</v>
      </c>
      <c r="NR27" s="14">
        <f>'[1]D-PS'!$EA$12</f>
        <v>12597.3818359375</v>
      </c>
      <c r="NS27" s="14">
        <f>'[1]D-PS'!$EA$13</f>
        <v>38205.83984375</v>
      </c>
      <c r="NT27" s="14">
        <f>'[1]D-PS'!$EA$14</f>
        <v>61053.984375</v>
      </c>
      <c r="NU27" s="14">
        <f>'[1]D-PS'!$EA$15</f>
        <v>81298.984375</v>
      </c>
      <c r="NV27" s="14">
        <f>'[1]D-PS'!$EA$16</f>
        <v>99104.703125</v>
      </c>
      <c r="NW27" s="14">
        <f>'[1]D-PS'!$EA$17</f>
        <v>115362.9453125</v>
      </c>
      <c r="NX27" s="14">
        <f>'[1]D-PS'!$EA$18</f>
        <v>129023.5625</v>
      </c>
      <c r="NY27" s="14">
        <f>'[1]D-PS'!$EA$19</f>
        <v>141138.484375</v>
      </c>
      <c r="NZ27" s="14">
        <f>'[1]D-PS'!$EA$20</f>
        <v>151545.453125</v>
      </c>
      <c r="OA27" s="14">
        <f>'[1]D-PS'!$EA$21</f>
        <v>161136.875</v>
      </c>
      <c r="OB27" s="14">
        <f>'[1]D-PS'!$EA$22</f>
        <v>168132.3125</v>
      </c>
      <c r="OC27" s="14">
        <f>'[1]D-PS'!$EA$23</f>
        <v>174717.203125</v>
      </c>
      <c r="OD27" s="14">
        <f>'[1]D-PS'!$EA$24</f>
        <v>180001.6875</v>
      </c>
      <c r="OE27" s="14">
        <f>'[1]D-PS'!$EA$25</f>
        <v>184795.921875</v>
      </c>
      <c r="OF27" s="14">
        <f>'[1]D-PS'!$EA$26</f>
        <v>187563.234375</v>
      </c>
      <c r="OG27" s="14">
        <f>'[1]D-PS'!$EA$27</f>
        <v>190083.171875</v>
      </c>
      <c r="OH27" s="14">
        <f>'[1]D-PS'!$EA$28</f>
        <v>191709.5</v>
      </c>
      <c r="OI27" s="14">
        <f>'[1]D-PS'!$EA$29</f>
        <v>193089.65625</v>
      </c>
      <c r="OJ27" s="14">
        <f>'[1]D-PS'!$EA$30</f>
        <v>193010.625</v>
      </c>
      <c r="OK27" s="14">
        <f>'[1]D-PS'!$EA$31</f>
        <v>192847.5</v>
      </c>
      <c r="OL27" s="14">
        <f>'[1]D-PS'!$EA$32</f>
        <v>191710.75</v>
      </c>
      <c r="OM27" s="14">
        <f>'[1]D-PS'!$EA$33</f>
        <v>191382.078125</v>
      </c>
      <c r="ON27" s="14">
        <f>'[1]D-PS'!$EA$34</f>
        <v>189027.71875</v>
      </c>
      <c r="OO27" s="14">
        <f>'[1]D-PS'!$EA$35</f>
        <v>49890.92578125</v>
      </c>
      <c r="OP27" s="14">
        <f>'[1]D-PS'!$EA$36</f>
        <v>87119.40625</v>
      </c>
      <c r="OQ27" s="14">
        <f>'[1]D-PS'!$EA$37</f>
        <v>14862.5478515625</v>
      </c>
      <c r="OR27" s="14">
        <f>'[1]D-PS'!$EA$38</f>
        <v>0</v>
      </c>
      <c r="OS27" s="14">
        <f>'[1]D-PS'!$EA$39</f>
        <v>0</v>
      </c>
      <c r="OT27" s="14">
        <f>'[1]D-PS'!$EA$40</f>
        <v>0</v>
      </c>
      <c r="OU27" s="14">
        <f>'[1]D-PS'!$EA$41</f>
        <v>0</v>
      </c>
      <c r="OV27" s="14">
        <f>'[1]D-PS'!$EA$42</f>
        <v>0</v>
      </c>
      <c r="OW27" s="14">
        <f>'[1]D-PS'!$EA$43</f>
        <v>0</v>
      </c>
      <c r="OX27" s="14">
        <f>'[1]D-PS'!$EA$44</f>
        <v>0</v>
      </c>
      <c r="OY27" s="14">
        <f>'[1]D-PS'!$EA$45</f>
        <v>0</v>
      </c>
      <c r="OZ27" s="14">
        <f>'[1]D-PS'!$EA$46</f>
        <v>0</v>
      </c>
      <c r="PA27" s="14">
        <f>'[1]D-PS'!$EA$47</f>
        <v>0</v>
      </c>
      <c r="PB27" s="14">
        <f>'[1]D-PS'!$EA$48</f>
        <v>0</v>
      </c>
      <c r="PC27" s="16">
        <f>SUM(NR27:PB27)</f>
        <v>3570412.453125</v>
      </c>
    </row>
    <row r="28" spans="1:419" outlineLevel="1" x14ac:dyDescent="0.4">
      <c r="A28" s="46" t="s">
        <v>52</v>
      </c>
      <c r="B28" s="25">
        <f>'[2]CF PDP'!$DN$36</f>
        <v>3271061</v>
      </c>
      <c r="C28" s="25">
        <f>'[2]CF PDP'!$DN$37</f>
        <v>2535460</v>
      </c>
      <c r="D28" s="25">
        <f>'[2]CF PDP'!$DN$38</f>
        <v>1959920</v>
      </c>
      <c r="E28" s="25">
        <f>'[2]CF PDP'!$DN$39</f>
        <v>1522482</v>
      </c>
      <c r="F28" s="25">
        <f>'[2]CF PDP'!$DN$40</f>
        <v>1174948</v>
      </c>
      <c r="G28" s="25">
        <f>'[2]CF PDP'!$DN$41</f>
        <v>897577</v>
      </c>
      <c r="H28" s="25">
        <f>'[2]CF PDP'!$DN$42</f>
        <v>656726</v>
      </c>
      <c r="I28" s="25">
        <f>'[2]CF PDP'!$DN$43</f>
        <v>460594</v>
      </c>
      <c r="J28" s="25">
        <f>'[2]CF PDP'!$DN$44</f>
        <v>294752</v>
      </c>
      <c r="K28" s="25">
        <f>'[2]CF PDP'!$DN$45</f>
        <v>157663</v>
      </c>
      <c r="L28" s="25">
        <f>'[2]CF PDP'!$DN$46</f>
        <v>32742</v>
      </c>
      <c r="M28" s="25">
        <f>'[2]CF PDP'!$DN$47</f>
        <v>0</v>
      </c>
      <c r="N28" s="25">
        <f>'[2]CF PDP'!$DN$48</f>
        <v>0</v>
      </c>
      <c r="O28" s="25">
        <f>'[2]CF PDP'!$DN$49</f>
        <v>0</v>
      </c>
      <c r="P28" s="25">
        <f>'[2]CF PDP'!$DN$50</f>
        <v>0</v>
      </c>
      <c r="Q28" s="25">
        <f>'[2]CF PDP'!$DN$51</f>
        <v>0</v>
      </c>
      <c r="R28" s="25">
        <f>'[2]CF PDP'!$DN$52</f>
        <v>0</v>
      </c>
      <c r="S28" s="25">
        <f>'[2]CF PDP'!$DN$53</f>
        <v>0</v>
      </c>
      <c r="T28" s="25">
        <f>'[2]CF PDP'!$DN$54</f>
        <v>0</v>
      </c>
      <c r="U28" s="25">
        <f>'[2]CF PDP'!$DN$55</f>
        <v>0</v>
      </c>
      <c r="V28" s="25">
        <f>'[2]CF PDP'!$DN$56</f>
        <v>0</v>
      </c>
      <c r="W28" s="25">
        <f>'[2]CF PDP'!$DN$57</f>
        <v>0</v>
      </c>
      <c r="X28" s="25">
        <f>'[2]CF PDP'!$DN$58</f>
        <v>0</v>
      </c>
      <c r="Y28" s="25">
        <f>'[2]CF PDP'!$DN$59</f>
        <v>0</v>
      </c>
      <c r="Z28" s="25">
        <f>'[2]CF PDP'!$DN$60</f>
        <v>0</v>
      </c>
      <c r="AA28" s="25">
        <f>'[2]CF PDP'!$DN$61</f>
        <v>0</v>
      </c>
      <c r="AB28" s="25">
        <f>'[2]CF PDP'!$DN$62</f>
        <v>0</v>
      </c>
      <c r="AC28" s="25">
        <f>'[2]CF PDP'!$DN$63</f>
        <v>0</v>
      </c>
      <c r="AD28" s="25">
        <f>'[2]CF PDP'!$DN$64</f>
        <v>0</v>
      </c>
      <c r="AE28" s="25">
        <f>'[2]CF PDP'!$DN$65</f>
        <v>0</v>
      </c>
      <c r="AF28" s="25">
        <f>'[2]CF PDP'!$DN$66</f>
        <v>0</v>
      </c>
      <c r="AG28" s="25">
        <f>'[2]CF PDP'!$DN$67</f>
        <v>0</v>
      </c>
      <c r="AH28" s="25">
        <f>'[2]CF PDP'!$DN$68</f>
        <v>0</v>
      </c>
      <c r="AI28" s="25">
        <f>'[2]CF PDP'!$DN$69</f>
        <v>0</v>
      </c>
      <c r="AJ28" s="25">
        <f>'[2]CF PDP'!$DN$70</f>
        <v>0</v>
      </c>
      <c r="AK28" s="25">
        <f>'[2]CF PDP'!$DN$71</f>
        <v>0</v>
      </c>
      <c r="AL28" s="25">
        <f>'[2]CF PDP'!$DN$72</f>
        <v>0</v>
      </c>
      <c r="AM28" s="26">
        <f>SUM(B28:AL28)</f>
        <v>12963925</v>
      </c>
      <c r="AN28" s="27">
        <f>'[2]CF PNP'!$DN$36</f>
        <v>0</v>
      </c>
      <c r="AO28" s="25">
        <f>'[2]CF PNP'!$DN$37</f>
        <v>0</v>
      </c>
      <c r="AP28" s="25">
        <f>'[2]CF PNP'!$DN$38</f>
        <v>0</v>
      </c>
      <c r="AQ28" s="25">
        <f>'[2]CF PNP'!$DN$39</f>
        <v>0</v>
      </c>
      <c r="AR28" s="25">
        <f>'[2]CF PNP'!$DN$40</f>
        <v>0</v>
      </c>
      <c r="AS28" s="25">
        <f>'[2]CF PNP'!$DN$41</f>
        <v>0</v>
      </c>
      <c r="AT28" s="25">
        <f>'[2]CF PNP'!$DN$42</f>
        <v>0</v>
      </c>
      <c r="AU28" s="25">
        <f>'[2]CF PNP'!$DN$43</f>
        <v>0</v>
      </c>
      <c r="AV28" s="25">
        <f>'[2]CF PNP'!$DN$44</f>
        <v>0</v>
      </c>
      <c r="AW28" s="25">
        <f>'[2]CF PNP'!$DN$45</f>
        <v>0</v>
      </c>
      <c r="AX28" s="25">
        <f>'[2]CF PNP'!$DN$46</f>
        <v>0</v>
      </c>
      <c r="AY28" s="25">
        <f>'[2]CF PNP'!$DN$47</f>
        <v>0</v>
      </c>
      <c r="AZ28" s="25">
        <f>'[2]CF PNP'!$DN$48</f>
        <v>0</v>
      </c>
      <c r="BA28" s="25">
        <f>'[2]CF PNP'!$DN$49</f>
        <v>0</v>
      </c>
      <c r="BB28" s="25">
        <f>'[2]CF PNP'!$DN$50</f>
        <v>0</v>
      </c>
      <c r="BC28" s="25">
        <f>'[2]CF PNP'!$DN$51</f>
        <v>0</v>
      </c>
      <c r="BD28" s="25">
        <f>'[2]CF PNP'!$DN$52</f>
        <v>0</v>
      </c>
      <c r="BE28" s="25">
        <f>'[2]CF PNP'!$DN$53</f>
        <v>0</v>
      </c>
      <c r="BF28" s="25">
        <f>'[2]CF PNP'!$DN$54</f>
        <v>0</v>
      </c>
      <c r="BG28" s="25">
        <f>'[2]CF PNP'!$DN$55</f>
        <v>0</v>
      </c>
      <c r="BH28" s="25">
        <f>'[2]CF PNP'!$DN$56</f>
        <v>0</v>
      </c>
      <c r="BI28" s="25">
        <f>'[2]CF PNP'!$DN$57</f>
        <v>0</v>
      </c>
      <c r="BJ28" s="25">
        <f>'[2]CF PNP'!$DN$58</f>
        <v>0</v>
      </c>
      <c r="BK28" s="25">
        <f>'[2]CF PNP'!$DN$59</f>
        <v>0</v>
      </c>
      <c r="BL28" s="25">
        <f>'[2]CF PNP'!$DN$60</f>
        <v>0</v>
      </c>
      <c r="BM28" s="25">
        <f>'[2]CF PNP'!$DN$61</f>
        <v>0</v>
      </c>
      <c r="BN28" s="25">
        <f>'[2]CF PNP'!$DN$62</f>
        <v>0</v>
      </c>
      <c r="BO28" s="25">
        <f>'[2]CF PNP'!$DN$63</f>
        <v>0</v>
      </c>
      <c r="BP28" s="25">
        <f>'[2]CF PNP'!$DN$64</f>
        <v>0</v>
      </c>
      <c r="BQ28" s="25">
        <f>'[2]CF PNP'!$DN$65</f>
        <v>0</v>
      </c>
      <c r="BR28" s="25">
        <f>'[2]CF PNP'!$DN$66</f>
        <v>0</v>
      </c>
      <c r="BS28" s="25">
        <f>'[2]CF PNP'!$DN$67</f>
        <v>0</v>
      </c>
      <c r="BT28" s="25">
        <f>'[2]CF PNP'!$DN$68</f>
        <v>0</v>
      </c>
      <c r="BU28" s="25">
        <f>'[2]CF PNP'!$DN$69</f>
        <v>0</v>
      </c>
      <c r="BV28" s="25">
        <f>'[2]CF PNP'!$DN$70</f>
        <v>0</v>
      </c>
      <c r="BW28" s="25">
        <f>'[2]CF PNP'!$DN$71</f>
        <v>0</v>
      </c>
      <c r="BX28" s="25">
        <f>'[2]CF PNP'!$DN$72</f>
        <v>0</v>
      </c>
      <c r="BY28" s="26">
        <f>SUM(AN28:BX28)</f>
        <v>0</v>
      </c>
      <c r="BZ28" s="27">
        <f>'[2]CF PND'!$DN$36</f>
        <v>0</v>
      </c>
      <c r="CA28" s="25">
        <f>'[2]CF PND'!$DN$37</f>
        <v>0</v>
      </c>
      <c r="CB28" s="25">
        <f>'[2]CF PND'!$DN$38</f>
        <v>0</v>
      </c>
      <c r="CC28" s="25">
        <f>'[2]CF PND'!$DN$39</f>
        <v>0</v>
      </c>
      <c r="CD28" s="25">
        <f>'[2]CF PND'!$DN$40</f>
        <v>0</v>
      </c>
      <c r="CE28" s="25">
        <f>'[2]CF PND'!$DN$41</f>
        <v>0</v>
      </c>
      <c r="CF28" s="25">
        <f>'[2]CF PND'!$DN$42</f>
        <v>0</v>
      </c>
      <c r="CG28" s="25">
        <f>'[2]CF PND'!$DN$43</f>
        <v>0</v>
      </c>
      <c r="CH28" s="25">
        <f>'[2]CF PND'!$DN$44</f>
        <v>0</v>
      </c>
      <c r="CI28" s="25">
        <f>'[2]CF PND'!$DN$45</f>
        <v>0</v>
      </c>
      <c r="CJ28" s="25">
        <f>'[2]CF PND'!$DN$46</f>
        <v>0</v>
      </c>
      <c r="CK28" s="25">
        <f>'[2]CF PND'!$DN$47</f>
        <v>0</v>
      </c>
      <c r="CL28" s="25">
        <f>'[2]CF PND'!$DN$48</f>
        <v>0</v>
      </c>
      <c r="CM28" s="25">
        <f>'[2]CF PND'!$DN$49</f>
        <v>0</v>
      </c>
      <c r="CN28" s="25">
        <f>'[2]CF PND'!$DN$50</f>
        <v>0</v>
      </c>
      <c r="CO28" s="25">
        <f>'[2]CF PND'!$DN$51</f>
        <v>0</v>
      </c>
      <c r="CP28" s="25">
        <f>'[2]CF PND'!$DN$52</f>
        <v>0</v>
      </c>
      <c r="CQ28" s="25">
        <f>'[2]CF PND'!$DN$53</f>
        <v>0</v>
      </c>
      <c r="CR28" s="25">
        <f>'[2]CF PND'!$DN$54</f>
        <v>0</v>
      </c>
      <c r="CS28" s="25">
        <f>'[2]CF PND'!$DN$55</f>
        <v>0</v>
      </c>
      <c r="CT28" s="25">
        <f>'[2]CF PND'!$DN$56</f>
        <v>0</v>
      </c>
      <c r="CU28" s="25">
        <f>'[2]CF PND'!$DN$57</f>
        <v>0</v>
      </c>
      <c r="CV28" s="25">
        <f>'[2]CF PND'!$DN$58</f>
        <v>0</v>
      </c>
      <c r="CW28" s="25">
        <f>'[2]CF PND'!$DN$59</f>
        <v>0</v>
      </c>
      <c r="CX28" s="25">
        <f>'[2]CF PND'!$DN$60</f>
        <v>0</v>
      </c>
      <c r="CY28" s="25">
        <f>'[2]CF PND'!$DN$61</f>
        <v>0</v>
      </c>
      <c r="CZ28" s="25">
        <f>'[2]CF PND'!$DN$62</f>
        <v>0</v>
      </c>
      <c r="DA28" s="25">
        <f>'[2]CF PND'!$DN$63</f>
        <v>0</v>
      </c>
      <c r="DB28" s="25">
        <f>'[2]CF PND'!$DN$64</f>
        <v>0</v>
      </c>
      <c r="DC28" s="25">
        <f>'[2]CF PND'!$DN$65</f>
        <v>0</v>
      </c>
      <c r="DD28" s="25">
        <f>'[2]CF PND'!$DN$66</f>
        <v>0</v>
      </c>
      <c r="DE28" s="25">
        <f>'[2]CF PND'!$DN$67</f>
        <v>0</v>
      </c>
      <c r="DF28" s="25">
        <f>'[2]CF PND'!$DN$68</f>
        <v>0</v>
      </c>
      <c r="DG28" s="25">
        <f>'[2]CF PND'!$DN$69</f>
        <v>0</v>
      </c>
      <c r="DH28" s="25">
        <f>'[2]CF PND'!$DN$70</f>
        <v>0</v>
      </c>
      <c r="DI28" s="25">
        <f>'[2]CF PND'!$DN$71</f>
        <v>0</v>
      </c>
      <c r="DJ28" s="25">
        <f>'[2]CF PND'!$DN$72</f>
        <v>0</v>
      </c>
      <c r="DK28" s="26">
        <f>SUM(BZ28:DJ28)</f>
        <v>0</v>
      </c>
      <c r="DL28" s="69"/>
      <c r="DM28" s="70"/>
      <c r="DN28" s="70"/>
      <c r="DO28" s="70"/>
      <c r="DP28" s="70"/>
      <c r="DQ28" s="70"/>
      <c r="DR28" s="70"/>
      <c r="DS28" s="70"/>
      <c r="DT28" s="70"/>
      <c r="DU28" s="70"/>
      <c r="DV28" s="70"/>
      <c r="DW28" s="70"/>
      <c r="DX28" s="70"/>
      <c r="DY28" s="70"/>
      <c r="DZ28" s="70"/>
      <c r="EA28" s="70"/>
      <c r="EB28" s="70"/>
      <c r="EC28" s="70"/>
      <c r="ED28" s="70"/>
      <c r="EE28" s="70"/>
      <c r="EF28" s="70"/>
      <c r="EG28" s="70"/>
      <c r="EH28" s="70"/>
      <c r="EI28" s="70"/>
      <c r="EJ28" s="70"/>
      <c r="EK28" s="70"/>
      <c r="EL28" s="70"/>
      <c r="EM28" s="70"/>
      <c r="EN28" s="70"/>
      <c r="EO28" s="70"/>
      <c r="EP28" s="70"/>
      <c r="EQ28" s="70"/>
      <c r="ER28" s="70"/>
      <c r="ES28" s="70"/>
      <c r="ET28" s="70"/>
      <c r="EU28" s="70"/>
      <c r="EV28" s="70"/>
      <c r="EW28" s="71">
        <f>SUM(DL28:EV28)</f>
        <v>0</v>
      </c>
      <c r="EX28" s="69"/>
      <c r="EY28" s="70"/>
      <c r="EZ28" s="70"/>
      <c r="FA28" s="70"/>
      <c r="FB28" s="70"/>
      <c r="FC28" s="70"/>
      <c r="FD28" s="70"/>
      <c r="FE28" s="70"/>
      <c r="FF28" s="70"/>
      <c r="FG28" s="70"/>
      <c r="FH28" s="70"/>
      <c r="FI28" s="70"/>
      <c r="FJ28" s="70"/>
      <c r="FK28" s="70"/>
      <c r="FL28" s="70"/>
      <c r="FM28" s="70"/>
      <c r="FN28" s="70"/>
      <c r="FO28" s="70"/>
      <c r="FP28" s="70"/>
      <c r="FQ28" s="70"/>
      <c r="FR28" s="70"/>
      <c r="FS28" s="70"/>
      <c r="FT28" s="70"/>
      <c r="FU28" s="70"/>
      <c r="FV28" s="70"/>
      <c r="FW28" s="70"/>
      <c r="FX28" s="70"/>
      <c r="FY28" s="70"/>
      <c r="FZ28" s="70"/>
      <c r="GA28" s="70"/>
      <c r="GB28" s="70"/>
      <c r="GC28" s="70"/>
      <c r="GD28" s="70"/>
      <c r="GE28" s="70"/>
      <c r="GF28" s="70"/>
      <c r="GG28" s="70"/>
      <c r="GH28" s="70"/>
      <c r="GI28" s="71">
        <f>SUM(EX28:GH28)</f>
        <v>0</v>
      </c>
      <c r="GJ28" s="69"/>
      <c r="GK28" s="70"/>
      <c r="GL28" s="70"/>
      <c r="GM28" s="70"/>
      <c r="GN28" s="70"/>
      <c r="GO28" s="70"/>
      <c r="GP28" s="70"/>
      <c r="GQ28" s="70"/>
      <c r="GR28" s="70"/>
      <c r="GS28" s="70"/>
      <c r="GT28" s="70"/>
      <c r="GU28" s="70"/>
      <c r="GV28" s="70"/>
      <c r="GW28" s="70"/>
      <c r="GX28" s="70"/>
      <c r="GY28" s="70"/>
      <c r="GZ28" s="70"/>
      <c r="HA28" s="70"/>
      <c r="HB28" s="70"/>
      <c r="HC28" s="70"/>
      <c r="HD28" s="70"/>
      <c r="HE28" s="70"/>
      <c r="HF28" s="70"/>
      <c r="HG28" s="70"/>
      <c r="HH28" s="70"/>
      <c r="HI28" s="70"/>
      <c r="HJ28" s="70"/>
      <c r="HK28" s="70"/>
      <c r="HL28" s="70"/>
      <c r="HM28" s="70"/>
      <c r="HN28" s="70"/>
      <c r="HO28" s="70"/>
      <c r="HP28" s="70"/>
      <c r="HQ28" s="70"/>
      <c r="HR28" s="70"/>
      <c r="HS28" s="70"/>
      <c r="HT28" s="70"/>
      <c r="HU28" s="71">
        <f>SUM(GJ28:HT28)</f>
        <v>0</v>
      </c>
      <c r="HV28" s="27">
        <f>'[2]CF PRB'!$DN$36</f>
        <v>596663</v>
      </c>
      <c r="HW28" s="25">
        <f>'[2]CF PRB'!$DN$37</f>
        <v>1056556</v>
      </c>
      <c r="HX28" s="25">
        <f>'[2]CF PRB'!$DN$38</f>
        <v>1344721</v>
      </c>
      <c r="HY28" s="25">
        <f>'[2]CF PRB'!$DN$39</f>
        <v>1525044</v>
      </c>
      <c r="HZ28" s="25">
        <f>'[2]CF PRB'!$DN$40</f>
        <v>1630566</v>
      </c>
      <c r="IA28" s="25">
        <f>'[2]CF PRB'!$DN$41</f>
        <v>1688306</v>
      </c>
      <c r="IB28" s="25">
        <f>'[2]CF PRB'!$DN$42</f>
        <v>1700040</v>
      </c>
      <c r="IC28" s="25">
        <f>'[2]CF PRB'!$DN$43</f>
        <v>1690110</v>
      </c>
      <c r="ID28" s="25">
        <f>'[2]CF PRB'!$DN$44</f>
        <v>1661684</v>
      </c>
      <c r="IE28" s="25">
        <f>'[2]CF PRB'!$DN$45</f>
        <v>1624197</v>
      </c>
      <c r="IF28" s="25">
        <f>'[2]CF PRB'!$DN$46</f>
        <v>1568755</v>
      </c>
      <c r="IG28" s="25">
        <f>'[2]CF PRB'!$DN$47</f>
        <v>1437090</v>
      </c>
      <c r="IH28" s="25">
        <f>'[2]CF PRB'!$DN$48</f>
        <v>1280478</v>
      </c>
      <c r="II28" s="25">
        <f>'[2]CF PRB'!$DN$49</f>
        <v>1139236</v>
      </c>
      <c r="IJ28" s="25">
        <f>'[2]CF PRB'!$DN$50</f>
        <v>992456</v>
      </c>
      <c r="IK28" s="25">
        <f>'[2]CF PRB'!$DN$51</f>
        <v>860134</v>
      </c>
      <c r="IL28" s="25">
        <f>'[2]CF PRB'!$DN$52</f>
        <v>735332</v>
      </c>
      <c r="IM28" s="25">
        <f>'[2]CF PRB'!$DN$53</f>
        <v>622851</v>
      </c>
      <c r="IN28" s="25">
        <f>'[2]CF PRB'!$DN$54</f>
        <v>505444</v>
      </c>
      <c r="IO28" s="25">
        <f>'[2]CF PRB'!$DN$55</f>
        <v>400052</v>
      </c>
      <c r="IP28" s="25">
        <f>'[2]CF PRB'!$DN$56</f>
        <v>300759</v>
      </c>
      <c r="IQ28" s="25">
        <f>'[2]CF PRB'!$DN$57</f>
        <v>143288</v>
      </c>
      <c r="IR28" s="25">
        <f>'[2]CF PRB'!$DN$58</f>
        <v>52916</v>
      </c>
      <c r="IS28" s="25">
        <f>'[2]CF PRB'!$DN$59</f>
        <v>0</v>
      </c>
      <c r="IT28" s="25">
        <f>'[2]CF PRB'!$DN$60</f>
        <v>0</v>
      </c>
      <c r="IU28" s="25">
        <f>'[2]CF PRB'!$DN$61</f>
        <v>0</v>
      </c>
      <c r="IV28" s="25">
        <f>'[2]CF PRB'!$DN$62</f>
        <v>0</v>
      </c>
      <c r="IW28" s="25">
        <f>'[2]CF PRB'!$DN$63</f>
        <v>0</v>
      </c>
      <c r="IX28" s="25">
        <f>'[2]CF PRB'!$DN$64</f>
        <v>0</v>
      </c>
      <c r="IY28" s="25">
        <f>'[2]CF PRB'!$DN$65</f>
        <v>0</v>
      </c>
      <c r="IZ28" s="25">
        <f>'[2]CF PRB'!$DN$66</f>
        <v>0</v>
      </c>
      <c r="JA28" s="25">
        <f>'[2]CF PRB'!$DN$67</f>
        <v>0</v>
      </c>
      <c r="JB28" s="25">
        <f>'[2]CF PRB'!$DN$68</f>
        <v>0</v>
      </c>
      <c r="JC28" s="25">
        <f>'[2]CF PRB'!$DN$69</f>
        <v>0</v>
      </c>
      <c r="JD28" s="25">
        <f>'[2]CF PRB'!$DN$70</f>
        <v>0</v>
      </c>
      <c r="JE28" s="25">
        <f>'[2]CF PRB'!$DN$71</f>
        <v>0</v>
      </c>
      <c r="JF28" s="25">
        <f>'[2]CF PRB'!$DN$72</f>
        <v>0</v>
      </c>
      <c r="JG28" s="26">
        <f>SUM(HV28:JF28)</f>
        <v>24556678</v>
      </c>
      <c r="JH28" s="69"/>
      <c r="JI28" s="70"/>
      <c r="JJ28" s="70"/>
      <c r="JK28" s="70"/>
      <c r="JL28" s="70"/>
      <c r="JM28" s="70"/>
      <c r="JN28" s="70"/>
      <c r="JO28" s="70"/>
      <c r="JP28" s="70"/>
      <c r="JQ28" s="70"/>
      <c r="JR28" s="70"/>
      <c r="JS28" s="70"/>
      <c r="JT28" s="70"/>
      <c r="JU28" s="70"/>
      <c r="JV28" s="70"/>
      <c r="JW28" s="70"/>
      <c r="JX28" s="70"/>
      <c r="JY28" s="70"/>
      <c r="JZ28" s="70"/>
      <c r="KA28" s="70"/>
      <c r="KB28" s="70"/>
      <c r="KC28" s="70"/>
      <c r="KD28" s="70"/>
      <c r="KE28" s="70"/>
      <c r="KF28" s="70"/>
      <c r="KG28" s="70"/>
      <c r="KH28" s="70"/>
      <c r="KI28" s="70"/>
      <c r="KJ28" s="70"/>
      <c r="KK28" s="70"/>
      <c r="KL28" s="70"/>
      <c r="KM28" s="70"/>
      <c r="KN28" s="70"/>
      <c r="KO28" s="70"/>
      <c r="KP28" s="70"/>
      <c r="KQ28" s="70"/>
      <c r="KR28" s="70"/>
      <c r="KS28" s="71">
        <f>SUM(JH28:KR28)</f>
        <v>0</v>
      </c>
      <c r="KT28" s="69"/>
      <c r="KU28" s="70"/>
      <c r="KV28" s="70"/>
      <c r="KW28" s="70"/>
      <c r="KX28" s="70"/>
      <c r="KY28" s="70"/>
      <c r="KZ28" s="70"/>
      <c r="LA28" s="70"/>
      <c r="LB28" s="70"/>
      <c r="LC28" s="70"/>
      <c r="LD28" s="70"/>
      <c r="LE28" s="70"/>
      <c r="LF28" s="70"/>
      <c r="LG28" s="70"/>
      <c r="LH28" s="70"/>
      <c r="LI28" s="70"/>
      <c r="LJ28" s="70"/>
      <c r="LK28" s="70"/>
      <c r="LL28" s="70"/>
      <c r="LM28" s="70"/>
      <c r="LN28" s="70"/>
      <c r="LO28" s="70"/>
      <c r="LP28" s="70"/>
      <c r="LQ28" s="70"/>
      <c r="LR28" s="70"/>
      <c r="LS28" s="70"/>
      <c r="LT28" s="70"/>
      <c r="LU28" s="70"/>
      <c r="LV28" s="70"/>
      <c r="LW28" s="70"/>
      <c r="LX28" s="70"/>
      <c r="LY28" s="70"/>
      <c r="LZ28" s="70"/>
      <c r="MA28" s="70"/>
      <c r="MB28" s="70"/>
      <c r="MC28" s="70"/>
      <c r="MD28" s="70"/>
      <c r="ME28" s="71">
        <f>SUM(KT28:MD28)</f>
        <v>0</v>
      </c>
      <c r="MF28" s="69"/>
      <c r="MG28" s="70"/>
      <c r="MH28" s="70"/>
      <c r="MI28" s="70"/>
      <c r="MJ28" s="70"/>
      <c r="MK28" s="70"/>
      <c r="ML28" s="70"/>
      <c r="MM28" s="70"/>
      <c r="MN28" s="70"/>
      <c r="MO28" s="70"/>
      <c r="MP28" s="70"/>
      <c r="MQ28" s="70"/>
      <c r="MR28" s="70"/>
      <c r="MS28" s="70"/>
      <c r="MT28" s="70"/>
      <c r="MU28" s="70"/>
      <c r="MV28" s="70"/>
      <c r="MW28" s="70"/>
      <c r="MX28" s="70"/>
      <c r="MY28" s="70"/>
      <c r="MZ28" s="70"/>
      <c r="NA28" s="70"/>
      <c r="NB28" s="70"/>
      <c r="NC28" s="70"/>
      <c r="ND28" s="70"/>
      <c r="NE28" s="70"/>
      <c r="NF28" s="70"/>
      <c r="NG28" s="70"/>
      <c r="NH28" s="70"/>
      <c r="NI28" s="70"/>
      <c r="NJ28" s="70"/>
      <c r="NK28" s="70"/>
      <c r="NL28" s="70"/>
      <c r="NM28" s="70"/>
      <c r="NN28" s="70"/>
      <c r="NO28" s="70"/>
      <c r="NP28" s="70"/>
      <c r="NQ28" s="71">
        <f>SUM(MF28:NP28)</f>
        <v>0</v>
      </c>
      <c r="NR28" s="25">
        <f>'[2]CF PS'!$DN$36</f>
        <v>12617</v>
      </c>
      <c r="NS28" s="25">
        <f>'[2]CF PS'!$DN$37</f>
        <v>38023</v>
      </c>
      <c r="NT28" s="25">
        <f>'[2]CF PS'!$DN$38</f>
        <v>61094</v>
      </c>
      <c r="NU28" s="25">
        <f>'[2]CF PS'!$DN$39</f>
        <v>81320</v>
      </c>
      <c r="NV28" s="25">
        <f>'[2]CF PS'!$DN$40</f>
        <v>99104</v>
      </c>
      <c r="NW28" s="25">
        <f>'[2]CF PS'!$DN$41</f>
        <v>115363</v>
      </c>
      <c r="NX28" s="25">
        <f>'[2]CF PS'!$DN$42</f>
        <v>128983</v>
      </c>
      <c r="NY28" s="25">
        <f>'[2]CF PS'!$DN$43</f>
        <v>141179</v>
      </c>
      <c r="NZ28" s="25">
        <f>'[2]CF PS'!$DN$44</f>
        <v>151545</v>
      </c>
      <c r="OA28" s="25">
        <f>'[2]CF PS'!$DN$45</f>
        <v>161097</v>
      </c>
      <c r="OB28" s="25">
        <f>'[2]CF PS'!$DN$46</f>
        <v>168112</v>
      </c>
      <c r="OC28" s="25">
        <f>'[2]CF PS'!$DN$47</f>
        <v>174717</v>
      </c>
      <c r="OD28" s="25">
        <f>'[2]CF PS'!$DN$48</f>
        <v>180001</v>
      </c>
      <c r="OE28" s="25">
        <f>'[2]CF PS'!$DN$49</f>
        <v>184776</v>
      </c>
      <c r="OF28" s="25">
        <f>'[2]CF PS'!$DN$50</f>
        <v>187523</v>
      </c>
      <c r="OG28" s="25">
        <f>'[2]CF PS'!$DN$51</f>
        <v>190063</v>
      </c>
      <c r="OH28" s="25">
        <f>'[2]CF PS'!$DN$52</f>
        <v>191690</v>
      </c>
      <c r="OI28" s="25">
        <f>'[2]CF PS'!$DN$53</f>
        <v>193110</v>
      </c>
      <c r="OJ28" s="25">
        <f>'[2]CF PS'!$DN$54</f>
        <v>193011</v>
      </c>
      <c r="OK28" s="25">
        <f>'[2]CF PS'!$DN$55</f>
        <v>192807</v>
      </c>
      <c r="OL28" s="25">
        <f>'[2]CF PS'!$DN$56</f>
        <v>191691</v>
      </c>
      <c r="OM28" s="25">
        <f>'[2]CF PS'!$DN$57</f>
        <v>191382</v>
      </c>
      <c r="ON28" s="25">
        <f>'[2]CF PS'!$DN$58</f>
        <v>189048</v>
      </c>
      <c r="OO28" s="25">
        <f>'[2]CF PS'!$DN$59</f>
        <v>156208</v>
      </c>
      <c r="OP28" s="25">
        <f>'[2]CF PS'!$DN$60</f>
        <v>85402</v>
      </c>
      <c r="OQ28" s="25">
        <f>'[2]CF PS'!$DN$61</f>
        <v>0</v>
      </c>
      <c r="OR28" s="25">
        <f>'[2]CF PS'!$DN$62</f>
        <v>0</v>
      </c>
      <c r="OS28" s="25">
        <f>'[2]CF PS'!$DN$63</f>
        <v>0</v>
      </c>
      <c r="OT28" s="25">
        <f>'[2]CF PS'!$DN$64</f>
        <v>0</v>
      </c>
      <c r="OU28" s="25">
        <f>'[2]CF PS'!$DN$65</f>
        <v>0</v>
      </c>
      <c r="OV28" s="25">
        <f>'[2]CF PS'!$DN$66</f>
        <v>0</v>
      </c>
      <c r="OW28" s="25">
        <f>'[2]CF PS'!$DN$67</f>
        <v>0</v>
      </c>
      <c r="OX28" s="25">
        <f>'[2]CF PS'!$DN$68</f>
        <v>0</v>
      </c>
      <c r="OY28" s="25">
        <f>'[2]CF PS'!$DN$69</f>
        <v>0</v>
      </c>
      <c r="OZ28" s="25">
        <f>'[2]CF PS'!$DN$70</f>
        <v>0</v>
      </c>
      <c r="PA28" s="25">
        <f>'[2]CF PS'!$DN$71</f>
        <v>0</v>
      </c>
      <c r="PB28" s="25">
        <f>'[2]CF PS'!$DN$72</f>
        <v>0</v>
      </c>
      <c r="PC28" s="26">
        <f>SUM(NR28:PB28)</f>
        <v>3659866</v>
      </c>
    </row>
    <row r="29" spans="1:419" ht="15.5" thickBot="1" x14ac:dyDescent="0.45">
      <c r="A29" s="47" t="s">
        <v>53</v>
      </c>
      <c r="B29" s="40">
        <f>IF(AND(B27&lt;&gt;0,B28&lt;&gt;0),(B27-B28)/B28,IF(AND(B27=0,B28=0),"",IF(AND(B27="",B28=""),"",IF(AND(B27=0,B28=""),"", IF(AND(B27="",B28=0),"",1)))))</f>
        <v>2.3004768177664679E-5</v>
      </c>
      <c r="C29" s="40">
        <f t="shared" ref="C29" si="913">IF(AND(C27&lt;&gt;0,C28&lt;&gt;0),(C27-C28)/C28,IF(AND(C27=0,C28=0),"",IF(AND(C27="",C28=""),"",IF(AND(C27=0,C28=""),"", IF(AND(C27="",C28=0),"",1)))))</f>
        <v>-2.1199309001128001E-5</v>
      </c>
      <c r="D29" s="40">
        <f t="shared" ref="D29" si="914">IF(AND(D27&lt;&gt;0,D28&lt;&gt;0),(D27-D28)/D28,IF(AND(D27=0,D28=0),"",IF(AND(D27="",D28=""),"",IF(AND(D27=0,D28=""),"", IF(AND(D27="",D28=0),"",1)))))</f>
        <v>2.4809686109637128E-5</v>
      </c>
      <c r="E29" s="40">
        <f t="shared" ref="E29" si="915">IF(AND(E27&lt;&gt;0,E28&lt;&gt;0),(E27-E28)/E28,IF(AND(E27=0,E28=0),"",IF(AND(E27="",E28=""),"",IF(AND(E27=0,E28=""),"", IF(AND(E27="",E28=0),"",1)))))</f>
        <v>1.5271116505810906E-5</v>
      </c>
      <c r="F29" s="40">
        <f t="shared" ref="F29" si="916">IF(AND(F27&lt;&gt;0,F28&lt;&gt;0),(F27-F28)/F28,IF(AND(F27=0,F28=0),"",IF(AND(F27="",F28=""),"",IF(AND(F27=0,F28=""),"", IF(AND(F27="",F28=0),"",1)))))</f>
        <v>-2.0000885145555377E-5</v>
      </c>
      <c r="G29" s="40">
        <f t="shared" ref="G29" si="917">IF(AND(G27&lt;&gt;0,G28&lt;&gt;0),(G27-G28)/G28,IF(AND(G27=0,G28=0),"",IF(AND(G27="",G28=""),"",IF(AND(G27=0,G28=""),"", IF(AND(G27="",G28=0),"",1)))))</f>
        <v>5.3616569943302915E-6</v>
      </c>
      <c r="H29" s="40">
        <f t="shared" ref="H29" si="918">IF(AND(H27&lt;&gt;0,H28&lt;&gt;0),(H27-H28)/H28,IF(AND(H27=0,H28=0),"",IF(AND(H27="",H28=""),"",IF(AND(H27=0,H28=""),"", IF(AND(H27="",H28=0),"",1)))))</f>
        <v>1.7035262803665455E-5</v>
      </c>
      <c r="I29" s="40">
        <f t="shared" ref="I29" si="919">IF(AND(I27&lt;&gt;0,I28&lt;&gt;0),(I27-I28)/I28,IF(AND(I27=0,I28=0),"",IF(AND(I27="",I28=""),"",IF(AND(I27=0,I28=""),"", IF(AND(I27="",I28=0),"",1)))))</f>
        <v>1.2443171209351403E-4</v>
      </c>
      <c r="J29" s="40">
        <f t="shared" ref="J29" si="920">IF(AND(J27&lt;&gt;0,J28&lt;&gt;0),(J27-J28)/J28,IF(AND(J27=0,J28=0),"",IF(AND(J27="",J28=""),"",IF(AND(J27=0,J28=""),"", IF(AND(J27="",J28=0),"",1)))))</f>
        <v>2.3844197834111389E-4</v>
      </c>
      <c r="K29" s="40">
        <f t="shared" ref="K29" si="921">IF(AND(K27&lt;&gt;0,K28&lt;&gt;0),(K27-K28)/K28,IF(AND(K27=0,K28=0),"",IF(AND(K27="",K28=""),"",IF(AND(K27=0,K28=""),"", IF(AND(K27="",K28=0),"",1)))))</f>
        <v>2.5509314170096977E-4</v>
      </c>
      <c r="L29" s="40">
        <f t="shared" ref="L29" si="922">IF(AND(L27&lt;&gt;0,L28&lt;&gt;0),(L27-L28)/L28,IF(AND(L27=0,L28=0),"",IF(AND(L27="",L28=""),"",IF(AND(L27=0,L28=""),"", IF(AND(L27="",L28=0),"",1)))))</f>
        <v>4.5525791605583045E-2</v>
      </c>
      <c r="M29" s="40" t="str">
        <f t="shared" ref="M29" si="923">IF(AND(M27&lt;&gt;0,M28&lt;&gt;0),(M27-M28)/M28,IF(AND(M27=0,M28=0),"",IF(AND(M27="",M28=""),"",IF(AND(M27=0,M28=""),"", IF(AND(M27="",M28=0),"",1)))))</f>
        <v/>
      </c>
      <c r="N29" s="40" t="str">
        <f t="shared" ref="N29" si="924">IF(AND(N27&lt;&gt;0,N28&lt;&gt;0),(N27-N28)/N28,IF(AND(N27=0,N28=0),"",IF(AND(N27="",N28=""),"",IF(AND(N27=0,N28=""),"", IF(AND(N27="",N28=0),"",1)))))</f>
        <v/>
      </c>
      <c r="O29" s="40" t="str">
        <f t="shared" ref="O29" si="925">IF(AND(O27&lt;&gt;0,O28&lt;&gt;0),(O27-O28)/O28,IF(AND(O27=0,O28=0),"",IF(AND(O27="",O28=""),"",IF(AND(O27=0,O28=""),"", IF(AND(O27="",O28=0),"",1)))))</f>
        <v/>
      </c>
      <c r="P29" s="40" t="str">
        <f t="shared" ref="P29" si="926">IF(AND(P27&lt;&gt;0,P28&lt;&gt;0),(P27-P28)/P28,IF(AND(P27=0,P28=0),"",IF(AND(P27="",P28=""),"",IF(AND(P27=0,P28=""),"", IF(AND(P27="",P28=0),"",1)))))</f>
        <v/>
      </c>
      <c r="Q29" s="40" t="str">
        <f t="shared" ref="Q29" si="927">IF(AND(Q27&lt;&gt;0,Q28&lt;&gt;0),(Q27-Q28)/Q28,IF(AND(Q27=0,Q28=0),"",IF(AND(Q27="",Q28=""),"",IF(AND(Q27=0,Q28=""),"", IF(AND(Q27="",Q28=0),"",1)))))</f>
        <v/>
      </c>
      <c r="R29" s="40" t="str">
        <f t="shared" ref="R29" si="928">IF(AND(R27&lt;&gt;0,R28&lt;&gt;0),(R27-R28)/R28,IF(AND(R27=0,R28=0),"",IF(AND(R27="",R28=""),"",IF(AND(R27=0,R28=""),"", IF(AND(R27="",R28=0),"",1)))))</f>
        <v/>
      </c>
      <c r="S29" s="40" t="str">
        <f t="shared" ref="S29" si="929">IF(AND(S27&lt;&gt;0,S28&lt;&gt;0),(S27-S28)/S28,IF(AND(S27=0,S28=0),"",IF(AND(S27="",S28=""),"",IF(AND(S27=0,S28=""),"", IF(AND(S27="",S28=0),"",1)))))</f>
        <v/>
      </c>
      <c r="T29" s="40" t="str">
        <f t="shared" ref="T29" si="930">IF(AND(T27&lt;&gt;0,T28&lt;&gt;0),(T27-T28)/T28,IF(AND(T27=0,T28=0),"",IF(AND(T27="",T28=""),"",IF(AND(T27=0,T28=""),"", IF(AND(T27="",T28=0),"",1)))))</f>
        <v/>
      </c>
      <c r="U29" s="40" t="str">
        <f t="shared" ref="U29" si="931">IF(AND(U27&lt;&gt;0,U28&lt;&gt;0),(U27-U28)/U28,IF(AND(U27=0,U28=0),"",IF(AND(U27="",U28=""),"",IF(AND(U27=0,U28=""),"", IF(AND(U27="",U28=0),"",1)))))</f>
        <v/>
      </c>
      <c r="V29" s="40" t="str">
        <f t="shared" ref="V29" si="932">IF(AND(V27&lt;&gt;0,V28&lt;&gt;0),(V27-V28)/V28,IF(AND(V27=0,V28=0),"",IF(AND(V27="",V28=""),"",IF(AND(V27=0,V28=""),"", IF(AND(V27="",V28=0),"",1)))))</f>
        <v/>
      </c>
      <c r="W29" s="40" t="str">
        <f t="shared" ref="W29" si="933">IF(AND(W27&lt;&gt;0,W28&lt;&gt;0),(W27-W28)/W28,IF(AND(W27=0,W28=0),"",IF(AND(W27="",W28=""),"",IF(AND(W27=0,W28=""),"", IF(AND(W27="",W28=0),"",1)))))</f>
        <v/>
      </c>
      <c r="X29" s="40" t="str">
        <f t="shared" ref="X29:AL29" si="934">IF(AND(X27&lt;&gt;0,X28&lt;&gt;0),(X27-X28)/X28,IF(AND(X27=0,X28=0),"",IF(AND(X27="",X28=""),"",IF(AND(X27=0,X28=""),"", IF(AND(X27="",X28=0),"",1)))))</f>
        <v/>
      </c>
      <c r="Y29" s="40" t="str">
        <f t="shared" si="934"/>
        <v/>
      </c>
      <c r="Z29" s="40" t="str">
        <f t="shared" si="934"/>
        <v/>
      </c>
      <c r="AA29" s="40" t="str">
        <f t="shared" si="934"/>
        <v/>
      </c>
      <c r="AB29" s="40" t="str">
        <f t="shared" si="934"/>
        <v/>
      </c>
      <c r="AC29" s="40" t="str">
        <f t="shared" si="934"/>
        <v/>
      </c>
      <c r="AD29" s="40" t="str">
        <f t="shared" si="934"/>
        <v/>
      </c>
      <c r="AE29" s="40" t="str">
        <f t="shared" si="934"/>
        <v/>
      </c>
      <c r="AF29" s="40" t="str">
        <f t="shared" si="934"/>
        <v/>
      </c>
      <c r="AG29" s="40" t="str">
        <f t="shared" si="934"/>
        <v/>
      </c>
      <c r="AH29" s="40" t="str">
        <f t="shared" si="934"/>
        <v/>
      </c>
      <c r="AI29" s="40" t="str">
        <f t="shared" si="934"/>
        <v/>
      </c>
      <c r="AJ29" s="40" t="str">
        <f t="shared" si="934"/>
        <v/>
      </c>
      <c r="AK29" s="40" t="str">
        <f t="shared" si="934"/>
        <v/>
      </c>
      <c r="AL29" s="40" t="str">
        <f t="shared" si="934"/>
        <v/>
      </c>
      <c r="AM29" s="41">
        <f t="shared" ref="AM29" si="935">IF(AND(AM27&lt;&gt;0,AM28&lt;&gt;0),(AM27-AM28)/AM28,IF(AND(AM27=0,AM28=0),"",IF(AND(AM27="",AM28=""),"",IF(AND(AM27=0,AM28=""),"", IF(AND(AM27="",AM28=0),"",1)))))</f>
        <v>1.3454975778940406E-4</v>
      </c>
      <c r="AN29" s="39" t="str">
        <f t="shared" ref="AN29" si="936">IF(AND(AN27&lt;&gt;0,AN28&lt;&gt;0),(AN27-AN28)/AN28,IF(AND(AN27=0,AN28=0),"",IF(AND(AN27="",AN28=""),"",IF(AND(AN27=0,AN28=""),"", IF(AND(AN27="",AN28=0),"",1)))))</f>
        <v/>
      </c>
      <c r="AO29" s="40" t="str">
        <f t="shared" ref="AO29" si="937">IF(AND(AO27&lt;&gt;0,AO28&lt;&gt;0),(AO27-AO28)/AO28,IF(AND(AO27=0,AO28=0),"",IF(AND(AO27="",AO28=""),"",IF(AND(AO27=0,AO28=""),"", IF(AND(AO27="",AO28=0),"",1)))))</f>
        <v/>
      </c>
      <c r="AP29" s="40" t="str">
        <f t="shared" ref="AP29" si="938">IF(AND(AP27&lt;&gt;0,AP28&lt;&gt;0),(AP27-AP28)/AP28,IF(AND(AP27=0,AP28=0),"",IF(AND(AP27="",AP28=""),"",IF(AND(AP27=0,AP28=""),"", IF(AND(AP27="",AP28=0),"",1)))))</f>
        <v/>
      </c>
      <c r="AQ29" s="40" t="str">
        <f t="shared" ref="AQ29" si="939">IF(AND(AQ27&lt;&gt;0,AQ28&lt;&gt;0),(AQ27-AQ28)/AQ28,IF(AND(AQ27=0,AQ28=0),"",IF(AND(AQ27="",AQ28=""),"",IF(AND(AQ27=0,AQ28=""),"", IF(AND(AQ27="",AQ28=0),"",1)))))</f>
        <v/>
      </c>
      <c r="AR29" s="40" t="str">
        <f t="shared" ref="AR29" si="940">IF(AND(AR27&lt;&gt;0,AR28&lt;&gt;0),(AR27-AR28)/AR28,IF(AND(AR27=0,AR28=0),"",IF(AND(AR27="",AR28=""),"",IF(AND(AR27=0,AR28=""),"", IF(AND(AR27="",AR28=0),"",1)))))</f>
        <v/>
      </c>
      <c r="AS29" s="40" t="str">
        <f t="shared" ref="AS29" si="941">IF(AND(AS27&lt;&gt;0,AS28&lt;&gt;0),(AS27-AS28)/AS28,IF(AND(AS27=0,AS28=0),"",IF(AND(AS27="",AS28=""),"",IF(AND(AS27=0,AS28=""),"", IF(AND(AS27="",AS28=0),"",1)))))</f>
        <v/>
      </c>
      <c r="AT29" s="40" t="str">
        <f t="shared" ref="AT29" si="942">IF(AND(AT27&lt;&gt;0,AT28&lt;&gt;0),(AT27-AT28)/AT28,IF(AND(AT27=0,AT28=0),"",IF(AND(AT27="",AT28=""),"",IF(AND(AT27=0,AT28=""),"", IF(AND(AT27="",AT28=0),"",1)))))</f>
        <v/>
      </c>
      <c r="AU29" s="40" t="str">
        <f t="shared" ref="AU29" si="943">IF(AND(AU27&lt;&gt;0,AU28&lt;&gt;0),(AU27-AU28)/AU28,IF(AND(AU27=0,AU28=0),"",IF(AND(AU27="",AU28=""),"",IF(AND(AU27=0,AU28=""),"", IF(AND(AU27="",AU28=0),"",1)))))</f>
        <v/>
      </c>
      <c r="AV29" s="40" t="str">
        <f t="shared" ref="AV29" si="944">IF(AND(AV27&lt;&gt;0,AV28&lt;&gt;0),(AV27-AV28)/AV28,IF(AND(AV27=0,AV28=0),"",IF(AND(AV27="",AV28=""),"",IF(AND(AV27=0,AV28=""),"", IF(AND(AV27="",AV28=0),"",1)))))</f>
        <v/>
      </c>
      <c r="AW29" s="40" t="str">
        <f t="shared" ref="AW29" si="945">IF(AND(AW27&lt;&gt;0,AW28&lt;&gt;0),(AW27-AW28)/AW28,IF(AND(AW27=0,AW28=0),"",IF(AND(AW27="",AW28=""),"",IF(AND(AW27=0,AW28=""),"", IF(AND(AW27="",AW28=0),"",1)))))</f>
        <v/>
      </c>
      <c r="AX29" s="40" t="str">
        <f t="shared" ref="AX29" si="946">IF(AND(AX27&lt;&gt;0,AX28&lt;&gt;0),(AX27-AX28)/AX28,IF(AND(AX27=0,AX28=0),"",IF(AND(AX27="",AX28=""),"",IF(AND(AX27=0,AX28=""),"", IF(AND(AX27="",AX28=0),"",1)))))</f>
        <v/>
      </c>
      <c r="AY29" s="40" t="str">
        <f t="shared" ref="AY29" si="947">IF(AND(AY27&lt;&gt;0,AY28&lt;&gt;0),(AY27-AY28)/AY28,IF(AND(AY27=0,AY28=0),"",IF(AND(AY27="",AY28=""),"",IF(AND(AY27=0,AY28=""),"", IF(AND(AY27="",AY28=0),"",1)))))</f>
        <v/>
      </c>
      <c r="AZ29" s="40" t="str">
        <f t="shared" ref="AZ29" si="948">IF(AND(AZ27&lt;&gt;0,AZ28&lt;&gt;0),(AZ27-AZ28)/AZ28,IF(AND(AZ27=0,AZ28=0),"",IF(AND(AZ27="",AZ28=""),"",IF(AND(AZ27=0,AZ28=""),"", IF(AND(AZ27="",AZ28=0),"",1)))))</f>
        <v/>
      </c>
      <c r="BA29" s="40" t="str">
        <f t="shared" ref="BA29" si="949">IF(AND(BA27&lt;&gt;0,BA28&lt;&gt;0),(BA27-BA28)/BA28,IF(AND(BA27=0,BA28=0),"",IF(AND(BA27="",BA28=""),"",IF(AND(BA27=0,BA28=""),"", IF(AND(BA27="",BA28=0),"",1)))))</f>
        <v/>
      </c>
      <c r="BB29" s="40" t="str">
        <f t="shared" ref="BB29" si="950">IF(AND(BB27&lt;&gt;0,BB28&lt;&gt;0),(BB27-BB28)/BB28,IF(AND(BB27=0,BB28=0),"",IF(AND(BB27="",BB28=""),"",IF(AND(BB27=0,BB28=""),"", IF(AND(BB27="",BB28=0),"",1)))))</f>
        <v/>
      </c>
      <c r="BC29" s="40" t="str">
        <f t="shared" ref="BC29" si="951">IF(AND(BC27&lt;&gt;0,BC28&lt;&gt;0),(BC27-BC28)/BC28,IF(AND(BC27=0,BC28=0),"",IF(AND(BC27="",BC28=""),"",IF(AND(BC27=0,BC28=""),"", IF(AND(BC27="",BC28=0),"",1)))))</f>
        <v/>
      </c>
      <c r="BD29" s="40" t="str">
        <f t="shared" ref="BD29" si="952">IF(AND(BD27&lt;&gt;0,BD28&lt;&gt;0),(BD27-BD28)/BD28,IF(AND(BD27=0,BD28=0),"",IF(AND(BD27="",BD28=""),"",IF(AND(BD27=0,BD28=""),"", IF(AND(BD27="",BD28=0),"",1)))))</f>
        <v/>
      </c>
      <c r="BE29" s="40" t="str">
        <f t="shared" ref="BE29" si="953">IF(AND(BE27&lt;&gt;0,BE28&lt;&gt;0),(BE27-BE28)/BE28,IF(AND(BE27=0,BE28=0),"",IF(AND(BE27="",BE28=""),"",IF(AND(BE27=0,BE28=""),"", IF(AND(BE27="",BE28=0),"",1)))))</f>
        <v/>
      </c>
      <c r="BF29" s="40" t="str">
        <f t="shared" ref="BF29" si="954">IF(AND(BF27&lt;&gt;0,BF28&lt;&gt;0),(BF27-BF28)/BF28,IF(AND(BF27=0,BF28=0),"",IF(AND(BF27="",BF28=""),"",IF(AND(BF27=0,BF28=""),"", IF(AND(BF27="",BF28=0),"",1)))))</f>
        <v/>
      </c>
      <c r="BG29" s="40" t="str">
        <f t="shared" ref="BG29" si="955">IF(AND(BG27&lt;&gt;0,BG28&lt;&gt;0),(BG27-BG28)/BG28,IF(AND(BG27=0,BG28=0),"",IF(AND(BG27="",BG28=""),"",IF(AND(BG27=0,BG28=""),"", IF(AND(BG27="",BG28=0),"",1)))))</f>
        <v/>
      </c>
      <c r="BH29" s="40" t="str">
        <f t="shared" ref="BH29" si="956">IF(AND(BH27&lt;&gt;0,BH28&lt;&gt;0),(BH27-BH28)/BH28,IF(AND(BH27=0,BH28=0),"",IF(AND(BH27="",BH28=""),"",IF(AND(BH27=0,BH28=""),"", IF(AND(BH27="",BH28=0),"",1)))))</f>
        <v/>
      </c>
      <c r="BI29" s="40" t="str">
        <f t="shared" ref="BI29" si="957">IF(AND(BI27&lt;&gt;0,BI28&lt;&gt;0),(BI27-BI28)/BI28,IF(AND(BI27=0,BI28=0),"",IF(AND(BI27="",BI28=""),"",IF(AND(BI27=0,BI28=""),"", IF(AND(BI27="",BI28=0),"",1)))))</f>
        <v/>
      </c>
      <c r="BJ29" s="40" t="str">
        <f t="shared" ref="BJ29:BX29" si="958">IF(AND(BJ27&lt;&gt;0,BJ28&lt;&gt;0),(BJ27-BJ28)/BJ28,IF(AND(BJ27=0,BJ28=0),"",IF(AND(BJ27="",BJ28=""),"",IF(AND(BJ27=0,BJ28=""),"", IF(AND(BJ27="",BJ28=0),"",1)))))</f>
        <v/>
      </c>
      <c r="BK29" s="40" t="str">
        <f t="shared" si="958"/>
        <v/>
      </c>
      <c r="BL29" s="40" t="str">
        <f t="shared" si="958"/>
        <v/>
      </c>
      <c r="BM29" s="40" t="str">
        <f t="shared" si="958"/>
        <v/>
      </c>
      <c r="BN29" s="40" t="str">
        <f t="shared" si="958"/>
        <v/>
      </c>
      <c r="BO29" s="40" t="str">
        <f t="shared" si="958"/>
        <v/>
      </c>
      <c r="BP29" s="40" t="str">
        <f t="shared" si="958"/>
        <v/>
      </c>
      <c r="BQ29" s="40" t="str">
        <f t="shared" si="958"/>
        <v/>
      </c>
      <c r="BR29" s="40" t="str">
        <f t="shared" si="958"/>
        <v/>
      </c>
      <c r="BS29" s="40" t="str">
        <f t="shared" si="958"/>
        <v/>
      </c>
      <c r="BT29" s="40" t="str">
        <f t="shared" si="958"/>
        <v/>
      </c>
      <c r="BU29" s="40" t="str">
        <f t="shared" si="958"/>
        <v/>
      </c>
      <c r="BV29" s="40" t="str">
        <f t="shared" si="958"/>
        <v/>
      </c>
      <c r="BW29" s="40" t="str">
        <f t="shared" si="958"/>
        <v/>
      </c>
      <c r="BX29" s="40" t="str">
        <f t="shared" si="958"/>
        <v/>
      </c>
      <c r="BY29" s="41" t="str">
        <f t="shared" ref="BY29" si="959">IF(AND(BY27&lt;&gt;0,BY28&lt;&gt;0),(BY27-BY28)/BY28,IF(AND(BY27=0,BY28=0),"",IF(AND(BY27="",BY28=""),"",IF(AND(BY27=0,BY28=""),"", IF(AND(BY27="",BY28=0),"",1)))))</f>
        <v/>
      </c>
      <c r="BZ29" s="39" t="str">
        <f t="shared" ref="BZ29" si="960">IF(AND(BZ27&lt;&gt;0,BZ28&lt;&gt;0),(BZ27-BZ28)/BZ28,IF(AND(BZ27=0,BZ28=0),"",IF(AND(BZ27="",BZ28=""),"",IF(AND(BZ27=0,BZ28=""),"", IF(AND(BZ27="",BZ28=0),"",1)))))</f>
        <v/>
      </c>
      <c r="CA29" s="40" t="str">
        <f t="shared" ref="CA29" si="961">IF(AND(CA27&lt;&gt;0,CA28&lt;&gt;0),(CA27-CA28)/CA28,IF(AND(CA27=0,CA28=0),"",IF(AND(CA27="",CA28=""),"",IF(AND(CA27=0,CA28=""),"", IF(AND(CA27="",CA28=0),"",1)))))</f>
        <v/>
      </c>
      <c r="CB29" s="40" t="str">
        <f t="shared" ref="CB29" si="962">IF(AND(CB27&lt;&gt;0,CB28&lt;&gt;0),(CB27-CB28)/CB28,IF(AND(CB27=0,CB28=0),"",IF(AND(CB27="",CB28=""),"",IF(AND(CB27=0,CB28=""),"", IF(AND(CB27="",CB28=0),"",1)))))</f>
        <v/>
      </c>
      <c r="CC29" s="40" t="str">
        <f t="shared" ref="CC29" si="963">IF(AND(CC27&lt;&gt;0,CC28&lt;&gt;0),(CC27-CC28)/CC28,IF(AND(CC27=0,CC28=0),"",IF(AND(CC27="",CC28=""),"",IF(AND(CC27=0,CC28=""),"", IF(AND(CC27="",CC28=0),"",1)))))</f>
        <v/>
      </c>
      <c r="CD29" s="40" t="str">
        <f t="shared" ref="CD29" si="964">IF(AND(CD27&lt;&gt;0,CD28&lt;&gt;0),(CD27-CD28)/CD28,IF(AND(CD27=0,CD28=0),"",IF(AND(CD27="",CD28=""),"",IF(AND(CD27=0,CD28=""),"", IF(AND(CD27="",CD28=0),"",1)))))</f>
        <v/>
      </c>
      <c r="CE29" s="40" t="str">
        <f t="shared" ref="CE29" si="965">IF(AND(CE27&lt;&gt;0,CE28&lt;&gt;0),(CE27-CE28)/CE28,IF(AND(CE27=0,CE28=0),"",IF(AND(CE27="",CE28=""),"",IF(AND(CE27=0,CE28=""),"", IF(AND(CE27="",CE28=0),"",1)))))</f>
        <v/>
      </c>
      <c r="CF29" s="40" t="str">
        <f t="shared" ref="CF29" si="966">IF(AND(CF27&lt;&gt;0,CF28&lt;&gt;0),(CF27-CF28)/CF28,IF(AND(CF27=0,CF28=0),"",IF(AND(CF27="",CF28=""),"",IF(AND(CF27=0,CF28=""),"", IF(AND(CF27="",CF28=0),"",1)))))</f>
        <v/>
      </c>
      <c r="CG29" s="40" t="str">
        <f t="shared" ref="CG29" si="967">IF(AND(CG27&lt;&gt;0,CG28&lt;&gt;0),(CG27-CG28)/CG28,IF(AND(CG27=0,CG28=0),"",IF(AND(CG27="",CG28=""),"",IF(AND(CG27=0,CG28=""),"", IF(AND(CG27="",CG28=0),"",1)))))</f>
        <v/>
      </c>
      <c r="CH29" s="40" t="str">
        <f t="shared" ref="CH29" si="968">IF(AND(CH27&lt;&gt;0,CH28&lt;&gt;0),(CH27-CH28)/CH28,IF(AND(CH27=0,CH28=0),"",IF(AND(CH27="",CH28=""),"",IF(AND(CH27=0,CH28=""),"", IF(AND(CH27="",CH28=0),"",1)))))</f>
        <v/>
      </c>
      <c r="CI29" s="40" t="str">
        <f t="shared" ref="CI29" si="969">IF(AND(CI27&lt;&gt;0,CI28&lt;&gt;0),(CI27-CI28)/CI28,IF(AND(CI27=0,CI28=0),"",IF(AND(CI27="",CI28=""),"",IF(AND(CI27=0,CI28=""),"", IF(AND(CI27="",CI28=0),"",1)))))</f>
        <v/>
      </c>
      <c r="CJ29" s="40" t="str">
        <f t="shared" ref="CJ29" si="970">IF(AND(CJ27&lt;&gt;0,CJ28&lt;&gt;0),(CJ27-CJ28)/CJ28,IF(AND(CJ27=0,CJ28=0),"",IF(AND(CJ27="",CJ28=""),"",IF(AND(CJ27=0,CJ28=""),"", IF(AND(CJ27="",CJ28=0),"",1)))))</f>
        <v/>
      </c>
      <c r="CK29" s="40" t="str">
        <f t="shared" ref="CK29" si="971">IF(AND(CK27&lt;&gt;0,CK28&lt;&gt;0),(CK27-CK28)/CK28,IF(AND(CK27=0,CK28=0),"",IF(AND(CK27="",CK28=""),"",IF(AND(CK27=0,CK28=""),"", IF(AND(CK27="",CK28=0),"",1)))))</f>
        <v/>
      </c>
      <c r="CL29" s="40" t="str">
        <f t="shared" ref="CL29" si="972">IF(AND(CL27&lt;&gt;0,CL28&lt;&gt;0),(CL27-CL28)/CL28,IF(AND(CL27=0,CL28=0),"",IF(AND(CL27="",CL28=""),"",IF(AND(CL27=0,CL28=""),"", IF(AND(CL27="",CL28=0),"",1)))))</f>
        <v/>
      </c>
      <c r="CM29" s="40" t="str">
        <f t="shared" ref="CM29" si="973">IF(AND(CM27&lt;&gt;0,CM28&lt;&gt;0),(CM27-CM28)/CM28,IF(AND(CM27=0,CM28=0),"",IF(AND(CM27="",CM28=""),"",IF(AND(CM27=0,CM28=""),"", IF(AND(CM27="",CM28=0),"",1)))))</f>
        <v/>
      </c>
      <c r="CN29" s="40" t="str">
        <f t="shared" ref="CN29" si="974">IF(AND(CN27&lt;&gt;0,CN28&lt;&gt;0),(CN27-CN28)/CN28,IF(AND(CN27=0,CN28=0),"",IF(AND(CN27="",CN28=""),"",IF(AND(CN27=0,CN28=""),"", IF(AND(CN27="",CN28=0),"",1)))))</f>
        <v/>
      </c>
      <c r="CO29" s="40" t="str">
        <f t="shared" ref="CO29" si="975">IF(AND(CO27&lt;&gt;0,CO28&lt;&gt;0),(CO27-CO28)/CO28,IF(AND(CO27=0,CO28=0),"",IF(AND(CO27="",CO28=""),"",IF(AND(CO27=0,CO28=""),"", IF(AND(CO27="",CO28=0),"",1)))))</f>
        <v/>
      </c>
      <c r="CP29" s="40" t="str">
        <f t="shared" ref="CP29" si="976">IF(AND(CP27&lt;&gt;0,CP28&lt;&gt;0),(CP27-CP28)/CP28,IF(AND(CP27=0,CP28=0),"",IF(AND(CP27="",CP28=""),"",IF(AND(CP27=0,CP28=""),"", IF(AND(CP27="",CP28=0),"",1)))))</f>
        <v/>
      </c>
      <c r="CQ29" s="40" t="str">
        <f t="shared" ref="CQ29" si="977">IF(AND(CQ27&lt;&gt;0,CQ28&lt;&gt;0),(CQ27-CQ28)/CQ28,IF(AND(CQ27=0,CQ28=0),"",IF(AND(CQ27="",CQ28=""),"",IF(AND(CQ27=0,CQ28=""),"", IF(AND(CQ27="",CQ28=0),"",1)))))</f>
        <v/>
      </c>
      <c r="CR29" s="40" t="str">
        <f t="shared" ref="CR29" si="978">IF(AND(CR27&lt;&gt;0,CR28&lt;&gt;0),(CR27-CR28)/CR28,IF(AND(CR27=0,CR28=0),"",IF(AND(CR27="",CR28=""),"",IF(AND(CR27=0,CR28=""),"", IF(AND(CR27="",CR28=0),"",1)))))</f>
        <v/>
      </c>
      <c r="CS29" s="40" t="str">
        <f t="shared" ref="CS29" si="979">IF(AND(CS27&lt;&gt;0,CS28&lt;&gt;0),(CS27-CS28)/CS28,IF(AND(CS27=0,CS28=0),"",IF(AND(CS27="",CS28=""),"",IF(AND(CS27=0,CS28=""),"", IF(AND(CS27="",CS28=0),"",1)))))</f>
        <v/>
      </c>
      <c r="CT29" s="40" t="str">
        <f t="shared" ref="CT29" si="980">IF(AND(CT27&lt;&gt;0,CT28&lt;&gt;0),(CT27-CT28)/CT28,IF(AND(CT27=0,CT28=0),"",IF(AND(CT27="",CT28=""),"",IF(AND(CT27=0,CT28=""),"", IF(AND(CT27="",CT28=0),"",1)))))</f>
        <v/>
      </c>
      <c r="CU29" s="40" t="str">
        <f t="shared" ref="CU29" si="981">IF(AND(CU27&lt;&gt;0,CU28&lt;&gt;0),(CU27-CU28)/CU28,IF(AND(CU27=0,CU28=0),"",IF(AND(CU27="",CU28=""),"",IF(AND(CU27=0,CU28=""),"", IF(AND(CU27="",CU28=0),"",1)))))</f>
        <v/>
      </c>
      <c r="CV29" s="40" t="str">
        <f t="shared" ref="CV29:DJ29" si="982">IF(AND(CV27&lt;&gt;0,CV28&lt;&gt;0),(CV27-CV28)/CV28,IF(AND(CV27=0,CV28=0),"",IF(AND(CV27="",CV28=""),"",IF(AND(CV27=0,CV28=""),"", IF(AND(CV27="",CV28=0),"",1)))))</f>
        <v/>
      </c>
      <c r="CW29" s="40" t="str">
        <f t="shared" si="982"/>
        <v/>
      </c>
      <c r="CX29" s="40" t="str">
        <f t="shared" si="982"/>
        <v/>
      </c>
      <c r="CY29" s="40" t="str">
        <f t="shared" si="982"/>
        <v/>
      </c>
      <c r="CZ29" s="40" t="str">
        <f t="shared" si="982"/>
        <v/>
      </c>
      <c r="DA29" s="40" t="str">
        <f t="shared" si="982"/>
        <v/>
      </c>
      <c r="DB29" s="40" t="str">
        <f t="shared" si="982"/>
        <v/>
      </c>
      <c r="DC29" s="40" t="str">
        <f t="shared" si="982"/>
        <v/>
      </c>
      <c r="DD29" s="40" t="str">
        <f t="shared" si="982"/>
        <v/>
      </c>
      <c r="DE29" s="40" t="str">
        <f t="shared" si="982"/>
        <v/>
      </c>
      <c r="DF29" s="40" t="str">
        <f t="shared" si="982"/>
        <v/>
      </c>
      <c r="DG29" s="40" t="str">
        <f t="shared" si="982"/>
        <v/>
      </c>
      <c r="DH29" s="40" t="str">
        <f t="shared" si="982"/>
        <v/>
      </c>
      <c r="DI29" s="40" t="str">
        <f t="shared" si="982"/>
        <v/>
      </c>
      <c r="DJ29" s="40" t="str">
        <f t="shared" si="982"/>
        <v/>
      </c>
      <c r="DK29" s="41" t="str">
        <f t="shared" ref="DK29:HU29" si="983">IF(AND(DK27&lt;&gt;0,DK28&lt;&gt;0),(DK27-DK28)/DK28,IF(AND(DK27=0,DK28=0),"",IF(AND(DK27="",DK28=""),"",IF(AND(DK27=0,DK28=""),"", IF(AND(DK27="",DK28=0),"",1)))))</f>
        <v/>
      </c>
      <c r="DL29" s="72" t="str">
        <f t="shared" si="983"/>
        <v/>
      </c>
      <c r="DM29" s="73" t="str">
        <f t="shared" si="983"/>
        <v/>
      </c>
      <c r="DN29" s="73" t="str">
        <f t="shared" si="983"/>
        <v/>
      </c>
      <c r="DO29" s="73" t="str">
        <f t="shared" si="983"/>
        <v/>
      </c>
      <c r="DP29" s="73" t="str">
        <f t="shared" si="983"/>
        <v/>
      </c>
      <c r="DQ29" s="73" t="str">
        <f t="shared" si="983"/>
        <v/>
      </c>
      <c r="DR29" s="73" t="str">
        <f t="shared" si="983"/>
        <v/>
      </c>
      <c r="DS29" s="73" t="str">
        <f t="shared" si="983"/>
        <v/>
      </c>
      <c r="DT29" s="73" t="str">
        <f t="shared" si="983"/>
        <v/>
      </c>
      <c r="DU29" s="73" t="str">
        <f t="shared" si="983"/>
        <v/>
      </c>
      <c r="DV29" s="73" t="str">
        <f t="shared" si="983"/>
        <v/>
      </c>
      <c r="DW29" s="73" t="str">
        <f t="shared" si="983"/>
        <v/>
      </c>
      <c r="DX29" s="73" t="str">
        <f t="shared" si="983"/>
        <v/>
      </c>
      <c r="DY29" s="73" t="str">
        <f t="shared" si="983"/>
        <v/>
      </c>
      <c r="DZ29" s="73" t="str">
        <f t="shared" si="983"/>
        <v/>
      </c>
      <c r="EA29" s="73" t="str">
        <f t="shared" si="983"/>
        <v/>
      </c>
      <c r="EB29" s="73" t="str">
        <f t="shared" si="983"/>
        <v/>
      </c>
      <c r="EC29" s="73" t="str">
        <f t="shared" si="983"/>
        <v/>
      </c>
      <c r="ED29" s="73" t="str">
        <f t="shared" si="983"/>
        <v/>
      </c>
      <c r="EE29" s="73" t="str">
        <f t="shared" si="983"/>
        <v/>
      </c>
      <c r="EF29" s="73" t="str">
        <f t="shared" si="983"/>
        <v/>
      </c>
      <c r="EG29" s="73" t="str">
        <f t="shared" si="983"/>
        <v/>
      </c>
      <c r="EH29" s="73" t="str">
        <f t="shared" si="983"/>
        <v/>
      </c>
      <c r="EI29" s="73" t="str">
        <f t="shared" ref="EI29:EV29" si="984">IF(AND(EI27&lt;&gt;0,EI28&lt;&gt;0),(EI27-EI28)/EI28,IF(AND(EI27=0,EI28=0),"",IF(AND(EI27="",EI28=""),"",IF(AND(EI27=0,EI28=""),"", IF(AND(EI27="",EI28=0),"",1)))))</f>
        <v/>
      </c>
      <c r="EJ29" s="73" t="str">
        <f t="shared" si="984"/>
        <v/>
      </c>
      <c r="EK29" s="73" t="str">
        <f t="shared" si="984"/>
        <v/>
      </c>
      <c r="EL29" s="73" t="str">
        <f t="shared" si="984"/>
        <v/>
      </c>
      <c r="EM29" s="73" t="str">
        <f t="shared" si="984"/>
        <v/>
      </c>
      <c r="EN29" s="73" t="str">
        <f t="shared" si="984"/>
        <v/>
      </c>
      <c r="EO29" s="73" t="str">
        <f t="shared" si="984"/>
        <v/>
      </c>
      <c r="EP29" s="73" t="str">
        <f t="shared" si="984"/>
        <v/>
      </c>
      <c r="EQ29" s="73" t="str">
        <f t="shared" si="984"/>
        <v/>
      </c>
      <c r="ER29" s="73" t="str">
        <f t="shared" si="984"/>
        <v/>
      </c>
      <c r="ES29" s="73" t="str">
        <f t="shared" si="984"/>
        <v/>
      </c>
      <c r="ET29" s="73" t="str">
        <f t="shared" si="984"/>
        <v/>
      </c>
      <c r="EU29" s="73" t="str">
        <f t="shared" si="984"/>
        <v/>
      </c>
      <c r="EV29" s="73" t="str">
        <f t="shared" si="984"/>
        <v/>
      </c>
      <c r="EW29" s="74" t="str">
        <f t="shared" si="983"/>
        <v/>
      </c>
      <c r="EX29" s="72" t="str">
        <f t="shared" ref="EX29:GI29" si="985">IF(AND(EX27&lt;&gt;0,EX28&lt;&gt;0),(EX27-EX28)/EX28,IF(AND(EX27=0,EX28=0),"",IF(AND(EX27="",EX28=""),"",IF(AND(EX27=0,EX28=""),"", IF(AND(EX27="",EX28=0),"",1)))))</f>
        <v/>
      </c>
      <c r="EY29" s="73" t="str">
        <f t="shared" si="985"/>
        <v/>
      </c>
      <c r="EZ29" s="73" t="str">
        <f t="shared" si="985"/>
        <v/>
      </c>
      <c r="FA29" s="73" t="str">
        <f t="shared" si="985"/>
        <v/>
      </c>
      <c r="FB29" s="73" t="str">
        <f t="shared" si="985"/>
        <v/>
      </c>
      <c r="FC29" s="73" t="str">
        <f t="shared" si="985"/>
        <v/>
      </c>
      <c r="FD29" s="73" t="str">
        <f t="shared" si="985"/>
        <v/>
      </c>
      <c r="FE29" s="73" t="str">
        <f t="shared" si="985"/>
        <v/>
      </c>
      <c r="FF29" s="73" t="str">
        <f t="shared" si="985"/>
        <v/>
      </c>
      <c r="FG29" s="73" t="str">
        <f t="shared" si="985"/>
        <v/>
      </c>
      <c r="FH29" s="73" t="str">
        <f t="shared" si="985"/>
        <v/>
      </c>
      <c r="FI29" s="73" t="str">
        <f t="shared" si="985"/>
        <v/>
      </c>
      <c r="FJ29" s="73" t="str">
        <f t="shared" si="985"/>
        <v/>
      </c>
      <c r="FK29" s="73" t="str">
        <f t="shared" si="985"/>
        <v/>
      </c>
      <c r="FL29" s="73" t="str">
        <f t="shared" si="985"/>
        <v/>
      </c>
      <c r="FM29" s="73" t="str">
        <f t="shared" si="985"/>
        <v/>
      </c>
      <c r="FN29" s="73" t="str">
        <f t="shared" si="985"/>
        <v/>
      </c>
      <c r="FO29" s="73" t="str">
        <f t="shared" si="985"/>
        <v/>
      </c>
      <c r="FP29" s="73" t="str">
        <f t="shared" si="985"/>
        <v/>
      </c>
      <c r="FQ29" s="73" t="str">
        <f t="shared" si="985"/>
        <v/>
      </c>
      <c r="FR29" s="73" t="str">
        <f t="shared" si="985"/>
        <v/>
      </c>
      <c r="FS29" s="73" t="str">
        <f t="shared" si="985"/>
        <v/>
      </c>
      <c r="FT29" s="73" t="str">
        <f t="shared" si="985"/>
        <v/>
      </c>
      <c r="FU29" s="73" t="str">
        <f t="shared" ref="FU29:GH29" si="986">IF(AND(FU27&lt;&gt;0,FU28&lt;&gt;0),(FU27-FU28)/FU28,IF(AND(FU27=0,FU28=0),"",IF(AND(FU27="",FU28=""),"",IF(AND(FU27=0,FU28=""),"", IF(AND(FU27="",FU28=0),"",1)))))</f>
        <v/>
      </c>
      <c r="FV29" s="73" t="str">
        <f t="shared" si="986"/>
        <v/>
      </c>
      <c r="FW29" s="73" t="str">
        <f t="shared" si="986"/>
        <v/>
      </c>
      <c r="FX29" s="73" t="str">
        <f t="shared" si="986"/>
        <v/>
      </c>
      <c r="FY29" s="73" t="str">
        <f t="shared" si="986"/>
        <v/>
      </c>
      <c r="FZ29" s="73" t="str">
        <f t="shared" si="986"/>
        <v/>
      </c>
      <c r="GA29" s="73" t="str">
        <f t="shared" si="986"/>
        <v/>
      </c>
      <c r="GB29" s="73" t="str">
        <f t="shared" si="986"/>
        <v/>
      </c>
      <c r="GC29" s="73" t="str">
        <f t="shared" si="986"/>
        <v/>
      </c>
      <c r="GD29" s="73" t="str">
        <f t="shared" si="986"/>
        <v/>
      </c>
      <c r="GE29" s="73" t="str">
        <f t="shared" si="986"/>
        <v/>
      </c>
      <c r="GF29" s="73" t="str">
        <f t="shared" si="986"/>
        <v/>
      </c>
      <c r="GG29" s="73" t="str">
        <f t="shared" si="986"/>
        <v/>
      </c>
      <c r="GH29" s="73" t="str">
        <f t="shared" si="986"/>
        <v/>
      </c>
      <c r="GI29" s="74" t="str">
        <f t="shared" si="985"/>
        <v/>
      </c>
      <c r="GJ29" s="72" t="str">
        <f t="shared" si="983"/>
        <v/>
      </c>
      <c r="GK29" s="73" t="str">
        <f t="shared" si="983"/>
        <v/>
      </c>
      <c r="GL29" s="73" t="str">
        <f t="shared" si="983"/>
        <v/>
      </c>
      <c r="GM29" s="73" t="str">
        <f t="shared" si="983"/>
        <v/>
      </c>
      <c r="GN29" s="73" t="str">
        <f t="shared" si="983"/>
        <v/>
      </c>
      <c r="GO29" s="73" t="str">
        <f t="shared" si="983"/>
        <v/>
      </c>
      <c r="GP29" s="73" t="str">
        <f t="shared" si="983"/>
        <v/>
      </c>
      <c r="GQ29" s="73" t="str">
        <f t="shared" si="983"/>
        <v/>
      </c>
      <c r="GR29" s="73" t="str">
        <f t="shared" si="983"/>
        <v/>
      </c>
      <c r="GS29" s="73" t="str">
        <f t="shared" si="983"/>
        <v/>
      </c>
      <c r="GT29" s="73" t="str">
        <f t="shared" si="983"/>
        <v/>
      </c>
      <c r="GU29" s="73" t="str">
        <f t="shared" si="983"/>
        <v/>
      </c>
      <c r="GV29" s="73" t="str">
        <f t="shared" si="983"/>
        <v/>
      </c>
      <c r="GW29" s="73" t="str">
        <f t="shared" si="983"/>
        <v/>
      </c>
      <c r="GX29" s="73" t="str">
        <f t="shared" si="983"/>
        <v/>
      </c>
      <c r="GY29" s="73" t="str">
        <f t="shared" si="983"/>
        <v/>
      </c>
      <c r="GZ29" s="73" t="str">
        <f t="shared" si="983"/>
        <v/>
      </c>
      <c r="HA29" s="73" t="str">
        <f t="shared" si="983"/>
        <v/>
      </c>
      <c r="HB29" s="73" t="str">
        <f t="shared" si="983"/>
        <v/>
      </c>
      <c r="HC29" s="73" t="str">
        <f t="shared" si="983"/>
        <v/>
      </c>
      <c r="HD29" s="73" t="str">
        <f t="shared" si="983"/>
        <v/>
      </c>
      <c r="HE29" s="73" t="str">
        <f t="shared" si="983"/>
        <v/>
      </c>
      <c r="HF29" s="73" t="str">
        <f t="shared" si="983"/>
        <v/>
      </c>
      <c r="HG29" s="73" t="str">
        <f t="shared" ref="HG29:HT29" si="987">IF(AND(HG27&lt;&gt;0,HG28&lt;&gt;0),(HG27-HG28)/HG28,IF(AND(HG27=0,HG28=0),"",IF(AND(HG27="",HG28=""),"",IF(AND(HG27=0,HG28=""),"", IF(AND(HG27="",HG28=0),"",1)))))</f>
        <v/>
      </c>
      <c r="HH29" s="73" t="str">
        <f t="shared" si="987"/>
        <v/>
      </c>
      <c r="HI29" s="73" t="str">
        <f t="shared" si="987"/>
        <v/>
      </c>
      <c r="HJ29" s="73" t="str">
        <f t="shared" si="987"/>
        <v/>
      </c>
      <c r="HK29" s="73" t="str">
        <f t="shared" si="987"/>
        <v/>
      </c>
      <c r="HL29" s="73" t="str">
        <f t="shared" si="987"/>
        <v/>
      </c>
      <c r="HM29" s="73" t="str">
        <f t="shared" si="987"/>
        <v/>
      </c>
      <c r="HN29" s="73" t="str">
        <f t="shared" si="987"/>
        <v/>
      </c>
      <c r="HO29" s="73" t="str">
        <f t="shared" si="987"/>
        <v/>
      </c>
      <c r="HP29" s="73" t="str">
        <f t="shared" si="987"/>
        <v/>
      </c>
      <c r="HQ29" s="73" t="str">
        <f t="shared" si="987"/>
        <v/>
      </c>
      <c r="HR29" s="73" t="str">
        <f t="shared" si="987"/>
        <v/>
      </c>
      <c r="HS29" s="73" t="str">
        <f t="shared" si="987"/>
        <v/>
      </c>
      <c r="HT29" s="73" t="str">
        <f t="shared" si="987"/>
        <v/>
      </c>
      <c r="HU29" s="74" t="str">
        <f t="shared" si="983"/>
        <v/>
      </c>
      <c r="HV29" s="39">
        <f t="shared" ref="HV29" si="988">IF(AND(HV27&lt;&gt;0,HV28&lt;&gt;0),(HV27-HV28)/HV28,IF(AND(HV27=0,HV28=0),"",IF(AND(HV27="",HV28=""),"",IF(AND(HV27=0,HV28=""),"", IF(AND(HV27="",HV28=0),"",1)))))</f>
        <v>-6.7563264355255815E-5</v>
      </c>
      <c r="HW29" s="40">
        <f t="shared" ref="HW29" si="989">IF(AND(HW27&lt;&gt;0,HW28&lt;&gt;0),(HW27-HW28)/HW28,IF(AND(HW27=0,HW28=0),"",IF(AND(HW27="",HW28=""),"",IF(AND(HW27=0,HW28=""),"", IF(AND(HW27="",HW28=0),"",1)))))</f>
        <v>7.7019107363925817E-5</v>
      </c>
      <c r="HX29" s="40">
        <f t="shared" ref="HX29" si="990">IF(AND(HX27&lt;&gt;0,HX28&lt;&gt;0),(HX27-HX28)/HX28,IF(AND(HX27=0,HX28=0),"",IF(AND(HX27="",HX28=""),"",IF(AND(HX27=0,HX28=""),"", IF(AND(HX27="",HX28=0),"",1)))))</f>
        <v>3.7182434125740582E-7</v>
      </c>
      <c r="HY29" s="40">
        <f t="shared" ref="HY29" si="991">IF(AND(HY27&lt;&gt;0,HY28&lt;&gt;0),(HY27-HY28)/HY28,IF(AND(HY27=0,HY28=0),"",IF(AND(HY27="",HY28=""),"",IF(AND(HY27=0,HY28=""),"", IF(AND(HY27="",HY28=0),"",1)))))</f>
        <v>1.3360270261054763E-5</v>
      </c>
      <c r="HZ29" s="40">
        <f t="shared" ref="HZ29" si="992">IF(AND(HZ27&lt;&gt;0,HZ28&lt;&gt;0),(HZ27-HZ28)/HZ28,IF(AND(HZ27=0,HZ28=0),"",IF(AND(HZ27="",HZ28=""),"",IF(AND(HZ27=0,HZ28=""),"", IF(AND(HZ27="",HZ28=0),"",1)))))</f>
        <v>2.4761340540646621E-5</v>
      </c>
      <c r="IA29" s="40">
        <f t="shared" ref="IA29" si="993">IF(AND(IA27&lt;&gt;0,IA28&lt;&gt;0),(IA27-IA28)/IA28,IF(AND(IA27=0,IA28=0),"",IF(AND(IA27="",IA28=""),"",IF(AND(IA27=0,IA28=""),"", IF(AND(IA27="",IA28=0),"",1)))))</f>
        <v>1.2438503446650075E-5</v>
      </c>
      <c r="IB29" s="40">
        <f t="shared" ref="IB29" si="994">IF(AND(IB27&lt;&gt;0,IB28&lt;&gt;0),(IB27-IB28)/IB28,IF(AND(IB27=0,IB28=0),"",IF(AND(IB27="",IB28=""),"",IF(AND(IB27=0,IB28=""),"", IF(AND(IB27="",IB28=0),"",1)))))</f>
        <v>1.1911484435660338E-5</v>
      </c>
      <c r="IC29" s="40">
        <f t="shared" ref="IC29" si="995">IF(AND(IC27&lt;&gt;0,IC28&lt;&gt;0),(IC27-IC28)/IC28,IF(AND(IC27=0,IC28=0),"",IF(AND(IC27="",IC28=""),"",IF(AND(IC27=0,IC28=""),"", IF(AND(IC27="",IC28=0),"",1)))))</f>
        <v>-2.3815017957411055E-5</v>
      </c>
      <c r="ID29" s="40">
        <f t="shared" ref="ID29" si="996">IF(AND(ID27&lt;&gt;0,ID28&lt;&gt;0),(ID27-ID28)/ID28,IF(AND(ID27=0,ID28=0),"",IF(AND(ID27="",ID28=""),"",IF(AND(ID27=0,ID28=""),"", IF(AND(ID27="",ID28=0),"",1)))))</f>
        <v>1.2111207666439588E-5</v>
      </c>
      <c r="IE29" s="40">
        <f t="shared" ref="IE29" si="997">IF(AND(IE27&lt;&gt;0,IE28&lt;&gt;0),(IE27-IE28)/IE28,IF(AND(IE27=0,IE28=0),"",IF(AND(IE27="",IE28=""),"",IF(AND(IE27=0,IE28=""),"", IF(AND(IE27="",IE28=0),"",1)))))</f>
        <v>1.2621621638261861E-5</v>
      </c>
      <c r="IF29" s="40">
        <f t="shared" ref="IF29" si="998">IF(AND(IF27&lt;&gt;0,IF28&lt;&gt;0),(IF27-IF28)/IF28,IF(AND(IF27=0,IF28=0),"",IF(AND(IF27="",IF28=""),"",IF(AND(IF27=0,IF28=""),"", IF(AND(IF27="",IF28=0),"",1)))))</f>
        <v>-9.9418009823076261E-4</v>
      </c>
      <c r="IG29" s="40">
        <f t="shared" ref="IG29" si="999">IF(AND(IG27&lt;&gt;0,IG28&lt;&gt;0),(IG27-IG28)/IG28,IF(AND(IG27=0,IG28=0),"",IF(AND(IG27="",IG28=""),"",IF(AND(IG27=0,IG28=""),"", IF(AND(IG27="",IG28=0),"",1)))))</f>
        <v>1.4351919503997662E-5</v>
      </c>
      <c r="IH29" s="40">
        <f t="shared" ref="IH29" si="1000">IF(AND(IH27&lt;&gt;0,IH28&lt;&gt;0),(IH27-IH28)/IH28,IF(AND(IH27=0,IH28=0),"",IF(AND(IH27="",IH28=""),"",IF(AND(IH27=0,IH28=""),"", IF(AND(IH27="",IH28=0),"",1)))))</f>
        <v>3.1824053205131211E-5</v>
      </c>
      <c r="II29" s="40">
        <f t="shared" ref="II29" si="1001">IF(AND(II27&lt;&gt;0,II28&lt;&gt;0),(II27-II28)/II28,IF(AND(II27=0,II28=0),"",IF(AND(II27="",II28=""),"",IF(AND(II27=0,II28=""),"", IF(AND(II27="",II28=0),"",1)))))</f>
        <v>-1.689728906038784E-5</v>
      </c>
      <c r="IJ29" s="40">
        <f t="shared" ref="IJ29" si="1002">IF(AND(IJ27&lt;&gt;0,IJ28&lt;&gt;0),(IJ27-IJ28)/IJ28,IF(AND(IJ27=0,IJ28=0),"",IF(AND(IJ27="",IJ28=""),"",IF(AND(IJ27=0,IJ28=""),"", IF(AND(IJ27="",IJ28=0),"",1)))))</f>
        <v>1.0705764285771863E-6</v>
      </c>
      <c r="IK29" s="40">
        <f t="shared" ref="IK29" si="1003">IF(AND(IK27&lt;&gt;0,IK28&lt;&gt;0),(IK27-IK28)/IK28,IF(AND(IK27=0,IK28=0),"",IF(AND(IK27="",IK28=""),"",IF(AND(IK27=0,IK28=""),"", IF(AND(IK27="",IK28=0),"",1)))))</f>
        <v>4.8538948582430177E-5</v>
      </c>
      <c r="IL29" s="40">
        <f t="shared" ref="IL29" si="1004">IF(AND(IL27&lt;&gt;0,IL28&lt;&gt;0),(IL27-IL28)/IL28,IF(AND(IL27=0,IL28=0),"",IF(AND(IL27="",IL28=""),"",IF(AND(IL27=0,IL28=""),"", IF(AND(IL27="",IL28=0),"",1)))))</f>
        <v>5.5927118634847932E-5</v>
      </c>
      <c r="IM29" s="40">
        <f t="shared" ref="IM29" si="1005">IF(AND(IM27&lt;&gt;0,IM28&lt;&gt;0),(IM27-IM28)/IM28,IF(AND(IM27=0,IM28=0),"",IF(AND(IM27="",IM28=""),"",IF(AND(IM27=0,IM28=""),"", IF(AND(IM27="",IM28=0),"",1)))))</f>
        <v>1.9065555004326878E-6</v>
      </c>
      <c r="IN29" s="40">
        <f t="shared" ref="IN29" si="1006">IF(AND(IN27&lt;&gt;0,IN28&lt;&gt;0),(IN27-IN28)/IN28,IF(AND(IN27=0,IN28=0),"",IF(AND(IN27="",IN28=""),"",IF(AND(IN27=0,IN28=""),"", IF(AND(IN27="",IN28=0),"",1)))))</f>
        <v>1.6074975664959917E-6</v>
      </c>
      <c r="IO29" s="40">
        <f t="shared" ref="IO29" si="1007">IF(AND(IO27&lt;&gt;0,IO28&lt;&gt;0),(IO27-IO28)/IO28,IF(AND(IO27=0,IO28=0),"",IF(AND(IO27="",IO28=""),"",IF(AND(IO27=0,IO28=""),"", IF(AND(IO27="",IO28=0),"",1)))))</f>
        <v>5.4758506394168758E-5</v>
      </c>
      <c r="IP29" s="40">
        <f t="shared" ref="IP29" si="1008">IF(AND(IP27&lt;&gt;0,IP28&lt;&gt;0),(IP27-IP28)/IP28,IF(AND(IP27=0,IP28=0),"",IF(AND(IP27="",IP28=""),"",IF(AND(IP27=0,IP28=""),"", IF(AND(IP27="",IP28=0),"",1)))))</f>
        <v>-3.8848276360807156E-2</v>
      </c>
      <c r="IQ29" s="40">
        <f t="shared" ref="IQ29" si="1009">IF(AND(IQ27&lt;&gt;0,IQ28&lt;&gt;0),(IQ27-IQ28)/IQ28,IF(AND(IQ27=0,IQ28=0),"",IF(AND(IQ27="",IQ28=""),"",IF(AND(IQ27=0,IQ28=""),"", IF(AND(IQ27="",IQ28=0),"",1)))))</f>
        <v>2.9283244235386078E-3</v>
      </c>
      <c r="IR29" s="40">
        <f t="shared" ref="IR29:JF29" si="1010">IF(AND(IR27&lt;&gt;0,IR28&lt;&gt;0),(IR27-IR28)/IR28,IF(AND(IR27=0,IR28=0),"",IF(AND(IR27="",IR28=""),"",IF(AND(IR27=0,IR28=""),"", IF(AND(IR27="",IR28=0),"",1)))))</f>
        <v>-8.1187046450978905E-4</v>
      </c>
      <c r="IS29" s="40">
        <f t="shared" si="1010"/>
        <v>1</v>
      </c>
      <c r="IT29" s="40" t="str">
        <f t="shared" si="1010"/>
        <v/>
      </c>
      <c r="IU29" s="40" t="str">
        <f t="shared" si="1010"/>
        <v/>
      </c>
      <c r="IV29" s="40" t="str">
        <f t="shared" si="1010"/>
        <v/>
      </c>
      <c r="IW29" s="40" t="str">
        <f t="shared" si="1010"/>
        <v/>
      </c>
      <c r="IX29" s="40" t="str">
        <f t="shared" si="1010"/>
        <v/>
      </c>
      <c r="IY29" s="40" t="str">
        <f t="shared" si="1010"/>
        <v/>
      </c>
      <c r="IZ29" s="40" t="str">
        <f t="shared" si="1010"/>
        <v/>
      </c>
      <c r="JA29" s="40" t="str">
        <f t="shared" si="1010"/>
        <v/>
      </c>
      <c r="JB29" s="40" t="str">
        <f t="shared" si="1010"/>
        <v/>
      </c>
      <c r="JC29" s="40" t="str">
        <f t="shared" si="1010"/>
        <v/>
      </c>
      <c r="JD29" s="40" t="str">
        <f t="shared" si="1010"/>
        <v/>
      </c>
      <c r="JE29" s="40" t="str">
        <f t="shared" si="1010"/>
        <v/>
      </c>
      <c r="JF29" s="40" t="str">
        <f t="shared" si="1010"/>
        <v/>
      </c>
      <c r="JG29" s="41">
        <f t="shared" ref="JG29:NQ29" si="1011">IF(AND(JG27&lt;&gt;0,JG28&lt;&gt;0),(JG27-JG28)/JG28,IF(AND(JG27=0,JG28=0),"",IF(AND(JG27="",JG28=""),"",IF(AND(JG27=0,JG28=""),"", IF(AND(JG27="",JG28=0),"",1)))))</f>
        <v>-4.9039034714390493E-4</v>
      </c>
      <c r="JH29" s="72" t="str">
        <f t="shared" si="1011"/>
        <v/>
      </c>
      <c r="JI29" s="73" t="str">
        <f t="shared" si="1011"/>
        <v/>
      </c>
      <c r="JJ29" s="73" t="str">
        <f t="shared" si="1011"/>
        <v/>
      </c>
      <c r="JK29" s="73" t="str">
        <f t="shared" si="1011"/>
        <v/>
      </c>
      <c r="JL29" s="73" t="str">
        <f t="shared" si="1011"/>
        <v/>
      </c>
      <c r="JM29" s="73" t="str">
        <f t="shared" si="1011"/>
        <v/>
      </c>
      <c r="JN29" s="73" t="str">
        <f t="shared" si="1011"/>
        <v/>
      </c>
      <c r="JO29" s="73" t="str">
        <f t="shared" si="1011"/>
        <v/>
      </c>
      <c r="JP29" s="73" t="str">
        <f t="shared" si="1011"/>
        <v/>
      </c>
      <c r="JQ29" s="73" t="str">
        <f t="shared" si="1011"/>
        <v/>
      </c>
      <c r="JR29" s="73" t="str">
        <f t="shared" si="1011"/>
        <v/>
      </c>
      <c r="JS29" s="73" t="str">
        <f t="shared" si="1011"/>
        <v/>
      </c>
      <c r="JT29" s="73" t="str">
        <f t="shared" si="1011"/>
        <v/>
      </c>
      <c r="JU29" s="73" t="str">
        <f t="shared" si="1011"/>
        <v/>
      </c>
      <c r="JV29" s="73" t="str">
        <f t="shared" si="1011"/>
        <v/>
      </c>
      <c r="JW29" s="73" t="str">
        <f t="shared" si="1011"/>
        <v/>
      </c>
      <c r="JX29" s="73" t="str">
        <f t="shared" si="1011"/>
        <v/>
      </c>
      <c r="JY29" s="73" t="str">
        <f t="shared" si="1011"/>
        <v/>
      </c>
      <c r="JZ29" s="73" t="str">
        <f t="shared" si="1011"/>
        <v/>
      </c>
      <c r="KA29" s="73" t="str">
        <f t="shared" si="1011"/>
        <v/>
      </c>
      <c r="KB29" s="73" t="str">
        <f t="shared" si="1011"/>
        <v/>
      </c>
      <c r="KC29" s="73" t="str">
        <f t="shared" si="1011"/>
        <v/>
      </c>
      <c r="KD29" s="73" t="str">
        <f t="shared" si="1011"/>
        <v/>
      </c>
      <c r="KE29" s="73" t="str">
        <f t="shared" ref="KE29:KR29" si="1012">IF(AND(KE27&lt;&gt;0,KE28&lt;&gt;0),(KE27-KE28)/KE28,IF(AND(KE27=0,KE28=0),"",IF(AND(KE27="",KE28=""),"",IF(AND(KE27=0,KE28=""),"", IF(AND(KE27="",KE28=0),"",1)))))</f>
        <v/>
      </c>
      <c r="KF29" s="73" t="str">
        <f t="shared" si="1012"/>
        <v/>
      </c>
      <c r="KG29" s="73" t="str">
        <f t="shared" si="1012"/>
        <v/>
      </c>
      <c r="KH29" s="73" t="str">
        <f t="shared" si="1012"/>
        <v/>
      </c>
      <c r="KI29" s="73" t="str">
        <f t="shared" si="1012"/>
        <v/>
      </c>
      <c r="KJ29" s="73" t="str">
        <f t="shared" si="1012"/>
        <v/>
      </c>
      <c r="KK29" s="73" t="str">
        <f t="shared" si="1012"/>
        <v/>
      </c>
      <c r="KL29" s="73" t="str">
        <f t="shared" si="1012"/>
        <v/>
      </c>
      <c r="KM29" s="73" t="str">
        <f t="shared" si="1012"/>
        <v/>
      </c>
      <c r="KN29" s="73" t="str">
        <f t="shared" si="1012"/>
        <v/>
      </c>
      <c r="KO29" s="73" t="str">
        <f t="shared" si="1012"/>
        <v/>
      </c>
      <c r="KP29" s="73" t="str">
        <f t="shared" si="1012"/>
        <v/>
      </c>
      <c r="KQ29" s="73" t="str">
        <f t="shared" si="1012"/>
        <v/>
      </c>
      <c r="KR29" s="73" t="str">
        <f t="shared" si="1012"/>
        <v/>
      </c>
      <c r="KS29" s="74" t="str">
        <f t="shared" si="1011"/>
        <v/>
      </c>
      <c r="KT29" s="72" t="str">
        <f t="shared" ref="KT29:ME29" si="1013">IF(AND(KT27&lt;&gt;0,KT28&lt;&gt;0),(KT27-KT28)/KT28,IF(AND(KT27=0,KT28=0),"",IF(AND(KT27="",KT28=""),"",IF(AND(KT27=0,KT28=""),"", IF(AND(KT27="",KT28=0),"",1)))))</f>
        <v/>
      </c>
      <c r="KU29" s="73" t="str">
        <f t="shared" si="1013"/>
        <v/>
      </c>
      <c r="KV29" s="73" t="str">
        <f t="shared" si="1013"/>
        <v/>
      </c>
      <c r="KW29" s="73" t="str">
        <f t="shared" si="1013"/>
        <v/>
      </c>
      <c r="KX29" s="73" t="str">
        <f t="shared" si="1013"/>
        <v/>
      </c>
      <c r="KY29" s="73" t="str">
        <f t="shared" si="1013"/>
        <v/>
      </c>
      <c r="KZ29" s="73" t="str">
        <f t="shared" si="1013"/>
        <v/>
      </c>
      <c r="LA29" s="73" t="str">
        <f t="shared" si="1013"/>
        <v/>
      </c>
      <c r="LB29" s="73" t="str">
        <f t="shared" si="1013"/>
        <v/>
      </c>
      <c r="LC29" s="73" t="str">
        <f t="shared" si="1013"/>
        <v/>
      </c>
      <c r="LD29" s="73" t="str">
        <f t="shared" si="1013"/>
        <v/>
      </c>
      <c r="LE29" s="73" t="str">
        <f t="shared" si="1013"/>
        <v/>
      </c>
      <c r="LF29" s="73" t="str">
        <f t="shared" si="1013"/>
        <v/>
      </c>
      <c r="LG29" s="73" t="str">
        <f t="shared" si="1013"/>
        <v/>
      </c>
      <c r="LH29" s="73" t="str">
        <f t="shared" si="1013"/>
        <v/>
      </c>
      <c r="LI29" s="73" t="str">
        <f t="shared" si="1013"/>
        <v/>
      </c>
      <c r="LJ29" s="73" t="str">
        <f t="shared" si="1013"/>
        <v/>
      </c>
      <c r="LK29" s="73" t="str">
        <f t="shared" si="1013"/>
        <v/>
      </c>
      <c r="LL29" s="73" t="str">
        <f t="shared" si="1013"/>
        <v/>
      </c>
      <c r="LM29" s="73" t="str">
        <f t="shared" si="1013"/>
        <v/>
      </c>
      <c r="LN29" s="73" t="str">
        <f t="shared" si="1013"/>
        <v/>
      </c>
      <c r="LO29" s="73" t="str">
        <f t="shared" si="1013"/>
        <v/>
      </c>
      <c r="LP29" s="73" t="str">
        <f t="shared" si="1013"/>
        <v/>
      </c>
      <c r="LQ29" s="73" t="str">
        <f t="shared" ref="LQ29:MD29" si="1014">IF(AND(LQ27&lt;&gt;0,LQ28&lt;&gt;0),(LQ27-LQ28)/LQ28,IF(AND(LQ27=0,LQ28=0),"",IF(AND(LQ27="",LQ28=""),"",IF(AND(LQ27=0,LQ28=""),"", IF(AND(LQ27="",LQ28=0),"",1)))))</f>
        <v/>
      </c>
      <c r="LR29" s="73" t="str">
        <f t="shared" si="1014"/>
        <v/>
      </c>
      <c r="LS29" s="73" t="str">
        <f t="shared" si="1014"/>
        <v/>
      </c>
      <c r="LT29" s="73" t="str">
        <f t="shared" si="1014"/>
        <v/>
      </c>
      <c r="LU29" s="73" t="str">
        <f t="shared" si="1014"/>
        <v/>
      </c>
      <c r="LV29" s="73" t="str">
        <f t="shared" si="1014"/>
        <v/>
      </c>
      <c r="LW29" s="73" t="str">
        <f t="shared" si="1014"/>
        <v/>
      </c>
      <c r="LX29" s="73" t="str">
        <f t="shared" si="1014"/>
        <v/>
      </c>
      <c r="LY29" s="73" t="str">
        <f t="shared" si="1014"/>
        <v/>
      </c>
      <c r="LZ29" s="73" t="str">
        <f t="shared" si="1014"/>
        <v/>
      </c>
      <c r="MA29" s="73" t="str">
        <f t="shared" si="1014"/>
        <v/>
      </c>
      <c r="MB29" s="73" t="str">
        <f t="shared" si="1014"/>
        <v/>
      </c>
      <c r="MC29" s="73" t="str">
        <f t="shared" si="1014"/>
        <v/>
      </c>
      <c r="MD29" s="73" t="str">
        <f t="shared" si="1014"/>
        <v/>
      </c>
      <c r="ME29" s="74" t="str">
        <f t="shared" si="1013"/>
        <v/>
      </c>
      <c r="MF29" s="72" t="str">
        <f t="shared" si="1011"/>
        <v/>
      </c>
      <c r="MG29" s="73" t="str">
        <f t="shared" si="1011"/>
        <v/>
      </c>
      <c r="MH29" s="73" t="str">
        <f t="shared" si="1011"/>
        <v/>
      </c>
      <c r="MI29" s="73" t="str">
        <f t="shared" si="1011"/>
        <v/>
      </c>
      <c r="MJ29" s="73" t="str">
        <f t="shared" si="1011"/>
        <v/>
      </c>
      <c r="MK29" s="73" t="str">
        <f t="shared" si="1011"/>
        <v/>
      </c>
      <c r="ML29" s="73" t="str">
        <f t="shared" si="1011"/>
        <v/>
      </c>
      <c r="MM29" s="73" t="str">
        <f t="shared" si="1011"/>
        <v/>
      </c>
      <c r="MN29" s="73" t="str">
        <f t="shared" si="1011"/>
        <v/>
      </c>
      <c r="MO29" s="73" t="str">
        <f t="shared" si="1011"/>
        <v/>
      </c>
      <c r="MP29" s="73" t="str">
        <f t="shared" si="1011"/>
        <v/>
      </c>
      <c r="MQ29" s="73" t="str">
        <f t="shared" si="1011"/>
        <v/>
      </c>
      <c r="MR29" s="73" t="str">
        <f t="shared" si="1011"/>
        <v/>
      </c>
      <c r="MS29" s="73" t="str">
        <f t="shared" si="1011"/>
        <v/>
      </c>
      <c r="MT29" s="73" t="str">
        <f t="shared" si="1011"/>
        <v/>
      </c>
      <c r="MU29" s="73" t="str">
        <f t="shared" si="1011"/>
        <v/>
      </c>
      <c r="MV29" s="73" t="str">
        <f t="shared" si="1011"/>
        <v/>
      </c>
      <c r="MW29" s="73" t="str">
        <f t="shared" si="1011"/>
        <v/>
      </c>
      <c r="MX29" s="73" t="str">
        <f t="shared" si="1011"/>
        <v/>
      </c>
      <c r="MY29" s="73" t="str">
        <f t="shared" si="1011"/>
        <v/>
      </c>
      <c r="MZ29" s="73" t="str">
        <f t="shared" si="1011"/>
        <v/>
      </c>
      <c r="NA29" s="73" t="str">
        <f t="shared" si="1011"/>
        <v/>
      </c>
      <c r="NB29" s="73" t="str">
        <f t="shared" si="1011"/>
        <v/>
      </c>
      <c r="NC29" s="73" t="str">
        <f t="shared" ref="NC29:NP29" si="1015">IF(AND(NC27&lt;&gt;0,NC28&lt;&gt;0),(NC27-NC28)/NC28,IF(AND(NC27=0,NC28=0),"",IF(AND(NC27="",NC28=""),"",IF(AND(NC27=0,NC28=""),"", IF(AND(NC27="",NC28=0),"",1)))))</f>
        <v/>
      </c>
      <c r="ND29" s="73" t="str">
        <f t="shared" si="1015"/>
        <v/>
      </c>
      <c r="NE29" s="73" t="str">
        <f t="shared" si="1015"/>
        <v/>
      </c>
      <c r="NF29" s="73" t="str">
        <f t="shared" si="1015"/>
        <v/>
      </c>
      <c r="NG29" s="73" t="str">
        <f t="shared" si="1015"/>
        <v/>
      </c>
      <c r="NH29" s="73" t="str">
        <f t="shared" si="1015"/>
        <v/>
      </c>
      <c r="NI29" s="73" t="str">
        <f t="shared" si="1015"/>
        <v/>
      </c>
      <c r="NJ29" s="73" t="str">
        <f t="shared" si="1015"/>
        <v/>
      </c>
      <c r="NK29" s="73" t="str">
        <f t="shared" si="1015"/>
        <v/>
      </c>
      <c r="NL29" s="73" t="str">
        <f t="shared" si="1015"/>
        <v/>
      </c>
      <c r="NM29" s="73" t="str">
        <f t="shared" si="1015"/>
        <v/>
      </c>
      <c r="NN29" s="73" t="str">
        <f t="shared" si="1015"/>
        <v/>
      </c>
      <c r="NO29" s="73" t="str">
        <f t="shared" si="1015"/>
        <v/>
      </c>
      <c r="NP29" s="73" t="str">
        <f t="shared" si="1015"/>
        <v/>
      </c>
      <c r="NQ29" s="74" t="str">
        <f t="shared" si="1011"/>
        <v/>
      </c>
      <c r="NR29" s="40">
        <f t="shared" ref="NR29" si="1016">IF(AND(NR27&lt;&gt;0,NR28&lt;&gt;0),(NR27-NR28)/NR28,IF(AND(NR27=0,NR28=0),"",IF(AND(NR27="",NR28=""),"",IF(AND(NR27=0,NR28=""),"", IF(AND(NR27="",NR28=0),"",1)))))</f>
        <v>-1.554899267852897E-3</v>
      </c>
      <c r="NS29" s="40">
        <f t="shared" ref="NS29" si="1017">IF(AND(NS27&lt;&gt;0,NS28&lt;&gt;0),(NS27-NS28)/NS28,IF(AND(NS27=0,NS28=0),"",IF(AND(NS27="",NS28=""),"",IF(AND(NS27=0,NS28=""),"", IF(AND(NS27="",NS28=0),"",1)))))</f>
        <v>4.8086643281697924E-3</v>
      </c>
      <c r="NT29" s="40">
        <f t="shared" ref="NT29" si="1018">IF(AND(NT27&lt;&gt;0,NT28&lt;&gt;0),(NT27-NT28)/NT28,IF(AND(NT27=0,NT28=0),"",IF(AND(NT27="",NT28=""),"",IF(AND(NT27=0,NT28=""),"", IF(AND(NT27="",NT28=0),"",1)))))</f>
        <v>-6.5498453203260553E-4</v>
      </c>
      <c r="NU29" s="40">
        <f t="shared" ref="NU29" si="1019">IF(AND(NU27&lt;&gt;0,NU28&lt;&gt;0),(NU27-NU28)/NU28,IF(AND(NU27=0,NU28=0),"",IF(AND(NU27="",NU28=""),"",IF(AND(NU27=0,NU28=""),"", IF(AND(NU27="",NU28=0),"",1)))))</f>
        <v>-2.5843119773733399E-4</v>
      </c>
      <c r="NV29" s="40">
        <f t="shared" ref="NV29" si="1020">IF(AND(NV27&lt;&gt;0,NV28&lt;&gt;0),(NV27-NV28)/NV28,IF(AND(NV27=0,NV28=0),"",IF(AND(NV27="",NV28=""),"",IF(AND(NV27=0,NV28=""),"", IF(AND(NV27="",NV28=0),"",1)))))</f>
        <v>7.094819583467872E-6</v>
      </c>
      <c r="NW29" s="40">
        <f t="shared" ref="NW29" si="1021">IF(AND(NW27&lt;&gt;0,NW28&lt;&gt;0),(NW27-NW28)/NW28,IF(AND(NW27=0,NW28=0),"",IF(AND(NW27="",NW28=""),"",IF(AND(NW27=0,NW28=""),"", IF(AND(NW27="",NW28=0),"",1)))))</f>
        <v>-4.740471381638827E-7</v>
      </c>
      <c r="NX29" s="40">
        <f t="shared" ref="NX29" si="1022">IF(AND(NX27&lt;&gt;0,NX28&lt;&gt;0),(NX27-NX28)/NX28,IF(AND(NX27=0,NX28=0),"",IF(AND(NX27="",NX28=""),"",IF(AND(NX27=0,NX28=""),"", IF(AND(NX27="",NX28=0),"",1)))))</f>
        <v>3.1447942752145633E-4</v>
      </c>
      <c r="NY29" s="40">
        <f t="shared" ref="NY29" si="1023">IF(AND(NY27&lt;&gt;0,NY28&lt;&gt;0),(NY27-NY28)/NY28,IF(AND(NY27=0,NY28=0),"",IF(AND(NY27="",NY28=""),"",IF(AND(NY27=0,NY28=""),"", IF(AND(NY27="",NY28=0),"",1)))))</f>
        <v>-2.8698053534874168E-4</v>
      </c>
      <c r="NZ29" s="40">
        <f t="shared" ref="NZ29" si="1024">IF(AND(NZ27&lt;&gt;0,NZ28&lt;&gt;0),(NZ27-NZ28)/NZ28,IF(AND(NZ27=0,NZ28=0),"",IF(AND(NZ27="",NZ28=""),"",IF(AND(NZ27=0,NZ28=""),"", IF(AND(NZ27="",NZ28=0),"",1)))))</f>
        <v>2.9900359629153059E-6</v>
      </c>
      <c r="OA29" s="40">
        <f t="shared" ref="OA29" si="1025">IF(AND(OA27&lt;&gt;0,OA28&lt;&gt;0),(OA27-OA28)/OA28,IF(AND(OA27=0,OA28=0),"",IF(AND(OA27="",OA28=""),"",IF(AND(OA27=0,OA28=""),"", IF(AND(OA27="",OA28=0),"",1)))))</f>
        <v>2.4752167948503075E-4</v>
      </c>
      <c r="OB29" s="40">
        <f t="shared" ref="OB29" si="1026">IF(AND(OB27&lt;&gt;0,OB28&lt;&gt;0),(OB27-OB28)/OB28,IF(AND(OB27=0,OB28=0),"",IF(AND(OB27="",OB28=""),"",IF(AND(OB27=0,OB28=""),"", IF(AND(OB27="",OB28=0),"",1)))))</f>
        <v>1.2082718663747978E-4</v>
      </c>
      <c r="OC29" s="40">
        <f t="shared" ref="OC29" si="1027">IF(AND(OC27&lt;&gt;0,OC28&lt;&gt;0),(OC27-OC28)/OC28,IF(AND(OC27=0,OC28=0),"",IF(AND(OC27="",OC28=""),"",IF(AND(OC27=0,OC28=""),"", IF(AND(OC27="",OC28=0),"",1)))))</f>
        <v>1.1625943668904571E-6</v>
      </c>
      <c r="OD29" s="40">
        <f t="shared" ref="OD29" si="1028">IF(AND(OD27&lt;&gt;0,OD28&lt;&gt;0),(OD27-OD28)/OD28,IF(AND(OD27=0,OD28=0),"",IF(AND(OD27="",OD28=""),"",IF(AND(OD27=0,OD28=""),"", IF(AND(OD27="",OD28=0),"",1)))))</f>
        <v>3.8194232254265252E-6</v>
      </c>
      <c r="OE29" s="40">
        <f t="shared" ref="OE29" si="1029">IF(AND(OE27&lt;&gt;0,OE28&lt;&gt;0),(OE27-OE28)/OE28,IF(AND(OE27=0,OE28=0),"",IF(AND(OE27="",OE28=""),"",IF(AND(OE27=0,OE28=""),"", IF(AND(OE27="",OE28=0),"",1)))))</f>
        <v>1.0781635602026237E-4</v>
      </c>
      <c r="OF29" s="40">
        <f t="shared" ref="OF29" si="1030">IF(AND(OF27&lt;&gt;0,OF28&lt;&gt;0),(OF27-OF28)/OF28,IF(AND(OF27=0,OF28=0),"",IF(AND(OF27="",OF28=""),"",IF(AND(OF27=0,OF28=""),"", IF(AND(OF27="",OF28=0),"",1)))))</f>
        <v>2.1455701433957435E-4</v>
      </c>
      <c r="OG29" s="40">
        <f t="shared" ref="OG29" si="1031">IF(AND(OG27&lt;&gt;0,OG28&lt;&gt;0),(OG27-OG28)/OG28,IF(AND(OG27=0,OG28=0),"",IF(AND(OG27="",OG28=""),"",IF(AND(OG27=0,OG28=""),"", IF(AND(OG27="",OG28=0),"",1)))))</f>
        <v>1.0613257183144536E-4</v>
      </c>
      <c r="OH29" s="40">
        <f t="shared" ref="OH29" si="1032">IF(AND(OH27&lt;&gt;0,OH28&lt;&gt;0),(OH27-OH28)/OH28,IF(AND(OH27=0,OH28=0),"",IF(AND(OH27="",OH28=""),"",IF(AND(OH27=0,OH28=""),"", IF(AND(OH27="",OH28=0),"",1)))))</f>
        <v>1.0172674630914497E-4</v>
      </c>
      <c r="OI29" s="40">
        <f t="shared" ref="OI29" si="1033">IF(AND(OI27&lt;&gt;0,OI28&lt;&gt;0),(OI27-OI28)/OI28,IF(AND(OI27=0,OI28=0),"",IF(AND(OI27="",OI28=""),"",IF(AND(OI27=0,OI28=""),"", IF(AND(OI27="",OI28=0),"",1)))))</f>
        <v>-1.0534798819325772E-4</v>
      </c>
      <c r="OJ29" s="40">
        <f t="shared" ref="OJ29" si="1034">IF(AND(OJ27&lt;&gt;0,OJ28&lt;&gt;0),(OJ27-OJ28)/OJ28,IF(AND(OJ27=0,OJ28=0),"",IF(AND(OJ27="",OJ28=""),"",IF(AND(OJ27=0,OJ28=""),"", IF(AND(OJ27="",OJ28=0),"",1)))))</f>
        <v>-1.9428944464305143E-6</v>
      </c>
      <c r="OK29" s="40">
        <f t="shared" ref="OK29" si="1035">IF(AND(OK27&lt;&gt;0,OK28&lt;&gt;0),(OK27-OK28)/OK28,IF(AND(OK27=0,OK28=0),"",IF(AND(OK27="",OK28=""),"",IF(AND(OK27=0,OK28=""),"", IF(AND(OK27="",OK28=0),"",1)))))</f>
        <v>2.1005461419969191E-4</v>
      </c>
      <c r="OL29" s="40">
        <f t="shared" ref="OL29" si="1036">IF(AND(OL27&lt;&gt;0,OL28&lt;&gt;0),(OL27-OL28)/OL28,IF(AND(OL27=0,OL28=0),"",IF(AND(OL27="",OL28=""),"",IF(AND(OL27=0,OL28=""),"", IF(AND(OL27="",OL28=0),"",1)))))</f>
        <v>1.0303039787992133E-4</v>
      </c>
      <c r="OM29" s="40">
        <f t="shared" ref="OM29" si="1037">IF(AND(OM27&lt;&gt;0,OM28&lt;&gt;0),(OM27-OM28)/OM28,IF(AND(OM27=0,OM28=0),"",IF(AND(OM27="",OM28=""),"",IF(AND(OM27=0,OM28=""),"", IF(AND(OM27="",OM28=0),"",1)))))</f>
        <v>4.0821498364527488E-7</v>
      </c>
      <c r="ON29" s="40">
        <f t="shared" ref="ON29:PB29" si="1038">IF(AND(ON27&lt;&gt;0,ON28&lt;&gt;0),(ON27-ON28)/ON28,IF(AND(ON27=0,ON28=0),"",IF(AND(ON27="",ON28=""),"",IF(AND(ON27=0,ON28=""),"", IF(AND(ON27="",ON28=0),"",1)))))</f>
        <v>-1.0728095510134993E-4</v>
      </c>
      <c r="OO29" s="40">
        <f t="shared" si="1038"/>
        <v>-0.68061222356569451</v>
      </c>
      <c r="OP29" s="40">
        <f t="shared" si="1038"/>
        <v>2.0109672490105618E-2</v>
      </c>
      <c r="OQ29" s="40">
        <f t="shared" si="1038"/>
        <v>1</v>
      </c>
      <c r="OR29" s="40" t="str">
        <f t="shared" si="1038"/>
        <v/>
      </c>
      <c r="OS29" s="40" t="str">
        <f t="shared" si="1038"/>
        <v/>
      </c>
      <c r="OT29" s="40" t="str">
        <f t="shared" si="1038"/>
        <v/>
      </c>
      <c r="OU29" s="40" t="str">
        <f t="shared" si="1038"/>
        <v/>
      </c>
      <c r="OV29" s="40" t="str">
        <f t="shared" si="1038"/>
        <v/>
      </c>
      <c r="OW29" s="40" t="str">
        <f t="shared" si="1038"/>
        <v/>
      </c>
      <c r="OX29" s="40" t="str">
        <f t="shared" si="1038"/>
        <v/>
      </c>
      <c r="OY29" s="40" t="str">
        <f t="shared" si="1038"/>
        <v/>
      </c>
      <c r="OZ29" s="40" t="str">
        <f t="shared" si="1038"/>
        <v/>
      </c>
      <c r="PA29" s="40" t="str">
        <f t="shared" si="1038"/>
        <v/>
      </c>
      <c r="PB29" s="40" t="str">
        <f t="shared" si="1038"/>
        <v/>
      </c>
      <c r="PC29" s="41">
        <f t="shared" ref="PC29" si="1039">IF(AND(PC27&lt;&gt;0,PC28&lt;&gt;0),(PC27-PC28)/PC28,IF(AND(PC27=0,PC28=0),"",IF(AND(PC27="",PC28=""),"",IF(AND(PC27=0,PC28=""),"", IF(AND(PC27="",PC28=0),"",1)))))</f>
        <v>-2.4441754663968571E-2</v>
      </c>
    </row>
    <row r="30" spans="1:419" outlineLevel="1" x14ac:dyDescent="0.4">
      <c r="A30" s="46" t="s">
        <v>54</v>
      </c>
      <c r="B30" s="14">
        <f>'[1]D-PDP'!$DT$12</f>
        <v>0</v>
      </c>
      <c r="C30" s="14">
        <f>'[1]D-PDP'!$DT$13</f>
        <v>0</v>
      </c>
      <c r="D30" s="14">
        <f>'[1]D-PDP'!$DT$14</f>
        <v>0</v>
      </c>
      <c r="E30" s="14">
        <f>'[1]D-PDP'!$DT$15</f>
        <v>0</v>
      </c>
      <c r="F30" s="14">
        <f>'[1]D-PDP'!$DT$16</f>
        <v>0</v>
      </c>
      <c r="G30" s="14">
        <f>'[1]D-PDP'!$DT$17</f>
        <v>0</v>
      </c>
      <c r="H30" s="14">
        <f>'[1]D-PDP'!$DT$18</f>
        <v>0</v>
      </c>
      <c r="I30" s="14">
        <f>'[1]D-PDP'!$DT$19</f>
        <v>0</v>
      </c>
      <c r="J30" s="14">
        <f>'[1]D-PDP'!$DT$20</f>
        <v>0</v>
      </c>
      <c r="K30" s="14">
        <f>'[1]D-PDP'!$DT$21</f>
        <v>0</v>
      </c>
      <c r="L30" s="14">
        <f>'[1]D-PDP'!$DT$22</f>
        <v>0</v>
      </c>
      <c r="M30" s="14">
        <f>'[1]D-PDP'!$DT$23</f>
        <v>720068</v>
      </c>
      <c r="N30" s="14">
        <f>'[1]D-PDP'!$DT$24</f>
        <v>0</v>
      </c>
      <c r="O30" s="14">
        <f>'[1]D-PDP'!$DT$25</f>
        <v>0</v>
      </c>
      <c r="P30" s="14">
        <f>'[1]D-PDP'!$DT$26</f>
        <v>0</v>
      </c>
      <c r="Q30" s="14">
        <f>'[1]D-PDP'!$DT$27</f>
        <v>0</v>
      </c>
      <c r="R30" s="14">
        <f>'[1]D-PDP'!$DT$28</f>
        <v>0</v>
      </c>
      <c r="S30" s="14">
        <f>'[1]D-PDP'!$DT$29</f>
        <v>0</v>
      </c>
      <c r="T30" s="14">
        <f>'[1]D-PDP'!$DT$30</f>
        <v>0</v>
      </c>
      <c r="U30" s="14">
        <f>'[1]D-PDP'!$DT$31</f>
        <v>0</v>
      </c>
      <c r="V30" s="14">
        <f>'[1]D-PDP'!$DT$32</f>
        <v>0</v>
      </c>
      <c r="W30" s="14">
        <f>'[1]D-PDP'!$DT$33</f>
        <v>0</v>
      </c>
      <c r="X30" s="14">
        <f>'[1]D-PDP'!$DT$34</f>
        <v>0</v>
      </c>
      <c r="Y30" s="14">
        <f>'[1]D-PDP'!$DT$35</f>
        <v>0</v>
      </c>
      <c r="Z30" s="14">
        <f>'[1]D-PDP'!$DT$36</f>
        <v>0</v>
      </c>
      <c r="AA30" s="14">
        <f>'[1]D-PDP'!$DT$37</f>
        <v>0</v>
      </c>
      <c r="AB30" s="14">
        <f>'[1]D-PDP'!$DT$38</f>
        <v>0</v>
      </c>
      <c r="AC30" s="14">
        <f>'[1]D-PDP'!$DT$39</f>
        <v>0</v>
      </c>
      <c r="AD30" s="14">
        <f>'[1]D-PDP'!$DT$40</f>
        <v>0</v>
      </c>
      <c r="AE30" s="14">
        <f>'[1]D-PDP'!$DT$41</f>
        <v>0</v>
      </c>
      <c r="AF30" s="14">
        <f>'[1]D-PDP'!$DT$42</f>
        <v>0</v>
      </c>
      <c r="AG30" s="14">
        <f>'[1]D-PDP'!$DT$43</f>
        <v>0</v>
      </c>
      <c r="AH30" s="14">
        <f>'[1]D-PDP'!$DT$44</f>
        <v>0</v>
      </c>
      <c r="AI30" s="14">
        <f>'[1]D-PDP'!$DT$45</f>
        <v>0</v>
      </c>
      <c r="AJ30" s="14">
        <f>'[1]D-PDP'!$DT$46</f>
        <v>0</v>
      </c>
      <c r="AK30" s="14">
        <f>'[1]D-PDP'!$DT$47</f>
        <v>0</v>
      </c>
      <c r="AL30" s="14">
        <f>'[1]D-PDP'!$DT$48</f>
        <v>0</v>
      </c>
      <c r="AM30" s="16">
        <f>SUM(B30:AL30)</f>
        <v>720068</v>
      </c>
      <c r="AN30" s="28">
        <f>'[1]D-PNP'!$DT$12</f>
        <v>0</v>
      </c>
      <c r="AO30" s="14">
        <f>'[1]D-PNP'!$DT$13</f>
        <v>0</v>
      </c>
      <c r="AP30" s="14">
        <f>'[1]D-PNP'!$DT$14</f>
        <v>0</v>
      </c>
      <c r="AQ30" s="14">
        <f>'[1]D-PNP'!$DT$15</f>
        <v>0</v>
      </c>
      <c r="AR30" s="14">
        <f>'[1]D-PNP'!$DT$16</f>
        <v>0</v>
      </c>
      <c r="AS30" s="14">
        <f>'[1]D-PNP'!$DT$17</f>
        <v>0</v>
      </c>
      <c r="AT30" s="14">
        <f>'[1]D-PNP'!$DT$18</f>
        <v>0</v>
      </c>
      <c r="AU30" s="14">
        <f>'[1]D-PNP'!$DT$19</f>
        <v>0</v>
      </c>
      <c r="AV30" s="14">
        <f>'[1]D-PNP'!$DT$20</f>
        <v>0</v>
      </c>
      <c r="AW30" s="14">
        <f>'[1]D-PNP'!$DT$21</f>
        <v>0</v>
      </c>
      <c r="AX30" s="14">
        <f>'[1]D-PNP'!$DT$22</f>
        <v>0</v>
      </c>
      <c r="AY30" s="14">
        <f>'[1]D-PNP'!$DT$23</f>
        <v>0</v>
      </c>
      <c r="AZ30" s="14">
        <f>'[1]D-PNP'!$DT$24</f>
        <v>0</v>
      </c>
      <c r="BA30" s="14">
        <f>'[1]D-PNP'!$DT$25</f>
        <v>0</v>
      </c>
      <c r="BB30" s="14">
        <f>'[1]D-PNP'!$DT$26</f>
        <v>0</v>
      </c>
      <c r="BC30" s="14">
        <f>'[1]D-PNP'!$DT$27</f>
        <v>0</v>
      </c>
      <c r="BD30" s="14">
        <f>'[1]D-PNP'!$DT$28</f>
        <v>0</v>
      </c>
      <c r="BE30" s="14">
        <f>'[1]D-PNP'!$DT$29</f>
        <v>0</v>
      </c>
      <c r="BF30" s="14">
        <f>'[1]D-PNP'!$DT$30</f>
        <v>0</v>
      </c>
      <c r="BG30" s="14">
        <f>'[1]D-PNP'!$DT$31</f>
        <v>0</v>
      </c>
      <c r="BH30" s="14">
        <f>'[1]D-PNP'!$DT$32</f>
        <v>0</v>
      </c>
      <c r="BI30" s="14">
        <f>'[1]D-PNP'!$DT$33</f>
        <v>0</v>
      </c>
      <c r="BJ30" s="14">
        <f>'[1]D-PNP'!$DT$34</f>
        <v>0</v>
      </c>
      <c r="BK30" s="14">
        <f>'[1]D-PNP'!$DT$35</f>
        <v>0</v>
      </c>
      <c r="BL30" s="14">
        <f>'[1]D-PNP'!$DT$36</f>
        <v>0</v>
      </c>
      <c r="BM30" s="14">
        <f>'[1]D-PNP'!$DT$37</f>
        <v>0</v>
      </c>
      <c r="BN30" s="14">
        <f>'[1]D-PNP'!$DT$38</f>
        <v>0</v>
      </c>
      <c r="BO30" s="14">
        <f>'[1]D-PNP'!$DT$39</f>
        <v>0</v>
      </c>
      <c r="BP30" s="14">
        <f>'[1]D-PNP'!$DT$40</f>
        <v>0</v>
      </c>
      <c r="BQ30" s="14">
        <f>'[1]D-PNP'!$DT$41</f>
        <v>0</v>
      </c>
      <c r="BR30" s="14">
        <f>'[1]D-PNP'!$DT$42</f>
        <v>0</v>
      </c>
      <c r="BS30" s="14">
        <f>'[1]D-PNP'!$DT$43</f>
        <v>0</v>
      </c>
      <c r="BT30" s="14">
        <f>'[1]D-PNP'!$DT$44</f>
        <v>0</v>
      </c>
      <c r="BU30" s="14">
        <f>'[1]D-PNP'!$DT$45</f>
        <v>0</v>
      </c>
      <c r="BV30" s="14">
        <f>'[1]D-PNP'!$DT$46</f>
        <v>0</v>
      </c>
      <c r="BW30" s="14">
        <f>'[1]D-PNP'!$DT$47</f>
        <v>0</v>
      </c>
      <c r="BX30" s="14">
        <f>'[1]D-PNP'!$DT$48</f>
        <v>0</v>
      </c>
      <c r="BY30" s="16">
        <f>SUM(AN30:BX30)</f>
        <v>0</v>
      </c>
      <c r="BZ30" s="28">
        <f>'[1]D-PND'!$DT$12</f>
        <v>0</v>
      </c>
      <c r="CA30" s="14">
        <f>'[1]D-PND'!$DT$13</f>
        <v>0</v>
      </c>
      <c r="CB30" s="14">
        <f>'[1]D-PND'!$DT$14</f>
        <v>0</v>
      </c>
      <c r="CC30" s="14">
        <f>'[1]D-PND'!$DT$15</f>
        <v>0</v>
      </c>
      <c r="CD30" s="14">
        <f>'[1]D-PND'!$DT$16</f>
        <v>0</v>
      </c>
      <c r="CE30" s="14">
        <f>'[1]D-PND'!$DT$17</f>
        <v>0</v>
      </c>
      <c r="CF30" s="14">
        <f>'[1]D-PND'!$DT$18</f>
        <v>0</v>
      </c>
      <c r="CG30" s="14">
        <f>'[1]D-PND'!$DT$19</f>
        <v>0</v>
      </c>
      <c r="CH30" s="14">
        <f>'[1]D-PND'!$DT$20</f>
        <v>0</v>
      </c>
      <c r="CI30" s="14">
        <f>'[1]D-PND'!$DT$21</f>
        <v>0</v>
      </c>
      <c r="CJ30" s="14">
        <f>'[1]D-PND'!$DT$22</f>
        <v>0</v>
      </c>
      <c r="CK30" s="14">
        <f>'[1]D-PND'!$DT$23</f>
        <v>0</v>
      </c>
      <c r="CL30" s="14">
        <f>'[1]D-PND'!$DT$24</f>
        <v>0</v>
      </c>
      <c r="CM30" s="14">
        <f>'[1]D-PND'!$DT$25</f>
        <v>0</v>
      </c>
      <c r="CN30" s="14">
        <f>'[1]D-PND'!$DT$26</f>
        <v>0</v>
      </c>
      <c r="CO30" s="14">
        <f>'[1]D-PND'!$DT$27</f>
        <v>0</v>
      </c>
      <c r="CP30" s="14">
        <f>'[1]D-PND'!$DT$28</f>
        <v>0</v>
      </c>
      <c r="CQ30" s="14">
        <f>'[1]D-PND'!$DT$29</f>
        <v>0</v>
      </c>
      <c r="CR30" s="14">
        <f>'[1]D-PND'!$DT$30</f>
        <v>0</v>
      </c>
      <c r="CS30" s="14">
        <f>'[1]D-PND'!$DT$31</f>
        <v>0</v>
      </c>
      <c r="CT30" s="14">
        <f>'[1]D-PND'!$DT$32</f>
        <v>0</v>
      </c>
      <c r="CU30" s="14">
        <f>'[1]D-PND'!$DT$33</f>
        <v>0</v>
      </c>
      <c r="CV30" s="14">
        <f>'[1]D-PND'!$DT$34</f>
        <v>0</v>
      </c>
      <c r="CW30" s="14">
        <f>'[1]D-PND'!$DT$35</f>
        <v>0</v>
      </c>
      <c r="CX30" s="14">
        <f>'[1]D-PND'!$DT$36</f>
        <v>0</v>
      </c>
      <c r="CY30" s="14">
        <f>'[1]D-PND'!$DT$37</f>
        <v>0</v>
      </c>
      <c r="CZ30" s="14">
        <f>'[1]D-PND'!$DT$38</f>
        <v>0</v>
      </c>
      <c r="DA30" s="14">
        <f>'[1]D-PND'!$DT$39</f>
        <v>0</v>
      </c>
      <c r="DB30" s="14">
        <f>'[1]D-PND'!$DT$40</f>
        <v>0</v>
      </c>
      <c r="DC30" s="14">
        <f>'[1]D-PND'!$DT$41</f>
        <v>0</v>
      </c>
      <c r="DD30" s="14">
        <f>'[1]D-PND'!$DT$42</f>
        <v>0</v>
      </c>
      <c r="DE30" s="14">
        <f>'[1]D-PND'!$DT$43</f>
        <v>0</v>
      </c>
      <c r="DF30" s="14">
        <f>'[1]D-PND'!$DT$44</f>
        <v>0</v>
      </c>
      <c r="DG30" s="14">
        <f>'[1]D-PND'!$DT$45</f>
        <v>0</v>
      </c>
      <c r="DH30" s="14">
        <f>'[1]D-PND'!$DT$46</f>
        <v>0</v>
      </c>
      <c r="DI30" s="14">
        <f>'[1]D-PND'!$DT$47</f>
        <v>0</v>
      </c>
      <c r="DJ30" s="14">
        <f>'[1]D-PND'!$DT$48</f>
        <v>0</v>
      </c>
      <c r="DK30" s="16">
        <f>SUM(BZ30:DJ30)</f>
        <v>0</v>
      </c>
      <c r="DL30" s="66"/>
      <c r="DM30" s="67"/>
      <c r="DN30" s="67"/>
      <c r="DO30" s="67"/>
      <c r="DP30" s="67"/>
      <c r="DQ30" s="67"/>
      <c r="DR30" s="67"/>
      <c r="DS30" s="67"/>
      <c r="DT30" s="67"/>
      <c r="DU30" s="67"/>
      <c r="DV30" s="67"/>
      <c r="DW30" s="67"/>
      <c r="DX30" s="67"/>
      <c r="DY30" s="67"/>
      <c r="DZ30" s="67"/>
      <c r="EA30" s="67"/>
      <c r="EB30" s="67"/>
      <c r="EC30" s="67"/>
      <c r="ED30" s="67"/>
      <c r="EE30" s="67"/>
      <c r="EF30" s="67"/>
      <c r="EG30" s="67"/>
      <c r="EH30" s="67"/>
      <c r="EI30" s="67"/>
      <c r="EJ30" s="67"/>
      <c r="EK30" s="67"/>
      <c r="EL30" s="67"/>
      <c r="EM30" s="67"/>
      <c r="EN30" s="67"/>
      <c r="EO30" s="67"/>
      <c r="EP30" s="67"/>
      <c r="EQ30" s="67"/>
      <c r="ER30" s="67"/>
      <c r="ES30" s="67"/>
      <c r="ET30" s="67"/>
      <c r="EU30" s="67"/>
      <c r="EV30" s="67"/>
      <c r="EW30" s="68">
        <f>SUM(DL30:EV30)</f>
        <v>0</v>
      </c>
      <c r="EX30" s="66"/>
      <c r="EY30" s="67"/>
      <c r="EZ30" s="67"/>
      <c r="FA30" s="67"/>
      <c r="FB30" s="67"/>
      <c r="FC30" s="67"/>
      <c r="FD30" s="67"/>
      <c r="FE30" s="67"/>
      <c r="FF30" s="67"/>
      <c r="FG30" s="67"/>
      <c r="FH30" s="67"/>
      <c r="FI30" s="67"/>
      <c r="FJ30" s="67"/>
      <c r="FK30" s="67"/>
      <c r="FL30" s="67"/>
      <c r="FM30" s="67"/>
      <c r="FN30" s="67"/>
      <c r="FO30" s="67"/>
      <c r="FP30" s="67"/>
      <c r="FQ30" s="67"/>
      <c r="FR30" s="67"/>
      <c r="FS30" s="67"/>
      <c r="FT30" s="67"/>
      <c r="FU30" s="67"/>
      <c r="FV30" s="67"/>
      <c r="FW30" s="67"/>
      <c r="FX30" s="67"/>
      <c r="FY30" s="67"/>
      <c r="FZ30" s="67"/>
      <c r="GA30" s="67"/>
      <c r="GB30" s="67"/>
      <c r="GC30" s="67"/>
      <c r="GD30" s="67"/>
      <c r="GE30" s="67"/>
      <c r="GF30" s="67"/>
      <c r="GG30" s="67"/>
      <c r="GH30" s="67"/>
      <c r="GI30" s="68">
        <f>SUM(EX30:GH30)</f>
        <v>0</v>
      </c>
      <c r="GJ30" s="66"/>
      <c r="GK30" s="67"/>
      <c r="GL30" s="67"/>
      <c r="GM30" s="67"/>
      <c r="GN30" s="67"/>
      <c r="GO30" s="67"/>
      <c r="GP30" s="67"/>
      <c r="GQ30" s="67"/>
      <c r="GR30" s="67"/>
      <c r="GS30" s="67"/>
      <c r="GT30" s="67"/>
      <c r="GU30" s="67"/>
      <c r="GV30" s="67"/>
      <c r="GW30" s="67"/>
      <c r="GX30" s="67"/>
      <c r="GY30" s="67"/>
      <c r="GZ30" s="67"/>
      <c r="HA30" s="67"/>
      <c r="HB30" s="67"/>
      <c r="HC30" s="67"/>
      <c r="HD30" s="67"/>
      <c r="HE30" s="67"/>
      <c r="HF30" s="67"/>
      <c r="HG30" s="67"/>
      <c r="HH30" s="67"/>
      <c r="HI30" s="67"/>
      <c r="HJ30" s="67"/>
      <c r="HK30" s="67"/>
      <c r="HL30" s="67"/>
      <c r="HM30" s="67"/>
      <c r="HN30" s="67"/>
      <c r="HO30" s="67"/>
      <c r="HP30" s="67"/>
      <c r="HQ30" s="67"/>
      <c r="HR30" s="67"/>
      <c r="HS30" s="67"/>
      <c r="HT30" s="67"/>
      <c r="HU30" s="68">
        <f>SUM(GJ30:HT30)</f>
        <v>0</v>
      </c>
      <c r="HV30" s="28">
        <f>'[1]D-PRB'!$DT$12</f>
        <v>0</v>
      </c>
      <c r="HW30" s="14">
        <f>'[1]D-PRB'!$DT$13</f>
        <v>0</v>
      </c>
      <c r="HX30" s="14">
        <f>'[1]D-PRB'!$DT$14</f>
        <v>0</v>
      </c>
      <c r="HY30" s="14">
        <f>'[1]D-PRB'!$DT$15</f>
        <v>0</v>
      </c>
      <c r="HZ30" s="14">
        <f>'[1]D-PRB'!$DT$16</f>
        <v>0</v>
      </c>
      <c r="IA30" s="14">
        <f>'[1]D-PRB'!$DT$17</f>
        <v>0</v>
      </c>
      <c r="IB30" s="14">
        <f>'[1]D-PRB'!$DT$18</f>
        <v>0</v>
      </c>
      <c r="IC30" s="14">
        <f>'[1]D-PRB'!$DT$19</f>
        <v>0</v>
      </c>
      <c r="ID30" s="14">
        <f>'[1]D-PRB'!$DT$20</f>
        <v>0</v>
      </c>
      <c r="IE30" s="14">
        <f>'[1]D-PRB'!$DT$21</f>
        <v>0</v>
      </c>
      <c r="IF30" s="14">
        <f>'[1]D-PRB'!$DT$22</f>
        <v>0</v>
      </c>
      <c r="IG30" s="14">
        <f>'[1]D-PRB'!$DT$23</f>
        <v>0</v>
      </c>
      <c r="IH30" s="14">
        <f>'[1]D-PRB'!$DT$24</f>
        <v>0</v>
      </c>
      <c r="II30" s="14">
        <f>'[1]D-PRB'!$DT$25</f>
        <v>0</v>
      </c>
      <c r="IJ30" s="14">
        <f>'[1]D-PRB'!$DT$26</f>
        <v>0</v>
      </c>
      <c r="IK30" s="14">
        <f>'[1]D-PRB'!$DT$27</f>
        <v>0</v>
      </c>
      <c r="IL30" s="14">
        <f>'[1]D-PRB'!$DT$28</f>
        <v>0</v>
      </c>
      <c r="IM30" s="14">
        <f>'[1]D-PRB'!$DT$29</f>
        <v>0</v>
      </c>
      <c r="IN30" s="14">
        <f>'[1]D-PRB'!$DT$30</f>
        <v>0</v>
      </c>
      <c r="IO30" s="14">
        <f>'[1]D-PRB'!$DT$31</f>
        <v>0</v>
      </c>
      <c r="IP30" s="14">
        <f>'[1]D-PRB'!$DT$32</f>
        <v>0</v>
      </c>
      <c r="IQ30" s="14">
        <f>'[1]D-PRB'!$DT$33</f>
        <v>0</v>
      </c>
      <c r="IR30" s="14">
        <f>'[1]D-PRB'!$DT$34</f>
        <v>0</v>
      </c>
      <c r="IS30" s="14">
        <f>'[1]D-PRB'!$DT$35</f>
        <v>0</v>
      </c>
      <c r="IT30" s="14">
        <f>'[1]D-PRB'!$DT$36</f>
        <v>0</v>
      </c>
      <c r="IU30" s="14">
        <f>'[1]D-PRB'!$DT$37</f>
        <v>0</v>
      </c>
      <c r="IV30" s="14">
        <f>'[1]D-PRB'!$DT$38</f>
        <v>0</v>
      </c>
      <c r="IW30" s="14">
        <f>'[1]D-PRB'!$DT$39</f>
        <v>0</v>
      </c>
      <c r="IX30" s="14">
        <f>'[1]D-PRB'!$DT$40</f>
        <v>0</v>
      </c>
      <c r="IY30" s="14">
        <f>'[1]D-PRB'!$DT$41</f>
        <v>0</v>
      </c>
      <c r="IZ30" s="14">
        <f>'[1]D-PRB'!$DT$42</f>
        <v>0</v>
      </c>
      <c r="JA30" s="14">
        <f>'[1]D-PRB'!$DT$43</f>
        <v>0</v>
      </c>
      <c r="JB30" s="14">
        <f>'[1]D-PRB'!$DT$44</f>
        <v>0</v>
      </c>
      <c r="JC30" s="14">
        <f>'[1]D-PRB'!$DT$45</f>
        <v>0</v>
      </c>
      <c r="JD30" s="14">
        <f>'[1]D-PRB'!$DT$46</f>
        <v>0</v>
      </c>
      <c r="JE30" s="14">
        <f>'[1]D-PRB'!$DT$47</f>
        <v>0</v>
      </c>
      <c r="JF30" s="14">
        <f>'[1]D-PRB'!$DT$48</f>
        <v>0</v>
      </c>
      <c r="JG30" s="16">
        <f>SUM(HV30:JF30)</f>
        <v>0</v>
      </c>
      <c r="JH30" s="66"/>
      <c r="JI30" s="67"/>
      <c r="JJ30" s="67"/>
      <c r="JK30" s="67"/>
      <c r="JL30" s="67"/>
      <c r="JM30" s="67"/>
      <c r="JN30" s="67"/>
      <c r="JO30" s="67"/>
      <c r="JP30" s="67"/>
      <c r="JQ30" s="67"/>
      <c r="JR30" s="67"/>
      <c r="JS30" s="67"/>
      <c r="JT30" s="67"/>
      <c r="JU30" s="67"/>
      <c r="JV30" s="67"/>
      <c r="JW30" s="67"/>
      <c r="JX30" s="67"/>
      <c r="JY30" s="67"/>
      <c r="JZ30" s="67"/>
      <c r="KA30" s="67"/>
      <c r="KB30" s="67"/>
      <c r="KC30" s="67"/>
      <c r="KD30" s="67"/>
      <c r="KE30" s="67"/>
      <c r="KF30" s="67"/>
      <c r="KG30" s="67"/>
      <c r="KH30" s="67"/>
      <c r="KI30" s="67"/>
      <c r="KJ30" s="67"/>
      <c r="KK30" s="67"/>
      <c r="KL30" s="67"/>
      <c r="KM30" s="67"/>
      <c r="KN30" s="67"/>
      <c r="KO30" s="67"/>
      <c r="KP30" s="67"/>
      <c r="KQ30" s="67"/>
      <c r="KR30" s="67"/>
      <c r="KS30" s="68">
        <f>SUM(JH30:KR30)</f>
        <v>0</v>
      </c>
      <c r="KT30" s="66"/>
      <c r="KU30" s="67"/>
      <c r="KV30" s="67"/>
      <c r="KW30" s="67"/>
      <c r="KX30" s="67"/>
      <c r="KY30" s="67"/>
      <c r="KZ30" s="67"/>
      <c r="LA30" s="67"/>
      <c r="LB30" s="67"/>
      <c r="LC30" s="67"/>
      <c r="LD30" s="67"/>
      <c r="LE30" s="67"/>
      <c r="LF30" s="67"/>
      <c r="LG30" s="67"/>
      <c r="LH30" s="67"/>
      <c r="LI30" s="67"/>
      <c r="LJ30" s="67"/>
      <c r="LK30" s="67"/>
      <c r="LL30" s="67"/>
      <c r="LM30" s="67"/>
      <c r="LN30" s="67"/>
      <c r="LO30" s="67"/>
      <c r="LP30" s="67"/>
      <c r="LQ30" s="67"/>
      <c r="LR30" s="67"/>
      <c r="LS30" s="67"/>
      <c r="LT30" s="67"/>
      <c r="LU30" s="67"/>
      <c r="LV30" s="67"/>
      <c r="LW30" s="67"/>
      <c r="LX30" s="67"/>
      <c r="LY30" s="67"/>
      <c r="LZ30" s="67"/>
      <c r="MA30" s="67"/>
      <c r="MB30" s="67"/>
      <c r="MC30" s="67"/>
      <c r="MD30" s="67"/>
      <c r="ME30" s="68">
        <f>SUM(KT30:MD30)</f>
        <v>0</v>
      </c>
      <c r="MF30" s="66"/>
      <c r="MG30" s="67"/>
      <c r="MH30" s="67"/>
      <c r="MI30" s="67"/>
      <c r="MJ30" s="67"/>
      <c r="MK30" s="67"/>
      <c r="ML30" s="67"/>
      <c r="MM30" s="67"/>
      <c r="MN30" s="67"/>
      <c r="MO30" s="67"/>
      <c r="MP30" s="67"/>
      <c r="MQ30" s="67"/>
      <c r="MR30" s="67"/>
      <c r="MS30" s="67"/>
      <c r="MT30" s="67"/>
      <c r="MU30" s="67"/>
      <c r="MV30" s="67"/>
      <c r="MW30" s="67"/>
      <c r="MX30" s="67"/>
      <c r="MY30" s="67"/>
      <c r="MZ30" s="67"/>
      <c r="NA30" s="67"/>
      <c r="NB30" s="67"/>
      <c r="NC30" s="67"/>
      <c r="ND30" s="67"/>
      <c r="NE30" s="67"/>
      <c r="NF30" s="67"/>
      <c r="NG30" s="67"/>
      <c r="NH30" s="67"/>
      <c r="NI30" s="67"/>
      <c r="NJ30" s="67"/>
      <c r="NK30" s="67"/>
      <c r="NL30" s="67"/>
      <c r="NM30" s="67"/>
      <c r="NN30" s="67"/>
      <c r="NO30" s="67"/>
      <c r="NP30" s="67"/>
      <c r="NQ30" s="68">
        <f>SUM(MF30:NP30)</f>
        <v>0</v>
      </c>
      <c r="NR30" s="14">
        <f>'[1]D-PS'!$DT$12</f>
        <v>0</v>
      </c>
      <c r="NS30" s="14">
        <f>'[1]D-PS'!$DT$13</f>
        <v>0</v>
      </c>
      <c r="NT30" s="14">
        <f>'[1]D-PS'!$DT$14</f>
        <v>0</v>
      </c>
      <c r="NU30" s="14">
        <f>'[1]D-PS'!$DT$15</f>
        <v>0</v>
      </c>
      <c r="NV30" s="14">
        <f>'[1]D-PS'!$DT$16</f>
        <v>0</v>
      </c>
      <c r="NW30" s="14">
        <f>'[1]D-PS'!$DT$17</f>
        <v>0</v>
      </c>
      <c r="NX30" s="14">
        <f>'[1]D-PS'!$DT$18</f>
        <v>0</v>
      </c>
      <c r="NY30" s="14">
        <f>'[1]D-PS'!$DT$19</f>
        <v>0</v>
      </c>
      <c r="NZ30" s="14">
        <f>'[1]D-PS'!$DT$20</f>
        <v>0</v>
      </c>
      <c r="OA30" s="14">
        <f>'[1]D-PS'!$DT$21</f>
        <v>0</v>
      </c>
      <c r="OB30" s="14">
        <f>'[1]D-PS'!$DT$22</f>
        <v>0</v>
      </c>
      <c r="OC30" s="14">
        <f>'[1]D-PS'!$DT$23</f>
        <v>0</v>
      </c>
      <c r="OD30" s="14">
        <f>'[1]D-PS'!$DT$24</f>
        <v>0</v>
      </c>
      <c r="OE30" s="14">
        <f>'[1]D-PS'!$DT$25</f>
        <v>0</v>
      </c>
      <c r="OF30" s="14">
        <f>'[1]D-PS'!$DT$26</f>
        <v>0</v>
      </c>
      <c r="OG30" s="14">
        <f>'[1]D-PS'!$DT$27</f>
        <v>0</v>
      </c>
      <c r="OH30" s="14">
        <f>'[1]D-PS'!$DT$28</f>
        <v>0</v>
      </c>
      <c r="OI30" s="14">
        <f>'[1]D-PS'!$DT$29</f>
        <v>0</v>
      </c>
      <c r="OJ30" s="14">
        <f>'[1]D-PS'!$DT$30</f>
        <v>0</v>
      </c>
      <c r="OK30" s="14">
        <f>'[1]D-PS'!$DT$31</f>
        <v>0</v>
      </c>
      <c r="OL30" s="14">
        <f>'[1]D-PS'!$DT$32</f>
        <v>0</v>
      </c>
      <c r="OM30" s="14">
        <f>'[1]D-PS'!$DT$33</f>
        <v>0</v>
      </c>
      <c r="ON30" s="14">
        <f>'[1]D-PS'!$DT$34</f>
        <v>0</v>
      </c>
      <c r="OO30" s="14">
        <f>'[1]D-PS'!$DT$35</f>
        <v>0</v>
      </c>
      <c r="OP30" s="14">
        <f>'[1]D-PS'!$DT$36</f>
        <v>0</v>
      </c>
      <c r="OQ30" s="14">
        <f>'[1]D-PS'!$DT$37</f>
        <v>0</v>
      </c>
      <c r="OR30" s="14">
        <f>'[1]D-PS'!$DT$38</f>
        <v>0</v>
      </c>
      <c r="OS30" s="14">
        <f>'[1]D-PS'!$DT$39</f>
        <v>0</v>
      </c>
      <c r="OT30" s="14">
        <f>'[1]D-PS'!$DT$40</f>
        <v>0</v>
      </c>
      <c r="OU30" s="14">
        <f>'[1]D-PS'!$DT$41</f>
        <v>0</v>
      </c>
      <c r="OV30" s="14">
        <f>'[1]D-PS'!$DT$42</f>
        <v>0</v>
      </c>
      <c r="OW30" s="14">
        <f>'[1]D-PS'!$DT$43</f>
        <v>0</v>
      </c>
      <c r="OX30" s="14">
        <f>'[1]D-PS'!$DT$44</f>
        <v>0</v>
      </c>
      <c r="OY30" s="14">
        <f>'[1]D-PS'!$DT$45</f>
        <v>0</v>
      </c>
      <c r="OZ30" s="14">
        <f>'[1]D-PS'!$DT$46</f>
        <v>0</v>
      </c>
      <c r="PA30" s="14">
        <f>'[1]D-PS'!$DT$47</f>
        <v>0</v>
      </c>
      <c r="PB30" s="14">
        <f>'[1]D-PS'!$DT$48</f>
        <v>0</v>
      </c>
      <c r="PC30" s="16">
        <f>SUM(NR30:PB30)</f>
        <v>0</v>
      </c>
    </row>
    <row r="31" spans="1:419" outlineLevel="1" x14ac:dyDescent="0.4">
      <c r="A31" s="46" t="s">
        <v>55</v>
      </c>
      <c r="B31" s="25">
        <f>'[2]CF PDP'!$DI$36</f>
        <v>0</v>
      </c>
      <c r="C31" s="25">
        <f>'[2]CF PDP'!$DI$37</f>
        <v>0</v>
      </c>
      <c r="D31" s="25">
        <f>'[2]CF PDP'!$DI$38</f>
        <v>0</v>
      </c>
      <c r="E31" s="25">
        <f>'[2]CF PDP'!$DI$39</f>
        <v>0</v>
      </c>
      <c r="F31" s="25">
        <f>'[2]CF PDP'!$DI$40</f>
        <v>0</v>
      </c>
      <c r="G31" s="25">
        <f>'[2]CF PDP'!$DI$41</f>
        <v>0</v>
      </c>
      <c r="H31" s="25">
        <f>'[2]CF PDP'!$DI$42</f>
        <v>0</v>
      </c>
      <c r="I31" s="25">
        <f>'[2]CF PDP'!$DI$43</f>
        <v>0</v>
      </c>
      <c r="J31" s="25">
        <f>'[2]CF PDP'!$DI$44</f>
        <v>0</v>
      </c>
      <c r="K31" s="25">
        <f>'[2]CF PDP'!$DI$45</f>
        <v>0</v>
      </c>
      <c r="L31" s="25">
        <f>'[2]CF PDP'!$DI$46</f>
        <v>720068</v>
      </c>
      <c r="M31" s="25">
        <f>'[2]CF PDP'!$DI$47</f>
        <v>0</v>
      </c>
      <c r="N31" s="25">
        <f>'[2]CF PDP'!$DI$48</f>
        <v>0</v>
      </c>
      <c r="O31" s="25">
        <f>'[2]CF PDP'!$DI$49</f>
        <v>0</v>
      </c>
      <c r="P31" s="25">
        <f>'[2]CF PDP'!$DI$50</f>
        <v>0</v>
      </c>
      <c r="Q31" s="25">
        <f>'[2]CF PDP'!$DI$51</f>
        <v>0</v>
      </c>
      <c r="R31" s="25">
        <f>'[2]CF PDP'!$DI$52</f>
        <v>0</v>
      </c>
      <c r="S31" s="25">
        <f>'[2]CF PDP'!$DI$53</f>
        <v>0</v>
      </c>
      <c r="T31" s="25">
        <f>'[2]CF PDP'!$DI$54</f>
        <v>0</v>
      </c>
      <c r="U31" s="25">
        <f>'[2]CF PDP'!$DI$55</f>
        <v>0</v>
      </c>
      <c r="V31" s="25">
        <f>'[2]CF PDP'!$DI$56</f>
        <v>0</v>
      </c>
      <c r="W31" s="25">
        <f>'[2]CF PDP'!$DI$57</f>
        <v>0</v>
      </c>
      <c r="X31" s="25">
        <f>'[2]CF PDP'!$DI$58</f>
        <v>0</v>
      </c>
      <c r="Y31" s="25">
        <f>'[2]CF PDP'!$DI$59</f>
        <v>0</v>
      </c>
      <c r="Z31" s="25">
        <f>'[2]CF PDP'!$DI$60</f>
        <v>0</v>
      </c>
      <c r="AA31" s="25">
        <f>'[2]CF PDP'!$DI$61</f>
        <v>0</v>
      </c>
      <c r="AB31" s="25">
        <f>'[2]CF PDP'!$DI$62</f>
        <v>0</v>
      </c>
      <c r="AC31" s="25">
        <f>'[2]CF PDP'!$DI$63</f>
        <v>0</v>
      </c>
      <c r="AD31" s="25">
        <f>'[2]CF PDP'!$DI$64</f>
        <v>0</v>
      </c>
      <c r="AE31" s="25">
        <f>'[2]CF PDP'!$DI$65</f>
        <v>0</v>
      </c>
      <c r="AF31" s="25">
        <f>'[2]CF PDP'!$DI$66</f>
        <v>0</v>
      </c>
      <c r="AG31" s="25">
        <f>'[2]CF PDP'!$DI$67</f>
        <v>0</v>
      </c>
      <c r="AH31" s="25">
        <f>'[2]CF PDP'!$DI$68</f>
        <v>0</v>
      </c>
      <c r="AI31" s="25">
        <f>'[2]CF PDP'!$DI$69</f>
        <v>0</v>
      </c>
      <c r="AJ31" s="25">
        <f>'[2]CF PDP'!$DI$70</f>
        <v>0</v>
      </c>
      <c r="AK31" s="25">
        <f>'[2]CF PDP'!$DI$71</f>
        <v>0</v>
      </c>
      <c r="AL31" s="25">
        <f>'[2]CF PDP'!$DI$72</f>
        <v>0</v>
      </c>
      <c r="AM31" s="26">
        <f>SUM(B31:AL31)</f>
        <v>720068</v>
      </c>
      <c r="AN31" s="27">
        <f>'[2]CF PNP'!$DI$36</f>
        <v>0</v>
      </c>
      <c r="AO31" s="25">
        <f>'[2]CF PNP'!$DI$37</f>
        <v>0</v>
      </c>
      <c r="AP31" s="25">
        <f>'[2]CF PNP'!$DI$38</f>
        <v>0</v>
      </c>
      <c r="AQ31" s="25">
        <f>'[2]CF PNP'!$DI$39</f>
        <v>0</v>
      </c>
      <c r="AR31" s="25">
        <f>'[2]CF PNP'!$DI$40</f>
        <v>0</v>
      </c>
      <c r="AS31" s="25">
        <f>'[2]CF PNP'!$DI$41</f>
        <v>0</v>
      </c>
      <c r="AT31" s="25">
        <f>'[2]CF PNP'!$DI$42</f>
        <v>0</v>
      </c>
      <c r="AU31" s="25">
        <f>'[2]CF PNP'!$DI$43</f>
        <v>0</v>
      </c>
      <c r="AV31" s="25">
        <f>'[2]CF PNP'!$DI$44</f>
        <v>0</v>
      </c>
      <c r="AW31" s="25">
        <f>'[2]CF PNP'!$DI$45</f>
        <v>0</v>
      </c>
      <c r="AX31" s="25">
        <f>'[2]CF PNP'!$DI$46</f>
        <v>0</v>
      </c>
      <c r="AY31" s="25">
        <f>'[2]CF PNP'!$DI$47</f>
        <v>0</v>
      </c>
      <c r="AZ31" s="25">
        <f>'[2]CF PNP'!$DI$48</f>
        <v>0</v>
      </c>
      <c r="BA31" s="25">
        <f>'[2]CF PNP'!$DI$49</f>
        <v>0</v>
      </c>
      <c r="BB31" s="25">
        <f>'[2]CF PNP'!$DI$50</f>
        <v>0</v>
      </c>
      <c r="BC31" s="25">
        <f>'[2]CF PNP'!$DI$51</f>
        <v>0</v>
      </c>
      <c r="BD31" s="25">
        <f>'[2]CF PNP'!$DI$52</f>
        <v>0</v>
      </c>
      <c r="BE31" s="25">
        <f>'[2]CF PNP'!$DI$53</f>
        <v>0</v>
      </c>
      <c r="BF31" s="25">
        <f>'[2]CF PNP'!$DI$54</f>
        <v>0</v>
      </c>
      <c r="BG31" s="25">
        <f>'[2]CF PNP'!$DI$55</f>
        <v>0</v>
      </c>
      <c r="BH31" s="25">
        <f>'[2]CF PNP'!$DI$56</f>
        <v>0</v>
      </c>
      <c r="BI31" s="25">
        <f>'[2]CF PNP'!$DI$57</f>
        <v>0</v>
      </c>
      <c r="BJ31" s="25">
        <f>'[2]CF PNP'!$DI$58</f>
        <v>0</v>
      </c>
      <c r="BK31" s="25">
        <f>'[2]CF PNP'!$DI$59</f>
        <v>0</v>
      </c>
      <c r="BL31" s="25">
        <f>'[2]CF PNP'!$DI$60</f>
        <v>0</v>
      </c>
      <c r="BM31" s="25">
        <f>'[2]CF PNP'!$DI$61</f>
        <v>0</v>
      </c>
      <c r="BN31" s="25">
        <f>'[2]CF PNP'!$DI$62</f>
        <v>0</v>
      </c>
      <c r="BO31" s="25">
        <f>'[2]CF PNP'!$DI$63</f>
        <v>0</v>
      </c>
      <c r="BP31" s="25">
        <f>'[2]CF PNP'!$DI$64</f>
        <v>0</v>
      </c>
      <c r="BQ31" s="25">
        <f>'[2]CF PNP'!$DI$65</f>
        <v>0</v>
      </c>
      <c r="BR31" s="25">
        <f>'[2]CF PNP'!$DI$66</f>
        <v>0</v>
      </c>
      <c r="BS31" s="25">
        <f>'[2]CF PNP'!$DI$67</f>
        <v>0</v>
      </c>
      <c r="BT31" s="25">
        <f>'[2]CF PNP'!$DI$68</f>
        <v>0</v>
      </c>
      <c r="BU31" s="25">
        <f>'[2]CF PNP'!$DI$69</f>
        <v>0</v>
      </c>
      <c r="BV31" s="25">
        <f>'[2]CF PNP'!$DI$70</f>
        <v>0</v>
      </c>
      <c r="BW31" s="25">
        <f>'[2]CF PNP'!$DI$71</f>
        <v>0</v>
      </c>
      <c r="BX31" s="25">
        <f>'[2]CF PNP'!$DI$72</f>
        <v>0</v>
      </c>
      <c r="BY31" s="26">
        <f>SUM(AN31:BX31)</f>
        <v>0</v>
      </c>
      <c r="BZ31" s="27">
        <f>'[2]CF PND'!$DI$36</f>
        <v>0</v>
      </c>
      <c r="CA31" s="25">
        <f>'[2]CF PND'!$DI$37</f>
        <v>0</v>
      </c>
      <c r="CB31" s="25">
        <f>'[2]CF PND'!$DI$38</f>
        <v>0</v>
      </c>
      <c r="CC31" s="25">
        <f>'[2]CF PND'!$DI$39</f>
        <v>0</v>
      </c>
      <c r="CD31" s="25">
        <f>'[2]CF PND'!$DI$40</f>
        <v>0</v>
      </c>
      <c r="CE31" s="25">
        <f>'[2]CF PND'!$DI$41</f>
        <v>0</v>
      </c>
      <c r="CF31" s="25">
        <f>'[2]CF PND'!$DI$42</f>
        <v>0</v>
      </c>
      <c r="CG31" s="25">
        <f>'[2]CF PND'!$DI$43</f>
        <v>0</v>
      </c>
      <c r="CH31" s="25">
        <f>'[2]CF PND'!$DI$44</f>
        <v>0</v>
      </c>
      <c r="CI31" s="25">
        <f>'[2]CF PND'!$DI$45</f>
        <v>0</v>
      </c>
      <c r="CJ31" s="25">
        <f>'[2]CF PND'!$DI$46</f>
        <v>0</v>
      </c>
      <c r="CK31" s="25">
        <f>'[2]CF PND'!$DI$47</f>
        <v>0</v>
      </c>
      <c r="CL31" s="25">
        <f>'[2]CF PND'!$DI$48</f>
        <v>0</v>
      </c>
      <c r="CM31" s="25">
        <f>'[2]CF PND'!$DI$49</f>
        <v>0</v>
      </c>
      <c r="CN31" s="25">
        <f>'[2]CF PND'!$DI$50</f>
        <v>0</v>
      </c>
      <c r="CO31" s="25">
        <f>'[2]CF PND'!$DI$51</f>
        <v>0</v>
      </c>
      <c r="CP31" s="25">
        <f>'[2]CF PND'!$DI$52</f>
        <v>0</v>
      </c>
      <c r="CQ31" s="25">
        <f>'[2]CF PND'!$DI$53</f>
        <v>0</v>
      </c>
      <c r="CR31" s="25">
        <f>'[2]CF PND'!$DI$54</f>
        <v>0</v>
      </c>
      <c r="CS31" s="25">
        <f>'[2]CF PND'!$DI$55</f>
        <v>0</v>
      </c>
      <c r="CT31" s="25">
        <f>'[2]CF PND'!$DI$56</f>
        <v>0</v>
      </c>
      <c r="CU31" s="25">
        <f>'[2]CF PND'!$DI$57</f>
        <v>0</v>
      </c>
      <c r="CV31" s="25">
        <f>'[2]CF PND'!$DI$58</f>
        <v>0</v>
      </c>
      <c r="CW31" s="25">
        <f>'[2]CF PND'!$DI$59</f>
        <v>0</v>
      </c>
      <c r="CX31" s="25">
        <f>'[2]CF PND'!$DI$60</f>
        <v>0</v>
      </c>
      <c r="CY31" s="25">
        <f>'[2]CF PND'!$DI$61</f>
        <v>0</v>
      </c>
      <c r="CZ31" s="25">
        <f>'[2]CF PND'!$DI$62</f>
        <v>0</v>
      </c>
      <c r="DA31" s="25">
        <f>'[2]CF PND'!$DI$63</f>
        <v>0</v>
      </c>
      <c r="DB31" s="25">
        <f>'[2]CF PND'!$DI$64</f>
        <v>0</v>
      </c>
      <c r="DC31" s="25">
        <f>'[2]CF PND'!$DI$65</f>
        <v>0</v>
      </c>
      <c r="DD31" s="25">
        <f>'[2]CF PND'!$DI$66</f>
        <v>0</v>
      </c>
      <c r="DE31" s="25">
        <f>'[2]CF PND'!$DI$67</f>
        <v>0</v>
      </c>
      <c r="DF31" s="25">
        <f>'[2]CF PND'!$DI$68</f>
        <v>0</v>
      </c>
      <c r="DG31" s="25">
        <f>'[2]CF PND'!$DI$69</f>
        <v>0</v>
      </c>
      <c r="DH31" s="25">
        <f>'[2]CF PND'!$DI$70</f>
        <v>0</v>
      </c>
      <c r="DI31" s="25">
        <f>'[2]CF PND'!$DI$71</f>
        <v>0</v>
      </c>
      <c r="DJ31" s="25">
        <f>'[2]CF PND'!$DI$72</f>
        <v>0</v>
      </c>
      <c r="DK31" s="26">
        <f>SUM(BZ31:DJ31)</f>
        <v>0</v>
      </c>
      <c r="DL31" s="69"/>
      <c r="DM31" s="70"/>
      <c r="DN31" s="70"/>
      <c r="DO31" s="70"/>
      <c r="DP31" s="70"/>
      <c r="DQ31" s="70"/>
      <c r="DR31" s="70"/>
      <c r="DS31" s="70"/>
      <c r="DT31" s="70"/>
      <c r="DU31" s="70"/>
      <c r="DV31" s="70"/>
      <c r="DW31" s="70"/>
      <c r="DX31" s="70"/>
      <c r="DY31" s="70"/>
      <c r="DZ31" s="70"/>
      <c r="EA31" s="70"/>
      <c r="EB31" s="70"/>
      <c r="EC31" s="70"/>
      <c r="ED31" s="70"/>
      <c r="EE31" s="70"/>
      <c r="EF31" s="70"/>
      <c r="EG31" s="70"/>
      <c r="EH31" s="70"/>
      <c r="EI31" s="70"/>
      <c r="EJ31" s="70"/>
      <c r="EK31" s="70"/>
      <c r="EL31" s="70"/>
      <c r="EM31" s="70"/>
      <c r="EN31" s="70"/>
      <c r="EO31" s="70"/>
      <c r="EP31" s="70"/>
      <c r="EQ31" s="70"/>
      <c r="ER31" s="70"/>
      <c r="ES31" s="70"/>
      <c r="ET31" s="70"/>
      <c r="EU31" s="70"/>
      <c r="EV31" s="70"/>
      <c r="EW31" s="71">
        <f>SUM(DL31:EV31)</f>
        <v>0</v>
      </c>
      <c r="EX31" s="69"/>
      <c r="EY31" s="70"/>
      <c r="EZ31" s="70"/>
      <c r="FA31" s="70"/>
      <c r="FB31" s="70"/>
      <c r="FC31" s="70"/>
      <c r="FD31" s="70"/>
      <c r="FE31" s="70"/>
      <c r="FF31" s="70"/>
      <c r="FG31" s="70"/>
      <c r="FH31" s="70"/>
      <c r="FI31" s="70"/>
      <c r="FJ31" s="70"/>
      <c r="FK31" s="70"/>
      <c r="FL31" s="70"/>
      <c r="FM31" s="70"/>
      <c r="FN31" s="70"/>
      <c r="FO31" s="70"/>
      <c r="FP31" s="70"/>
      <c r="FQ31" s="70"/>
      <c r="FR31" s="70"/>
      <c r="FS31" s="70"/>
      <c r="FT31" s="70"/>
      <c r="FU31" s="70"/>
      <c r="FV31" s="70"/>
      <c r="FW31" s="70"/>
      <c r="FX31" s="70"/>
      <c r="FY31" s="70"/>
      <c r="FZ31" s="70"/>
      <c r="GA31" s="70"/>
      <c r="GB31" s="70"/>
      <c r="GC31" s="70"/>
      <c r="GD31" s="70"/>
      <c r="GE31" s="70"/>
      <c r="GF31" s="70"/>
      <c r="GG31" s="70"/>
      <c r="GH31" s="70"/>
      <c r="GI31" s="71">
        <f>SUM(EX31:GH31)</f>
        <v>0</v>
      </c>
      <c r="GJ31" s="69"/>
      <c r="GK31" s="70"/>
      <c r="GL31" s="70"/>
      <c r="GM31" s="70"/>
      <c r="GN31" s="70"/>
      <c r="GO31" s="70"/>
      <c r="GP31" s="70"/>
      <c r="GQ31" s="70"/>
      <c r="GR31" s="70"/>
      <c r="GS31" s="70"/>
      <c r="GT31" s="70"/>
      <c r="GU31" s="70"/>
      <c r="GV31" s="70"/>
      <c r="GW31" s="70"/>
      <c r="GX31" s="70"/>
      <c r="GY31" s="70"/>
      <c r="GZ31" s="70"/>
      <c r="HA31" s="70"/>
      <c r="HB31" s="70"/>
      <c r="HC31" s="70"/>
      <c r="HD31" s="70"/>
      <c r="HE31" s="70"/>
      <c r="HF31" s="70"/>
      <c r="HG31" s="70"/>
      <c r="HH31" s="70"/>
      <c r="HI31" s="70"/>
      <c r="HJ31" s="70"/>
      <c r="HK31" s="70"/>
      <c r="HL31" s="70"/>
      <c r="HM31" s="70"/>
      <c r="HN31" s="70"/>
      <c r="HO31" s="70"/>
      <c r="HP31" s="70"/>
      <c r="HQ31" s="70"/>
      <c r="HR31" s="70"/>
      <c r="HS31" s="70"/>
      <c r="HT31" s="70"/>
      <c r="HU31" s="71">
        <f>SUM(GJ31:HT31)</f>
        <v>0</v>
      </c>
      <c r="HV31" s="27">
        <f>'[2]CF PRB'!$DI$36</f>
        <v>0</v>
      </c>
      <c r="HW31" s="25">
        <f>'[2]CF PRB'!$DI$37</f>
        <v>0</v>
      </c>
      <c r="HX31" s="25">
        <f>'[2]CF PRB'!$DI$38</f>
        <v>0</v>
      </c>
      <c r="HY31" s="25">
        <f>'[2]CF PRB'!$DI$39</f>
        <v>0</v>
      </c>
      <c r="HZ31" s="25">
        <f>'[2]CF PRB'!$DI$40</f>
        <v>0</v>
      </c>
      <c r="IA31" s="25">
        <f>'[2]CF PRB'!$DI$41</f>
        <v>0</v>
      </c>
      <c r="IB31" s="25">
        <f>'[2]CF PRB'!$DI$42</f>
        <v>0</v>
      </c>
      <c r="IC31" s="25">
        <f>'[2]CF PRB'!$DI$43</f>
        <v>0</v>
      </c>
      <c r="ID31" s="25">
        <f>'[2]CF PRB'!$DI$44</f>
        <v>0</v>
      </c>
      <c r="IE31" s="25">
        <f>'[2]CF PRB'!$DI$45</f>
        <v>0</v>
      </c>
      <c r="IF31" s="25">
        <f>'[2]CF PRB'!$DI$46</f>
        <v>0</v>
      </c>
      <c r="IG31" s="25">
        <f>'[2]CF PRB'!$DI$47</f>
        <v>0</v>
      </c>
      <c r="IH31" s="25">
        <f>'[2]CF PRB'!$DI$48</f>
        <v>0</v>
      </c>
      <c r="II31" s="25">
        <f>'[2]CF PRB'!$DI$49</f>
        <v>0</v>
      </c>
      <c r="IJ31" s="25">
        <f>'[2]CF PRB'!$DI$50</f>
        <v>0</v>
      </c>
      <c r="IK31" s="25">
        <f>'[2]CF PRB'!$DI$51</f>
        <v>0</v>
      </c>
      <c r="IL31" s="25">
        <f>'[2]CF PRB'!$DI$52</f>
        <v>0</v>
      </c>
      <c r="IM31" s="25">
        <f>'[2]CF PRB'!$DI$53</f>
        <v>0</v>
      </c>
      <c r="IN31" s="25">
        <f>'[2]CF PRB'!$DI$54</f>
        <v>0</v>
      </c>
      <c r="IO31" s="25">
        <f>'[2]CF PRB'!$DI$55</f>
        <v>0</v>
      </c>
      <c r="IP31" s="25">
        <f>'[2]CF PRB'!$DI$56</f>
        <v>0</v>
      </c>
      <c r="IQ31" s="25">
        <f>'[2]CF PRB'!$DI$57</f>
        <v>0</v>
      </c>
      <c r="IR31" s="25">
        <f>'[2]CF PRB'!$DI$58</f>
        <v>0</v>
      </c>
      <c r="IS31" s="25">
        <f>'[2]CF PRB'!$DI$59</f>
        <v>0</v>
      </c>
      <c r="IT31" s="25">
        <f>'[2]CF PRB'!$DI$60</f>
        <v>0</v>
      </c>
      <c r="IU31" s="25">
        <f>'[2]CF PRB'!$DI$61</f>
        <v>0</v>
      </c>
      <c r="IV31" s="25">
        <f>'[2]CF PRB'!$DI$62</f>
        <v>0</v>
      </c>
      <c r="IW31" s="25">
        <f>'[2]CF PRB'!$DI$63</f>
        <v>0</v>
      </c>
      <c r="IX31" s="25">
        <f>'[2]CF PRB'!$DI$64</f>
        <v>0</v>
      </c>
      <c r="IY31" s="25">
        <f>'[2]CF PRB'!$DI$65</f>
        <v>0</v>
      </c>
      <c r="IZ31" s="25">
        <f>'[2]CF PRB'!$DI$66</f>
        <v>0</v>
      </c>
      <c r="JA31" s="25">
        <f>'[2]CF PRB'!$DI$67</f>
        <v>0</v>
      </c>
      <c r="JB31" s="25">
        <f>'[2]CF PRB'!$DI$68</f>
        <v>0</v>
      </c>
      <c r="JC31" s="25">
        <f>'[2]CF PRB'!$DI$69</f>
        <v>0</v>
      </c>
      <c r="JD31" s="25">
        <f>'[2]CF PRB'!$DI$70</f>
        <v>0</v>
      </c>
      <c r="JE31" s="25">
        <f>'[2]CF PRB'!$DI$71</f>
        <v>0</v>
      </c>
      <c r="JF31" s="25">
        <f>'[2]CF PRB'!$DI$72</f>
        <v>0</v>
      </c>
      <c r="JG31" s="26">
        <f>SUM(HV31:JF31)</f>
        <v>0</v>
      </c>
      <c r="JH31" s="69"/>
      <c r="JI31" s="70"/>
      <c r="JJ31" s="70"/>
      <c r="JK31" s="70"/>
      <c r="JL31" s="70"/>
      <c r="JM31" s="70"/>
      <c r="JN31" s="70"/>
      <c r="JO31" s="70"/>
      <c r="JP31" s="70"/>
      <c r="JQ31" s="70"/>
      <c r="JR31" s="70"/>
      <c r="JS31" s="70"/>
      <c r="JT31" s="70"/>
      <c r="JU31" s="70"/>
      <c r="JV31" s="70"/>
      <c r="JW31" s="70"/>
      <c r="JX31" s="70"/>
      <c r="JY31" s="70"/>
      <c r="JZ31" s="70"/>
      <c r="KA31" s="70"/>
      <c r="KB31" s="70"/>
      <c r="KC31" s="70"/>
      <c r="KD31" s="70"/>
      <c r="KE31" s="70"/>
      <c r="KF31" s="70"/>
      <c r="KG31" s="70"/>
      <c r="KH31" s="70"/>
      <c r="KI31" s="70"/>
      <c r="KJ31" s="70"/>
      <c r="KK31" s="70"/>
      <c r="KL31" s="70"/>
      <c r="KM31" s="70"/>
      <c r="KN31" s="70"/>
      <c r="KO31" s="70"/>
      <c r="KP31" s="70"/>
      <c r="KQ31" s="70"/>
      <c r="KR31" s="70"/>
      <c r="KS31" s="71">
        <f>SUM(JH31:KR31)</f>
        <v>0</v>
      </c>
      <c r="KT31" s="69"/>
      <c r="KU31" s="70"/>
      <c r="KV31" s="70"/>
      <c r="KW31" s="70"/>
      <c r="KX31" s="70"/>
      <c r="KY31" s="70"/>
      <c r="KZ31" s="70"/>
      <c r="LA31" s="70"/>
      <c r="LB31" s="70"/>
      <c r="LC31" s="70"/>
      <c r="LD31" s="70"/>
      <c r="LE31" s="70"/>
      <c r="LF31" s="70"/>
      <c r="LG31" s="70"/>
      <c r="LH31" s="70"/>
      <c r="LI31" s="70"/>
      <c r="LJ31" s="70"/>
      <c r="LK31" s="70"/>
      <c r="LL31" s="70"/>
      <c r="LM31" s="70"/>
      <c r="LN31" s="70"/>
      <c r="LO31" s="70"/>
      <c r="LP31" s="70"/>
      <c r="LQ31" s="70"/>
      <c r="LR31" s="70"/>
      <c r="LS31" s="70"/>
      <c r="LT31" s="70"/>
      <c r="LU31" s="70"/>
      <c r="LV31" s="70"/>
      <c r="LW31" s="70"/>
      <c r="LX31" s="70"/>
      <c r="LY31" s="70"/>
      <c r="LZ31" s="70"/>
      <c r="MA31" s="70"/>
      <c r="MB31" s="70"/>
      <c r="MC31" s="70"/>
      <c r="MD31" s="70"/>
      <c r="ME31" s="71">
        <f>SUM(KT31:MD31)</f>
        <v>0</v>
      </c>
      <c r="MF31" s="69"/>
      <c r="MG31" s="70"/>
      <c r="MH31" s="70"/>
      <c r="MI31" s="70"/>
      <c r="MJ31" s="70"/>
      <c r="MK31" s="70"/>
      <c r="ML31" s="70"/>
      <c r="MM31" s="70"/>
      <c r="MN31" s="70"/>
      <c r="MO31" s="70"/>
      <c r="MP31" s="70"/>
      <c r="MQ31" s="70"/>
      <c r="MR31" s="70"/>
      <c r="MS31" s="70"/>
      <c r="MT31" s="70"/>
      <c r="MU31" s="70"/>
      <c r="MV31" s="70"/>
      <c r="MW31" s="70"/>
      <c r="MX31" s="70"/>
      <c r="MY31" s="70"/>
      <c r="MZ31" s="70"/>
      <c r="NA31" s="70"/>
      <c r="NB31" s="70"/>
      <c r="NC31" s="70"/>
      <c r="ND31" s="70"/>
      <c r="NE31" s="70"/>
      <c r="NF31" s="70"/>
      <c r="NG31" s="70"/>
      <c r="NH31" s="70"/>
      <c r="NI31" s="70"/>
      <c r="NJ31" s="70"/>
      <c r="NK31" s="70"/>
      <c r="NL31" s="70"/>
      <c r="NM31" s="70"/>
      <c r="NN31" s="70"/>
      <c r="NO31" s="70"/>
      <c r="NP31" s="70"/>
      <c r="NQ31" s="71">
        <f>SUM(MF31:NP31)</f>
        <v>0</v>
      </c>
      <c r="NR31" s="25">
        <f>'[2]CF PS'!$DI$36</f>
        <v>0</v>
      </c>
      <c r="NS31" s="25">
        <f>'[2]CF PS'!$DI$37</f>
        <v>0</v>
      </c>
      <c r="NT31" s="25">
        <f>'[2]CF PS'!$DI$38</f>
        <v>0</v>
      </c>
      <c r="NU31" s="25">
        <f>'[2]CF PS'!$DI$39</f>
        <v>0</v>
      </c>
      <c r="NV31" s="25">
        <f>'[2]CF PS'!$DI$40</f>
        <v>0</v>
      </c>
      <c r="NW31" s="25">
        <f>'[2]CF PS'!$DI$41</f>
        <v>0</v>
      </c>
      <c r="NX31" s="25">
        <f>'[2]CF PS'!$DI$42</f>
        <v>0</v>
      </c>
      <c r="NY31" s="25">
        <f>'[2]CF PS'!$DI$43</f>
        <v>0</v>
      </c>
      <c r="NZ31" s="25">
        <f>'[2]CF PS'!$DI$44</f>
        <v>0</v>
      </c>
      <c r="OA31" s="25">
        <f>'[2]CF PS'!$DI$45</f>
        <v>0</v>
      </c>
      <c r="OB31" s="25">
        <f>'[2]CF PS'!$DI$46</f>
        <v>0</v>
      </c>
      <c r="OC31" s="25">
        <f>'[2]CF PS'!$DI$47</f>
        <v>0</v>
      </c>
      <c r="OD31" s="25">
        <f>'[2]CF PS'!$DI$48</f>
        <v>0</v>
      </c>
      <c r="OE31" s="25">
        <f>'[2]CF PS'!$DI$49</f>
        <v>0</v>
      </c>
      <c r="OF31" s="25">
        <f>'[2]CF PS'!$DI$50</f>
        <v>0</v>
      </c>
      <c r="OG31" s="25">
        <f>'[2]CF PS'!$DI$51</f>
        <v>0</v>
      </c>
      <c r="OH31" s="25">
        <f>'[2]CF PS'!$DI$52</f>
        <v>0</v>
      </c>
      <c r="OI31" s="25">
        <f>'[2]CF PS'!$DI$53</f>
        <v>0</v>
      </c>
      <c r="OJ31" s="25">
        <f>'[2]CF PS'!$DI$54</f>
        <v>0</v>
      </c>
      <c r="OK31" s="25">
        <f>'[2]CF PS'!$DI$55</f>
        <v>0</v>
      </c>
      <c r="OL31" s="25">
        <f>'[2]CF PS'!$DI$56</f>
        <v>0</v>
      </c>
      <c r="OM31" s="25">
        <f>'[2]CF PS'!$DI$57</f>
        <v>0</v>
      </c>
      <c r="ON31" s="25">
        <f>'[2]CF PS'!$DI$58</f>
        <v>0</v>
      </c>
      <c r="OO31" s="25">
        <f>'[2]CF PS'!$DI$59</f>
        <v>0</v>
      </c>
      <c r="OP31" s="25">
        <f>'[2]CF PS'!$DI$60</f>
        <v>0</v>
      </c>
      <c r="OQ31" s="25">
        <f>'[2]CF PS'!$DI$61</f>
        <v>0</v>
      </c>
      <c r="OR31" s="25">
        <f>'[2]CF PS'!$DI$62</f>
        <v>0</v>
      </c>
      <c r="OS31" s="25">
        <f>'[2]CF PS'!$DI$63</f>
        <v>0</v>
      </c>
      <c r="OT31" s="25">
        <f>'[2]CF PS'!$DI$64</f>
        <v>0</v>
      </c>
      <c r="OU31" s="25">
        <f>'[2]CF PS'!$DI$65</f>
        <v>0</v>
      </c>
      <c r="OV31" s="25">
        <f>'[2]CF PS'!$DI$66</f>
        <v>0</v>
      </c>
      <c r="OW31" s="25">
        <f>'[2]CF PS'!$DI$67</f>
        <v>0</v>
      </c>
      <c r="OX31" s="25">
        <f>'[2]CF PS'!$DI$68</f>
        <v>0</v>
      </c>
      <c r="OY31" s="25">
        <f>'[2]CF PS'!$DI$69</f>
        <v>0</v>
      </c>
      <c r="OZ31" s="25">
        <f>'[2]CF PS'!$DI$70</f>
        <v>0</v>
      </c>
      <c r="PA31" s="25">
        <f>'[2]CF PS'!$DI$71</f>
        <v>0</v>
      </c>
      <c r="PB31" s="25">
        <f>'[2]CF PS'!$DI$72</f>
        <v>0</v>
      </c>
      <c r="PC31" s="26">
        <f>SUM(NR31:PB31)</f>
        <v>0</v>
      </c>
    </row>
    <row r="32" spans="1:419" ht="15.5" thickBot="1" x14ac:dyDescent="0.45">
      <c r="A32" s="47" t="s">
        <v>56</v>
      </c>
      <c r="B32" s="40" t="str">
        <f>IF(AND(B30&lt;&gt;0,B31&lt;&gt;0),(B30-B31)/B31,IF(AND(B30=0,B31=0),"",IF(AND(B30="",B31=""),"",IF(AND(B30=0,B31=""),"", IF(AND(B30="",B31=0),"",1)))))</f>
        <v/>
      </c>
      <c r="C32" s="40" t="str">
        <f t="shared" ref="C32" si="1040">IF(AND(C30&lt;&gt;0,C31&lt;&gt;0),(C30-C31)/C31,IF(AND(C30=0,C31=0),"",IF(AND(C30="",C31=""),"",IF(AND(C30=0,C31=""),"", IF(AND(C30="",C31=0),"",1)))))</f>
        <v/>
      </c>
      <c r="D32" s="40" t="str">
        <f t="shared" ref="D32" si="1041">IF(AND(D30&lt;&gt;0,D31&lt;&gt;0),(D30-D31)/D31,IF(AND(D30=0,D31=0),"",IF(AND(D30="",D31=""),"",IF(AND(D30=0,D31=""),"", IF(AND(D30="",D31=0),"",1)))))</f>
        <v/>
      </c>
      <c r="E32" s="40" t="str">
        <f t="shared" ref="E32" si="1042">IF(AND(E30&lt;&gt;0,E31&lt;&gt;0),(E30-E31)/E31,IF(AND(E30=0,E31=0),"",IF(AND(E30="",E31=""),"",IF(AND(E30=0,E31=""),"", IF(AND(E30="",E31=0),"",1)))))</f>
        <v/>
      </c>
      <c r="F32" s="40" t="str">
        <f t="shared" ref="F32" si="1043">IF(AND(F30&lt;&gt;0,F31&lt;&gt;0),(F30-F31)/F31,IF(AND(F30=0,F31=0),"",IF(AND(F30="",F31=""),"",IF(AND(F30=0,F31=""),"", IF(AND(F30="",F31=0),"",1)))))</f>
        <v/>
      </c>
      <c r="G32" s="40" t="str">
        <f t="shared" ref="G32" si="1044">IF(AND(G30&lt;&gt;0,G31&lt;&gt;0),(G30-G31)/G31,IF(AND(G30=0,G31=0),"",IF(AND(G30="",G31=""),"",IF(AND(G30=0,G31=""),"", IF(AND(G30="",G31=0),"",1)))))</f>
        <v/>
      </c>
      <c r="H32" s="40" t="str">
        <f t="shared" ref="H32" si="1045">IF(AND(H30&lt;&gt;0,H31&lt;&gt;0),(H30-H31)/H31,IF(AND(H30=0,H31=0),"",IF(AND(H30="",H31=""),"",IF(AND(H30=0,H31=""),"", IF(AND(H30="",H31=0),"",1)))))</f>
        <v/>
      </c>
      <c r="I32" s="40" t="str">
        <f t="shared" ref="I32" si="1046">IF(AND(I30&lt;&gt;0,I31&lt;&gt;0),(I30-I31)/I31,IF(AND(I30=0,I31=0),"",IF(AND(I30="",I31=""),"",IF(AND(I30=0,I31=""),"", IF(AND(I30="",I31=0),"",1)))))</f>
        <v/>
      </c>
      <c r="J32" s="40" t="str">
        <f t="shared" ref="J32" si="1047">IF(AND(J30&lt;&gt;0,J31&lt;&gt;0),(J30-J31)/J31,IF(AND(J30=0,J31=0),"",IF(AND(J30="",J31=""),"",IF(AND(J30=0,J31=""),"", IF(AND(J30="",J31=0),"",1)))))</f>
        <v/>
      </c>
      <c r="K32" s="40" t="str">
        <f t="shared" ref="K32" si="1048">IF(AND(K30&lt;&gt;0,K31&lt;&gt;0),(K30-K31)/K31,IF(AND(K30=0,K31=0),"",IF(AND(K30="",K31=""),"",IF(AND(K30=0,K31=""),"", IF(AND(K30="",K31=0),"",1)))))</f>
        <v/>
      </c>
      <c r="L32" s="40">
        <f t="shared" ref="L32" si="1049">IF(AND(L30&lt;&gt;0,L31&lt;&gt;0),(L30-L31)/L31,IF(AND(L30=0,L31=0),"",IF(AND(L30="",L31=""),"",IF(AND(L30=0,L31=""),"", IF(AND(L30="",L31=0),"",1)))))</f>
        <v>1</v>
      </c>
      <c r="M32" s="40">
        <f t="shared" ref="M32" si="1050">IF(AND(M30&lt;&gt;0,M31&lt;&gt;0),(M30-M31)/M31,IF(AND(M30=0,M31=0),"",IF(AND(M30="",M31=""),"",IF(AND(M30=0,M31=""),"", IF(AND(M30="",M31=0),"",1)))))</f>
        <v>1</v>
      </c>
      <c r="N32" s="40" t="str">
        <f t="shared" ref="N32" si="1051">IF(AND(N30&lt;&gt;0,N31&lt;&gt;0),(N30-N31)/N31,IF(AND(N30=0,N31=0),"",IF(AND(N30="",N31=""),"",IF(AND(N30=0,N31=""),"", IF(AND(N30="",N31=0),"",1)))))</f>
        <v/>
      </c>
      <c r="O32" s="40" t="str">
        <f t="shared" ref="O32" si="1052">IF(AND(O30&lt;&gt;0,O31&lt;&gt;0),(O30-O31)/O31,IF(AND(O30=0,O31=0),"",IF(AND(O30="",O31=""),"",IF(AND(O30=0,O31=""),"", IF(AND(O30="",O31=0),"",1)))))</f>
        <v/>
      </c>
      <c r="P32" s="40" t="str">
        <f t="shared" ref="P32" si="1053">IF(AND(P30&lt;&gt;0,P31&lt;&gt;0),(P30-P31)/P31,IF(AND(P30=0,P31=0),"",IF(AND(P30="",P31=""),"",IF(AND(P30=0,P31=""),"", IF(AND(P30="",P31=0),"",1)))))</f>
        <v/>
      </c>
      <c r="Q32" s="40" t="str">
        <f t="shared" ref="Q32" si="1054">IF(AND(Q30&lt;&gt;0,Q31&lt;&gt;0),(Q30-Q31)/Q31,IF(AND(Q30=0,Q31=0),"",IF(AND(Q30="",Q31=""),"",IF(AND(Q30=0,Q31=""),"", IF(AND(Q30="",Q31=0),"",1)))))</f>
        <v/>
      </c>
      <c r="R32" s="40" t="str">
        <f t="shared" ref="R32" si="1055">IF(AND(R30&lt;&gt;0,R31&lt;&gt;0),(R30-R31)/R31,IF(AND(R30=0,R31=0),"",IF(AND(R30="",R31=""),"",IF(AND(R30=0,R31=""),"", IF(AND(R30="",R31=0),"",1)))))</f>
        <v/>
      </c>
      <c r="S32" s="40" t="str">
        <f t="shared" ref="S32" si="1056">IF(AND(S30&lt;&gt;0,S31&lt;&gt;0),(S30-S31)/S31,IF(AND(S30=0,S31=0),"",IF(AND(S30="",S31=""),"",IF(AND(S30=0,S31=""),"", IF(AND(S30="",S31=0),"",1)))))</f>
        <v/>
      </c>
      <c r="T32" s="40" t="str">
        <f t="shared" ref="T32" si="1057">IF(AND(T30&lt;&gt;0,T31&lt;&gt;0),(T30-T31)/T31,IF(AND(T30=0,T31=0),"",IF(AND(T30="",T31=""),"",IF(AND(T30=0,T31=""),"", IF(AND(T30="",T31=0),"",1)))))</f>
        <v/>
      </c>
      <c r="U32" s="40" t="str">
        <f t="shared" ref="U32" si="1058">IF(AND(U30&lt;&gt;0,U31&lt;&gt;0),(U30-U31)/U31,IF(AND(U30=0,U31=0),"",IF(AND(U30="",U31=""),"",IF(AND(U30=0,U31=""),"", IF(AND(U30="",U31=0),"",1)))))</f>
        <v/>
      </c>
      <c r="V32" s="40" t="str">
        <f t="shared" ref="V32" si="1059">IF(AND(V30&lt;&gt;0,V31&lt;&gt;0),(V30-V31)/V31,IF(AND(V30=0,V31=0),"",IF(AND(V30="",V31=""),"",IF(AND(V30=0,V31=""),"", IF(AND(V30="",V31=0),"",1)))))</f>
        <v/>
      </c>
      <c r="W32" s="40" t="str">
        <f t="shared" ref="W32" si="1060">IF(AND(W30&lt;&gt;0,W31&lt;&gt;0),(W30-W31)/W31,IF(AND(W30=0,W31=0),"",IF(AND(W30="",W31=""),"",IF(AND(W30=0,W31=""),"", IF(AND(W30="",W31=0),"",1)))))</f>
        <v/>
      </c>
      <c r="X32" s="40" t="str">
        <f t="shared" ref="X32:AL32" si="1061">IF(AND(X30&lt;&gt;0,X31&lt;&gt;0),(X30-X31)/X31,IF(AND(X30=0,X31=0),"",IF(AND(X30="",X31=""),"",IF(AND(X30=0,X31=""),"", IF(AND(X30="",X31=0),"",1)))))</f>
        <v/>
      </c>
      <c r="Y32" s="40" t="str">
        <f t="shared" si="1061"/>
        <v/>
      </c>
      <c r="Z32" s="40" t="str">
        <f t="shared" si="1061"/>
        <v/>
      </c>
      <c r="AA32" s="40" t="str">
        <f t="shared" si="1061"/>
        <v/>
      </c>
      <c r="AB32" s="40" t="str">
        <f t="shared" si="1061"/>
        <v/>
      </c>
      <c r="AC32" s="40" t="str">
        <f t="shared" si="1061"/>
        <v/>
      </c>
      <c r="AD32" s="40" t="str">
        <f t="shared" si="1061"/>
        <v/>
      </c>
      <c r="AE32" s="40" t="str">
        <f t="shared" si="1061"/>
        <v/>
      </c>
      <c r="AF32" s="40" t="str">
        <f t="shared" si="1061"/>
        <v/>
      </c>
      <c r="AG32" s="40" t="str">
        <f t="shared" si="1061"/>
        <v/>
      </c>
      <c r="AH32" s="40" t="str">
        <f t="shared" si="1061"/>
        <v/>
      </c>
      <c r="AI32" s="40" t="str">
        <f t="shared" si="1061"/>
        <v/>
      </c>
      <c r="AJ32" s="40" t="str">
        <f t="shared" si="1061"/>
        <v/>
      </c>
      <c r="AK32" s="40" t="str">
        <f t="shared" si="1061"/>
        <v/>
      </c>
      <c r="AL32" s="40" t="str">
        <f t="shared" si="1061"/>
        <v/>
      </c>
      <c r="AM32" s="41">
        <f t="shared" ref="AM32" si="1062">IF(AND(AM30&lt;&gt;0,AM31&lt;&gt;0),(AM30-AM31)/AM31,IF(AND(AM30=0,AM31=0),"",IF(AND(AM30="",AM31=""),"",IF(AND(AM30=0,AM31=""),"", IF(AND(AM30="",AM31=0),"",1)))))</f>
        <v>0</v>
      </c>
      <c r="AN32" s="39" t="str">
        <f t="shared" ref="AN32" si="1063">IF(AND(AN30&lt;&gt;0,AN31&lt;&gt;0),(AN30-AN31)/AN31,IF(AND(AN30=0,AN31=0),"",IF(AND(AN30="",AN31=""),"",IF(AND(AN30=0,AN31=""),"", IF(AND(AN30="",AN31=0),"",1)))))</f>
        <v/>
      </c>
      <c r="AO32" s="40" t="str">
        <f t="shared" ref="AO32" si="1064">IF(AND(AO30&lt;&gt;0,AO31&lt;&gt;0),(AO30-AO31)/AO31,IF(AND(AO30=0,AO31=0),"",IF(AND(AO30="",AO31=""),"",IF(AND(AO30=0,AO31=""),"", IF(AND(AO30="",AO31=0),"",1)))))</f>
        <v/>
      </c>
      <c r="AP32" s="40" t="str">
        <f t="shared" ref="AP32" si="1065">IF(AND(AP30&lt;&gt;0,AP31&lt;&gt;0),(AP30-AP31)/AP31,IF(AND(AP30=0,AP31=0),"",IF(AND(AP30="",AP31=""),"",IF(AND(AP30=0,AP31=""),"", IF(AND(AP30="",AP31=0),"",1)))))</f>
        <v/>
      </c>
      <c r="AQ32" s="40" t="str">
        <f t="shared" ref="AQ32" si="1066">IF(AND(AQ30&lt;&gt;0,AQ31&lt;&gt;0),(AQ30-AQ31)/AQ31,IF(AND(AQ30=0,AQ31=0),"",IF(AND(AQ30="",AQ31=""),"",IF(AND(AQ30=0,AQ31=""),"", IF(AND(AQ30="",AQ31=0),"",1)))))</f>
        <v/>
      </c>
      <c r="AR32" s="40" t="str">
        <f t="shared" ref="AR32" si="1067">IF(AND(AR30&lt;&gt;0,AR31&lt;&gt;0),(AR30-AR31)/AR31,IF(AND(AR30=0,AR31=0),"",IF(AND(AR30="",AR31=""),"",IF(AND(AR30=0,AR31=""),"", IF(AND(AR30="",AR31=0),"",1)))))</f>
        <v/>
      </c>
      <c r="AS32" s="40" t="str">
        <f t="shared" ref="AS32" si="1068">IF(AND(AS30&lt;&gt;0,AS31&lt;&gt;0),(AS30-AS31)/AS31,IF(AND(AS30=0,AS31=0),"",IF(AND(AS30="",AS31=""),"",IF(AND(AS30=0,AS31=""),"", IF(AND(AS30="",AS31=0),"",1)))))</f>
        <v/>
      </c>
      <c r="AT32" s="40" t="str">
        <f t="shared" ref="AT32" si="1069">IF(AND(AT30&lt;&gt;0,AT31&lt;&gt;0),(AT30-AT31)/AT31,IF(AND(AT30=0,AT31=0),"",IF(AND(AT30="",AT31=""),"",IF(AND(AT30=0,AT31=""),"", IF(AND(AT30="",AT31=0),"",1)))))</f>
        <v/>
      </c>
      <c r="AU32" s="40" t="str">
        <f t="shared" ref="AU32" si="1070">IF(AND(AU30&lt;&gt;0,AU31&lt;&gt;0),(AU30-AU31)/AU31,IF(AND(AU30=0,AU31=0),"",IF(AND(AU30="",AU31=""),"",IF(AND(AU30=0,AU31=""),"", IF(AND(AU30="",AU31=0),"",1)))))</f>
        <v/>
      </c>
      <c r="AV32" s="40" t="str">
        <f t="shared" ref="AV32" si="1071">IF(AND(AV30&lt;&gt;0,AV31&lt;&gt;0),(AV30-AV31)/AV31,IF(AND(AV30=0,AV31=0),"",IF(AND(AV30="",AV31=""),"",IF(AND(AV30=0,AV31=""),"", IF(AND(AV30="",AV31=0),"",1)))))</f>
        <v/>
      </c>
      <c r="AW32" s="40" t="str">
        <f t="shared" ref="AW32" si="1072">IF(AND(AW30&lt;&gt;0,AW31&lt;&gt;0),(AW30-AW31)/AW31,IF(AND(AW30=0,AW31=0),"",IF(AND(AW30="",AW31=""),"",IF(AND(AW30=0,AW31=""),"", IF(AND(AW30="",AW31=0),"",1)))))</f>
        <v/>
      </c>
      <c r="AX32" s="40" t="str">
        <f t="shared" ref="AX32" si="1073">IF(AND(AX30&lt;&gt;0,AX31&lt;&gt;0),(AX30-AX31)/AX31,IF(AND(AX30=0,AX31=0),"",IF(AND(AX30="",AX31=""),"",IF(AND(AX30=0,AX31=""),"", IF(AND(AX30="",AX31=0),"",1)))))</f>
        <v/>
      </c>
      <c r="AY32" s="40" t="str">
        <f t="shared" ref="AY32" si="1074">IF(AND(AY30&lt;&gt;0,AY31&lt;&gt;0),(AY30-AY31)/AY31,IF(AND(AY30=0,AY31=0),"",IF(AND(AY30="",AY31=""),"",IF(AND(AY30=0,AY31=""),"", IF(AND(AY30="",AY31=0),"",1)))))</f>
        <v/>
      </c>
      <c r="AZ32" s="40" t="str">
        <f t="shared" ref="AZ32" si="1075">IF(AND(AZ30&lt;&gt;0,AZ31&lt;&gt;0),(AZ30-AZ31)/AZ31,IF(AND(AZ30=0,AZ31=0),"",IF(AND(AZ30="",AZ31=""),"",IF(AND(AZ30=0,AZ31=""),"", IF(AND(AZ30="",AZ31=0),"",1)))))</f>
        <v/>
      </c>
      <c r="BA32" s="40" t="str">
        <f t="shared" ref="BA32" si="1076">IF(AND(BA30&lt;&gt;0,BA31&lt;&gt;0),(BA30-BA31)/BA31,IF(AND(BA30=0,BA31=0),"",IF(AND(BA30="",BA31=""),"",IF(AND(BA30=0,BA31=""),"", IF(AND(BA30="",BA31=0),"",1)))))</f>
        <v/>
      </c>
      <c r="BB32" s="40" t="str">
        <f t="shared" ref="BB32" si="1077">IF(AND(BB30&lt;&gt;0,BB31&lt;&gt;0),(BB30-BB31)/BB31,IF(AND(BB30=0,BB31=0),"",IF(AND(BB30="",BB31=""),"",IF(AND(BB30=0,BB31=""),"", IF(AND(BB30="",BB31=0),"",1)))))</f>
        <v/>
      </c>
      <c r="BC32" s="40" t="str">
        <f t="shared" ref="BC32" si="1078">IF(AND(BC30&lt;&gt;0,BC31&lt;&gt;0),(BC30-BC31)/BC31,IF(AND(BC30=0,BC31=0),"",IF(AND(BC30="",BC31=""),"",IF(AND(BC30=0,BC31=""),"", IF(AND(BC30="",BC31=0),"",1)))))</f>
        <v/>
      </c>
      <c r="BD32" s="40" t="str">
        <f t="shared" ref="BD32" si="1079">IF(AND(BD30&lt;&gt;0,BD31&lt;&gt;0),(BD30-BD31)/BD31,IF(AND(BD30=0,BD31=0),"",IF(AND(BD30="",BD31=""),"",IF(AND(BD30=0,BD31=""),"", IF(AND(BD30="",BD31=0),"",1)))))</f>
        <v/>
      </c>
      <c r="BE32" s="40" t="str">
        <f t="shared" ref="BE32" si="1080">IF(AND(BE30&lt;&gt;0,BE31&lt;&gt;0),(BE30-BE31)/BE31,IF(AND(BE30=0,BE31=0),"",IF(AND(BE30="",BE31=""),"",IF(AND(BE30=0,BE31=""),"", IF(AND(BE30="",BE31=0),"",1)))))</f>
        <v/>
      </c>
      <c r="BF32" s="40" t="str">
        <f t="shared" ref="BF32" si="1081">IF(AND(BF30&lt;&gt;0,BF31&lt;&gt;0),(BF30-BF31)/BF31,IF(AND(BF30=0,BF31=0),"",IF(AND(BF30="",BF31=""),"",IF(AND(BF30=0,BF31=""),"", IF(AND(BF30="",BF31=0),"",1)))))</f>
        <v/>
      </c>
      <c r="BG32" s="40" t="str">
        <f t="shared" ref="BG32" si="1082">IF(AND(BG30&lt;&gt;0,BG31&lt;&gt;0),(BG30-BG31)/BG31,IF(AND(BG30=0,BG31=0),"",IF(AND(BG30="",BG31=""),"",IF(AND(BG30=0,BG31=""),"", IF(AND(BG30="",BG31=0),"",1)))))</f>
        <v/>
      </c>
      <c r="BH32" s="40" t="str">
        <f t="shared" ref="BH32" si="1083">IF(AND(BH30&lt;&gt;0,BH31&lt;&gt;0),(BH30-BH31)/BH31,IF(AND(BH30=0,BH31=0),"",IF(AND(BH30="",BH31=""),"",IF(AND(BH30=0,BH31=""),"", IF(AND(BH30="",BH31=0),"",1)))))</f>
        <v/>
      </c>
      <c r="BI32" s="40" t="str">
        <f t="shared" ref="BI32" si="1084">IF(AND(BI30&lt;&gt;0,BI31&lt;&gt;0),(BI30-BI31)/BI31,IF(AND(BI30=0,BI31=0),"",IF(AND(BI30="",BI31=""),"",IF(AND(BI30=0,BI31=""),"", IF(AND(BI30="",BI31=0),"",1)))))</f>
        <v/>
      </c>
      <c r="BJ32" s="40" t="str">
        <f t="shared" ref="BJ32:BX32" si="1085">IF(AND(BJ30&lt;&gt;0,BJ31&lt;&gt;0),(BJ30-BJ31)/BJ31,IF(AND(BJ30=0,BJ31=0),"",IF(AND(BJ30="",BJ31=""),"",IF(AND(BJ30=0,BJ31=""),"", IF(AND(BJ30="",BJ31=0),"",1)))))</f>
        <v/>
      </c>
      <c r="BK32" s="40" t="str">
        <f t="shared" si="1085"/>
        <v/>
      </c>
      <c r="BL32" s="40" t="str">
        <f t="shared" si="1085"/>
        <v/>
      </c>
      <c r="BM32" s="40" t="str">
        <f t="shared" si="1085"/>
        <v/>
      </c>
      <c r="BN32" s="40" t="str">
        <f t="shared" si="1085"/>
        <v/>
      </c>
      <c r="BO32" s="40" t="str">
        <f t="shared" si="1085"/>
        <v/>
      </c>
      <c r="BP32" s="40" t="str">
        <f t="shared" si="1085"/>
        <v/>
      </c>
      <c r="BQ32" s="40" t="str">
        <f t="shared" si="1085"/>
        <v/>
      </c>
      <c r="BR32" s="40" t="str">
        <f t="shared" si="1085"/>
        <v/>
      </c>
      <c r="BS32" s="40" t="str">
        <f t="shared" si="1085"/>
        <v/>
      </c>
      <c r="BT32" s="40" t="str">
        <f t="shared" si="1085"/>
        <v/>
      </c>
      <c r="BU32" s="40" t="str">
        <f t="shared" si="1085"/>
        <v/>
      </c>
      <c r="BV32" s="40" t="str">
        <f t="shared" si="1085"/>
        <v/>
      </c>
      <c r="BW32" s="40" t="str">
        <f t="shared" si="1085"/>
        <v/>
      </c>
      <c r="BX32" s="40" t="str">
        <f t="shared" si="1085"/>
        <v/>
      </c>
      <c r="BY32" s="41" t="str">
        <f t="shared" ref="BY32" si="1086">IF(AND(BY30&lt;&gt;0,BY31&lt;&gt;0),(BY30-BY31)/BY31,IF(AND(BY30=0,BY31=0),"",IF(AND(BY30="",BY31=""),"",IF(AND(BY30=0,BY31=""),"", IF(AND(BY30="",BY31=0),"",1)))))</f>
        <v/>
      </c>
      <c r="BZ32" s="39" t="str">
        <f t="shared" ref="BZ32" si="1087">IF(AND(BZ30&lt;&gt;0,BZ31&lt;&gt;0),(BZ30-BZ31)/BZ31,IF(AND(BZ30=0,BZ31=0),"",IF(AND(BZ30="",BZ31=""),"",IF(AND(BZ30=0,BZ31=""),"", IF(AND(BZ30="",BZ31=0),"",1)))))</f>
        <v/>
      </c>
      <c r="CA32" s="40" t="str">
        <f t="shared" ref="CA32" si="1088">IF(AND(CA30&lt;&gt;0,CA31&lt;&gt;0),(CA30-CA31)/CA31,IF(AND(CA30=0,CA31=0),"",IF(AND(CA30="",CA31=""),"",IF(AND(CA30=0,CA31=""),"", IF(AND(CA30="",CA31=0),"",1)))))</f>
        <v/>
      </c>
      <c r="CB32" s="40" t="str">
        <f t="shared" ref="CB32" si="1089">IF(AND(CB30&lt;&gt;0,CB31&lt;&gt;0),(CB30-CB31)/CB31,IF(AND(CB30=0,CB31=0),"",IF(AND(CB30="",CB31=""),"",IF(AND(CB30=0,CB31=""),"", IF(AND(CB30="",CB31=0),"",1)))))</f>
        <v/>
      </c>
      <c r="CC32" s="40" t="str">
        <f t="shared" ref="CC32" si="1090">IF(AND(CC30&lt;&gt;0,CC31&lt;&gt;0),(CC30-CC31)/CC31,IF(AND(CC30=0,CC31=0),"",IF(AND(CC30="",CC31=""),"",IF(AND(CC30=0,CC31=""),"", IF(AND(CC30="",CC31=0),"",1)))))</f>
        <v/>
      </c>
      <c r="CD32" s="40" t="str">
        <f t="shared" ref="CD32" si="1091">IF(AND(CD30&lt;&gt;0,CD31&lt;&gt;0),(CD30-CD31)/CD31,IF(AND(CD30=0,CD31=0),"",IF(AND(CD30="",CD31=""),"",IF(AND(CD30=0,CD31=""),"", IF(AND(CD30="",CD31=0),"",1)))))</f>
        <v/>
      </c>
      <c r="CE32" s="40" t="str">
        <f t="shared" ref="CE32" si="1092">IF(AND(CE30&lt;&gt;0,CE31&lt;&gt;0),(CE30-CE31)/CE31,IF(AND(CE30=0,CE31=0),"",IF(AND(CE30="",CE31=""),"",IF(AND(CE30=0,CE31=""),"", IF(AND(CE30="",CE31=0),"",1)))))</f>
        <v/>
      </c>
      <c r="CF32" s="40" t="str">
        <f t="shared" ref="CF32" si="1093">IF(AND(CF30&lt;&gt;0,CF31&lt;&gt;0),(CF30-CF31)/CF31,IF(AND(CF30=0,CF31=0),"",IF(AND(CF30="",CF31=""),"",IF(AND(CF30=0,CF31=""),"", IF(AND(CF30="",CF31=0),"",1)))))</f>
        <v/>
      </c>
      <c r="CG32" s="40" t="str">
        <f t="shared" ref="CG32" si="1094">IF(AND(CG30&lt;&gt;0,CG31&lt;&gt;0),(CG30-CG31)/CG31,IF(AND(CG30=0,CG31=0),"",IF(AND(CG30="",CG31=""),"",IF(AND(CG30=0,CG31=""),"", IF(AND(CG30="",CG31=0),"",1)))))</f>
        <v/>
      </c>
      <c r="CH32" s="40" t="str">
        <f t="shared" ref="CH32" si="1095">IF(AND(CH30&lt;&gt;0,CH31&lt;&gt;0),(CH30-CH31)/CH31,IF(AND(CH30=0,CH31=0),"",IF(AND(CH30="",CH31=""),"",IF(AND(CH30=0,CH31=""),"", IF(AND(CH30="",CH31=0),"",1)))))</f>
        <v/>
      </c>
      <c r="CI32" s="40" t="str">
        <f t="shared" ref="CI32" si="1096">IF(AND(CI30&lt;&gt;0,CI31&lt;&gt;0),(CI30-CI31)/CI31,IF(AND(CI30=0,CI31=0),"",IF(AND(CI30="",CI31=""),"",IF(AND(CI30=0,CI31=""),"", IF(AND(CI30="",CI31=0),"",1)))))</f>
        <v/>
      </c>
      <c r="CJ32" s="40" t="str">
        <f t="shared" ref="CJ32" si="1097">IF(AND(CJ30&lt;&gt;0,CJ31&lt;&gt;0),(CJ30-CJ31)/CJ31,IF(AND(CJ30=0,CJ31=0),"",IF(AND(CJ30="",CJ31=""),"",IF(AND(CJ30=0,CJ31=""),"", IF(AND(CJ30="",CJ31=0),"",1)))))</f>
        <v/>
      </c>
      <c r="CK32" s="40" t="str">
        <f t="shared" ref="CK32" si="1098">IF(AND(CK30&lt;&gt;0,CK31&lt;&gt;0),(CK30-CK31)/CK31,IF(AND(CK30=0,CK31=0),"",IF(AND(CK30="",CK31=""),"",IF(AND(CK30=0,CK31=""),"", IF(AND(CK30="",CK31=0),"",1)))))</f>
        <v/>
      </c>
      <c r="CL32" s="40" t="str">
        <f t="shared" ref="CL32" si="1099">IF(AND(CL30&lt;&gt;0,CL31&lt;&gt;0),(CL30-CL31)/CL31,IF(AND(CL30=0,CL31=0),"",IF(AND(CL30="",CL31=""),"",IF(AND(CL30=0,CL31=""),"", IF(AND(CL30="",CL31=0),"",1)))))</f>
        <v/>
      </c>
      <c r="CM32" s="40" t="str">
        <f t="shared" ref="CM32" si="1100">IF(AND(CM30&lt;&gt;0,CM31&lt;&gt;0),(CM30-CM31)/CM31,IF(AND(CM30=0,CM31=0),"",IF(AND(CM30="",CM31=""),"",IF(AND(CM30=0,CM31=""),"", IF(AND(CM30="",CM31=0),"",1)))))</f>
        <v/>
      </c>
      <c r="CN32" s="40" t="str">
        <f t="shared" ref="CN32" si="1101">IF(AND(CN30&lt;&gt;0,CN31&lt;&gt;0),(CN30-CN31)/CN31,IF(AND(CN30=0,CN31=0),"",IF(AND(CN30="",CN31=""),"",IF(AND(CN30=0,CN31=""),"", IF(AND(CN30="",CN31=0),"",1)))))</f>
        <v/>
      </c>
      <c r="CO32" s="40" t="str">
        <f t="shared" ref="CO32" si="1102">IF(AND(CO30&lt;&gt;0,CO31&lt;&gt;0),(CO30-CO31)/CO31,IF(AND(CO30=0,CO31=0),"",IF(AND(CO30="",CO31=""),"",IF(AND(CO30=0,CO31=""),"", IF(AND(CO30="",CO31=0),"",1)))))</f>
        <v/>
      </c>
      <c r="CP32" s="40" t="str">
        <f t="shared" ref="CP32" si="1103">IF(AND(CP30&lt;&gt;0,CP31&lt;&gt;0),(CP30-CP31)/CP31,IF(AND(CP30=0,CP31=0),"",IF(AND(CP30="",CP31=""),"",IF(AND(CP30=0,CP31=""),"", IF(AND(CP30="",CP31=0),"",1)))))</f>
        <v/>
      </c>
      <c r="CQ32" s="40" t="str">
        <f t="shared" ref="CQ32" si="1104">IF(AND(CQ30&lt;&gt;0,CQ31&lt;&gt;0),(CQ30-CQ31)/CQ31,IF(AND(CQ30=0,CQ31=0),"",IF(AND(CQ30="",CQ31=""),"",IF(AND(CQ30=0,CQ31=""),"", IF(AND(CQ30="",CQ31=0),"",1)))))</f>
        <v/>
      </c>
      <c r="CR32" s="40" t="str">
        <f t="shared" ref="CR32" si="1105">IF(AND(CR30&lt;&gt;0,CR31&lt;&gt;0),(CR30-CR31)/CR31,IF(AND(CR30=0,CR31=0),"",IF(AND(CR30="",CR31=""),"",IF(AND(CR30=0,CR31=""),"", IF(AND(CR30="",CR31=0),"",1)))))</f>
        <v/>
      </c>
      <c r="CS32" s="40" t="str">
        <f t="shared" ref="CS32" si="1106">IF(AND(CS30&lt;&gt;0,CS31&lt;&gt;0),(CS30-CS31)/CS31,IF(AND(CS30=0,CS31=0),"",IF(AND(CS30="",CS31=""),"",IF(AND(CS30=0,CS31=""),"", IF(AND(CS30="",CS31=0),"",1)))))</f>
        <v/>
      </c>
      <c r="CT32" s="40" t="str">
        <f t="shared" ref="CT32" si="1107">IF(AND(CT30&lt;&gt;0,CT31&lt;&gt;0),(CT30-CT31)/CT31,IF(AND(CT30=0,CT31=0),"",IF(AND(CT30="",CT31=""),"",IF(AND(CT30=0,CT31=""),"", IF(AND(CT30="",CT31=0),"",1)))))</f>
        <v/>
      </c>
      <c r="CU32" s="40" t="str">
        <f t="shared" ref="CU32" si="1108">IF(AND(CU30&lt;&gt;0,CU31&lt;&gt;0),(CU30-CU31)/CU31,IF(AND(CU30=0,CU31=0),"",IF(AND(CU30="",CU31=""),"",IF(AND(CU30=0,CU31=""),"", IF(AND(CU30="",CU31=0),"",1)))))</f>
        <v/>
      </c>
      <c r="CV32" s="40" t="str">
        <f t="shared" ref="CV32:DJ32" si="1109">IF(AND(CV30&lt;&gt;0,CV31&lt;&gt;0),(CV30-CV31)/CV31,IF(AND(CV30=0,CV31=0),"",IF(AND(CV30="",CV31=""),"",IF(AND(CV30=0,CV31=""),"", IF(AND(CV30="",CV31=0),"",1)))))</f>
        <v/>
      </c>
      <c r="CW32" s="40" t="str">
        <f t="shared" si="1109"/>
        <v/>
      </c>
      <c r="CX32" s="40" t="str">
        <f t="shared" si="1109"/>
        <v/>
      </c>
      <c r="CY32" s="40" t="str">
        <f t="shared" si="1109"/>
        <v/>
      </c>
      <c r="CZ32" s="40" t="str">
        <f t="shared" si="1109"/>
        <v/>
      </c>
      <c r="DA32" s="40" t="str">
        <f t="shared" si="1109"/>
        <v/>
      </c>
      <c r="DB32" s="40" t="str">
        <f t="shared" si="1109"/>
        <v/>
      </c>
      <c r="DC32" s="40" t="str">
        <f t="shared" si="1109"/>
        <v/>
      </c>
      <c r="DD32" s="40" t="str">
        <f t="shared" si="1109"/>
        <v/>
      </c>
      <c r="DE32" s="40" t="str">
        <f t="shared" si="1109"/>
        <v/>
      </c>
      <c r="DF32" s="40" t="str">
        <f t="shared" si="1109"/>
        <v/>
      </c>
      <c r="DG32" s="40" t="str">
        <f t="shared" si="1109"/>
        <v/>
      </c>
      <c r="DH32" s="40" t="str">
        <f t="shared" si="1109"/>
        <v/>
      </c>
      <c r="DI32" s="40" t="str">
        <f t="shared" si="1109"/>
        <v/>
      </c>
      <c r="DJ32" s="40" t="str">
        <f t="shared" si="1109"/>
        <v/>
      </c>
      <c r="DK32" s="41" t="str">
        <f t="shared" ref="DK32:HU32" si="1110">IF(AND(DK30&lt;&gt;0,DK31&lt;&gt;0),(DK30-DK31)/DK31,IF(AND(DK30=0,DK31=0),"",IF(AND(DK30="",DK31=""),"",IF(AND(DK30=0,DK31=""),"", IF(AND(DK30="",DK31=0),"",1)))))</f>
        <v/>
      </c>
      <c r="DL32" s="72" t="str">
        <f t="shared" si="1110"/>
        <v/>
      </c>
      <c r="DM32" s="73" t="str">
        <f t="shared" si="1110"/>
        <v/>
      </c>
      <c r="DN32" s="73" t="str">
        <f t="shared" si="1110"/>
        <v/>
      </c>
      <c r="DO32" s="73" t="str">
        <f t="shared" si="1110"/>
        <v/>
      </c>
      <c r="DP32" s="73" t="str">
        <f t="shared" si="1110"/>
        <v/>
      </c>
      <c r="DQ32" s="73" t="str">
        <f t="shared" si="1110"/>
        <v/>
      </c>
      <c r="DR32" s="73" t="str">
        <f t="shared" si="1110"/>
        <v/>
      </c>
      <c r="DS32" s="73" t="str">
        <f t="shared" si="1110"/>
        <v/>
      </c>
      <c r="DT32" s="73" t="str">
        <f t="shared" si="1110"/>
        <v/>
      </c>
      <c r="DU32" s="73" t="str">
        <f t="shared" si="1110"/>
        <v/>
      </c>
      <c r="DV32" s="73" t="str">
        <f t="shared" si="1110"/>
        <v/>
      </c>
      <c r="DW32" s="73" t="str">
        <f t="shared" si="1110"/>
        <v/>
      </c>
      <c r="DX32" s="73" t="str">
        <f t="shared" si="1110"/>
        <v/>
      </c>
      <c r="DY32" s="73" t="str">
        <f t="shared" si="1110"/>
        <v/>
      </c>
      <c r="DZ32" s="73" t="str">
        <f t="shared" si="1110"/>
        <v/>
      </c>
      <c r="EA32" s="73" t="str">
        <f t="shared" si="1110"/>
        <v/>
      </c>
      <c r="EB32" s="73" t="str">
        <f t="shared" si="1110"/>
        <v/>
      </c>
      <c r="EC32" s="73" t="str">
        <f t="shared" si="1110"/>
        <v/>
      </c>
      <c r="ED32" s="73" t="str">
        <f t="shared" si="1110"/>
        <v/>
      </c>
      <c r="EE32" s="73" t="str">
        <f t="shared" si="1110"/>
        <v/>
      </c>
      <c r="EF32" s="73" t="str">
        <f t="shared" si="1110"/>
        <v/>
      </c>
      <c r="EG32" s="73" t="str">
        <f t="shared" si="1110"/>
        <v/>
      </c>
      <c r="EH32" s="73" t="str">
        <f t="shared" si="1110"/>
        <v/>
      </c>
      <c r="EI32" s="73" t="str">
        <f t="shared" ref="EI32:EV32" si="1111">IF(AND(EI30&lt;&gt;0,EI31&lt;&gt;0),(EI30-EI31)/EI31,IF(AND(EI30=0,EI31=0),"",IF(AND(EI30="",EI31=""),"",IF(AND(EI30=0,EI31=""),"", IF(AND(EI30="",EI31=0),"",1)))))</f>
        <v/>
      </c>
      <c r="EJ32" s="73" t="str">
        <f t="shared" si="1111"/>
        <v/>
      </c>
      <c r="EK32" s="73" t="str">
        <f t="shared" si="1111"/>
        <v/>
      </c>
      <c r="EL32" s="73" t="str">
        <f t="shared" si="1111"/>
        <v/>
      </c>
      <c r="EM32" s="73" t="str">
        <f t="shared" si="1111"/>
        <v/>
      </c>
      <c r="EN32" s="73" t="str">
        <f t="shared" si="1111"/>
        <v/>
      </c>
      <c r="EO32" s="73" t="str">
        <f t="shared" si="1111"/>
        <v/>
      </c>
      <c r="EP32" s="73" t="str">
        <f t="shared" si="1111"/>
        <v/>
      </c>
      <c r="EQ32" s="73" t="str">
        <f t="shared" si="1111"/>
        <v/>
      </c>
      <c r="ER32" s="73" t="str">
        <f t="shared" si="1111"/>
        <v/>
      </c>
      <c r="ES32" s="73" t="str">
        <f t="shared" si="1111"/>
        <v/>
      </c>
      <c r="ET32" s="73" t="str">
        <f t="shared" si="1111"/>
        <v/>
      </c>
      <c r="EU32" s="73" t="str">
        <f t="shared" si="1111"/>
        <v/>
      </c>
      <c r="EV32" s="73" t="str">
        <f t="shared" si="1111"/>
        <v/>
      </c>
      <c r="EW32" s="74" t="str">
        <f t="shared" si="1110"/>
        <v/>
      </c>
      <c r="EX32" s="72" t="str">
        <f t="shared" ref="EX32:GI32" si="1112">IF(AND(EX30&lt;&gt;0,EX31&lt;&gt;0),(EX30-EX31)/EX31,IF(AND(EX30=0,EX31=0),"",IF(AND(EX30="",EX31=""),"",IF(AND(EX30=0,EX31=""),"", IF(AND(EX30="",EX31=0),"",1)))))</f>
        <v/>
      </c>
      <c r="EY32" s="73" t="str">
        <f t="shared" si="1112"/>
        <v/>
      </c>
      <c r="EZ32" s="73" t="str">
        <f t="shared" si="1112"/>
        <v/>
      </c>
      <c r="FA32" s="73" t="str">
        <f t="shared" si="1112"/>
        <v/>
      </c>
      <c r="FB32" s="73" t="str">
        <f t="shared" si="1112"/>
        <v/>
      </c>
      <c r="FC32" s="73" t="str">
        <f t="shared" si="1112"/>
        <v/>
      </c>
      <c r="FD32" s="73" t="str">
        <f t="shared" si="1112"/>
        <v/>
      </c>
      <c r="FE32" s="73" t="str">
        <f t="shared" si="1112"/>
        <v/>
      </c>
      <c r="FF32" s="73" t="str">
        <f t="shared" si="1112"/>
        <v/>
      </c>
      <c r="FG32" s="73" t="str">
        <f t="shared" si="1112"/>
        <v/>
      </c>
      <c r="FH32" s="73" t="str">
        <f t="shared" si="1112"/>
        <v/>
      </c>
      <c r="FI32" s="73" t="str">
        <f t="shared" si="1112"/>
        <v/>
      </c>
      <c r="FJ32" s="73" t="str">
        <f t="shared" si="1112"/>
        <v/>
      </c>
      <c r="FK32" s="73" t="str">
        <f t="shared" si="1112"/>
        <v/>
      </c>
      <c r="FL32" s="73" t="str">
        <f t="shared" si="1112"/>
        <v/>
      </c>
      <c r="FM32" s="73" t="str">
        <f t="shared" si="1112"/>
        <v/>
      </c>
      <c r="FN32" s="73" t="str">
        <f t="shared" si="1112"/>
        <v/>
      </c>
      <c r="FO32" s="73" t="str">
        <f t="shared" si="1112"/>
        <v/>
      </c>
      <c r="FP32" s="73" t="str">
        <f t="shared" si="1112"/>
        <v/>
      </c>
      <c r="FQ32" s="73" t="str">
        <f t="shared" si="1112"/>
        <v/>
      </c>
      <c r="FR32" s="73" t="str">
        <f t="shared" si="1112"/>
        <v/>
      </c>
      <c r="FS32" s="73" t="str">
        <f t="shared" si="1112"/>
        <v/>
      </c>
      <c r="FT32" s="73" t="str">
        <f t="shared" si="1112"/>
        <v/>
      </c>
      <c r="FU32" s="73" t="str">
        <f t="shared" ref="FU32:GH32" si="1113">IF(AND(FU30&lt;&gt;0,FU31&lt;&gt;0),(FU30-FU31)/FU31,IF(AND(FU30=0,FU31=0),"",IF(AND(FU30="",FU31=""),"",IF(AND(FU30=0,FU31=""),"", IF(AND(FU30="",FU31=0),"",1)))))</f>
        <v/>
      </c>
      <c r="FV32" s="73" t="str">
        <f t="shared" si="1113"/>
        <v/>
      </c>
      <c r="FW32" s="73" t="str">
        <f t="shared" si="1113"/>
        <v/>
      </c>
      <c r="FX32" s="73" t="str">
        <f t="shared" si="1113"/>
        <v/>
      </c>
      <c r="FY32" s="73" t="str">
        <f t="shared" si="1113"/>
        <v/>
      </c>
      <c r="FZ32" s="73" t="str">
        <f t="shared" si="1113"/>
        <v/>
      </c>
      <c r="GA32" s="73" t="str">
        <f t="shared" si="1113"/>
        <v/>
      </c>
      <c r="GB32" s="73" t="str">
        <f t="shared" si="1113"/>
        <v/>
      </c>
      <c r="GC32" s="73" t="str">
        <f t="shared" si="1113"/>
        <v/>
      </c>
      <c r="GD32" s="73" t="str">
        <f t="shared" si="1113"/>
        <v/>
      </c>
      <c r="GE32" s="73" t="str">
        <f t="shared" si="1113"/>
        <v/>
      </c>
      <c r="GF32" s="73" t="str">
        <f t="shared" si="1113"/>
        <v/>
      </c>
      <c r="GG32" s="73" t="str">
        <f t="shared" si="1113"/>
        <v/>
      </c>
      <c r="GH32" s="73" t="str">
        <f t="shared" si="1113"/>
        <v/>
      </c>
      <c r="GI32" s="74" t="str">
        <f t="shared" si="1112"/>
        <v/>
      </c>
      <c r="GJ32" s="72" t="str">
        <f t="shared" si="1110"/>
        <v/>
      </c>
      <c r="GK32" s="73" t="str">
        <f t="shared" si="1110"/>
        <v/>
      </c>
      <c r="GL32" s="73" t="str">
        <f t="shared" si="1110"/>
        <v/>
      </c>
      <c r="GM32" s="73" t="str">
        <f t="shared" si="1110"/>
        <v/>
      </c>
      <c r="GN32" s="73" t="str">
        <f t="shared" si="1110"/>
        <v/>
      </c>
      <c r="GO32" s="73" t="str">
        <f t="shared" si="1110"/>
        <v/>
      </c>
      <c r="GP32" s="73" t="str">
        <f t="shared" si="1110"/>
        <v/>
      </c>
      <c r="GQ32" s="73" t="str">
        <f t="shared" si="1110"/>
        <v/>
      </c>
      <c r="GR32" s="73" t="str">
        <f t="shared" si="1110"/>
        <v/>
      </c>
      <c r="GS32" s="73" t="str">
        <f t="shared" si="1110"/>
        <v/>
      </c>
      <c r="GT32" s="73" t="str">
        <f t="shared" si="1110"/>
        <v/>
      </c>
      <c r="GU32" s="73" t="str">
        <f t="shared" si="1110"/>
        <v/>
      </c>
      <c r="GV32" s="73" t="str">
        <f t="shared" si="1110"/>
        <v/>
      </c>
      <c r="GW32" s="73" t="str">
        <f t="shared" si="1110"/>
        <v/>
      </c>
      <c r="GX32" s="73" t="str">
        <f t="shared" si="1110"/>
        <v/>
      </c>
      <c r="GY32" s="73" t="str">
        <f t="shared" si="1110"/>
        <v/>
      </c>
      <c r="GZ32" s="73" t="str">
        <f t="shared" si="1110"/>
        <v/>
      </c>
      <c r="HA32" s="73" t="str">
        <f t="shared" si="1110"/>
        <v/>
      </c>
      <c r="HB32" s="73" t="str">
        <f t="shared" si="1110"/>
        <v/>
      </c>
      <c r="HC32" s="73" t="str">
        <f t="shared" si="1110"/>
        <v/>
      </c>
      <c r="HD32" s="73" t="str">
        <f t="shared" si="1110"/>
        <v/>
      </c>
      <c r="HE32" s="73" t="str">
        <f t="shared" si="1110"/>
        <v/>
      </c>
      <c r="HF32" s="73" t="str">
        <f t="shared" si="1110"/>
        <v/>
      </c>
      <c r="HG32" s="73" t="str">
        <f t="shared" ref="HG32:HT32" si="1114">IF(AND(HG30&lt;&gt;0,HG31&lt;&gt;0),(HG30-HG31)/HG31,IF(AND(HG30=0,HG31=0),"",IF(AND(HG30="",HG31=""),"",IF(AND(HG30=0,HG31=""),"", IF(AND(HG30="",HG31=0),"",1)))))</f>
        <v/>
      </c>
      <c r="HH32" s="73" t="str">
        <f t="shared" si="1114"/>
        <v/>
      </c>
      <c r="HI32" s="73" t="str">
        <f t="shared" si="1114"/>
        <v/>
      </c>
      <c r="HJ32" s="73" t="str">
        <f t="shared" si="1114"/>
        <v/>
      </c>
      <c r="HK32" s="73" t="str">
        <f t="shared" si="1114"/>
        <v/>
      </c>
      <c r="HL32" s="73" t="str">
        <f t="shared" si="1114"/>
        <v/>
      </c>
      <c r="HM32" s="73" t="str">
        <f t="shared" si="1114"/>
        <v/>
      </c>
      <c r="HN32" s="73" t="str">
        <f t="shared" si="1114"/>
        <v/>
      </c>
      <c r="HO32" s="73" t="str">
        <f t="shared" si="1114"/>
        <v/>
      </c>
      <c r="HP32" s="73" t="str">
        <f t="shared" si="1114"/>
        <v/>
      </c>
      <c r="HQ32" s="73" t="str">
        <f t="shared" si="1114"/>
        <v/>
      </c>
      <c r="HR32" s="73" t="str">
        <f t="shared" si="1114"/>
        <v/>
      </c>
      <c r="HS32" s="73" t="str">
        <f t="shared" si="1114"/>
        <v/>
      </c>
      <c r="HT32" s="73" t="str">
        <f t="shared" si="1114"/>
        <v/>
      </c>
      <c r="HU32" s="74" t="str">
        <f t="shared" si="1110"/>
        <v/>
      </c>
      <c r="HV32" s="39" t="str">
        <f t="shared" ref="HV32" si="1115">IF(AND(HV30&lt;&gt;0,HV31&lt;&gt;0),(HV30-HV31)/HV31,IF(AND(HV30=0,HV31=0),"",IF(AND(HV30="",HV31=""),"",IF(AND(HV30=0,HV31=""),"", IF(AND(HV30="",HV31=0),"",1)))))</f>
        <v/>
      </c>
      <c r="HW32" s="40" t="str">
        <f t="shared" ref="HW32" si="1116">IF(AND(HW30&lt;&gt;0,HW31&lt;&gt;0),(HW30-HW31)/HW31,IF(AND(HW30=0,HW31=0),"",IF(AND(HW30="",HW31=""),"",IF(AND(HW30=0,HW31=""),"", IF(AND(HW30="",HW31=0),"",1)))))</f>
        <v/>
      </c>
      <c r="HX32" s="40" t="str">
        <f t="shared" ref="HX32" si="1117">IF(AND(HX30&lt;&gt;0,HX31&lt;&gt;0),(HX30-HX31)/HX31,IF(AND(HX30=0,HX31=0),"",IF(AND(HX30="",HX31=""),"",IF(AND(HX30=0,HX31=""),"", IF(AND(HX30="",HX31=0),"",1)))))</f>
        <v/>
      </c>
      <c r="HY32" s="40" t="str">
        <f t="shared" ref="HY32" si="1118">IF(AND(HY30&lt;&gt;0,HY31&lt;&gt;0),(HY30-HY31)/HY31,IF(AND(HY30=0,HY31=0),"",IF(AND(HY30="",HY31=""),"",IF(AND(HY30=0,HY31=""),"", IF(AND(HY30="",HY31=0),"",1)))))</f>
        <v/>
      </c>
      <c r="HZ32" s="40" t="str">
        <f t="shared" ref="HZ32" si="1119">IF(AND(HZ30&lt;&gt;0,HZ31&lt;&gt;0),(HZ30-HZ31)/HZ31,IF(AND(HZ30=0,HZ31=0),"",IF(AND(HZ30="",HZ31=""),"",IF(AND(HZ30=0,HZ31=""),"", IF(AND(HZ30="",HZ31=0),"",1)))))</f>
        <v/>
      </c>
      <c r="IA32" s="40" t="str">
        <f t="shared" ref="IA32" si="1120">IF(AND(IA30&lt;&gt;0,IA31&lt;&gt;0),(IA30-IA31)/IA31,IF(AND(IA30=0,IA31=0),"",IF(AND(IA30="",IA31=""),"",IF(AND(IA30=0,IA31=""),"", IF(AND(IA30="",IA31=0),"",1)))))</f>
        <v/>
      </c>
      <c r="IB32" s="40" t="str">
        <f t="shared" ref="IB32" si="1121">IF(AND(IB30&lt;&gt;0,IB31&lt;&gt;0),(IB30-IB31)/IB31,IF(AND(IB30=0,IB31=0),"",IF(AND(IB30="",IB31=""),"",IF(AND(IB30=0,IB31=""),"", IF(AND(IB30="",IB31=0),"",1)))))</f>
        <v/>
      </c>
      <c r="IC32" s="40" t="str">
        <f t="shared" ref="IC32" si="1122">IF(AND(IC30&lt;&gt;0,IC31&lt;&gt;0),(IC30-IC31)/IC31,IF(AND(IC30=0,IC31=0),"",IF(AND(IC30="",IC31=""),"",IF(AND(IC30=0,IC31=""),"", IF(AND(IC30="",IC31=0),"",1)))))</f>
        <v/>
      </c>
      <c r="ID32" s="40" t="str">
        <f t="shared" ref="ID32" si="1123">IF(AND(ID30&lt;&gt;0,ID31&lt;&gt;0),(ID30-ID31)/ID31,IF(AND(ID30=0,ID31=0),"",IF(AND(ID30="",ID31=""),"",IF(AND(ID30=0,ID31=""),"", IF(AND(ID30="",ID31=0),"",1)))))</f>
        <v/>
      </c>
      <c r="IE32" s="40" t="str">
        <f t="shared" ref="IE32" si="1124">IF(AND(IE30&lt;&gt;0,IE31&lt;&gt;0),(IE30-IE31)/IE31,IF(AND(IE30=0,IE31=0),"",IF(AND(IE30="",IE31=""),"",IF(AND(IE30=0,IE31=""),"", IF(AND(IE30="",IE31=0),"",1)))))</f>
        <v/>
      </c>
      <c r="IF32" s="40" t="str">
        <f t="shared" ref="IF32" si="1125">IF(AND(IF30&lt;&gt;0,IF31&lt;&gt;0),(IF30-IF31)/IF31,IF(AND(IF30=0,IF31=0),"",IF(AND(IF30="",IF31=""),"",IF(AND(IF30=0,IF31=""),"", IF(AND(IF30="",IF31=0),"",1)))))</f>
        <v/>
      </c>
      <c r="IG32" s="40" t="str">
        <f t="shared" ref="IG32" si="1126">IF(AND(IG30&lt;&gt;0,IG31&lt;&gt;0),(IG30-IG31)/IG31,IF(AND(IG30=0,IG31=0),"",IF(AND(IG30="",IG31=""),"",IF(AND(IG30=0,IG31=""),"", IF(AND(IG30="",IG31=0),"",1)))))</f>
        <v/>
      </c>
      <c r="IH32" s="40" t="str">
        <f t="shared" ref="IH32" si="1127">IF(AND(IH30&lt;&gt;0,IH31&lt;&gt;0),(IH30-IH31)/IH31,IF(AND(IH30=0,IH31=0),"",IF(AND(IH30="",IH31=""),"",IF(AND(IH30=0,IH31=""),"", IF(AND(IH30="",IH31=0),"",1)))))</f>
        <v/>
      </c>
      <c r="II32" s="40" t="str">
        <f t="shared" ref="II32" si="1128">IF(AND(II30&lt;&gt;0,II31&lt;&gt;0),(II30-II31)/II31,IF(AND(II30=0,II31=0),"",IF(AND(II30="",II31=""),"",IF(AND(II30=0,II31=""),"", IF(AND(II30="",II31=0),"",1)))))</f>
        <v/>
      </c>
      <c r="IJ32" s="40" t="str">
        <f t="shared" ref="IJ32" si="1129">IF(AND(IJ30&lt;&gt;0,IJ31&lt;&gt;0),(IJ30-IJ31)/IJ31,IF(AND(IJ30=0,IJ31=0),"",IF(AND(IJ30="",IJ31=""),"",IF(AND(IJ30=0,IJ31=""),"", IF(AND(IJ30="",IJ31=0),"",1)))))</f>
        <v/>
      </c>
      <c r="IK32" s="40" t="str">
        <f t="shared" ref="IK32" si="1130">IF(AND(IK30&lt;&gt;0,IK31&lt;&gt;0),(IK30-IK31)/IK31,IF(AND(IK30=0,IK31=0),"",IF(AND(IK30="",IK31=""),"",IF(AND(IK30=0,IK31=""),"", IF(AND(IK30="",IK31=0),"",1)))))</f>
        <v/>
      </c>
      <c r="IL32" s="40" t="str">
        <f t="shared" ref="IL32" si="1131">IF(AND(IL30&lt;&gt;0,IL31&lt;&gt;0),(IL30-IL31)/IL31,IF(AND(IL30=0,IL31=0),"",IF(AND(IL30="",IL31=""),"",IF(AND(IL30=0,IL31=""),"", IF(AND(IL30="",IL31=0),"",1)))))</f>
        <v/>
      </c>
      <c r="IM32" s="40" t="str">
        <f t="shared" ref="IM32" si="1132">IF(AND(IM30&lt;&gt;0,IM31&lt;&gt;0),(IM30-IM31)/IM31,IF(AND(IM30=0,IM31=0),"",IF(AND(IM30="",IM31=""),"",IF(AND(IM30=0,IM31=""),"", IF(AND(IM30="",IM31=0),"",1)))))</f>
        <v/>
      </c>
      <c r="IN32" s="40" t="str">
        <f t="shared" ref="IN32" si="1133">IF(AND(IN30&lt;&gt;0,IN31&lt;&gt;0),(IN30-IN31)/IN31,IF(AND(IN30=0,IN31=0),"",IF(AND(IN30="",IN31=""),"",IF(AND(IN30=0,IN31=""),"", IF(AND(IN30="",IN31=0),"",1)))))</f>
        <v/>
      </c>
      <c r="IO32" s="40" t="str">
        <f t="shared" ref="IO32" si="1134">IF(AND(IO30&lt;&gt;0,IO31&lt;&gt;0),(IO30-IO31)/IO31,IF(AND(IO30=0,IO31=0),"",IF(AND(IO30="",IO31=""),"",IF(AND(IO30=0,IO31=""),"", IF(AND(IO30="",IO31=0),"",1)))))</f>
        <v/>
      </c>
      <c r="IP32" s="40" t="str">
        <f t="shared" ref="IP32" si="1135">IF(AND(IP30&lt;&gt;0,IP31&lt;&gt;0),(IP30-IP31)/IP31,IF(AND(IP30=0,IP31=0),"",IF(AND(IP30="",IP31=""),"",IF(AND(IP30=0,IP31=""),"", IF(AND(IP30="",IP31=0),"",1)))))</f>
        <v/>
      </c>
      <c r="IQ32" s="40" t="str">
        <f t="shared" ref="IQ32" si="1136">IF(AND(IQ30&lt;&gt;0,IQ31&lt;&gt;0),(IQ30-IQ31)/IQ31,IF(AND(IQ30=0,IQ31=0),"",IF(AND(IQ30="",IQ31=""),"",IF(AND(IQ30=0,IQ31=""),"", IF(AND(IQ30="",IQ31=0),"",1)))))</f>
        <v/>
      </c>
      <c r="IR32" s="40" t="str">
        <f t="shared" ref="IR32:JF32" si="1137">IF(AND(IR30&lt;&gt;0,IR31&lt;&gt;0),(IR30-IR31)/IR31,IF(AND(IR30=0,IR31=0),"",IF(AND(IR30="",IR31=""),"",IF(AND(IR30=0,IR31=""),"", IF(AND(IR30="",IR31=0),"",1)))))</f>
        <v/>
      </c>
      <c r="IS32" s="40" t="str">
        <f t="shared" si="1137"/>
        <v/>
      </c>
      <c r="IT32" s="40" t="str">
        <f t="shared" si="1137"/>
        <v/>
      </c>
      <c r="IU32" s="40" t="str">
        <f t="shared" si="1137"/>
        <v/>
      </c>
      <c r="IV32" s="40" t="str">
        <f t="shared" si="1137"/>
        <v/>
      </c>
      <c r="IW32" s="40" t="str">
        <f t="shared" si="1137"/>
        <v/>
      </c>
      <c r="IX32" s="40" t="str">
        <f t="shared" si="1137"/>
        <v/>
      </c>
      <c r="IY32" s="40" t="str">
        <f t="shared" si="1137"/>
        <v/>
      </c>
      <c r="IZ32" s="40" t="str">
        <f t="shared" si="1137"/>
        <v/>
      </c>
      <c r="JA32" s="40" t="str">
        <f t="shared" si="1137"/>
        <v/>
      </c>
      <c r="JB32" s="40" t="str">
        <f t="shared" si="1137"/>
        <v/>
      </c>
      <c r="JC32" s="40" t="str">
        <f t="shared" si="1137"/>
        <v/>
      </c>
      <c r="JD32" s="40" t="str">
        <f t="shared" si="1137"/>
        <v/>
      </c>
      <c r="JE32" s="40" t="str">
        <f t="shared" si="1137"/>
        <v/>
      </c>
      <c r="JF32" s="40" t="str">
        <f t="shared" si="1137"/>
        <v/>
      </c>
      <c r="JG32" s="41" t="str">
        <f t="shared" ref="JG32:NQ32" si="1138">IF(AND(JG30&lt;&gt;0,JG31&lt;&gt;0),(JG30-JG31)/JG31,IF(AND(JG30=0,JG31=0),"",IF(AND(JG30="",JG31=""),"",IF(AND(JG30=0,JG31=""),"", IF(AND(JG30="",JG31=0),"",1)))))</f>
        <v/>
      </c>
      <c r="JH32" s="72" t="str">
        <f t="shared" si="1138"/>
        <v/>
      </c>
      <c r="JI32" s="73" t="str">
        <f t="shared" si="1138"/>
        <v/>
      </c>
      <c r="JJ32" s="73" t="str">
        <f t="shared" si="1138"/>
        <v/>
      </c>
      <c r="JK32" s="73" t="str">
        <f t="shared" si="1138"/>
        <v/>
      </c>
      <c r="JL32" s="73" t="str">
        <f t="shared" si="1138"/>
        <v/>
      </c>
      <c r="JM32" s="73" t="str">
        <f t="shared" si="1138"/>
        <v/>
      </c>
      <c r="JN32" s="73" t="str">
        <f t="shared" si="1138"/>
        <v/>
      </c>
      <c r="JO32" s="73" t="str">
        <f t="shared" si="1138"/>
        <v/>
      </c>
      <c r="JP32" s="73" t="str">
        <f t="shared" si="1138"/>
        <v/>
      </c>
      <c r="JQ32" s="73" t="str">
        <f t="shared" si="1138"/>
        <v/>
      </c>
      <c r="JR32" s="73" t="str">
        <f t="shared" si="1138"/>
        <v/>
      </c>
      <c r="JS32" s="73" t="str">
        <f t="shared" si="1138"/>
        <v/>
      </c>
      <c r="JT32" s="73" t="str">
        <f t="shared" si="1138"/>
        <v/>
      </c>
      <c r="JU32" s="73" t="str">
        <f t="shared" si="1138"/>
        <v/>
      </c>
      <c r="JV32" s="73" t="str">
        <f t="shared" si="1138"/>
        <v/>
      </c>
      <c r="JW32" s="73" t="str">
        <f t="shared" si="1138"/>
        <v/>
      </c>
      <c r="JX32" s="73" t="str">
        <f t="shared" si="1138"/>
        <v/>
      </c>
      <c r="JY32" s="73" t="str">
        <f t="shared" si="1138"/>
        <v/>
      </c>
      <c r="JZ32" s="73" t="str">
        <f t="shared" si="1138"/>
        <v/>
      </c>
      <c r="KA32" s="73" t="str">
        <f t="shared" si="1138"/>
        <v/>
      </c>
      <c r="KB32" s="73" t="str">
        <f t="shared" si="1138"/>
        <v/>
      </c>
      <c r="KC32" s="73" t="str">
        <f t="shared" si="1138"/>
        <v/>
      </c>
      <c r="KD32" s="73" t="str">
        <f t="shared" si="1138"/>
        <v/>
      </c>
      <c r="KE32" s="73" t="str">
        <f t="shared" ref="KE32:KR32" si="1139">IF(AND(KE30&lt;&gt;0,KE31&lt;&gt;0),(KE30-KE31)/KE31,IF(AND(KE30=0,KE31=0),"",IF(AND(KE30="",KE31=""),"",IF(AND(KE30=0,KE31=""),"", IF(AND(KE30="",KE31=0),"",1)))))</f>
        <v/>
      </c>
      <c r="KF32" s="73" t="str">
        <f t="shared" si="1139"/>
        <v/>
      </c>
      <c r="KG32" s="73" t="str">
        <f t="shared" si="1139"/>
        <v/>
      </c>
      <c r="KH32" s="73" t="str">
        <f t="shared" si="1139"/>
        <v/>
      </c>
      <c r="KI32" s="73" t="str">
        <f t="shared" si="1139"/>
        <v/>
      </c>
      <c r="KJ32" s="73" t="str">
        <f t="shared" si="1139"/>
        <v/>
      </c>
      <c r="KK32" s="73" t="str">
        <f t="shared" si="1139"/>
        <v/>
      </c>
      <c r="KL32" s="73" t="str">
        <f t="shared" si="1139"/>
        <v/>
      </c>
      <c r="KM32" s="73" t="str">
        <f t="shared" si="1139"/>
        <v/>
      </c>
      <c r="KN32" s="73" t="str">
        <f t="shared" si="1139"/>
        <v/>
      </c>
      <c r="KO32" s="73" t="str">
        <f t="shared" si="1139"/>
        <v/>
      </c>
      <c r="KP32" s="73" t="str">
        <f t="shared" si="1139"/>
        <v/>
      </c>
      <c r="KQ32" s="73" t="str">
        <f t="shared" si="1139"/>
        <v/>
      </c>
      <c r="KR32" s="73" t="str">
        <f t="shared" si="1139"/>
        <v/>
      </c>
      <c r="KS32" s="74" t="str">
        <f t="shared" si="1138"/>
        <v/>
      </c>
      <c r="KT32" s="72" t="str">
        <f t="shared" ref="KT32:ME32" si="1140">IF(AND(KT30&lt;&gt;0,KT31&lt;&gt;0),(KT30-KT31)/KT31,IF(AND(KT30=0,KT31=0),"",IF(AND(KT30="",KT31=""),"",IF(AND(KT30=0,KT31=""),"", IF(AND(KT30="",KT31=0),"",1)))))</f>
        <v/>
      </c>
      <c r="KU32" s="73" t="str">
        <f t="shared" si="1140"/>
        <v/>
      </c>
      <c r="KV32" s="73" t="str">
        <f t="shared" si="1140"/>
        <v/>
      </c>
      <c r="KW32" s="73" t="str">
        <f t="shared" si="1140"/>
        <v/>
      </c>
      <c r="KX32" s="73" t="str">
        <f t="shared" si="1140"/>
        <v/>
      </c>
      <c r="KY32" s="73" t="str">
        <f t="shared" si="1140"/>
        <v/>
      </c>
      <c r="KZ32" s="73" t="str">
        <f t="shared" si="1140"/>
        <v/>
      </c>
      <c r="LA32" s="73" t="str">
        <f t="shared" si="1140"/>
        <v/>
      </c>
      <c r="LB32" s="73" t="str">
        <f t="shared" si="1140"/>
        <v/>
      </c>
      <c r="LC32" s="73" t="str">
        <f t="shared" si="1140"/>
        <v/>
      </c>
      <c r="LD32" s="73" t="str">
        <f t="shared" si="1140"/>
        <v/>
      </c>
      <c r="LE32" s="73" t="str">
        <f t="shared" si="1140"/>
        <v/>
      </c>
      <c r="LF32" s="73" t="str">
        <f t="shared" si="1140"/>
        <v/>
      </c>
      <c r="LG32" s="73" t="str">
        <f t="shared" si="1140"/>
        <v/>
      </c>
      <c r="LH32" s="73" t="str">
        <f t="shared" si="1140"/>
        <v/>
      </c>
      <c r="LI32" s="73" t="str">
        <f t="shared" si="1140"/>
        <v/>
      </c>
      <c r="LJ32" s="73" t="str">
        <f t="shared" si="1140"/>
        <v/>
      </c>
      <c r="LK32" s="73" t="str">
        <f t="shared" si="1140"/>
        <v/>
      </c>
      <c r="LL32" s="73" t="str">
        <f t="shared" si="1140"/>
        <v/>
      </c>
      <c r="LM32" s="73" t="str">
        <f t="shared" si="1140"/>
        <v/>
      </c>
      <c r="LN32" s="73" t="str">
        <f t="shared" si="1140"/>
        <v/>
      </c>
      <c r="LO32" s="73" t="str">
        <f t="shared" si="1140"/>
        <v/>
      </c>
      <c r="LP32" s="73" t="str">
        <f t="shared" si="1140"/>
        <v/>
      </c>
      <c r="LQ32" s="73" t="str">
        <f t="shared" ref="LQ32:MD32" si="1141">IF(AND(LQ30&lt;&gt;0,LQ31&lt;&gt;0),(LQ30-LQ31)/LQ31,IF(AND(LQ30=0,LQ31=0),"",IF(AND(LQ30="",LQ31=""),"",IF(AND(LQ30=0,LQ31=""),"", IF(AND(LQ30="",LQ31=0),"",1)))))</f>
        <v/>
      </c>
      <c r="LR32" s="73" t="str">
        <f t="shared" si="1141"/>
        <v/>
      </c>
      <c r="LS32" s="73" t="str">
        <f t="shared" si="1141"/>
        <v/>
      </c>
      <c r="LT32" s="73" t="str">
        <f t="shared" si="1141"/>
        <v/>
      </c>
      <c r="LU32" s="73" t="str">
        <f t="shared" si="1141"/>
        <v/>
      </c>
      <c r="LV32" s="73" t="str">
        <f t="shared" si="1141"/>
        <v/>
      </c>
      <c r="LW32" s="73" t="str">
        <f t="shared" si="1141"/>
        <v/>
      </c>
      <c r="LX32" s="73" t="str">
        <f t="shared" si="1141"/>
        <v/>
      </c>
      <c r="LY32" s="73" t="str">
        <f t="shared" si="1141"/>
        <v/>
      </c>
      <c r="LZ32" s="73" t="str">
        <f t="shared" si="1141"/>
        <v/>
      </c>
      <c r="MA32" s="73" t="str">
        <f t="shared" si="1141"/>
        <v/>
      </c>
      <c r="MB32" s="73" t="str">
        <f t="shared" si="1141"/>
        <v/>
      </c>
      <c r="MC32" s="73" t="str">
        <f t="shared" si="1141"/>
        <v/>
      </c>
      <c r="MD32" s="73" t="str">
        <f t="shared" si="1141"/>
        <v/>
      </c>
      <c r="ME32" s="74" t="str">
        <f t="shared" si="1140"/>
        <v/>
      </c>
      <c r="MF32" s="72" t="str">
        <f t="shared" si="1138"/>
        <v/>
      </c>
      <c r="MG32" s="73" t="str">
        <f t="shared" si="1138"/>
        <v/>
      </c>
      <c r="MH32" s="73" t="str">
        <f t="shared" si="1138"/>
        <v/>
      </c>
      <c r="MI32" s="73" t="str">
        <f t="shared" si="1138"/>
        <v/>
      </c>
      <c r="MJ32" s="73" t="str">
        <f t="shared" si="1138"/>
        <v/>
      </c>
      <c r="MK32" s="73" t="str">
        <f t="shared" si="1138"/>
        <v/>
      </c>
      <c r="ML32" s="73" t="str">
        <f t="shared" si="1138"/>
        <v/>
      </c>
      <c r="MM32" s="73" t="str">
        <f t="shared" si="1138"/>
        <v/>
      </c>
      <c r="MN32" s="73" t="str">
        <f t="shared" si="1138"/>
        <v/>
      </c>
      <c r="MO32" s="73" t="str">
        <f t="shared" si="1138"/>
        <v/>
      </c>
      <c r="MP32" s="73" t="str">
        <f t="shared" si="1138"/>
        <v/>
      </c>
      <c r="MQ32" s="73" t="str">
        <f t="shared" si="1138"/>
        <v/>
      </c>
      <c r="MR32" s="73" t="str">
        <f t="shared" si="1138"/>
        <v/>
      </c>
      <c r="MS32" s="73" t="str">
        <f t="shared" si="1138"/>
        <v/>
      </c>
      <c r="MT32" s="73" t="str">
        <f t="shared" si="1138"/>
        <v/>
      </c>
      <c r="MU32" s="73" t="str">
        <f t="shared" si="1138"/>
        <v/>
      </c>
      <c r="MV32" s="73" t="str">
        <f t="shared" si="1138"/>
        <v/>
      </c>
      <c r="MW32" s="73" t="str">
        <f t="shared" si="1138"/>
        <v/>
      </c>
      <c r="MX32" s="73" t="str">
        <f t="shared" si="1138"/>
        <v/>
      </c>
      <c r="MY32" s="73" t="str">
        <f t="shared" si="1138"/>
        <v/>
      </c>
      <c r="MZ32" s="73" t="str">
        <f t="shared" si="1138"/>
        <v/>
      </c>
      <c r="NA32" s="73" t="str">
        <f t="shared" si="1138"/>
        <v/>
      </c>
      <c r="NB32" s="73" t="str">
        <f t="shared" si="1138"/>
        <v/>
      </c>
      <c r="NC32" s="73" t="str">
        <f t="shared" ref="NC32:NP32" si="1142">IF(AND(NC30&lt;&gt;0,NC31&lt;&gt;0),(NC30-NC31)/NC31,IF(AND(NC30=0,NC31=0),"",IF(AND(NC30="",NC31=""),"",IF(AND(NC30=0,NC31=""),"", IF(AND(NC30="",NC31=0),"",1)))))</f>
        <v/>
      </c>
      <c r="ND32" s="73" t="str">
        <f t="shared" si="1142"/>
        <v/>
      </c>
      <c r="NE32" s="73" t="str">
        <f t="shared" si="1142"/>
        <v/>
      </c>
      <c r="NF32" s="73" t="str">
        <f t="shared" si="1142"/>
        <v/>
      </c>
      <c r="NG32" s="73" t="str">
        <f t="shared" si="1142"/>
        <v/>
      </c>
      <c r="NH32" s="73" t="str">
        <f t="shared" si="1142"/>
        <v/>
      </c>
      <c r="NI32" s="73" t="str">
        <f t="shared" si="1142"/>
        <v/>
      </c>
      <c r="NJ32" s="73" t="str">
        <f t="shared" si="1142"/>
        <v/>
      </c>
      <c r="NK32" s="73" t="str">
        <f t="shared" si="1142"/>
        <v/>
      </c>
      <c r="NL32" s="73" t="str">
        <f t="shared" si="1142"/>
        <v/>
      </c>
      <c r="NM32" s="73" t="str">
        <f t="shared" si="1142"/>
        <v/>
      </c>
      <c r="NN32" s="73" t="str">
        <f t="shared" si="1142"/>
        <v/>
      </c>
      <c r="NO32" s="73" t="str">
        <f t="shared" si="1142"/>
        <v/>
      </c>
      <c r="NP32" s="73" t="str">
        <f t="shared" si="1142"/>
        <v/>
      </c>
      <c r="NQ32" s="74" t="str">
        <f t="shared" si="1138"/>
        <v/>
      </c>
      <c r="NR32" s="40" t="str">
        <f t="shared" ref="NR32" si="1143">IF(AND(NR30&lt;&gt;0,NR31&lt;&gt;0),(NR30-NR31)/NR31,IF(AND(NR30=0,NR31=0),"",IF(AND(NR30="",NR31=""),"",IF(AND(NR30=0,NR31=""),"", IF(AND(NR30="",NR31=0),"",1)))))</f>
        <v/>
      </c>
      <c r="NS32" s="40" t="str">
        <f t="shared" ref="NS32" si="1144">IF(AND(NS30&lt;&gt;0,NS31&lt;&gt;0),(NS30-NS31)/NS31,IF(AND(NS30=0,NS31=0),"",IF(AND(NS30="",NS31=""),"",IF(AND(NS30=0,NS31=""),"", IF(AND(NS30="",NS31=0),"",1)))))</f>
        <v/>
      </c>
      <c r="NT32" s="40" t="str">
        <f t="shared" ref="NT32" si="1145">IF(AND(NT30&lt;&gt;0,NT31&lt;&gt;0),(NT30-NT31)/NT31,IF(AND(NT30=0,NT31=0),"",IF(AND(NT30="",NT31=""),"",IF(AND(NT30=0,NT31=""),"", IF(AND(NT30="",NT31=0),"",1)))))</f>
        <v/>
      </c>
      <c r="NU32" s="40" t="str">
        <f t="shared" ref="NU32" si="1146">IF(AND(NU30&lt;&gt;0,NU31&lt;&gt;0),(NU30-NU31)/NU31,IF(AND(NU30=0,NU31=0),"",IF(AND(NU30="",NU31=""),"",IF(AND(NU30=0,NU31=""),"", IF(AND(NU30="",NU31=0),"",1)))))</f>
        <v/>
      </c>
      <c r="NV32" s="40" t="str">
        <f t="shared" ref="NV32" si="1147">IF(AND(NV30&lt;&gt;0,NV31&lt;&gt;0),(NV30-NV31)/NV31,IF(AND(NV30=0,NV31=0),"",IF(AND(NV30="",NV31=""),"",IF(AND(NV30=0,NV31=""),"", IF(AND(NV30="",NV31=0),"",1)))))</f>
        <v/>
      </c>
      <c r="NW32" s="40" t="str">
        <f t="shared" ref="NW32" si="1148">IF(AND(NW30&lt;&gt;0,NW31&lt;&gt;0),(NW30-NW31)/NW31,IF(AND(NW30=0,NW31=0),"",IF(AND(NW30="",NW31=""),"",IF(AND(NW30=0,NW31=""),"", IF(AND(NW30="",NW31=0),"",1)))))</f>
        <v/>
      </c>
      <c r="NX32" s="40" t="str">
        <f t="shared" ref="NX32" si="1149">IF(AND(NX30&lt;&gt;0,NX31&lt;&gt;0),(NX30-NX31)/NX31,IF(AND(NX30=0,NX31=0),"",IF(AND(NX30="",NX31=""),"",IF(AND(NX30=0,NX31=""),"", IF(AND(NX30="",NX31=0),"",1)))))</f>
        <v/>
      </c>
      <c r="NY32" s="40" t="str">
        <f t="shared" ref="NY32" si="1150">IF(AND(NY30&lt;&gt;0,NY31&lt;&gt;0),(NY30-NY31)/NY31,IF(AND(NY30=0,NY31=0),"",IF(AND(NY30="",NY31=""),"",IF(AND(NY30=0,NY31=""),"", IF(AND(NY30="",NY31=0),"",1)))))</f>
        <v/>
      </c>
      <c r="NZ32" s="40" t="str">
        <f t="shared" ref="NZ32" si="1151">IF(AND(NZ30&lt;&gt;0,NZ31&lt;&gt;0),(NZ30-NZ31)/NZ31,IF(AND(NZ30=0,NZ31=0),"",IF(AND(NZ30="",NZ31=""),"",IF(AND(NZ30=0,NZ31=""),"", IF(AND(NZ30="",NZ31=0),"",1)))))</f>
        <v/>
      </c>
      <c r="OA32" s="40" t="str">
        <f t="shared" ref="OA32" si="1152">IF(AND(OA30&lt;&gt;0,OA31&lt;&gt;0),(OA30-OA31)/OA31,IF(AND(OA30=0,OA31=0),"",IF(AND(OA30="",OA31=""),"",IF(AND(OA30=0,OA31=""),"", IF(AND(OA30="",OA31=0),"",1)))))</f>
        <v/>
      </c>
      <c r="OB32" s="40" t="str">
        <f t="shared" ref="OB32" si="1153">IF(AND(OB30&lt;&gt;0,OB31&lt;&gt;0),(OB30-OB31)/OB31,IF(AND(OB30=0,OB31=0),"",IF(AND(OB30="",OB31=""),"",IF(AND(OB30=0,OB31=""),"", IF(AND(OB30="",OB31=0),"",1)))))</f>
        <v/>
      </c>
      <c r="OC32" s="40" t="str">
        <f t="shared" ref="OC32" si="1154">IF(AND(OC30&lt;&gt;0,OC31&lt;&gt;0),(OC30-OC31)/OC31,IF(AND(OC30=0,OC31=0),"",IF(AND(OC30="",OC31=""),"",IF(AND(OC30=0,OC31=""),"", IF(AND(OC30="",OC31=0),"",1)))))</f>
        <v/>
      </c>
      <c r="OD32" s="40" t="str">
        <f t="shared" ref="OD32" si="1155">IF(AND(OD30&lt;&gt;0,OD31&lt;&gt;0),(OD30-OD31)/OD31,IF(AND(OD30=0,OD31=0),"",IF(AND(OD30="",OD31=""),"",IF(AND(OD30=0,OD31=""),"", IF(AND(OD30="",OD31=0),"",1)))))</f>
        <v/>
      </c>
      <c r="OE32" s="40" t="str">
        <f t="shared" ref="OE32" si="1156">IF(AND(OE30&lt;&gt;0,OE31&lt;&gt;0),(OE30-OE31)/OE31,IF(AND(OE30=0,OE31=0),"",IF(AND(OE30="",OE31=""),"",IF(AND(OE30=0,OE31=""),"", IF(AND(OE30="",OE31=0),"",1)))))</f>
        <v/>
      </c>
      <c r="OF32" s="40" t="str">
        <f t="shared" ref="OF32" si="1157">IF(AND(OF30&lt;&gt;0,OF31&lt;&gt;0),(OF30-OF31)/OF31,IF(AND(OF30=0,OF31=0),"",IF(AND(OF30="",OF31=""),"",IF(AND(OF30=0,OF31=""),"", IF(AND(OF30="",OF31=0),"",1)))))</f>
        <v/>
      </c>
      <c r="OG32" s="40" t="str">
        <f t="shared" ref="OG32" si="1158">IF(AND(OG30&lt;&gt;0,OG31&lt;&gt;0),(OG30-OG31)/OG31,IF(AND(OG30=0,OG31=0),"",IF(AND(OG30="",OG31=""),"",IF(AND(OG30=0,OG31=""),"", IF(AND(OG30="",OG31=0),"",1)))))</f>
        <v/>
      </c>
      <c r="OH32" s="40" t="str">
        <f t="shared" ref="OH32" si="1159">IF(AND(OH30&lt;&gt;0,OH31&lt;&gt;0),(OH30-OH31)/OH31,IF(AND(OH30=0,OH31=0),"",IF(AND(OH30="",OH31=""),"",IF(AND(OH30=0,OH31=""),"", IF(AND(OH30="",OH31=0),"",1)))))</f>
        <v/>
      </c>
      <c r="OI32" s="40" t="str">
        <f t="shared" ref="OI32" si="1160">IF(AND(OI30&lt;&gt;0,OI31&lt;&gt;0),(OI30-OI31)/OI31,IF(AND(OI30=0,OI31=0),"",IF(AND(OI30="",OI31=""),"",IF(AND(OI30=0,OI31=""),"", IF(AND(OI30="",OI31=0),"",1)))))</f>
        <v/>
      </c>
      <c r="OJ32" s="40" t="str">
        <f t="shared" ref="OJ32" si="1161">IF(AND(OJ30&lt;&gt;0,OJ31&lt;&gt;0),(OJ30-OJ31)/OJ31,IF(AND(OJ30=0,OJ31=0),"",IF(AND(OJ30="",OJ31=""),"",IF(AND(OJ30=0,OJ31=""),"", IF(AND(OJ30="",OJ31=0),"",1)))))</f>
        <v/>
      </c>
      <c r="OK32" s="40" t="str">
        <f t="shared" ref="OK32" si="1162">IF(AND(OK30&lt;&gt;0,OK31&lt;&gt;0),(OK30-OK31)/OK31,IF(AND(OK30=0,OK31=0),"",IF(AND(OK30="",OK31=""),"",IF(AND(OK30=0,OK31=""),"", IF(AND(OK30="",OK31=0),"",1)))))</f>
        <v/>
      </c>
      <c r="OL32" s="40" t="str">
        <f t="shared" ref="OL32" si="1163">IF(AND(OL30&lt;&gt;0,OL31&lt;&gt;0),(OL30-OL31)/OL31,IF(AND(OL30=0,OL31=0),"",IF(AND(OL30="",OL31=""),"",IF(AND(OL30=0,OL31=""),"", IF(AND(OL30="",OL31=0),"",1)))))</f>
        <v/>
      </c>
      <c r="OM32" s="40" t="str">
        <f t="shared" ref="OM32" si="1164">IF(AND(OM30&lt;&gt;0,OM31&lt;&gt;0),(OM30-OM31)/OM31,IF(AND(OM30=0,OM31=0),"",IF(AND(OM30="",OM31=""),"",IF(AND(OM30=0,OM31=""),"", IF(AND(OM30="",OM31=0),"",1)))))</f>
        <v/>
      </c>
      <c r="ON32" s="40" t="str">
        <f t="shared" ref="ON32:PB32" si="1165">IF(AND(ON30&lt;&gt;0,ON31&lt;&gt;0),(ON30-ON31)/ON31,IF(AND(ON30=0,ON31=0),"",IF(AND(ON30="",ON31=""),"",IF(AND(ON30=0,ON31=""),"", IF(AND(ON30="",ON31=0),"",1)))))</f>
        <v/>
      </c>
      <c r="OO32" s="40" t="str">
        <f t="shared" si="1165"/>
        <v/>
      </c>
      <c r="OP32" s="40" t="str">
        <f t="shared" si="1165"/>
        <v/>
      </c>
      <c r="OQ32" s="40" t="str">
        <f t="shared" si="1165"/>
        <v/>
      </c>
      <c r="OR32" s="40" t="str">
        <f t="shared" si="1165"/>
        <v/>
      </c>
      <c r="OS32" s="40" t="str">
        <f t="shared" si="1165"/>
        <v/>
      </c>
      <c r="OT32" s="40" t="str">
        <f t="shared" si="1165"/>
        <v/>
      </c>
      <c r="OU32" s="40" t="str">
        <f t="shared" si="1165"/>
        <v/>
      </c>
      <c r="OV32" s="40" t="str">
        <f t="shared" si="1165"/>
        <v/>
      </c>
      <c r="OW32" s="40" t="str">
        <f t="shared" si="1165"/>
        <v/>
      </c>
      <c r="OX32" s="40" t="str">
        <f t="shared" si="1165"/>
        <v/>
      </c>
      <c r="OY32" s="40" t="str">
        <f t="shared" si="1165"/>
        <v/>
      </c>
      <c r="OZ32" s="40" t="str">
        <f t="shared" si="1165"/>
        <v/>
      </c>
      <c r="PA32" s="40" t="str">
        <f t="shared" si="1165"/>
        <v/>
      </c>
      <c r="PB32" s="40" t="str">
        <f t="shared" si="1165"/>
        <v/>
      </c>
      <c r="PC32" s="41" t="str">
        <f t="shared" ref="PC32" si="1166">IF(AND(PC30&lt;&gt;0,PC31&lt;&gt;0),(PC30-PC31)/PC31,IF(AND(PC30=0,PC31=0),"",IF(AND(PC30="",PC31=""),"",IF(AND(PC30=0,PC31=""),"", IF(AND(PC30="",PC31=0),"",1)))))</f>
        <v/>
      </c>
    </row>
    <row r="33" spans="1:419" s="15" customFormat="1" ht="14.25" customHeight="1" outlineLevel="1" x14ac:dyDescent="0.4">
      <c r="A33" s="45" t="s">
        <v>57</v>
      </c>
      <c r="B33" s="91">
        <f>[1]Consolidado!$J$12</f>
        <v>0.27927520117187499</v>
      </c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  <c r="AI33" s="92"/>
      <c r="AJ33" s="92"/>
      <c r="AK33" s="92"/>
      <c r="AL33" s="92"/>
      <c r="AM33" s="93"/>
      <c r="AN33" s="103">
        <f>[1]Consolidado!$J$13</f>
        <v>0</v>
      </c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 s="104"/>
      <c r="BG33" s="104"/>
      <c r="BH33" s="104"/>
      <c r="BI33" s="104"/>
      <c r="BJ33" s="104"/>
      <c r="BK33" s="104"/>
      <c r="BL33" s="104"/>
      <c r="BM33" s="104"/>
      <c r="BN33" s="104"/>
      <c r="BO33" s="104"/>
      <c r="BP33" s="104"/>
      <c r="BQ33" s="104"/>
      <c r="BR33" s="104"/>
      <c r="BS33" s="104"/>
      <c r="BT33" s="104"/>
      <c r="BU33" s="104"/>
      <c r="BV33" s="104"/>
      <c r="BW33" s="104"/>
      <c r="BX33" s="104"/>
      <c r="BY33" s="105"/>
      <c r="BZ33" s="115">
        <f>[1]Consolidado!$J$14</f>
        <v>0</v>
      </c>
      <c r="CA33" s="116"/>
      <c r="CB33" s="116"/>
      <c r="CC33" s="116"/>
      <c r="CD33" s="116"/>
      <c r="CE33" s="116"/>
      <c r="CF33" s="116"/>
      <c r="CG33" s="116"/>
      <c r="CH33" s="116"/>
      <c r="CI33" s="116"/>
      <c r="CJ33" s="116"/>
      <c r="CK33" s="116"/>
      <c r="CL33" s="116"/>
      <c r="CM33" s="116"/>
      <c r="CN33" s="116"/>
      <c r="CO33" s="116"/>
      <c r="CP33" s="116"/>
      <c r="CQ33" s="116"/>
      <c r="CR33" s="116"/>
      <c r="CS33" s="116"/>
      <c r="CT33" s="116"/>
      <c r="CU33" s="116"/>
      <c r="CV33" s="116"/>
      <c r="CW33" s="116"/>
      <c r="CX33" s="116"/>
      <c r="CY33" s="116"/>
      <c r="CZ33" s="116"/>
      <c r="DA33" s="116"/>
      <c r="DB33" s="116"/>
      <c r="DC33" s="116"/>
      <c r="DD33" s="116"/>
      <c r="DE33" s="116"/>
      <c r="DF33" s="116"/>
      <c r="DG33" s="116"/>
      <c r="DH33" s="116"/>
      <c r="DI33" s="116"/>
      <c r="DJ33" s="116"/>
      <c r="DK33" s="117"/>
      <c r="DL33" s="100">
        <f>[1]Consolidado!$J$17</f>
        <v>0.41408800097656251</v>
      </c>
      <c r="DM33" s="101"/>
      <c r="DN33" s="101"/>
      <c r="DO33" s="101"/>
      <c r="DP33" s="101"/>
      <c r="DQ33" s="101"/>
      <c r="DR33" s="101"/>
      <c r="DS33" s="101"/>
      <c r="DT33" s="101"/>
      <c r="DU33" s="101"/>
      <c r="DV33" s="101"/>
      <c r="DW33" s="101"/>
      <c r="DX33" s="101"/>
      <c r="DY33" s="101"/>
      <c r="DZ33" s="101"/>
      <c r="EA33" s="101"/>
      <c r="EB33" s="101"/>
      <c r="EC33" s="101"/>
      <c r="ED33" s="101"/>
      <c r="EE33" s="101"/>
      <c r="EF33" s="101"/>
      <c r="EG33" s="101"/>
      <c r="EH33" s="101"/>
      <c r="EI33" s="101"/>
      <c r="EJ33" s="101"/>
      <c r="EK33" s="101"/>
      <c r="EL33" s="101"/>
      <c r="EM33" s="101"/>
      <c r="EN33" s="101"/>
      <c r="EO33" s="101"/>
      <c r="EP33" s="101"/>
      <c r="EQ33" s="101"/>
      <c r="ER33" s="101"/>
      <c r="ES33" s="101"/>
      <c r="ET33" s="101"/>
      <c r="EU33" s="101"/>
      <c r="EV33" s="101"/>
      <c r="EW33" s="102"/>
      <c r="EX33" s="100">
        <f>[1]Consolidado!$J$18</f>
        <v>0</v>
      </c>
      <c r="EY33" s="101"/>
      <c r="EZ33" s="101"/>
      <c r="FA33" s="101"/>
      <c r="FB33" s="101"/>
      <c r="FC33" s="101"/>
      <c r="FD33" s="101"/>
      <c r="FE33" s="101"/>
      <c r="FF33" s="101"/>
      <c r="FG33" s="101"/>
      <c r="FH33" s="101"/>
      <c r="FI33" s="101"/>
      <c r="FJ33" s="101"/>
      <c r="FK33" s="101"/>
      <c r="FL33" s="101"/>
      <c r="FM33" s="101"/>
      <c r="FN33" s="101"/>
      <c r="FO33" s="101"/>
      <c r="FP33" s="101"/>
      <c r="FQ33" s="101"/>
      <c r="FR33" s="101"/>
      <c r="FS33" s="101"/>
      <c r="FT33" s="101"/>
      <c r="FU33" s="101"/>
      <c r="FV33" s="101"/>
      <c r="FW33" s="101"/>
      <c r="FX33" s="101"/>
      <c r="FY33" s="101"/>
      <c r="FZ33" s="101"/>
      <c r="GA33" s="101"/>
      <c r="GB33" s="101"/>
      <c r="GC33" s="101"/>
      <c r="GD33" s="101"/>
      <c r="GE33" s="101"/>
      <c r="GF33" s="101"/>
      <c r="GG33" s="101"/>
      <c r="GH33" s="101"/>
      <c r="GI33" s="102"/>
      <c r="GJ33" s="100">
        <f>[1]Consolidado!$J$19</f>
        <v>0</v>
      </c>
      <c r="GK33" s="101"/>
      <c r="GL33" s="101"/>
      <c r="GM33" s="101"/>
      <c r="GN33" s="101"/>
      <c r="GO33" s="101"/>
      <c r="GP33" s="101"/>
      <c r="GQ33" s="101"/>
      <c r="GR33" s="101"/>
      <c r="GS33" s="101"/>
      <c r="GT33" s="101"/>
      <c r="GU33" s="101"/>
      <c r="GV33" s="101"/>
      <c r="GW33" s="101"/>
      <c r="GX33" s="101"/>
      <c r="GY33" s="101"/>
      <c r="GZ33" s="101"/>
      <c r="HA33" s="101"/>
      <c r="HB33" s="101"/>
      <c r="HC33" s="101"/>
      <c r="HD33" s="101"/>
      <c r="HE33" s="101"/>
      <c r="HF33" s="101"/>
      <c r="HG33" s="101"/>
      <c r="HH33" s="101"/>
      <c r="HI33" s="101"/>
      <c r="HJ33" s="101"/>
      <c r="HK33" s="101"/>
      <c r="HL33" s="101"/>
      <c r="HM33" s="101"/>
      <c r="HN33" s="101"/>
      <c r="HO33" s="101"/>
      <c r="HP33" s="101"/>
      <c r="HQ33" s="101"/>
      <c r="HR33" s="101"/>
      <c r="HS33" s="101"/>
      <c r="HT33" s="101"/>
      <c r="HU33" s="102"/>
      <c r="HV33" s="148">
        <f>[1]Consolidado!$J$20</f>
        <v>0.41408800097656251</v>
      </c>
      <c r="HW33" s="149"/>
      <c r="HX33" s="149"/>
      <c r="HY33" s="149"/>
      <c r="HZ33" s="149"/>
      <c r="IA33" s="149"/>
      <c r="IB33" s="149"/>
      <c r="IC33" s="149"/>
      <c r="ID33" s="149"/>
      <c r="IE33" s="149"/>
      <c r="IF33" s="149"/>
      <c r="IG33" s="149"/>
      <c r="IH33" s="149"/>
      <c r="II33" s="149"/>
      <c r="IJ33" s="149"/>
      <c r="IK33" s="149"/>
      <c r="IL33" s="149"/>
      <c r="IM33" s="149"/>
      <c r="IN33" s="149"/>
      <c r="IO33" s="149"/>
      <c r="IP33" s="149"/>
      <c r="IQ33" s="149"/>
      <c r="IR33" s="149"/>
      <c r="IS33" s="149"/>
      <c r="IT33" s="149"/>
      <c r="IU33" s="149"/>
      <c r="IV33" s="149"/>
      <c r="IW33" s="149"/>
      <c r="IX33" s="149"/>
      <c r="IY33" s="149"/>
      <c r="IZ33" s="149"/>
      <c r="JA33" s="149"/>
      <c r="JB33" s="149"/>
      <c r="JC33" s="149"/>
      <c r="JD33" s="149"/>
      <c r="JE33" s="149"/>
      <c r="JF33" s="149"/>
      <c r="JG33" s="150"/>
      <c r="JH33" s="100">
        <f>[1]Consolidado!$J$22</f>
        <v>6.888900024414063E-2</v>
      </c>
      <c r="JI33" s="101"/>
      <c r="JJ33" s="101"/>
      <c r="JK33" s="101"/>
      <c r="JL33" s="101"/>
      <c r="JM33" s="101"/>
      <c r="JN33" s="101"/>
      <c r="JO33" s="101"/>
      <c r="JP33" s="101"/>
      <c r="JQ33" s="101"/>
      <c r="JR33" s="101"/>
      <c r="JS33" s="101"/>
      <c r="JT33" s="101"/>
      <c r="JU33" s="101"/>
      <c r="JV33" s="101"/>
      <c r="JW33" s="101"/>
      <c r="JX33" s="101"/>
      <c r="JY33" s="101"/>
      <c r="JZ33" s="101"/>
      <c r="KA33" s="101"/>
      <c r="KB33" s="101"/>
      <c r="KC33" s="101"/>
      <c r="KD33" s="101"/>
      <c r="KE33" s="101"/>
      <c r="KF33" s="101"/>
      <c r="KG33" s="101"/>
      <c r="KH33" s="101"/>
      <c r="KI33" s="101"/>
      <c r="KJ33" s="101"/>
      <c r="KK33" s="101"/>
      <c r="KL33" s="101"/>
      <c r="KM33" s="101"/>
      <c r="KN33" s="101"/>
      <c r="KO33" s="101"/>
      <c r="KP33" s="101"/>
      <c r="KQ33" s="101"/>
      <c r="KR33" s="101"/>
      <c r="KS33" s="102"/>
      <c r="KT33" s="100">
        <f>[1]Consolidado!$J$23</f>
        <v>0</v>
      </c>
      <c r="KU33" s="101"/>
      <c r="KV33" s="101"/>
      <c r="KW33" s="101"/>
      <c r="KX33" s="101"/>
      <c r="KY33" s="101"/>
      <c r="KZ33" s="101"/>
      <c r="LA33" s="101"/>
      <c r="LB33" s="101"/>
      <c r="LC33" s="101"/>
      <c r="LD33" s="101"/>
      <c r="LE33" s="101"/>
      <c r="LF33" s="101"/>
      <c r="LG33" s="101"/>
      <c r="LH33" s="101"/>
      <c r="LI33" s="101"/>
      <c r="LJ33" s="101"/>
      <c r="LK33" s="101"/>
      <c r="LL33" s="101"/>
      <c r="LM33" s="101"/>
      <c r="LN33" s="101"/>
      <c r="LO33" s="101"/>
      <c r="LP33" s="101"/>
      <c r="LQ33" s="101"/>
      <c r="LR33" s="101"/>
      <c r="LS33" s="101"/>
      <c r="LT33" s="101"/>
      <c r="LU33" s="101"/>
      <c r="LV33" s="101"/>
      <c r="LW33" s="101"/>
      <c r="LX33" s="101"/>
      <c r="LY33" s="101"/>
      <c r="LZ33" s="101"/>
      <c r="MA33" s="101"/>
      <c r="MB33" s="101"/>
      <c r="MC33" s="101"/>
      <c r="MD33" s="101"/>
      <c r="ME33" s="102"/>
      <c r="MF33" s="100">
        <f>[1]Consolidado!$J$24</f>
        <v>0</v>
      </c>
      <c r="MG33" s="101"/>
      <c r="MH33" s="101"/>
      <c r="MI33" s="101"/>
      <c r="MJ33" s="101"/>
      <c r="MK33" s="101"/>
      <c r="ML33" s="101"/>
      <c r="MM33" s="101"/>
      <c r="MN33" s="101"/>
      <c r="MO33" s="101"/>
      <c r="MP33" s="101"/>
      <c r="MQ33" s="101"/>
      <c r="MR33" s="101"/>
      <c r="MS33" s="101"/>
      <c r="MT33" s="101"/>
      <c r="MU33" s="101"/>
      <c r="MV33" s="101"/>
      <c r="MW33" s="101"/>
      <c r="MX33" s="101"/>
      <c r="MY33" s="101"/>
      <c r="MZ33" s="101"/>
      <c r="NA33" s="101"/>
      <c r="NB33" s="101"/>
      <c r="NC33" s="101"/>
      <c r="ND33" s="101"/>
      <c r="NE33" s="101"/>
      <c r="NF33" s="101"/>
      <c r="NG33" s="101"/>
      <c r="NH33" s="101"/>
      <c r="NI33" s="101"/>
      <c r="NJ33" s="101"/>
      <c r="NK33" s="101"/>
      <c r="NL33" s="101"/>
      <c r="NM33" s="101"/>
      <c r="NN33" s="101"/>
      <c r="NO33" s="101"/>
      <c r="NP33" s="101"/>
      <c r="NQ33" s="102"/>
      <c r="NR33" s="145">
        <f>[1]Consolidado!$J$25</f>
        <v>6.888900024414063E-2</v>
      </c>
      <c r="NS33" s="146"/>
      <c r="NT33" s="146"/>
      <c r="NU33" s="146"/>
      <c r="NV33" s="146"/>
      <c r="NW33" s="146"/>
      <c r="NX33" s="146"/>
      <c r="NY33" s="146"/>
      <c r="NZ33" s="146"/>
      <c r="OA33" s="146"/>
      <c r="OB33" s="146"/>
      <c r="OC33" s="146"/>
      <c r="OD33" s="146"/>
      <c r="OE33" s="146"/>
      <c r="OF33" s="146"/>
      <c r="OG33" s="146"/>
      <c r="OH33" s="146"/>
      <c r="OI33" s="146"/>
      <c r="OJ33" s="146"/>
      <c r="OK33" s="146"/>
      <c r="OL33" s="146"/>
      <c r="OM33" s="146"/>
      <c r="ON33" s="146"/>
      <c r="OO33" s="146"/>
      <c r="OP33" s="146"/>
      <c r="OQ33" s="146"/>
      <c r="OR33" s="146"/>
      <c r="OS33" s="146"/>
      <c r="OT33" s="146"/>
      <c r="OU33" s="146"/>
      <c r="OV33" s="146"/>
      <c r="OW33" s="146"/>
      <c r="OX33" s="146"/>
      <c r="OY33" s="146"/>
      <c r="OZ33" s="146"/>
      <c r="PA33" s="146"/>
      <c r="PB33" s="146"/>
      <c r="PC33" s="147"/>
    </row>
    <row r="34" spans="1:419" s="15" customFormat="1" outlineLevel="1" x14ac:dyDescent="0.4">
      <c r="A34" s="46" t="s">
        <v>58</v>
      </c>
      <c r="B34" s="127">
        <f>[2]Consolidado!$J$12</f>
        <v>0.28156999999999999</v>
      </c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9"/>
      <c r="AN34" s="127">
        <f>[2]Consolidado!$J$13</f>
        <v>0</v>
      </c>
      <c r="AO34" s="128"/>
      <c r="AP34" s="128"/>
      <c r="AQ34" s="128"/>
      <c r="AR34" s="128"/>
      <c r="AS34" s="128"/>
      <c r="AT34" s="128"/>
      <c r="AU34" s="128"/>
      <c r="AV34" s="128"/>
      <c r="AW34" s="128"/>
      <c r="AX34" s="128"/>
      <c r="AY34" s="128"/>
      <c r="AZ34" s="128"/>
      <c r="BA34" s="128"/>
      <c r="BB34" s="128"/>
      <c r="BC34" s="128"/>
      <c r="BD34" s="128"/>
      <c r="BE34" s="128"/>
      <c r="BF34" s="128"/>
      <c r="BG34" s="128"/>
      <c r="BH34" s="128"/>
      <c r="BI34" s="128"/>
      <c r="BJ34" s="128"/>
      <c r="BK34" s="128"/>
      <c r="BL34" s="128"/>
      <c r="BM34" s="128"/>
      <c r="BN34" s="128"/>
      <c r="BO34" s="128"/>
      <c r="BP34" s="128"/>
      <c r="BQ34" s="128"/>
      <c r="BR34" s="128"/>
      <c r="BS34" s="128"/>
      <c r="BT34" s="128"/>
      <c r="BU34" s="128"/>
      <c r="BV34" s="128"/>
      <c r="BW34" s="128"/>
      <c r="BX34" s="128"/>
      <c r="BY34" s="129"/>
      <c r="BZ34" s="142">
        <f>[2]Consolidado!$J$14</f>
        <v>0</v>
      </c>
      <c r="CA34" s="143"/>
      <c r="CB34" s="143"/>
      <c r="CC34" s="143"/>
      <c r="CD34" s="143"/>
      <c r="CE34" s="143"/>
      <c r="CF34" s="143"/>
      <c r="CG34" s="143"/>
      <c r="CH34" s="143"/>
      <c r="CI34" s="143"/>
      <c r="CJ34" s="143"/>
      <c r="CK34" s="143"/>
      <c r="CL34" s="143"/>
      <c r="CM34" s="143"/>
      <c r="CN34" s="143"/>
      <c r="CO34" s="143"/>
      <c r="CP34" s="143"/>
      <c r="CQ34" s="143"/>
      <c r="CR34" s="143"/>
      <c r="CS34" s="143"/>
      <c r="CT34" s="143"/>
      <c r="CU34" s="143"/>
      <c r="CV34" s="143"/>
      <c r="CW34" s="143"/>
      <c r="CX34" s="143"/>
      <c r="CY34" s="143"/>
      <c r="CZ34" s="143"/>
      <c r="DA34" s="143"/>
      <c r="DB34" s="143"/>
      <c r="DC34" s="143"/>
      <c r="DD34" s="143"/>
      <c r="DE34" s="143"/>
      <c r="DF34" s="143"/>
      <c r="DG34" s="143"/>
      <c r="DH34" s="143"/>
      <c r="DI34" s="143"/>
      <c r="DJ34" s="143"/>
      <c r="DK34" s="144"/>
      <c r="DL34" s="94">
        <f>[2]Consolidado!$J$17</f>
        <v>0.410549</v>
      </c>
      <c r="DM34" s="95"/>
      <c r="DN34" s="95"/>
      <c r="DO34" s="95"/>
      <c r="DP34" s="95"/>
      <c r="DQ34" s="95"/>
      <c r="DR34" s="95"/>
      <c r="DS34" s="95"/>
      <c r="DT34" s="95"/>
      <c r="DU34" s="95"/>
      <c r="DV34" s="95"/>
      <c r="DW34" s="95"/>
      <c r="DX34" s="95"/>
      <c r="DY34" s="95"/>
      <c r="DZ34" s="95"/>
      <c r="EA34" s="95"/>
      <c r="EB34" s="95"/>
      <c r="EC34" s="95"/>
      <c r="ED34" s="95"/>
      <c r="EE34" s="95"/>
      <c r="EF34" s="95"/>
      <c r="EG34" s="95"/>
      <c r="EH34" s="95"/>
      <c r="EI34" s="95"/>
      <c r="EJ34" s="95"/>
      <c r="EK34" s="95"/>
      <c r="EL34" s="95"/>
      <c r="EM34" s="95"/>
      <c r="EN34" s="95"/>
      <c r="EO34" s="95"/>
      <c r="EP34" s="95"/>
      <c r="EQ34" s="95"/>
      <c r="ER34" s="95"/>
      <c r="ES34" s="95"/>
      <c r="ET34" s="95"/>
      <c r="EU34" s="95"/>
      <c r="EV34" s="95"/>
      <c r="EW34" s="96"/>
      <c r="EX34" s="94">
        <f>[2]Consolidado!$J$18</f>
        <v>0</v>
      </c>
      <c r="EY34" s="95"/>
      <c r="EZ34" s="95"/>
      <c r="FA34" s="95"/>
      <c r="FB34" s="95"/>
      <c r="FC34" s="95"/>
      <c r="FD34" s="95"/>
      <c r="FE34" s="95"/>
      <c r="FF34" s="95"/>
      <c r="FG34" s="95"/>
      <c r="FH34" s="95"/>
      <c r="FI34" s="95"/>
      <c r="FJ34" s="95"/>
      <c r="FK34" s="95"/>
      <c r="FL34" s="95"/>
      <c r="FM34" s="95"/>
      <c r="FN34" s="95"/>
      <c r="FO34" s="95"/>
      <c r="FP34" s="95"/>
      <c r="FQ34" s="95"/>
      <c r="FR34" s="95"/>
      <c r="FS34" s="95"/>
      <c r="FT34" s="95"/>
      <c r="FU34" s="95"/>
      <c r="FV34" s="95"/>
      <c r="FW34" s="95"/>
      <c r="FX34" s="95"/>
      <c r="FY34" s="95"/>
      <c r="FZ34" s="95"/>
      <c r="GA34" s="95"/>
      <c r="GB34" s="95"/>
      <c r="GC34" s="95"/>
      <c r="GD34" s="95"/>
      <c r="GE34" s="95"/>
      <c r="GF34" s="95"/>
      <c r="GG34" s="95"/>
      <c r="GH34" s="95"/>
      <c r="GI34" s="96"/>
      <c r="GJ34" s="94"/>
      <c r="GK34" s="95"/>
      <c r="GL34" s="95"/>
      <c r="GM34" s="95"/>
      <c r="GN34" s="95"/>
      <c r="GO34" s="95"/>
      <c r="GP34" s="95"/>
      <c r="GQ34" s="95"/>
      <c r="GR34" s="95"/>
      <c r="GS34" s="95"/>
      <c r="GT34" s="95"/>
      <c r="GU34" s="95"/>
      <c r="GV34" s="95"/>
      <c r="GW34" s="95"/>
      <c r="GX34" s="95"/>
      <c r="GY34" s="95"/>
      <c r="GZ34" s="95"/>
      <c r="HA34" s="95"/>
      <c r="HB34" s="95"/>
      <c r="HC34" s="95"/>
      <c r="HD34" s="95"/>
      <c r="HE34" s="95"/>
      <c r="HF34" s="95"/>
      <c r="HG34" s="95"/>
      <c r="HH34" s="95"/>
      <c r="HI34" s="95"/>
      <c r="HJ34" s="95"/>
      <c r="HK34" s="95"/>
      <c r="HL34" s="95"/>
      <c r="HM34" s="95"/>
      <c r="HN34" s="95"/>
      <c r="HO34" s="95"/>
      <c r="HP34" s="95"/>
      <c r="HQ34" s="95"/>
      <c r="HR34" s="95"/>
      <c r="HS34" s="95"/>
      <c r="HT34" s="95"/>
      <c r="HU34" s="96"/>
      <c r="HV34" s="153">
        <f>[2]Consolidado!$J$19</f>
        <v>0.410549</v>
      </c>
      <c r="HW34" s="154"/>
      <c r="HX34" s="154"/>
      <c r="HY34" s="154"/>
      <c r="HZ34" s="154"/>
      <c r="IA34" s="154"/>
      <c r="IB34" s="154"/>
      <c r="IC34" s="154"/>
      <c r="ID34" s="154"/>
      <c r="IE34" s="154"/>
      <c r="IF34" s="154"/>
      <c r="IG34" s="154"/>
      <c r="IH34" s="154"/>
      <c r="II34" s="154"/>
      <c r="IJ34" s="154"/>
      <c r="IK34" s="154"/>
      <c r="IL34" s="154"/>
      <c r="IM34" s="154"/>
      <c r="IN34" s="154"/>
      <c r="IO34" s="154"/>
      <c r="IP34" s="154"/>
      <c r="IQ34" s="154"/>
      <c r="IR34" s="154"/>
      <c r="IS34" s="154"/>
      <c r="IT34" s="154"/>
      <c r="IU34" s="154"/>
      <c r="IV34" s="154"/>
      <c r="IW34" s="154"/>
      <c r="IX34" s="154"/>
      <c r="IY34" s="154"/>
      <c r="IZ34" s="154"/>
      <c r="JA34" s="154"/>
      <c r="JB34" s="154"/>
      <c r="JC34" s="154"/>
      <c r="JD34" s="154"/>
      <c r="JE34" s="154"/>
      <c r="JF34" s="154"/>
      <c r="JG34" s="155"/>
      <c r="JH34" s="94">
        <f>[2]Consolidado!$J$21</f>
        <v>6.5225000000000005E-2</v>
      </c>
      <c r="JI34" s="95"/>
      <c r="JJ34" s="95"/>
      <c r="JK34" s="95"/>
      <c r="JL34" s="95"/>
      <c r="JM34" s="95"/>
      <c r="JN34" s="95"/>
      <c r="JO34" s="95"/>
      <c r="JP34" s="95"/>
      <c r="JQ34" s="95"/>
      <c r="JR34" s="95"/>
      <c r="JS34" s="95"/>
      <c r="JT34" s="95"/>
      <c r="JU34" s="95"/>
      <c r="JV34" s="95"/>
      <c r="JW34" s="95"/>
      <c r="JX34" s="95"/>
      <c r="JY34" s="95"/>
      <c r="JZ34" s="95"/>
      <c r="KA34" s="95"/>
      <c r="KB34" s="95"/>
      <c r="KC34" s="95"/>
      <c r="KD34" s="95"/>
      <c r="KE34" s="95"/>
      <c r="KF34" s="95"/>
      <c r="KG34" s="95"/>
      <c r="KH34" s="95"/>
      <c r="KI34" s="95"/>
      <c r="KJ34" s="95"/>
      <c r="KK34" s="95"/>
      <c r="KL34" s="95"/>
      <c r="KM34" s="95"/>
      <c r="KN34" s="95"/>
      <c r="KO34" s="95"/>
      <c r="KP34" s="95"/>
      <c r="KQ34" s="95"/>
      <c r="KR34" s="95"/>
      <c r="KS34" s="96"/>
      <c r="KT34" s="94">
        <f>[2]Consolidado!$J$22</f>
        <v>0</v>
      </c>
      <c r="KU34" s="95"/>
      <c r="KV34" s="95"/>
      <c r="KW34" s="95"/>
      <c r="KX34" s="95"/>
      <c r="KY34" s="95"/>
      <c r="KZ34" s="95"/>
      <c r="LA34" s="95"/>
      <c r="LB34" s="95"/>
      <c r="LC34" s="95"/>
      <c r="LD34" s="95"/>
      <c r="LE34" s="95"/>
      <c r="LF34" s="95"/>
      <c r="LG34" s="95"/>
      <c r="LH34" s="95"/>
      <c r="LI34" s="95"/>
      <c r="LJ34" s="95"/>
      <c r="LK34" s="95"/>
      <c r="LL34" s="95"/>
      <c r="LM34" s="95"/>
      <c r="LN34" s="95"/>
      <c r="LO34" s="95"/>
      <c r="LP34" s="95"/>
      <c r="LQ34" s="95"/>
      <c r="LR34" s="95"/>
      <c r="LS34" s="95"/>
      <c r="LT34" s="95"/>
      <c r="LU34" s="95"/>
      <c r="LV34" s="95"/>
      <c r="LW34" s="95"/>
      <c r="LX34" s="95"/>
      <c r="LY34" s="95"/>
      <c r="LZ34" s="95"/>
      <c r="MA34" s="95"/>
      <c r="MB34" s="95"/>
      <c r="MC34" s="95"/>
      <c r="MD34" s="95"/>
      <c r="ME34" s="96"/>
      <c r="MF34" s="94"/>
      <c r="MG34" s="95"/>
      <c r="MH34" s="95"/>
      <c r="MI34" s="95"/>
      <c r="MJ34" s="95"/>
      <c r="MK34" s="95"/>
      <c r="ML34" s="95"/>
      <c r="MM34" s="95"/>
      <c r="MN34" s="95"/>
      <c r="MO34" s="95"/>
      <c r="MP34" s="95"/>
      <c r="MQ34" s="95"/>
      <c r="MR34" s="95"/>
      <c r="MS34" s="95"/>
      <c r="MT34" s="95"/>
      <c r="MU34" s="95"/>
      <c r="MV34" s="95"/>
      <c r="MW34" s="95"/>
      <c r="MX34" s="95"/>
      <c r="MY34" s="95"/>
      <c r="MZ34" s="95"/>
      <c r="NA34" s="95"/>
      <c r="NB34" s="95"/>
      <c r="NC34" s="95"/>
      <c r="ND34" s="95"/>
      <c r="NE34" s="95"/>
      <c r="NF34" s="95"/>
      <c r="NG34" s="95"/>
      <c r="NH34" s="95"/>
      <c r="NI34" s="95"/>
      <c r="NJ34" s="95"/>
      <c r="NK34" s="95"/>
      <c r="NL34" s="95"/>
      <c r="NM34" s="95"/>
      <c r="NN34" s="95"/>
      <c r="NO34" s="95"/>
      <c r="NP34" s="95"/>
      <c r="NQ34" s="96"/>
      <c r="NR34" s="136">
        <f>[2]Consolidado!$J$23</f>
        <v>6.5225000000000005E-2</v>
      </c>
      <c r="NS34" s="137"/>
      <c r="NT34" s="137"/>
      <c r="NU34" s="137"/>
      <c r="NV34" s="137"/>
      <c r="NW34" s="137"/>
      <c r="NX34" s="137"/>
      <c r="NY34" s="137"/>
      <c r="NZ34" s="137"/>
      <c r="OA34" s="137"/>
      <c r="OB34" s="137"/>
      <c r="OC34" s="137"/>
      <c r="OD34" s="137"/>
      <c r="OE34" s="137"/>
      <c r="OF34" s="137"/>
      <c r="OG34" s="137"/>
      <c r="OH34" s="137"/>
      <c r="OI34" s="137"/>
      <c r="OJ34" s="137"/>
      <c r="OK34" s="137"/>
      <c r="OL34" s="137"/>
      <c r="OM34" s="137"/>
      <c r="ON34" s="137"/>
      <c r="OO34" s="137"/>
      <c r="OP34" s="137"/>
      <c r="OQ34" s="137"/>
      <c r="OR34" s="137"/>
      <c r="OS34" s="137"/>
      <c r="OT34" s="137"/>
      <c r="OU34" s="137"/>
      <c r="OV34" s="137"/>
      <c r="OW34" s="137"/>
      <c r="OX34" s="137"/>
      <c r="OY34" s="137"/>
      <c r="OZ34" s="137"/>
      <c r="PA34" s="137"/>
      <c r="PB34" s="137"/>
      <c r="PC34" s="138"/>
    </row>
    <row r="35" spans="1:419" ht="15.75" customHeight="1" outlineLevel="1" thickBot="1" x14ac:dyDescent="0.45">
      <c r="A35" s="47" t="s">
        <v>59</v>
      </c>
      <c r="B35" s="151">
        <f t="shared" ref="B35" si="1167">IF(B34&gt;0,(B33-B34)/B34,0)</f>
        <v>-8.1500118198849312E-3</v>
      </c>
      <c r="C35" s="151"/>
      <c r="D35" s="151"/>
      <c r="E35" s="151"/>
      <c r="F35" s="151"/>
      <c r="G35" s="151"/>
      <c r="H35" s="151"/>
      <c r="I35" s="151"/>
      <c r="J35" s="151"/>
      <c r="K35" s="151"/>
      <c r="L35" s="151"/>
      <c r="M35" s="151"/>
      <c r="N35" s="151"/>
      <c r="O35" s="151"/>
      <c r="P35" s="151"/>
      <c r="Q35" s="151"/>
      <c r="R35" s="151"/>
      <c r="S35" s="151"/>
      <c r="T35" s="151"/>
      <c r="U35" s="151"/>
      <c r="V35" s="151"/>
      <c r="W35" s="151"/>
      <c r="X35" s="151"/>
      <c r="Y35" s="151"/>
      <c r="Z35" s="151"/>
      <c r="AA35" s="151"/>
      <c r="AB35" s="151"/>
      <c r="AC35" s="151"/>
      <c r="AD35" s="151"/>
      <c r="AE35" s="151"/>
      <c r="AF35" s="151"/>
      <c r="AG35" s="151"/>
      <c r="AH35" s="151"/>
      <c r="AI35" s="151"/>
      <c r="AJ35" s="151"/>
      <c r="AK35" s="151"/>
      <c r="AL35" s="151"/>
      <c r="AM35" s="152"/>
      <c r="AN35" s="130">
        <f>IF(Z34&gt;0,(AN33-Z34)/Z34,0)</f>
        <v>0</v>
      </c>
      <c r="AO35" s="131"/>
      <c r="AP35" s="131"/>
      <c r="AQ35" s="131"/>
      <c r="AR35" s="131"/>
      <c r="AS35" s="131"/>
      <c r="AT35" s="131"/>
      <c r="AU35" s="131"/>
      <c r="AV35" s="131"/>
      <c r="AW35" s="131"/>
      <c r="AX35" s="131"/>
      <c r="AY35" s="131"/>
      <c r="AZ35" s="131"/>
      <c r="BA35" s="131"/>
      <c r="BB35" s="131"/>
      <c r="BC35" s="131"/>
      <c r="BD35" s="131"/>
      <c r="BE35" s="131"/>
      <c r="BF35" s="131"/>
      <c r="BG35" s="131"/>
      <c r="BH35" s="131"/>
      <c r="BI35" s="131"/>
      <c r="BJ35" s="131"/>
      <c r="BK35" s="131"/>
      <c r="BL35" s="131"/>
      <c r="BM35" s="131"/>
      <c r="BN35" s="131"/>
      <c r="BO35" s="131"/>
      <c r="BP35" s="131"/>
      <c r="BQ35" s="131"/>
      <c r="BR35" s="131"/>
      <c r="BS35" s="131"/>
      <c r="BT35" s="131"/>
      <c r="BU35" s="131"/>
      <c r="BV35" s="131"/>
      <c r="BW35" s="131"/>
      <c r="BX35" s="131"/>
      <c r="BY35" s="132"/>
      <c r="BZ35" s="106"/>
      <c r="CA35" s="107"/>
      <c r="CB35" s="107"/>
      <c r="CC35" s="107"/>
      <c r="CD35" s="107"/>
      <c r="CE35" s="107"/>
      <c r="CF35" s="107"/>
      <c r="CG35" s="107"/>
      <c r="CH35" s="107"/>
      <c r="CI35" s="107"/>
      <c r="CJ35" s="107"/>
      <c r="CK35" s="107"/>
      <c r="CL35" s="107"/>
      <c r="CM35" s="107"/>
      <c r="CN35" s="107"/>
      <c r="CO35" s="107"/>
      <c r="CP35" s="107"/>
      <c r="CQ35" s="107"/>
      <c r="CR35" s="107"/>
      <c r="CS35" s="107"/>
      <c r="CT35" s="107"/>
      <c r="CU35" s="107"/>
      <c r="CV35" s="107"/>
      <c r="CW35" s="107"/>
      <c r="CX35" s="107"/>
      <c r="CY35" s="107"/>
      <c r="CZ35" s="107"/>
      <c r="DA35" s="107"/>
      <c r="DB35" s="107"/>
      <c r="DC35" s="107"/>
      <c r="DD35" s="107"/>
      <c r="DE35" s="107"/>
      <c r="DF35" s="107"/>
      <c r="DG35" s="107"/>
      <c r="DH35" s="107"/>
      <c r="DI35" s="107"/>
      <c r="DJ35" s="107"/>
      <c r="DK35" s="108"/>
      <c r="DL35" s="97" t="s">
        <v>60</v>
      </c>
      <c r="DM35" s="98"/>
      <c r="DN35" s="98"/>
      <c r="DO35" s="98"/>
      <c r="DP35" s="98"/>
      <c r="DQ35" s="98"/>
      <c r="DR35" s="98"/>
      <c r="DS35" s="98"/>
      <c r="DT35" s="98"/>
      <c r="DU35" s="98"/>
      <c r="DV35" s="98"/>
      <c r="DW35" s="98"/>
      <c r="DX35" s="98"/>
      <c r="DY35" s="98"/>
      <c r="DZ35" s="98"/>
      <c r="EA35" s="98"/>
      <c r="EB35" s="98"/>
      <c r="EC35" s="98"/>
      <c r="ED35" s="98"/>
      <c r="EE35" s="98"/>
      <c r="EF35" s="98"/>
      <c r="EG35" s="98"/>
      <c r="EH35" s="98"/>
      <c r="EI35" s="98"/>
      <c r="EJ35" s="98"/>
      <c r="EK35" s="98"/>
      <c r="EL35" s="98"/>
      <c r="EM35" s="98"/>
      <c r="EN35" s="98"/>
      <c r="EO35" s="98"/>
      <c r="EP35" s="98"/>
      <c r="EQ35" s="98"/>
      <c r="ER35" s="98"/>
      <c r="ES35" s="98"/>
      <c r="ET35" s="98"/>
      <c r="EU35" s="98"/>
      <c r="EV35" s="98"/>
      <c r="EW35" s="99"/>
      <c r="EX35" s="97" t="s">
        <v>60</v>
      </c>
      <c r="EY35" s="98"/>
      <c r="EZ35" s="98"/>
      <c r="FA35" s="98"/>
      <c r="FB35" s="98"/>
      <c r="FC35" s="98"/>
      <c r="FD35" s="98"/>
      <c r="FE35" s="98"/>
      <c r="FF35" s="98"/>
      <c r="FG35" s="98"/>
      <c r="FH35" s="98"/>
      <c r="FI35" s="98"/>
      <c r="FJ35" s="98"/>
      <c r="FK35" s="98"/>
      <c r="FL35" s="98"/>
      <c r="FM35" s="98"/>
      <c r="FN35" s="98"/>
      <c r="FO35" s="98"/>
      <c r="FP35" s="98"/>
      <c r="FQ35" s="98"/>
      <c r="FR35" s="98"/>
      <c r="FS35" s="98"/>
      <c r="FT35" s="98"/>
      <c r="FU35" s="98"/>
      <c r="FV35" s="98"/>
      <c r="FW35" s="98"/>
      <c r="FX35" s="98"/>
      <c r="FY35" s="98"/>
      <c r="FZ35" s="98"/>
      <c r="GA35" s="98"/>
      <c r="GB35" s="98"/>
      <c r="GC35" s="98"/>
      <c r="GD35" s="98"/>
      <c r="GE35" s="98"/>
      <c r="GF35" s="98"/>
      <c r="GG35" s="98"/>
      <c r="GH35" s="98"/>
      <c r="GI35" s="99"/>
      <c r="GJ35" s="97" t="s">
        <v>60</v>
      </c>
      <c r="GK35" s="98"/>
      <c r="GL35" s="98"/>
      <c r="GM35" s="98"/>
      <c r="GN35" s="98"/>
      <c r="GO35" s="98"/>
      <c r="GP35" s="98"/>
      <c r="GQ35" s="98"/>
      <c r="GR35" s="98"/>
      <c r="GS35" s="98"/>
      <c r="GT35" s="98"/>
      <c r="GU35" s="98"/>
      <c r="GV35" s="98"/>
      <c r="GW35" s="98"/>
      <c r="GX35" s="98"/>
      <c r="GY35" s="98"/>
      <c r="GZ35" s="98"/>
      <c r="HA35" s="98"/>
      <c r="HB35" s="98"/>
      <c r="HC35" s="98"/>
      <c r="HD35" s="98"/>
      <c r="HE35" s="98"/>
      <c r="HF35" s="98"/>
      <c r="HG35" s="98"/>
      <c r="HH35" s="98"/>
      <c r="HI35" s="98"/>
      <c r="HJ35" s="98"/>
      <c r="HK35" s="98"/>
      <c r="HL35" s="98"/>
      <c r="HM35" s="98"/>
      <c r="HN35" s="98"/>
      <c r="HO35" s="98"/>
      <c r="HP35" s="98"/>
      <c r="HQ35" s="98"/>
      <c r="HR35" s="98"/>
      <c r="HS35" s="98"/>
      <c r="HT35" s="98"/>
      <c r="HU35" s="99"/>
      <c r="HV35" s="139">
        <f>IF(AND(HV33&lt;&gt;0,HV34&lt;&gt;0),(HV33-HV34)/HV34,IF(AND(HV33=0,HV34=0),"",IF(AND(HV33="",HV34=""),"",IF(AND(HV33=0,HV34=""),"",IF(AND(HV33="",HV34=0),"",1)))))</f>
        <v>8.620167084958219E-3</v>
      </c>
      <c r="HW35" s="140"/>
      <c r="HX35" s="140"/>
      <c r="HY35" s="140"/>
      <c r="HZ35" s="140"/>
      <c r="IA35" s="140"/>
      <c r="IB35" s="140"/>
      <c r="IC35" s="140"/>
      <c r="ID35" s="140"/>
      <c r="IE35" s="140"/>
      <c r="IF35" s="140"/>
      <c r="IG35" s="140"/>
      <c r="IH35" s="140"/>
      <c r="II35" s="140"/>
      <c r="IJ35" s="140"/>
      <c r="IK35" s="140"/>
      <c r="IL35" s="140"/>
      <c r="IM35" s="140"/>
      <c r="IN35" s="140"/>
      <c r="IO35" s="140"/>
      <c r="IP35" s="140"/>
      <c r="IQ35" s="140"/>
      <c r="IR35" s="140"/>
      <c r="IS35" s="140"/>
      <c r="IT35" s="140"/>
      <c r="IU35" s="140"/>
      <c r="IV35" s="140"/>
      <c r="IW35" s="140"/>
      <c r="IX35" s="140"/>
      <c r="IY35" s="140"/>
      <c r="IZ35" s="140"/>
      <c r="JA35" s="140"/>
      <c r="JB35" s="140"/>
      <c r="JC35" s="140"/>
      <c r="JD35" s="140"/>
      <c r="JE35" s="140"/>
      <c r="JF35" s="140"/>
      <c r="JG35" s="141"/>
      <c r="JH35" s="97" t="s">
        <v>60</v>
      </c>
      <c r="JI35" s="98"/>
      <c r="JJ35" s="98"/>
      <c r="JK35" s="98"/>
      <c r="JL35" s="98"/>
      <c r="JM35" s="98"/>
      <c r="JN35" s="98"/>
      <c r="JO35" s="98"/>
      <c r="JP35" s="98"/>
      <c r="JQ35" s="98"/>
      <c r="JR35" s="98"/>
      <c r="JS35" s="98"/>
      <c r="JT35" s="98"/>
      <c r="JU35" s="98"/>
      <c r="JV35" s="98"/>
      <c r="JW35" s="98"/>
      <c r="JX35" s="98"/>
      <c r="JY35" s="98"/>
      <c r="JZ35" s="98"/>
      <c r="KA35" s="98"/>
      <c r="KB35" s="98"/>
      <c r="KC35" s="98"/>
      <c r="KD35" s="98"/>
      <c r="KE35" s="98"/>
      <c r="KF35" s="98"/>
      <c r="KG35" s="98"/>
      <c r="KH35" s="98"/>
      <c r="KI35" s="98"/>
      <c r="KJ35" s="98"/>
      <c r="KK35" s="98"/>
      <c r="KL35" s="98"/>
      <c r="KM35" s="98"/>
      <c r="KN35" s="98"/>
      <c r="KO35" s="98"/>
      <c r="KP35" s="98"/>
      <c r="KQ35" s="98"/>
      <c r="KR35" s="98"/>
      <c r="KS35" s="99"/>
      <c r="KT35" s="97" t="s">
        <v>60</v>
      </c>
      <c r="KU35" s="98"/>
      <c r="KV35" s="98"/>
      <c r="KW35" s="98"/>
      <c r="KX35" s="98"/>
      <c r="KY35" s="98"/>
      <c r="KZ35" s="98"/>
      <c r="LA35" s="98"/>
      <c r="LB35" s="98"/>
      <c r="LC35" s="98"/>
      <c r="LD35" s="98"/>
      <c r="LE35" s="98"/>
      <c r="LF35" s="98"/>
      <c r="LG35" s="98"/>
      <c r="LH35" s="98"/>
      <c r="LI35" s="98"/>
      <c r="LJ35" s="98"/>
      <c r="LK35" s="98"/>
      <c r="LL35" s="98"/>
      <c r="LM35" s="98"/>
      <c r="LN35" s="98"/>
      <c r="LO35" s="98"/>
      <c r="LP35" s="98"/>
      <c r="LQ35" s="98"/>
      <c r="LR35" s="98"/>
      <c r="LS35" s="98"/>
      <c r="LT35" s="98"/>
      <c r="LU35" s="98"/>
      <c r="LV35" s="98"/>
      <c r="LW35" s="98"/>
      <c r="LX35" s="98"/>
      <c r="LY35" s="98"/>
      <c r="LZ35" s="98"/>
      <c r="MA35" s="98"/>
      <c r="MB35" s="98"/>
      <c r="MC35" s="98"/>
      <c r="MD35" s="98"/>
      <c r="ME35" s="99"/>
      <c r="MF35" s="97" t="s">
        <v>60</v>
      </c>
      <c r="MG35" s="98"/>
      <c r="MH35" s="98"/>
      <c r="MI35" s="98"/>
      <c r="MJ35" s="98"/>
      <c r="MK35" s="98"/>
      <c r="ML35" s="98"/>
      <c r="MM35" s="98"/>
      <c r="MN35" s="98"/>
      <c r="MO35" s="98"/>
      <c r="MP35" s="98"/>
      <c r="MQ35" s="98"/>
      <c r="MR35" s="98"/>
      <c r="MS35" s="98"/>
      <c r="MT35" s="98"/>
      <c r="MU35" s="98"/>
      <c r="MV35" s="98"/>
      <c r="MW35" s="98"/>
      <c r="MX35" s="98"/>
      <c r="MY35" s="98"/>
      <c r="MZ35" s="98"/>
      <c r="NA35" s="98"/>
      <c r="NB35" s="98"/>
      <c r="NC35" s="98"/>
      <c r="ND35" s="98"/>
      <c r="NE35" s="98"/>
      <c r="NF35" s="98"/>
      <c r="NG35" s="98"/>
      <c r="NH35" s="98"/>
      <c r="NI35" s="98"/>
      <c r="NJ35" s="98"/>
      <c r="NK35" s="98"/>
      <c r="NL35" s="98"/>
      <c r="NM35" s="98"/>
      <c r="NN35" s="98"/>
      <c r="NO35" s="98"/>
      <c r="NP35" s="98"/>
      <c r="NQ35" s="99"/>
      <c r="NR35" s="139">
        <f>IF(AND(NR33&lt;&gt;0,NR34&lt;&gt;0),(NR33-NR34)/NR34,IF(AND(NR33=0,NR34=0),"",IF(AND(NR33="",NR34=""),"",IF(AND(NR33=0,NR34=""),"",IF(AND(NR33="",NR34=0),"",1)))))</f>
        <v>5.6174783352098502E-2</v>
      </c>
      <c r="NS35" s="140"/>
      <c r="NT35" s="140"/>
      <c r="NU35" s="140"/>
      <c r="NV35" s="140"/>
      <c r="NW35" s="140"/>
      <c r="NX35" s="140"/>
      <c r="NY35" s="140"/>
      <c r="NZ35" s="140"/>
      <c r="OA35" s="140"/>
      <c r="OB35" s="140"/>
      <c r="OC35" s="140"/>
      <c r="OD35" s="140"/>
      <c r="OE35" s="140"/>
      <c r="OF35" s="140"/>
      <c r="OG35" s="140"/>
      <c r="OH35" s="140"/>
      <c r="OI35" s="140"/>
      <c r="OJ35" s="140"/>
      <c r="OK35" s="140"/>
      <c r="OL35" s="140"/>
      <c r="OM35" s="140"/>
      <c r="ON35" s="140"/>
      <c r="OO35" s="140"/>
      <c r="OP35" s="140"/>
      <c r="OQ35" s="140"/>
      <c r="OR35" s="140"/>
      <c r="OS35" s="140"/>
      <c r="OT35" s="140"/>
      <c r="OU35" s="140"/>
      <c r="OV35" s="140"/>
      <c r="OW35" s="140"/>
      <c r="OX35" s="140"/>
      <c r="OY35" s="140"/>
      <c r="OZ35" s="140"/>
      <c r="PA35" s="140"/>
      <c r="PB35" s="140"/>
      <c r="PC35" s="141"/>
    </row>
    <row r="36" spans="1:419" s="15" customFormat="1" ht="14.25" customHeight="1" outlineLevel="1" x14ac:dyDescent="0.4">
      <c r="A36" s="45" t="s">
        <v>61</v>
      </c>
      <c r="B36" s="91">
        <f>[1]Consolidado!$L$26</f>
        <v>0</v>
      </c>
      <c r="C36" s="92"/>
      <c r="D36" s="92"/>
      <c r="E36" s="92"/>
      <c r="F36" s="92"/>
      <c r="G36" s="92"/>
      <c r="H36" s="92"/>
      <c r="I36" s="92"/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  <c r="AA36" s="92"/>
      <c r="AB36" s="92"/>
      <c r="AC36" s="92"/>
      <c r="AD36" s="92"/>
      <c r="AE36" s="92"/>
      <c r="AF36" s="92"/>
      <c r="AG36" s="92"/>
      <c r="AH36" s="92"/>
      <c r="AI36" s="92"/>
      <c r="AJ36" s="92"/>
      <c r="AK36" s="92"/>
      <c r="AL36" s="92"/>
      <c r="AM36" s="93"/>
      <c r="AN36" s="91">
        <f>[1]Consolidado!$L$27</f>
        <v>0</v>
      </c>
      <c r="AO36" s="92"/>
      <c r="AP36" s="92"/>
      <c r="AQ36" s="92"/>
      <c r="AR36" s="92"/>
      <c r="AS36" s="92"/>
      <c r="AT36" s="92"/>
      <c r="AU36" s="92"/>
      <c r="AV36" s="92"/>
      <c r="AW36" s="92"/>
      <c r="AX36" s="92"/>
      <c r="AY36" s="92"/>
      <c r="AZ36" s="92"/>
      <c r="BA36" s="92"/>
      <c r="BB36" s="92"/>
      <c r="BC36" s="92"/>
      <c r="BD36" s="92"/>
      <c r="BE36" s="92"/>
      <c r="BF36" s="92"/>
      <c r="BG36" s="92"/>
      <c r="BH36" s="92"/>
      <c r="BI36" s="92"/>
      <c r="BJ36" s="92"/>
      <c r="BK36" s="92"/>
      <c r="BL36" s="92"/>
      <c r="BM36" s="92"/>
      <c r="BN36" s="92"/>
      <c r="BO36" s="92"/>
      <c r="BP36" s="92"/>
      <c r="BQ36" s="92"/>
      <c r="BR36" s="92"/>
      <c r="BS36" s="92"/>
      <c r="BT36" s="92"/>
      <c r="BU36" s="92"/>
      <c r="BV36" s="92"/>
      <c r="BW36" s="92"/>
      <c r="BX36" s="92"/>
      <c r="BY36" s="93"/>
      <c r="BZ36" s="91">
        <f>[1]Consolidado!$L$14</f>
        <v>0</v>
      </c>
      <c r="CA36" s="92"/>
      <c r="CB36" s="92"/>
      <c r="CC36" s="92"/>
      <c r="CD36" s="92"/>
      <c r="CE36" s="92"/>
      <c r="CF36" s="92"/>
      <c r="CG36" s="92"/>
      <c r="CH36" s="92"/>
      <c r="CI36" s="92"/>
      <c r="CJ36" s="92"/>
      <c r="CK36" s="92"/>
      <c r="CL36" s="92"/>
      <c r="CM36" s="92"/>
      <c r="CN36" s="92"/>
      <c r="CO36" s="92"/>
      <c r="CP36" s="92"/>
      <c r="CQ36" s="92"/>
      <c r="CR36" s="92"/>
      <c r="CS36" s="92"/>
      <c r="CT36" s="92"/>
      <c r="CU36" s="92"/>
      <c r="CV36" s="92"/>
      <c r="CW36" s="92"/>
      <c r="CX36" s="92"/>
      <c r="CY36" s="92"/>
      <c r="CZ36" s="92"/>
      <c r="DA36" s="92"/>
      <c r="DB36" s="92"/>
      <c r="DC36" s="92"/>
      <c r="DD36" s="92"/>
      <c r="DE36" s="92"/>
      <c r="DF36" s="92"/>
      <c r="DG36" s="92"/>
      <c r="DH36" s="92"/>
      <c r="DI36" s="92"/>
      <c r="DJ36" s="92"/>
      <c r="DK36" s="93"/>
      <c r="DL36" s="133">
        <f>[1]Consolidado!$L$17</f>
        <v>0</v>
      </c>
      <c r="DM36" s="134"/>
      <c r="DN36" s="134"/>
      <c r="DO36" s="134"/>
      <c r="DP36" s="134"/>
      <c r="DQ36" s="134"/>
      <c r="DR36" s="134"/>
      <c r="DS36" s="134"/>
      <c r="DT36" s="134"/>
      <c r="DU36" s="134"/>
      <c r="DV36" s="134"/>
      <c r="DW36" s="134"/>
      <c r="DX36" s="134"/>
      <c r="DY36" s="134"/>
      <c r="DZ36" s="134"/>
      <c r="EA36" s="134"/>
      <c r="EB36" s="134"/>
      <c r="EC36" s="134"/>
      <c r="ED36" s="134"/>
      <c r="EE36" s="134"/>
      <c r="EF36" s="134"/>
      <c r="EG36" s="134"/>
      <c r="EH36" s="134"/>
      <c r="EI36" s="134"/>
      <c r="EJ36" s="134"/>
      <c r="EK36" s="134"/>
      <c r="EL36" s="134"/>
      <c r="EM36" s="134"/>
      <c r="EN36" s="134"/>
      <c r="EO36" s="134"/>
      <c r="EP36" s="134"/>
      <c r="EQ36" s="134"/>
      <c r="ER36" s="134"/>
      <c r="ES36" s="134"/>
      <c r="ET36" s="134"/>
      <c r="EU36" s="134"/>
      <c r="EV36" s="134"/>
      <c r="EW36" s="135"/>
      <c r="EX36" s="133">
        <f>[1]Consolidado!$L$18</f>
        <v>0</v>
      </c>
      <c r="EY36" s="134"/>
      <c r="EZ36" s="134"/>
      <c r="FA36" s="134"/>
      <c r="FB36" s="134"/>
      <c r="FC36" s="134"/>
      <c r="FD36" s="134"/>
      <c r="FE36" s="134"/>
      <c r="FF36" s="134"/>
      <c r="FG36" s="134"/>
      <c r="FH36" s="134"/>
      <c r="FI36" s="134"/>
      <c r="FJ36" s="134"/>
      <c r="FK36" s="134"/>
      <c r="FL36" s="134"/>
      <c r="FM36" s="134"/>
      <c r="FN36" s="134"/>
      <c r="FO36" s="134"/>
      <c r="FP36" s="134"/>
      <c r="FQ36" s="134"/>
      <c r="FR36" s="134"/>
      <c r="FS36" s="134"/>
      <c r="FT36" s="134"/>
      <c r="FU36" s="134"/>
      <c r="FV36" s="134"/>
      <c r="FW36" s="134"/>
      <c r="FX36" s="134"/>
      <c r="FY36" s="134"/>
      <c r="FZ36" s="134"/>
      <c r="GA36" s="134"/>
      <c r="GB36" s="134"/>
      <c r="GC36" s="134"/>
      <c r="GD36" s="134"/>
      <c r="GE36" s="134"/>
      <c r="GF36" s="134"/>
      <c r="GG36" s="134"/>
      <c r="GH36" s="134"/>
      <c r="GI36" s="135"/>
      <c r="GJ36" s="133">
        <f>[1]Consolidado!$L$19</f>
        <v>0</v>
      </c>
      <c r="GK36" s="134"/>
      <c r="GL36" s="134"/>
      <c r="GM36" s="134"/>
      <c r="GN36" s="134"/>
      <c r="GO36" s="134"/>
      <c r="GP36" s="134"/>
      <c r="GQ36" s="134"/>
      <c r="GR36" s="134"/>
      <c r="GS36" s="134"/>
      <c r="GT36" s="134"/>
      <c r="GU36" s="134"/>
      <c r="GV36" s="134"/>
      <c r="GW36" s="134"/>
      <c r="GX36" s="134"/>
      <c r="GY36" s="134"/>
      <c r="GZ36" s="134"/>
      <c r="HA36" s="134"/>
      <c r="HB36" s="134"/>
      <c r="HC36" s="134"/>
      <c r="HD36" s="134"/>
      <c r="HE36" s="134"/>
      <c r="HF36" s="134"/>
      <c r="HG36" s="134"/>
      <c r="HH36" s="134"/>
      <c r="HI36" s="134"/>
      <c r="HJ36" s="134"/>
      <c r="HK36" s="134"/>
      <c r="HL36" s="134"/>
      <c r="HM36" s="134"/>
      <c r="HN36" s="134"/>
      <c r="HO36" s="134"/>
      <c r="HP36" s="134"/>
      <c r="HQ36" s="134"/>
      <c r="HR36" s="134"/>
      <c r="HS36" s="134"/>
      <c r="HT36" s="134"/>
      <c r="HU36" s="135"/>
      <c r="HV36" s="91">
        <f>[1]Consolidado!$L$20</f>
        <v>0</v>
      </c>
      <c r="HW36" s="92"/>
      <c r="HX36" s="92"/>
      <c r="HY36" s="92"/>
      <c r="HZ36" s="92"/>
      <c r="IA36" s="92"/>
      <c r="IB36" s="92"/>
      <c r="IC36" s="92"/>
      <c r="ID36" s="92"/>
      <c r="IE36" s="92"/>
      <c r="IF36" s="92"/>
      <c r="IG36" s="92"/>
      <c r="IH36" s="92"/>
      <c r="II36" s="92"/>
      <c r="IJ36" s="92"/>
      <c r="IK36" s="92"/>
      <c r="IL36" s="92"/>
      <c r="IM36" s="92"/>
      <c r="IN36" s="92"/>
      <c r="IO36" s="92"/>
      <c r="IP36" s="92"/>
      <c r="IQ36" s="92"/>
      <c r="IR36" s="92"/>
      <c r="IS36" s="92"/>
      <c r="IT36" s="92"/>
      <c r="IU36" s="92"/>
      <c r="IV36" s="92"/>
      <c r="IW36" s="92"/>
      <c r="IX36" s="92"/>
      <c r="IY36" s="92"/>
      <c r="IZ36" s="92"/>
      <c r="JA36" s="92"/>
      <c r="JB36" s="92"/>
      <c r="JC36" s="92"/>
      <c r="JD36" s="92"/>
      <c r="JE36" s="92"/>
      <c r="JF36" s="92"/>
      <c r="JG36" s="93"/>
      <c r="JH36" s="133">
        <f>[1]Consolidado!$L$22</f>
        <v>0</v>
      </c>
      <c r="JI36" s="134"/>
      <c r="JJ36" s="134"/>
      <c r="JK36" s="134"/>
      <c r="JL36" s="134"/>
      <c r="JM36" s="134"/>
      <c r="JN36" s="134"/>
      <c r="JO36" s="134"/>
      <c r="JP36" s="134"/>
      <c r="JQ36" s="134"/>
      <c r="JR36" s="134"/>
      <c r="JS36" s="134"/>
      <c r="JT36" s="134"/>
      <c r="JU36" s="134"/>
      <c r="JV36" s="134"/>
      <c r="JW36" s="134"/>
      <c r="JX36" s="134"/>
      <c r="JY36" s="134"/>
      <c r="JZ36" s="134"/>
      <c r="KA36" s="134"/>
      <c r="KB36" s="134"/>
      <c r="KC36" s="134"/>
      <c r="KD36" s="134"/>
      <c r="KE36" s="134"/>
      <c r="KF36" s="134"/>
      <c r="KG36" s="134"/>
      <c r="KH36" s="134"/>
      <c r="KI36" s="134"/>
      <c r="KJ36" s="134"/>
      <c r="KK36" s="134"/>
      <c r="KL36" s="134"/>
      <c r="KM36" s="134"/>
      <c r="KN36" s="134"/>
      <c r="KO36" s="134"/>
      <c r="KP36" s="134"/>
      <c r="KQ36" s="134"/>
      <c r="KR36" s="134"/>
      <c r="KS36" s="135"/>
      <c r="KT36" s="133">
        <f>[1]Consolidado!$L$23</f>
        <v>0</v>
      </c>
      <c r="KU36" s="134"/>
      <c r="KV36" s="134"/>
      <c r="KW36" s="134"/>
      <c r="KX36" s="134"/>
      <c r="KY36" s="134"/>
      <c r="KZ36" s="134"/>
      <c r="LA36" s="134"/>
      <c r="LB36" s="134"/>
      <c r="LC36" s="134"/>
      <c r="LD36" s="134"/>
      <c r="LE36" s="134"/>
      <c r="LF36" s="134"/>
      <c r="LG36" s="134"/>
      <c r="LH36" s="134"/>
      <c r="LI36" s="134"/>
      <c r="LJ36" s="134"/>
      <c r="LK36" s="134"/>
      <c r="LL36" s="134"/>
      <c r="LM36" s="134"/>
      <c r="LN36" s="134"/>
      <c r="LO36" s="134"/>
      <c r="LP36" s="134"/>
      <c r="LQ36" s="134"/>
      <c r="LR36" s="134"/>
      <c r="LS36" s="134"/>
      <c r="LT36" s="134"/>
      <c r="LU36" s="134"/>
      <c r="LV36" s="134"/>
      <c r="LW36" s="134"/>
      <c r="LX36" s="134"/>
      <c r="LY36" s="134"/>
      <c r="LZ36" s="134"/>
      <c r="MA36" s="134"/>
      <c r="MB36" s="134"/>
      <c r="MC36" s="134"/>
      <c r="MD36" s="134"/>
      <c r="ME36" s="135"/>
      <c r="MF36" s="133">
        <f>[1]Consolidado!$L$24</f>
        <v>0</v>
      </c>
      <c r="MG36" s="134"/>
      <c r="MH36" s="134"/>
      <c r="MI36" s="134"/>
      <c r="MJ36" s="134"/>
      <c r="MK36" s="134"/>
      <c r="ML36" s="134"/>
      <c r="MM36" s="134"/>
      <c r="MN36" s="134"/>
      <c r="MO36" s="134"/>
      <c r="MP36" s="134"/>
      <c r="MQ36" s="134"/>
      <c r="MR36" s="134"/>
      <c r="MS36" s="134"/>
      <c r="MT36" s="134"/>
      <c r="MU36" s="134"/>
      <c r="MV36" s="134"/>
      <c r="MW36" s="134"/>
      <c r="MX36" s="134"/>
      <c r="MY36" s="134"/>
      <c r="MZ36" s="134"/>
      <c r="NA36" s="134"/>
      <c r="NB36" s="134"/>
      <c r="NC36" s="134"/>
      <c r="ND36" s="134"/>
      <c r="NE36" s="134"/>
      <c r="NF36" s="134"/>
      <c r="NG36" s="134"/>
      <c r="NH36" s="134"/>
      <c r="NI36" s="134"/>
      <c r="NJ36" s="134"/>
      <c r="NK36" s="134"/>
      <c r="NL36" s="134"/>
      <c r="NM36" s="134"/>
      <c r="NN36" s="134"/>
      <c r="NO36" s="134"/>
      <c r="NP36" s="134"/>
      <c r="NQ36" s="135"/>
      <c r="NR36" s="91">
        <f>[1]Consolidado!$L$25</f>
        <v>0</v>
      </c>
      <c r="NS36" s="92"/>
      <c r="NT36" s="92"/>
      <c r="NU36" s="92"/>
      <c r="NV36" s="92"/>
      <c r="NW36" s="92"/>
      <c r="NX36" s="92"/>
      <c r="NY36" s="92"/>
      <c r="NZ36" s="92"/>
      <c r="OA36" s="92"/>
      <c r="OB36" s="92"/>
      <c r="OC36" s="92"/>
      <c r="OD36" s="92"/>
      <c r="OE36" s="92"/>
      <c r="OF36" s="92"/>
      <c r="OG36" s="92"/>
      <c r="OH36" s="92"/>
      <c r="OI36" s="92"/>
      <c r="OJ36" s="92"/>
      <c r="OK36" s="92"/>
      <c r="OL36" s="92"/>
      <c r="OM36" s="92"/>
      <c r="ON36" s="92"/>
      <c r="OO36" s="92"/>
      <c r="OP36" s="92"/>
      <c r="OQ36" s="92"/>
      <c r="OR36" s="92"/>
      <c r="OS36" s="92"/>
      <c r="OT36" s="92"/>
      <c r="OU36" s="92"/>
      <c r="OV36" s="92"/>
      <c r="OW36" s="92"/>
      <c r="OX36" s="92"/>
      <c r="OY36" s="92"/>
      <c r="OZ36" s="92"/>
      <c r="PA36" s="92"/>
      <c r="PB36" s="92"/>
      <c r="PC36" s="93"/>
    </row>
    <row r="37" spans="1:419" s="15" customFormat="1" outlineLevel="1" x14ac:dyDescent="0.4">
      <c r="A37" s="46" t="s">
        <v>62</v>
      </c>
      <c r="B37" s="127">
        <f>[2]Consolidado!$L$12</f>
        <v>0</v>
      </c>
      <c r="C37" s="128"/>
      <c r="D37" s="128"/>
      <c r="E37" s="128"/>
      <c r="F37" s="128"/>
      <c r="G37" s="128"/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  <c r="Y37" s="128"/>
      <c r="Z37" s="128"/>
      <c r="AA37" s="128"/>
      <c r="AB37" s="128"/>
      <c r="AC37" s="128"/>
      <c r="AD37" s="128"/>
      <c r="AE37" s="128"/>
      <c r="AF37" s="128"/>
      <c r="AG37" s="128"/>
      <c r="AH37" s="128"/>
      <c r="AI37" s="128"/>
      <c r="AJ37" s="128"/>
      <c r="AK37" s="128"/>
      <c r="AL37" s="128"/>
      <c r="AM37" s="129"/>
      <c r="AN37" s="127">
        <f>[2]Consolidado!$L$13</f>
        <v>0</v>
      </c>
      <c r="AO37" s="128"/>
      <c r="AP37" s="128"/>
      <c r="AQ37" s="128"/>
      <c r="AR37" s="128"/>
      <c r="AS37" s="128"/>
      <c r="AT37" s="128"/>
      <c r="AU37" s="128"/>
      <c r="AV37" s="128"/>
      <c r="AW37" s="128"/>
      <c r="AX37" s="128"/>
      <c r="AY37" s="128"/>
      <c r="AZ37" s="128"/>
      <c r="BA37" s="128"/>
      <c r="BB37" s="128"/>
      <c r="BC37" s="128"/>
      <c r="BD37" s="128"/>
      <c r="BE37" s="128"/>
      <c r="BF37" s="128"/>
      <c r="BG37" s="128"/>
      <c r="BH37" s="128"/>
      <c r="BI37" s="128"/>
      <c r="BJ37" s="128"/>
      <c r="BK37" s="128"/>
      <c r="BL37" s="128"/>
      <c r="BM37" s="128"/>
      <c r="BN37" s="128"/>
      <c r="BO37" s="128"/>
      <c r="BP37" s="128"/>
      <c r="BQ37" s="128"/>
      <c r="BR37" s="128"/>
      <c r="BS37" s="128"/>
      <c r="BT37" s="128"/>
      <c r="BU37" s="128"/>
      <c r="BV37" s="128"/>
      <c r="BW37" s="128"/>
      <c r="BX37" s="128"/>
      <c r="BY37" s="129"/>
      <c r="BZ37" s="127">
        <f>[2]Consolidado!$L$14</f>
        <v>0</v>
      </c>
      <c r="CA37" s="128"/>
      <c r="CB37" s="128"/>
      <c r="CC37" s="128"/>
      <c r="CD37" s="128"/>
      <c r="CE37" s="128"/>
      <c r="CF37" s="128"/>
      <c r="CG37" s="128"/>
      <c r="CH37" s="128"/>
      <c r="CI37" s="128"/>
      <c r="CJ37" s="128"/>
      <c r="CK37" s="128"/>
      <c r="CL37" s="128"/>
      <c r="CM37" s="128"/>
      <c r="CN37" s="128"/>
      <c r="CO37" s="128"/>
      <c r="CP37" s="128"/>
      <c r="CQ37" s="128"/>
      <c r="CR37" s="128"/>
      <c r="CS37" s="128"/>
      <c r="CT37" s="128"/>
      <c r="CU37" s="128"/>
      <c r="CV37" s="128"/>
      <c r="CW37" s="128"/>
      <c r="CX37" s="128"/>
      <c r="CY37" s="128"/>
      <c r="CZ37" s="128"/>
      <c r="DA37" s="128"/>
      <c r="DB37" s="128"/>
      <c r="DC37" s="128"/>
      <c r="DD37" s="128"/>
      <c r="DE37" s="128"/>
      <c r="DF37" s="128"/>
      <c r="DG37" s="128"/>
      <c r="DH37" s="128"/>
      <c r="DI37" s="128"/>
      <c r="DJ37" s="128"/>
      <c r="DK37" s="129"/>
      <c r="DL37" s="94">
        <f>[2]Consolidado!$L$17</f>
        <v>0</v>
      </c>
      <c r="DM37" s="95"/>
      <c r="DN37" s="95"/>
      <c r="DO37" s="95"/>
      <c r="DP37" s="95"/>
      <c r="DQ37" s="95"/>
      <c r="DR37" s="95"/>
      <c r="DS37" s="95"/>
      <c r="DT37" s="95"/>
      <c r="DU37" s="95"/>
      <c r="DV37" s="95"/>
      <c r="DW37" s="95"/>
      <c r="DX37" s="95"/>
      <c r="DY37" s="95"/>
      <c r="DZ37" s="95"/>
      <c r="EA37" s="95"/>
      <c r="EB37" s="95"/>
      <c r="EC37" s="95"/>
      <c r="ED37" s="95"/>
      <c r="EE37" s="95"/>
      <c r="EF37" s="95"/>
      <c r="EG37" s="95"/>
      <c r="EH37" s="95"/>
      <c r="EI37" s="95"/>
      <c r="EJ37" s="95"/>
      <c r="EK37" s="95"/>
      <c r="EL37" s="95"/>
      <c r="EM37" s="95"/>
      <c r="EN37" s="95"/>
      <c r="EO37" s="95"/>
      <c r="EP37" s="95"/>
      <c r="EQ37" s="95"/>
      <c r="ER37" s="95"/>
      <c r="ES37" s="95"/>
      <c r="ET37" s="95"/>
      <c r="EU37" s="95"/>
      <c r="EV37" s="95"/>
      <c r="EW37" s="96"/>
      <c r="EX37" s="94">
        <f>[2]Consolidado!$L$18</f>
        <v>0</v>
      </c>
      <c r="EY37" s="95"/>
      <c r="EZ37" s="95"/>
      <c r="FA37" s="95"/>
      <c r="FB37" s="95"/>
      <c r="FC37" s="95"/>
      <c r="FD37" s="95"/>
      <c r="FE37" s="95"/>
      <c r="FF37" s="95"/>
      <c r="FG37" s="95"/>
      <c r="FH37" s="95"/>
      <c r="FI37" s="95"/>
      <c r="FJ37" s="95"/>
      <c r="FK37" s="95"/>
      <c r="FL37" s="95"/>
      <c r="FM37" s="95"/>
      <c r="FN37" s="95"/>
      <c r="FO37" s="95"/>
      <c r="FP37" s="95"/>
      <c r="FQ37" s="95"/>
      <c r="FR37" s="95"/>
      <c r="FS37" s="95"/>
      <c r="FT37" s="95"/>
      <c r="FU37" s="95"/>
      <c r="FV37" s="95"/>
      <c r="FW37" s="95"/>
      <c r="FX37" s="95"/>
      <c r="FY37" s="95"/>
      <c r="FZ37" s="95"/>
      <c r="GA37" s="95"/>
      <c r="GB37" s="95"/>
      <c r="GC37" s="95"/>
      <c r="GD37" s="95"/>
      <c r="GE37" s="95"/>
      <c r="GF37" s="95"/>
      <c r="GG37" s="95"/>
      <c r="GH37" s="95"/>
      <c r="GI37" s="96"/>
      <c r="GJ37" s="94"/>
      <c r="GK37" s="95"/>
      <c r="GL37" s="95"/>
      <c r="GM37" s="95"/>
      <c r="GN37" s="95"/>
      <c r="GO37" s="95"/>
      <c r="GP37" s="95"/>
      <c r="GQ37" s="95"/>
      <c r="GR37" s="95"/>
      <c r="GS37" s="95"/>
      <c r="GT37" s="95"/>
      <c r="GU37" s="95"/>
      <c r="GV37" s="95"/>
      <c r="GW37" s="95"/>
      <c r="GX37" s="95"/>
      <c r="GY37" s="95"/>
      <c r="GZ37" s="95"/>
      <c r="HA37" s="95"/>
      <c r="HB37" s="95"/>
      <c r="HC37" s="95"/>
      <c r="HD37" s="95"/>
      <c r="HE37" s="95"/>
      <c r="HF37" s="95"/>
      <c r="HG37" s="95"/>
      <c r="HH37" s="95"/>
      <c r="HI37" s="95"/>
      <c r="HJ37" s="95"/>
      <c r="HK37" s="95"/>
      <c r="HL37" s="95"/>
      <c r="HM37" s="95"/>
      <c r="HN37" s="95"/>
      <c r="HO37" s="95"/>
      <c r="HP37" s="95"/>
      <c r="HQ37" s="95"/>
      <c r="HR37" s="95"/>
      <c r="HS37" s="95"/>
      <c r="HT37" s="95"/>
      <c r="HU37" s="96"/>
      <c r="HV37" s="159">
        <f>[2]Consolidado!$L$19</f>
        <v>0</v>
      </c>
      <c r="HW37" s="160"/>
      <c r="HX37" s="160"/>
      <c r="HY37" s="160"/>
      <c r="HZ37" s="160"/>
      <c r="IA37" s="160"/>
      <c r="IB37" s="160"/>
      <c r="IC37" s="160"/>
      <c r="ID37" s="160"/>
      <c r="IE37" s="160"/>
      <c r="IF37" s="160"/>
      <c r="IG37" s="160"/>
      <c r="IH37" s="160"/>
      <c r="II37" s="160"/>
      <c r="IJ37" s="160"/>
      <c r="IK37" s="160"/>
      <c r="IL37" s="160"/>
      <c r="IM37" s="160"/>
      <c r="IN37" s="160"/>
      <c r="IO37" s="160"/>
      <c r="IP37" s="160"/>
      <c r="IQ37" s="160"/>
      <c r="IR37" s="160"/>
      <c r="IS37" s="160"/>
      <c r="IT37" s="160"/>
      <c r="IU37" s="160"/>
      <c r="IV37" s="160"/>
      <c r="IW37" s="160"/>
      <c r="IX37" s="160"/>
      <c r="IY37" s="160"/>
      <c r="IZ37" s="160"/>
      <c r="JA37" s="160"/>
      <c r="JB37" s="160"/>
      <c r="JC37" s="160"/>
      <c r="JD37" s="160"/>
      <c r="JE37" s="160"/>
      <c r="JF37" s="160"/>
      <c r="JG37" s="161"/>
      <c r="JH37" s="94">
        <f>[2]Consolidado!$L$21</f>
        <v>0</v>
      </c>
      <c r="JI37" s="95"/>
      <c r="JJ37" s="95"/>
      <c r="JK37" s="95"/>
      <c r="JL37" s="95"/>
      <c r="JM37" s="95"/>
      <c r="JN37" s="95"/>
      <c r="JO37" s="95"/>
      <c r="JP37" s="95"/>
      <c r="JQ37" s="95"/>
      <c r="JR37" s="95"/>
      <c r="JS37" s="95"/>
      <c r="JT37" s="95"/>
      <c r="JU37" s="95"/>
      <c r="JV37" s="95"/>
      <c r="JW37" s="95"/>
      <c r="JX37" s="95"/>
      <c r="JY37" s="95"/>
      <c r="JZ37" s="95"/>
      <c r="KA37" s="95"/>
      <c r="KB37" s="95"/>
      <c r="KC37" s="95"/>
      <c r="KD37" s="95"/>
      <c r="KE37" s="95"/>
      <c r="KF37" s="95"/>
      <c r="KG37" s="95"/>
      <c r="KH37" s="95"/>
      <c r="KI37" s="95"/>
      <c r="KJ37" s="95"/>
      <c r="KK37" s="95"/>
      <c r="KL37" s="95"/>
      <c r="KM37" s="95"/>
      <c r="KN37" s="95"/>
      <c r="KO37" s="95"/>
      <c r="KP37" s="95"/>
      <c r="KQ37" s="95"/>
      <c r="KR37" s="95"/>
      <c r="KS37" s="96"/>
      <c r="KT37" s="94">
        <f>[2]Consolidado!$L$22</f>
        <v>0</v>
      </c>
      <c r="KU37" s="95"/>
      <c r="KV37" s="95"/>
      <c r="KW37" s="95"/>
      <c r="KX37" s="95"/>
      <c r="KY37" s="95"/>
      <c r="KZ37" s="95"/>
      <c r="LA37" s="95"/>
      <c r="LB37" s="95"/>
      <c r="LC37" s="95"/>
      <c r="LD37" s="95"/>
      <c r="LE37" s="95"/>
      <c r="LF37" s="95"/>
      <c r="LG37" s="95"/>
      <c r="LH37" s="95"/>
      <c r="LI37" s="95"/>
      <c r="LJ37" s="95"/>
      <c r="LK37" s="95"/>
      <c r="LL37" s="95"/>
      <c r="LM37" s="95"/>
      <c r="LN37" s="95"/>
      <c r="LO37" s="95"/>
      <c r="LP37" s="95"/>
      <c r="LQ37" s="95"/>
      <c r="LR37" s="95"/>
      <c r="LS37" s="95"/>
      <c r="LT37" s="95"/>
      <c r="LU37" s="95"/>
      <c r="LV37" s="95"/>
      <c r="LW37" s="95"/>
      <c r="LX37" s="95"/>
      <c r="LY37" s="95"/>
      <c r="LZ37" s="95"/>
      <c r="MA37" s="95"/>
      <c r="MB37" s="95"/>
      <c r="MC37" s="95"/>
      <c r="MD37" s="95"/>
      <c r="ME37" s="96"/>
      <c r="MF37" s="94"/>
      <c r="MG37" s="95"/>
      <c r="MH37" s="95"/>
      <c r="MI37" s="95"/>
      <c r="MJ37" s="95"/>
      <c r="MK37" s="95"/>
      <c r="ML37" s="95"/>
      <c r="MM37" s="95"/>
      <c r="MN37" s="95"/>
      <c r="MO37" s="95"/>
      <c r="MP37" s="95"/>
      <c r="MQ37" s="95"/>
      <c r="MR37" s="95"/>
      <c r="MS37" s="95"/>
      <c r="MT37" s="95"/>
      <c r="MU37" s="95"/>
      <c r="MV37" s="95"/>
      <c r="MW37" s="95"/>
      <c r="MX37" s="95"/>
      <c r="MY37" s="95"/>
      <c r="MZ37" s="95"/>
      <c r="NA37" s="95"/>
      <c r="NB37" s="95"/>
      <c r="NC37" s="95"/>
      <c r="ND37" s="95"/>
      <c r="NE37" s="95"/>
      <c r="NF37" s="95"/>
      <c r="NG37" s="95"/>
      <c r="NH37" s="95"/>
      <c r="NI37" s="95"/>
      <c r="NJ37" s="95"/>
      <c r="NK37" s="95"/>
      <c r="NL37" s="95"/>
      <c r="NM37" s="95"/>
      <c r="NN37" s="95"/>
      <c r="NO37" s="95"/>
      <c r="NP37" s="95"/>
      <c r="NQ37" s="96"/>
      <c r="NR37" s="159">
        <f>[2]Consolidado!$L$23</f>
        <v>0</v>
      </c>
      <c r="NS37" s="160"/>
      <c r="NT37" s="160"/>
      <c r="NU37" s="160"/>
      <c r="NV37" s="160"/>
      <c r="NW37" s="160"/>
      <c r="NX37" s="160"/>
      <c r="NY37" s="160"/>
      <c r="NZ37" s="160"/>
      <c r="OA37" s="160"/>
      <c r="OB37" s="160"/>
      <c r="OC37" s="160"/>
      <c r="OD37" s="160"/>
      <c r="OE37" s="160"/>
      <c r="OF37" s="160"/>
      <c r="OG37" s="160"/>
      <c r="OH37" s="160"/>
      <c r="OI37" s="160"/>
      <c r="OJ37" s="160"/>
      <c r="OK37" s="160"/>
      <c r="OL37" s="160"/>
      <c r="OM37" s="160"/>
      <c r="ON37" s="160"/>
      <c r="OO37" s="160"/>
      <c r="OP37" s="160"/>
      <c r="OQ37" s="160"/>
      <c r="OR37" s="160"/>
      <c r="OS37" s="160"/>
      <c r="OT37" s="160"/>
      <c r="OU37" s="160"/>
      <c r="OV37" s="160"/>
      <c r="OW37" s="160"/>
      <c r="OX37" s="160"/>
      <c r="OY37" s="160"/>
      <c r="OZ37" s="160"/>
      <c r="PA37" s="160"/>
      <c r="PB37" s="160"/>
      <c r="PC37" s="161"/>
    </row>
    <row r="38" spans="1:419" ht="15.75" customHeight="1" outlineLevel="1" thickBot="1" x14ac:dyDescent="0.45">
      <c r="A38" s="47" t="s">
        <v>63</v>
      </c>
      <c r="B38" s="131">
        <f t="shared" ref="B38:AN38" si="1168">IF(B37&gt;0,(B36-B37)/B37,0)</f>
        <v>0</v>
      </c>
      <c r="C38" s="131"/>
      <c r="D38" s="131"/>
      <c r="E38" s="131"/>
      <c r="F38" s="131"/>
      <c r="G38" s="131"/>
      <c r="H38" s="131"/>
      <c r="I38" s="131"/>
      <c r="J38" s="131"/>
      <c r="K38" s="131"/>
      <c r="L38" s="131"/>
      <c r="M38" s="131"/>
      <c r="N38" s="131"/>
      <c r="O38" s="131"/>
      <c r="P38" s="131"/>
      <c r="Q38" s="131"/>
      <c r="R38" s="131"/>
      <c r="S38" s="131"/>
      <c r="T38" s="131"/>
      <c r="U38" s="131"/>
      <c r="V38" s="131"/>
      <c r="W38" s="131"/>
      <c r="X38" s="131"/>
      <c r="Y38" s="131"/>
      <c r="Z38" s="131"/>
      <c r="AA38" s="131"/>
      <c r="AB38" s="131"/>
      <c r="AC38" s="131"/>
      <c r="AD38" s="131"/>
      <c r="AE38" s="131"/>
      <c r="AF38" s="131"/>
      <c r="AG38" s="131"/>
      <c r="AH38" s="131"/>
      <c r="AI38" s="131"/>
      <c r="AJ38" s="131"/>
      <c r="AK38" s="131"/>
      <c r="AL38" s="131"/>
      <c r="AM38" s="132"/>
      <c r="AN38" s="130">
        <f t="shared" si="1168"/>
        <v>0</v>
      </c>
      <c r="AO38" s="131"/>
      <c r="AP38" s="131"/>
      <c r="AQ38" s="131"/>
      <c r="AR38" s="131"/>
      <c r="AS38" s="131"/>
      <c r="AT38" s="131"/>
      <c r="AU38" s="131"/>
      <c r="AV38" s="131"/>
      <c r="AW38" s="131"/>
      <c r="AX38" s="131"/>
      <c r="AY38" s="131"/>
      <c r="AZ38" s="131"/>
      <c r="BA38" s="131"/>
      <c r="BB38" s="131"/>
      <c r="BC38" s="131"/>
      <c r="BD38" s="131"/>
      <c r="BE38" s="131"/>
      <c r="BF38" s="131"/>
      <c r="BG38" s="131"/>
      <c r="BH38" s="131"/>
      <c r="BI38" s="131"/>
      <c r="BJ38" s="131"/>
      <c r="BK38" s="131"/>
      <c r="BL38" s="131"/>
      <c r="BM38" s="131"/>
      <c r="BN38" s="131"/>
      <c r="BO38" s="131"/>
      <c r="BP38" s="131"/>
      <c r="BQ38" s="131"/>
      <c r="BR38" s="131"/>
      <c r="BS38" s="131"/>
      <c r="BT38" s="131"/>
      <c r="BU38" s="131"/>
      <c r="BV38" s="131"/>
      <c r="BW38" s="131"/>
      <c r="BX38" s="131"/>
      <c r="BY38" s="132"/>
      <c r="BZ38" s="130">
        <f t="shared" ref="BZ38" si="1169">IF(BZ37&gt;0,(BZ36-BZ37)/BZ37,0)</f>
        <v>0</v>
      </c>
      <c r="CA38" s="131"/>
      <c r="CB38" s="131"/>
      <c r="CC38" s="131"/>
      <c r="CD38" s="131"/>
      <c r="CE38" s="131"/>
      <c r="CF38" s="131"/>
      <c r="CG38" s="131"/>
      <c r="CH38" s="131"/>
      <c r="CI38" s="131"/>
      <c r="CJ38" s="131"/>
      <c r="CK38" s="131"/>
      <c r="CL38" s="131"/>
      <c r="CM38" s="131"/>
      <c r="CN38" s="131"/>
      <c r="CO38" s="131"/>
      <c r="CP38" s="131"/>
      <c r="CQ38" s="131"/>
      <c r="CR38" s="131"/>
      <c r="CS38" s="131"/>
      <c r="CT38" s="131"/>
      <c r="CU38" s="131"/>
      <c r="CV38" s="131"/>
      <c r="CW38" s="131"/>
      <c r="CX38" s="131"/>
      <c r="CY38" s="131"/>
      <c r="CZ38" s="131"/>
      <c r="DA38" s="131"/>
      <c r="DB38" s="131"/>
      <c r="DC38" s="131"/>
      <c r="DD38" s="131"/>
      <c r="DE38" s="131"/>
      <c r="DF38" s="131"/>
      <c r="DG38" s="131"/>
      <c r="DH38" s="131"/>
      <c r="DI38" s="131"/>
      <c r="DJ38" s="131"/>
      <c r="DK38" s="132"/>
      <c r="DL38" s="97" t="s">
        <v>60</v>
      </c>
      <c r="DM38" s="98"/>
      <c r="DN38" s="98"/>
      <c r="DO38" s="98"/>
      <c r="DP38" s="98"/>
      <c r="DQ38" s="98"/>
      <c r="DR38" s="98"/>
      <c r="DS38" s="98"/>
      <c r="DT38" s="98"/>
      <c r="DU38" s="98"/>
      <c r="DV38" s="98"/>
      <c r="DW38" s="98"/>
      <c r="DX38" s="98"/>
      <c r="DY38" s="98"/>
      <c r="DZ38" s="98"/>
      <c r="EA38" s="98"/>
      <c r="EB38" s="98"/>
      <c r="EC38" s="98"/>
      <c r="ED38" s="98"/>
      <c r="EE38" s="98"/>
      <c r="EF38" s="98"/>
      <c r="EG38" s="98"/>
      <c r="EH38" s="98"/>
      <c r="EI38" s="98"/>
      <c r="EJ38" s="98"/>
      <c r="EK38" s="98"/>
      <c r="EL38" s="98"/>
      <c r="EM38" s="98"/>
      <c r="EN38" s="98"/>
      <c r="EO38" s="98"/>
      <c r="EP38" s="98"/>
      <c r="EQ38" s="98"/>
      <c r="ER38" s="98"/>
      <c r="ES38" s="98"/>
      <c r="ET38" s="98"/>
      <c r="EU38" s="98"/>
      <c r="EV38" s="98"/>
      <c r="EW38" s="99"/>
      <c r="EX38" s="97" t="s">
        <v>60</v>
      </c>
      <c r="EY38" s="98"/>
      <c r="EZ38" s="98"/>
      <c r="FA38" s="98"/>
      <c r="FB38" s="98"/>
      <c r="FC38" s="98"/>
      <c r="FD38" s="98"/>
      <c r="FE38" s="98"/>
      <c r="FF38" s="98"/>
      <c r="FG38" s="98"/>
      <c r="FH38" s="98"/>
      <c r="FI38" s="98"/>
      <c r="FJ38" s="98"/>
      <c r="FK38" s="98"/>
      <c r="FL38" s="98"/>
      <c r="FM38" s="98"/>
      <c r="FN38" s="98"/>
      <c r="FO38" s="98"/>
      <c r="FP38" s="98"/>
      <c r="FQ38" s="98"/>
      <c r="FR38" s="98"/>
      <c r="FS38" s="98"/>
      <c r="FT38" s="98"/>
      <c r="FU38" s="98"/>
      <c r="FV38" s="98"/>
      <c r="FW38" s="98"/>
      <c r="FX38" s="98"/>
      <c r="FY38" s="98"/>
      <c r="FZ38" s="98"/>
      <c r="GA38" s="98"/>
      <c r="GB38" s="98"/>
      <c r="GC38" s="98"/>
      <c r="GD38" s="98"/>
      <c r="GE38" s="98"/>
      <c r="GF38" s="98"/>
      <c r="GG38" s="98"/>
      <c r="GH38" s="98"/>
      <c r="GI38" s="99"/>
      <c r="GJ38" s="97" t="s">
        <v>60</v>
      </c>
      <c r="GK38" s="98"/>
      <c r="GL38" s="98"/>
      <c r="GM38" s="98"/>
      <c r="GN38" s="98"/>
      <c r="GO38" s="98"/>
      <c r="GP38" s="98"/>
      <c r="GQ38" s="98"/>
      <c r="GR38" s="98"/>
      <c r="GS38" s="98"/>
      <c r="GT38" s="98"/>
      <c r="GU38" s="98"/>
      <c r="GV38" s="98"/>
      <c r="GW38" s="98"/>
      <c r="GX38" s="98"/>
      <c r="GY38" s="98"/>
      <c r="GZ38" s="98"/>
      <c r="HA38" s="98"/>
      <c r="HB38" s="98"/>
      <c r="HC38" s="98"/>
      <c r="HD38" s="98"/>
      <c r="HE38" s="98"/>
      <c r="HF38" s="98"/>
      <c r="HG38" s="98"/>
      <c r="HH38" s="98"/>
      <c r="HI38" s="98"/>
      <c r="HJ38" s="98"/>
      <c r="HK38" s="98"/>
      <c r="HL38" s="98"/>
      <c r="HM38" s="98"/>
      <c r="HN38" s="98"/>
      <c r="HO38" s="98"/>
      <c r="HP38" s="98"/>
      <c r="HQ38" s="98"/>
      <c r="HR38" s="98"/>
      <c r="HS38" s="98"/>
      <c r="HT38" s="98"/>
      <c r="HU38" s="99"/>
      <c r="HV38" s="156" t="str">
        <f>IF(AND(HV36&lt;&gt;0,HV37&lt;&gt;0),(HV36-HV37)/HV37,IF(AND(HV36=0,HV37=0),"",IF(AND(HV36="",HV37=""),"",IF(AND(HV36=0,HV37=""),"",IF(AND(HV36="",HV37=0),"",1)))))</f>
        <v/>
      </c>
      <c r="HW38" s="157"/>
      <c r="HX38" s="157"/>
      <c r="HY38" s="157"/>
      <c r="HZ38" s="157"/>
      <c r="IA38" s="157"/>
      <c r="IB38" s="157"/>
      <c r="IC38" s="157"/>
      <c r="ID38" s="157"/>
      <c r="IE38" s="157"/>
      <c r="IF38" s="157"/>
      <c r="IG38" s="157"/>
      <c r="IH38" s="157"/>
      <c r="II38" s="157"/>
      <c r="IJ38" s="157"/>
      <c r="IK38" s="157"/>
      <c r="IL38" s="157"/>
      <c r="IM38" s="157"/>
      <c r="IN38" s="157"/>
      <c r="IO38" s="157"/>
      <c r="IP38" s="157"/>
      <c r="IQ38" s="157"/>
      <c r="IR38" s="157"/>
      <c r="IS38" s="157"/>
      <c r="IT38" s="157"/>
      <c r="IU38" s="157"/>
      <c r="IV38" s="157"/>
      <c r="IW38" s="157"/>
      <c r="IX38" s="157"/>
      <c r="IY38" s="157"/>
      <c r="IZ38" s="157"/>
      <c r="JA38" s="157"/>
      <c r="JB38" s="157"/>
      <c r="JC38" s="157"/>
      <c r="JD38" s="157"/>
      <c r="JE38" s="157"/>
      <c r="JF38" s="157"/>
      <c r="JG38" s="158"/>
      <c r="JH38" s="97" t="s">
        <v>60</v>
      </c>
      <c r="JI38" s="98"/>
      <c r="JJ38" s="98"/>
      <c r="JK38" s="98"/>
      <c r="JL38" s="98"/>
      <c r="JM38" s="98"/>
      <c r="JN38" s="98"/>
      <c r="JO38" s="98"/>
      <c r="JP38" s="98"/>
      <c r="JQ38" s="98"/>
      <c r="JR38" s="98"/>
      <c r="JS38" s="98"/>
      <c r="JT38" s="98"/>
      <c r="JU38" s="98"/>
      <c r="JV38" s="98"/>
      <c r="JW38" s="98"/>
      <c r="JX38" s="98"/>
      <c r="JY38" s="98"/>
      <c r="JZ38" s="98"/>
      <c r="KA38" s="98"/>
      <c r="KB38" s="98"/>
      <c r="KC38" s="98"/>
      <c r="KD38" s="98"/>
      <c r="KE38" s="98"/>
      <c r="KF38" s="98"/>
      <c r="KG38" s="98"/>
      <c r="KH38" s="98"/>
      <c r="KI38" s="98"/>
      <c r="KJ38" s="98"/>
      <c r="KK38" s="98"/>
      <c r="KL38" s="98"/>
      <c r="KM38" s="98"/>
      <c r="KN38" s="98"/>
      <c r="KO38" s="98"/>
      <c r="KP38" s="98"/>
      <c r="KQ38" s="98"/>
      <c r="KR38" s="98"/>
      <c r="KS38" s="99"/>
      <c r="KT38" s="97" t="s">
        <v>60</v>
      </c>
      <c r="KU38" s="98"/>
      <c r="KV38" s="98"/>
      <c r="KW38" s="98"/>
      <c r="KX38" s="98"/>
      <c r="KY38" s="98"/>
      <c r="KZ38" s="98"/>
      <c r="LA38" s="98"/>
      <c r="LB38" s="98"/>
      <c r="LC38" s="98"/>
      <c r="LD38" s="98"/>
      <c r="LE38" s="98"/>
      <c r="LF38" s="98"/>
      <c r="LG38" s="98"/>
      <c r="LH38" s="98"/>
      <c r="LI38" s="98"/>
      <c r="LJ38" s="98"/>
      <c r="LK38" s="98"/>
      <c r="LL38" s="98"/>
      <c r="LM38" s="98"/>
      <c r="LN38" s="98"/>
      <c r="LO38" s="98"/>
      <c r="LP38" s="98"/>
      <c r="LQ38" s="98"/>
      <c r="LR38" s="98"/>
      <c r="LS38" s="98"/>
      <c r="LT38" s="98"/>
      <c r="LU38" s="98"/>
      <c r="LV38" s="98"/>
      <c r="LW38" s="98"/>
      <c r="LX38" s="98"/>
      <c r="LY38" s="98"/>
      <c r="LZ38" s="98"/>
      <c r="MA38" s="98"/>
      <c r="MB38" s="98"/>
      <c r="MC38" s="98"/>
      <c r="MD38" s="98"/>
      <c r="ME38" s="99"/>
      <c r="MF38" s="97" t="s">
        <v>60</v>
      </c>
      <c r="MG38" s="98"/>
      <c r="MH38" s="98"/>
      <c r="MI38" s="98"/>
      <c r="MJ38" s="98"/>
      <c r="MK38" s="98"/>
      <c r="ML38" s="98"/>
      <c r="MM38" s="98"/>
      <c r="MN38" s="98"/>
      <c r="MO38" s="98"/>
      <c r="MP38" s="98"/>
      <c r="MQ38" s="98"/>
      <c r="MR38" s="98"/>
      <c r="MS38" s="98"/>
      <c r="MT38" s="98"/>
      <c r="MU38" s="98"/>
      <c r="MV38" s="98"/>
      <c r="MW38" s="98"/>
      <c r="MX38" s="98"/>
      <c r="MY38" s="98"/>
      <c r="MZ38" s="98"/>
      <c r="NA38" s="98"/>
      <c r="NB38" s="98"/>
      <c r="NC38" s="98"/>
      <c r="ND38" s="98"/>
      <c r="NE38" s="98"/>
      <c r="NF38" s="98"/>
      <c r="NG38" s="98"/>
      <c r="NH38" s="98"/>
      <c r="NI38" s="98"/>
      <c r="NJ38" s="98"/>
      <c r="NK38" s="98"/>
      <c r="NL38" s="98"/>
      <c r="NM38" s="98"/>
      <c r="NN38" s="98"/>
      <c r="NO38" s="98"/>
      <c r="NP38" s="98"/>
      <c r="NQ38" s="99"/>
      <c r="NR38" s="156" t="str">
        <f>IF(AND(NR36&lt;&gt;0,NR37&lt;&gt;0),(NR36-NR37)/NR37,IF(AND(NR36=0,NR37=0),"",IF(AND(NR36="",NR37=""),"",IF(AND(NR36=0,NR37=""),"",IF(AND(NR36="",NR37=0),"",1)))))</f>
        <v/>
      </c>
      <c r="NS38" s="157"/>
      <c r="NT38" s="157"/>
      <c r="NU38" s="157"/>
      <c r="NV38" s="157"/>
      <c r="NW38" s="157"/>
      <c r="NX38" s="157"/>
      <c r="NY38" s="157"/>
      <c r="NZ38" s="157"/>
      <c r="OA38" s="157"/>
      <c r="OB38" s="157"/>
      <c r="OC38" s="157"/>
      <c r="OD38" s="157"/>
      <c r="OE38" s="157"/>
      <c r="OF38" s="157"/>
      <c r="OG38" s="157"/>
      <c r="OH38" s="157"/>
      <c r="OI38" s="157"/>
      <c r="OJ38" s="157"/>
      <c r="OK38" s="157"/>
      <c r="OL38" s="157"/>
      <c r="OM38" s="157"/>
      <c r="ON38" s="157"/>
      <c r="OO38" s="157"/>
      <c r="OP38" s="157"/>
      <c r="OQ38" s="157"/>
      <c r="OR38" s="157"/>
      <c r="OS38" s="157"/>
      <c r="OT38" s="157"/>
      <c r="OU38" s="157"/>
      <c r="OV38" s="157"/>
      <c r="OW38" s="157"/>
      <c r="OX38" s="157"/>
      <c r="OY38" s="157"/>
      <c r="OZ38" s="157"/>
      <c r="PA38" s="157"/>
      <c r="PB38" s="157"/>
      <c r="PC38" s="158"/>
    </row>
    <row r="39" spans="1:419" x14ac:dyDescent="0.4"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</row>
    <row r="42" spans="1:419" x14ac:dyDescent="0.4"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</row>
    <row r="43" spans="1:419" x14ac:dyDescent="0.4"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</row>
    <row r="44" spans="1:419" x14ac:dyDescent="0.4"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</row>
    <row r="45" spans="1:419" x14ac:dyDescent="0.4"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</row>
    <row r="46" spans="1:419" x14ac:dyDescent="0.4"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</row>
    <row r="47" spans="1:419" x14ac:dyDescent="0.4"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</row>
    <row r="48" spans="1:419" x14ac:dyDescent="0.4"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</row>
    <row r="49" spans="2:77" x14ac:dyDescent="0.4"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</row>
    <row r="50" spans="2:77" x14ac:dyDescent="0.4"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</row>
    <row r="51" spans="2:77" x14ac:dyDescent="0.4"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</row>
    <row r="52" spans="2:77" x14ac:dyDescent="0.4"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</row>
    <row r="53" spans="2:77" x14ac:dyDescent="0.4"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</row>
    <row r="54" spans="2:77" x14ac:dyDescent="0.4"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</row>
    <row r="55" spans="2:77" x14ac:dyDescent="0.4"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</row>
    <row r="56" spans="2:77" x14ac:dyDescent="0.4"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</row>
    <row r="57" spans="2:77" x14ac:dyDescent="0.4"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</row>
    <row r="58" spans="2:77" x14ac:dyDescent="0.4"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</row>
    <row r="59" spans="2:77" x14ac:dyDescent="0.4"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</row>
    <row r="60" spans="2:77" x14ac:dyDescent="0.4"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</row>
    <row r="61" spans="2:77" x14ac:dyDescent="0.4"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</row>
    <row r="62" spans="2:77" x14ac:dyDescent="0.4"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</row>
    <row r="63" spans="2:77" x14ac:dyDescent="0.4"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</row>
    <row r="64" spans="2:77" x14ac:dyDescent="0.4"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</row>
    <row r="65" spans="2:77" x14ac:dyDescent="0.4"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</row>
    <row r="66" spans="2:77" x14ac:dyDescent="0.4"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</row>
    <row r="67" spans="2:77" x14ac:dyDescent="0.4"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</row>
    <row r="68" spans="2:77" x14ac:dyDescent="0.4"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</row>
    <row r="69" spans="2:77" x14ac:dyDescent="0.4"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</row>
    <row r="70" spans="2:77" x14ac:dyDescent="0.4"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</row>
    <row r="71" spans="2:77" x14ac:dyDescent="0.4"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</row>
    <row r="72" spans="2:77" x14ac:dyDescent="0.4"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</row>
    <row r="73" spans="2:77" x14ac:dyDescent="0.4"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</row>
    <row r="74" spans="2:77" x14ac:dyDescent="0.4"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</row>
    <row r="75" spans="2:77" x14ac:dyDescent="0.4"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</row>
    <row r="76" spans="2:77" x14ac:dyDescent="0.4"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</row>
    <row r="77" spans="2:77" x14ac:dyDescent="0.4"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</row>
    <row r="78" spans="2:77" x14ac:dyDescent="0.4"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8"/>
      <c r="BC78" s="38"/>
      <c r="BD78" s="38"/>
      <c r="BE78" s="38"/>
      <c r="BF78" s="38"/>
      <c r="BG78" s="38"/>
      <c r="BH78" s="38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</row>
    <row r="79" spans="2:77" x14ac:dyDescent="0.4"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8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</row>
    <row r="80" spans="2:77" x14ac:dyDescent="0.4"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</row>
    <row r="81" spans="2:77" x14ac:dyDescent="0.4"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  <c r="BA81" s="38"/>
      <c r="BB81" s="38"/>
      <c r="BC81" s="38"/>
      <c r="BD81" s="38"/>
      <c r="BE81" s="38"/>
      <c r="BF81" s="38"/>
      <c r="BG81" s="38"/>
      <c r="BH81" s="38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</row>
    <row r="82" spans="2:77" x14ac:dyDescent="0.4"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38"/>
      <c r="BC82" s="38"/>
      <c r="BD82" s="38"/>
      <c r="BE82" s="38"/>
      <c r="BF82" s="38"/>
      <c r="BG82" s="38"/>
      <c r="BH82" s="38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</row>
    <row r="83" spans="2:77" x14ac:dyDescent="0.4"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  <c r="AT83" s="38"/>
      <c r="AU83" s="38"/>
      <c r="AV83" s="38"/>
      <c r="AW83" s="38"/>
      <c r="AX83" s="38"/>
      <c r="AY83" s="38"/>
      <c r="AZ83" s="38"/>
      <c r="BA83" s="38"/>
      <c r="BB83" s="38"/>
      <c r="BC83" s="38"/>
      <c r="BD83" s="38"/>
      <c r="BE83" s="38"/>
      <c r="BF83" s="38"/>
      <c r="BG83" s="38"/>
      <c r="BH83" s="38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</row>
    <row r="84" spans="2:77" x14ac:dyDescent="0.4"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38"/>
      <c r="AX84" s="38"/>
      <c r="AY84" s="38"/>
      <c r="AZ84" s="38"/>
      <c r="BA84" s="38"/>
      <c r="BB84" s="38"/>
      <c r="BC84" s="38"/>
      <c r="BD84" s="38"/>
      <c r="BE84" s="38"/>
      <c r="BF84" s="38"/>
      <c r="BG84" s="38"/>
      <c r="BH84" s="38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</row>
    <row r="85" spans="2:77" x14ac:dyDescent="0.4"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  <c r="AM85" s="38"/>
      <c r="AN85" s="38"/>
      <c r="AO85" s="38"/>
      <c r="AP85" s="38"/>
      <c r="AQ85" s="38"/>
      <c r="AR85" s="38"/>
      <c r="AS85" s="38"/>
      <c r="AT85" s="38"/>
      <c r="AU85" s="38"/>
      <c r="AV85" s="38"/>
      <c r="AW85" s="38"/>
      <c r="AX85" s="38"/>
      <c r="AY85" s="38"/>
      <c r="AZ85" s="38"/>
      <c r="BA85" s="38"/>
      <c r="BB85" s="38"/>
      <c r="BC85" s="38"/>
      <c r="BD85" s="38"/>
      <c r="BE85" s="38"/>
      <c r="BF85" s="38"/>
      <c r="BG85" s="38"/>
      <c r="BH85" s="38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</row>
    <row r="86" spans="2:77" x14ac:dyDescent="0.4"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AQ86" s="38"/>
      <c r="AR86" s="38"/>
      <c r="AS86" s="38"/>
      <c r="AT86" s="38"/>
      <c r="AU86" s="38"/>
      <c r="AV86" s="38"/>
      <c r="AW86" s="38"/>
      <c r="AX86" s="38"/>
      <c r="AY86" s="38"/>
      <c r="AZ86" s="38"/>
      <c r="BA86" s="38"/>
      <c r="BB86" s="38"/>
      <c r="BC86" s="38"/>
      <c r="BD86" s="38"/>
      <c r="BE86" s="38"/>
      <c r="BF86" s="38"/>
      <c r="BG86" s="38"/>
      <c r="BH86" s="38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</row>
    <row r="87" spans="2:77" x14ac:dyDescent="0.4"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38"/>
      <c r="AX87" s="38"/>
      <c r="AY87" s="38"/>
      <c r="AZ87" s="38"/>
      <c r="BA87" s="38"/>
      <c r="BB87" s="38"/>
      <c r="BC87" s="38"/>
      <c r="BD87" s="38"/>
      <c r="BE87" s="38"/>
      <c r="BF87" s="38"/>
      <c r="BG87" s="38"/>
      <c r="BH87" s="38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</row>
    <row r="88" spans="2:77" x14ac:dyDescent="0.4"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38"/>
      <c r="AX88" s="38"/>
      <c r="AY88" s="38"/>
      <c r="AZ88" s="38"/>
      <c r="BA88" s="38"/>
      <c r="BB88" s="38"/>
      <c r="BC88" s="38"/>
      <c r="BD88" s="38"/>
      <c r="BE88" s="38"/>
      <c r="BF88" s="38"/>
      <c r="BG88" s="38"/>
      <c r="BH88" s="38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8"/>
    </row>
    <row r="89" spans="2:77" x14ac:dyDescent="0.4"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8"/>
      <c r="AN89" s="38"/>
      <c r="AO89" s="38"/>
      <c r="AP89" s="38"/>
      <c r="AQ89" s="38"/>
      <c r="AR89" s="38"/>
      <c r="AS89" s="38"/>
      <c r="AT89" s="38"/>
      <c r="AU89" s="38"/>
      <c r="AV89" s="38"/>
      <c r="AW89" s="38"/>
      <c r="AX89" s="38"/>
      <c r="AY89" s="38"/>
      <c r="AZ89" s="38"/>
      <c r="BA89" s="38"/>
      <c r="BB89" s="38"/>
      <c r="BC89" s="38"/>
      <c r="BD89" s="38"/>
      <c r="BE89" s="38"/>
      <c r="BF89" s="38"/>
      <c r="BG89" s="38"/>
      <c r="BH89" s="38"/>
      <c r="BI89" s="38"/>
      <c r="BJ89" s="38"/>
      <c r="BK89" s="38"/>
      <c r="BL89" s="38"/>
      <c r="BM89" s="38"/>
      <c r="BN89" s="38"/>
      <c r="BO89" s="38"/>
      <c r="BP89" s="38"/>
      <c r="BQ89" s="38"/>
      <c r="BR89" s="38"/>
      <c r="BS89" s="38"/>
      <c r="BT89" s="38"/>
      <c r="BU89" s="38"/>
      <c r="BV89" s="38"/>
      <c r="BW89" s="38"/>
      <c r="BX89" s="38"/>
      <c r="BY89" s="38"/>
    </row>
    <row r="90" spans="2:77" x14ac:dyDescent="0.4"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  <c r="AM90" s="38"/>
      <c r="AN90" s="38"/>
      <c r="AO90" s="38"/>
      <c r="AP90" s="38"/>
      <c r="AQ90" s="38"/>
      <c r="AR90" s="38"/>
      <c r="AS90" s="38"/>
      <c r="AT90" s="38"/>
      <c r="AU90" s="38"/>
      <c r="AV90" s="38"/>
      <c r="AW90" s="38"/>
      <c r="AX90" s="38"/>
      <c r="AY90" s="38"/>
      <c r="AZ90" s="38"/>
      <c r="BA90" s="38"/>
      <c r="BB90" s="38"/>
      <c r="BC90" s="38"/>
      <c r="BD90" s="38"/>
      <c r="BE90" s="38"/>
      <c r="BF90" s="38"/>
      <c r="BG90" s="38"/>
      <c r="BH90" s="38"/>
      <c r="BI90" s="38"/>
      <c r="BJ90" s="38"/>
      <c r="BK90" s="38"/>
      <c r="BL90" s="38"/>
      <c r="BM90" s="38"/>
      <c r="BN90" s="38"/>
      <c r="BO90" s="38"/>
      <c r="BP90" s="38"/>
      <c r="BQ90" s="38"/>
      <c r="BR90" s="38"/>
      <c r="BS90" s="38"/>
      <c r="BT90" s="38"/>
      <c r="BU90" s="38"/>
      <c r="BV90" s="38"/>
      <c r="BW90" s="38"/>
      <c r="BX90" s="38"/>
      <c r="BY90" s="38"/>
    </row>
    <row r="91" spans="2:77" x14ac:dyDescent="0.4"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38"/>
      <c r="AX91" s="38"/>
      <c r="AY91" s="38"/>
      <c r="AZ91" s="38"/>
      <c r="BA91" s="38"/>
      <c r="BB91" s="38"/>
      <c r="BC91" s="38"/>
      <c r="BD91" s="38"/>
      <c r="BE91" s="38"/>
      <c r="BF91" s="38"/>
      <c r="BG91" s="38"/>
      <c r="BH91" s="38"/>
      <c r="BI91" s="38"/>
      <c r="BJ91" s="38"/>
      <c r="BK91" s="38"/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/>
    </row>
    <row r="92" spans="2:77" x14ac:dyDescent="0.4"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AQ92" s="38"/>
      <c r="AR92" s="38"/>
      <c r="AS92" s="38"/>
      <c r="AT92" s="38"/>
      <c r="AU92" s="38"/>
      <c r="AV92" s="38"/>
      <c r="AW92" s="38"/>
      <c r="AX92" s="38"/>
      <c r="AY92" s="38"/>
      <c r="AZ92" s="38"/>
      <c r="BA92" s="38"/>
      <c r="BB92" s="38"/>
      <c r="BC92" s="38"/>
      <c r="BD92" s="38"/>
      <c r="BE92" s="38"/>
      <c r="BF92" s="38"/>
      <c r="BG92" s="38"/>
      <c r="BH92" s="38"/>
      <c r="BI92" s="38"/>
      <c r="BJ92" s="38"/>
      <c r="BK92" s="38"/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8"/>
    </row>
    <row r="93" spans="2:77" x14ac:dyDescent="0.4"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8"/>
      <c r="AJ93" s="38"/>
      <c r="AK93" s="38"/>
      <c r="AL93" s="38"/>
      <c r="AM93" s="38"/>
      <c r="AN93" s="38"/>
      <c r="AO93" s="38"/>
      <c r="AP93" s="38"/>
      <c r="AQ93" s="38"/>
      <c r="AR93" s="38"/>
      <c r="AS93" s="38"/>
      <c r="AT93" s="38"/>
      <c r="AU93" s="38"/>
      <c r="AV93" s="38"/>
      <c r="AW93" s="38"/>
      <c r="AX93" s="38"/>
      <c r="AY93" s="38"/>
      <c r="AZ93" s="38"/>
      <c r="BA93" s="38"/>
      <c r="BB93" s="38"/>
      <c r="BC93" s="38"/>
      <c r="BD93" s="38"/>
      <c r="BE93" s="38"/>
      <c r="BF93" s="38"/>
      <c r="BG93" s="38"/>
      <c r="BH93" s="38"/>
      <c r="BI93" s="38"/>
      <c r="BJ93" s="38"/>
      <c r="BK93" s="38"/>
      <c r="BL93" s="38"/>
      <c r="BM93" s="38"/>
      <c r="BN93" s="38"/>
      <c r="BO93" s="38"/>
      <c r="BP93" s="38"/>
      <c r="BQ93" s="38"/>
      <c r="BR93" s="38"/>
      <c r="BS93" s="38"/>
      <c r="BT93" s="38"/>
      <c r="BU93" s="38"/>
      <c r="BV93" s="38"/>
      <c r="BW93" s="38"/>
      <c r="BX93" s="38"/>
      <c r="BY93" s="38"/>
    </row>
    <row r="94" spans="2:77" x14ac:dyDescent="0.4"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8"/>
      <c r="AJ94" s="38"/>
      <c r="AK94" s="38"/>
      <c r="AL94" s="38"/>
      <c r="AM94" s="38"/>
      <c r="AN94" s="38"/>
      <c r="AO94" s="38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  <c r="BA94" s="38"/>
      <c r="BB94" s="38"/>
      <c r="BC94" s="38"/>
      <c r="BD94" s="38"/>
      <c r="BE94" s="38"/>
      <c r="BF94" s="38"/>
      <c r="BG94" s="38"/>
      <c r="BH94" s="38"/>
      <c r="BI94" s="38"/>
      <c r="BJ94" s="38"/>
      <c r="BK94" s="38"/>
      <c r="BL94" s="38"/>
      <c r="BM94" s="38"/>
      <c r="BN94" s="38"/>
      <c r="BO94" s="38"/>
      <c r="BP94" s="38"/>
      <c r="BQ94" s="38"/>
      <c r="BR94" s="38"/>
      <c r="BS94" s="38"/>
      <c r="BT94" s="38"/>
      <c r="BU94" s="38"/>
      <c r="BV94" s="38"/>
      <c r="BW94" s="38"/>
      <c r="BX94" s="38"/>
      <c r="BY94" s="38"/>
    </row>
    <row r="95" spans="2:77" x14ac:dyDescent="0.4"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AQ95" s="38"/>
      <c r="AR95" s="38"/>
      <c r="AS95" s="38"/>
      <c r="AT95" s="38"/>
      <c r="AU95" s="38"/>
      <c r="AV95" s="38"/>
      <c r="AW95" s="38"/>
      <c r="AX95" s="38"/>
      <c r="AY95" s="38"/>
      <c r="AZ95" s="38"/>
      <c r="BA95" s="38"/>
      <c r="BB95" s="38"/>
      <c r="BC95" s="38"/>
      <c r="BD95" s="38"/>
      <c r="BE95" s="38"/>
      <c r="BF95" s="38"/>
      <c r="BG95" s="38"/>
      <c r="BH95" s="38"/>
      <c r="BI95" s="38"/>
      <c r="BJ95" s="38"/>
      <c r="BK95" s="38"/>
      <c r="BL95" s="38"/>
      <c r="BM95" s="38"/>
      <c r="BN95" s="38"/>
      <c r="BO95" s="38"/>
      <c r="BP95" s="38"/>
      <c r="BQ95" s="38"/>
      <c r="BR95" s="38"/>
      <c r="BS95" s="38"/>
      <c r="BT95" s="38"/>
      <c r="BU95" s="38"/>
      <c r="BV95" s="38"/>
      <c r="BW95" s="38"/>
      <c r="BX95" s="38"/>
      <c r="BY95" s="38"/>
    </row>
    <row r="96" spans="2:77" x14ac:dyDescent="0.4"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8"/>
      <c r="AJ96" s="38"/>
      <c r="AK96" s="38"/>
      <c r="AL96" s="38"/>
      <c r="AM96" s="38"/>
      <c r="AN96" s="38"/>
      <c r="AO96" s="38"/>
      <c r="AP96" s="38"/>
      <c r="AQ96" s="38"/>
      <c r="AR96" s="38"/>
      <c r="AS96" s="38"/>
      <c r="AT96" s="38"/>
      <c r="AU96" s="38"/>
      <c r="AV96" s="38"/>
      <c r="AW96" s="38"/>
      <c r="AX96" s="38"/>
      <c r="AY96" s="38"/>
      <c r="AZ96" s="38"/>
      <c r="BA96" s="38"/>
      <c r="BB96" s="38"/>
      <c r="BC96" s="38"/>
      <c r="BD96" s="38"/>
      <c r="BE96" s="38"/>
      <c r="BF96" s="38"/>
      <c r="BG96" s="38"/>
      <c r="BH96" s="38"/>
      <c r="BI96" s="38"/>
      <c r="BJ96" s="38"/>
      <c r="BK96" s="38"/>
      <c r="BL96" s="38"/>
      <c r="BM96" s="38"/>
      <c r="BN96" s="38"/>
      <c r="BO96" s="38"/>
      <c r="BP96" s="38"/>
      <c r="BQ96" s="38"/>
      <c r="BR96" s="38"/>
      <c r="BS96" s="38"/>
      <c r="BT96" s="38"/>
      <c r="BU96" s="38"/>
      <c r="BV96" s="38"/>
      <c r="BW96" s="38"/>
      <c r="BX96" s="38"/>
      <c r="BY96" s="38"/>
    </row>
    <row r="97" spans="2:77" x14ac:dyDescent="0.4"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8"/>
      <c r="AJ97" s="38"/>
      <c r="AK97" s="38"/>
      <c r="AL97" s="38"/>
      <c r="AM97" s="38"/>
      <c r="AN97" s="38"/>
      <c r="AO97" s="38"/>
      <c r="AP97" s="38"/>
      <c r="AQ97" s="38"/>
      <c r="AR97" s="38"/>
      <c r="AS97" s="38"/>
      <c r="AT97" s="38"/>
      <c r="AU97" s="38"/>
      <c r="AV97" s="38"/>
      <c r="AW97" s="38"/>
      <c r="AX97" s="38"/>
      <c r="AY97" s="38"/>
      <c r="AZ97" s="38"/>
      <c r="BA97" s="38"/>
      <c r="BB97" s="38"/>
      <c r="BC97" s="38"/>
      <c r="BD97" s="38"/>
      <c r="BE97" s="38"/>
      <c r="BF97" s="38"/>
      <c r="BG97" s="38"/>
      <c r="BH97" s="38"/>
      <c r="BI97" s="38"/>
      <c r="BJ97" s="38"/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</row>
    <row r="98" spans="2:77" x14ac:dyDescent="0.4"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8"/>
      <c r="AJ98" s="38"/>
      <c r="AK98" s="38"/>
      <c r="AL98" s="38"/>
      <c r="AM98" s="38"/>
      <c r="AN98" s="38"/>
      <c r="AO98" s="38"/>
      <c r="AP98" s="38"/>
      <c r="AQ98" s="38"/>
      <c r="AR98" s="38"/>
      <c r="AS98" s="38"/>
      <c r="AT98" s="38"/>
      <c r="AU98" s="38"/>
      <c r="AV98" s="38"/>
      <c r="AW98" s="38"/>
      <c r="AX98" s="38"/>
      <c r="AY98" s="38"/>
      <c r="AZ98" s="38"/>
      <c r="BA98" s="38"/>
      <c r="BB98" s="38"/>
      <c r="BC98" s="38"/>
      <c r="BD98" s="38"/>
      <c r="BE98" s="38"/>
      <c r="BF98" s="38"/>
      <c r="BG98" s="38"/>
      <c r="BH98" s="38"/>
      <c r="BI98" s="38"/>
      <c r="BJ98" s="38"/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38"/>
      <c r="BV98" s="38"/>
      <c r="BW98" s="38"/>
      <c r="BX98" s="38"/>
      <c r="BY98" s="38"/>
    </row>
    <row r="99" spans="2:77" x14ac:dyDescent="0.4"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</row>
    <row r="100" spans="2:77" x14ac:dyDescent="0.4"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  <c r="BA100" s="38"/>
      <c r="BB100" s="38"/>
      <c r="BC100" s="38"/>
      <c r="BD100" s="38"/>
      <c r="BE100" s="38"/>
      <c r="BF100" s="38"/>
      <c r="BG100" s="38"/>
      <c r="BH100" s="38"/>
      <c r="BI100" s="38"/>
      <c r="BJ100" s="38"/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8"/>
    </row>
    <row r="101" spans="2:77" x14ac:dyDescent="0.4"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  <c r="BA101" s="38"/>
      <c r="BB101" s="38"/>
      <c r="BC101" s="38"/>
      <c r="BD101" s="38"/>
      <c r="BE101" s="38"/>
      <c r="BF101" s="38"/>
      <c r="BG101" s="38"/>
      <c r="BH101" s="38"/>
      <c r="BI101" s="38"/>
      <c r="BJ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38"/>
      <c r="BV101" s="38"/>
      <c r="BW101" s="38"/>
      <c r="BX101" s="38"/>
      <c r="BY101" s="38"/>
    </row>
    <row r="102" spans="2:77" x14ac:dyDescent="0.4"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8"/>
      <c r="AJ102" s="38"/>
      <c r="AK102" s="38"/>
      <c r="AL102" s="38"/>
      <c r="AM102" s="38"/>
      <c r="AN102" s="38"/>
      <c r="AO102" s="38"/>
      <c r="AP102" s="38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  <c r="BA102" s="38"/>
      <c r="BB102" s="38"/>
      <c r="BC102" s="38"/>
      <c r="BD102" s="38"/>
      <c r="BE102" s="38"/>
      <c r="BF102" s="38"/>
      <c r="BG102" s="38"/>
      <c r="BH102" s="38"/>
      <c r="BI102" s="38"/>
      <c r="BJ102" s="38"/>
      <c r="BK102" s="38"/>
      <c r="BL102" s="38"/>
      <c r="BM102" s="38"/>
      <c r="BN102" s="38"/>
      <c r="BO102" s="38"/>
      <c r="BP102" s="38"/>
      <c r="BQ102" s="38"/>
      <c r="BR102" s="38"/>
      <c r="BS102" s="38"/>
      <c r="BT102" s="38"/>
      <c r="BU102" s="38"/>
      <c r="BV102" s="38"/>
      <c r="BW102" s="38"/>
      <c r="BX102" s="38"/>
      <c r="BY102" s="38"/>
    </row>
    <row r="103" spans="2:77" x14ac:dyDescent="0.4"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  <c r="BA103" s="38"/>
      <c r="BB103" s="38"/>
      <c r="BC103" s="38"/>
      <c r="BD103" s="38"/>
      <c r="BE103" s="38"/>
      <c r="BF103" s="38"/>
      <c r="BG103" s="38"/>
      <c r="BH103" s="38"/>
      <c r="BI103" s="38"/>
      <c r="BJ103" s="38"/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8"/>
    </row>
    <row r="104" spans="2:77" x14ac:dyDescent="0.4"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  <c r="BA104" s="38"/>
      <c r="BB104" s="38"/>
      <c r="BC104" s="38"/>
      <c r="BD104" s="38"/>
      <c r="BE104" s="38"/>
      <c r="BF104" s="38"/>
      <c r="BG104" s="38"/>
      <c r="BH104" s="38"/>
      <c r="BI104" s="38"/>
      <c r="BJ104" s="38"/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V104" s="38"/>
      <c r="BW104" s="38"/>
      <c r="BX104" s="38"/>
      <c r="BY104" s="38"/>
    </row>
    <row r="105" spans="2:77" x14ac:dyDescent="0.4"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  <c r="BA105" s="38"/>
      <c r="BB105" s="38"/>
      <c r="BC105" s="38"/>
      <c r="BD105" s="38"/>
      <c r="BE105" s="38"/>
      <c r="BF105" s="38"/>
      <c r="BG105" s="38"/>
      <c r="BH105" s="38"/>
      <c r="BI105" s="38"/>
      <c r="BJ105" s="38"/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V105" s="38"/>
      <c r="BW105" s="38"/>
      <c r="BX105" s="38"/>
      <c r="BY105" s="38"/>
    </row>
    <row r="106" spans="2:77" x14ac:dyDescent="0.4"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8"/>
      <c r="AJ106" s="38"/>
      <c r="AK106" s="38"/>
      <c r="AL106" s="38"/>
      <c r="AM106" s="38"/>
      <c r="AN106" s="38"/>
      <c r="AO106" s="38"/>
      <c r="AP106" s="38"/>
      <c r="AQ106" s="38"/>
      <c r="AR106" s="38"/>
      <c r="AS106" s="38"/>
      <c r="AT106" s="38"/>
      <c r="AU106" s="38"/>
      <c r="AV106" s="38"/>
      <c r="AW106" s="38"/>
      <c r="AX106" s="38"/>
      <c r="AY106" s="38"/>
      <c r="AZ106" s="38"/>
      <c r="BA106" s="38"/>
      <c r="BB106" s="38"/>
      <c r="BC106" s="38"/>
      <c r="BD106" s="38"/>
      <c r="BE106" s="38"/>
      <c r="BF106" s="38"/>
      <c r="BG106" s="38"/>
      <c r="BH106" s="38"/>
      <c r="BI106" s="38"/>
      <c r="BJ106" s="38"/>
      <c r="BK106" s="38"/>
      <c r="BL106" s="38"/>
      <c r="BM106" s="38"/>
      <c r="BN106" s="38"/>
      <c r="BO106" s="38"/>
      <c r="BP106" s="38"/>
      <c r="BQ106" s="38"/>
      <c r="BR106" s="38"/>
      <c r="BS106" s="38"/>
      <c r="BT106" s="38"/>
      <c r="BU106" s="38"/>
      <c r="BV106" s="38"/>
      <c r="BW106" s="38"/>
      <c r="BX106" s="38"/>
      <c r="BY106" s="38"/>
    </row>
    <row r="107" spans="2:77" x14ac:dyDescent="0.4"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8"/>
      <c r="AJ107" s="38"/>
      <c r="AK107" s="38"/>
      <c r="AL107" s="38"/>
      <c r="AM107" s="38"/>
      <c r="AN107" s="38"/>
      <c r="AO107" s="38"/>
      <c r="AP107" s="38"/>
      <c r="AQ107" s="38"/>
      <c r="AR107" s="38"/>
      <c r="AS107" s="38"/>
      <c r="AT107" s="38"/>
      <c r="AU107" s="38"/>
      <c r="AV107" s="38"/>
      <c r="AW107" s="38"/>
      <c r="AX107" s="38"/>
      <c r="AY107" s="38"/>
      <c r="AZ107" s="38"/>
      <c r="BA107" s="38"/>
      <c r="BB107" s="38"/>
      <c r="BC107" s="38"/>
      <c r="BD107" s="38"/>
      <c r="BE107" s="38"/>
      <c r="BF107" s="38"/>
      <c r="BG107" s="38"/>
      <c r="BH107" s="38"/>
      <c r="BI107" s="38"/>
      <c r="BJ107" s="38"/>
      <c r="BK107" s="38"/>
      <c r="BL107" s="38"/>
      <c r="BM107" s="38"/>
      <c r="BN107" s="38"/>
      <c r="BO107" s="38"/>
      <c r="BP107" s="38"/>
      <c r="BQ107" s="38"/>
      <c r="BR107" s="38"/>
      <c r="BS107" s="38"/>
      <c r="BT107" s="38"/>
      <c r="BU107" s="38"/>
      <c r="BV107" s="38"/>
      <c r="BW107" s="38"/>
      <c r="BX107" s="38"/>
      <c r="BY107" s="38"/>
    </row>
    <row r="108" spans="2:77" x14ac:dyDescent="0.4"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38"/>
      <c r="BI108" s="38"/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8"/>
    </row>
    <row r="109" spans="2:77" x14ac:dyDescent="0.4"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38"/>
      <c r="BI109" s="38"/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8"/>
    </row>
    <row r="110" spans="2:77" x14ac:dyDescent="0.4"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38"/>
      <c r="BI110" s="38"/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8"/>
    </row>
    <row r="111" spans="2:77" x14ac:dyDescent="0.4"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38"/>
      <c r="BI111" s="38"/>
      <c r="BJ111" s="38"/>
      <c r="BK111" s="38"/>
      <c r="BL111" s="38"/>
      <c r="BM111" s="38"/>
      <c r="BN111" s="38"/>
      <c r="BO111" s="38"/>
      <c r="BP111" s="38"/>
      <c r="BQ111" s="38"/>
      <c r="BR111" s="38"/>
      <c r="BS111" s="38"/>
      <c r="BT111" s="38"/>
      <c r="BU111" s="38"/>
      <c r="BV111" s="38"/>
      <c r="BW111" s="38"/>
      <c r="BX111" s="38"/>
      <c r="BY111" s="38"/>
    </row>
    <row r="112" spans="2:77" x14ac:dyDescent="0.4"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8"/>
    </row>
    <row r="113" spans="2:77" x14ac:dyDescent="0.4"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V113" s="38"/>
      <c r="BW113" s="38"/>
      <c r="BX113" s="38"/>
      <c r="BY113" s="38"/>
    </row>
    <row r="114" spans="2:77" x14ac:dyDescent="0.4"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38"/>
      <c r="BV114" s="38"/>
      <c r="BW114" s="38"/>
      <c r="BX114" s="38"/>
      <c r="BY114" s="38"/>
    </row>
    <row r="115" spans="2:77" x14ac:dyDescent="0.4"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38"/>
      <c r="BI115" s="38"/>
      <c r="BJ115" s="38"/>
      <c r="BK115" s="38"/>
      <c r="BL115" s="38"/>
      <c r="BM115" s="38"/>
      <c r="BN115" s="38"/>
      <c r="BO115" s="38"/>
      <c r="BP115" s="38"/>
      <c r="BQ115" s="38"/>
      <c r="BR115" s="38"/>
      <c r="BS115" s="38"/>
      <c r="BT115" s="38"/>
      <c r="BU115" s="38"/>
      <c r="BV115" s="38"/>
      <c r="BW115" s="38"/>
      <c r="BX115" s="38"/>
      <c r="BY115" s="38"/>
    </row>
    <row r="116" spans="2:77" x14ac:dyDescent="0.4"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38"/>
      <c r="BI116" s="38"/>
      <c r="BJ116" s="38"/>
      <c r="BK116" s="38"/>
      <c r="BL116" s="38"/>
      <c r="BM116" s="38"/>
      <c r="BN116" s="38"/>
      <c r="BO116" s="38"/>
      <c r="BP116" s="38"/>
      <c r="BQ116" s="38"/>
      <c r="BR116" s="38"/>
      <c r="BS116" s="38"/>
      <c r="BT116" s="38"/>
      <c r="BU116" s="38"/>
      <c r="BV116" s="38"/>
      <c r="BW116" s="38"/>
      <c r="BX116" s="38"/>
      <c r="BY116" s="38"/>
    </row>
    <row r="117" spans="2:77" x14ac:dyDescent="0.4"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38"/>
      <c r="BI117" s="38"/>
      <c r="BJ117" s="38"/>
      <c r="BK117" s="38"/>
      <c r="BL117" s="38"/>
      <c r="BM117" s="38"/>
      <c r="BN117" s="38"/>
      <c r="BO117" s="38"/>
      <c r="BP117" s="38"/>
      <c r="BQ117" s="38"/>
      <c r="BR117" s="38"/>
      <c r="BS117" s="38"/>
      <c r="BT117" s="38"/>
      <c r="BU117" s="38"/>
      <c r="BV117" s="38"/>
      <c r="BW117" s="38"/>
      <c r="BX117" s="38"/>
      <c r="BY117" s="38"/>
    </row>
    <row r="118" spans="2:77" x14ac:dyDescent="0.4"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38"/>
      <c r="BI118" s="38"/>
      <c r="BJ118" s="38"/>
      <c r="BK118" s="38"/>
      <c r="BL118" s="38"/>
      <c r="BM118" s="38"/>
      <c r="BN118" s="38"/>
      <c r="BO118" s="38"/>
      <c r="BP118" s="38"/>
      <c r="BQ118" s="38"/>
      <c r="BR118" s="38"/>
      <c r="BS118" s="38"/>
      <c r="BT118" s="38"/>
      <c r="BU118" s="38"/>
      <c r="BV118" s="38"/>
      <c r="BW118" s="38"/>
      <c r="BX118" s="38"/>
      <c r="BY118" s="38"/>
    </row>
    <row r="119" spans="2:77" x14ac:dyDescent="0.4"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38"/>
      <c r="BI119" s="38"/>
      <c r="BJ119" s="38"/>
      <c r="BK119" s="38"/>
      <c r="BL119" s="38"/>
      <c r="BM119" s="38"/>
      <c r="BN119" s="38"/>
      <c r="BO119" s="38"/>
      <c r="BP119" s="38"/>
      <c r="BQ119" s="38"/>
      <c r="BR119" s="38"/>
      <c r="BS119" s="38"/>
      <c r="BT119" s="38"/>
      <c r="BU119" s="38"/>
      <c r="BV119" s="38"/>
      <c r="BW119" s="38"/>
      <c r="BX119" s="38"/>
      <c r="BY119" s="38"/>
    </row>
    <row r="120" spans="2:77" x14ac:dyDescent="0.4"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38"/>
      <c r="BI120" s="38"/>
      <c r="BJ120" s="38"/>
      <c r="BK120" s="38"/>
      <c r="BL120" s="38"/>
      <c r="BM120" s="38"/>
      <c r="BN120" s="38"/>
      <c r="BO120" s="38"/>
      <c r="BP120" s="38"/>
      <c r="BQ120" s="38"/>
      <c r="BR120" s="38"/>
      <c r="BS120" s="38"/>
      <c r="BT120" s="38"/>
      <c r="BU120" s="38"/>
      <c r="BV120" s="38"/>
      <c r="BW120" s="38"/>
      <c r="BX120" s="38"/>
      <c r="BY120" s="38"/>
    </row>
    <row r="121" spans="2:77" x14ac:dyDescent="0.4"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38"/>
      <c r="BI121" s="38"/>
      <c r="BJ121" s="38"/>
      <c r="BK121" s="38"/>
      <c r="BL121" s="38"/>
      <c r="BM121" s="38"/>
      <c r="BN121" s="38"/>
      <c r="BO121" s="38"/>
      <c r="BP121" s="38"/>
      <c r="BQ121" s="38"/>
      <c r="BR121" s="38"/>
      <c r="BS121" s="38"/>
      <c r="BT121" s="38"/>
      <c r="BU121" s="38"/>
      <c r="BV121" s="38"/>
      <c r="BW121" s="38"/>
      <c r="BX121" s="38"/>
      <c r="BY121" s="38"/>
    </row>
    <row r="122" spans="2:77" x14ac:dyDescent="0.4"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38"/>
      <c r="BI122" s="38"/>
      <c r="BJ122" s="38"/>
      <c r="BK122" s="38"/>
      <c r="BL122" s="38"/>
      <c r="BM122" s="38"/>
      <c r="BN122" s="38"/>
      <c r="BO122" s="38"/>
      <c r="BP122" s="38"/>
      <c r="BQ122" s="38"/>
      <c r="BR122" s="38"/>
      <c r="BS122" s="38"/>
      <c r="BT122" s="38"/>
      <c r="BU122" s="38"/>
      <c r="BV122" s="38"/>
      <c r="BW122" s="38"/>
      <c r="BX122" s="38"/>
      <c r="BY122" s="38"/>
    </row>
    <row r="123" spans="2:77" x14ac:dyDescent="0.4"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38"/>
      <c r="BI123" s="38"/>
      <c r="BJ123" s="38"/>
      <c r="BK123" s="38"/>
      <c r="BL123" s="38"/>
      <c r="BM123" s="38"/>
      <c r="BN123" s="38"/>
      <c r="BO123" s="38"/>
      <c r="BP123" s="38"/>
      <c r="BQ123" s="38"/>
      <c r="BR123" s="38"/>
      <c r="BS123" s="38"/>
      <c r="BT123" s="38"/>
      <c r="BU123" s="38"/>
      <c r="BV123" s="38"/>
      <c r="BW123" s="38"/>
      <c r="BX123" s="38"/>
      <c r="BY123" s="38"/>
    </row>
    <row r="124" spans="2:77" x14ac:dyDescent="0.4"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38"/>
      <c r="BI124" s="38"/>
      <c r="BJ124" s="38"/>
      <c r="BK124" s="38"/>
      <c r="BL124" s="38"/>
      <c r="BM124" s="38"/>
      <c r="BN124" s="38"/>
      <c r="BO124" s="38"/>
      <c r="BP124" s="38"/>
      <c r="BQ124" s="38"/>
      <c r="BR124" s="38"/>
      <c r="BS124" s="38"/>
      <c r="BT124" s="38"/>
      <c r="BU124" s="38"/>
      <c r="BV124" s="38"/>
      <c r="BW124" s="38"/>
      <c r="BX124" s="38"/>
      <c r="BY124" s="38"/>
    </row>
    <row r="125" spans="2:77" x14ac:dyDescent="0.4"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38"/>
      <c r="BI125" s="38"/>
      <c r="BJ125" s="38"/>
      <c r="BK125" s="38"/>
      <c r="BL125" s="38"/>
      <c r="BM125" s="38"/>
      <c r="BN125" s="38"/>
      <c r="BO125" s="38"/>
      <c r="BP125" s="38"/>
      <c r="BQ125" s="38"/>
      <c r="BR125" s="38"/>
      <c r="BS125" s="38"/>
      <c r="BT125" s="38"/>
      <c r="BU125" s="38"/>
      <c r="BV125" s="38"/>
      <c r="BW125" s="38"/>
      <c r="BX125" s="38"/>
      <c r="BY125" s="38"/>
    </row>
    <row r="126" spans="2:77" x14ac:dyDescent="0.4"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38"/>
      <c r="BI126" s="38"/>
      <c r="BJ126" s="38"/>
      <c r="BK126" s="38"/>
      <c r="BL126" s="38"/>
      <c r="BM126" s="38"/>
      <c r="BN126" s="38"/>
      <c r="BO126" s="38"/>
      <c r="BP126" s="38"/>
      <c r="BQ126" s="38"/>
      <c r="BR126" s="38"/>
      <c r="BS126" s="38"/>
      <c r="BT126" s="38"/>
      <c r="BU126" s="38"/>
      <c r="BV126" s="38"/>
      <c r="BW126" s="38"/>
      <c r="BX126" s="38"/>
      <c r="BY126" s="38"/>
    </row>
    <row r="127" spans="2:77" x14ac:dyDescent="0.4"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38"/>
      <c r="BI127" s="38"/>
      <c r="BJ127" s="38"/>
      <c r="BK127" s="38"/>
      <c r="BL127" s="38"/>
      <c r="BM127" s="38"/>
      <c r="BN127" s="38"/>
      <c r="BO127" s="38"/>
      <c r="BP127" s="38"/>
      <c r="BQ127" s="38"/>
      <c r="BR127" s="38"/>
      <c r="BS127" s="38"/>
      <c r="BT127" s="38"/>
      <c r="BU127" s="38"/>
      <c r="BV127" s="38"/>
      <c r="BW127" s="38"/>
      <c r="BX127" s="38"/>
      <c r="BY127" s="38"/>
    </row>
    <row r="128" spans="2:77" x14ac:dyDescent="0.4"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38"/>
      <c r="BI128" s="38"/>
      <c r="BJ128" s="38"/>
      <c r="BK128" s="38"/>
      <c r="BL128" s="38"/>
      <c r="BM128" s="38"/>
      <c r="BN128" s="38"/>
      <c r="BO128" s="38"/>
      <c r="BP128" s="38"/>
      <c r="BQ128" s="38"/>
      <c r="BR128" s="38"/>
      <c r="BS128" s="38"/>
      <c r="BT128" s="38"/>
      <c r="BU128" s="38"/>
      <c r="BV128" s="38"/>
      <c r="BW128" s="38"/>
      <c r="BX128" s="38"/>
      <c r="BY128" s="38"/>
    </row>
    <row r="129" spans="2:77" x14ac:dyDescent="0.4"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38"/>
      <c r="BI129" s="38"/>
      <c r="BJ129" s="38"/>
      <c r="BK129" s="38"/>
      <c r="BL129" s="38"/>
      <c r="BM129" s="38"/>
      <c r="BN129" s="38"/>
      <c r="BO129" s="38"/>
      <c r="BP129" s="38"/>
      <c r="BQ129" s="38"/>
      <c r="BR129" s="38"/>
      <c r="BS129" s="38"/>
      <c r="BT129" s="38"/>
      <c r="BU129" s="38"/>
      <c r="BV129" s="38"/>
      <c r="BW129" s="38"/>
      <c r="BX129" s="38"/>
      <c r="BY129" s="38"/>
    </row>
    <row r="130" spans="2:77" x14ac:dyDescent="0.4"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38"/>
      <c r="BI130" s="38"/>
      <c r="BJ130" s="38"/>
      <c r="BK130" s="38"/>
      <c r="BL130" s="38"/>
      <c r="BM130" s="38"/>
      <c r="BN130" s="38"/>
      <c r="BO130" s="38"/>
      <c r="BP130" s="38"/>
      <c r="BQ130" s="38"/>
      <c r="BR130" s="38"/>
      <c r="BS130" s="38"/>
      <c r="BT130" s="38"/>
      <c r="BU130" s="38"/>
      <c r="BV130" s="38"/>
      <c r="BW130" s="38"/>
      <c r="BX130" s="38"/>
      <c r="BY130" s="38"/>
    </row>
    <row r="131" spans="2:77" x14ac:dyDescent="0.4"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38"/>
      <c r="BI131" s="38"/>
      <c r="BJ131" s="38"/>
      <c r="BK131" s="38"/>
      <c r="BL131" s="38"/>
      <c r="BM131" s="38"/>
      <c r="BN131" s="38"/>
      <c r="BO131" s="38"/>
      <c r="BP131" s="38"/>
      <c r="BQ131" s="38"/>
      <c r="BR131" s="38"/>
      <c r="BS131" s="38"/>
      <c r="BT131" s="38"/>
      <c r="BU131" s="38"/>
      <c r="BV131" s="38"/>
      <c r="BW131" s="38"/>
      <c r="BX131" s="38"/>
      <c r="BY131" s="38"/>
    </row>
    <row r="132" spans="2:77" x14ac:dyDescent="0.4"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38"/>
      <c r="BI132" s="38"/>
      <c r="BJ132" s="38"/>
      <c r="BK132" s="38"/>
      <c r="BL132" s="38"/>
      <c r="BM132" s="38"/>
      <c r="BN132" s="38"/>
      <c r="BO132" s="38"/>
      <c r="BP132" s="38"/>
      <c r="BQ132" s="38"/>
      <c r="BR132" s="38"/>
      <c r="BS132" s="38"/>
      <c r="BT132" s="38"/>
      <c r="BU132" s="38"/>
      <c r="BV132" s="38"/>
      <c r="BW132" s="38"/>
      <c r="BX132" s="38"/>
      <c r="BY132" s="38"/>
    </row>
    <row r="133" spans="2:77" x14ac:dyDescent="0.4"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38"/>
      <c r="BI133" s="38"/>
      <c r="BJ133" s="38"/>
      <c r="BK133" s="38"/>
      <c r="BL133" s="38"/>
      <c r="BM133" s="38"/>
      <c r="BN133" s="38"/>
      <c r="BO133" s="38"/>
      <c r="BP133" s="38"/>
      <c r="BQ133" s="38"/>
      <c r="BR133" s="38"/>
      <c r="BS133" s="38"/>
      <c r="BT133" s="38"/>
      <c r="BU133" s="38"/>
      <c r="BV133" s="38"/>
      <c r="BW133" s="38"/>
      <c r="BX133" s="38"/>
      <c r="BY133" s="38"/>
    </row>
    <row r="134" spans="2:77" x14ac:dyDescent="0.4"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38"/>
      <c r="BI134" s="38"/>
      <c r="BJ134" s="38"/>
      <c r="BK134" s="38"/>
      <c r="BL134" s="38"/>
      <c r="BM134" s="38"/>
      <c r="BN134" s="38"/>
      <c r="BO134" s="38"/>
      <c r="BP134" s="38"/>
      <c r="BQ134" s="38"/>
      <c r="BR134" s="38"/>
      <c r="BS134" s="38"/>
      <c r="BT134" s="38"/>
      <c r="BU134" s="38"/>
      <c r="BV134" s="38"/>
      <c r="BW134" s="38"/>
      <c r="BX134" s="38"/>
      <c r="BY134" s="38"/>
    </row>
    <row r="135" spans="2:77" x14ac:dyDescent="0.4"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38"/>
      <c r="BI135" s="38"/>
      <c r="BJ135" s="38"/>
      <c r="BK135" s="38"/>
      <c r="BL135" s="38"/>
      <c r="BM135" s="38"/>
      <c r="BN135" s="38"/>
      <c r="BO135" s="38"/>
      <c r="BP135" s="38"/>
      <c r="BQ135" s="38"/>
      <c r="BR135" s="38"/>
      <c r="BS135" s="38"/>
      <c r="BT135" s="38"/>
      <c r="BU135" s="38"/>
      <c r="BV135" s="38"/>
      <c r="BW135" s="38"/>
      <c r="BX135" s="38"/>
      <c r="BY135" s="38"/>
    </row>
    <row r="136" spans="2:77" x14ac:dyDescent="0.4"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38"/>
      <c r="BI136" s="38"/>
      <c r="BJ136" s="38"/>
      <c r="BK136" s="38"/>
      <c r="BL136" s="38"/>
      <c r="BM136" s="38"/>
      <c r="BN136" s="38"/>
      <c r="BO136" s="38"/>
      <c r="BP136" s="38"/>
      <c r="BQ136" s="38"/>
      <c r="BR136" s="38"/>
      <c r="BS136" s="38"/>
      <c r="BT136" s="38"/>
      <c r="BU136" s="38"/>
      <c r="BV136" s="38"/>
      <c r="BW136" s="38"/>
      <c r="BX136" s="38"/>
      <c r="BY136" s="38"/>
    </row>
    <row r="137" spans="2:77" x14ac:dyDescent="0.4"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38"/>
      <c r="BI137" s="38"/>
      <c r="BJ137" s="38"/>
      <c r="BK137" s="38"/>
      <c r="BL137" s="38"/>
      <c r="BM137" s="38"/>
      <c r="BN137" s="38"/>
      <c r="BO137" s="38"/>
      <c r="BP137" s="38"/>
      <c r="BQ137" s="38"/>
      <c r="BR137" s="38"/>
      <c r="BS137" s="38"/>
      <c r="BT137" s="38"/>
      <c r="BU137" s="38"/>
      <c r="BV137" s="38"/>
      <c r="BW137" s="38"/>
      <c r="BX137" s="38"/>
      <c r="BY137" s="38"/>
    </row>
    <row r="138" spans="2:77" x14ac:dyDescent="0.4"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38"/>
      <c r="BI138" s="38"/>
      <c r="BJ138" s="38"/>
      <c r="BK138" s="38"/>
      <c r="BL138" s="38"/>
      <c r="BM138" s="38"/>
      <c r="BN138" s="38"/>
      <c r="BO138" s="38"/>
      <c r="BP138" s="38"/>
      <c r="BQ138" s="38"/>
      <c r="BR138" s="38"/>
      <c r="BS138" s="38"/>
      <c r="BT138" s="38"/>
      <c r="BU138" s="38"/>
      <c r="BV138" s="38"/>
      <c r="BW138" s="38"/>
      <c r="BX138" s="38"/>
      <c r="BY138" s="38"/>
    </row>
    <row r="139" spans="2:77" x14ac:dyDescent="0.4"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38"/>
      <c r="BI139" s="38"/>
      <c r="BJ139" s="38"/>
      <c r="BK139" s="38"/>
      <c r="BL139" s="38"/>
      <c r="BM139" s="38"/>
      <c r="BN139" s="38"/>
      <c r="BO139" s="38"/>
      <c r="BP139" s="38"/>
      <c r="BQ139" s="38"/>
      <c r="BR139" s="38"/>
      <c r="BS139" s="38"/>
      <c r="BT139" s="38"/>
      <c r="BU139" s="38"/>
      <c r="BV139" s="38"/>
      <c r="BW139" s="38"/>
      <c r="BX139" s="38"/>
      <c r="BY139" s="38"/>
    </row>
    <row r="140" spans="2:77" x14ac:dyDescent="0.4"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38"/>
      <c r="BI140" s="38"/>
      <c r="BJ140" s="38"/>
      <c r="BK140" s="38"/>
      <c r="BL140" s="38"/>
      <c r="BM140" s="38"/>
      <c r="BN140" s="38"/>
      <c r="BO140" s="38"/>
      <c r="BP140" s="38"/>
      <c r="BQ140" s="38"/>
      <c r="BR140" s="38"/>
      <c r="BS140" s="38"/>
      <c r="BT140" s="38"/>
      <c r="BU140" s="38"/>
      <c r="BV140" s="38"/>
      <c r="BW140" s="38"/>
      <c r="BX140" s="38"/>
      <c r="BY140" s="38"/>
    </row>
    <row r="141" spans="2:77" x14ac:dyDescent="0.4"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38"/>
      <c r="BI141" s="38"/>
      <c r="BJ141" s="38"/>
      <c r="BK141" s="38"/>
      <c r="BL141" s="38"/>
      <c r="BM141" s="38"/>
      <c r="BN141" s="38"/>
      <c r="BO141" s="38"/>
      <c r="BP141" s="38"/>
      <c r="BQ141" s="38"/>
      <c r="BR141" s="38"/>
      <c r="BS141" s="38"/>
      <c r="BT141" s="38"/>
      <c r="BU141" s="38"/>
      <c r="BV141" s="38"/>
      <c r="BW141" s="38"/>
      <c r="BX141" s="38"/>
      <c r="BY141" s="38"/>
    </row>
    <row r="142" spans="2:77" x14ac:dyDescent="0.4"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38"/>
      <c r="BI142" s="38"/>
      <c r="BJ142" s="38"/>
      <c r="BK142" s="38"/>
      <c r="BL142" s="38"/>
      <c r="BM142" s="38"/>
      <c r="BN142" s="38"/>
      <c r="BO142" s="38"/>
      <c r="BP142" s="38"/>
      <c r="BQ142" s="38"/>
      <c r="BR142" s="38"/>
      <c r="BS142" s="38"/>
      <c r="BT142" s="38"/>
      <c r="BU142" s="38"/>
      <c r="BV142" s="38"/>
      <c r="BW142" s="38"/>
      <c r="BX142" s="38"/>
      <c r="BY142" s="38"/>
    </row>
    <row r="143" spans="2:77" x14ac:dyDescent="0.4"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38"/>
      <c r="BI143" s="38"/>
      <c r="BJ143" s="38"/>
      <c r="BK143" s="38"/>
      <c r="BL143" s="38"/>
      <c r="BM143" s="38"/>
      <c r="BN143" s="38"/>
      <c r="BO143" s="38"/>
      <c r="BP143" s="38"/>
      <c r="BQ143" s="38"/>
      <c r="BR143" s="38"/>
      <c r="BS143" s="38"/>
      <c r="BT143" s="38"/>
      <c r="BU143" s="38"/>
      <c r="BV143" s="38"/>
      <c r="BW143" s="38"/>
      <c r="BX143" s="38"/>
      <c r="BY143" s="38"/>
    </row>
    <row r="144" spans="2:77" x14ac:dyDescent="0.4"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38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8"/>
      <c r="BV144" s="38"/>
      <c r="BW144" s="38"/>
      <c r="BX144" s="38"/>
      <c r="BY144" s="38"/>
    </row>
    <row r="145" spans="2:77" x14ac:dyDescent="0.4"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38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</row>
    <row r="146" spans="2:77" x14ac:dyDescent="0.4"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38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</row>
    <row r="147" spans="2:77" x14ac:dyDescent="0.4"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38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</row>
    <row r="148" spans="2:77" x14ac:dyDescent="0.4"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38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</row>
    <row r="149" spans="2:77" x14ac:dyDescent="0.4"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38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</row>
    <row r="150" spans="2:77" x14ac:dyDescent="0.4"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38"/>
      <c r="BI150" s="38"/>
      <c r="BJ150" s="38"/>
      <c r="BK150" s="38"/>
      <c r="BL150" s="38"/>
      <c r="BM150" s="38"/>
      <c r="BN150" s="38"/>
      <c r="BO150" s="38"/>
      <c r="BP150" s="38"/>
      <c r="BQ150" s="38"/>
      <c r="BR150" s="38"/>
      <c r="BS150" s="38"/>
      <c r="BT150" s="38"/>
      <c r="BU150" s="38"/>
      <c r="BV150" s="38"/>
      <c r="BW150" s="38"/>
      <c r="BX150" s="38"/>
      <c r="BY150" s="38"/>
    </row>
    <row r="151" spans="2:77" x14ac:dyDescent="0.4"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38"/>
      <c r="BI151" s="38"/>
      <c r="BJ151" s="38"/>
      <c r="BK151" s="38"/>
      <c r="BL151" s="38"/>
      <c r="BM151" s="38"/>
      <c r="BN151" s="38"/>
      <c r="BO151" s="38"/>
      <c r="BP151" s="38"/>
      <c r="BQ151" s="38"/>
      <c r="BR151" s="38"/>
      <c r="BS151" s="38"/>
      <c r="BT151" s="38"/>
      <c r="BU151" s="38"/>
      <c r="BV151" s="38"/>
      <c r="BW151" s="38"/>
      <c r="BX151" s="38"/>
      <c r="BY151" s="38"/>
    </row>
    <row r="152" spans="2:77" x14ac:dyDescent="0.4"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38"/>
      <c r="BI152" s="38"/>
      <c r="BJ152" s="38"/>
      <c r="BK152" s="38"/>
      <c r="BL152" s="38"/>
      <c r="BM152" s="38"/>
      <c r="BN152" s="38"/>
      <c r="BO152" s="38"/>
      <c r="BP152" s="38"/>
      <c r="BQ152" s="38"/>
      <c r="BR152" s="38"/>
      <c r="BS152" s="38"/>
      <c r="BT152" s="38"/>
      <c r="BU152" s="38"/>
      <c r="BV152" s="38"/>
      <c r="BW152" s="38"/>
      <c r="BX152" s="38"/>
      <c r="BY152" s="38"/>
    </row>
    <row r="153" spans="2:77" x14ac:dyDescent="0.4"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38"/>
      <c r="BI153" s="38"/>
      <c r="BJ153" s="38"/>
      <c r="BK153" s="38"/>
      <c r="BL153" s="38"/>
      <c r="BM153" s="38"/>
      <c r="BN153" s="38"/>
      <c r="BO153" s="38"/>
      <c r="BP153" s="38"/>
      <c r="BQ153" s="38"/>
      <c r="BR153" s="38"/>
      <c r="BS153" s="38"/>
      <c r="BT153" s="38"/>
      <c r="BU153" s="38"/>
      <c r="BV153" s="38"/>
      <c r="BW153" s="38"/>
      <c r="BX153" s="38"/>
      <c r="BY153" s="38"/>
    </row>
    <row r="154" spans="2:77" x14ac:dyDescent="0.4"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38"/>
      <c r="BI154" s="38"/>
      <c r="BJ154" s="38"/>
      <c r="BK154" s="38"/>
      <c r="BL154" s="38"/>
      <c r="BM154" s="38"/>
      <c r="BN154" s="38"/>
      <c r="BO154" s="38"/>
      <c r="BP154" s="38"/>
      <c r="BQ154" s="38"/>
      <c r="BR154" s="38"/>
      <c r="BS154" s="38"/>
      <c r="BT154" s="38"/>
      <c r="BU154" s="38"/>
      <c r="BV154" s="38"/>
      <c r="BW154" s="38"/>
      <c r="BX154" s="38"/>
      <c r="BY154" s="38"/>
    </row>
    <row r="155" spans="2:77" x14ac:dyDescent="0.4"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38"/>
      <c r="BI155" s="38"/>
      <c r="BJ155" s="38"/>
      <c r="BK155" s="38"/>
      <c r="BL155" s="38"/>
      <c r="BM155" s="38"/>
      <c r="BN155" s="38"/>
      <c r="BO155" s="38"/>
      <c r="BP155" s="38"/>
      <c r="BQ155" s="38"/>
      <c r="BR155" s="38"/>
      <c r="BS155" s="38"/>
      <c r="BT155" s="38"/>
      <c r="BU155" s="38"/>
      <c r="BV155" s="38"/>
      <c r="BW155" s="38"/>
      <c r="BX155" s="38"/>
      <c r="BY155" s="38"/>
    </row>
    <row r="156" spans="2:77" x14ac:dyDescent="0.4"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38"/>
      <c r="BI156" s="38"/>
      <c r="BJ156" s="38"/>
      <c r="BK156" s="38"/>
      <c r="BL156" s="38"/>
      <c r="BM156" s="38"/>
      <c r="BN156" s="38"/>
      <c r="BO156" s="38"/>
      <c r="BP156" s="38"/>
      <c r="BQ156" s="38"/>
      <c r="BR156" s="38"/>
      <c r="BS156" s="38"/>
      <c r="BT156" s="38"/>
      <c r="BU156" s="38"/>
      <c r="BV156" s="38"/>
      <c r="BW156" s="38"/>
      <c r="BX156" s="38"/>
      <c r="BY156" s="38"/>
    </row>
    <row r="157" spans="2:77" x14ac:dyDescent="0.4"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38"/>
      <c r="BI157" s="38"/>
      <c r="BJ157" s="38"/>
      <c r="BK157" s="38"/>
      <c r="BL157" s="38"/>
      <c r="BM157" s="38"/>
      <c r="BN157" s="38"/>
      <c r="BO157" s="38"/>
      <c r="BP157" s="38"/>
      <c r="BQ157" s="38"/>
      <c r="BR157" s="38"/>
      <c r="BS157" s="38"/>
      <c r="BT157" s="38"/>
      <c r="BU157" s="38"/>
      <c r="BV157" s="38"/>
      <c r="BW157" s="38"/>
      <c r="BX157" s="38"/>
      <c r="BY157" s="38"/>
    </row>
    <row r="158" spans="2:77" x14ac:dyDescent="0.4"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38"/>
      <c r="BI158" s="38"/>
      <c r="BJ158" s="38"/>
      <c r="BK158" s="38"/>
      <c r="BL158" s="38"/>
      <c r="BM158" s="38"/>
      <c r="BN158" s="38"/>
      <c r="BO158" s="38"/>
      <c r="BP158" s="38"/>
      <c r="BQ158" s="38"/>
      <c r="BR158" s="38"/>
      <c r="BS158" s="38"/>
      <c r="BT158" s="38"/>
      <c r="BU158" s="38"/>
      <c r="BV158" s="38"/>
      <c r="BW158" s="38"/>
      <c r="BX158" s="38"/>
      <c r="BY158" s="38"/>
    </row>
    <row r="159" spans="2:77" x14ac:dyDescent="0.4"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38"/>
      <c r="BI159" s="38"/>
      <c r="BJ159" s="38"/>
      <c r="BK159" s="38"/>
      <c r="BL159" s="38"/>
      <c r="BM159" s="38"/>
      <c r="BN159" s="38"/>
      <c r="BO159" s="38"/>
      <c r="BP159" s="38"/>
      <c r="BQ159" s="38"/>
      <c r="BR159" s="38"/>
      <c r="BS159" s="38"/>
      <c r="BT159" s="38"/>
      <c r="BU159" s="38"/>
      <c r="BV159" s="38"/>
      <c r="BW159" s="38"/>
      <c r="BX159" s="38"/>
      <c r="BY159" s="38"/>
    </row>
    <row r="160" spans="2:77" x14ac:dyDescent="0.4"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38"/>
      <c r="BI160" s="38"/>
      <c r="BJ160" s="38"/>
      <c r="BK160" s="38"/>
      <c r="BL160" s="38"/>
      <c r="BM160" s="38"/>
      <c r="BN160" s="38"/>
      <c r="BO160" s="38"/>
      <c r="BP160" s="38"/>
      <c r="BQ160" s="38"/>
      <c r="BR160" s="38"/>
      <c r="BS160" s="38"/>
      <c r="BT160" s="38"/>
      <c r="BU160" s="38"/>
      <c r="BV160" s="38"/>
      <c r="BW160" s="38"/>
      <c r="BX160" s="38"/>
      <c r="BY160" s="38"/>
    </row>
    <row r="161" spans="2:77" x14ac:dyDescent="0.4"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38"/>
      <c r="BI161" s="38"/>
      <c r="BJ161" s="38"/>
      <c r="BK161" s="38"/>
      <c r="BL161" s="38"/>
      <c r="BM161" s="38"/>
      <c r="BN161" s="38"/>
      <c r="BO161" s="38"/>
      <c r="BP161" s="38"/>
      <c r="BQ161" s="38"/>
      <c r="BR161" s="38"/>
      <c r="BS161" s="38"/>
      <c r="BT161" s="38"/>
      <c r="BU161" s="38"/>
      <c r="BV161" s="38"/>
      <c r="BW161" s="38"/>
      <c r="BX161" s="38"/>
      <c r="BY161" s="38"/>
    </row>
    <row r="162" spans="2:77" x14ac:dyDescent="0.4"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38"/>
      <c r="BI162" s="38"/>
      <c r="BJ162" s="38"/>
      <c r="BK162" s="38"/>
      <c r="BL162" s="38"/>
      <c r="BM162" s="38"/>
      <c r="BN162" s="38"/>
      <c r="BO162" s="38"/>
      <c r="BP162" s="38"/>
      <c r="BQ162" s="38"/>
      <c r="BR162" s="38"/>
      <c r="BS162" s="38"/>
      <c r="BT162" s="38"/>
      <c r="BU162" s="38"/>
      <c r="BV162" s="38"/>
      <c r="BW162" s="38"/>
      <c r="BX162" s="38"/>
      <c r="BY162" s="38"/>
    </row>
    <row r="163" spans="2:77" x14ac:dyDescent="0.4"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38"/>
      <c r="BI163" s="38"/>
      <c r="BJ163" s="38"/>
      <c r="BK163" s="38"/>
      <c r="BL163" s="38"/>
      <c r="BM163" s="38"/>
      <c r="BN163" s="38"/>
      <c r="BO163" s="38"/>
      <c r="BP163" s="38"/>
      <c r="BQ163" s="38"/>
      <c r="BR163" s="38"/>
      <c r="BS163" s="38"/>
      <c r="BT163" s="38"/>
      <c r="BU163" s="38"/>
      <c r="BV163" s="38"/>
      <c r="BW163" s="38"/>
      <c r="BX163" s="38"/>
      <c r="BY163" s="38"/>
    </row>
    <row r="164" spans="2:77" x14ac:dyDescent="0.4"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38"/>
      <c r="BI164" s="38"/>
      <c r="BJ164" s="38"/>
      <c r="BK164" s="38"/>
      <c r="BL164" s="38"/>
      <c r="BM164" s="38"/>
      <c r="BN164" s="38"/>
      <c r="BO164" s="38"/>
      <c r="BP164" s="38"/>
      <c r="BQ164" s="38"/>
      <c r="BR164" s="38"/>
      <c r="BS164" s="38"/>
      <c r="BT164" s="38"/>
      <c r="BU164" s="38"/>
      <c r="BV164" s="38"/>
      <c r="BW164" s="38"/>
      <c r="BX164" s="38"/>
      <c r="BY164" s="38"/>
    </row>
    <row r="165" spans="2:77" x14ac:dyDescent="0.4"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38"/>
      <c r="BI165" s="38"/>
      <c r="BJ165" s="38"/>
      <c r="BK165" s="38"/>
      <c r="BL165" s="38"/>
      <c r="BM165" s="38"/>
      <c r="BN165" s="38"/>
      <c r="BO165" s="38"/>
      <c r="BP165" s="38"/>
      <c r="BQ165" s="38"/>
      <c r="BR165" s="38"/>
      <c r="BS165" s="38"/>
      <c r="BT165" s="38"/>
      <c r="BU165" s="38"/>
      <c r="BV165" s="38"/>
      <c r="BW165" s="38"/>
      <c r="BX165" s="38"/>
      <c r="BY165" s="38"/>
    </row>
    <row r="166" spans="2:77" x14ac:dyDescent="0.4"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38"/>
      <c r="BI166" s="38"/>
      <c r="BJ166" s="38"/>
      <c r="BK166" s="38"/>
      <c r="BL166" s="38"/>
      <c r="BM166" s="38"/>
      <c r="BN166" s="38"/>
      <c r="BO166" s="38"/>
      <c r="BP166" s="38"/>
      <c r="BQ166" s="38"/>
      <c r="BR166" s="38"/>
      <c r="BS166" s="38"/>
      <c r="BT166" s="38"/>
      <c r="BU166" s="38"/>
      <c r="BV166" s="38"/>
      <c r="BW166" s="38"/>
      <c r="BX166" s="38"/>
      <c r="BY166" s="38"/>
    </row>
    <row r="167" spans="2:77" x14ac:dyDescent="0.4"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38"/>
      <c r="BI167" s="38"/>
      <c r="BJ167" s="38"/>
      <c r="BK167" s="38"/>
      <c r="BL167" s="38"/>
      <c r="BM167" s="38"/>
      <c r="BN167" s="38"/>
      <c r="BO167" s="38"/>
      <c r="BP167" s="38"/>
      <c r="BQ167" s="38"/>
      <c r="BR167" s="38"/>
      <c r="BS167" s="38"/>
      <c r="BT167" s="38"/>
      <c r="BU167" s="38"/>
      <c r="BV167" s="38"/>
      <c r="BW167" s="38"/>
      <c r="BX167" s="38"/>
      <c r="BY167" s="38"/>
    </row>
    <row r="168" spans="2:77" x14ac:dyDescent="0.4"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38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38"/>
      <c r="BV168" s="38"/>
      <c r="BW168" s="38"/>
      <c r="BX168" s="38"/>
      <c r="BY168" s="38"/>
    </row>
    <row r="169" spans="2:77" x14ac:dyDescent="0.4"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38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</row>
    <row r="170" spans="2:77" x14ac:dyDescent="0.4"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38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</row>
    <row r="171" spans="2:77" x14ac:dyDescent="0.4"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38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</row>
    <row r="172" spans="2:77" x14ac:dyDescent="0.4"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38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</row>
    <row r="173" spans="2:77" x14ac:dyDescent="0.4"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38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</row>
    <row r="174" spans="2:77" x14ac:dyDescent="0.4"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38"/>
      <c r="BI174" s="38"/>
      <c r="BJ174" s="38"/>
      <c r="BK174" s="38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</row>
    <row r="175" spans="2:77" x14ac:dyDescent="0.4"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38"/>
      <c r="BI175" s="38"/>
      <c r="BJ175" s="38"/>
      <c r="BK175" s="38"/>
      <c r="BL175" s="38"/>
      <c r="BM175" s="38"/>
      <c r="BN175" s="38"/>
      <c r="BO175" s="38"/>
      <c r="BP175" s="38"/>
      <c r="BQ175" s="38"/>
      <c r="BR175" s="38"/>
      <c r="BS175" s="38"/>
      <c r="BT175" s="38"/>
      <c r="BU175" s="38"/>
      <c r="BV175" s="38"/>
      <c r="BW175" s="38"/>
      <c r="BX175" s="38"/>
      <c r="BY175" s="38"/>
    </row>
    <row r="176" spans="2:77" x14ac:dyDescent="0.4"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38"/>
      <c r="BI176" s="38"/>
      <c r="BJ176" s="38"/>
      <c r="BK176" s="38"/>
      <c r="BL176" s="38"/>
      <c r="BM176" s="38"/>
      <c r="BN176" s="38"/>
      <c r="BO176" s="38"/>
      <c r="BP176" s="38"/>
      <c r="BQ176" s="38"/>
      <c r="BR176" s="38"/>
      <c r="BS176" s="38"/>
      <c r="BT176" s="38"/>
      <c r="BU176" s="38"/>
      <c r="BV176" s="38"/>
      <c r="BW176" s="38"/>
      <c r="BX176" s="38"/>
      <c r="BY176" s="38"/>
    </row>
    <row r="177" spans="2:77" x14ac:dyDescent="0.4"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38"/>
      <c r="BI177" s="38"/>
      <c r="BJ177" s="38"/>
      <c r="BK177" s="38"/>
      <c r="BL177" s="38"/>
      <c r="BM177" s="38"/>
      <c r="BN177" s="38"/>
      <c r="BO177" s="38"/>
      <c r="BP177" s="38"/>
      <c r="BQ177" s="38"/>
      <c r="BR177" s="38"/>
      <c r="BS177" s="38"/>
      <c r="BT177" s="38"/>
      <c r="BU177" s="38"/>
      <c r="BV177" s="38"/>
      <c r="BW177" s="38"/>
      <c r="BX177" s="38"/>
      <c r="BY177" s="38"/>
    </row>
    <row r="178" spans="2:77" x14ac:dyDescent="0.4"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38"/>
      <c r="BI178" s="38"/>
      <c r="BJ178" s="38"/>
      <c r="BK178" s="38"/>
      <c r="BL178" s="38"/>
      <c r="BM178" s="38"/>
      <c r="BN178" s="38"/>
      <c r="BO178" s="38"/>
      <c r="BP178" s="38"/>
      <c r="BQ178" s="38"/>
      <c r="BR178" s="38"/>
      <c r="BS178" s="38"/>
      <c r="BT178" s="38"/>
      <c r="BU178" s="38"/>
      <c r="BV178" s="38"/>
      <c r="BW178" s="38"/>
      <c r="BX178" s="38"/>
      <c r="BY178" s="38"/>
    </row>
    <row r="179" spans="2:77" x14ac:dyDescent="0.4"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38"/>
      <c r="BI179" s="38"/>
      <c r="BJ179" s="38"/>
      <c r="BK179" s="38"/>
      <c r="BL179" s="38"/>
      <c r="BM179" s="38"/>
      <c r="BN179" s="38"/>
      <c r="BO179" s="38"/>
      <c r="BP179" s="38"/>
      <c r="BQ179" s="38"/>
      <c r="BR179" s="38"/>
      <c r="BS179" s="38"/>
      <c r="BT179" s="38"/>
      <c r="BU179" s="38"/>
      <c r="BV179" s="38"/>
      <c r="BW179" s="38"/>
      <c r="BX179" s="38"/>
      <c r="BY179" s="38"/>
    </row>
    <row r="180" spans="2:77" x14ac:dyDescent="0.4"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38"/>
      <c r="BI180" s="38"/>
      <c r="BJ180" s="38"/>
      <c r="BK180" s="38"/>
      <c r="BL180" s="38"/>
      <c r="BM180" s="38"/>
      <c r="BN180" s="38"/>
      <c r="BO180" s="38"/>
      <c r="BP180" s="38"/>
      <c r="BQ180" s="38"/>
      <c r="BR180" s="38"/>
      <c r="BS180" s="38"/>
      <c r="BT180" s="38"/>
      <c r="BU180" s="38"/>
      <c r="BV180" s="38"/>
      <c r="BW180" s="38"/>
      <c r="BX180" s="38"/>
      <c r="BY180" s="38"/>
    </row>
    <row r="181" spans="2:77" x14ac:dyDescent="0.4"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38"/>
      <c r="BI181" s="38"/>
      <c r="BJ181" s="38"/>
      <c r="BK181" s="38"/>
      <c r="BL181" s="38"/>
      <c r="BM181" s="38"/>
      <c r="BN181" s="38"/>
      <c r="BO181" s="38"/>
      <c r="BP181" s="38"/>
      <c r="BQ181" s="38"/>
      <c r="BR181" s="38"/>
      <c r="BS181" s="38"/>
      <c r="BT181" s="38"/>
      <c r="BU181" s="38"/>
      <c r="BV181" s="38"/>
      <c r="BW181" s="38"/>
      <c r="BX181" s="38"/>
      <c r="BY181" s="38"/>
    </row>
    <row r="182" spans="2:77" x14ac:dyDescent="0.4"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38"/>
      <c r="BI182" s="38"/>
      <c r="BJ182" s="38"/>
      <c r="BK182" s="38"/>
      <c r="BL182" s="38"/>
      <c r="BM182" s="38"/>
      <c r="BN182" s="38"/>
      <c r="BO182" s="38"/>
      <c r="BP182" s="38"/>
      <c r="BQ182" s="38"/>
      <c r="BR182" s="38"/>
      <c r="BS182" s="38"/>
      <c r="BT182" s="38"/>
      <c r="BU182" s="38"/>
      <c r="BV182" s="38"/>
      <c r="BW182" s="38"/>
      <c r="BX182" s="38"/>
      <c r="BY182" s="38"/>
    </row>
    <row r="183" spans="2:77" x14ac:dyDescent="0.4"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38"/>
      <c r="BI183" s="38"/>
      <c r="BJ183" s="38"/>
      <c r="BK183" s="38"/>
      <c r="BL183" s="38"/>
      <c r="BM183" s="38"/>
      <c r="BN183" s="38"/>
      <c r="BO183" s="38"/>
      <c r="BP183" s="38"/>
      <c r="BQ183" s="38"/>
      <c r="BR183" s="38"/>
      <c r="BS183" s="38"/>
      <c r="BT183" s="38"/>
      <c r="BU183" s="38"/>
      <c r="BV183" s="38"/>
      <c r="BW183" s="38"/>
      <c r="BX183" s="38"/>
      <c r="BY183" s="38"/>
    </row>
    <row r="184" spans="2:77" x14ac:dyDescent="0.4"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38"/>
      <c r="BI184" s="38"/>
      <c r="BJ184" s="38"/>
      <c r="BK184" s="38"/>
      <c r="BL184" s="38"/>
      <c r="BM184" s="38"/>
      <c r="BN184" s="38"/>
      <c r="BO184" s="38"/>
      <c r="BP184" s="38"/>
      <c r="BQ184" s="38"/>
      <c r="BR184" s="38"/>
      <c r="BS184" s="38"/>
      <c r="BT184" s="38"/>
      <c r="BU184" s="38"/>
      <c r="BV184" s="38"/>
      <c r="BW184" s="38"/>
      <c r="BX184" s="38"/>
      <c r="BY184" s="38"/>
    </row>
    <row r="185" spans="2:77" x14ac:dyDescent="0.4"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8"/>
      <c r="AJ185" s="38"/>
      <c r="AK185" s="38"/>
      <c r="AL185" s="38"/>
      <c r="AM185" s="38"/>
      <c r="AN185" s="38"/>
      <c r="AO185" s="38"/>
      <c r="AP185" s="38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  <c r="BA185" s="38"/>
      <c r="BB185" s="38"/>
      <c r="BC185" s="38"/>
      <c r="BD185" s="38"/>
      <c r="BE185" s="38"/>
      <c r="BF185" s="38"/>
      <c r="BG185" s="38"/>
      <c r="BH185" s="38"/>
      <c r="BI185" s="38"/>
      <c r="BJ185" s="38"/>
      <c r="BK185" s="38"/>
      <c r="BL185" s="38"/>
      <c r="BM185" s="38"/>
      <c r="BN185" s="38"/>
      <c r="BO185" s="38"/>
      <c r="BP185" s="38"/>
      <c r="BQ185" s="38"/>
      <c r="BR185" s="38"/>
      <c r="BS185" s="38"/>
      <c r="BT185" s="38"/>
      <c r="BU185" s="38"/>
      <c r="BV185" s="38"/>
      <c r="BW185" s="38"/>
      <c r="BX185" s="38"/>
      <c r="BY185" s="38"/>
    </row>
    <row r="186" spans="2:77" x14ac:dyDescent="0.4"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8"/>
      <c r="AJ186" s="38"/>
      <c r="AK186" s="38"/>
      <c r="AL186" s="38"/>
      <c r="AM186" s="38"/>
      <c r="AN186" s="38"/>
      <c r="AO186" s="38"/>
      <c r="AP186" s="38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  <c r="BA186" s="38"/>
      <c r="BB186" s="38"/>
      <c r="BC186" s="38"/>
      <c r="BD186" s="38"/>
      <c r="BE186" s="38"/>
      <c r="BF186" s="38"/>
      <c r="BG186" s="38"/>
      <c r="BH186" s="38"/>
      <c r="BI186" s="38"/>
      <c r="BJ186" s="38"/>
      <c r="BK186" s="38"/>
      <c r="BL186" s="38"/>
      <c r="BM186" s="38"/>
      <c r="BN186" s="38"/>
      <c r="BO186" s="38"/>
      <c r="BP186" s="38"/>
      <c r="BQ186" s="38"/>
      <c r="BR186" s="38"/>
      <c r="BS186" s="38"/>
      <c r="BT186" s="38"/>
      <c r="BU186" s="38"/>
      <c r="BV186" s="38"/>
      <c r="BW186" s="38"/>
      <c r="BX186" s="38"/>
      <c r="BY186" s="38"/>
    </row>
    <row r="187" spans="2:77" x14ac:dyDescent="0.4"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8"/>
      <c r="AJ187" s="38"/>
      <c r="AK187" s="38"/>
      <c r="AL187" s="38"/>
      <c r="AM187" s="38"/>
      <c r="AN187" s="38"/>
      <c r="AO187" s="38"/>
      <c r="AP187" s="38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  <c r="BA187" s="38"/>
      <c r="BB187" s="38"/>
      <c r="BC187" s="38"/>
      <c r="BD187" s="38"/>
      <c r="BE187" s="38"/>
      <c r="BF187" s="38"/>
      <c r="BG187" s="38"/>
      <c r="BH187" s="38"/>
      <c r="BI187" s="38"/>
      <c r="BJ187" s="38"/>
      <c r="BK187" s="38"/>
      <c r="BL187" s="38"/>
      <c r="BM187" s="38"/>
      <c r="BN187" s="38"/>
      <c r="BO187" s="38"/>
      <c r="BP187" s="38"/>
      <c r="BQ187" s="38"/>
      <c r="BR187" s="38"/>
      <c r="BS187" s="38"/>
      <c r="BT187" s="38"/>
      <c r="BU187" s="38"/>
      <c r="BV187" s="38"/>
      <c r="BW187" s="38"/>
      <c r="BX187" s="38"/>
      <c r="BY187" s="38"/>
    </row>
    <row r="188" spans="2:77" x14ac:dyDescent="0.4"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I188" s="38"/>
      <c r="AJ188" s="38"/>
      <c r="AK188" s="38"/>
      <c r="AL188" s="38"/>
      <c r="AM188" s="38"/>
      <c r="AN188" s="38"/>
      <c r="AO188" s="38"/>
      <c r="AP188" s="38"/>
      <c r="AQ188" s="38"/>
      <c r="AR188" s="38"/>
      <c r="AS188" s="38"/>
      <c r="AT188" s="38"/>
      <c r="AU188" s="38"/>
      <c r="AV188" s="38"/>
      <c r="AW188" s="38"/>
      <c r="AX188" s="38"/>
      <c r="AY188" s="38"/>
      <c r="AZ188" s="38"/>
      <c r="BA188" s="38"/>
      <c r="BB188" s="38"/>
      <c r="BC188" s="38"/>
      <c r="BD188" s="38"/>
      <c r="BE188" s="38"/>
      <c r="BF188" s="38"/>
      <c r="BG188" s="38"/>
      <c r="BH188" s="38"/>
      <c r="BI188" s="38"/>
      <c r="BJ188" s="38"/>
      <c r="BK188" s="38"/>
      <c r="BL188" s="38"/>
      <c r="BM188" s="38"/>
      <c r="BN188" s="38"/>
      <c r="BO188" s="38"/>
      <c r="BP188" s="38"/>
      <c r="BQ188" s="38"/>
      <c r="BR188" s="38"/>
      <c r="BS188" s="38"/>
      <c r="BT188" s="38"/>
      <c r="BU188" s="38"/>
      <c r="BV188" s="38"/>
      <c r="BW188" s="38"/>
      <c r="BX188" s="38"/>
      <c r="BY188" s="38"/>
    </row>
    <row r="189" spans="2:77" x14ac:dyDescent="0.4"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8"/>
      <c r="AJ189" s="38"/>
      <c r="AK189" s="38"/>
      <c r="AL189" s="38"/>
      <c r="AM189" s="38"/>
      <c r="AN189" s="38"/>
      <c r="AO189" s="38"/>
      <c r="AP189" s="38"/>
      <c r="AQ189" s="38"/>
      <c r="AR189" s="38"/>
      <c r="AS189" s="38"/>
      <c r="AT189" s="38"/>
      <c r="AU189" s="38"/>
      <c r="AV189" s="38"/>
      <c r="AW189" s="38"/>
      <c r="AX189" s="38"/>
      <c r="AY189" s="38"/>
      <c r="AZ189" s="38"/>
      <c r="BA189" s="38"/>
      <c r="BB189" s="38"/>
      <c r="BC189" s="38"/>
      <c r="BD189" s="38"/>
      <c r="BE189" s="38"/>
      <c r="BF189" s="38"/>
      <c r="BG189" s="38"/>
      <c r="BH189" s="38"/>
      <c r="BI189" s="38"/>
      <c r="BJ189" s="38"/>
      <c r="BK189" s="38"/>
      <c r="BL189" s="38"/>
      <c r="BM189" s="38"/>
      <c r="BN189" s="38"/>
      <c r="BO189" s="38"/>
      <c r="BP189" s="38"/>
      <c r="BQ189" s="38"/>
      <c r="BR189" s="38"/>
      <c r="BS189" s="38"/>
      <c r="BT189" s="38"/>
      <c r="BU189" s="38"/>
      <c r="BV189" s="38"/>
      <c r="BW189" s="38"/>
      <c r="BX189" s="38"/>
      <c r="BY189" s="38"/>
    </row>
    <row r="190" spans="2:77" x14ac:dyDescent="0.4"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  <c r="AG190" s="38"/>
      <c r="AH190" s="38"/>
      <c r="AI190" s="38"/>
      <c r="AJ190" s="38"/>
      <c r="AK190" s="38"/>
      <c r="AL190" s="38"/>
      <c r="AM190" s="38"/>
      <c r="AN190" s="38"/>
      <c r="AO190" s="38"/>
      <c r="AP190" s="38"/>
      <c r="AQ190" s="38"/>
      <c r="AR190" s="38"/>
      <c r="AS190" s="38"/>
      <c r="AT190" s="38"/>
      <c r="AU190" s="38"/>
      <c r="AV190" s="38"/>
      <c r="AW190" s="38"/>
      <c r="AX190" s="38"/>
      <c r="AY190" s="38"/>
      <c r="AZ190" s="38"/>
      <c r="BA190" s="38"/>
      <c r="BB190" s="38"/>
      <c r="BC190" s="38"/>
      <c r="BD190" s="38"/>
      <c r="BE190" s="38"/>
      <c r="BF190" s="38"/>
      <c r="BG190" s="38"/>
      <c r="BH190" s="38"/>
      <c r="BI190" s="38"/>
      <c r="BJ190" s="38"/>
      <c r="BK190" s="38"/>
      <c r="BL190" s="38"/>
      <c r="BM190" s="38"/>
      <c r="BN190" s="38"/>
      <c r="BO190" s="38"/>
      <c r="BP190" s="38"/>
      <c r="BQ190" s="38"/>
      <c r="BR190" s="38"/>
      <c r="BS190" s="38"/>
      <c r="BT190" s="38"/>
      <c r="BU190" s="38"/>
      <c r="BV190" s="38"/>
      <c r="BW190" s="38"/>
      <c r="BX190" s="38"/>
      <c r="BY190" s="38"/>
    </row>
    <row r="191" spans="2:77" x14ac:dyDescent="0.4"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I191" s="38"/>
      <c r="AJ191" s="38"/>
      <c r="AK191" s="38"/>
      <c r="AL191" s="38"/>
      <c r="AM191" s="38"/>
      <c r="AN191" s="38"/>
      <c r="AO191" s="38"/>
      <c r="AP191" s="38"/>
      <c r="AQ191" s="38"/>
      <c r="AR191" s="38"/>
      <c r="AS191" s="38"/>
      <c r="AT191" s="38"/>
      <c r="AU191" s="38"/>
      <c r="AV191" s="38"/>
      <c r="AW191" s="38"/>
      <c r="AX191" s="38"/>
      <c r="AY191" s="38"/>
      <c r="AZ191" s="38"/>
      <c r="BA191" s="38"/>
      <c r="BB191" s="38"/>
      <c r="BC191" s="38"/>
      <c r="BD191" s="38"/>
      <c r="BE191" s="38"/>
      <c r="BF191" s="38"/>
      <c r="BG191" s="38"/>
      <c r="BH191" s="38"/>
      <c r="BI191" s="38"/>
      <c r="BJ191" s="38"/>
      <c r="BK191" s="38"/>
      <c r="BL191" s="38"/>
      <c r="BM191" s="38"/>
      <c r="BN191" s="38"/>
      <c r="BO191" s="38"/>
      <c r="BP191" s="38"/>
      <c r="BQ191" s="38"/>
      <c r="BR191" s="38"/>
      <c r="BS191" s="38"/>
      <c r="BT191" s="38"/>
      <c r="BU191" s="38"/>
      <c r="BV191" s="38"/>
      <c r="BW191" s="38"/>
      <c r="BX191" s="38"/>
      <c r="BY191" s="38"/>
    </row>
    <row r="192" spans="2:77" x14ac:dyDescent="0.4"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I192" s="38"/>
      <c r="AJ192" s="38"/>
      <c r="AK192" s="38"/>
      <c r="AL192" s="38"/>
      <c r="AM192" s="38"/>
      <c r="AN192" s="38"/>
      <c r="AO192" s="38"/>
      <c r="AP192" s="38"/>
      <c r="AQ192" s="38"/>
      <c r="AR192" s="38"/>
      <c r="AS192" s="38"/>
      <c r="AT192" s="38"/>
      <c r="AU192" s="38"/>
      <c r="AV192" s="38"/>
      <c r="AW192" s="38"/>
      <c r="AX192" s="38"/>
      <c r="AY192" s="38"/>
      <c r="AZ192" s="38"/>
      <c r="BA192" s="38"/>
      <c r="BB192" s="38"/>
      <c r="BC192" s="38"/>
      <c r="BD192" s="38"/>
      <c r="BE192" s="38"/>
      <c r="BF192" s="38"/>
      <c r="BG192" s="38"/>
      <c r="BH192" s="38"/>
      <c r="BI192" s="38"/>
      <c r="BJ192" s="38"/>
      <c r="BK192" s="38"/>
      <c r="BL192" s="38"/>
      <c r="BM192" s="38"/>
      <c r="BN192" s="38"/>
      <c r="BO192" s="38"/>
      <c r="BP192" s="38"/>
      <c r="BQ192" s="38"/>
      <c r="BR192" s="38"/>
      <c r="BS192" s="38"/>
      <c r="BT192" s="38"/>
      <c r="BU192" s="38"/>
      <c r="BV192" s="38"/>
      <c r="BW192" s="38"/>
      <c r="BX192" s="38"/>
      <c r="BY192" s="38"/>
    </row>
    <row r="193" spans="2:77" x14ac:dyDescent="0.4"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  <c r="AG193" s="38"/>
      <c r="AH193" s="38"/>
      <c r="AI193" s="38"/>
      <c r="AJ193" s="38"/>
      <c r="AK193" s="38"/>
      <c r="AL193" s="38"/>
      <c r="AM193" s="38"/>
      <c r="AN193" s="38"/>
      <c r="AO193" s="38"/>
      <c r="AP193" s="38"/>
      <c r="AQ193" s="38"/>
      <c r="AR193" s="38"/>
      <c r="AS193" s="38"/>
      <c r="AT193" s="38"/>
      <c r="AU193" s="38"/>
      <c r="AV193" s="38"/>
      <c r="AW193" s="38"/>
      <c r="AX193" s="38"/>
      <c r="AY193" s="38"/>
      <c r="AZ193" s="38"/>
      <c r="BA193" s="38"/>
      <c r="BB193" s="38"/>
      <c r="BC193" s="38"/>
      <c r="BD193" s="38"/>
      <c r="BE193" s="38"/>
      <c r="BF193" s="38"/>
      <c r="BG193" s="38"/>
      <c r="BH193" s="38"/>
      <c r="BI193" s="38"/>
      <c r="BJ193" s="38"/>
      <c r="BK193" s="38"/>
      <c r="BL193" s="38"/>
      <c r="BM193" s="38"/>
      <c r="BN193" s="38"/>
      <c r="BO193" s="38"/>
      <c r="BP193" s="38"/>
      <c r="BQ193" s="38"/>
      <c r="BR193" s="38"/>
      <c r="BS193" s="38"/>
      <c r="BT193" s="38"/>
      <c r="BU193" s="38"/>
      <c r="BV193" s="38"/>
      <c r="BW193" s="38"/>
      <c r="BX193" s="38"/>
      <c r="BY193" s="38"/>
    </row>
    <row r="194" spans="2:77" x14ac:dyDescent="0.4"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I194" s="38"/>
      <c r="AJ194" s="38"/>
      <c r="AK194" s="38"/>
      <c r="AL194" s="38"/>
      <c r="AM194" s="38"/>
      <c r="AN194" s="38"/>
      <c r="AO194" s="38"/>
      <c r="AP194" s="38"/>
      <c r="AQ194" s="38"/>
      <c r="AR194" s="38"/>
      <c r="AS194" s="38"/>
      <c r="AT194" s="38"/>
      <c r="AU194" s="38"/>
      <c r="AV194" s="38"/>
      <c r="AW194" s="38"/>
      <c r="AX194" s="38"/>
      <c r="AY194" s="38"/>
      <c r="AZ194" s="38"/>
      <c r="BA194" s="38"/>
      <c r="BB194" s="38"/>
      <c r="BC194" s="38"/>
      <c r="BD194" s="38"/>
      <c r="BE194" s="38"/>
      <c r="BF194" s="38"/>
      <c r="BG194" s="38"/>
      <c r="BH194" s="38"/>
      <c r="BI194" s="38"/>
      <c r="BJ194" s="38"/>
      <c r="BK194" s="38"/>
      <c r="BL194" s="38"/>
      <c r="BM194" s="38"/>
      <c r="BN194" s="38"/>
      <c r="BO194" s="38"/>
      <c r="BP194" s="38"/>
      <c r="BQ194" s="38"/>
      <c r="BR194" s="38"/>
      <c r="BS194" s="38"/>
      <c r="BT194" s="38"/>
      <c r="BU194" s="38"/>
      <c r="BV194" s="38"/>
      <c r="BW194" s="38"/>
      <c r="BX194" s="38"/>
      <c r="BY194" s="38"/>
    </row>
    <row r="195" spans="2:77" x14ac:dyDescent="0.4"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I195" s="38"/>
      <c r="AJ195" s="38"/>
      <c r="AK195" s="38"/>
      <c r="AL195" s="38"/>
      <c r="AM195" s="38"/>
      <c r="AN195" s="38"/>
      <c r="AO195" s="38"/>
      <c r="AP195" s="38"/>
      <c r="AQ195" s="38"/>
      <c r="AR195" s="38"/>
      <c r="AS195" s="38"/>
      <c r="AT195" s="38"/>
      <c r="AU195" s="38"/>
      <c r="AV195" s="38"/>
      <c r="AW195" s="38"/>
      <c r="AX195" s="38"/>
      <c r="AY195" s="38"/>
      <c r="AZ195" s="38"/>
      <c r="BA195" s="38"/>
      <c r="BB195" s="38"/>
      <c r="BC195" s="38"/>
      <c r="BD195" s="38"/>
      <c r="BE195" s="38"/>
      <c r="BF195" s="38"/>
      <c r="BG195" s="38"/>
      <c r="BH195" s="38"/>
      <c r="BI195" s="38"/>
      <c r="BJ195" s="38"/>
      <c r="BK195" s="38"/>
      <c r="BL195" s="38"/>
      <c r="BM195" s="38"/>
      <c r="BN195" s="38"/>
      <c r="BO195" s="38"/>
      <c r="BP195" s="38"/>
      <c r="BQ195" s="38"/>
      <c r="BR195" s="38"/>
      <c r="BS195" s="38"/>
      <c r="BT195" s="38"/>
      <c r="BU195" s="38"/>
      <c r="BV195" s="38"/>
      <c r="BW195" s="38"/>
      <c r="BX195" s="38"/>
      <c r="BY195" s="38"/>
    </row>
    <row r="196" spans="2:77" x14ac:dyDescent="0.4"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8"/>
      <c r="AJ196" s="38"/>
      <c r="AK196" s="38"/>
      <c r="AL196" s="38"/>
      <c r="AM196" s="38"/>
      <c r="AN196" s="38"/>
      <c r="AO196" s="38"/>
      <c r="AP196" s="38"/>
      <c r="AQ196" s="38"/>
      <c r="AR196" s="38"/>
      <c r="AS196" s="38"/>
      <c r="AT196" s="38"/>
      <c r="AU196" s="38"/>
      <c r="AV196" s="38"/>
      <c r="AW196" s="38"/>
      <c r="AX196" s="38"/>
      <c r="AY196" s="38"/>
      <c r="AZ196" s="38"/>
      <c r="BA196" s="38"/>
      <c r="BB196" s="38"/>
      <c r="BC196" s="38"/>
      <c r="BD196" s="38"/>
      <c r="BE196" s="38"/>
      <c r="BF196" s="38"/>
      <c r="BG196" s="38"/>
      <c r="BH196" s="38"/>
      <c r="BI196" s="38"/>
      <c r="BJ196" s="38"/>
      <c r="BK196" s="38"/>
      <c r="BL196" s="38"/>
      <c r="BM196" s="38"/>
      <c r="BN196" s="38"/>
      <c r="BO196" s="38"/>
      <c r="BP196" s="38"/>
      <c r="BQ196" s="38"/>
      <c r="BR196" s="38"/>
      <c r="BS196" s="38"/>
      <c r="BT196" s="38"/>
      <c r="BU196" s="38"/>
      <c r="BV196" s="38"/>
      <c r="BW196" s="38"/>
      <c r="BX196" s="38"/>
      <c r="BY196" s="38"/>
    </row>
    <row r="197" spans="2:77" x14ac:dyDescent="0.4"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8"/>
      <c r="AJ197" s="38"/>
      <c r="AK197" s="38"/>
      <c r="AL197" s="38"/>
      <c r="AM197" s="38"/>
      <c r="AN197" s="38"/>
      <c r="AO197" s="38"/>
      <c r="AP197" s="38"/>
      <c r="AQ197" s="38"/>
      <c r="AR197" s="38"/>
      <c r="AS197" s="38"/>
      <c r="AT197" s="38"/>
      <c r="AU197" s="38"/>
      <c r="AV197" s="38"/>
      <c r="AW197" s="38"/>
      <c r="AX197" s="38"/>
      <c r="AY197" s="38"/>
      <c r="AZ197" s="38"/>
      <c r="BA197" s="38"/>
      <c r="BB197" s="38"/>
      <c r="BC197" s="38"/>
      <c r="BD197" s="38"/>
      <c r="BE197" s="38"/>
      <c r="BF197" s="38"/>
      <c r="BG197" s="38"/>
      <c r="BH197" s="38"/>
      <c r="BI197" s="38"/>
      <c r="BJ197" s="38"/>
      <c r="BK197" s="38"/>
      <c r="BL197" s="38"/>
      <c r="BM197" s="38"/>
      <c r="BN197" s="38"/>
      <c r="BO197" s="38"/>
      <c r="BP197" s="38"/>
      <c r="BQ197" s="38"/>
      <c r="BR197" s="38"/>
      <c r="BS197" s="38"/>
      <c r="BT197" s="38"/>
      <c r="BU197" s="38"/>
      <c r="BV197" s="38"/>
      <c r="BW197" s="38"/>
      <c r="BX197" s="38"/>
      <c r="BY197" s="38"/>
    </row>
    <row r="198" spans="2:77" x14ac:dyDescent="0.4"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I198" s="38"/>
      <c r="AJ198" s="38"/>
      <c r="AK198" s="38"/>
      <c r="AL198" s="38"/>
      <c r="AM198" s="38"/>
      <c r="AN198" s="38"/>
      <c r="AO198" s="38"/>
      <c r="AP198" s="38"/>
      <c r="AQ198" s="38"/>
      <c r="AR198" s="38"/>
      <c r="AS198" s="38"/>
      <c r="AT198" s="38"/>
      <c r="AU198" s="38"/>
      <c r="AV198" s="38"/>
      <c r="AW198" s="38"/>
      <c r="AX198" s="38"/>
      <c r="AY198" s="38"/>
      <c r="AZ198" s="38"/>
      <c r="BA198" s="38"/>
      <c r="BB198" s="38"/>
      <c r="BC198" s="38"/>
      <c r="BD198" s="38"/>
      <c r="BE198" s="38"/>
      <c r="BF198" s="38"/>
      <c r="BG198" s="38"/>
      <c r="BH198" s="38"/>
      <c r="BI198" s="38"/>
      <c r="BJ198" s="38"/>
      <c r="BK198" s="38"/>
      <c r="BL198" s="38"/>
      <c r="BM198" s="38"/>
      <c r="BN198" s="38"/>
      <c r="BO198" s="38"/>
      <c r="BP198" s="38"/>
      <c r="BQ198" s="38"/>
      <c r="BR198" s="38"/>
      <c r="BS198" s="38"/>
      <c r="BT198" s="38"/>
      <c r="BU198" s="38"/>
      <c r="BV198" s="38"/>
      <c r="BW198" s="38"/>
      <c r="BX198" s="38"/>
      <c r="BY198" s="38"/>
    </row>
    <row r="199" spans="2:77" x14ac:dyDescent="0.4"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I199" s="38"/>
      <c r="AJ199" s="38"/>
      <c r="AK199" s="38"/>
      <c r="AL199" s="38"/>
      <c r="AM199" s="38"/>
      <c r="AN199" s="38"/>
      <c r="AO199" s="38"/>
      <c r="AP199" s="38"/>
      <c r="AQ199" s="38"/>
      <c r="AR199" s="38"/>
      <c r="AS199" s="38"/>
      <c r="AT199" s="38"/>
      <c r="AU199" s="38"/>
      <c r="AV199" s="38"/>
      <c r="AW199" s="38"/>
      <c r="AX199" s="38"/>
      <c r="AY199" s="38"/>
      <c r="AZ199" s="38"/>
      <c r="BA199" s="38"/>
      <c r="BB199" s="38"/>
      <c r="BC199" s="38"/>
      <c r="BD199" s="38"/>
      <c r="BE199" s="38"/>
      <c r="BF199" s="38"/>
      <c r="BG199" s="38"/>
      <c r="BH199" s="38"/>
      <c r="BI199" s="38"/>
      <c r="BJ199" s="38"/>
      <c r="BK199" s="38"/>
      <c r="BL199" s="38"/>
      <c r="BM199" s="38"/>
      <c r="BN199" s="38"/>
      <c r="BO199" s="38"/>
      <c r="BP199" s="38"/>
      <c r="BQ199" s="38"/>
      <c r="BR199" s="38"/>
      <c r="BS199" s="38"/>
      <c r="BT199" s="38"/>
      <c r="BU199" s="38"/>
      <c r="BV199" s="38"/>
      <c r="BW199" s="38"/>
      <c r="BX199" s="38"/>
      <c r="BY199" s="38"/>
    </row>
    <row r="200" spans="2:77" x14ac:dyDescent="0.4"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I200" s="38"/>
      <c r="AJ200" s="38"/>
      <c r="AK200" s="38"/>
      <c r="AL200" s="38"/>
      <c r="AM200" s="38"/>
      <c r="AN200" s="38"/>
      <c r="AO200" s="38"/>
      <c r="AP200" s="38"/>
      <c r="AQ200" s="38"/>
      <c r="AR200" s="38"/>
      <c r="AS200" s="38"/>
      <c r="AT200" s="38"/>
      <c r="AU200" s="38"/>
      <c r="AV200" s="38"/>
      <c r="AW200" s="38"/>
      <c r="AX200" s="38"/>
      <c r="AY200" s="38"/>
      <c r="AZ200" s="38"/>
      <c r="BA200" s="38"/>
      <c r="BB200" s="38"/>
      <c r="BC200" s="38"/>
      <c r="BD200" s="38"/>
      <c r="BE200" s="38"/>
      <c r="BF200" s="38"/>
      <c r="BG200" s="38"/>
      <c r="BH200" s="38"/>
      <c r="BI200" s="38"/>
      <c r="BJ200" s="38"/>
      <c r="BK200" s="38"/>
      <c r="BL200" s="38"/>
      <c r="BM200" s="38"/>
      <c r="BN200" s="38"/>
      <c r="BO200" s="38"/>
      <c r="BP200" s="38"/>
      <c r="BQ200" s="38"/>
      <c r="BR200" s="38"/>
      <c r="BS200" s="38"/>
      <c r="BT200" s="38"/>
      <c r="BU200" s="38"/>
      <c r="BV200" s="38"/>
      <c r="BW200" s="38"/>
      <c r="BX200" s="38"/>
      <c r="BY200" s="38"/>
    </row>
    <row r="201" spans="2:77" x14ac:dyDescent="0.4"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8"/>
      <c r="AJ201" s="38"/>
      <c r="AK201" s="38"/>
      <c r="AL201" s="38"/>
      <c r="AM201" s="38"/>
      <c r="AN201" s="38"/>
      <c r="AO201" s="38"/>
      <c r="AP201" s="38"/>
      <c r="AQ201" s="38"/>
      <c r="AR201" s="38"/>
      <c r="AS201" s="38"/>
      <c r="AT201" s="38"/>
      <c r="AU201" s="38"/>
      <c r="AV201" s="38"/>
      <c r="AW201" s="38"/>
      <c r="AX201" s="38"/>
      <c r="AY201" s="38"/>
      <c r="AZ201" s="38"/>
      <c r="BA201" s="38"/>
      <c r="BB201" s="38"/>
      <c r="BC201" s="38"/>
      <c r="BD201" s="38"/>
      <c r="BE201" s="38"/>
      <c r="BF201" s="38"/>
      <c r="BG201" s="38"/>
      <c r="BH201" s="38"/>
      <c r="BI201" s="38"/>
      <c r="BJ201" s="38"/>
      <c r="BK201" s="38"/>
      <c r="BL201" s="38"/>
      <c r="BM201" s="38"/>
      <c r="BN201" s="38"/>
      <c r="BO201" s="38"/>
      <c r="BP201" s="38"/>
      <c r="BQ201" s="38"/>
      <c r="BR201" s="38"/>
      <c r="BS201" s="38"/>
      <c r="BT201" s="38"/>
      <c r="BU201" s="38"/>
      <c r="BV201" s="38"/>
      <c r="BW201" s="38"/>
      <c r="BX201" s="38"/>
      <c r="BY201" s="38"/>
    </row>
    <row r="202" spans="2:77" x14ac:dyDescent="0.4"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I202" s="38"/>
      <c r="AJ202" s="38"/>
      <c r="AK202" s="38"/>
      <c r="AL202" s="38"/>
      <c r="AM202" s="38"/>
      <c r="AN202" s="38"/>
      <c r="AO202" s="38"/>
      <c r="AP202" s="38"/>
      <c r="AQ202" s="38"/>
      <c r="AR202" s="38"/>
      <c r="AS202" s="38"/>
      <c r="AT202" s="38"/>
      <c r="AU202" s="38"/>
      <c r="AV202" s="38"/>
      <c r="AW202" s="38"/>
      <c r="AX202" s="38"/>
      <c r="AY202" s="38"/>
      <c r="AZ202" s="38"/>
      <c r="BA202" s="38"/>
      <c r="BB202" s="38"/>
      <c r="BC202" s="38"/>
      <c r="BD202" s="38"/>
      <c r="BE202" s="38"/>
      <c r="BF202" s="38"/>
      <c r="BG202" s="38"/>
      <c r="BH202" s="38"/>
      <c r="BI202" s="38"/>
      <c r="BJ202" s="38"/>
      <c r="BK202" s="38"/>
      <c r="BL202" s="38"/>
      <c r="BM202" s="38"/>
      <c r="BN202" s="38"/>
      <c r="BO202" s="38"/>
      <c r="BP202" s="38"/>
      <c r="BQ202" s="38"/>
      <c r="BR202" s="38"/>
      <c r="BS202" s="38"/>
      <c r="BT202" s="38"/>
      <c r="BU202" s="38"/>
      <c r="BV202" s="38"/>
      <c r="BW202" s="38"/>
      <c r="BX202" s="38"/>
      <c r="BY202" s="38"/>
    </row>
    <row r="203" spans="2:77" x14ac:dyDescent="0.4"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8"/>
      <c r="AJ203" s="38"/>
      <c r="AK203" s="38"/>
      <c r="AL203" s="38"/>
      <c r="AM203" s="38"/>
      <c r="AN203" s="38"/>
      <c r="AO203" s="38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  <c r="BA203" s="38"/>
      <c r="BB203" s="38"/>
      <c r="BC203" s="38"/>
      <c r="BD203" s="38"/>
      <c r="BE203" s="38"/>
      <c r="BF203" s="38"/>
      <c r="BG203" s="38"/>
      <c r="BH203" s="38"/>
      <c r="BI203" s="38"/>
      <c r="BJ203" s="38"/>
      <c r="BK203" s="38"/>
      <c r="BL203" s="38"/>
      <c r="BM203" s="38"/>
      <c r="BN203" s="38"/>
      <c r="BO203" s="38"/>
      <c r="BP203" s="38"/>
      <c r="BQ203" s="38"/>
      <c r="BR203" s="38"/>
      <c r="BS203" s="38"/>
      <c r="BT203" s="38"/>
      <c r="BU203" s="38"/>
      <c r="BV203" s="38"/>
      <c r="BW203" s="38"/>
      <c r="BX203" s="38"/>
      <c r="BY203" s="38"/>
    </row>
    <row r="204" spans="2:77" x14ac:dyDescent="0.4"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8"/>
      <c r="AJ204" s="38"/>
      <c r="AK204" s="38"/>
      <c r="AL204" s="38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  <c r="BA204" s="38"/>
      <c r="BB204" s="38"/>
      <c r="BC204" s="38"/>
      <c r="BD204" s="38"/>
      <c r="BE204" s="38"/>
      <c r="BF204" s="38"/>
      <c r="BG204" s="38"/>
      <c r="BH204" s="38"/>
      <c r="BI204" s="38"/>
      <c r="BJ204" s="38"/>
      <c r="BK204" s="38"/>
      <c r="BL204" s="38"/>
      <c r="BM204" s="38"/>
      <c r="BN204" s="38"/>
      <c r="BO204" s="38"/>
      <c r="BP204" s="38"/>
      <c r="BQ204" s="38"/>
      <c r="BR204" s="38"/>
      <c r="BS204" s="38"/>
      <c r="BT204" s="38"/>
      <c r="BU204" s="38"/>
      <c r="BV204" s="38"/>
      <c r="BW204" s="38"/>
      <c r="BX204" s="38"/>
      <c r="BY204" s="38"/>
    </row>
    <row r="205" spans="2:77" x14ac:dyDescent="0.4"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8"/>
      <c r="AJ205" s="38"/>
      <c r="AK205" s="38"/>
      <c r="AL205" s="38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  <c r="BA205" s="38"/>
      <c r="BB205" s="38"/>
      <c r="BC205" s="38"/>
      <c r="BD205" s="38"/>
      <c r="BE205" s="38"/>
      <c r="BF205" s="38"/>
      <c r="BG205" s="38"/>
      <c r="BH205" s="38"/>
      <c r="BI205" s="38"/>
      <c r="BJ205" s="38"/>
      <c r="BK205" s="38"/>
      <c r="BL205" s="38"/>
      <c r="BM205" s="38"/>
      <c r="BN205" s="38"/>
      <c r="BO205" s="38"/>
      <c r="BP205" s="38"/>
      <c r="BQ205" s="38"/>
      <c r="BR205" s="38"/>
      <c r="BS205" s="38"/>
      <c r="BT205" s="38"/>
      <c r="BU205" s="38"/>
      <c r="BV205" s="38"/>
      <c r="BW205" s="38"/>
      <c r="BX205" s="38"/>
      <c r="BY205" s="38"/>
    </row>
    <row r="206" spans="2:77" x14ac:dyDescent="0.4"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I206" s="38"/>
      <c r="AJ206" s="38"/>
      <c r="AK206" s="38"/>
      <c r="AL206" s="38"/>
      <c r="AM206" s="38"/>
      <c r="AN206" s="38"/>
      <c r="AO206" s="38"/>
      <c r="AP206" s="38"/>
      <c r="AQ206" s="38"/>
      <c r="AR206" s="38"/>
      <c r="AS206" s="38"/>
      <c r="AT206" s="38"/>
      <c r="AU206" s="38"/>
      <c r="AV206" s="38"/>
      <c r="AW206" s="38"/>
      <c r="AX206" s="38"/>
      <c r="AY206" s="38"/>
      <c r="AZ206" s="38"/>
      <c r="BA206" s="38"/>
      <c r="BB206" s="38"/>
      <c r="BC206" s="38"/>
      <c r="BD206" s="38"/>
      <c r="BE206" s="38"/>
      <c r="BF206" s="38"/>
      <c r="BG206" s="38"/>
      <c r="BH206" s="38"/>
      <c r="BI206" s="38"/>
      <c r="BJ206" s="38"/>
      <c r="BK206" s="38"/>
      <c r="BL206" s="38"/>
      <c r="BM206" s="38"/>
      <c r="BN206" s="38"/>
      <c r="BO206" s="38"/>
      <c r="BP206" s="38"/>
      <c r="BQ206" s="38"/>
      <c r="BR206" s="38"/>
      <c r="BS206" s="38"/>
      <c r="BT206" s="38"/>
      <c r="BU206" s="38"/>
      <c r="BV206" s="38"/>
      <c r="BW206" s="38"/>
      <c r="BX206" s="38"/>
      <c r="BY206" s="38"/>
    </row>
    <row r="207" spans="2:77" x14ac:dyDescent="0.4"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8"/>
      <c r="AJ207" s="38"/>
      <c r="AK207" s="38"/>
      <c r="AL207" s="38"/>
      <c r="AM207" s="38"/>
      <c r="AN207" s="38"/>
      <c r="AO207" s="38"/>
      <c r="AP207" s="38"/>
      <c r="AQ207" s="38"/>
      <c r="AR207" s="38"/>
      <c r="AS207" s="38"/>
      <c r="AT207" s="38"/>
      <c r="AU207" s="38"/>
      <c r="AV207" s="38"/>
      <c r="AW207" s="38"/>
      <c r="AX207" s="38"/>
      <c r="AY207" s="38"/>
      <c r="AZ207" s="38"/>
      <c r="BA207" s="38"/>
      <c r="BB207" s="38"/>
      <c r="BC207" s="38"/>
      <c r="BD207" s="38"/>
      <c r="BE207" s="38"/>
      <c r="BF207" s="38"/>
      <c r="BG207" s="38"/>
      <c r="BH207" s="38"/>
      <c r="BI207" s="38"/>
      <c r="BJ207" s="38"/>
      <c r="BK207" s="38"/>
      <c r="BL207" s="38"/>
      <c r="BM207" s="38"/>
      <c r="BN207" s="38"/>
      <c r="BO207" s="38"/>
      <c r="BP207" s="38"/>
      <c r="BQ207" s="38"/>
      <c r="BR207" s="38"/>
      <c r="BS207" s="38"/>
      <c r="BT207" s="38"/>
      <c r="BU207" s="38"/>
      <c r="BV207" s="38"/>
      <c r="BW207" s="38"/>
      <c r="BX207" s="38"/>
      <c r="BY207" s="38"/>
    </row>
    <row r="208" spans="2:77" x14ac:dyDescent="0.4"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I208" s="38"/>
      <c r="AJ208" s="38"/>
      <c r="AK208" s="38"/>
      <c r="AL208" s="38"/>
      <c r="AM208" s="38"/>
      <c r="AN208" s="38"/>
      <c r="AO208" s="38"/>
      <c r="AP208" s="38"/>
      <c r="AQ208" s="38"/>
      <c r="AR208" s="38"/>
      <c r="AS208" s="38"/>
      <c r="AT208" s="38"/>
      <c r="AU208" s="38"/>
      <c r="AV208" s="38"/>
      <c r="AW208" s="38"/>
      <c r="AX208" s="38"/>
      <c r="AY208" s="38"/>
      <c r="AZ208" s="38"/>
      <c r="BA208" s="38"/>
      <c r="BB208" s="38"/>
      <c r="BC208" s="38"/>
      <c r="BD208" s="38"/>
      <c r="BE208" s="38"/>
      <c r="BF208" s="38"/>
      <c r="BG208" s="38"/>
      <c r="BH208" s="38"/>
      <c r="BI208" s="38"/>
      <c r="BJ208" s="38"/>
      <c r="BK208" s="38"/>
      <c r="BL208" s="38"/>
      <c r="BM208" s="38"/>
      <c r="BN208" s="38"/>
      <c r="BO208" s="38"/>
      <c r="BP208" s="38"/>
      <c r="BQ208" s="38"/>
      <c r="BR208" s="38"/>
      <c r="BS208" s="38"/>
      <c r="BT208" s="38"/>
      <c r="BU208" s="38"/>
      <c r="BV208" s="38"/>
      <c r="BW208" s="38"/>
      <c r="BX208" s="38"/>
      <c r="BY208" s="38"/>
    </row>
    <row r="209" spans="2:77" x14ac:dyDescent="0.4"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8"/>
      <c r="AJ209" s="38"/>
      <c r="AK209" s="38"/>
      <c r="AL209" s="38"/>
      <c r="AM209" s="38"/>
      <c r="AN209" s="38"/>
      <c r="AO209" s="38"/>
      <c r="AP209" s="38"/>
      <c r="AQ209" s="38"/>
      <c r="AR209" s="38"/>
      <c r="AS209" s="38"/>
      <c r="AT209" s="38"/>
      <c r="AU209" s="38"/>
      <c r="AV209" s="38"/>
      <c r="AW209" s="38"/>
      <c r="AX209" s="38"/>
      <c r="AY209" s="38"/>
      <c r="AZ209" s="38"/>
      <c r="BA209" s="38"/>
      <c r="BB209" s="38"/>
      <c r="BC209" s="38"/>
      <c r="BD209" s="38"/>
      <c r="BE209" s="38"/>
      <c r="BF209" s="38"/>
      <c r="BG209" s="38"/>
      <c r="BH209" s="38"/>
      <c r="BI209" s="38"/>
      <c r="BJ209" s="38"/>
      <c r="BK209" s="38"/>
      <c r="BL209" s="38"/>
      <c r="BM209" s="38"/>
      <c r="BN209" s="38"/>
      <c r="BO209" s="38"/>
      <c r="BP209" s="38"/>
      <c r="BQ209" s="38"/>
      <c r="BR209" s="38"/>
      <c r="BS209" s="38"/>
      <c r="BT209" s="38"/>
      <c r="BU209" s="38"/>
      <c r="BV209" s="38"/>
      <c r="BW209" s="38"/>
      <c r="BX209" s="38"/>
      <c r="BY209" s="38"/>
    </row>
    <row r="210" spans="2:77" x14ac:dyDescent="0.4"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I210" s="38"/>
      <c r="AJ210" s="38"/>
      <c r="AK210" s="38"/>
      <c r="AL210" s="38"/>
      <c r="AM210" s="38"/>
      <c r="AN210" s="38"/>
      <c r="AO210" s="38"/>
      <c r="AP210" s="38"/>
      <c r="AQ210" s="38"/>
      <c r="AR210" s="38"/>
      <c r="AS210" s="38"/>
      <c r="AT210" s="38"/>
      <c r="AU210" s="38"/>
      <c r="AV210" s="38"/>
      <c r="AW210" s="38"/>
      <c r="AX210" s="38"/>
      <c r="AY210" s="38"/>
      <c r="AZ210" s="38"/>
      <c r="BA210" s="38"/>
      <c r="BB210" s="38"/>
      <c r="BC210" s="38"/>
      <c r="BD210" s="38"/>
      <c r="BE210" s="38"/>
      <c r="BF210" s="38"/>
      <c r="BG210" s="38"/>
      <c r="BH210" s="38"/>
      <c r="BI210" s="38"/>
      <c r="BJ210" s="38"/>
      <c r="BK210" s="38"/>
      <c r="BL210" s="38"/>
      <c r="BM210" s="38"/>
      <c r="BN210" s="38"/>
      <c r="BO210" s="38"/>
      <c r="BP210" s="38"/>
      <c r="BQ210" s="38"/>
      <c r="BR210" s="38"/>
      <c r="BS210" s="38"/>
      <c r="BT210" s="38"/>
      <c r="BU210" s="38"/>
      <c r="BV210" s="38"/>
      <c r="BW210" s="38"/>
      <c r="BX210" s="38"/>
      <c r="BY210" s="38"/>
    </row>
    <row r="211" spans="2:77" x14ac:dyDescent="0.4"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I211" s="38"/>
      <c r="AJ211" s="38"/>
      <c r="AK211" s="38"/>
      <c r="AL211" s="38"/>
      <c r="AM211" s="38"/>
      <c r="AN211" s="38"/>
      <c r="AO211" s="38"/>
      <c r="AP211" s="38"/>
      <c r="AQ211" s="38"/>
      <c r="AR211" s="38"/>
      <c r="AS211" s="38"/>
      <c r="AT211" s="38"/>
      <c r="AU211" s="38"/>
      <c r="AV211" s="38"/>
      <c r="AW211" s="38"/>
      <c r="AX211" s="38"/>
      <c r="AY211" s="38"/>
      <c r="AZ211" s="38"/>
      <c r="BA211" s="38"/>
      <c r="BB211" s="38"/>
      <c r="BC211" s="38"/>
      <c r="BD211" s="38"/>
      <c r="BE211" s="38"/>
      <c r="BF211" s="38"/>
      <c r="BG211" s="38"/>
      <c r="BH211" s="38"/>
      <c r="BI211" s="38"/>
      <c r="BJ211" s="38"/>
      <c r="BK211" s="38"/>
      <c r="BL211" s="38"/>
      <c r="BM211" s="38"/>
      <c r="BN211" s="38"/>
      <c r="BO211" s="38"/>
      <c r="BP211" s="38"/>
      <c r="BQ211" s="38"/>
      <c r="BR211" s="38"/>
      <c r="BS211" s="38"/>
      <c r="BT211" s="38"/>
      <c r="BU211" s="38"/>
      <c r="BV211" s="38"/>
      <c r="BW211" s="38"/>
      <c r="BX211" s="38"/>
      <c r="BY211" s="38"/>
    </row>
    <row r="212" spans="2:77" x14ac:dyDescent="0.4"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8"/>
      <c r="AJ212" s="38"/>
      <c r="AK212" s="38"/>
      <c r="AL212" s="38"/>
      <c r="AM212" s="38"/>
      <c r="AN212" s="38"/>
      <c r="AO212" s="38"/>
      <c r="AP212" s="38"/>
      <c r="AQ212" s="38"/>
      <c r="AR212" s="38"/>
      <c r="AS212" s="38"/>
      <c r="AT212" s="38"/>
      <c r="AU212" s="38"/>
      <c r="AV212" s="38"/>
      <c r="AW212" s="38"/>
      <c r="AX212" s="38"/>
      <c r="AY212" s="38"/>
      <c r="AZ212" s="38"/>
      <c r="BA212" s="38"/>
      <c r="BB212" s="38"/>
      <c r="BC212" s="38"/>
      <c r="BD212" s="38"/>
      <c r="BE212" s="38"/>
      <c r="BF212" s="38"/>
      <c r="BG212" s="38"/>
      <c r="BH212" s="38"/>
      <c r="BI212" s="38"/>
      <c r="BJ212" s="38"/>
      <c r="BK212" s="38"/>
      <c r="BL212" s="38"/>
      <c r="BM212" s="38"/>
      <c r="BN212" s="38"/>
      <c r="BO212" s="38"/>
      <c r="BP212" s="38"/>
      <c r="BQ212" s="38"/>
      <c r="BR212" s="38"/>
      <c r="BS212" s="38"/>
      <c r="BT212" s="38"/>
      <c r="BU212" s="38"/>
      <c r="BV212" s="38"/>
      <c r="BW212" s="38"/>
      <c r="BX212" s="38"/>
      <c r="BY212" s="38"/>
    </row>
    <row r="213" spans="2:77" x14ac:dyDescent="0.4"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8"/>
      <c r="AJ213" s="38"/>
      <c r="AK213" s="38"/>
      <c r="AL213" s="38"/>
      <c r="AM213" s="38"/>
      <c r="AN213" s="38"/>
      <c r="AO213" s="38"/>
      <c r="AP213" s="38"/>
      <c r="AQ213" s="38"/>
      <c r="AR213" s="38"/>
      <c r="AS213" s="38"/>
      <c r="AT213" s="38"/>
      <c r="AU213" s="38"/>
      <c r="AV213" s="38"/>
      <c r="AW213" s="38"/>
      <c r="AX213" s="38"/>
      <c r="AY213" s="38"/>
      <c r="AZ213" s="38"/>
      <c r="BA213" s="38"/>
      <c r="BB213" s="38"/>
      <c r="BC213" s="38"/>
      <c r="BD213" s="38"/>
      <c r="BE213" s="38"/>
      <c r="BF213" s="38"/>
      <c r="BG213" s="38"/>
      <c r="BH213" s="38"/>
      <c r="BI213" s="38"/>
      <c r="BJ213" s="38"/>
      <c r="BK213" s="38"/>
      <c r="BL213" s="38"/>
      <c r="BM213" s="38"/>
      <c r="BN213" s="38"/>
      <c r="BO213" s="38"/>
      <c r="BP213" s="38"/>
      <c r="BQ213" s="38"/>
      <c r="BR213" s="38"/>
      <c r="BS213" s="38"/>
      <c r="BT213" s="38"/>
      <c r="BU213" s="38"/>
      <c r="BV213" s="38"/>
      <c r="BW213" s="38"/>
      <c r="BX213" s="38"/>
      <c r="BY213" s="38"/>
    </row>
    <row r="214" spans="2:77" x14ac:dyDescent="0.4"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I214" s="38"/>
      <c r="AJ214" s="38"/>
      <c r="AK214" s="38"/>
      <c r="AL214" s="38"/>
      <c r="AM214" s="38"/>
      <c r="AN214" s="38"/>
      <c r="AO214" s="38"/>
      <c r="AP214" s="38"/>
      <c r="AQ214" s="38"/>
      <c r="AR214" s="38"/>
      <c r="AS214" s="38"/>
      <c r="AT214" s="38"/>
      <c r="AU214" s="38"/>
      <c r="AV214" s="38"/>
      <c r="AW214" s="38"/>
      <c r="AX214" s="38"/>
      <c r="AY214" s="38"/>
      <c r="AZ214" s="38"/>
      <c r="BA214" s="38"/>
      <c r="BB214" s="38"/>
      <c r="BC214" s="38"/>
      <c r="BD214" s="38"/>
      <c r="BE214" s="38"/>
      <c r="BF214" s="38"/>
      <c r="BG214" s="38"/>
      <c r="BH214" s="38"/>
      <c r="BI214" s="38"/>
      <c r="BJ214" s="38"/>
      <c r="BK214" s="38"/>
      <c r="BL214" s="38"/>
      <c r="BM214" s="38"/>
      <c r="BN214" s="38"/>
      <c r="BO214" s="38"/>
      <c r="BP214" s="38"/>
      <c r="BQ214" s="38"/>
      <c r="BR214" s="38"/>
      <c r="BS214" s="38"/>
      <c r="BT214" s="38"/>
      <c r="BU214" s="38"/>
      <c r="BV214" s="38"/>
      <c r="BW214" s="38"/>
      <c r="BX214" s="38"/>
      <c r="BY214" s="38"/>
    </row>
    <row r="215" spans="2:77" x14ac:dyDescent="0.4"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8"/>
      <c r="AJ215" s="38"/>
      <c r="AK215" s="38"/>
      <c r="AL215" s="38"/>
      <c r="AM215" s="38"/>
      <c r="AN215" s="38"/>
      <c r="AO215" s="38"/>
      <c r="AP215" s="38"/>
      <c r="AQ215" s="38"/>
      <c r="AR215" s="38"/>
      <c r="AS215" s="38"/>
      <c r="AT215" s="38"/>
      <c r="AU215" s="38"/>
      <c r="AV215" s="38"/>
      <c r="AW215" s="38"/>
      <c r="AX215" s="38"/>
      <c r="AY215" s="38"/>
      <c r="AZ215" s="38"/>
      <c r="BA215" s="38"/>
      <c r="BB215" s="38"/>
      <c r="BC215" s="38"/>
      <c r="BD215" s="38"/>
      <c r="BE215" s="38"/>
      <c r="BF215" s="38"/>
      <c r="BG215" s="38"/>
      <c r="BH215" s="38"/>
      <c r="BI215" s="38"/>
      <c r="BJ215" s="38"/>
      <c r="BK215" s="38"/>
      <c r="BL215" s="38"/>
      <c r="BM215" s="38"/>
      <c r="BN215" s="38"/>
      <c r="BO215" s="38"/>
      <c r="BP215" s="38"/>
      <c r="BQ215" s="38"/>
      <c r="BR215" s="38"/>
      <c r="BS215" s="38"/>
      <c r="BT215" s="38"/>
      <c r="BU215" s="38"/>
      <c r="BV215" s="38"/>
      <c r="BW215" s="38"/>
      <c r="BX215" s="38"/>
      <c r="BY215" s="38"/>
    </row>
    <row r="216" spans="2:77" x14ac:dyDescent="0.4"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8"/>
      <c r="AJ216" s="38"/>
      <c r="AK216" s="38"/>
      <c r="AL216" s="38"/>
      <c r="AM216" s="38"/>
      <c r="AN216" s="38"/>
      <c r="AO216" s="38"/>
      <c r="AP216" s="38"/>
      <c r="AQ216" s="38"/>
      <c r="AR216" s="38"/>
      <c r="AS216" s="38"/>
      <c r="AT216" s="38"/>
      <c r="AU216" s="38"/>
      <c r="AV216" s="38"/>
      <c r="AW216" s="38"/>
      <c r="AX216" s="38"/>
      <c r="AY216" s="38"/>
      <c r="AZ216" s="38"/>
      <c r="BA216" s="38"/>
      <c r="BB216" s="38"/>
      <c r="BC216" s="38"/>
      <c r="BD216" s="38"/>
      <c r="BE216" s="38"/>
      <c r="BF216" s="38"/>
      <c r="BG216" s="38"/>
      <c r="BH216" s="38"/>
      <c r="BI216" s="38"/>
      <c r="BJ216" s="38"/>
      <c r="BK216" s="38"/>
      <c r="BL216" s="38"/>
      <c r="BM216" s="38"/>
      <c r="BN216" s="38"/>
      <c r="BO216" s="38"/>
      <c r="BP216" s="38"/>
      <c r="BQ216" s="38"/>
      <c r="BR216" s="38"/>
      <c r="BS216" s="38"/>
      <c r="BT216" s="38"/>
      <c r="BU216" s="38"/>
      <c r="BV216" s="38"/>
      <c r="BW216" s="38"/>
      <c r="BX216" s="38"/>
      <c r="BY216" s="38"/>
    </row>
    <row r="217" spans="2:77" x14ac:dyDescent="0.4"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8"/>
      <c r="AJ217" s="38"/>
      <c r="AK217" s="38"/>
      <c r="AL217" s="38"/>
      <c r="AM217" s="38"/>
      <c r="AN217" s="38"/>
      <c r="AO217" s="38"/>
      <c r="AP217" s="38"/>
      <c r="AQ217" s="38"/>
      <c r="AR217" s="38"/>
      <c r="AS217" s="38"/>
      <c r="AT217" s="38"/>
      <c r="AU217" s="38"/>
      <c r="AV217" s="38"/>
      <c r="AW217" s="38"/>
      <c r="AX217" s="38"/>
      <c r="AY217" s="38"/>
      <c r="AZ217" s="38"/>
      <c r="BA217" s="38"/>
      <c r="BB217" s="38"/>
      <c r="BC217" s="38"/>
      <c r="BD217" s="38"/>
      <c r="BE217" s="38"/>
      <c r="BF217" s="38"/>
      <c r="BG217" s="38"/>
      <c r="BH217" s="38"/>
      <c r="BI217" s="38"/>
      <c r="BJ217" s="38"/>
      <c r="BK217" s="38"/>
      <c r="BL217" s="38"/>
      <c r="BM217" s="38"/>
      <c r="BN217" s="38"/>
      <c r="BO217" s="38"/>
      <c r="BP217" s="38"/>
      <c r="BQ217" s="38"/>
      <c r="BR217" s="38"/>
      <c r="BS217" s="38"/>
      <c r="BT217" s="38"/>
      <c r="BU217" s="38"/>
      <c r="BV217" s="38"/>
      <c r="BW217" s="38"/>
      <c r="BX217" s="38"/>
      <c r="BY217" s="38"/>
    </row>
    <row r="218" spans="2:77" x14ac:dyDescent="0.4"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8"/>
      <c r="AJ218" s="38"/>
      <c r="AK218" s="38"/>
      <c r="AL218" s="38"/>
      <c r="AM218" s="38"/>
      <c r="AN218" s="38"/>
      <c r="AO218" s="38"/>
      <c r="AP218" s="38"/>
      <c r="AQ218" s="38"/>
      <c r="AR218" s="38"/>
      <c r="AS218" s="38"/>
      <c r="AT218" s="38"/>
      <c r="AU218" s="38"/>
      <c r="AV218" s="38"/>
      <c r="AW218" s="38"/>
      <c r="AX218" s="38"/>
      <c r="AY218" s="38"/>
      <c r="AZ218" s="38"/>
      <c r="BA218" s="38"/>
      <c r="BB218" s="38"/>
      <c r="BC218" s="38"/>
      <c r="BD218" s="38"/>
      <c r="BE218" s="38"/>
      <c r="BF218" s="38"/>
      <c r="BG218" s="38"/>
      <c r="BH218" s="38"/>
      <c r="BI218" s="38"/>
      <c r="BJ218" s="38"/>
      <c r="BK218" s="38"/>
      <c r="BL218" s="38"/>
      <c r="BM218" s="38"/>
      <c r="BN218" s="38"/>
      <c r="BO218" s="38"/>
      <c r="BP218" s="38"/>
      <c r="BQ218" s="38"/>
      <c r="BR218" s="38"/>
      <c r="BS218" s="38"/>
      <c r="BT218" s="38"/>
      <c r="BU218" s="38"/>
      <c r="BV218" s="38"/>
      <c r="BW218" s="38"/>
      <c r="BX218" s="38"/>
      <c r="BY218" s="38"/>
    </row>
    <row r="219" spans="2:77" x14ac:dyDescent="0.4"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8"/>
      <c r="AJ219" s="38"/>
      <c r="AK219" s="38"/>
      <c r="AL219" s="38"/>
      <c r="AM219" s="38"/>
      <c r="AN219" s="38"/>
      <c r="AO219" s="38"/>
      <c r="AP219" s="38"/>
      <c r="AQ219" s="38"/>
      <c r="AR219" s="38"/>
      <c r="AS219" s="38"/>
      <c r="AT219" s="38"/>
      <c r="AU219" s="38"/>
      <c r="AV219" s="38"/>
      <c r="AW219" s="38"/>
      <c r="AX219" s="38"/>
      <c r="AY219" s="38"/>
      <c r="AZ219" s="38"/>
      <c r="BA219" s="38"/>
      <c r="BB219" s="38"/>
      <c r="BC219" s="38"/>
      <c r="BD219" s="38"/>
      <c r="BE219" s="38"/>
      <c r="BF219" s="38"/>
      <c r="BG219" s="38"/>
      <c r="BH219" s="38"/>
      <c r="BI219" s="38"/>
      <c r="BJ219" s="38"/>
      <c r="BK219" s="38"/>
      <c r="BL219" s="38"/>
      <c r="BM219" s="38"/>
      <c r="BN219" s="38"/>
      <c r="BO219" s="38"/>
      <c r="BP219" s="38"/>
      <c r="BQ219" s="38"/>
      <c r="BR219" s="38"/>
      <c r="BS219" s="38"/>
      <c r="BT219" s="38"/>
      <c r="BU219" s="38"/>
      <c r="BV219" s="38"/>
      <c r="BW219" s="38"/>
      <c r="BX219" s="38"/>
      <c r="BY219" s="38"/>
    </row>
    <row r="220" spans="2:77" x14ac:dyDescent="0.4"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8"/>
      <c r="AJ220" s="38"/>
      <c r="AK220" s="38"/>
      <c r="AL220" s="38"/>
      <c r="AM220" s="38"/>
      <c r="AN220" s="38"/>
      <c r="AO220" s="38"/>
      <c r="AP220" s="38"/>
      <c r="AQ220" s="38"/>
      <c r="AR220" s="38"/>
      <c r="AS220" s="38"/>
      <c r="AT220" s="38"/>
      <c r="AU220" s="38"/>
      <c r="AV220" s="38"/>
      <c r="AW220" s="38"/>
      <c r="AX220" s="38"/>
      <c r="AY220" s="38"/>
      <c r="AZ220" s="38"/>
      <c r="BA220" s="38"/>
      <c r="BB220" s="38"/>
      <c r="BC220" s="38"/>
      <c r="BD220" s="38"/>
      <c r="BE220" s="38"/>
      <c r="BF220" s="38"/>
      <c r="BG220" s="38"/>
      <c r="BH220" s="38"/>
      <c r="BI220" s="38"/>
      <c r="BJ220" s="38"/>
      <c r="BK220" s="38"/>
      <c r="BL220" s="38"/>
      <c r="BM220" s="38"/>
      <c r="BN220" s="38"/>
      <c r="BO220" s="38"/>
      <c r="BP220" s="38"/>
      <c r="BQ220" s="38"/>
      <c r="BR220" s="38"/>
      <c r="BS220" s="38"/>
      <c r="BT220" s="38"/>
      <c r="BU220" s="38"/>
      <c r="BV220" s="38"/>
      <c r="BW220" s="38"/>
      <c r="BX220" s="38"/>
      <c r="BY220" s="38"/>
    </row>
    <row r="221" spans="2:77" x14ac:dyDescent="0.4"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8"/>
      <c r="AJ221" s="38"/>
      <c r="AK221" s="38"/>
      <c r="AL221" s="38"/>
      <c r="AM221" s="38"/>
      <c r="AN221" s="38"/>
      <c r="AO221" s="38"/>
      <c r="AP221" s="38"/>
      <c r="AQ221" s="38"/>
      <c r="AR221" s="38"/>
      <c r="AS221" s="38"/>
      <c r="AT221" s="38"/>
      <c r="AU221" s="38"/>
      <c r="AV221" s="38"/>
      <c r="AW221" s="38"/>
      <c r="AX221" s="38"/>
      <c r="AY221" s="38"/>
      <c r="AZ221" s="38"/>
      <c r="BA221" s="38"/>
      <c r="BB221" s="38"/>
      <c r="BC221" s="38"/>
      <c r="BD221" s="38"/>
      <c r="BE221" s="38"/>
      <c r="BF221" s="38"/>
      <c r="BG221" s="38"/>
      <c r="BH221" s="38"/>
      <c r="BI221" s="38"/>
      <c r="BJ221" s="38"/>
      <c r="BK221" s="38"/>
      <c r="BL221" s="38"/>
      <c r="BM221" s="38"/>
      <c r="BN221" s="38"/>
      <c r="BO221" s="38"/>
      <c r="BP221" s="38"/>
      <c r="BQ221" s="38"/>
      <c r="BR221" s="38"/>
      <c r="BS221" s="38"/>
      <c r="BT221" s="38"/>
      <c r="BU221" s="38"/>
      <c r="BV221" s="38"/>
      <c r="BW221" s="38"/>
      <c r="BX221" s="38"/>
      <c r="BY221" s="38"/>
    </row>
    <row r="222" spans="2:77" x14ac:dyDescent="0.4"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8"/>
      <c r="AJ222" s="38"/>
      <c r="AK222" s="38"/>
      <c r="AL222" s="38"/>
      <c r="AM222" s="38"/>
      <c r="AN222" s="38"/>
      <c r="AO222" s="38"/>
      <c r="AP222" s="38"/>
      <c r="AQ222" s="38"/>
      <c r="AR222" s="38"/>
      <c r="AS222" s="38"/>
      <c r="AT222" s="38"/>
      <c r="AU222" s="38"/>
      <c r="AV222" s="38"/>
      <c r="AW222" s="38"/>
      <c r="AX222" s="38"/>
      <c r="AY222" s="38"/>
      <c r="AZ222" s="38"/>
      <c r="BA222" s="38"/>
      <c r="BB222" s="38"/>
      <c r="BC222" s="38"/>
      <c r="BD222" s="38"/>
      <c r="BE222" s="38"/>
      <c r="BF222" s="38"/>
      <c r="BG222" s="38"/>
      <c r="BH222" s="38"/>
      <c r="BI222" s="38"/>
      <c r="BJ222" s="38"/>
      <c r="BK222" s="38"/>
      <c r="BL222" s="38"/>
      <c r="BM222" s="38"/>
      <c r="BN222" s="38"/>
      <c r="BO222" s="38"/>
      <c r="BP222" s="38"/>
      <c r="BQ222" s="38"/>
      <c r="BR222" s="38"/>
      <c r="BS222" s="38"/>
      <c r="BT222" s="38"/>
      <c r="BU222" s="38"/>
      <c r="BV222" s="38"/>
      <c r="BW222" s="38"/>
      <c r="BX222" s="38"/>
      <c r="BY222" s="38"/>
    </row>
    <row r="223" spans="2:77" x14ac:dyDescent="0.4"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8"/>
      <c r="AJ223" s="38"/>
      <c r="AK223" s="38"/>
      <c r="AL223" s="38"/>
      <c r="AM223" s="38"/>
      <c r="AN223" s="38"/>
      <c r="AO223" s="38"/>
      <c r="AP223" s="38"/>
      <c r="AQ223" s="38"/>
      <c r="AR223" s="38"/>
      <c r="AS223" s="38"/>
      <c r="AT223" s="38"/>
      <c r="AU223" s="38"/>
      <c r="AV223" s="38"/>
      <c r="AW223" s="38"/>
      <c r="AX223" s="38"/>
      <c r="AY223" s="38"/>
      <c r="AZ223" s="38"/>
      <c r="BA223" s="38"/>
      <c r="BB223" s="38"/>
      <c r="BC223" s="38"/>
      <c r="BD223" s="38"/>
      <c r="BE223" s="38"/>
      <c r="BF223" s="38"/>
      <c r="BG223" s="38"/>
      <c r="BH223" s="38"/>
      <c r="BI223" s="38"/>
      <c r="BJ223" s="38"/>
      <c r="BK223" s="38"/>
      <c r="BL223" s="38"/>
      <c r="BM223" s="38"/>
      <c r="BN223" s="38"/>
      <c r="BO223" s="38"/>
      <c r="BP223" s="38"/>
      <c r="BQ223" s="38"/>
      <c r="BR223" s="38"/>
      <c r="BS223" s="38"/>
      <c r="BT223" s="38"/>
      <c r="BU223" s="38"/>
      <c r="BV223" s="38"/>
      <c r="BW223" s="38"/>
      <c r="BX223" s="38"/>
      <c r="BY223" s="38"/>
    </row>
    <row r="224" spans="2:77" x14ac:dyDescent="0.4"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8"/>
      <c r="AJ224" s="38"/>
      <c r="AK224" s="38"/>
      <c r="AL224" s="38"/>
      <c r="AM224" s="38"/>
      <c r="AN224" s="38"/>
      <c r="AO224" s="38"/>
      <c r="AP224" s="38"/>
      <c r="AQ224" s="38"/>
      <c r="AR224" s="38"/>
      <c r="AS224" s="38"/>
      <c r="AT224" s="38"/>
      <c r="AU224" s="38"/>
      <c r="AV224" s="38"/>
      <c r="AW224" s="38"/>
      <c r="AX224" s="38"/>
      <c r="AY224" s="38"/>
      <c r="AZ224" s="38"/>
      <c r="BA224" s="38"/>
      <c r="BB224" s="38"/>
      <c r="BC224" s="38"/>
      <c r="BD224" s="38"/>
      <c r="BE224" s="38"/>
      <c r="BF224" s="38"/>
      <c r="BG224" s="38"/>
      <c r="BH224" s="38"/>
      <c r="BI224" s="38"/>
      <c r="BJ224" s="38"/>
      <c r="BK224" s="38"/>
      <c r="BL224" s="38"/>
      <c r="BM224" s="38"/>
      <c r="BN224" s="38"/>
      <c r="BO224" s="38"/>
      <c r="BP224" s="38"/>
      <c r="BQ224" s="38"/>
      <c r="BR224" s="38"/>
      <c r="BS224" s="38"/>
      <c r="BT224" s="38"/>
      <c r="BU224" s="38"/>
      <c r="BV224" s="38"/>
      <c r="BW224" s="38"/>
      <c r="BX224" s="38"/>
      <c r="BY224" s="38"/>
    </row>
    <row r="225" spans="2:77" x14ac:dyDescent="0.4"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8"/>
      <c r="AJ225" s="38"/>
      <c r="AK225" s="38"/>
      <c r="AL225" s="38"/>
      <c r="AM225" s="38"/>
      <c r="AN225" s="38"/>
      <c r="AO225" s="38"/>
      <c r="AP225" s="38"/>
      <c r="AQ225" s="38"/>
      <c r="AR225" s="38"/>
      <c r="AS225" s="38"/>
      <c r="AT225" s="38"/>
      <c r="AU225" s="38"/>
      <c r="AV225" s="38"/>
      <c r="AW225" s="38"/>
      <c r="AX225" s="38"/>
      <c r="AY225" s="38"/>
      <c r="AZ225" s="38"/>
      <c r="BA225" s="38"/>
      <c r="BB225" s="38"/>
      <c r="BC225" s="38"/>
      <c r="BD225" s="38"/>
      <c r="BE225" s="38"/>
      <c r="BF225" s="38"/>
      <c r="BG225" s="38"/>
      <c r="BH225" s="38"/>
      <c r="BI225" s="38"/>
      <c r="BJ225" s="38"/>
      <c r="BK225" s="38"/>
      <c r="BL225" s="38"/>
      <c r="BM225" s="38"/>
      <c r="BN225" s="38"/>
      <c r="BO225" s="38"/>
      <c r="BP225" s="38"/>
      <c r="BQ225" s="38"/>
      <c r="BR225" s="38"/>
      <c r="BS225" s="38"/>
      <c r="BT225" s="38"/>
      <c r="BU225" s="38"/>
      <c r="BV225" s="38"/>
      <c r="BW225" s="38"/>
      <c r="BX225" s="38"/>
      <c r="BY225" s="38"/>
    </row>
    <row r="226" spans="2:77" x14ac:dyDescent="0.4"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I226" s="38"/>
      <c r="AJ226" s="38"/>
      <c r="AK226" s="38"/>
      <c r="AL226" s="38"/>
      <c r="AM226" s="38"/>
      <c r="AN226" s="38"/>
      <c r="AO226" s="38"/>
      <c r="AP226" s="38"/>
      <c r="AQ226" s="38"/>
      <c r="AR226" s="38"/>
      <c r="AS226" s="38"/>
      <c r="AT226" s="38"/>
      <c r="AU226" s="38"/>
      <c r="AV226" s="38"/>
      <c r="AW226" s="38"/>
      <c r="AX226" s="38"/>
      <c r="AY226" s="38"/>
      <c r="AZ226" s="38"/>
      <c r="BA226" s="38"/>
      <c r="BB226" s="38"/>
      <c r="BC226" s="38"/>
      <c r="BD226" s="38"/>
      <c r="BE226" s="38"/>
      <c r="BF226" s="38"/>
      <c r="BG226" s="38"/>
      <c r="BH226" s="38"/>
      <c r="BI226" s="38"/>
      <c r="BJ226" s="38"/>
      <c r="BK226" s="38"/>
      <c r="BL226" s="38"/>
      <c r="BM226" s="38"/>
      <c r="BN226" s="38"/>
      <c r="BO226" s="38"/>
      <c r="BP226" s="38"/>
      <c r="BQ226" s="38"/>
      <c r="BR226" s="38"/>
      <c r="BS226" s="38"/>
      <c r="BT226" s="38"/>
      <c r="BU226" s="38"/>
      <c r="BV226" s="38"/>
      <c r="BW226" s="38"/>
      <c r="BX226" s="38"/>
      <c r="BY226" s="38"/>
    </row>
    <row r="227" spans="2:77" x14ac:dyDescent="0.4"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8"/>
      <c r="AJ227" s="38"/>
      <c r="AK227" s="38"/>
      <c r="AL227" s="38"/>
      <c r="AM227" s="38"/>
      <c r="AN227" s="38"/>
      <c r="AO227" s="38"/>
      <c r="AP227" s="38"/>
      <c r="AQ227" s="38"/>
      <c r="AR227" s="38"/>
      <c r="AS227" s="38"/>
      <c r="AT227" s="38"/>
      <c r="AU227" s="38"/>
      <c r="AV227" s="38"/>
      <c r="AW227" s="38"/>
      <c r="AX227" s="38"/>
      <c r="AY227" s="38"/>
      <c r="AZ227" s="38"/>
      <c r="BA227" s="38"/>
      <c r="BB227" s="38"/>
      <c r="BC227" s="38"/>
      <c r="BD227" s="38"/>
      <c r="BE227" s="38"/>
      <c r="BF227" s="38"/>
      <c r="BG227" s="38"/>
      <c r="BH227" s="38"/>
      <c r="BI227" s="38"/>
      <c r="BJ227" s="38"/>
      <c r="BK227" s="38"/>
      <c r="BL227" s="38"/>
      <c r="BM227" s="38"/>
      <c r="BN227" s="38"/>
      <c r="BO227" s="38"/>
      <c r="BP227" s="38"/>
      <c r="BQ227" s="38"/>
      <c r="BR227" s="38"/>
      <c r="BS227" s="38"/>
      <c r="BT227" s="38"/>
      <c r="BU227" s="38"/>
      <c r="BV227" s="38"/>
      <c r="BW227" s="38"/>
      <c r="BX227" s="38"/>
      <c r="BY227" s="38"/>
    </row>
    <row r="228" spans="2:77" x14ac:dyDescent="0.4"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/>
      <c r="AH228" s="38"/>
      <c r="AI228" s="38"/>
      <c r="AJ228" s="38"/>
      <c r="AK228" s="38"/>
      <c r="AL228" s="38"/>
      <c r="AM228" s="38"/>
      <c r="AN228" s="38"/>
      <c r="AO228" s="38"/>
      <c r="AP228" s="38"/>
      <c r="AQ228" s="38"/>
      <c r="AR228" s="38"/>
      <c r="AS228" s="38"/>
      <c r="AT228" s="38"/>
      <c r="AU228" s="38"/>
      <c r="AV228" s="38"/>
      <c r="AW228" s="38"/>
      <c r="AX228" s="38"/>
      <c r="AY228" s="38"/>
      <c r="AZ228" s="38"/>
      <c r="BA228" s="38"/>
      <c r="BB228" s="38"/>
      <c r="BC228" s="38"/>
      <c r="BD228" s="38"/>
      <c r="BE228" s="38"/>
      <c r="BF228" s="38"/>
      <c r="BG228" s="38"/>
      <c r="BH228" s="38"/>
      <c r="BI228" s="38"/>
      <c r="BJ228" s="38"/>
      <c r="BK228" s="38"/>
      <c r="BL228" s="38"/>
      <c r="BM228" s="38"/>
      <c r="BN228" s="38"/>
      <c r="BO228" s="38"/>
      <c r="BP228" s="38"/>
      <c r="BQ228" s="38"/>
      <c r="BR228" s="38"/>
      <c r="BS228" s="38"/>
      <c r="BT228" s="38"/>
      <c r="BU228" s="38"/>
      <c r="BV228" s="38"/>
      <c r="BW228" s="38"/>
      <c r="BX228" s="38"/>
      <c r="BY228" s="38"/>
    </row>
    <row r="229" spans="2:77" x14ac:dyDescent="0.4"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I229" s="38"/>
      <c r="AJ229" s="38"/>
      <c r="AK229" s="38"/>
      <c r="AL229" s="38"/>
      <c r="AM229" s="38"/>
      <c r="AN229" s="38"/>
      <c r="AO229" s="38"/>
      <c r="AP229" s="38"/>
      <c r="AQ229" s="38"/>
      <c r="AR229" s="38"/>
      <c r="AS229" s="38"/>
      <c r="AT229" s="38"/>
      <c r="AU229" s="38"/>
      <c r="AV229" s="38"/>
      <c r="AW229" s="38"/>
      <c r="AX229" s="38"/>
      <c r="AY229" s="38"/>
      <c r="AZ229" s="38"/>
      <c r="BA229" s="38"/>
      <c r="BB229" s="38"/>
      <c r="BC229" s="38"/>
      <c r="BD229" s="38"/>
      <c r="BE229" s="38"/>
      <c r="BF229" s="38"/>
      <c r="BG229" s="38"/>
      <c r="BH229" s="38"/>
      <c r="BI229" s="38"/>
      <c r="BJ229" s="38"/>
      <c r="BK229" s="38"/>
      <c r="BL229" s="38"/>
      <c r="BM229" s="38"/>
      <c r="BN229" s="38"/>
      <c r="BO229" s="38"/>
      <c r="BP229" s="38"/>
      <c r="BQ229" s="38"/>
      <c r="BR229" s="38"/>
      <c r="BS229" s="38"/>
      <c r="BT229" s="38"/>
      <c r="BU229" s="38"/>
      <c r="BV229" s="38"/>
      <c r="BW229" s="38"/>
      <c r="BX229" s="38"/>
      <c r="BY229" s="38"/>
    </row>
    <row r="230" spans="2:77" x14ac:dyDescent="0.4"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I230" s="38"/>
      <c r="AJ230" s="38"/>
      <c r="AK230" s="38"/>
      <c r="AL230" s="38"/>
      <c r="AM230" s="38"/>
      <c r="AN230" s="38"/>
      <c r="AO230" s="38"/>
      <c r="AP230" s="38"/>
      <c r="AQ230" s="38"/>
      <c r="AR230" s="38"/>
      <c r="AS230" s="38"/>
      <c r="AT230" s="38"/>
      <c r="AU230" s="38"/>
      <c r="AV230" s="38"/>
      <c r="AW230" s="38"/>
      <c r="AX230" s="38"/>
      <c r="AY230" s="38"/>
      <c r="AZ230" s="38"/>
      <c r="BA230" s="38"/>
      <c r="BB230" s="38"/>
      <c r="BC230" s="38"/>
      <c r="BD230" s="38"/>
      <c r="BE230" s="38"/>
      <c r="BF230" s="38"/>
      <c r="BG230" s="38"/>
      <c r="BH230" s="38"/>
      <c r="BI230" s="38"/>
      <c r="BJ230" s="38"/>
      <c r="BK230" s="38"/>
      <c r="BL230" s="38"/>
      <c r="BM230" s="38"/>
      <c r="BN230" s="38"/>
      <c r="BO230" s="38"/>
      <c r="BP230" s="38"/>
      <c r="BQ230" s="38"/>
      <c r="BR230" s="38"/>
      <c r="BS230" s="38"/>
      <c r="BT230" s="38"/>
      <c r="BU230" s="38"/>
      <c r="BV230" s="38"/>
      <c r="BW230" s="38"/>
      <c r="BX230" s="38"/>
      <c r="BY230" s="38"/>
    </row>
    <row r="231" spans="2:77" x14ac:dyDescent="0.4"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I231" s="38"/>
      <c r="AJ231" s="38"/>
      <c r="AK231" s="38"/>
      <c r="AL231" s="38"/>
      <c r="AM231" s="38"/>
      <c r="AN231" s="38"/>
      <c r="AO231" s="38"/>
      <c r="AP231" s="38"/>
      <c r="AQ231" s="38"/>
      <c r="AR231" s="38"/>
      <c r="AS231" s="38"/>
      <c r="AT231" s="38"/>
      <c r="AU231" s="38"/>
      <c r="AV231" s="38"/>
      <c r="AW231" s="38"/>
      <c r="AX231" s="38"/>
      <c r="AY231" s="38"/>
      <c r="AZ231" s="38"/>
      <c r="BA231" s="38"/>
      <c r="BB231" s="38"/>
      <c r="BC231" s="38"/>
      <c r="BD231" s="38"/>
      <c r="BE231" s="38"/>
      <c r="BF231" s="38"/>
      <c r="BG231" s="38"/>
      <c r="BH231" s="38"/>
      <c r="BI231" s="38"/>
      <c r="BJ231" s="38"/>
      <c r="BK231" s="38"/>
      <c r="BL231" s="38"/>
      <c r="BM231" s="38"/>
      <c r="BN231" s="38"/>
      <c r="BO231" s="38"/>
      <c r="BP231" s="38"/>
      <c r="BQ231" s="38"/>
      <c r="BR231" s="38"/>
      <c r="BS231" s="38"/>
      <c r="BT231" s="38"/>
      <c r="BU231" s="38"/>
      <c r="BV231" s="38"/>
      <c r="BW231" s="38"/>
      <c r="BX231" s="38"/>
      <c r="BY231" s="38"/>
    </row>
    <row r="232" spans="2:77" x14ac:dyDescent="0.4"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I232" s="38"/>
      <c r="AJ232" s="38"/>
      <c r="AK232" s="38"/>
      <c r="AL232" s="38"/>
      <c r="AM232" s="38"/>
      <c r="AN232" s="38"/>
      <c r="AO232" s="38"/>
      <c r="AP232" s="38"/>
      <c r="AQ232" s="38"/>
      <c r="AR232" s="38"/>
      <c r="AS232" s="38"/>
      <c r="AT232" s="38"/>
      <c r="AU232" s="38"/>
      <c r="AV232" s="38"/>
      <c r="AW232" s="38"/>
      <c r="AX232" s="38"/>
      <c r="AY232" s="38"/>
      <c r="AZ232" s="38"/>
      <c r="BA232" s="38"/>
      <c r="BB232" s="38"/>
      <c r="BC232" s="38"/>
      <c r="BD232" s="38"/>
      <c r="BE232" s="38"/>
      <c r="BF232" s="38"/>
      <c r="BG232" s="38"/>
      <c r="BH232" s="38"/>
      <c r="BI232" s="38"/>
      <c r="BJ232" s="38"/>
      <c r="BK232" s="38"/>
      <c r="BL232" s="38"/>
      <c r="BM232" s="38"/>
      <c r="BN232" s="38"/>
      <c r="BO232" s="38"/>
      <c r="BP232" s="38"/>
      <c r="BQ232" s="38"/>
      <c r="BR232" s="38"/>
      <c r="BS232" s="38"/>
      <c r="BT232" s="38"/>
      <c r="BU232" s="38"/>
      <c r="BV232" s="38"/>
      <c r="BW232" s="38"/>
      <c r="BX232" s="38"/>
      <c r="BY232" s="38"/>
    </row>
    <row r="233" spans="2:77" x14ac:dyDescent="0.4"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8"/>
      <c r="AJ233" s="38"/>
      <c r="AK233" s="38"/>
      <c r="AL233" s="38"/>
      <c r="AM233" s="38"/>
      <c r="AN233" s="38"/>
      <c r="AO233" s="38"/>
      <c r="AP233" s="38"/>
      <c r="AQ233" s="38"/>
      <c r="AR233" s="38"/>
      <c r="AS233" s="38"/>
      <c r="AT233" s="38"/>
      <c r="AU233" s="38"/>
      <c r="AV233" s="38"/>
      <c r="AW233" s="38"/>
      <c r="AX233" s="38"/>
      <c r="AY233" s="38"/>
      <c r="AZ233" s="38"/>
      <c r="BA233" s="38"/>
      <c r="BB233" s="38"/>
      <c r="BC233" s="38"/>
      <c r="BD233" s="38"/>
      <c r="BE233" s="38"/>
      <c r="BF233" s="38"/>
      <c r="BG233" s="38"/>
      <c r="BH233" s="38"/>
      <c r="BI233" s="38"/>
      <c r="BJ233" s="38"/>
      <c r="BK233" s="38"/>
      <c r="BL233" s="38"/>
      <c r="BM233" s="38"/>
      <c r="BN233" s="38"/>
      <c r="BO233" s="38"/>
      <c r="BP233" s="38"/>
      <c r="BQ233" s="38"/>
      <c r="BR233" s="38"/>
      <c r="BS233" s="38"/>
      <c r="BT233" s="38"/>
      <c r="BU233" s="38"/>
      <c r="BV233" s="38"/>
      <c r="BW233" s="38"/>
      <c r="BX233" s="38"/>
      <c r="BY233" s="38"/>
    </row>
    <row r="234" spans="2:77" x14ac:dyDescent="0.4"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I234" s="38"/>
      <c r="AJ234" s="38"/>
      <c r="AK234" s="38"/>
      <c r="AL234" s="38"/>
      <c r="AM234" s="38"/>
      <c r="AN234" s="38"/>
      <c r="AO234" s="38"/>
      <c r="AP234" s="38"/>
      <c r="AQ234" s="38"/>
      <c r="AR234" s="38"/>
      <c r="AS234" s="38"/>
      <c r="AT234" s="38"/>
      <c r="AU234" s="38"/>
      <c r="AV234" s="38"/>
      <c r="AW234" s="38"/>
      <c r="AX234" s="38"/>
      <c r="AY234" s="38"/>
      <c r="AZ234" s="38"/>
      <c r="BA234" s="38"/>
      <c r="BB234" s="38"/>
      <c r="BC234" s="38"/>
      <c r="BD234" s="38"/>
      <c r="BE234" s="38"/>
      <c r="BF234" s="38"/>
      <c r="BG234" s="38"/>
      <c r="BH234" s="38"/>
      <c r="BI234" s="38"/>
      <c r="BJ234" s="38"/>
      <c r="BK234" s="38"/>
      <c r="BL234" s="38"/>
      <c r="BM234" s="38"/>
      <c r="BN234" s="38"/>
      <c r="BO234" s="38"/>
      <c r="BP234" s="38"/>
      <c r="BQ234" s="38"/>
      <c r="BR234" s="38"/>
      <c r="BS234" s="38"/>
      <c r="BT234" s="38"/>
      <c r="BU234" s="38"/>
      <c r="BV234" s="38"/>
      <c r="BW234" s="38"/>
      <c r="BX234" s="38"/>
      <c r="BY234" s="38"/>
    </row>
    <row r="235" spans="2:77" x14ac:dyDescent="0.4"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I235" s="38"/>
      <c r="AJ235" s="38"/>
      <c r="AK235" s="38"/>
      <c r="AL235" s="38"/>
      <c r="AM235" s="38"/>
      <c r="AN235" s="38"/>
      <c r="AO235" s="38"/>
      <c r="AP235" s="38"/>
      <c r="AQ235" s="38"/>
      <c r="AR235" s="38"/>
      <c r="AS235" s="38"/>
      <c r="AT235" s="38"/>
      <c r="AU235" s="38"/>
      <c r="AV235" s="38"/>
      <c r="AW235" s="38"/>
      <c r="AX235" s="38"/>
      <c r="AY235" s="38"/>
      <c r="AZ235" s="38"/>
      <c r="BA235" s="38"/>
      <c r="BB235" s="38"/>
      <c r="BC235" s="38"/>
      <c r="BD235" s="38"/>
      <c r="BE235" s="38"/>
      <c r="BF235" s="38"/>
      <c r="BG235" s="38"/>
      <c r="BH235" s="38"/>
      <c r="BI235" s="38"/>
      <c r="BJ235" s="38"/>
      <c r="BK235" s="38"/>
      <c r="BL235" s="38"/>
      <c r="BM235" s="38"/>
      <c r="BN235" s="38"/>
      <c r="BO235" s="38"/>
      <c r="BP235" s="38"/>
      <c r="BQ235" s="38"/>
      <c r="BR235" s="38"/>
      <c r="BS235" s="38"/>
      <c r="BT235" s="38"/>
      <c r="BU235" s="38"/>
      <c r="BV235" s="38"/>
      <c r="BW235" s="38"/>
      <c r="BX235" s="38"/>
      <c r="BY235" s="38"/>
    </row>
    <row r="236" spans="2:77" x14ac:dyDescent="0.4"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I236" s="38"/>
      <c r="AJ236" s="38"/>
      <c r="AK236" s="38"/>
      <c r="AL236" s="38"/>
      <c r="AM236" s="38"/>
      <c r="AN236" s="38"/>
      <c r="AO236" s="38"/>
      <c r="AP236" s="38"/>
      <c r="AQ236" s="38"/>
      <c r="AR236" s="38"/>
      <c r="AS236" s="38"/>
      <c r="AT236" s="38"/>
      <c r="AU236" s="38"/>
      <c r="AV236" s="38"/>
      <c r="AW236" s="38"/>
      <c r="AX236" s="38"/>
      <c r="AY236" s="38"/>
      <c r="AZ236" s="38"/>
      <c r="BA236" s="38"/>
      <c r="BB236" s="38"/>
      <c r="BC236" s="38"/>
      <c r="BD236" s="38"/>
      <c r="BE236" s="38"/>
      <c r="BF236" s="38"/>
      <c r="BG236" s="38"/>
      <c r="BH236" s="38"/>
      <c r="BI236" s="38"/>
      <c r="BJ236" s="38"/>
      <c r="BK236" s="38"/>
      <c r="BL236" s="38"/>
      <c r="BM236" s="38"/>
      <c r="BN236" s="38"/>
      <c r="BO236" s="38"/>
      <c r="BP236" s="38"/>
      <c r="BQ236" s="38"/>
      <c r="BR236" s="38"/>
      <c r="BS236" s="38"/>
      <c r="BT236" s="38"/>
      <c r="BU236" s="38"/>
      <c r="BV236" s="38"/>
      <c r="BW236" s="38"/>
      <c r="BX236" s="38"/>
      <c r="BY236" s="38"/>
    </row>
    <row r="237" spans="2:77" x14ac:dyDescent="0.4"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8"/>
      <c r="AJ237" s="38"/>
      <c r="AK237" s="38"/>
      <c r="AL237" s="38"/>
      <c r="AM237" s="38"/>
      <c r="AN237" s="38"/>
      <c r="AO237" s="38"/>
      <c r="AP237" s="38"/>
      <c r="AQ237" s="38"/>
      <c r="AR237" s="38"/>
      <c r="AS237" s="38"/>
      <c r="AT237" s="38"/>
      <c r="AU237" s="38"/>
      <c r="AV237" s="38"/>
      <c r="AW237" s="38"/>
      <c r="AX237" s="38"/>
      <c r="AY237" s="38"/>
      <c r="AZ237" s="38"/>
      <c r="BA237" s="38"/>
      <c r="BB237" s="38"/>
      <c r="BC237" s="38"/>
      <c r="BD237" s="38"/>
      <c r="BE237" s="38"/>
      <c r="BF237" s="38"/>
      <c r="BG237" s="38"/>
      <c r="BH237" s="38"/>
      <c r="BI237" s="38"/>
      <c r="BJ237" s="38"/>
      <c r="BK237" s="38"/>
      <c r="BL237" s="38"/>
      <c r="BM237" s="38"/>
      <c r="BN237" s="38"/>
      <c r="BO237" s="38"/>
      <c r="BP237" s="38"/>
      <c r="BQ237" s="38"/>
      <c r="BR237" s="38"/>
      <c r="BS237" s="38"/>
      <c r="BT237" s="38"/>
      <c r="BU237" s="38"/>
      <c r="BV237" s="38"/>
      <c r="BW237" s="38"/>
      <c r="BX237" s="38"/>
      <c r="BY237" s="38"/>
    </row>
    <row r="238" spans="2:77" x14ac:dyDescent="0.4"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I238" s="38"/>
      <c r="AJ238" s="38"/>
      <c r="AK238" s="38"/>
      <c r="AL238" s="38"/>
      <c r="AM238" s="38"/>
      <c r="AN238" s="38"/>
      <c r="AO238" s="38"/>
      <c r="AP238" s="38"/>
      <c r="AQ238" s="38"/>
      <c r="AR238" s="38"/>
      <c r="AS238" s="38"/>
      <c r="AT238" s="38"/>
      <c r="AU238" s="38"/>
      <c r="AV238" s="38"/>
      <c r="AW238" s="38"/>
      <c r="AX238" s="38"/>
      <c r="AY238" s="38"/>
      <c r="AZ238" s="38"/>
      <c r="BA238" s="38"/>
      <c r="BB238" s="38"/>
      <c r="BC238" s="38"/>
      <c r="BD238" s="38"/>
      <c r="BE238" s="38"/>
      <c r="BF238" s="38"/>
      <c r="BG238" s="38"/>
      <c r="BH238" s="38"/>
      <c r="BI238" s="38"/>
      <c r="BJ238" s="38"/>
      <c r="BK238" s="38"/>
      <c r="BL238" s="38"/>
      <c r="BM238" s="38"/>
      <c r="BN238" s="38"/>
      <c r="BO238" s="38"/>
      <c r="BP238" s="38"/>
      <c r="BQ238" s="38"/>
      <c r="BR238" s="38"/>
      <c r="BS238" s="38"/>
      <c r="BT238" s="38"/>
      <c r="BU238" s="38"/>
      <c r="BV238" s="38"/>
      <c r="BW238" s="38"/>
      <c r="BX238" s="38"/>
      <c r="BY238" s="38"/>
    </row>
    <row r="239" spans="2:77" x14ac:dyDescent="0.4"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8"/>
      <c r="AJ239" s="38"/>
      <c r="AK239" s="38"/>
      <c r="AL239" s="38"/>
      <c r="AM239" s="38"/>
      <c r="AN239" s="38"/>
      <c r="AO239" s="38"/>
      <c r="AP239" s="38"/>
      <c r="AQ239" s="38"/>
      <c r="AR239" s="38"/>
      <c r="AS239" s="38"/>
      <c r="AT239" s="38"/>
      <c r="AU239" s="38"/>
      <c r="AV239" s="38"/>
      <c r="AW239" s="38"/>
      <c r="AX239" s="38"/>
      <c r="AY239" s="38"/>
      <c r="AZ239" s="38"/>
      <c r="BA239" s="38"/>
      <c r="BB239" s="38"/>
      <c r="BC239" s="38"/>
      <c r="BD239" s="38"/>
      <c r="BE239" s="38"/>
      <c r="BF239" s="38"/>
      <c r="BG239" s="38"/>
      <c r="BH239" s="38"/>
      <c r="BI239" s="38"/>
      <c r="BJ239" s="38"/>
      <c r="BK239" s="38"/>
      <c r="BL239" s="38"/>
      <c r="BM239" s="38"/>
      <c r="BN239" s="38"/>
      <c r="BO239" s="38"/>
      <c r="BP239" s="38"/>
      <c r="BQ239" s="38"/>
      <c r="BR239" s="38"/>
      <c r="BS239" s="38"/>
      <c r="BT239" s="38"/>
      <c r="BU239" s="38"/>
      <c r="BV239" s="38"/>
      <c r="BW239" s="38"/>
      <c r="BX239" s="38"/>
      <c r="BY239" s="38"/>
    </row>
    <row r="240" spans="2:77" x14ac:dyDescent="0.4"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I240" s="38"/>
      <c r="AJ240" s="38"/>
      <c r="AK240" s="38"/>
      <c r="AL240" s="38"/>
      <c r="AM240" s="38"/>
      <c r="AN240" s="38"/>
      <c r="AO240" s="38"/>
      <c r="AP240" s="38"/>
      <c r="AQ240" s="38"/>
      <c r="AR240" s="38"/>
      <c r="AS240" s="38"/>
      <c r="AT240" s="38"/>
      <c r="AU240" s="38"/>
      <c r="AV240" s="38"/>
      <c r="AW240" s="38"/>
      <c r="AX240" s="38"/>
      <c r="AY240" s="38"/>
      <c r="AZ240" s="38"/>
      <c r="BA240" s="38"/>
      <c r="BB240" s="38"/>
      <c r="BC240" s="38"/>
      <c r="BD240" s="38"/>
      <c r="BE240" s="38"/>
      <c r="BF240" s="38"/>
      <c r="BG240" s="38"/>
      <c r="BH240" s="38"/>
      <c r="BI240" s="38"/>
      <c r="BJ240" s="38"/>
      <c r="BK240" s="38"/>
      <c r="BL240" s="38"/>
      <c r="BM240" s="38"/>
      <c r="BN240" s="38"/>
      <c r="BO240" s="38"/>
      <c r="BP240" s="38"/>
      <c r="BQ240" s="38"/>
      <c r="BR240" s="38"/>
      <c r="BS240" s="38"/>
      <c r="BT240" s="38"/>
      <c r="BU240" s="38"/>
      <c r="BV240" s="38"/>
      <c r="BW240" s="38"/>
      <c r="BX240" s="38"/>
      <c r="BY240" s="38"/>
    </row>
    <row r="241" spans="2:77" x14ac:dyDescent="0.4"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I241" s="38"/>
      <c r="AJ241" s="38"/>
      <c r="AK241" s="38"/>
      <c r="AL241" s="38"/>
      <c r="AM241" s="38"/>
      <c r="AN241" s="38"/>
      <c r="AO241" s="38"/>
      <c r="AP241" s="38"/>
      <c r="AQ241" s="38"/>
      <c r="AR241" s="38"/>
      <c r="AS241" s="38"/>
      <c r="AT241" s="38"/>
      <c r="AU241" s="38"/>
      <c r="AV241" s="38"/>
      <c r="AW241" s="38"/>
      <c r="AX241" s="38"/>
      <c r="AY241" s="38"/>
      <c r="AZ241" s="38"/>
      <c r="BA241" s="38"/>
      <c r="BB241" s="38"/>
      <c r="BC241" s="38"/>
      <c r="BD241" s="38"/>
      <c r="BE241" s="38"/>
      <c r="BF241" s="38"/>
      <c r="BG241" s="38"/>
      <c r="BH241" s="38"/>
      <c r="BI241" s="38"/>
      <c r="BJ241" s="38"/>
      <c r="BK241" s="38"/>
      <c r="BL241" s="38"/>
      <c r="BM241" s="38"/>
      <c r="BN241" s="38"/>
      <c r="BO241" s="38"/>
      <c r="BP241" s="38"/>
      <c r="BQ241" s="38"/>
      <c r="BR241" s="38"/>
      <c r="BS241" s="38"/>
      <c r="BT241" s="38"/>
      <c r="BU241" s="38"/>
      <c r="BV241" s="38"/>
      <c r="BW241" s="38"/>
      <c r="BX241" s="38"/>
      <c r="BY241" s="38"/>
    </row>
    <row r="242" spans="2:77" x14ac:dyDescent="0.4"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8"/>
      <c r="AJ242" s="38"/>
      <c r="AK242" s="38"/>
      <c r="AL242" s="38"/>
      <c r="AM242" s="38"/>
      <c r="AN242" s="38"/>
      <c r="AO242" s="38"/>
      <c r="AP242" s="38"/>
      <c r="AQ242" s="38"/>
      <c r="AR242" s="38"/>
      <c r="AS242" s="38"/>
      <c r="AT242" s="38"/>
      <c r="AU242" s="38"/>
      <c r="AV242" s="38"/>
      <c r="AW242" s="38"/>
      <c r="AX242" s="38"/>
      <c r="AY242" s="38"/>
      <c r="AZ242" s="38"/>
      <c r="BA242" s="38"/>
      <c r="BB242" s="38"/>
      <c r="BC242" s="38"/>
      <c r="BD242" s="38"/>
      <c r="BE242" s="38"/>
      <c r="BF242" s="38"/>
      <c r="BG242" s="38"/>
      <c r="BH242" s="38"/>
      <c r="BI242" s="38"/>
      <c r="BJ242" s="38"/>
      <c r="BK242" s="38"/>
      <c r="BL242" s="38"/>
      <c r="BM242" s="38"/>
      <c r="BN242" s="38"/>
      <c r="BO242" s="38"/>
      <c r="BP242" s="38"/>
      <c r="BQ242" s="38"/>
      <c r="BR242" s="38"/>
      <c r="BS242" s="38"/>
      <c r="BT242" s="38"/>
      <c r="BU242" s="38"/>
      <c r="BV242" s="38"/>
      <c r="BW242" s="38"/>
      <c r="BX242" s="38"/>
      <c r="BY242" s="38"/>
    </row>
    <row r="243" spans="2:77" x14ac:dyDescent="0.4"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8"/>
      <c r="AJ243" s="38"/>
      <c r="AK243" s="38"/>
      <c r="AL243" s="38"/>
      <c r="AM243" s="38"/>
      <c r="AN243" s="38"/>
      <c r="AO243" s="38"/>
      <c r="AP243" s="38"/>
      <c r="AQ243" s="38"/>
      <c r="AR243" s="38"/>
      <c r="AS243" s="38"/>
      <c r="AT243" s="38"/>
      <c r="AU243" s="38"/>
      <c r="AV243" s="38"/>
      <c r="AW243" s="38"/>
      <c r="AX243" s="38"/>
      <c r="AY243" s="38"/>
      <c r="AZ243" s="38"/>
      <c r="BA243" s="38"/>
      <c r="BB243" s="38"/>
      <c r="BC243" s="38"/>
      <c r="BD243" s="38"/>
      <c r="BE243" s="38"/>
      <c r="BF243" s="38"/>
      <c r="BG243" s="38"/>
      <c r="BH243" s="38"/>
      <c r="BI243" s="38"/>
      <c r="BJ243" s="38"/>
      <c r="BK243" s="38"/>
      <c r="BL243" s="38"/>
      <c r="BM243" s="38"/>
      <c r="BN243" s="38"/>
      <c r="BO243" s="38"/>
      <c r="BP243" s="38"/>
      <c r="BQ243" s="38"/>
      <c r="BR243" s="38"/>
      <c r="BS243" s="38"/>
      <c r="BT243" s="38"/>
      <c r="BU243" s="38"/>
      <c r="BV243" s="38"/>
      <c r="BW243" s="38"/>
      <c r="BX243" s="38"/>
      <c r="BY243" s="38"/>
    </row>
    <row r="244" spans="2:77" x14ac:dyDescent="0.4"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8"/>
      <c r="AJ244" s="38"/>
      <c r="AK244" s="38"/>
      <c r="AL244" s="38"/>
      <c r="AM244" s="38"/>
      <c r="AN244" s="38"/>
      <c r="AO244" s="38"/>
      <c r="AP244" s="38"/>
      <c r="AQ244" s="38"/>
      <c r="AR244" s="38"/>
      <c r="AS244" s="38"/>
      <c r="AT244" s="38"/>
      <c r="AU244" s="38"/>
      <c r="AV244" s="38"/>
      <c r="AW244" s="38"/>
      <c r="AX244" s="38"/>
      <c r="AY244" s="38"/>
      <c r="AZ244" s="38"/>
      <c r="BA244" s="38"/>
      <c r="BB244" s="38"/>
      <c r="BC244" s="38"/>
      <c r="BD244" s="38"/>
      <c r="BE244" s="38"/>
      <c r="BF244" s="38"/>
      <c r="BG244" s="38"/>
      <c r="BH244" s="38"/>
      <c r="BI244" s="38"/>
      <c r="BJ244" s="38"/>
      <c r="BK244" s="38"/>
      <c r="BL244" s="38"/>
      <c r="BM244" s="38"/>
      <c r="BN244" s="38"/>
      <c r="BO244" s="38"/>
      <c r="BP244" s="38"/>
      <c r="BQ244" s="38"/>
      <c r="BR244" s="38"/>
      <c r="BS244" s="38"/>
      <c r="BT244" s="38"/>
      <c r="BU244" s="38"/>
      <c r="BV244" s="38"/>
      <c r="BW244" s="38"/>
      <c r="BX244" s="38"/>
      <c r="BY244" s="38"/>
    </row>
    <row r="245" spans="2:77" x14ac:dyDescent="0.4"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I245" s="38"/>
      <c r="AJ245" s="38"/>
      <c r="AK245" s="38"/>
      <c r="AL245" s="38"/>
      <c r="AM245" s="38"/>
      <c r="AN245" s="38"/>
      <c r="AO245" s="38"/>
      <c r="AP245" s="38"/>
      <c r="AQ245" s="38"/>
      <c r="AR245" s="38"/>
      <c r="AS245" s="38"/>
      <c r="AT245" s="38"/>
      <c r="AU245" s="38"/>
      <c r="AV245" s="38"/>
      <c r="AW245" s="38"/>
      <c r="AX245" s="38"/>
      <c r="AY245" s="38"/>
      <c r="AZ245" s="38"/>
      <c r="BA245" s="38"/>
      <c r="BB245" s="38"/>
      <c r="BC245" s="38"/>
      <c r="BD245" s="38"/>
      <c r="BE245" s="38"/>
      <c r="BF245" s="38"/>
      <c r="BG245" s="38"/>
      <c r="BH245" s="38"/>
      <c r="BI245" s="38"/>
      <c r="BJ245" s="38"/>
      <c r="BK245" s="38"/>
      <c r="BL245" s="38"/>
      <c r="BM245" s="38"/>
      <c r="BN245" s="38"/>
      <c r="BO245" s="38"/>
      <c r="BP245" s="38"/>
      <c r="BQ245" s="38"/>
      <c r="BR245" s="38"/>
      <c r="BS245" s="38"/>
      <c r="BT245" s="38"/>
      <c r="BU245" s="38"/>
      <c r="BV245" s="38"/>
      <c r="BW245" s="38"/>
      <c r="BX245" s="38"/>
      <c r="BY245" s="38"/>
    </row>
    <row r="246" spans="2:77" x14ac:dyDescent="0.4"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I246" s="38"/>
      <c r="AJ246" s="38"/>
      <c r="AK246" s="38"/>
      <c r="AL246" s="38"/>
      <c r="AM246" s="38"/>
      <c r="AN246" s="38"/>
      <c r="AO246" s="38"/>
      <c r="AP246" s="38"/>
      <c r="AQ246" s="38"/>
      <c r="AR246" s="38"/>
      <c r="AS246" s="38"/>
      <c r="AT246" s="38"/>
      <c r="AU246" s="38"/>
      <c r="AV246" s="38"/>
      <c r="AW246" s="38"/>
      <c r="AX246" s="38"/>
      <c r="AY246" s="38"/>
      <c r="AZ246" s="38"/>
      <c r="BA246" s="38"/>
      <c r="BB246" s="38"/>
      <c r="BC246" s="38"/>
      <c r="BD246" s="38"/>
      <c r="BE246" s="38"/>
      <c r="BF246" s="38"/>
      <c r="BG246" s="38"/>
      <c r="BH246" s="38"/>
      <c r="BI246" s="38"/>
      <c r="BJ246" s="38"/>
      <c r="BK246" s="38"/>
      <c r="BL246" s="38"/>
      <c r="BM246" s="38"/>
      <c r="BN246" s="38"/>
      <c r="BO246" s="38"/>
      <c r="BP246" s="38"/>
      <c r="BQ246" s="38"/>
      <c r="BR246" s="38"/>
      <c r="BS246" s="38"/>
      <c r="BT246" s="38"/>
      <c r="BU246" s="38"/>
      <c r="BV246" s="38"/>
      <c r="BW246" s="38"/>
      <c r="BX246" s="38"/>
      <c r="BY246" s="38"/>
    </row>
    <row r="247" spans="2:77" x14ac:dyDescent="0.4"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8"/>
      <c r="AJ247" s="38"/>
      <c r="AK247" s="38"/>
      <c r="AL247" s="38"/>
      <c r="AM247" s="38"/>
      <c r="AN247" s="38"/>
      <c r="AO247" s="38"/>
      <c r="AP247" s="38"/>
      <c r="AQ247" s="38"/>
      <c r="AR247" s="38"/>
      <c r="AS247" s="38"/>
      <c r="AT247" s="38"/>
      <c r="AU247" s="38"/>
      <c r="AV247" s="38"/>
      <c r="AW247" s="38"/>
      <c r="AX247" s="38"/>
      <c r="AY247" s="38"/>
      <c r="AZ247" s="38"/>
      <c r="BA247" s="38"/>
      <c r="BB247" s="38"/>
      <c r="BC247" s="38"/>
      <c r="BD247" s="38"/>
      <c r="BE247" s="38"/>
      <c r="BF247" s="38"/>
      <c r="BG247" s="38"/>
      <c r="BH247" s="38"/>
      <c r="BI247" s="38"/>
      <c r="BJ247" s="38"/>
      <c r="BK247" s="38"/>
      <c r="BL247" s="38"/>
      <c r="BM247" s="38"/>
      <c r="BN247" s="38"/>
      <c r="BO247" s="38"/>
      <c r="BP247" s="38"/>
      <c r="BQ247" s="38"/>
      <c r="BR247" s="38"/>
      <c r="BS247" s="38"/>
      <c r="BT247" s="38"/>
      <c r="BU247" s="38"/>
      <c r="BV247" s="38"/>
      <c r="BW247" s="38"/>
      <c r="BX247" s="38"/>
      <c r="BY247" s="38"/>
    </row>
    <row r="248" spans="2:77" x14ac:dyDescent="0.4"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8"/>
      <c r="AJ248" s="38"/>
      <c r="AK248" s="38"/>
      <c r="AL248" s="38"/>
      <c r="AM248" s="38"/>
      <c r="AN248" s="38"/>
      <c r="AO248" s="38"/>
      <c r="AP248" s="38"/>
      <c r="AQ248" s="38"/>
      <c r="AR248" s="38"/>
      <c r="AS248" s="38"/>
      <c r="AT248" s="38"/>
      <c r="AU248" s="38"/>
      <c r="AV248" s="38"/>
      <c r="AW248" s="38"/>
      <c r="AX248" s="38"/>
      <c r="AY248" s="38"/>
      <c r="AZ248" s="38"/>
      <c r="BA248" s="38"/>
      <c r="BB248" s="38"/>
      <c r="BC248" s="38"/>
      <c r="BD248" s="38"/>
      <c r="BE248" s="38"/>
      <c r="BF248" s="38"/>
      <c r="BG248" s="38"/>
      <c r="BH248" s="38"/>
      <c r="BI248" s="38"/>
      <c r="BJ248" s="38"/>
      <c r="BK248" s="38"/>
      <c r="BL248" s="38"/>
      <c r="BM248" s="38"/>
      <c r="BN248" s="38"/>
      <c r="BO248" s="38"/>
      <c r="BP248" s="38"/>
      <c r="BQ248" s="38"/>
      <c r="BR248" s="38"/>
      <c r="BS248" s="38"/>
      <c r="BT248" s="38"/>
      <c r="BU248" s="38"/>
      <c r="BV248" s="38"/>
      <c r="BW248" s="38"/>
      <c r="BX248" s="38"/>
      <c r="BY248" s="38"/>
    </row>
    <row r="249" spans="2:77" x14ac:dyDescent="0.4"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I249" s="38"/>
      <c r="AJ249" s="38"/>
      <c r="AK249" s="38"/>
      <c r="AL249" s="38"/>
      <c r="AM249" s="38"/>
      <c r="AN249" s="38"/>
      <c r="AO249" s="38"/>
      <c r="AP249" s="38"/>
      <c r="AQ249" s="38"/>
      <c r="AR249" s="38"/>
      <c r="AS249" s="38"/>
      <c r="AT249" s="38"/>
      <c r="AU249" s="38"/>
      <c r="AV249" s="38"/>
      <c r="AW249" s="38"/>
      <c r="AX249" s="38"/>
      <c r="AY249" s="38"/>
      <c r="AZ249" s="38"/>
      <c r="BA249" s="38"/>
      <c r="BB249" s="38"/>
      <c r="BC249" s="38"/>
      <c r="BD249" s="38"/>
      <c r="BE249" s="38"/>
      <c r="BF249" s="38"/>
      <c r="BG249" s="38"/>
      <c r="BH249" s="38"/>
      <c r="BI249" s="38"/>
      <c r="BJ249" s="38"/>
      <c r="BK249" s="38"/>
      <c r="BL249" s="38"/>
      <c r="BM249" s="38"/>
      <c r="BN249" s="38"/>
      <c r="BO249" s="38"/>
      <c r="BP249" s="38"/>
      <c r="BQ249" s="38"/>
      <c r="BR249" s="38"/>
      <c r="BS249" s="38"/>
      <c r="BT249" s="38"/>
      <c r="BU249" s="38"/>
      <c r="BV249" s="38"/>
      <c r="BW249" s="38"/>
      <c r="BX249" s="38"/>
      <c r="BY249" s="38"/>
    </row>
    <row r="250" spans="2:77" x14ac:dyDescent="0.4"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  <c r="AG250" s="38"/>
      <c r="AH250" s="38"/>
      <c r="AI250" s="38"/>
      <c r="AJ250" s="38"/>
      <c r="AK250" s="38"/>
      <c r="AL250" s="38"/>
      <c r="AM250" s="38"/>
      <c r="AN250" s="38"/>
      <c r="AO250" s="38"/>
      <c r="AP250" s="38"/>
      <c r="AQ250" s="38"/>
      <c r="AR250" s="38"/>
      <c r="AS250" s="38"/>
      <c r="AT250" s="38"/>
      <c r="AU250" s="38"/>
      <c r="AV250" s="38"/>
      <c r="AW250" s="38"/>
      <c r="AX250" s="38"/>
      <c r="AY250" s="38"/>
      <c r="AZ250" s="38"/>
      <c r="BA250" s="38"/>
      <c r="BB250" s="38"/>
      <c r="BC250" s="38"/>
      <c r="BD250" s="38"/>
      <c r="BE250" s="38"/>
      <c r="BF250" s="38"/>
      <c r="BG250" s="38"/>
      <c r="BH250" s="38"/>
      <c r="BI250" s="38"/>
      <c r="BJ250" s="38"/>
      <c r="BK250" s="38"/>
      <c r="BL250" s="38"/>
      <c r="BM250" s="38"/>
      <c r="BN250" s="38"/>
      <c r="BO250" s="38"/>
      <c r="BP250" s="38"/>
      <c r="BQ250" s="38"/>
      <c r="BR250" s="38"/>
      <c r="BS250" s="38"/>
      <c r="BT250" s="38"/>
      <c r="BU250" s="38"/>
      <c r="BV250" s="38"/>
      <c r="BW250" s="38"/>
      <c r="BX250" s="38"/>
      <c r="BY250" s="38"/>
    </row>
    <row r="251" spans="2:77" x14ac:dyDescent="0.4"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8"/>
      <c r="AJ251" s="38"/>
      <c r="AK251" s="38"/>
      <c r="AL251" s="38"/>
      <c r="AM251" s="38"/>
      <c r="AN251" s="38"/>
      <c r="AO251" s="38"/>
      <c r="AP251" s="38"/>
      <c r="AQ251" s="38"/>
      <c r="AR251" s="38"/>
      <c r="AS251" s="38"/>
      <c r="AT251" s="38"/>
      <c r="AU251" s="38"/>
      <c r="AV251" s="38"/>
      <c r="AW251" s="38"/>
      <c r="AX251" s="38"/>
      <c r="AY251" s="38"/>
      <c r="AZ251" s="38"/>
      <c r="BA251" s="38"/>
      <c r="BB251" s="38"/>
      <c r="BC251" s="38"/>
      <c r="BD251" s="38"/>
      <c r="BE251" s="38"/>
      <c r="BF251" s="38"/>
      <c r="BG251" s="38"/>
      <c r="BH251" s="38"/>
      <c r="BI251" s="38"/>
      <c r="BJ251" s="38"/>
      <c r="BK251" s="38"/>
      <c r="BL251" s="38"/>
      <c r="BM251" s="38"/>
      <c r="BN251" s="38"/>
      <c r="BO251" s="38"/>
      <c r="BP251" s="38"/>
      <c r="BQ251" s="38"/>
      <c r="BR251" s="38"/>
      <c r="BS251" s="38"/>
      <c r="BT251" s="38"/>
      <c r="BU251" s="38"/>
      <c r="BV251" s="38"/>
      <c r="BW251" s="38"/>
      <c r="BX251" s="38"/>
      <c r="BY251" s="38"/>
    </row>
    <row r="252" spans="2:77" x14ac:dyDescent="0.4"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8"/>
      <c r="AJ252" s="38"/>
      <c r="AK252" s="38"/>
      <c r="AL252" s="38"/>
      <c r="AM252" s="38"/>
      <c r="AN252" s="38"/>
      <c r="AO252" s="38"/>
      <c r="AP252" s="38"/>
      <c r="AQ252" s="38"/>
      <c r="AR252" s="38"/>
      <c r="AS252" s="38"/>
      <c r="AT252" s="38"/>
      <c r="AU252" s="38"/>
      <c r="AV252" s="38"/>
      <c r="AW252" s="38"/>
      <c r="AX252" s="38"/>
      <c r="AY252" s="38"/>
      <c r="AZ252" s="38"/>
      <c r="BA252" s="38"/>
      <c r="BB252" s="38"/>
      <c r="BC252" s="38"/>
      <c r="BD252" s="38"/>
      <c r="BE252" s="38"/>
      <c r="BF252" s="38"/>
      <c r="BG252" s="38"/>
      <c r="BH252" s="38"/>
      <c r="BI252" s="38"/>
      <c r="BJ252" s="38"/>
      <c r="BK252" s="38"/>
      <c r="BL252" s="38"/>
      <c r="BM252" s="38"/>
      <c r="BN252" s="38"/>
      <c r="BO252" s="38"/>
      <c r="BP252" s="38"/>
      <c r="BQ252" s="38"/>
      <c r="BR252" s="38"/>
      <c r="BS252" s="38"/>
      <c r="BT252" s="38"/>
      <c r="BU252" s="38"/>
      <c r="BV252" s="38"/>
      <c r="BW252" s="38"/>
      <c r="BX252" s="38"/>
      <c r="BY252" s="38"/>
    </row>
    <row r="253" spans="2:77" x14ac:dyDescent="0.4"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  <c r="AG253" s="38"/>
      <c r="AH253" s="38"/>
      <c r="AI253" s="38"/>
      <c r="AJ253" s="38"/>
      <c r="AK253" s="38"/>
      <c r="AL253" s="38"/>
      <c r="AM253" s="38"/>
      <c r="AN253" s="38"/>
      <c r="AO253" s="38"/>
      <c r="AP253" s="38"/>
      <c r="AQ253" s="38"/>
      <c r="AR253" s="38"/>
      <c r="AS253" s="38"/>
      <c r="AT253" s="38"/>
      <c r="AU253" s="38"/>
      <c r="AV253" s="38"/>
      <c r="AW253" s="38"/>
      <c r="AX253" s="38"/>
      <c r="AY253" s="38"/>
      <c r="AZ253" s="38"/>
      <c r="BA253" s="38"/>
      <c r="BB253" s="38"/>
      <c r="BC253" s="38"/>
      <c r="BD253" s="38"/>
      <c r="BE253" s="38"/>
      <c r="BF253" s="38"/>
      <c r="BG253" s="38"/>
      <c r="BH253" s="38"/>
      <c r="BI253" s="38"/>
      <c r="BJ253" s="38"/>
      <c r="BK253" s="38"/>
      <c r="BL253" s="38"/>
      <c r="BM253" s="38"/>
      <c r="BN253" s="38"/>
      <c r="BO253" s="38"/>
      <c r="BP253" s="38"/>
      <c r="BQ253" s="38"/>
      <c r="BR253" s="38"/>
      <c r="BS253" s="38"/>
      <c r="BT253" s="38"/>
      <c r="BU253" s="38"/>
      <c r="BV253" s="38"/>
      <c r="BW253" s="38"/>
      <c r="BX253" s="38"/>
      <c r="BY253" s="38"/>
    </row>
    <row r="254" spans="2:77" x14ac:dyDescent="0.4"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I254" s="38"/>
      <c r="AJ254" s="38"/>
      <c r="AK254" s="38"/>
      <c r="AL254" s="38"/>
      <c r="AM254" s="38"/>
      <c r="AN254" s="38"/>
      <c r="AO254" s="38"/>
      <c r="AP254" s="38"/>
      <c r="AQ254" s="38"/>
      <c r="AR254" s="38"/>
      <c r="AS254" s="38"/>
      <c r="AT254" s="38"/>
      <c r="AU254" s="38"/>
      <c r="AV254" s="38"/>
      <c r="AW254" s="38"/>
      <c r="AX254" s="38"/>
      <c r="AY254" s="38"/>
      <c r="AZ254" s="38"/>
      <c r="BA254" s="38"/>
      <c r="BB254" s="38"/>
      <c r="BC254" s="38"/>
      <c r="BD254" s="38"/>
      <c r="BE254" s="38"/>
      <c r="BF254" s="38"/>
      <c r="BG254" s="38"/>
      <c r="BH254" s="38"/>
      <c r="BI254" s="38"/>
      <c r="BJ254" s="38"/>
      <c r="BK254" s="38"/>
      <c r="BL254" s="38"/>
      <c r="BM254" s="38"/>
      <c r="BN254" s="38"/>
      <c r="BO254" s="38"/>
      <c r="BP254" s="38"/>
      <c r="BQ254" s="38"/>
      <c r="BR254" s="38"/>
      <c r="BS254" s="38"/>
      <c r="BT254" s="38"/>
      <c r="BU254" s="38"/>
      <c r="BV254" s="38"/>
      <c r="BW254" s="38"/>
      <c r="BX254" s="38"/>
      <c r="BY254" s="38"/>
    </row>
    <row r="255" spans="2:77" x14ac:dyDescent="0.4"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I255" s="38"/>
      <c r="AJ255" s="38"/>
      <c r="AK255" s="38"/>
      <c r="AL255" s="38"/>
      <c r="AM255" s="38"/>
      <c r="AN255" s="38"/>
      <c r="AO255" s="38"/>
      <c r="AP255" s="38"/>
      <c r="AQ255" s="38"/>
      <c r="AR255" s="38"/>
      <c r="AS255" s="38"/>
      <c r="AT255" s="38"/>
      <c r="AU255" s="38"/>
      <c r="AV255" s="38"/>
      <c r="AW255" s="38"/>
      <c r="AX255" s="38"/>
      <c r="AY255" s="38"/>
      <c r="AZ255" s="38"/>
      <c r="BA255" s="38"/>
      <c r="BB255" s="38"/>
      <c r="BC255" s="38"/>
      <c r="BD255" s="38"/>
      <c r="BE255" s="38"/>
      <c r="BF255" s="38"/>
      <c r="BG255" s="38"/>
      <c r="BH255" s="38"/>
      <c r="BI255" s="38"/>
      <c r="BJ255" s="38"/>
      <c r="BK255" s="38"/>
      <c r="BL255" s="38"/>
      <c r="BM255" s="38"/>
      <c r="BN255" s="38"/>
      <c r="BO255" s="38"/>
      <c r="BP255" s="38"/>
      <c r="BQ255" s="38"/>
      <c r="BR255" s="38"/>
      <c r="BS255" s="38"/>
      <c r="BT255" s="38"/>
      <c r="BU255" s="38"/>
      <c r="BV255" s="38"/>
      <c r="BW255" s="38"/>
      <c r="BX255" s="38"/>
      <c r="BY255" s="38"/>
    </row>
    <row r="256" spans="2:77" x14ac:dyDescent="0.4"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38"/>
      <c r="AH256" s="38"/>
      <c r="AI256" s="38"/>
      <c r="AJ256" s="38"/>
      <c r="AK256" s="38"/>
      <c r="AL256" s="38"/>
      <c r="AM256" s="38"/>
      <c r="AN256" s="38"/>
      <c r="AO256" s="38"/>
      <c r="AP256" s="38"/>
      <c r="AQ256" s="38"/>
      <c r="AR256" s="38"/>
      <c r="AS256" s="38"/>
      <c r="AT256" s="38"/>
      <c r="AU256" s="38"/>
      <c r="AV256" s="38"/>
      <c r="AW256" s="38"/>
      <c r="AX256" s="38"/>
      <c r="AY256" s="38"/>
      <c r="AZ256" s="38"/>
      <c r="BA256" s="38"/>
      <c r="BB256" s="38"/>
      <c r="BC256" s="38"/>
      <c r="BD256" s="38"/>
      <c r="BE256" s="38"/>
      <c r="BF256" s="38"/>
      <c r="BG256" s="38"/>
      <c r="BH256" s="38"/>
      <c r="BI256" s="38"/>
      <c r="BJ256" s="38"/>
      <c r="BK256" s="38"/>
      <c r="BL256" s="38"/>
      <c r="BM256" s="38"/>
      <c r="BN256" s="38"/>
      <c r="BO256" s="38"/>
      <c r="BP256" s="38"/>
      <c r="BQ256" s="38"/>
      <c r="BR256" s="38"/>
      <c r="BS256" s="38"/>
      <c r="BT256" s="38"/>
      <c r="BU256" s="38"/>
      <c r="BV256" s="38"/>
      <c r="BW256" s="38"/>
      <c r="BX256" s="38"/>
      <c r="BY256" s="38"/>
    </row>
    <row r="257" spans="2:77" x14ac:dyDescent="0.4"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8"/>
      <c r="AJ257" s="38"/>
      <c r="AK257" s="38"/>
      <c r="AL257" s="38"/>
      <c r="AM257" s="38"/>
      <c r="AN257" s="38"/>
      <c r="AO257" s="38"/>
      <c r="AP257" s="38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  <c r="BA257" s="38"/>
      <c r="BB257" s="38"/>
      <c r="BC257" s="38"/>
      <c r="BD257" s="38"/>
      <c r="BE257" s="38"/>
      <c r="BF257" s="38"/>
      <c r="BG257" s="38"/>
      <c r="BH257" s="38"/>
      <c r="BI257" s="38"/>
      <c r="BJ257" s="38"/>
      <c r="BK257" s="38"/>
      <c r="BL257" s="38"/>
      <c r="BM257" s="38"/>
      <c r="BN257" s="38"/>
      <c r="BO257" s="38"/>
      <c r="BP257" s="38"/>
      <c r="BQ257" s="38"/>
      <c r="BR257" s="38"/>
      <c r="BS257" s="38"/>
      <c r="BT257" s="38"/>
      <c r="BU257" s="38"/>
      <c r="BV257" s="38"/>
      <c r="BW257" s="38"/>
      <c r="BX257" s="38"/>
      <c r="BY257" s="38"/>
    </row>
    <row r="258" spans="2:77" x14ac:dyDescent="0.4"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8"/>
      <c r="AJ258" s="38"/>
      <c r="AK258" s="38"/>
      <c r="AL258" s="38"/>
      <c r="AM258" s="38"/>
      <c r="AN258" s="38"/>
      <c r="AO258" s="38"/>
      <c r="AP258" s="38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  <c r="BA258" s="38"/>
      <c r="BB258" s="38"/>
      <c r="BC258" s="38"/>
      <c r="BD258" s="38"/>
      <c r="BE258" s="38"/>
      <c r="BF258" s="38"/>
      <c r="BG258" s="38"/>
      <c r="BH258" s="38"/>
      <c r="BI258" s="38"/>
      <c r="BJ258" s="38"/>
      <c r="BK258" s="38"/>
      <c r="BL258" s="38"/>
      <c r="BM258" s="38"/>
      <c r="BN258" s="38"/>
      <c r="BO258" s="38"/>
      <c r="BP258" s="38"/>
      <c r="BQ258" s="38"/>
      <c r="BR258" s="38"/>
      <c r="BS258" s="38"/>
      <c r="BT258" s="38"/>
      <c r="BU258" s="38"/>
      <c r="BV258" s="38"/>
      <c r="BW258" s="38"/>
      <c r="BX258" s="38"/>
      <c r="BY258" s="38"/>
    </row>
    <row r="259" spans="2:77" x14ac:dyDescent="0.4"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8"/>
      <c r="AJ259" s="38"/>
      <c r="AK259" s="38"/>
      <c r="AL259" s="38"/>
      <c r="AM259" s="38"/>
      <c r="AN259" s="38"/>
      <c r="AO259" s="38"/>
      <c r="AP259" s="38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  <c r="BA259" s="38"/>
      <c r="BB259" s="38"/>
      <c r="BC259" s="38"/>
      <c r="BD259" s="38"/>
      <c r="BE259" s="38"/>
      <c r="BF259" s="38"/>
      <c r="BG259" s="38"/>
      <c r="BH259" s="38"/>
      <c r="BI259" s="38"/>
      <c r="BJ259" s="38"/>
      <c r="BK259" s="38"/>
      <c r="BL259" s="38"/>
      <c r="BM259" s="38"/>
      <c r="BN259" s="38"/>
      <c r="BO259" s="38"/>
      <c r="BP259" s="38"/>
      <c r="BQ259" s="38"/>
      <c r="BR259" s="38"/>
      <c r="BS259" s="38"/>
      <c r="BT259" s="38"/>
      <c r="BU259" s="38"/>
      <c r="BV259" s="38"/>
      <c r="BW259" s="38"/>
      <c r="BX259" s="38"/>
      <c r="BY259" s="38"/>
    </row>
    <row r="260" spans="2:77" x14ac:dyDescent="0.4"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38"/>
      <c r="AH260" s="38"/>
      <c r="AI260" s="38"/>
      <c r="AJ260" s="38"/>
      <c r="AK260" s="38"/>
      <c r="AL260" s="38"/>
      <c r="AM260" s="38"/>
      <c r="AN260" s="38"/>
      <c r="AO260" s="38"/>
      <c r="AP260" s="38"/>
      <c r="AQ260" s="38"/>
      <c r="AR260" s="38"/>
      <c r="AS260" s="38"/>
      <c r="AT260" s="38"/>
      <c r="AU260" s="38"/>
      <c r="AV260" s="38"/>
      <c r="AW260" s="38"/>
      <c r="AX260" s="38"/>
      <c r="AY260" s="38"/>
      <c r="AZ260" s="38"/>
      <c r="BA260" s="38"/>
      <c r="BB260" s="38"/>
      <c r="BC260" s="38"/>
      <c r="BD260" s="38"/>
      <c r="BE260" s="38"/>
      <c r="BF260" s="38"/>
      <c r="BG260" s="38"/>
      <c r="BH260" s="38"/>
      <c r="BI260" s="38"/>
      <c r="BJ260" s="38"/>
      <c r="BK260" s="38"/>
      <c r="BL260" s="38"/>
      <c r="BM260" s="38"/>
      <c r="BN260" s="38"/>
      <c r="BO260" s="38"/>
      <c r="BP260" s="38"/>
      <c r="BQ260" s="38"/>
      <c r="BR260" s="38"/>
      <c r="BS260" s="38"/>
      <c r="BT260" s="38"/>
      <c r="BU260" s="38"/>
      <c r="BV260" s="38"/>
      <c r="BW260" s="38"/>
      <c r="BX260" s="38"/>
      <c r="BY260" s="38"/>
    </row>
    <row r="261" spans="2:77" x14ac:dyDescent="0.4"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  <c r="AG261" s="38"/>
      <c r="AH261" s="38"/>
      <c r="AI261" s="38"/>
      <c r="AJ261" s="38"/>
      <c r="AK261" s="38"/>
      <c r="AL261" s="38"/>
      <c r="AM261" s="38"/>
      <c r="AN261" s="38"/>
      <c r="AO261" s="38"/>
      <c r="AP261" s="38"/>
      <c r="AQ261" s="38"/>
      <c r="AR261" s="38"/>
      <c r="AS261" s="38"/>
      <c r="AT261" s="38"/>
      <c r="AU261" s="38"/>
      <c r="AV261" s="38"/>
      <c r="AW261" s="38"/>
      <c r="AX261" s="38"/>
      <c r="AY261" s="38"/>
      <c r="AZ261" s="38"/>
      <c r="BA261" s="38"/>
      <c r="BB261" s="38"/>
      <c r="BC261" s="38"/>
      <c r="BD261" s="38"/>
      <c r="BE261" s="38"/>
      <c r="BF261" s="38"/>
      <c r="BG261" s="38"/>
      <c r="BH261" s="38"/>
      <c r="BI261" s="38"/>
      <c r="BJ261" s="38"/>
      <c r="BK261" s="38"/>
      <c r="BL261" s="38"/>
      <c r="BM261" s="38"/>
      <c r="BN261" s="38"/>
      <c r="BO261" s="38"/>
      <c r="BP261" s="38"/>
      <c r="BQ261" s="38"/>
      <c r="BR261" s="38"/>
      <c r="BS261" s="38"/>
      <c r="BT261" s="38"/>
      <c r="BU261" s="38"/>
      <c r="BV261" s="38"/>
      <c r="BW261" s="38"/>
      <c r="BX261" s="38"/>
      <c r="BY261" s="38"/>
    </row>
    <row r="262" spans="2:77" x14ac:dyDescent="0.4"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I262" s="38"/>
      <c r="AJ262" s="38"/>
      <c r="AK262" s="38"/>
      <c r="AL262" s="38"/>
      <c r="AM262" s="38"/>
      <c r="AN262" s="38"/>
      <c r="AO262" s="38"/>
      <c r="AP262" s="38"/>
      <c r="AQ262" s="38"/>
      <c r="AR262" s="38"/>
      <c r="AS262" s="38"/>
      <c r="AT262" s="38"/>
      <c r="AU262" s="38"/>
      <c r="AV262" s="38"/>
      <c r="AW262" s="38"/>
      <c r="AX262" s="38"/>
      <c r="AY262" s="38"/>
      <c r="AZ262" s="38"/>
      <c r="BA262" s="38"/>
      <c r="BB262" s="38"/>
      <c r="BC262" s="38"/>
      <c r="BD262" s="38"/>
      <c r="BE262" s="38"/>
      <c r="BF262" s="38"/>
      <c r="BG262" s="38"/>
      <c r="BH262" s="38"/>
      <c r="BI262" s="38"/>
      <c r="BJ262" s="38"/>
      <c r="BK262" s="38"/>
      <c r="BL262" s="38"/>
      <c r="BM262" s="38"/>
      <c r="BN262" s="38"/>
      <c r="BO262" s="38"/>
      <c r="BP262" s="38"/>
      <c r="BQ262" s="38"/>
      <c r="BR262" s="38"/>
      <c r="BS262" s="38"/>
      <c r="BT262" s="38"/>
      <c r="BU262" s="38"/>
      <c r="BV262" s="38"/>
      <c r="BW262" s="38"/>
      <c r="BX262" s="38"/>
      <c r="BY262" s="38"/>
    </row>
    <row r="263" spans="2:77" x14ac:dyDescent="0.4"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8"/>
      <c r="AJ263" s="38"/>
      <c r="AK263" s="38"/>
      <c r="AL263" s="38"/>
      <c r="AM263" s="38"/>
      <c r="AN263" s="38"/>
      <c r="AO263" s="38"/>
      <c r="AP263" s="38"/>
      <c r="AQ263" s="38"/>
      <c r="AR263" s="38"/>
      <c r="AS263" s="38"/>
      <c r="AT263" s="38"/>
      <c r="AU263" s="38"/>
      <c r="AV263" s="38"/>
      <c r="AW263" s="38"/>
      <c r="AX263" s="38"/>
      <c r="AY263" s="38"/>
      <c r="AZ263" s="38"/>
      <c r="BA263" s="38"/>
      <c r="BB263" s="38"/>
      <c r="BC263" s="38"/>
      <c r="BD263" s="38"/>
      <c r="BE263" s="38"/>
      <c r="BF263" s="38"/>
      <c r="BG263" s="38"/>
      <c r="BH263" s="38"/>
      <c r="BI263" s="38"/>
      <c r="BJ263" s="38"/>
      <c r="BK263" s="38"/>
      <c r="BL263" s="38"/>
      <c r="BM263" s="38"/>
      <c r="BN263" s="38"/>
      <c r="BO263" s="38"/>
      <c r="BP263" s="38"/>
      <c r="BQ263" s="38"/>
      <c r="BR263" s="38"/>
      <c r="BS263" s="38"/>
      <c r="BT263" s="38"/>
      <c r="BU263" s="38"/>
      <c r="BV263" s="38"/>
      <c r="BW263" s="38"/>
      <c r="BX263" s="38"/>
      <c r="BY263" s="38"/>
    </row>
    <row r="264" spans="2:77" x14ac:dyDescent="0.4"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38"/>
      <c r="AH264" s="38"/>
      <c r="AI264" s="38"/>
      <c r="AJ264" s="38"/>
      <c r="AK264" s="38"/>
      <c r="AL264" s="38"/>
      <c r="AM264" s="38"/>
      <c r="AN264" s="38"/>
      <c r="AO264" s="38"/>
      <c r="AP264" s="38"/>
      <c r="AQ264" s="38"/>
      <c r="AR264" s="38"/>
      <c r="AS264" s="38"/>
      <c r="AT264" s="38"/>
      <c r="AU264" s="38"/>
      <c r="AV264" s="38"/>
      <c r="AW264" s="38"/>
      <c r="AX264" s="38"/>
      <c r="AY264" s="38"/>
      <c r="AZ264" s="38"/>
      <c r="BA264" s="38"/>
      <c r="BB264" s="38"/>
      <c r="BC264" s="38"/>
      <c r="BD264" s="38"/>
      <c r="BE264" s="38"/>
      <c r="BF264" s="38"/>
      <c r="BG264" s="38"/>
      <c r="BH264" s="38"/>
      <c r="BI264" s="38"/>
      <c r="BJ264" s="38"/>
      <c r="BK264" s="38"/>
      <c r="BL264" s="38"/>
      <c r="BM264" s="38"/>
      <c r="BN264" s="38"/>
      <c r="BO264" s="38"/>
      <c r="BP264" s="38"/>
      <c r="BQ264" s="38"/>
      <c r="BR264" s="38"/>
      <c r="BS264" s="38"/>
      <c r="BT264" s="38"/>
      <c r="BU264" s="38"/>
      <c r="BV264" s="38"/>
      <c r="BW264" s="38"/>
      <c r="BX264" s="38"/>
      <c r="BY264" s="38"/>
    </row>
    <row r="265" spans="2:77" x14ac:dyDescent="0.4"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I265" s="38"/>
      <c r="AJ265" s="38"/>
      <c r="AK265" s="38"/>
      <c r="AL265" s="38"/>
      <c r="AM265" s="38"/>
      <c r="AN265" s="38"/>
      <c r="AO265" s="38"/>
      <c r="AP265" s="38"/>
      <c r="AQ265" s="38"/>
      <c r="AR265" s="38"/>
      <c r="AS265" s="38"/>
      <c r="AT265" s="38"/>
      <c r="AU265" s="38"/>
      <c r="AV265" s="38"/>
      <c r="AW265" s="38"/>
      <c r="AX265" s="38"/>
      <c r="AY265" s="38"/>
      <c r="AZ265" s="38"/>
      <c r="BA265" s="38"/>
      <c r="BB265" s="38"/>
      <c r="BC265" s="38"/>
      <c r="BD265" s="38"/>
      <c r="BE265" s="38"/>
      <c r="BF265" s="38"/>
      <c r="BG265" s="38"/>
      <c r="BH265" s="38"/>
      <c r="BI265" s="38"/>
      <c r="BJ265" s="38"/>
      <c r="BK265" s="38"/>
      <c r="BL265" s="38"/>
      <c r="BM265" s="38"/>
      <c r="BN265" s="38"/>
      <c r="BO265" s="38"/>
      <c r="BP265" s="38"/>
      <c r="BQ265" s="38"/>
      <c r="BR265" s="38"/>
      <c r="BS265" s="38"/>
      <c r="BT265" s="38"/>
      <c r="BU265" s="38"/>
      <c r="BV265" s="38"/>
      <c r="BW265" s="38"/>
      <c r="BX265" s="38"/>
      <c r="BY265" s="38"/>
    </row>
    <row r="266" spans="2:77" x14ac:dyDescent="0.4"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I266" s="38"/>
      <c r="AJ266" s="38"/>
      <c r="AK266" s="38"/>
      <c r="AL266" s="38"/>
      <c r="AM266" s="38"/>
      <c r="AN266" s="38"/>
      <c r="AO266" s="38"/>
      <c r="AP266" s="38"/>
      <c r="AQ266" s="38"/>
      <c r="AR266" s="38"/>
      <c r="AS266" s="38"/>
      <c r="AT266" s="38"/>
      <c r="AU266" s="38"/>
      <c r="AV266" s="38"/>
      <c r="AW266" s="38"/>
      <c r="AX266" s="38"/>
      <c r="AY266" s="38"/>
      <c r="AZ266" s="38"/>
      <c r="BA266" s="38"/>
      <c r="BB266" s="38"/>
      <c r="BC266" s="38"/>
      <c r="BD266" s="38"/>
      <c r="BE266" s="38"/>
      <c r="BF266" s="38"/>
      <c r="BG266" s="38"/>
      <c r="BH266" s="38"/>
      <c r="BI266" s="38"/>
      <c r="BJ266" s="38"/>
      <c r="BK266" s="38"/>
      <c r="BL266" s="38"/>
      <c r="BM266" s="38"/>
      <c r="BN266" s="38"/>
      <c r="BO266" s="38"/>
      <c r="BP266" s="38"/>
      <c r="BQ266" s="38"/>
      <c r="BR266" s="38"/>
      <c r="BS266" s="38"/>
      <c r="BT266" s="38"/>
      <c r="BU266" s="38"/>
      <c r="BV266" s="38"/>
      <c r="BW266" s="38"/>
      <c r="BX266" s="38"/>
      <c r="BY266" s="38"/>
    </row>
    <row r="267" spans="2:77" x14ac:dyDescent="0.4"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I267" s="38"/>
      <c r="AJ267" s="38"/>
      <c r="AK267" s="38"/>
      <c r="AL267" s="38"/>
      <c r="AM267" s="38"/>
      <c r="AN267" s="38"/>
      <c r="AO267" s="38"/>
      <c r="AP267" s="38"/>
      <c r="AQ267" s="38"/>
      <c r="AR267" s="38"/>
      <c r="AS267" s="38"/>
      <c r="AT267" s="38"/>
      <c r="AU267" s="38"/>
      <c r="AV267" s="38"/>
      <c r="AW267" s="38"/>
      <c r="AX267" s="38"/>
      <c r="AY267" s="38"/>
      <c r="AZ267" s="38"/>
      <c r="BA267" s="38"/>
      <c r="BB267" s="38"/>
      <c r="BC267" s="38"/>
      <c r="BD267" s="38"/>
      <c r="BE267" s="38"/>
      <c r="BF267" s="38"/>
      <c r="BG267" s="38"/>
      <c r="BH267" s="38"/>
      <c r="BI267" s="38"/>
      <c r="BJ267" s="38"/>
      <c r="BK267" s="38"/>
      <c r="BL267" s="38"/>
      <c r="BM267" s="38"/>
      <c r="BN267" s="38"/>
      <c r="BO267" s="38"/>
      <c r="BP267" s="38"/>
      <c r="BQ267" s="38"/>
      <c r="BR267" s="38"/>
      <c r="BS267" s="38"/>
      <c r="BT267" s="38"/>
      <c r="BU267" s="38"/>
      <c r="BV267" s="38"/>
      <c r="BW267" s="38"/>
      <c r="BX267" s="38"/>
      <c r="BY267" s="38"/>
    </row>
    <row r="268" spans="2:77" x14ac:dyDescent="0.4"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I268" s="38"/>
      <c r="AJ268" s="38"/>
      <c r="AK268" s="38"/>
      <c r="AL268" s="38"/>
      <c r="AM268" s="38"/>
      <c r="AN268" s="38"/>
      <c r="AO268" s="38"/>
      <c r="AP268" s="38"/>
      <c r="AQ268" s="38"/>
      <c r="AR268" s="38"/>
      <c r="AS268" s="38"/>
      <c r="AT268" s="38"/>
      <c r="AU268" s="38"/>
      <c r="AV268" s="38"/>
      <c r="AW268" s="38"/>
      <c r="AX268" s="38"/>
      <c r="AY268" s="38"/>
      <c r="AZ268" s="38"/>
      <c r="BA268" s="38"/>
      <c r="BB268" s="38"/>
      <c r="BC268" s="38"/>
      <c r="BD268" s="38"/>
      <c r="BE268" s="38"/>
      <c r="BF268" s="38"/>
      <c r="BG268" s="38"/>
      <c r="BH268" s="38"/>
      <c r="BI268" s="38"/>
      <c r="BJ268" s="38"/>
      <c r="BK268" s="38"/>
      <c r="BL268" s="38"/>
      <c r="BM268" s="38"/>
      <c r="BN268" s="38"/>
      <c r="BO268" s="38"/>
      <c r="BP268" s="38"/>
      <c r="BQ268" s="38"/>
      <c r="BR268" s="38"/>
      <c r="BS268" s="38"/>
      <c r="BT268" s="38"/>
      <c r="BU268" s="38"/>
      <c r="BV268" s="38"/>
      <c r="BW268" s="38"/>
      <c r="BX268" s="38"/>
      <c r="BY268" s="38"/>
    </row>
    <row r="269" spans="2:77" x14ac:dyDescent="0.4"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I269" s="38"/>
      <c r="AJ269" s="38"/>
      <c r="AK269" s="38"/>
      <c r="AL269" s="38"/>
      <c r="AM269" s="38"/>
      <c r="AN269" s="38"/>
      <c r="AO269" s="38"/>
      <c r="AP269" s="38"/>
      <c r="AQ269" s="38"/>
      <c r="AR269" s="38"/>
      <c r="AS269" s="38"/>
      <c r="AT269" s="38"/>
      <c r="AU269" s="38"/>
      <c r="AV269" s="38"/>
      <c r="AW269" s="38"/>
      <c r="AX269" s="38"/>
      <c r="AY269" s="38"/>
      <c r="AZ269" s="38"/>
      <c r="BA269" s="38"/>
      <c r="BB269" s="38"/>
      <c r="BC269" s="38"/>
      <c r="BD269" s="38"/>
      <c r="BE269" s="38"/>
      <c r="BF269" s="38"/>
      <c r="BG269" s="38"/>
      <c r="BH269" s="38"/>
      <c r="BI269" s="38"/>
      <c r="BJ269" s="38"/>
      <c r="BK269" s="38"/>
      <c r="BL269" s="38"/>
      <c r="BM269" s="38"/>
      <c r="BN269" s="38"/>
      <c r="BO269" s="38"/>
      <c r="BP269" s="38"/>
      <c r="BQ269" s="38"/>
      <c r="BR269" s="38"/>
      <c r="BS269" s="38"/>
      <c r="BT269" s="38"/>
      <c r="BU269" s="38"/>
      <c r="BV269" s="38"/>
      <c r="BW269" s="38"/>
      <c r="BX269" s="38"/>
      <c r="BY269" s="38"/>
    </row>
    <row r="270" spans="2:77" x14ac:dyDescent="0.4"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I270" s="38"/>
      <c r="AJ270" s="38"/>
      <c r="AK270" s="38"/>
      <c r="AL270" s="38"/>
      <c r="AM270" s="38"/>
      <c r="AN270" s="38"/>
      <c r="AO270" s="38"/>
      <c r="AP270" s="38"/>
      <c r="AQ270" s="38"/>
      <c r="AR270" s="38"/>
      <c r="AS270" s="38"/>
      <c r="AT270" s="38"/>
      <c r="AU270" s="38"/>
      <c r="AV270" s="38"/>
      <c r="AW270" s="38"/>
      <c r="AX270" s="38"/>
      <c r="AY270" s="38"/>
      <c r="AZ270" s="38"/>
      <c r="BA270" s="38"/>
      <c r="BB270" s="38"/>
      <c r="BC270" s="38"/>
      <c r="BD270" s="38"/>
      <c r="BE270" s="38"/>
      <c r="BF270" s="38"/>
      <c r="BG270" s="38"/>
      <c r="BH270" s="38"/>
      <c r="BI270" s="38"/>
      <c r="BJ270" s="38"/>
      <c r="BK270" s="38"/>
      <c r="BL270" s="38"/>
      <c r="BM270" s="38"/>
      <c r="BN270" s="38"/>
      <c r="BO270" s="38"/>
      <c r="BP270" s="38"/>
      <c r="BQ270" s="38"/>
      <c r="BR270" s="38"/>
      <c r="BS270" s="38"/>
      <c r="BT270" s="38"/>
      <c r="BU270" s="38"/>
      <c r="BV270" s="38"/>
      <c r="BW270" s="38"/>
      <c r="BX270" s="38"/>
      <c r="BY270" s="38"/>
    </row>
    <row r="271" spans="2:77" x14ac:dyDescent="0.4"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  <c r="AG271" s="38"/>
      <c r="AH271" s="38"/>
      <c r="AI271" s="38"/>
      <c r="AJ271" s="38"/>
      <c r="AK271" s="38"/>
      <c r="AL271" s="38"/>
      <c r="AM271" s="38"/>
      <c r="AN271" s="38"/>
      <c r="AO271" s="38"/>
      <c r="AP271" s="38"/>
      <c r="AQ271" s="38"/>
      <c r="AR271" s="38"/>
      <c r="AS271" s="38"/>
      <c r="AT271" s="38"/>
      <c r="AU271" s="38"/>
      <c r="AV271" s="38"/>
      <c r="AW271" s="38"/>
      <c r="AX271" s="38"/>
      <c r="AY271" s="38"/>
      <c r="AZ271" s="38"/>
      <c r="BA271" s="38"/>
      <c r="BB271" s="38"/>
      <c r="BC271" s="38"/>
      <c r="BD271" s="38"/>
      <c r="BE271" s="38"/>
      <c r="BF271" s="38"/>
      <c r="BG271" s="38"/>
      <c r="BH271" s="38"/>
      <c r="BI271" s="38"/>
      <c r="BJ271" s="38"/>
      <c r="BK271" s="38"/>
      <c r="BL271" s="38"/>
      <c r="BM271" s="38"/>
      <c r="BN271" s="38"/>
      <c r="BO271" s="38"/>
      <c r="BP271" s="38"/>
      <c r="BQ271" s="38"/>
      <c r="BR271" s="38"/>
      <c r="BS271" s="38"/>
      <c r="BT271" s="38"/>
      <c r="BU271" s="38"/>
      <c r="BV271" s="38"/>
      <c r="BW271" s="38"/>
      <c r="BX271" s="38"/>
      <c r="BY271" s="38"/>
    </row>
    <row r="272" spans="2:77" x14ac:dyDescent="0.4"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I272" s="38"/>
      <c r="AJ272" s="38"/>
      <c r="AK272" s="38"/>
      <c r="AL272" s="38"/>
      <c r="AM272" s="38"/>
      <c r="AN272" s="38"/>
      <c r="AO272" s="38"/>
      <c r="AP272" s="38"/>
      <c r="AQ272" s="38"/>
      <c r="AR272" s="38"/>
      <c r="AS272" s="38"/>
      <c r="AT272" s="38"/>
      <c r="AU272" s="38"/>
      <c r="AV272" s="38"/>
      <c r="AW272" s="38"/>
      <c r="AX272" s="38"/>
      <c r="AY272" s="38"/>
      <c r="AZ272" s="38"/>
      <c r="BA272" s="38"/>
      <c r="BB272" s="38"/>
      <c r="BC272" s="38"/>
      <c r="BD272" s="38"/>
      <c r="BE272" s="38"/>
      <c r="BF272" s="38"/>
      <c r="BG272" s="38"/>
      <c r="BH272" s="38"/>
      <c r="BI272" s="38"/>
      <c r="BJ272" s="38"/>
      <c r="BK272" s="38"/>
      <c r="BL272" s="38"/>
      <c r="BM272" s="38"/>
      <c r="BN272" s="38"/>
      <c r="BO272" s="38"/>
      <c r="BP272" s="38"/>
      <c r="BQ272" s="38"/>
      <c r="BR272" s="38"/>
      <c r="BS272" s="38"/>
      <c r="BT272" s="38"/>
      <c r="BU272" s="38"/>
      <c r="BV272" s="38"/>
      <c r="BW272" s="38"/>
      <c r="BX272" s="38"/>
      <c r="BY272" s="38"/>
    </row>
    <row r="273" spans="2:77" x14ac:dyDescent="0.4"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  <c r="AG273" s="38"/>
      <c r="AH273" s="38"/>
      <c r="AI273" s="38"/>
      <c r="AJ273" s="38"/>
      <c r="AK273" s="38"/>
      <c r="AL273" s="38"/>
      <c r="AM273" s="38"/>
      <c r="AN273" s="38"/>
      <c r="AO273" s="38"/>
      <c r="AP273" s="38"/>
      <c r="AQ273" s="38"/>
      <c r="AR273" s="38"/>
      <c r="AS273" s="38"/>
      <c r="AT273" s="38"/>
      <c r="AU273" s="38"/>
      <c r="AV273" s="38"/>
      <c r="AW273" s="38"/>
      <c r="AX273" s="38"/>
      <c r="AY273" s="38"/>
      <c r="AZ273" s="38"/>
      <c r="BA273" s="38"/>
      <c r="BB273" s="38"/>
      <c r="BC273" s="38"/>
      <c r="BD273" s="38"/>
      <c r="BE273" s="38"/>
      <c r="BF273" s="38"/>
      <c r="BG273" s="38"/>
      <c r="BH273" s="38"/>
      <c r="BI273" s="38"/>
      <c r="BJ273" s="38"/>
      <c r="BK273" s="38"/>
      <c r="BL273" s="38"/>
      <c r="BM273" s="38"/>
      <c r="BN273" s="38"/>
      <c r="BO273" s="38"/>
      <c r="BP273" s="38"/>
      <c r="BQ273" s="38"/>
      <c r="BR273" s="38"/>
      <c r="BS273" s="38"/>
      <c r="BT273" s="38"/>
      <c r="BU273" s="38"/>
      <c r="BV273" s="38"/>
      <c r="BW273" s="38"/>
      <c r="BX273" s="38"/>
      <c r="BY273" s="38"/>
    </row>
    <row r="274" spans="2:77" x14ac:dyDescent="0.4"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38"/>
      <c r="AH274" s="38"/>
      <c r="AI274" s="38"/>
      <c r="AJ274" s="38"/>
      <c r="AK274" s="38"/>
      <c r="AL274" s="38"/>
      <c r="AM274" s="38"/>
      <c r="AN274" s="38"/>
      <c r="AO274" s="38"/>
      <c r="AP274" s="38"/>
      <c r="AQ274" s="38"/>
      <c r="AR274" s="38"/>
      <c r="AS274" s="38"/>
      <c r="AT274" s="38"/>
      <c r="AU274" s="38"/>
      <c r="AV274" s="38"/>
      <c r="AW274" s="38"/>
      <c r="AX274" s="38"/>
      <c r="AY274" s="38"/>
      <c r="AZ274" s="38"/>
      <c r="BA274" s="38"/>
      <c r="BB274" s="38"/>
      <c r="BC274" s="38"/>
      <c r="BD274" s="38"/>
      <c r="BE274" s="38"/>
      <c r="BF274" s="38"/>
      <c r="BG274" s="38"/>
      <c r="BH274" s="38"/>
      <c r="BI274" s="38"/>
      <c r="BJ274" s="38"/>
      <c r="BK274" s="38"/>
      <c r="BL274" s="38"/>
      <c r="BM274" s="38"/>
      <c r="BN274" s="38"/>
      <c r="BO274" s="38"/>
      <c r="BP274" s="38"/>
      <c r="BQ274" s="38"/>
      <c r="BR274" s="38"/>
      <c r="BS274" s="38"/>
      <c r="BT274" s="38"/>
      <c r="BU274" s="38"/>
      <c r="BV274" s="38"/>
      <c r="BW274" s="38"/>
      <c r="BX274" s="38"/>
      <c r="BY274" s="38"/>
    </row>
    <row r="275" spans="2:77" x14ac:dyDescent="0.4"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I275" s="38"/>
      <c r="AJ275" s="38"/>
      <c r="AK275" s="38"/>
      <c r="AL275" s="38"/>
      <c r="AM275" s="38"/>
      <c r="AN275" s="38"/>
      <c r="AO275" s="38"/>
      <c r="AP275" s="38"/>
      <c r="AQ275" s="38"/>
      <c r="AR275" s="38"/>
      <c r="AS275" s="38"/>
      <c r="AT275" s="38"/>
      <c r="AU275" s="38"/>
      <c r="AV275" s="38"/>
      <c r="AW275" s="38"/>
      <c r="AX275" s="38"/>
      <c r="AY275" s="38"/>
      <c r="AZ275" s="38"/>
      <c r="BA275" s="38"/>
      <c r="BB275" s="38"/>
      <c r="BC275" s="38"/>
      <c r="BD275" s="38"/>
      <c r="BE275" s="38"/>
      <c r="BF275" s="38"/>
      <c r="BG275" s="38"/>
      <c r="BH275" s="38"/>
      <c r="BI275" s="38"/>
      <c r="BJ275" s="38"/>
      <c r="BK275" s="38"/>
      <c r="BL275" s="38"/>
      <c r="BM275" s="38"/>
      <c r="BN275" s="38"/>
      <c r="BO275" s="38"/>
      <c r="BP275" s="38"/>
      <c r="BQ275" s="38"/>
      <c r="BR275" s="38"/>
      <c r="BS275" s="38"/>
      <c r="BT275" s="38"/>
      <c r="BU275" s="38"/>
      <c r="BV275" s="38"/>
      <c r="BW275" s="38"/>
      <c r="BX275" s="38"/>
      <c r="BY275" s="38"/>
    </row>
    <row r="276" spans="2:77" x14ac:dyDescent="0.4"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I276" s="38"/>
      <c r="AJ276" s="38"/>
      <c r="AK276" s="38"/>
      <c r="AL276" s="38"/>
      <c r="AM276" s="38"/>
      <c r="AN276" s="38"/>
      <c r="AO276" s="38"/>
      <c r="AP276" s="38"/>
      <c r="AQ276" s="38"/>
      <c r="AR276" s="38"/>
      <c r="AS276" s="38"/>
      <c r="AT276" s="38"/>
      <c r="AU276" s="38"/>
      <c r="AV276" s="38"/>
      <c r="AW276" s="38"/>
      <c r="AX276" s="38"/>
      <c r="AY276" s="38"/>
      <c r="AZ276" s="38"/>
      <c r="BA276" s="38"/>
      <c r="BB276" s="38"/>
      <c r="BC276" s="38"/>
      <c r="BD276" s="38"/>
      <c r="BE276" s="38"/>
      <c r="BF276" s="38"/>
      <c r="BG276" s="38"/>
      <c r="BH276" s="38"/>
      <c r="BI276" s="38"/>
      <c r="BJ276" s="38"/>
      <c r="BK276" s="38"/>
      <c r="BL276" s="38"/>
      <c r="BM276" s="38"/>
      <c r="BN276" s="38"/>
      <c r="BO276" s="38"/>
      <c r="BP276" s="38"/>
      <c r="BQ276" s="38"/>
      <c r="BR276" s="38"/>
      <c r="BS276" s="38"/>
      <c r="BT276" s="38"/>
      <c r="BU276" s="38"/>
      <c r="BV276" s="38"/>
      <c r="BW276" s="38"/>
      <c r="BX276" s="38"/>
      <c r="BY276" s="38"/>
    </row>
    <row r="277" spans="2:77" x14ac:dyDescent="0.4"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  <c r="AG277" s="38"/>
      <c r="AH277" s="38"/>
      <c r="AI277" s="38"/>
      <c r="AJ277" s="38"/>
      <c r="AK277" s="38"/>
      <c r="AL277" s="38"/>
      <c r="AM277" s="38"/>
      <c r="AN277" s="38"/>
      <c r="AO277" s="38"/>
      <c r="AP277" s="38"/>
      <c r="AQ277" s="38"/>
      <c r="AR277" s="38"/>
      <c r="AS277" s="38"/>
      <c r="AT277" s="38"/>
      <c r="AU277" s="38"/>
      <c r="AV277" s="38"/>
      <c r="AW277" s="38"/>
      <c r="AX277" s="38"/>
      <c r="AY277" s="38"/>
      <c r="AZ277" s="38"/>
      <c r="BA277" s="38"/>
      <c r="BB277" s="38"/>
      <c r="BC277" s="38"/>
      <c r="BD277" s="38"/>
      <c r="BE277" s="38"/>
      <c r="BF277" s="38"/>
      <c r="BG277" s="38"/>
      <c r="BH277" s="38"/>
      <c r="BI277" s="38"/>
      <c r="BJ277" s="38"/>
      <c r="BK277" s="38"/>
      <c r="BL277" s="38"/>
      <c r="BM277" s="38"/>
      <c r="BN277" s="38"/>
      <c r="BO277" s="38"/>
      <c r="BP277" s="38"/>
      <c r="BQ277" s="38"/>
      <c r="BR277" s="38"/>
      <c r="BS277" s="38"/>
      <c r="BT277" s="38"/>
      <c r="BU277" s="38"/>
      <c r="BV277" s="38"/>
      <c r="BW277" s="38"/>
      <c r="BX277" s="38"/>
      <c r="BY277" s="38"/>
    </row>
    <row r="278" spans="2:77" x14ac:dyDescent="0.4"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I278" s="38"/>
      <c r="AJ278" s="38"/>
      <c r="AK278" s="38"/>
      <c r="AL278" s="38"/>
      <c r="AM278" s="38"/>
      <c r="AN278" s="38"/>
      <c r="AO278" s="38"/>
      <c r="AP278" s="38"/>
      <c r="AQ278" s="38"/>
      <c r="AR278" s="38"/>
      <c r="AS278" s="38"/>
      <c r="AT278" s="38"/>
      <c r="AU278" s="38"/>
      <c r="AV278" s="38"/>
      <c r="AW278" s="38"/>
      <c r="AX278" s="38"/>
      <c r="AY278" s="38"/>
      <c r="AZ278" s="38"/>
      <c r="BA278" s="38"/>
      <c r="BB278" s="38"/>
      <c r="BC278" s="38"/>
      <c r="BD278" s="38"/>
      <c r="BE278" s="38"/>
      <c r="BF278" s="38"/>
      <c r="BG278" s="38"/>
      <c r="BH278" s="38"/>
      <c r="BI278" s="38"/>
      <c r="BJ278" s="38"/>
      <c r="BK278" s="38"/>
      <c r="BL278" s="38"/>
      <c r="BM278" s="38"/>
      <c r="BN278" s="38"/>
      <c r="BO278" s="38"/>
      <c r="BP278" s="38"/>
      <c r="BQ278" s="38"/>
      <c r="BR278" s="38"/>
      <c r="BS278" s="38"/>
      <c r="BT278" s="38"/>
      <c r="BU278" s="38"/>
      <c r="BV278" s="38"/>
      <c r="BW278" s="38"/>
      <c r="BX278" s="38"/>
      <c r="BY278" s="38"/>
    </row>
    <row r="279" spans="2:77" x14ac:dyDescent="0.4"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  <c r="AG279" s="38"/>
      <c r="AH279" s="38"/>
      <c r="AI279" s="38"/>
      <c r="AJ279" s="38"/>
      <c r="AK279" s="38"/>
      <c r="AL279" s="38"/>
      <c r="AM279" s="38"/>
      <c r="AN279" s="38"/>
      <c r="AO279" s="38"/>
      <c r="AP279" s="38"/>
      <c r="AQ279" s="38"/>
      <c r="AR279" s="38"/>
      <c r="AS279" s="38"/>
      <c r="AT279" s="38"/>
      <c r="AU279" s="38"/>
      <c r="AV279" s="38"/>
      <c r="AW279" s="38"/>
      <c r="AX279" s="38"/>
      <c r="AY279" s="38"/>
      <c r="AZ279" s="38"/>
      <c r="BA279" s="38"/>
      <c r="BB279" s="38"/>
      <c r="BC279" s="38"/>
      <c r="BD279" s="38"/>
      <c r="BE279" s="38"/>
      <c r="BF279" s="38"/>
      <c r="BG279" s="38"/>
      <c r="BH279" s="38"/>
      <c r="BI279" s="38"/>
      <c r="BJ279" s="38"/>
      <c r="BK279" s="38"/>
      <c r="BL279" s="38"/>
      <c r="BM279" s="38"/>
      <c r="BN279" s="38"/>
      <c r="BO279" s="38"/>
      <c r="BP279" s="38"/>
      <c r="BQ279" s="38"/>
      <c r="BR279" s="38"/>
      <c r="BS279" s="38"/>
      <c r="BT279" s="38"/>
      <c r="BU279" s="38"/>
      <c r="BV279" s="38"/>
      <c r="BW279" s="38"/>
      <c r="BX279" s="38"/>
      <c r="BY279" s="38"/>
    </row>
    <row r="280" spans="2:77" x14ac:dyDescent="0.4"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  <c r="AG280" s="38"/>
      <c r="AH280" s="38"/>
      <c r="AI280" s="38"/>
      <c r="AJ280" s="38"/>
      <c r="AK280" s="38"/>
      <c r="AL280" s="38"/>
      <c r="AM280" s="38"/>
      <c r="AN280" s="38"/>
      <c r="AO280" s="38"/>
      <c r="AP280" s="38"/>
      <c r="AQ280" s="38"/>
      <c r="AR280" s="38"/>
      <c r="AS280" s="38"/>
      <c r="AT280" s="38"/>
      <c r="AU280" s="38"/>
      <c r="AV280" s="38"/>
      <c r="AW280" s="38"/>
      <c r="AX280" s="38"/>
      <c r="AY280" s="38"/>
      <c r="AZ280" s="38"/>
      <c r="BA280" s="38"/>
      <c r="BB280" s="38"/>
      <c r="BC280" s="38"/>
      <c r="BD280" s="38"/>
      <c r="BE280" s="38"/>
      <c r="BF280" s="38"/>
      <c r="BG280" s="38"/>
      <c r="BH280" s="38"/>
      <c r="BI280" s="38"/>
      <c r="BJ280" s="38"/>
      <c r="BK280" s="38"/>
      <c r="BL280" s="38"/>
      <c r="BM280" s="38"/>
      <c r="BN280" s="38"/>
      <c r="BO280" s="38"/>
      <c r="BP280" s="38"/>
      <c r="BQ280" s="38"/>
      <c r="BR280" s="38"/>
      <c r="BS280" s="38"/>
      <c r="BT280" s="38"/>
      <c r="BU280" s="38"/>
      <c r="BV280" s="38"/>
      <c r="BW280" s="38"/>
      <c r="BX280" s="38"/>
      <c r="BY280" s="38"/>
    </row>
    <row r="281" spans="2:77" x14ac:dyDescent="0.4"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  <c r="AG281" s="38"/>
      <c r="AH281" s="38"/>
      <c r="AI281" s="38"/>
      <c r="AJ281" s="38"/>
      <c r="AK281" s="38"/>
      <c r="AL281" s="38"/>
      <c r="AM281" s="38"/>
      <c r="AN281" s="38"/>
      <c r="AO281" s="38"/>
      <c r="AP281" s="38"/>
      <c r="AQ281" s="38"/>
      <c r="AR281" s="38"/>
      <c r="AS281" s="38"/>
      <c r="AT281" s="38"/>
      <c r="AU281" s="38"/>
      <c r="AV281" s="38"/>
      <c r="AW281" s="38"/>
      <c r="AX281" s="38"/>
      <c r="AY281" s="38"/>
      <c r="AZ281" s="38"/>
      <c r="BA281" s="38"/>
      <c r="BB281" s="38"/>
      <c r="BC281" s="38"/>
      <c r="BD281" s="38"/>
      <c r="BE281" s="38"/>
      <c r="BF281" s="38"/>
      <c r="BG281" s="38"/>
      <c r="BH281" s="38"/>
      <c r="BI281" s="38"/>
      <c r="BJ281" s="38"/>
      <c r="BK281" s="38"/>
      <c r="BL281" s="38"/>
      <c r="BM281" s="38"/>
      <c r="BN281" s="38"/>
      <c r="BO281" s="38"/>
      <c r="BP281" s="38"/>
      <c r="BQ281" s="38"/>
      <c r="BR281" s="38"/>
      <c r="BS281" s="38"/>
      <c r="BT281" s="38"/>
      <c r="BU281" s="38"/>
      <c r="BV281" s="38"/>
      <c r="BW281" s="38"/>
      <c r="BX281" s="38"/>
      <c r="BY281" s="38"/>
    </row>
    <row r="282" spans="2:77" x14ac:dyDescent="0.4"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  <c r="AG282" s="38"/>
      <c r="AH282" s="38"/>
      <c r="AI282" s="38"/>
      <c r="AJ282" s="38"/>
      <c r="AK282" s="38"/>
      <c r="AL282" s="38"/>
      <c r="AM282" s="38"/>
      <c r="AN282" s="38"/>
      <c r="AO282" s="38"/>
      <c r="AP282" s="38"/>
      <c r="AQ282" s="38"/>
      <c r="AR282" s="38"/>
      <c r="AS282" s="38"/>
      <c r="AT282" s="38"/>
      <c r="AU282" s="38"/>
      <c r="AV282" s="38"/>
      <c r="AW282" s="38"/>
      <c r="AX282" s="38"/>
      <c r="AY282" s="38"/>
      <c r="AZ282" s="38"/>
      <c r="BA282" s="38"/>
      <c r="BB282" s="38"/>
      <c r="BC282" s="38"/>
      <c r="BD282" s="38"/>
      <c r="BE282" s="38"/>
      <c r="BF282" s="38"/>
      <c r="BG282" s="38"/>
      <c r="BH282" s="38"/>
      <c r="BI282" s="38"/>
      <c r="BJ282" s="38"/>
      <c r="BK282" s="38"/>
      <c r="BL282" s="38"/>
      <c r="BM282" s="38"/>
      <c r="BN282" s="38"/>
      <c r="BO282" s="38"/>
      <c r="BP282" s="38"/>
      <c r="BQ282" s="38"/>
      <c r="BR282" s="38"/>
      <c r="BS282" s="38"/>
      <c r="BT282" s="38"/>
      <c r="BU282" s="38"/>
      <c r="BV282" s="38"/>
      <c r="BW282" s="38"/>
      <c r="BX282" s="38"/>
      <c r="BY282" s="38"/>
    </row>
    <row r="283" spans="2:77" x14ac:dyDescent="0.4"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  <c r="AG283" s="38"/>
      <c r="AH283" s="38"/>
      <c r="AI283" s="38"/>
      <c r="AJ283" s="38"/>
      <c r="AK283" s="38"/>
      <c r="AL283" s="38"/>
      <c r="AM283" s="38"/>
      <c r="AN283" s="38"/>
      <c r="AO283" s="38"/>
      <c r="AP283" s="38"/>
      <c r="AQ283" s="38"/>
      <c r="AR283" s="38"/>
      <c r="AS283" s="38"/>
      <c r="AT283" s="38"/>
      <c r="AU283" s="38"/>
      <c r="AV283" s="38"/>
      <c r="AW283" s="38"/>
      <c r="AX283" s="38"/>
      <c r="AY283" s="38"/>
      <c r="AZ283" s="38"/>
      <c r="BA283" s="38"/>
      <c r="BB283" s="38"/>
      <c r="BC283" s="38"/>
      <c r="BD283" s="38"/>
      <c r="BE283" s="38"/>
      <c r="BF283" s="38"/>
      <c r="BG283" s="38"/>
      <c r="BH283" s="38"/>
      <c r="BI283" s="38"/>
      <c r="BJ283" s="38"/>
      <c r="BK283" s="38"/>
      <c r="BL283" s="38"/>
      <c r="BM283" s="38"/>
      <c r="BN283" s="38"/>
      <c r="BO283" s="38"/>
      <c r="BP283" s="38"/>
      <c r="BQ283" s="38"/>
      <c r="BR283" s="38"/>
      <c r="BS283" s="38"/>
      <c r="BT283" s="38"/>
      <c r="BU283" s="38"/>
      <c r="BV283" s="38"/>
      <c r="BW283" s="38"/>
      <c r="BX283" s="38"/>
      <c r="BY283" s="38"/>
    </row>
    <row r="284" spans="2:77" x14ac:dyDescent="0.4"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38"/>
      <c r="AH284" s="38"/>
      <c r="AI284" s="38"/>
      <c r="AJ284" s="38"/>
      <c r="AK284" s="38"/>
      <c r="AL284" s="38"/>
      <c r="AM284" s="38"/>
      <c r="AN284" s="38"/>
      <c r="AO284" s="38"/>
      <c r="AP284" s="38"/>
      <c r="AQ284" s="38"/>
      <c r="AR284" s="38"/>
      <c r="AS284" s="38"/>
      <c r="AT284" s="38"/>
      <c r="AU284" s="38"/>
      <c r="AV284" s="38"/>
      <c r="AW284" s="38"/>
      <c r="AX284" s="38"/>
      <c r="AY284" s="38"/>
      <c r="AZ284" s="38"/>
      <c r="BA284" s="38"/>
      <c r="BB284" s="38"/>
      <c r="BC284" s="38"/>
      <c r="BD284" s="38"/>
      <c r="BE284" s="38"/>
      <c r="BF284" s="38"/>
      <c r="BG284" s="38"/>
      <c r="BH284" s="38"/>
      <c r="BI284" s="38"/>
      <c r="BJ284" s="38"/>
      <c r="BK284" s="38"/>
      <c r="BL284" s="38"/>
      <c r="BM284" s="38"/>
      <c r="BN284" s="38"/>
      <c r="BO284" s="38"/>
      <c r="BP284" s="38"/>
      <c r="BQ284" s="38"/>
      <c r="BR284" s="38"/>
      <c r="BS284" s="38"/>
      <c r="BT284" s="38"/>
      <c r="BU284" s="38"/>
      <c r="BV284" s="38"/>
      <c r="BW284" s="38"/>
      <c r="BX284" s="38"/>
      <c r="BY284" s="38"/>
    </row>
    <row r="285" spans="2:77" x14ac:dyDescent="0.4"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  <c r="AG285" s="38"/>
      <c r="AH285" s="38"/>
      <c r="AI285" s="38"/>
      <c r="AJ285" s="38"/>
      <c r="AK285" s="38"/>
      <c r="AL285" s="38"/>
      <c r="AM285" s="38"/>
      <c r="AN285" s="38"/>
      <c r="AO285" s="38"/>
      <c r="AP285" s="38"/>
      <c r="AQ285" s="38"/>
      <c r="AR285" s="38"/>
      <c r="AS285" s="38"/>
      <c r="AT285" s="38"/>
      <c r="AU285" s="38"/>
      <c r="AV285" s="38"/>
      <c r="AW285" s="38"/>
      <c r="AX285" s="38"/>
      <c r="AY285" s="38"/>
      <c r="AZ285" s="38"/>
      <c r="BA285" s="38"/>
      <c r="BB285" s="38"/>
      <c r="BC285" s="38"/>
      <c r="BD285" s="38"/>
      <c r="BE285" s="38"/>
      <c r="BF285" s="38"/>
      <c r="BG285" s="38"/>
      <c r="BH285" s="38"/>
      <c r="BI285" s="38"/>
      <c r="BJ285" s="38"/>
      <c r="BK285" s="38"/>
      <c r="BL285" s="38"/>
      <c r="BM285" s="38"/>
      <c r="BN285" s="38"/>
      <c r="BO285" s="38"/>
      <c r="BP285" s="38"/>
      <c r="BQ285" s="38"/>
      <c r="BR285" s="38"/>
      <c r="BS285" s="38"/>
      <c r="BT285" s="38"/>
      <c r="BU285" s="38"/>
      <c r="BV285" s="38"/>
      <c r="BW285" s="38"/>
      <c r="BX285" s="38"/>
      <c r="BY285" s="38"/>
    </row>
    <row r="286" spans="2:77" x14ac:dyDescent="0.4"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38"/>
      <c r="AH286" s="38"/>
      <c r="AI286" s="38"/>
      <c r="AJ286" s="38"/>
      <c r="AK286" s="38"/>
      <c r="AL286" s="38"/>
      <c r="AM286" s="38"/>
      <c r="AN286" s="38"/>
      <c r="AO286" s="38"/>
      <c r="AP286" s="38"/>
      <c r="AQ286" s="38"/>
      <c r="AR286" s="38"/>
      <c r="AS286" s="38"/>
      <c r="AT286" s="38"/>
      <c r="AU286" s="38"/>
      <c r="AV286" s="38"/>
      <c r="AW286" s="38"/>
      <c r="AX286" s="38"/>
      <c r="AY286" s="38"/>
      <c r="AZ286" s="38"/>
      <c r="BA286" s="38"/>
      <c r="BB286" s="38"/>
      <c r="BC286" s="38"/>
      <c r="BD286" s="38"/>
      <c r="BE286" s="38"/>
      <c r="BF286" s="38"/>
      <c r="BG286" s="38"/>
      <c r="BH286" s="38"/>
      <c r="BI286" s="38"/>
      <c r="BJ286" s="38"/>
      <c r="BK286" s="38"/>
      <c r="BL286" s="38"/>
      <c r="BM286" s="38"/>
      <c r="BN286" s="38"/>
      <c r="BO286" s="38"/>
      <c r="BP286" s="38"/>
      <c r="BQ286" s="38"/>
      <c r="BR286" s="38"/>
      <c r="BS286" s="38"/>
      <c r="BT286" s="38"/>
      <c r="BU286" s="38"/>
      <c r="BV286" s="38"/>
      <c r="BW286" s="38"/>
      <c r="BX286" s="38"/>
      <c r="BY286" s="38"/>
    </row>
    <row r="287" spans="2:77" x14ac:dyDescent="0.4"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I287" s="38"/>
      <c r="AJ287" s="38"/>
      <c r="AK287" s="38"/>
      <c r="AL287" s="38"/>
      <c r="AM287" s="38"/>
      <c r="AN287" s="38"/>
      <c r="AO287" s="38"/>
      <c r="AP287" s="38"/>
      <c r="AQ287" s="38"/>
      <c r="AR287" s="38"/>
      <c r="AS287" s="38"/>
      <c r="AT287" s="38"/>
      <c r="AU287" s="38"/>
      <c r="AV287" s="38"/>
      <c r="AW287" s="38"/>
      <c r="AX287" s="38"/>
      <c r="AY287" s="38"/>
      <c r="AZ287" s="38"/>
      <c r="BA287" s="38"/>
      <c r="BB287" s="38"/>
      <c r="BC287" s="38"/>
      <c r="BD287" s="38"/>
      <c r="BE287" s="38"/>
      <c r="BF287" s="38"/>
      <c r="BG287" s="38"/>
      <c r="BH287" s="38"/>
      <c r="BI287" s="38"/>
      <c r="BJ287" s="38"/>
      <c r="BK287" s="38"/>
      <c r="BL287" s="38"/>
      <c r="BM287" s="38"/>
      <c r="BN287" s="38"/>
      <c r="BO287" s="38"/>
      <c r="BP287" s="38"/>
      <c r="BQ287" s="38"/>
      <c r="BR287" s="38"/>
      <c r="BS287" s="38"/>
      <c r="BT287" s="38"/>
      <c r="BU287" s="38"/>
      <c r="BV287" s="38"/>
      <c r="BW287" s="38"/>
      <c r="BX287" s="38"/>
      <c r="BY287" s="38"/>
    </row>
    <row r="288" spans="2:77" x14ac:dyDescent="0.4"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I288" s="38"/>
      <c r="AJ288" s="38"/>
      <c r="AK288" s="38"/>
      <c r="AL288" s="38"/>
      <c r="AM288" s="38"/>
      <c r="AN288" s="38"/>
      <c r="AO288" s="38"/>
      <c r="AP288" s="38"/>
      <c r="AQ288" s="38"/>
      <c r="AR288" s="38"/>
      <c r="AS288" s="38"/>
      <c r="AT288" s="38"/>
      <c r="AU288" s="38"/>
      <c r="AV288" s="38"/>
      <c r="AW288" s="38"/>
      <c r="AX288" s="38"/>
      <c r="AY288" s="38"/>
      <c r="AZ288" s="38"/>
      <c r="BA288" s="38"/>
      <c r="BB288" s="38"/>
      <c r="BC288" s="38"/>
      <c r="BD288" s="38"/>
      <c r="BE288" s="38"/>
      <c r="BF288" s="38"/>
      <c r="BG288" s="38"/>
      <c r="BH288" s="38"/>
      <c r="BI288" s="38"/>
      <c r="BJ288" s="38"/>
      <c r="BK288" s="38"/>
      <c r="BL288" s="38"/>
      <c r="BM288" s="38"/>
      <c r="BN288" s="38"/>
      <c r="BO288" s="38"/>
      <c r="BP288" s="38"/>
      <c r="BQ288" s="38"/>
      <c r="BR288" s="38"/>
      <c r="BS288" s="38"/>
      <c r="BT288" s="38"/>
      <c r="BU288" s="38"/>
      <c r="BV288" s="38"/>
      <c r="BW288" s="38"/>
      <c r="BX288" s="38"/>
      <c r="BY288" s="38"/>
    </row>
    <row r="289" spans="2:77" x14ac:dyDescent="0.4"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  <c r="AG289" s="38"/>
      <c r="AH289" s="38"/>
      <c r="AI289" s="38"/>
      <c r="AJ289" s="38"/>
      <c r="AK289" s="38"/>
      <c r="AL289" s="38"/>
      <c r="AM289" s="38"/>
      <c r="AN289" s="38"/>
      <c r="AO289" s="38"/>
      <c r="AP289" s="38"/>
      <c r="AQ289" s="38"/>
      <c r="AR289" s="38"/>
      <c r="AS289" s="38"/>
      <c r="AT289" s="38"/>
      <c r="AU289" s="38"/>
      <c r="AV289" s="38"/>
      <c r="AW289" s="38"/>
      <c r="AX289" s="38"/>
      <c r="AY289" s="38"/>
      <c r="AZ289" s="38"/>
      <c r="BA289" s="38"/>
      <c r="BB289" s="38"/>
      <c r="BC289" s="38"/>
      <c r="BD289" s="38"/>
      <c r="BE289" s="38"/>
      <c r="BF289" s="38"/>
      <c r="BG289" s="38"/>
      <c r="BH289" s="38"/>
      <c r="BI289" s="38"/>
      <c r="BJ289" s="38"/>
      <c r="BK289" s="38"/>
      <c r="BL289" s="38"/>
      <c r="BM289" s="38"/>
      <c r="BN289" s="38"/>
      <c r="BO289" s="38"/>
      <c r="BP289" s="38"/>
      <c r="BQ289" s="38"/>
      <c r="BR289" s="38"/>
      <c r="BS289" s="38"/>
      <c r="BT289" s="38"/>
      <c r="BU289" s="38"/>
      <c r="BV289" s="38"/>
      <c r="BW289" s="38"/>
      <c r="BX289" s="38"/>
      <c r="BY289" s="38"/>
    </row>
    <row r="290" spans="2:77" x14ac:dyDescent="0.4"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I290" s="38"/>
      <c r="AJ290" s="38"/>
      <c r="AK290" s="38"/>
      <c r="AL290" s="38"/>
      <c r="AM290" s="38"/>
      <c r="AN290" s="38"/>
      <c r="AO290" s="38"/>
      <c r="AP290" s="38"/>
      <c r="AQ290" s="38"/>
      <c r="AR290" s="38"/>
      <c r="AS290" s="38"/>
      <c r="AT290" s="38"/>
      <c r="AU290" s="38"/>
      <c r="AV290" s="38"/>
      <c r="AW290" s="38"/>
      <c r="AX290" s="38"/>
      <c r="AY290" s="38"/>
      <c r="AZ290" s="38"/>
      <c r="BA290" s="38"/>
      <c r="BB290" s="38"/>
      <c r="BC290" s="38"/>
      <c r="BD290" s="38"/>
      <c r="BE290" s="38"/>
      <c r="BF290" s="38"/>
      <c r="BG290" s="38"/>
      <c r="BH290" s="38"/>
      <c r="BI290" s="38"/>
      <c r="BJ290" s="38"/>
      <c r="BK290" s="38"/>
      <c r="BL290" s="38"/>
      <c r="BM290" s="38"/>
      <c r="BN290" s="38"/>
      <c r="BO290" s="38"/>
      <c r="BP290" s="38"/>
      <c r="BQ290" s="38"/>
      <c r="BR290" s="38"/>
      <c r="BS290" s="38"/>
      <c r="BT290" s="38"/>
      <c r="BU290" s="38"/>
      <c r="BV290" s="38"/>
      <c r="BW290" s="38"/>
      <c r="BX290" s="38"/>
      <c r="BY290" s="38"/>
    </row>
    <row r="291" spans="2:77" x14ac:dyDescent="0.4"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  <c r="AG291" s="38"/>
      <c r="AH291" s="38"/>
      <c r="AI291" s="38"/>
      <c r="AJ291" s="38"/>
      <c r="AK291" s="38"/>
      <c r="AL291" s="38"/>
      <c r="AM291" s="38"/>
      <c r="AN291" s="38"/>
      <c r="AO291" s="38"/>
      <c r="AP291" s="38"/>
      <c r="AQ291" s="38"/>
      <c r="AR291" s="38"/>
      <c r="AS291" s="38"/>
      <c r="AT291" s="38"/>
      <c r="AU291" s="38"/>
      <c r="AV291" s="38"/>
      <c r="AW291" s="38"/>
      <c r="AX291" s="38"/>
      <c r="AY291" s="38"/>
      <c r="AZ291" s="38"/>
      <c r="BA291" s="38"/>
      <c r="BB291" s="38"/>
      <c r="BC291" s="38"/>
      <c r="BD291" s="38"/>
      <c r="BE291" s="38"/>
      <c r="BF291" s="38"/>
      <c r="BG291" s="38"/>
      <c r="BH291" s="38"/>
      <c r="BI291" s="38"/>
      <c r="BJ291" s="38"/>
      <c r="BK291" s="38"/>
      <c r="BL291" s="38"/>
      <c r="BM291" s="38"/>
      <c r="BN291" s="38"/>
      <c r="BO291" s="38"/>
      <c r="BP291" s="38"/>
      <c r="BQ291" s="38"/>
      <c r="BR291" s="38"/>
      <c r="BS291" s="38"/>
      <c r="BT291" s="38"/>
      <c r="BU291" s="38"/>
      <c r="BV291" s="38"/>
      <c r="BW291" s="38"/>
      <c r="BX291" s="38"/>
      <c r="BY291" s="38"/>
    </row>
    <row r="292" spans="2:77" x14ac:dyDescent="0.4"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  <c r="AG292" s="38"/>
      <c r="AH292" s="38"/>
      <c r="AI292" s="38"/>
      <c r="AJ292" s="38"/>
      <c r="AK292" s="38"/>
      <c r="AL292" s="38"/>
      <c r="AM292" s="38"/>
      <c r="AN292" s="38"/>
      <c r="AO292" s="38"/>
      <c r="AP292" s="38"/>
      <c r="AQ292" s="38"/>
      <c r="AR292" s="38"/>
      <c r="AS292" s="38"/>
      <c r="AT292" s="38"/>
      <c r="AU292" s="38"/>
      <c r="AV292" s="38"/>
      <c r="AW292" s="38"/>
      <c r="AX292" s="38"/>
      <c r="AY292" s="38"/>
      <c r="AZ292" s="38"/>
      <c r="BA292" s="38"/>
      <c r="BB292" s="38"/>
      <c r="BC292" s="38"/>
      <c r="BD292" s="38"/>
      <c r="BE292" s="38"/>
      <c r="BF292" s="38"/>
      <c r="BG292" s="38"/>
      <c r="BH292" s="38"/>
      <c r="BI292" s="38"/>
      <c r="BJ292" s="38"/>
      <c r="BK292" s="38"/>
      <c r="BL292" s="38"/>
      <c r="BM292" s="38"/>
      <c r="BN292" s="38"/>
      <c r="BO292" s="38"/>
      <c r="BP292" s="38"/>
      <c r="BQ292" s="38"/>
      <c r="BR292" s="38"/>
      <c r="BS292" s="38"/>
      <c r="BT292" s="38"/>
      <c r="BU292" s="38"/>
      <c r="BV292" s="38"/>
      <c r="BW292" s="38"/>
      <c r="BX292" s="38"/>
      <c r="BY292" s="38"/>
    </row>
    <row r="293" spans="2:77" x14ac:dyDescent="0.4"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  <c r="AG293" s="38"/>
      <c r="AH293" s="38"/>
      <c r="AI293" s="38"/>
      <c r="AJ293" s="38"/>
      <c r="AK293" s="38"/>
      <c r="AL293" s="38"/>
      <c r="AM293" s="38"/>
      <c r="AN293" s="38"/>
      <c r="AO293" s="38"/>
      <c r="AP293" s="38"/>
      <c r="AQ293" s="38"/>
      <c r="AR293" s="38"/>
      <c r="AS293" s="38"/>
      <c r="AT293" s="38"/>
      <c r="AU293" s="38"/>
      <c r="AV293" s="38"/>
      <c r="AW293" s="38"/>
      <c r="AX293" s="38"/>
      <c r="AY293" s="38"/>
      <c r="AZ293" s="38"/>
      <c r="BA293" s="38"/>
      <c r="BB293" s="38"/>
      <c r="BC293" s="38"/>
      <c r="BD293" s="38"/>
      <c r="BE293" s="38"/>
      <c r="BF293" s="38"/>
      <c r="BG293" s="38"/>
      <c r="BH293" s="38"/>
      <c r="BI293" s="38"/>
      <c r="BJ293" s="38"/>
      <c r="BK293" s="38"/>
      <c r="BL293" s="38"/>
      <c r="BM293" s="38"/>
      <c r="BN293" s="38"/>
      <c r="BO293" s="38"/>
      <c r="BP293" s="38"/>
      <c r="BQ293" s="38"/>
      <c r="BR293" s="38"/>
      <c r="BS293" s="38"/>
      <c r="BT293" s="38"/>
      <c r="BU293" s="38"/>
      <c r="BV293" s="38"/>
      <c r="BW293" s="38"/>
      <c r="BX293" s="38"/>
      <c r="BY293" s="38"/>
    </row>
    <row r="294" spans="2:77" x14ac:dyDescent="0.4"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38"/>
      <c r="AH294" s="38"/>
      <c r="AI294" s="38"/>
      <c r="AJ294" s="38"/>
      <c r="AK294" s="38"/>
      <c r="AL294" s="38"/>
      <c r="AM294" s="38"/>
      <c r="AN294" s="38"/>
      <c r="AO294" s="38"/>
      <c r="AP294" s="38"/>
      <c r="AQ294" s="38"/>
      <c r="AR294" s="38"/>
      <c r="AS294" s="38"/>
      <c r="AT294" s="38"/>
      <c r="AU294" s="38"/>
      <c r="AV294" s="38"/>
      <c r="AW294" s="38"/>
      <c r="AX294" s="38"/>
      <c r="AY294" s="38"/>
      <c r="AZ294" s="38"/>
      <c r="BA294" s="38"/>
      <c r="BB294" s="38"/>
      <c r="BC294" s="38"/>
      <c r="BD294" s="38"/>
      <c r="BE294" s="38"/>
      <c r="BF294" s="38"/>
      <c r="BG294" s="38"/>
      <c r="BH294" s="38"/>
      <c r="BI294" s="38"/>
      <c r="BJ294" s="38"/>
      <c r="BK294" s="38"/>
      <c r="BL294" s="38"/>
      <c r="BM294" s="38"/>
      <c r="BN294" s="38"/>
      <c r="BO294" s="38"/>
      <c r="BP294" s="38"/>
      <c r="BQ294" s="38"/>
      <c r="BR294" s="38"/>
      <c r="BS294" s="38"/>
      <c r="BT294" s="38"/>
      <c r="BU294" s="38"/>
      <c r="BV294" s="38"/>
      <c r="BW294" s="38"/>
      <c r="BX294" s="38"/>
      <c r="BY294" s="38"/>
    </row>
    <row r="295" spans="2:77" x14ac:dyDescent="0.4"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  <c r="AG295" s="38"/>
      <c r="AH295" s="38"/>
      <c r="AI295" s="38"/>
      <c r="AJ295" s="38"/>
      <c r="AK295" s="38"/>
      <c r="AL295" s="38"/>
      <c r="AM295" s="38"/>
      <c r="AN295" s="38"/>
      <c r="AO295" s="38"/>
      <c r="AP295" s="38"/>
      <c r="AQ295" s="38"/>
      <c r="AR295" s="38"/>
      <c r="AS295" s="38"/>
      <c r="AT295" s="38"/>
      <c r="AU295" s="38"/>
      <c r="AV295" s="38"/>
      <c r="AW295" s="38"/>
      <c r="AX295" s="38"/>
      <c r="AY295" s="38"/>
      <c r="AZ295" s="38"/>
      <c r="BA295" s="38"/>
      <c r="BB295" s="38"/>
      <c r="BC295" s="38"/>
      <c r="BD295" s="38"/>
      <c r="BE295" s="38"/>
      <c r="BF295" s="38"/>
      <c r="BG295" s="38"/>
      <c r="BH295" s="38"/>
      <c r="BI295" s="38"/>
      <c r="BJ295" s="38"/>
      <c r="BK295" s="38"/>
      <c r="BL295" s="38"/>
      <c r="BM295" s="38"/>
      <c r="BN295" s="38"/>
      <c r="BO295" s="38"/>
      <c r="BP295" s="38"/>
      <c r="BQ295" s="38"/>
      <c r="BR295" s="38"/>
      <c r="BS295" s="38"/>
      <c r="BT295" s="38"/>
      <c r="BU295" s="38"/>
      <c r="BV295" s="38"/>
      <c r="BW295" s="38"/>
      <c r="BX295" s="38"/>
      <c r="BY295" s="38"/>
    </row>
    <row r="296" spans="2:77" x14ac:dyDescent="0.4"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  <c r="AG296" s="38"/>
      <c r="AH296" s="38"/>
      <c r="AI296" s="38"/>
      <c r="AJ296" s="38"/>
      <c r="AK296" s="38"/>
      <c r="AL296" s="38"/>
      <c r="AM296" s="38"/>
      <c r="AN296" s="38"/>
      <c r="AO296" s="38"/>
      <c r="AP296" s="38"/>
      <c r="AQ296" s="38"/>
      <c r="AR296" s="38"/>
      <c r="AS296" s="38"/>
      <c r="AT296" s="38"/>
      <c r="AU296" s="38"/>
      <c r="AV296" s="38"/>
      <c r="AW296" s="38"/>
      <c r="AX296" s="38"/>
      <c r="AY296" s="38"/>
      <c r="AZ296" s="38"/>
      <c r="BA296" s="38"/>
      <c r="BB296" s="38"/>
      <c r="BC296" s="38"/>
      <c r="BD296" s="38"/>
      <c r="BE296" s="38"/>
      <c r="BF296" s="38"/>
      <c r="BG296" s="38"/>
      <c r="BH296" s="38"/>
      <c r="BI296" s="38"/>
      <c r="BJ296" s="38"/>
      <c r="BK296" s="38"/>
      <c r="BL296" s="38"/>
      <c r="BM296" s="38"/>
      <c r="BN296" s="38"/>
      <c r="BO296" s="38"/>
      <c r="BP296" s="38"/>
      <c r="BQ296" s="38"/>
      <c r="BR296" s="38"/>
      <c r="BS296" s="38"/>
      <c r="BT296" s="38"/>
      <c r="BU296" s="38"/>
      <c r="BV296" s="38"/>
      <c r="BW296" s="38"/>
      <c r="BX296" s="38"/>
      <c r="BY296" s="38"/>
    </row>
    <row r="297" spans="2:77" x14ac:dyDescent="0.4"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  <c r="AG297" s="38"/>
      <c r="AH297" s="38"/>
      <c r="AI297" s="38"/>
      <c r="AJ297" s="38"/>
      <c r="AK297" s="38"/>
      <c r="AL297" s="38"/>
      <c r="AM297" s="38"/>
      <c r="AN297" s="38"/>
      <c r="AO297" s="38"/>
      <c r="AP297" s="38"/>
      <c r="AQ297" s="38"/>
      <c r="AR297" s="38"/>
      <c r="AS297" s="38"/>
      <c r="AT297" s="38"/>
      <c r="AU297" s="38"/>
      <c r="AV297" s="38"/>
      <c r="AW297" s="38"/>
      <c r="AX297" s="38"/>
      <c r="AY297" s="38"/>
      <c r="AZ297" s="38"/>
      <c r="BA297" s="38"/>
      <c r="BB297" s="38"/>
      <c r="BC297" s="38"/>
      <c r="BD297" s="38"/>
      <c r="BE297" s="38"/>
      <c r="BF297" s="38"/>
      <c r="BG297" s="38"/>
      <c r="BH297" s="38"/>
      <c r="BI297" s="38"/>
      <c r="BJ297" s="38"/>
      <c r="BK297" s="38"/>
      <c r="BL297" s="38"/>
      <c r="BM297" s="38"/>
      <c r="BN297" s="38"/>
      <c r="BO297" s="38"/>
      <c r="BP297" s="38"/>
      <c r="BQ297" s="38"/>
      <c r="BR297" s="38"/>
      <c r="BS297" s="38"/>
      <c r="BT297" s="38"/>
      <c r="BU297" s="38"/>
      <c r="BV297" s="38"/>
      <c r="BW297" s="38"/>
      <c r="BX297" s="38"/>
      <c r="BY297" s="38"/>
    </row>
    <row r="298" spans="2:77" x14ac:dyDescent="0.4"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  <c r="AG298" s="38"/>
      <c r="AH298" s="38"/>
      <c r="AI298" s="38"/>
      <c r="AJ298" s="38"/>
      <c r="AK298" s="38"/>
      <c r="AL298" s="38"/>
      <c r="AM298" s="38"/>
      <c r="AN298" s="38"/>
      <c r="AO298" s="38"/>
      <c r="AP298" s="38"/>
      <c r="AQ298" s="38"/>
      <c r="AR298" s="38"/>
      <c r="AS298" s="38"/>
      <c r="AT298" s="38"/>
      <c r="AU298" s="38"/>
      <c r="AV298" s="38"/>
      <c r="AW298" s="38"/>
      <c r="AX298" s="38"/>
      <c r="AY298" s="38"/>
      <c r="AZ298" s="38"/>
      <c r="BA298" s="38"/>
      <c r="BB298" s="38"/>
      <c r="BC298" s="38"/>
      <c r="BD298" s="38"/>
      <c r="BE298" s="38"/>
      <c r="BF298" s="38"/>
      <c r="BG298" s="38"/>
      <c r="BH298" s="38"/>
      <c r="BI298" s="38"/>
      <c r="BJ298" s="38"/>
      <c r="BK298" s="38"/>
      <c r="BL298" s="38"/>
      <c r="BM298" s="38"/>
      <c r="BN298" s="38"/>
      <c r="BO298" s="38"/>
      <c r="BP298" s="38"/>
      <c r="BQ298" s="38"/>
      <c r="BR298" s="38"/>
      <c r="BS298" s="38"/>
      <c r="BT298" s="38"/>
      <c r="BU298" s="38"/>
      <c r="BV298" s="38"/>
      <c r="BW298" s="38"/>
      <c r="BX298" s="38"/>
      <c r="BY298" s="38"/>
    </row>
    <row r="299" spans="2:77" x14ac:dyDescent="0.4"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  <c r="AG299" s="38"/>
      <c r="AH299" s="38"/>
      <c r="AI299" s="38"/>
      <c r="AJ299" s="38"/>
      <c r="AK299" s="38"/>
      <c r="AL299" s="38"/>
      <c r="AM299" s="38"/>
      <c r="AN299" s="38"/>
      <c r="AO299" s="38"/>
      <c r="AP299" s="38"/>
      <c r="AQ299" s="38"/>
      <c r="AR299" s="38"/>
      <c r="AS299" s="38"/>
      <c r="AT299" s="38"/>
      <c r="AU299" s="38"/>
      <c r="AV299" s="38"/>
      <c r="AW299" s="38"/>
      <c r="AX299" s="38"/>
      <c r="AY299" s="38"/>
      <c r="AZ299" s="38"/>
      <c r="BA299" s="38"/>
      <c r="BB299" s="38"/>
      <c r="BC299" s="38"/>
      <c r="BD299" s="38"/>
      <c r="BE299" s="38"/>
      <c r="BF299" s="38"/>
      <c r="BG299" s="38"/>
      <c r="BH299" s="38"/>
      <c r="BI299" s="38"/>
      <c r="BJ299" s="38"/>
      <c r="BK299" s="38"/>
      <c r="BL299" s="38"/>
      <c r="BM299" s="38"/>
      <c r="BN299" s="38"/>
      <c r="BO299" s="38"/>
      <c r="BP299" s="38"/>
      <c r="BQ299" s="38"/>
      <c r="BR299" s="38"/>
      <c r="BS299" s="38"/>
      <c r="BT299" s="38"/>
      <c r="BU299" s="38"/>
      <c r="BV299" s="38"/>
      <c r="BW299" s="38"/>
      <c r="BX299" s="38"/>
      <c r="BY299" s="38"/>
    </row>
    <row r="300" spans="2:77" x14ac:dyDescent="0.4"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38"/>
      <c r="AH300" s="38"/>
      <c r="AI300" s="38"/>
      <c r="AJ300" s="38"/>
      <c r="AK300" s="38"/>
      <c r="AL300" s="38"/>
      <c r="AM300" s="38"/>
      <c r="AN300" s="38"/>
      <c r="AO300" s="38"/>
      <c r="AP300" s="38"/>
      <c r="AQ300" s="38"/>
      <c r="AR300" s="38"/>
      <c r="AS300" s="38"/>
      <c r="AT300" s="38"/>
      <c r="AU300" s="38"/>
      <c r="AV300" s="38"/>
      <c r="AW300" s="38"/>
      <c r="AX300" s="38"/>
      <c r="AY300" s="38"/>
      <c r="AZ300" s="38"/>
      <c r="BA300" s="38"/>
      <c r="BB300" s="38"/>
      <c r="BC300" s="38"/>
      <c r="BD300" s="38"/>
      <c r="BE300" s="38"/>
      <c r="BF300" s="38"/>
      <c r="BG300" s="38"/>
      <c r="BH300" s="38"/>
      <c r="BI300" s="38"/>
      <c r="BJ300" s="38"/>
      <c r="BK300" s="38"/>
      <c r="BL300" s="38"/>
      <c r="BM300" s="38"/>
      <c r="BN300" s="38"/>
      <c r="BO300" s="38"/>
      <c r="BP300" s="38"/>
      <c r="BQ300" s="38"/>
      <c r="BR300" s="38"/>
      <c r="BS300" s="38"/>
      <c r="BT300" s="38"/>
      <c r="BU300" s="38"/>
      <c r="BV300" s="38"/>
      <c r="BW300" s="38"/>
      <c r="BX300" s="38"/>
      <c r="BY300" s="38"/>
    </row>
    <row r="301" spans="2:77" x14ac:dyDescent="0.4"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  <c r="AG301" s="38"/>
      <c r="AH301" s="38"/>
      <c r="AI301" s="38"/>
      <c r="AJ301" s="38"/>
      <c r="AK301" s="38"/>
      <c r="AL301" s="38"/>
      <c r="AM301" s="38"/>
      <c r="AN301" s="38"/>
      <c r="AO301" s="38"/>
      <c r="AP301" s="38"/>
      <c r="AQ301" s="38"/>
      <c r="AR301" s="38"/>
      <c r="AS301" s="38"/>
      <c r="AT301" s="38"/>
      <c r="AU301" s="38"/>
      <c r="AV301" s="38"/>
      <c r="AW301" s="38"/>
      <c r="AX301" s="38"/>
      <c r="AY301" s="38"/>
      <c r="AZ301" s="38"/>
      <c r="BA301" s="38"/>
      <c r="BB301" s="38"/>
      <c r="BC301" s="38"/>
      <c r="BD301" s="38"/>
      <c r="BE301" s="38"/>
      <c r="BF301" s="38"/>
      <c r="BG301" s="38"/>
      <c r="BH301" s="38"/>
      <c r="BI301" s="38"/>
      <c r="BJ301" s="38"/>
      <c r="BK301" s="38"/>
      <c r="BL301" s="38"/>
      <c r="BM301" s="38"/>
      <c r="BN301" s="38"/>
      <c r="BO301" s="38"/>
      <c r="BP301" s="38"/>
      <c r="BQ301" s="38"/>
      <c r="BR301" s="38"/>
      <c r="BS301" s="38"/>
      <c r="BT301" s="38"/>
      <c r="BU301" s="38"/>
      <c r="BV301" s="38"/>
      <c r="BW301" s="38"/>
      <c r="BX301" s="38"/>
      <c r="BY301" s="38"/>
    </row>
    <row r="302" spans="2:77" x14ac:dyDescent="0.4"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  <c r="AG302" s="38"/>
      <c r="AH302" s="38"/>
      <c r="AI302" s="38"/>
      <c r="AJ302" s="38"/>
      <c r="AK302" s="38"/>
      <c r="AL302" s="38"/>
      <c r="AM302" s="38"/>
      <c r="AN302" s="38"/>
      <c r="AO302" s="38"/>
      <c r="AP302" s="38"/>
      <c r="AQ302" s="38"/>
      <c r="AR302" s="38"/>
      <c r="AS302" s="38"/>
      <c r="AT302" s="38"/>
      <c r="AU302" s="38"/>
      <c r="AV302" s="38"/>
      <c r="AW302" s="38"/>
      <c r="AX302" s="38"/>
      <c r="AY302" s="38"/>
      <c r="AZ302" s="38"/>
      <c r="BA302" s="38"/>
      <c r="BB302" s="38"/>
      <c r="BC302" s="38"/>
      <c r="BD302" s="38"/>
      <c r="BE302" s="38"/>
      <c r="BF302" s="38"/>
      <c r="BG302" s="38"/>
      <c r="BH302" s="38"/>
      <c r="BI302" s="38"/>
      <c r="BJ302" s="38"/>
      <c r="BK302" s="38"/>
      <c r="BL302" s="38"/>
      <c r="BM302" s="38"/>
      <c r="BN302" s="38"/>
      <c r="BO302" s="38"/>
      <c r="BP302" s="38"/>
      <c r="BQ302" s="38"/>
      <c r="BR302" s="38"/>
      <c r="BS302" s="38"/>
      <c r="BT302" s="38"/>
      <c r="BU302" s="38"/>
      <c r="BV302" s="38"/>
      <c r="BW302" s="38"/>
      <c r="BX302" s="38"/>
      <c r="BY302" s="38"/>
    </row>
    <row r="303" spans="2:77" x14ac:dyDescent="0.4"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  <c r="AG303" s="38"/>
      <c r="AH303" s="38"/>
      <c r="AI303" s="38"/>
      <c r="AJ303" s="38"/>
      <c r="AK303" s="38"/>
      <c r="AL303" s="38"/>
      <c r="AM303" s="38"/>
      <c r="AN303" s="38"/>
      <c r="AO303" s="38"/>
      <c r="AP303" s="38"/>
      <c r="AQ303" s="38"/>
      <c r="AR303" s="38"/>
      <c r="AS303" s="38"/>
      <c r="AT303" s="38"/>
      <c r="AU303" s="38"/>
      <c r="AV303" s="38"/>
      <c r="AW303" s="38"/>
      <c r="AX303" s="38"/>
      <c r="AY303" s="38"/>
      <c r="AZ303" s="38"/>
      <c r="BA303" s="38"/>
      <c r="BB303" s="38"/>
      <c r="BC303" s="38"/>
      <c r="BD303" s="38"/>
      <c r="BE303" s="38"/>
      <c r="BF303" s="38"/>
      <c r="BG303" s="38"/>
      <c r="BH303" s="38"/>
      <c r="BI303" s="38"/>
      <c r="BJ303" s="38"/>
      <c r="BK303" s="38"/>
      <c r="BL303" s="38"/>
      <c r="BM303" s="38"/>
      <c r="BN303" s="38"/>
      <c r="BO303" s="38"/>
      <c r="BP303" s="38"/>
      <c r="BQ303" s="38"/>
      <c r="BR303" s="38"/>
      <c r="BS303" s="38"/>
      <c r="BT303" s="38"/>
      <c r="BU303" s="38"/>
      <c r="BV303" s="38"/>
      <c r="BW303" s="38"/>
      <c r="BX303" s="38"/>
      <c r="BY303" s="38"/>
    </row>
    <row r="304" spans="2:77" x14ac:dyDescent="0.4"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  <c r="AG304" s="38"/>
      <c r="AH304" s="38"/>
      <c r="AI304" s="38"/>
      <c r="AJ304" s="38"/>
      <c r="AK304" s="38"/>
      <c r="AL304" s="38"/>
      <c r="AM304" s="38"/>
      <c r="AN304" s="38"/>
      <c r="AO304" s="38"/>
      <c r="AP304" s="38"/>
      <c r="AQ304" s="38"/>
      <c r="AR304" s="38"/>
      <c r="AS304" s="38"/>
      <c r="AT304" s="38"/>
      <c r="AU304" s="38"/>
      <c r="AV304" s="38"/>
      <c r="AW304" s="38"/>
      <c r="AX304" s="38"/>
      <c r="AY304" s="38"/>
      <c r="AZ304" s="38"/>
      <c r="BA304" s="38"/>
      <c r="BB304" s="38"/>
      <c r="BC304" s="38"/>
      <c r="BD304" s="38"/>
      <c r="BE304" s="38"/>
      <c r="BF304" s="38"/>
      <c r="BG304" s="38"/>
      <c r="BH304" s="38"/>
      <c r="BI304" s="38"/>
      <c r="BJ304" s="38"/>
      <c r="BK304" s="38"/>
      <c r="BL304" s="38"/>
      <c r="BM304" s="38"/>
      <c r="BN304" s="38"/>
      <c r="BO304" s="38"/>
      <c r="BP304" s="38"/>
      <c r="BQ304" s="38"/>
      <c r="BR304" s="38"/>
      <c r="BS304" s="38"/>
      <c r="BT304" s="38"/>
      <c r="BU304" s="38"/>
      <c r="BV304" s="38"/>
      <c r="BW304" s="38"/>
      <c r="BX304" s="38"/>
      <c r="BY304" s="38"/>
    </row>
    <row r="305" spans="2:77" x14ac:dyDescent="0.4"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</row>
    <row r="306" spans="2:77" x14ac:dyDescent="0.4"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  <c r="AG306" s="38"/>
      <c r="AH306" s="38"/>
      <c r="AI306" s="38"/>
      <c r="AJ306" s="38"/>
      <c r="AK306" s="38"/>
      <c r="AL306" s="38"/>
      <c r="AM306" s="38"/>
      <c r="AN306" s="38"/>
      <c r="AO306" s="38"/>
      <c r="AP306" s="38"/>
      <c r="AQ306" s="38"/>
      <c r="AR306" s="38"/>
      <c r="AS306" s="38"/>
      <c r="AT306" s="38"/>
      <c r="AU306" s="38"/>
      <c r="AV306" s="38"/>
      <c r="AW306" s="38"/>
      <c r="AX306" s="38"/>
      <c r="AY306" s="38"/>
      <c r="AZ306" s="38"/>
      <c r="BA306" s="38"/>
      <c r="BB306" s="38"/>
      <c r="BC306" s="38"/>
      <c r="BD306" s="38"/>
      <c r="BE306" s="38"/>
      <c r="BF306" s="38"/>
      <c r="BG306" s="38"/>
      <c r="BH306" s="38"/>
      <c r="BI306" s="38"/>
      <c r="BJ306" s="38"/>
      <c r="BK306" s="38"/>
      <c r="BL306" s="38"/>
      <c r="BM306" s="38"/>
      <c r="BN306" s="38"/>
      <c r="BO306" s="38"/>
      <c r="BP306" s="38"/>
      <c r="BQ306" s="38"/>
      <c r="BR306" s="38"/>
      <c r="BS306" s="38"/>
      <c r="BT306" s="38"/>
      <c r="BU306" s="38"/>
      <c r="BV306" s="38"/>
      <c r="BW306" s="38"/>
      <c r="BX306" s="38"/>
      <c r="BY306" s="38"/>
    </row>
    <row r="307" spans="2:77" x14ac:dyDescent="0.4"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  <c r="AG307" s="38"/>
      <c r="AH307" s="38"/>
      <c r="AI307" s="38"/>
      <c r="AJ307" s="38"/>
      <c r="AK307" s="38"/>
      <c r="AL307" s="38"/>
      <c r="AM307" s="38"/>
      <c r="AN307" s="38"/>
      <c r="AO307" s="38"/>
      <c r="AP307" s="38"/>
      <c r="AQ307" s="38"/>
      <c r="AR307" s="38"/>
      <c r="AS307" s="38"/>
      <c r="AT307" s="38"/>
      <c r="AU307" s="38"/>
      <c r="AV307" s="38"/>
      <c r="AW307" s="38"/>
      <c r="AX307" s="38"/>
      <c r="AY307" s="38"/>
      <c r="AZ307" s="38"/>
      <c r="BA307" s="38"/>
      <c r="BB307" s="38"/>
      <c r="BC307" s="38"/>
      <c r="BD307" s="38"/>
      <c r="BE307" s="38"/>
      <c r="BF307" s="38"/>
      <c r="BG307" s="38"/>
      <c r="BH307" s="38"/>
      <c r="BI307" s="38"/>
      <c r="BJ307" s="38"/>
      <c r="BK307" s="38"/>
      <c r="BL307" s="38"/>
      <c r="BM307" s="38"/>
      <c r="BN307" s="38"/>
      <c r="BO307" s="38"/>
      <c r="BP307" s="38"/>
      <c r="BQ307" s="38"/>
      <c r="BR307" s="38"/>
      <c r="BS307" s="38"/>
      <c r="BT307" s="38"/>
      <c r="BU307" s="38"/>
      <c r="BV307" s="38"/>
      <c r="BW307" s="38"/>
      <c r="BX307" s="38"/>
      <c r="BY307" s="38"/>
    </row>
    <row r="308" spans="2:77" x14ac:dyDescent="0.4"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  <c r="AG308" s="38"/>
      <c r="AH308" s="38"/>
      <c r="AI308" s="38"/>
      <c r="AJ308" s="38"/>
      <c r="AK308" s="38"/>
      <c r="AL308" s="38"/>
      <c r="AM308" s="38"/>
      <c r="AN308" s="38"/>
      <c r="AO308" s="38"/>
      <c r="AP308" s="38"/>
      <c r="AQ308" s="38"/>
      <c r="AR308" s="38"/>
      <c r="AS308" s="38"/>
      <c r="AT308" s="38"/>
      <c r="AU308" s="38"/>
      <c r="AV308" s="38"/>
      <c r="AW308" s="38"/>
      <c r="AX308" s="38"/>
      <c r="AY308" s="38"/>
      <c r="AZ308" s="38"/>
      <c r="BA308" s="38"/>
      <c r="BB308" s="38"/>
      <c r="BC308" s="38"/>
      <c r="BD308" s="38"/>
      <c r="BE308" s="38"/>
      <c r="BF308" s="38"/>
      <c r="BG308" s="38"/>
      <c r="BH308" s="38"/>
      <c r="BI308" s="38"/>
      <c r="BJ308" s="38"/>
      <c r="BK308" s="38"/>
      <c r="BL308" s="38"/>
      <c r="BM308" s="38"/>
      <c r="BN308" s="38"/>
      <c r="BO308" s="38"/>
      <c r="BP308" s="38"/>
      <c r="BQ308" s="38"/>
      <c r="BR308" s="38"/>
      <c r="BS308" s="38"/>
      <c r="BT308" s="38"/>
      <c r="BU308" s="38"/>
      <c r="BV308" s="38"/>
      <c r="BW308" s="38"/>
      <c r="BX308" s="38"/>
      <c r="BY308" s="38"/>
    </row>
    <row r="309" spans="2:77" x14ac:dyDescent="0.4"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  <c r="AG309" s="38"/>
      <c r="AH309" s="38"/>
      <c r="AI309" s="38"/>
      <c r="AJ309" s="38"/>
      <c r="AK309" s="38"/>
      <c r="AL309" s="38"/>
      <c r="AM309" s="38"/>
      <c r="AN309" s="38"/>
      <c r="AO309" s="38"/>
      <c r="AP309" s="38"/>
      <c r="AQ309" s="38"/>
      <c r="AR309" s="38"/>
      <c r="AS309" s="38"/>
      <c r="AT309" s="38"/>
      <c r="AU309" s="38"/>
      <c r="AV309" s="38"/>
      <c r="AW309" s="38"/>
      <c r="AX309" s="38"/>
      <c r="AY309" s="38"/>
      <c r="AZ309" s="38"/>
      <c r="BA309" s="38"/>
      <c r="BB309" s="38"/>
      <c r="BC309" s="38"/>
      <c r="BD309" s="38"/>
      <c r="BE309" s="38"/>
      <c r="BF309" s="38"/>
      <c r="BG309" s="38"/>
      <c r="BH309" s="38"/>
      <c r="BI309" s="38"/>
      <c r="BJ309" s="38"/>
      <c r="BK309" s="38"/>
      <c r="BL309" s="38"/>
      <c r="BM309" s="38"/>
      <c r="BN309" s="38"/>
      <c r="BO309" s="38"/>
      <c r="BP309" s="38"/>
      <c r="BQ309" s="38"/>
      <c r="BR309" s="38"/>
      <c r="BS309" s="38"/>
      <c r="BT309" s="38"/>
      <c r="BU309" s="38"/>
      <c r="BV309" s="38"/>
      <c r="BW309" s="38"/>
      <c r="BX309" s="38"/>
      <c r="BY309" s="38"/>
    </row>
    <row r="310" spans="2:77" x14ac:dyDescent="0.4"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  <c r="U310" s="38"/>
      <c r="V310" s="38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  <c r="AG310" s="38"/>
      <c r="AH310" s="38"/>
      <c r="AI310" s="38"/>
      <c r="AJ310" s="38"/>
      <c r="AK310" s="38"/>
      <c r="AL310" s="38"/>
      <c r="AM310" s="38"/>
      <c r="AN310" s="38"/>
      <c r="AO310" s="38"/>
      <c r="AP310" s="38"/>
      <c r="AQ310" s="38"/>
      <c r="AR310" s="38"/>
      <c r="AS310" s="38"/>
      <c r="AT310" s="38"/>
      <c r="AU310" s="38"/>
      <c r="AV310" s="38"/>
      <c r="AW310" s="38"/>
      <c r="AX310" s="38"/>
      <c r="AY310" s="38"/>
      <c r="AZ310" s="38"/>
      <c r="BA310" s="38"/>
      <c r="BB310" s="38"/>
      <c r="BC310" s="38"/>
      <c r="BD310" s="38"/>
      <c r="BE310" s="38"/>
      <c r="BF310" s="38"/>
      <c r="BG310" s="38"/>
      <c r="BH310" s="38"/>
      <c r="BI310" s="38"/>
      <c r="BJ310" s="38"/>
      <c r="BK310" s="38"/>
      <c r="BL310" s="38"/>
      <c r="BM310" s="38"/>
      <c r="BN310" s="38"/>
      <c r="BO310" s="38"/>
      <c r="BP310" s="38"/>
      <c r="BQ310" s="38"/>
      <c r="BR310" s="38"/>
      <c r="BS310" s="38"/>
      <c r="BT310" s="38"/>
      <c r="BU310" s="38"/>
      <c r="BV310" s="38"/>
      <c r="BW310" s="38"/>
      <c r="BX310" s="38"/>
      <c r="BY310" s="38"/>
    </row>
    <row r="311" spans="2:77" x14ac:dyDescent="0.4"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8"/>
      <c r="AJ311" s="38"/>
      <c r="AK311" s="38"/>
      <c r="AL311" s="38"/>
      <c r="AM311" s="38"/>
      <c r="AN311" s="38"/>
      <c r="AO311" s="38"/>
      <c r="AP311" s="38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  <c r="BA311" s="38"/>
      <c r="BB311" s="38"/>
      <c r="BC311" s="38"/>
      <c r="BD311" s="38"/>
      <c r="BE311" s="38"/>
      <c r="BF311" s="38"/>
      <c r="BG311" s="38"/>
      <c r="BH311" s="38"/>
      <c r="BI311" s="38"/>
      <c r="BJ311" s="38"/>
      <c r="BK311" s="38"/>
      <c r="BL311" s="38"/>
      <c r="BM311" s="38"/>
      <c r="BN311" s="38"/>
      <c r="BO311" s="38"/>
      <c r="BP311" s="38"/>
      <c r="BQ311" s="38"/>
      <c r="BR311" s="38"/>
      <c r="BS311" s="38"/>
      <c r="BT311" s="38"/>
      <c r="BU311" s="38"/>
      <c r="BV311" s="38"/>
      <c r="BW311" s="38"/>
      <c r="BX311" s="38"/>
      <c r="BY311" s="38"/>
    </row>
    <row r="312" spans="2:77" x14ac:dyDescent="0.4"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8"/>
      <c r="AJ312" s="38"/>
      <c r="AK312" s="38"/>
      <c r="AL312" s="38"/>
      <c r="AM312" s="38"/>
      <c r="AN312" s="38"/>
      <c r="AO312" s="38"/>
      <c r="AP312" s="38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  <c r="BA312" s="38"/>
      <c r="BB312" s="38"/>
      <c r="BC312" s="38"/>
      <c r="BD312" s="38"/>
      <c r="BE312" s="38"/>
      <c r="BF312" s="38"/>
      <c r="BG312" s="38"/>
      <c r="BH312" s="38"/>
      <c r="BI312" s="38"/>
      <c r="BJ312" s="38"/>
      <c r="BK312" s="38"/>
      <c r="BL312" s="38"/>
      <c r="BM312" s="38"/>
      <c r="BN312" s="38"/>
      <c r="BO312" s="38"/>
      <c r="BP312" s="38"/>
      <c r="BQ312" s="38"/>
      <c r="BR312" s="38"/>
      <c r="BS312" s="38"/>
      <c r="BT312" s="38"/>
      <c r="BU312" s="38"/>
      <c r="BV312" s="38"/>
      <c r="BW312" s="38"/>
      <c r="BX312" s="38"/>
      <c r="BY312" s="38"/>
    </row>
    <row r="313" spans="2:77" x14ac:dyDescent="0.4"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8"/>
      <c r="AJ313" s="38"/>
      <c r="AK313" s="38"/>
      <c r="AL313" s="38"/>
      <c r="AM313" s="38"/>
      <c r="AN313" s="38"/>
      <c r="AO313" s="38"/>
      <c r="AP313" s="38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  <c r="BA313" s="38"/>
      <c r="BB313" s="38"/>
      <c r="BC313" s="38"/>
      <c r="BD313" s="38"/>
      <c r="BE313" s="38"/>
      <c r="BF313" s="38"/>
      <c r="BG313" s="38"/>
      <c r="BH313" s="38"/>
      <c r="BI313" s="38"/>
      <c r="BJ313" s="38"/>
      <c r="BK313" s="38"/>
      <c r="BL313" s="38"/>
      <c r="BM313" s="38"/>
      <c r="BN313" s="38"/>
      <c r="BO313" s="38"/>
      <c r="BP313" s="38"/>
      <c r="BQ313" s="38"/>
      <c r="BR313" s="38"/>
      <c r="BS313" s="38"/>
      <c r="BT313" s="38"/>
      <c r="BU313" s="38"/>
      <c r="BV313" s="38"/>
      <c r="BW313" s="38"/>
      <c r="BX313" s="38"/>
      <c r="BY313" s="38"/>
    </row>
    <row r="314" spans="2:77" x14ac:dyDescent="0.4"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8"/>
      <c r="AJ314" s="38"/>
      <c r="AK314" s="38"/>
      <c r="AL314" s="38"/>
      <c r="AM314" s="38"/>
      <c r="AN314" s="38"/>
      <c r="AO314" s="38"/>
      <c r="AP314" s="38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  <c r="BA314" s="38"/>
      <c r="BB314" s="38"/>
      <c r="BC314" s="38"/>
      <c r="BD314" s="38"/>
      <c r="BE314" s="38"/>
      <c r="BF314" s="38"/>
      <c r="BG314" s="38"/>
      <c r="BH314" s="38"/>
      <c r="BI314" s="38"/>
      <c r="BJ314" s="38"/>
      <c r="BK314" s="38"/>
      <c r="BL314" s="38"/>
      <c r="BM314" s="38"/>
      <c r="BN314" s="38"/>
      <c r="BO314" s="38"/>
      <c r="BP314" s="38"/>
      <c r="BQ314" s="38"/>
      <c r="BR314" s="38"/>
      <c r="BS314" s="38"/>
      <c r="BT314" s="38"/>
      <c r="BU314" s="38"/>
      <c r="BV314" s="38"/>
      <c r="BW314" s="38"/>
      <c r="BX314" s="38"/>
      <c r="BY314" s="38"/>
    </row>
    <row r="315" spans="2:77" x14ac:dyDescent="0.4"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8"/>
      <c r="AJ315" s="38"/>
      <c r="AK315" s="38"/>
      <c r="AL315" s="38"/>
      <c r="AM315" s="38"/>
      <c r="AN315" s="38"/>
      <c r="AO315" s="38"/>
      <c r="AP315" s="38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  <c r="BA315" s="38"/>
      <c r="BB315" s="38"/>
      <c r="BC315" s="38"/>
      <c r="BD315" s="38"/>
      <c r="BE315" s="38"/>
      <c r="BF315" s="38"/>
      <c r="BG315" s="38"/>
      <c r="BH315" s="38"/>
      <c r="BI315" s="38"/>
      <c r="BJ315" s="38"/>
      <c r="BK315" s="38"/>
      <c r="BL315" s="38"/>
      <c r="BM315" s="38"/>
      <c r="BN315" s="38"/>
      <c r="BO315" s="38"/>
      <c r="BP315" s="38"/>
      <c r="BQ315" s="38"/>
      <c r="BR315" s="38"/>
      <c r="BS315" s="38"/>
      <c r="BT315" s="38"/>
      <c r="BU315" s="38"/>
      <c r="BV315" s="38"/>
      <c r="BW315" s="38"/>
      <c r="BX315" s="38"/>
      <c r="BY315" s="38"/>
    </row>
    <row r="316" spans="2:77" x14ac:dyDescent="0.4"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8"/>
      <c r="AJ316" s="38"/>
      <c r="AK316" s="38"/>
      <c r="AL316" s="38"/>
      <c r="AM316" s="38"/>
      <c r="AN316" s="38"/>
      <c r="AO316" s="38"/>
      <c r="AP316" s="38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  <c r="BA316" s="38"/>
      <c r="BB316" s="38"/>
      <c r="BC316" s="38"/>
      <c r="BD316" s="38"/>
      <c r="BE316" s="38"/>
      <c r="BF316" s="38"/>
      <c r="BG316" s="38"/>
      <c r="BH316" s="38"/>
      <c r="BI316" s="38"/>
      <c r="BJ316" s="38"/>
      <c r="BK316" s="38"/>
      <c r="BL316" s="38"/>
      <c r="BM316" s="38"/>
      <c r="BN316" s="38"/>
      <c r="BO316" s="38"/>
      <c r="BP316" s="38"/>
      <c r="BQ316" s="38"/>
      <c r="BR316" s="38"/>
      <c r="BS316" s="38"/>
      <c r="BT316" s="38"/>
      <c r="BU316" s="38"/>
      <c r="BV316" s="38"/>
      <c r="BW316" s="38"/>
      <c r="BX316" s="38"/>
      <c r="BY316" s="38"/>
    </row>
    <row r="317" spans="2:77" x14ac:dyDescent="0.4"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8"/>
      <c r="AJ317" s="38"/>
      <c r="AK317" s="38"/>
      <c r="AL317" s="38"/>
      <c r="AM317" s="38"/>
      <c r="AN317" s="38"/>
      <c r="AO317" s="38"/>
      <c r="AP317" s="38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  <c r="BA317" s="38"/>
      <c r="BB317" s="38"/>
      <c r="BC317" s="38"/>
      <c r="BD317" s="38"/>
      <c r="BE317" s="38"/>
      <c r="BF317" s="38"/>
      <c r="BG317" s="38"/>
      <c r="BH317" s="38"/>
      <c r="BI317" s="38"/>
      <c r="BJ317" s="38"/>
      <c r="BK317" s="38"/>
      <c r="BL317" s="38"/>
      <c r="BM317" s="38"/>
      <c r="BN317" s="38"/>
      <c r="BO317" s="38"/>
      <c r="BP317" s="38"/>
      <c r="BQ317" s="38"/>
      <c r="BR317" s="38"/>
      <c r="BS317" s="38"/>
      <c r="BT317" s="38"/>
      <c r="BU317" s="38"/>
      <c r="BV317" s="38"/>
      <c r="BW317" s="38"/>
      <c r="BX317" s="38"/>
      <c r="BY317" s="38"/>
    </row>
    <row r="318" spans="2:77" x14ac:dyDescent="0.4"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8"/>
      <c r="AJ318" s="38"/>
      <c r="AK318" s="38"/>
      <c r="AL318" s="38"/>
      <c r="AM318" s="38"/>
      <c r="AN318" s="38"/>
      <c r="AO318" s="38"/>
      <c r="AP318" s="38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  <c r="BA318" s="38"/>
      <c r="BB318" s="38"/>
      <c r="BC318" s="38"/>
      <c r="BD318" s="38"/>
      <c r="BE318" s="38"/>
      <c r="BF318" s="38"/>
      <c r="BG318" s="38"/>
      <c r="BH318" s="38"/>
      <c r="BI318" s="38"/>
      <c r="BJ318" s="38"/>
      <c r="BK318" s="38"/>
      <c r="BL318" s="38"/>
      <c r="BM318" s="38"/>
      <c r="BN318" s="38"/>
      <c r="BO318" s="38"/>
      <c r="BP318" s="38"/>
      <c r="BQ318" s="38"/>
      <c r="BR318" s="38"/>
      <c r="BS318" s="38"/>
      <c r="BT318" s="38"/>
      <c r="BU318" s="38"/>
      <c r="BV318" s="38"/>
      <c r="BW318" s="38"/>
      <c r="BX318" s="38"/>
      <c r="BY318" s="38"/>
    </row>
    <row r="319" spans="2:77" x14ac:dyDescent="0.4"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8"/>
      <c r="AJ319" s="38"/>
      <c r="AK319" s="38"/>
      <c r="AL319" s="38"/>
      <c r="AM319" s="38"/>
      <c r="AN319" s="38"/>
      <c r="AO319" s="38"/>
      <c r="AP319" s="38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  <c r="BA319" s="38"/>
      <c r="BB319" s="38"/>
      <c r="BC319" s="38"/>
      <c r="BD319" s="38"/>
      <c r="BE319" s="38"/>
      <c r="BF319" s="38"/>
      <c r="BG319" s="38"/>
      <c r="BH319" s="38"/>
      <c r="BI319" s="38"/>
      <c r="BJ319" s="38"/>
      <c r="BK319" s="38"/>
      <c r="BL319" s="38"/>
      <c r="BM319" s="38"/>
      <c r="BN319" s="38"/>
      <c r="BO319" s="38"/>
      <c r="BP319" s="38"/>
      <c r="BQ319" s="38"/>
      <c r="BR319" s="38"/>
      <c r="BS319" s="38"/>
      <c r="BT319" s="38"/>
      <c r="BU319" s="38"/>
      <c r="BV319" s="38"/>
      <c r="BW319" s="38"/>
      <c r="BX319" s="38"/>
      <c r="BY319" s="38"/>
    </row>
    <row r="320" spans="2:77" x14ac:dyDescent="0.4"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8"/>
      <c r="AJ320" s="38"/>
      <c r="AK320" s="38"/>
      <c r="AL320" s="38"/>
      <c r="AM320" s="38"/>
      <c r="AN320" s="38"/>
      <c r="AO320" s="38"/>
      <c r="AP320" s="38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  <c r="BA320" s="38"/>
      <c r="BB320" s="38"/>
      <c r="BC320" s="38"/>
      <c r="BD320" s="38"/>
      <c r="BE320" s="38"/>
      <c r="BF320" s="38"/>
      <c r="BG320" s="38"/>
      <c r="BH320" s="38"/>
      <c r="BI320" s="38"/>
      <c r="BJ320" s="38"/>
      <c r="BK320" s="38"/>
      <c r="BL320" s="38"/>
      <c r="BM320" s="38"/>
      <c r="BN320" s="38"/>
      <c r="BO320" s="38"/>
      <c r="BP320" s="38"/>
      <c r="BQ320" s="38"/>
      <c r="BR320" s="38"/>
      <c r="BS320" s="38"/>
      <c r="BT320" s="38"/>
      <c r="BU320" s="38"/>
      <c r="BV320" s="38"/>
      <c r="BW320" s="38"/>
      <c r="BX320" s="38"/>
      <c r="BY320" s="38"/>
    </row>
    <row r="321" spans="2:77" x14ac:dyDescent="0.4"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8"/>
      <c r="AJ321" s="38"/>
      <c r="AK321" s="38"/>
      <c r="AL321" s="38"/>
      <c r="AM321" s="38"/>
      <c r="AN321" s="38"/>
      <c r="AO321" s="38"/>
      <c r="AP321" s="38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  <c r="BA321" s="38"/>
      <c r="BB321" s="38"/>
      <c r="BC321" s="38"/>
      <c r="BD321" s="38"/>
      <c r="BE321" s="38"/>
      <c r="BF321" s="38"/>
      <c r="BG321" s="38"/>
      <c r="BH321" s="38"/>
      <c r="BI321" s="38"/>
      <c r="BJ321" s="38"/>
      <c r="BK321" s="38"/>
      <c r="BL321" s="38"/>
      <c r="BM321" s="38"/>
      <c r="BN321" s="38"/>
      <c r="BO321" s="38"/>
      <c r="BP321" s="38"/>
      <c r="BQ321" s="38"/>
      <c r="BR321" s="38"/>
      <c r="BS321" s="38"/>
      <c r="BT321" s="38"/>
      <c r="BU321" s="38"/>
      <c r="BV321" s="38"/>
      <c r="BW321" s="38"/>
      <c r="BX321" s="38"/>
      <c r="BY321" s="38"/>
    </row>
    <row r="322" spans="2:77" x14ac:dyDescent="0.4"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8"/>
      <c r="AJ322" s="38"/>
      <c r="AK322" s="38"/>
      <c r="AL322" s="38"/>
      <c r="AM322" s="38"/>
      <c r="AN322" s="38"/>
      <c r="AO322" s="38"/>
      <c r="AP322" s="38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  <c r="BA322" s="38"/>
      <c r="BB322" s="38"/>
      <c r="BC322" s="38"/>
      <c r="BD322" s="38"/>
      <c r="BE322" s="38"/>
      <c r="BF322" s="38"/>
      <c r="BG322" s="38"/>
      <c r="BH322" s="38"/>
      <c r="BI322" s="38"/>
      <c r="BJ322" s="38"/>
      <c r="BK322" s="38"/>
      <c r="BL322" s="38"/>
      <c r="BM322" s="38"/>
      <c r="BN322" s="38"/>
      <c r="BO322" s="38"/>
      <c r="BP322" s="38"/>
      <c r="BQ322" s="38"/>
      <c r="BR322" s="38"/>
      <c r="BS322" s="38"/>
      <c r="BT322" s="38"/>
      <c r="BU322" s="38"/>
      <c r="BV322" s="38"/>
      <c r="BW322" s="38"/>
      <c r="BX322" s="38"/>
      <c r="BY322" s="38"/>
    </row>
    <row r="323" spans="2:77" x14ac:dyDescent="0.4"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8"/>
      <c r="AJ323" s="38"/>
      <c r="AK323" s="38"/>
      <c r="AL323" s="38"/>
      <c r="AM323" s="38"/>
      <c r="AN323" s="38"/>
      <c r="AO323" s="38"/>
      <c r="AP323" s="38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  <c r="BA323" s="38"/>
      <c r="BB323" s="38"/>
      <c r="BC323" s="38"/>
      <c r="BD323" s="38"/>
      <c r="BE323" s="38"/>
      <c r="BF323" s="38"/>
      <c r="BG323" s="38"/>
      <c r="BH323" s="38"/>
      <c r="BI323" s="38"/>
      <c r="BJ323" s="38"/>
      <c r="BK323" s="38"/>
      <c r="BL323" s="38"/>
      <c r="BM323" s="38"/>
      <c r="BN323" s="38"/>
      <c r="BO323" s="38"/>
      <c r="BP323" s="38"/>
      <c r="BQ323" s="38"/>
      <c r="BR323" s="38"/>
      <c r="BS323" s="38"/>
      <c r="BT323" s="38"/>
      <c r="BU323" s="38"/>
      <c r="BV323" s="38"/>
      <c r="BW323" s="38"/>
      <c r="BX323" s="38"/>
      <c r="BY323" s="38"/>
    </row>
    <row r="324" spans="2:77" x14ac:dyDescent="0.4"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8"/>
      <c r="AJ324" s="38"/>
      <c r="AK324" s="38"/>
      <c r="AL324" s="38"/>
      <c r="AM324" s="38"/>
      <c r="AN324" s="38"/>
      <c r="AO324" s="38"/>
      <c r="AP324" s="38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  <c r="BA324" s="38"/>
      <c r="BB324" s="38"/>
      <c r="BC324" s="38"/>
      <c r="BD324" s="38"/>
      <c r="BE324" s="38"/>
      <c r="BF324" s="38"/>
      <c r="BG324" s="38"/>
      <c r="BH324" s="38"/>
      <c r="BI324" s="38"/>
      <c r="BJ324" s="38"/>
      <c r="BK324" s="38"/>
      <c r="BL324" s="38"/>
      <c r="BM324" s="38"/>
      <c r="BN324" s="38"/>
      <c r="BO324" s="38"/>
      <c r="BP324" s="38"/>
      <c r="BQ324" s="38"/>
      <c r="BR324" s="38"/>
      <c r="BS324" s="38"/>
      <c r="BT324" s="38"/>
      <c r="BU324" s="38"/>
      <c r="BV324" s="38"/>
      <c r="BW324" s="38"/>
      <c r="BX324" s="38"/>
      <c r="BY324" s="38"/>
    </row>
    <row r="325" spans="2:77" x14ac:dyDescent="0.4"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8"/>
      <c r="AJ325" s="38"/>
      <c r="AK325" s="38"/>
      <c r="AL325" s="38"/>
      <c r="AM325" s="38"/>
      <c r="AN325" s="38"/>
      <c r="AO325" s="38"/>
      <c r="AP325" s="38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  <c r="BA325" s="38"/>
      <c r="BB325" s="38"/>
      <c r="BC325" s="38"/>
      <c r="BD325" s="38"/>
      <c r="BE325" s="38"/>
      <c r="BF325" s="38"/>
      <c r="BG325" s="38"/>
      <c r="BH325" s="38"/>
      <c r="BI325" s="38"/>
      <c r="BJ325" s="38"/>
      <c r="BK325" s="38"/>
      <c r="BL325" s="38"/>
      <c r="BM325" s="38"/>
      <c r="BN325" s="38"/>
      <c r="BO325" s="38"/>
      <c r="BP325" s="38"/>
      <c r="BQ325" s="38"/>
      <c r="BR325" s="38"/>
      <c r="BS325" s="38"/>
      <c r="BT325" s="38"/>
      <c r="BU325" s="38"/>
      <c r="BV325" s="38"/>
      <c r="BW325" s="38"/>
      <c r="BX325" s="38"/>
      <c r="BY325" s="38"/>
    </row>
    <row r="326" spans="2:77" x14ac:dyDescent="0.4"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8"/>
      <c r="AJ326" s="38"/>
      <c r="AK326" s="38"/>
      <c r="AL326" s="38"/>
      <c r="AM326" s="38"/>
      <c r="AN326" s="38"/>
      <c r="AO326" s="38"/>
      <c r="AP326" s="38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  <c r="BA326" s="38"/>
      <c r="BB326" s="38"/>
      <c r="BC326" s="38"/>
      <c r="BD326" s="38"/>
      <c r="BE326" s="38"/>
      <c r="BF326" s="38"/>
      <c r="BG326" s="38"/>
      <c r="BH326" s="38"/>
      <c r="BI326" s="38"/>
      <c r="BJ326" s="38"/>
      <c r="BK326" s="38"/>
      <c r="BL326" s="38"/>
      <c r="BM326" s="38"/>
      <c r="BN326" s="38"/>
      <c r="BO326" s="38"/>
      <c r="BP326" s="38"/>
      <c r="BQ326" s="38"/>
      <c r="BR326" s="38"/>
      <c r="BS326" s="38"/>
      <c r="BT326" s="38"/>
      <c r="BU326" s="38"/>
      <c r="BV326" s="38"/>
      <c r="BW326" s="38"/>
      <c r="BX326" s="38"/>
      <c r="BY326" s="38"/>
    </row>
    <row r="327" spans="2:77" x14ac:dyDescent="0.4"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8"/>
      <c r="AJ327" s="38"/>
      <c r="AK327" s="38"/>
      <c r="AL327" s="38"/>
      <c r="AM327" s="38"/>
      <c r="AN327" s="38"/>
      <c r="AO327" s="38"/>
      <c r="AP327" s="38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  <c r="BA327" s="38"/>
      <c r="BB327" s="38"/>
      <c r="BC327" s="38"/>
      <c r="BD327" s="38"/>
      <c r="BE327" s="38"/>
      <c r="BF327" s="38"/>
      <c r="BG327" s="38"/>
      <c r="BH327" s="38"/>
      <c r="BI327" s="38"/>
      <c r="BJ327" s="38"/>
      <c r="BK327" s="38"/>
      <c r="BL327" s="38"/>
      <c r="BM327" s="38"/>
      <c r="BN327" s="38"/>
      <c r="BO327" s="38"/>
      <c r="BP327" s="38"/>
      <c r="BQ327" s="38"/>
      <c r="BR327" s="38"/>
      <c r="BS327" s="38"/>
      <c r="BT327" s="38"/>
      <c r="BU327" s="38"/>
      <c r="BV327" s="38"/>
      <c r="BW327" s="38"/>
      <c r="BX327" s="38"/>
      <c r="BY327" s="38"/>
    </row>
    <row r="328" spans="2:77" x14ac:dyDescent="0.4"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8"/>
      <c r="AJ328" s="38"/>
      <c r="AK328" s="38"/>
      <c r="AL328" s="38"/>
      <c r="AM328" s="38"/>
      <c r="AN328" s="38"/>
      <c r="AO328" s="38"/>
      <c r="AP328" s="38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  <c r="BA328" s="38"/>
      <c r="BB328" s="38"/>
      <c r="BC328" s="38"/>
      <c r="BD328" s="38"/>
      <c r="BE328" s="38"/>
      <c r="BF328" s="38"/>
      <c r="BG328" s="38"/>
      <c r="BH328" s="38"/>
      <c r="BI328" s="38"/>
      <c r="BJ328" s="38"/>
      <c r="BK328" s="38"/>
      <c r="BL328" s="38"/>
      <c r="BM328" s="38"/>
      <c r="BN328" s="38"/>
      <c r="BO328" s="38"/>
      <c r="BP328" s="38"/>
      <c r="BQ328" s="38"/>
      <c r="BR328" s="38"/>
      <c r="BS328" s="38"/>
      <c r="BT328" s="38"/>
      <c r="BU328" s="38"/>
      <c r="BV328" s="38"/>
      <c r="BW328" s="38"/>
      <c r="BX328" s="38"/>
      <c r="BY328" s="38"/>
    </row>
    <row r="329" spans="2:77" x14ac:dyDescent="0.4"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8"/>
      <c r="AJ329" s="38"/>
      <c r="AK329" s="38"/>
      <c r="AL329" s="38"/>
      <c r="AM329" s="38"/>
      <c r="AN329" s="38"/>
      <c r="AO329" s="38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  <c r="BA329" s="38"/>
      <c r="BB329" s="38"/>
      <c r="BC329" s="38"/>
      <c r="BD329" s="38"/>
      <c r="BE329" s="38"/>
      <c r="BF329" s="38"/>
      <c r="BG329" s="38"/>
      <c r="BH329" s="38"/>
      <c r="BI329" s="38"/>
      <c r="BJ329" s="38"/>
      <c r="BK329" s="38"/>
      <c r="BL329" s="38"/>
      <c r="BM329" s="38"/>
      <c r="BN329" s="38"/>
      <c r="BO329" s="38"/>
      <c r="BP329" s="38"/>
      <c r="BQ329" s="38"/>
      <c r="BR329" s="38"/>
      <c r="BS329" s="38"/>
      <c r="BT329" s="38"/>
      <c r="BU329" s="38"/>
      <c r="BV329" s="38"/>
      <c r="BW329" s="38"/>
      <c r="BX329" s="38"/>
      <c r="BY329" s="38"/>
    </row>
    <row r="330" spans="2:77" x14ac:dyDescent="0.4"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8"/>
      <c r="AJ330" s="38"/>
      <c r="AK330" s="38"/>
      <c r="AL330" s="38"/>
      <c r="AM330" s="38"/>
      <c r="AN330" s="38"/>
      <c r="AO330" s="38"/>
      <c r="AP330" s="38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  <c r="BA330" s="38"/>
      <c r="BB330" s="38"/>
      <c r="BC330" s="38"/>
      <c r="BD330" s="38"/>
      <c r="BE330" s="38"/>
      <c r="BF330" s="38"/>
      <c r="BG330" s="38"/>
      <c r="BH330" s="38"/>
      <c r="BI330" s="38"/>
      <c r="BJ330" s="38"/>
      <c r="BK330" s="38"/>
      <c r="BL330" s="38"/>
      <c r="BM330" s="38"/>
      <c r="BN330" s="38"/>
      <c r="BO330" s="38"/>
      <c r="BP330" s="38"/>
      <c r="BQ330" s="38"/>
      <c r="BR330" s="38"/>
      <c r="BS330" s="38"/>
      <c r="BT330" s="38"/>
      <c r="BU330" s="38"/>
      <c r="BV330" s="38"/>
      <c r="BW330" s="38"/>
      <c r="BX330" s="38"/>
      <c r="BY330" s="38"/>
    </row>
    <row r="331" spans="2:77" x14ac:dyDescent="0.4"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8"/>
      <c r="AJ331" s="38"/>
      <c r="AK331" s="38"/>
      <c r="AL331" s="38"/>
      <c r="AM331" s="38"/>
      <c r="AN331" s="38"/>
      <c r="AO331" s="38"/>
      <c r="AP331" s="38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  <c r="BA331" s="38"/>
      <c r="BB331" s="38"/>
      <c r="BC331" s="38"/>
      <c r="BD331" s="38"/>
      <c r="BE331" s="38"/>
      <c r="BF331" s="38"/>
      <c r="BG331" s="38"/>
      <c r="BH331" s="38"/>
      <c r="BI331" s="38"/>
      <c r="BJ331" s="38"/>
      <c r="BK331" s="38"/>
      <c r="BL331" s="38"/>
      <c r="BM331" s="38"/>
      <c r="BN331" s="38"/>
      <c r="BO331" s="38"/>
      <c r="BP331" s="38"/>
      <c r="BQ331" s="38"/>
      <c r="BR331" s="38"/>
      <c r="BS331" s="38"/>
      <c r="BT331" s="38"/>
      <c r="BU331" s="38"/>
      <c r="BV331" s="38"/>
      <c r="BW331" s="38"/>
      <c r="BX331" s="38"/>
      <c r="BY331" s="38"/>
    </row>
    <row r="332" spans="2:77" x14ac:dyDescent="0.4"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8"/>
      <c r="AJ332" s="38"/>
      <c r="AK332" s="38"/>
      <c r="AL332" s="38"/>
      <c r="AM332" s="38"/>
      <c r="AN332" s="38"/>
      <c r="AO332" s="38"/>
      <c r="AP332" s="38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  <c r="BA332" s="38"/>
      <c r="BB332" s="38"/>
      <c r="BC332" s="38"/>
      <c r="BD332" s="38"/>
      <c r="BE332" s="38"/>
      <c r="BF332" s="38"/>
      <c r="BG332" s="38"/>
      <c r="BH332" s="38"/>
      <c r="BI332" s="38"/>
      <c r="BJ332" s="38"/>
      <c r="BK332" s="38"/>
      <c r="BL332" s="38"/>
      <c r="BM332" s="38"/>
      <c r="BN332" s="38"/>
      <c r="BO332" s="38"/>
      <c r="BP332" s="38"/>
      <c r="BQ332" s="38"/>
      <c r="BR332" s="38"/>
      <c r="BS332" s="38"/>
      <c r="BT332" s="38"/>
      <c r="BU332" s="38"/>
      <c r="BV332" s="38"/>
      <c r="BW332" s="38"/>
      <c r="BX332" s="38"/>
      <c r="BY332" s="38"/>
    </row>
    <row r="333" spans="2:77" x14ac:dyDescent="0.4"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8"/>
      <c r="AJ333" s="38"/>
      <c r="AK333" s="38"/>
      <c r="AL333" s="38"/>
      <c r="AM333" s="38"/>
      <c r="AN333" s="38"/>
      <c r="AO333" s="38"/>
      <c r="AP333" s="38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  <c r="BA333" s="38"/>
      <c r="BB333" s="38"/>
      <c r="BC333" s="38"/>
      <c r="BD333" s="38"/>
      <c r="BE333" s="38"/>
      <c r="BF333" s="38"/>
      <c r="BG333" s="38"/>
      <c r="BH333" s="38"/>
      <c r="BI333" s="38"/>
      <c r="BJ333" s="38"/>
      <c r="BK333" s="38"/>
      <c r="BL333" s="38"/>
      <c r="BM333" s="38"/>
      <c r="BN333" s="38"/>
      <c r="BO333" s="38"/>
      <c r="BP333" s="38"/>
      <c r="BQ333" s="38"/>
      <c r="BR333" s="38"/>
      <c r="BS333" s="38"/>
      <c r="BT333" s="38"/>
      <c r="BU333" s="38"/>
      <c r="BV333" s="38"/>
      <c r="BW333" s="38"/>
      <c r="BX333" s="38"/>
      <c r="BY333" s="38"/>
    </row>
    <row r="334" spans="2:77" x14ac:dyDescent="0.4"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8"/>
      <c r="AJ334" s="38"/>
      <c r="AK334" s="38"/>
      <c r="AL334" s="38"/>
      <c r="AM334" s="38"/>
      <c r="AN334" s="38"/>
      <c r="AO334" s="38"/>
      <c r="AP334" s="38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  <c r="BA334" s="38"/>
      <c r="BB334" s="38"/>
      <c r="BC334" s="38"/>
      <c r="BD334" s="38"/>
      <c r="BE334" s="38"/>
      <c r="BF334" s="38"/>
      <c r="BG334" s="38"/>
      <c r="BH334" s="38"/>
      <c r="BI334" s="38"/>
      <c r="BJ334" s="38"/>
      <c r="BK334" s="38"/>
      <c r="BL334" s="38"/>
      <c r="BM334" s="38"/>
      <c r="BN334" s="38"/>
      <c r="BO334" s="38"/>
      <c r="BP334" s="38"/>
      <c r="BQ334" s="38"/>
      <c r="BR334" s="38"/>
      <c r="BS334" s="38"/>
      <c r="BT334" s="38"/>
      <c r="BU334" s="38"/>
      <c r="BV334" s="38"/>
      <c r="BW334" s="38"/>
      <c r="BX334" s="38"/>
      <c r="BY334" s="38"/>
    </row>
    <row r="335" spans="2:77" x14ac:dyDescent="0.4"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8"/>
      <c r="AJ335" s="38"/>
      <c r="AK335" s="38"/>
      <c r="AL335" s="38"/>
      <c r="AM335" s="38"/>
      <c r="AN335" s="38"/>
      <c r="AO335" s="38"/>
      <c r="AP335" s="38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  <c r="BA335" s="38"/>
      <c r="BB335" s="38"/>
      <c r="BC335" s="38"/>
      <c r="BD335" s="38"/>
      <c r="BE335" s="38"/>
      <c r="BF335" s="38"/>
      <c r="BG335" s="38"/>
      <c r="BH335" s="38"/>
      <c r="BI335" s="38"/>
      <c r="BJ335" s="38"/>
      <c r="BK335" s="38"/>
      <c r="BL335" s="38"/>
      <c r="BM335" s="38"/>
      <c r="BN335" s="38"/>
      <c r="BO335" s="38"/>
      <c r="BP335" s="38"/>
      <c r="BQ335" s="38"/>
      <c r="BR335" s="38"/>
      <c r="BS335" s="38"/>
      <c r="BT335" s="38"/>
      <c r="BU335" s="38"/>
      <c r="BV335" s="38"/>
      <c r="BW335" s="38"/>
      <c r="BX335" s="38"/>
      <c r="BY335" s="38"/>
    </row>
    <row r="336" spans="2:77" x14ac:dyDescent="0.4"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8"/>
      <c r="AJ336" s="38"/>
      <c r="AK336" s="38"/>
      <c r="AL336" s="38"/>
      <c r="AM336" s="38"/>
      <c r="AN336" s="38"/>
      <c r="AO336" s="38"/>
      <c r="AP336" s="38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  <c r="BA336" s="38"/>
      <c r="BB336" s="38"/>
      <c r="BC336" s="38"/>
      <c r="BD336" s="38"/>
      <c r="BE336" s="38"/>
      <c r="BF336" s="38"/>
      <c r="BG336" s="38"/>
      <c r="BH336" s="38"/>
      <c r="BI336" s="38"/>
      <c r="BJ336" s="38"/>
      <c r="BK336" s="38"/>
      <c r="BL336" s="38"/>
      <c r="BM336" s="38"/>
      <c r="BN336" s="38"/>
      <c r="BO336" s="38"/>
      <c r="BP336" s="38"/>
      <c r="BQ336" s="38"/>
      <c r="BR336" s="38"/>
      <c r="BS336" s="38"/>
      <c r="BT336" s="38"/>
      <c r="BU336" s="38"/>
      <c r="BV336" s="38"/>
      <c r="BW336" s="38"/>
      <c r="BX336" s="38"/>
      <c r="BY336" s="38"/>
    </row>
    <row r="337" spans="2:77" x14ac:dyDescent="0.4"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8"/>
      <c r="AJ337" s="38"/>
      <c r="AK337" s="38"/>
      <c r="AL337" s="38"/>
      <c r="AM337" s="38"/>
      <c r="AN337" s="38"/>
      <c r="AO337" s="38"/>
      <c r="AP337" s="38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  <c r="BA337" s="38"/>
      <c r="BB337" s="38"/>
      <c r="BC337" s="38"/>
      <c r="BD337" s="38"/>
      <c r="BE337" s="38"/>
      <c r="BF337" s="38"/>
      <c r="BG337" s="38"/>
      <c r="BH337" s="38"/>
      <c r="BI337" s="38"/>
      <c r="BJ337" s="38"/>
      <c r="BK337" s="38"/>
      <c r="BL337" s="38"/>
      <c r="BM337" s="38"/>
      <c r="BN337" s="38"/>
      <c r="BO337" s="38"/>
      <c r="BP337" s="38"/>
      <c r="BQ337" s="38"/>
      <c r="BR337" s="38"/>
      <c r="BS337" s="38"/>
      <c r="BT337" s="38"/>
      <c r="BU337" s="38"/>
      <c r="BV337" s="38"/>
      <c r="BW337" s="38"/>
      <c r="BX337" s="38"/>
      <c r="BY337" s="38"/>
    </row>
    <row r="338" spans="2:77" x14ac:dyDescent="0.4"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8"/>
      <c r="AJ338" s="38"/>
      <c r="AK338" s="38"/>
      <c r="AL338" s="38"/>
      <c r="AM338" s="38"/>
      <c r="AN338" s="38"/>
      <c r="AO338" s="38"/>
      <c r="AP338" s="38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  <c r="BA338" s="38"/>
      <c r="BB338" s="38"/>
      <c r="BC338" s="38"/>
      <c r="BD338" s="38"/>
      <c r="BE338" s="38"/>
      <c r="BF338" s="38"/>
      <c r="BG338" s="38"/>
      <c r="BH338" s="38"/>
      <c r="BI338" s="38"/>
      <c r="BJ338" s="38"/>
      <c r="BK338" s="38"/>
      <c r="BL338" s="38"/>
      <c r="BM338" s="38"/>
      <c r="BN338" s="38"/>
      <c r="BO338" s="38"/>
      <c r="BP338" s="38"/>
      <c r="BQ338" s="38"/>
      <c r="BR338" s="38"/>
      <c r="BS338" s="38"/>
      <c r="BT338" s="38"/>
      <c r="BU338" s="38"/>
      <c r="BV338" s="38"/>
      <c r="BW338" s="38"/>
      <c r="BX338" s="38"/>
      <c r="BY338" s="38"/>
    </row>
    <row r="339" spans="2:77" x14ac:dyDescent="0.4"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8"/>
      <c r="AJ339" s="38"/>
      <c r="AK339" s="38"/>
      <c r="AL339" s="38"/>
      <c r="AM339" s="38"/>
      <c r="AN339" s="38"/>
      <c r="AO339" s="38"/>
      <c r="AP339" s="38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  <c r="BA339" s="38"/>
      <c r="BB339" s="38"/>
      <c r="BC339" s="38"/>
      <c r="BD339" s="38"/>
      <c r="BE339" s="38"/>
      <c r="BF339" s="38"/>
      <c r="BG339" s="38"/>
      <c r="BH339" s="38"/>
      <c r="BI339" s="38"/>
      <c r="BJ339" s="38"/>
      <c r="BK339" s="38"/>
      <c r="BL339" s="38"/>
      <c r="BM339" s="38"/>
      <c r="BN339" s="38"/>
      <c r="BO339" s="38"/>
      <c r="BP339" s="38"/>
      <c r="BQ339" s="38"/>
      <c r="BR339" s="38"/>
      <c r="BS339" s="38"/>
      <c r="BT339" s="38"/>
      <c r="BU339" s="38"/>
      <c r="BV339" s="38"/>
      <c r="BW339" s="38"/>
      <c r="BX339" s="38"/>
      <c r="BY339" s="38"/>
    </row>
    <row r="340" spans="2:77" x14ac:dyDescent="0.4"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8"/>
      <c r="AJ340" s="38"/>
      <c r="AK340" s="38"/>
      <c r="AL340" s="38"/>
      <c r="AM340" s="38"/>
      <c r="AN340" s="38"/>
      <c r="AO340" s="38"/>
      <c r="AP340" s="38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  <c r="BA340" s="38"/>
      <c r="BB340" s="38"/>
      <c r="BC340" s="38"/>
      <c r="BD340" s="38"/>
      <c r="BE340" s="38"/>
      <c r="BF340" s="38"/>
      <c r="BG340" s="38"/>
      <c r="BH340" s="38"/>
      <c r="BI340" s="38"/>
      <c r="BJ340" s="38"/>
      <c r="BK340" s="38"/>
      <c r="BL340" s="38"/>
      <c r="BM340" s="38"/>
      <c r="BN340" s="38"/>
      <c r="BO340" s="38"/>
      <c r="BP340" s="38"/>
      <c r="BQ340" s="38"/>
      <c r="BR340" s="38"/>
      <c r="BS340" s="38"/>
      <c r="BT340" s="38"/>
      <c r="BU340" s="38"/>
      <c r="BV340" s="38"/>
      <c r="BW340" s="38"/>
      <c r="BX340" s="38"/>
      <c r="BY340" s="38"/>
    </row>
    <row r="341" spans="2:77" x14ac:dyDescent="0.4"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8"/>
      <c r="AJ341" s="38"/>
      <c r="AK341" s="38"/>
      <c r="AL341" s="38"/>
      <c r="AM341" s="38"/>
      <c r="AN341" s="38"/>
      <c r="AO341" s="38"/>
      <c r="AP341" s="38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  <c r="BA341" s="38"/>
      <c r="BB341" s="38"/>
      <c r="BC341" s="38"/>
      <c r="BD341" s="38"/>
      <c r="BE341" s="38"/>
      <c r="BF341" s="38"/>
      <c r="BG341" s="38"/>
      <c r="BH341" s="38"/>
      <c r="BI341" s="38"/>
      <c r="BJ341" s="38"/>
      <c r="BK341" s="38"/>
      <c r="BL341" s="38"/>
      <c r="BM341" s="38"/>
      <c r="BN341" s="38"/>
      <c r="BO341" s="38"/>
      <c r="BP341" s="38"/>
      <c r="BQ341" s="38"/>
      <c r="BR341" s="38"/>
      <c r="BS341" s="38"/>
      <c r="BT341" s="38"/>
      <c r="BU341" s="38"/>
      <c r="BV341" s="38"/>
      <c r="BW341" s="38"/>
      <c r="BX341" s="38"/>
      <c r="BY341" s="38"/>
    </row>
    <row r="342" spans="2:77" x14ac:dyDescent="0.4"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8"/>
      <c r="AJ342" s="38"/>
      <c r="AK342" s="38"/>
      <c r="AL342" s="38"/>
      <c r="AM342" s="38"/>
      <c r="AN342" s="38"/>
      <c r="AO342" s="38"/>
      <c r="AP342" s="38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  <c r="BA342" s="38"/>
      <c r="BB342" s="38"/>
      <c r="BC342" s="38"/>
      <c r="BD342" s="38"/>
      <c r="BE342" s="38"/>
      <c r="BF342" s="38"/>
      <c r="BG342" s="38"/>
      <c r="BH342" s="38"/>
      <c r="BI342" s="38"/>
      <c r="BJ342" s="38"/>
      <c r="BK342" s="38"/>
      <c r="BL342" s="38"/>
      <c r="BM342" s="38"/>
      <c r="BN342" s="38"/>
      <c r="BO342" s="38"/>
      <c r="BP342" s="38"/>
      <c r="BQ342" s="38"/>
      <c r="BR342" s="38"/>
      <c r="BS342" s="38"/>
      <c r="BT342" s="38"/>
      <c r="BU342" s="38"/>
      <c r="BV342" s="38"/>
      <c r="BW342" s="38"/>
      <c r="BX342" s="38"/>
      <c r="BY342" s="38"/>
    </row>
    <row r="343" spans="2:77" x14ac:dyDescent="0.4"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8"/>
      <c r="AJ343" s="38"/>
      <c r="AK343" s="38"/>
      <c r="AL343" s="38"/>
      <c r="AM343" s="38"/>
      <c r="AN343" s="38"/>
      <c r="AO343" s="38"/>
      <c r="AP343" s="38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  <c r="BA343" s="38"/>
      <c r="BB343" s="38"/>
      <c r="BC343" s="38"/>
      <c r="BD343" s="38"/>
      <c r="BE343" s="38"/>
      <c r="BF343" s="38"/>
      <c r="BG343" s="38"/>
      <c r="BH343" s="38"/>
      <c r="BI343" s="38"/>
      <c r="BJ343" s="38"/>
      <c r="BK343" s="38"/>
      <c r="BL343" s="38"/>
      <c r="BM343" s="38"/>
      <c r="BN343" s="38"/>
      <c r="BO343" s="38"/>
      <c r="BP343" s="38"/>
      <c r="BQ343" s="38"/>
      <c r="BR343" s="38"/>
      <c r="BS343" s="38"/>
      <c r="BT343" s="38"/>
      <c r="BU343" s="38"/>
      <c r="BV343" s="38"/>
      <c r="BW343" s="38"/>
      <c r="BX343" s="38"/>
      <c r="BY343" s="38"/>
    </row>
    <row r="344" spans="2:77" x14ac:dyDescent="0.4"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8"/>
      <c r="AJ344" s="38"/>
      <c r="AK344" s="38"/>
      <c r="AL344" s="38"/>
      <c r="AM344" s="38"/>
      <c r="AN344" s="38"/>
      <c r="AO344" s="38"/>
      <c r="AP344" s="38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  <c r="BA344" s="38"/>
      <c r="BB344" s="38"/>
      <c r="BC344" s="38"/>
      <c r="BD344" s="38"/>
      <c r="BE344" s="38"/>
      <c r="BF344" s="38"/>
      <c r="BG344" s="38"/>
      <c r="BH344" s="38"/>
      <c r="BI344" s="38"/>
      <c r="BJ344" s="38"/>
      <c r="BK344" s="38"/>
      <c r="BL344" s="38"/>
      <c r="BM344" s="38"/>
      <c r="BN344" s="38"/>
      <c r="BO344" s="38"/>
      <c r="BP344" s="38"/>
      <c r="BQ344" s="38"/>
      <c r="BR344" s="38"/>
      <c r="BS344" s="38"/>
      <c r="BT344" s="38"/>
      <c r="BU344" s="38"/>
      <c r="BV344" s="38"/>
      <c r="BW344" s="38"/>
      <c r="BX344" s="38"/>
      <c r="BY344" s="38"/>
    </row>
    <row r="345" spans="2:77" x14ac:dyDescent="0.4"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38"/>
      <c r="AN345" s="38"/>
      <c r="AO345" s="38"/>
      <c r="AP345" s="38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  <c r="BA345" s="38"/>
      <c r="BB345" s="38"/>
      <c r="BC345" s="38"/>
      <c r="BD345" s="38"/>
      <c r="BE345" s="38"/>
      <c r="BF345" s="38"/>
      <c r="BG345" s="38"/>
      <c r="BH345" s="38"/>
      <c r="BI345" s="38"/>
      <c r="BJ345" s="38"/>
      <c r="BK345" s="38"/>
      <c r="BL345" s="38"/>
      <c r="BM345" s="38"/>
      <c r="BN345" s="38"/>
      <c r="BO345" s="38"/>
      <c r="BP345" s="38"/>
      <c r="BQ345" s="38"/>
      <c r="BR345" s="38"/>
      <c r="BS345" s="38"/>
      <c r="BT345" s="38"/>
      <c r="BU345" s="38"/>
      <c r="BV345" s="38"/>
      <c r="BW345" s="38"/>
      <c r="BX345" s="38"/>
      <c r="BY345" s="38"/>
    </row>
    <row r="346" spans="2:77" x14ac:dyDescent="0.4"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8"/>
      <c r="AJ346" s="38"/>
      <c r="AK346" s="38"/>
      <c r="AL346" s="38"/>
      <c r="AM346" s="38"/>
      <c r="AN346" s="38"/>
      <c r="AO346" s="38"/>
      <c r="AP346" s="38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  <c r="BA346" s="38"/>
      <c r="BB346" s="38"/>
      <c r="BC346" s="38"/>
      <c r="BD346" s="38"/>
      <c r="BE346" s="38"/>
      <c r="BF346" s="38"/>
      <c r="BG346" s="38"/>
      <c r="BH346" s="38"/>
      <c r="BI346" s="38"/>
      <c r="BJ346" s="38"/>
      <c r="BK346" s="38"/>
      <c r="BL346" s="38"/>
      <c r="BM346" s="38"/>
      <c r="BN346" s="38"/>
      <c r="BO346" s="38"/>
      <c r="BP346" s="38"/>
      <c r="BQ346" s="38"/>
      <c r="BR346" s="38"/>
      <c r="BS346" s="38"/>
      <c r="BT346" s="38"/>
      <c r="BU346" s="38"/>
      <c r="BV346" s="38"/>
      <c r="BW346" s="38"/>
      <c r="BX346" s="38"/>
      <c r="BY346" s="38"/>
    </row>
    <row r="347" spans="2:77" x14ac:dyDescent="0.4"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8"/>
      <c r="AJ347" s="38"/>
      <c r="AK347" s="38"/>
      <c r="AL347" s="38"/>
      <c r="AM347" s="38"/>
      <c r="AN347" s="38"/>
      <c r="AO347" s="38"/>
      <c r="AP347" s="38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  <c r="BA347" s="38"/>
      <c r="BB347" s="38"/>
      <c r="BC347" s="38"/>
      <c r="BD347" s="38"/>
      <c r="BE347" s="38"/>
      <c r="BF347" s="38"/>
      <c r="BG347" s="38"/>
      <c r="BH347" s="38"/>
      <c r="BI347" s="38"/>
      <c r="BJ347" s="38"/>
      <c r="BK347" s="38"/>
      <c r="BL347" s="38"/>
      <c r="BM347" s="38"/>
      <c r="BN347" s="38"/>
      <c r="BO347" s="38"/>
      <c r="BP347" s="38"/>
      <c r="BQ347" s="38"/>
      <c r="BR347" s="38"/>
      <c r="BS347" s="38"/>
      <c r="BT347" s="38"/>
      <c r="BU347" s="38"/>
      <c r="BV347" s="38"/>
      <c r="BW347" s="38"/>
      <c r="BX347" s="38"/>
      <c r="BY347" s="38"/>
    </row>
    <row r="348" spans="2:77" x14ac:dyDescent="0.4"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8"/>
      <c r="AJ348" s="38"/>
      <c r="AK348" s="38"/>
      <c r="AL348" s="38"/>
      <c r="AM348" s="38"/>
      <c r="AN348" s="38"/>
      <c r="AO348" s="38"/>
      <c r="AP348" s="38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  <c r="BA348" s="38"/>
      <c r="BB348" s="38"/>
      <c r="BC348" s="38"/>
      <c r="BD348" s="38"/>
      <c r="BE348" s="38"/>
      <c r="BF348" s="38"/>
      <c r="BG348" s="38"/>
      <c r="BH348" s="38"/>
      <c r="BI348" s="38"/>
      <c r="BJ348" s="38"/>
      <c r="BK348" s="38"/>
      <c r="BL348" s="38"/>
      <c r="BM348" s="38"/>
      <c r="BN348" s="38"/>
      <c r="BO348" s="38"/>
      <c r="BP348" s="38"/>
      <c r="BQ348" s="38"/>
      <c r="BR348" s="38"/>
      <c r="BS348" s="38"/>
      <c r="BT348" s="38"/>
      <c r="BU348" s="38"/>
      <c r="BV348" s="38"/>
      <c r="BW348" s="38"/>
      <c r="BX348" s="38"/>
      <c r="BY348" s="38"/>
    </row>
    <row r="349" spans="2:77" x14ac:dyDescent="0.4"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8"/>
      <c r="AJ349" s="38"/>
      <c r="AK349" s="38"/>
      <c r="AL349" s="38"/>
      <c r="AM349" s="38"/>
      <c r="AN349" s="38"/>
      <c r="AO349" s="38"/>
      <c r="AP349" s="38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  <c r="BA349" s="38"/>
      <c r="BB349" s="38"/>
      <c r="BC349" s="38"/>
      <c r="BD349" s="38"/>
      <c r="BE349" s="38"/>
      <c r="BF349" s="38"/>
      <c r="BG349" s="38"/>
      <c r="BH349" s="38"/>
      <c r="BI349" s="38"/>
      <c r="BJ349" s="38"/>
      <c r="BK349" s="38"/>
      <c r="BL349" s="38"/>
      <c r="BM349" s="38"/>
      <c r="BN349" s="38"/>
      <c r="BO349" s="38"/>
      <c r="BP349" s="38"/>
      <c r="BQ349" s="38"/>
      <c r="BR349" s="38"/>
      <c r="BS349" s="38"/>
      <c r="BT349" s="38"/>
      <c r="BU349" s="38"/>
      <c r="BV349" s="38"/>
      <c r="BW349" s="38"/>
      <c r="BX349" s="38"/>
      <c r="BY349" s="38"/>
    </row>
    <row r="350" spans="2:77" x14ac:dyDescent="0.4"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8"/>
      <c r="AJ350" s="38"/>
      <c r="AK350" s="38"/>
      <c r="AL350" s="38"/>
      <c r="AM350" s="38"/>
      <c r="AN350" s="38"/>
      <c r="AO350" s="38"/>
      <c r="AP350" s="38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  <c r="BA350" s="38"/>
      <c r="BB350" s="38"/>
      <c r="BC350" s="38"/>
      <c r="BD350" s="38"/>
      <c r="BE350" s="38"/>
      <c r="BF350" s="38"/>
      <c r="BG350" s="38"/>
      <c r="BH350" s="38"/>
      <c r="BI350" s="38"/>
      <c r="BJ350" s="38"/>
      <c r="BK350" s="38"/>
      <c r="BL350" s="38"/>
      <c r="BM350" s="38"/>
      <c r="BN350" s="38"/>
      <c r="BO350" s="38"/>
      <c r="BP350" s="38"/>
      <c r="BQ350" s="38"/>
      <c r="BR350" s="38"/>
      <c r="BS350" s="38"/>
      <c r="BT350" s="38"/>
      <c r="BU350" s="38"/>
      <c r="BV350" s="38"/>
      <c r="BW350" s="38"/>
      <c r="BX350" s="38"/>
      <c r="BY350" s="38"/>
    </row>
    <row r="351" spans="2:77" x14ac:dyDescent="0.4"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8"/>
      <c r="AJ351" s="38"/>
      <c r="AK351" s="38"/>
      <c r="AL351" s="38"/>
      <c r="AM351" s="38"/>
      <c r="AN351" s="38"/>
      <c r="AO351" s="38"/>
      <c r="AP351" s="38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  <c r="BA351" s="38"/>
      <c r="BB351" s="38"/>
      <c r="BC351" s="38"/>
      <c r="BD351" s="38"/>
      <c r="BE351" s="38"/>
      <c r="BF351" s="38"/>
      <c r="BG351" s="38"/>
      <c r="BH351" s="38"/>
      <c r="BI351" s="38"/>
      <c r="BJ351" s="38"/>
      <c r="BK351" s="38"/>
      <c r="BL351" s="38"/>
      <c r="BM351" s="38"/>
      <c r="BN351" s="38"/>
      <c r="BO351" s="38"/>
      <c r="BP351" s="38"/>
      <c r="BQ351" s="38"/>
      <c r="BR351" s="38"/>
      <c r="BS351" s="38"/>
      <c r="BT351" s="38"/>
      <c r="BU351" s="38"/>
      <c r="BV351" s="38"/>
      <c r="BW351" s="38"/>
      <c r="BX351" s="38"/>
      <c r="BY351" s="38"/>
    </row>
    <row r="352" spans="2:77" x14ac:dyDescent="0.4"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8"/>
      <c r="AJ352" s="38"/>
      <c r="AK352" s="38"/>
      <c r="AL352" s="38"/>
      <c r="AM352" s="38"/>
      <c r="AN352" s="38"/>
      <c r="AO352" s="38"/>
      <c r="AP352" s="38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  <c r="BA352" s="38"/>
      <c r="BB352" s="38"/>
      <c r="BC352" s="38"/>
      <c r="BD352" s="38"/>
      <c r="BE352" s="38"/>
      <c r="BF352" s="38"/>
      <c r="BG352" s="38"/>
      <c r="BH352" s="38"/>
      <c r="BI352" s="38"/>
      <c r="BJ352" s="38"/>
      <c r="BK352" s="38"/>
      <c r="BL352" s="38"/>
      <c r="BM352" s="38"/>
      <c r="BN352" s="38"/>
      <c r="BO352" s="38"/>
      <c r="BP352" s="38"/>
      <c r="BQ352" s="38"/>
      <c r="BR352" s="38"/>
      <c r="BS352" s="38"/>
      <c r="BT352" s="38"/>
      <c r="BU352" s="38"/>
      <c r="BV352" s="38"/>
      <c r="BW352" s="38"/>
      <c r="BX352" s="38"/>
      <c r="BY352" s="38"/>
    </row>
    <row r="353" spans="2:77" x14ac:dyDescent="0.4"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8"/>
      <c r="AJ353" s="38"/>
      <c r="AK353" s="38"/>
      <c r="AL353" s="38"/>
      <c r="AM353" s="38"/>
      <c r="AN353" s="38"/>
      <c r="AO353" s="38"/>
      <c r="AP353" s="38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  <c r="BA353" s="38"/>
      <c r="BB353" s="38"/>
      <c r="BC353" s="38"/>
      <c r="BD353" s="38"/>
      <c r="BE353" s="38"/>
      <c r="BF353" s="38"/>
      <c r="BG353" s="38"/>
      <c r="BH353" s="38"/>
      <c r="BI353" s="38"/>
      <c r="BJ353" s="38"/>
      <c r="BK353" s="38"/>
      <c r="BL353" s="38"/>
      <c r="BM353" s="38"/>
      <c r="BN353" s="38"/>
      <c r="BO353" s="38"/>
      <c r="BP353" s="38"/>
      <c r="BQ353" s="38"/>
      <c r="BR353" s="38"/>
      <c r="BS353" s="38"/>
      <c r="BT353" s="38"/>
      <c r="BU353" s="38"/>
      <c r="BV353" s="38"/>
      <c r="BW353" s="38"/>
      <c r="BX353" s="38"/>
      <c r="BY353" s="38"/>
    </row>
    <row r="354" spans="2:77" x14ac:dyDescent="0.4"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8"/>
      <c r="AJ354" s="38"/>
      <c r="AK354" s="38"/>
      <c r="AL354" s="38"/>
      <c r="AM354" s="38"/>
      <c r="AN354" s="38"/>
      <c r="AO354" s="38"/>
      <c r="AP354" s="38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  <c r="BA354" s="38"/>
      <c r="BB354" s="38"/>
      <c r="BC354" s="38"/>
      <c r="BD354" s="38"/>
      <c r="BE354" s="38"/>
      <c r="BF354" s="38"/>
      <c r="BG354" s="38"/>
      <c r="BH354" s="38"/>
      <c r="BI354" s="38"/>
      <c r="BJ354" s="38"/>
      <c r="BK354" s="38"/>
      <c r="BL354" s="38"/>
      <c r="BM354" s="38"/>
      <c r="BN354" s="38"/>
      <c r="BO354" s="38"/>
      <c r="BP354" s="38"/>
      <c r="BQ354" s="38"/>
      <c r="BR354" s="38"/>
      <c r="BS354" s="38"/>
      <c r="BT354" s="38"/>
      <c r="BU354" s="38"/>
      <c r="BV354" s="38"/>
      <c r="BW354" s="38"/>
      <c r="BX354" s="38"/>
      <c r="BY354" s="38"/>
    </row>
    <row r="355" spans="2:77" x14ac:dyDescent="0.4"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8"/>
      <c r="AJ355" s="38"/>
      <c r="AK355" s="38"/>
      <c r="AL355" s="38"/>
      <c r="AM355" s="38"/>
      <c r="AN355" s="38"/>
      <c r="AO355" s="38"/>
      <c r="AP355" s="38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  <c r="BA355" s="38"/>
      <c r="BB355" s="38"/>
      <c r="BC355" s="38"/>
      <c r="BD355" s="38"/>
      <c r="BE355" s="38"/>
      <c r="BF355" s="38"/>
      <c r="BG355" s="38"/>
      <c r="BH355" s="38"/>
      <c r="BI355" s="38"/>
      <c r="BJ355" s="38"/>
      <c r="BK355" s="38"/>
      <c r="BL355" s="38"/>
      <c r="BM355" s="38"/>
      <c r="BN355" s="38"/>
      <c r="BO355" s="38"/>
      <c r="BP355" s="38"/>
      <c r="BQ355" s="38"/>
      <c r="BR355" s="38"/>
      <c r="BS355" s="38"/>
      <c r="BT355" s="38"/>
      <c r="BU355" s="38"/>
      <c r="BV355" s="38"/>
      <c r="BW355" s="38"/>
      <c r="BX355" s="38"/>
      <c r="BY355" s="38"/>
    </row>
    <row r="356" spans="2:77" x14ac:dyDescent="0.4"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8"/>
      <c r="AJ356" s="38"/>
      <c r="AK356" s="38"/>
      <c r="AL356" s="38"/>
      <c r="AM356" s="38"/>
      <c r="AN356" s="38"/>
      <c r="AO356" s="38"/>
      <c r="AP356" s="38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  <c r="BA356" s="38"/>
      <c r="BB356" s="38"/>
      <c r="BC356" s="38"/>
      <c r="BD356" s="38"/>
      <c r="BE356" s="38"/>
      <c r="BF356" s="38"/>
      <c r="BG356" s="38"/>
      <c r="BH356" s="38"/>
      <c r="BI356" s="38"/>
      <c r="BJ356" s="38"/>
      <c r="BK356" s="38"/>
      <c r="BL356" s="38"/>
      <c r="BM356" s="38"/>
      <c r="BN356" s="38"/>
      <c r="BO356" s="38"/>
      <c r="BP356" s="38"/>
      <c r="BQ356" s="38"/>
      <c r="BR356" s="38"/>
      <c r="BS356" s="38"/>
      <c r="BT356" s="38"/>
      <c r="BU356" s="38"/>
      <c r="BV356" s="38"/>
      <c r="BW356" s="38"/>
      <c r="BX356" s="38"/>
      <c r="BY356" s="38"/>
    </row>
    <row r="357" spans="2:77" x14ac:dyDescent="0.4"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8"/>
      <c r="AJ357" s="38"/>
      <c r="AK357" s="38"/>
      <c r="AL357" s="38"/>
      <c r="AM357" s="38"/>
      <c r="AN357" s="38"/>
      <c r="AO357" s="38"/>
      <c r="AP357" s="38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  <c r="BA357" s="38"/>
      <c r="BB357" s="38"/>
      <c r="BC357" s="38"/>
      <c r="BD357" s="38"/>
      <c r="BE357" s="38"/>
      <c r="BF357" s="38"/>
      <c r="BG357" s="38"/>
      <c r="BH357" s="38"/>
      <c r="BI357" s="38"/>
      <c r="BJ357" s="38"/>
      <c r="BK357" s="38"/>
      <c r="BL357" s="38"/>
      <c r="BM357" s="38"/>
      <c r="BN357" s="38"/>
      <c r="BO357" s="38"/>
      <c r="BP357" s="38"/>
      <c r="BQ357" s="38"/>
      <c r="BR357" s="38"/>
      <c r="BS357" s="38"/>
      <c r="BT357" s="38"/>
      <c r="BU357" s="38"/>
      <c r="BV357" s="38"/>
      <c r="BW357" s="38"/>
      <c r="BX357" s="38"/>
      <c r="BY357" s="38"/>
    </row>
    <row r="358" spans="2:77" x14ac:dyDescent="0.4"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8"/>
      <c r="AJ358" s="38"/>
      <c r="AK358" s="38"/>
      <c r="AL358" s="38"/>
      <c r="AM358" s="38"/>
      <c r="AN358" s="38"/>
      <c r="AO358" s="38"/>
      <c r="AP358" s="38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  <c r="BA358" s="38"/>
      <c r="BB358" s="38"/>
      <c r="BC358" s="38"/>
      <c r="BD358" s="38"/>
      <c r="BE358" s="38"/>
      <c r="BF358" s="38"/>
      <c r="BG358" s="38"/>
      <c r="BH358" s="38"/>
      <c r="BI358" s="38"/>
      <c r="BJ358" s="38"/>
      <c r="BK358" s="38"/>
      <c r="BL358" s="38"/>
      <c r="BM358" s="38"/>
      <c r="BN358" s="38"/>
      <c r="BO358" s="38"/>
      <c r="BP358" s="38"/>
      <c r="BQ358" s="38"/>
      <c r="BR358" s="38"/>
      <c r="BS358" s="38"/>
      <c r="BT358" s="38"/>
      <c r="BU358" s="38"/>
      <c r="BV358" s="38"/>
      <c r="BW358" s="38"/>
      <c r="BX358" s="38"/>
      <c r="BY358" s="38"/>
    </row>
    <row r="359" spans="2:77" x14ac:dyDescent="0.4"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8"/>
      <c r="AJ359" s="38"/>
      <c r="AK359" s="38"/>
      <c r="AL359" s="38"/>
      <c r="AM359" s="38"/>
      <c r="AN359" s="38"/>
      <c r="AO359" s="38"/>
      <c r="AP359" s="38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  <c r="BA359" s="38"/>
      <c r="BB359" s="38"/>
      <c r="BC359" s="38"/>
      <c r="BD359" s="38"/>
      <c r="BE359" s="38"/>
      <c r="BF359" s="38"/>
      <c r="BG359" s="38"/>
      <c r="BH359" s="38"/>
      <c r="BI359" s="38"/>
      <c r="BJ359" s="38"/>
      <c r="BK359" s="38"/>
      <c r="BL359" s="38"/>
      <c r="BM359" s="38"/>
      <c r="BN359" s="38"/>
      <c r="BO359" s="38"/>
      <c r="BP359" s="38"/>
      <c r="BQ359" s="38"/>
      <c r="BR359" s="38"/>
      <c r="BS359" s="38"/>
      <c r="BT359" s="38"/>
      <c r="BU359" s="38"/>
      <c r="BV359" s="38"/>
      <c r="BW359" s="38"/>
      <c r="BX359" s="38"/>
      <c r="BY359" s="38"/>
    </row>
    <row r="360" spans="2:77" x14ac:dyDescent="0.4"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8"/>
      <c r="AJ360" s="38"/>
      <c r="AK360" s="38"/>
      <c r="AL360" s="38"/>
      <c r="AM360" s="38"/>
      <c r="AN360" s="38"/>
      <c r="AO360" s="38"/>
      <c r="AP360" s="38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  <c r="BA360" s="38"/>
      <c r="BB360" s="38"/>
      <c r="BC360" s="38"/>
      <c r="BD360" s="38"/>
      <c r="BE360" s="38"/>
      <c r="BF360" s="38"/>
      <c r="BG360" s="38"/>
      <c r="BH360" s="38"/>
      <c r="BI360" s="38"/>
      <c r="BJ360" s="38"/>
      <c r="BK360" s="38"/>
      <c r="BL360" s="38"/>
      <c r="BM360" s="38"/>
      <c r="BN360" s="38"/>
      <c r="BO360" s="38"/>
      <c r="BP360" s="38"/>
      <c r="BQ360" s="38"/>
      <c r="BR360" s="38"/>
      <c r="BS360" s="38"/>
      <c r="BT360" s="38"/>
      <c r="BU360" s="38"/>
      <c r="BV360" s="38"/>
      <c r="BW360" s="38"/>
      <c r="BX360" s="38"/>
      <c r="BY360" s="38"/>
    </row>
    <row r="361" spans="2:77" x14ac:dyDescent="0.4"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8"/>
      <c r="AJ361" s="38"/>
      <c r="AK361" s="38"/>
      <c r="AL361" s="38"/>
      <c r="AM361" s="38"/>
      <c r="AN361" s="38"/>
      <c r="AO361" s="38"/>
      <c r="AP361" s="38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  <c r="BA361" s="38"/>
      <c r="BB361" s="38"/>
      <c r="BC361" s="38"/>
      <c r="BD361" s="38"/>
      <c r="BE361" s="38"/>
      <c r="BF361" s="38"/>
      <c r="BG361" s="38"/>
      <c r="BH361" s="38"/>
      <c r="BI361" s="38"/>
      <c r="BJ361" s="38"/>
      <c r="BK361" s="38"/>
      <c r="BL361" s="38"/>
      <c r="BM361" s="38"/>
      <c r="BN361" s="38"/>
      <c r="BO361" s="38"/>
      <c r="BP361" s="38"/>
      <c r="BQ361" s="38"/>
      <c r="BR361" s="38"/>
      <c r="BS361" s="38"/>
      <c r="BT361" s="38"/>
      <c r="BU361" s="38"/>
      <c r="BV361" s="38"/>
      <c r="BW361" s="38"/>
      <c r="BX361" s="38"/>
      <c r="BY361" s="38"/>
    </row>
    <row r="362" spans="2:77" x14ac:dyDescent="0.4"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8"/>
      <c r="AJ362" s="38"/>
      <c r="AK362" s="38"/>
      <c r="AL362" s="38"/>
      <c r="AM362" s="38"/>
      <c r="AN362" s="38"/>
      <c r="AO362" s="38"/>
      <c r="AP362" s="38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  <c r="BA362" s="38"/>
      <c r="BB362" s="38"/>
      <c r="BC362" s="38"/>
      <c r="BD362" s="38"/>
      <c r="BE362" s="38"/>
      <c r="BF362" s="38"/>
      <c r="BG362" s="38"/>
      <c r="BH362" s="38"/>
      <c r="BI362" s="38"/>
      <c r="BJ362" s="38"/>
      <c r="BK362" s="38"/>
      <c r="BL362" s="38"/>
      <c r="BM362" s="38"/>
      <c r="BN362" s="38"/>
      <c r="BO362" s="38"/>
      <c r="BP362" s="38"/>
      <c r="BQ362" s="38"/>
      <c r="BR362" s="38"/>
      <c r="BS362" s="38"/>
      <c r="BT362" s="38"/>
      <c r="BU362" s="38"/>
      <c r="BV362" s="38"/>
      <c r="BW362" s="38"/>
      <c r="BX362" s="38"/>
      <c r="BY362" s="38"/>
    </row>
    <row r="363" spans="2:77" x14ac:dyDescent="0.4"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8"/>
      <c r="AJ363" s="38"/>
      <c r="AK363" s="38"/>
      <c r="AL363" s="38"/>
      <c r="AM363" s="38"/>
      <c r="AN363" s="38"/>
      <c r="AO363" s="38"/>
      <c r="AP363" s="38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  <c r="BA363" s="38"/>
      <c r="BB363" s="38"/>
      <c r="BC363" s="38"/>
      <c r="BD363" s="38"/>
      <c r="BE363" s="38"/>
      <c r="BF363" s="38"/>
      <c r="BG363" s="38"/>
      <c r="BH363" s="38"/>
      <c r="BI363" s="38"/>
      <c r="BJ363" s="38"/>
      <c r="BK363" s="38"/>
      <c r="BL363" s="38"/>
      <c r="BM363" s="38"/>
      <c r="BN363" s="38"/>
      <c r="BO363" s="38"/>
      <c r="BP363" s="38"/>
      <c r="BQ363" s="38"/>
      <c r="BR363" s="38"/>
      <c r="BS363" s="38"/>
      <c r="BT363" s="38"/>
      <c r="BU363" s="38"/>
      <c r="BV363" s="38"/>
      <c r="BW363" s="38"/>
      <c r="BX363" s="38"/>
      <c r="BY363" s="38"/>
    </row>
    <row r="364" spans="2:77" x14ac:dyDescent="0.4"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8"/>
      <c r="AJ364" s="38"/>
      <c r="AK364" s="38"/>
      <c r="AL364" s="38"/>
      <c r="AM364" s="38"/>
      <c r="AN364" s="38"/>
      <c r="AO364" s="38"/>
      <c r="AP364" s="38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  <c r="BA364" s="38"/>
      <c r="BB364" s="38"/>
      <c r="BC364" s="38"/>
      <c r="BD364" s="38"/>
      <c r="BE364" s="38"/>
      <c r="BF364" s="38"/>
      <c r="BG364" s="38"/>
      <c r="BH364" s="38"/>
      <c r="BI364" s="38"/>
      <c r="BJ364" s="38"/>
      <c r="BK364" s="38"/>
      <c r="BL364" s="38"/>
      <c r="BM364" s="38"/>
      <c r="BN364" s="38"/>
      <c r="BO364" s="38"/>
      <c r="BP364" s="38"/>
      <c r="BQ364" s="38"/>
      <c r="BR364" s="38"/>
      <c r="BS364" s="38"/>
      <c r="BT364" s="38"/>
      <c r="BU364" s="38"/>
      <c r="BV364" s="38"/>
      <c r="BW364" s="38"/>
      <c r="BX364" s="38"/>
      <c r="BY364" s="38"/>
    </row>
    <row r="365" spans="2:77" x14ac:dyDescent="0.4"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8"/>
      <c r="AJ365" s="38"/>
      <c r="AK365" s="38"/>
      <c r="AL365" s="38"/>
      <c r="AM365" s="38"/>
      <c r="AN365" s="38"/>
      <c r="AO365" s="38"/>
      <c r="AP365" s="38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  <c r="BA365" s="38"/>
      <c r="BB365" s="38"/>
      <c r="BC365" s="38"/>
      <c r="BD365" s="38"/>
      <c r="BE365" s="38"/>
      <c r="BF365" s="38"/>
      <c r="BG365" s="38"/>
      <c r="BH365" s="38"/>
      <c r="BI365" s="38"/>
      <c r="BJ365" s="38"/>
      <c r="BK365" s="38"/>
      <c r="BL365" s="38"/>
      <c r="BM365" s="38"/>
      <c r="BN365" s="38"/>
      <c r="BO365" s="38"/>
      <c r="BP365" s="38"/>
      <c r="BQ365" s="38"/>
      <c r="BR365" s="38"/>
      <c r="BS365" s="38"/>
      <c r="BT365" s="38"/>
      <c r="BU365" s="38"/>
      <c r="BV365" s="38"/>
      <c r="BW365" s="38"/>
      <c r="BX365" s="38"/>
      <c r="BY365" s="38"/>
    </row>
    <row r="366" spans="2:77" x14ac:dyDescent="0.4"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8"/>
      <c r="AJ366" s="38"/>
      <c r="AK366" s="38"/>
      <c r="AL366" s="38"/>
      <c r="AM366" s="38"/>
      <c r="AN366" s="38"/>
      <c r="AO366" s="38"/>
      <c r="AP366" s="38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  <c r="BA366" s="38"/>
      <c r="BB366" s="38"/>
      <c r="BC366" s="38"/>
      <c r="BD366" s="38"/>
      <c r="BE366" s="38"/>
      <c r="BF366" s="38"/>
      <c r="BG366" s="38"/>
      <c r="BH366" s="38"/>
      <c r="BI366" s="38"/>
      <c r="BJ366" s="38"/>
      <c r="BK366" s="38"/>
      <c r="BL366" s="38"/>
      <c r="BM366" s="38"/>
      <c r="BN366" s="38"/>
      <c r="BO366" s="38"/>
      <c r="BP366" s="38"/>
      <c r="BQ366" s="38"/>
      <c r="BR366" s="38"/>
      <c r="BS366" s="38"/>
      <c r="BT366" s="38"/>
      <c r="BU366" s="38"/>
      <c r="BV366" s="38"/>
      <c r="BW366" s="38"/>
      <c r="BX366" s="38"/>
      <c r="BY366" s="38"/>
    </row>
    <row r="367" spans="2:77" x14ac:dyDescent="0.4"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8"/>
      <c r="AJ367" s="38"/>
      <c r="AK367" s="38"/>
      <c r="AL367" s="38"/>
      <c r="AM367" s="38"/>
      <c r="AN367" s="38"/>
      <c r="AO367" s="38"/>
      <c r="AP367" s="38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  <c r="BA367" s="38"/>
      <c r="BB367" s="38"/>
      <c r="BC367" s="38"/>
      <c r="BD367" s="38"/>
      <c r="BE367" s="38"/>
      <c r="BF367" s="38"/>
      <c r="BG367" s="38"/>
      <c r="BH367" s="38"/>
      <c r="BI367" s="38"/>
      <c r="BJ367" s="38"/>
      <c r="BK367" s="38"/>
      <c r="BL367" s="38"/>
      <c r="BM367" s="38"/>
      <c r="BN367" s="38"/>
      <c r="BO367" s="38"/>
      <c r="BP367" s="38"/>
      <c r="BQ367" s="38"/>
      <c r="BR367" s="38"/>
      <c r="BS367" s="38"/>
      <c r="BT367" s="38"/>
      <c r="BU367" s="38"/>
      <c r="BV367" s="38"/>
      <c r="BW367" s="38"/>
      <c r="BX367" s="38"/>
      <c r="BY367" s="38"/>
    </row>
    <row r="2642" spans="10:10" x14ac:dyDescent="0.4">
      <c r="J2642" s="13">
        <v>2030</v>
      </c>
    </row>
  </sheetData>
  <mergeCells count="77">
    <mergeCell ref="BZ37:DK37"/>
    <mergeCell ref="DL37:EW37"/>
    <mergeCell ref="HV37:JG37"/>
    <mergeCell ref="NR37:PC37"/>
    <mergeCell ref="EX37:GI37"/>
    <mergeCell ref="GJ37:HU37"/>
    <mergeCell ref="JH37:KS37"/>
    <mergeCell ref="KT37:ME37"/>
    <mergeCell ref="MF37:NQ37"/>
    <mergeCell ref="B38:AM38"/>
    <mergeCell ref="AN38:BY38"/>
    <mergeCell ref="BZ38:DK38"/>
    <mergeCell ref="HV38:JG38"/>
    <mergeCell ref="NR38:PC38"/>
    <mergeCell ref="DL38:EW38"/>
    <mergeCell ref="EX38:GI38"/>
    <mergeCell ref="GJ38:HU38"/>
    <mergeCell ref="JH38:KS38"/>
    <mergeCell ref="KT38:ME38"/>
    <mergeCell ref="MF38:NQ38"/>
    <mergeCell ref="NR1:PC1"/>
    <mergeCell ref="B37:AM37"/>
    <mergeCell ref="NR33:PC33"/>
    <mergeCell ref="HV33:JG33"/>
    <mergeCell ref="B34:AM34"/>
    <mergeCell ref="B35:AM35"/>
    <mergeCell ref="B36:AM36"/>
    <mergeCell ref="AN36:BY36"/>
    <mergeCell ref="BZ36:DK36"/>
    <mergeCell ref="HV34:JG34"/>
    <mergeCell ref="HV35:JG35"/>
    <mergeCell ref="JH35:KS35"/>
    <mergeCell ref="KT34:ME34"/>
    <mergeCell ref="KT35:ME35"/>
    <mergeCell ref="JH33:KS33"/>
    <mergeCell ref="AN37:BY37"/>
    <mergeCell ref="NR36:PC36"/>
    <mergeCell ref="AN34:BY34"/>
    <mergeCell ref="AN35:BY35"/>
    <mergeCell ref="EX36:GI36"/>
    <mergeCell ref="MF36:NQ36"/>
    <mergeCell ref="DL36:EW36"/>
    <mergeCell ref="GJ36:HU36"/>
    <mergeCell ref="HV36:JG36"/>
    <mergeCell ref="JH36:KS36"/>
    <mergeCell ref="NR34:PC34"/>
    <mergeCell ref="NR35:PC35"/>
    <mergeCell ref="BZ34:DK34"/>
    <mergeCell ref="JH34:KS34"/>
    <mergeCell ref="KT36:ME36"/>
    <mergeCell ref="MF34:NQ34"/>
    <mergeCell ref="MF35:NQ35"/>
    <mergeCell ref="GJ33:HU33"/>
    <mergeCell ref="DL33:EW33"/>
    <mergeCell ref="MF1:NQ1"/>
    <mergeCell ref="MF33:NQ33"/>
    <mergeCell ref="KT1:ME1"/>
    <mergeCell ref="KT33:ME33"/>
    <mergeCell ref="JH1:KS1"/>
    <mergeCell ref="EX1:GI1"/>
    <mergeCell ref="HV1:JG1"/>
    <mergeCell ref="B1:AM1"/>
    <mergeCell ref="AN1:BY1"/>
    <mergeCell ref="B33:AM33"/>
    <mergeCell ref="GJ34:HU34"/>
    <mergeCell ref="GJ35:HU35"/>
    <mergeCell ref="EX33:GI33"/>
    <mergeCell ref="EX34:GI34"/>
    <mergeCell ref="EX35:GI35"/>
    <mergeCell ref="DL34:EW34"/>
    <mergeCell ref="DL35:EW35"/>
    <mergeCell ref="AN33:BY33"/>
    <mergeCell ref="BZ35:DK35"/>
    <mergeCell ref="DL1:EW1"/>
    <mergeCell ref="BZ1:DK1"/>
    <mergeCell ref="BZ33:DK33"/>
    <mergeCell ref="GJ1:HU1"/>
  </mergeCells>
  <phoneticPr fontId="4" type="noConversion"/>
  <conditionalFormatting sqref="B32:PC32 B8:PC8 B11:PC11 B17:PC17 B20:PC20 B23:PC23 B26:PC26 B29:PC29 B14:PC14 B5:PC5">
    <cfRule type="cellIs" dxfId="2" priority="4" operator="lessThan">
      <formula>-0.01</formula>
    </cfRule>
    <cfRule type="cellIs" dxfId="1" priority="5" operator="greaterThan">
      <formula>0.01</formula>
    </cfRule>
    <cfRule type="cellIs" dxfId="0" priority="1" operator="between">
      <formula>-0.01</formula>
      <formula>0.01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CD94B-FCA7-4150-9ECD-9C136D9A73C0}">
  <sheetPr codeName="Hoja3"/>
  <dimension ref="A1:AA34"/>
  <sheetViews>
    <sheetView workbookViewId="0"/>
  </sheetViews>
  <sheetFormatPr defaultColWidth="11.453125" defaultRowHeight="15" x14ac:dyDescent="0.4"/>
  <cols>
    <col min="1" max="1" width="13.81640625" style="15" customWidth="1"/>
    <col min="2" max="2" width="13.1796875" style="15" customWidth="1"/>
    <col min="3" max="3" width="11.453125" style="15"/>
    <col min="4" max="27" width="11.81640625" style="13" customWidth="1"/>
    <col min="28" max="16384" width="11.453125" style="13"/>
  </cols>
  <sheetData>
    <row r="1" spans="1:27" s="21" customFormat="1" ht="30" x14ac:dyDescent="0.35">
      <c r="A1" s="21" t="s">
        <v>64</v>
      </c>
      <c r="B1" s="21" t="s">
        <v>65</v>
      </c>
      <c r="C1" s="21" t="s">
        <v>66</v>
      </c>
      <c r="D1" s="22" t="s">
        <v>67</v>
      </c>
      <c r="E1" s="22" t="s">
        <v>68</v>
      </c>
      <c r="F1" s="22" t="s">
        <v>69</v>
      </c>
      <c r="G1" s="22" t="s">
        <v>70</v>
      </c>
      <c r="H1" s="22" t="s">
        <v>71</v>
      </c>
      <c r="I1" s="22" t="s">
        <v>72</v>
      </c>
      <c r="J1" s="22" t="s">
        <v>73</v>
      </c>
      <c r="K1" s="22" t="s">
        <v>74</v>
      </c>
      <c r="L1" s="22" t="s">
        <v>75</v>
      </c>
      <c r="M1" s="22" t="s">
        <v>76</v>
      </c>
      <c r="N1" s="22" t="s">
        <v>77</v>
      </c>
      <c r="O1" s="22" t="s">
        <v>78</v>
      </c>
      <c r="P1" s="22" t="s">
        <v>79</v>
      </c>
      <c r="Q1" s="22" t="s">
        <v>80</v>
      </c>
      <c r="R1" s="22" t="s">
        <v>81</v>
      </c>
      <c r="S1" s="22" t="s">
        <v>82</v>
      </c>
      <c r="T1" s="22" t="s">
        <v>83</v>
      </c>
      <c r="U1" s="22" t="s">
        <v>84</v>
      </c>
      <c r="V1" s="22" t="s">
        <v>85</v>
      </c>
      <c r="W1" s="22" t="s">
        <v>86</v>
      </c>
      <c r="X1" s="22" t="s">
        <v>87</v>
      </c>
      <c r="Y1" s="24" t="s">
        <v>88</v>
      </c>
      <c r="Z1" s="22" t="s">
        <v>89</v>
      </c>
      <c r="AA1" s="22" t="s">
        <v>90</v>
      </c>
    </row>
    <row r="2" spans="1:27" x14ac:dyDescent="0.4">
      <c r="A2" s="15" t="s">
        <v>91</v>
      </c>
      <c r="B2" s="15" t="s">
        <v>14</v>
      </c>
      <c r="C2" s="15">
        <v>2023</v>
      </c>
      <c r="D2" s="13">
        <v>10</v>
      </c>
      <c r="E2" s="13">
        <v>15</v>
      </c>
      <c r="F2" s="23">
        <v>-0.33333333333333331</v>
      </c>
      <c r="I2" s="13">
        <v>0</v>
      </c>
      <c r="L2" s="13">
        <v>0</v>
      </c>
      <c r="O2" s="13">
        <v>0</v>
      </c>
      <c r="R2" s="13">
        <v>0</v>
      </c>
      <c r="U2" s="13">
        <v>0</v>
      </c>
      <c r="X2" s="13">
        <v>0</v>
      </c>
      <c r="AA2" s="13">
        <v>0</v>
      </c>
    </row>
    <row r="3" spans="1:27" x14ac:dyDescent="0.4">
      <c r="A3" s="15" t="s">
        <v>91</v>
      </c>
      <c r="B3" s="15" t="s">
        <v>15</v>
      </c>
      <c r="C3" s="15">
        <v>2024</v>
      </c>
      <c r="F3" s="13">
        <v>0</v>
      </c>
      <c r="I3" s="13">
        <v>0</v>
      </c>
      <c r="L3" s="13">
        <v>0</v>
      </c>
      <c r="O3" s="13">
        <v>0</v>
      </c>
      <c r="R3" s="13">
        <v>0</v>
      </c>
      <c r="U3" s="13">
        <v>0</v>
      </c>
      <c r="X3" s="13">
        <v>0</v>
      </c>
      <c r="AA3" s="13">
        <v>0</v>
      </c>
    </row>
    <row r="4" spans="1:27" x14ac:dyDescent="0.4">
      <c r="A4" s="15" t="s">
        <v>91</v>
      </c>
      <c r="B4" s="15" t="s">
        <v>16</v>
      </c>
      <c r="C4" s="15">
        <v>2025</v>
      </c>
      <c r="F4" s="13">
        <v>0</v>
      </c>
      <c r="I4" s="13">
        <v>0</v>
      </c>
      <c r="L4" s="13">
        <v>0</v>
      </c>
      <c r="O4" s="13">
        <v>0</v>
      </c>
      <c r="R4" s="13">
        <v>0</v>
      </c>
      <c r="U4" s="13">
        <v>0</v>
      </c>
      <c r="X4" s="13">
        <v>0</v>
      </c>
      <c r="AA4" s="13">
        <v>0</v>
      </c>
    </row>
    <row r="5" spans="1:27" x14ac:dyDescent="0.4">
      <c r="A5" s="15" t="s">
        <v>91</v>
      </c>
      <c r="B5" s="15" t="s">
        <v>20</v>
      </c>
      <c r="C5" s="15">
        <v>2026</v>
      </c>
      <c r="F5" s="13">
        <v>0</v>
      </c>
      <c r="I5" s="13">
        <v>0</v>
      </c>
      <c r="L5" s="13">
        <v>0</v>
      </c>
      <c r="O5" s="13">
        <v>0</v>
      </c>
      <c r="R5" s="13">
        <v>0</v>
      </c>
      <c r="U5" s="13">
        <v>0</v>
      </c>
      <c r="X5" s="13">
        <v>0</v>
      </c>
      <c r="AA5" s="13">
        <v>0</v>
      </c>
    </row>
    <row r="6" spans="1:27" x14ac:dyDescent="0.4">
      <c r="A6" s="15" t="s">
        <v>92</v>
      </c>
      <c r="B6" s="15" t="s">
        <v>14</v>
      </c>
      <c r="C6" s="15">
        <v>2027</v>
      </c>
      <c r="F6" s="13">
        <v>0</v>
      </c>
      <c r="I6" s="13">
        <v>0</v>
      </c>
      <c r="L6" s="13">
        <v>0</v>
      </c>
      <c r="O6" s="13">
        <v>0</v>
      </c>
      <c r="R6" s="13">
        <v>0</v>
      </c>
      <c r="U6" s="13">
        <v>0</v>
      </c>
      <c r="X6" s="13">
        <v>0</v>
      </c>
      <c r="AA6" s="13">
        <v>0</v>
      </c>
    </row>
    <row r="7" spans="1:27" x14ac:dyDescent="0.4">
      <c r="A7" s="15" t="s">
        <v>92</v>
      </c>
      <c r="B7" s="15" t="s">
        <v>16</v>
      </c>
      <c r="C7" s="15">
        <v>2028</v>
      </c>
      <c r="F7" s="13">
        <v>0</v>
      </c>
      <c r="I7" s="13">
        <v>0</v>
      </c>
      <c r="L7" s="13">
        <v>0</v>
      </c>
      <c r="O7" s="13">
        <v>0</v>
      </c>
      <c r="R7" s="13">
        <v>0</v>
      </c>
      <c r="U7" s="13">
        <v>0</v>
      </c>
      <c r="X7" s="13">
        <v>0</v>
      </c>
      <c r="AA7" s="13">
        <v>0</v>
      </c>
    </row>
    <row r="8" spans="1:27" x14ac:dyDescent="0.4">
      <c r="A8" s="15" t="s">
        <v>92</v>
      </c>
      <c r="B8" s="15" t="s">
        <v>20</v>
      </c>
      <c r="C8" s="15">
        <v>2029</v>
      </c>
      <c r="F8" s="13">
        <v>0</v>
      </c>
      <c r="I8" s="13">
        <v>0</v>
      </c>
      <c r="L8" s="13">
        <v>0</v>
      </c>
      <c r="O8" s="13">
        <v>0</v>
      </c>
      <c r="R8" s="13">
        <v>0</v>
      </c>
      <c r="U8" s="13">
        <v>0</v>
      </c>
      <c r="X8" s="13">
        <v>0</v>
      </c>
      <c r="AA8" s="13">
        <v>0</v>
      </c>
    </row>
    <row r="9" spans="1:27" x14ac:dyDescent="0.4">
      <c r="A9" s="15" t="s">
        <v>92</v>
      </c>
      <c r="B9" s="15" t="s">
        <v>93</v>
      </c>
      <c r="C9" s="15">
        <v>2030</v>
      </c>
      <c r="F9" s="13">
        <v>0</v>
      </c>
      <c r="I9" s="13">
        <v>0</v>
      </c>
      <c r="L9" s="13">
        <v>0</v>
      </c>
      <c r="O9" s="13">
        <v>0</v>
      </c>
      <c r="R9" s="13">
        <v>0</v>
      </c>
      <c r="U9" s="13">
        <v>0</v>
      </c>
      <c r="X9" s="13">
        <v>0</v>
      </c>
      <c r="AA9" s="13">
        <v>0</v>
      </c>
    </row>
    <row r="10" spans="1:27" x14ac:dyDescent="0.4">
      <c r="C10" s="15">
        <v>2031</v>
      </c>
      <c r="F10" s="13">
        <v>0</v>
      </c>
      <c r="I10" s="13">
        <v>0</v>
      </c>
      <c r="L10" s="13">
        <v>0</v>
      </c>
      <c r="O10" s="13">
        <v>0</v>
      </c>
      <c r="R10" s="13">
        <v>0</v>
      </c>
      <c r="U10" s="13">
        <v>0</v>
      </c>
      <c r="X10" s="13">
        <v>0</v>
      </c>
      <c r="AA10" s="13">
        <v>0</v>
      </c>
    </row>
    <row r="11" spans="1:27" x14ac:dyDescent="0.4">
      <c r="C11" s="15">
        <v>2032</v>
      </c>
      <c r="F11" s="13">
        <v>0</v>
      </c>
      <c r="I11" s="13">
        <v>0</v>
      </c>
      <c r="L11" s="13">
        <v>0</v>
      </c>
      <c r="O11" s="13">
        <v>0</v>
      </c>
      <c r="R11" s="13">
        <v>0</v>
      </c>
      <c r="U11" s="13">
        <v>0</v>
      </c>
      <c r="X11" s="13">
        <v>0</v>
      </c>
      <c r="AA11" s="13">
        <v>0</v>
      </c>
    </row>
    <row r="12" spans="1:27" x14ac:dyDescent="0.4">
      <c r="C12" s="15">
        <v>2033</v>
      </c>
      <c r="F12" s="13">
        <v>0</v>
      </c>
      <c r="I12" s="13">
        <v>0</v>
      </c>
      <c r="L12" s="13">
        <v>0</v>
      </c>
      <c r="O12" s="13">
        <v>0</v>
      </c>
      <c r="R12" s="13">
        <v>0</v>
      </c>
      <c r="U12" s="13">
        <v>0</v>
      </c>
      <c r="X12" s="13">
        <v>0</v>
      </c>
      <c r="AA12" s="13">
        <v>0</v>
      </c>
    </row>
    <row r="13" spans="1:27" x14ac:dyDescent="0.4">
      <c r="C13" s="15">
        <v>2034</v>
      </c>
      <c r="F13" s="13">
        <v>0</v>
      </c>
      <c r="I13" s="13">
        <v>0</v>
      </c>
      <c r="L13" s="13">
        <v>0</v>
      </c>
      <c r="O13" s="13">
        <v>0</v>
      </c>
      <c r="R13" s="13">
        <v>0</v>
      </c>
      <c r="U13" s="13">
        <v>0</v>
      </c>
      <c r="X13" s="13">
        <v>0</v>
      </c>
      <c r="AA13" s="13">
        <v>0</v>
      </c>
    </row>
    <row r="14" spans="1:27" x14ac:dyDescent="0.4">
      <c r="C14" s="15">
        <v>2035</v>
      </c>
      <c r="F14" s="13">
        <v>0</v>
      </c>
      <c r="I14" s="13">
        <v>0</v>
      </c>
      <c r="L14" s="13">
        <v>0</v>
      </c>
      <c r="O14" s="13">
        <v>0</v>
      </c>
      <c r="R14" s="13">
        <v>0</v>
      </c>
      <c r="U14" s="13">
        <v>0</v>
      </c>
      <c r="X14" s="13">
        <v>0</v>
      </c>
      <c r="AA14" s="13">
        <v>0</v>
      </c>
    </row>
    <row r="15" spans="1:27" x14ac:dyDescent="0.4">
      <c r="C15" s="15">
        <v>2036</v>
      </c>
      <c r="F15" s="13">
        <v>0</v>
      </c>
      <c r="I15" s="13">
        <v>0</v>
      </c>
      <c r="L15" s="13">
        <v>0</v>
      </c>
      <c r="O15" s="13">
        <v>0</v>
      </c>
      <c r="R15" s="13">
        <v>0</v>
      </c>
      <c r="U15" s="13">
        <v>0</v>
      </c>
      <c r="X15" s="13">
        <v>0</v>
      </c>
      <c r="AA15" s="13">
        <v>0</v>
      </c>
    </row>
    <row r="16" spans="1:27" x14ac:dyDescent="0.4">
      <c r="C16" s="15">
        <v>2037</v>
      </c>
      <c r="F16" s="13">
        <v>0</v>
      </c>
      <c r="I16" s="13">
        <v>0</v>
      </c>
      <c r="L16" s="13">
        <v>0</v>
      </c>
      <c r="O16" s="13">
        <v>0</v>
      </c>
      <c r="R16" s="13">
        <v>0</v>
      </c>
      <c r="U16" s="13">
        <v>0</v>
      </c>
      <c r="X16" s="13">
        <v>0</v>
      </c>
      <c r="AA16" s="13">
        <v>0</v>
      </c>
    </row>
    <row r="17" spans="3:27" x14ac:dyDescent="0.4">
      <c r="C17" s="15">
        <v>2038</v>
      </c>
      <c r="F17" s="13">
        <v>0</v>
      </c>
      <c r="I17" s="13">
        <v>0</v>
      </c>
      <c r="L17" s="13">
        <v>0</v>
      </c>
      <c r="O17" s="13">
        <v>0</v>
      </c>
      <c r="R17" s="13">
        <v>0</v>
      </c>
      <c r="U17" s="13">
        <v>0</v>
      </c>
      <c r="X17" s="13">
        <v>0</v>
      </c>
      <c r="AA17" s="13">
        <v>0</v>
      </c>
    </row>
    <row r="18" spans="3:27" x14ac:dyDescent="0.4">
      <c r="C18" s="15">
        <v>2039</v>
      </c>
      <c r="F18" s="13">
        <v>0</v>
      </c>
      <c r="I18" s="13">
        <v>0</v>
      </c>
      <c r="L18" s="13">
        <v>0</v>
      </c>
      <c r="O18" s="13">
        <v>0</v>
      </c>
      <c r="R18" s="13">
        <v>0</v>
      </c>
      <c r="U18" s="13">
        <v>0</v>
      </c>
      <c r="X18" s="13">
        <v>0</v>
      </c>
      <c r="AA18" s="13">
        <v>0</v>
      </c>
    </row>
    <row r="19" spans="3:27" x14ac:dyDescent="0.4">
      <c r="C19" s="15">
        <v>2040</v>
      </c>
      <c r="F19" s="13">
        <v>0</v>
      </c>
      <c r="I19" s="13">
        <v>0</v>
      </c>
      <c r="L19" s="13">
        <v>0</v>
      </c>
      <c r="O19" s="13">
        <v>0</v>
      </c>
      <c r="R19" s="13">
        <v>0</v>
      </c>
      <c r="U19" s="13">
        <v>0</v>
      </c>
      <c r="X19" s="13">
        <v>0</v>
      </c>
      <c r="AA19" s="13">
        <v>0</v>
      </c>
    </row>
    <row r="20" spans="3:27" x14ac:dyDescent="0.4">
      <c r="C20" s="15">
        <v>2041</v>
      </c>
      <c r="F20" s="13">
        <v>0</v>
      </c>
      <c r="I20" s="13">
        <v>0</v>
      </c>
      <c r="L20" s="13">
        <v>0</v>
      </c>
      <c r="O20" s="13">
        <v>0</v>
      </c>
      <c r="R20" s="13">
        <v>0</v>
      </c>
      <c r="U20" s="13">
        <v>0</v>
      </c>
      <c r="X20" s="13">
        <v>0</v>
      </c>
      <c r="AA20" s="13">
        <v>0</v>
      </c>
    </row>
    <row r="21" spans="3:27" x14ac:dyDescent="0.4">
      <c r="C21" s="15">
        <v>2042</v>
      </c>
      <c r="F21" s="13">
        <v>0</v>
      </c>
      <c r="I21" s="13">
        <v>0</v>
      </c>
      <c r="L21" s="13">
        <v>0</v>
      </c>
      <c r="O21" s="13">
        <v>0</v>
      </c>
      <c r="R21" s="13">
        <v>0</v>
      </c>
      <c r="U21" s="13">
        <v>0</v>
      </c>
      <c r="X21" s="13">
        <v>0</v>
      </c>
      <c r="AA21" s="13">
        <v>0</v>
      </c>
    </row>
    <row r="22" spans="3:27" x14ac:dyDescent="0.4">
      <c r="C22" s="15">
        <v>2043</v>
      </c>
      <c r="F22" s="13">
        <v>0</v>
      </c>
      <c r="I22" s="13">
        <v>0</v>
      </c>
      <c r="L22" s="13">
        <v>0</v>
      </c>
      <c r="O22" s="13">
        <v>0</v>
      </c>
      <c r="R22" s="13">
        <v>0</v>
      </c>
      <c r="U22" s="13">
        <v>0</v>
      </c>
      <c r="X22" s="13">
        <v>0</v>
      </c>
      <c r="AA22" s="13">
        <v>0</v>
      </c>
    </row>
    <row r="23" spans="3:27" x14ac:dyDescent="0.4">
      <c r="C23" s="15">
        <v>2044</v>
      </c>
      <c r="F23" s="13">
        <v>0</v>
      </c>
      <c r="I23" s="13">
        <v>0</v>
      </c>
      <c r="L23" s="13">
        <v>0</v>
      </c>
      <c r="O23" s="13">
        <v>0</v>
      </c>
      <c r="R23" s="13">
        <v>0</v>
      </c>
      <c r="U23" s="13">
        <v>0</v>
      </c>
      <c r="X23" s="13">
        <v>0</v>
      </c>
      <c r="AA23" s="13">
        <v>0</v>
      </c>
    </row>
    <row r="24" spans="3:27" x14ac:dyDescent="0.4">
      <c r="C24" s="15">
        <v>2045</v>
      </c>
      <c r="F24" s="13">
        <v>0</v>
      </c>
      <c r="I24" s="13">
        <v>0</v>
      </c>
      <c r="L24" s="13">
        <v>0</v>
      </c>
      <c r="O24" s="13">
        <v>0</v>
      </c>
      <c r="R24" s="13">
        <v>0</v>
      </c>
      <c r="U24" s="13">
        <v>0</v>
      </c>
      <c r="X24" s="13">
        <v>0</v>
      </c>
      <c r="AA24" s="13">
        <v>0</v>
      </c>
    </row>
    <row r="25" spans="3:27" x14ac:dyDescent="0.4">
      <c r="C25" s="15">
        <v>2046</v>
      </c>
      <c r="F25" s="13">
        <v>0</v>
      </c>
      <c r="I25" s="13">
        <v>0</v>
      </c>
      <c r="L25" s="13">
        <v>0</v>
      </c>
      <c r="O25" s="13">
        <v>0</v>
      </c>
      <c r="R25" s="13">
        <v>0</v>
      </c>
      <c r="U25" s="13">
        <v>0</v>
      </c>
      <c r="X25" s="13">
        <v>0</v>
      </c>
      <c r="AA25" s="13">
        <v>0</v>
      </c>
    </row>
    <row r="26" spans="3:27" x14ac:dyDescent="0.4">
      <c r="C26" s="15">
        <v>2047</v>
      </c>
      <c r="F26" s="13">
        <v>0</v>
      </c>
      <c r="I26" s="13">
        <v>0</v>
      </c>
      <c r="L26" s="13">
        <v>0</v>
      </c>
      <c r="O26" s="13">
        <v>0</v>
      </c>
      <c r="R26" s="13">
        <v>0</v>
      </c>
      <c r="U26" s="13">
        <v>0</v>
      </c>
      <c r="X26" s="13">
        <v>0</v>
      </c>
      <c r="AA26" s="13">
        <v>0</v>
      </c>
    </row>
    <row r="27" spans="3:27" x14ac:dyDescent="0.4">
      <c r="C27" s="15">
        <v>2048</v>
      </c>
      <c r="F27" s="13">
        <v>0</v>
      </c>
      <c r="I27" s="13">
        <v>0</v>
      </c>
      <c r="L27" s="13">
        <v>0</v>
      </c>
      <c r="O27" s="13">
        <v>0</v>
      </c>
      <c r="R27" s="13">
        <v>0</v>
      </c>
      <c r="U27" s="13">
        <v>0</v>
      </c>
      <c r="X27" s="13">
        <v>0</v>
      </c>
      <c r="AA27" s="13">
        <v>0</v>
      </c>
    </row>
    <row r="28" spans="3:27" x14ac:dyDescent="0.4">
      <c r="C28" s="15">
        <v>2049</v>
      </c>
      <c r="F28" s="13">
        <v>0</v>
      </c>
      <c r="I28" s="13">
        <v>0</v>
      </c>
      <c r="L28" s="13">
        <v>0</v>
      </c>
      <c r="O28" s="13">
        <v>0</v>
      </c>
      <c r="R28" s="13">
        <v>0</v>
      </c>
      <c r="U28" s="13">
        <v>0</v>
      </c>
      <c r="X28" s="13">
        <v>0</v>
      </c>
      <c r="AA28" s="13">
        <v>0</v>
      </c>
    </row>
    <row r="29" spans="3:27" x14ac:dyDescent="0.4">
      <c r="C29" s="15">
        <v>2050</v>
      </c>
      <c r="F29" s="13">
        <v>0</v>
      </c>
      <c r="I29" s="13">
        <v>0</v>
      </c>
      <c r="L29" s="13">
        <v>0</v>
      </c>
      <c r="O29" s="13">
        <v>0</v>
      </c>
      <c r="R29" s="13">
        <v>0</v>
      </c>
      <c r="U29" s="13">
        <v>0</v>
      </c>
      <c r="X29" s="13">
        <v>0</v>
      </c>
      <c r="AA29" s="13">
        <v>0</v>
      </c>
    </row>
    <row r="30" spans="3:27" x14ac:dyDescent="0.4">
      <c r="C30" s="15">
        <v>2051</v>
      </c>
      <c r="F30" s="13">
        <v>0</v>
      </c>
      <c r="I30" s="13">
        <v>0</v>
      </c>
      <c r="L30" s="13">
        <v>0</v>
      </c>
      <c r="O30" s="13">
        <v>0</v>
      </c>
      <c r="R30" s="13">
        <v>0</v>
      </c>
      <c r="U30" s="13">
        <v>0</v>
      </c>
      <c r="X30" s="13">
        <v>0</v>
      </c>
      <c r="AA30" s="13">
        <v>0</v>
      </c>
    </row>
    <row r="31" spans="3:27" x14ac:dyDescent="0.4">
      <c r="C31" s="15">
        <v>2052</v>
      </c>
      <c r="F31" s="13">
        <v>0</v>
      </c>
      <c r="I31" s="13">
        <v>0</v>
      </c>
      <c r="L31" s="13">
        <v>0</v>
      </c>
      <c r="O31" s="13">
        <v>0</v>
      </c>
      <c r="R31" s="13">
        <v>0</v>
      </c>
      <c r="U31" s="13">
        <v>0</v>
      </c>
      <c r="X31" s="13">
        <v>0</v>
      </c>
      <c r="AA31" s="13">
        <v>0</v>
      </c>
    </row>
    <row r="32" spans="3:27" x14ac:dyDescent="0.4">
      <c r="C32" s="15">
        <v>2053</v>
      </c>
      <c r="F32" s="13">
        <v>0</v>
      </c>
      <c r="I32" s="13">
        <v>0</v>
      </c>
      <c r="L32" s="13">
        <v>0</v>
      </c>
      <c r="O32" s="13">
        <v>0</v>
      </c>
      <c r="R32" s="13">
        <v>0</v>
      </c>
      <c r="U32" s="13">
        <v>0</v>
      </c>
      <c r="X32" s="13">
        <v>0</v>
      </c>
      <c r="AA32" s="13">
        <v>0</v>
      </c>
    </row>
    <row r="33" spans="3:27" x14ac:dyDescent="0.4">
      <c r="C33" s="15">
        <v>2054</v>
      </c>
      <c r="F33" s="13">
        <v>0</v>
      </c>
      <c r="I33" s="13">
        <v>0</v>
      </c>
      <c r="L33" s="13">
        <v>0</v>
      </c>
      <c r="O33" s="13">
        <v>0</v>
      </c>
      <c r="R33" s="13">
        <v>0</v>
      </c>
      <c r="U33" s="13">
        <v>0</v>
      </c>
      <c r="X33" s="13">
        <v>0</v>
      </c>
      <c r="AA33" s="13">
        <v>0</v>
      </c>
    </row>
    <row r="34" spans="3:27" x14ac:dyDescent="0.4">
      <c r="C34" s="15">
        <v>2055</v>
      </c>
      <c r="F34" s="13">
        <v>0</v>
      </c>
      <c r="I34" s="13">
        <v>0</v>
      </c>
      <c r="L34" s="13">
        <v>0</v>
      </c>
      <c r="O34" s="13">
        <v>0</v>
      </c>
      <c r="R34" s="13">
        <v>0</v>
      </c>
      <c r="U34" s="13">
        <v>0</v>
      </c>
      <c r="X34" s="13">
        <v>0</v>
      </c>
      <c r="AA34" s="13">
        <v>0</v>
      </c>
    </row>
  </sheetData>
  <phoneticPr fontId="4" type="noConversion"/>
  <dataValidations count="1">
    <dataValidation type="list" allowBlank="1" showInputMessage="1" showErrorMessage="1" sqref="B2:B18" xr:uid="{521D670F-346E-49EB-AA11-BC1AED0B8E01}">
      <formula1>Reserves_Category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C25F4-245F-4DA3-80E0-6F87221D99E3}">
  <sheetPr codeName="Hoja6"/>
  <dimension ref="A1:A6"/>
  <sheetViews>
    <sheetView workbookViewId="0"/>
  </sheetViews>
  <sheetFormatPr defaultColWidth="11.453125" defaultRowHeight="14.5" x14ac:dyDescent="0.35"/>
  <sheetData>
    <row r="1" spans="1:1" x14ac:dyDescent="0.35">
      <c r="A1" t="s">
        <v>65</v>
      </c>
    </row>
    <row r="2" spans="1:1" x14ac:dyDescent="0.35">
      <c r="A2" t="s">
        <v>14</v>
      </c>
    </row>
    <row r="3" spans="1:1" x14ac:dyDescent="0.35">
      <c r="A3" t="s">
        <v>15</v>
      </c>
    </row>
    <row r="4" spans="1:1" x14ac:dyDescent="0.35">
      <c r="A4" t="s">
        <v>16</v>
      </c>
    </row>
    <row r="5" spans="1:1" x14ac:dyDescent="0.35">
      <c r="A5" t="s">
        <v>20</v>
      </c>
    </row>
    <row r="6" spans="1:1" x14ac:dyDescent="0.35">
      <c r="A6" t="s">
        <v>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05698-2E7B-4571-838E-115510612712}">
  <sheetPr codeName="Hoja2"/>
  <dimension ref="A1:J4612"/>
  <sheetViews>
    <sheetView zoomScale="70" zoomScaleNormal="70" workbookViewId="0">
      <pane ySplit="1" topLeftCell="A2" activePane="bottomLeft" state="frozen"/>
      <selection pane="bottomLeft" activeCell="J1" sqref="J1:J1048576"/>
    </sheetView>
  </sheetViews>
  <sheetFormatPr defaultColWidth="11.453125" defaultRowHeight="14.5" x14ac:dyDescent="0.35"/>
  <cols>
    <col min="1" max="1" width="10.54296875" style="8" customWidth="1"/>
    <col min="2" max="2" width="7.81640625" style="8" customWidth="1"/>
    <col min="3" max="3" width="31.26953125" customWidth="1"/>
    <col min="4" max="4" width="65.453125" customWidth="1"/>
    <col min="5" max="5" width="9.54296875" style="8" customWidth="1"/>
    <col min="6" max="6" width="91.81640625" customWidth="1"/>
    <col min="7" max="7" width="8.54296875" style="8" customWidth="1"/>
    <col min="8" max="8" width="6.453125" customWidth="1"/>
    <col min="9" max="9" width="93" customWidth="1"/>
    <col min="10" max="10" width="50.7265625" customWidth="1"/>
  </cols>
  <sheetData>
    <row r="1" spans="1:10" s="3" customFormat="1" x14ac:dyDescent="0.35">
      <c r="A1" s="3" t="s">
        <v>94</v>
      </c>
      <c r="B1" s="3" t="s">
        <v>25</v>
      </c>
      <c r="C1" s="3" t="s">
        <v>13</v>
      </c>
      <c r="D1" s="3" t="s">
        <v>95</v>
      </c>
      <c r="E1" s="3" t="s">
        <v>94</v>
      </c>
      <c r="F1" s="3" t="s">
        <v>96</v>
      </c>
      <c r="G1" s="3" t="s">
        <v>97</v>
      </c>
      <c r="H1" s="3" t="s">
        <v>98</v>
      </c>
      <c r="I1" s="3" t="s">
        <v>99</v>
      </c>
      <c r="J1" s="3" t="s">
        <v>99</v>
      </c>
    </row>
    <row r="2" spans="1:10" x14ac:dyDescent="0.35">
      <c r="A2" s="7" t="s">
        <v>14</v>
      </c>
      <c r="B2" s="7">
        <v>2023</v>
      </c>
      <c r="C2" s="4" t="s">
        <v>31</v>
      </c>
      <c r="D2" s="5" t="s">
        <v>2003</v>
      </c>
      <c r="E2" s="10" t="str">
        <f>_xlfn.CONCAT(A2,"'!")</f>
        <v>PDP'!</v>
      </c>
      <c r="F2" s="5" t="str">
        <f>_xlfn.CONCAT(D2," ",E2)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" s="7" t="s">
        <v>100</v>
      </c>
      <c r="H2" s="4">
        <v>36</v>
      </c>
      <c r="I2" s="4" t="str">
        <f>_xlfn.CONCAT("='",F2:H2)</f>
        <v>='C:\Users\jaime.benazar\Quorum Business Solutions\Ecopetrol Prometeo - Documents\Planning Space Implementation\3. Analysis &amp; Design\Design\FC22\DRR Jaime\Por presentar a ECP\Cantagallo\Cristalina\[VRC_CRISTALINA_CF_SEC_20221231.xlsx]CF PDP'!$AY$36</v>
      </c>
      <c r="J2" s="4" t="s">
        <v>2004</v>
      </c>
    </row>
    <row r="3" spans="1:10" x14ac:dyDescent="0.35">
      <c r="A3" s="7" t="s">
        <v>14</v>
      </c>
      <c r="B3" s="7">
        <f>+B2+1</f>
        <v>2024</v>
      </c>
      <c r="C3" s="4" t="s">
        <v>31</v>
      </c>
      <c r="D3" s="5" t="s">
        <v>2003</v>
      </c>
      <c r="E3" s="10" t="str">
        <f t="shared" ref="E3:E96" si="0">_xlfn.CONCAT(A3,"'!")</f>
        <v>PDP'!</v>
      </c>
      <c r="F3" s="5" t="str">
        <f t="shared" ref="F3:F94" si="1">_xlfn.CONCAT(D3," ",E3)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" s="7" t="s">
        <v>100</v>
      </c>
      <c r="H3" s="4">
        <f>IF(A3&lt;&gt;A2,36,H2+1)</f>
        <v>37</v>
      </c>
      <c r="I3" s="4" t="str">
        <f t="shared" ref="I3:I96" si="2">_xlfn.CONCAT("='",F3:H3)</f>
        <v>='C:\Users\jaime.benazar\Quorum Business Solutions\Ecopetrol Prometeo - Documents\Planning Space Implementation\3. Analysis &amp; Design\Design\FC22\DRR Jaime\Por presentar a ECP\Cantagallo\Cristalina\[VRC_CRISTALINA_CF_SEC_20221231.xlsx]CF PDP'!$AY$37</v>
      </c>
      <c r="J3" s="4" t="s">
        <v>2005</v>
      </c>
    </row>
    <row r="4" spans="1:10" x14ac:dyDescent="0.35">
      <c r="A4" s="7" t="s">
        <v>14</v>
      </c>
      <c r="B4" s="7">
        <f t="shared" ref="B4:B15" si="3">+B3+1</f>
        <v>2025</v>
      </c>
      <c r="C4" s="4" t="s">
        <v>31</v>
      </c>
      <c r="D4" s="5" t="s">
        <v>2003</v>
      </c>
      <c r="E4" s="10" t="str">
        <f t="shared" si="0"/>
        <v>PDP'!</v>
      </c>
      <c r="F4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" s="7" t="s">
        <v>100</v>
      </c>
      <c r="H4" s="4">
        <f t="shared" ref="H4:H97" si="4">IF(A4&lt;&gt;A3,36,H3+1)</f>
        <v>38</v>
      </c>
      <c r="I4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PDP'!$AY$38</v>
      </c>
      <c r="J4" s="4" t="s">
        <v>2006</v>
      </c>
    </row>
    <row r="5" spans="1:10" x14ac:dyDescent="0.35">
      <c r="A5" s="7" t="s">
        <v>14</v>
      </c>
      <c r="B5" s="7">
        <f t="shared" si="3"/>
        <v>2026</v>
      </c>
      <c r="C5" s="4" t="s">
        <v>31</v>
      </c>
      <c r="D5" s="5" t="s">
        <v>2003</v>
      </c>
      <c r="E5" s="10" t="str">
        <f t="shared" si="0"/>
        <v>PDP'!</v>
      </c>
      <c r="F5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5" s="7" t="s">
        <v>100</v>
      </c>
      <c r="H5" s="4">
        <f t="shared" si="4"/>
        <v>39</v>
      </c>
      <c r="I5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PDP'!$AY$39</v>
      </c>
      <c r="J5" s="4" t="s">
        <v>2007</v>
      </c>
    </row>
    <row r="6" spans="1:10" x14ac:dyDescent="0.35">
      <c r="A6" s="7" t="s">
        <v>14</v>
      </c>
      <c r="B6" s="7">
        <f t="shared" si="3"/>
        <v>2027</v>
      </c>
      <c r="C6" s="4" t="s">
        <v>31</v>
      </c>
      <c r="D6" s="5" t="s">
        <v>2003</v>
      </c>
      <c r="E6" s="10" t="str">
        <f t="shared" si="0"/>
        <v>PDP'!</v>
      </c>
      <c r="F6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6" s="7" t="s">
        <v>100</v>
      </c>
      <c r="H6" s="4">
        <f t="shared" si="4"/>
        <v>40</v>
      </c>
      <c r="I6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PDP'!$AY$40</v>
      </c>
      <c r="J6" s="4" t="s">
        <v>2008</v>
      </c>
    </row>
    <row r="7" spans="1:10" x14ac:dyDescent="0.35">
      <c r="A7" s="7" t="s">
        <v>14</v>
      </c>
      <c r="B7" s="7">
        <f t="shared" si="3"/>
        <v>2028</v>
      </c>
      <c r="C7" s="4" t="s">
        <v>31</v>
      </c>
      <c r="D7" s="5" t="s">
        <v>2003</v>
      </c>
      <c r="E7" s="10" t="str">
        <f t="shared" si="0"/>
        <v>PDP'!</v>
      </c>
      <c r="F7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7" s="7" t="s">
        <v>100</v>
      </c>
      <c r="H7" s="4">
        <f t="shared" si="4"/>
        <v>41</v>
      </c>
      <c r="I7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PDP'!$AY$41</v>
      </c>
      <c r="J7" s="4" t="s">
        <v>2009</v>
      </c>
    </row>
    <row r="8" spans="1:10" x14ac:dyDescent="0.35">
      <c r="A8" s="7" t="s">
        <v>14</v>
      </c>
      <c r="B8" s="7">
        <f t="shared" si="3"/>
        <v>2029</v>
      </c>
      <c r="C8" s="4" t="s">
        <v>31</v>
      </c>
      <c r="D8" s="5" t="s">
        <v>2003</v>
      </c>
      <c r="E8" s="10" t="str">
        <f t="shared" si="0"/>
        <v>PDP'!</v>
      </c>
      <c r="F8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" s="7" t="s">
        <v>100</v>
      </c>
      <c r="H8" s="4">
        <f t="shared" si="4"/>
        <v>42</v>
      </c>
      <c r="I8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PDP'!$AY$42</v>
      </c>
      <c r="J8" s="4" t="s">
        <v>2010</v>
      </c>
    </row>
    <row r="9" spans="1:10" x14ac:dyDescent="0.35">
      <c r="A9" s="7" t="s">
        <v>14</v>
      </c>
      <c r="B9" s="7">
        <f t="shared" si="3"/>
        <v>2030</v>
      </c>
      <c r="C9" s="4" t="s">
        <v>31</v>
      </c>
      <c r="D9" s="5" t="s">
        <v>2003</v>
      </c>
      <c r="E9" s="10" t="str">
        <f t="shared" si="0"/>
        <v>PDP'!</v>
      </c>
      <c r="F9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9" s="7" t="s">
        <v>100</v>
      </c>
      <c r="H9" s="4">
        <f t="shared" si="4"/>
        <v>43</v>
      </c>
      <c r="I9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PDP'!$AY$43</v>
      </c>
      <c r="J9" s="4" t="s">
        <v>2011</v>
      </c>
    </row>
    <row r="10" spans="1:10" x14ac:dyDescent="0.35">
      <c r="A10" s="7" t="s">
        <v>14</v>
      </c>
      <c r="B10" s="7">
        <f t="shared" si="3"/>
        <v>2031</v>
      </c>
      <c r="C10" s="4" t="s">
        <v>31</v>
      </c>
      <c r="D10" s="5" t="s">
        <v>2003</v>
      </c>
      <c r="E10" s="10" t="str">
        <f t="shared" si="0"/>
        <v>PDP'!</v>
      </c>
      <c r="F10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0" s="7" t="s">
        <v>100</v>
      </c>
      <c r="H10" s="4">
        <f t="shared" si="4"/>
        <v>44</v>
      </c>
      <c r="I10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PDP'!$AY$44</v>
      </c>
      <c r="J10" s="4" t="s">
        <v>2012</v>
      </c>
    </row>
    <row r="11" spans="1:10" x14ac:dyDescent="0.35">
      <c r="A11" s="7" t="s">
        <v>14</v>
      </c>
      <c r="B11" s="7">
        <f t="shared" si="3"/>
        <v>2032</v>
      </c>
      <c r="C11" s="4" t="s">
        <v>31</v>
      </c>
      <c r="D11" s="5" t="s">
        <v>2003</v>
      </c>
      <c r="E11" s="10" t="str">
        <f t="shared" si="0"/>
        <v>PDP'!</v>
      </c>
      <c r="F11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1" s="7" t="s">
        <v>100</v>
      </c>
      <c r="H11" s="4">
        <f t="shared" si="4"/>
        <v>45</v>
      </c>
      <c r="I11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PDP'!$AY$45</v>
      </c>
      <c r="J11" s="4" t="s">
        <v>2013</v>
      </c>
    </row>
    <row r="12" spans="1:10" x14ac:dyDescent="0.35">
      <c r="A12" s="7" t="s">
        <v>14</v>
      </c>
      <c r="B12" s="7">
        <f t="shared" si="3"/>
        <v>2033</v>
      </c>
      <c r="C12" s="4" t="s">
        <v>31</v>
      </c>
      <c r="D12" s="5" t="s">
        <v>2003</v>
      </c>
      <c r="E12" s="10" t="str">
        <f t="shared" si="0"/>
        <v>PDP'!</v>
      </c>
      <c r="F12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" s="7" t="s">
        <v>100</v>
      </c>
      <c r="H12" s="4">
        <f t="shared" si="4"/>
        <v>46</v>
      </c>
      <c r="I12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PDP'!$AY$46</v>
      </c>
      <c r="J12" s="4" t="s">
        <v>2014</v>
      </c>
    </row>
    <row r="13" spans="1:10" x14ac:dyDescent="0.35">
      <c r="A13" s="7" t="s">
        <v>14</v>
      </c>
      <c r="B13" s="7">
        <f t="shared" si="3"/>
        <v>2034</v>
      </c>
      <c r="C13" s="4" t="s">
        <v>31</v>
      </c>
      <c r="D13" s="5" t="s">
        <v>2003</v>
      </c>
      <c r="E13" s="10" t="str">
        <f t="shared" si="0"/>
        <v>PDP'!</v>
      </c>
      <c r="F13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3" s="7" t="s">
        <v>100</v>
      </c>
      <c r="H13" s="4">
        <f t="shared" si="4"/>
        <v>47</v>
      </c>
      <c r="I13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PDP'!$AY$47</v>
      </c>
      <c r="J13" s="4" t="s">
        <v>2015</v>
      </c>
    </row>
    <row r="14" spans="1:10" x14ac:dyDescent="0.35">
      <c r="A14" s="7" t="s">
        <v>14</v>
      </c>
      <c r="B14" s="7">
        <f t="shared" si="3"/>
        <v>2035</v>
      </c>
      <c r="C14" s="4" t="s">
        <v>31</v>
      </c>
      <c r="D14" s="5" t="s">
        <v>2003</v>
      </c>
      <c r="E14" s="10" t="str">
        <f t="shared" si="0"/>
        <v>PDP'!</v>
      </c>
      <c r="F14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4" s="7" t="s">
        <v>100</v>
      </c>
      <c r="H14" s="4">
        <f t="shared" si="4"/>
        <v>48</v>
      </c>
      <c r="I14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PDP'!$AY$48</v>
      </c>
      <c r="J14" s="4" t="s">
        <v>2016</v>
      </c>
    </row>
    <row r="15" spans="1:10" x14ac:dyDescent="0.35">
      <c r="A15" s="7" t="s">
        <v>14</v>
      </c>
      <c r="B15" s="7">
        <f t="shared" si="3"/>
        <v>2036</v>
      </c>
      <c r="C15" s="4" t="s">
        <v>31</v>
      </c>
      <c r="D15" s="5" t="s">
        <v>2003</v>
      </c>
      <c r="E15" s="10" t="str">
        <f t="shared" si="0"/>
        <v>PDP'!</v>
      </c>
      <c r="F15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5" s="7" t="s">
        <v>100</v>
      </c>
      <c r="H15" s="4">
        <f t="shared" si="4"/>
        <v>49</v>
      </c>
      <c r="I15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PDP'!$AY$49</v>
      </c>
      <c r="J15" s="4" t="s">
        <v>2017</v>
      </c>
    </row>
    <row r="16" spans="1:10" x14ac:dyDescent="0.35">
      <c r="A16" s="7" t="s">
        <v>14</v>
      </c>
      <c r="B16" s="7">
        <f>+B15+1</f>
        <v>2037</v>
      </c>
      <c r="C16" s="4" t="s">
        <v>31</v>
      </c>
      <c r="D16" s="5" t="s">
        <v>2003</v>
      </c>
      <c r="E16" s="10" t="str">
        <f t="shared" si="0"/>
        <v>PDP'!</v>
      </c>
      <c r="F16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" s="7" t="s">
        <v>100</v>
      </c>
      <c r="H16" s="4">
        <f t="shared" si="4"/>
        <v>50</v>
      </c>
      <c r="I16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PDP'!$AY$50</v>
      </c>
      <c r="J16" s="4" t="s">
        <v>2018</v>
      </c>
    </row>
    <row r="17" spans="1:10" x14ac:dyDescent="0.35">
      <c r="A17" s="7" t="s">
        <v>14</v>
      </c>
      <c r="B17" s="7">
        <f t="shared" ref="B17:B19" si="5">+B16+1</f>
        <v>2038</v>
      </c>
      <c r="C17" s="4" t="s">
        <v>31</v>
      </c>
      <c r="D17" s="5" t="s">
        <v>2003</v>
      </c>
      <c r="E17" s="10" t="str">
        <f t="shared" si="0"/>
        <v>PDP'!</v>
      </c>
      <c r="F17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7" s="7" t="s">
        <v>100</v>
      </c>
      <c r="H17" s="4">
        <f t="shared" si="4"/>
        <v>51</v>
      </c>
      <c r="I17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PDP'!$AY$51</v>
      </c>
      <c r="J17" s="4" t="s">
        <v>2019</v>
      </c>
    </row>
    <row r="18" spans="1:10" x14ac:dyDescent="0.35">
      <c r="A18" s="7" t="s">
        <v>14</v>
      </c>
      <c r="B18" s="7">
        <f t="shared" si="5"/>
        <v>2039</v>
      </c>
      <c r="C18" s="4" t="s">
        <v>31</v>
      </c>
      <c r="D18" s="5" t="s">
        <v>2003</v>
      </c>
      <c r="E18" s="10" t="str">
        <f t="shared" si="0"/>
        <v>PDP'!</v>
      </c>
      <c r="F18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8" s="7" t="s">
        <v>100</v>
      </c>
      <c r="H18" s="4">
        <f t="shared" si="4"/>
        <v>52</v>
      </c>
      <c r="I18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PDP'!$AY$52</v>
      </c>
      <c r="J18" s="4" t="s">
        <v>2020</v>
      </c>
    </row>
    <row r="19" spans="1:10" x14ac:dyDescent="0.35">
      <c r="A19" s="7" t="s">
        <v>14</v>
      </c>
      <c r="B19" s="7">
        <f t="shared" si="5"/>
        <v>2040</v>
      </c>
      <c r="C19" s="4" t="s">
        <v>31</v>
      </c>
      <c r="D19" s="5" t="s">
        <v>2003</v>
      </c>
      <c r="E19" s="10" t="str">
        <f t="shared" si="0"/>
        <v>PDP'!</v>
      </c>
      <c r="F19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9" s="7" t="s">
        <v>100</v>
      </c>
      <c r="H19" s="4">
        <f t="shared" si="4"/>
        <v>53</v>
      </c>
      <c r="I19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PDP'!$AY$53</v>
      </c>
      <c r="J19" s="4" t="s">
        <v>2021</v>
      </c>
    </row>
    <row r="20" spans="1:10" x14ac:dyDescent="0.35">
      <c r="A20" s="7" t="s">
        <v>14</v>
      </c>
      <c r="B20" s="7">
        <f>+B19+1</f>
        <v>2041</v>
      </c>
      <c r="C20" s="4" t="s">
        <v>31</v>
      </c>
      <c r="D20" s="5" t="s">
        <v>2003</v>
      </c>
      <c r="E20" s="10" t="str">
        <f t="shared" si="0"/>
        <v>PDP'!</v>
      </c>
      <c r="F20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0" s="7" t="s">
        <v>100</v>
      </c>
      <c r="H20" s="4">
        <f t="shared" si="4"/>
        <v>54</v>
      </c>
      <c r="I20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PDP'!$AY$54</v>
      </c>
      <c r="J20" s="4" t="s">
        <v>2022</v>
      </c>
    </row>
    <row r="21" spans="1:10" x14ac:dyDescent="0.35">
      <c r="A21" s="7" t="s">
        <v>14</v>
      </c>
      <c r="B21" s="7">
        <f>+B20+1</f>
        <v>2042</v>
      </c>
      <c r="C21" s="4" t="s">
        <v>31</v>
      </c>
      <c r="D21" s="5" t="s">
        <v>2003</v>
      </c>
      <c r="E21" s="10" t="str">
        <f t="shared" si="0"/>
        <v>PDP'!</v>
      </c>
      <c r="F21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" s="7" t="s">
        <v>100</v>
      </c>
      <c r="H21" s="4">
        <f>IF(A21&lt;&gt;A20,36,H20+1)</f>
        <v>55</v>
      </c>
      <c r="I21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PDP'!$AY$55</v>
      </c>
      <c r="J21" s="4" t="s">
        <v>2023</v>
      </c>
    </row>
    <row r="22" spans="1:10" x14ac:dyDescent="0.35">
      <c r="A22" s="7" t="s">
        <v>14</v>
      </c>
      <c r="B22" s="7">
        <f t="shared" ref="B22" si="6">+B21+1</f>
        <v>2043</v>
      </c>
      <c r="C22" s="4" t="s">
        <v>31</v>
      </c>
      <c r="D22" s="5" t="s">
        <v>2003</v>
      </c>
      <c r="E22" s="10" t="str">
        <f t="shared" si="0"/>
        <v>PDP'!</v>
      </c>
      <c r="F22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2" s="7" t="s">
        <v>100</v>
      </c>
      <c r="H22" s="4">
        <f t="shared" si="4"/>
        <v>56</v>
      </c>
      <c r="I22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PDP'!$AY$56</v>
      </c>
      <c r="J22" s="4" t="s">
        <v>2024</v>
      </c>
    </row>
    <row r="23" spans="1:10" x14ac:dyDescent="0.35">
      <c r="A23" s="7" t="s">
        <v>14</v>
      </c>
      <c r="B23" s="7">
        <f>+B22+1</f>
        <v>2044</v>
      </c>
      <c r="C23" s="4" t="s">
        <v>31</v>
      </c>
      <c r="D23" s="5" t="s">
        <v>2003</v>
      </c>
      <c r="E23" s="10" t="str">
        <f t="shared" si="0"/>
        <v>PDP'!</v>
      </c>
      <c r="F23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3" s="7" t="s">
        <v>100</v>
      </c>
      <c r="H23" s="4">
        <f t="shared" si="4"/>
        <v>57</v>
      </c>
      <c r="I23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PDP'!$AY$57</v>
      </c>
      <c r="J23" s="4" t="s">
        <v>2025</v>
      </c>
    </row>
    <row r="24" spans="1:10" x14ac:dyDescent="0.35">
      <c r="A24" s="7" t="s">
        <v>14</v>
      </c>
      <c r="B24" s="7">
        <f t="shared" ref="B24:B38" si="7">+B23+1</f>
        <v>2045</v>
      </c>
      <c r="C24" s="4" t="s">
        <v>31</v>
      </c>
      <c r="D24" s="5" t="s">
        <v>2003</v>
      </c>
      <c r="E24" s="10" t="str">
        <f t="shared" si="0"/>
        <v>PDP'!</v>
      </c>
      <c r="F24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4" s="7" t="s">
        <v>100</v>
      </c>
      <c r="H24" s="4">
        <f t="shared" si="4"/>
        <v>58</v>
      </c>
      <c r="I24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PDP'!$AY$58</v>
      </c>
      <c r="J24" s="4" t="s">
        <v>2026</v>
      </c>
    </row>
    <row r="25" spans="1:10" x14ac:dyDescent="0.35">
      <c r="A25" s="7" t="s">
        <v>14</v>
      </c>
      <c r="B25" s="7">
        <f t="shared" si="7"/>
        <v>2046</v>
      </c>
      <c r="C25" s="4" t="s">
        <v>31</v>
      </c>
      <c r="D25" s="5" t="s">
        <v>2003</v>
      </c>
      <c r="E25" s="10" t="str">
        <f t="shared" ref="E25:E38" si="8">_xlfn.CONCAT(A25,"'!")</f>
        <v>PDP'!</v>
      </c>
      <c r="F25" s="5" t="str">
        <f t="shared" ref="F25:F38" si="9">_xlfn.CONCAT(D25," ",E25)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" s="7" t="s">
        <v>100</v>
      </c>
      <c r="H25" s="4">
        <f t="shared" ref="H25:H38" si="10">IF(A25&lt;&gt;A24,36,H24+1)</f>
        <v>59</v>
      </c>
      <c r="I25" s="4" t="str">
        <f t="shared" ref="I25:I38" si="11">_xlfn.CONCAT("='",F25:H25)</f>
        <v>='C:\Users\jaime.benazar\Quorum Business Solutions\Ecopetrol Prometeo - Documents\Planning Space Implementation\3. Analysis &amp; Design\Design\FC22\DRR Jaime\Por presentar a ECP\Cantagallo\Cristalina\[VRC_CRISTALINA_CF_SEC_20221231.xlsx]CF PDP'!$AY$59</v>
      </c>
      <c r="J25" s="4" t="s">
        <v>2027</v>
      </c>
    </row>
    <row r="26" spans="1:10" x14ac:dyDescent="0.35">
      <c r="A26" s="7" t="s">
        <v>14</v>
      </c>
      <c r="B26" s="7">
        <f t="shared" si="7"/>
        <v>2047</v>
      </c>
      <c r="C26" s="4" t="s">
        <v>31</v>
      </c>
      <c r="D26" s="5" t="s">
        <v>2003</v>
      </c>
      <c r="E26" s="10" t="str">
        <f t="shared" si="8"/>
        <v>PDP'!</v>
      </c>
      <c r="F26" s="5" t="str">
        <f t="shared" si="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6" s="7" t="s">
        <v>100</v>
      </c>
      <c r="H26" s="4">
        <f t="shared" si="10"/>
        <v>60</v>
      </c>
      <c r="I26" s="4" t="str">
        <f t="shared" si="11"/>
        <v>='C:\Users\jaime.benazar\Quorum Business Solutions\Ecopetrol Prometeo - Documents\Planning Space Implementation\3. Analysis &amp; Design\Design\FC22\DRR Jaime\Por presentar a ECP\Cantagallo\Cristalina\[VRC_CRISTALINA_CF_SEC_20221231.xlsx]CF PDP'!$AY$60</v>
      </c>
      <c r="J26" s="4" t="s">
        <v>2028</v>
      </c>
    </row>
    <row r="27" spans="1:10" x14ac:dyDescent="0.35">
      <c r="A27" s="7" t="s">
        <v>14</v>
      </c>
      <c r="B27" s="7">
        <f t="shared" si="7"/>
        <v>2048</v>
      </c>
      <c r="C27" s="4" t="s">
        <v>31</v>
      </c>
      <c r="D27" s="5" t="s">
        <v>2003</v>
      </c>
      <c r="E27" s="10" t="str">
        <f t="shared" si="8"/>
        <v>PDP'!</v>
      </c>
      <c r="F27" s="5" t="str">
        <f t="shared" si="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7" s="7" t="s">
        <v>100</v>
      </c>
      <c r="H27" s="4">
        <f t="shared" si="10"/>
        <v>61</v>
      </c>
      <c r="I27" s="4" t="str">
        <f t="shared" si="11"/>
        <v>='C:\Users\jaime.benazar\Quorum Business Solutions\Ecopetrol Prometeo - Documents\Planning Space Implementation\3. Analysis &amp; Design\Design\FC22\DRR Jaime\Por presentar a ECP\Cantagallo\Cristalina\[VRC_CRISTALINA_CF_SEC_20221231.xlsx]CF PDP'!$AY$61</v>
      </c>
      <c r="J27" s="4" t="s">
        <v>2029</v>
      </c>
    </row>
    <row r="28" spans="1:10" x14ac:dyDescent="0.35">
      <c r="A28" s="7" t="s">
        <v>14</v>
      </c>
      <c r="B28" s="7">
        <f t="shared" si="7"/>
        <v>2049</v>
      </c>
      <c r="C28" s="4" t="s">
        <v>31</v>
      </c>
      <c r="D28" s="5" t="s">
        <v>2003</v>
      </c>
      <c r="E28" s="10" t="str">
        <f t="shared" si="8"/>
        <v>PDP'!</v>
      </c>
      <c r="F28" s="5" t="str">
        <f t="shared" si="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8" s="7" t="s">
        <v>100</v>
      </c>
      <c r="H28" s="4">
        <f t="shared" si="10"/>
        <v>62</v>
      </c>
      <c r="I28" s="4" t="str">
        <f t="shared" si="11"/>
        <v>='C:\Users\jaime.benazar\Quorum Business Solutions\Ecopetrol Prometeo - Documents\Planning Space Implementation\3. Analysis &amp; Design\Design\FC22\DRR Jaime\Por presentar a ECP\Cantagallo\Cristalina\[VRC_CRISTALINA_CF_SEC_20221231.xlsx]CF PDP'!$AY$62</v>
      </c>
      <c r="J28" s="4" t="s">
        <v>2030</v>
      </c>
    </row>
    <row r="29" spans="1:10" x14ac:dyDescent="0.35">
      <c r="A29" s="7" t="s">
        <v>14</v>
      </c>
      <c r="B29" s="7">
        <f t="shared" si="7"/>
        <v>2050</v>
      </c>
      <c r="C29" s="4" t="s">
        <v>31</v>
      </c>
      <c r="D29" s="5" t="s">
        <v>2003</v>
      </c>
      <c r="E29" s="10" t="str">
        <f t="shared" si="8"/>
        <v>PDP'!</v>
      </c>
      <c r="F29" s="5" t="str">
        <f t="shared" si="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" s="7" t="s">
        <v>100</v>
      </c>
      <c r="H29" s="4">
        <f t="shared" si="10"/>
        <v>63</v>
      </c>
      <c r="I29" s="4" t="str">
        <f t="shared" si="11"/>
        <v>='C:\Users\jaime.benazar\Quorum Business Solutions\Ecopetrol Prometeo - Documents\Planning Space Implementation\3. Analysis &amp; Design\Design\FC22\DRR Jaime\Por presentar a ECP\Cantagallo\Cristalina\[VRC_CRISTALINA_CF_SEC_20221231.xlsx]CF PDP'!$AY$63</v>
      </c>
      <c r="J29" s="4" t="s">
        <v>2031</v>
      </c>
    </row>
    <row r="30" spans="1:10" x14ac:dyDescent="0.35">
      <c r="A30" s="7" t="s">
        <v>14</v>
      </c>
      <c r="B30" s="7">
        <f t="shared" si="7"/>
        <v>2051</v>
      </c>
      <c r="C30" s="4" t="s">
        <v>31</v>
      </c>
      <c r="D30" s="5" t="s">
        <v>2003</v>
      </c>
      <c r="E30" s="10" t="str">
        <f t="shared" si="8"/>
        <v>PDP'!</v>
      </c>
      <c r="F30" s="5" t="str">
        <f t="shared" si="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0" s="7" t="s">
        <v>100</v>
      </c>
      <c r="H30" s="4">
        <f t="shared" si="10"/>
        <v>64</v>
      </c>
      <c r="I30" s="4" t="str">
        <f t="shared" si="11"/>
        <v>='C:\Users\jaime.benazar\Quorum Business Solutions\Ecopetrol Prometeo - Documents\Planning Space Implementation\3. Analysis &amp; Design\Design\FC22\DRR Jaime\Por presentar a ECP\Cantagallo\Cristalina\[VRC_CRISTALINA_CF_SEC_20221231.xlsx]CF PDP'!$AY$64</v>
      </c>
      <c r="J30" s="4" t="s">
        <v>2032</v>
      </c>
    </row>
    <row r="31" spans="1:10" x14ac:dyDescent="0.35">
      <c r="A31" s="7" t="s">
        <v>14</v>
      </c>
      <c r="B31" s="7">
        <f t="shared" si="7"/>
        <v>2052</v>
      </c>
      <c r="C31" s="4" t="s">
        <v>31</v>
      </c>
      <c r="D31" s="5" t="s">
        <v>2003</v>
      </c>
      <c r="E31" s="10" t="str">
        <f t="shared" si="8"/>
        <v>PDP'!</v>
      </c>
      <c r="F31" s="5" t="str">
        <f t="shared" si="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1" s="7" t="s">
        <v>100</v>
      </c>
      <c r="H31" s="4">
        <f t="shared" si="10"/>
        <v>65</v>
      </c>
      <c r="I31" s="4" t="str">
        <f t="shared" si="11"/>
        <v>='C:\Users\jaime.benazar\Quorum Business Solutions\Ecopetrol Prometeo - Documents\Planning Space Implementation\3. Analysis &amp; Design\Design\FC22\DRR Jaime\Por presentar a ECP\Cantagallo\Cristalina\[VRC_CRISTALINA_CF_SEC_20221231.xlsx]CF PDP'!$AY$65</v>
      </c>
      <c r="J31" s="4" t="s">
        <v>2033</v>
      </c>
    </row>
    <row r="32" spans="1:10" x14ac:dyDescent="0.35">
      <c r="A32" s="7" t="s">
        <v>14</v>
      </c>
      <c r="B32" s="7">
        <f t="shared" si="7"/>
        <v>2053</v>
      </c>
      <c r="C32" s="4" t="s">
        <v>31</v>
      </c>
      <c r="D32" s="5" t="s">
        <v>2003</v>
      </c>
      <c r="E32" s="10" t="str">
        <f t="shared" si="8"/>
        <v>PDP'!</v>
      </c>
      <c r="F32" s="5" t="str">
        <f t="shared" si="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2" s="7" t="s">
        <v>100</v>
      </c>
      <c r="H32" s="4">
        <f t="shared" si="10"/>
        <v>66</v>
      </c>
      <c r="I32" s="4" t="str">
        <f t="shared" si="11"/>
        <v>='C:\Users\jaime.benazar\Quorum Business Solutions\Ecopetrol Prometeo - Documents\Planning Space Implementation\3. Analysis &amp; Design\Design\FC22\DRR Jaime\Por presentar a ECP\Cantagallo\Cristalina\[VRC_CRISTALINA_CF_SEC_20221231.xlsx]CF PDP'!$AY$66</v>
      </c>
      <c r="J32" s="4" t="s">
        <v>2034</v>
      </c>
    </row>
    <row r="33" spans="1:10" x14ac:dyDescent="0.35">
      <c r="A33" s="7" t="s">
        <v>14</v>
      </c>
      <c r="B33" s="7">
        <f t="shared" si="7"/>
        <v>2054</v>
      </c>
      <c r="C33" s="4" t="s">
        <v>31</v>
      </c>
      <c r="D33" s="5" t="s">
        <v>2003</v>
      </c>
      <c r="E33" s="10" t="str">
        <f t="shared" si="8"/>
        <v>PDP'!</v>
      </c>
      <c r="F33" s="5" t="str">
        <f t="shared" si="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" s="7" t="s">
        <v>100</v>
      </c>
      <c r="H33" s="4">
        <f t="shared" si="10"/>
        <v>67</v>
      </c>
      <c r="I33" s="4" t="str">
        <f t="shared" si="11"/>
        <v>='C:\Users\jaime.benazar\Quorum Business Solutions\Ecopetrol Prometeo - Documents\Planning Space Implementation\3. Analysis &amp; Design\Design\FC22\DRR Jaime\Por presentar a ECP\Cantagallo\Cristalina\[VRC_CRISTALINA_CF_SEC_20221231.xlsx]CF PDP'!$AY$67</v>
      </c>
      <c r="J33" s="4" t="s">
        <v>2035</v>
      </c>
    </row>
    <row r="34" spans="1:10" x14ac:dyDescent="0.35">
      <c r="A34" s="7" t="s">
        <v>14</v>
      </c>
      <c r="B34" s="7">
        <f t="shared" si="7"/>
        <v>2055</v>
      </c>
      <c r="C34" s="4" t="s">
        <v>31</v>
      </c>
      <c r="D34" s="5" t="s">
        <v>2003</v>
      </c>
      <c r="E34" s="10" t="str">
        <f t="shared" si="8"/>
        <v>PDP'!</v>
      </c>
      <c r="F34" s="5" t="str">
        <f t="shared" si="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4" s="7" t="s">
        <v>100</v>
      </c>
      <c r="H34" s="4">
        <f t="shared" si="10"/>
        <v>68</v>
      </c>
      <c r="I34" s="4" t="str">
        <f t="shared" si="11"/>
        <v>='C:\Users\jaime.benazar\Quorum Business Solutions\Ecopetrol Prometeo - Documents\Planning Space Implementation\3. Analysis &amp; Design\Design\FC22\DRR Jaime\Por presentar a ECP\Cantagallo\Cristalina\[VRC_CRISTALINA_CF_SEC_20221231.xlsx]CF PDP'!$AY$68</v>
      </c>
      <c r="J34" s="4" t="s">
        <v>2036</v>
      </c>
    </row>
    <row r="35" spans="1:10" x14ac:dyDescent="0.35">
      <c r="A35" s="7" t="s">
        <v>14</v>
      </c>
      <c r="B35" s="7">
        <f t="shared" si="7"/>
        <v>2056</v>
      </c>
      <c r="C35" s="4" t="s">
        <v>31</v>
      </c>
      <c r="D35" s="5" t="s">
        <v>2003</v>
      </c>
      <c r="E35" s="10" t="str">
        <f t="shared" si="8"/>
        <v>PDP'!</v>
      </c>
      <c r="F35" s="5" t="str">
        <f t="shared" si="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5" s="7" t="s">
        <v>100</v>
      </c>
      <c r="H35" s="4">
        <f t="shared" si="10"/>
        <v>69</v>
      </c>
      <c r="I35" s="4" t="str">
        <f t="shared" si="11"/>
        <v>='C:\Users\jaime.benazar\Quorum Business Solutions\Ecopetrol Prometeo - Documents\Planning Space Implementation\3. Analysis &amp; Design\Design\FC22\DRR Jaime\Por presentar a ECP\Cantagallo\Cristalina\[VRC_CRISTALINA_CF_SEC_20221231.xlsx]CF PDP'!$AY$69</v>
      </c>
      <c r="J35" s="4" t="s">
        <v>2037</v>
      </c>
    </row>
    <row r="36" spans="1:10" x14ac:dyDescent="0.35">
      <c r="A36" s="7" t="s">
        <v>14</v>
      </c>
      <c r="B36" s="7">
        <f t="shared" si="7"/>
        <v>2057</v>
      </c>
      <c r="C36" s="4" t="s">
        <v>31</v>
      </c>
      <c r="D36" s="5" t="s">
        <v>2003</v>
      </c>
      <c r="E36" s="10" t="str">
        <f t="shared" si="8"/>
        <v>PDP'!</v>
      </c>
      <c r="F36" s="5" t="str">
        <f t="shared" si="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6" s="7" t="s">
        <v>100</v>
      </c>
      <c r="H36" s="4">
        <f t="shared" si="10"/>
        <v>70</v>
      </c>
      <c r="I36" s="4" t="str">
        <f t="shared" si="11"/>
        <v>='C:\Users\jaime.benazar\Quorum Business Solutions\Ecopetrol Prometeo - Documents\Planning Space Implementation\3. Analysis &amp; Design\Design\FC22\DRR Jaime\Por presentar a ECP\Cantagallo\Cristalina\[VRC_CRISTALINA_CF_SEC_20221231.xlsx]CF PDP'!$AY$70</v>
      </c>
      <c r="J36" s="4" t="s">
        <v>2038</v>
      </c>
    </row>
    <row r="37" spans="1:10" x14ac:dyDescent="0.35">
      <c r="A37" s="7" t="s">
        <v>14</v>
      </c>
      <c r="B37" s="7">
        <f t="shared" si="7"/>
        <v>2058</v>
      </c>
      <c r="C37" s="4" t="s">
        <v>31</v>
      </c>
      <c r="D37" s="5" t="s">
        <v>2003</v>
      </c>
      <c r="E37" s="10" t="str">
        <f t="shared" si="8"/>
        <v>PDP'!</v>
      </c>
      <c r="F37" s="5" t="str">
        <f t="shared" si="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" s="7" t="s">
        <v>100</v>
      </c>
      <c r="H37" s="4">
        <f t="shared" si="10"/>
        <v>71</v>
      </c>
      <c r="I37" s="4" t="str">
        <f t="shared" si="11"/>
        <v>='C:\Users\jaime.benazar\Quorum Business Solutions\Ecopetrol Prometeo - Documents\Planning Space Implementation\3. Analysis &amp; Design\Design\FC22\DRR Jaime\Por presentar a ECP\Cantagallo\Cristalina\[VRC_CRISTALINA_CF_SEC_20221231.xlsx]CF PDP'!$AY$71</v>
      </c>
      <c r="J37" s="4" t="s">
        <v>2039</v>
      </c>
    </row>
    <row r="38" spans="1:10" x14ac:dyDescent="0.35">
      <c r="A38" s="7" t="s">
        <v>14</v>
      </c>
      <c r="B38" s="7">
        <f t="shared" si="7"/>
        <v>2059</v>
      </c>
      <c r="C38" s="4" t="s">
        <v>31</v>
      </c>
      <c r="D38" s="5" t="s">
        <v>2003</v>
      </c>
      <c r="E38" s="10" t="str">
        <f t="shared" si="8"/>
        <v>PDP'!</v>
      </c>
      <c r="F38" s="5" t="str">
        <f t="shared" si="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8" s="7" t="s">
        <v>100</v>
      </c>
      <c r="H38" s="4">
        <f t="shared" si="10"/>
        <v>72</v>
      </c>
      <c r="I38" s="4" t="str">
        <f t="shared" si="11"/>
        <v>='C:\Users\jaime.benazar\Quorum Business Solutions\Ecopetrol Prometeo - Documents\Planning Space Implementation\3. Analysis &amp; Design\Design\FC22\DRR Jaime\Por presentar a ECP\Cantagallo\Cristalina\[VRC_CRISTALINA_CF_SEC_20221231.xlsx]CF PDP'!$AY$72</v>
      </c>
      <c r="J38" s="4" t="s">
        <v>2040</v>
      </c>
    </row>
    <row r="39" spans="1:10" x14ac:dyDescent="0.35">
      <c r="A39" s="7" t="s">
        <v>26</v>
      </c>
      <c r="B39" s="7"/>
      <c r="C39" s="4" t="s">
        <v>31</v>
      </c>
      <c r="D39" s="5"/>
      <c r="E39" s="10"/>
      <c r="F39" s="5" t="str">
        <f t="shared" si="1"/>
        <v xml:space="preserve"> </v>
      </c>
      <c r="G39" s="7"/>
      <c r="H39" s="4"/>
      <c r="I39" s="4"/>
      <c r="J39" s="4"/>
    </row>
    <row r="40" spans="1:10" x14ac:dyDescent="0.35">
      <c r="A40" s="7" t="s">
        <v>15</v>
      </c>
      <c r="B40" s="7">
        <v>2023</v>
      </c>
      <c r="C40" s="4" t="s">
        <v>31</v>
      </c>
      <c r="D40" s="5" t="s">
        <v>2003</v>
      </c>
      <c r="E40" s="10" t="str">
        <f t="shared" si="0"/>
        <v>PNP'!</v>
      </c>
      <c r="F40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0" s="7" t="s">
        <v>100</v>
      </c>
      <c r="H40" s="4">
        <f>IF(A40&lt;&gt;A24,36,H24+1)</f>
        <v>36</v>
      </c>
      <c r="I40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PNP'!$AY$36</v>
      </c>
      <c r="J40" s="4" t="s">
        <v>2041</v>
      </c>
    </row>
    <row r="41" spans="1:10" x14ac:dyDescent="0.35">
      <c r="A41" s="7" t="s">
        <v>15</v>
      </c>
      <c r="B41" s="7">
        <f>+B40+1</f>
        <v>2024</v>
      </c>
      <c r="C41" s="4" t="s">
        <v>31</v>
      </c>
      <c r="D41" s="5" t="s">
        <v>2003</v>
      </c>
      <c r="E41" s="10" t="str">
        <f t="shared" si="0"/>
        <v>PNP'!</v>
      </c>
      <c r="F41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1" s="7" t="s">
        <v>100</v>
      </c>
      <c r="H41" s="4">
        <f t="shared" si="4"/>
        <v>37</v>
      </c>
      <c r="I41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PNP'!$AY$37</v>
      </c>
      <c r="J41" s="4" t="s">
        <v>2042</v>
      </c>
    </row>
    <row r="42" spans="1:10" x14ac:dyDescent="0.35">
      <c r="A42" s="7" t="s">
        <v>15</v>
      </c>
      <c r="B42" s="7">
        <f t="shared" ref="B42:B53" si="12">+B41+1</f>
        <v>2025</v>
      </c>
      <c r="C42" s="4" t="s">
        <v>31</v>
      </c>
      <c r="D42" s="5" t="s">
        <v>2003</v>
      </c>
      <c r="E42" s="10" t="str">
        <f t="shared" si="0"/>
        <v>PNP'!</v>
      </c>
      <c r="F42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2" s="7" t="s">
        <v>100</v>
      </c>
      <c r="H42" s="4">
        <f t="shared" si="4"/>
        <v>38</v>
      </c>
      <c r="I42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PNP'!$AY$38</v>
      </c>
      <c r="J42" s="4" t="s">
        <v>2043</v>
      </c>
    </row>
    <row r="43" spans="1:10" x14ac:dyDescent="0.35">
      <c r="A43" s="7" t="s">
        <v>15</v>
      </c>
      <c r="B43" s="7">
        <f t="shared" si="12"/>
        <v>2026</v>
      </c>
      <c r="C43" s="4" t="s">
        <v>31</v>
      </c>
      <c r="D43" s="5" t="s">
        <v>2003</v>
      </c>
      <c r="E43" s="10" t="str">
        <f t="shared" si="0"/>
        <v>PNP'!</v>
      </c>
      <c r="F43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3" s="7" t="s">
        <v>100</v>
      </c>
      <c r="H43" s="4">
        <f t="shared" si="4"/>
        <v>39</v>
      </c>
      <c r="I43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PNP'!$AY$39</v>
      </c>
      <c r="J43" s="4" t="s">
        <v>2044</v>
      </c>
    </row>
    <row r="44" spans="1:10" x14ac:dyDescent="0.35">
      <c r="A44" s="7" t="s">
        <v>15</v>
      </c>
      <c r="B44" s="7">
        <f t="shared" si="12"/>
        <v>2027</v>
      </c>
      <c r="C44" s="4" t="s">
        <v>31</v>
      </c>
      <c r="D44" s="5" t="s">
        <v>2003</v>
      </c>
      <c r="E44" s="10" t="str">
        <f t="shared" si="0"/>
        <v>PNP'!</v>
      </c>
      <c r="F44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4" s="7" t="s">
        <v>100</v>
      </c>
      <c r="H44" s="4">
        <f t="shared" si="4"/>
        <v>40</v>
      </c>
      <c r="I44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PNP'!$AY$40</v>
      </c>
      <c r="J44" s="4" t="s">
        <v>2045</v>
      </c>
    </row>
    <row r="45" spans="1:10" x14ac:dyDescent="0.35">
      <c r="A45" s="7" t="s">
        <v>15</v>
      </c>
      <c r="B45" s="7">
        <f t="shared" si="12"/>
        <v>2028</v>
      </c>
      <c r="C45" s="4" t="s">
        <v>31</v>
      </c>
      <c r="D45" s="5" t="s">
        <v>2003</v>
      </c>
      <c r="E45" s="10" t="str">
        <f t="shared" si="0"/>
        <v>PNP'!</v>
      </c>
      <c r="F45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5" s="7" t="s">
        <v>100</v>
      </c>
      <c r="H45" s="4">
        <f t="shared" si="4"/>
        <v>41</v>
      </c>
      <c r="I45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PNP'!$AY$41</v>
      </c>
      <c r="J45" s="4" t="s">
        <v>2046</v>
      </c>
    </row>
    <row r="46" spans="1:10" x14ac:dyDescent="0.35">
      <c r="A46" s="7" t="s">
        <v>15</v>
      </c>
      <c r="B46" s="7">
        <f t="shared" si="12"/>
        <v>2029</v>
      </c>
      <c r="C46" s="4" t="s">
        <v>31</v>
      </c>
      <c r="D46" s="5" t="s">
        <v>2003</v>
      </c>
      <c r="E46" s="10" t="str">
        <f t="shared" si="0"/>
        <v>PNP'!</v>
      </c>
      <c r="F46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6" s="7" t="s">
        <v>100</v>
      </c>
      <c r="H46" s="4">
        <f t="shared" si="4"/>
        <v>42</v>
      </c>
      <c r="I46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PNP'!$AY$42</v>
      </c>
      <c r="J46" s="4" t="s">
        <v>2047</v>
      </c>
    </row>
    <row r="47" spans="1:10" x14ac:dyDescent="0.35">
      <c r="A47" s="7" t="s">
        <v>15</v>
      </c>
      <c r="B47" s="7">
        <f t="shared" si="12"/>
        <v>2030</v>
      </c>
      <c r="C47" s="4" t="s">
        <v>31</v>
      </c>
      <c r="D47" s="5" t="s">
        <v>2003</v>
      </c>
      <c r="E47" s="10" t="str">
        <f t="shared" si="0"/>
        <v>PNP'!</v>
      </c>
      <c r="F47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7" s="7" t="s">
        <v>100</v>
      </c>
      <c r="H47" s="4">
        <f t="shared" si="4"/>
        <v>43</v>
      </c>
      <c r="I47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PNP'!$AY$43</v>
      </c>
      <c r="J47" s="4" t="s">
        <v>2048</v>
      </c>
    </row>
    <row r="48" spans="1:10" x14ac:dyDescent="0.35">
      <c r="A48" s="7" t="s">
        <v>15</v>
      </c>
      <c r="B48" s="7">
        <f t="shared" si="12"/>
        <v>2031</v>
      </c>
      <c r="C48" s="4" t="s">
        <v>31</v>
      </c>
      <c r="D48" s="5" t="s">
        <v>2003</v>
      </c>
      <c r="E48" s="10" t="str">
        <f t="shared" si="0"/>
        <v>PNP'!</v>
      </c>
      <c r="F48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8" s="7" t="s">
        <v>100</v>
      </c>
      <c r="H48" s="4">
        <f t="shared" si="4"/>
        <v>44</v>
      </c>
      <c r="I48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PNP'!$AY$44</v>
      </c>
      <c r="J48" s="4" t="s">
        <v>2049</v>
      </c>
    </row>
    <row r="49" spans="1:10" x14ac:dyDescent="0.35">
      <c r="A49" s="7" t="s">
        <v>15</v>
      </c>
      <c r="B49" s="7">
        <f t="shared" si="12"/>
        <v>2032</v>
      </c>
      <c r="C49" s="4" t="s">
        <v>31</v>
      </c>
      <c r="D49" s="5" t="s">
        <v>2003</v>
      </c>
      <c r="E49" s="10" t="str">
        <f t="shared" si="0"/>
        <v>PNP'!</v>
      </c>
      <c r="F49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9" s="7" t="s">
        <v>100</v>
      </c>
      <c r="H49" s="4">
        <f t="shared" si="4"/>
        <v>45</v>
      </c>
      <c r="I49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PNP'!$AY$45</v>
      </c>
      <c r="J49" s="4" t="s">
        <v>2050</v>
      </c>
    </row>
    <row r="50" spans="1:10" x14ac:dyDescent="0.35">
      <c r="A50" s="7" t="s">
        <v>15</v>
      </c>
      <c r="B50" s="7">
        <f t="shared" si="12"/>
        <v>2033</v>
      </c>
      <c r="C50" s="4" t="s">
        <v>31</v>
      </c>
      <c r="D50" s="5" t="s">
        <v>2003</v>
      </c>
      <c r="E50" s="10" t="str">
        <f t="shared" si="0"/>
        <v>PNP'!</v>
      </c>
      <c r="F50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50" s="7" t="s">
        <v>100</v>
      </c>
      <c r="H50" s="4">
        <f t="shared" si="4"/>
        <v>46</v>
      </c>
      <c r="I50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PNP'!$AY$46</v>
      </c>
      <c r="J50" s="4" t="s">
        <v>2051</v>
      </c>
    </row>
    <row r="51" spans="1:10" x14ac:dyDescent="0.35">
      <c r="A51" s="7" t="s">
        <v>15</v>
      </c>
      <c r="B51" s="7">
        <f t="shared" si="12"/>
        <v>2034</v>
      </c>
      <c r="C51" s="4" t="s">
        <v>31</v>
      </c>
      <c r="D51" s="5" t="s">
        <v>2003</v>
      </c>
      <c r="E51" s="10" t="str">
        <f t="shared" si="0"/>
        <v>PNP'!</v>
      </c>
      <c r="F51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51" s="7" t="s">
        <v>100</v>
      </c>
      <c r="H51" s="4">
        <f t="shared" si="4"/>
        <v>47</v>
      </c>
      <c r="I51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PNP'!$AY$47</v>
      </c>
      <c r="J51" s="4" t="s">
        <v>2052</v>
      </c>
    </row>
    <row r="52" spans="1:10" x14ac:dyDescent="0.35">
      <c r="A52" s="7" t="s">
        <v>15</v>
      </c>
      <c r="B52" s="7">
        <f t="shared" si="12"/>
        <v>2035</v>
      </c>
      <c r="C52" s="4" t="s">
        <v>31</v>
      </c>
      <c r="D52" s="5" t="s">
        <v>2003</v>
      </c>
      <c r="E52" s="10" t="str">
        <f t="shared" si="0"/>
        <v>PNP'!</v>
      </c>
      <c r="F52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52" s="7" t="s">
        <v>100</v>
      </c>
      <c r="H52" s="4">
        <f t="shared" si="4"/>
        <v>48</v>
      </c>
      <c r="I52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PNP'!$AY$48</v>
      </c>
      <c r="J52" s="4" t="s">
        <v>2053</v>
      </c>
    </row>
    <row r="53" spans="1:10" x14ac:dyDescent="0.35">
      <c r="A53" s="7" t="s">
        <v>15</v>
      </c>
      <c r="B53" s="7">
        <f t="shared" si="12"/>
        <v>2036</v>
      </c>
      <c r="C53" s="4" t="s">
        <v>31</v>
      </c>
      <c r="D53" s="5" t="s">
        <v>2003</v>
      </c>
      <c r="E53" s="10" t="str">
        <f t="shared" si="0"/>
        <v>PNP'!</v>
      </c>
      <c r="F53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53" s="7" t="s">
        <v>100</v>
      </c>
      <c r="H53" s="4">
        <f t="shared" si="4"/>
        <v>49</v>
      </c>
      <c r="I53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PNP'!$AY$49</v>
      </c>
      <c r="J53" s="4" t="s">
        <v>2054</v>
      </c>
    </row>
    <row r="54" spans="1:10" x14ac:dyDescent="0.35">
      <c r="A54" s="7" t="s">
        <v>15</v>
      </c>
      <c r="B54" s="7">
        <f>+B53+1</f>
        <v>2037</v>
      </c>
      <c r="C54" s="4" t="s">
        <v>31</v>
      </c>
      <c r="D54" s="5" t="s">
        <v>2003</v>
      </c>
      <c r="E54" s="10" t="str">
        <f t="shared" si="0"/>
        <v>PNP'!</v>
      </c>
      <c r="F54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54" s="7" t="s">
        <v>100</v>
      </c>
      <c r="H54" s="4">
        <f t="shared" si="4"/>
        <v>50</v>
      </c>
      <c r="I54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PNP'!$AY$50</v>
      </c>
      <c r="J54" s="4" t="s">
        <v>2055</v>
      </c>
    </row>
    <row r="55" spans="1:10" x14ac:dyDescent="0.35">
      <c r="A55" s="7" t="s">
        <v>15</v>
      </c>
      <c r="B55" s="7">
        <f t="shared" ref="B55:B57" si="13">+B54+1</f>
        <v>2038</v>
      </c>
      <c r="C55" s="4" t="s">
        <v>31</v>
      </c>
      <c r="D55" s="5" t="s">
        <v>2003</v>
      </c>
      <c r="E55" s="10" t="str">
        <f t="shared" si="0"/>
        <v>PNP'!</v>
      </c>
      <c r="F55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55" s="7" t="s">
        <v>100</v>
      </c>
      <c r="H55" s="4">
        <f t="shared" si="4"/>
        <v>51</v>
      </c>
      <c r="I55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PNP'!$AY$51</v>
      </c>
      <c r="J55" s="4" t="s">
        <v>2056</v>
      </c>
    </row>
    <row r="56" spans="1:10" x14ac:dyDescent="0.35">
      <c r="A56" s="7" t="s">
        <v>15</v>
      </c>
      <c r="B56" s="7">
        <f t="shared" si="13"/>
        <v>2039</v>
      </c>
      <c r="C56" s="4" t="s">
        <v>31</v>
      </c>
      <c r="D56" s="5" t="s">
        <v>2003</v>
      </c>
      <c r="E56" s="10" t="str">
        <f t="shared" si="0"/>
        <v>PNP'!</v>
      </c>
      <c r="F56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56" s="7" t="s">
        <v>100</v>
      </c>
      <c r="H56" s="4">
        <f t="shared" si="4"/>
        <v>52</v>
      </c>
      <c r="I56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PNP'!$AY$52</v>
      </c>
      <c r="J56" s="4" t="s">
        <v>2057</v>
      </c>
    </row>
    <row r="57" spans="1:10" x14ac:dyDescent="0.35">
      <c r="A57" s="7" t="s">
        <v>15</v>
      </c>
      <c r="B57" s="7">
        <f t="shared" si="13"/>
        <v>2040</v>
      </c>
      <c r="C57" s="4" t="s">
        <v>31</v>
      </c>
      <c r="D57" s="5" t="s">
        <v>2003</v>
      </c>
      <c r="E57" s="10" t="str">
        <f t="shared" si="0"/>
        <v>PNP'!</v>
      </c>
      <c r="F57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57" s="7" t="s">
        <v>100</v>
      </c>
      <c r="H57" s="4">
        <f t="shared" si="4"/>
        <v>53</v>
      </c>
      <c r="I57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PNP'!$AY$53</v>
      </c>
      <c r="J57" s="4" t="s">
        <v>2058</v>
      </c>
    </row>
    <row r="58" spans="1:10" x14ac:dyDescent="0.35">
      <c r="A58" s="7" t="s">
        <v>15</v>
      </c>
      <c r="B58" s="7">
        <f>+B57+1</f>
        <v>2041</v>
      </c>
      <c r="C58" s="4" t="s">
        <v>31</v>
      </c>
      <c r="D58" s="5" t="s">
        <v>2003</v>
      </c>
      <c r="E58" s="10" t="str">
        <f t="shared" si="0"/>
        <v>PNP'!</v>
      </c>
      <c r="F58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58" s="7" t="s">
        <v>100</v>
      </c>
      <c r="H58" s="4">
        <f t="shared" si="4"/>
        <v>54</v>
      </c>
      <c r="I58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PNP'!$AY$54</v>
      </c>
      <c r="J58" s="4" t="s">
        <v>2059</v>
      </c>
    </row>
    <row r="59" spans="1:10" x14ac:dyDescent="0.35">
      <c r="A59" s="7" t="s">
        <v>15</v>
      </c>
      <c r="B59" s="7">
        <f t="shared" ref="B59:B60" si="14">+B58+1</f>
        <v>2042</v>
      </c>
      <c r="C59" s="4" t="s">
        <v>31</v>
      </c>
      <c r="D59" s="5" t="s">
        <v>2003</v>
      </c>
      <c r="E59" s="10" t="str">
        <f t="shared" si="0"/>
        <v>PNP'!</v>
      </c>
      <c r="F59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59" s="7" t="s">
        <v>100</v>
      </c>
      <c r="H59" s="4">
        <f t="shared" si="4"/>
        <v>55</v>
      </c>
      <c r="I59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PNP'!$AY$55</v>
      </c>
      <c r="J59" s="4" t="s">
        <v>2060</v>
      </c>
    </row>
    <row r="60" spans="1:10" x14ac:dyDescent="0.35">
      <c r="A60" s="7" t="s">
        <v>15</v>
      </c>
      <c r="B60" s="7">
        <f t="shared" si="14"/>
        <v>2043</v>
      </c>
      <c r="C60" s="4" t="s">
        <v>31</v>
      </c>
      <c r="D60" s="5" t="s">
        <v>2003</v>
      </c>
      <c r="E60" s="10" t="str">
        <f t="shared" si="0"/>
        <v>PNP'!</v>
      </c>
      <c r="F60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60" s="7" t="s">
        <v>100</v>
      </c>
      <c r="H60" s="4">
        <f t="shared" si="4"/>
        <v>56</v>
      </c>
      <c r="I60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PNP'!$AY$56</v>
      </c>
      <c r="J60" s="4" t="s">
        <v>2061</v>
      </c>
    </row>
    <row r="61" spans="1:10" x14ac:dyDescent="0.35">
      <c r="A61" s="7" t="s">
        <v>15</v>
      </c>
      <c r="B61" s="7">
        <f>+B60+1</f>
        <v>2044</v>
      </c>
      <c r="C61" s="4" t="s">
        <v>31</v>
      </c>
      <c r="D61" s="5" t="s">
        <v>2003</v>
      </c>
      <c r="E61" s="10" t="str">
        <f t="shared" si="0"/>
        <v>PNP'!</v>
      </c>
      <c r="F61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61" s="7" t="s">
        <v>100</v>
      </c>
      <c r="H61" s="4">
        <f t="shared" si="4"/>
        <v>57</v>
      </c>
      <c r="I61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PNP'!$AY$57</v>
      </c>
      <c r="J61" s="4" t="s">
        <v>2062</v>
      </c>
    </row>
    <row r="62" spans="1:10" x14ac:dyDescent="0.35">
      <c r="A62" s="7" t="s">
        <v>15</v>
      </c>
      <c r="B62" s="7">
        <f t="shared" ref="B62:B76" si="15">+B61+1</f>
        <v>2045</v>
      </c>
      <c r="C62" s="4" t="s">
        <v>31</v>
      </c>
      <c r="D62" s="5" t="s">
        <v>2003</v>
      </c>
      <c r="E62" s="10" t="str">
        <f t="shared" si="0"/>
        <v>PNP'!</v>
      </c>
      <c r="F62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62" s="7" t="s">
        <v>100</v>
      </c>
      <c r="H62" s="4">
        <f t="shared" si="4"/>
        <v>58</v>
      </c>
      <c r="I62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PNP'!$AY$58</v>
      </c>
      <c r="J62" s="4" t="s">
        <v>2063</v>
      </c>
    </row>
    <row r="63" spans="1:10" x14ac:dyDescent="0.35">
      <c r="A63" s="7" t="s">
        <v>15</v>
      </c>
      <c r="B63" s="7">
        <f t="shared" si="15"/>
        <v>2046</v>
      </c>
      <c r="C63" s="4" t="s">
        <v>31</v>
      </c>
      <c r="D63" s="5" t="s">
        <v>2003</v>
      </c>
      <c r="E63" s="10" t="str">
        <f t="shared" ref="E63:E76" si="16">_xlfn.CONCAT(A63,"'!")</f>
        <v>PNP'!</v>
      </c>
      <c r="F63" s="5" t="str">
        <f t="shared" ref="F63:F76" si="17">_xlfn.CONCAT(D63," ",E63)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63" s="7" t="s">
        <v>100</v>
      </c>
      <c r="H63" s="4">
        <f t="shared" ref="H63:H76" si="18">IF(A63&lt;&gt;A62,36,H62+1)</f>
        <v>59</v>
      </c>
      <c r="I63" s="4" t="str">
        <f t="shared" ref="I63:I76" si="19">_xlfn.CONCAT("='",F63:H63)</f>
        <v>='C:\Users\jaime.benazar\Quorum Business Solutions\Ecopetrol Prometeo - Documents\Planning Space Implementation\3. Analysis &amp; Design\Design\FC22\DRR Jaime\Por presentar a ECP\Cantagallo\Cristalina\[VRC_CRISTALINA_CF_SEC_20221231.xlsx]CF PNP'!$AY$59</v>
      </c>
      <c r="J63" s="4" t="s">
        <v>2064</v>
      </c>
    </row>
    <row r="64" spans="1:10" x14ac:dyDescent="0.35">
      <c r="A64" s="7" t="s">
        <v>15</v>
      </c>
      <c r="B64" s="7">
        <f t="shared" si="15"/>
        <v>2047</v>
      </c>
      <c r="C64" s="4" t="s">
        <v>31</v>
      </c>
      <c r="D64" s="5" t="s">
        <v>2003</v>
      </c>
      <c r="E64" s="10" t="str">
        <f t="shared" si="16"/>
        <v>PNP'!</v>
      </c>
      <c r="F64" s="5" t="str">
        <f t="shared" si="1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64" s="7" t="s">
        <v>100</v>
      </c>
      <c r="H64" s="4">
        <f t="shared" si="18"/>
        <v>60</v>
      </c>
      <c r="I64" s="4" t="str">
        <f t="shared" si="19"/>
        <v>='C:\Users\jaime.benazar\Quorum Business Solutions\Ecopetrol Prometeo - Documents\Planning Space Implementation\3. Analysis &amp; Design\Design\FC22\DRR Jaime\Por presentar a ECP\Cantagallo\Cristalina\[VRC_CRISTALINA_CF_SEC_20221231.xlsx]CF PNP'!$AY$60</v>
      </c>
      <c r="J64" s="4" t="s">
        <v>2065</v>
      </c>
    </row>
    <row r="65" spans="1:10" x14ac:dyDescent="0.35">
      <c r="A65" s="7" t="s">
        <v>15</v>
      </c>
      <c r="B65" s="7">
        <f t="shared" si="15"/>
        <v>2048</v>
      </c>
      <c r="C65" s="4" t="s">
        <v>31</v>
      </c>
      <c r="D65" s="5" t="s">
        <v>2003</v>
      </c>
      <c r="E65" s="10" t="str">
        <f t="shared" si="16"/>
        <v>PNP'!</v>
      </c>
      <c r="F65" s="5" t="str">
        <f t="shared" si="1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65" s="7" t="s">
        <v>100</v>
      </c>
      <c r="H65" s="4">
        <f t="shared" si="18"/>
        <v>61</v>
      </c>
      <c r="I65" s="4" t="str">
        <f t="shared" si="19"/>
        <v>='C:\Users\jaime.benazar\Quorum Business Solutions\Ecopetrol Prometeo - Documents\Planning Space Implementation\3. Analysis &amp; Design\Design\FC22\DRR Jaime\Por presentar a ECP\Cantagallo\Cristalina\[VRC_CRISTALINA_CF_SEC_20221231.xlsx]CF PNP'!$AY$61</v>
      </c>
      <c r="J65" s="4" t="s">
        <v>2066</v>
      </c>
    </row>
    <row r="66" spans="1:10" x14ac:dyDescent="0.35">
      <c r="A66" s="7" t="s">
        <v>15</v>
      </c>
      <c r="B66" s="7">
        <f t="shared" si="15"/>
        <v>2049</v>
      </c>
      <c r="C66" s="4" t="s">
        <v>31</v>
      </c>
      <c r="D66" s="5" t="s">
        <v>2003</v>
      </c>
      <c r="E66" s="10" t="str">
        <f t="shared" si="16"/>
        <v>PNP'!</v>
      </c>
      <c r="F66" s="5" t="str">
        <f t="shared" si="1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66" s="7" t="s">
        <v>100</v>
      </c>
      <c r="H66" s="4">
        <f t="shared" si="18"/>
        <v>62</v>
      </c>
      <c r="I66" s="4" t="str">
        <f t="shared" si="19"/>
        <v>='C:\Users\jaime.benazar\Quorum Business Solutions\Ecopetrol Prometeo - Documents\Planning Space Implementation\3. Analysis &amp; Design\Design\FC22\DRR Jaime\Por presentar a ECP\Cantagallo\Cristalina\[VRC_CRISTALINA_CF_SEC_20221231.xlsx]CF PNP'!$AY$62</v>
      </c>
      <c r="J66" s="4" t="s">
        <v>2067</v>
      </c>
    </row>
    <row r="67" spans="1:10" x14ac:dyDescent="0.35">
      <c r="A67" s="7" t="s">
        <v>15</v>
      </c>
      <c r="B67" s="7">
        <f t="shared" si="15"/>
        <v>2050</v>
      </c>
      <c r="C67" s="4" t="s">
        <v>31</v>
      </c>
      <c r="D67" s="5" t="s">
        <v>2003</v>
      </c>
      <c r="E67" s="10" t="str">
        <f t="shared" si="16"/>
        <v>PNP'!</v>
      </c>
      <c r="F67" s="5" t="str">
        <f t="shared" si="1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67" s="7" t="s">
        <v>100</v>
      </c>
      <c r="H67" s="4">
        <f t="shared" si="18"/>
        <v>63</v>
      </c>
      <c r="I67" s="4" t="str">
        <f t="shared" si="19"/>
        <v>='C:\Users\jaime.benazar\Quorum Business Solutions\Ecopetrol Prometeo - Documents\Planning Space Implementation\3. Analysis &amp; Design\Design\FC22\DRR Jaime\Por presentar a ECP\Cantagallo\Cristalina\[VRC_CRISTALINA_CF_SEC_20221231.xlsx]CF PNP'!$AY$63</v>
      </c>
      <c r="J67" s="4" t="s">
        <v>2068</v>
      </c>
    </row>
    <row r="68" spans="1:10" x14ac:dyDescent="0.35">
      <c r="A68" s="7" t="s">
        <v>15</v>
      </c>
      <c r="B68" s="7">
        <f t="shared" si="15"/>
        <v>2051</v>
      </c>
      <c r="C68" s="4" t="s">
        <v>31</v>
      </c>
      <c r="D68" s="5" t="s">
        <v>2003</v>
      </c>
      <c r="E68" s="10" t="str">
        <f t="shared" si="16"/>
        <v>PNP'!</v>
      </c>
      <c r="F68" s="5" t="str">
        <f t="shared" si="1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68" s="7" t="s">
        <v>100</v>
      </c>
      <c r="H68" s="4">
        <f t="shared" si="18"/>
        <v>64</v>
      </c>
      <c r="I68" s="4" t="str">
        <f t="shared" si="19"/>
        <v>='C:\Users\jaime.benazar\Quorum Business Solutions\Ecopetrol Prometeo - Documents\Planning Space Implementation\3. Analysis &amp; Design\Design\FC22\DRR Jaime\Por presentar a ECP\Cantagallo\Cristalina\[VRC_CRISTALINA_CF_SEC_20221231.xlsx]CF PNP'!$AY$64</v>
      </c>
      <c r="J68" s="4" t="s">
        <v>2069</v>
      </c>
    </row>
    <row r="69" spans="1:10" x14ac:dyDescent="0.35">
      <c r="A69" s="7" t="s">
        <v>15</v>
      </c>
      <c r="B69" s="7">
        <f t="shared" si="15"/>
        <v>2052</v>
      </c>
      <c r="C69" s="4" t="s">
        <v>31</v>
      </c>
      <c r="D69" s="5" t="s">
        <v>2003</v>
      </c>
      <c r="E69" s="10" t="str">
        <f t="shared" si="16"/>
        <v>PNP'!</v>
      </c>
      <c r="F69" s="5" t="str">
        <f t="shared" si="1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69" s="7" t="s">
        <v>100</v>
      </c>
      <c r="H69" s="4">
        <f t="shared" si="18"/>
        <v>65</v>
      </c>
      <c r="I69" s="4" t="str">
        <f t="shared" si="19"/>
        <v>='C:\Users\jaime.benazar\Quorum Business Solutions\Ecopetrol Prometeo - Documents\Planning Space Implementation\3. Analysis &amp; Design\Design\FC22\DRR Jaime\Por presentar a ECP\Cantagallo\Cristalina\[VRC_CRISTALINA_CF_SEC_20221231.xlsx]CF PNP'!$AY$65</v>
      </c>
      <c r="J69" s="4" t="s">
        <v>2070</v>
      </c>
    </row>
    <row r="70" spans="1:10" x14ac:dyDescent="0.35">
      <c r="A70" s="7" t="s">
        <v>15</v>
      </c>
      <c r="B70" s="7">
        <f t="shared" si="15"/>
        <v>2053</v>
      </c>
      <c r="C70" s="4" t="s">
        <v>31</v>
      </c>
      <c r="D70" s="5" t="s">
        <v>2003</v>
      </c>
      <c r="E70" s="10" t="str">
        <f t="shared" si="16"/>
        <v>PNP'!</v>
      </c>
      <c r="F70" s="5" t="str">
        <f t="shared" si="1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70" s="7" t="s">
        <v>100</v>
      </c>
      <c r="H70" s="4">
        <f t="shared" si="18"/>
        <v>66</v>
      </c>
      <c r="I70" s="4" t="str">
        <f t="shared" si="19"/>
        <v>='C:\Users\jaime.benazar\Quorum Business Solutions\Ecopetrol Prometeo - Documents\Planning Space Implementation\3. Analysis &amp; Design\Design\FC22\DRR Jaime\Por presentar a ECP\Cantagallo\Cristalina\[VRC_CRISTALINA_CF_SEC_20221231.xlsx]CF PNP'!$AY$66</v>
      </c>
      <c r="J70" s="4" t="s">
        <v>2071</v>
      </c>
    </row>
    <row r="71" spans="1:10" x14ac:dyDescent="0.35">
      <c r="A71" s="7" t="s">
        <v>15</v>
      </c>
      <c r="B71" s="7">
        <f t="shared" si="15"/>
        <v>2054</v>
      </c>
      <c r="C71" s="4" t="s">
        <v>31</v>
      </c>
      <c r="D71" s="5" t="s">
        <v>2003</v>
      </c>
      <c r="E71" s="10" t="str">
        <f t="shared" si="16"/>
        <v>PNP'!</v>
      </c>
      <c r="F71" s="5" t="str">
        <f t="shared" si="1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71" s="7" t="s">
        <v>100</v>
      </c>
      <c r="H71" s="4">
        <f t="shared" si="18"/>
        <v>67</v>
      </c>
      <c r="I71" s="4" t="str">
        <f t="shared" si="19"/>
        <v>='C:\Users\jaime.benazar\Quorum Business Solutions\Ecopetrol Prometeo - Documents\Planning Space Implementation\3. Analysis &amp; Design\Design\FC22\DRR Jaime\Por presentar a ECP\Cantagallo\Cristalina\[VRC_CRISTALINA_CF_SEC_20221231.xlsx]CF PNP'!$AY$67</v>
      </c>
      <c r="J71" s="4" t="s">
        <v>2072</v>
      </c>
    </row>
    <row r="72" spans="1:10" x14ac:dyDescent="0.35">
      <c r="A72" s="7" t="s">
        <v>15</v>
      </c>
      <c r="B72" s="7">
        <f t="shared" si="15"/>
        <v>2055</v>
      </c>
      <c r="C72" s="4" t="s">
        <v>31</v>
      </c>
      <c r="D72" s="5" t="s">
        <v>2003</v>
      </c>
      <c r="E72" s="10" t="str">
        <f t="shared" si="16"/>
        <v>PNP'!</v>
      </c>
      <c r="F72" s="5" t="str">
        <f t="shared" si="1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72" s="7" t="s">
        <v>100</v>
      </c>
      <c r="H72" s="4">
        <f t="shared" si="18"/>
        <v>68</v>
      </c>
      <c r="I72" s="4" t="str">
        <f t="shared" si="19"/>
        <v>='C:\Users\jaime.benazar\Quorum Business Solutions\Ecopetrol Prometeo - Documents\Planning Space Implementation\3. Analysis &amp; Design\Design\FC22\DRR Jaime\Por presentar a ECP\Cantagallo\Cristalina\[VRC_CRISTALINA_CF_SEC_20221231.xlsx]CF PNP'!$AY$68</v>
      </c>
      <c r="J72" s="4" t="s">
        <v>2073</v>
      </c>
    </row>
    <row r="73" spans="1:10" x14ac:dyDescent="0.35">
      <c r="A73" s="7" t="s">
        <v>15</v>
      </c>
      <c r="B73" s="7">
        <f t="shared" si="15"/>
        <v>2056</v>
      </c>
      <c r="C73" s="4" t="s">
        <v>31</v>
      </c>
      <c r="D73" s="5" t="s">
        <v>2003</v>
      </c>
      <c r="E73" s="10" t="str">
        <f t="shared" si="16"/>
        <v>PNP'!</v>
      </c>
      <c r="F73" s="5" t="str">
        <f t="shared" si="1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73" s="7" t="s">
        <v>100</v>
      </c>
      <c r="H73" s="4">
        <f t="shared" si="18"/>
        <v>69</v>
      </c>
      <c r="I73" s="4" t="str">
        <f t="shared" si="19"/>
        <v>='C:\Users\jaime.benazar\Quorum Business Solutions\Ecopetrol Prometeo - Documents\Planning Space Implementation\3. Analysis &amp; Design\Design\FC22\DRR Jaime\Por presentar a ECP\Cantagallo\Cristalina\[VRC_CRISTALINA_CF_SEC_20221231.xlsx]CF PNP'!$AY$69</v>
      </c>
      <c r="J73" s="4" t="s">
        <v>2074</v>
      </c>
    </row>
    <row r="74" spans="1:10" x14ac:dyDescent="0.35">
      <c r="A74" s="7" t="s">
        <v>15</v>
      </c>
      <c r="B74" s="7">
        <f t="shared" si="15"/>
        <v>2057</v>
      </c>
      <c r="C74" s="4" t="s">
        <v>31</v>
      </c>
      <c r="D74" s="5" t="s">
        <v>2003</v>
      </c>
      <c r="E74" s="10" t="str">
        <f t="shared" si="16"/>
        <v>PNP'!</v>
      </c>
      <c r="F74" s="5" t="str">
        <f t="shared" si="1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74" s="7" t="s">
        <v>100</v>
      </c>
      <c r="H74" s="4">
        <f t="shared" si="18"/>
        <v>70</v>
      </c>
      <c r="I74" s="4" t="str">
        <f t="shared" si="19"/>
        <v>='C:\Users\jaime.benazar\Quorum Business Solutions\Ecopetrol Prometeo - Documents\Planning Space Implementation\3. Analysis &amp; Design\Design\FC22\DRR Jaime\Por presentar a ECP\Cantagallo\Cristalina\[VRC_CRISTALINA_CF_SEC_20221231.xlsx]CF PNP'!$AY$70</v>
      </c>
      <c r="J74" s="4" t="s">
        <v>2075</v>
      </c>
    </row>
    <row r="75" spans="1:10" x14ac:dyDescent="0.35">
      <c r="A75" s="7" t="s">
        <v>15</v>
      </c>
      <c r="B75" s="7">
        <f t="shared" si="15"/>
        <v>2058</v>
      </c>
      <c r="C75" s="4" t="s">
        <v>31</v>
      </c>
      <c r="D75" s="5" t="s">
        <v>2003</v>
      </c>
      <c r="E75" s="10" t="str">
        <f t="shared" si="16"/>
        <v>PNP'!</v>
      </c>
      <c r="F75" s="5" t="str">
        <f t="shared" si="1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75" s="7" t="s">
        <v>100</v>
      </c>
      <c r="H75" s="4">
        <f t="shared" si="18"/>
        <v>71</v>
      </c>
      <c r="I75" s="4" t="str">
        <f t="shared" si="19"/>
        <v>='C:\Users\jaime.benazar\Quorum Business Solutions\Ecopetrol Prometeo - Documents\Planning Space Implementation\3. Analysis &amp; Design\Design\FC22\DRR Jaime\Por presentar a ECP\Cantagallo\Cristalina\[VRC_CRISTALINA_CF_SEC_20221231.xlsx]CF PNP'!$AY$71</v>
      </c>
      <c r="J75" s="4" t="s">
        <v>2076</v>
      </c>
    </row>
    <row r="76" spans="1:10" x14ac:dyDescent="0.35">
      <c r="A76" s="7" t="s">
        <v>15</v>
      </c>
      <c r="B76" s="7">
        <f t="shared" si="15"/>
        <v>2059</v>
      </c>
      <c r="C76" s="4" t="s">
        <v>31</v>
      </c>
      <c r="D76" s="5" t="s">
        <v>2003</v>
      </c>
      <c r="E76" s="10" t="str">
        <f t="shared" si="16"/>
        <v>PNP'!</v>
      </c>
      <c r="F76" s="5" t="str">
        <f t="shared" si="1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76" s="7" t="s">
        <v>100</v>
      </c>
      <c r="H76" s="4">
        <f t="shared" si="18"/>
        <v>72</v>
      </c>
      <c r="I76" s="4" t="str">
        <f t="shared" si="19"/>
        <v>='C:\Users\jaime.benazar\Quorum Business Solutions\Ecopetrol Prometeo - Documents\Planning Space Implementation\3. Analysis &amp; Design\Design\FC22\DRR Jaime\Por presentar a ECP\Cantagallo\Cristalina\[VRC_CRISTALINA_CF_SEC_20221231.xlsx]CF PNP'!$AY$72</v>
      </c>
      <c r="J76" s="4" t="s">
        <v>2077</v>
      </c>
    </row>
    <row r="77" spans="1:10" x14ac:dyDescent="0.35">
      <c r="A77" s="7" t="s">
        <v>26</v>
      </c>
      <c r="B77" s="7"/>
      <c r="C77" s="4" t="s">
        <v>31</v>
      </c>
      <c r="D77" s="5"/>
      <c r="E77" s="10"/>
      <c r="F77" s="5" t="str">
        <f t="shared" si="1"/>
        <v xml:space="preserve"> </v>
      </c>
      <c r="G77" s="7"/>
      <c r="H77" s="4"/>
      <c r="I77" s="4"/>
      <c r="J77" s="4"/>
    </row>
    <row r="78" spans="1:10" x14ac:dyDescent="0.35">
      <c r="A78" s="7" t="s">
        <v>16</v>
      </c>
      <c r="B78" s="7">
        <v>2023</v>
      </c>
      <c r="C78" s="4" t="s">
        <v>31</v>
      </c>
      <c r="D78" s="5" t="s">
        <v>2003</v>
      </c>
      <c r="E78" s="10" t="str">
        <f t="shared" si="0"/>
        <v>PND'!</v>
      </c>
      <c r="F78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78" s="7" t="s">
        <v>100</v>
      </c>
      <c r="H78" s="4">
        <f>IF(A78&lt;&gt;A62,36,H62+1)</f>
        <v>36</v>
      </c>
      <c r="I78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PND'!$AY$36</v>
      </c>
      <c r="J78" s="4" t="s">
        <v>2078</v>
      </c>
    </row>
    <row r="79" spans="1:10" x14ac:dyDescent="0.35">
      <c r="A79" s="7" t="s">
        <v>16</v>
      </c>
      <c r="B79" s="7">
        <f>+B78+1</f>
        <v>2024</v>
      </c>
      <c r="C79" s="4" t="s">
        <v>31</v>
      </c>
      <c r="D79" s="5" t="s">
        <v>2003</v>
      </c>
      <c r="E79" s="10" t="str">
        <f t="shared" si="0"/>
        <v>PND'!</v>
      </c>
      <c r="F79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79" s="7" t="s">
        <v>100</v>
      </c>
      <c r="H79" s="4">
        <f t="shared" si="4"/>
        <v>37</v>
      </c>
      <c r="I79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PND'!$AY$37</v>
      </c>
      <c r="J79" s="4" t="s">
        <v>2079</v>
      </c>
    </row>
    <row r="80" spans="1:10" x14ac:dyDescent="0.35">
      <c r="A80" s="7" t="s">
        <v>16</v>
      </c>
      <c r="B80" s="7">
        <f t="shared" ref="B80:B91" si="20">+B79+1</f>
        <v>2025</v>
      </c>
      <c r="C80" s="4" t="s">
        <v>31</v>
      </c>
      <c r="D80" s="5" t="s">
        <v>2003</v>
      </c>
      <c r="E80" s="10" t="str">
        <f t="shared" si="0"/>
        <v>PND'!</v>
      </c>
      <c r="F80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80" s="7" t="s">
        <v>100</v>
      </c>
      <c r="H80" s="4">
        <f t="shared" si="4"/>
        <v>38</v>
      </c>
      <c r="I80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PND'!$AY$38</v>
      </c>
      <c r="J80" s="4" t="s">
        <v>2080</v>
      </c>
    </row>
    <row r="81" spans="1:10" x14ac:dyDescent="0.35">
      <c r="A81" s="7" t="s">
        <v>16</v>
      </c>
      <c r="B81" s="7">
        <f t="shared" si="20"/>
        <v>2026</v>
      </c>
      <c r="C81" s="4" t="s">
        <v>31</v>
      </c>
      <c r="D81" s="5" t="s">
        <v>2003</v>
      </c>
      <c r="E81" s="10" t="str">
        <f t="shared" si="0"/>
        <v>PND'!</v>
      </c>
      <c r="F81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81" s="7" t="s">
        <v>100</v>
      </c>
      <c r="H81" s="4">
        <f t="shared" si="4"/>
        <v>39</v>
      </c>
      <c r="I81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PND'!$AY$39</v>
      </c>
      <c r="J81" s="4" t="s">
        <v>2081</v>
      </c>
    </row>
    <row r="82" spans="1:10" x14ac:dyDescent="0.35">
      <c r="A82" s="7" t="s">
        <v>16</v>
      </c>
      <c r="B82" s="7">
        <f t="shared" si="20"/>
        <v>2027</v>
      </c>
      <c r="C82" s="4" t="s">
        <v>31</v>
      </c>
      <c r="D82" s="5" t="s">
        <v>2003</v>
      </c>
      <c r="E82" s="10" t="str">
        <f t="shared" si="0"/>
        <v>PND'!</v>
      </c>
      <c r="F82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82" s="7" t="s">
        <v>100</v>
      </c>
      <c r="H82" s="4">
        <f t="shared" si="4"/>
        <v>40</v>
      </c>
      <c r="I82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PND'!$AY$40</v>
      </c>
      <c r="J82" s="4" t="s">
        <v>2082</v>
      </c>
    </row>
    <row r="83" spans="1:10" x14ac:dyDescent="0.35">
      <c r="A83" s="7" t="s">
        <v>16</v>
      </c>
      <c r="B83" s="7">
        <f t="shared" si="20"/>
        <v>2028</v>
      </c>
      <c r="C83" s="4" t="s">
        <v>31</v>
      </c>
      <c r="D83" s="5" t="s">
        <v>2003</v>
      </c>
      <c r="E83" s="10" t="str">
        <f t="shared" si="0"/>
        <v>PND'!</v>
      </c>
      <c r="F83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83" s="7" t="s">
        <v>100</v>
      </c>
      <c r="H83" s="4">
        <f t="shared" si="4"/>
        <v>41</v>
      </c>
      <c r="I83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PND'!$AY$41</v>
      </c>
      <c r="J83" s="4" t="s">
        <v>2083</v>
      </c>
    </row>
    <row r="84" spans="1:10" x14ac:dyDescent="0.35">
      <c r="A84" s="7" t="s">
        <v>16</v>
      </c>
      <c r="B84" s="7">
        <f t="shared" si="20"/>
        <v>2029</v>
      </c>
      <c r="C84" s="4" t="s">
        <v>31</v>
      </c>
      <c r="D84" s="5" t="s">
        <v>2003</v>
      </c>
      <c r="E84" s="10" t="str">
        <f t="shared" si="0"/>
        <v>PND'!</v>
      </c>
      <c r="F84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84" s="7" t="s">
        <v>100</v>
      </c>
      <c r="H84" s="4">
        <f t="shared" si="4"/>
        <v>42</v>
      </c>
      <c r="I84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PND'!$AY$42</v>
      </c>
      <c r="J84" s="4" t="s">
        <v>2084</v>
      </c>
    </row>
    <row r="85" spans="1:10" x14ac:dyDescent="0.35">
      <c r="A85" s="7" t="s">
        <v>16</v>
      </c>
      <c r="B85" s="7">
        <f t="shared" si="20"/>
        <v>2030</v>
      </c>
      <c r="C85" s="4" t="s">
        <v>31</v>
      </c>
      <c r="D85" s="5" t="s">
        <v>2003</v>
      </c>
      <c r="E85" s="10" t="str">
        <f t="shared" si="0"/>
        <v>PND'!</v>
      </c>
      <c r="F85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85" s="7" t="s">
        <v>100</v>
      </c>
      <c r="H85" s="4">
        <f t="shared" si="4"/>
        <v>43</v>
      </c>
      <c r="I85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PND'!$AY$43</v>
      </c>
      <c r="J85" s="4" t="s">
        <v>2085</v>
      </c>
    </row>
    <row r="86" spans="1:10" x14ac:dyDescent="0.35">
      <c r="A86" s="7" t="s">
        <v>16</v>
      </c>
      <c r="B86" s="7">
        <f t="shared" si="20"/>
        <v>2031</v>
      </c>
      <c r="C86" s="4" t="s">
        <v>31</v>
      </c>
      <c r="D86" s="5" t="s">
        <v>2003</v>
      </c>
      <c r="E86" s="10" t="str">
        <f t="shared" si="0"/>
        <v>PND'!</v>
      </c>
      <c r="F86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86" s="7" t="s">
        <v>100</v>
      </c>
      <c r="H86" s="4">
        <f t="shared" si="4"/>
        <v>44</v>
      </c>
      <c r="I86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PND'!$AY$44</v>
      </c>
      <c r="J86" s="4" t="s">
        <v>2086</v>
      </c>
    </row>
    <row r="87" spans="1:10" x14ac:dyDescent="0.35">
      <c r="A87" s="7" t="s">
        <v>16</v>
      </c>
      <c r="B87" s="7">
        <f t="shared" si="20"/>
        <v>2032</v>
      </c>
      <c r="C87" s="4" t="s">
        <v>31</v>
      </c>
      <c r="D87" s="5" t="s">
        <v>2003</v>
      </c>
      <c r="E87" s="10" t="str">
        <f t="shared" si="0"/>
        <v>PND'!</v>
      </c>
      <c r="F87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87" s="7" t="s">
        <v>100</v>
      </c>
      <c r="H87" s="4">
        <f t="shared" si="4"/>
        <v>45</v>
      </c>
      <c r="I87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PND'!$AY$45</v>
      </c>
      <c r="J87" s="4" t="s">
        <v>2087</v>
      </c>
    </row>
    <row r="88" spans="1:10" x14ac:dyDescent="0.35">
      <c r="A88" s="7" t="s">
        <v>16</v>
      </c>
      <c r="B88" s="7">
        <f t="shared" si="20"/>
        <v>2033</v>
      </c>
      <c r="C88" s="4" t="s">
        <v>31</v>
      </c>
      <c r="D88" s="5" t="s">
        <v>2003</v>
      </c>
      <c r="E88" s="10" t="str">
        <f t="shared" si="0"/>
        <v>PND'!</v>
      </c>
      <c r="F88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88" s="7" t="s">
        <v>100</v>
      </c>
      <c r="H88" s="4">
        <f t="shared" si="4"/>
        <v>46</v>
      </c>
      <c r="I88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PND'!$AY$46</v>
      </c>
      <c r="J88" s="4" t="s">
        <v>2088</v>
      </c>
    </row>
    <row r="89" spans="1:10" x14ac:dyDescent="0.35">
      <c r="A89" s="7" t="s">
        <v>16</v>
      </c>
      <c r="B89" s="7">
        <f t="shared" si="20"/>
        <v>2034</v>
      </c>
      <c r="C89" s="4" t="s">
        <v>31</v>
      </c>
      <c r="D89" s="5" t="s">
        <v>2003</v>
      </c>
      <c r="E89" s="10" t="str">
        <f t="shared" si="0"/>
        <v>PND'!</v>
      </c>
      <c r="F89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89" s="7" t="s">
        <v>100</v>
      </c>
      <c r="H89" s="4">
        <f t="shared" si="4"/>
        <v>47</v>
      </c>
      <c r="I89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PND'!$AY$47</v>
      </c>
      <c r="J89" s="4" t="s">
        <v>2089</v>
      </c>
    </row>
    <row r="90" spans="1:10" x14ac:dyDescent="0.35">
      <c r="A90" s="7" t="s">
        <v>16</v>
      </c>
      <c r="B90" s="7">
        <f t="shared" si="20"/>
        <v>2035</v>
      </c>
      <c r="C90" s="4" t="s">
        <v>31</v>
      </c>
      <c r="D90" s="5" t="s">
        <v>2003</v>
      </c>
      <c r="E90" s="10" t="str">
        <f t="shared" si="0"/>
        <v>PND'!</v>
      </c>
      <c r="F90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0" s="7" t="s">
        <v>100</v>
      </c>
      <c r="H90" s="4">
        <f t="shared" si="4"/>
        <v>48</v>
      </c>
      <c r="I90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PND'!$AY$48</v>
      </c>
      <c r="J90" s="4" t="s">
        <v>2090</v>
      </c>
    </row>
    <row r="91" spans="1:10" x14ac:dyDescent="0.35">
      <c r="A91" s="7" t="s">
        <v>16</v>
      </c>
      <c r="B91" s="7">
        <f t="shared" si="20"/>
        <v>2036</v>
      </c>
      <c r="C91" s="4" t="s">
        <v>31</v>
      </c>
      <c r="D91" s="5" t="s">
        <v>2003</v>
      </c>
      <c r="E91" s="10" t="str">
        <f t="shared" si="0"/>
        <v>PND'!</v>
      </c>
      <c r="F91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1" s="7" t="s">
        <v>100</v>
      </c>
      <c r="H91" s="4">
        <f t="shared" si="4"/>
        <v>49</v>
      </c>
      <c r="I91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PND'!$AY$49</v>
      </c>
      <c r="J91" s="4" t="s">
        <v>2091</v>
      </c>
    </row>
    <row r="92" spans="1:10" x14ac:dyDescent="0.35">
      <c r="A92" s="7" t="s">
        <v>16</v>
      </c>
      <c r="B92" s="7">
        <f>+B91+1</f>
        <v>2037</v>
      </c>
      <c r="C92" s="4" t="s">
        <v>31</v>
      </c>
      <c r="D92" s="5" t="s">
        <v>2003</v>
      </c>
      <c r="E92" s="10" t="str">
        <f t="shared" si="0"/>
        <v>PND'!</v>
      </c>
      <c r="F92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2" s="7" t="s">
        <v>100</v>
      </c>
      <c r="H92" s="4">
        <f t="shared" si="4"/>
        <v>50</v>
      </c>
      <c r="I92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PND'!$AY$50</v>
      </c>
      <c r="J92" s="4" t="s">
        <v>2092</v>
      </c>
    </row>
    <row r="93" spans="1:10" x14ac:dyDescent="0.35">
      <c r="A93" s="7" t="s">
        <v>16</v>
      </c>
      <c r="B93" s="7">
        <f t="shared" ref="B93:B95" si="21">+B92+1</f>
        <v>2038</v>
      </c>
      <c r="C93" s="4" t="s">
        <v>31</v>
      </c>
      <c r="D93" s="5" t="s">
        <v>2003</v>
      </c>
      <c r="E93" s="10" t="str">
        <f t="shared" si="0"/>
        <v>PND'!</v>
      </c>
      <c r="F93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3" s="7" t="s">
        <v>100</v>
      </c>
      <c r="H93" s="4">
        <f t="shared" si="4"/>
        <v>51</v>
      </c>
      <c r="I93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PND'!$AY$51</v>
      </c>
      <c r="J93" s="4" t="s">
        <v>2093</v>
      </c>
    </row>
    <row r="94" spans="1:10" x14ac:dyDescent="0.35">
      <c r="A94" s="7" t="s">
        <v>16</v>
      </c>
      <c r="B94" s="7">
        <f t="shared" si="21"/>
        <v>2039</v>
      </c>
      <c r="C94" s="4" t="s">
        <v>31</v>
      </c>
      <c r="D94" s="5" t="s">
        <v>2003</v>
      </c>
      <c r="E94" s="10" t="str">
        <f t="shared" si="0"/>
        <v>PND'!</v>
      </c>
      <c r="F94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4" s="7" t="s">
        <v>100</v>
      </c>
      <c r="H94" s="4">
        <f t="shared" si="4"/>
        <v>52</v>
      </c>
      <c r="I94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PND'!$AY$52</v>
      </c>
      <c r="J94" s="4" t="s">
        <v>2094</v>
      </c>
    </row>
    <row r="95" spans="1:10" x14ac:dyDescent="0.35">
      <c r="A95" s="7" t="s">
        <v>16</v>
      </c>
      <c r="B95" s="7">
        <f t="shared" si="21"/>
        <v>2040</v>
      </c>
      <c r="C95" s="4" t="s">
        <v>31</v>
      </c>
      <c r="D95" s="5" t="s">
        <v>2003</v>
      </c>
      <c r="E95" s="10" t="str">
        <f t="shared" si="0"/>
        <v>PND'!</v>
      </c>
      <c r="F95" s="5" t="str">
        <f t="shared" ref="F95:F200" si="22">_xlfn.CONCAT(D95," ",E95)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5" s="7" t="s">
        <v>100</v>
      </c>
      <c r="H95" s="4">
        <f t="shared" si="4"/>
        <v>53</v>
      </c>
      <c r="I95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PND'!$AY$53</v>
      </c>
      <c r="J95" s="4" t="s">
        <v>2095</v>
      </c>
    </row>
    <row r="96" spans="1:10" x14ac:dyDescent="0.35">
      <c r="A96" s="7" t="s">
        <v>16</v>
      </c>
      <c r="B96" s="7">
        <f>+B95+1</f>
        <v>2041</v>
      </c>
      <c r="C96" s="4" t="s">
        <v>31</v>
      </c>
      <c r="D96" s="5" t="s">
        <v>2003</v>
      </c>
      <c r="E96" s="10" t="str">
        <f t="shared" si="0"/>
        <v>PND'!</v>
      </c>
      <c r="F96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6" s="7" t="s">
        <v>100</v>
      </c>
      <c r="H96" s="4">
        <f t="shared" si="4"/>
        <v>54</v>
      </c>
      <c r="I96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PND'!$AY$54</v>
      </c>
      <c r="J96" s="4" t="s">
        <v>2096</v>
      </c>
    </row>
    <row r="97" spans="1:10" x14ac:dyDescent="0.35">
      <c r="A97" s="7" t="s">
        <v>16</v>
      </c>
      <c r="B97" s="7">
        <f t="shared" ref="B97:B98" si="23">+B96+1</f>
        <v>2042</v>
      </c>
      <c r="C97" s="4" t="s">
        <v>31</v>
      </c>
      <c r="D97" s="5" t="s">
        <v>2003</v>
      </c>
      <c r="E97" s="10" t="str">
        <f t="shared" ref="E97:E402" si="24">_xlfn.CONCAT(A97,"'!")</f>
        <v>PND'!</v>
      </c>
      <c r="F97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7" s="7" t="s">
        <v>100</v>
      </c>
      <c r="H97" s="4">
        <f t="shared" si="4"/>
        <v>55</v>
      </c>
      <c r="I97" s="4" t="str">
        <f t="shared" ref="I97:I402" si="25">_xlfn.CONCAT("='",F97:H97)</f>
        <v>='C:\Users\jaime.benazar\Quorum Business Solutions\Ecopetrol Prometeo - Documents\Planning Space Implementation\3. Analysis &amp; Design\Design\FC22\DRR Jaime\Por presentar a ECP\Cantagallo\Cristalina\[VRC_CRISTALINA_CF_SEC_20221231.xlsx]CF PND'!$AY$55</v>
      </c>
      <c r="J97" s="4" t="s">
        <v>2097</v>
      </c>
    </row>
    <row r="98" spans="1:10" x14ac:dyDescent="0.35">
      <c r="A98" s="7" t="s">
        <v>16</v>
      </c>
      <c r="B98" s="7">
        <f t="shared" si="23"/>
        <v>2043</v>
      </c>
      <c r="C98" s="4" t="s">
        <v>31</v>
      </c>
      <c r="D98" s="5" t="s">
        <v>2003</v>
      </c>
      <c r="E98" s="10" t="str">
        <f t="shared" si="24"/>
        <v>PND'!</v>
      </c>
      <c r="F98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8" s="7" t="s">
        <v>100</v>
      </c>
      <c r="H98" s="4">
        <f t="shared" ref="H98:H402" si="26">IF(A98&lt;&gt;A97,36,H97+1)</f>
        <v>56</v>
      </c>
      <c r="I98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PND'!$AY$56</v>
      </c>
      <c r="J98" s="4" t="s">
        <v>2098</v>
      </c>
    </row>
    <row r="99" spans="1:10" x14ac:dyDescent="0.35">
      <c r="A99" s="7" t="s">
        <v>16</v>
      </c>
      <c r="B99" s="7">
        <f>+B98+1</f>
        <v>2044</v>
      </c>
      <c r="C99" s="4" t="s">
        <v>31</v>
      </c>
      <c r="D99" s="5" t="s">
        <v>2003</v>
      </c>
      <c r="E99" s="10" t="str">
        <f t="shared" ref="E99:E114" si="27">_xlfn.CONCAT(A99,"'!")</f>
        <v>PND'!</v>
      </c>
      <c r="F99" s="5" t="str">
        <f t="shared" ref="F99:F114" si="28">_xlfn.CONCAT(D99," ",E99)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9" s="7" t="s">
        <v>100</v>
      </c>
      <c r="H99" s="4">
        <f t="shared" ref="H99:H114" si="29">IF(A99&lt;&gt;A98,36,H98+1)</f>
        <v>57</v>
      </c>
      <c r="I99" s="4" t="str">
        <f t="shared" ref="I99:I114" si="30">_xlfn.CONCAT("='",F99:H99)</f>
        <v>='C:\Users\jaime.benazar\Quorum Business Solutions\Ecopetrol Prometeo - Documents\Planning Space Implementation\3. Analysis &amp; Design\Design\FC22\DRR Jaime\Por presentar a ECP\Cantagallo\Cristalina\[VRC_CRISTALINA_CF_SEC_20221231.xlsx]CF PND'!$AY$57</v>
      </c>
      <c r="J99" s="4" t="s">
        <v>2099</v>
      </c>
    </row>
    <row r="100" spans="1:10" x14ac:dyDescent="0.35">
      <c r="A100" s="7" t="s">
        <v>16</v>
      </c>
      <c r="B100" s="7">
        <f t="shared" ref="B100:B114" si="31">+B99+1</f>
        <v>2045</v>
      </c>
      <c r="C100" s="4" t="s">
        <v>31</v>
      </c>
      <c r="D100" s="5" t="s">
        <v>2003</v>
      </c>
      <c r="E100" s="10" t="str">
        <f t="shared" si="27"/>
        <v>PND'!</v>
      </c>
      <c r="F100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00" s="7" t="s">
        <v>100</v>
      </c>
      <c r="H100" s="4">
        <f t="shared" si="29"/>
        <v>58</v>
      </c>
      <c r="I100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PND'!$AY$58</v>
      </c>
      <c r="J100" s="4" t="s">
        <v>2100</v>
      </c>
    </row>
    <row r="101" spans="1:10" x14ac:dyDescent="0.35">
      <c r="A101" s="7" t="s">
        <v>16</v>
      </c>
      <c r="B101" s="7">
        <f t="shared" si="31"/>
        <v>2046</v>
      </c>
      <c r="C101" s="4" t="s">
        <v>31</v>
      </c>
      <c r="D101" s="5" t="s">
        <v>2003</v>
      </c>
      <c r="E101" s="10" t="str">
        <f t="shared" si="27"/>
        <v>PND'!</v>
      </c>
      <c r="F101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01" s="7" t="s">
        <v>100</v>
      </c>
      <c r="H101" s="4">
        <f t="shared" si="29"/>
        <v>59</v>
      </c>
      <c r="I101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PND'!$AY$59</v>
      </c>
      <c r="J101" s="4" t="s">
        <v>2101</v>
      </c>
    </row>
    <row r="102" spans="1:10" x14ac:dyDescent="0.35">
      <c r="A102" s="7" t="s">
        <v>16</v>
      </c>
      <c r="B102" s="7">
        <f t="shared" si="31"/>
        <v>2047</v>
      </c>
      <c r="C102" s="4" t="s">
        <v>31</v>
      </c>
      <c r="D102" s="5" t="s">
        <v>2003</v>
      </c>
      <c r="E102" s="10" t="str">
        <f t="shared" si="27"/>
        <v>PND'!</v>
      </c>
      <c r="F102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02" s="7" t="s">
        <v>100</v>
      </c>
      <c r="H102" s="4">
        <f t="shared" si="29"/>
        <v>60</v>
      </c>
      <c r="I102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PND'!$AY$60</v>
      </c>
      <c r="J102" s="4" t="s">
        <v>2102</v>
      </c>
    </row>
    <row r="103" spans="1:10" x14ac:dyDescent="0.35">
      <c r="A103" s="7" t="s">
        <v>16</v>
      </c>
      <c r="B103" s="7">
        <f t="shared" si="31"/>
        <v>2048</v>
      </c>
      <c r="C103" s="4" t="s">
        <v>31</v>
      </c>
      <c r="D103" s="5" t="s">
        <v>2003</v>
      </c>
      <c r="E103" s="10" t="str">
        <f t="shared" si="27"/>
        <v>PND'!</v>
      </c>
      <c r="F103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03" s="7" t="s">
        <v>100</v>
      </c>
      <c r="H103" s="4">
        <f t="shared" si="29"/>
        <v>61</v>
      </c>
      <c r="I103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PND'!$AY$61</v>
      </c>
      <c r="J103" s="4" t="s">
        <v>2103</v>
      </c>
    </row>
    <row r="104" spans="1:10" x14ac:dyDescent="0.35">
      <c r="A104" s="7" t="s">
        <v>16</v>
      </c>
      <c r="B104" s="7">
        <f t="shared" si="31"/>
        <v>2049</v>
      </c>
      <c r="C104" s="4" t="s">
        <v>31</v>
      </c>
      <c r="D104" s="5" t="s">
        <v>2003</v>
      </c>
      <c r="E104" s="10" t="str">
        <f t="shared" si="27"/>
        <v>PND'!</v>
      </c>
      <c r="F104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04" s="7" t="s">
        <v>100</v>
      </c>
      <c r="H104" s="4">
        <f t="shared" si="29"/>
        <v>62</v>
      </c>
      <c r="I104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PND'!$AY$62</v>
      </c>
      <c r="J104" s="4" t="s">
        <v>2104</v>
      </c>
    </row>
    <row r="105" spans="1:10" x14ac:dyDescent="0.35">
      <c r="A105" s="7" t="s">
        <v>16</v>
      </c>
      <c r="B105" s="7">
        <f t="shared" si="31"/>
        <v>2050</v>
      </c>
      <c r="C105" s="4" t="s">
        <v>31</v>
      </c>
      <c r="D105" s="5" t="s">
        <v>2003</v>
      </c>
      <c r="E105" s="10" t="str">
        <f t="shared" si="27"/>
        <v>PND'!</v>
      </c>
      <c r="F105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05" s="7" t="s">
        <v>100</v>
      </c>
      <c r="H105" s="4">
        <f t="shared" si="29"/>
        <v>63</v>
      </c>
      <c r="I105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PND'!$AY$63</v>
      </c>
      <c r="J105" s="4" t="s">
        <v>2105</v>
      </c>
    </row>
    <row r="106" spans="1:10" x14ac:dyDescent="0.35">
      <c r="A106" s="7" t="s">
        <v>16</v>
      </c>
      <c r="B106" s="7">
        <f t="shared" si="31"/>
        <v>2051</v>
      </c>
      <c r="C106" s="4" t="s">
        <v>31</v>
      </c>
      <c r="D106" s="5" t="s">
        <v>2003</v>
      </c>
      <c r="E106" s="10" t="str">
        <f t="shared" si="27"/>
        <v>PND'!</v>
      </c>
      <c r="F106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06" s="7" t="s">
        <v>100</v>
      </c>
      <c r="H106" s="4">
        <f t="shared" si="29"/>
        <v>64</v>
      </c>
      <c r="I106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PND'!$AY$64</v>
      </c>
      <c r="J106" s="4" t="s">
        <v>2106</v>
      </c>
    </row>
    <row r="107" spans="1:10" x14ac:dyDescent="0.35">
      <c r="A107" s="7" t="s">
        <v>16</v>
      </c>
      <c r="B107" s="7">
        <f t="shared" si="31"/>
        <v>2052</v>
      </c>
      <c r="C107" s="4" t="s">
        <v>31</v>
      </c>
      <c r="D107" s="5" t="s">
        <v>2003</v>
      </c>
      <c r="E107" s="10" t="str">
        <f t="shared" si="27"/>
        <v>PND'!</v>
      </c>
      <c r="F107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07" s="7" t="s">
        <v>100</v>
      </c>
      <c r="H107" s="4">
        <f t="shared" si="29"/>
        <v>65</v>
      </c>
      <c r="I107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PND'!$AY$65</v>
      </c>
      <c r="J107" s="4" t="s">
        <v>2107</v>
      </c>
    </row>
    <row r="108" spans="1:10" x14ac:dyDescent="0.35">
      <c r="A108" s="7" t="s">
        <v>16</v>
      </c>
      <c r="B108" s="7">
        <f t="shared" si="31"/>
        <v>2053</v>
      </c>
      <c r="C108" s="4" t="s">
        <v>31</v>
      </c>
      <c r="D108" s="5" t="s">
        <v>2003</v>
      </c>
      <c r="E108" s="10" t="str">
        <f t="shared" si="27"/>
        <v>PND'!</v>
      </c>
      <c r="F108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08" s="7" t="s">
        <v>100</v>
      </c>
      <c r="H108" s="4">
        <f t="shared" si="29"/>
        <v>66</v>
      </c>
      <c r="I108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PND'!$AY$66</v>
      </c>
      <c r="J108" s="4" t="s">
        <v>2108</v>
      </c>
    </row>
    <row r="109" spans="1:10" x14ac:dyDescent="0.35">
      <c r="A109" s="7" t="s">
        <v>16</v>
      </c>
      <c r="B109" s="7">
        <f t="shared" si="31"/>
        <v>2054</v>
      </c>
      <c r="C109" s="4" t="s">
        <v>31</v>
      </c>
      <c r="D109" s="5" t="s">
        <v>2003</v>
      </c>
      <c r="E109" s="10" t="str">
        <f t="shared" si="27"/>
        <v>PND'!</v>
      </c>
      <c r="F109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09" s="7" t="s">
        <v>100</v>
      </c>
      <c r="H109" s="4">
        <f t="shared" si="29"/>
        <v>67</v>
      </c>
      <c r="I109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PND'!$AY$67</v>
      </c>
      <c r="J109" s="4" t="s">
        <v>2109</v>
      </c>
    </row>
    <row r="110" spans="1:10" x14ac:dyDescent="0.35">
      <c r="A110" s="7" t="s">
        <v>16</v>
      </c>
      <c r="B110" s="7">
        <f t="shared" si="31"/>
        <v>2055</v>
      </c>
      <c r="C110" s="4" t="s">
        <v>31</v>
      </c>
      <c r="D110" s="5" t="s">
        <v>2003</v>
      </c>
      <c r="E110" s="10" t="str">
        <f t="shared" si="27"/>
        <v>PND'!</v>
      </c>
      <c r="F110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10" s="7" t="s">
        <v>100</v>
      </c>
      <c r="H110" s="4">
        <f t="shared" si="29"/>
        <v>68</v>
      </c>
      <c r="I110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PND'!$AY$68</v>
      </c>
      <c r="J110" s="4" t="s">
        <v>2110</v>
      </c>
    </row>
    <row r="111" spans="1:10" x14ac:dyDescent="0.35">
      <c r="A111" s="7" t="s">
        <v>16</v>
      </c>
      <c r="B111" s="7">
        <f t="shared" si="31"/>
        <v>2056</v>
      </c>
      <c r="C111" s="4" t="s">
        <v>31</v>
      </c>
      <c r="D111" s="5" t="s">
        <v>2003</v>
      </c>
      <c r="E111" s="10" t="str">
        <f t="shared" si="27"/>
        <v>PND'!</v>
      </c>
      <c r="F111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11" s="7" t="s">
        <v>100</v>
      </c>
      <c r="H111" s="4">
        <f t="shared" si="29"/>
        <v>69</v>
      </c>
      <c r="I111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PND'!$AY$69</v>
      </c>
      <c r="J111" s="4" t="s">
        <v>2111</v>
      </c>
    </row>
    <row r="112" spans="1:10" x14ac:dyDescent="0.35">
      <c r="A112" s="7" t="s">
        <v>16</v>
      </c>
      <c r="B112" s="7">
        <f t="shared" si="31"/>
        <v>2057</v>
      </c>
      <c r="C112" s="4" t="s">
        <v>31</v>
      </c>
      <c r="D112" s="5" t="s">
        <v>2003</v>
      </c>
      <c r="E112" s="10" t="str">
        <f t="shared" si="27"/>
        <v>PND'!</v>
      </c>
      <c r="F112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12" s="7" t="s">
        <v>100</v>
      </c>
      <c r="H112" s="4">
        <f t="shared" si="29"/>
        <v>70</v>
      </c>
      <c r="I112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PND'!$AY$70</v>
      </c>
      <c r="J112" s="4" t="s">
        <v>2112</v>
      </c>
    </row>
    <row r="113" spans="1:10" x14ac:dyDescent="0.35">
      <c r="A113" s="7" t="s">
        <v>16</v>
      </c>
      <c r="B113" s="7">
        <f t="shared" si="31"/>
        <v>2058</v>
      </c>
      <c r="C113" s="4" t="s">
        <v>31</v>
      </c>
      <c r="D113" s="5" t="s">
        <v>2003</v>
      </c>
      <c r="E113" s="10" t="str">
        <f t="shared" si="27"/>
        <v>PND'!</v>
      </c>
      <c r="F113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13" s="7" t="s">
        <v>100</v>
      </c>
      <c r="H113" s="4">
        <f t="shared" si="29"/>
        <v>71</v>
      </c>
      <c r="I113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PND'!$AY$71</v>
      </c>
      <c r="J113" s="4" t="s">
        <v>2113</v>
      </c>
    </row>
    <row r="114" spans="1:10" x14ac:dyDescent="0.35">
      <c r="A114" s="7" t="s">
        <v>16</v>
      </c>
      <c r="B114" s="7">
        <f t="shared" si="31"/>
        <v>2059</v>
      </c>
      <c r="C114" s="4" t="s">
        <v>31</v>
      </c>
      <c r="D114" s="5" t="s">
        <v>2003</v>
      </c>
      <c r="E114" s="10" t="str">
        <f t="shared" si="27"/>
        <v>PND'!</v>
      </c>
      <c r="F114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14" s="7" t="s">
        <v>100</v>
      </c>
      <c r="H114" s="4">
        <f t="shared" si="29"/>
        <v>72</v>
      </c>
      <c r="I114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PND'!$AY$72</v>
      </c>
      <c r="J114" s="4" t="s">
        <v>2114</v>
      </c>
    </row>
    <row r="115" spans="1:10" x14ac:dyDescent="0.35">
      <c r="A115" s="7" t="s">
        <v>26</v>
      </c>
      <c r="B115" s="7"/>
      <c r="C115" s="4" t="s">
        <v>31</v>
      </c>
      <c r="D115" s="5"/>
      <c r="E115" s="10"/>
      <c r="F115" s="5" t="str">
        <f t="shared" si="22"/>
        <v xml:space="preserve"> </v>
      </c>
      <c r="G115" s="7"/>
      <c r="H115" s="4"/>
      <c r="I115" s="4"/>
      <c r="J115" s="4"/>
    </row>
    <row r="116" spans="1:10" x14ac:dyDescent="0.35">
      <c r="A116" s="7" t="s">
        <v>17</v>
      </c>
      <c r="B116" s="7">
        <v>2023</v>
      </c>
      <c r="C116" s="4" t="s">
        <v>31</v>
      </c>
      <c r="D116" s="5" t="s">
        <v>2003</v>
      </c>
      <c r="E116" s="10" t="str">
        <f t="shared" ref="E116:E136" si="32">_xlfn.CONCAT(A116,"'!")</f>
        <v>PRBDP'!</v>
      </c>
      <c r="F116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16" s="7" t="s">
        <v>100</v>
      </c>
      <c r="H116" s="4"/>
      <c r="I116" s="4"/>
      <c r="J116" s="4"/>
    </row>
    <row r="117" spans="1:10" x14ac:dyDescent="0.35">
      <c r="A117" s="7" t="s">
        <v>17</v>
      </c>
      <c r="B117" s="7">
        <f>+B116+1</f>
        <v>2024</v>
      </c>
      <c r="C117" s="4" t="s">
        <v>31</v>
      </c>
      <c r="D117" s="5" t="s">
        <v>2003</v>
      </c>
      <c r="E117" s="10" t="str">
        <f t="shared" si="32"/>
        <v>PRBDP'!</v>
      </c>
      <c r="F117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17" s="7" t="s">
        <v>100</v>
      </c>
      <c r="H117" s="4"/>
      <c r="I117" s="4"/>
      <c r="J117" s="4"/>
    </row>
    <row r="118" spans="1:10" x14ac:dyDescent="0.35">
      <c r="A118" s="7" t="s">
        <v>17</v>
      </c>
      <c r="B118" s="7">
        <f t="shared" ref="B118:B129" si="33">+B117+1</f>
        <v>2025</v>
      </c>
      <c r="C118" s="4" t="s">
        <v>31</v>
      </c>
      <c r="D118" s="5" t="s">
        <v>2003</v>
      </c>
      <c r="E118" s="10" t="str">
        <f t="shared" si="32"/>
        <v>PRBDP'!</v>
      </c>
      <c r="F118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18" s="7" t="s">
        <v>100</v>
      </c>
      <c r="H118" s="4"/>
      <c r="I118" s="4"/>
      <c r="J118" s="4"/>
    </row>
    <row r="119" spans="1:10" x14ac:dyDescent="0.35">
      <c r="A119" s="7" t="s">
        <v>17</v>
      </c>
      <c r="B119" s="7">
        <f t="shared" si="33"/>
        <v>2026</v>
      </c>
      <c r="C119" s="4" t="s">
        <v>31</v>
      </c>
      <c r="D119" s="5" t="s">
        <v>2003</v>
      </c>
      <c r="E119" s="10" t="str">
        <f t="shared" si="32"/>
        <v>PRBDP'!</v>
      </c>
      <c r="F119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19" s="7" t="s">
        <v>100</v>
      </c>
      <c r="H119" s="4"/>
      <c r="I119" s="4"/>
      <c r="J119" s="4"/>
    </row>
    <row r="120" spans="1:10" x14ac:dyDescent="0.35">
      <c r="A120" s="7" t="s">
        <v>17</v>
      </c>
      <c r="B120" s="7">
        <f t="shared" si="33"/>
        <v>2027</v>
      </c>
      <c r="C120" s="4" t="s">
        <v>31</v>
      </c>
      <c r="D120" s="5" t="s">
        <v>2003</v>
      </c>
      <c r="E120" s="10" t="str">
        <f t="shared" si="32"/>
        <v>PRBDP'!</v>
      </c>
      <c r="F120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20" s="7" t="s">
        <v>100</v>
      </c>
      <c r="H120" s="4"/>
      <c r="I120" s="4"/>
      <c r="J120" s="4"/>
    </row>
    <row r="121" spans="1:10" x14ac:dyDescent="0.35">
      <c r="A121" s="7" t="s">
        <v>17</v>
      </c>
      <c r="B121" s="7">
        <f t="shared" si="33"/>
        <v>2028</v>
      </c>
      <c r="C121" s="4" t="s">
        <v>31</v>
      </c>
      <c r="D121" s="5" t="s">
        <v>2003</v>
      </c>
      <c r="E121" s="10" t="str">
        <f t="shared" si="32"/>
        <v>PRBDP'!</v>
      </c>
      <c r="F121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21" s="7" t="s">
        <v>100</v>
      </c>
      <c r="H121" s="4"/>
      <c r="I121" s="4"/>
      <c r="J121" s="4"/>
    </row>
    <row r="122" spans="1:10" x14ac:dyDescent="0.35">
      <c r="A122" s="7" t="s">
        <v>17</v>
      </c>
      <c r="B122" s="7">
        <f t="shared" si="33"/>
        <v>2029</v>
      </c>
      <c r="C122" s="4" t="s">
        <v>31</v>
      </c>
      <c r="D122" s="5" t="s">
        <v>2003</v>
      </c>
      <c r="E122" s="10" t="str">
        <f t="shared" si="32"/>
        <v>PRBDP'!</v>
      </c>
      <c r="F122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22" s="7" t="s">
        <v>100</v>
      </c>
      <c r="H122" s="4"/>
      <c r="I122" s="4"/>
      <c r="J122" s="4"/>
    </row>
    <row r="123" spans="1:10" x14ac:dyDescent="0.35">
      <c r="A123" s="7" t="s">
        <v>17</v>
      </c>
      <c r="B123" s="7">
        <f t="shared" si="33"/>
        <v>2030</v>
      </c>
      <c r="C123" s="4" t="s">
        <v>31</v>
      </c>
      <c r="D123" s="5" t="s">
        <v>2003</v>
      </c>
      <c r="E123" s="10" t="str">
        <f t="shared" si="32"/>
        <v>PRBDP'!</v>
      </c>
      <c r="F123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23" s="7" t="s">
        <v>100</v>
      </c>
      <c r="H123" s="4"/>
      <c r="I123" s="4"/>
      <c r="J123" s="4"/>
    </row>
    <row r="124" spans="1:10" x14ac:dyDescent="0.35">
      <c r="A124" s="7" t="s">
        <v>17</v>
      </c>
      <c r="B124" s="7">
        <f t="shared" si="33"/>
        <v>2031</v>
      </c>
      <c r="C124" s="4" t="s">
        <v>31</v>
      </c>
      <c r="D124" s="5" t="s">
        <v>2003</v>
      </c>
      <c r="E124" s="10" t="str">
        <f t="shared" si="32"/>
        <v>PRBDP'!</v>
      </c>
      <c r="F124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24" s="7" t="s">
        <v>100</v>
      </c>
      <c r="H124" s="4"/>
      <c r="I124" s="4"/>
      <c r="J124" s="4"/>
    </row>
    <row r="125" spans="1:10" x14ac:dyDescent="0.35">
      <c r="A125" s="7" t="s">
        <v>17</v>
      </c>
      <c r="B125" s="7">
        <f t="shared" si="33"/>
        <v>2032</v>
      </c>
      <c r="C125" s="4" t="s">
        <v>31</v>
      </c>
      <c r="D125" s="5" t="s">
        <v>2003</v>
      </c>
      <c r="E125" s="10" t="str">
        <f t="shared" si="32"/>
        <v>PRBDP'!</v>
      </c>
      <c r="F125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25" s="7" t="s">
        <v>100</v>
      </c>
      <c r="H125" s="4"/>
      <c r="I125" s="4"/>
      <c r="J125" s="4"/>
    </row>
    <row r="126" spans="1:10" x14ac:dyDescent="0.35">
      <c r="A126" s="7" t="s">
        <v>17</v>
      </c>
      <c r="B126" s="7">
        <f t="shared" si="33"/>
        <v>2033</v>
      </c>
      <c r="C126" s="4" t="s">
        <v>31</v>
      </c>
      <c r="D126" s="5" t="s">
        <v>2003</v>
      </c>
      <c r="E126" s="10" t="str">
        <f t="shared" si="32"/>
        <v>PRBDP'!</v>
      </c>
      <c r="F126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26" s="7" t="s">
        <v>100</v>
      </c>
      <c r="H126" s="4"/>
      <c r="I126" s="4"/>
      <c r="J126" s="4"/>
    </row>
    <row r="127" spans="1:10" x14ac:dyDescent="0.35">
      <c r="A127" s="7" t="s">
        <v>17</v>
      </c>
      <c r="B127" s="7">
        <f t="shared" si="33"/>
        <v>2034</v>
      </c>
      <c r="C127" s="4" t="s">
        <v>31</v>
      </c>
      <c r="D127" s="5" t="s">
        <v>2003</v>
      </c>
      <c r="E127" s="10" t="str">
        <f t="shared" si="32"/>
        <v>PRBDP'!</v>
      </c>
      <c r="F127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27" s="7" t="s">
        <v>100</v>
      </c>
      <c r="H127" s="4"/>
      <c r="I127" s="4"/>
      <c r="J127" s="4"/>
    </row>
    <row r="128" spans="1:10" x14ac:dyDescent="0.35">
      <c r="A128" s="7" t="s">
        <v>17</v>
      </c>
      <c r="B128" s="7">
        <f t="shared" si="33"/>
        <v>2035</v>
      </c>
      <c r="C128" s="4" t="s">
        <v>31</v>
      </c>
      <c r="D128" s="5" t="s">
        <v>2003</v>
      </c>
      <c r="E128" s="10" t="str">
        <f t="shared" si="32"/>
        <v>PRBDP'!</v>
      </c>
      <c r="F128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28" s="7" t="s">
        <v>100</v>
      </c>
      <c r="H128" s="4"/>
      <c r="I128" s="4"/>
      <c r="J128" s="4"/>
    </row>
    <row r="129" spans="1:10" x14ac:dyDescent="0.35">
      <c r="A129" s="7" t="s">
        <v>17</v>
      </c>
      <c r="B129" s="7">
        <f t="shared" si="33"/>
        <v>2036</v>
      </c>
      <c r="C129" s="4" t="s">
        <v>31</v>
      </c>
      <c r="D129" s="5" t="s">
        <v>2003</v>
      </c>
      <c r="E129" s="10" t="str">
        <f t="shared" si="32"/>
        <v>PRBDP'!</v>
      </c>
      <c r="F129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29" s="7" t="s">
        <v>100</v>
      </c>
      <c r="H129" s="4"/>
      <c r="I129" s="4"/>
      <c r="J129" s="4"/>
    </row>
    <row r="130" spans="1:10" x14ac:dyDescent="0.35">
      <c r="A130" s="7" t="s">
        <v>17</v>
      </c>
      <c r="B130" s="7">
        <f>+B129+1</f>
        <v>2037</v>
      </c>
      <c r="C130" s="4" t="s">
        <v>31</v>
      </c>
      <c r="D130" s="5" t="s">
        <v>2003</v>
      </c>
      <c r="E130" s="10" t="str">
        <f t="shared" si="32"/>
        <v>PRBDP'!</v>
      </c>
      <c r="F130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0" s="7" t="s">
        <v>100</v>
      </c>
      <c r="H130" s="4"/>
      <c r="I130" s="4"/>
      <c r="J130" s="4"/>
    </row>
    <row r="131" spans="1:10" x14ac:dyDescent="0.35">
      <c r="A131" s="7" t="s">
        <v>17</v>
      </c>
      <c r="B131" s="7">
        <f t="shared" ref="B131:B133" si="34">+B130+1</f>
        <v>2038</v>
      </c>
      <c r="C131" s="4" t="s">
        <v>31</v>
      </c>
      <c r="D131" s="5" t="s">
        <v>2003</v>
      </c>
      <c r="E131" s="10" t="str">
        <f t="shared" si="32"/>
        <v>PRBDP'!</v>
      </c>
      <c r="F131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1" s="7" t="s">
        <v>100</v>
      </c>
      <c r="H131" s="4"/>
      <c r="I131" s="4"/>
      <c r="J131" s="4"/>
    </row>
    <row r="132" spans="1:10" x14ac:dyDescent="0.35">
      <c r="A132" s="7" t="s">
        <v>17</v>
      </c>
      <c r="B132" s="7">
        <f t="shared" si="34"/>
        <v>2039</v>
      </c>
      <c r="C132" s="4" t="s">
        <v>31</v>
      </c>
      <c r="D132" s="5" t="s">
        <v>2003</v>
      </c>
      <c r="E132" s="10" t="str">
        <f t="shared" si="32"/>
        <v>PRBDP'!</v>
      </c>
      <c r="F132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2" s="7" t="s">
        <v>100</v>
      </c>
      <c r="H132" s="4"/>
      <c r="I132" s="4"/>
      <c r="J132" s="4"/>
    </row>
    <row r="133" spans="1:10" x14ac:dyDescent="0.35">
      <c r="A133" s="7" t="s">
        <v>17</v>
      </c>
      <c r="B133" s="7">
        <f t="shared" si="34"/>
        <v>2040</v>
      </c>
      <c r="C133" s="4" t="s">
        <v>31</v>
      </c>
      <c r="D133" s="5" t="s">
        <v>2003</v>
      </c>
      <c r="E133" s="10" t="str">
        <f t="shared" si="32"/>
        <v>PRBDP'!</v>
      </c>
      <c r="F133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3" s="7" t="s">
        <v>100</v>
      </c>
      <c r="H133" s="4"/>
      <c r="I133" s="4"/>
      <c r="J133" s="4"/>
    </row>
    <row r="134" spans="1:10" x14ac:dyDescent="0.35">
      <c r="A134" s="7" t="s">
        <v>17</v>
      </c>
      <c r="B134" s="7">
        <f>+B133+1</f>
        <v>2041</v>
      </c>
      <c r="C134" s="4" t="s">
        <v>31</v>
      </c>
      <c r="D134" s="5" t="s">
        <v>2003</v>
      </c>
      <c r="E134" s="10" t="str">
        <f t="shared" si="32"/>
        <v>PRBDP'!</v>
      </c>
      <c r="F134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4" s="7" t="s">
        <v>100</v>
      </c>
      <c r="H134" s="4"/>
      <c r="I134" s="4"/>
      <c r="J134" s="4"/>
    </row>
    <row r="135" spans="1:10" x14ac:dyDescent="0.35">
      <c r="A135" s="7" t="s">
        <v>17</v>
      </c>
      <c r="B135" s="7">
        <f t="shared" ref="B135:B136" si="35">+B134+1</f>
        <v>2042</v>
      </c>
      <c r="C135" s="4" t="s">
        <v>31</v>
      </c>
      <c r="D135" s="5" t="s">
        <v>2003</v>
      </c>
      <c r="E135" s="10" t="str">
        <f t="shared" si="32"/>
        <v>PRBDP'!</v>
      </c>
      <c r="F135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5" s="7" t="s">
        <v>100</v>
      </c>
      <c r="H135" s="4"/>
      <c r="I135" s="4"/>
      <c r="J135" s="4"/>
    </row>
    <row r="136" spans="1:10" x14ac:dyDescent="0.35">
      <c r="A136" s="7" t="s">
        <v>17</v>
      </c>
      <c r="B136" s="7">
        <f t="shared" si="35"/>
        <v>2043</v>
      </c>
      <c r="C136" s="4" t="s">
        <v>31</v>
      </c>
      <c r="D136" s="5" t="s">
        <v>2003</v>
      </c>
      <c r="E136" s="10" t="str">
        <f t="shared" si="32"/>
        <v>PRBDP'!</v>
      </c>
      <c r="F136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6" s="7" t="s">
        <v>100</v>
      </c>
      <c r="H136" s="4"/>
      <c r="I136" s="4"/>
      <c r="J136" s="4"/>
    </row>
    <row r="137" spans="1:10" x14ac:dyDescent="0.35">
      <c r="A137" s="7" t="s">
        <v>17</v>
      </c>
      <c r="B137" s="7">
        <f>+B136+1</f>
        <v>2044</v>
      </c>
      <c r="C137" s="4" t="s">
        <v>31</v>
      </c>
      <c r="D137" s="5" t="s">
        <v>2003</v>
      </c>
      <c r="E137" s="10" t="str">
        <f t="shared" ref="E137:E152" si="36">_xlfn.CONCAT(A137,"'!")</f>
        <v>PRBDP'!</v>
      </c>
      <c r="F137" s="5" t="str">
        <f t="shared" ref="F137:F152" si="37">_xlfn.CONCAT(D137," ",E137)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7" s="7" t="s">
        <v>100</v>
      </c>
      <c r="H137" s="4"/>
      <c r="I137" s="4"/>
      <c r="J137" s="4"/>
    </row>
    <row r="138" spans="1:10" x14ac:dyDescent="0.35">
      <c r="A138" s="7" t="s">
        <v>17</v>
      </c>
      <c r="B138" s="7">
        <f t="shared" ref="B138:B152" si="38">+B137+1</f>
        <v>2045</v>
      </c>
      <c r="C138" s="4" t="s">
        <v>31</v>
      </c>
      <c r="D138" s="5" t="s">
        <v>2003</v>
      </c>
      <c r="E138" s="10" t="str">
        <f t="shared" si="36"/>
        <v>PRBDP'!</v>
      </c>
      <c r="F138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8" s="7" t="s">
        <v>100</v>
      </c>
      <c r="H138" s="4"/>
      <c r="I138" s="4"/>
      <c r="J138" s="4"/>
    </row>
    <row r="139" spans="1:10" x14ac:dyDescent="0.35">
      <c r="A139" s="7" t="s">
        <v>17</v>
      </c>
      <c r="B139" s="7">
        <f t="shared" si="38"/>
        <v>2046</v>
      </c>
      <c r="C139" s="4" t="s">
        <v>31</v>
      </c>
      <c r="D139" s="5" t="s">
        <v>2003</v>
      </c>
      <c r="E139" s="10" t="str">
        <f t="shared" si="36"/>
        <v>PRBDP'!</v>
      </c>
      <c r="F139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9" s="7" t="s">
        <v>100</v>
      </c>
      <c r="H139" s="4"/>
      <c r="I139" s="4"/>
      <c r="J139" s="4"/>
    </row>
    <row r="140" spans="1:10" x14ac:dyDescent="0.35">
      <c r="A140" s="7" t="s">
        <v>17</v>
      </c>
      <c r="B140" s="7">
        <f t="shared" si="38"/>
        <v>2047</v>
      </c>
      <c r="C140" s="4" t="s">
        <v>31</v>
      </c>
      <c r="D140" s="5" t="s">
        <v>2003</v>
      </c>
      <c r="E140" s="10" t="str">
        <f t="shared" si="36"/>
        <v>PRBDP'!</v>
      </c>
      <c r="F140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0" s="7" t="s">
        <v>100</v>
      </c>
      <c r="H140" s="4"/>
      <c r="I140" s="4"/>
      <c r="J140" s="4"/>
    </row>
    <row r="141" spans="1:10" x14ac:dyDescent="0.35">
      <c r="A141" s="7" t="s">
        <v>17</v>
      </c>
      <c r="B141" s="7">
        <f t="shared" si="38"/>
        <v>2048</v>
      </c>
      <c r="C141" s="4" t="s">
        <v>31</v>
      </c>
      <c r="D141" s="5" t="s">
        <v>2003</v>
      </c>
      <c r="E141" s="10" t="str">
        <f t="shared" si="36"/>
        <v>PRBDP'!</v>
      </c>
      <c r="F141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1" s="7" t="s">
        <v>100</v>
      </c>
      <c r="H141" s="4"/>
      <c r="I141" s="4"/>
      <c r="J141" s="4"/>
    </row>
    <row r="142" spans="1:10" x14ac:dyDescent="0.35">
      <c r="A142" s="7" t="s">
        <v>17</v>
      </c>
      <c r="B142" s="7">
        <f t="shared" si="38"/>
        <v>2049</v>
      </c>
      <c r="C142" s="4" t="s">
        <v>31</v>
      </c>
      <c r="D142" s="5" t="s">
        <v>2003</v>
      </c>
      <c r="E142" s="10" t="str">
        <f t="shared" si="36"/>
        <v>PRBDP'!</v>
      </c>
      <c r="F142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2" s="7" t="s">
        <v>100</v>
      </c>
      <c r="H142" s="4"/>
      <c r="I142" s="4"/>
      <c r="J142" s="4"/>
    </row>
    <row r="143" spans="1:10" x14ac:dyDescent="0.35">
      <c r="A143" s="7" t="s">
        <v>17</v>
      </c>
      <c r="B143" s="7">
        <f t="shared" si="38"/>
        <v>2050</v>
      </c>
      <c r="C143" s="4" t="s">
        <v>31</v>
      </c>
      <c r="D143" s="5" t="s">
        <v>2003</v>
      </c>
      <c r="E143" s="10" t="str">
        <f t="shared" si="36"/>
        <v>PRBDP'!</v>
      </c>
      <c r="F143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3" s="7" t="s">
        <v>100</v>
      </c>
      <c r="H143" s="4"/>
      <c r="I143" s="4"/>
      <c r="J143" s="4"/>
    </row>
    <row r="144" spans="1:10" x14ac:dyDescent="0.35">
      <c r="A144" s="7" t="s">
        <v>17</v>
      </c>
      <c r="B144" s="7">
        <f t="shared" si="38"/>
        <v>2051</v>
      </c>
      <c r="C144" s="4" t="s">
        <v>31</v>
      </c>
      <c r="D144" s="5" t="s">
        <v>2003</v>
      </c>
      <c r="E144" s="10" t="str">
        <f t="shared" si="36"/>
        <v>PRBDP'!</v>
      </c>
      <c r="F144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4" s="7" t="s">
        <v>100</v>
      </c>
      <c r="H144" s="4"/>
      <c r="I144" s="4"/>
      <c r="J144" s="4"/>
    </row>
    <row r="145" spans="1:10" x14ac:dyDescent="0.35">
      <c r="A145" s="7" t="s">
        <v>17</v>
      </c>
      <c r="B145" s="7">
        <f t="shared" si="38"/>
        <v>2052</v>
      </c>
      <c r="C145" s="4" t="s">
        <v>31</v>
      </c>
      <c r="D145" s="5" t="s">
        <v>2003</v>
      </c>
      <c r="E145" s="10" t="str">
        <f t="shared" si="36"/>
        <v>PRBDP'!</v>
      </c>
      <c r="F145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5" s="7" t="s">
        <v>100</v>
      </c>
      <c r="H145" s="4"/>
      <c r="I145" s="4"/>
      <c r="J145" s="4"/>
    </row>
    <row r="146" spans="1:10" x14ac:dyDescent="0.35">
      <c r="A146" s="7" t="s">
        <v>17</v>
      </c>
      <c r="B146" s="7">
        <f t="shared" si="38"/>
        <v>2053</v>
      </c>
      <c r="C146" s="4" t="s">
        <v>31</v>
      </c>
      <c r="D146" s="5" t="s">
        <v>2003</v>
      </c>
      <c r="E146" s="10" t="str">
        <f t="shared" si="36"/>
        <v>PRBDP'!</v>
      </c>
      <c r="F146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6" s="7" t="s">
        <v>100</v>
      </c>
      <c r="H146" s="4"/>
      <c r="I146" s="4"/>
      <c r="J146" s="4"/>
    </row>
    <row r="147" spans="1:10" x14ac:dyDescent="0.35">
      <c r="A147" s="7" t="s">
        <v>17</v>
      </c>
      <c r="B147" s="7">
        <f t="shared" si="38"/>
        <v>2054</v>
      </c>
      <c r="C147" s="4" t="s">
        <v>31</v>
      </c>
      <c r="D147" s="5" t="s">
        <v>2003</v>
      </c>
      <c r="E147" s="10" t="str">
        <f t="shared" si="36"/>
        <v>PRBDP'!</v>
      </c>
      <c r="F147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7" s="7" t="s">
        <v>100</v>
      </c>
      <c r="H147" s="4"/>
      <c r="I147" s="4"/>
      <c r="J147" s="4"/>
    </row>
    <row r="148" spans="1:10" x14ac:dyDescent="0.35">
      <c r="A148" s="7" t="s">
        <v>17</v>
      </c>
      <c r="B148" s="7">
        <f t="shared" si="38"/>
        <v>2055</v>
      </c>
      <c r="C148" s="4" t="s">
        <v>31</v>
      </c>
      <c r="D148" s="5" t="s">
        <v>2003</v>
      </c>
      <c r="E148" s="10" t="str">
        <f t="shared" si="36"/>
        <v>PRBDP'!</v>
      </c>
      <c r="F148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8" s="7" t="s">
        <v>100</v>
      </c>
      <c r="H148" s="4"/>
      <c r="I148" s="4"/>
      <c r="J148" s="4"/>
    </row>
    <row r="149" spans="1:10" x14ac:dyDescent="0.35">
      <c r="A149" s="7" t="s">
        <v>17</v>
      </c>
      <c r="B149" s="7">
        <f t="shared" si="38"/>
        <v>2056</v>
      </c>
      <c r="C149" s="4" t="s">
        <v>31</v>
      </c>
      <c r="D149" s="5" t="s">
        <v>2003</v>
      </c>
      <c r="E149" s="10" t="str">
        <f t="shared" si="36"/>
        <v>PRBDP'!</v>
      </c>
      <c r="F149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9" s="7" t="s">
        <v>100</v>
      </c>
      <c r="H149" s="4"/>
      <c r="I149" s="4"/>
      <c r="J149" s="4"/>
    </row>
    <row r="150" spans="1:10" x14ac:dyDescent="0.35">
      <c r="A150" s="7" t="s">
        <v>17</v>
      </c>
      <c r="B150" s="7">
        <f t="shared" si="38"/>
        <v>2057</v>
      </c>
      <c r="C150" s="4" t="s">
        <v>31</v>
      </c>
      <c r="D150" s="5" t="s">
        <v>2003</v>
      </c>
      <c r="E150" s="10" t="str">
        <f t="shared" si="36"/>
        <v>PRBDP'!</v>
      </c>
      <c r="F150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50" s="7" t="s">
        <v>100</v>
      </c>
      <c r="H150" s="4"/>
      <c r="I150" s="4"/>
      <c r="J150" s="4"/>
    </row>
    <row r="151" spans="1:10" x14ac:dyDescent="0.35">
      <c r="A151" s="7" t="s">
        <v>17</v>
      </c>
      <c r="B151" s="7">
        <f t="shared" si="38"/>
        <v>2058</v>
      </c>
      <c r="C151" s="4" t="s">
        <v>31</v>
      </c>
      <c r="D151" s="5" t="s">
        <v>2003</v>
      </c>
      <c r="E151" s="10" t="str">
        <f t="shared" si="36"/>
        <v>PRBDP'!</v>
      </c>
      <c r="F151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51" s="7" t="s">
        <v>100</v>
      </c>
      <c r="H151" s="4"/>
      <c r="I151" s="4"/>
      <c r="J151" s="4"/>
    </row>
    <row r="152" spans="1:10" x14ac:dyDescent="0.35">
      <c r="A152" s="7" t="s">
        <v>17</v>
      </c>
      <c r="B152" s="7">
        <f t="shared" si="38"/>
        <v>2059</v>
      </c>
      <c r="C152" s="4" t="s">
        <v>31</v>
      </c>
      <c r="D152" s="5" t="s">
        <v>2003</v>
      </c>
      <c r="E152" s="10" t="str">
        <f t="shared" si="36"/>
        <v>PRBDP'!</v>
      </c>
      <c r="F152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52" s="7" t="s">
        <v>100</v>
      </c>
      <c r="H152" s="4"/>
      <c r="I152" s="4"/>
      <c r="J152" s="4"/>
    </row>
    <row r="153" spans="1:10" x14ac:dyDescent="0.35">
      <c r="A153" s="7" t="s">
        <v>26</v>
      </c>
      <c r="B153" s="7"/>
      <c r="C153" s="4" t="s">
        <v>31</v>
      </c>
      <c r="D153" s="5"/>
      <c r="E153" s="10"/>
      <c r="F153" s="5" t="str">
        <f t="shared" si="22"/>
        <v xml:space="preserve"> </v>
      </c>
      <c r="G153" s="7"/>
      <c r="H153" s="4"/>
      <c r="I153" s="4"/>
      <c r="J153" s="4"/>
    </row>
    <row r="154" spans="1:10" x14ac:dyDescent="0.35">
      <c r="A154" s="7" t="s">
        <v>18</v>
      </c>
      <c r="B154" s="7">
        <v>2023</v>
      </c>
      <c r="C154" s="4" t="s">
        <v>31</v>
      </c>
      <c r="D154" s="5" t="s">
        <v>2003</v>
      </c>
      <c r="E154" s="10" t="str">
        <f t="shared" ref="E154:E174" si="39">_xlfn.CONCAT(A154,"'!")</f>
        <v>PRBNP'!</v>
      </c>
      <c r="F154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54" s="7" t="s">
        <v>100</v>
      </c>
      <c r="H154" s="4"/>
      <c r="I154" s="4"/>
      <c r="J154" s="4"/>
    </row>
    <row r="155" spans="1:10" x14ac:dyDescent="0.35">
      <c r="A155" s="7" t="s">
        <v>18</v>
      </c>
      <c r="B155" s="7">
        <f>+B154+1</f>
        <v>2024</v>
      </c>
      <c r="C155" s="4" t="s">
        <v>31</v>
      </c>
      <c r="D155" s="5" t="s">
        <v>2003</v>
      </c>
      <c r="E155" s="10" t="str">
        <f t="shared" si="39"/>
        <v>PRBNP'!</v>
      </c>
      <c r="F155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55" s="7" t="s">
        <v>100</v>
      </c>
      <c r="H155" s="4"/>
      <c r="I155" s="4"/>
      <c r="J155" s="4"/>
    </row>
    <row r="156" spans="1:10" x14ac:dyDescent="0.35">
      <c r="A156" s="7" t="s">
        <v>18</v>
      </c>
      <c r="B156" s="7">
        <f t="shared" ref="B156:B167" si="40">+B155+1</f>
        <v>2025</v>
      </c>
      <c r="C156" s="4" t="s">
        <v>31</v>
      </c>
      <c r="D156" s="5" t="s">
        <v>2003</v>
      </c>
      <c r="E156" s="10" t="str">
        <f t="shared" si="39"/>
        <v>PRBNP'!</v>
      </c>
      <c r="F156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56" s="7" t="s">
        <v>100</v>
      </c>
      <c r="H156" s="4"/>
      <c r="I156" s="4"/>
      <c r="J156" s="4"/>
    </row>
    <row r="157" spans="1:10" x14ac:dyDescent="0.35">
      <c r="A157" s="7" t="s">
        <v>18</v>
      </c>
      <c r="B157" s="7">
        <f t="shared" si="40"/>
        <v>2026</v>
      </c>
      <c r="C157" s="4" t="s">
        <v>31</v>
      </c>
      <c r="D157" s="5" t="s">
        <v>2003</v>
      </c>
      <c r="E157" s="10" t="str">
        <f t="shared" si="39"/>
        <v>PRBNP'!</v>
      </c>
      <c r="F157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57" s="7" t="s">
        <v>100</v>
      </c>
      <c r="H157" s="4"/>
      <c r="I157" s="4"/>
      <c r="J157" s="4"/>
    </row>
    <row r="158" spans="1:10" x14ac:dyDescent="0.35">
      <c r="A158" s="7" t="s">
        <v>18</v>
      </c>
      <c r="B158" s="7">
        <f t="shared" si="40"/>
        <v>2027</v>
      </c>
      <c r="C158" s="4" t="s">
        <v>31</v>
      </c>
      <c r="D158" s="5" t="s">
        <v>2003</v>
      </c>
      <c r="E158" s="10" t="str">
        <f t="shared" si="39"/>
        <v>PRBNP'!</v>
      </c>
      <c r="F158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58" s="7" t="s">
        <v>100</v>
      </c>
      <c r="H158" s="4"/>
      <c r="I158" s="4"/>
      <c r="J158" s="4"/>
    </row>
    <row r="159" spans="1:10" x14ac:dyDescent="0.35">
      <c r="A159" s="7" t="s">
        <v>18</v>
      </c>
      <c r="B159" s="7">
        <f t="shared" si="40"/>
        <v>2028</v>
      </c>
      <c r="C159" s="4" t="s">
        <v>31</v>
      </c>
      <c r="D159" s="5" t="s">
        <v>2003</v>
      </c>
      <c r="E159" s="10" t="str">
        <f t="shared" si="39"/>
        <v>PRBNP'!</v>
      </c>
      <c r="F159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59" s="7" t="s">
        <v>100</v>
      </c>
      <c r="H159" s="4"/>
      <c r="I159" s="4"/>
      <c r="J159" s="4"/>
    </row>
    <row r="160" spans="1:10" x14ac:dyDescent="0.35">
      <c r="A160" s="7" t="s">
        <v>18</v>
      </c>
      <c r="B160" s="7">
        <f t="shared" si="40"/>
        <v>2029</v>
      </c>
      <c r="C160" s="4" t="s">
        <v>31</v>
      </c>
      <c r="D160" s="5" t="s">
        <v>2003</v>
      </c>
      <c r="E160" s="10" t="str">
        <f t="shared" si="39"/>
        <v>PRBNP'!</v>
      </c>
      <c r="F160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60" s="7" t="s">
        <v>100</v>
      </c>
      <c r="H160" s="4"/>
      <c r="I160" s="4"/>
      <c r="J160" s="4"/>
    </row>
    <row r="161" spans="1:10" x14ac:dyDescent="0.35">
      <c r="A161" s="7" t="s">
        <v>18</v>
      </c>
      <c r="B161" s="7">
        <f t="shared" si="40"/>
        <v>2030</v>
      </c>
      <c r="C161" s="4" t="s">
        <v>31</v>
      </c>
      <c r="D161" s="5" t="s">
        <v>2003</v>
      </c>
      <c r="E161" s="10" t="str">
        <f t="shared" si="39"/>
        <v>PRBNP'!</v>
      </c>
      <c r="F161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61" s="7" t="s">
        <v>100</v>
      </c>
      <c r="H161" s="4"/>
      <c r="I161" s="4"/>
      <c r="J161" s="4"/>
    </row>
    <row r="162" spans="1:10" x14ac:dyDescent="0.35">
      <c r="A162" s="7" t="s">
        <v>18</v>
      </c>
      <c r="B162" s="7">
        <f t="shared" si="40"/>
        <v>2031</v>
      </c>
      <c r="C162" s="4" t="s">
        <v>31</v>
      </c>
      <c r="D162" s="5" t="s">
        <v>2003</v>
      </c>
      <c r="E162" s="10" t="str">
        <f t="shared" si="39"/>
        <v>PRBNP'!</v>
      </c>
      <c r="F162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62" s="7" t="s">
        <v>100</v>
      </c>
      <c r="H162" s="4"/>
      <c r="I162" s="4"/>
      <c r="J162" s="4"/>
    </row>
    <row r="163" spans="1:10" x14ac:dyDescent="0.35">
      <c r="A163" s="7" t="s">
        <v>18</v>
      </c>
      <c r="B163" s="7">
        <f t="shared" si="40"/>
        <v>2032</v>
      </c>
      <c r="C163" s="4" t="s">
        <v>31</v>
      </c>
      <c r="D163" s="5" t="s">
        <v>2003</v>
      </c>
      <c r="E163" s="10" t="str">
        <f t="shared" si="39"/>
        <v>PRBNP'!</v>
      </c>
      <c r="F163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63" s="7" t="s">
        <v>100</v>
      </c>
      <c r="H163" s="4"/>
      <c r="I163" s="4"/>
      <c r="J163" s="4"/>
    </row>
    <row r="164" spans="1:10" x14ac:dyDescent="0.35">
      <c r="A164" s="7" t="s">
        <v>18</v>
      </c>
      <c r="B164" s="7">
        <f t="shared" si="40"/>
        <v>2033</v>
      </c>
      <c r="C164" s="4" t="s">
        <v>31</v>
      </c>
      <c r="D164" s="5" t="s">
        <v>2003</v>
      </c>
      <c r="E164" s="10" t="str">
        <f t="shared" si="39"/>
        <v>PRBNP'!</v>
      </c>
      <c r="F164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64" s="7" t="s">
        <v>100</v>
      </c>
      <c r="H164" s="4"/>
      <c r="I164" s="4"/>
      <c r="J164" s="4"/>
    </row>
    <row r="165" spans="1:10" x14ac:dyDescent="0.35">
      <c r="A165" s="7" t="s">
        <v>18</v>
      </c>
      <c r="B165" s="7">
        <f t="shared" si="40"/>
        <v>2034</v>
      </c>
      <c r="C165" s="4" t="s">
        <v>31</v>
      </c>
      <c r="D165" s="5" t="s">
        <v>2003</v>
      </c>
      <c r="E165" s="10" t="str">
        <f t="shared" si="39"/>
        <v>PRBNP'!</v>
      </c>
      <c r="F165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65" s="7" t="s">
        <v>100</v>
      </c>
      <c r="H165" s="4"/>
      <c r="I165" s="4"/>
      <c r="J165" s="4"/>
    </row>
    <row r="166" spans="1:10" x14ac:dyDescent="0.35">
      <c r="A166" s="7" t="s">
        <v>18</v>
      </c>
      <c r="B166" s="7">
        <f t="shared" si="40"/>
        <v>2035</v>
      </c>
      <c r="C166" s="4" t="s">
        <v>31</v>
      </c>
      <c r="D166" s="5" t="s">
        <v>2003</v>
      </c>
      <c r="E166" s="10" t="str">
        <f t="shared" si="39"/>
        <v>PRBNP'!</v>
      </c>
      <c r="F166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66" s="7" t="s">
        <v>100</v>
      </c>
      <c r="H166" s="4"/>
      <c r="I166" s="4"/>
      <c r="J166" s="4"/>
    </row>
    <row r="167" spans="1:10" x14ac:dyDescent="0.35">
      <c r="A167" s="7" t="s">
        <v>18</v>
      </c>
      <c r="B167" s="7">
        <f t="shared" si="40"/>
        <v>2036</v>
      </c>
      <c r="C167" s="4" t="s">
        <v>31</v>
      </c>
      <c r="D167" s="5" t="s">
        <v>2003</v>
      </c>
      <c r="E167" s="10" t="str">
        <f t="shared" si="39"/>
        <v>PRBNP'!</v>
      </c>
      <c r="F167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67" s="7" t="s">
        <v>100</v>
      </c>
      <c r="H167" s="4"/>
      <c r="I167" s="4"/>
      <c r="J167" s="4"/>
    </row>
    <row r="168" spans="1:10" x14ac:dyDescent="0.35">
      <c r="A168" s="7" t="s">
        <v>18</v>
      </c>
      <c r="B168" s="7">
        <f>+B167+1</f>
        <v>2037</v>
      </c>
      <c r="C168" s="4" t="s">
        <v>31</v>
      </c>
      <c r="D168" s="5" t="s">
        <v>2003</v>
      </c>
      <c r="E168" s="10" t="str">
        <f t="shared" si="39"/>
        <v>PRBNP'!</v>
      </c>
      <c r="F168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68" s="7" t="s">
        <v>100</v>
      </c>
      <c r="H168" s="4"/>
      <c r="I168" s="4"/>
      <c r="J168" s="4"/>
    </row>
    <row r="169" spans="1:10" x14ac:dyDescent="0.35">
      <c r="A169" s="7" t="s">
        <v>18</v>
      </c>
      <c r="B169" s="7">
        <f t="shared" ref="B169:B171" si="41">+B168+1</f>
        <v>2038</v>
      </c>
      <c r="C169" s="4" t="s">
        <v>31</v>
      </c>
      <c r="D169" s="5" t="s">
        <v>2003</v>
      </c>
      <c r="E169" s="10" t="str">
        <f t="shared" si="39"/>
        <v>PRBNP'!</v>
      </c>
      <c r="F169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69" s="7" t="s">
        <v>100</v>
      </c>
      <c r="H169" s="4"/>
      <c r="I169" s="4"/>
      <c r="J169" s="4"/>
    </row>
    <row r="170" spans="1:10" x14ac:dyDescent="0.35">
      <c r="A170" s="7" t="s">
        <v>18</v>
      </c>
      <c r="B170" s="7">
        <f t="shared" si="41"/>
        <v>2039</v>
      </c>
      <c r="C170" s="4" t="s">
        <v>31</v>
      </c>
      <c r="D170" s="5" t="s">
        <v>2003</v>
      </c>
      <c r="E170" s="10" t="str">
        <f t="shared" si="39"/>
        <v>PRBNP'!</v>
      </c>
      <c r="F170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70" s="7" t="s">
        <v>100</v>
      </c>
      <c r="H170" s="4"/>
      <c r="I170" s="4"/>
      <c r="J170" s="4"/>
    </row>
    <row r="171" spans="1:10" x14ac:dyDescent="0.35">
      <c r="A171" s="7" t="s">
        <v>18</v>
      </c>
      <c r="B171" s="7">
        <f t="shared" si="41"/>
        <v>2040</v>
      </c>
      <c r="C171" s="4" t="s">
        <v>31</v>
      </c>
      <c r="D171" s="5" t="s">
        <v>2003</v>
      </c>
      <c r="E171" s="10" t="str">
        <f t="shared" si="39"/>
        <v>PRBNP'!</v>
      </c>
      <c r="F171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71" s="7" t="s">
        <v>100</v>
      </c>
      <c r="H171" s="4"/>
      <c r="I171" s="4"/>
      <c r="J171" s="4"/>
    </row>
    <row r="172" spans="1:10" x14ac:dyDescent="0.35">
      <c r="A172" s="7" t="s">
        <v>18</v>
      </c>
      <c r="B172" s="7">
        <f>+B171+1</f>
        <v>2041</v>
      </c>
      <c r="C172" s="4" t="s">
        <v>31</v>
      </c>
      <c r="D172" s="5" t="s">
        <v>2003</v>
      </c>
      <c r="E172" s="10" t="str">
        <f t="shared" si="39"/>
        <v>PRBNP'!</v>
      </c>
      <c r="F172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72" s="7" t="s">
        <v>100</v>
      </c>
      <c r="H172" s="4"/>
      <c r="I172" s="4"/>
      <c r="J172" s="4"/>
    </row>
    <row r="173" spans="1:10" x14ac:dyDescent="0.35">
      <c r="A173" s="7" t="s">
        <v>18</v>
      </c>
      <c r="B173" s="7">
        <f t="shared" ref="B173:B174" si="42">+B172+1</f>
        <v>2042</v>
      </c>
      <c r="C173" s="4" t="s">
        <v>31</v>
      </c>
      <c r="D173" s="5" t="s">
        <v>2003</v>
      </c>
      <c r="E173" s="10" t="str">
        <f t="shared" si="39"/>
        <v>PRBNP'!</v>
      </c>
      <c r="F173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73" s="7" t="s">
        <v>100</v>
      </c>
      <c r="H173" s="4"/>
      <c r="I173" s="4"/>
      <c r="J173" s="4"/>
    </row>
    <row r="174" spans="1:10" x14ac:dyDescent="0.35">
      <c r="A174" s="7" t="s">
        <v>18</v>
      </c>
      <c r="B174" s="7">
        <f t="shared" si="42"/>
        <v>2043</v>
      </c>
      <c r="C174" s="4" t="s">
        <v>31</v>
      </c>
      <c r="D174" s="5" t="s">
        <v>2003</v>
      </c>
      <c r="E174" s="10" t="str">
        <f t="shared" si="39"/>
        <v>PRBNP'!</v>
      </c>
      <c r="F174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74" s="7" t="s">
        <v>100</v>
      </c>
      <c r="H174" s="4"/>
      <c r="I174" s="4"/>
      <c r="J174" s="4"/>
    </row>
    <row r="175" spans="1:10" x14ac:dyDescent="0.35">
      <c r="A175" s="7" t="s">
        <v>18</v>
      </c>
      <c r="B175" s="7">
        <f>+B174+1</f>
        <v>2044</v>
      </c>
      <c r="C175" s="4" t="s">
        <v>31</v>
      </c>
      <c r="D175" s="5" t="s">
        <v>2003</v>
      </c>
      <c r="E175" s="10" t="str">
        <f t="shared" ref="E175:E190" si="43">_xlfn.CONCAT(A175,"'!")</f>
        <v>PRBNP'!</v>
      </c>
      <c r="F175" s="5" t="str">
        <f t="shared" ref="F175:F190" si="44">_xlfn.CONCAT(D175," ",E175)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75" s="7" t="s">
        <v>100</v>
      </c>
      <c r="H175" s="4"/>
      <c r="I175" s="4"/>
      <c r="J175" s="4"/>
    </row>
    <row r="176" spans="1:10" x14ac:dyDescent="0.35">
      <c r="A176" s="7" t="s">
        <v>18</v>
      </c>
      <c r="B176" s="7">
        <f t="shared" ref="B176:B190" si="45">+B175+1</f>
        <v>2045</v>
      </c>
      <c r="C176" s="4" t="s">
        <v>31</v>
      </c>
      <c r="D176" s="5" t="s">
        <v>2003</v>
      </c>
      <c r="E176" s="10" t="str">
        <f t="shared" si="43"/>
        <v>PRBNP'!</v>
      </c>
      <c r="F176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76" s="7" t="s">
        <v>100</v>
      </c>
      <c r="H176" s="4"/>
      <c r="I176" s="4"/>
      <c r="J176" s="4"/>
    </row>
    <row r="177" spans="1:10" x14ac:dyDescent="0.35">
      <c r="A177" s="7" t="s">
        <v>18</v>
      </c>
      <c r="B177" s="7">
        <f t="shared" si="45"/>
        <v>2046</v>
      </c>
      <c r="C177" s="4" t="s">
        <v>31</v>
      </c>
      <c r="D177" s="5" t="s">
        <v>2003</v>
      </c>
      <c r="E177" s="10" t="str">
        <f t="shared" si="43"/>
        <v>PRBNP'!</v>
      </c>
      <c r="F177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77" s="7" t="s">
        <v>100</v>
      </c>
      <c r="H177" s="4"/>
      <c r="I177" s="4"/>
      <c r="J177" s="4"/>
    </row>
    <row r="178" spans="1:10" x14ac:dyDescent="0.35">
      <c r="A178" s="7" t="s">
        <v>18</v>
      </c>
      <c r="B178" s="7">
        <f t="shared" si="45"/>
        <v>2047</v>
      </c>
      <c r="C178" s="4" t="s">
        <v>31</v>
      </c>
      <c r="D178" s="5" t="s">
        <v>2003</v>
      </c>
      <c r="E178" s="10" t="str">
        <f t="shared" si="43"/>
        <v>PRBNP'!</v>
      </c>
      <c r="F178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78" s="7" t="s">
        <v>100</v>
      </c>
      <c r="H178" s="4"/>
      <c r="I178" s="4"/>
      <c r="J178" s="4"/>
    </row>
    <row r="179" spans="1:10" x14ac:dyDescent="0.35">
      <c r="A179" s="7" t="s">
        <v>18</v>
      </c>
      <c r="B179" s="7">
        <f t="shared" si="45"/>
        <v>2048</v>
      </c>
      <c r="C179" s="4" t="s">
        <v>31</v>
      </c>
      <c r="D179" s="5" t="s">
        <v>2003</v>
      </c>
      <c r="E179" s="10" t="str">
        <f t="shared" si="43"/>
        <v>PRBNP'!</v>
      </c>
      <c r="F179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79" s="7" t="s">
        <v>100</v>
      </c>
      <c r="H179" s="4"/>
      <c r="I179" s="4"/>
      <c r="J179" s="4"/>
    </row>
    <row r="180" spans="1:10" x14ac:dyDescent="0.35">
      <c r="A180" s="7" t="s">
        <v>18</v>
      </c>
      <c r="B180" s="7">
        <f t="shared" si="45"/>
        <v>2049</v>
      </c>
      <c r="C180" s="4" t="s">
        <v>31</v>
      </c>
      <c r="D180" s="5" t="s">
        <v>2003</v>
      </c>
      <c r="E180" s="10" t="str">
        <f t="shared" si="43"/>
        <v>PRBNP'!</v>
      </c>
      <c r="F180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0" s="7" t="s">
        <v>100</v>
      </c>
      <c r="H180" s="4"/>
      <c r="I180" s="4"/>
      <c r="J180" s="4"/>
    </row>
    <row r="181" spans="1:10" x14ac:dyDescent="0.35">
      <c r="A181" s="7" t="s">
        <v>18</v>
      </c>
      <c r="B181" s="7">
        <f t="shared" si="45"/>
        <v>2050</v>
      </c>
      <c r="C181" s="4" t="s">
        <v>31</v>
      </c>
      <c r="D181" s="5" t="s">
        <v>2003</v>
      </c>
      <c r="E181" s="10" t="str">
        <f t="shared" si="43"/>
        <v>PRBNP'!</v>
      </c>
      <c r="F181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1" s="7" t="s">
        <v>100</v>
      </c>
      <c r="H181" s="4"/>
      <c r="I181" s="4"/>
      <c r="J181" s="4"/>
    </row>
    <row r="182" spans="1:10" x14ac:dyDescent="0.35">
      <c r="A182" s="7" t="s">
        <v>18</v>
      </c>
      <c r="B182" s="7">
        <f t="shared" si="45"/>
        <v>2051</v>
      </c>
      <c r="C182" s="4" t="s">
        <v>31</v>
      </c>
      <c r="D182" s="5" t="s">
        <v>2003</v>
      </c>
      <c r="E182" s="10" t="str">
        <f t="shared" si="43"/>
        <v>PRBNP'!</v>
      </c>
      <c r="F182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2" s="7" t="s">
        <v>100</v>
      </c>
      <c r="H182" s="4"/>
      <c r="I182" s="4"/>
      <c r="J182" s="4"/>
    </row>
    <row r="183" spans="1:10" x14ac:dyDescent="0.35">
      <c r="A183" s="7" t="s">
        <v>18</v>
      </c>
      <c r="B183" s="7">
        <f t="shared" si="45"/>
        <v>2052</v>
      </c>
      <c r="C183" s="4" t="s">
        <v>31</v>
      </c>
      <c r="D183" s="5" t="s">
        <v>2003</v>
      </c>
      <c r="E183" s="10" t="str">
        <f t="shared" si="43"/>
        <v>PRBNP'!</v>
      </c>
      <c r="F183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3" s="7" t="s">
        <v>100</v>
      </c>
      <c r="H183" s="4"/>
      <c r="I183" s="4"/>
      <c r="J183" s="4"/>
    </row>
    <row r="184" spans="1:10" x14ac:dyDescent="0.35">
      <c r="A184" s="7" t="s">
        <v>18</v>
      </c>
      <c r="B184" s="7">
        <f t="shared" si="45"/>
        <v>2053</v>
      </c>
      <c r="C184" s="4" t="s">
        <v>31</v>
      </c>
      <c r="D184" s="5" t="s">
        <v>2003</v>
      </c>
      <c r="E184" s="10" t="str">
        <f t="shared" si="43"/>
        <v>PRBNP'!</v>
      </c>
      <c r="F184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4" s="7" t="s">
        <v>100</v>
      </c>
      <c r="H184" s="4"/>
      <c r="I184" s="4"/>
      <c r="J184" s="4"/>
    </row>
    <row r="185" spans="1:10" x14ac:dyDescent="0.35">
      <c r="A185" s="7" t="s">
        <v>18</v>
      </c>
      <c r="B185" s="7">
        <f t="shared" si="45"/>
        <v>2054</v>
      </c>
      <c r="C185" s="4" t="s">
        <v>31</v>
      </c>
      <c r="D185" s="5" t="s">
        <v>2003</v>
      </c>
      <c r="E185" s="10" t="str">
        <f t="shared" si="43"/>
        <v>PRBNP'!</v>
      </c>
      <c r="F185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5" s="7" t="s">
        <v>100</v>
      </c>
      <c r="H185" s="4"/>
      <c r="I185" s="4"/>
      <c r="J185" s="4"/>
    </row>
    <row r="186" spans="1:10" x14ac:dyDescent="0.35">
      <c r="A186" s="7" t="s">
        <v>18</v>
      </c>
      <c r="B186" s="7">
        <f t="shared" si="45"/>
        <v>2055</v>
      </c>
      <c r="C186" s="4" t="s">
        <v>31</v>
      </c>
      <c r="D186" s="5" t="s">
        <v>2003</v>
      </c>
      <c r="E186" s="10" t="str">
        <f t="shared" si="43"/>
        <v>PRBNP'!</v>
      </c>
      <c r="F186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6" s="7" t="s">
        <v>100</v>
      </c>
      <c r="H186" s="4"/>
      <c r="I186" s="4"/>
      <c r="J186" s="4"/>
    </row>
    <row r="187" spans="1:10" x14ac:dyDescent="0.35">
      <c r="A187" s="7" t="s">
        <v>18</v>
      </c>
      <c r="B187" s="7">
        <f t="shared" si="45"/>
        <v>2056</v>
      </c>
      <c r="C187" s="4" t="s">
        <v>31</v>
      </c>
      <c r="D187" s="5" t="s">
        <v>2003</v>
      </c>
      <c r="E187" s="10" t="str">
        <f t="shared" si="43"/>
        <v>PRBNP'!</v>
      </c>
      <c r="F187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7" s="7" t="s">
        <v>100</v>
      </c>
      <c r="H187" s="4"/>
      <c r="I187" s="4"/>
      <c r="J187" s="4"/>
    </row>
    <row r="188" spans="1:10" x14ac:dyDescent="0.35">
      <c r="A188" s="7" t="s">
        <v>18</v>
      </c>
      <c r="B188" s="7">
        <f t="shared" si="45"/>
        <v>2057</v>
      </c>
      <c r="C188" s="4" t="s">
        <v>31</v>
      </c>
      <c r="D188" s="5" t="s">
        <v>2003</v>
      </c>
      <c r="E188" s="10" t="str">
        <f t="shared" si="43"/>
        <v>PRBNP'!</v>
      </c>
      <c r="F188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8" s="7" t="s">
        <v>100</v>
      </c>
      <c r="H188" s="4"/>
      <c r="I188" s="4"/>
      <c r="J188" s="4"/>
    </row>
    <row r="189" spans="1:10" x14ac:dyDescent="0.35">
      <c r="A189" s="7" t="s">
        <v>18</v>
      </c>
      <c r="B189" s="7">
        <f t="shared" si="45"/>
        <v>2058</v>
      </c>
      <c r="C189" s="4" t="s">
        <v>31</v>
      </c>
      <c r="D189" s="5" t="s">
        <v>2003</v>
      </c>
      <c r="E189" s="10" t="str">
        <f t="shared" si="43"/>
        <v>PRBNP'!</v>
      </c>
      <c r="F189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9" s="7" t="s">
        <v>100</v>
      </c>
      <c r="H189" s="4"/>
      <c r="I189" s="4"/>
      <c r="J189" s="4"/>
    </row>
    <row r="190" spans="1:10" x14ac:dyDescent="0.35">
      <c r="A190" s="7" t="s">
        <v>18</v>
      </c>
      <c r="B190" s="7">
        <f t="shared" si="45"/>
        <v>2059</v>
      </c>
      <c r="C190" s="4" t="s">
        <v>31</v>
      </c>
      <c r="D190" s="5" t="s">
        <v>2003</v>
      </c>
      <c r="E190" s="10" t="str">
        <f t="shared" si="43"/>
        <v>PRBNP'!</v>
      </c>
      <c r="F190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90" s="7" t="s">
        <v>100</v>
      </c>
      <c r="H190" s="4"/>
      <c r="I190" s="4"/>
      <c r="J190" s="4"/>
    </row>
    <row r="191" spans="1:10" x14ac:dyDescent="0.35">
      <c r="A191" s="7" t="s">
        <v>26</v>
      </c>
      <c r="B191" s="7"/>
      <c r="C191" s="4" t="s">
        <v>31</v>
      </c>
      <c r="D191" s="5"/>
      <c r="E191" s="10"/>
      <c r="F191" s="5" t="str">
        <f t="shared" si="22"/>
        <v xml:space="preserve"> </v>
      </c>
      <c r="G191" s="7"/>
      <c r="H191" s="4"/>
      <c r="I191" s="4"/>
      <c r="J191" s="4"/>
    </row>
    <row r="192" spans="1:10" x14ac:dyDescent="0.35">
      <c r="A192" s="7" t="s">
        <v>19</v>
      </c>
      <c r="B192" s="7">
        <v>2023</v>
      </c>
      <c r="C192" s="4" t="s">
        <v>31</v>
      </c>
      <c r="D192" s="5" t="s">
        <v>2003</v>
      </c>
      <c r="E192" s="10" t="str">
        <f t="shared" ref="E192:E212" si="46">_xlfn.CONCAT(A192,"'!")</f>
        <v>PRBND'!</v>
      </c>
      <c r="F192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92" s="7" t="s">
        <v>100</v>
      </c>
      <c r="H192" s="4"/>
      <c r="I192" s="4"/>
      <c r="J192" s="4"/>
    </row>
    <row r="193" spans="1:10" x14ac:dyDescent="0.35">
      <c r="A193" s="7" t="s">
        <v>19</v>
      </c>
      <c r="B193" s="7">
        <f>+B192+1</f>
        <v>2024</v>
      </c>
      <c r="C193" s="4" t="s">
        <v>31</v>
      </c>
      <c r="D193" s="5" t="s">
        <v>2003</v>
      </c>
      <c r="E193" s="10" t="str">
        <f t="shared" si="46"/>
        <v>PRBND'!</v>
      </c>
      <c r="F193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93" s="7" t="s">
        <v>100</v>
      </c>
      <c r="H193" s="4"/>
      <c r="I193" s="4"/>
      <c r="J193" s="4"/>
    </row>
    <row r="194" spans="1:10" x14ac:dyDescent="0.35">
      <c r="A194" s="7" t="s">
        <v>19</v>
      </c>
      <c r="B194" s="7">
        <f t="shared" ref="B194:B205" si="47">+B193+1</f>
        <v>2025</v>
      </c>
      <c r="C194" s="4" t="s">
        <v>31</v>
      </c>
      <c r="D194" s="5" t="s">
        <v>2003</v>
      </c>
      <c r="E194" s="10" t="str">
        <f t="shared" si="46"/>
        <v>PRBND'!</v>
      </c>
      <c r="F194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94" s="7" t="s">
        <v>100</v>
      </c>
      <c r="H194" s="4"/>
      <c r="I194" s="4"/>
      <c r="J194" s="4"/>
    </row>
    <row r="195" spans="1:10" x14ac:dyDescent="0.35">
      <c r="A195" s="7" t="s">
        <v>19</v>
      </c>
      <c r="B195" s="7">
        <f t="shared" si="47"/>
        <v>2026</v>
      </c>
      <c r="C195" s="4" t="s">
        <v>31</v>
      </c>
      <c r="D195" s="5" t="s">
        <v>2003</v>
      </c>
      <c r="E195" s="10" t="str">
        <f t="shared" si="46"/>
        <v>PRBND'!</v>
      </c>
      <c r="F195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95" s="7" t="s">
        <v>100</v>
      </c>
      <c r="H195" s="4"/>
      <c r="I195" s="4"/>
      <c r="J195" s="4"/>
    </row>
    <row r="196" spans="1:10" x14ac:dyDescent="0.35">
      <c r="A196" s="7" t="s">
        <v>19</v>
      </c>
      <c r="B196" s="7">
        <f t="shared" si="47"/>
        <v>2027</v>
      </c>
      <c r="C196" s="4" t="s">
        <v>31</v>
      </c>
      <c r="D196" s="5" t="s">
        <v>2003</v>
      </c>
      <c r="E196" s="10" t="str">
        <f t="shared" si="46"/>
        <v>PRBND'!</v>
      </c>
      <c r="F196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96" s="7" t="s">
        <v>100</v>
      </c>
      <c r="H196" s="4"/>
      <c r="I196" s="4"/>
      <c r="J196" s="4"/>
    </row>
    <row r="197" spans="1:10" x14ac:dyDescent="0.35">
      <c r="A197" s="7" t="s">
        <v>19</v>
      </c>
      <c r="B197" s="7">
        <f t="shared" si="47"/>
        <v>2028</v>
      </c>
      <c r="C197" s="4" t="s">
        <v>31</v>
      </c>
      <c r="D197" s="5" t="s">
        <v>2003</v>
      </c>
      <c r="E197" s="10" t="str">
        <f t="shared" si="46"/>
        <v>PRBND'!</v>
      </c>
      <c r="F197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97" s="7" t="s">
        <v>100</v>
      </c>
      <c r="H197" s="4"/>
      <c r="I197" s="4"/>
      <c r="J197" s="4"/>
    </row>
    <row r="198" spans="1:10" x14ac:dyDescent="0.35">
      <c r="A198" s="7" t="s">
        <v>19</v>
      </c>
      <c r="B198" s="7">
        <f t="shared" si="47"/>
        <v>2029</v>
      </c>
      <c r="C198" s="4" t="s">
        <v>31</v>
      </c>
      <c r="D198" s="5" t="s">
        <v>2003</v>
      </c>
      <c r="E198" s="10" t="str">
        <f t="shared" si="46"/>
        <v>PRBND'!</v>
      </c>
      <c r="F198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98" s="7" t="s">
        <v>100</v>
      </c>
      <c r="H198" s="4"/>
      <c r="I198" s="4"/>
      <c r="J198" s="4"/>
    </row>
    <row r="199" spans="1:10" x14ac:dyDescent="0.35">
      <c r="A199" s="7" t="s">
        <v>19</v>
      </c>
      <c r="B199" s="7">
        <f t="shared" si="47"/>
        <v>2030</v>
      </c>
      <c r="C199" s="4" t="s">
        <v>31</v>
      </c>
      <c r="D199" s="5" t="s">
        <v>2003</v>
      </c>
      <c r="E199" s="10" t="str">
        <f t="shared" si="46"/>
        <v>PRBND'!</v>
      </c>
      <c r="F199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99" s="7" t="s">
        <v>100</v>
      </c>
      <c r="H199" s="4"/>
      <c r="I199" s="4"/>
      <c r="J199" s="4"/>
    </row>
    <row r="200" spans="1:10" x14ac:dyDescent="0.35">
      <c r="A200" s="7" t="s">
        <v>19</v>
      </c>
      <c r="B200" s="7">
        <f t="shared" si="47"/>
        <v>2031</v>
      </c>
      <c r="C200" s="4" t="s">
        <v>31</v>
      </c>
      <c r="D200" s="5" t="s">
        <v>2003</v>
      </c>
      <c r="E200" s="10" t="str">
        <f t="shared" si="46"/>
        <v>PRBND'!</v>
      </c>
      <c r="F200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00" s="7" t="s">
        <v>100</v>
      </c>
      <c r="H200" s="4"/>
      <c r="I200" s="4"/>
      <c r="J200" s="4"/>
    </row>
    <row r="201" spans="1:10" x14ac:dyDescent="0.35">
      <c r="A201" s="7" t="s">
        <v>19</v>
      </c>
      <c r="B201" s="7">
        <f t="shared" si="47"/>
        <v>2032</v>
      </c>
      <c r="C201" s="4" t="s">
        <v>31</v>
      </c>
      <c r="D201" s="5" t="s">
        <v>2003</v>
      </c>
      <c r="E201" s="10" t="str">
        <f t="shared" si="46"/>
        <v>PRBND'!</v>
      </c>
      <c r="F201" s="5" t="str">
        <f t="shared" ref="F201:F306" si="48">_xlfn.CONCAT(D201," ",E201)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01" s="7" t="s">
        <v>100</v>
      </c>
      <c r="H201" s="4"/>
      <c r="I201" s="4"/>
      <c r="J201" s="4"/>
    </row>
    <row r="202" spans="1:10" x14ac:dyDescent="0.35">
      <c r="A202" s="7" t="s">
        <v>19</v>
      </c>
      <c r="B202" s="7">
        <f t="shared" si="47"/>
        <v>2033</v>
      </c>
      <c r="C202" s="4" t="s">
        <v>31</v>
      </c>
      <c r="D202" s="5" t="s">
        <v>2003</v>
      </c>
      <c r="E202" s="10" t="str">
        <f t="shared" si="46"/>
        <v>PRBND'!</v>
      </c>
      <c r="F202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02" s="7" t="s">
        <v>100</v>
      </c>
      <c r="H202" s="4"/>
      <c r="I202" s="4"/>
      <c r="J202" s="4"/>
    </row>
    <row r="203" spans="1:10" x14ac:dyDescent="0.35">
      <c r="A203" s="7" t="s">
        <v>19</v>
      </c>
      <c r="B203" s="7">
        <f t="shared" si="47"/>
        <v>2034</v>
      </c>
      <c r="C203" s="4" t="s">
        <v>31</v>
      </c>
      <c r="D203" s="5" t="s">
        <v>2003</v>
      </c>
      <c r="E203" s="10" t="str">
        <f t="shared" si="46"/>
        <v>PRBND'!</v>
      </c>
      <c r="F203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03" s="7" t="s">
        <v>100</v>
      </c>
      <c r="H203" s="4"/>
      <c r="I203" s="4"/>
      <c r="J203" s="4"/>
    </row>
    <row r="204" spans="1:10" x14ac:dyDescent="0.35">
      <c r="A204" s="7" t="s">
        <v>19</v>
      </c>
      <c r="B204" s="7">
        <f t="shared" si="47"/>
        <v>2035</v>
      </c>
      <c r="C204" s="4" t="s">
        <v>31</v>
      </c>
      <c r="D204" s="5" t="s">
        <v>2003</v>
      </c>
      <c r="E204" s="10" t="str">
        <f t="shared" si="46"/>
        <v>PRBND'!</v>
      </c>
      <c r="F204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04" s="7" t="s">
        <v>100</v>
      </c>
      <c r="H204" s="4"/>
      <c r="I204" s="4"/>
      <c r="J204" s="4"/>
    </row>
    <row r="205" spans="1:10" x14ac:dyDescent="0.35">
      <c r="A205" s="7" t="s">
        <v>19</v>
      </c>
      <c r="B205" s="7">
        <f t="shared" si="47"/>
        <v>2036</v>
      </c>
      <c r="C205" s="4" t="s">
        <v>31</v>
      </c>
      <c r="D205" s="5" t="s">
        <v>2003</v>
      </c>
      <c r="E205" s="10" t="str">
        <f t="shared" si="46"/>
        <v>PRBND'!</v>
      </c>
      <c r="F205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05" s="7" t="s">
        <v>100</v>
      </c>
      <c r="H205" s="4"/>
      <c r="I205" s="4"/>
      <c r="J205" s="4"/>
    </row>
    <row r="206" spans="1:10" x14ac:dyDescent="0.35">
      <c r="A206" s="7" t="s">
        <v>19</v>
      </c>
      <c r="B206" s="7">
        <f>+B205+1</f>
        <v>2037</v>
      </c>
      <c r="C206" s="4" t="s">
        <v>31</v>
      </c>
      <c r="D206" s="5" t="s">
        <v>2003</v>
      </c>
      <c r="E206" s="10" t="str">
        <f t="shared" si="46"/>
        <v>PRBND'!</v>
      </c>
      <c r="F206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06" s="7" t="s">
        <v>100</v>
      </c>
      <c r="H206" s="4"/>
      <c r="I206" s="4"/>
      <c r="J206" s="4"/>
    </row>
    <row r="207" spans="1:10" x14ac:dyDescent="0.35">
      <c r="A207" s="7" t="s">
        <v>19</v>
      </c>
      <c r="B207" s="7">
        <f t="shared" ref="B207:B209" si="49">+B206+1</f>
        <v>2038</v>
      </c>
      <c r="C207" s="4" t="s">
        <v>31</v>
      </c>
      <c r="D207" s="5" t="s">
        <v>2003</v>
      </c>
      <c r="E207" s="10" t="str">
        <f t="shared" si="46"/>
        <v>PRBND'!</v>
      </c>
      <c r="F207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07" s="7" t="s">
        <v>100</v>
      </c>
      <c r="H207" s="4"/>
      <c r="I207" s="4"/>
      <c r="J207" s="4"/>
    </row>
    <row r="208" spans="1:10" x14ac:dyDescent="0.35">
      <c r="A208" s="7" t="s">
        <v>19</v>
      </c>
      <c r="B208" s="7">
        <f t="shared" si="49"/>
        <v>2039</v>
      </c>
      <c r="C208" s="4" t="s">
        <v>31</v>
      </c>
      <c r="D208" s="5" t="s">
        <v>2003</v>
      </c>
      <c r="E208" s="10" t="str">
        <f t="shared" si="46"/>
        <v>PRBND'!</v>
      </c>
      <c r="F208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08" s="7" t="s">
        <v>100</v>
      </c>
      <c r="H208" s="4"/>
      <c r="I208" s="4"/>
      <c r="J208" s="4"/>
    </row>
    <row r="209" spans="1:10" x14ac:dyDescent="0.35">
      <c r="A209" s="7" t="s">
        <v>19</v>
      </c>
      <c r="B209" s="7">
        <f t="shared" si="49"/>
        <v>2040</v>
      </c>
      <c r="C209" s="4" t="s">
        <v>31</v>
      </c>
      <c r="D209" s="5" t="s">
        <v>2003</v>
      </c>
      <c r="E209" s="10" t="str">
        <f t="shared" si="46"/>
        <v>PRBND'!</v>
      </c>
      <c r="F209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09" s="7" t="s">
        <v>100</v>
      </c>
      <c r="H209" s="4"/>
      <c r="I209" s="4"/>
      <c r="J209" s="4"/>
    </row>
    <row r="210" spans="1:10" x14ac:dyDescent="0.35">
      <c r="A210" s="7" t="s">
        <v>19</v>
      </c>
      <c r="B210" s="7">
        <f>+B209+1</f>
        <v>2041</v>
      </c>
      <c r="C210" s="4" t="s">
        <v>31</v>
      </c>
      <c r="D210" s="5" t="s">
        <v>2003</v>
      </c>
      <c r="E210" s="10" t="str">
        <f t="shared" si="46"/>
        <v>PRBND'!</v>
      </c>
      <c r="F210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10" s="7" t="s">
        <v>100</v>
      </c>
      <c r="H210" s="4"/>
      <c r="I210" s="4"/>
      <c r="J210" s="4"/>
    </row>
    <row r="211" spans="1:10" x14ac:dyDescent="0.35">
      <c r="A211" s="7" t="s">
        <v>19</v>
      </c>
      <c r="B211" s="7">
        <f t="shared" ref="B211:B212" si="50">+B210+1</f>
        <v>2042</v>
      </c>
      <c r="C211" s="4" t="s">
        <v>31</v>
      </c>
      <c r="D211" s="5" t="s">
        <v>2003</v>
      </c>
      <c r="E211" s="10" t="str">
        <f t="shared" si="46"/>
        <v>PRBND'!</v>
      </c>
      <c r="F211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11" s="7" t="s">
        <v>100</v>
      </c>
      <c r="H211" s="4"/>
      <c r="I211" s="4"/>
      <c r="J211" s="4"/>
    </row>
    <row r="212" spans="1:10" x14ac:dyDescent="0.35">
      <c r="A212" s="7" t="s">
        <v>19</v>
      </c>
      <c r="B212" s="7">
        <f t="shared" si="50"/>
        <v>2043</v>
      </c>
      <c r="C212" s="4" t="s">
        <v>31</v>
      </c>
      <c r="D212" s="5" t="s">
        <v>2003</v>
      </c>
      <c r="E212" s="10" t="str">
        <f t="shared" si="46"/>
        <v>PRBND'!</v>
      </c>
      <c r="F212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12" s="7" t="s">
        <v>100</v>
      </c>
      <c r="H212" s="4"/>
      <c r="I212" s="4"/>
      <c r="J212" s="4"/>
    </row>
    <row r="213" spans="1:10" x14ac:dyDescent="0.35">
      <c r="A213" s="7" t="s">
        <v>19</v>
      </c>
      <c r="B213" s="7">
        <f>+B212+1</f>
        <v>2044</v>
      </c>
      <c r="C213" s="4" t="s">
        <v>31</v>
      </c>
      <c r="D213" s="5" t="s">
        <v>2003</v>
      </c>
      <c r="E213" s="10" t="str">
        <f t="shared" ref="E213:E228" si="51">_xlfn.CONCAT(A213,"'!")</f>
        <v>PRBND'!</v>
      </c>
      <c r="F213" s="5" t="str">
        <f t="shared" ref="F213:F228" si="52">_xlfn.CONCAT(D213," ",E213)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13" s="7" t="s">
        <v>100</v>
      </c>
      <c r="H213" s="4"/>
      <c r="I213" s="4"/>
      <c r="J213" s="4"/>
    </row>
    <row r="214" spans="1:10" x14ac:dyDescent="0.35">
      <c r="A214" s="7" t="s">
        <v>19</v>
      </c>
      <c r="B214" s="7">
        <f t="shared" ref="B214:B228" si="53">+B213+1</f>
        <v>2045</v>
      </c>
      <c r="C214" s="4" t="s">
        <v>31</v>
      </c>
      <c r="D214" s="5" t="s">
        <v>2003</v>
      </c>
      <c r="E214" s="10" t="str">
        <f t="shared" si="51"/>
        <v>PRBND'!</v>
      </c>
      <c r="F214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14" s="7" t="s">
        <v>100</v>
      </c>
      <c r="H214" s="4"/>
      <c r="I214" s="4"/>
      <c r="J214" s="4"/>
    </row>
    <row r="215" spans="1:10" x14ac:dyDescent="0.35">
      <c r="A215" s="7" t="s">
        <v>19</v>
      </c>
      <c r="B215" s="7">
        <f t="shared" si="53"/>
        <v>2046</v>
      </c>
      <c r="C215" s="4" t="s">
        <v>31</v>
      </c>
      <c r="D215" s="5" t="s">
        <v>2003</v>
      </c>
      <c r="E215" s="10" t="str">
        <f t="shared" si="51"/>
        <v>PRBND'!</v>
      </c>
      <c r="F215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15" s="7" t="s">
        <v>100</v>
      </c>
      <c r="H215" s="4"/>
      <c r="I215" s="4"/>
      <c r="J215" s="4"/>
    </row>
    <row r="216" spans="1:10" x14ac:dyDescent="0.35">
      <c r="A216" s="7" t="s">
        <v>19</v>
      </c>
      <c r="B216" s="7">
        <f t="shared" si="53"/>
        <v>2047</v>
      </c>
      <c r="C216" s="4" t="s">
        <v>31</v>
      </c>
      <c r="D216" s="5" t="s">
        <v>2003</v>
      </c>
      <c r="E216" s="10" t="str">
        <f t="shared" si="51"/>
        <v>PRBND'!</v>
      </c>
      <c r="F216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16" s="7" t="s">
        <v>100</v>
      </c>
      <c r="H216" s="4"/>
      <c r="I216" s="4"/>
      <c r="J216" s="4"/>
    </row>
    <row r="217" spans="1:10" x14ac:dyDescent="0.35">
      <c r="A217" s="7" t="s">
        <v>19</v>
      </c>
      <c r="B217" s="7">
        <f t="shared" si="53"/>
        <v>2048</v>
      </c>
      <c r="C217" s="4" t="s">
        <v>31</v>
      </c>
      <c r="D217" s="5" t="s">
        <v>2003</v>
      </c>
      <c r="E217" s="10" t="str">
        <f t="shared" si="51"/>
        <v>PRBND'!</v>
      </c>
      <c r="F217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17" s="7" t="s">
        <v>100</v>
      </c>
      <c r="H217" s="4"/>
      <c r="I217" s="4"/>
      <c r="J217" s="4"/>
    </row>
    <row r="218" spans="1:10" x14ac:dyDescent="0.35">
      <c r="A218" s="7" t="s">
        <v>19</v>
      </c>
      <c r="B218" s="7">
        <f t="shared" si="53"/>
        <v>2049</v>
      </c>
      <c r="C218" s="4" t="s">
        <v>31</v>
      </c>
      <c r="D218" s="5" t="s">
        <v>2003</v>
      </c>
      <c r="E218" s="10" t="str">
        <f t="shared" si="51"/>
        <v>PRBND'!</v>
      </c>
      <c r="F218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18" s="7" t="s">
        <v>100</v>
      </c>
      <c r="H218" s="4"/>
      <c r="I218" s="4"/>
      <c r="J218" s="4"/>
    </row>
    <row r="219" spans="1:10" x14ac:dyDescent="0.35">
      <c r="A219" s="7" t="s">
        <v>19</v>
      </c>
      <c r="B219" s="7">
        <f t="shared" si="53"/>
        <v>2050</v>
      </c>
      <c r="C219" s="4" t="s">
        <v>31</v>
      </c>
      <c r="D219" s="5" t="s">
        <v>2003</v>
      </c>
      <c r="E219" s="10" t="str">
        <f t="shared" si="51"/>
        <v>PRBND'!</v>
      </c>
      <c r="F219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19" s="7" t="s">
        <v>100</v>
      </c>
      <c r="H219" s="4"/>
      <c r="I219" s="4"/>
      <c r="J219" s="4"/>
    </row>
    <row r="220" spans="1:10" x14ac:dyDescent="0.35">
      <c r="A220" s="7" t="s">
        <v>19</v>
      </c>
      <c r="B220" s="7">
        <f t="shared" si="53"/>
        <v>2051</v>
      </c>
      <c r="C220" s="4" t="s">
        <v>31</v>
      </c>
      <c r="D220" s="5" t="s">
        <v>2003</v>
      </c>
      <c r="E220" s="10" t="str">
        <f t="shared" si="51"/>
        <v>PRBND'!</v>
      </c>
      <c r="F220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0" s="7" t="s">
        <v>100</v>
      </c>
      <c r="H220" s="4"/>
      <c r="I220" s="4"/>
      <c r="J220" s="4"/>
    </row>
    <row r="221" spans="1:10" x14ac:dyDescent="0.35">
      <c r="A221" s="7" t="s">
        <v>19</v>
      </c>
      <c r="B221" s="7">
        <f t="shared" si="53"/>
        <v>2052</v>
      </c>
      <c r="C221" s="4" t="s">
        <v>31</v>
      </c>
      <c r="D221" s="5" t="s">
        <v>2003</v>
      </c>
      <c r="E221" s="10" t="str">
        <f t="shared" si="51"/>
        <v>PRBND'!</v>
      </c>
      <c r="F221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1" s="7" t="s">
        <v>100</v>
      </c>
      <c r="H221" s="4"/>
      <c r="I221" s="4"/>
      <c r="J221" s="4"/>
    </row>
    <row r="222" spans="1:10" x14ac:dyDescent="0.35">
      <c r="A222" s="7" t="s">
        <v>19</v>
      </c>
      <c r="B222" s="7">
        <f t="shared" si="53"/>
        <v>2053</v>
      </c>
      <c r="C222" s="4" t="s">
        <v>31</v>
      </c>
      <c r="D222" s="5" t="s">
        <v>2003</v>
      </c>
      <c r="E222" s="10" t="str">
        <f t="shared" si="51"/>
        <v>PRBND'!</v>
      </c>
      <c r="F222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2" s="7" t="s">
        <v>100</v>
      </c>
      <c r="H222" s="4"/>
      <c r="I222" s="4"/>
      <c r="J222" s="4"/>
    </row>
    <row r="223" spans="1:10" x14ac:dyDescent="0.35">
      <c r="A223" s="7" t="s">
        <v>19</v>
      </c>
      <c r="B223" s="7">
        <f t="shared" si="53"/>
        <v>2054</v>
      </c>
      <c r="C223" s="4" t="s">
        <v>31</v>
      </c>
      <c r="D223" s="5" t="s">
        <v>2003</v>
      </c>
      <c r="E223" s="10" t="str">
        <f t="shared" si="51"/>
        <v>PRBND'!</v>
      </c>
      <c r="F223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3" s="7" t="s">
        <v>100</v>
      </c>
      <c r="H223" s="4"/>
      <c r="I223" s="4"/>
      <c r="J223" s="4"/>
    </row>
    <row r="224" spans="1:10" x14ac:dyDescent="0.35">
      <c r="A224" s="7" t="s">
        <v>19</v>
      </c>
      <c r="B224" s="7">
        <f t="shared" si="53"/>
        <v>2055</v>
      </c>
      <c r="C224" s="4" t="s">
        <v>31</v>
      </c>
      <c r="D224" s="5" t="s">
        <v>2003</v>
      </c>
      <c r="E224" s="10" t="str">
        <f t="shared" si="51"/>
        <v>PRBND'!</v>
      </c>
      <c r="F224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4" s="7" t="s">
        <v>100</v>
      </c>
      <c r="H224" s="4"/>
      <c r="I224" s="4"/>
      <c r="J224" s="4"/>
    </row>
    <row r="225" spans="1:10" x14ac:dyDescent="0.35">
      <c r="A225" s="7" t="s">
        <v>19</v>
      </c>
      <c r="B225" s="7">
        <f t="shared" si="53"/>
        <v>2056</v>
      </c>
      <c r="C225" s="4" t="s">
        <v>31</v>
      </c>
      <c r="D225" s="5" t="s">
        <v>2003</v>
      </c>
      <c r="E225" s="10" t="str">
        <f t="shared" si="51"/>
        <v>PRBND'!</v>
      </c>
      <c r="F225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5" s="7" t="s">
        <v>100</v>
      </c>
      <c r="H225" s="4"/>
      <c r="I225" s="4"/>
      <c r="J225" s="4"/>
    </row>
    <row r="226" spans="1:10" x14ac:dyDescent="0.35">
      <c r="A226" s="7" t="s">
        <v>19</v>
      </c>
      <c r="B226" s="7">
        <f t="shared" si="53"/>
        <v>2057</v>
      </c>
      <c r="C226" s="4" t="s">
        <v>31</v>
      </c>
      <c r="D226" s="5" t="s">
        <v>2003</v>
      </c>
      <c r="E226" s="10" t="str">
        <f t="shared" si="51"/>
        <v>PRBND'!</v>
      </c>
      <c r="F226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6" s="7" t="s">
        <v>100</v>
      </c>
      <c r="H226" s="4"/>
      <c r="I226" s="4"/>
      <c r="J226" s="4"/>
    </row>
    <row r="227" spans="1:10" x14ac:dyDescent="0.35">
      <c r="A227" s="7" t="s">
        <v>19</v>
      </c>
      <c r="B227" s="7">
        <f t="shared" si="53"/>
        <v>2058</v>
      </c>
      <c r="C227" s="4" t="s">
        <v>31</v>
      </c>
      <c r="D227" s="5" t="s">
        <v>2003</v>
      </c>
      <c r="E227" s="10" t="str">
        <f t="shared" si="51"/>
        <v>PRBND'!</v>
      </c>
      <c r="F227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7" s="7" t="s">
        <v>100</v>
      </c>
      <c r="H227" s="4"/>
      <c r="I227" s="4"/>
      <c r="J227" s="4"/>
    </row>
    <row r="228" spans="1:10" x14ac:dyDescent="0.35">
      <c r="A228" s="7" t="s">
        <v>19</v>
      </c>
      <c r="B228" s="7">
        <f t="shared" si="53"/>
        <v>2059</v>
      </c>
      <c r="C228" s="4" t="s">
        <v>31</v>
      </c>
      <c r="D228" s="5" t="s">
        <v>2003</v>
      </c>
      <c r="E228" s="10" t="str">
        <f t="shared" si="51"/>
        <v>PRBND'!</v>
      </c>
      <c r="F228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8" s="7" t="s">
        <v>100</v>
      </c>
      <c r="H228" s="4"/>
      <c r="I228" s="4"/>
      <c r="J228" s="4"/>
    </row>
    <row r="229" spans="1:10" x14ac:dyDescent="0.35">
      <c r="A229" s="7" t="s">
        <v>26</v>
      </c>
      <c r="B229" s="7"/>
      <c r="C229" s="4" t="s">
        <v>31</v>
      </c>
      <c r="D229" s="5"/>
      <c r="E229" s="10" t="str">
        <f t="shared" ref="E229" si="54">_xlfn.CONCAT(A229,"'!")</f>
        <v>Total'!</v>
      </c>
      <c r="F229" s="5" t="str">
        <f t="shared" ref="F229" si="55">_xlfn.CONCAT(D229," ",E229)</f>
        <v xml:space="preserve"> Total'!</v>
      </c>
      <c r="G229" s="7" t="s">
        <v>100</v>
      </c>
      <c r="H229" s="4"/>
      <c r="I229" s="4"/>
      <c r="J229" s="4"/>
    </row>
    <row r="230" spans="1:10" x14ac:dyDescent="0.35">
      <c r="A230" s="7" t="s">
        <v>20</v>
      </c>
      <c r="B230" s="7">
        <v>2023</v>
      </c>
      <c r="C230" s="4" t="s">
        <v>31</v>
      </c>
      <c r="D230" s="5" t="s">
        <v>2003</v>
      </c>
      <c r="E230" s="10" t="str">
        <f t="shared" si="24"/>
        <v>PRB'!</v>
      </c>
      <c r="F230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0" s="7" t="s">
        <v>100</v>
      </c>
      <c r="H230" s="4">
        <f>IF(A230&lt;&gt;A100,36,H100+1)</f>
        <v>36</v>
      </c>
      <c r="I230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PRB'!$AY$36</v>
      </c>
      <c r="J230" s="4" t="s">
        <v>2115</v>
      </c>
    </row>
    <row r="231" spans="1:10" x14ac:dyDescent="0.35">
      <c r="A231" s="7" t="s">
        <v>20</v>
      </c>
      <c r="B231" s="7">
        <f>+B230+1</f>
        <v>2024</v>
      </c>
      <c r="C231" s="4" t="s">
        <v>31</v>
      </c>
      <c r="D231" s="5" t="s">
        <v>2003</v>
      </c>
      <c r="E231" s="10" t="str">
        <f t="shared" si="24"/>
        <v>PRB'!</v>
      </c>
      <c r="F231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1" s="7" t="s">
        <v>100</v>
      </c>
      <c r="H231" s="4">
        <f t="shared" si="26"/>
        <v>37</v>
      </c>
      <c r="I231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PRB'!$AY$37</v>
      </c>
      <c r="J231" s="4" t="s">
        <v>2116</v>
      </c>
    </row>
    <row r="232" spans="1:10" x14ac:dyDescent="0.35">
      <c r="A232" s="7" t="s">
        <v>20</v>
      </c>
      <c r="B232" s="7">
        <f t="shared" ref="B232:B243" si="56">+B231+1</f>
        <v>2025</v>
      </c>
      <c r="C232" s="4" t="s">
        <v>31</v>
      </c>
      <c r="D232" s="5" t="s">
        <v>2003</v>
      </c>
      <c r="E232" s="10" t="str">
        <f t="shared" si="24"/>
        <v>PRB'!</v>
      </c>
      <c r="F232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2" s="7" t="s">
        <v>100</v>
      </c>
      <c r="H232" s="4">
        <f t="shared" si="26"/>
        <v>38</v>
      </c>
      <c r="I232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PRB'!$AY$38</v>
      </c>
      <c r="J232" s="4" t="s">
        <v>2117</v>
      </c>
    </row>
    <row r="233" spans="1:10" x14ac:dyDescent="0.35">
      <c r="A233" s="7" t="s">
        <v>20</v>
      </c>
      <c r="B233" s="7">
        <f t="shared" si="56"/>
        <v>2026</v>
      </c>
      <c r="C233" s="4" t="s">
        <v>31</v>
      </c>
      <c r="D233" s="5" t="s">
        <v>2003</v>
      </c>
      <c r="E233" s="10" t="str">
        <f t="shared" si="24"/>
        <v>PRB'!</v>
      </c>
      <c r="F233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3" s="7" t="s">
        <v>100</v>
      </c>
      <c r="H233" s="4">
        <f t="shared" si="26"/>
        <v>39</v>
      </c>
      <c r="I233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PRB'!$AY$39</v>
      </c>
      <c r="J233" s="4" t="s">
        <v>2118</v>
      </c>
    </row>
    <row r="234" spans="1:10" x14ac:dyDescent="0.35">
      <c r="A234" s="7" t="s">
        <v>20</v>
      </c>
      <c r="B234" s="7">
        <f t="shared" si="56"/>
        <v>2027</v>
      </c>
      <c r="C234" s="4" t="s">
        <v>31</v>
      </c>
      <c r="D234" s="5" t="s">
        <v>2003</v>
      </c>
      <c r="E234" s="10" t="str">
        <f t="shared" si="24"/>
        <v>PRB'!</v>
      </c>
      <c r="F234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4" s="7" t="s">
        <v>100</v>
      </c>
      <c r="H234" s="4">
        <f t="shared" si="26"/>
        <v>40</v>
      </c>
      <c r="I234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PRB'!$AY$40</v>
      </c>
      <c r="J234" s="4" t="s">
        <v>2119</v>
      </c>
    </row>
    <row r="235" spans="1:10" x14ac:dyDescent="0.35">
      <c r="A235" s="7" t="s">
        <v>20</v>
      </c>
      <c r="B235" s="7">
        <f t="shared" si="56"/>
        <v>2028</v>
      </c>
      <c r="C235" s="4" t="s">
        <v>31</v>
      </c>
      <c r="D235" s="5" t="s">
        <v>2003</v>
      </c>
      <c r="E235" s="10" t="str">
        <f t="shared" si="24"/>
        <v>PRB'!</v>
      </c>
      <c r="F235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5" s="7" t="s">
        <v>100</v>
      </c>
      <c r="H235" s="4">
        <f t="shared" si="26"/>
        <v>41</v>
      </c>
      <c r="I235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PRB'!$AY$41</v>
      </c>
      <c r="J235" s="4" t="s">
        <v>2120</v>
      </c>
    </row>
    <row r="236" spans="1:10" x14ac:dyDescent="0.35">
      <c r="A236" s="7" t="s">
        <v>20</v>
      </c>
      <c r="B236" s="7">
        <f t="shared" si="56"/>
        <v>2029</v>
      </c>
      <c r="C236" s="4" t="s">
        <v>31</v>
      </c>
      <c r="D236" s="5" t="s">
        <v>2003</v>
      </c>
      <c r="E236" s="10" t="str">
        <f t="shared" si="24"/>
        <v>PRB'!</v>
      </c>
      <c r="F236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6" s="7" t="s">
        <v>100</v>
      </c>
      <c r="H236" s="4">
        <f t="shared" si="26"/>
        <v>42</v>
      </c>
      <c r="I236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PRB'!$AY$42</v>
      </c>
      <c r="J236" s="4" t="s">
        <v>2121</v>
      </c>
    </row>
    <row r="237" spans="1:10" x14ac:dyDescent="0.35">
      <c r="A237" s="7" t="s">
        <v>20</v>
      </c>
      <c r="B237" s="7">
        <f t="shared" si="56"/>
        <v>2030</v>
      </c>
      <c r="C237" s="4" t="s">
        <v>31</v>
      </c>
      <c r="D237" s="5" t="s">
        <v>2003</v>
      </c>
      <c r="E237" s="10" t="str">
        <f t="shared" si="24"/>
        <v>PRB'!</v>
      </c>
      <c r="F237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7" s="7" t="s">
        <v>100</v>
      </c>
      <c r="H237" s="4">
        <f t="shared" si="26"/>
        <v>43</v>
      </c>
      <c r="I237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PRB'!$AY$43</v>
      </c>
      <c r="J237" s="4" t="s">
        <v>2122</v>
      </c>
    </row>
    <row r="238" spans="1:10" x14ac:dyDescent="0.35">
      <c r="A238" s="7" t="s">
        <v>20</v>
      </c>
      <c r="B238" s="7">
        <f t="shared" si="56"/>
        <v>2031</v>
      </c>
      <c r="C238" s="4" t="s">
        <v>31</v>
      </c>
      <c r="D238" s="5" t="s">
        <v>2003</v>
      </c>
      <c r="E238" s="10" t="str">
        <f t="shared" si="24"/>
        <v>PRB'!</v>
      </c>
      <c r="F238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8" s="7" t="s">
        <v>100</v>
      </c>
      <c r="H238" s="4">
        <f t="shared" si="26"/>
        <v>44</v>
      </c>
      <c r="I238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PRB'!$AY$44</v>
      </c>
      <c r="J238" s="4" t="s">
        <v>2123</v>
      </c>
    </row>
    <row r="239" spans="1:10" x14ac:dyDescent="0.35">
      <c r="A239" s="7" t="s">
        <v>20</v>
      </c>
      <c r="B239" s="7">
        <f t="shared" si="56"/>
        <v>2032</v>
      </c>
      <c r="C239" s="4" t="s">
        <v>31</v>
      </c>
      <c r="D239" s="5" t="s">
        <v>2003</v>
      </c>
      <c r="E239" s="10" t="str">
        <f t="shared" si="24"/>
        <v>PRB'!</v>
      </c>
      <c r="F239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9" s="7" t="s">
        <v>100</v>
      </c>
      <c r="H239" s="4">
        <f t="shared" si="26"/>
        <v>45</v>
      </c>
      <c r="I239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PRB'!$AY$45</v>
      </c>
      <c r="J239" s="4" t="s">
        <v>2124</v>
      </c>
    </row>
    <row r="240" spans="1:10" x14ac:dyDescent="0.35">
      <c r="A240" s="7" t="s">
        <v>20</v>
      </c>
      <c r="B240" s="7">
        <f t="shared" si="56"/>
        <v>2033</v>
      </c>
      <c r="C240" s="4" t="s">
        <v>31</v>
      </c>
      <c r="D240" s="5" t="s">
        <v>2003</v>
      </c>
      <c r="E240" s="10" t="str">
        <f t="shared" si="24"/>
        <v>PRB'!</v>
      </c>
      <c r="F240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40" s="7" t="s">
        <v>100</v>
      </c>
      <c r="H240" s="4">
        <f t="shared" si="26"/>
        <v>46</v>
      </c>
      <c r="I240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PRB'!$AY$46</v>
      </c>
      <c r="J240" s="4" t="s">
        <v>2125</v>
      </c>
    </row>
    <row r="241" spans="1:10" x14ac:dyDescent="0.35">
      <c r="A241" s="7" t="s">
        <v>20</v>
      </c>
      <c r="B241" s="7">
        <f t="shared" si="56"/>
        <v>2034</v>
      </c>
      <c r="C241" s="4" t="s">
        <v>31</v>
      </c>
      <c r="D241" s="5" t="s">
        <v>2003</v>
      </c>
      <c r="E241" s="10" t="str">
        <f t="shared" si="24"/>
        <v>PRB'!</v>
      </c>
      <c r="F241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41" s="7" t="s">
        <v>100</v>
      </c>
      <c r="H241" s="4">
        <f t="shared" si="26"/>
        <v>47</v>
      </c>
      <c r="I241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PRB'!$AY$47</v>
      </c>
      <c r="J241" s="4" t="s">
        <v>2126</v>
      </c>
    </row>
    <row r="242" spans="1:10" x14ac:dyDescent="0.35">
      <c r="A242" s="7" t="s">
        <v>20</v>
      </c>
      <c r="B242" s="7">
        <f t="shared" si="56"/>
        <v>2035</v>
      </c>
      <c r="C242" s="4" t="s">
        <v>31</v>
      </c>
      <c r="D242" s="5" t="s">
        <v>2003</v>
      </c>
      <c r="E242" s="10" t="str">
        <f t="shared" si="24"/>
        <v>PRB'!</v>
      </c>
      <c r="F242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42" s="7" t="s">
        <v>100</v>
      </c>
      <c r="H242" s="4">
        <f t="shared" si="26"/>
        <v>48</v>
      </c>
      <c r="I242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PRB'!$AY$48</v>
      </c>
      <c r="J242" s="4" t="s">
        <v>2127</v>
      </c>
    </row>
    <row r="243" spans="1:10" x14ac:dyDescent="0.35">
      <c r="A243" s="7" t="s">
        <v>20</v>
      </c>
      <c r="B243" s="7">
        <f t="shared" si="56"/>
        <v>2036</v>
      </c>
      <c r="C243" s="4" t="s">
        <v>31</v>
      </c>
      <c r="D243" s="5" t="s">
        <v>2003</v>
      </c>
      <c r="E243" s="10" t="str">
        <f t="shared" si="24"/>
        <v>PRB'!</v>
      </c>
      <c r="F243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43" s="7" t="s">
        <v>100</v>
      </c>
      <c r="H243" s="4">
        <f t="shared" si="26"/>
        <v>49</v>
      </c>
      <c r="I243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PRB'!$AY$49</v>
      </c>
      <c r="J243" s="4" t="s">
        <v>2128</v>
      </c>
    </row>
    <row r="244" spans="1:10" x14ac:dyDescent="0.35">
      <c r="A244" s="7" t="s">
        <v>20</v>
      </c>
      <c r="B244" s="7">
        <f>+B243+1</f>
        <v>2037</v>
      </c>
      <c r="C244" s="4" t="s">
        <v>31</v>
      </c>
      <c r="D244" s="5" t="s">
        <v>2003</v>
      </c>
      <c r="E244" s="10" t="str">
        <f t="shared" si="24"/>
        <v>PRB'!</v>
      </c>
      <c r="F244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44" s="7" t="s">
        <v>100</v>
      </c>
      <c r="H244" s="4">
        <f t="shared" si="26"/>
        <v>50</v>
      </c>
      <c r="I244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PRB'!$AY$50</v>
      </c>
      <c r="J244" s="4" t="s">
        <v>2129</v>
      </c>
    </row>
    <row r="245" spans="1:10" x14ac:dyDescent="0.35">
      <c r="A245" s="7" t="s">
        <v>20</v>
      </c>
      <c r="B245" s="7">
        <f t="shared" ref="B245:B247" si="57">+B244+1</f>
        <v>2038</v>
      </c>
      <c r="C245" s="4" t="s">
        <v>31</v>
      </c>
      <c r="D245" s="5" t="s">
        <v>2003</v>
      </c>
      <c r="E245" s="10" t="str">
        <f t="shared" si="24"/>
        <v>PRB'!</v>
      </c>
      <c r="F245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45" s="7" t="s">
        <v>100</v>
      </c>
      <c r="H245" s="4">
        <f t="shared" si="26"/>
        <v>51</v>
      </c>
      <c r="I245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PRB'!$AY$51</v>
      </c>
      <c r="J245" s="4" t="s">
        <v>2130</v>
      </c>
    </row>
    <row r="246" spans="1:10" x14ac:dyDescent="0.35">
      <c r="A246" s="7" t="s">
        <v>20</v>
      </c>
      <c r="B246" s="7">
        <f t="shared" si="57"/>
        <v>2039</v>
      </c>
      <c r="C246" s="4" t="s">
        <v>31</v>
      </c>
      <c r="D246" s="5" t="s">
        <v>2003</v>
      </c>
      <c r="E246" s="10" t="str">
        <f t="shared" si="24"/>
        <v>PRB'!</v>
      </c>
      <c r="F246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46" s="7" t="s">
        <v>100</v>
      </c>
      <c r="H246" s="4">
        <f t="shared" si="26"/>
        <v>52</v>
      </c>
      <c r="I246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PRB'!$AY$52</v>
      </c>
      <c r="J246" s="4" t="s">
        <v>2131</v>
      </c>
    </row>
    <row r="247" spans="1:10" x14ac:dyDescent="0.35">
      <c r="A247" s="7" t="s">
        <v>20</v>
      </c>
      <c r="B247" s="7">
        <f t="shared" si="57"/>
        <v>2040</v>
      </c>
      <c r="C247" s="4" t="s">
        <v>31</v>
      </c>
      <c r="D247" s="5" t="s">
        <v>2003</v>
      </c>
      <c r="E247" s="10" t="str">
        <f t="shared" si="24"/>
        <v>PRB'!</v>
      </c>
      <c r="F247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47" s="7" t="s">
        <v>100</v>
      </c>
      <c r="H247" s="4">
        <f t="shared" si="26"/>
        <v>53</v>
      </c>
      <c r="I247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PRB'!$AY$53</v>
      </c>
      <c r="J247" s="4" t="s">
        <v>2132</v>
      </c>
    </row>
    <row r="248" spans="1:10" x14ac:dyDescent="0.35">
      <c r="A248" s="7" t="s">
        <v>20</v>
      </c>
      <c r="B248" s="7">
        <f>+B247+1</f>
        <v>2041</v>
      </c>
      <c r="C248" s="4" t="s">
        <v>31</v>
      </c>
      <c r="D248" s="5" t="s">
        <v>2003</v>
      </c>
      <c r="E248" s="10" t="str">
        <f t="shared" si="24"/>
        <v>PRB'!</v>
      </c>
      <c r="F248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48" s="7" t="s">
        <v>100</v>
      </c>
      <c r="H248" s="4">
        <f t="shared" si="26"/>
        <v>54</v>
      </c>
      <c r="I248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PRB'!$AY$54</v>
      </c>
      <c r="J248" s="4" t="s">
        <v>2133</v>
      </c>
    </row>
    <row r="249" spans="1:10" x14ac:dyDescent="0.35">
      <c r="A249" s="7" t="s">
        <v>20</v>
      </c>
      <c r="B249" s="7">
        <f t="shared" ref="B249:B250" si="58">+B248+1</f>
        <v>2042</v>
      </c>
      <c r="C249" s="4" t="s">
        <v>31</v>
      </c>
      <c r="D249" s="5" t="s">
        <v>2003</v>
      </c>
      <c r="E249" s="10" t="str">
        <f t="shared" si="24"/>
        <v>PRB'!</v>
      </c>
      <c r="F249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49" s="7" t="s">
        <v>100</v>
      </c>
      <c r="H249" s="4">
        <f t="shared" si="26"/>
        <v>55</v>
      </c>
      <c r="I249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PRB'!$AY$55</v>
      </c>
      <c r="J249" s="4" t="s">
        <v>2134</v>
      </c>
    </row>
    <row r="250" spans="1:10" x14ac:dyDescent="0.35">
      <c r="A250" s="7" t="s">
        <v>20</v>
      </c>
      <c r="B250" s="7">
        <f t="shared" si="58"/>
        <v>2043</v>
      </c>
      <c r="C250" s="4" t="s">
        <v>31</v>
      </c>
      <c r="D250" s="5" t="s">
        <v>2003</v>
      </c>
      <c r="E250" s="10" t="str">
        <f t="shared" si="24"/>
        <v>PRB'!</v>
      </c>
      <c r="F250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50" s="7" t="s">
        <v>100</v>
      </c>
      <c r="H250" s="4">
        <f t="shared" si="26"/>
        <v>56</v>
      </c>
      <c r="I250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PRB'!$AY$56</v>
      </c>
      <c r="J250" s="4" t="s">
        <v>2135</v>
      </c>
    </row>
    <row r="251" spans="1:10" x14ac:dyDescent="0.35">
      <c r="A251" s="7" t="s">
        <v>20</v>
      </c>
      <c r="B251" s="7">
        <f>+B250+1</f>
        <v>2044</v>
      </c>
      <c r="C251" s="4" t="s">
        <v>31</v>
      </c>
      <c r="D251" s="5" t="s">
        <v>2003</v>
      </c>
      <c r="E251" s="10" t="str">
        <f t="shared" ref="E251:E266" si="59">_xlfn.CONCAT(A251,"'!")</f>
        <v>PRB'!</v>
      </c>
      <c r="F251" s="5" t="str">
        <f t="shared" ref="F251:F266" si="60">_xlfn.CONCAT(D251," ",E251)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51" s="7" t="s">
        <v>100</v>
      </c>
      <c r="H251" s="4">
        <f t="shared" ref="H251:H266" si="61">IF(A251&lt;&gt;A250,36,H250+1)</f>
        <v>57</v>
      </c>
      <c r="I251" s="4" t="str">
        <f t="shared" ref="I251:I266" si="62">_xlfn.CONCAT("='",F251:H251)</f>
        <v>='C:\Users\jaime.benazar\Quorum Business Solutions\Ecopetrol Prometeo - Documents\Planning Space Implementation\3. Analysis &amp; Design\Design\FC22\DRR Jaime\Por presentar a ECP\Cantagallo\Cristalina\[VRC_CRISTALINA_CF_SEC_20221231.xlsx]CF PRB'!$AY$57</v>
      </c>
      <c r="J251" s="4" t="s">
        <v>2136</v>
      </c>
    </row>
    <row r="252" spans="1:10" x14ac:dyDescent="0.35">
      <c r="A252" s="7" t="s">
        <v>20</v>
      </c>
      <c r="B252" s="7">
        <f t="shared" ref="B252:B266" si="63">+B251+1</f>
        <v>2045</v>
      </c>
      <c r="C252" s="4" t="s">
        <v>31</v>
      </c>
      <c r="D252" s="5" t="s">
        <v>2003</v>
      </c>
      <c r="E252" s="10" t="str">
        <f t="shared" si="59"/>
        <v>PRB'!</v>
      </c>
      <c r="F252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52" s="7" t="s">
        <v>100</v>
      </c>
      <c r="H252" s="4">
        <f t="shared" si="61"/>
        <v>58</v>
      </c>
      <c r="I252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PRB'!$AY$58</v>
      </c>
      <c r="J252" s="4" t="s">
        <v>2137</v>
      </c>
    </row>
    <row r="253" spans="1:10" x14ac:dyDescent="0.35">
      <c r="A253" s="7" t="s">
        <v>20</v>
      </c>
      <c r="B253" s="7">
        <f t="shared" si="63"/>
        <v>2046</v>
      </c>
      <c r="C253" s="4" t="s">
        <v>31</v>
      </c>
      <c r="D253" s="5" t="s">
        <v>2003</v>
      </c>
      <c r="E253" s="10" t="str">
        <f t="shared" si="59"/>
        <v>PRB'!</v>
      </c>
      <c r="F253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53" s="7" t="s">
        <v>100</v>
      </c>
      <c r="H253" s="4">
        <f t="shared" si="61"/>
        <v>59</v>
      </c>
      <c r="I253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PRB'!$AY$59</v>
      </c>
      <c r="J253" s="4" t="s">
        <v>2138</v>
      </c>
    </row>
    <row r="254" spans="1:10" x14ac:dyDescent="0.35">
      <c r="A254" s="7" t="s">
        <v>20</v>
      </c>
      <c r="B254" s="7">
        <f t="shared" si="63"/>
        <v>2047</v>
      </c>
      <c r="C254" s="4" t="s">
        <v>31</v>
      </c>
      <c r="D254" s="5" t="s">
        <v>2003</v>
      </c>
      <c r="E254" s="10" t="str">
        <f t="shared" si="59"/>
        <v>PRB'!</v>
      </c>
      <c r="F254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54" s="7" t="s">
        <v>100</v>
      </c>
      <c r="H254" s="4">
        <f t="shared" si="61"/>
        <v>60</v>
      </c>
      <c r="I254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PRB'!$AY$60</v>
      </c>
      <c r="J254" s="4" t="s">
        <v>2139</v>
      </c>
    </row>
    <row r="255" spans="1:10" x14ac:dyDescent="0.35">
      <c r="A255" s="7" t="s">
        <v>20</v>
      </c>
      <c r="B255" s="7">
        <f t="shared" si="63"/>
        <v>2048</v>
      </c>
      <c r="C255" s="4" t="s">
        <v>31</v>
      </c>
      <c r="D255" s="5" t="s">
        <v>2003</v>
      </c>
      <c r="E255" s="10" t="str">
        <f t="shared" si="59"/>
        <v>PRB'!</v>
      </c>
      <c r="F255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55" s="7" t="s">
        <v>100</v>
      </c>
      <c r="H255" s="4">
        <f t="shared" si="61"/>
        <v>61</v>
      </c>
      <c r="I255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PRB'!$AY$61</v>
      </c>
      <c r="J255" s="4" t="s">
        <v>2140</v>
      </c>
    </row>
    <row r="256" spans="1:10" x14ac:dyDescent="0.35">
      <c r="A256" s="7" t="s">
        <v>20</v>
      </c>
      <c r="B256" s="7">
        <f t="shared" si="63"/>
        <v>2049</v>
      </c>
      <c r="C256" s="4" t="s">
        <v>31</v>
      </c>
      <c r="D256" s="5" t="s">
        <v>2003</v>
      </c>
      <c r="E256" s="10" t="str">
        <f t="shared" si="59"/>
        <v>PRB'!</v>
      </c>
      <c r="F256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56" s="7" t="s">
        <v>100</v>
      </c>
      <c r="H256" s="4">
        <f t="shared" si="61"/>
        <v>62</v>
      </c>
      <c r="I256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PRB'!$AY$62</v>
      </c>
      <c r="J256" s="4" t="s">
        <v>2141</v>
      </c>
    </row>
    <row r="257" spans="1:10" x14ac:dyDescent="0.35">
      <c r="A257" s="7" t="s">
        <v>20</v>
      </c>
      <c r="B257" s="7">
        <f t="shared" si="63"/>
        <v>2050</v>
      </c>
      <c r="C257" s="4" t="s">
        <v>31</v>
      </c>
      <c r="D257" s="5" t="s">
        <v>2003</v>
      </c>
      <c r="E257" s="10" t="str">
        <f t="shared" si="59"/>
        <v>PRB'!</v>
      </c>
      <c r="F257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57" s="7" t="s">
        <v>100</v>
      </c>
      <c r="H257" s="4">
        <f t="shared" si="61"/>
        <v>63</v>
      </c>
      <c r="I257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PRB'!$AY$63</v>
      </c>
      <c r="J257" s="4" t="s">
        <v>2142</v>
      </c>
    </row>
    <row r="258" spans="1:10" x14ac:dyDescent="0.35">
      <c r="A258" s="7" t="s">
        <v>20</v>
      </c>
      <c r="B258" s="7">
        <f t="shared" si="63"/>
        <v>2051</v>
      </c>
      <c r="C258" s="4" t="s">
        <v>31</v>
      </c>
      <c r="D258" s="5" t="s">
        <v>2003</v>
      </c>
      <c r="E258" s="10" t="str">
        <f t="shared" si="59"/>
        <v>PRB'!</v>
      </c>
      <c r="F258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58" s="7" t="s">
        <v>100</v>
      </c>
      <c r="H258" s="4">
        <f t="shared" si="61"/>
        <v>64</v>
      </c>
      <c r="I258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PRB'!$AY$64</v>
      </c>
      <c r="J258" s="4" t="s">
        <v>2143</v>
      </c>
    </row>
    <row r="259" spans="1:10" x14ac:dyDescent="0.35">
      <c r="A259" s="7" t="s">
        <v>20</v>
      </c>
      <c r="B259" s="7">
        <f t="shared" si="63"/>
        <v>2052</v>
      </c>
      <c r="C259" s="4" t="s">
        <v>31</v>
      </c>
      <c r="D259" s="5" t="s">
        <v>2003</v>
      </c>
      <c r="E259" s="10" t="str">
        <f t="shared" si="59"/>
        <v>PRB'!</v>
      </c>
      <c r="F259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59" s="7" t="s">
        <v>100</v>
      </c>
      <c r="H259" s="4">
        <f t="shared" si="61"/>
        <v>65</v>
      </c>
      <c r="I259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PRB'!$AY$65</v>
      </c>
      <c r="J259" s="4" t="s">
        <v>2144</v>
      </c>
    </row>
    <row r="260" spans="1:10" x14ac:dyDescent="0.35">
      <c r="A260" s="7" t="s">
        <v>20</v>
      </c>
      <c r="B260" s="7">
        <f t="shared" si="63"/>
        <v>2053</v>
      </c>
      <c r="C260" s="4" t="s">
        <v>31</v>
      </c>
      <c r="D260" s="5" t="s">
        <v>2003</v>
      </c>
      <c r="E260" s="10" t="str">
        <f t="shared" si="59"/>
        <v>PRB'!</v>
      </c>
      <c r="F260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60" s="7" t="s">
        <v>100</v>
      </c>
      <c r="H260" s="4">
        <f t="shared" si="61"/>
        <v>66</v>
      </c>
      <c r="I260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PRB'!$AY$66</v>
      </c>
      <c r="J260" s="4" t="s">
        <v>2145</v>
      </c>
    </row>
    <row r="261" spans="1:10" x14ac:dyDescent="0.35">
      <c r="A261" s="7" t="s">
        <v>20</v>
      </c>
      <c r="B261" s="7">
        <f t="shared" si="63"/>
        <v>2054</v>
      </c>
      <c r="C261" s="4" t="s">
        <v>31</v>
      </c>
      <c r="D261" s="5" t="s">
        <v>2003</v>
      </c>
      <c r="E261" s="10" t="str">
        <f t="shared" si="59"/>
        <v>PRB'!</v>
      </c>
      <c r="F261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61" s="7" t="s">
        <v>100</v>
      </c>
      <c r="H261" s="4">
        <f t="shared" si="61"/>
        <v>67</v>
      </c>
      <c r="I261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PRB'!$AY$67</v>
      </c>
      <c r="J261" s="4" t="s">
        <v>2146</v>
      </c>
    </row>
    <row r="262" spans="1:10" x14ac:dyDescent="0.35">
      <c r="A262" s="7" t="s">
        <v>20</v>
      </c>
      <c r="B262" s="7">
        <f t="shared" si="63"/>
        <v>2055</v>
      </c>
      <c r="C262" s="4" t="s">
        <v>31</v>
      </c>
      <c r="D262" s="5" t="s">
        <v>2003</v>
      </c>
      <c r="E262" s="10" t="str">
        <f t="shared" si="59"/>
        <v>PRB'!</v>
      </c>
      <c r="F262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62" s="7" t="s">
        <v>100</v>
      </c>
      <c r="H262" s="4">
        <f t="shared" si="61"/>
        <v>68</v>
      </c>
      <c r="I262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PRB'!$AY$68</v>
      </c>
      <c r="J262" s="4" t="s">
        <v>2147</v>
      </c>
    </row>
    <row r="263" spans="1:10" x14ac:dyDescent="0.35">
      <c r="A263" s="7" t="s">
        <v>20</v>
      </c>
      <c r="B263" s="7">
        <f t="shared" si="63"/>
        <v>2056</v>
      </c>
      <c r="C263" s="4" t="s">
        <v>31</v>
      </c>
      <c r="D263" s="5" t="s">
        <v>2003</v>
      </c>
      <c r="E263" s="10" t="str">
        <f t="shared" si="59"/>
        <v>PRB'!</v>
      </c>
      <c r="F263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63" s="7" t="s">
        <v>100</v>
      </c>
      <c r="H263" s="4">
        <f t="shared" si="61"/>
        <v>69</v>
      </c>
      <c r="I263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PRB'!$AY$69</v>
      </c>
      <c r="J263" s="4" t="s">
        <v>2148</v>
      </c>
    </row>
    <row r="264" spans="1:10" x14ac:dyDescent="0.35">
      <c r="A264" s="7" t="s">
        <v>20</v>
      </c>
      <c r="B264" s="7">
        <f t="shared" si="63"/>
        <v>2057</v>
      </c>
      <c r="C264" s="4" t="s">
        <v>31</v>
      </c>
      <c r="D264" s="5" t="s">
        <v>2003</v>
      </c>
      <c r="E264" s="10" t="str">
        <f t="shared" si="59"/>
        <v>PRB'!</v>
      </c>
      <c r="F264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64" s="7" t="s">
        <v>100</v>
      </c>
      <c r="H264" s="4">
        <f t="shared" si="61"/>
        <v>70</v>
      </c>
      <c r="I264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PRB'!$AY$70</v>
      </c>
      <c r="J264" s="4" t="s">
        <v>2149</v>
      </c>
    </row>
    <row r="265" spans="1:10" x14ac:dyDescent="0.35">
      <c r="A265" s="7" t="s">
        <v>20</v>
      </c>
      <c r="B265" s="7">
        <f t="shared" si="63"/>
        <v>2058</v>
      </c>
      <c r="C265" s="4" t="s">
        <v>31</v>
      </c>
      <c r="D265" s="5" t="s">
        <v>2003</v>
      </c>
      <c r="E265" s="10" t="str">
        <f t="shared" si="59"/>
        <v>PRB'!</v>
      </c>
      <c r="F265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65" s="7" t="s">
        <v>100</v>
      </c>
      <c r="H265" s="4">
        <f t="shared" si="61"/>
        <v>71</v>
      </c>
      <c r="I265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PRB'!$AY$71</v>
      </c>
      <c r="J265" s="4" t="s">
        <v>2150</v>
      </c>
    </row>
    <row r="266" spans="1:10" x14ac:dyDescent="0.35">
      <c r="A266" s="7" t="s">
        <v>20</v>
      </c>
      <c r="B266" s="7">
        <f t="shared" si="63"/>
        <v>2059</v>
      </c>
      <c r="C266" s="4" t="s">
        <v>31</v>
      </c>
      <c r="D266" s="5" t="s">
        <v>2003</v>
      </c>
      <c r="E266" s="10" t="str">
        <f t="shared" si="59"/>
        <v>PRB'!</v>
      </c>
      <c r="F266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66" s="7" t="s">
        <v>100</v>
      </c>
      <c r="H266" s="4">
        <f t="shared" si="61"/>
        <v>72</v>
      </c>
      <c r="I266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PRB'!$AY$72</v>
      </c>
      <c r="J266" s="4" t="s">
        <v>2151</v>
      </c>
    </row>
    <row r="267" spans="1:10" x14ac:dyDescent="0.35">
      <c r="A267" s="7" t="s">
        <v>26</v>
      </c>
      <c r="B267" s="7"/>
      <c r="C267" s="4" t="s">
        <v>31</v>
      </c>
      <c r="D267" s="5"/>
      <c r="E267" s="10"/>
      <c r="F267" s="5" t="str">
        <f t="shared" si="48"/>
        <v xml:space="preserve"> </v>
      </c>
      <c r="G267" s="7"/>
      <c r="H267" s="4"/>
      <c r="I267" s="4"/>
      <c r="J267" s="4"/>
    </row>
    <row r="268" spans="1:10" x14ac:dyDescent="0.35">
      <c r="A268" s="7" t="s">
        <v>21</v>
      </c>
      <c r="B268" s="7">
        <v>2023</v>
      </c>
      <c r="C268" s="4" t="s">
        <v>31</v>
      </c>
      <c r="D268" s="5" t="s">
        <v>2003</v>
      </c>
      <c r="E268" s="10" t="str">
        <f t="shared" ref="E268:E288" si="64">_xlfn.CONCAT(A268,"'!")</f>
        <v>PSDP'!</v>
      </c>
      <c r="F268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68" s="7" t="s">
        <v>100</v>
      </c>
      <c r="H268" s="4"/>
      <c r="I268" s="4"/>
      <c r="J268" s="4"/>
    </row>
    <row r="269" spans="1:10" x14ac:dyDescent="0.35">
      <c r="A269" s="7" t="s">
        <v>21</v>
      </c>
      <c r="B269" s="7">
        <f>+B268+1</f>
        <v>2024</v>
      </c>
      <c r="C269" s="4" t="s">
        <v>31</v>
      </c>
      <c r="D269" s="5" t="s">
        <v>2003</v>
      </c>
      <c r="E269" s="10" t="str">
        <f t="shared" si="64"/>
        <v>PSDP'!</v>
      </c>
      <c r="F269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69" s="7" t="s">
        <v>100</v>
      </c>
      <c r="H269" s="4"/>
      <c r="I269" s="4"/>
      <c r="J269" s="4"/>
    </row>
    <row r="270" spans="1:10" x14ac:dyDescent="0.35">
      <c r="A270" s="7" t="s">
        <v>21</v>
      </c>
      <c r="B270" s="7">
        <f t="shared" ref="B270:B281" si="65">+B269+1</f>
        <v>2025</v>
      </c>
      <c r="C270" s="4" t="s">
        <v>31</v>
      </c>
      <c r="D270" s="5" t="s">
        <v>2003</v>
      </c>
      <c r="E270" s="10" t="str">
        <f t="shared" si="64"/>
        <v>PSDP'!</v>
      </c>
      <c r="F270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0" s="7" t="s">
        <v>100</v>
      </c>
      <c r="H270" s="4"/>
      <c r="I270" s="4"/>
      <c r="J270" s="4"/>
    </row>
    <row r="271" spans="1:10" x14ac:dyDescent="0.35">
      <c r="A271" s="7" t="s">
        <v>21</v>
      </c>
      <c r="B271" s="7">
        <f t="shared" si="65"/>
        <v>2026</v>
      </c>
      <c r="C271" s="4" t="s">
        <v>31</v>
      </c>
      <c r="D271" s="5" t="s">
        <v>2003</v>
      </c>
      <c r="E271" s="10" t="str">
        <f t="shared" si="64"/>
        <v>PSDP'!</v>
      </c>
      <c r="F271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1" s="7" t="s">
        <v>100</v>
      </c>
      <c r="H271" s="4"/>
      <c r="I271" s="4"/>
      <c r="J271" s="4"/>
    </row>
    <row r="272" spans="1:10" x14ac:dyDescent="0.35">
      <c r="A272" s="7" t="s">
        <v>21</v>
      </c>
      <c r="B272" s="7">
        <f t="shared" si="65"/>
        <v>2027</v>
      </c>
      <c r="C272" s="4" t="s">
        <v>31</v>
      </c>
      <c r="D272" s="5" t="s">
        <v>2003</v>
      </c>
      <c r="E272" s="10" t="str">
        <f t="shared" si="64"/>
        <v>PSDP'!</v>
      </c>
      <c r="F272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2" s="7" t="s">
        <v>100</v>
      </c>
      <c r="H272" s="4"/>
      <c r="I272" s="4"/>
      <c r="J272" s="4"/>
    </row>
    <row r="273" spans="1:10" x14ac:dyDescent="0.35">
      <c r="A273" s="7" t="s">
        <v>21</v>
      </c>
      <c r="B273" s="7">
        <f t="shared" si="65"/>
        <v>2028</v>
      </c>
      <c r="C273" s="4" t="s">
        <v>31</v>
      </c>
      <c r="D273" s="5" t="s">
        <v>2003</v>
      </c>
      <c r="E273" s="10" t="str">
        <f t="shared" si="64"/>
        <v>PSDP'!</v>
      </c>
      <c r="F273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3" s="7" t="s">
        <v>100</v>
      </c>
      <c r="H273" s="4"/>
      <c r="I273" s="4"/>
      <c r="J273" s="4"/>
    </row>
    <row r="274" spans="1:10" x14ac:dyDescent="0.35">
      <c r="A274" s="7" t="s">
        <v>21</v>
      </c>
      <c r="B274" s="7">
        <f t="shared" si="65"/>
        <v>2029</v>
      </c>
      <c r="C274" s="4" t="s">
        <v>31</v>
      </c>
      <c r="D274" s="5" t="s">
        <v>2003</v>
      </c>
      <c r="E274" s="10" t="str">
        <f t="shared" si="64"/>
        <v>PSDP'!</v>
      </c>
      <c r="F274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4" s="7" t="s">
        <v>100</v>
      </c>
      <c r="H274" s="4"/>
      <c r="I274" s="4"/>
      <c r="J274" s="4"/>
    </row>
    <row r="275" spans="1:10" x14ac:dyDescent="0.35">
      <c r="A275" s="7" t="s">
        <v>21</v>
      </c>
      <c r="B275" s="7">
        <f t="shared" si="65"/>
        <v>2030</v>
      </c>
      <c r="C275" s="4" t="s">
        <v>31</v>
      </c>
      <c r="D275" s="5" t="s">
        <v>2003</v>
      </c>
      <c r="E275" s="10" t="str">
        <f t="shared" si="64"/>
        <v>PSDP'!</v>
      </c>
      <c r="F275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5" s="7" t="s">
        <v>100</v>
      </c>
      <c r="H275" s="4"/>
      <c r="I275" s="4"/>
      <c r="J275" s="4"/>
    </row>
    <row r="276" spans="1:10" x14ac:dyDescent="0.35">
      <c r="A276" s="7" t="s">
        <v>21</v>
      </c>
      <c r="B276" s="7">
        <f t="shared" si="65"/>
        <v>2031</v>
      </c>
      <c r="C276" s="4" t="s">
        <v>31</v>
      </c>
      <c r="D276" s="5" t="s">
        <v>2003</v>
      </c>
      <c r="E276" s="10" t="str">
        <f t="shared" si="64"/>
        <v>PSDP'!</v>
      </c>
      <c r="F276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6" s="7" t="s">
        <v>100</v>
      </c>
      <c r="H276" s="4"/>
      <c r="I276" s="4"/>
      <c r="J276" s="4"/>
    </row>
    <row r="277" spans="1:10" x14ac:dyDescent="0.35">
      <c r="A277" s="7" t="s">
        <v>21</v>
      </c>
      <c r="B277" s="7">
        <f t="shared" si="65"/>
        <v>2032</v>
      </c>
      <c r="C277" s="4" t="s">
        <v>31</v>
      </c>
      <c r="D277" s="5" t="s">
        <v>2003</v>
      </c>
      <c r="E277" s="10" t="str">
        <f t="shared" si="64"/>
        <v>PSDP'!</v>
      </c>
      <c r="F277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7" s="7" t="s">
        <v>100</v>
      </c>
      <c r="H277" s="4"/>
      <c r="I277" s="4"/>
      <c r="J277" s="4"/>
    </row>
    <row r="278" spans="1:10" x14ac:dyDescent="0.35">
      <c r="A278" s="7" t="s">
        <v>21</v>
      </c>
      <c r="B278" s="7">
        <f t="shared" si="65"/>
        <v>2033</v>
      </c>
      <c r="C278" s="4" t="s">
        <v>31</v>
      </c>
      <c r="D278" s="5" t="s">
        <v>2003</v>
      </c>
      <c r="E278" s="10" t="str">
        <f t="shared" si="64"/>
        <v>PSDP'!</v>
      </c>
      <c r="F278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8" s="7" t="s">
        <v>100</v>
      </c>
      <c r="H278" s="4"/>
      <c r="I278" s="4"/>
      <c r="J278" s="4"/>
    </row>
    <row r="279" spans="1:10" x14ac:dyDescent="0.35">
      <c r="A279" s="7" t="s">
        <v>21</v>
      </c>
      <c r="B279" s="7">
        <f t="shared" si="65"/>
        <v>2034</v>
      </c>
      <c r="C279" s="4" t="s">
        <v>31</v>
      </c>
      <c r="D279" s="5" t="s">
        <v>2003</v>
      </c>
      <c r="E279" s="10" t="str">
        <f t="shared" si="64"/>
        <v>PSDP'!</v>
      </c>
      <c r="F279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9" s="7" t="s">
        <v>100</v>
      </c>
      <c r="H279" s="4"/>
      <c r="I279" s="4"/>
      <c r="J279" s="4"/>
    </row>
    <row r="280" spans="1:10" x14ac:dyDescent="0.35">
      <c r="A280" s="7" t="s">
        <v>21</v>
      </c>
      <c r="B280" s="7">
        <f t="shared" si="65"/>
        <v>2035</v>
      </c>
      <c r="C280" s="4" t="s">
        <v>31</v>
      </c>
      <c r="D280" s="5" t="s">
        <v>2003</v>
      </c>
      <c r="E280" s="10" t="str">
        <f t="shared" si="64"/>
        <v>PSDP'!</v>
      </c>
      <c r="F280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0" s="7" t="s">
        <v>100</v>
      </c>
      <c r="H280" s="4"/>
      <c r="I280" s="4"/>
      <c r="J280" s="4"/>
    </row>
    <row r="281" spans="1:10" x14ac:dyDescent="0.35">
      <c r="A281" s="7" t="s">
        <v>21</v>
      </c>
      <c r="B281" s="7">
        <f t="shared" si="65"/>
        <v>2036</v>
      </c>
      <c r="C281" s="4" t="s">
        <v>31</v>
      </c>
      <c r="D281" s="5" t="s">
        <v>2003</v>
      </c>
      <c r="E281" s="10" t="str">
        <f t="shared" si="64"/>
        <v>PSDP'!</v>
      </c>
      <c r="F281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1" s="7" t="s">
        <v>100</v>
      </c>
      <c r="H281" s="4"/>
      <c r="I281" s="4"/>
      <c r="J281" s="4"/>
    </row>
    <row r="282" spans="1:10" x14ac:dyDescent="0.35">
      <c r="A282" s="7" t="s">
        <v>21</v>
      </c>
      <c r="B282" s="7">
        <f>+B281+1</f>
        <v>2037</v>
      </c>
      <c r="C282" s="4" t="s">
        <v>31</v>
      </c>
      <c r="D282" s="5" t="s">
        <v>2003</v>
      </c>
      <c r="E282" s="10" t="str">
        <f t="shared" si="64"/>
        <v>PSDP'!</v>
      </c>
      <c r="F282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2" s="7" t="s">
        <v>100</v>
      </c>
      <c r="H282" s="4"/>
      <c r="I282" s="4"/>
      <c r="J282" s="4"/>
    </row>
    <row r="283" spans="1:10" x14ac:dyDescent="0.35">
      <c r="A283" s="7" t="s">
        <v>21</v>
      </c>
      <c r="B283" s="7">
        <f t="shared" ref="B283:B285" si="66">+B282+1</f>
        <v>2038</v>
      </c>
      <c r="C283" s="4" t="s">
        <v>31</v>
      </c>
      <c r="D283" s="5" t="s">
        <v>2003</v>
      </c>
      <c r="E283" s="10" t="str">
        <f t="shared" si="64"/>
        <v>PSDP'!</v>
      </c>
      <c r="F283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3" s="7" t="s">
        <v>100</v>
      </c>
      <c r="H283" s="4"/>
      <c r="I283" s="4"/>
      <c r="J283" s="4"/>
    </row>
    <row r="284" spans="1:10" x14ac:dyDescent="0.35">
      <c r="A284" s="7" t="s">
        <v>21</v>
      </c>
      <c r="B284" s="7">
        <f t="shared" si="66"/>
        <v>2039</v>
      </c>
      <c r="C284" s="4" t="s">
        <v>31</v>
      </c>
      <c r="D284" s="5" t="s">
        <v>2003</v>
      </c>
      <c r="E284" s="10" t="str">
        <f t="shared" si="64"/>
        <v>PSDP'!</v>
      </c>
      <c r="F284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4" s="7" t="s">
        <v>100</v>
      </c>
      <c r="H284" s="4"/>
      <c r="I284" s="4"/>
      <c r="J284" s="4"/>
    </row>
    <row r="285" spans="1:10" x14ac:dyDescent="0.35">
      <c r="A285" s="7" t="s">
        <v>21</v>
      </c>
      <c r="B285" s="7">
        <f t="shared" si="66"/>
        <v>2040</v>
      </c>
      <c r="C285" s="4" t="s">
        <v>31</v>
      </c>
      <c r="D285" s="5" t="s">
        <v>2003</v>
      </c>
      <c r="E285" s="10" t="str">
        <f t="shared" si="64"/>
        <v>PSDP'!</v>
      </c>
      <c r="F285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5" s="7" t="s">
        <v>100</v>
      </c>
      <c r="H285" s="4"/>
      <c r="I285" s="4"/>
      <c r="J285" s="4"/>
    </row>
    <row r="286" spans="1:10" x14ac:dyDescent="0.35">
      <c r="A286" s="7" t="s">
        <v>21</v>
      </c>
      <c r="B286" s="7">
        <f>+B285+1</f>
        <v>2041</v>
      </c>
      <c r="C286" s="4" t="s">
        <v>31</v>
      </c>
      <c r="D286" s="5" t="s">
        <v>2003</v>
      </c>
      <c r="E286" s="10" t="str">
        <f t="shared" si="64"/>
        <v>PSDP'!</v>
      </c>
      <c r="F286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6" s="7" t="s">
        <v>100</v>
      </c>
      <c r="H286" s="4"/>
      <c r="I286" s="4"/>
      <c r="J286" s="4"/>
    </row>
    <row r="287" spans="1:10" x14ac:dyDescent="0.35">
      <c r="A287" s="7" t="s">
        <v>21</v>
      </c>
      <c r="B287" s="7">
        <f t="shared" ref="B287:B288" si="67">+B286+1</f>
        <v>2042</v>
      </c>
      <c r="C287" s="4" t="s">
        <v>31</v>
      </c>
      <c r="D287" s="5" t="s">
        <v>2003</v>
      </c>
      <c r="E287" s="10" t="str">
        <f t="shared" si="64"/>
        <v>PSDP'!</v>
      </c>
      <c r="F287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7" s="7" t="s">
        <v>100</v>
      </c>
      <c r="H287" s="4"/>
      <c r="I287" s="4"/>
      <c r="J287" s="4"/>
    </row>
    <row r="288" spans="1:10" x14ac:dyDescent="0.35">
      <c r="A288" s="7" t="s">
        <v>21</v>
      </c>
      <c r="B288" s="7">
        <f t="shared" si="67"/>
        <v>2043</v>
      </c>
      <c r="C288" s="4" t="s">
        <v>31</v>
      </c>
      <c r="D288" s="5" t="s">
        <v>2003</v>
      </c>
      <c r="E288" s="10" t="str">
        <f t="shared" si="64"/>
        <v>PSDP'!</v>
      </c>
      <c r="F288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8" s="7" t="s">
        <v>100</v>
      </c>
      <c r="H288" s="4"/>
      <c r="I288" s="4"/>
      <c r="J288" s="4"/>
    </row>
    <row r="289" spans="1:10" x14ac:dyDescent="0.35">
      <c r="A289" s="7" t="s">
        <v>21</v>
      </c>
      <c r="B289" s="7">
        <f>+B288+1</f>
        <v>2044</v>
      </c>
      <c r="C289" s="4" t="s">
        <v>31</v>
      </c>
      <c r="D289" s="5" t="s">
        <v>2003</v>
      </c>
      <c r="E289" s="10" t="str">
        <f t="shared" ref="E289:E304" si="68">_xlfn.CONCAT(A289,"'!")</f>
        <v>PSDP'!</v>
      </c>
      <c r="F289" s="5" t="str">
        <f t="shared" ref="F289:F304" si="69">_xlfn.CONCAT(D289," ",E289)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9" s="7" t="s">
        <v>100</v>
      </c>
      <c r="H289" s="4"/>
      <c r="I289" s="4"/>
      <c r="J289" s="4"/>
    </row>
    <row r="290" spans="1:10" x14ac:dyDescent="0.35">
      <c r="A290" s="7" t="s">
        <v>21</v>
      </c>
      <c r="B290" s="7">
        <f t="shared" ref="B290:B304" si="70">+B289+1</f>
        <v>2045</v>
      </c>
      <c r="C290" s="4" t="s">
        <v>31</v>
      </c>
      <c r="D290" s="5" t="s">
        <v>2003</v>
      </c>
      <c r="E290" s="10" t="str">
        <f t="shared" si="68"/>
        <v>PSDP'!</v>
      </c>
      <c r="F290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90" s="7" t="s">
        <v>100</v>
      </c>
      <c r="H290" s="4"/>
      <c r="I290" s="4"/>
      <c r="J290" s="4"/>
    </row>
    <row r="291" spans="1:10" x14ac:dyDescent="0.35">
      <c r="A291" s="7" t="s">
        <v>21</v>
      </c>
      <c r="B291" s="7">
        <f t="shared" si="70"/>
        <v>2046</v>
      </c>
      <c r="C291" s="4" t="s">
        <v>31</v>
      </c>
      <c r="D291" s="5" t="s">
        <v>2003</v>
      </c>
      <c r="E291" s="10" t="str">
        <f t="shared" si="68"/>
        <v>PSDP'!</v>
      </c>
      <c r="F291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91" s="7" t="s">
        <v>100</v>
      </c>
      <c r="H291" s="4"/>
      <c r="I291" s="4"/>
      <c r="J291" s="4"/>
    </row>
    <row r="292" spans="1:10" x14ac:dyDescent="0.35">
      <c r="A292" s="7" t="s">
        <v>21</v>
      </c>
      <c r="B292" s="7">
        <f t="shared" si="70"/>
        <v>2047</v>
      </c>
      <c r="C292" s="4" t="s">
        <v>31</v>
      </c>
      <c r="D292" s="5" t="s">
        <v>2003</v>
      </c>
      <c r="E292" s="10" t="str">
        <f t="shared" si="68"/>
        <v>PSDP'!</v>
      </c>
      <c r="F292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92" s="7" t="s">
        <v>100</v>
      </c>
      <c r="H292" s="4"/>
      <c r="I292" s="4"/>
      <c r="J292" s="4"/>
    </row>
    <row r="293" spans="1:10" x14ac:dyDescent="0.35">
      <c r="A293" s="7" t="s">
        <v>21</v>
      </c>
      <c r="B293" s="7">
        <f t="shared" si="70"/>
        <v>2048</v>
      </c>
      <c r="C293" s="4" t="s">
        <v>31</v>
      </c>
      <c r="D293" s="5" t="s">
        <v>2003</v>
      </c>
      <c r="E293" s="10" t="str">
        <f t="shared" si="68"/>
        <v>PSDP'!</v>
      </c>
      <c r="F293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93" s="7" t="s">
        <v>100</v>
      </c>
      <c r="H293" s="4"/>
      <c r="I293" s="4"/>
      <c r="J293" s="4"/>
    </row>
    <row r="294" spans="1:10" x14ac:dyDescent="0.35">
      <c r="A294" s="7" t="s">
        <v>21</v>
      </c>
      <c r="B294" s="7">
        <f t="shared" si="70"/>
        <v>2049</v>
      </c>
      <c r="C294" s="4" t="s">
        <v>31</v>
      </c>
      <c r="D294" s="5" t="s">
        <v>2003</v>
      </c>
      <c r="E294" s="10" t="str">
        <f t="shared" si="68"/>
        <v>PSDP'!</v>
      </c>
      <c r="F294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94" s="7" t="s">
        <v>100</v>
      </c>
      <c r="H294" s="4"/>
      <c r="I294" s="4"/>
      <c r="J294" s="4"/>
    </row>
    <row r="295" spans="1:10" x14ac:dyDescent="0.35">
      <c r="A295" s="7" t="s">
        <v>21</v>
      </c>
      <c r="B295" s="7">
        <f t="shared" si="70"/>
        <v>2050</v>
      </c>
      <c r="C295" s="4" t="s">
        <v>31</v>
      </c>
      <c r="D295" s="5" t="s">
        <v>2003</v>
      </c>
      <c r="E295" s="10" t="str">
        <f t="shared" si="68"/>
        <v>PSDP'!</v>
      </c>
      <c r="F295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95" s="7" t="s">
        <v>100</v>
      </c>
      <c r="H295" s="4"/>
      <c r="I295" s="4"/>
      <c r="J295" s="4"/>
    </row>
    <row r="296" spans="1:10" x14ac:dyDescent="0.35">
      <c r="A296" s="7" t="s">
        <v>21</v>
      </c>
      <c r="B296" s="7">
        <f t="shared" si="70"/>
        <v>2051</v>
      </c>
      <c r="C296" s="4" t="s">
        <v>31</v>
      </c>
      <c r="D296" s="5" t="s">
        <v>2003</v>
      </c>
      <c r="E296" s="10" t="str">
        <f t="shared" si="68"/>
        <v>PSDP'!</v>
      </c>
      <c r="F296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96" s="7" t="s">
        <v>100</v>
      </c>
      <c r="H296" s="4"/>
      <c r="I296" s="4"/>
      <c r="J296" s="4"/>
    </row>
    <row r="297" spans="1:10" x14ac:dyDescent="0.35">
      <c r="A297" s="7" t="s">
        <v>21</v>
      </c>
      <c r="B297" s="7">
        <f t="shared" si="70"/>
        <v>2052</v>
      </c>
      <c r="C297" s="4" t="s">
        <v>31</v>
      </c>
      <c r="D297" s="5" t="s">
        <v>2003</v>
      </c>
      <c r="E297" s="10" t="str">
        <f t="shared" si="68"/>
        <v>PSDP'!</v>
      </c>
      <c r="F297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97" s="7" t="s">
        <v>100</v>
      </c>
      <c r="H297" s="4"/>
      <c r="I297" s="4"/>
      <c r="J297" s="4"/>
    </row>
    <row r="298" spans="1:10" x14ac:dyDescent="0.35">
      <c r="A298" s="7" t="s">
        <v>21</v>
      </c>
      <c r="B298" s="7">
        <f t="shared" si="70"/>
        <v>2053</v>
      </c>
      <c r="C298" s="4" t="s">
        <v>31</v>
      </c>
      <c r="D298" s="5" t="s">
        <v>2003</v>
      </c>
      <c r="E298" s="10" t="str">
        <f t="shared" si="68"/>
        <v>PSDP'!</v>
      </c>
      <c r="F298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98" s="7" t="s">
        <v>100</v>
      </c>
      <c r="H298" s="4"/>
      <c r="I298" s="4"/>
      <c r="J298" s="4"/>
    </row>
    <row r="299" spans="1:10" x14ac:dyDescent="0.35">
      <c r="A299" s="7" t="s">
        <v>21</v>
      </c>
      <c r="B299" s="7">
        <f t="shared" si="70"/>
        <v>2054</v>
      </c>
      <c r="C299" s="4" t="s">
        <v>31</v>
      </c>
      <c r="D299" s="5" t="s">
        <v>2003</v>
      </c>
      <c r="E299" s="10" t="str">
        <f t="shared" si="68"/>
        <v>PSDP'!</v>
      </c>
      <c r="F299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99" s="7" t="s">
        <v>100</v>
      </c>
      <c r="H299" s="4"/>
      <c r="I299" s="4"/>
      <c r="J299" s="4"/>
    </row>
    <row r="300" spans="1:10" x14ac:dyDescent="0.35">
      <c r="A300" s="7" t="s">
        <v>21</v>
      </c>
      <c r="B300" s="7">
        <f t="shared" si="70"/>
        <v>2055</v>
      </c>
      <c r="C300" s="4" t="s">
        <v>31</v>
      </c>
      <c r="D300" s="5" t="s">
        <v>2003</v>
      </c>
      <c r="E300" s="10" t="str">
        <f t="shared" si="68"/>
        <v>PSDP'!</v>
      </c>
      <c r="F300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00" s="7" t="s">
        <v>100</v>
      </c>
      <c r="H300" s="4"/>
      <c r="I300" s="4"/>
      <c r="J300" s="4"/>
    </row>
    <row r="301" spans="1:10" x14ac:dyDescent="0.35">
      <c r="A301" s="7" t="s">
        <v>21</v>
      </c>
      <c r="B301" s="7">
        <f t="shared" si="70"/>
        <v>2056</v>
      </c>
      <c r="C301" s="4" t="s">
        <v>31</v>
      </c>
      <c r="D301" s="5" t="s">
        <v>2003</v>
      </c>
      <c r="E301" s="10" t="str">
        <f t="shared" si="68"/>
        <v>PSDP'!</v>
      </c>
      <c r="F301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01" s="7" t="s">
        <v>100</v>
      </c>
      <c r="H301" s="4"/>
      <c r="I301" s="4"/>
      <c r="J301" s="4"/>
    </row>
    <row r="302" spans="1:10" x14ac:dyDescent="0.35">
      <c r="A302" s="7" t="s">
        <v>21</v>
      </c>
      <c r="B302" s="7">
        <f t="shared" si="70"/>
        <v>2057</v>
      </c>
      <c r="C302" s="4" t="s">
        <v>31</v>
      </c>
      <c r="D302" s="5" t="s">
        <v>2003</v>
      </c>
      <c r="E302" s="10" t="str">
        <f t="shared" si="68"/>
        <v>PSDP'!</v>
      </c>
      <c r="F302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02" s="7" t="s">
        <v>100</v>
      </c>
      <c r="H302" s="4"/>
      <c r="I302" s="4"/>
      <c r="J302" s="4"/>
    </row>
    <row r="303" spans="1:10" x14ac:dyDescent="0.35">
      <c r="A303" s="7" t="s">
        <v>21</v>
      </c>
      <c r="B303" s="7">
        <f t="shared" si="70"/>
        <v>2058</v>
      </c>
      <c r="C303" s="4" t="s">
        <v>31</v>
      </c>
      <c r="D303" s="5" t="s">
        <v>2003</v>
      </c>
      <c r="E303" s="10" t="str">
        <f t="shared" si="68"/>
        <v>PSDP'!</v>
      </c>
      <c r="F303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03" s="7" t="s">
        <v>100</v>
      </c>
      <c r="H303" s="4"/>
      <c r="I303" s="4"/>
      <c r="J303" s="4"/>
    </row>
    <row r="304" spans="1:10" x14ac:dyDescent="0.35">
      <c r="A304" s="7" t="s">
        <v>21</v>
      </c>
      <c r="B304" s="7">
        <f t="shared" si="70"/>
        <v>2059</v>
      </c>
      <c r="C304" s="4" t="s">
        <v>31</v>
      </c>
      <c r="D304" s="5" t="s">
        <v>2003</v>
      </c>
      <c r="E304" s="10" t="str">
        <f t="shared" si="68"/>
        <v>PSDP'!</v>
      </c>
      <c r="F304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04" s="7" t="s">
        <v>100</v>
      </c>
      <c r="H304" s="4"/>
      <c r="I304" s="4"/>
      <c r="J304" s="4"/>
    </row>
    <row r="305" spans="1:10" x14ac:dyDescent="0.35">
      <c r="A305" s="7" t="s">
        <v>26</v>
      </c>
      <c r="B305" s="7"/>
      <c r="C305" s="4" t="s">
        <v>31</v>
      </c>
      <c r="D305" s="5"/>
      <c r="E305" s="10"/>
      <c r="F305" s="5" t="str">
        <f t="shared" si="48"/>
        <v xml:space="preserve"> </v>
      </c>
      <c r="G305" s="7"/>
      <c r="H305" s="4"/>
      <c r="I305" s="4"/>
      <c r="J305" s="4"/>
    </row>
    <row r="306" spans="1:10" x14ac:dyDescent="0.35">
      <c r="A306" s="7" t="s">
        <v>22</v>
      </c>
      <c r="B306" s="7">
        <v>2023</v>
      </c>
      <c r="C306" s="4" t="s">
        <v>31</v>
      </c>
      <c r="D306" s="5" t="s">
        <v>2003</v>
      </c>
      <c r="E306" s="10" t="str">
        <f t="shared" ref="E306:E326" si="71">_xlfn.CONCAT(A306,"'!")</f>
        <v>PSNP'!</v>
      </c>
      <c r="F306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06" s="7" t="s">
        <v>100</v>
      </c>
      <c r="H306" s="4"/>
      <c r="I306" s="4"/>
      <c r="J306" s="4"/>
    </row>
    <row r="307" spans="1:10" x14ac:dyDescent="0.35">
      <c r="A307" s="7" t="s">
        <v>22</v>
      </c>
      <c r="B307" s="7">
        <f>+B306+1</f>
        <v>2024</v>
      </c>
      <c r="C307" s="4" t="s">
        <v>31</v>
      </c>
      <c r="D307" s="5" t="s">
        <v>2003</v>
      </c>
      <c r="E307" s="10" t="str">
        <f t="shared" si="71"/>
        <v>PSNP'!</v>
      </c>
      <c r="F307" s="5" t="str">
        <f t="shared" ref="F307:F398" si="72">_xlfn.CONCAT(D307," ",E307)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07" s="7" t="s">
        <v>100</v>
      </c>
      <c r="H307" s="4"/>
      <c r="I307" s="4"/>
      <c r="J307" s="4"/>
    </row>
    <row r="308" spans="1:10" x14ac:dyDescent="0.35">
      <c r="A308" s="7" t="s">
        <v>22</v>
      </c>
      <c r="B308" s="7">
        <f t="shared" ref="B308:B319" si="73">+B307+1</f>
        <v>2025</v>
      </c>
      <c r="C308" s="4" t="s">
        <v>31</v>
      </c>
      <c r="D308" s="5" t="s">
        <v>2003</v>
      </c>
      <c r="E308" s="10" t="str">
        <f t="shared" si="71"/>
        <v>PSNP'!</v>
      </c>
      <c r="F308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08" s="7" t="s">
        <v>100</v>
      </c>
      <c r="H308" s="4"/>
      <c r="I308" s="4"/>
      <c r="J308" s="4"/>
    </row>
    <row r="309" spans="1:10" x14ac:dyDescent="0.35">
      <c r="A309" s="7" t="s">
        <v>22</v>
      </c>
      <c r="B309" s="7">
        <f t="shared" si="73"/>
        <v>2026</v>
      </c>
      <c r="C309" s="4" t="s">
        <v>31</v>
      </c>
      <c r="D309" s="5" t="s">
        <v>2003</v>
      </c>
      <c r="E309" s="10" t="str">
        <f t="shared" si="71"/>
        <v>PSNP'!</v>
      </c>
      <c r="F309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09" s="7" t="s">
        <v>100</v>
      </c>
      <c r="H309" s="4"/>
      <c r="I309" s="4"/>
      <c r="J309" s="4"/>
    </row>
    <row r="310" spans="1:10" x14ac:dyDescent="0.35">
      <c r="A310" s="7" t="s">
        <v>22</v>
      </c>
      <c r="B310" s="7">
        <f t="shared" si="73"/>
        <v>2027</v>
      </c>
      <c r="C310" s="4" t="s">
        <v>31</v>
      </c>
      <c r="D310" s="5" t="s">
        <v>2003</v>
      </c>
      <c r="E310" s="10" t="str">
        <f t="shared" si="71"/>
        <v>PSNP'!</v>
      </c>
      <c r="F310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10" s="7" t="s">
        <v>100</v>
      </c>
      <c r="H310" s="4"/>
      <c r="I310" s="4"/>
      <c r="J310" s="4"/>
    </row>
    <row r="311" spans="1:10" x14ac:dyDescent="0.35">
      <c r="A311" s="7" t="s">
        <v>22</v>
      </c>
      <c r="B311" s="7">
        <f t="shared" si="73"/>
        <v>2028</v>
      </c>
      <c r="C311" s="4" t="s">
        <v>31</v>
      </c>
      <c r="D311" s="5" t="s">
        <v>2003</v>
      </c>
      <c r="E311" s="10" t="str">
        <f t="shared" si="71"/>
        <v>PSNP'!</v>
      </c>
      <c r="F311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11" s="7" t="s">
        <v>100</v>
      </c>
      <c r="H311" s="4"/>
      <c r="I311" s="4"/>
      <c r="J311" s="4"/>
    </row>
    <row r="312" spans="1:10" x14ac:dyDescent="0.35">
      <c r="A312" s="7" t="s">
        <v>22</v>
      </c>
      <c r="B312" s="7">
        <f t="shared" si="73"/>
        <v>2029</v>
      </c>
      <c r="C312" s="4" t="s">
        <v>31</v>
      </c>
      <c r="D312" s="5" t="s">
        <v>2003</v>
      </c>
      <c r="E312" s="10" t="str">
        <f t="shared" si="71"/>
        <v>PSNP'!</v>
      </c>
      <c r="F312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12" s="7" t="s">
        <v>100</v>
      </c>
      <c r="H312" s="4"/>
      <c r="I312" s="4"/>
      <c r="J312" s="4"/>
    </row>
    <row r="313" spans="1:10" x14ac:dyDescent="0.35">
      <c r="A313" s="7" t="s">
        <v>22</v>
      </c>
      <c r="B313" s="7">
        <f t="shared" si="73"/>
        <v>2030</v>
      </c>
      <c r="C313" s="4" t="s">
        <v>31</v>
      </c>
      <c r="D313" s="5" t="s">
        <v>2003</v>
      </c>
      <c r="E313" s="10" t="str">
        <f t="shared" si="71"/>
        <v>PSNP'!</v>
      </c>
      <c r="F313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13" s="7" t="s">
        <v>100</v>
      </c>
      <c r="H313" s="4"/>
      <c r="I313" s="4"/>
      <c r="J313" s="4"/>
    </row>
    <row r="314" spans="1:10" x14ac:dyDescent="0.35">
      <c r="A314" s="7" t="s">
        <v>22</v>
      </c>
      <c r="B314" s="7">
        <f t="shared" si="73"/>
        <v>2031</v>
      </c>
      <c r="C314" s="4" t="s">
        <v>31</v>
      </c>
      <c r="D314" s="5" t="s">
        <v>2003</v>
      </c>
      <c r="E314" s="10" t="str">
        <f t="shared" si="71"/>
        <v>PSNP'!</v>
      </c>
      <c r="F314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14" s="7" t="s">
        <v>100</v>
      </c>
      <c r="H314" s="4"/>
      <c r="I314" s="4"/>
      <c r="J314" s="4"/>
    </row>
    <row r="315" spans="1:10" x14ac:dyDescent="0.35">
      <c r="A315" s="7" t="s">
        <v>22</v>
      </c>
      <c r="B315" s="7">
        <f t="shared" si="73"/>
        <v>2032</v>
      </c>
      <c r="C315" s="4" t="s">
        <v>31</v>
      </c>
      <c r="D315" s="5" t="s">
        <v>2003</v>
      </c>
      <c r="E315" s="10" t="str">
        <f t="shared" si="71"/>
        <v>PSNP'!</v>
      </c>
      <c r="F315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15" s="7" t="s">
        <v>100</v>
      </c>
      <c r="H315" s="4"/>
      <c r="I315" s="4"/>
      <c r="J315" s="4"/>
    </row>
    <row r="316" spans="1:10" x14ac:dyDescent="0.35">
      <c r="A316" s="7" t="s">
        <v>22</v>
      </c>
      <c r="B316" s="7">
        <f t="shared" si="73"/>
        <v>2033</v>
      </c>
      <c r="C316" s="4" t="s">
        <v>31</v>
      </c>
      <c r="D316" s="5" t="s">
        <v>2003</v>
      </c>
      <c r="E316" s="10" t="str">
        <f t="shared" si="71"/>
        <v>PSNP'!</v>
      </c>
      <c r="F316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16" s="7" t="s">
        <v>100</v>
      </c>
      <c r="H316" s="4"/>
      <c r="I316" s="4"/>
      <c r="J316" s="4"/>
    </row>
    <row r="317" spans="1:10" x14ac:dyDescent="0.35">
      <c r="A317" s="7" t="s">
        <v>22</v>
      </c>
      <c r="B317" s="7">
        <f t="shared" si="73"/>
        <v>2034</v>
      </c>
      <c r="C317" s="4" t="s">
        <v>31</v>
      </c>
      <c r="D317" s="5" t="s">
        <v>2003</v>
      </c>
      <c r="E317" s="10" t="str">
        <f t="shared" si="71"/>
        <v>PSNP'!</v>
      </c>
      <c r="F317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17" s="7" t="s">
        <v>100</v>
      </c>
      <c r="H317" s="4"/>
      <c r="I317" s="4"/>
      <c r="J317" s="4"/>
    </row>
    <row r="318" spans="1:10" x14ac:dyDescent="0.35">
      <c r="A318" s="7" t="s">
        <v>22</v>
      </c>
      <c r="B318" s="7">
        <f t="shared" si="73"/>
        <v>2035</v>
      </c>
      <c r="C318" s="4" t="s">
        <v>31</v>
      </c>
      <c r="D318" s="5" t="s">
        <v>2003</v>
      </c>
      <c r="E318" s="10" t="str">
        <f t="shared" si="71"/>
        <v>PSNP'!</v>
      </c>
      <c r="F318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18" s="7" t="s">
        <v>100</v>
      </c>
      <c r="H318" s="4"/>
      <c r="I318" s="4"/>
      <c r="J318" s="4"/>
    </row>
    <row r="319" spans="1:10" x14ac:dyDescent="0.35">
      <c r="A319" s="7" t="s">
        <v>22</v>
      </c>
      <c r="B319" s="7">
        <f t="shared" si="73"/>
        <v>2036</v>
      </c>
      <c r="C319" s="4" t="s">
        <v>31</v>
      </c>
      <c r="D319" s="5" t="s">
        <v>2003</v>
      </c>
      <c r="E319" s="10" t="str">
        <f t="shared" si="71"/>
        <v>PSNP'!</v>
      </c>
      <c r="F319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19" s="7" t="s">
        <v>100</v>
      </c>
      <c r="H319" s="4"/>
      <c r="I319" s="4"/>
      <c r="J319" s="4"/>
    </row>
    <row r="320" spans="1:10" x14ac:dyDescent="0.35">
      <c r="A320" s="7" t="s">
        <v>22</v>
      </c>
      <c r="B320" s="7">
        <f>+B319+1</f>
        <v>2037</v>
      </c>
      <c r="C320" s="4" t="s">
        <v>31</v>
      </c>
      <c r="D320" s="5" t="s">
        <v>2003</v>
      </c>
      <c r="E320" s="10" t="str">
        <f t="shared" si="71"/>
        <v>PSNP'!</v>
      </c>
      <c r="F320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0" s="7" t="s">
        <v>100</v>
      </c>
      <c r="H320" s="4"/>
      <c r="I320" s="4"/>
      <c r="J320" s="4"/>
    </row>
    <row r="321" spans="1:10" x14ac:dyDescent="0.35">
      <c r="A321" s="7" t="s">
        <v>22</v>
      </c>
      <c r="B321" s="7">
        <f t="shared" ref="B321:B323" si="74">+B320+1</f>
        <v>2038</v>
      </c>
      <c r="C321" s="4" t="s">
        <v>31</v>
      </c>
      <c r="D321" s="5" t="s">
        <v>2003</v>
      </c>
      <c r="E321" s="10" t="str">
        <f t="shared" si="71"/>
        <v>PSNP'!</v>
      </c>
      <c r="F321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1" s="7" t="s">
        <v>100</v>
      </c>
      <c r="H321" s="4"/>
      <c r="I321" s="4"/>
      <c r="J321" s="4"/>
    </row>
    <row r="322" spans="1:10" x14ac:dyDescent="0.35">
      <c r="A322" s="7" t="s">
        <v>22</v>
      </c>
      <c r="B322" s="7">
        <f t="shared" si="74"/>
        <v>2039</v>
      </c>
      <c r="C322" s="4" t="s">
        <v>31</v>
      </c>
      <c r="D322" s="5" t="s">
        <v>2003</v>
      </c>
      <c r="E322" s="10" t="str">
        <f t="shared" si="71"/>
        <v>PSNP'!</v>
      </c>
      <c r="F322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2" s="7" t="s">
        <v>100</v>
      </c>
      <c r="H322" s="4"/>
      <c r="I322" s="4"/>
      <c r="J322" s="4"/>
    </row>
    <row r="323" spans="1:10" x14ac:dyDescent="0.35">
      <c r="A323" s="7" t="s">
        <v>22</v>
      </c>
      <c r="B323" s="7">
        <f t="shared" si="74"/>
        <v>2040</v>
      </c>
      <c r="C323" s="4" t="s">
        <v>31</v>
      </c>
      <c r="D323" s="5" t="s">
        <v>2003</v>
      </c>
      <c r="E323" s="10" t="str">
        <f t="shared" si="71"/>
        <v>PSNP'!</v>
      </c>
      <c r="F323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3" s="7" t="s">
        <v>100</v>
      </c>
      <c r="H323" s="4"/>
      <c r="I323" s="4"/>
      <c r="J323" s="4"/>
    </row>
    <row r="324" spans="1:10" x14ac:dyDescent="0.35">
      <c r="A324" s="7" t="s">
        <v>22</v>
      </c>
      <c r="B324" s="7">
        <f>+B323+1</f>
        <v>2041</v>
      </c>
      <c r="C324" s="4" t="s">
        <v>31</v>
      </c>
      <c r="D324" s="5" t="s">
        <v>2003</v>
      </c>
      <c r="E324" s="10" t="str">
        <f t="shared" si="71"/>
        <v>PSNP'!</v>
      </c>
      <c r="F324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4" s="7" t="s">
        <v>100</v>
      </c>
      <c r="H324" s="4"/>
      <c r="I324" s="4"/>
      <c r="J324" s="4"/>
    </row>
    <row r="325" spans="1:10" x14ac:dyDescent="0.35">
      <c r="A325" s="7" t="s">
        <v>22</v>
      </c>
      <c r="B325" s="7">
        <f t="shared" ref="B325:B326" si="75">+B324+1</f>
        <v>2042</v>
      </c>
      <c r="C325" s="4" t="s">
        <v>31</v>
      </c>
      <c r="D325" s="5" t="s">
        <v>2003</v>
      </c>
      <c r="E325" s="10" t="str">
        <f t="shared" si="71"/>
        <v>PSNP'!</v>
      </c>
      <c r="F325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5" s="7" t="s">
        <v>100</v>
      </c>
      <c r="H325" s="4"/>
      <c r="I325" s="4"/>
      <c r="J325" s="4"/>
    </row>
    <row r="326" spans="1:10" x14ac:dyDescent="0.35">
      <c r="A326" s="7" t="s">
        <v>22</v>
      </c>
      <c r="B326" s="7">
        <f t="shared" si="75"/>
        <v>2043</v>
      </c>
      <c r="C326" s="4" t="s">
        <v>31</v>
      </c>
      <c r="D326" s="5" t="s">
        <v>2003</v>
      </c>
      <c r="E326" s="10" t="str">
        <f t="shared" si="71"/>
        <v>PSNP'!</v>
      </c>
      <c r="F326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6" s="7" t="s">
        <v>100</v>
      </c>
      <c r="H326" s="4"/>
      <c r="I326" s="4"/>
      <c r="J326" s="4"/>
    </row>
    <row r="327" spans="1:10" x14ac:dyDescent="0.35">
      <c r="A327" s="7" t="s">
        <v>22</v>
      </c>
      <c r="B327" s="7">
        <f>+B326+1</f>
        <v>2044</v>
      </c>
      <c r="C327" s="4" t="s">
        <v>31</v>
      </c>
      <c r="D327" s="5" t="s">
        <v>2003</v>
      </c>
      <c r="E327" s="10" t="str">
        <f t="shared" ref="E327:E342" si="76">_xlfn.CONCAT(A327,"'!")</f>
        <v>PSNP'!</v>
      </c>
      <c r="F327" s="5" t="str">
        <f t="shared" ref="F327:F342" si="77">_xlfn.CONCAT(D327," ",E327)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7" s="7" t="s">
        <v>100</v>
      </c>
      <c r="H327" s="4"/>
      <c r="I327" s="4"/>
      <c r="J327" s="4"/>
    </row>
    <row r="328" spans="1:10" x14ac:dyDescent="0.35">
      <c r="A328" s="7" t="s">
        <v>22</v>
      </c>
      <c r="B328" s="7">
        <f t="shared" ref="B328:B342" si="78">+B327+1</f>
        <v>2045</v>
      </c>
      <c r="C328" s="4" t="s">
        <v>31</v>
      </c>
      <c r="D328" s="5" t="s">
        <v>2003</v>
      </c>
      <c r="E328" s="10" t="str">
        <f t="shared" si="76"/>
        <v>PSNP'!</v>
      </c>
      <c r="F328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8" s="7" t="s">
        <v>100</v>
      </c>
      <c r="H328" s="4"/>
      <c r="I328" s="4"/>
      <c r="J328" s="4"/>
    </row>
    <row r="329" spans="1:10" x14ac:dyDescent="0.35">
      <c r="A329" s="7" t="s">
        <v>22</v>
      </c>
      <c r="B329" s="7">
        <f t="shared" si="78"/>
        <v>2046</v>
      </c>
      <c r="C329" s="4" t="s">
        <v>31</v>
      </c>
      <c r="D329" s="5" t="s">
        <v>2003</v>
      </c>
      <c r="E329" s="10" t="str">
        <f t="shared" si="76"/>
        <v>PSNP'!</v>
      </c>
      <c r="F329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9" s="7" t="s">
        <v>100</v>
      </c>
      <c r="H329" s="4"/>
      <c r="I329" s="4"/>
      <c r="J329" s="4"/>
    </row>
    <row r="330" spans="1:10" x14ac:dyDescent="0.35">
      <c r="A330" s="7" t="s">
        <v>22</v>
      </c>
      <c r="B330" s="7">
        <f t="shared" si="78"/>
        <v>2047</v>
      </c>
      <c r="C330" s="4" t="s">
        <v>31</v>
      </c>
      <c r="D330" s="5" t="s">
        <v>2003</v>
      </c>
      <c r="E330" s="10" t="str">
        <f t="shared" si="76"/>
        <v>PSNP'!</v>
      </c>
      <c r="F330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30" s="7" t="s">
        <v>100</v>
      </c>
      <c r="H330" s="4"/>
      <c r="I330" s="4"/>
      <c r="J330" s="4"/>
    </row>
    <row r="331" spans="1:10" x14ac:dyDescent="0.35">
      <c r="A331" s="7" t="s">
        <v>22</v>
      </c>
      <c r="B331" s="7">
        <f t="shared" si="78"/>
        <v>2048</v>
      </c>
      <c r="C331" s="4" t="s">
        <v>31</v>
      </c>
      <c r="D331" s="5" t="s">
        <v>2003</v>
      </c>
      <c r="E331" s="10" t="str">
        <f t="shared" si="76"/>
        <v>PSNP'!</v>
      </c>
      <c r="F331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31" s="7" t="s">
        <v>100</v>
      </c>
      <c r="H331" s="4"/>
      <c r="I331" s="4"/>
      <c r="J331" s="4"/>
    </row>
    <row r="332" spans="1:10" x14ac:dyDescent="0.35">
      <c r="A332" s="7" t="s">
        <v>22</v>
      </c>
      <c r="B332" s="7">
        <f t="shared" si="78"/>
        <v>2049</v>
      </c>
      <c r="C332" s="4" t="s">
        <v>31</v>
      </c>
      <c r="D332" s="5" t="s">
        <v>2003</v>
      </c>
      <c r="E332" s="10" t="str">
        <f t="shared" si="76"/>
        <v>PSNP'!</v>
      </c>
      <c r="F332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32" s="7" t="s">
        <v>100</v>
      </c>
      <c r="H332" s="4"/>
      <c r="I332" s="4"/>
      <c r="J332" s="4"/>
    </row>
    <row r="333" spans="1:10" x14ac:dyDescent="0.35">
      <c r="A333" s="7" t="s">
        <v>22</v>
      </c>
      <c r="B333" s="7">
        <f t="shared" si="78"/>
        <v>2050</v>
      </c>
      <c r="C333" s="4" t="s">
        <v>31</v>
      </c>
      <c r="D333" s="5" t="s">
        <v>2003</v>
      </c>
      <c r="E333" s="10" t="str">
        <f t="shared" si="76"/>
        <v>PSNP'!</v>
      </c>
      <c r="F333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33" s="7" t="s">
        <v>100</v>
      </c>
      <c r="H333" s="4"/>
      <c r="I333" s="4"/>
      <c r="J333" s="4"/>
    </row>
    <row r="334" spans="1:10" x14ac:dyDescent="0.35">
      <c r="A334" s="7" t="s">
        <v>22</v>
      </c>
      <c r="B334" s="7">
        <f t="shared" si="78"/>
        <v>2051</v>
      </c>
      <c r="C334" s="4" t="s">
        <v>31</v>
      </c>
      <c r="D334" s="5" t="s">
        <v>2003</v>
      </c>
      <c r="E334" s="10" t="str">
        <f t="shared" si="76"/>
        <v>PSNP'!</v>
      </c>
      <c r="F334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34" s="7" t="s">
        <v>100</v>
      </c>
      <c r="H334" s="4"/>
      <c r="I334" s="4"/>
      <c r="J334" s="4"/>
    </row>
    <row r="335" spans="1:10" x14ac:dyDescent="0.35">
      <c r="A335" s="7" t="s">
        <v>22</v>
      </c>
      <c r="B335" s="7">
        <f t="shared" si="78"/>
        <v>2052</v>
      </c>
      <c r="C335" s="4" t="s">
        <v>31</v>
      </c>
      <c r="D335" s="5" t="s">
        <v>2003</v>
      </c>
      <c r="E335" s="10" t="str">
        <f t="shared" si="76"/>
        <v>PSNP'!</v>
      </c>
      <c r="F335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35" s="7" t="s">
        <v>100</v>
      </c>
      <c r="H335" s="4"/>
      <c r="I335" s="4"/>
      <c r="J335" s="4"/>
    </row>
    <row r="336" spans="1:10" x14ac:dyDescent="0.35">
      <c r="A336" s="7" t="s">
        <v>22</v>
      </c>
      <c r="B336" s="7">
        <f t="shared" si="78"/>
        <v>2053</v>
      </c>
      <c r="C336" s="4" t="s">
        <v>31</v>
      </c>
      <c r="D336" s="5" t="s">
        <v>2003</v>
      </c>
      <c r="E336" s="10" t="str">
        <f t="shared" si="76"/>
        <v>PSNP'!</v>
      </c>
      <c r="F336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36" s="7" t="s">
        <v>100</v>
      </c>
      <c r="H336" s="4"/>
      <c r="I336" s="4"/>
      <c r="J336" s="4"/>
    </row>
    <row r="337" spans="1:10" x14ac:dyDescent="0.35">
      <c r="A337" s="7" t="s">
        <v>22</v>
      </c>
      <c r="B337" s="7">
        <f t="shared" si="78"/>
        <v>2054</v>
      </c>
      <c r="C337" s="4" t="s">
        <v>31</v>
      </c>
      <c r="D337" s="5" t="s">
        <v>2003</v>
      </c>
      <c r="E337" s="10" t="str">
        <f t="shared" si="76"/>
        <v>PSNP'!</v>
      </c>
      <c r="F337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37" s="7" t="s">
        <v>100</v>
      </c>
      <c r="H337" s="4"/>
      <c r="I337" s="4"/>
      <c r="J337" s="4"/>
    </row>
    <row r="338" spans="1:10" x14ac:dyDescent="0.35">
      <c r="A338" s="7" t="s">
        <v>22</v>
      </c>
      <c r="B338" s="7">
        <f t="shared" si="78"/>
        <v>2055</v>
      </c>
      <c r="C338" s="4" t="s">
        <v>31</v>
      </c>
      <c r="D338" s="5" t="s">
        <v>2003</v>
      </c>
      <c r="E338" s="10" t="str">
        <f t="shared" si="76"/>
        <v>PSNP'!</v>
      </c>
      <c r="F338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38" s="7" t="s">
        <v>100</v>
      </c>
      <c r="H338" s="4"/>
      <c r="I338" s="4"/>
      <c r="J338" s="4"/>
    </row>
    <row r="339" spans="1:10" x14ac:dyDescent="0.35">
      <c r="A339" s="7" t="s">
        <v>22</v>
      </c>
      <c r="B339" s="7">
        <f t="shared" si="78"/>
        <v>2056</v>
      </c>
      <c r="C339" s="4" t="s">
        <v>31</v>
      </c>
      <c r="D339" s="5" t="s">
        <v>2003</v>
      </c>
      <c r="E339" s="10" t="str">
        <f t="shared" si="76"/>
        <v>PSNP'!</v>
      </c>
      <c r="F339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39" s="7" t="s">
        <v>100</v>
      </c>
      <c r="H339" s="4"/>
      <c r="I339" s="4"/>
      <c r="J339" s="4"/>
    </row>
    <row r="340" spans="1:10" x14ac:dyDescent="0.35">
      <c r="A340" s="7" t="s">
        <v>22</v>
      </c>
      <c r="B340" s="7">
        <f t="shared" si="78"/>
        <v>2057</v>
      </c>
      <c r="C340" s="4" t="s">
        <v>31</v>
      </c>
      <c r="D340" s="5" t="s">
        <v>2003</v>
      </c>
      <c r="E340" s="10" t="str">
        <f t="shared" si="76"/>
        <v>PSNP'!</v>
      </c>
      <c r="F340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40" s="7" t="s">
        <v>100</v>
      </c>
      <c r="H340" s="4"/>
      <c r="I340" s="4"/>
      <c r="J340" s="4"/>
    </row>
    <row r="341" spans="1:10" x14ac:dyDescent="0.35">
      <c r="A341" s="7" t="s">
        <v>22</v>
      </c>
      <c r="B341" s="7">
        <f t="shared" si="78"/>
        <v>2058</v>
      </c>
      <c r="C341" s="4" t="s">
        <v>31</v>
      </c>
      <c r="D341" s="5" t="s">
        <v>2003</v>
      </c>
      <c r="E341" s="10" t="str">
        <f t="shared" si="76"/>
        <v>PSNP'!</v>
      </c>
      <c r="F341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41" s="7" t="s">
        <v>100</v>
      </c>
      <c r="H341" s="4"/>
      <c r="I341" s="4"/>
      <c r="J341" s="4"/>
    </row>
    <row r="342" spans="1:10" x14ac:dyDescent="0.35">
      <c r="A342" s="7" t="s">
        <v>22</v>
      </c>
      <c r="B342" s="7">
        <f t="shared" si="78"/>
        <v>2059</v>
      </c>
      <c r="C342" s="4" t="s">
        <v>31</v>
      </c>
      <c r="D342" s="5" t="s">
        <v>2003</v>
      </c>
      <c r="E342" s="10" t="str">
        <f t="shared" si="76"/>
        <v>PSNP'!</v>
      </c>
      <c r="F342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42" s="7" t="s">
        <v>100</v>
      </c>
      <c r="H342" s="4"/>
      <c r="I342" s="4"/>
      <c r="J342" s="4"/>
    </row>
    <row r="343" spans="1:10" x14ac:dyDescent="0.35">
      <c r="A343" s="7" t="s">
        <v>26</v>
      </c>
      <c r="B343" s="7"/>
      <c r="C343" s="4" t="s">
        <v>31</v>
      </c>
      <c r="D343" s="5"/>
      <c r="E343" s="10"/>
      <c r="F343" s="5" t="str">
        <f t="shared" si="72"/>
        <v xml:space="preserve"> </v>
      </c>
      <c r="G343" s="7"/>
      <c r="H343" s="4"/>
      <c r="I343" s="4"/>
      <c r="J343" s="4"/>
    </row>
    <row r="344" spans="1:10" x14ac:dyDescent="0.35">
      <c r="A344" s="7" t="s">
        <v>23</v>
      </c>
      <c r="B344" s="7">
        <v>2023</v>
      </c>
      <c r="C344" s="4" t="s">
        <v>31</v>
      </c>
      <c r="D344" s="5" t="s">
        <v>2003</v>
      </c>
      <c r="E344" s="10" t="str">
        <f t="shared" ref="E344:E364" si="79">_xlfn.CONCAT(A344,"'!")</f>
        <v>PSND'!</v>
      </c>
      <c r="F344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44" s="7" t="s">
        <v>100</v>
      </c>
      <c r="H344" s="4"/>
      <c r="I344" s="4"/>
      <c r="J344" s="4"/>
    </row>
    <row r="345" spans="1:10" x14ac:dyDescent="0.35">
      <c r="A345" s="7" t="s">
        <v>23</v>
      </c>
      <c r="B345" s="7">
        <f>+B344+1</f>
        <v>2024</v>
      </c>
      <c r="C345" s="4" t="s">
        <v>31</v>
      </c>
      <c r="D345" s="5" t="s">
        <v>2003</v>
      </c>
      <c r="E345" s="10" t="str">
        <f t="shared" si="79"/>
        <v>PSND'!</v>
      </c>
      <c r="F345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45" s="7" t="s">
        <v>100</v>
      </c>
      <c r="H345" s="4"/>
      <c r="I345" s="4"/>
      <c r="J345" s="4"/>
    </row>
    <row r="346" spans="1:10" x14ac:dyDescent="0.35">
      <c r="A346" s="7" t="s">
        <v>23</v>
      </c>
      <c r="B346" s="7">
        <f t="shared" ref="B346:B357" si="80">+B345+1</f>
        <v>2025</v>
      </c>
      <c r="C346" s="4" t="s">
        <v>31</v>
      </c>
      <c r="D346" s="5" t="s">
        <v>2003</v>
      </c>
      <c r="E346" s="10" t="str">
        <f t="shared" si="79"/>
        <v>PSND'!</v>
      </c>
      <c r="F346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46" s="7" t="s">
        <v>100</v>
      </c>
      <c r="H346" s="4"/>
      <c r="I346" s="4"/>
      <c r="J346" s="4"/>
    </row>
    <row r="347" spans="1:10" x14ac:dyDescent="0.35">
      <c r="A347" s="7" t="s">
        <v>23</v>
      </c>
      <c r="B347" s="7">
        <f t="shared" si="80"/>
        <v>2026</v>
      </c>
      <c r="C347" s="4" t="s">
        <v>31</v>
      </c>
      <c r="D347" s="5" t="s">
        <v>2003</v>
      </c>
      <c r="E347" s="10" t="str">
        <f t="shared" si="79"/>
        <v>PSND'!</v>
      </c>
      <c r="F347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47" s="7" t="s">
        <v>100</v>
      </c>
      <c r="H347" s="4"/>
      <c r="I347" s="4"/>
      <c r="J347" s="4"/>
    </row>
    <row r="348" spans="1:10" x14ac:dyDescent="0.35">
      <c r="A348" s="7" t="s">
        <v>23</v>
      </c>
      <c r="B348" s="7">
        <f t="shared" si="80"/>
        <v>2027</v>
      </c>
      <c r="C348" s="4" t="s">
        <v>31</v>
      </c>
      <c r="D348" s="5" t="s">
        <v>2003</v>
      </c>
      <c r="E348" s="10" t="str">
        <f t="shared" si="79"/>
        <v>PSND'!</v>
      </c>
      <c r="F348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48" s="7" t="s">
        <v>100</v>
      </c>
      <c r="H348" s="4"/>
      <c r="I348" s="4"/>
      <c r="J348" s="4"/>
    </row>
    <row r="349" spans="1:10" x14ac:dyDescent="0.35">
      <c r="A349" s="7" t="s">
        <v>23</v>
      </c>
      <c r="B349" s="7">
        <f t="shared" si="80"/>
        <v>2028</v>
      </c>
      <c r="C349" s="4" t="s">
        <v>31</v>
      </c>
      <c r="D349" s="5" t="s">
        <v>2003</v>
      </c>
      <c r="E349" s="10" t="str">
        <f t="shared" si="79"/>
        <v>PSND'!</v>
      </c>
      <c r="F349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49" s="7" t="s">
        <v>100</v>
      </c>
      <c r="H349" s="4"/>
      <c r="I349" s="4"/>
      <c r="J349" s="4"/>
    </row>
    <row r="350" spans="1:10" x14ac:dyDescent="0.35">
      <c r="A350" s="7" t="s">
        <v>23</v>
      </c>
      <c r="B350" s="7">
        <f t="shared" si="80"/>
        <v>2029</v>
      </c>
      <c r="C350" s="4" t="s">
        <v>31</v>
      </c>
      <c r="D350" s="5" t="s">
        <v>2003</v>
      </c>
      <c r="E350" s="10" t="str">
        <f t="shared" si="79"/>
        <v>PSND'!</v>
      </c>
      <c r="F350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50" s="7" t="s">
        <v>100</v>
      </c>
      <c r="H350" s="4"/>
      <c r="I350" s="4"/>
      <c r="J350" s="4"/>
    </row>
    <row r="351" spans="1:10" x14ac:dyDescent="0.35">
      <c r="A351" s="7" t="s">
        <v>23</v>
      </c>
      <c r="B351" s="7">
        <f t="shared" si="80"/>
        <v>2030</v>
      </c>
      <c r="C351" s="4" t="s">
        <v>31</v>
      </c>
      <c r="D351" s="5" t="s">
        <v>2003</v>
      </c>
      <c r="E351" s="10" t="str">
        <f t="shared" si="79"/>
        <v>PSND'!</v>
      </c>
      <c r="F351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51" s="7" t="s">
        <v>100</v>
      </c>
      <c r="H351" s="4"/>
      <c r="I351" s="4"/>
      <c r="J351" s="4"/>
    </row>
    <row r="352" spans="1:10" x14ac:dyDescent="0.35">
      <c r="A352" s="7" t="s">
        <v>23</v>
      </c>
      <c r="B352" s="7">
        <f t="shared" si="80"/>
        <v>2031</v>
      </c>
      <c r="C352" s="4" t="s">
        <v>31</v>
      </c>
      <c r="D352" s="5" t="s">
        <v>2003</v>
      </c>
      <c r="E352" s="10" t="str">
        <f t="shared" si="79"/>
        <v>PSND'!</v>
      </c>
      <c r="F352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52" s="7" t="s">
        <v>100</v>
      </c>
      <c r="H352" s="4"/>
      <c r="I352" s="4"/>
      <c r="J352" s="4"/>
    </row>
    <row r="353" spans="1:10" x14ac:dyDescent="0.35">
      <c r="A353" s="7" t="s">
        <v>23</v>
      </c>
      <c r="B353" s="7">
        <f t="shared" si="80"/>
        <v>2032</v>
      </c>
      <c r="C353" s="4" t="s">
        <v>31</v>
      </c>
      <c r="D353" s="5" t="s">
        <v>2003</v>
      </c>
      <c r="E353" s="10" t="str">
        <f t="shared" si="79"/>
        <v>PSND'!</v>
      </c>
      <c r="F353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53" s="7" t="s">
        <v>100</v>
      </c>
      <c r="H353" s="4"/>
      <c r="I353" s="4"/>
      <c r="J353" s="4"/>
    </row>
    <row r="354" spans="1:10" x14ac:dyDescent="0.35">
      <c r="A354" s="7" t="s">
        <v>23</v>
      </c>
      <c r="B354" s="7">
        <f t="shared" si="80"/>
        <v>2033</v>
      </c>
      <c r="C354" s="4" t="s">
        <v>31</v>
      </c>
      <c r="D354" s="5" t="s">
        <v>2003</v>
      </c>
      <c r="E354" s="10" t="str">
        <f t="shared" si="79"/>
        <v>PSND'!</v>
      </c>
      <c r="F354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54" s="7" t="s">
        <v>100</v>
      </c>
      <c r="H354" s="4"/>
      <c r="I354" s="4"/>
      <c r="J354" s="4"/>
    </row>
    <row r="355" spans="1:10" x14ac:dyDescent="0.35">
      <c r="A355" s="7" t="s">
        <v>23</v>
      </c>
      <c r="B355" s="7">
        <f t="shared" si="80"/>
        <v>2034</v>
      </c>
      <c r="C355" s="4" t="s">
        <v>31</v>
      </c>
      <c r="D355" s="5" t="s">
        <v>2003</v>
      </c>
      <c r="E355" s="10" t="str">
        <f t="shared" si="79"/>
        <v>PSND'!</v>
      </c>
      <c r="F355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55" s="7" t="s">
        <v>100</v>
      </c>
      <c r="H355" s="4"/>
      <c r="I355" s="4"/>
      <c r="J355" s="4"/>
    </row>
    <row r="356" spans="1:10" x14ac:dyDescent="0.35">
      <c r="A356" s="7" t="s">
        <v>23</v>
      </c>
      <c r="B356" s="7">
        <f t="shared" si="80"/>
        <v>2035</v>
      </c>
      <c r="C356" s="4" t="s">
        <v>31</v>
      </c>
      <c r="D356" s="5" t="s">
        <v>2003</v>
      </c>
      <c r="E356" s="10" t="str">
        <f t="shared" si="79"/>
        <v>PSND'!</v>
      </c>
      <c r="F356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56" s="7" t="s">
        <v>100</v>
      </c>
      <c r="H356" s="4"/>
      <c r="I356" s="4"/>
      <c r="J356" s="4"/>
    </row>
    <row r="357" spans="1:10" x14ac:dyDescent="0.35">
      <c r="A357" s="7" t="s">
        <v>23</v>
      </c>
      <c r="B357" s="7">
        <f t="shared" si="80"/>
        <v>2036</v>
      </c>
      <c r="C357" s="4" t="s">
        <v>31</v>
      </c>
      <c r="D357" s="5" t="s">
        <v>2003</v>
      </c>
      <c r="E357" s="10" t="str">
        <f t="shared" si="79"/>
        <v>PSND'!</v>
      </c>
      <c r="F357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57" s="7" t="s">
        <v>100</v>
      </c>
      <c r="H357" s="4"/>
      <c r="I357" s="4"/>
      <c r="J357" s="4"/>
    </row>
    <row r="358" spans="1:10" x14ac:dyDescent="0.35">
      <c r="A358" s="7" t="s">
        <v>23</v>
      </c>
      <c r="B358" s="7">
        <f>+B357+1</f>
        <v>2037</v>
      </c>
      <c r="C358" s="4" t="s">
        <v>31</v>
      </c>
      <c r="D358" s="5" t="s">
        <v>2003</v>
      </c>
      <c r="E358" s="10" t="str">
        <f t="shared" si="79"/>
        <v>PSND'!</v>
      </c>
      <c r="F358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58" s="7" t="s">
        <v>100</v>
      </c>
      <c r="H358" s="4"/>
      <c r="I358" s="4"/>
      <c r="J358" s="4"/>
    </row>
    <row r="359" spans="1:10" x14ac:dyDescent="0.35">
      <c r="A359" s="7" t="s">
        <v>23</v>
      </c>
      <c r="B359" s="7">
        <f t="shared" ref="B359:B361" si="81">+B358+1</f>
        <v>2038</v>
      </c>
      <c r="C359" s="4" t="s">
        <v>31</v>
      </c>
      <c r="D359" s="5" t="s">
        <v>2003</v>
      </c>
      <c r="E359" s="10" t="str">
        <f t="shared" si="79"/>
        <v>PSND'!</v>
      </c>
      <c r="F359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59" s="7" t="s">
        <v>100</v>
      </c>
      <c r="H359" s="4"/>
      <c r="I359" s="4"/>
      <c r="J359" s="4"/>
    </row>
    <row r="360" spans="1:10" x14ac:dyDescent="0.35">
      <c r="A360" s="7" t="s">
        <v>23</v>
      </c>
      <c r="B360" s="7">
        <f t="shared" si="81"/>
        <v>2039</v>
      </c>
      <c r="C360" s="4" t="s">
        <v>31</v>
      </c>
      <c r="D360" s="5" t="s">
        <v>2003</v>
      </c>
      <c r="E360" s="10" t="str">
        <f t="shared" si="79"/>
        <v>PSND'!</v>
      </c>
      <c r="F360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0" s="7" t="s">
        <v>100</v>
      </c>
      <c r="H360" s="4"/>
      <c r="I360" s="4"/>
      <c r="J360" s="4"/>
    </row>
    <row r="361" spans="1:10" x14ac:dyDescent="0.35">
      <c r="A361" s="7" t="s">
        <v>23</v>
      </c>
      <c r="B361" s="7">
        <f t="shared" si="81"/>
        <v>2040</v>
      </c>
      <c r="C361" s="4" t="s">
        <v>31</v>
      </c>
      <c r="D361" s="5" t="s">
        <v>2003</v>
      </c>
      <c r="E361" s="10" t="str">
        <f t="shared" si="79"/>
        <v>PSND'!</v>
      </c>
      <c r="F361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1" s="7" t="s">
        <v>100</v>
      </c>
      <c r="H361" s="4"/>
      <c r="I361" s="4"/>
      <c r="J361" s="4"/>
    </row>
    <row r="362" spans="1:10" x14ac:dyDescent="0.35">
      <c r="A362" s="7" t="s">
        <v>23</v>
      </c>
      <c r="B362" s="7">
        <f>+B361+1</f>
        <v>2041</v>
      </c>
      <c r="C362" s="4" t="s">
        <v>31</v>
      </c>
      <c r="D362" s="5" t="s">
        <v>2003</v>
      </c>
      <c r="E362" s="10" t="str">
        <f t="shared" si="79"/>
        <v>PSND'!</v>
      </c>
      <c r="F362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2" s="7" t="s">
        <v>100</v>
      </c>
      <c r="H362" s="4"/>
      <c r="I362" s="4"/>
      <c r="J362" s="4"/>
    </row>
    <row r="363" spans="1:10" x14ac:dyDescent="0.35">
      <c r="A363" s="7" t="s">
        <v>23</v>
      </c>
      <c r="B363" s="7">
        <f t="shared" ref="B363:B364" si="82">+B362+1</f>
        <v>2042</v>
      </c>
      <c r="C363" s="4" t="s">
        <v>31</v>
      </c>
      <c r="D363" s="5" t="s">
        <v>2003</v>
      </c>
      <c r="E363" s="10" t="str">
        <f t="shared" si="79"/>
        <v>PSND'!</v>
      </c>
      <c r="F363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3" s="7" t="s">
        <v>100</v>
      </c>
      <c r="H363" s="4"/>
      <c r="I363" s="4"/>
      <c r="J363" s="4"/>
    </row>
    <row r="364" spans="1:10" x14ac:dyDescent="0.35">
      <c r="A364" s="7" t="s">
        <v>23</v>
      </c>
      <c r="B364" s="7">
        <f t="shared" si="82"/>
        <v>2043</v>
      </c>
      <c r="C364" s="4" t="s">
        <v>31</v>
      </c>
      <c r="D364" s="5" t="s">
        <v>2003</v>
      </c>
      <c r="E364" s="10" t="str">
        <f t="shared" si="79"/>
        <v>PSND'!</v>
      </c>
      <c r="F364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4" s="7" t="s">
        <v>100</v>
      </c>
      <c r="H364" s="4"/>
      <c r="I364" s="4"/>
      <c r="J364" s="4"/>
    </row>
    <row r="365" spans="1:10" x14ac:dyDescent="0.35">
      <c r="A365" s="7" t="s">
        <v>23</v>
      </c>
      <c r="B365" s="7">
        <f>+B364+1</f>
        <v>2044</v>
      </c>
      <c r="C365" s="4" t="s">
        <v>31</v>
      </c>
      <c r="D365" s="5" t="s">
        <v>2003</v>
      </c>
      <c r="E365" s="10" t="str">
        <f t="shared" ref="E365:E380" si="83">_xlfn.CONCAT(A365,"'!")</f>
        <v>PSND'!</v>
      </c>
      <c r="F365" s="5" t="str">
        <f t="shared" ref="F365:F380" si="84">_xlfn.CONCAT(D365," ",E365)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5" s="7" t="s">
        <v>100</v>
      </c>
      <c r="H365" s="4"/>
      <c r="I365" s="4"/>
      <c r="J365" s="4"/>
    </row>
    <row r="366" spans="1:10" x14ac:dyDescent="0.35">
      <c r="A366" s="7" t="s">
        <v>23</v>
      </c>
      <c r="B366" s="7">
        <f t="shared" ref="B366:B380" si="85">+B365+1</f>
        <v>2045</v>
      </c>
      <c r="C366" s="4" t="s">
        <v>31</v>
      </c>
      <c r="D366" s="5" t="s">
        <v>2003</v>
      </c>
      <c r="E366" s="10" t="str">
        <f t="shared" si="83"/>
        <v>PSND'!</v>
      </c>
      <c r="F366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6" s="7" t="s">
        <v>100</v>
      </c>
      <c r="H366" s="4"/>
      <c r="I366" s="4"/>
      <c r="J366" s="4"/>
    </row>
    <row r="367" spans="1:10" x14ac:dyDescent="0.35">
      <c r="A367" s="7" t="s">
        <v>23</v>
      </c>
      <c r="B367" s="7">
        <f t="shared" si="85"/>
        <v>2046</v>
      </c>
      <c r="C367" s="4" t="s">
        <v>31</v>
      </c>
      <c r="D367" s="5" t="s">
        <v>2003</v>
      </c>
      <c r="E367" s="10" t="str">
        <f t="shared" si="83"/>
        <v>PSND'!</v>
      </c>
      <c r="F367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7" s="7" t="s">
        <v>100</v>
      </c>
      <c r="H367" s="4"/>
      <c r="I367" s="4"/>
      <c r="J367" s="4"/>
    </row>
    <row r="368" spans="1:10" x14ac:dyDescent="0.35">
      <c r="A368" s="7" t="s">
        <v>23</v>
      </c>
      <c r="B368" s="7">
        <f t="shared" si="85"/>
        <v>2047</v>
      </c>
      <c r="C368" s="4" t="s">
        <v>31</v>
      </c>
      <c r="D368" s="5" t="s">
        <v>2003</v>
      </c>
      <c r="E368" s="10" t="str">
        <f t="shared" si="83"/>
        <v>PSND'!</v>
      </c>
      <c r="F368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8" s="7" t="s">
        <v>100</v>
      </c>
      <c r="H368" s="4"/>
      <c r="I368" s="4"/>
      <c r="J368" s="4"/>
    </row>
    <row r="369" spans="1:10" x14ac:dyDescent="0.35">
      <c r="A369" s="7" t="s">
        <v>23</v>
      </c>
      <c r="B369" s="7">
        <f t="shared" si="85"/>
        <v>2048</v>
      </c>
      <c r="C369" s="4" t="s">
        <v>31</v>
      </c>
      <c r="D369" s="5" t="s">
        <v>2003</v>
      </c>
      <c r="E369" s="10" t="str">
        <f t="shared" si="83"/>
        <v>PSND'!</v>
      </c>
      <c r="F369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9" s="7" t="s">
        <v>100</v>
      </c>
      <c r="H369" s="4"/>
      <c r="I369" s="4"/>
      <c r="J369" s="4"/>
    </row>
    <row r="370" spans="1:10" x14ac:dyDescent="0.35">
      <c r="A370" s="7" t="s">
        <v>23</v>
      </c>
      <c r="B370" s="7">
        <f t="shared" si="85"/>
        <v>2049</v>
      </c>
      <c r="C370" s="4" t="s">
        <v>31</v>
      </c>
      <c r="D370" s="5" t="s">
        <v>2003</v>
      </c>
      <c r="E370" s="10" t="str">
        <f t="shared" si="83"/>
        <v>PSND'!</v>
      </c>
      <c r="F370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0" s="7" t="s">
        <v>100</v>
      </c>
      <c r="H370" s="4"/>
      <c r="I370" s="4"/>
      <c r="J370" s="4"/>
    </row>
    <row r="371" spans="1:10" x14ac:dyDescent="0.35">
      <c r="A371" s="7" t="s">
        <v>23</v>
      </c>
      <c r="B371" s="7">
        <f t="shared" si="85"/>
        <v>2050</v>
      </c>
      <c r="C371" s="4" t="s">
        <v>31</v>
      </c>
      <c r="D371" s="5" t="s">
        <v>2003</v>
      </c>
      <c r="E371" s="10" t="str">
        <f t="shared" si="83"/>
        <v>PSND'!</v>
      </c>
      <c r="F371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1" s="7" t="s">
        <v>100</v>
      </c>
      <c r="H371" s="4"/>
      <c r="I371" s="4"/>
      <c r="J371" s="4"/>
    </row>
    <row r="372" spans="1:10" x14ac:dyDescent="0.35">
      <c r="A372" s="7" t="s">
        <v>23</v>
      </c>
      <c r="B372" s="7">
        <f t="shared" si="85"/>
        <v>2051</v>
      </c>
      <c r="C372" s="4" t="s">
        <v>31</v>
      </c>
      <c r="D372" s="5" t="s">
        <v>2003</v>
      </c>
      <c r="E372" s="10" t="str">
        <f t="shared" si="83"/>
        <v>PSND'!</v>
      </c>
      <c r="F372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2" s="7" t="s">
        <v>100</v>
      </c>
      <c r="H372" s="4"/>
      <c r="I372" s="4"/>
      <c r="J372" s="4"/>
    </row>
    <row r="373" spans="1:10" x14ac:dyDescent="0.35">
      <c r="A373" s="7" t="s">
        <v>23</v>
      </c>
      <c r="B373" s="7">
        <f t="shared" si="85"/>
        <v>2052</v>
      </c>
      <c r="C373" s="4" t="s">
        <v>31</v>
      </c>
      <c r="D373" s="5" t="s">
        <v>2003</v>
      </c>
      <c r="E373" s="10" t="str">
        <f t="shared" si="83"/>
        <v>PSND'!</v>
      </c>
      <c r="F373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3" s="7" t="s">
        <v>100</v>
      </c>
      <c r="H373" s="4"/>
      <c r="I373" s="4"/>
      <c r="J373" s="4"/>
    </row>
    <row r="374" spans="1:10" x14ac:dyDescent="0.35">
      <c r="A374" s="7" t="s">
        <v>23</v>
      </c>
      <c r="B374" s="7">
        <f t="shared" si="85"/>
        <v>2053</v>
      </c>
      <c r="C374" s="4" t="s">
        <v>31</v>
      </c>
      <c r="D374" s="5" t="s">
        <v>2003</v>
      </c>
      <c r="E374" s="10" t="str">
        <f t="shared" si="83"/>
        <v>PSND'!</v>
      </c>
      <c r="F374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4" s="7" t="s">
        <v>100</v>
      </c>
      <c r="H374" s="4"/>
      <c r="I374" s="4"/>
      <c r="J374" s="4"/>
    </row>
    <row r="375" spans="1:10" x14ac:dyDescent="0.35">
      <c r="A375" s="7" t="s">
        <v>23</v>
      </c>
      <c r="B375" s="7">
        <f t="shared" si="85"/>
        <v>2054</v>
      </c>
      <c r="C375" s="4" t="s">
        <v>31</v>
      </c>
      <c r="D375" s="5" t="s">
        <v>2003</v>
      </c>
      <c r="E375" s="10" t="str">
        <f t="shared" si="83"/>
        <v>PSND'!</v>
      </c>
      <c r="F375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5" s="7" t="s">
        <v>100</v>
      </c>
      <c r="H375" s="4"/>
      <c r="I375" s="4"/>
      <c r="J375" s="4"/>
    </row>
    <row r="376" spans="1:10" x14ac:dyDescent="0.35">
      <c r="A376" s="7" t="s">
        <v>23</v>
      </c>
      <c r="B376" s="7">
        <f t="shared" si="85"/>
        <v>2055</v>
      </c>
      <c r="C376" s="4" t="s">
        <v>31</v>
      </c>
      <c r="D376" s="5" t="s">
        <v>2003</v>
      </c>
      <c r="E376" s="10" t="str">
        <f t="shared" si="83"/>
        <v>PSND'!</v>
      </c>
      <c r="F376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6" s="7" t="s">
        <v>100</v>
      </c>
      <c r="H376" s="4"/>
      <c r="I376" s="4"/>
      <c r="J376" s="4"/>
    </row>
    <row r="377" spans="1:10" x14ac:dyDescent="0.35">
      <c r="A377" s="7" t="s">
        <v>23</v>
      </c>
      <c r="B377" s="7">
        <f t="shared" si="85"/>
        <v>2056</v>
      </c>
      <c r="C377" s="4" t="s">
        <v>31</v>
      </c>
      <c r="D377" s="5" t="s">
        <v>2003</v>
      </c>
      <c r="E377" s="10" t="str">
        <f t="shared" si="83"/>
        <v>PSND'!</v>
      </c>
      <c r="F377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7" s="7" t="s">
        <v>100</v>
      </c>
      <c r="H377" s="4"/>
      <c r="I377" s="4"/>
      <c r="J377" s="4"/>
    </row>
    <row r="378" spans="1:10" x14ac:dyDescent="0.35">
      <c r="A378" s="7" t="s">
        <v>23</v>
      </c>
      <c r="B378" s="7">
        <f t="shared" si="85"/>
        <v>2057</v>
      </c>
      <c r="C378" s="4" t="s">
        <v>31</v>
      </c>
      <c r="D378" s="5" t="s">
        <v>2003</v>
      </c>
      <c r="E378" s="10" t="str">
        <f t="shared" si="83"/>
        <v>PSND'!</v>
      </c>
      <c r="F378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8" s="7" t="s">
        <v>100</v>
      </c>
      <c r="H378" s="4"/>
      <c r="I378" s="4"/>
      <c r="J378" s="4"/>
    </row>
    <row r="379" spans="1:10" x14ac:dyDescent="0.35">
      <c r="A379" s="7" t="s">
        <v>23</v>
      </c>
      <c r="B379" s="7">
        <f t="shared" si="85"/>
        <v>2058</v>
      </c>
      <c r="C379" s="4" t="s">
        <v>31</v>
      </c>
      <c r="D379" s="5" t="s">
        <v>2003</v>
      </c>
      <c r="E379" s="10" t="str">
        <f t="shared" si="83"/>
        <v>PSND'!</v>
      </c>
      <c r="F379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9" s="7" t="s">
        <v>100</v>
      </c>
      <c r="H379" s="4"/>
      <c r="I379" s="4"/>
      <c r="J379" s="4"/>
    </row>
    <row r="380" spans="1:10" x14ac:dyDescent="0.35">
      <c r="A380" s="7" t="s">
        <v>23</v>
      </c>
      <c r="B380" s="7">
        <f t="shared" si="85"/>
        <v>2059</v>
      </c>
      <c r="C380" s="4" t="s">
        <v>31</v>
      </c>
      <c r="D380" s="5" t="s">
        <v>2003</v>
      </c>
      <c r="E380" s="10" t="str">
        <f t="shared" si="83"/>
        <v>PSND'!</v>
      </c>
      <c r="F380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80" s="7" t="s">
        <v>100</v>
      </c>
      <c r="H380" s="4"/>
      <c r="I380" s="4"/>
      <c r="J380" s="4"/>
    </row>
    <row r="381" spans="1:10" x14ac:dyDescent="0.35">
      <c r="A381" s="7" t="s">
        <v>26</v>
      </c>
      <c r="B381" s="7"/>
      <c r="C381" s="4" t="s">
        <v>31</v>
      </c>
      <c r="D381" s="5"/>
      <c r="E381" s="10"/>
      <c r="F381" s="5" t="str">
        <f t="shared" si="72"/>
        <v xml:space="preserve"> </v>
      </c>
      <c r="G381" s="7"/>
      <c r="H381" s="4"/>
      <c r="I381" s="4"/>
      <c r="J381" s="4"/>
    </row>
    <row r="382" spans="1:10" x14ac:dyDescent="0.35">
      <c r="A382" s="7" t="s">
        <v>24</v>
      </c>
      <c r="B382" s="7">
        <v>2023</v>
      </c>
      <c r="C382" s="4" t="s">
        <v>31</v>
      </c>
      <c r="D382" s="5" t="s">
        <v>2003</v>
      </c>
      <c r="E382" s="10" t="str">
        <f t="shared" si="24"/>
        <v>PS'!</v>
      </c>
      <c r="F382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82" s="7" t="s">
        <v>100</v>
      </c>
      <c r="H382" s="4">
        <f>IF(A382&lt;&gt;A252,36,H252+1)</f>
        <v>36</v>
      </c>
      <c r="I382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PS'!$AY$36</v>
      </c>
      <c r="J382" s="4" t="s">
        <v>2152</v>
      </c>
    </row>
    <row r="383" spans="1:10" x14ac:dyDescent="0.35">
      <c r="A383" s="7" t="s">
        <v>24</v>
      </c>
      <c r="B383" s="7">
        <f>+B382+1</f>
        <v>2024</v>
      </c>
      <c r="C383" s="4" t="s">
        <v>31</v>
      </c>
      <c r="D383" s="5" t="s">
        <v>2003</v>
      </c>
      <c r="E383" s="10" t="str">
        <f t="shared" si="24"/>
        <v>PS'!</v>
      </c>
      <c r="F383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83" s="7" t="s">
        <v>100</v>
      </c>
      <c r="H383" s="4">
        <f t="shared" si="26"/>
        <v>37</v>
      </c>
      <c r="I383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PS'!$AY$37</v>
      </c>
      <c r="J383" s="4" t="s">
        <v>2153</v>
      </c>
    </row>
    <row r="384" spans="1:10" x14ac:dyDescent="0.35">
      <c r="A384" s="7" t="s">
        <v>24</v>
      </c>
      <c r="B384" s="7">
        <f t="shared" ref="B384:B395" si="86">+B383+1</f>
        <v>2025</v>
      </c>
      <c r="C384" s="4" t="s">
        <v>31</v>
      </c>
      <c r="D384" s="5" t="s">
        <v>2003</v>
      </c>
      <c r="E384" s="10" t="str">
        <f t="shared" si="24"/>
        <v>PS'!</v>
      </c>
      <c r="F384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84" s="7" t="s">
        <v>100</v>
      </c>
      <c r="H384" s="4">
        <f t="shared" si="26"/>
        <v>38</v>
      </c>
      <c r="I384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PS'!$AY$38</v>
      </c>
      <c r="J384" s="4" t="s">
        <v>2154</v>
      </c>
    </row>
    <row r="385" spans="1:10" x14ac:dyDescent="0.35">
      <c r="A385" s="7" t="s">
        <v>24</v>
      </c>
      <c r="B385" s="7">
        <f t="shared" si="86"/>
        <v>2026</v>
      </c>
      <c r="C385" s="4" t="s">
        <v>31</v>
      </c>
      <c r="D385" s="5" t="s">
        <v>2003</v>
      </c>
      <c r="E385" s="10" t="str">
        <f t="shared" si="24"/>
        <v>PS'!</v>
      </c>
      <c r="F385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85" s="7" t="s">
        <v>100</v>
      </c>
      <c r="H385" s="4">
        <f t="shared" si="26"/>
        <v>39</v>
      </c>
      <c r="I385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PS'!$AY$39</v>
      </c>
      <c r="J385" s="4" t="s">
        <v>2155</v>
      </c>
    </row>
    <row r="386" spans="1:10" x14ac:dyDescent="0.35">
      <c r="A386" s="7" t="s">
        <v>24</v>
      </c>
      <c r="B386" s="7">
        <f t="shared" si="86"/>
        <v>2027</v>
      </c>
      <c r="C386" s="4" t="s">
        <v>31</v>
      </c>
      <c r="D386" s="5" t="s">
        <v>2003</v>
      </c>
      <c r="E386" s="10" t="str">
        <f t="shared" si="24"/>
        <v>PS'!</v>
      </c>
      <c r="F386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86" s="7" t="s">
        <v>100</v>
      </c>
      <c r="H386" s="4">
        <f t="shared" si="26"/>
        <v>40</v>
      </c>
      <c r="I386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PS'!$AY$40</v>
      </c>
      <c r="J386" s="4" t="s">
        <v>2156</v>
      </c>
    </row>
    <row r="387" spans="1:10" x14ac:dyDescent="0.35">
      <c r="A387" s="7" t="s">
        <v>24</v>
      </c>
      <c r="B387" s="7">
        <f t="shared" si="86"/>
        <v>2028</v>
      </c>
      <c r="C387" s="4" t="s">
        <v>31</v>
      </c>
      <c r="D387" s="5" t="s">
        <v>2003</v>
      </c>
      <c r="E387" s="10" t="str">
        <f t="shared" si="24"/>
        <v>PS'!</v>
      </c>
      <c r="F387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87" s="7" t="s">
        <v>100</v>
      </c>
      <c r="H387" s="4">
        <f t="shared" si="26"/>
        <v>41</v>
      </c>
      <c r="I387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PS'!$AY$41</v>
      </c>
      <c r="J387" s="4" t="s">
        <v>2157</v>
      </c>
    </row>
    <row r="388" spans="1:10" x14ac:dyDescent="0.35">
      <c r="A388" s="7" t="s">
        <v>24</v>
      </c>
      <c r="B388" s="7">
        <f t="shared" si="86"/>
        <v>2029</v>
      </c>
      <c r="C388" s="4" t="s">
        <v>31</v>
      </c>
      <c r="D388" s="5" t="s">
        <v>2003</v>
      </c>
      <c r="E388" s="10" t="str">
        <f t="shared" si="24"/>
        <v>PS'!</v>
      </c>
      <c r="F388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88" s="7" t="s">
        <v>100</v>
      </c>
      <c r="H388" s="4">
        <f t="shared" si="26"/>
        <v>42</v>
      </c>
      <c r="I388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PS'!$AY$42</v>
      </c>
      <c r="J388" s="4" t="s">
        <v>2158</v>
      </c>
    </row>
    <row r="389" spans="1:10" x14ac:dyDescent="0.35">
      <c r="A389" s="7" t="s">
        <v>24</v>
      </c>
      <c r="B389" s="7">
        <f t="shared" si="86"/>
        <v>2030</v>
      </c>
      <c r="C389" s="4" t="s">
        <v>31</v>
      </c>
      <c r="D389" s="5" t="s">
        <v>2003</v>
      </c>
      <c r="E389" s="10" t="str">
        <f t="shared" si="24"/>
        <v>PS'!</v>
      </c>
      <c r="F389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89" s="7" t="s">
        <v>100</v>
      </c>
      <c r="H389" s="4">
        <f t="shared" si="26"/>
        <v>43</v>
      </c>
      <c r="I389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PS'!$AY$43</v>
      </c>
      <c r="J389" s="4" t="s">
        <v>2159</v>
      </c>
    </row>
    <row r="390" spans="1:10" x14ac:dyDescent="0.35">
      <c r="A390" s="7" t="s">
        <v>24</v>
      </c>
      <c r="B390" s="7">
        <f t="shared" si="86"/>
        <v>2031</v>
      </c>
      <c r="C390" s="4" t="s">
        <v>31</v>
      </c>
      <c r="D390" s="5" t="s">
        <v>2003</v>
      </c>
      <c r="E390" s="10" t="str">
        <f t="shared" si="24"/>
        <v>PS'!</v>
      </c>
      <c r="F390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90" s="7" t="s">
        <v>100</v>
      </c>
      <c r="H390" s="4">
        <f t="shared" si="26"/>
        <v>44</v>
      </c>
      <c r="I390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PS'!$AY$44</v>
      </c>
      <c r="J390" s="4" t="s">
        <v>2160</v>
      </c>
    </row>
    <row r="391" spans="1:10" x14ac:dyDescent="0.35">
      <c r="A391" s="7" t="s">
        <v>24</v>
      </c>
      <c r="B391" s="7">
        <f t="shared" si="86"/>
        <v>2032</v>
      </c>
      <c r="C391" s="4" t="s">
        <v>31</v>
      </c>
      <c r="D391" s="5" t="s">
        <v>2003</v>
      </c>
      <c r="E391" s="10" t="str">
        <f t="shared" si="24"/>
        <v>PS'!</v>
      </c>
      <c r="F391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91" s="7" t="s">
        <v>100</v>
      </c>
      <c r="H391" s="4">
        <f t="shared" si="26"/>
        <v>45</v>
      </c>
      <c r="I391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PS'!$AY$45</v>
      </c>
      <c r="J391" s="4" t="s">
        <v>2161</v>
      </c>
    </row>
    <row r="392" spans="1:10" x14ac:dyDescent="0.35">
      <c r="A392" s="7" t="s">
        <v>24</v>
      </c>
      <c r="B392" s="7">
        <f t="shared" si="86"/>
        <v>2033</v>
      </c>
      <c r="C392" s="4" t="s">
        <v>31</v>
      </c>
      <c r="D392" s="5" t="s">
        <v>2003</v>
      </c>
      <c r="E392" s="10" t="str">
        <f t="shared" si="24"/>
        <v>PS'!</v>
      </c>
      <c r="F392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92" s="7" t="s">
        <v>100</v>
      </c>
      <c r="H392" s="4">
        <f t="shared" si="26"/>
        <v>46</v>
      </c>
      <c r="I392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PS'!$AY$46</v>
      </c>
      <c r="J392" s="4" t="s">
        <v>2162</v>
      </c>
    </row>
    <row r="393" spans="1:10" x14ac:dyDescent="0.35">
      <c r="A393" s="7" t="s">
        <v>24</v>
      </c>
      <c r="B393" s="7">
        <f t="shared" si="86"/>
        <v>2034</v>
      </c>
      <c r="C393" s="4" t="s">
        <v>31</v>
      </c>
      <c r="D393" s="5" t="s">
        <v>2003</v>
      </c>
      <c r="E393" s="10" t="str">
        <f t="shared" si="24"/>
        <v>PS'!</v>
      </c>
      <c r="F393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93" s="7" t="s">
        <v>100</v>
      </c>
      <c r="H393" s="4">
        <f t="shared" si="26"/>
        <v>47</v>
      </c>
      <c r="I393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PS'!$AY$47</v>
      </c>
      <c r="J393" s="4" t="s">
        <v>2163</v>
      </c>
    </row>
    <row r="394" spans="1:10" x14ac:dyDescent="0.35">
      <c r="A394" s="7" t="s">
        <v>24</v>
      </c>
      <c r="B394" s="7">
        <f t="shared" si="86"/>
        <v>2035</v>
      </c>
      <c r="C394" s="4" t="s">
        <v>31</v>
      </c>
      <c r="D394" s="5" t="s">
        <v>2003</v>
      </c>
      <c r="E394" s="10" t="str">
        <f t="shared" si="24"/>
        <v>PS'!</v>
      </c>
      <c r="F394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94" s="7" t="s">
        <v>100</v>
      </c>
      <c r="H394" s="4">
        <f t="shared" si="26"/>
        <v>48</v>
      </c>
      <c r="I394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PS'!$AY$48</v>
      </c>
      <c r="J394" s="4" t="s">
        <v>2164</v>
      </c>
    </row>
    <row r="395" spans="1:10" x14ac:dyDescent="0.35">
      <c r="A395" s="7" t="s">
        <v>24</v>
      </c>
      <c r="B395" s="7">
        <f t="shared" si="86"/>
        <v>2036</v>
      </c>
      <c r="C395" s="4" t="s">
        <v>31</v>
      </c>
      <c r="D395" s="5" t="s">
        <v>2003</v>
      </c>
      <c r="E395" s="10" t="str">
        <f t="shared" si="24"/>
        <v>PS'!</v>
      </c>
      <c r="F395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95" s="7" t="s">
        <v>100</v>
      </c>
      <c r="H395" s="4">
        <f t="shared" si="26"/>
        <v>49</v>
      </c>
      <c r="I395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PS'!$AY$49</v>
      </c>
      <c r="J395" s="4" t="s">
        <v>2165</v>
      </c>
    </row>
    <row r="396" spans="1:10" x14ac:dyDescent="0.35">
      <c r="A396" s="7" t="s">
        <v>24</v>
      </c>
      <c r="B396" s="7">
        <f>+B395+1</f>
        <v>2037</v>
      </c>
      <c r="C396" s="4" t="s">
        <v>31</v>
      </c>
      <c r="D396" s="5" t="s">
        <v>2003</v>
      </c>
      <c r="E396" s="10" t="str">
        <f t="shared" si="24"/>
        <v>PS'!</v>
      </c>
      <c r="F396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96" s="7" t="s">
        <v>100</v>
      </c>
      <c r="H396" s="4">
        <f t="shared" si="26"/>
        <v>50</v>
      </c>
      <c r="I396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PS'!$AY$50</v>
      </c>
      <c r="J396" s="4" t="s">
        <v>2166</v>
      </c>
    </row>
    <row r="397" spans="1:10" x14ac:dyDescent="0.35">
      <c r="A397" s="7" t="s">
        <v>24</v>
      </c>
      <c r="B397" s="7">
        <f t="shared" ref="B397:B399" si="87">+B396+1</f>
        <v>2038</v>
      </c>
      <c r="C397" s="4" t="s">
        <v>31</v>
      </c>
      <c r="D397" s="5" t="s">
        <v>2003</v>
      </c>
      <c r="E397" s="10" t="str">
        <f t="shared" si="24"/>
        <v>PS'!</v>
      </c>
      <c r="F397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97" s="7" t="s">
        <v>100</v>
      </c>
      <c r="H397" s="4">
        <f t="shared" si="26"/>
        <v>51</v>
      </c>
      <c r="I397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PS'!$AY$51</v>
      </c>
      <c r="J397" s="4" t="s">
        <v>2167</v>
      </c>
    </row>
    <row r="398" spans="1:10" x14ac:dyDescent="0.35">
      <c r="A398" s="7" t="s">
        <v>24</v>
      </c>
      <c r="B398" s="7">
        <f t="shared" si="87"/>
        <v>2039</v>
      </c>
      <c r="C398" s="4" t="s">
        <v>31</v>
      </c>
      <c r="D398" s="5" t="s">
        <v>2003</v>
      </c>
      <c r="E398" s="10" t="str">
        <f t="shared" si="24"/>
        <v>PS'!</v>
      </c>
      <c r="F398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98" s="7" t="s">
        <v>100</v>
      </c>
      <c r="H398" s="4">
        <f t="shared" si="26"/>
        <v>52</v>
      </c>
      <c r="I398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PS'!$AY$52</v>
      </c>
      <c r="J398" s="4" t="s">
        <v>2168</v>
      </c>
    </row>
    <row r="399" spans="1:10" x14ac:dyDescent="0.35">
      <c r="A399" s="7" t="s">
        <v>24</v>
      </c>
      <c r="B399" s="7">
        <f t="shared" si="87"/>
        <v>2040</v>
      </c>
      <c r="C399" s="4" t="s">
        <v>31</v>
      </c>
      <c r="D399" s="5" t="s">
        <v>2003</v>
      </c>
      <c r="E399" s="10" t="str">
        <f t="shared" si="24"/>
        <v>PS'!</v>
      </c>
      <c r="F399" s="5" t="str">
        <f t="shared" ref="F399:F504" si="88">_xlfn.CONCAT(D399," ",E399)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99" s="7" t="s">
        <v>100</v>
      </c>
      <c r="H399" s="4">
        <f t="shared" si="26"/>
        <v>53</v>
      </c>
      <c r="I399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PS'!$AY$53</v>
      </c>
      <c r="J399" s="4" t="s">
        <v>2169</v>
      </c>
    </row>
    <row r="400" spans="1:10" x14ac:dyDescent="0.35">
      <c r="A400" s="7" t="s">
        <v>24</v>
      </c>
      <c r="B400" s="7">
        <f>+B399+1</f>
        <v>2041</v>
      </c>
      <c r="C400" s="4" t="s">
        <v>31</v>
      </c>
      <c r="D400" s="5" t="s">
        <v>2003</v>
      </c>
      <c r="E400" s="10" t="str">
        <f t="shared" si="24"/>
        <v>PS'!</v>
      </c>
      <c r="F400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00" s="7" t="s">
        <v>100</v>
      </c>
      <c r="H400" s="4">
        <f t="shared" si="26"/>
        <v>54</v>
      </c>
      <c r="I400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PS'!$AY$54</v>
      </c>
      <c r="J400" s="4" t="s">
        <v>2170</v>
      </c>
    </row>
    <row r="401" spans="1:10" x14ac:dyDescent="0.35">
      <c r="A401" s="7" t="s">
        <v>24</v>
      </c>
      <c r="B401" s="7">
        <f t="shared" ref="B401:B402" si="89">+B400+1</f>
        <v>2042</v>
      </c>
      <c r="C401" s="4" t="s">
        <v>31</v>
      </c>
      <c r="D401" s="5" t="s">
        <v>2003</v>
      </c>
      <c r="E401" s="10" t="str">
        <f t="shared" si="24"/>
        <v>PS'!</v>
      </c>
      <c r="F401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01" s="7" t="s">
        <v>100</v>
      </c>
      <c r="H401" s="4">
        <f t="shared" si="26"/>
        <v>55</v>
      </c>
      <c r="I401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PS'!$AY$55</v>
      </c>
      <c r="J401" s="4" t="s">
        <v>2171</v>
      </c>
    </row>
    <row r="402" spans="1:10" x14ac:dyDescent="0.35">
      <c r="A402" s="7" t="s">
        <v>24</v>
      </c>
      <c r="B402" s="7">
        <f t="shared" si="89"/>
        <v>2043</v>
      </c>
      <c r="C402" s="4" t="s">
        <v>31</v>
      </c>
      <c r="D402" s="5" t="s">
        <v>2003</v>
      </c>
      <c r="E402" s="10" t="str">
        <f t="shared" si="24"/>
        <v>PS'!</v>
      </c>
      <c r="F402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02" s="7" t="s">
        <v>100</v>
      </c>
      <c r="H402" s="4">
        <f t="shared" si="26"/>
        <v>56</v>
      </c>
      <c r="I402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PS'!$AY$56</v>
      </c>
      <c r="J402" s="4" t="s">
        <v>2172</v>
      </c>
    </row>
    <row r="403" spans="1:10" x14ac:dyDescent="0.35">
      <c r="A403" s="7" t="s">
        <v>24</v>
      </c>
      <c r="B403" s="7">
        <f>+B402+1</f>
        <v>2044</v>
      </c>
      <c r="C403" s="4" t="s">
        <v>31</v>
      </c>
      <c r="D403" s="5" t="s">
        <v>2003</v>
      </c>
      <c r="E403" s="10" t="str">
        <f t="shared" ref="E403:E418" si="90">_xlfn.CONCAT(A403,"'!")</f>
        <v>PS'!</v>
      </c>
      <c r="F403" s="5" t="str">
        <f t="shared" ref="F403:F418" si="91">_xlfn.CONCAT(D403," ",E403)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03" s="7" t="s">
        <v>100</v>
      </c>
      <c r="H403" s="4">
        <f t="shared" ref="H403:H418" si="92">IF(A403&lt;&gt;A402,36,H402+1)</f>
        <v>57</v>
      </c>
      <c r="I403" s="4" t="str">
        <f t="shared" ref="I403:I418" si="93">_xlfn.CONCAT("='",F403:H403)</f>
        <v>='C:\Users\jaime.benazar\Quorum Business Solutions\Ecopetrol Prometeo - Documents\Planning Space Implementation\3. Analysis &amp; Design\Design\FC22\DRR Jaime\Por presentar a ECP\Cantagallo\Cristalina\[VRC_CRISTALINA_CF_SEC_20221231.xlsx]CF PS'!$AY$57</v>
      </c>
      <c r="J403" s="4" t="s">
        <v>2173</v>
      </c>
    </row>
    <row r="404" spans="1:10" x14ac:dyDescent="0.35">
      <c r="A404" s="7" t="s">
        <v>24</v>
      </c>
      <c r="B404" s="7">
        <f t="shared" ref="B404:B418" si="94">+B403+1</f>
        <v>2045</v>
      </c>
      <c r="C404" s="4" t="s">
        <v>31</v>
      </c>
      <c r="D404" s="5" t="s">
        <v>2003</v>
      </c>
      <c r="E404" s="10" t="str">
        <f t="shared" si="90"/>
        <v>PS'!</v>
      </c>
      <c r="F404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04" s="7" t="s">
        <v>100</v>
      </c>
      <c r="H404" s="4">
        <f t="shared" si="92"/>
        <v>58</v>
      </c>
      <c r="I404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PS'!$AY$58</v>
      </c>
      <c r="J404" s="4" t="s">
        <v>2174</v>
      </c>
    </row>
    <row r="405" spans="1:10" x14ac:dyDescent="0.35">
      <c r="A405" s="7" t="s">
        <v>24</v>
      </c>
      <c r="B405" s="7">
        <f t="shared" si="94"/>
        <v>2046</v>
      </c>
      <c r="C405" s="4" t="s">
        <v>31</v>
      </c>
      <c r="D405" s="5" t="s">
        <v>2003</v>
      </c>
      <c r="E405" s="10" t="str">
        <f t="shared" si="90"/>
        <v>PS'!</v>
      </c>
      <c r="F405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05" s="7" t="s">
        <v>100</v>
      </c>
      <c r="H405" s="4">
        <f t="shared" si="92"/>
        <v>59</v>
      </c>
      <c r="I405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PS'!$AY$59</v>
      </c>
      <c r="J405" s="4" t="s">
        <v>2175</v>
      </c>
    </row>
    <row r="406" spans="1:10" x14ac:dyDescent="0.35">
      <c r="A406" s="7" t="s">
        <v>24</v>
      </c>
      <c r="B406" s="7">
        <f t="shared" si="94"/>
        <v>2047</v>
      </c>
      <c r="C406" s="4" t="s">
        <v>31</v>
      </c>
      <c r="D406" s="5" t="s">
        <v>2003</v>
      </c>
      <c r="E406" s="10" t="str">
        <f t="shared" si="90"/>
        <v>PS'!</v>
      </c>
      <c r="F406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06" s="7" t="s">
        <v>100</v>
      </c>
      <c r="H406" s="4">
        <f t="shared" si="92"/>
        <v>60</v>
      </c>
      <c r="I406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PS'!$AY$60</v>
      </c>
      <c r="J406" s="4" t="s">
        <v>2176</v>
      </c>
    </row>
    <row r="407" spans="1:10" x14ac:dyDescent="0.35">
      <c r="A407" s="7" t="s">
        <v>24</v>
      </c>
      <c r="B407" s="7">
        <f t="shared" si="94"/>
        <v>2048</v>
      </c>
      <c r="C407" s="4" t="s">
        <v>31</v>
      </c>
      <c r="D407" s="5" t="s">
        <v>2003</v>
      </c>
      <c r="E407" s="10" t="str">
        <f t="shared" si="90"/>
        <v>PS'!</v>
      </c>
      <c r="F407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07" s="7" t="s">
        <v>100</v>
      </c>
      <c r="H407" s="4">
        <f t="shared" si="92"/>
        <v>61</v>
      </c>
      <c r="I407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PS'!$AY$61</v>
      </c>
      <c r="J407" s="4" t="s">
        <v>2177</v>
      </c>
    </row>
    <row r="408" spans="1:10" x14ac:dyDescent="0.35">
      <c r="A408" s="7" t="s">
        <v>24</v>
      </c>
      <c r="B408" s="7">
        <f t="shared" si="94"/>
        <v>2049</v>
      </c>
      <c r="C408" s="4" t="s">
        <v>31</v>
      </c>
      <c r="D408" s="5" t="s">
        <v>2003</v>
      </c>
      <c r="E408" s="10" t="str">
        <f t="shared" si="90"/>
        <v>PS'!</v>
      </c>
      <c r="F408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08" s="7" t="s">
        <v>100</v>
      </c>
      <c r="H408" s="4">
        <f t="shared" si="92"/>
        <v>62</v>
      </c>
      <c r="I408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PS'!$AY$62</v>
      </c>
      <c r="J408" s="4" t="s">
        <v>2178</v>
      </c>
    </row>
    <row r="409" spans="1:10" x14ac:dyDescent="0.35">
      <c r="A409" s="7" t="s">
        <v>24</v>
      </c>
      <c r="B409" s="7">
        <f t="shared" si="94"/>
        <v>2050</v>
      </c>
      <c r="C409" s="4" t="s">
        <v>31</v>
      </c>
      <c r="D409" s="5" t="s">
        <v>2003</v>
      </c>
      <c r="E409" s="10" t="str">
        <f t="shared" si="90"/>
        <v>PS'!</v>
      </c>
      <c r="F409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09" s="7" t="s">
        <v>100</v>
      </c>
      <c r="H409" s="4">
        <f t="shared" si="92"/>
        <v>63</v>
      </c>
      <c r="I409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PS'!$AY$63</v>
      </c>
      <c r="J409" s="4" t="s">
        <v>2179</v>
      </c>
    </row>
    <row r="410" spans="1:10" x14ac:dyDescent="0.35">
      <c r="A410" s="7" t="s">
        <v>24</v>
      </c>
      <c r="B410" s="7">
        <f t="shared" si="94"/>
        <v>2051</v>
      </c>
      <c r="C410" s="4" t="s">
        <v>31</v>
      </c>
      <c r="D410" s="5" t="s">
        <v>2003</v>
      </c>
      <c r="E410" s="10" t="str">
        <f t="shared" si="90"/>
        <v>PS'!</v>
      </c>
      <c r="F410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0" s="7" t="s">
        <v>100</v>
      </c>
      <c r="H410" s="4">
        <f t="shared" si="92"/>
        <v>64</v>
      </c>
      <c r="I410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PS'!$AY$64</v>
      </c>
      <c r="J410" s="4" t="s">
        <v>2180</v>
      </c>
    </row>
    <row r="411" spans="1:10" x14ac:dyDescent="0.35">
      <c r="A411" s="7" t="s">
        <v>24</v>
      </c>
      <c r="B411" s="7">
        <f t="shared" si="94"/>
        <v>2052</v>
      </c>
      <c r="C411" s="4" t="s">
        <v>31</v>
      </c>
      <c r="D411" s="5" t="s">
        <v>2003</v>
      </c>
      <c r="E411" s="10" t="str">
        <f t="shared" si="90"/>
        <v>PS'!</v>
      </c>
      <c r="F411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1" s="7" t="s">
        <v>100</v>
      </c>
      <c r="H411" s="4">
        <f t="shared" si="92"/>
        <v>65</v>
      </c>
      <c r="I411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PS'!$AY$65</v>
      </c>
      <c r="J411" s="4" t="s">
        <v>2181</v>
      </c>
    </row>
    <row r="412" spans="1:10" x14ac:dyDescent="0.35">
      <c r="A412" s="7" t="s">
        <v>24</v>
      </c>
      <c r="B412" s="7">
        <f t="shared" si="94"/>
        <v>2053</v>
      </c>
      <c r="C412" s="4" t="s">
        <v>31</v>
      </c>
      <c r="D412" s="5" t="s">
        <v>2003</v>
      </c>
      <c r="E412" s="10" t="str">
        <f t="shared" si="90"/>
        <v>PS'!</v>
      </c>
      <c r="F412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2" s="7" t="s">
        <v>100</v>
      </c>
      <c r="H412" s="4">
        <f t="shared" si="92"/>
        <v>66</v>
      </c>
      <c r="I412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PS'!$AY$66</v>
      </c>
      <c r="J412" s="4" t="s">
        <v>2182</v>
      </c>
    </row>
    <row r="413" spans="1:10" x14ac:dyDescent="0.35">
      <c r="A413" s="7" t="s">
        <v>24</v>
      </c>
      <c r="B413" s="7">
        <f t="shared" si="94"/>
        <v>2054</v>
      </c>
      <c r="C413" s="4" t="s">
        <v>31</v>
      </c>
      <c r="D413" s="5" t="s">
        <v>2003</v>
      </c>
      <c r="E413" s="10" t="str">
        <f t="shared" si="90"/>
        <v>PS'!</v>
      </c>
      <c r="F413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3" s="7" t="s">
        <v>100</v>
      </c>
      <c r="H413" s="4">
        <f t="shared" si="92"/>
        <v>67</v>
      </c>
      <c r="I413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PS'!$AY$67</v>
      </c>
      <c r="J413" s="4" t="s">
        <v>2183</v>
      </c>
    </row>
    <row r="414" spans="1:10" x14ac:dyDescent="0.35">
      <c r="A414" s="7" t="s">
        <v>24</v>
      </c>
      <c r="B414" s="7">
        <f t="shared" si="94"/>
        <v>2055</v>
      </c>
      <c r="C414" s="4" t="s">
        <v>31</v>
      </c>
      <c r="D414" s="5" t="s">
        <v>2003</v>
      </c>
      <c r="E414" s="10" t="str">
        <f t="shared" si="90"/>
        <v>PS'!</v>
      </c>
      <c r="F414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4" s="7" t="s">
        <v>100</v>
      </c>
      <c r="H414" s="4">
        <f t="shared" si="92"/>
        <v>68</v>
      </c>
      <c r="I414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PS'!$AY$68</v>
      </c>
      <c r="J414" s="4" t="s">
        <v>2184</v>
      </c>
    </row>
    <row r="415" spans="1:10" x14ac:dyDescent="0.35">
      <c r="A415" s="7" t="s">
        <v>24</v>
      </c>
      <c r="B415" s="7">
        <f t="shared" si="94"/>
        <v>2056</v>
      </c>
      <c r="C415" s="4" t="s">
        <v>31</v>
      </c>
      <c r="D415" s="5" t="s">
        <v>2003</v>
      </c>
      <c r="E415" s="10" t="str">
        <f t="shared" si="90"/>
        <v>PS'!</v>
      </c>
      <c r="F415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5" s="7" t="s">
        <v>100</v>
      </c>
      <c r="H415" s="4">
        <f t="shared" si="92"/>
        <v>69</v>
      </c>
      <c r="I415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PS'!$AY$69</v>
      </c>
      <c r="J415" s="4" t="s">
        <v>2185</v>
      </c>
    </row>
    <row r="416" spans="1:10" x14ac:dyDescent="0.35">
      <c r="A416" s="7" t="s">
        <v>24</v>
      </c>
      <c r="B416" s="7">
        <f t="shared" si="94"/>
        <v>2057</v>
      </c>
      <c r="C416" s="4" t="s">
        <v>31</v>
      </c>
      <c r="D416" s="5" t="s">
        <v>2003</v>
      </c>
      <c r="E416" s="10" t="str">
        <f t="shared" si="90"/>
        <v>PS'!</v>
      </c>
      <c r="F416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6" s="7" t="s">
        <v>100</v>
      </c>
      <c r="H416" s="4">
        <f t="shared" si="92"/>
        <v>70</v>
      </c>
      <c r="I416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PS'!$AY$70</v>
      </c>
      <c r="J416" s="4" t="s">
        <v>2186</v>
      </c>
    </row>
    <row r="417" spans="1:10" x14ac:dyDescent="0.35">
      <c r="A417" s="7" t="s">
        <v>24</v>
      </c>
      <c r="B417" s="7">
        <f t="shared" si="94"/>
        <v>2058</v>
      </c>
      <c r="C417" s="4" t="s">
        <v>31</v>
      </c>
      <c r="D417" s="5" t="s">
        <v>2003</v>
      </c>
      <c r="E417" s="10" t="str">
        <f t="shared" si="90"/>
        <v>PS'!</v>
      </c>
      <c r="F417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7" s="7" t="s">
        <v>100</v>
      </c>
      <c r="H417" s="4">
        <f t="shared" si="92"/>
        <v>71</v>
      </c>
      <c r="I417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PS'!$AY$71</v>
      </c>
      <c r="J417" s="4" t="s">
        <v>2187</v>
      </c>
    </row>
    <row r="418" spans="1:10" x14ac:dyDescent="0.35">
      <c r="A418" s="7" t="s">
        <v>24</v>
      </c>
      <c r="B418" s="7">
        <f t="shared" si="94"/>
        <v>2059</v>
      </c>
      <c r="C418" s="4" t="s">
        <v>31</v>
      </c>
      <c r="D418" s="5" t="s">
        <v>2003</v>
      </c>
      <c r="E418" s="10" t="str">
        <f t="shared" si="90"/>
        <v>PS'!</v>
      </c>
      <c r="F418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8" s="7" t="s">
        <v>100</v>
      </c>
      <c r="H418" s="4">
        <f t="shared" si="92"/>
        <v>72</v>
      </c>
      <c r="I418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PS'!$AY$72</v>
      </c>
      <c r="J418" s="4" t="s">
        <v>2188</v>
      </c>
    </row>
    <row r="419" spans="1:10" x14ac:dyDescent="0.35">
      <c r="A419" s="7" t="s">
        <v>26</v>
      </c>
      <c r="B419" s="7"/>
      <c r="C419" s="4" t="s">
        <v>31</v>
      </c>
      <c r="D419" s="5"/>
      <c r="E419" s="10"/>
      <c r="F419" s="5" t="str">
        <f t="shared" si="88"/>
        <v xml:space="preserve"> </v>
      </c>
      <c r="G419" s="7"/>
      <c r="H419" s="4"/>
      <c r="I419" s="4"/>
      <c r="J419" s="4"/>
    </row>
    <row r="420" spans="1:10" x14ac:dyDescent="0.35">
      <c r="A420" s="6" t="s">
        <v>14</v>
      </c>
      <c r="B420" s="6">
        <v>2023</v>
      </c>
      <c r="C420" s="1" t="s">
        <v>34</v>
      </c>
      <c r="D420" s="2" t="s">
        <v>2003</v>
      </c>
      <c r="E420" s="9" t="str">
        <f>_xlfn.CONCAT(A420,"'!")</f>
        <v>PDP'!</v>
      </c>
      <c r="F420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20" s="6" t="s">
        <v>101</v>
      </c>
      <c r="H420" s="1">
        <f>IF(A420&lt;&gt;A404,36,H404+1)</f>
        <v>36</v>
      </c>
      <c r="I420" s="1" t="str">
        <f>_xlfn.CONCAT("='",F420:H420)</f>
        <v>='C:\Users\jaime.benazar\Quorum Business Solutions\Ecopetrol Prometeo - Documents\Planning Space Implementation\3. Analysis &amp; Design\Design\FC22\DRR Jaime\Por presentar a ECP\Cantagallo\Cristalina\[VRC_CRISTALINA_CF_SEC_20221231.xlsx]CF PDP'!$BT$36</v>
      </c>
      <c r="J420" s="1" t="s">
        <v>2189</v>
      </c>
    </row>
    <row r="421" spans="1:10" x14ac:dyDescent="0.35">
      <c r="A421" s="6" t="s">
        <v>14</v>
      </c>
      <c r="B421" s="6">
        <f>+B420+1</f>
        <v>2024</v>
      </c>
      <c r="C421" s="1" t="s">
        <v>34</v>
      </c>
      <c r="D421" s="2" t="s">
        <v>2003</v>
      </c>
      <c r="E421" s="9" t="str">
        <f t="shared" ref="E421:E514" si="95">_xlfn.CONCAT(A421,"'!")</f>
        <v>PDP'!</v>
      </c>
      <c r="F421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21" s="6" t="s">
        <v>101</v>
      </c>
      <c r="H421" s="1">
        <f>IF(A421&lt;&gt;A420,36,H420+1)</f>
        <v>37</v>
      </c>
      <c r="I421" s="1" t="str">
        <f t="shared" ref="I421:I514" si="96">_xlfn.CONCAT("='",F421:H421)</f>
        <v>='C:\Users\jaime.benazar\Quorum Business Solutions\Ecopetrol Prometeo - Documents\Planning Space Implementation\3. Analysis &amp; Design\Design\FC22\DRR Jaime\Por presentar a ECP\Cantagallo\Cristalina\[VRC_CRISTALINA_CF_SEC_20221231.xlsx]CF PDP'!$BT$37</v>
      </c>
      <c r="J421" s="1" t="s">
        <v>2190</v>
      </c>
    </row>
    <row r="422" spans="1:10" x14ac:dyDescent="0.35">
      <c r="A422" s="6" t="s">
        <v>14</v>
      </c>
      <c r="B422" s="6">
        <f t="shared" ref="B422:B433" si="97">+B421+1</f>
        <v>2025</v>
      </c>
      <c r="C422" s="1" t="s">
        <v>34</v>
      </c>
      <c r="D422" s="2" t="s">
        <v>2003</v>
      </c>
      <c r="E422" s="9" t="str">
        <f t="shared" si="95"/>
        <v>PDP'!</v>
      </c>
      <c r="F422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22" s="6" t="s">
        <v>101</v>
      </c>
      <c r="H422" s="1">
        <f t="shared" ref="H422:H515" si="98">IF(A422&lt;&gt;A421,36,H421+1)</f>
        <v>38</v>
      </c>
      <c r="I422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PDP'!$BT$38</v>
      </c>
      <c r="J422" s="1" t="s">
        <v>2191</v>
      </c>
    </row>
    <row r="423" spans="1:10" x14ac:dyDescent="0.35">
      <c r="A423" s="6" t="s">
        <v>14</v>
      </c>
      <c r="B423" s="6">
        <f t="shared" si="97"/>
        <v>2026</v>
      </c>
      <c r="C423" s="1" t="s">
        <v>34</v>
      </c>
      <c r="D423" s="2" t="s">
        <v>2003</v>
      </c>
      <c r="E423" s="9" t="str">
        <f t="shared" si="95"/>
        <v>PDP'!</v>
      </c>
      <c r="F423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23" s="6" t="s">
        <v>101</v>
      </c>
      <c r="H423" s="1">
        <f t="shared" si="98"/>
        <v>39</v>
      </c>
      <c r="I423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PDP'!$BT$39</v>
      </c>
      <c r="J423" s="1" t="s">
        <v>2192</v>
      </c>
    </row>
    <row r="424" spans="1:10" x14ac:dyDescent="0.35">
      <c r="A424" s="6" t="s">
        <v>14</v>
      </c>
      <c r="B424" s="6">
        <f t="shared" si="97"/>
        <v>2027</v>
      </c>
      <c r="C424" s="1" t="s">
        <v>34</v>
      </c>
      <c r="D424" s="2" t="s">
        <v>2003</v>
      </c>
      <c r="E424" s="9" t="str">
        <f t="shared" si="95"/>
        <v>PDP'!</v>
      </c>
      <c r="F424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24" s="6" t="s">
        <v>101</v>
      </c>
      <c r="H424" s="1">
        <f t="shared" si="98"/>
        <v>40</v>
      </c>
      <c r="I424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PDP'!$BT$40</v>
      </c>
      <c r="J424" s="1" t="s">
        <v>2193</v>
      </c>
    </row>
    <row r="425" spans="1:10" x14ac:dyDescent="0.35">
      <c r="A425" s="6" t="s">
        <v>14</v>
      </c>
      <c r="B425" s="6">
        <f t="shared" si="97"/>
        <v>2028</v>
      </c>
      <c r="C425" s="1" t="s">
        <v>34</v>
      </c>
      <c r="D425" s="2" t="s">
        <v>2003</v>
      </c>
      <c r="E425" s="9" t="str">
        <f t="shared" si="95"/>
        <v>PDP'!</v>
      </c>
      <c r="F425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25" s="6" t="s">
        <v>101</v>
      </c>
      <c r="H425" s="1">
        <f t="shared" si="98"/>
        <v>41</v>
      </c>
      <c r="I425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PDP'!$BT$41</v>
      </c>
      <c r="J425" s="1" t="s">
        <v>2194</v>
      </c>
    </row>
    <row r="426" spans="1:10" x14ac:dyDescent="0.35">
      <c r="A426" s="6" t="s">
        <v>14</v>
      </c>
      <c r="B426" s="6">
        <f t="shared" si="97"/>
        <v>2029</v>
      </c>
      <c r="C426" s="1" t="s">
        <v>34</v>
      </c>
      <c r="D426" s="2" t="s">
        <v>2003</v>
      </c>
      <c r="E426" s="9" t="str">
        <f t="shared" si="95"/>
        <v>PDP'!</v>
      </c>
      <c r="F426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26" s="6" t="s">
        <v>101</v>
      </c>
      <c r="H426" s="1">
        <f t="shared" si="98"/>
        <v>42</v>
      </c>
      <c r="I426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PDP'!$BT$42</v>
      </c>
      <c r="J426" s="1" t="s">
        <v>2195</v>
      </c>
    </row>
    <row r="427" spans="1:10" x14ac:dyDescent="0.35">
      <c r="A427" s="6" t="s">
        <v>14</v>
      </c>
      <c r="B427" s="6">
        <f t="shared" si="97"/>
        <v>2030</v>
      </c>
      <c r="C427" s="1" t="s">
        <v>34</v>
      </c>
      <c r="D427" s="2" t="s">
        <v>2003</v>
      </c>
      <c r="E427" s="9" t="str">
        <f t="shared" si="95"/>
        <v>PDP'!</v>
      </c>
      <c r="F427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27" s="6" t="s">
        <v>101</v>
      </c>
      <c r="H427" s="1">
        <f t="shared" si="98"/>
        <v>43</v>
      </c>
      <c r="I427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PDP'!$BT$43</v>
      </c>
      <c r="J427" s="1" t="s">
        <v>2196</v>
      </c>
    </row>
    <row r="428" spans="1:10" x14ac:dyDescent="0.35">
      <c r="A428" s="6" t="s">
        <v>14</v>
      </c>
      <c r="B428" s="6">
        <f t="shared" si="97"/>
        <v>2031</v>
      </c>
      <c r="C428" s="1" t="s">
        <v>34</v>
      </c>
      <c r="D428" s="2" t="s">
        <v>2003</v>
      </c>
      <c r="E428" s="9" t="str">
        <f t="shared" si="95"/>
        <v>PDP'!</v>
      </c>
      <c r="F428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28" s="6" t="s">
        <v>101</v>
      </c>
      <c r="H428" s="1">
        <f t="shared" si="98"/>
        <v>44</v>
      </c>
      <c r="I428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PDP'!$BT$44</v>
      </c>
      <c r="J428" s="1" t="s">
        <v>2197</v>
      </c>
    </row>
    <row r="429" spans="1:10" x14ac:dyDescent="0.35">
      <c r="A429" s="6" t="s">
        <v>14</v>
      </c>
      <c r="B429" s="6">
        <f t="shared" si="97"/>
        <v>2032</v>
      </c>
      <c r="C429" s="1" t="s">
        <v>34</v>
      </c>
      <c r="D429" s="2" t="s">
        <v>2003</v>
      </c>
      <c r="E429" s="9" t="str">
        <f t="shared" si="95"/>
        <v>PDP'!</v>
      </c>
      <c r="F429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29" s="6" t="s">
        <v>101</v>
      </c>
      <c r="H429" s="1">
        <f t="shared" si="98"/>
        <v>45</v>
      </c>
      <c r="I429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PDP'!$BT$45</v>
      </c>
      <c r="J429" s="1" t="s">
        <v>2198</v>
      </c>
    </row>
    <row r="430" spans="1:10" x14ac:dyDescent="0.35">
      <c r="A430" s="6" t="s">
        <v>14</v>
      </c>
      <c r="B430" s="6">
        <f t="shared" si="97"/>
        <v>2033</v>
      </c>
      <c r="C430" s="1" t="s">
        <v>34</v>
      </c>
      <c r="D430" s="2" t="s">
        <v>2003</v>
      </c>
      <c r="E430" s="9" t="str">
        <f t="shared" si="95"/>
        <v>PDP'!</v>
      </c>
      <c r="F430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30" s="6" t="s">
        <v>101</v>
      </c>
      <c r="H430" s="1">
        <f t="shared" si="98"/>
        <v>46</v>
      </c>
      <c r="I430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PDP'!$BT$46</v>
      </c>
      <c r="J430" s="1" t="s">
        <v>2199</v>
      </c>
    </row>
    <row r="431" spans="1:10" x14ac:dyDescent="0.35">
      <c r="A431" s="6" t="s">
        <v>14</v>
      </c>
      <c r="B431" s="6">
        <f t="shared" si="97"/>
        <v>2034</v>
      </c>
      <c r="C431" s="1" t="s">
        <v>34</v>
      </c>
      <c r="D431" s="2" t="s">
        <v>2003</v>
      </c>
      <c r="E431" s="9" t="str">
        <f t="shared" si="95"/>
        <v>PDP'!</v>
      </c>
      <c r="F431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31" s="6" t="s">
        <v>101</v>
      </c>
      <c r="H431" s="1">
        <f t="shared" si="98"/>
        <v>47</v>
      </c>
      <c r="I431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PDP'!$BT$47</v>
      </c>
      <c r="J431" s="1" t="s">
        <v>2200</v>
      </c>
    </row>
    <row r="432" spans="1:10" x14ac:dyDescent="0.35">
      <c r="A432" s="6" t="s">
        <v>14</v>
      </c>
      <c r="B432" s="6">
        <f t="shared" si="97"/>
        <v>2035</v>
      </c>
      <c r="C432" s="1" t="s">
        <v>34</v>
      </c>
      <c r="D432" s="2" t="s">
        <v>2003</v>
      </c>
      <c r="E432" s="9" t="str">
        <f t="shared" si="95"/>
        <v>PDP'!</v>
      </c>
      <c r="F432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32" s="6" t="s">
        <v>101</v>
      </c>
      <c r="H432" s="1">
        <f t="shared" si="98"/>
        <v>48</v>
      </c>
      <c r="I432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PDP'!$BT$48</v>
      </c>
      <c r="J432" s="1" t="s">
        <v>2201</v>
      </c>
    </row>
    <row r="433" spans="1:10" x14ac:dyDescent="0.35">
      <c r="A433" s="6" t="s">
        <v>14</v>
      </c>
      <c r="B433" s="6">
        <f t="shared" si="97"/>
        <v>2036</v>
      </c>
      <c r="C433" s="1" t="s">
        <v>34</v>
      </c>
      <c r="D433" s="2" t="s">
        <v>2003</v>
      </c>
      <c r="E433" s="9" t="str">
        <f t="shared" si="95"/>
        <v>PDP'!</v>
      </c>
      <c r="F433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33" s="6" t="s">
        <v>101</v>
      </c>
      <c r="H433" s="1">
        <f t="shared" si="98"/>
        <v>49</v>
      </c>
      <c r="I433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PDP'!$BT$49</v>
      </c>
      <c r="J433" s="1" t="s">
        <v>2202</v>
      </c>
    </row>
    <row r="434" spans="1:10" x14ac:dyDescent="0.35">
      <c r="A434" s="6" t="s">
        <v>14</v>
      </c>
      <c r="B434" s="6">
        <f>+B433+1</f>
        <v>2037</v>
      </c>
      <c r="C434" s="1" t="s">
        <v>34</v>
      </c>
      <c r="D434" s="2" t="s">
        <v>2003</v>
      </c>
      <c r="E434" s="9" t="str">
        <f t="shared" si="95"/>
        <v>PDP'!</v>
      </c>
      <c r="F434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34" s="6" t="s">
        <v>101</v>
      </c>
      <c r="H434" s="1">
        <f t="shared" si="98"/>
        <v>50</v>
      </c>
      <c r="I434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PDP'!$BT$50</v>
      </c>
      <c r="J434" s="1" t="s">
        <v>2203</v>
      </c>
    </row>
    <row r="435" spans="1:10" x14ac:dyDescent="0.35">
      <c r="A435" s="6" t="s">
        <v>14</v>
      </c>
      <c r="B435" s="6">
        <f t="shared" ref="B435:B437" si="99">+B434+1</f>
        <v>2038</v>
      </c>
      <c r="C435" s="1" t="s">
        <v>34</v>
      </c>
      <c r="D435" s="2" t="s">
        <v>2003</v>
      </c>
      <c r="E435" s="9" t="str">
        <f t="shared" si="95"/>
        <v>PDP'!</v>
      </c>
      <c r="F435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35" s="6" t="s">
        <v>101</v>
      </c>
      <c r="H435" s="1">
        <f t="shared" si="98"/>
        <v>51</v>
      </c>
      <c r="I435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PDP'!$BT$51</v>
      </c>
      <c r="J435" s="1" t="s">
        <v>2204</v>
      </c>
    </row>
    <row r="436" spans="1:10" x14ac:dyDescent="0.35">
      <c r="A436" s="6" t="s">
        <v>14</v>
      </c>
      <c r="B436" s="6">
        <f t="shared" si="99"/>
        <v>2039</v>
      </c>
      <c r="C436" s="1" t="s">
        <v>34</v>
      </c>
      <c r="D436" s="2" t="s">
        <v>2003</v>
      </c>
      <c r="E436" s="9" t="str">
        <f t="shared" si="95"/>
        <v>PDP'!</v>
      </c>
      <c r="F436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36" s="6" t="s">
        <v>101</v>
      </c>
      <c r="H436" s="1">
        <f t="shared" si="98"/>
        <v>52</v>
      </c>
      <c r="I436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PDP'!$BT$52</v>
      </c>
      <c r="J436" s="1" t="s">
        <v>2205</v>
      </c>
    </row>
    <row r="437" spans="1:10" x14ac:dyDescent="0.35">
      <c r="A437" s="6" t="s">
        <v>14</v>
      </c>
      <c r="B437" s="6">
        <f t="shared" si="99"/>
        <v>2040</v>
      </c>
      <c r="C437" s="1" t="s">
        <v>34</v>
      </c>
      <c r="D437" s="2" t="s">
        <v>2003</v>
      </c>
      <c r="E437" s="9" t="str">
        <f t="shared" si="95"/>
        <v>PDP'!</v>
      </c>
      <c r="F437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37" s="6" t="s">
        <v>101</v>
      </c>
      <c r="H437" s="1">
        <f t="shared" si="98"/>
        <v>53</v>
      </c>
      <c r="I437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PDP'!$BT$53</v>
      </c>
      <c r="J437" s="1" t="s">
        <v>2206</v>
      </c>
    </row>
    <row r="438" spans="1:10" x14ac:dyDescent="0.35">
      <c r="A438" s="6" t="s">
        <v>14</v>
      </c>
      <c r="B438" s="6">
        <f>+B437+1</f>
        <v>2041</v>
      </c>
      <c r="C438" s="1" t="s">
        <v>34</v>
      </c>
      <c r="D438" s="2" t="s">
        <v>2003</v>
      </c>
      <c r="E438" s="9" t="str">
        <f t="shared" si="95"/>
        <v>PDP'!</v>
      </c>
      <c r="F438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38" s="6" t="s">
        <v>101</v>
      </c>
      <c r="H438" s="1">
        <f t="shared" si="98"/>
        <v>54</v>
      </c>
      <c r="I438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PDP'!$BT$54</v>
      </c>
      <c r="J438" s="1" t="s">
        <v>2207</v>
      </c>
    </row>
    <row r="439" spans="1:10" x14ac:dyDescent="0.35">
      <c r="A439" s="6" t="s">
        <v>14</v>
      </c>
      <c r="B439" s="6">
        <f t="shared" ref="B439:B440" si="100">+B438+1</f>
        <v>2042</v>
      </c>
      <c r="C439" s="1" t="s">
        <v>34</v>
      </c>
      <c r="D439" s="2" t="s">
        <v>2003</v>
      </c>
      <c r="E439" s="9" t="str">
        <f t="shared" si="95"/>
        <v>PDP'!</v>
      </c>
      <c r="F439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39" s="6" t="s">
        <v>101</v>
      </c>
      <c r="H439" s="1">
        <f t="shared" si="98"/>
        <v>55</v>
      </c>
      <c r="I439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PDP'!$BT$55</v>
      </c>
      <c r="J439" s="1" t="s">
        <v>2208</v>
      </c>
    </row>
    <row r="440" spans="1:10" x14ac:dyDescent="0.35">
      <c r="A440" s="6" t="s">
        <v>14</v>
      </c>
      <c r="B440" s="6">
        <f t="shared" si="100"/>
        <v>2043</v>
      </c>
      <c r="C440" s="1" t="s">
        <v>34</v>
      </c>
      <c r="D440" s="2" t="s">
        <v>2003</v>
      </c>
      <c r="E440" s="9" t="str">
        <f t="shared" si="95"/>
        <v>PDP'!</v>
      </c>
      <c r="F440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40" s="6" t="s">
        <v>101</v>
      </c>
      <c r="H440" s="1">
        <f t="shared" si="98"/>
        <v>56</v>
      </c>
      <c r="I440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PDP'!$BT$56</v>
      </c>
      <c r="J440" s="1" t="s">
        <v>2209</v>
      </c>
    </row>
    <row r="441" spans="1:10" x14ac:dyDescent="0.35">
      <c r="A441" s="6" t="s">
        <v>14</v>
      </c>
      <c r="B441" s="6">
        <f>+B440+1</f>
        <v>2044</v>
      </c>
      <c r="C441" s="1" t="s">
        <v>34</v>
      </c>
      <c r="D441" s="2" t="s">
        <v>2003</v>
      </c>
      <c r="E441" s="9" t="str">
        <f t="shared" ref="E441:E456" si="101">_xlfn.CONCAT(A441,"'!")</f>
        <v>PDP'!</v>
      </c>
      <c r="F441" s="5" t="str">
        <f t="shared" ref="F441:F456" si="102">_xlfn.CONCAT(D441," ",E441)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41" s="6" t="s">
        <v>101</v>
      </c>
      <c r="H441" s="1">
        <f t="shared" ref="H441:H456" si="103">IF(A441&lt;&gt;A440,36,H440+1)</f>
        <v>57</v>
      </c>
      <c r="I441" s="1" t="str">
        <f t="shared" ref="I441:I456" si="104">_xlfn.CONCAT("='",F441:H441)</f>
        <v>='C:\Users\jaime.benazar\Quorum Business Solutions\Ecopetrol Prometeo - Documents\Planning Space Implementation\3. Analysis &amp; Design\Design\FC22\DRR Jaime\Por presentar a ECP\Cantagallo\Cristalina\[VRC_CRISTALINA_CF_SEC_20221231.xlsx]CF PDP'!$BT$57</v>
      </c>
      <c r="J441" s="1" t="s">
        <v>2210</v>
      </c>
    </row>
    <row r="442" spans="1:10" x14ac:dyDescent="0.35">
      <c r="A442" s="6" t="s">
        <v>14</v>
      </c>
      <c r="B442" s="6">
        <f t="shared" ref="B442:B456" si="105">+B441+1</f>
        <v>2045</v>
      </c>
      <c r="C442" s="1" t="s">
        <v>34</v>
      </c>
      <c r="D442" s="2" t="s">
        <v>2003</v>
      </c>
      <c r="E442" s="9" t="str">
        <f t="shared" si="101"/>
        <v>PDP'!</v>
      </c>
      <c r="F442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42" s="6" t="s">
        <v>101</v>
      </c>
      <c r="H442" s="1">
        <f t="shared" si="103"/>
        <v>58</v>
      </c>
      <c r="I442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PDP'!$BT$58</v>
      </c>
      <c r="J442" s="1" t="s">
        <v>2211</v>
      </c>
    </row>
    <row r="443" spans="1:10" x14ac:dyDescent="0.35">
      <c r="A443" s="6" t="s">
        <v>14</v>
      </c>
      <c r="B443" s="6">
        <f t="shared" si="105"/>
        <v>2046</v>
      </c>
      <c r="C443" s="1" t="s">
        <v>34</v>
      </c>
      <c r="D443" s="2" t="s">
        <v>2003</v>
      </c>
      <c r="E443" s="9" t="str">
        <f t="shared" si="101"/>
        <v>PDP'!</v>
      </c>
      <c r="F443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43" s="6" t="s">
        <v>101</v>
      </c>
      <c r="H443" s="1">
        <f t="shared" si="103"/>
        <v>59</v>
      </c>
      <c r="I443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PDP'!$BT$59</v>
      </c>
      <c r="J443" s="1" t="s">
        <v>2212</v>
      </c>
    </row>
    <row r="444" spans="1:10" x14ac:dyDescent="0.35">
      <c r="A444" s="6" t="s">
        <v>14</v>
      </c>
      <c r="B444" s="6">
        <f t="shared" si="105"/>
        <v>2047</v>
      </c>
      <c r="C444" s="1" t="s">
        <v>34</v>
      </c>
      <c r="D444" s="2" t="s">
        <v>2003</v>
      </c>
      <c r="E444" s="9" t="str">
        <f t="shared" si="101"/>
        <v>PDP'!</v>
      </c>
      <c r="F444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44" s="6" t="s">
        <v>101</v>
      </c>
      <c r="H444" s="1">
        <f t="shared" si="103"/>
        <v>60</v>
      </c>
      <c r="I444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PDP'!$BT$60</v>
      </c>
      <c r="J444" s="1" t="s">
        <v>2213</v>
      </c>
    </row>
    <row r="445" spans="1:10" x14ac:dyDescent="0.35">
      <c r="A445" s="6" t="s">
        <v>14</v>
      </c>
      <c r="B445" s="6">
        <f t="shared" si="105"/>
        <v>2048</v>
      </c>
      <c r="C445" s="1" t="s">
        <v>34</v>
      </c>
      <c r="D445" s="2" t="s">
        <v>2003</v>
      </c>
      <c r="E445" s="9" t="str">
        <f t="shared" si="101"/>
        <v>PDP'!</v>
      </c>
      <c r="F445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45" s="6" t="s">
        <v>101</v>
      </c>
      <c r="H445" s="1">
        <f t="shared" si="103"/>
        <v>61</v>
      </c>
      <c r="I445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PDP'!$BT$61</v>
      </c>
      <c r="J445" s="1" t="s">
        <v>2214</v>
      </c>
    </row>
    <row r="446" spans="1:10" x14ac:dyDescent="0.35">
      <c r="A446" s="6" t="s">
        <v>14</v>
      </c>
      <c r="B446" s="6">
        <f t="shared" si="105"/>
        <v>2049</v>
      </c>
      <c r="C446" s="1" t="s">
        <v>34</v>
      </c>
      <c r="D446" s="2" t="s">
        <v>2003</v>
      </c>
      <c r="E446" s="9" t="str">
        <f t="shared" si="101"/>
        <v>PDP'!</v>
      </c>
      <c r="F446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46" s="6" t="s">
        <v>101</v>
      </c>
      <c r="H446" s="1">
        <f t="shared" si="103"/>
        <v>62</v>
      </c>
      <c r="I446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PDP'!$BT$62</v>
      </c>
      <c r="J446" s="1" t="s">
        <v>2215</v>
      </c>
    </row>
    <row r="447" spans="1:10" x14ac:dyDescent="0.35">
      <c r="A447" s="6" t="s">
        <v>14</v>
      </c>
      <c r="B447" s="6">
        <f t="shared" si="105"/>
        <v>2050</v>
      </c>
      <c r="C447" s="1" t="s">
        <v>34</v>
      </c>
      <c r="D447" s="2" t="s">
        <v>2003</v>
      </c>
      <c r="E447" s="9" t="str">
        <f t="shared" si="101"/>
        <v>PDP'!</v>
      </c>
      <c r="F447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47" s="6" t="s">
        <v>101</v>
      </c>
      <c r="H447" s="1">
        <f t="shared" si="103"/>
        <v>63</v>
      </c>
      <c r="I447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PDP'!$BT$63</v>
      </c>
      <c r="J447" s="1" t="s">
        <v>2216</v>
      </c>
    </row>
    <row r="448" spans="1:10" x14ac:dyDescent="0.35">
      <c r="A448" s="6" t="s">
        <v>14</v>
      </c>
      <c r="B448" s="6">
        <f t="shared" si="105"/>
        <v>2051</v>
      </c>
      <c r="C448" s="1" t="s">
        <v>34</v>
      </c>
      <c r="D448" s="2" t="s">
        <v>2003</v>
      </c>
      <c r="E448" s="9" t="str">
        <f t="shared" si="101"/>
        <v>PDP'!</v>
      </c>
      <c r="F448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48" s="6" t="s">
        <v>101</v>
      </c>
      <c r="H448" s="1">
        <f t="shared" si="103"/>
        <v>64</v>
      </c>
      <c r="I448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PDP'!$BT$64</v>
      </c>
      <c r="J448" s="1" t="s">
        <v>2217</v>
      </c>
    </row>
    <row r="449" spans="1:10" x14ac:dyDescent="0.35">
      <c r="A449" s="6" t="s">
        <v>14</v>
      </c>
      <c r="B449" s="6">
        <f t="shared" si="105"/>
        <v>2052</v>
      </c>
      <c r="C449" s="1" t="s">
        <v>34</v>
      </c>
      <c r="D449" s="2" t="s">
        <v>2003</v>
      </c>
      <c r="E449" s="9" t="str">
        <f t="shared" si="101"/>
        <v>PDP'!</v>
      </c>
      <c r="F449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49" s="6" t="s">
        <v>101</v>
      </c>
      <c r="H449" s="1">
        <f t="shared" si="103"/>
        <v>65</v>
      </c>
      <c r="I449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PDP'!$BT$65</v>
      </c>
      <c r="J449" s="1" t="s">
        <v>2218</v>
      </c>
    </row>
    <row r="450" spans="1:10" x14ac:dyDescent="0.35">
      <c r="A450" s="6" t="s">
        <v>14</v>
      </c>
      <c r="B450" s="6">
        <f t="shared" si="105"/>
        <v>2053</v>
      </c>
      <c r="C450" s="1" t="s">
        <v>34</v>
      </c>
      <c r="D450" s="2" t="s">
        <v>2003</v>
      </c>
      <c r="E450" s="9" t="str">
        <f t="shared" si="101"/>
        <v>PDP'!</v>
      </c>
      <c r="F450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50" s="6" t="s">
        <v>101</v>
      </c>
      <c r="H450" s="1">
        <f t="shared" si="103"/>
        <v>66</v>
      </c>
      <c r="I450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PDP'!$BT$66</v>
      </c>
      <c r="J450" s="1" t="s">
        <v>2219</v>
      </c>
    </row>
    <row r="451" spans="1:10" x14ac:dyDescent="0.35">
      <c r="A451" s="6" t="s">
        <v>14</v>
      </c>
      <c r="B451" s="6">
        <f t="shared" si="105"/>
        <v>2054</v>
      </c>
      <c r="C451" s="1" t="s">
        <v>34</v>
      </c>
      <c r="D451" s="2" t="s">
        <v>2003</v>
      </c>
      <c r="E451" s="9" t="str">
        <f t="shared" si="101"/>
        <v>PDP'!</v>
      </c>
      <c r="F451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51" s="6" t="s">
        <v>101</v>
      </c>
      <c r="H451" s="1">
        <f t="shared" si="103"/>
        <v>67</v>
      </c>
      <c r="I451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PDP'!$BT$67</v>
      </c>
      <c r="J451" s="1" t="s">
        <v>2220</v>
      </c>
    </row>
    <row r="452" spans="1:10" x14ac:dyDescent="0.35">
      <c r="A452" s="6" t="s">
        <v>14</v>
      </c>
      <c r="B452" s="6">
        <f t="shared" si="105"/>
        <v>2055</v>
      </c>
      <c r="C452" s="1" t="s">
        <v>34</v>
      </c>
      <c r="D452" s="2" t="s">
        <v>2003</v>
      </c>
      <c r="E452" s="9" t="str">
        <f t="shared" si="101"/>
        <v>PDP'!</v>
      </c>
      <c r="F452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52" s="6" t="s">
        <v>101</v>
      </c>
      <c r="H452" s="1">
        <f t="shared" si="103"/>
        <v>68</v>
      </c>
      <c r="I452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PDP'!$BT$68</v>
      </c>
      <c r="J452" s="1" t="s">
        <v>2221</v>
      </c>
    </row>
    <row r="453" spans="1:10" x14ac:dyDescent="0.35">
      <c r="A453" s="6" t="s">
        <v>14</v>
      </c>
      <c r="B453" s="6">
        <f t="shared" si="105"/>
        <v>2056</v>
      </c>
      <c r="C453" s="1" t="s">
        <v>34</v>
      </c>
      <c r="D453" s="2" t="s">
        <v>2003</v>
      </c>
      <c r="E453" s="9" t="str">
        <f t="shared" si="101"/>
        <v>PDP'!</v>
      </c>
      <c r="F453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53" s="6" t="s">
        <v>101</v>
      </c>
      <c r="H453" s="1">
        <f t="shared" si="103"/>
        <v>69</v>
      </c>
      <c r="I453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PDP'!$BT$69</v>
      </c>
      <c r="J453" s="1" t="s">
        <v>2222</v>
      </c>
    </row>
    <row r="454" spans="1:10" x14ac:dyDescent="0.35">
      <c r="A454" s="6" t="s">
        <v>14</v>
      </c>
      <c r="B454" s="6">
        <f t="shared" si="105"/>
        <v>2057</v>
      </c>
      <c r="C454" s="1" t="s">
        <v>34</v>
      </c>
      <c r="D454" s="2" t="s">
        <v>2003</v>
      </c>
      <c r="E454" s="9" t="str">
        <f t="shared" si="101"/>
        <v>PDP'!</v>
      </c>
      <c r="F454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54" s="6" t="s">
        <v>101</v>
      </c>
      <c r="H454" s="1">
        <f t="shared" si="103"/>
        <v>70</v>
      </c>
      <c r="I454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PDP'!$BT$70</v>
      </c>
      <c r="J454" s="1" t="s">
        <v>2223</v>
      </c>
    </row>
    <row r="455" spans="1:10" x14ac:dyDescent="0.35">
      <c r="A455" s="6" t="s">
        <v>14</v>
      </c>
      <c r="B455" s="6">
        <f t="shared" si="105"/>
        <v>2058</v>
      </c>
      <c r="C455" s="1" t="s">
        <v>34</v>
      </c>
      <c r="D455" s="2" t="s">
        <v>2003</v>
      </c>
      <c r="E455" s="9" t="str">
        <f t="shared" si="101"/>
        <v>PDP'!</v>
      </c>
      <c r="F455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55" s="6" t="s">
        <v>101</v>
      </c>
      <c r="H455" s="1">
        <f t="shared" si="103"/>
        <v>71</v>
      </c>
      <c r="I455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PDP'!$BT$71</v>
      </c>
      <c r="J455" s="1" t="s">
        <v>2224</v>
      </c>
    </row>
    <row r="456" spans="1:10" x14ac:dyDescent="0.35">
      <c r="A456" s="6" t="s">
        <v>14</v>
      </c>
      <c r="B456" s="6">
        <f t="shared" si="105"/>
        <v>2059</v>
      </c>
      <c r="C456" s="1" t="s">
        <v>34</v>
      </c>
      <c r="D456" s="2" t="s">
        <v>2003</v>
      </c>
      <c r="E456" s="9" t="str">
        <f t="shared" si="101"/>
        <v>PDP'!</v>
      </c>
      <c r="F456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56" s="6" t="s">
        <v>101</v>
      </c>
      <c r="H456" s="1">
        <f t="shared" si="103"/>
        <v>72</v>
      </c>
      <c r="I456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PDP'!$BT$72</v>
      </c>
      <c r="J456" s="1" t="s">
        <v>2225</v>
      </c>
    </row>
    <row r="457" spans="1:10" x14ac:dyDescent="0.35">
      <c r="A457" s="6" t="s">
        <v>26</v>
      </c>
      <c r="B457" s="6"/>
      <c r="C457" s="1" t="s">
        <v>34</v>
      </c>
      <c r="D457" s="2"/>
      <c r="E457" s="9"/>
      <c r="F457" s="5" t="str">
        <f t="shared" si="88"/>
        <v xml:space="preserve"> </v>
      </c>
      <c r="G457" s="6"/>
      <c r="H457" s="1"/>
      <c r="I457" s="1"/>
      <c r="J457" s="4"/>
    </row>
    <row r="458" spans="1:10" x14ac:dyDescent="0.35">
      <c r="A458" s="6" t="s">
        <v>15</v>
      </c>
      <c r="B458" s="6">
        <v>2023</v>
      </c>
      <c r="C458" s="1" t="s">
        <v>34</v>
      </c>
      <c r="D458" s="2" t="s">
        <v>2003</v>
      </c>
      <c r="E458" s="9" t="str">
        <f t="shared" si="95"/>
        <v>PNP'!</v>
      </c>
      <c r="F458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58" s="6" t="s">
        <v>101</v>
      </c>
      <c r="H458" s="1">
        <f>IF(A458&lt;&gt;A442,36,H442+1)</f>
        <v>36</v>
      </c>
      <c r="I458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PNP'!$BT$36</v>
      </c>
      <c r="J458" s="1" t="s">
        <v>2226</v>
      </c>
    </row>
    <row r="459" spans="1:10" x14ac:dyDescent="0.35">
      <c r="A459" s="6" t="s">
        <v>15</v>
      </c>
      <c r="B459" s="6">
        <f>+B458+1</f>
        <v>2024</v>
      </c>
      <c r="C459" s="1" t="s">
        <v>34</v>
      </c>
      <c r="D459" s="2" t="s">
        <v>2003</v>
      </c>
      <c r="E459" s="9" t="str">
        <f t="shared" si="95"/>
        <v>PNP'!</v>
      </c>
      <c r="F459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59" s="6" t="s">
        <v>101</v>
      </c>
      <c r="H459" s="1">
        <f t="shared" si="98"/>
        <v>37</v>
      </c>
      <c r="I459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PNP'!$BT$37</v>
      </c>
      <c r="J459" s="1" t="s">
        <v>2227</v>
      </c>
    </row>
    <row r="460" spans="1:10" x14ac:dyDescent="0.35">
      <c r="A460" s="6" t="s">
        <v>15</v>
      </c>
      <c r="B460" s="6">
        <f t="shared" ref="B460:B471" si="106">+B459+1</f>
        <v>2025</v>
      </c>
      <c r="C460" s="1" t="s">
        <v>34</v>
      </c>
      <c r="D460" s="2" t="s">
        <v>2003</v>
      </c>
      <c r="E460" s="9" t="str">
        <f t="shared" si="95"/>
        <v>PNP'!</v>
      </c>
      <c r="F460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60" s="6" t="s">
        <v>101</v>
      </c>
      <c r="H460" s="1">
        <f t="shared" si="98"/>
        <v>38</v>
      </c>
      <c r="I460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PNP'!$BT$38</v>
      </c>
      <c r="J460" s="1" t="s">
        <v>2228</v>
      </c>
    </row>
    <row r="461" spans="1:10" x14ac:dyDescent="0.35">
      <c r="A461" s="6" t="s">
        <v>15</v>
      </c>
      <c r="B461" s="6">
        <f t="shared" si="106"/>
        <v>2026</v>
      </c>
      <c r="C461" s="1" t="s">
        <v>34</v>
      </c>
      <c r="D461" s="2" t="s">
        <v>2003</v>
      </c>
      <c r="E461" s="9" t="str">
        <f t="shared" si="95"/>
        <v>PNP'!</v>
      </c>
      <c r="F461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61" s="6" t="s">
        <v>101</v>
      </c>
      <c r="H461" s="1">
        <f t="shared" si="98"/>
        <v>39</v>
      </c>
      <c r="I461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PNP'!$BT$39</v>
      </c>
      <c r="J461" s="1" t="s">
        <v>2229</v>
      </c>
    </row>
    <row r="462" spans="1:10" x14ac:dyDescent="0.35">
      <c r="A462" s="6" t="s">
        <v>15</v>
      </c>
      <c r="B462" s="6">
        <f t="shared" si="106"/>
        <v>2027</v>
      </c>
      <c r="C462" s="1" t="s">
        <v>34</v>
      </c>
      <c r="D462" s="2" t="s">
        <v>2003</v>
      </c>
      <c r="E462" s="9" t="str">
        <f t="shared" si="95"/>
        <v>PNP'!</v>
      </c>
      <c r="F462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62" s="6" t="s">
        <v>101</v>
      </c>
      <c r="H462" s="1">
        <f t="shared" si="98"/>
        <v>40</v>
      </c>
      <c r="I462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PNP'!$BT$40</v>
      </c>
      <c r="J462" s="1" t="s">
        <v>2230</v>
      </c>
    </row>
    <row r="463" spans="1:10" x14ac:dyDescent="0.35">
      <c r="A463" s="6" t="s">
        <v>15</v>
      </c>
      <c r="B463" s="6">
        <f t="shared" si="106"/>
        <v>2028</v>
      </c>
      <c r="C463" s="1" t="s">
        <v>34</v>
      </c>
      <c r="D463" s="2" t="s">
        <v>2003</v>
      </c>
      <c r="E463" s="9" t="str">
        <f t="shared" si="95"/>
        <v>PNP'!</v>
      </c>
      <c r="F463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63" s="6" t="s">
        <v>101</v>
      </c>
      <c r="H463" s="1">
        <f t="shared" si="98"/>
        <v>41</v>
      </c>
      <c r="I463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PNP'!$BT$41</v>
      </c>
      <c r="J463" s="1" t="s">
        <v>2231</v>
      </c>
    </row>
    <row r="464" spans="1:10" x14ac:dyDescent="0.35">
      <c r="A464" s="6" t="s">
        <v>15</v>
      </c>
      <c r="B464" s="6">
        <f t="shared" si="106"/>
        <v>2029</v>
      </c>
      <c r="C464" s="1" t="s">
        <v>34</v>
      </c>
      <c r="D464" s="2" t="s">
        <v>2003</v>
      </c>
      <c r="E464" s="9" t="str">
        <f t="shared" si="95"/>
        <v>PNP'!</v>
      </c>
      <c r="F464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64" s="6" t="s">
        <v>101</v>
      </c>
      <c r="H464" s="1">
        <f t="shared" si="98"/>
        <v>42</v>
      </c>
      <c r="I464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PNP'!$BT$42</v>
      </c>
      <c r="J464" s="1" t="s">
        <v>2232</v>
      </c>
    </row>
    <row r="465" spans="1:10" x14ac:dyDescent="0.35">
      <c r="A465" s="6" t="s">
        <v>15</v>
      </c>
      <c r="B465" s="6">
        <f t="shared" si="106"/>
        <v>2030</v>
      </c>
      <c r="C465" s="1" t="s">
        <v>34</v>
      </c>
      <c r="D465" s="2" t="s">
        <v>2003</v>
      </c>
      <c r="E465" s="9" t="str">
        <f t="shared" si="95"/>
        <v>PNP'!</v>
      </c>
      <c r="F465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65" s="6" t="s">
        <v>101</v>
      </c>
      <c r="H465" s="1">
        <f t="shared" si="98"/>
        <v>43</v>
      </c>
      <c r="I465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PNP'!$BT$43</v>
      </c>
      <c r="J465" s="1" t="s">
        <v>2233</v>
      </c>
    </row>
    <row r="466" spans="1:10" x14ac:dyDescent="0.35">
      <c r="A466" s="6" t="s">
        <v>15</v>
      </c>
      <c r="B466" s="6">
        <f t="shared" si="106"/>
        <v>2031</v>
      </c>
      <c r="C466" s="1" t="s">
        <v>34</v>
      </c>
      <c r="D466" s="2" t="s">
        <v>2003</v>
      </c>
      <c r="E466" s="9" t="str">
        <f t="shared" si="95"/>
        <v>PNP'!</v>
      </c>
      <c r="F466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66" s="6" t="s">
        <v>101</v>
      </c>
      <c r="H466" s="1">
        <f t="shared" si="98"/>
        <v>44</v>
      </c>
      <c r="I466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PNP'!$BT$44</v>
      </c>
      <c r="J466" s="1" t="s">
        <v>2234</v>
      </c>
    </row>
    <row r="467" spans="1:10" x14ac:dyDescent="0.35">
      <c r="A467" s="6" t="s">
        <v>15</v>
      </c>
      <c r="B467" s="6">
        <f t="shared" si="106"/>
        <v>2032</v>
      </c>
      <c r="C467" s="1" t="s">
        <v>34</v>
      </c>
      <c r="D467" s="2" t="s">
        <v>2003</v>
      </c>
      <c r="E467" s="9" t="str">
        <f t="shared" si="95"/>
        <v>PNP'!</v>
      </c>
      <c r="F467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67" s="6" t="s">
        <v>101</v>
      </c>
      <c r="H467" s="1">
        <f t="shared" si="98"/>
        <v>45</v>
      </c>
      <c r="I467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PNP'!$BT$45</v>
      </c>
      <c r="J467" s="1" t="s">
        <v>2235</v>
      </c>
    </row>
    <row r="468" spans="1:10" x14ac:dyDescent="0.35">
      <c r="A468" s="6" t="s">
        <v>15</v>
      </c>
      <c r="B468" s="6">
        <f t="shared" si="106"/>
        <v>2033</v>
      </c>
      <c r="C468" s="1" t="s">
        <v>34</v>
      </c>
      <c r="D468" s="2" t="s">
        <v>2003</v>
      </c>
      <c r="E468" s="9" t="str">
        <f t="shared" si="95"/>
        <v>PNP'!</v>
      </c>
      <c r="F468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68" s="6" t="s">
        <v>101</v>
      </c>
      <c r="H468" s="1">
        <f t="shared" si="98"/>
        <v>46</v>
      </c>
      <c r="I468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PNP'!$BT$46</v>
      </c>
      <c r="J468" s="1" t="s">
        <v>2236</v>
      </c>
    </row>
    <row r="469" spans="1:10" x14ac:dyDescent="0.35">
      <c r="A469" s="6" t="s">
        <v>15</v>
      </c>
      <c r="B469" s="6">
        <f t="shared" si="106"/>
        <v>2034</v>
      </c>
      <c r="C469" s="1" t="s">
        <v>34</v>
      </c>
      <c r="D469" s="2" t="s">
        <v>2003</v>
      </c>
      <c r="E469" s="9" t="str">
        <f t="shared" si="95"/>
        <v>PNP'!</v>
      </c>
      <c r="F469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69" s="6" t="s">
        <v>101</v>
      </c>
      <c r="H469" s="1">
        <f t="shared" si="98"/>
        <v>47</v>
      </c>
      <c r="I469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PNP'!$BT$47</v>
      </c>
      <c r="J469" s="1" t="s">
        <v>2237</v>
      </c>
    </row>
    <row r="470" spans="1:10" x14ac:dyDescent="0.35">
      <c r="A470" s="6" t="s">
        <v>15</v>
      </c>
      <c r="B470" s="6">
        <f t="shared" si="106"/>
        <v>2035</v>
      </c>
      <c r="C470" s="1" t="s">
        <v>34</v>
      </c>
      <c r="D470" s="2" t="s">
        <v>2003</v>
      </c>
      <c r="E470" s="9" t="str">
        <f t="shared" si="95"/>
        <v>PNP'!</v>
      </c>
      <c r="F470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70" s="6" t="s">
        <v>101</v>
      </c>
      <c r="H470" s="1">
        <f t="shared" si="98"/>
        <v>48</v>
      </c>
      <c r="I470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PNP'!$BT$48</v>
      </c>
      <c r="J470" s="1" t="s">
        <v>2238</v>
      </c>
    </row>
    <row r="471" spans="1:10" x14ac:dyDescent="0.35">
      <c r="A471" s="6" t="s">
        <v>15</v>
      </c>
      <c r="B471" s="6">
        <f t="shared" si="106"/>
        <v>2036</v>
      </c>
      <c r="C471" s="1" t="s">
        <v>34</v>
      </c>
      <c r="D471" s="2" t="s">
        <v>2003</v>
      </c>
      <c r="E471" s="9" t="str">
        <f t="shared" si="95"/>
        <v>PNP'!</v>
      </c>
      <c r="F471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71" s="6" t="s">
        <v>101</v>
      </c>
      <c r="H471" s="1">
        <f t="shared" si="98"/>
        <v>49</v>
      </c>
      <c r="I471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PNP'!$BT$49</v>
      </c>
      <c r="J471" s="1" t="s">
        <v>2239</v>
      </c>
    </row>
    <row r="472" spans="1:10" x14ac:dyDescent="0.35">
      <c r="A472" s="6" t="s">
        <v>15</v>
      </c>
      <c r="B472" s="6">
        <f>+B471+1</f>
        <v>2037</v>
      </c>
      <c r="C472" s="1" t="s">
        <v>34</v>
      </c>
      <c r="D472" s="2" t="s">
        <v>2003</v>
      </c>
      <c r="E472" s="9" t="str">
        <f t="shared" si="95"/>
        <v>PNP'!</v>
      </c>
      <c r="F472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72" s="6" t="s">
        <v>101</v>
      </c>
      <c r="H472" s="1">
        <f t="shared" si="98"/>
        <v>50</v>
      </c>
      <c r="I472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PNP'!$BT$50</v>
      </c>
      <c r="J472" s="1" t="s">
        <v>2240</v>
      </c>
    </row>
    <row r="473" spans="1:10" x14ac:dyDescent="0.35">
      <c r="A473" s="6" t="s">
        <v>15</v>
      </c>
      <c r="B473" s="6">
        <f t="shared" ref="B473:B475" si="107">+B472+1</f>
        <v>2038</v>
      </c>
      <c r="C473" s="1" t="s">
        <v>34</v>
      </c>
      <c r="D473" s="2" t="s">
        <v>2003</v>
      </c>
      <c r="E473" s="9" t="str">
        <f t="shared" si="95"/>
        <v>PNP'!</v>
      </c>
      <c r="F473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73" s="6" t="s">
        <v>101</v>
      </c>
      <c r="H473" s="1">
        <f t="shared" si="98"/>
        <v>51</v>
      </c>
      <c r="I473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PNP'!$BT$51</v>
      </c>
      <c r="J473" s="1" t="s">
        <v>2241</v>
      </c>
    </row>
    <row r="474" spans="1:10" x14ac:dyDescent="0.35">
      <c r="A474" s="6" t="s">
        <v>15</v>
      </c>
      <c r="B474" s="6">
        <f t="shared" si="107"/>
        <v>2039</v>
      </c>
      <c r="C474" s="1" t="s">
        <v>34</v>
      </c>
      <c r="D474" s="2" t="s">
        <v>2003</v>
      </c>
      <c r="E474" s="9" t="str">
        <f t="shared" si="95"/>
        <v>PNP'!</v>
      </c>
      <c r="F474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74" s="6" t="s">
        <v>101</v>
      </c>
      <c r="H474" s="1">
        <f t="shared" si="98"/>
        <v>52</v>
      </c>
      <c r="I474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PNP'!$BT$52</v>
      </c>
      <c r="J474" s="1" t="s">
        <v>2242</v>
      </c>
    </row>
    <row r="475" spans="1:10" x14ac:dyDescent="0.35">
      <c r="A475" s="6" t="s">
        <v>15</v>
      </c>
      <c r="B475" s="6">
        <f t="shared" si="107"/>
        <v>2040</v>
      </c>
      <c r="C475" s="1" t="s">
        <v>34</v>
      </c>
      <c r="D475" s="2" t="s">
        <v>2003</v>
      </c>
      <c r="E475" s="9" t="str">
        <f t="shared" si="95"/>
        <v>PNP'!</v>
      </c>
      <c r="F475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75" s="6" t="s">
        <v>101</v>
      </c>
      <c r="H475" s="1">
        <f t="shared" si="98"/>
        <v>53</v>
      </c>
      <c r="I475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PNP'!$BT$53</v>
      </c>
      <c r="J475" s="1" t="s">
        <v>2243</v>
      </c>
    </row>
    <row r="476" spans="1:10" x14ac:dyDescent="0.35">
      <c r="A476" s="6" t="s">
        <v>15</v>
      </c>
      <c r="B476" s="6">
        <f>+B475+1</f>
        <v>2041</v>
      </c>
      <c r="C476" s="1" t="s">
        <v>34</v>
      </c>
      <c r="D476" s="2" t="s">
        <v>2003</v>
      </c>
      <c r="E476" s="9" t="str">
        <f t="shared" si="95"/>
        <v>PNP'!</v>
      </c>
      <c r="F476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76" s="6" t="s">
        <v>101</v>
      </c>
      <c r="H476" s="1">
        <f t="shared" si="98"/>
        <v>54</v>
      </c>
      <c r="I476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PNP'!$BT$54</v>
      </c>
      <c r="J476" s="1" t="s">
        <v>2244</v>
      </c>
    </row>
    <row r="477" spans="1:10" x14ac:dyDescent="0.35">
      <c r="A477" s="6" t="s">
        <v>15</v>
      </c>
      <c r="B477" s="6">
        <f t="shared" ref="B477:B478" si="108">+B476+1</f>
        <v>2042</v>
      </c>
      <c r="C477" s="1" t="s">
        <v>34</v>
      </c>
      <c r="D477" s="2" t="s">
        <v>2003</v>
      </c>
      <c r="E477" s="9" t="str">
        <f t="shared" si="95"/>
        <v>PNP'!</v>
      </c>
      <c r="F477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77" s="6" t="s">
        <v>101</v>
      </c>
      <c r="H477" s="1">
        <f t="shared" si="98"/>
        <v>55</v>
      </c>
      <c r="I477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PNP'!$BT$55</v>
      </c>
      <c r="J477" s="1" t="s">
        <v>2245</v>
      </c>
    </row>
    <row r="478" spans="1:10" x14ac:dyDescent="0.35">
      <c r="A478" s="6" t="s">
        <v>15</v>
      </c>
      <c r="B478" s="6">
        <f t="shared" si="108"/>
        <v>2043</v>
      </c>
      <c r="C478" s="1" t="s">
        <v>34</v>
      </c>
      <c r="D478" s="2" t="s">
        <v>2003</v>
      </c>
      <c r="E478" s="9" t="str">
        <f t="shared" si="95"/>
        <v>PNP'!</v>
      </c>
      <c r="F478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78" s="6" t="s">
        <v>101</v>
      </c>
      <c r="H478" s="1">
        <f t="shared" si="98"/>
        <v>56</v>
      </c>
      <c r="I478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PNP'!$BT$56</v>
      </c>
      <c r="J478" s="1" t="s">
        <v>2246</v>
      </c>
    </row>
    <row r="479" spans="1:10" x14ac:dyDescent="0.35">
      <c r="A479" s="6" t="s">
        <v>15</v>
      </c>
      <c r="B479" s="6">
        <f>+B478+1</f>
        <v>2044</v>
      </c>
      <c r="C479" s="1" t="s">
        <v>34</v>
      </c>
      <c r="D479" s="2" t="s">
        <v>2003</v>
      </c>
      <c r="E479" s="9" t="str">
        <f t="shared" ref="E479:E494" si="109">_xlfn.CONCAT(A479,"'!")</f>
        <v>PNP'!</v>
      </c>
      <c r="F479" s="5" t="str">
        <f t="shared" ref="F479:F494" si="110">_xlfn.CONCAT(D479," ",E479)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79" s="6" t="s">
        <v>101</v>
      </c>
      <c r="H479" s="1">
        <f t="shared" ref="H479:H494" si="111">IF(A479&lt;&gt;A478,36,H478+1)</f>
        <v>57</v>
      </c>
      <c r="I479" s="1" t="str">
        <f t="shared" ref="I479:I494" si="112">_xlfn.CONCAT("='",F479:H479)</f>
        <v>='C:\Users\jaime.benazar\Quorum Business Solutions\Ecopetrol Prometeo - Documents\Planning Space Implementation\3. Analysis &amp; Design\Design\FC22\DRR Jaime\Por presentar a ECP\Cantagallo\Cristalina\[VRC_CRISTALINA_CF_SEC_20221231.xlsx]CF PNP'!$BT$57</v>
      </c>
      <c r="J479" s="1" t="s">
        <v>2247</v>
      </c>
    </row>
    <row r="480" spans="1:10" x14ac:dyDescent="0.35">
      <c r="A480" s="6" t="s">
        <v>15</v>
      </c>
      <c r="B480" s="6">
        <f t="shared" ref="B480:B494" si="113">+B479+1</f>
        <v>2045</v>
      </c>
      <c r="C480" s="1" t="s">
        <v>34</v>
      </c>
      <c r="D480" s="2" t="s">
        <v>2003</v>
      </c>
      <c r="E480" s="9" t="str">
        <f t="shared" si="109"/>
        <v>PNP'!</v>
      </c>
      <c r="F480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80" s="6" t="s">
        <v>101</v>
      </c>
      <c r="H480" s="1">
        <f t="shared" si="111"/>
        <v>58</v>
      </c>
      <c r="I480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PNP'!$BT$58</v>
      </c>
      <c r="J480" s="1" t="s">
        <v>2248</v>
      </c>
    </row>
    <row r="481" spans="1:10" x14ac:dyDescent="0.35">
      <c r="A481" s="6" t="s">
        <v>15</v>
      </c>
      <c r="B481" s="6">
        <f t="shared" si="113"/>
        <v>2046</v>
      </c>
      <c r="C481" s="1" t="s">
        <v>34</v>
      </c>
      <c r="D481" s="2" t="s">
        <v>2003</v>
      </c>
      <c r="E481" s="9" t="str">
        <f t="shared" si="109"/>
        <v>PNP'!</v>
      </c>
      <c r="F481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81" s="6" t="s">
        <v>101</v>
      </c>
      <c r="H481" s="1">
        <f t="shared" si="111"/>
        <v>59</v>
      </c>
      <c r="I481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PNP'!$BT$59</v>
      </c>
      <c r="J481" s="1" t="s">
        <v>2249</v>
      </c>
    </row>
    <row r="482" spans="1:10" x14ac:dyDescent="0.35">
      <c r="A482" s="6" t="s">
        <v>15</v>
      </c>
      <c r="B482" s="6">
        <f t="shared" si="113"/>
        <v>2047</v>
      </c>
      <c r="C482" s="1" t="s">
        <v>34</v>
      </c>
      <c r="D482" s="2" t="s">
        <v>2003</v>
      </c>
      <c r="E482" s="9" t="str">
        <f t="shared" si="109"/>
        <v>PNP'!</v>
      </c>
      <c r="F482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82" s="6" t="s">
        <v>101</v>
      </c>
      <c r="H482" s="1">
        <f t="shared" si="111"/>
        <v>60</v>
      </c>
      <c r="I482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PNP'!$BT$60</v>
      </c>
      <c r="J482" s="1" t="s">
        <v>2250</v>
      </c>
    </row>
    <row r="483" spans="1:10" x14ac:dyDescent="0.35">
      <c r="A483" s="6" t="s">
        <v>15</v>
      </c>
      <c r="B483" s="6">
        <f t="shared" si="113"/>
        <v>2048</v>
      </c>
      <c r="C483" s="1" t="s">
        <v>34</v>
      </c>
      <c r="D483" s="2" t="s">
        <v>2003</v>
      </c>
      <c r="E483" s="9" t="str">
        <f t="shared" si="109"/>
        <v>PNP'!</v>
      </c>
      <c r="F483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83" s="6" t="s">
        <v>101</v>
      </c>
      <c r="H483" s="1">
        <f t="shared" si="111"/>
        <v>61</v>
      </c>
      <c r="I483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PNP'!$BT$61</v>
      </c>
      <c r="J483" s="1" t="s">
        <v>2251</v>
      </c>
    </row>
    <row r="484" spans="1:10" x14ac:dyDescent="0.35">
      <c r="A484" s="6" t="s">
        <v>15</v>
      </c>
      <c r="B484" s="6">
        <f t="shared" si="113"/>
        <v>2049</v>
      </c>
      <c r="C484" s="1" t="s">
        <v>34</v>
      </c>
      <c r="D484" s="2" t="s">
        <v>2003</v>
      </c>
      <c r="E484" s="9" t="str">
        <f t="shared" si="109"/>
        <v>PNP'!</v>
      </c>
      <c r="F484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84" s="6" t="s">
        <v>101</v>
      </c>
      <c r="H484" s="1">
        <f t="shared" si="111"/>
        <v>62</v>
      </c>
      <c r="I484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PNP'!$BT$62</v>
      </c>
      <c r="J484" s="1" t="s">
        <v>2252</v>
      </c>
    </row>
    <row r="485" spans="1:10" x14ac:dyDescent="0.35">
      <c r="A485" s="6" t="s">
        <v>15</v>
      </c>
      <c r="B485" s="6">
        <f t="shared" si="113"/>
        <v>2050</v>
      </c>
      <c r="C485" s="1" t="s">
        <v>34</v>
      </c>
      <c r="D485" s="2" t="s">
        <v>2003</v>
      </c>
      <c r="E485" s="9" t="str">
        <f t="shared" si="109"/>
        <v>PNP'!</v>
      </c>
      <c r="F485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85" s="6" t="s">
        <v>101</v>
      </c>
      <c r="H485" s="1">
        <f t="shared" si="111"/>
        <v>63</v>
      </c>
      <c r="I485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PNP'!$BT$63</v>
      </c>
      <c r="J485" s="1" t="s">
        <v>2253</v>
      </c>
    </row>
    <row r="486" spans="1:10" x14ac:dyDescent="0.35">
      <c r="A486" s="6" t="s">
        <v>15</v>
      </c>
      <c r="B486" s="6">
        <f t="shared" si="113"/>
        <v>2051</v>
      </c>
      <c r="C486" s="1" t="s">
        <v>34</v>
      </c>
      <c r="D486" s="2" t="s">
        <v>2003</v>
      </c>
      <c r="E486" s="9" t="str">
        <f t="shared" si="109"/>
        <v>PNP'!</v>
      </c>
      <c r="F486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86" s="6" t="s">
        <v>101</v>
      </c>
      <c r="H486" s="1">
        <f t="shared" si="111"/>
        <v>64</v>
      </c>
      <c r="I486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PNP'!$BT$64</v>
      </c>
      <c r="J486" s="1" t="s">
        <v>2254</v>
      </c>
    </row>
    <row r="487" spans="1:10" x14ac:dyDescent="0.35">
      <c r="A487" s="6" t="s">
        <v>15</v>
      </c>
      <c r="B487" s="6">
        <f t="shared" si="113"/>
        <v>2052</v>
      </c>
      <c r="C487" s="1" t="s">
        <v>34</v>
      </c>
      <c r="D487" s="2" t="s">
        <v>2003</v>
      </c>
      <c r="E487" s="9" t="str">
        <f t="shared" si="109"/>
        <v>PNP'!</v>
      </c>
      <c r="F487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87" s="6" t="s">
        <v>101</v>
      </c>
      <c r="H487" s="1">
        <f t="shared" si="111"/>
        <v>65</v>
      </c>
      <c r="I487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PNP'!$BT$65</v>
      </c>
      <c r="J487" s="1" t="s">
        <v>2255</v>
      </c>
    </row>
    <row r="488" spans="1:10" x14ac:dyDescent="0.35">
      <c r="A488" s="6" t="s">
        <v>15</v>
      </c>
      <c r="B488" s="6">
        <f t="shared" si="113"/>
        <v>2053</v>
      </c>
      <c r="C488" s="1" t="s">
        <v>34</v>
      </c>
      <c r="D488" s="2" t="s">
        <v>2003</v>
      </c>
      <c r="E488" s="9" t="str">
        <f t="shared" si="109"/>
        <v>PNP'!</v>
      </c>
      <c r="F488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88" s="6" t="s">
        <v>101</v>
      </c>
      <c r="H488" s="1">
        <f t="shared" si="111"/>
        <v>66</v>
      </c>
      <c r="I488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PNP'!$BT$66</v>
      </c>
      <c r="J488" s="1" t="s">
        <v>2256</v>
      </c>
    </row>
    <row r="489" spans="1:10" x14ac:dyDescent="0.35">
      <c r="A489" s="6" t="s">
        <v>15</v>
      </c>
      <c r="B489" s="6">
        <f t="shared" si="113"/>
        <v>2054</v>
      </c>
      <c r="C489" s="1" t="s">
        <v>34</v>
      </c>
      <c r="D489" s="2" t="s">
        <v>2003</v>
      </c>
      <c r="E489" s="9" t="str">
        <f t="shared" si="109"/>
        <v>PNP'!</v>
      </c>
      <c r="F489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89" s="6" t="s">
        <v>101</v>
      </c>
      <c r="H489" s="1">
        <f t="shared" si="111"/>
        <v>67</v>
      </c>
      <c r="I489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PNP'!$BT$67</v>
      </c>
      <c r="J489" s="1" t="s">
        <v>2257</v>
      </c>
    </row>
    <row r="490" spans="1:10" x14ac:dyDescent="0.35">
      <c r="A490" s="6" t="s">
        <v>15</v>
      </c>
      <c r="B490" s="6">
        <f t="shared" si="113"/>
        <v>2055</v>
      </c>
      <c r="C490" s="1" t="s">
        <v>34</v>
      </c>
      <c r="D490" s="2" t="s">
        <v>2003</v>
      </c>
      <c r="E490" s="9" t="str">
        <f t="shared" si="109"/>
        <v>PNP'!</v>
      </c>
      <c r="F490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90" s="6" t="s">
        <v>101</v>
      </c>
      <c r="H490" s="1">
        <f t="shared" si="111"/>
        <v>68</v>
      </c>
      <c r="I490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PNP'!$BT$68</v>
      </c>
      <c r="J490" s="1" t="s">
        <v>2258</v>
      </c>
    </row>
    <row r="491" spans="1:10" x14ac:dyDescent="0.35">
      <c r="A491" s="6" t="s">
        <v>15</v>
      </c>
      <c r="B491" s="6">
        <f t="shared" si="113"/>
        <v>2056</v>
      </c>
      <c r="C491" s="1" t="s">
        <v>34</v>
      </c>
      <c r="D491" s="2" t="s">
        <v>2003</v>
      </c>
      <c r="E491" s="9" t="str">
        <f t="shared" si="109"/>
        <v>PNP'!</v>
      </c>
      <c r="F491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91" s="6" t="s">
        <v>101</v>
      </c>
      <c r="H491" s="1">
        <f t="shared" si="111"/>
        <v>69</v>
      </c>
      <c r="I491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PNP'!$BT$69</v>
      </c>
      <c r="J491" s="1" t="s">
        <v>2259</v>
      </c>
    </row>
    <row r="492" spans="1:10" x14ac:dyDescent="0.35">
      <c r="A492" s="6" t="s">
        <v>15</v>
      </c>
      <c r="B492" s="6">
        <f t="shared" si="113"/>
        <v>2057</v>
      </c>
      <c r="C492" s="1" t="s">
        <v>34</v>
      </c>
      <c r="D492" s="2" t="s">
        <v>2003</v>
      </c>
      <c r="E492" s="9" t="str">
        <f t="shared" si="109"/>
        <v>PNP'!</v>
      </c>
      <c r="F492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92" s="6" t="s">
        <v>101</v>
      </c>
      <c r="H492" s="1">
        <f t="shared" si="111"/>
        <v>70</v>
      </c>
      <c r="I492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PNP'!$BT$70</v>
      </c>
      <c r="J492" s="1" t="s">
        <v>2260</v>
      </c>
    </row>
    <row r="493" spans="1:10" x14ac:dyDescent="0.35">
      <c r="A493" s="6" t="s">
        <v>15</v>
      </c>
      <c r="B493" s="6">
        <f t="shared" si="113"/>
        <v>2058</v>
      </c>
      <c r="C493" s="1" t="s">
        <v>34</v>
      </c>
      <c r="D493" s="2" t="s">
        <v>2003</v>
      </c>
      <c r="E493" s="9" t="str">
        <f t="shared" si="109"/>
        <v>PNP'!</v>
      </c>
      <c r="F493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93" s="6" t="s">
        <v>101</v>
      </c>
      <c r="H493" s="1">
        <f t="shared" si="111"/>
        <v>71</v>
      </c>
      <c r="I493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PNP'!$BT$71</v>
      </c>
      <c r="J493" s="1" t="s">
        <v>2261</v>
      </c>
    </row>
    <row r="494" spans="1:10" x14ac:dyDescent="0.35">
      <c r="A494" s="6" t="s">
        <v>15</v>
      </c>
      <c r="B494" s="6">
        <f t="shared" si="113"/>
        <v>2059</v>
      </c>
      <c r="C494" s="1" t="s">
        <v>34</v>
      </c>
      <c r="D494" s="2" t="s">
        <v>2003</v>
      </c>
      <c r="E494" s="9" t="str">
        <f t="shared" si="109"/>
        <v>PNP'!</v>
      </c>
      <c r="F494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94" s="6" t="s">
        <v>101</v>
      </c>
      <c r="H494" s="1">
        <f t="shared" si="111"/>
        <v>72</v>
      </c>
      <c r="I494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PNP'!$BT$72</v>
      </c>
      <c r="J494" s="1" t="s">
        <v>2262</v>
      </c>
    </row>
    <row r="495" spans="1:10" x14ac:dyDescent="0.35">
      <c r="A495" s="6" t="s">
        <v>26</v>
      </c>
      <c r="B495" s="6"/>
      <c r="C495" s="1" t="s">
        <v>34</v>
      </c>
      <c r="D495" s="2"/>
      <c r="E495" s="9"/>
      <c r="F495" s="5" t="str">
        <f t="shared" si="88"/>
        <v xml:space="preserve"> </v>
      </c>
      <c r="G495" s="6"/>
      <c r="H495" s="1"/>
      <c r="I495" s="1"/>
      <c r="J495" s="4"/>
    </row>
    <row r="496" spans="1:10" x14ac:dyDescent="0.35">
      <c r="A496" s="6" t="s">
        <v>16</v>
      </c>
      <c r="B496" s="6">
        <v>2023</v>
      </c>
      <c r="C496" s="1" t="s">
        <v>34</v>
      </c>
      <c r="D496" s="2" t="s">
        <v>2003</v>
      </c>
      <c r="E496" s="9" t="str">
        <f t="shared" si="95"/>
        <v>PND'!</v>
      </c>
      <c r="F496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496" s="6" t="s">
        <v>101</v>
      </c>
      <c r="H496" s="1">
        <f>IF(A496&lt;&gt;A480,36,H480+1)</f>
        <v>36</v>
      </c>
      <c r="I496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PND'!$BT$36</v>
      </c>
      <c r="J496" s="1" t="s">
        <v>2263</v>
      </c>
    </row>
    <row r="497" spans="1:10" x14ac:dyDescent="0.35">
      <c r="A497" s="6" t="s">
        <v>16</v>
      </c>
      <c r="B497" s="6">
        <f>+B496+1</f>
        <v>2024</v>
      </c>
      <c r="C497" s="1" t="s">
        <v>34</v>
      </c>
      <c r="D497" s="2" t="s">
        <v>2003</v>
      </c>
      <c r="E497" s="9" t="str">
        <f t="shared" si="95"/>
        <v>PND'!</v>
      </c>
      <c r="F497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497" s="6" t="s">
        <v>101</v>
      </c>
      <c r="H497" s="1">
        <f t="shared" si="98"/>
        <v>37</v>
      </c>
      <c r="I497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PND'!$BT$37</v>
      </c>
      <c r="J497" s="1" t="s">
        <v>2264</v>
      </c>
    </row>
    <row r="498" spans="1:10" x14ac:dyDescent="0.35">
      <c r="A498" s="6" t="s">
        <v>16</v>
      </c>
      <c r="B498" s="6">
        <f t="shared" ref="B498:B509" si="114">+B497+1</f>
        <v>2025</v>
      </c>
      <c r="C498" s="1" t="s">
        <v>34</v>
      </c>
      <c r="D498" s="2" t="s">
        <v>2003</v>
      </c>
      <c r="E498" s="9" t="str">
        <f t="shared" si="95"/>
        <v>PND'!</v>
      </c>
      <c r="F498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498" s="6" t="s">
        <v>101</v>
      </c>
      <c r="H498" s="1">
        <f t="shared" si="98"/>
        <v>38</v>
      </c>
      <c r="I498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PND'!$BT$38</v>
      </c>
      <c r="J498" s="1" t="s">
        <v>2265</v>
      </c>
    </row>
    <row r="499" spans="1:10" x14ac:dyDescent="0.35">
      <c r="A499" s="6" t="s">
        <v>16</v>
      </c>
      <c r="B499" s="6">
        <f t="shared" si="114"/>
        <v>2026</v>
      </c>
      <c r="C499" s="1" t="s">
        <v>34</v>
      </c>
      <c r="D499" s="2" t="s">
        <v>2003</v>
      </c>
      <c r="E499" s="9" t="str">
        <f t="shared" si="95"/>
        <v>PND'!</v>
      </c>
      <c r="F499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499" s="6" t="s">
        <v>101</v>
      </c>
      <c r="H499" s="1">
        <f t="shared" si="98"/>
        <v>39</v>
      </c>
      <c r="I499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PND'!$BT$39</v>
      </c>
      <c r="J499" s="1" t="s">
        <v>2266</v>
      </c>
    </row>
    <row r="500" spans="1:10" x14ac:dyDescent="0.35">
      <c r="A500" s="6" t="s">
        <v>16</v>
      </c>
      <c r="B500" s="6">
        <f t="shared" si="114"/>
        <v>2027</v>
      </c>
      <c r="C500" s="1" t="s">
        <v>34</v>
      </c>
      <c r="D500" s="2" t="s">
        <v>2003</v>
      </c>
      <c r="E500" s="9" t="str">
        <f t="shared" si="95"/>
        <v>PND'!</v>
      </c>
      <c r="F500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00" s="6" t="s">
        <v>101</v>
      </c>
      <c r="H500" s="1">
        <f t="shared" si="98"/>
        <v>40</v>
      </c>
      <c r="I500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PND'!$BT$40</v>
      </c>
      <c r="J500" s="1" t="s">
        <v>2267</v>
      </c>
    </row>
    <row r="501" spans="1:10" x14ac:dyDescent="0.35">
      <c r="A501" s="6" t="s">
        <v>16</v>
      </c>
      <c r="B501" s="6">
        <f t="shared" si="114"/>
        <v>2028</v>
      </c>
      <c r="C501" s="1" t="s">
        <v>34</v>
      </c>
      <c r="D501" s="2" t="s">
        <v>2003</v>
      </c>
      <c r="E501" s="9" t="str">
        <f t="shared" si="95"/>
        <v>PND'!</v>
      </c>
      <c r="F501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01" s="6" t="s">
        <v>101</v>
      </c>
      <c r="H501" s="1">
        <f t="shared" si="98"/>
        <v>41</v>
      </c>
      <c r="I501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PND'!$BT$41</v>
      </c>
      <c r="J501" s="1" t="s">
        <v>2268</v>
      </c>
    </row>
    <row r="502" spans="1:10" x14ac:dyDescent="0.35">
      <c r="A502" s="6" t="s">
        <v>16</v>
      </c>
      <c r="B502" s="6">
        <f t="shared" si="114"/>
        <v>2029</v>
      </c>
      <c r="C502" s="1" t="s">
        <v>34</v>
      </c>
      <c r="D502" s="2" t="s">
        <v>2003</v>
      </c>
      <c r="E502" s="9" t="str">
        <f t="shared" si="95"/>
        <v>PND'!</v>
      </c>
      <c r="F502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02" s="6" t="s">
        <v>101</v>
      </c>
      <c r="H502" s="1">
        <f t="shared" si="98"/>
        <v>42</v>
      </c>
      <c r="I502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PND'!$BT$42</v>
      </c>
      <c r="J502" s="1" t="s">
        <v>2269</v>
      </c>
    </row>
    <row r="503" spans="1:10" x14ac:dyDescent="0.35">
      <c r="A503" s="6" t="s">
        <v>16</v>
      </c>
      <c r="B503" s="6">
        <f t="shared" si="114"/>
        <v>2030</v>
      </c>
      <c r="C503" s="1" t="s">
        <v>34</v>
      </c>
      <c r="D503" s="2" t="s">
        <v>2003</v>
      </c>
      <c r="E503" s="9" t="str">
        <f t="shared" si="95"/>
        <v>PND'!</v>
      </c>
      <c r="F503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03" s="6" t="s">
        <v>101</v>
      </c>
      <c r="H503" s="1">
        <f t="shared" si="98"/>
        <v>43</v>
      </c>
      <c r="I503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PND'!$BT$43</v>
      </c>
      <c r="J503" s="1" t="s">
        <v>2270</v>
      </c>
    </row>
    <row r="504" spans="1:10" x14ac:dyDescent="0.35">
      <c r="A504" s="6" t="s">
        <v>16</v>
      </c>
      <c r="B504" s="6">
        <f t="shared" si="114"/>
        <v>2031</v>
      </c>
      <c r="C504" s="1" t="s">
        <v>34</v>
      </c>
      <c r="D504" s="2" t="s">
        <v>2003</v>
      </c>
      <c r="E504" s="9" t="str">
        <f t="shared" si="95"/>
        <v>PND'!</v>
      </c>
      <c r="F504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04" s="6" t="s">
        <v>101</v>
      </c>
      <c r="H504" s="1">
        <f t="shared" si="98"/>
        <v>44</v>
      </c>
      <c r="I504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PND'!$BT$44</v>
      </c>
      <c r="J504" s="1" t="s">
        <v>2271</v>
      </c>
    </row>
    <row r="505" spans="1:10" x14ac:dyDescent="0.35">
      <c r="A505" s="6" t="s">
        <v>16</v>
      </c>
      <c r="B505" s="6">
        <f t="shared" si="114"/>
        <v>2032</v>
      </c>
      <c r="C505" s="1" t="s">
        <v>34</v>
      </c>
      <c r="D505" s="2" t="s">
        <v>2003</v>
      </c>
      <c r="E505" s="9" t="str">
        <f t="shared" si="95"/>
        <v>PND'!</v>
      </c>
      <c r="F505" s="5" t="str">
        <f t="shared" ref="F505:F516" si="115">_xlfn.CONCAT(D505," ",E505)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05" s="6" t="s">
        <v>101</v>
      </c>
      <c r="H505" s="1">
        <f t="shared" si="98"/>
        <v>45</v>
      </c>
      <c r="I505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PND'!$BT$45</v>
      </c>
      <c r="J505" s="1" t="s">
        <v>2272</v>
      </c>
    </row>
    <row r="506" spans="1:10" x14ac:dyDescent="0.35">
      <c r="A506" s="6" t="s">
        <v>16</v>
      </c>
      <c r="B506" s="6">
        <f t="shared" si="114"/>
        <v>2033</v>
      </c>
      <c r="C506" s="1" t="s">
        <v>34</v>
      </c>
      <c r="D506" s="2" t="s">
        <v>2003</v>
      </c>
      <c r="E506" s="9" t="str">
        <f t="shared" si="95"/>
        <v>PND'!</v>
      </c>
      <c r="F506" s="5" t="str">
        <f t="shared" si="11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06" s="6" t="s">
        <v>101</v>
      </c>
      <c r="H506" s="1">
        <f t="shared" si="98"/>
        <v>46</v>
      </c>
      <c r="I506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PND'!$BT$46</v>
      </c>
      <c r="J506" s="1" t="s">
        <v>2273</v>
      </c>
    </row>
    <row r="507" spans="1:10" x14ac:dyDescent="0.35">
      <c r="A507" s="6" t="s">
        <v>16</v>
      </c>
      <c r="B507" s="6">
        <f t="shared" si="114"/>
        <v>2034</v>
      </c>
      <c r="C507" s="1" t="s">
        <v>34</v>
      </c>
      <c r="D507" s="2" t="s">
        <v>2003</v>
      </c>
      <c r="E507" s="9" t="str">
        <f t="shared" si="95"/>
        <v>PND'!</v>
      </c>
      <c r="F507" s="5" t="str">
        <f t="shared" si="11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07" s="6" t="s">
        <v>101</v>
      </c>
      <c r="H507" s="1">
        <f t="shared" si="98"/>
        <v>47</v>
      </c>
      <c r="I507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PND'!$BT$47</v>
      </c>
      <c r="J507" s="1" t="s">
        <v>2274</v>
      </c>
    </row>
    <row r="508" spans="1:10" x14ac:dyDescent="0.35">
      <c r="A508" s="6" t="s">
        <v>16</v>
      </c>
      <c r="B508" s="6">
        <f t="shared" si="114"/>
        <v>2035</v>
      </c>
      <c r="C508" s="1" t="s">
        <v>34</v>
      </c>
      <c r="D508" s="2" t="s">
        <v>2003</v>
      </c>
      <c r="E508" s="9" t="str">
        <f t="shared" si="95"/>
        <v>PND'!</v>
      </c>
      <c r="F508" s="5" t="str">
        <f t="shared" si="11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08" s="6" t="s">
        <v>101</v>
      </c>
      <c r="H508" s="1">
        <f t="shared" si="98"/>
        <v>48</v>
      </c>
      <c r="I508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PND'!$BT$48</v>
      </c>
      <c r="J508" s="1" t="s">
        <v>2275</v>
      </c>
    </row>
    <row r="509" spans="1:10" x14ac:dyDescent="0.35">
      <c r="A509" s="6" t="s">
        <v>16</v>
      </c>
      <c r="B509" s="6">
        <f t="shared" si="114"/>
        <v>2036</v>
      </c>
      <c r="C509" s="1" t="s">
        <v>34</v>
      </c>
      <c r="D509" s="2" t="s">
        <v>2003</v>
      </c>
      <c r="E509" s="9" t="str">
        <f t="shared" si="95"/>
        <v>PND'!</v>
      </c>
      <c r="F509" s="5" t="str">
        <f t="shared" si="11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09" s="6" t="s">
        <v>101</v>
      </c>
      <c r="H509" s="1">
        <f t="shared" si="98"/>
        <v>49</v>
      </c>
      <c r="I509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PND'!$BT$49</v>
      </c>
      <c r="J509" s="1" t="s">
        <v>2276</v>
      </c>
    </row>
    <row r="510" spans="1:10" x14ac:dyDescent="0.35">
      <c r="A510" s="6" t="s">
        <v>16</v>
      </c>
      <c r="B510" s="6">
        <f>+B509+1</f>
        <v>2037</v>
      </c>
      <c r="C510" s="1" t="s">
        <v>34</v>
      </c>
      <c r="D510" s="2" t="s">
        <v>2003</v>
      </c>
      <c r="E510" s="9" t="str">
        <f t="shared" si="95"/>
        <v>PND'!</v>
      </c>
      <c r="F510" s="5" t="str">
        <f t="shared" si="11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10" s="6" t="s">
        <v>101</v>
      </c>
      <c r="H510" s="1">
        <f t="shared" si="98"/>
        <v>50</v>
      </c>
      <c r="I510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PND'!$BT$50</v>
      </c>
      <c r="J510" s="1" t="s">
        <v>2277</v>
      </c>
    </row>
    <row r="511" spans="1:10" x14ac:dyDescent="0.35">
      <c r="A511" s="6" t="s">
        <v>16</v>
      </c>
      <c r="B511" s="6">
        <f t="shared" ref="B511:B513" si="116">+B510+1</f>
        <v>2038</v>
      </c>
      <c r="C511" s="1" t="s">
        <v>34</v>
      </c>
      <c r="D511" s="2" t="s">
        <v>2003</v>
      </c>
      <c r="E511" s="9" t="str">
        <f t="shared" si="95"/>
        <v>PND'!</v>
      </c>
      <c r="F511" s="5" t="str">
        <f t="shared" si="11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11" s="6" t="s">
        <v>101</v>
      </c>
      <c r="H511" s="1">
        <f t="shared" si="98"/>
        <v>51</v>
      </c>
      <c r="I511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PND'!$BT$51</v>
      </c>
      <c r="J511" s="1" t="s">
        <v>2278</v>
      </c>
    </row>
    <row r="512" spans="1:10" x14ac:dyDescent="0.35">
      <c r="A512" s="6" t="s">
        <v>16</v>
      </c>
      <c r="B512" s="6">
        <f t="shared" si="116"/>
        <v>2039</v>
      </c>
      <c r="C512" s="1" t="s">
        <v>34</v>
      </c>
      <c r="D512" s="2" t="s">
        <v>2003</v>
      </c>
      <c r="E512" s="9" t="str">
        <f t="shared" si="95"/>
        <v>PND'!</v>
      </c>
      <c r="F512" s="5" t="str">
        <f t="shared" si="11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12" s="6" t="s">
        <v>101</v>
      </c>
      <c r="H512" s="1">
        <f t="shared" si="98"/>
        <v>52</v>
      </c>
      <c r="I512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PND'!$BT$52</v>
      </c>
      <c r="J512" s="1" t="s">
        <v>2279</v>
      </c>
    </row>
    <row r="513" spans="1:10" x14ac:dyDescent="0.35">
      <c r="A513" s="6" t="s">
        <v>16</v>
      </c>
      <c r="B513" s="6">
        <f t="shared" si="116"/>
        <v>2040</v>
      </c>
      <c r="C513" s="1" t="s">
        <v>34</v>
      </c>
      <c r="D513" s="2" t="s">
        <v>2003</v>
      </c>
      <c r="E513" s="9" t="str">
        <f t="shared" si="95"/>
        <v>PND'!</v>
      </c>
      <c r="F513" s="5" t="str">
        <f t="shared" si="11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13" s="6" t="s">
        <v>101</v>
      </c>
      <c r="H513" s="1">
        <f t="shared" si="98"/>
        <v>53</v>
      </c>
      <c r="I513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PND'!$BT$53</v>
      </c>
      <c r="J513" s="1" t="s">
        <v>2280</v>
      </c>
    </row>
    <row r="514" spans="1:10" x14ac:dyDescent="0.35">
      <c r="A514" s="6" t="s">
        <v>16</v>
      </c>
      <c r="B514" s="6">
        <f>+B513+1</f>
        <v>2041</v>
      </c>
      <c r="C514" s="1" t="s">
        <v>34</v>
      </c>
      <c r="D514" s="2" t="s">
        <v>2003</v>
      </c>
      <c r="E514" s="9" t="str">
        <f t="shared" si="95"/>
        <v>PND'!</v>
      </c>
      <c r="F514" s="5" t="str">
        <f t="shared" si="11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14" s="6" t="s">
        <v>101</v>
      </c>
      <c r="H514" s="1">
        <f t="shared" si="98"/>
        <v>54</v>
      </c>
      <c r="I514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PND'!$BT$54</v>
      </c>
      <c r="J514" s="1" t="s">
        <v>2281</v>
      </c>
    </row>
    <row r="515" spans="1:10" x14ac:dyDescent="0.35">
      <c r="A515" s="6" t="s">
        <v>16</v>
      </c>
      <c r="B515" s="6">
        <f t="shared" ref="B515:B516" si="117">+B514+1</f>
        <v>2042</v>
      </c>
      <c r="C515" s="1" t="s">
        <v>34</v>
      </c>
      <c r="D515" s="2" t="s">
        <v>2003</v>
      </c>
      <c r="E515" s="9" t="str">
        <f t="shared" ref="E515:E820" si="118">_xlfn.CONCAT(A515,"'!")</f>
        <v>PND'!</v>
      </c>
      <c r="F515" s="5" t="str">
        <f t="shared" si="11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15" s="6" t="s">
        <v>101</v>
      </c>
      <c r="H515" s="1">
        <f t="shared" si="98"/>
        <v>55</v>
      </c>
      <c r="I515" s="1" t="str">
        <f t="shared" ref="I515:I820" si="119">_xlfn.CONCAT("='",F515:H515)</f>
        <v>='C:\Users\jaime.benazar\Quorum Business Solutions\Ecopetrol Prometeo - Documents\Planning Space Implementation\3. Analysis &amp; Design\Design\FC22\DRR Jaime\Por presentar a ECP\Cantagallo\Cristalina\[VRC_CRISTALINA_CF_SEC_20221231.xlsx]CF PND'!$BT$55</v>
      </c>
      <c r="J515" s="1" t="s">
        <v>2282</v>
      </c>
    </row>
    <row r="516" spans="1:10" x14ac:dyDescent="0.35">
      <c r="A516" s="6" t="s">
        <v>16</v>
      </c>
      <c r="B516" s="6">
        <f t="shared" si="117"/>
        <v>2043</v>
      </c>
      <c r="C516" s="1" t="s">
        <v>34</v>
      </c>
      <c r="D516" s="2" t="s">
        <v>2003</v>
      </c>
      <c r="E516" s="9" t="str">
        <f t="shared" si="118"/>
        <v>PND'!</v>
      </c>
      <c r="F516" s="5" t="str">
        <f t="shared" si="11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16" s="6" t="s">
        <v>101</v>
      </c>
      <c r="H516" s="1">
        <f t="shared" ref="H516:H820" si="120">IF(A516&lt;&gt;A515,36,H515+1)</f>
        <v>56</v>
      </c>
      <c r="I516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PND'!$BT$56</v>
      </c>
      <c r="J516" s="1" t="s">
        <v>2283</v>
      </c>
    </row>
    <row r="517" spans="1:10" x14ac:dyDescent="0.35">
      <c r="A517" s="6" t="s">
        <v>16</v>
      </c>
      <c r="B517" s="6">
        <f>+B516+1</f>
        <v>2044</v>
      </c>
      <c r="C517" s="1" t="s">
        <v>34</v>
      </c>
      <c r="D517" s="2" t="s">
        <v>2003</v>
      </c>
      <c r="E517" s="9" t="str">
        <f t="shared" ref="E517:E532" si="121">_xlfn.CONCAT(A517,"'!")</f>
        <v>PND'!</v>
      </c>
      <c r="F517" s="5" t="str">
        <f t="shared" ref="F517:F532" si="122">_xlfn.CONCAT(D517," ",E517)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17" s="6" t="s">
        <v>101</v>
      </c>
      <c r="H517" s="1">
        <f t="shared" ref="H517:H532" si="123">IF(A517&lt;&gt;A516,36,H516+1)</f>
        <v>57</v>
      </c>
      <c r="I517" s="1" t="str">
        <f t="shared" ref="I517:I532" si="124">_xlfn.CONCAT("='",F517:H517)</f>
        <v>='C:\Users\jaime.benazar\Quorum Business Solutions\Ecopetrol Prometeo - Documents\Planning Space Implementation\3. Analysis &amp; Design\Design\FC22\DRR Jaime\Por presentar a ECP\Cantagallo\Cristalina\[VRC_CRISTALINA_CF_SEC_20221231.xlsx]CF PND'!$BT$57</v>
      </c>
      <c r="J517" s="1" t="s">
        <v>2284</v>
      </c>
    </row>
    <row r="518" spans="1:10" x14ac:dyDescent="0.35">
      <c r="A518" s="6" t="s">
        <v>16</v>
      </c>
      <c r="B518" s="6">
        <f t="shared" ref="B518:B532" si="125">+B517+1</f>
        <v>2045</v>
      </c>
      <c r="C518" s="1" t="s">
        <v>34</v>
      </c>
      <c r="D518" s="2" t="s">
        <v>2003</v>
      </c>
      <c r="E518" s="9" t="str">
        <f t="shared" si="121"/>
        <v>PND'!</v>
      </c>
      <c r="F518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18" s="6" t="s">
        <v>101</v>
      </c>
      <c r="H518" s="1">
        <f t="shared" si="123"/>
        <v>58</v>
      </c>
      <c r="I518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PND'!$BT$58</v>
      </c>
      <c r="J518" s="1" t="s">
        <v>2285</v>
      </c>
    </row>
    <row r="519" spans="1:10" x14ac:dyDescent="0.35">
      <c r="A519" s="6" t="s">
        <v>16</v>
      </c>
      <c r="B519" s="6">
        <f t="shared" si="125"/>
        <v>2046</v>
      </c>
      <c r="C519" s="1" t="s">
        <v>34</v>
      </c>
      <c r="D519" s="2" t="s">
        <v>2003</v>
      </c>
      <c r="E519" s="9" t="str">
        <f t="shared" si="121"/>
        <v>PND'!</v>
      </c>
      <c r="F519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19" s="6" t="s">
        <v>101</v>
      </c>
      <c r="H519" s="1">
        <f t="shared" si="123"/>
        <v>59</v>
      </c>
      <c r="I519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PND'!$BT$59</v>
      </c>
      <c r="J519" s="1" t="s">
        <v>2286</v>
      </c>
    </row>
    <row r="520" spans="1:10" x14ac:dyDescent="0.35">
      <c r="A520" s="6" t="s">
        <v>16</v>
      </c>
      <c r="B520" s="6">
        <f t="shared" si="125"/>
        <v>2047</v>
      </c>
      <c r="C520" s="1" t="s">
        <v>34</v>
      </c>
      <c r="D520" s="2" t="s">
        <v>2003</v>
      </c>
      <c r="E520" s="9" t="str">
        <f t="shared" si="121"/>
        <v>PND'!</v>
      </c>
      <c r="F520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20" s="6" t="s">
        <v>101</v>
      </c>
      <c r="H520" s="1">
        <f t="shared" si="123"/>
        <v>60</v>
      </c>
      <c r="I520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PND'!$BT$60</v>
      </c>
      <c r="J520" s="1" t="s">
        <v>2287</v>
      </c>
    </row>
    <row r="521" spans="1:10" x14ac:dyDescent="0.35">
      <c r="A521" s="6" t="s">
        <v>16</v>
      </c>
      <c r="B521" s="6">
        <f t="shared" si="125"/>
        <v>2048</v>
      </c>
      <c r="C521" s="1" t="s">
        <v>34</v>
      </c>
      <c r="D521" s="2" t="s">
        <v>2003</v>
      </c>
      <c r="E521" s="9" t="str">
        <f t="shared" si="121"/>
        <v>PND'!</v>
      </c>
      <c r="F521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21" s="6" t="s">
        <v>101</v>
      </c>
      <c r="H521" s="1">
        <f t="shared" si="123"/>
        <v>61</v>
      </c>
      <c r="I521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PND'!$BT$61</v>
      </c>
      <c r="J521" s="1" t="s">
        <v>2288</v>
      </c>
    </row>
    <row r="522" spans="1:10" x14ac:dyDescent="0.35">
      <c r="A522" s="6" t="s">
        <v>16</v>
      </c>
      <c r="B522" s="6">
        <f t="shared" si="125"/>
        <v>2049</v>
      </c>
      <c r="C522" s="1" t="s">
        <v>34</v>
      </c>
      <c r="D522" s="2" t="s">
        <v>2003</v>
      </c>
      <c r="E522" s="9" t="str">
        <f t="shared" si="121"/>
        <v>PND'!</v>
      </c>
      <c r="F522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22" s="6" t="s">
        <v>101</v>
      </c>
      <c r="H522" s="1">
        <f t="shared" si="123"/>
        <v>62</v>
      </c>
      <c r="I522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PND'!$BT$62</v>
      </c>
      <c r="J522" s="1" t="s">
        <v>2289</v>
      </c>
    </row>
    <row r="523" spans="1:10" x14ac:dyDescent="0.35">
      <c r="A523" s="6" t="s">
        <v>16</v>
      </c>
      <c r="B523" s="6">
        <f t="shared" si="125"/>
        <v>2050</v>
      </c>
      <c r="C523" s="1" t="s">
        <v>34</v>
      </c>
      <c r="D523" s="2" t="s">
        <v>2003</v>
      </c>
      <c r="E523" s="9" t="str">
        <f t="shared" si="121"/>
        <v>PND'!</v>
      </c>
      <c r="F523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23" s="6" t="s">
        <v>101</v>
      </c>
      <c r="H523" s="1">
        <f t="shared" si="123"/>
        <v>63</v>
      </c>
      <c r="I523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PND'!$BT$63</v>
      </c>
      <c r="J523" s="1" t="s">
        <v>2290</v>
      </c>
    </row>
    <row r="524" spans="1:10" x14ac:dyDescent="0.35">
      <c r="A524" s="6" t="s">
        <v>16</v>
      </c>
      <c r="B524" s="6">
        <f t="shared" si="125"/>
        <v>2051</v>
      </c>
      <c r="C524" s="1" t="s">
        <v>34</v>
      </c>
      <c r="D524" s="2" t="s">
        <v>2003</v>
      </c>
      <c r="E524" s="9" t="str">
        <f t="shared" si="121"/>
        <v>PND'!</v>
      </c>
      <c r="F524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24" s="6" t="s">
        <v>101</v>
      </c>
      <c r="H524" s="1">
        <f t="shared" si="123"/>
        <v>64</v>
      </c>
      <c r="I524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PND'!$BT$64</v>
      </c>
      <c r="J524" s="1" t="s">
        <v>2291</v>
      </c>
    </row>
    <row r="525" spans="1:10" x14ac:dyDescent="0.35">
      <c r="A525" s="6" t="s">
        <v>16</v>
      </c>
      <c r="B525" s="6">
        <f t="shared" si="125"/>
        <v>2052</v>
      </c>
      <c r="C525" s="1" t="s">
        <v>34</v>
      </c>
      <c r="D525" s="2" t="s">
        <v>2003</v>
      </c>
      <c r="E525" s="9" t="str">
        <f t="shared" si="121"/>
        <v>PND'!</v>
      </c>
      <c r="F525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25" s="6" t="s">
        <v>101</v>
      </c>
      <c r="H525" s="1">
        <f t="shared" si="123"/>
        <v>65</v>
      </c>
      <c r="I525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PND'!$BT$65</v>
      </c>
      <c r="J525" s="1" t="s">
        <v>2292</v>
      </c>
    </row>
    <row r="526" spans="1:10" x14ac:dyDescent="0.35">
      <c r="A526" s="6" t="s">
        <v>16</v>
      </c>
      <c r="B526" s="6">
        <f t="shared" si="125"/>
        <v>2053</v>
      </c>
      <c r="C526" s="1" t="s">
        <v>34</v>
      </c>
      <c r="D526" s="2" t="s">
        <v>2003</v>
      </c>
      <c r="E526" s="9" t="str">
        <f t="shared" si="121"/>
        <v>PND'!</v>
      </c>
      <c r="F526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26" s="6" t="s">
        <v>101</v>
      </c>
      <c r="H526" s="1">
        <f t="shared" si="123"/>
        <v>66</v>
      </c>
      <c r="I526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PND'!$BT$66</v>
      </c>
      <c r="J526" s="1" t="s">
        <v>2293</v>
      </c>
    </row>
    <row r="527" spans="1:10" x14ac:dyDescent="0.35">
      <c r="A527" s="6" t="s">
        <v>16</v>
      </c>
      <c r="B527" s="6">
        <f t="shared" si="125"/>
        <v>2054</v>
      </c>
      <c r="C527" s="1" t="s">
        <v>34</v>
      </c>
      <c r="D527" s="2" t="s">
        <v>2003</v>
      </c>
      <c r="E527" s="9" t="str">
        <f t="shared" si="121"/>
        <v>PND'!</v>
      </c>
      <c r="F527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27" s="6" t="s">
        <v>101</v>
      </c>
      <c r="H527" s="1">
        <f t="shared" si="123"/>
        <v>67</v>
      </c>
      <c r="I527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PND'!$BT$67</v>
      </c>
      <c r="J527" s="1" t="s">
        <v>2294</v>
      </c>
    </row>
    <row r="528" spans="1:10" x14ac:dyDescent="0.35">
      <c r="A528" s="6" t="s">
        <v>16</v>
      </c>
      <c r="B528" s="6">
        <f t="shared" si="125"/>
        <v>2055</v>
      </c>
      <c r="C528" s="1" t="s">
        <v>34</v>
      </c>
      <c r="D528" s="2" t="s">
        <v>2003</v>
      </c>
      <c r="E528" s="9" t="str">
        <f t="shared" si="121"/>
        <v>PND'!</v>
      </c>
      <c r="F528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28" s="6" t="s">
        <v>101</v>
      </c>
      <c r="H528" s="1">
        <f t="shared" si="123"/>
        <v>68</v>
      </c>
      <c r="I528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PND'!$BT$68</v>
      </c>
      <c r="J528" s="1" t="s">
        <v>2295</v>
      </c>
    </row>
    <row r="529" spans="1:10" x14ac:dyDescent="0.35">
      <c r="A529" s="6" t="s">
        <v>16</v>
      </c>
      <c r="B529" s="6">
        <f t="shared" si="125"/>
        <v>2056</v>
      </c>
      <c r="C529" s="1" t="s">
        <v>34</v>
      </c>
      <c r="D529" s="2" t="s">
        <v>2003</v>
      </c>
      <c r="E529" s="9" t="str">
        <f t="shared" si="121"/>
        <v>PND'!</v>
      </c>
      <c r="F529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29" s="6" t="s">
        <v>101</v>
      </c>
      <c r="H529" s="1">
        <f t="shared" si="123"/>
        <v>69</v>
      </c>
      <c r="I529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PND'!$BT$69</v>
      </c>
      <c r="J529" s="1" t="s">
        <v>2296</v>
      </c>
    </row>
    <row r="530" spans="1:10" x14ac:dyDescent="0.35">
      <c r="A530" s="6" t="s">
        <v>16</v>
      </c>
      <c r="B530" s="6">
        <f t="shared" si="125"/>
        <v>2057</v>
      </c>
      <c r="C530" s="1" t="s">
        <v>34</v>
      </c>
      <c r="D530" s="2" t="s">
        <v>2003</v>
      </c>
      <c r="E530" s="9" t="str">
        <f t="shared" si="121"/>
        <v>PND'!</v>
      </c>
      <c r="F530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30" s="6" t="s">
        <v>101</v>
      </c>
      <c r="H530" s="1">
        <f t="shared" si="123"/>
        <v>70</v>
      </c>
      <c r="I530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PND'!$BT$70</v>
      </c>
      <c r="J530" s="1" t="s">
        <v>2297</v>
      </c>
    </row>
    <row r="531" spans="1:10" x14ac:dyDescent="0.35">
      <c r="A531" s="6" t="s">
        <v>16</v>
      </c>
      <c r="B531" s="6">
        <f t="shared" si="125"/>
        <v>2058</v>
      </c>
      <c r="C531" s="1" t="s">
        <v>34</v>
      </c>
      <c r="D531" s="2" t="s">
        <v>2003</v>
      </c>
      <c r="E531" s="9" t="str">
        <f t="shared" si="121"/>
        <v>PND'!</v>
      </c>
      <c r="F531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31" s="6" t="s">
        <v>101</v>
      </c>
      <c r="H531" s="1">
        <f t="shared" si="123"/>
        <v>71</v>
      </c>
      <c r="I531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PND'!$BT$71</v>
      </c>
      <c r="J531" s="1" t="s">
        <v>2298</v>
      </c>
    </row>
    <row r="532" spans="1:10" x14ac:dyDescent="0.35">
      <c r="A532" s="6" t="s">
        <v>16</v>
      </c>
      <c r="B532" s="6">
        <f t="shared" si="125"/>
        <v>2059</v>
      </c>
      <c r="C532" s="1" t="s">
        <v>34</v>
      </c>
      <c r="D532" s="2" t="s">
        <v>2003</v>
      </c>
      <c r="E532" s="9" t="str">
        <f t="shared" si="121"/>
        <v>PND'!</v>
      </c>
      <c r="F532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32" s="6" t="s">
        <v>101</v>
      </c>
      <c r="H532" s="1">
        <f t="shared" si="123"/>
        <v>72</v>
      </c>
      <c r="I532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PND'!$BT$72</v>
      </c>
      <c r="J532" s="1" t="s">
        <v>2299</v>
      </c>
    </row>
    <row r="533" spans="1:10" x14ac:dyDescent="0.35">
      <c r="A533" s="6" t="s">
        <v>26</v>
      </c>
      <c r="B533" s="6"/>
      <c r="C533" s="1" t="s">
        <v>34</v>
      </c>
      <c r="D533" s="2"/>
      <c r="E533" s="9"/>
      <c r="F533" s="2"/>
      <c r="G533" s="6"/>
      <c r="H533" s="1"/>
      <c r="I533" s="1"/>
      <c r="J533" s="4"/>
    </row>
    <row r="534" spans="1:10" x14ac:dyDescent="0.35">
      <c r="A534" s="6" t="s">
        <v>17</v>
      </c>
      <c r="B534" s="6">
        <v>2023</v>
      </c>
      <c r="C534" s="1" t="s">
        <v>34</v>
      </c>
      <c r="D534" s="2" t="s">
        <v>2003</v>
      </c>
      <c r="E534" s="9" t="str">
        <f t="shared" ref="E534:E554" si="126">_xlfn.CONCAT(A534,"'!")</f>
        <v>PRBDP'!</v>
      </c>
      <c r="F534" s="5" t="str">
        <f t="shared" ref="F534:F625" si="127">_xlfn.CONCAT(D534," ",E534)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34" s="6" t="s">
        <v>101</v>
      </c>
      <c r="H534" s="1"/>
      <c r="I534" s="1"/>
      <c r="J534" s="1"/>
    </row>
    <row r="535" spans="1:10" x14ac:dyDescent="0.35">
      <c r="A535" s="6" t="s">
        <v>17</v>
      </c>
      <c r="B535" s="6">
        <f>+B534+1</f>
        <v>2024</v>
      </c>
      <c r="C535" s="1" t="s">
        <v>34</v>
      </c>
      <c r="D535" s="2" t="s">
        <v>2003</v>
      </c>
      <c r="E535" s="9" t="str">
        <f t="shared" si="126"/>
        <v>PRBDP'!</v>
      </c>
      <c r="F535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35" s="6" t="s">
        <v>101</v>
      </c>
      <c r="H535" s="1"/>
      <c r="I535" s="1"/>
      <c r="J535" s="1"/>
    </row>
    <row r="536" spans="1:10" x14ac:dyDescent="0.35">
      <c r="A536" s="6" t="s">
        <v>17</v>
      </c>
      <c r="B536" s="6">
        <f t="shared" ref="B536:B547" si="128">+B535+1</f>
        <v>2025</v>
      </c>
      <c r="C536" s="1" t="s">
        <v>34</v>
      </c>
      <c r="D536" s="2" t="s">
        <v>2003</v>
      </c>
      <c r="E536" s="9" t="str">
        <f t="shared" si="126"/>
        <v>PRBDP'!</v>
      </c>
      <c r="F536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36" s="6" t="s">
        <v>101</v>
      </c>
      <c r="H536" s="1"/>
      <c r="I536" s="1"/>
      <c r="J536" s="1"/>
    </row>
    <row r="537" spans="1:10" x14ac:dyDescent="0.35">
      <c r="A537" s="6" t="s">
        <v>17</v>
      </c>
      <c r="B537" s="6">
        <f t="shared" si="128"/>
        <v>2026</v>
      </c>
      <c r="C537" s="1" t="s">
        <v>34</v>
      </c>
      <c r="D537" s="2" t="s">
        <v>2003</v>
      </c>
      <c r="E537" s="9" t="str">
        <f t="shared" si="126"/>
        <v>PRBDP'!</v>
      </c>
      <c r="F537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37" s="6" t="s">
        <v>101</v>
      </c>
      <c r="H537" s="1"/>
      <c r="I537" s="1"/>
      <c r="J537" s="1"/>
    </row>
    <row r="538" spans="1:10" x14ac:dyDescent="0.35">
      <c r="A538" s="6" t="s">
        <v>17</v>
      </c>
      <c r="B538" s="6">
        <f t="shared" si="128"/>
        <v>2027</v>
      </c>
      <c r="C538" s="1" t="s">
        <v>34</v>
      </c>
      <c r="D538" s="2" t="s">
        <v>2003</v>
      </c>
      <c r="E538" s="9" t="str">
        <f t="shared" si="126"/>
        <v>PRBDP'!</v>
      </c>
      <c r="F538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38" s="6" t="s">
        <v>101</v>
      </c>
      <c r="H538" s="1"/>
      <c r="I538" s="1"/>
      <c r="J538" s="1"/>
    </row>
    <row r="539" spans="1:10" x14ac:dyDescent="0.35">
      <c r="A539" s="6" t="s">
        <v>17</v>
      </c>
      <c r="B539" s="6">
        <f t="shared" si="128"/>
        <v>2028</v>
      </c>
      <c r="C539" s="1" t="s">
        <v>34</v>
      </c>
      <c r="D539" s="2" t="s">
        <v>2003</v>
      </c>
      <c r="E539" s="9" t="str">
        <f t="shared" si="126"/>
        <v>PRBDP'!</v>
      </c>
      <c r="F539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39" s="6" t="s">
        <v>101</v>
      </c>
      <c r="H539" s="1"/>
      <c r="I539" s="1"/>
      <c r="J539" s="1"/>
    </row>
    <row r="540" spans="1:10" x14ac:dyDescent="0.35">
      <c r="A540" s="6" t="s">
        <v>17</v>
      </c>
      <c r="B540" s="6">
        <f t="shared" si="128"/>
        <v>2029</v>
      </c>
      <c r="C540" s="1" t="s">
        <v>34</v>
      </c>
      <c r="D540" s="2" t="s">
        <v>2003</v>
      </c>
      <c r="E540" s="9" t="str">
        <f t="shared" si="126"/>
        <v>PRBDP'!</v>
      </c>
      <c r="F540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40" s="6" t="s">
        <v>101</v>
      </c>
      <c r="H540" s="1"/>
      <c r="I540" s="1"/>
      <c r="J540" s="1"/>
    </row>
    <row r="541" spans="1:10" x14ac:dyDescent="0.35">
      <c r="A541" s="6" t="s">
        <v>17</v>
      </c>
      <c r="B541" s="6">
        <f t="shared" si="128"/>
        <v>2030</v>
      </c>
      <c r="C541" s="1" t="s">
        <v>34</v>
      </c>
      <c r="D541" s="2" t="s">
        <v>2003</v>
      </c>
      <c r="E541" s="9" t="str">
        <f t="shared" si="126"/>
        <v>PRBDP'!</v>
      </c>
      <c r="F541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41" s="6" t="s">
        <v>101</v>
      </c>
      <c r="H541" s="1"/>
      <c r="I541" s="1"/>
      <c r="J541" s="1"/>
    </row>
    <row r="542" spans="1:10" x14ac:dyDescent="0.35">
      <c r="A542" s="6" t="s">
        <v>17</v>
      </c>
      <c r="B542" s="6">
        <f t="shared" si="128"/>
        <v>2031</v>
      </c>
      <c r="C542" s="1" t="s">
        <v>34</v>
      </c>
      <c r="D542" s="2" t="s">
        <v>2003</v>
      </c>
      <c r="E542" s="9" t="str">
        <f t="shared" si="126"/>
        <v>PRBDP'!</v>
      </c>
      <c r="F542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42" s="6" t="s">
        <v>101</v>
      </c>
      <c r="H542" s="1"/>
      <c r="I542" s="1"/>
      <c r="J542" s="1"/>
    </row>
    <row r="543" spans="1:10" x14ac:dyDescent="0.35">
      <c r="A543" s="6" t="s">
        <v>17</v>
      </c>
      <c r="B543" s="6">
        <f t="shared" si="128"/>
        <v>2032</v>
      </c>
      <c r="C543" s="1" t="s">
        <v>34</v>
      </c>
      <c r="D543" s="2" t="s">
        <v>2003</v>
      </c>
      <c r="E543" s="9" t="str">
        <f t="shared" si="126"/>
        <v>PRBDP'!</v>
      </c>
      <c r="F543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43" s="6" t="s">
        <v>101</v>
      </c>
      <c r="H543" s="1"/>
      <c r="I543" s="1"/>
      <c r="J543" s="1"/>
    </row>
    <row r="544" spans="1:10" x14ac:dyDescent="0.35">
      <c r="A544" s="6" t="s">
        <v>17</v>
      </c>
      <c r="B544" s="6">
        <f t="shared" si="128"/>
        <v>2033</v>
      </c>
      <c r="C544" s="1" t="s">
        <v>34</v>
      </c>
      <c r="D544" s="2" t="s">
        <v>2003</v>
      </c>
      <c r="E544" s="9" t="str">
        <f t="shared" si="126"/>
        <v>PRBDP'!</v>
      </c>
      <c r="F544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44" s="6" t="s">
        <v>101</v>
      </c>
      <c r="H544" s="1"/>
      <c r="I544" s="1"/>
      <c r="J544" s="1"/>
    </row>
    <row r="545" spans="1:10" x14ac:dyDescent="0.35">
      <c r="A545" s="6" t="s">
        <v>17</v>
      </c>
      <c r="B545" s="6">
        <f t="shared" si="128"/>
        <v>2034</v>
      </c>
      <c r="C545" s="1" t="s">
        <v>34</v>
      </c>
      <c r="D545" s="2" t="s">
        <v>2003</v>
      </c>
      <c r="E545" s="9" t="str">
        <f t="shared" si="126"/>
        <v>PRBDP'!</v>
      </c>
      <c r="F545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45" s="6" t="s">
        <v>101</v>
      </c>
      <c r="H545" s="1"/>
      <c r="I545" s="1"/>
      <c r="J545" s="1"/>
    </row>
    <row r="546" spans="1:10" x14ac:dyDescent="0.35">
      <c r="A546" s="6" t="s">
        <v>17</v>
      </c>
      <c r="B546" s="6">
        <f t="shared" si="128"/>
        <v>2035</v>
      </c>
      <c r="C546" s="1" t="s">
        <v>34</v>
      </c>
      <c r="D546" s="2" t="s">
        <v>2003</v>
      </c>
      <c r="E546" s="9" t="str">
        <f t="shared" si="126"/>
        <v>PRBDP'!</v>
      </c>
      <c r="F546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46" s="6" t="s">
        <v>101</v>
      </c>
      <c r="H546" s="1"/>
      <c r="I546" s="1"/>
      <c r="J546" s="1"/>
    </row>
    <row r="547" spans="1:10" x14ac:dyDescent="0.35">
      <c r="A547" s="6" t="s">
        <v>17</v>
      </c>
      <c r="B547" s="6">
        <f t="shared" si="128"/>
        <v>2036</v>
      </c>
      <c r="C547" s="1" t="s">
        <v>34</v>
      </c>
      <c r="D547" s="2" t="s">
        <v>2003</v>
      </c>
      <c r="E547" s="9" t="str">
        <f t="shared" si="126"/>
        <v>PRBDP'!</v>
      </c>
      <c r="F547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47" s="6" t="s">
        <v>101</v>
      </c>
      <c r="H547" s="1"/>
      <c r="I547" s="1"/>
      <c r="J547" s="1"/>
    </row>
    <row r="548" spans="1:10" x14ac:dyDescent="0.35">
      <c r="A548" s="6" t="s">
        <v>17</v>
      </c>
      <c r="B548" s="6">
        <f>+B547+1</f>
        <v>2037</v>
      </c>
      <c r="C548" s="1" t="s">
        <v>34</v>
      </c>
      <c r="D548" s="2" t="s">
        <v>2003</v>
      </c>
      <c r="E548" s="9" t="str">
        <f t="shared" si="126"/>
        <v>PRBDP'!</v>
      </c>
      <c r="F548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48" s="6" t="s">
        <v>101</v>
      </c>
      <c r="H548" s="1"/>
      <c r="I548" s="1"/>
      <c r="J548" s="1"/>
    </row>
    <row r="549" spans="1:10" x14ac:dyDescent="0.35">
      <c r="A549" s="6" t="s">
        <v>17</v>
      </c>
      <c r="B549" s="6">
        <f t="shared" ref="B549:B551" si="129">+B548+1</f>
        <v>2038</v>
      </c>
      <c r="C549" s="1" t="s">
        <v>34</v>
      </c>
      <c r="D549" s="2" t="s">
        <v>2003</v>
      </c>
      <c r="E549" s="9" t="str">
        <f t="shared" si="126"/>
        <v>PRBDP'!</v>
      </c>
      <c r="F549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49" s="6" t="s">
        <v>101</v>
      </c>
      <c r="H549" s="1"/>
      <c r="I549" s="1"/>
      <c r="J549" s="1"/>
    </row>
    <row r="550" spans="1:10" x14ac:dyDescent="0.35">
      <c r="A550" s="6" t="s">
        <v>17</v>
      </c>
      <c r="B550" s="6">
        <f t="shared" si="129"/>
        <v>2039</v>
      </c>
      <c r="C550" s="1" t="s">
        <v>34</v>
      </c>
      <c r="D550" s="2" t="s">
        <v>2003</v>
      </c>
      <c r="E550" s="9" t="str">
        <f t="shared" si="126"/>
        <v>PRBDP'!</v>
      </c>
      <c r="F550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50" s="6" t="s">
        <v>101</v>
      </c>
      <c r="H550" s="1"/>
      <c r="I550" s="1"/>
      <c r="J550" s="1"/>
    </row>
    <row r="551" spans="1:10" x14ac:dyDescent="0.35">
      <c r="A551" s="6" t="s">
        <v>17</v>
      </c>
      <c r="B551" s="6">
        <f t="shared" si="129"/>
        <v>2040</v>
      </c>
      <c r="C551" s="1" t="s">
        <v>34</v>
      </c>
      <c r="D551" s="2" t="s">
        <v>2003</v>
      </c>
      <c r="E551" s="9" t="str">
        <f t="shared" si="126"/>
        <v>PRBDP'!</v>
      </c>
      <c r="F551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51" s="6" t="s">
        <v>101</v>
      </c>
      <c r="H551" s="1"/>
      <c r="I551" s="1"/>
      <c r="J551" s="1"/>
    </row>
    <row r="552" spans="1:10" x14ac:dyDescent="0.35">
      <c r="A552" s="6" t="s">
        <v>17</v>
      </c>
      <c r="B552" s="6">
        <f>+B551+1</f>
        <v>2041</v>
      </c>
      <c r="C552" s="1" t="s">
        <v>34</v>
      </c>
      <c r="D552" s="2" t="s">
        <v>2003</v>
      </c>
      <c r="E552" s="9" t="str">
        <f t="shared" si="126"/>
        <v>PRBDP'!</v>
      </c>
      <c r="F552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52" s="6" t="s">
        <v>101</v>
      </c>
      <c r="H552" s="1"/>
      <c r="I552" s="1"/>
      <c r="J552" s="1"/>
    </row>
    <row r="553" spans="1:10" x14ac:dyDescent="0.35">
      <c r="A553" s="6" t="s">
        <v>17</v>
      </c>
      <c r="B553" s="6">
        <f t="shared" ref="B553:B554" si="130">+B552+1</f>
        <v>2042</v>
      </c>
      <c r="C553" s="1" t="s">
        <v>34</v>
      </c>
      <c r="D553" s="2" t="s">
        <v>2003</v>
      </c>
      <c r="E553" s="9" t="str">
        <f t="shared" si="126"/>
        <v>PRBDP'!</v>
      </c>
      <c r="F553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53" s="6" t="s">
        <v>101</v>
      </c>
      <c r="H553" s="1"/>
      <c r="I553" s="1"/>
      <c r="J553" s="1"/>
    </row>
    <row r="554" spans="1:10" x14ac:dyDescent="0.35">
      <c r="A554" s="6" t="s">
        <v>17</v>
      </c>
      <c r="B554" s="6">
        <f t="shared" si="130"/>
        <v>2043</v>
      </c>
      <c r="C554" s="1" t="s">
        <v>34</v>
      </c>
      <c r="D554" s="2" t="s">
        <v>2003</v>
      </c>
      <c r="E554" s="9" t="str">
        <f t="shared" si="126"/>
        <v>PRBDP'!</v>
      </c>
      <c r="F554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54" s="6" t="s">
        <v>101</v>
      </c>
      <c r="H554" s="1"/>
      <c r="I554" s="1"/>
      <c r="J554" s="1"/>
    </row>
    <row r="555" spans="1:10" x14ac:dyDescent="0.35">
      <c r="A555" s="6" t="s">
        <v>17</v>
      </c>
      <c r="B555" s="6">
        <f>+B554+1</f>
        <v>2044</v>
      </c>
      <c r="C555" s="1" t="s">
        <v>34</v>
      </c>
      <c r="D555" s="2" t="s">
        <v>2003</v>
      </c>
      <c r="E555" s="9" t="str">
        <f t="shared" ref="E555:E570" si="131">_xlfn.CONCAT(A555,"'!")</f>
        <v>PRBDP'!</v>
      </c>
      <c r="F555" s="5" t="str">
        <f t="shared" ref="F555:F570" si="132">_xlfn.CONCAT(D555," ",E555)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55" s="6" t="s">
        <v>101</v>
      </c>
      <c r="H555" s="1"/>
      <c r="I555" s="1"/>
      <c r="J555" s="1"/>
    </row>
    <row r="556" spans="1:10" x14ac:dyDescent="0.35">
      <c r="A556" s="6" t="s">
        <v>17</v>
      </c>
      <c r="B556" s="6">
        <f t="shared" ref="B556:B570" si="133">+B555+1</f>
        <v>2045</v>
      </c>
      <c r="C556" s="1" t="s">
        <v>34</v>
      </c>
      <c r="D556" s="2" t="s">
        <v>2003</v>
      </c>
      <c r="E556" s="9" t="str">
        <f t="shared" si="131"/>
        <v>PRBDP'!</v>
      </c>
      <c r="F556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56" s="6" t="s">
        <v>101</v>
      </c>
      <c r="H556" s="1"/>
      <c r="I556" s="1"/>
      <c r="J556" s="1"/>
    </row>
    <row r="557" spans="1:10" x14ac:dyDescent="0.35">
      <c r="A557" s="6" t="s">
        <v>17</v>
      </c>
      <c r="B557" s="6">
        <f t="shared" si="133"/>
        <v>2046</v>
      </c>
      <c r="C557" s="1" t="s">
        <v>34</v>
      </c>
      <c r="D557" s="2" t="s">
        <v>2003</v>
      </c>
      <c r="E557" s="9" t="str">
        <f t="shared" si="131"/>
        <v>PRBDP'!</v>
      </c>
      <c r="F557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57" s="6" t="s">
        <v>101</v>
      </c>
      <c r="H557" s="1"/>
      <c r="I557" s="1"/>
      <c r="J557" s="1"/>
    </row>
    <row r="558" spans="1:10" x14ac:dyDescent="0.35">
      <c r="A558" s="6" t="s">
        <v>17</v>
      </c>
      <c r="B558" s="6">
        <f t="shared" si="133"/>
        <v>2047</v>
      </c>
      <c r="C558" s="1" t="s">
        <v>34</v>
      </c>
      <c r="D558" s="2" t="s">
        <v>2003</v>
      </c>
      <c r="E558" s="9" t="str">
        <f t="shared" si="131"/>
        <v>PRBDP'!</v>
      </c>
      <c r="F558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58" s="6" t="s">
        <v>101</v>
      </c>
      <c r="H558" s="1"/>
      <c r="I558" s="1"/>
      <c r="J558" s="1"/>
    </row>
    <row r="559" spans="1:10" x14ac:dyDescent="0.35">
      <c r="A559" s="6" t="s">
        <v>17</v>
      </c>
      <c r="B559" s="6">
        <f t="shared" si="133"/>
        <v>2048</v>
      </c>
      <c r="C559" s="1" t="s">
        <v>34</v>
      </c>
      <c r="D559" s="2" t="s">
        <v>2003</v>
      </c>
      <c r="E559" s="9" t="str">
        <f t="shared" si="131"/>
        <v>PRBDP'!</v>
      </c>
      <c r="F559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59" s="6" t="s">
        <v>101</v>
      </c>
      <c r="H559" s="1"/>
      <c r="I559" s="1"/>
      <c r="J559" s="1"/>
    </row>
    <row r="560" spans="1:10" x14ac:dyDescent="0.35">
      <c r="A560" s="6" t="s">
        <v>17</v>
      </c>
      <c r="B560" s="6">
        <f t="shared" si="133"/>
        <v>2049</v>
      </c>
      <c r="C560" s="1" t="s">
        <v>34</v>
      </c>
      <c r="D560" s="2" t="s">
        <v>2003</v>
      </c>
      <c r="E560" s="9" t="str">
        <f t="shared" si="131"/>
        <v>PRBDP'!</v>
      </c>
      <c r="F560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60" s="6" t="s">
        <v>101</v>
      </c>
      <c r="H560" s="1"/>
      <c r="I560" s="1"/>
      <c r="J560" s="1"/>
    </row>
    <row r="561" spans="1:10" x14ac:dyDescent="0.35">
      <c r="A561" s="6" t="s">
        <v>17</v>
      </c>
      <c r="B561" s="6">
        <f t="shared" si="133"/>
        <v>2050</v>
      </c>
      <c r="C561" s="1" t="s">
        <v>34</v>
      </c>
      <c r="D561" s="2" t="s">
        <v>2003</v>
      </c>
      <c r="E561" s="9" t="str">
        <f t="shared" si="131"/>
        <v>PRBDP'!</v>
      </c>
      <c r="F561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61" s="6" t="s">
        <v>101</v>
      </c>
      <c r="H561" s="1"/>
      <c r="I561" s="1"/>
      <c r="J561" s="1"/>
    </row>
    <row r="562" spans="1:10" x14ac:dyDescent="0.35">
      <c r="A562" s="6" t="s">
        <v>17</v>
      </c>
      <c r="B562" s="6">
        <f t="shared" si="133"/>
        <v>2051</v>
      </c>
      <c r="C562" s="1" t="s">
        <v>34</v>
      </c>
      <c r="D562" s="2" t="s">
        <v>2003</v>
      </c>
      <c r="E562" s="9" t="str">
        <f t="shared" si="131"/>
        <v>PRBDP'!</v>
      </c>
      <c r="F562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62" s="6" t="s">
        <v>101</v>
      </c>
      <c r="H562" s="1"/>
      <c r="I562" s="1"/>
      <c r="J562" s="1"/>
    </row>
    <row r="563" spans="1:10" x14ac:dyDescent="0.35">
      <c r="A563" s="6" t="s">
        <v>17</v>
      </c>
      <c r="B563" s="6">
        <f t="shared" si="133"/>
        <v>2052</v>
      </c>
      <c r="C563" s="1" t="s">
        <v>34</v>
      </c>
      <c r="D563" s="2" t="s">
        <v>2003</v>
      </c>
      <c r="E563" s="9" t="str">
        <f t="shared" si="131"/>
        <v>PRBDP'!</v>
      </c>
      <c r="F563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63" s="6" t="s">
        <v>101</v>
      </c>
      <c r="H563" s="1"/>
      <c r="I563" s="1"/>
      <c r="J563" s="1"/>
    </row>
    <row r="564" spans="1:10" x14ac:dyDescent="0.35">
      <c r="A564" s="6" t="s">
        <v>17</v>
      </c>
      <c r="B564" s="6">
        <f t="shared" si="133"/>
        <v>2053</v>
      </c>
      <c r="C564" s="1" t="s">
        <v>34</v>
      </c>
      <c r="D564" s="2" t="s">
        <v>2003</v>
      </c>
      <c r="E564" s="9" t="str">
        <f t="shared" si="131"/>
        <v>PRBDP'!</v>
      </c>
      <c r="F564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64" s="6" t="s">
        <v>101</v>
      </c>
      <c r="H564" s="1"/>
      <c r="I564" s="1"/>
      <c r="J564" s="1"/>
    </row>
    <row r="565" spans="1:10" x14ac:dyDescent="0.35">
      <c r="A565" s="6" t="s">
        <v>17</v>
      </c>
      <c r="B565" s="6">
        <f t="shared" si="133"/>
        <v>2054</v>
      </c>
      <c r="C565" s="1" t="s">
        <v>34</v>
      </c>
      <c r="D565" s="2" t="s">
        <v>2003</v>
      </c>
      <c r="E565" s="9" t="str">
        <f t="shared" si="131"/>
        <v>PRBDP'!</v>
      </c>
      <c r="F565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65" s="6" t="s">
        <v>101</v>
      </c>
      <c r="H565" s="1"/>
      <c r="I565" s="1"/>
      <c r="J565" s="1"/>
    </row>
    <row r="566" spans="1:10" x14ac:dyDescent="0.35">
      <c r="A566" s="6" t="s">
        <v>17</v>
      </c>
      <c r="B566" s="6">
        <f t="shared" si="133"/>
        <v>2055</v>
      </c>
      <c r="C566" s="1" t="s">
        <v>34</v>
      </c>
      <c r="D566" s="2" t="s">
        <v>2003</v>
      </c>
      <c r="E566" s="9" t="str">
        <f t="shared" si="131"/>
        <v>PRBDP'!</v>
      </c>
      <c r="F566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66" s="6" t="s">
        <v>101</v>
      </c>
      <c r="H566" s="1"/>
      <c r="I566" s="1"/>
      <c r="J566" s="1"/>
    </row>
    <row r="567" spans="1:10" x14ac:dyDescent="0.35">
      <c r="A567" s="6" t="s">
        <v>17</v>
      </c>
      <c r="B567" s="6">
        <f t="shared" si="133"/>
        <v>2056</v>
      </c>
      <c r="C567" s="1" t="s">
        <v>34</v>
      </c>
      <c r="D567" s="2" t="s">
        <v>2003</v>
      </c>
      <c r="E567" s="9" t="str">
        <f t="shared" si="131"/>
        <v>PRBDP'!</v>
      </c>
      <c r="F567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67" s="6" t="s">
        <v>101</v>
      </c>
      <c r="H567" s="1"/>
      <c r="I567" s="1"/>
      <c r="J567" s="1"/>
    </row>
    <row r="568" spans="1:10" x14ac:dyDescent="0.35">
      <c r="A568" s="6" t="s">
        <v>17</v>
      </c>
      <c r="B568" s="6">
        <f t="shared" si="133"/>
        <v>2057</v>
      </c>
      <c r="C568" s="1" t="s">
        <v>34</v>
      </c>
      <c r="D568" s="2" t="s">
        <v>2003</v>
      </c>
      <c r="E568" s="9" t="str">
        <f t="shared" si="131"/>
        <v>PRBDP'!</v>
      </c>
      <c r="F568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68" s="6" t="s">
        <v>101</v>
      </c>
      <c r="H568" s="1"/>
      <c r="I568" s="1"/>
      <c r="J568" s="1"/>
    </row>
    <row r="569" spans="1:10" x14ac:dyDescent="0.35">
      <c r="A569" s="6" t="s">
        <v>17</v>
      </c>
      <c r="B569" s="6">
        <f t="shared" si="133"/>
        <v>2058</v>
      </c>
      <c r="C569" s="1" t="s">
        <v>34</v>
      </c>
      <c r="D569" s="2" t="s">
        <v>2003</v>
      </c>
      <c r="E569" s="9" t="str">
        <f t="shared" si="131"/>
        <v>PRBDP'!</v>
      </c>
      <c r="F569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69" s="6" t="s">
        <v>101</v>
      </c>
      <c r="H569" s="1"/>
      <c r="I569" s="1"/>
      <c r="J569" s="1"/>
    </row>
    <row r="570" spans="1:10" x14ac:dyDescent="0.35">
      <c r="A570" s="6" t="s">
        <v>17</v>
      </c>
      <c r="B570" s="6">
        <f t="shared" si="133"/>
        <v>2059</v>
      </c>
      <c r="C570" s="1" t="s">
        <v>34</v>
      </c>
      <c r="D570" s="2" t="s">
        <v>2003</v>
      </c>
      <c r="E570" s="9" t="str">
        <f t="shared" si="131"/>
        <v>PRBDP'!</v>
      </c>
      <c r="F570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70" s="6" t="s">
        <v>101</v>
      </c>
      <c r="H570" s="1"/>
      <c r="I570" s="1"/>
      <c r="J570" s="1"/>
    </row>
    <row r="571" spans="1:10" x14ac:dyDescent="0.35">
      <c r="A571" s="6" t="s">
        <v>26</v>
      </c>
      <c r="B571" s="6"/>
      <c r="C571" s="1" t="s">
        <v>34</v>
      </c>
      <c r="D571" s="2"/>
      <c r="E571" s="9"/>
      <c r="F571" s="2"/>
      <c r="G571" s="6"/>
      <c r="H571" s="1"/>
      <c r="I571" s="1"/>
      <c r="J571" s="1"/>
    </row>
    <row r="572" spans="1:10" x14ac:dyDescent="0.35">
      <c r="A572" s="6" t="s">
        <v>18</v>
      </c>
      <c r="B572" s="6">
        <v>2023</v>
      </c>
      <c r="C572" s="1" t="s">
        <v>34</v>
      </c>
      <c r="D572" s="2" t="s">
        <v>2003</v>
      </c>
      <c r="E572" s="9" t="str">
        <f t="shared" ref="E572:E592" si="134">_xlfn.CONCAT(A572,"'!")</f>
        <v>PRBNP'!</v>
      </c>
      <c r="F572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72" s="6" t="s">
        <v>101</v>
      </c>
      <c r="H572" s="1"/>
      <c r="I572" s="1"/>
      <c r="J572" s="1"/>
    </row>
    <row r="573" spans="1:10" x14ac:dyDescent="0.35">
      <c r="A573" s="6" t="s">
        <v>18</v>
      </c>
      <c r="B573" s="6">
        <f>+B572+1</f>
        <v>2024</v>
      </c>
      <c r="C573" s="1" t="s">
        <v>34</v>
      </c>
      <c r="D573" s="2" t="s">
        <v>2003</v>
      </c>
      <c r="E573" s="9" t="str">
        <f t="shared" si="134"/>
        <v>PRBNP'!</v>
      </c>
      <c r="F573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73" s="6" t="s">
        <v>101</v>
      </c>
      <c r="H573" s="1"/>
      <c r="I573" s="1"/>
      <c r="J573" s="1"/>
    </row>
    <row r="574" spans="1:10" x14ac:dyDescent="0.35">
      <c r="A574" s="6" t="s">
        <v>18</v>
      </c>
      <c r="B574" s="6">
        <f t="shared" ref="B574:B585" si="135">+B573+1</f>
        <v>2025</v>
      </c>
      <c r="C574" s="1" t="s">
        <v>34</v>
      </c>
      <c r="D574" s="2" t="s">
        <v>2003</v>
      </c>
      <c r="E574" s="9" t="str">
        <f t="shared" si="134"/>
        <v>PRBNP'!</v>
      </c>
      <c r="F574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74" s="6" t="s">
        <v>101</v>
      </c>
      <c r="H574" s="1"/>
      <c r="I574" s="1"/>
      <c r="J574" s="1"/>
    </row>
    <row r="575" spans="1:10" x14ac:dyDescent="0.35">
      <c r="A575" s="6" t="s">
        <v>18</v>
      </c>
      <c r="B575" s="6">
        <f t="shared" si="135"/>
        <v>2026</v>
      </c>
      <c r="C575" s="1" t="s">
        <v>34</v>
      </c>
      <c r="D575" s="2" t="s">
        <v>2003</v>
      </c>
      <c r="E575" s="9" t="str">
        <f t="shared" si="134"/>
        <v>PRBNP'!</v>
      </c>
      <c r="F575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75" s="6" t="s">
        <v>101</v>
      </c>
      <c r="H575" s="1"/>
      <c r="I575" s="1"/>
      <c r="J575" s="1"/>
    </row>
    <row r="576" spans="1:10" x14ac:dyDescent="0.35">
      <c r="A576" s="6" t="s">
        <v>18</v>
      </c>
      <c r="B576" s="6">
        <f t="shared" si="135"/>
        <v>2027</v>
      </c>
      <c r="C576" s="1" t="s">
        <v>34</v>
      </c>
      <c r="D576" s="2" t="s">
        <v>2003</v>
      </c>
      <c r="E576" s="9" t="str">
        <f t="shared" si="134"/>
        <v>PRBNP'!</v>
      </c>
      <c r="F576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76" s="6" t="s">
        <v>101</v>
      </c>
      <c r="H576" s="1"/>
      <c r="I576" s="1"/>
      <c r="J576" s="1"/>
    </row>
    <row r="577" spans="1:10" x14ac:dyDescent="0.35">
      <c r="A577" s="6" t="s">
        <v>18</v>
      </c>
      <c r="B577" s="6">
        <f t="shared" si="135"/>
        <v>2028</v>
      </c>
      <c r="C577" s="1" t="s">
        <v>34</v>
      </c>
      <c r="D577" s="2" t="s">
        <v>2003</v>
      </c>
      <c r="E577" s="9" t="str">
        <f t="shared" si="134"/>
        <v>PRBNP'!</v>
      </c>
      <c r="F577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77" s="6" t="s">
        <v>101</v>
      </c>
      <c r="H577" s="1"/>
      <c r="I577" s="1"/>
      <c r="J577" s="1"/>
    </row>
    <row r="578" spans="1:10" x14ac:dyDescent="0.35">
      <c r="A578" s="6" t="s">
        <v>18</v>
      </c>
      <c r="B578" s="6">
        <f t="shared" si="135"/>
        <v>2029</v>
      </c>
      <c r="C578" s="1" t="s">
        <v>34</v>
      </c>
      <c r="D578" s="2" t="s">
        <v>2003</v>
      </c>
      <c r="E578" s="9" t="str">
        <f t="shared" si="134"/>
        <v>PRBNP'!</v>
      </c>
      <c r="F578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78" s="6" t="s">
        <v>101</v>
      </c>
      <c r="H578" s="1"/>
      <c r="I578" s="1"/>
      <c r="J578" s="1"/>
    </row>
    <row r="579" spans="1:10" x14ac:dyDescent="0.35">
      <c r="A579" s="6" t="s">
        <v>18</v>
      </c>
      <c r="B579" s="6">
        <f t="shared" si="135"/>
        <v>2030</v>
      </c>
      <c r="C579" s="1" t="s">
        <v>34</v>
      </c>
      <c r="D579" s="2" t="s">
        <v>2003</v>
      </c>
      <c r="E579" s="9" t="str">
        <f t="shared" si="134"/>
        <v>PRBNP'!</v>
      </c>
      <c r="F579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79" s="6" t="s">
        <v>101</v>
      </c>
      <c r="H579" s="1"/>
      <c r="I579" s="1"/>
      <c r="J579" s="1"/>
    </row>
    <row r="580" spans="1:10" x14ac:dyDescent="0.35">
      <c r="A580" s="6" t="s">
        <v>18</v>
      </c>
      <c r="B580" s="6">
        <f t="shared" si="135"/>
        <v>2031</v>
      </c>
      <c r="C580" s="1" t="s">
        <v>34</v>
      </c>
      <c r="D580" s="2" t="s">
        <v>2003</v>
      </c>
      <c r="E580" s="9" t="str">
        <f t="shared" si="134"/>
        <v>PRBNP'!</v>
      </c>
      <c r="F580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80" s="6" t="s">
        <v>101</v>
      </c>
      <c r="H580" s="1"/>
      <c r="I580" s="1"/>
      <c r="J580" s="1"/>
    </row>
    <row r="581" spans="1:10" x14ac:dyDescent="0.35">
      <c r="A581" s="6" t="s">
        <v>18</v>
      </c>
      <c r="B581" s="6">
        <f t="shared" si="135"/>
        <v>2032</v>
      </c>
      <c r="C581" s="1" t="s">
        <v>34</v>
      </c>
      <c r="D581" s="2" t="s">
        <v>2003</v>
      </c>
      <c r="E581" s="9" t="str">
        <f t="shared" si="134"/>
        <v>PRBNP'!</v>
      </c>
      <c r="F581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81" s="6" t="s">
        <v>101</v>
      </c>
      <c r="H581" s="1"/>
      <c r="I581" s="1"/>
      <c r="J581" s="1"/>
    </row>
    <row r="582" spans="1:10" x14ac:dyDescent="0.35">
      <c r="A582" s="6" t="s">
        <v>18</v>
      </c>
      <c r="B582" s="6">
        <f t="shared" si="135"/>
        <v>2033</v>
      </c>
      <c r="C582" s="1" t="s">
        <v>34</v>
      </c>
      <c r="D582" s="2" t="s">
        <v>2003</v>
      </c>
      <c r="E582" s="9" t="str">
        <f t="shared" si="134"/>
        <v>PRBNP'!</v>
      </c>
      <c r="F582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82" s="6" t="s">
        <v>101</v>
      </c>
      <c r="H582" s="1"/>
      <c r="I582" s="1"/>
      <c r="J582" s="1"/>
    </row>
    <row r="583" spans="1:10" x14ac:dyDescent="0.35">
      <c r="A583" s="6" t="s">
        <v>18</v>
      </c>
      <c r="B583" s="6">
        <f t="shared" si="135"/>
        <v>2034</v>
      </c>
      <c r="C583" s="1" t="s">
        <v>34</v>
      </c>
      <c r="D583" s="2" t="s">
        <v>2003</v>
      </c>
      <c r="E583" s="9" t="str">
        <f t="shared" si="134"/>
        <v>PRBNP'!</v>
      </c>
      <c r="F583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83" s="6" t="s">
        <v>101</v>
      </c>
      <c r="H583" s="1"/>
      <c r="I583" s="1"/>
      <c r="J583" s="1"/>
    </row>
    <row r="584" spans="1:10" x14ac:dyDescent="0.35">
      <c r="A584" s="6" t="s">
        <v>18</v>
      </c>
      <c r="B584" s="6">
        <f t="shared" si="135"/>
        <v>2035</v>
      </c>
      <c r="C584" s="1" t="s">
        <v>34</v>
      </c>
      <c r="D584" s="2" t="s">
        <v>2003</v>
      </c>
      <c r="E584" s="9" t="str">
        <f t="shared" si="134"/>
        <v>PRBNP'!</v>
      </c>
      <c r="F584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84" s="6" t="s">
        <v>101</v>
      </c>
      <c r="H584" s="1"/>
      <c r="I584" s="1"/>
      <c r="J584" s="1"/>
    </row>
    <row r="585" spans="1:10" x14ac:dyDescent="0.35">
      <c r="A585" s="6" t="s">
        <v>18</v>
      </c>
      <c r="B585" s="6">
        <f t="shared" si="135"/>
        <v>2036</v>
      </c>
      <c r="C585" s="1" t="s">
        <v>34</v>
      </c>
      <c r="D585" s="2" t="s">
        <v>2003</v>
      </c>
      <c r="E585" s="9" t="str">
        <f t="shared" si="134"/>
        <v>PRBNP'!</v>
      </c>
      <c r="F585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85" s="6" t="s">
        <v>101</v>
      </c>
      <c r="H585" s="1"/>
      <c r="I585" s="1"/>
      <c r="J585" s="1"/>
    </row>
    <row r="586" spans="1:10" x14ac:dyDescent="0.35">
      <c r="A586" s="6" t="s">
        <v>18</v>
      </c>
      <c r="B586" s="6">
        <f>+B585+1</f>
        <v>2037</v>
      </c>
      <c r="C586" s="1" t="s">
        <v>34</v>
      </c>
      <c r="D586" s="2" t="s">
        <v>2003</v>
      </c>
      <c r="E586" s="9" t="str">
        <f t="shared" si="134"/>
        <v>PRBNP'!</v>
      </c>
      <c r="F586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86" s="6" t="s">
        <v>101</v>
      </c>
      <c r="H586" s="1"/>
      <c r="I586" s="1"/>
      <c r="J586" s="1"/>
    </row>
    <row r="587" spans="1:10" x14ac:dyDescent="0.35">
      <c r="A587" s="6" t="s">
        <v>18</v>
      </c>
      <c r="B587" s="6">
        <f t="shared" ref="B587:B589" si="136">+B586+1</f>
        <v>2038</v>
      </c>
      <c r="C587" s="1" t="s">
        <v>34</v>
      </c>
      <c r="D587" s="2" t="s">
        <v>2003</v>
      </c>
      <c r="E587" s="9" t="str">
        <f t="shared" si="134"/>
        <v>PRBNP'!</v>
      </c>
      <c r="F587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87" s="6" t="s">
        <v>101</v>
      </c>
      <c r="H587" s="1"/>
      <c r="I587" s="1"/>
      <c r="J587" s="1"/>
    </row>
    <row r="588" spans="1:10" x14ac:dyDescent="0.35">
      <c r="A588" s="6" t="s">
        <v>18</v>
      </c>
      <c r="B588" s="6">
        <f t="shared" si="136"/>
        <v>2039</v>
      </c>
      <c r="C588" s="1" t="s">
        <v>34</v>
      </c>
      <c r="D588" s="2" t="s">
        <v>2003</v>
      </c>
      <c r="E588" s="9" t="str">
        <f t="shared" si="134"/>
        <v>PRBNP'!</v>
      </c>
      <c r="F588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88" s="6" t="s">
        <v>101</v>
      </c>
      <c r="H588" s="1"/>
      <c r="I588" s="1"/>
      <c r="J588" s="1"/>
    </row>
    <row r="589" spans="1:10" x14ac:dyDescent="0.35">
      <c r="A589" s="6" t="s">
        <v>18</v>
      </c>
      <c r="B589" s="6">
        <f t="shared" si="136"/>
        <v>2040</v>
      </c>
      <c r="C589" s="1" t="s">
        <v>34</v>
      </c>
      <c r="D589" s="2" t="s">
        <v>2003</v>
      </c>
      <c r="E589" s="9" t="str">
        <f t="shared" si="134"/>
        <v>PRBNP'!</v>
      </c>
      <c r="F589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89" s="6" t="s">
        <v>101</v>
      </c>
      <c r="H589" s="1"/>
      <c r="I589" s="1"/>
      <c r="J589" s="1"/>
    </row>
    <row r="590" spans="1:10" x14ac:dyDescent="0.35">
      <c r="A590" s="6" t="s">
        <v>18</v>
      </c>
      <c r="B590" s="6">
        <f>+B589+1</f>
        <v>2041</v>
      </c>
      <c r="C590" s="1" t="s">
        <v>34</v>
      </c>
      <c r="D590" s="2" t="s">
        <v>2003</v>
      </c>
      <c r="E590" s="9" t="str">
        <f t="shared" si="134"/>
        <v>PRBNP'!</v>
      </c>
      <c r="F590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90" s="6" t="s">
        <v>101</v>
      </c>
      <c r="H590" s="1"/>
      <c r="I590" s="1"/>
      <c r="J590" s="1"/>
    </row>
    <row r="591" spans="1:10" x14ac:dyDescent="0.35">
      <c r="A591" s="6" t="s">
        <v>18</v>
      </c>
      <c r="B591" s="6">
        <f t="shared" ref="B591:B592" si="137">+B590+1</f>
        <v>2042</v>
      </c>
      <c r="C591" s="1" t="s">
        <v>34</v>
      </c>
      <c r="D591" s="2" t="s">
        <v>2003</v>
      </c>
      <c r="E591" s="9" t="str">
        <f t="shared" si="134"/>
        <v>PRBNP'!</v>
      </c>
      <c r="F591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91" s="6" t="s">
        <v>101</v>
      </c>
      <c r="H591" s="1"/>
      <c r="I591" s="1"/>
      <c r="J591" s="1"/>
    </row>
    <row r="592" spans="1:10" x14ac:dyDescent="0.35">
      <c r="A592" s="6" t="s">
        <v>18</v>
      </c>
      <c r="B592" s="6">
        <f t="shared" si="137"/>
        <v>2043</v>
      </c>
      <c r="C592" s="1" t="s">
        <v>34</v>
      </c>
      <c r="D592" s="2" t="s">
        <v>2003</v>
      </c>
      <c r="E592" s="9" t="str">
        <f t="shared" si="134"/>
        <v>PRBNP'!</v>
      </c>
      <c r="F592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92" s="6" t="s">
        <v>101</v>
      </c>
      <c r="H592" s="1"/>
      <c r="I592" s="1"/>
      <c r="J592" s="1"/>
    </row>
    <row r="593" spans="1:10" x14ac:dyDescent="0.35">
      <c r="A593" s="6" t="s">
        <v>18</v>
      </c>
      <c r="B593" s="6">
        <f>+B592+1</f>
        <v>2044</v>
      </c>
      <c r="C593" s="1" t="s">
        <v>34</v>
      </c>
      <c r="D593" s="2" t="s">
        <v>2003</v>
      </c>
      <c r="E593" s="9" t="str">
        <f t="shared" ref="E593:E608" si="138">_xlfn.CONCAT(A593,"'!")</f>
        <v>PRBNP'!</v>
      </c>
      <c r="F593" s="5" t="str">
        <f t="shared" ref="F593:F608" si="139">_xlfn.CONCAT(D593," ",E593)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93" s="6" t="s">
        <v>101</v>
      </c>
      <c r="H593" s="1"/>
      <c r="I593" s="1"/>
      <c r="J593" s="1"/>
    </row>
    <row r="594" spans="1:10" x14ac:dyDescent="0.35">
      <c r="A594" s="6" t="s">
        <v>18</v>
      </c>
      <c r="B594" s="6">
        <f t="shared" ref="B594:B608" si="140">+B593+1</f>
        <v>2045</v>
      </c>
      <c r="C594" s="1" t="s">
        <v>34</v>
      </c>
      <c r="D594" s="2" t="s">
        <v>2003</v>
      </c>
      <c r="E594" s="9" t="str">
        <f t="shared" si="138"/>
        <v>PRBNP'!</v>
      </c>
      <c r="F594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94" s="6" t="s">
        <v>101</v>
      </c>
      <c r="H594" s="1"/>
      <c r="I594" s="1"/>
      <c r="J594" s="1"/>
    </row>
    <row r="595" spans="1:10" x14ac:dyDescent="0.35">
      <c r="A595" s="6" t="s">
        <v>18</v>
      </c>
      <c r="B595" s="6">
        <f t="shared" si="140"/>
        <v>2046</v>
      </c>
      <c r="C595" s="1" t="s">
        <v>34</v>
      </c>
      <c r="D595" s="2" t="s">
        <v>2003</v>
      </c>
      <c r="E595" s="9" t="str">
        <f t="shared" si="138"/>
        <v>PRBNP'!</v>
      </c>
      <c r="F595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95" s="6" t="s">
        <v>101</v>
      </c>
      <c r="H595" s="1"/>
      <c r="I595" s="1"/>
      <c r="J595" s="1"/>
    </row>
    <row r="596" spans="1:10" x14ac:dyDescent="0.35">
      <c r="A596" s="6" t="s">
        <v>18</v>
      </c>
      <c r="B596" s="6">
        <f t="shared" si="140"/>
        <v>2047</v>
      </c>
      <c r="C596" s="1" t="s">
        <v>34</v>
      </c>
      <c r="D596" s="2" t="s">
        <v>2003</v>
      </c>
      <c r="E596" s="9" t="str">
        <f t="shared" si="138"/>
        <v>PRBNP'!</v>
      </c>
      <c r="F596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96" s="6" t="s">
        <v>101</v>
      </c>
      <c r="H596" s="1"/>
      <c r="I596" s="1"/>
      <c r="J596" s="1"/>
    </row>
    <row r="597" spans="1:10" x14ac:dyDescent="0.35">
      <c r="A597" s="6" t="s">
        <v>18</v>
      </c>
      <c r="B597" s="6">
        <f t="shared" si="140"/>
        <v>2048</v>
      </c>
      <c r="C597" s="1" t="s">
        <v>34</v>
      </c>
      <c r="D597" s="2" t="s">
        <v>2003</v>
      </c>
      <c r="E597" s="9" t="str">
        <f t="shared" si="138"/>
        <v>PRBNP'!</v>
      </c>
      <c r="F597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97" s="6" t="s">
        <v>101</v>
      </c>
      <c r="H597" s="1"/>
      <c r="I597" s="1"/>
      <c r="J597" s="1"/>
    </row>
    <row r="598" spans="1:10" x14ac:dyDescent="0.35">
      <c r="A598" s="6" t="s">
        <v>18</v>
      </c>
      <c r="B598" s="6">
        <f t="shared" si="140"/>
        <v>2049</v>
      </c>
      <c r="C598" s="1" t="s">
        <v>34</v>
      </c>
      <c r="D598" s="2" t="s">
        <v>2003</v>
      </c>
      <c r="E598" s="9" t="str">
        <f t="shared" si="138"/>
        <v>PRBNP'!</v>
      </c>
      <c r="F598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98" s="6" t="s">
        <v>101</v>
      </c>
      <c r="H598" s="1"/>
      <c r="I598" s="1"/>
      <c r="J598" s="1"/>
    </row>
    <row r="599" spans="1:10" x14ac:dyDescent="0.35">
      <c r="A599" s="6" t="s">
        <v>18</v>
      </c>
      <c r="B599" s="6">
        <f t="shared" si="140"/>
        <v>2050</v>
      </c>
      <c r="C599" s="1" t="s">
        <v>34</v>
      </c>
      <c r="D599" s="2" t="s">
        <v>2003</v>
      </c>
      <c r="E599" s="9" t="str">
        <f t="shared" si="138"/>
        <v>PRBNP'!</v>
      </c>
      <c r="F599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99" s="6" t="s">
        <v>101</v>
      </c>
      <c r="H599" s="1"/>
      <c r="I599" s="1"/>
      <c r="J599" s="1"/>
    </row>
    <row r="600" spans="1:10" x14ac:dyDescent="0.35">
      <c r="A600" s="6" t="s">
        <v>18</v>
      </c>
      <c r="B600" s="6">
        <f t="shared" si="140"/>
        <v>2051</v>
      </c>
      <c r="C600" s="1" t="s">
        <v>34</v>
      </c>
      <c r="D600" s="2" t="s">
        <v>2003</v>
      </c>
      <c r="E600" s="9" t="str">
        <f t="shared" si="138"/>
        <v>PRBNP'!</v>
      </c>
      <c r="F600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600" s="6" t="s">
        <v>101</v>
      </c>
      <c r="H600" s="1"/>
      <c r="I600" s="1"/>
      <c r="J600" s="1"/>
    </row>
    <row r="601" spans="1:10" x14ac:dyDescent="0.35">
      <c r="A601" s="6" t="s">
        <v>18</v>
      </c>
      <c r="B601" s="6">
        <f t="shared" si="140"/>
        <v>2052</v>
      </c>
      <c r="C601" s="1" t="s">
        <v>34</v>
      </c>
      <c r="D601" s="2" t="s">
        <v>2003</v>
      </c>
      <c r="E601" s="9" t="str">
        <f t="shared" si="138"/>
        <v>PRBNP'!</v>
      </c>
      <c r="F601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601" s="6" t="s">
        <v>101</v>
      </c>
      <c r="H601" s="1"/>
      <c r="I601" s="1"/>
      <c r="J601" s="1"/>
    </row>
    <row r="602" spans="1:10" x14ac:dyDescent="0.35">
      <c r="A602" s="6" t="s">
        <v>18</v>
      </c>
      <c r="B602" s="6">
        <f t="shared" si="140"/>
        <v>2053</v>
      </c>
      <c r="C602" s="1" t="s">
        <v>34</v>
      </c>
      <c r="D602" s="2" t="s">
        <v>2003</v>
      </c>
      <c r="E602" s="9" t="str">
        <f t="shared" si="138"/>
        <v>PRBNP'!</v>
      </c>
      <c r="F602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602" s="6" t="s">
        <v>101</v>
      </c>
      <c r="H602" s="1"/>
      <c r="I602" s="1"/>
      <c r="J602" s="1"/>
    </row>
    <row r="603" spans="1:10" x14ac:dyDescent="0.35">
      <c r="A603" s="6" t="s">
        <v>18</v>
      </c>
      <c r="B603" s="6">
        <f t="shared" si="140"/>
        <v>2054</v>
      </c>
      <c r="C603" s="1" t="s">
        <v>34</v>
      </c>
      <c r="D603" s="2" t="s">
        <v>2003</v>
      </c>
      <c r="E603" s="9" t="str">
        <f t="shared" si="138"/>
        <v>PRBNP'!</v>
      </c>
      <c r="F603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603" s="6" t="s">
        <v>101</v>
      </c>
      <c r="H603" s="1"/>
      <c r="I603" s="1"/>
      <c r="J603" s="1"/>
    </row>
    <row r="604" spans="1:10" x14ac:dyDescent="0.35">
      <c r="A604" s="6" t="s">
        <v>18</v>
      </c>
      <c r="B604" s="6">
        <f t="shared" si="140"/>
        <v>2055</v>
      </c>
      <c r="C604" s="1" t="s">
        <v>34</v>
      </c>
      <c r="D604" s="2" t="s">
        <v>2003</v>
      </c>
      <c r="E604" s="9" t="str">
        <f t="shared" si="138"/>
        <v>PRBNP'!</v>
      </c>
      <c r="F604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604" s="6" t="s">
        <v>101</v>
      </c>
      <c r="H604" s="1"/>
      <c r="I604" s="1"/>
      <c r="J604" s="1"/>
    </row>
    <row r="605" spans="1:10" x14ac:dyDescent="0.35">
      <c r="A605" s="6" t="s">
        <v>18</v>
      </c>
      <c r="B605" s="6">
        <f t="shared" si="140"/>
        <v>2056</v>
      </c>
      <c r="C605" s="1" t="s">
        <v>34</v>
      </c>
      <c r="D605" s="2" t="s">
        <v>2003</v>
      </c>
      <c r="E605" s="9" t="str">
        <f t="shared" si="138"/>
        <v>PRBNP'!</v>
      </c>
      <c r="F605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605" s="6" t="s">
        <v>101</v>
      </c>
      <c r="H605" s="1"/>
      <c r="I605" s="1"/>
      <c r="J605" s="1"/>
    </row>
    <row r="606" spans="1:10" x14ac:dyDescent="0.35">
      <c r="A606" s="6" t="s">
        <v>18</v>
      </c>
      <c r="B606" s="6">
        <f t="shared" si="140"/>
        <v>2057</v>
      </c>
      <c r="C606" s="1" t="s">
        <v>34</v>
      </c>
      <c r="D606" s="2" t="s">
        <v>2003</v>
      </c>
      <c r="E606" s="9" t="str">
        <f t="shared" si="138"/>
        <v>PRBNP'!</v>
      </c>
      <c r="F606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606" s="6" t="s">
        <v>101</v>
      </c>
      <c r="H606" s="1"/>
      <c r="I606" s="1"/>
      <c r="J606" s="1"/>
    </row>
    <row r="607" spans="1:10" x14ac:dyDescent="0.35">
      <c r="A607" s="6" t="s">
        <v>18</v>
      </c>
      <c r="B607" s="6">
        <f t="shared" si="140"/>
        <v>2058</v>
      </c>
      <c r="C607" s="1" t="s">
        <v>34</v>
      </c>
      <c r="D607" s="2" t="s">
        <v>2003</v>
      </c>
      <c r="E607" s="9" t="str">
        <f t="shared" si="138"/>
        <v>PRBNP'!</v>
      </c>
      <c r="F607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607" s="6" t="s">
        <v>101</v>
      </c>
      <c r="H607" s="1"/>
      <c r="I607" s="1"/>
      <c r="J607" s="1"/>
    </row>
    <row r="608" spans="1:10" x14ac:dyDescent="0.35">
      <c r="A608" s="6" t="s">
        <v>18</v>
      </c>
      <c r="B608" s="6">
        <f t="shared" si="140"/>
        <v>2059</v>
      </c>
      <c r="C608" s="1" t="s">
        <v>34</v>
      </c>
      <c r="D608" s="2" t="s">
        <v>2003</v>
      </c>
      <c r="E608" s="9" t="str">
        <f t="shared" si="138"/>
        <v>PRBNP'!</v>
      </c>
      <c r="F608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608" s="6" t="s">
        <v>101</v>
      </c>
      <c r="H608" s="1"/>
      <c r="I608" s="1"/>
      <c r="J608" s="1"/>
    </row>
    <row r="609" spans="1:10" x14ac:dyDescent="0.35">
      <c r="A609" s="6" t="s">
        <v>26</v>
      </c>
      <c r="B609" s="6"/>
      <c r="C609" s="1" t="s">
        <v>34</v>
      </c>
      <c r="D609" s="2"/>
      <c r="E609" s="9"/>
      <c r="F609" s="2"/>
      <c r="G609" s="6"/>
      <c r="H609" s="1"/>
      <c r="I609" s="1"/>
      <c r="J609" s="1"/>
    </row>
    <row r="610" spans="1:10" x14ac:dyDescent="0.35">
      <c r="A610" s="6" t="s">
        <v>19</v>
      </c>
      <c r="B610" s="6">
        <v>2023</v>
      </c>
      <c r="C610" s="1" t="s">
        <v>34</v>
      </c>
      <c r="D610" s="2" t="s">
        <v>2003</v>
      </c>
      <c r="E610" s="9" t="str">
        <f t="shared" ref="E610:E630" si="141">_xlfn.CONCAT(A610,"'!")</f>
        <v>PRBND'!</v>
      </c>
      <c r="F610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10" s="6" t="s">
        <v>101</v>
      </c>
      <c r="H610" s="1"/>
      <c r="I610" s="1"/>
      <c r="J610" s="1"/>
    </row>
    <row r="611" spans="1:10" x14ac:dyDescent="0.35">
      <c r="A611" s="6" t="s">
        <v>19</v>
      </c>
      <c r="B611" s="6">
        <f>+B610+1</f>
        <v>2024</v>
      </c>
      <c r="C611" s="1" t="s">
        <v>34</v>
      </c>
      <c r="D611" s="2" t="s">
        <v>2003</v>
      </c>
      <c r="E611" s="9" t="str">
        <f t="shared" si="141"/>
        <v>PRBND'!</v>
      </c>
      <c r="F611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11" s="6" t="s">
        <v>101</v>
      </c>
      <c r="H611" s="1"/>
      <c r="I611" s="1"/>
      <c r="J611" s="1"/>
    </row>
    <row r="612" spans="1:10" x14ac:dyDescent="0.35">
      <c r="A612" s="6" t="s">
        <v>19</v>
      </c>
      <c r="B612" s="6">
        <f t="shared" ref="B612:B623" si="142">+B611+1</f>
        <v>2025</v>
      </c>
      <c r="C612" s="1" t="s">
        <v>34</v>
      </c>
      <c r="D612" s="2" t="s">
        <v>2003</v>
      </c>
      <c r="E612" s="9" t="str">
        <f t="shared" si="141"/>
        <v>PRBND'!</v>
      </c>
      <c r="F612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12" s="6" t="s">
        <v>101</v>
      </c>
      <c r="H612" s="1"/>
      <c r="I612" s="1"/>
      <c r="J612" s="1"/>
    </row>
    <row r="613" spans="1:10" x14ac:dyDescent="0.35">
      <c r="A613" s="6" t="s">
        <v>19</v>
      </c>
      <c r="B613" s="6">
        <f t="shared" si="142"/>
        <v>2026</v>
      </c>
      <c r="C613" s="1" t="s">
        <v>34</v>
      </c>
      <c r="D613" s="2" t="s">
        <v>2003</v>
      </c>
      <c r="E613" s="9" t="str">
        <f t="shared" si="141"/>
        <v>PRBND'!</v>
      </c>
      <c r="F613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13" s="6" t="s">
        <v>101</v>
      </c>
      <c r="H613" s="1"/>
      <c r="I613" s="1"/>
      <c r="J613" s="1"/>
    </row>
    <row r="614" spans="1:10" x14ac:dyDescent="0.35">
      <c r="A614" s="6" t="s">
        <v>19</v>
      </c>
      <c r="B614" s="6">
        <f t="shared" si="142"/>
        <v>2027</v>
      </c>
      <c r="C614" s="1" t="s">
        <v>34</v>
      </c>
      <c r="D614" s="2" t="s">
        <v>2003</v>
      </c>
      <c r="E614" s="9" t="str">
        <f t="shared" si="141"/>
        <v>PRBND'!</v>
      </c>
      <c r="F614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14" s="6" t="s">
        <v>101</v>
      </c>
      <c r="H614" s="1"/>
      <c r="I614" s="1"/>
      <c r="J614" s="1"/>
    </row>
    <row r="615" spans="1:10" x14ac:dyDescent="0.35">
      <c r="A615" s="6" t="s">
        <v>19</v>
      </c>
      <c r="B615" s="6">
        <f t="shared" si="142"/>
        <v>2028</v>
      </c>
      <c r="C615" s="1" t="s">
        <v>34</v>
      </c>
      <c r="D615" s="2" t="s">
        <v>2003</v>
      </c>
      <c r="E615" s="9" t="str">
        <f t="shared" si="141"/>
        <v>PRBND'!</v>
      </c>
      <c r="F615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15" s="6" t="s">
        <v>101</v>
      </c>
      <c r="H615" s="1"/>
      <c r="I615" s="1"/>
      <c r="J615" s="1"/>
    </row>
    <row r="616" spans="1:10" x14ac:dyDescent="0.35">
      <c r="A616" s="6" t="s">
        <v>19</v>
      </c>
      <c r="B616" s="6">
        <f t="shared" si="142"/>
        <v>2029</v>
      </c>
      <c r="C616" s="1" t="s">
        <v>34</v>
      </c>
      <c r="D616" s="2" t="s">
        <v>2003</v>
      </c>
      <c r="E616" s="9" t="str">
        <f t="shared" si="141"/>
        <v>PRBND'!</v>
      </c>
      <c r="F616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16" s="6" t="s">
        <v>101</v>
      </c>
      <c r="H616" s="1"/>
      <c r="I616" s="1"/>
      <c r="J616" s="1"/>
    </row>
    <row r="617" spans="1:10" x14ac:dyDescent="0.35">
      <c r="A617" s="6" t="s">
        <v>19</v>
      </c>
      <c r="B617" s="6">
        <f t="shared" si="142"/>
        <v>2030</v>
      </c>
      <c r="C617" s="1" t="s">
        <v>34</v>
      </c>
      <c r="D617" s="2" t="s">
        <v>2003</v>
      </c>
      <c r="E617" s="9" t="str">
        <f t="shared" si="141"/>
        <v>PRBND'!</v>
      </c>
      <c r="F617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17" s="6" t="s">
        <v>101</v>
      </c>
      <c r="H617" s="1"/>
      <c r="I617" s="1"/>
      <c r="J617" s="1"/>
    </row>
    <row r="618" spans="1:10" x14ac:dyDescent="0.35">
      <c r="A618" s="6" t="s">
        <v>19</v>
      </c>
      <c r="B618" s="6">
        <f t="shared" si="142"/>
        <v>2031</v>
      </c>
      <c r="C618" s="1" t="s">
        <v>34</v>
      </c>
      <c r="D618" s="2" t="s">
        <v>2003</v>
      </c>
      <c r="E618" s="9" t="str">
        <f t="shared" si="141"/>
        <v>PRBND'!</v>
      </c>
      <c r="F618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18" s="6" t="s">
        <v>101</v>
      </c>
      <c r="H618" s="1"/>
      <c r="I618" s="1"/>
      <c r="J618" s="1"/>
    </row>
    <row r="619" spans="1:10" x14ac:dyDescent="0.35">
      <c r="A619" s="6" t="s">
        <v>19</v>
      </c>
      <c r="B619" s="6">
        <f t="shared" si="142"/>
        <v>2032</v>
      </c>
      <c r="C619" s="1" t="s">
        <v>34</v>
      </c>
      <c r="D619" s="2" t="s">
        <v>2003</v>
      </c>
      <c r="E619" s="9" t="str">
        <f t="shared" si="141"/>
        <v>PRBND'!</v>
      </c>
      <c r="F619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19" s="6" t="s">
        <v>101</v>
      </c>
      <c r="H619" s="1"/>
      <c r="I619" s="1"/>
      <c r="J619" s="1"/>
    </row>
    <row r="620" spans="1:10" x14ac:dyDescent="0.35">
      <c r="A620" s="6" t="s">
        <v>19</v>
      </c>
      <c r="B620" s="6">
        <f t="shared" si="142"/>
        <v>2033</v>
      </c>
      <c r="C620" s="1" t="s">
        <v>34</v>
      </c>
      <c r="D620" s="2" t="s">
        <v>2003</v>
      </c>
      <c r="E620" s="9" t="str">
        <f t="shared" si="141"/>
        <v>PRBND'!</v>
      </c>
      <c r="F620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20" s="6" t="s">
        <v>101</v>
      </c>
      <c r="H620" s="1"/>
      <c r="I620" s="1"/>
      <c r="J620" s="1"/>
    </row>
    <row r="621" spans="1:10" x14ac:dyDescent="0.35">
      <c r="A621" s="6" t="s">
        <v>19</v>
      </c>
      <c r="B621" s="6">
        <f t="shared" si="142"/>
        <v>2034</v>
      </c>
      <c r="C621" s="1" t="s">
        <v>34</v>
      </c>
      <c r="D621" s="2" t="s">
        <v>2003</v>
      </c>
      <c r="E621" s="9" t="str">
        <f t="shared" si="141"/>
        <v>PRBND'!</v>
      </c>
      <c r="F621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21" s="6" t="s">
        <v>101</v>
      </c>
      <c r="H621" s="1"/>
      <c r="I621" s="1"/>
      <c r="J621" s="1"/>
    </row>
    <row r="622" spans="1:10" x14ac:dyDescent="0.35">
      <c r="A622" s="6" t="s">
        <v>19</v>
      </c>
      <c r="B622" s="6">
        <f t="shared" si="142"/>
        <v>2035</v>
      </c>
      <c r="C622" s="1" t="s">
        <v>34</v>
      </c>
      <c r="D622" s="2" t="s">
        <v>2003</v>
      </c>
      <c r="E622" s="9" t="str">
        <f t="shared" si="141"/>
        <v>PRBND'!</v>
      </c>
      <c r="F622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22" s="6" t="s">
        <v>101</v>
      </c>
      <c r="H622" s="1"/>
      <c r="I622" s="1"/>
      <c r="J622" s="1"/>
    </row>
    <row r="623" spans="1:10" x14ac:dyDescent="0.35">
      <c r="A623" s="6" t="s">
        <v>19</v>
      </c>
      <c r="B623" s="6">
        <f t="shared" si="142"/>
        <v>2036</v>
      </c>
      <c r="C623" s="1" t="s">
        <v>34</v>
      </c>
      <c r="D623" s="2" t="s">
        <v>2003</v>
      </c>
      <c r="E623" s="9" t="str">
        <f t="shared" si="141"/>
        <v>PRBND'!</v>
      </c>
      <c r="F623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23" s="6" t="s">
        <v>101</v>
      </c>
      <c r="H623" s="1"/>
      <c r="I623" s="1"/>
      <c r="J623" s="1"/>
    </row>
    <row r="624" spans="1:10" x14ac:dyDescent="0.35">
      <c r="A624" s="6" t="s">
        <v>19</v>
      </c>
      <c r="B624" s="6">
        <f>+B623+1</f>
        <v>2037</v>
      </c>
      <c r="C624" s="1" t="s">
        <v>34</v>
      </c>
      <c r="D624" s="2" t="s">
        <v>2003</v>
      </c>
      <c r="E624" s="9" t="str">
        <f t="shared" si="141"/>
        <v>PRBND'!</v>
      </c>
      <c r="F624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24" s="6" t="s">
        <v>101</v>
      </c>
      <c r="H624" s="1"/>
      <c r="I624" s="1"/>
      <c r="J624" s="1"/>
    </row>
    <row r="625" spans="1:10" x14ac:dyDescent="0.35">
      <c r="A625" s="6" t="s">
        <v>19</v>
      </c>
      <c r="B625" s="6">
        <f t="shared" ref="B625:B627" si="143">+B624+1</f>
        <v>2038</v>
      </c>
      <c r="C625" s="1" t="s">
        <v>34</v>
      </c>
      <c r="D625" s="2" t="s">
        <v>2003</v>
      </c>
      <c r="E625" s="9" t="str">
        <f t="shared" si="141"/>
        <v>PRBND'!</v>
      </c>
      <c r="F625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25" s="6" t="s">
        <v>101</v>
      </c>
      <c r="H625" s="1"/>
      <c r="I625" s="1"/>
      <c r="J625" s="1"/>
    </row>
    <row r="626" spans="1:10" x14ac:dyDescent="0.35">
      <c r="A626" s="6" t="s">
        <v>19</v>
      </c>
      <c r="B626" s="6">
        <f t="shared" si="143"/>
        <v>2039</v>
      </c>
      <c r="C626" s="1" t="s">
        <v>34</v>
      </c>
      <c r="D626" s="2" t="s">
        <v>2003</v>
      </c>
      <c r="E626" s="9" t="str">
        <f t="shared" si="141"/>
        <v>PRBND'!</v>
      </c>
      <c r="F626" s="5" t="str">
        <f t="shared" ref="F626:F630" si="144">_xlfn.CONCAT(D626," ",E626)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26" s="6" t="s">
        <v>101</v>
      </c>
      <c r="H626" s="1"/>
      <c r="I626" s="1"/>
      <c r="J626" s="1"/>
    </row>
    <row r="627" spans="1:10" x14ac:dyDescent="0.35">
      <c r="A627" s="6" t="s">
        <v>19</v>
      </c>
      <c r="B627" s="6">
        <f t="shared" si="143"/>
        <v>2040</v>
      </c>
      <c r="C627" s="1" t="s">
        <v>34</v>
      </c>
      <c r="D627" s="2" t="s">
        <v>2003</v>
      </c>
      <c r="E627" s="9" t="str">
        <f t="shared" si="141"/>
        <v>PRBND'!</v>
      </c>
      <c r="F627" s="5" t="str">
        <f t="shared" si="1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27" s="6" t="s">
        <v>101</v>
      </c>
      <c r="H627" s="1"/>
      <c r="I627" s="1"/>
      <c r="J627" s="1"/>
    </row>
    <row r="628" spans="1:10" x14ac:dyDescent="0.35">
      <c r="A628" s="6" t="s">
        <v>19</v>
      </c>
      <c r="B628" s="6">
        <f>+B627+1</f>
        <v>2041</v>
      </c>
      <c r="C628" s="1" t="s">
        <v>34</v>
      </c>
      <c r="D628" s="2" t="s">
        <v>2003</v>
      </c>
      <c r="E628" s="9" t="str">
        <f t="shared" si="141"/>
        <v>PRBND'!</v>
      </c>
      <c r="F628" s="5" t="str">
        <f t="shared" si="1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28" s="6" t="s">
        <v>101</v>
      </c>
      <c r="H628" s="1"/>
      <c r="I628" s="1"/>
      <c r="J628" s="1"/>
    </row>
    <row r="629" spans="1:10" x14ac:dyDescent="0.35">
      <c r="A629" s="6" t="s">
        <v>19</v>
      </c>
      <c r="B629" s="6">
        <f t="shared" ref="B629:B630" si="145">+B628+1</f>
        <v>2042</v>
      </c>
      <c r="C629" s="1" t="s">
        <v>34</v>
      </c>
      <c r="D629" s="2" t="s">
        <v>2003</v>
      </c>
      <c r="E629" s="9" t="str">
        <f t="shared" si="141"/>
        <v>PRBND'!</v>
      </c>
      <c r="F629" s="5" t="str">
        <f t="shared" si="1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29" s="6" t="s">
        <v>101</v>
      </c>
      <c r="H629" s="1"/>
      <c r="I629" s="1"/>
      <c r="J629" s="1"/>
    </row>
    <row r="630" spans="1:10" x14ac:dyDescent="0.35">
      <c r="A630" s="6" t="s">
        <v>19</v>
      </c>
      <c r="B630" s="6">
        <f t="shared" si="145"/>
        <v>2043</v>
      </c>
      <c r="C630" s="1" t="s">
        <v>34</v>
      </c>
      <c r="D630" s="2" t="s">
        <v>2003</v>
      </c>
      <c r="E630" s="9" t="str">
        <f t="shared" si="141"/>
        <v>PRBND'!</v>
      </c>
      <c r="F630" s="5" t="str">
        <f t="shared" si="1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30" s="6" t="s">
        <v>101</v>
      </c>
      <c r="H630" s="1"/>
      <c r="I630" s="1"/>
      <c r="J630" s="1"/>
    </row>
    <row r="631" spans="1:10" x14ac:dyDescent="0.35">
      <c r="A631" s="6" t="s">
        <v>19</v>
      </c>
      <c r="B631" s="6">
        <f>+B630+1</f>
        <v>2044</v>
      </c>
      <c r="C631" s="1" t="s">
        <v>34</v>
      </c>
      <c r="D631" s="2" t="s">
        <v>2003</v>
      </c>
      <c r="E631" s="9" t="str">
        <f t="shared" ref="E631:E646" si="146">_xlfn.CONCAT(A631,"'!")</f>
        <v>PRBND'!</v>
      </c>
      <c r="F631" s="5" t="str">
        <f t="shared" ref="F631:F646" si="147">_xlfn.CONCAT(D631," ",E631)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31" s="6" t="s">
        <v>101</v>
      </c>
      <c r="H631" s="1"/>
      <c r="I631" s="1"/>
      <c r="J631" s="1"/>
    </row>
    <row r="632" spans="1:10" x14ac:dyDescent="0.35">
      <c r="A632" s="6" t="s">
        <v>19</v>
      </c>
      <c r="B632" s="6">
        <f t="shared" ref="B632:B646" si="148">+B631+1</f>
        <v>2045</v>
      </c>
      <c r="C632" s="1" t="s">
        <v>34</v>
      </c>
      <c r="D632" s="2" t="s">
        <v>2003</v>
      </c>
      <c r="E632" s="9" t="str">
        <f t="shared" si="146"/>
        <v>PRBND'!</v>
      </c>
      <c r="F632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32" s="6" t="s">
        <v>101</v>
      </c>
      <c r="H632" s="1"/>
      <c r="I632" s="1"/>
      <c r="J632" s="1"/>
    </row>
    <row r="633" spans="1:10" x14ac:dyDescent="0.35">
      <c r="A633" s="6" t="s">
        <v>19</v>
      </c>
      <c r="B633" s="6">
        <f t="shared" si="148"/>
        <v>2046</v>
      </c>
      <c r="C633" s="1" t="s">
        <v>34</v>
      </c>
      <c r="D633" s="2" t="s">
        <v>2003</v>
      </c>
      <c r="E633" s="9" t="str">
        <f t="shared" si="146"/>
        <v>PRBND'!</v>
      </c>
      <c r="F633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33" s="6" t="s">
        <v>101</v>
      </c>
      <c r="H633" s="1"/>
      <c r="I633" s="1"/>
      <c r="J633" s="1"/>
    </row>
    <row r="634" spans="1:10" x14ac:dyDescent="0.35">
      <c r="A634" s="6" t="s">
        <v>19</v>
      </c>
      <c r="B634" s="6">
        <f t="shared" si="148"/>
        <v>2047</v>
      </c>
      <c r="C634" s="1" t="s">
        <v>34</v>
      </c>
      <c r="D634" s="2" t="s">
        <v>2003</v>
      </c>
      <c r="E634" s="9" t="str">
        <f t="shared" si="146"/>
        <v>PRBND'!</v>
      </c>
      <c r="F634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34" s="6" t="s">
        <v>101</v>
      </c>
      <c r="H634" s="1"/>
      <c r="I634" s="1"/>
      <c r="J634" s="1"/>
    </row>
    <row r="635" spans="1:10" x14ac:dyDescent="0.35">
      <c r="A635" s="6" t="s">
        <v>19</v>
      </c>
      <c r="B635" s="6">
        <f t="shared" si="148"/>
        <v>2048</v>
      </c>
      <c r="C635" s="1" t="s">
        <v>34</v>
      </c>
      <c r="D635" s="2" t="s">
        <v>2003</v>
      </c>
      <c r="E635" s="9" t="str">
        <f t="shared" si="146"/>
        <v>PRBND'!</v>
      </c>
      <c r="F635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35" s="6" t="s">
        <v>101</v>
      </c>
      <c r="H635" s="1"/>
      <c r="I635" s="1"/>
      <c r="J635" s="1"/>
    </row>
    <row r="636" spans="1:10" x14ac:dyDescent="0.35">
      <c r="A636" s="6" t="s">
        <v>19</v>
      </c>
      <c r="B636" s="6">
        <f t="shared" si="148"/>
        <v>2049</v>
      </c>
      <c r="C636" s="1" t="s">
        <v>34</v>
      </c>
      <c r="D636" s="2" t="s">
        <v>2003</v>
      </c>
      <c r="E636" s="9" t="str">
        <f t="shared" si="146"/>
        <v>PRBND'!</v>
      </c>
      <c r="F636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36" s="6" t="s">
        <v>101</v>
      </c>
      <c r="H636" s="1"/>
      <c r="I636" s="1"/>
      <c r="J636" s="1"/>
    </row>
    <row r="637" spans="1:10" x14ac:dyDescent="0.35">
      <c r="A637" s="6" t="s">
        <v>19</v>
      </c>
      <c r="B637" s="6">
        <f t="shared" si="148"/>
        <v>2050</v>
      </c>
      <c r="C637" s="1" t="s">
        <v>34</v>
      </c>
      <c r="D637" s="2" t="s">
        <v>2003</v>
      </c>
      <c r="E637" s="9" t="str">
        <f t="shared" si="146"/>
        <v>PRBND'!</v>
      </c>
      <c r="F637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37" s="6" t="s">
        <v>101</v>
      </c>
      <c r="H637" s="1"/>
      <c r="I637" s="1"/>
      <c r="J637" s="1"/>
    </row>
    <row r="638" spans="1:10" x14ac:dyDescent="0.35">
      <c r="A638" s="6" t="s">
        <v>19</v>
      </c>
      <c r="B638" s="6">
        <f t="shared" si="148"/>
        <v>2051</v>
      </c>
      <c r="C638" s="1" t="s">
        <v>34</v>
      </c>
      <c r="D638" s="2" t="s">
        <v>2003</v>
      </c>
      <c r="E638" s="9" t="str">
        <f t="shared" si="146"/>
        <v>PRBND'!</v>
      </c>
      <c r="F638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38" s="6" t="s">
        <v>101</v>
      </c>
      <c r="H638" s="1"/>
      <c r="I638" s="1"/>
      <c r="J638" s="1"/>
    </row>
    <row r="639" spans="1:10" x14ac:dyDescent="0.35">
      <c r="A639" s="6" t="s">
        <v>19</v>
      </c>
      <c r="B639" s="6">
        <f t="shared" si="148"/>
        <v>2052</v>
      </c>
      <c r="C639" s="1" t="s">
        <v>34</v>
      </c>
      <c r="D639" s="2" t="s">
        <v>2003</v>
      </c>
      <c r="E639" s="9" t="str">
        <f t="shared" si="146"/>
        <v>PRBND'!</v>
      </c>
      <c r="F639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39" s="6" t="s">
        <v>101</v>
      </c>
      <c r="H639" s="1"/>
      <c r="I639" s="1"/>
      <c r="J639" s="1"/>
    </row>
    <row r="640" spans="1:10" x14ac:dyDescent="0.35">
      <c r="A640" s="6" t="s">
        <v>19</v>
      </c>
      <c r="B640" s="6">
        <f t="shared" si="148"/>
        <v>2053</v>
      </c>
      <c r="C640" s="1" t="s">
        <v>34</v>
      </c>
      <c r="D640" s="2" t="s">
        <v>2003</v>
      </c>
      <c r="E640" s="9" t="str">
        <f t="shared" si="146"/>
        <v>PRBND'!</v>
      </c>
      <c r="F640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40" s="6" t="s">
        <v>101</v>
      </c>
      <c r="H640" s="1"/>
      <c r="I640" s="1"/>
      <c r="J640" s="1"/>
    </row>
    <row r="641" spans="1:10" x14ac:dyDescent="0.35">
      <c r="A641" s="6" t="s">
        <v>19</v>
      </c>
      <c r="B641" s="6">
        <f t="shared" si="148"/>
        <v>2054</v>
      </c>
      <c r="C641" s="1" t="s">
        <v>34</v>
      </c>
      <c r="D641" s="2" t="s">
        <v>2003</v>
      </c>
      <c r="E641" s="9" t="str">
        <f t="shared" si="146"/>
        <v>PRBND'!</v>
      </c>
      <c r="F641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41" s="6" t="s">
        <v>101</v>
      </c>
      <c r="H641" s="1"/>
      <c r="I641" s="1"/>
      <c r="J641" s="1"/>
    </row>
    <row r="642" spans="1:10" x14ac:dyDescent="0.35">
      <c r="A642" s="6" t="s">
        <v>19</v>
      </c>
      <c r="B642" s="6">
        <f t="shared" si="148"/>
        <v>2055</v>
      </c>
      <c r="C642" s="1" t="s">
        <v>34</v>
      </c>
      <c r="D642" s="2" t="s">
        <v>2003</v>
      </c>
      <c r="E642" s="9" t="str">
        <f t="shared" si="146"/>
        <v>PRBND'!</v>
      </c>
      <c r="F642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42" s="6" t="s">
        <v>101</v>
      </c>
      <c r="H642" s="1"/>
      <c r="I642" s="1"/>
      <c r="J642" s="1"/>
    </row>
    <row r="643" spans="1:10" x14ac:dyDescent="0.35">
      <c r="A643" s="6" t="s">
        <v>19</v>
      </c>
      <c r="B643" s="6">
        <f t="shared" si="148"/>
        <v>2056</v>
      </c>
      <c r="C643" s="1" t="s">
        <v>34</v>
      </c>
      <c r="D643" s="2" t="s">
        <v>2003</v>
      </c>
      <c r="E643" s="9" t="str">
        <f t="shared" si="146"/>
        <v>PRBND'!</v>
      </c>
      <c r="F643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43" s="6" t="s">
        <v>101</v>
      </c>
      <c r="H643" s="1"/>
      <c r="I643" s="1"/>
      <c r="J643" s="1"/>
    </row>
    <row r="644" spans="1:10" x14ac:dyDescent="0.35">
      <c r="A644" s="6" t="s">
        <v>19</v>
      </c>
      <c r="B644" s="6">
        <f t="shared" si="148"/>
        <v>2057</v>
      </c>
      <c r="C644" s="1" t="s">
        <v>34</v>
      </c>
      <c r="D644" s="2" t="s">
        <v>2003</v>
      </c>
      <c r="E644" s="9" t="str">
        <f t="shared" si="146"/>
        <v>PRBND'!</v>
      </c>
      <c r="F644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44" s="6" t="s">
        <v>101</v>
      </c>
      <c r="H644" s="1"/>
      <c r="I644" s="1"/>
      <c r="J644" s="1"/>
    </row>
    <row r="645" spans="1:10" x14ac:dyDescent="0.35">
      <c r="A645" s="6" t="s">
        <v>19</v>
      </c>
      <c r="B645" s="6">
        <f t="shared" si="148"/>
        <v>2058</v>
      </c>
      <c r="C645" s="1" t="s">
        <v>34</v>
      </c>
      <c r="D645" s="2" t="s">
        <v>2003</v>
      </c>
      <c r="E645" s="9" t="str">
        <f t="shared" si="146"/>
        <v>PRBND'!</v>
      </c>
      <c r="F645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45" s="6" t="s">
        <v>101</v>
      </c>
      <c r="H645" s="1"/>
      <c r="I645" s="1"/>
      <c r="J645" s="1"/>
    </row>
    <row r="646" spans="1:10" x14ac:dyDescent="0.35">
      <c r="A646" s="6" t="s">
        <v>19</v>
      </c>
      <c r="B646" s="6">
        <f t="shared" si="148"/>
        <v>2059</v>
      </c>
      <c r="C646" s="1" t="s">
        <v>34</v>
      </c>
      <c r="D646" s="2" t="s">
        <v>2003</v>
      </c>
      <c r="E646" s="9" t="str">
        <f t="shared" si="146"/>
        <v>PRBND'!</v>
      </c>
      <c r="F646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46" s="6" t="s">
        <v>101</v>
      </c>
      <c r="H646" s="1"/>
      <c r="I646" s="1"/>
      <c r="J646" s="1"/>
    </row>
    <row r="647" spans="1:10" x14ac:dyDescent="0.35">
      <c r="A647" s="6" t="s">
        <v>26</v>
      </c>
      <c r="B647" s="6"/>
      <c r="C647" s="1" t="s">
        <v>34</v>
      </c>
      <c r="D647" s="2"/>
      <c r="E647" s="9"/>
      <c r="F647" s="2"/>
      <c r="G647" s="6"/>
      <c r="H647" s="1"/>
      <c r="I647" s="1"/>
      <c r="J647" s="1"/>
    </row>
    <row r="648" spans="1:10" x14ac:dyDescent="0.35">
      <c r="A648" s="6" t="s">
        <v>20</v>
      </c>
      <c r="B648" s="6">
        <v>2023</v>
      </c>
      <c r="C648" s="1" t="s">
        <v>34</v>
      </c>
      <c r="D648" s="2" t="s">
        <v>2003</v>
      </c>
      <c r="E648" s="9" t="str">
        <f t="shared" si="118"/>
        <v>PRB'!</v>
      </c>
      <c r="F648" s="5" t="str">
        <f t="shared" ref="F648:F668" si="149">_xlfn.CONCAT(D648," ",E648)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48" s="6" t="s">
        <v>101</v>
      </c>
      <c r="H648" s="1">
        <f>IF(A648&lt;&gt;A518,36,H518+1)</f>
        <v>36</v>
      </c>
      <c r="I648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PRB'!$BT$36</v>
      </c>
      <c r="J648" s="1" t="s">
        <v>2300</v>
      </c>
    </row>
    <row r="649" spans="1:10" x14ac:dyDescent="0.35">
      <c r="A649" s="6" t="s">
        <v>20</v>
      </c>
      <c r="B649" s="6">
        <f>+B648+1</f>
        <v>2024</v>
      </c>
      <c r="C649" s="1" t="s">
        <v>34</v>
      </c>
      <c r="D649" s="2" t="s">
        <v>2003</v>
      </c>
      <c r="E649" s="9" t="str">
        <f t="shared" si="118"/>
        <v>PRB'!</v>
      </c>
      <c r="F649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49" s="6" t="s">
        <v>101</v>
      </c>
      <c r="H649" s="1">
        <f t="shared" si="120"/>
        <v>37</v>
      </c>
      <c r="I649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PRB'!$BT$37</v>
      </c>
      <c r="J649" s="1" t="s">
        <v>2301</v>
      </c>
    </row>
    <row r="650" spans="1:10" x14ac:dyDescent="0.35">
      <c r="A650" s="6" t="s">
        <v>20</v>
      </c>
      <c r="B650" s="6">
        <f t="shared" ref="B650:B661" si="150">+B649+1</f>
        <v>2025</v>
      </c>
      <c r="C650" s="1" t="s">
        <v>34</v>
      </c>
      <c r="D650" s="2" t="s">
        <v>2003</v>
      </c>
      <c r="E650" s="9" t="str">
        <f t="shared" si="118"/>
        <v>PRB'!</v>
      </c>
      <c r="F650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50" s="6" t="s">
        <v>101</v>
      </c>
      <c r="H650" s="1">
        <f t="shared" si="120"/>
        <v>38</v>
      </c>
      <c r="I650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PRB'!$BT$38</v>
      </c>
      <c r="J650" s="1" t="s">
        <v>2302</v>
      </c>
    </row>
    <row r="651" spans="1:10" x14ac:dyDescent="0.35">
      <c r="A651" s="6" t="s">
        <v>20</v>
      </c>
      <c r="B651" s="6">
        <f t="shared" si="150"/>
        <v>2026</v>
      </c>
      <c r="C651" s="1" t="s">
        <v>34</v>
      </c>
      <c r="D651" s="2" t="s">
        <v>2003</v>
      </c>
      <c r="E651" s="9" t="str">
        <f t="shared" si="118"/>
        <v>PRB'!</v>
      </c>
      <c r="F651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51" s="6" t="s">
        <v>101</v>
      </c>
      <c r="H651" s="1">
        <f t="shared" si="120"/>
        <v>39</v>
      </c>
      <c r="I651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PRB'!$BT$39</v>
      </c>
      <c r="J651" s="1" t="s">
        <v>2303</v>
      </c>
    </row>
    <row r="652" spans="1:10" x14ac:dyDescent="0.35">
      <c r="A652" s="6" t="s">
        <v>20</v>
      </c>
      <c r="B652" s="6">
        <f t="shared" si="150"/>
        <v>2027</v>
      </c>
      <c r="C652" s="1" t="s">
        <v>34</v>
      </c>
      <c r="D652" s="2" t="s">
        <v>2003</v>
      </c>
      <c r="E652" s="9" t="str">
        <f t="shared" si="118"/>
        <v>PRB'!</v>
      </c>
      <c r="F652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52" s="6" t="s">
        <v>101</v>
      </c>
      <c r="H652" s="1">
        <f t="shared" si="120"/>
        <v>40</v>
      </c>
      <c r="I652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PRB'!$BT$40</v>
      </c>
      <c r="J652" s="1" t="s">
        <v>2304</v>
      </c>
    </row>
    <row r="653" spans="1:10" x14ac:dyDescent="0.35">
      <c r="A653" s="6" t="s">
        <v>20</v>
      </c>
      <c r="B653" s="6">
        <f t="shared" si="150"/>
        <v>2028</v>
      </c>
      <c r="C653" s="1" t="s">
        <v>34</v>
      </c>
      <c r="D653" s="2" t="s">
        <v>2003</v>
      </c>
      <c r="E653" s="9" t="str">
        <f t="shared" si="118"/>
        <v>PRB'!</v>
      </c>
      <c r="F653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53" s="6" t="s">
        <v>101</v>
      </c>
      <c r="H653" s="1">
        <f t="shared" si="120"/>
        <v>41</v>
      </c>
      <c r="I653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PRB'!$BT$41</v>
      </c>
      <c r="J653" s="1" t="s">
        <v>2305</v>
      </c>
    </row>
    <row r="654" spans="1:10" x14ac:dyDescent="0.35">
      <c r="A654" s="6" t="s">
        <v>20</v>
      </c>
      <c r="B654" s="6">
        <f t="shared" si="150"/>
        <v>2029</v>
      </c>
      <c r="C654" s="1" t="s">
        <v>34</v>
      </c>
      <c r="D654" s="2" t="s">
        <v>2003</v>
      </c>
      <c r="E654" s="9" t="str">
        <f t="shared" si="118"/>
        <v>PRB'!</v>
      </c>
      <c r="F654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54" s="6" t="s">
        <v>101</v>
      </c>
      <c r="H654" s="1">
        <f t="shared" si="120"/>
        <v>42</v>
      </c>
      <c r="I654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PRB'!$BT$42</v>
      </c>
      <c r="J654" s="1" t="s">
        <v>2306</v>
      </c>
    </row>
    <row r="655" spans="1:10" x14ac:dyDescent="0.35">
      <c r="A655" s="6" t="s">
        <v>20</v>
      </c>
      <c r="B655" s="6">
        <f t="shared" si="150"/>
        <v>2030</v>
      </c>
      <c r="C655" s="1" t="s">
        <v>34</v>
      </c>
      <c r="D655" s="2" t="s">
        <v>2003</v>
      </c>
      <c r="E655" s="9" t="str">
        <f t="shared" si="118"/>
        <v>PRB'!</v>
      </c>
      <c r="F655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55" s="6" t="s">
        <v>101</v>
      </c>
      <c r="H655" s="1">
        <f t="shared" si="120"/>
        <v>43</v>
      </c>
      <c r="I655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PRB'!$BT$43</v>
      </c>
      <c r="J655" s="1" t="s">
        <v>2307</v>
      </c>
    </row>
    <row r="656" spans="1:10" x14ac:dyDescent="0.35">
      <c r="A656" s="6" t="s">
        <v>20</v>
      </c>
      <c r="B656" s="6">
        <f t="shared" si="150"/>
        <v>2031</v>
      </c>
      <c r="C656" s="1" t="s">
        <v>34</v>
      </c>
      <c r="D656" s="2" t="s">
        <v>2003</v>
      </c>
      <c r="E656" s="9" t="str">
        <f t="shared" si="118"/>
        <v>PRB'!</v>
      </c>
      <c r="F656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56" s="6" t="s">
        <v>101</v>
      </c>
      <c r="H656" s="1">
        <f t="shared" si="120"/>
        <v>44</v>
      </c>
      <c r="I656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PRB'!$BT$44</v>
      </c>
      <c r="J656" s="1" t="s">
        <v>2308</v>
      </c>
    </row>
    <row r="657" spans="1:10" x14ac:dyDescent="0.35">
      <c r="A657" s="6" t="s">
        <v>20</v>
      </c>
      <c r="B657" s="6">
        <f t="shared" si="150"/>
        <v>2032</v>
      </c>
      <c r="C657" s="1" t="s">
        <v>34</v>
      </c>
      <c r="D657" s="2" t="s">
        <v>2003</v>
      </c>
      <c r="E657" s="9" t="str">
        <f t="shared" si="118"/>
        <v>PRB'!</v>
      </c>
      <c r="F657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57" s="6" t="s">
        <v>101</v>
      </c>
      <c r="H657" s="1">
        <f t="shared" si="120"/>
        <v>45</v>
      </c>
      <c r="I657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PRB'!$BT$45</v>
      </c>
      <c r="J657" s="1" t="s">
        <v>2309</v>
      </c>
    </row>
    <row r="658" spans="1:10" x14ac:dyDescent="0.35">
      <c r="A658" s="6" t="s">
        <v>20</v>
      </c>
      <c r="B658" s="6">
        <f t="shared" si="150"/>
        <v>2033</v>
      </c>
      <c r="C658" s="1" t="s">
        <v>34</v>
      </c>
      <c r="D658" s="2" t="s">
        <v>2003</v>
      </c>
      <c r="E658" s="9" t="str">
        <f t="shared" si="118"/>
        <v>PRB'!</v>
      </c>
      <c r="F658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58" s="6" t="s">
        <v>101</v>
      </c>
      <c r="H658" s="1">
        <f t="shared" si="120"/>
        <v>46</v>
      </c>
      <c r="I658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PRB'!$BT$46</v>
      </c>
      <c r="J658" s="1" t="s">
        <v>2310</v>
      </c>
    </row>
    <row r="659" spans="1:10" x14ac:dyDescent="0.35">
      <c r="A659" s="6" t="s">
        <v>20</v>
      </c>
      <c r="B659" s="6">
        <f t="shared" si="150"/>
        <v>2034</v>
      </c>
      <c r="C659" s="1" t="s">
        <v>34</v>
      </c>
      <c r="D659" s="2" t="s">
        <v>2003</v>
      </c>
      <c r="E659" s="9" t="str">
        <f t="shared" si="118"/>
        <v>PRB'!</v>
      </c>
      <c r="F659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59" s="6" t="s">
        <v>101</v>
      </c>
      <c r="H659" s="1">
        <f t="shared" si="120"/>
        <v>47</v>
      </c>
      <c r="I659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PRB'!$BT$47</v>
      </c>
      <c r="J659" s="1" t="s">
        <v>2311</v>
      </c>
    </row>
    <row r="660" spans="1:10" x14ac:dyDescent="0.35">
      <c r="A660" s="6" t="s">
        <v>20</v>
      </c>
      <c r="B660" s="6">
        <f t="shared" si="150"/>
        <v>2035</v>
      </c>
      <c r="C660" s="1" t="s">
        <v>34</v>
      </c>
      <c r="D660" s="2" t="s">
        <v>2003</v>
      </c>
      <c r="E660" s="9" t="str">
        <f t="shared" si="118"/>
        <v>PRB'!</v>
      </c>
      <c r="F660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60" s="6" t="s">
        <v>101</v>
      </c>
      <c r="H660" s="1">
        <f t="shared" si="120"/>
        <v>48</v>
      </c>
      <c r="I660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PRB'!$BT$48</v>
      </c>
      <c r="J660" s="1" t="s">
        <v>2312</v>
      </c>
    </row>
    <row r="661" spans="1:10" x14ac:dyDescent="0.35">
      <c r="A661" s="6" t="s">
        <v>20</v>
      </c>
      <c r="B661" s="6">
        <f t="shared" si="150"/>
        <v>2036</v>
      </c>
      <c r="C661" s="1" t="s">
        <v>34</v>
      </c>
      <c r="D661" s="2" t="s">
        <v>2003</v>
      </c>
      <c r="E661" s="9" t="str">
        <f t="shared" si="118"/>
        <v>PRB'!</v>
      </c>
      <c r="F661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61" s="6" t="s">
        <v>101</v>
      </c>
      <c r="H661" s="1">
        <f t="shared" si="120"/>
        <v>49</v>
      </c>
      <c r="I661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PRB'!$BT$49</v>
      </c>
      <c r="J661" s="1" t="s">
        <v>2313</v>
      </c>
    </row>
    <row r="662" spans="1:10" x14ac:dyDescent="0.35">
      <c r="A662" s="6" t="s">
        <v>20</v>
      </c>
      <c r="B662" s="6">
        <f>+B661+1</f>
        <v>2037</v>
      </c>
      <c r="C662" s="1" t="s">
        <v>34</v>
      </c>
      <c r="D662" s="2" t="s">
        <v>2003</v>
      </c>
      <c r="E662" s="9" t="str">
        <f t="shared" si="118"/>
        <v>PRB'!</v>
      </c>
      <c r="F662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62" s="6" t="s">
        <v>101</v>
      </c>
      <c r="H662" s="1">
        <f t="shared" si="120"/>
        <v>50</v>
      </c>
      <c r="I662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PRB'!$BT$50</v>
      </c>
      <c r="J662" s="1" t="s">
        <v>2314</v>
      </c>
    </row>
    <row r="663" spans="1:10" x14ac:dyDescent="0.35">
      <c r="A663" s="6" t="s">
        <v>20</v>
      </c>
      <c r="B663" s="6">
        <f t="shared" ref="B663:B665" si="151">+B662+1</f>
        <v>2038</v>
      </c>
      <c r="C663" s="1" t="s">
        <v>34</v>
      </c>
      <c r="D663" s="2" t="s">
        <v>2003</v>
      </c>
      <c r="E663" s="9" t="str">
        <f t="shared" si="118"/>
        <v>PRB'!</v>
      </c>
      <c r="F663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63" s="6" t="s">
        <v>101</v>
      </c>
      <c r="H663" s="1">
        <f t="shared" si="120"/>
        <v>51</v>
      </c>
      <c r="I663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PRB'!$BT$51</v>
      </c>
      <c r="J663" s="1" t="s">
        <v>2315</v>
      </c>
    </row>
    <row r="664" spans="1:10" x14ac:dyDescent="0.35">
      <c r="A664" s="6" t="s">
        <v>20</v>
      </c>
      <c r="B664" s="6">
        <f t="shared" si="151"/>
        <v>2039</v>
      </c>
      <c r="C664" s="1" t="s">
        <v>34</v>
      </c>
      <c r="D664" s="2" t="s">
        <v>2003</v>
      </c>
      <c r="E664" s="9" t="str">
        <f t="shared" si="118"/>
        <v>PRB'!</v>
      </c>
      <c r="F664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64" s="6" t="s">
        <v>101</v>
      </c>
      <c r="H664" s="1">
        <f t="shared" si="120"/>
        <v>52</v>
      </c>
      <c r="I664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PRB'!$BT$52</v>
      </c>
      <c r="J664" s="1" t="s">
        <v>2316</v>
      </c>
    </row>
    <row r="665" spans="1:10" x14ac:dyDescent="0.35">
      <c r="A665" s="6" t="s">
        <v>20</v>
      </c>
      <c r="B665" s="6">
        <f t="shared" si="151"/>
        <v>2040</v>
      </c>
      <c r="C665" s="1" t="s">
        <v>34</v>
      </c>
      <c r="D665" s="2" t="s">
        <v>2003</v>
      </c>
      <c r="E665" s="9" t="str">
        <f t="shared" si="118"/>
        <v>PRB'!</v>
      </c>
      <c r="F665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65" s="6" t="s">
        <v>101</v>
      </c>
      <c r="H665" s="1">
        <f t="shared" si="120"/>
        <v>53</v>
      </c>
      <c r="I665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PRB'!$BT$53</v>
      </c>
      <c r="J665" s="1" t="s">
        <v>2317</v>
      </c>
    </row>
    <row r="666" spans="1:10" x14ac:dyDescent="0.35">
      <c r="A666" s="6" t="s">
        <v>20</v>
      </c>
      <c r="B666" s="6">
        <f>+B665+1</f>
        <v>2041</v>
      </c>
      <c r="C666" s="1" t="s">
        <v>34</v>
      </c>
      <c r="D666" s="2" t="s">
        <v>2003</v>
      </c>
      <c r="E666" s="9" t="str">
        <f t="shared" si="118"/>
        <v>PRB'!</v>
      </c>
      <c r="F666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66" s="6" t="s">
        <v>101</v>
      </c>
      <c r="H666" s="1">
        <f t="shared" si="120"/>
        <v>54</v>
      </c>
      <c r="I666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PRB'!$BT$54</v>
      </c>
      <c r="J666" s="1" t="s">
        <v>2318</v>
      </c>
    </row>
    <row r="667" spans="1:10" x14ac:dyDescent="0.35">
      <c r="A667" s="6" t="s">
        <v>20</v>
      </c>
      <c r="B667" s="6">
        <f t="shared" ref="B667:B668" si="152">+B666+1</f>
        <v>2042</v>
      </c>
      <c r="C667" s="1" t="s">
        <v>34</v>
      </c>
      <c r="D667" s="2" t="s">
        <v>2003</v>
      </c>
      <c r="E667" s="9" t="str">
        <f t="shared" si="118"/>
        <v>PRB'!</v>
      </c>
      <c r="F667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67" s="6" t="s">
        <v>101</v>
      </c>
      <c r="H667" s="1">
        <f t="shared" si="120"/>
        <v>55</v>
      </c>
      <c r="I667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PRB'!$BT$55</v>
      </c>
      <c r="J667" s="1" t="s">
        <v>2319</v>
      </c>
    </row>
    <row r="668" spans="1:10" x14ac:dyDescent="0.35">
      <c r="A668" s="6" t="s">
        <v>20</v>
      </c>
      <c r="B668" s="6">
        <f t="shared" si="152"/>
        <v>2043</v>
      </c>
      <c r="C668" s="1" t="s">
        <v>34</v>
      </c>
      <c r="D668" s="2" t="s">
        <v>2003</v>
      </c>
      <c r="E668" s="9" t="str">
        <f t="shared" si="118"/>
        <v>PRB'!</v>
      </c>
      <c r="F668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68" s="6" t="s">
        <v>101</v>
      </c>
      <c r="H668" s="1">
        <f t="shared" si="120"/>
        <v>56</v>
      </c>
      <c r="I668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PRB'!$BT$56</v>
      </c>
      <c r="J668" s="1" t="s">
        <v>2320</v>
      </c>
    </row>
    <row r="669" spans="1:10" x14ac:dyDescent="0.35">
      <c r="A669" s="6" t="s">
        <v>20</v>
      </c>
      <c r="B669" s="6">
        <f>+B668+1</f>
        <v>2044</v>
      </c>
      <c r="C669" s="1" t="s">
        <v>34</v>
      </c>
      <c r="D669" s="2" t="s">
        <v>2003</v>
      </c>
      <c r="E669" s="9" t="str">
        <f t="shared" ref="E669:E684" si="153">_xlfn.CONCAT(A669,"'!")</f>
        <v>PRB'!</v>
      </c>
      <c r="F669" s="5" t="str">
        <f t="shared" ref="F669:F684" si="154">_xlfn.CONCAT(D669," ",E669)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69" s="6" t="s">
        <v>101</v>
      </c>
      <c r="H669" s="1">
        <f t="shared" ref="H669:H684" si="155">IF(A669&lt;&gt;A668,36,H668+1)</f>
        <v>57</v>
      </c>
      <c r="I669" s="1" t="str">
        <f t="shared" ref="I669:I684" si="156">_xlfn.CONCAT("='",F669:H669)</f>
        <v>='C:\Users\jaime.benazar\Quorum Business Solutions\Ecopetrol Prometeo - Documents\Planning Space Implementation\3. Analysis &amp; Design\Design\FC22\DRR Jaime\Por presentar a ECP\Cantagallo\Cristalina\[VRC_CRISTALINA_CF_SEC_20221231.xlsx]CF PRB'!$BT$57</v>
      </c>
      <c r="J669" s="1" t="s">
        <v>2321</v>
      </c>
    </row>
    <row r="670" spans="1:10" x14ac:dyDescent="0.35">
      <c r="A670" s="6" t="s">
        <v>20</v>
      </c>
      <c r="B670" s="6">
        <f t="shared" ref="B670:B684" si="157">+B669+1</f>
        <v>2045</v>
      </c>
      <c r="C670" s="1" t="s">
        <v>34</v>
      </c>
      <c r="D670" s="2" t="s">
        <v>2003</v>
      </c>
      <c r="E670" s="9" t="str">
        <f t="shared" si="153"/>
        <v>PRB'!</v>
      </c>
      <c r="F670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70" s="6" t="s">
        <v>101</v>
      </c>
      <c r="H670" s="1">
        <f t="shared" si="155"/>
        <v>58</v>
      </c>
      <c r="I670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PRB'!$BT$58</v>
      </c>
      <c r="J670" s="1" t="s">
        <v>2322</v>
      </c>
    </row>
    <row r="671" spans="1:10" x14ac:dyDescent="0.35">
      <c r="A671" s="6" t="s">
        <v>20</v>
      </c>
      <c r="B671" s="6">
        <f t="shared" si="157"/>
        <v>2046</v>
      </c>
      <c r="C671" s="1" t="s">
        <v>34</v>
      </c>
      <c r="D671" s="2" t="s">
        <v>2003</v>
      </c>
      <c r="E671" s="9" t="str">
        <f t="shared" si="153"/>
        <v>PRB'!</v>
      </c>
      <c r="F671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71" s="6" t="s">
        <v>101</v>
      </c>
      <c r="H671" s="1">
        <f t="shared" si="155"/>
        <v>59</v>
      </c>
      <c r="I671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PRB'!$BT$59</v>
      </c>
      <c r="J671" s="1" t="s">
        <v>2323</v>
      </c>
    </row>
    <row r="672" spans="1:10" x14ac:dyDescent="0.35">
      <c r="A672" s="6" t="s">
        <v>20</v>
      </c>
      <c r="B672" s="6">
        <f t="shared" si="157"/>
        <v>2047</v>
      </c>
      <c r="C672" s="1" t="s">
        <v>34</v>
      </c>
      <c r="D672" s="2" t="s">
        <v>2003</v>
      </c>
      <c r="E672" s="9" t="str">
        <f t="shared" si="153"/>
        <v>PRB'!</v>
      </c>
      <c r="F672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72" s="6" t="s">
        <v>101</v>
      </c>
      <c r="H672" s="1">
        <f t="shared" si="155"/>
        <v>60</v>
      </c>
      <c r="I672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PRB'!$BT$60</v>
      </c>
      <c r="J672" s="1" t="s">
        <v>2324</v>
      </c>
    </row>
    <row r="673" spans="1:10" x14ac:dyDescent="0.35">
      <c r="A673" s="6" t="s">
        <v>20</v>
      </c>
      <c r="B673" s="6">
        <f t="shared" si="157"/>
        <v>2048</v>
      </c>
      <c r="C673" s="1" t="s">
        <v>34</v>
      </c>
      <c r="D673" s="2" t="s">
        <v>2003</v>
      </c>
      <c r="E673" s="9" t="str">
        <f t="shared" si="153"/>
        <v>PRB'!</v>
      </c>
      <c r="F673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73" s="6" t="s">
        <v>101</v>
      </c>
      <c r="H673" s="1">
        <f t="shared" si="155"/>
        <v>61</v>
      </c>
      <c r="I673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PRB'!$BT$61</v>
      </c>
      <c r="J673" s="1" t="s">
        <v>2325</v>
      </c>
    </row>
    <row r="674" spans="1:10" x14ac:dyDescent="0.35">
      <c r="A674" s="6" t="s">
        <v>20</v>
      </c>
      <c r="B674" s="6">
        <f t="shared" si="157"/>
        <v>2049</v>
      </c>
      <c r="C674" s="1" t="s">
        <v>34</v>
      </c>
      <c r="D674" s="2" t="s">
        <v>2003</v>
      </c>
      <c r="E674" s="9" t="str">
        <f t="shared" si="153"/>
        <v>PRB'!</v>
      </c>
      <c r="F674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74" s="6" t="s">
        <v>101</v>
      </c>
      <c r="H674" s="1">
        <f t="shared" si="155"/>
        <v>62</v>
      </c>
      <c r="I674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PRB'!$BT$62</v>
      </c>
      <c r="J674" s="1" t="s">
        <v>2326</v>
      </c>
    </row>
    <row r="675" spans="1:10" x14ac:dyDescent="0.35">
      <c r="A675" s="6" t="s">
        <v>20</v>
      </c>
      <c r="B675" s="6">
        <f t="shared" si="157"/>
        <v>2050</v>
      </c>
      <c r="C675" s="1" t="s">
        <v>34</v>
      </c>
      <c r="D675" s="2" t="s">
        <v>2003</v>
      </c>
      <c r="E675" s="9" t="str">
        <f t="shared" si="153"/>
        <v>PRB'!</v>
      </c>
      <c r="F675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75" s="6" t="s">
        <v>101</v>
      </c>
      <c r="H675" s="1">
        <f t="shared" si="155"/>
        <v>63</v>
      </c>
      <c r="I675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PRB'!$BT$63</v>
      </c>
      <c r="J675" s="1" t="s">
        <v>2327</v>
      </c>
    </row>
    <row r="676" spans="1:10" x14ac:dyDescent="0.35">
      <c r="A676" s="6" t="s">
        <v>20</v>
      </c>
      <c r="B676" s="6">
        <f t="shared" si="157"/>
        <v>2051</v>
      </c>
      <c r="C676" s="1" t="s">
        <v>34</v>
      </c>
      <c r="D676" s="2" t="s">
        <v>2003</v>
      </c>
      <c r="E676" s="9" t="str">
        <f t="shared" si="153"/>
        <v>PRB'!</v>
      </c>
      <c r="F676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76" s="6" t="s">
        <v>101</v>
      </c>
      <c r="H676" s="1">
        <f t="shared" si="155"/>
        <v>64</v>
      </c>
      <c r="I676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PRB'!$BT$64</v>
      </c>
      <c r="J676" s="1" t="s">
        <v>2328</v>
      </c>
    </row>
    <row r="677" spans="1:10" x14ac:dyDescent="0.35">
      <c r="A677" s="6" t="s">
        <v>20</v>
      </c>
      <c r="B677" s="6">
        <f t="shared" si="157"/>
        <v>2052</v>
      </c>
      <c r="C677" s="1" t="s">
        <v>34</v>
      </c>
      <c r="D677" s="2" t="s">
        <v>2003</v>
      </c>
      <c r="E677" s="9" t="str">
        <f t="shared" si="153"/>
        <v>PRB'!</v>
      </c>
      <c r="F677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77" s="6" t="s">
        <v>101</v>
      </c>
      <c r="H677" s="1">
        <f t="shared" si="155"/>
        <v>65</v>
      </c>
      <c r="I677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PRB'!$BT$65</v>
      </c>
      <c r="J677" s="1" t="s">
        <v>2329</v>
      </c>
    </row>
    <row r="678" spans="1:10" x14ac:dyDescent="0.35">
      <c r="A678" s="6" t="s">
        <v>20</v>
      </c>
      <c r="B678" s="6">
        <f t="shared" si="157"/>
        <v>2053</v>
      </c>
      <c r="C678" s="1" t="s">
        <v>34</v>
      </c>
      <c r="D678" s="2" t="s">
        <v>2003</v>
      </c>
      <c r="E678" s="9" t="str">
        <f t="shared" si="153"/>
        <v>PRB'!</v>
      </c>
      <c r="F678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78" s="6" t="s">
        <v>101</v>
      </c>
      <c r="H678" s="1">
        <f t="shared" si="155"/>
        <v>66</v>
      </c>
      <c r="I678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PRB'!$BT$66</v>
      </c>
      <c r="J678" s="1" t="s">
        <v>2330</v>
      </c>
    </row>
    <row r="679" spans="1:10" x14ac:dyDescent="0.35">
      <c r="A679" s="6" t="s">
        <v>20</v>
      </c>
      <c r="B679" s="6">
        <f t="shared" si="157"/>
        <v>2054</v>
      </c>
      <c r="C679" s="1" t="s">
        <v>34</v>
      </c>
      <c r="D679" s="2" t="s">
        <v>2003</v>
      </c>
      <c r="E679" s="9" t="str">
        <f t="shared" si="153"/>
        <v>PRB'!</v>
      </c>
      <c r="F679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79" s="6" t="s">
        <v>101</v>
      </c>
      <c r="H679" s="1">
        <f t="shared" si="155"/>
        <v>67</v>
      </c>
      <c r="I679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PRB'!$BT$67</v>
      </c>
      <c r="J679" s="1" t="s">
        <v>2331</v>
      </c>
    </row>
    <row r="680" spans="1:10" x14ac:dyDescent="0.35">
      <c r="A680" s="6" t="s">
        <v>20</v>
      </c>
      <c r="B680" s="6">
        <f t="shared" si="157"/>
        <v>2055</v>
      </c>
      <c r="C680" s="1" t="s">
        <v>34</v>
      </c>
      <c r="D680" s="2" t="s">
        <v>2003</v>
      </c>
      <c r="E680" s="9" t="str">
        <f t="shared" si="153"/>
        <v>PRB'!</v>
      </c>
      <c r="F680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80" s="6" t="s">
        <v>101</v>
      </c>
      <c r="H680" s="1">
        <f t="shared" si="155"/>
        <v>68</v>
      </c>
      <c r="I680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PRB'!$BT$68</v>
      </c>
      <c r="J680" s="1" t="s">
        <v>2332</v>
      </c>
    </row>
    <row r="681" spans="1:10" x14ac:dyDescent="0.35">
      <c r="A681" s="6" t="s">
        <v>20</v>
      </c>
      <c r="B681" s="6">
        <f t="shared" si="157"/>
        <v>2056</v>
      </c>
      <c r="C681" s="1" t="s">
        <v>34</v>
      </c>
      <c r="D681" s="2" t="s">
        <v>2003</v>
      </c>
      <c r="E681" s="9" t="str">
        <f t="shared" si="153"/>
        <v>PRB'!</v>
      </c>
      <c r="F681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81" s="6" t="s">
        <v>101</v>
      </c>
      <c r="H681" s="1">
        <f t="shared" si="155"/>
        <v>69</v>
      </c>
      <c r="I681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PRB'!$BT$69</v>
      </c>
      <c r="J681" s="1" t="s">
        <v>2333</v>
      </c>
    </row>
    <row r="682" spans="1:10" x14ac:dyDescent="0.35">
      <c r="A682" s="6" t="s">
        <v>20</v>
      </c>
      <c r="B682" s="6">
        <f t="shared" si="157"/>
        <v>2057</v>
      </c>
      <c r="C682" s="1" t="s">
        <v>34</v>
      </c>
      <c r="D682" s="2" t="s">
        <v>2003</v>
      </c>
      <c r="E682" s="9" t="str">
        <f t="shared" si="153"/>
        <v>PRB'!</v>
      </c>
      <c r="F682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82" s="6" t="s">
        <v>101</v>
      </c>
      <c r="H682" s="1">
        <f t="shared" si="155"/>
        <v>70</v>
      </c>
      <c r="I682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PRB'!$BT$70</v>
      </c>
      <c r="J682" s="1" t="s">
        <v>2334</v>
      </c>
    </row>
    <row r="683" spans="1:10" x14ac:dyDescent="0.35">
      <c r="A683" s="6" t="s">
        <v>20</v>
      </c>
      <c r="B683" s="6">
        <f t="shared" si="157"/>
        <v>2058</v>
      </c>
      <c r="C683" s="1" t="s">
        <v>34</v>
      </c>
      <c r="D683" s="2" t="s">
        <v>2003</v>
      </c>
      <c r="E683" s="9" t="str">
        <f t="shared" si="153"/>
        <v>PRB'!</v>
      </c>
      <c r="F683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83" s="6" t="s">
        <v>101</v>
      </c>
      <c r="H683" s="1">
        <f t="shared" si="155"/>
        <v>71</v>
      </c>
      <c r="I683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PRB'!$BT$71</v>
      </c>
      <c r="J683" s="1" t="s">
        <v>2335</v>
      </c>
    </row>
    <row r="684" spans="1:10" x14ac:dyDescent="0.35">
      <c r="A684" s="6" t="s">
        <v>20</v>
      </c>
      <c r="B684" s="6">
        <f t="shared" si="157"/>
        <v>2059</v>
      </c>
      <c r="C684" s="1" t="s">
        <v>34</v>
      </c>
      <c r="D684" s="2" t="s">
        <v>2003</v>
      </c>
      <c r="E684" s="9" t="str">
        <f t="shared" si="153"/>
        <v>PRB'!</v>
      </c>
      <c r="F684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84" s="6" t="s">
        <v>101</v>
      </c>
      <c r="H684" s="1">
        <f t="shared" si="155"/>
        <v>72</v>
      </c>
      <c r="I684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PRB'!$BT$72</v>
      </c>
      <c r="J684" s="1" t="s">
        <v>2336</v>
      </c>
    </row>
    <row r="685" spans="1:10" x14ac:dyDescent="0.35">
      <c r="A685" s="6" t="s">
        <v>26</v>
      </c>
      <c r="B685" s="6"/>
      <c r="C685" s="1" t="s">
        <v>34</v>
      </c>
      <c r="D685" s="2"/>
      <c r="E685" s="9"/>
      <c r="F685" s="2"/>
      <c r="G685" s="6"/>
      <c r="H685" s="1"/>
      <c r="I685" s="1"/>
      <c r="J685" s="4"/>
    </row>
    <row r="686" spans="1:10" x14ac:dyDescent="0.35">
      <c r="A686" s="6" t="s">
        <v>21</v>
      </c>
      <c r="B686" s="6">
        <v>2023</v>
      </c>
      <c r="C686" s="1" t="s">
        <v>34</v>
      </c>
      <c r="D686" s="2" t="s">
        <v>2003</v>
      </c>
      <c r="E686" s="9" t="str">
        <f t="shared" ref="E686:E706" si="158">_xlfn.CONCAT(A686,"'!")</f>
        <v>PSDP'!</v>
      </c>
      <c r="F686" s="5" t="str">
        <f t="shared" ref="F686:F706" si="159">_xlfn.CONCAT(D686," ",E686)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86" s="6" t="s">
        <v>101</v>
      </c>
      <c r="H686" s="1"/>
      <c r="I686" s="1"/>
      <c r="J686" s="1"/>
    </row>
    <row r="687" spans="1:10" x14ac:dyDescent="0.35">
      <c r="A687" s="6" t="s">
        <v>21</v>
      </c>
      <c r="B687" s="6">
        <f>+B686+1</f>
        <v>2024</v>
      </c>
      <c r="C687" s="1" t="s">
        <v>34</v>
      </c>
      <c r="D687" s="2" t="s">
        <v>2003</v>
      </c>
      <c r="E687" s="9" t="str">
        <f t="shared" si="158"/>
        <v>PSDP'!</v>
      </c>
      <c r="F687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87" s="6" t="s">
        <v>101</v>
      </c>
      <c r="H687" s="1"/>
      <c r="I687" s="1"/>
      <c r="J687" s="1"/>
    </row>
    <row r="688" spans="1:10" x14ac:dyDescent="0.35">
      <c r="A688" s="6" t="s">
        <v>21</v>
      </c>
      <c r="B688" s="6">
        <f t="shared" ref="B688:B699" si="160">+B687+1</f>
        <v>2025</v>
      </c>
      <c r="C688" s="1" t="s">
        <v>34</v>
      </c>
      <c r="D688" s="2" t="s">
        <v>2003</v>
      </c>
      <c r="E688" s="9" t="str">
        <f t="shared" si="158"/>
        <v>PSDP'!</v>
      </c>
      <c r="F688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88" s="6" t="s">
        <v>101</v>
      </c>
      <c r="H688" s="1"/>
      <c r="I688" s="1"/>
      <c r="J688" s="1"/>
    </row>
    <row r="689" spans="1:10" x14ac:dyDescent="0.35">
      <c r="A689" s="6" t="s">
        <v>21</v>
      </c>
      <c r="B689" s="6">
        <f t="shared" si="160"/>
        <v>2026</v>
      </c>
      <c r="C689" s="1" t="s">
        <v>34</v>
      </c>
      <c r="D689" s="2" t="s">
        <v>2003</v>
      </c>
      <c r="E689" s="9" t="str">
        <f t="shared" si="158"/>
        <v>PSDP'!</v>
      </c>
      <c r="F689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89" s="6" t="s">
        <v>101</v>
      </c>
      <c r="H689" s="1"/>
      <c r="I689" s="1"/>
      <c r="J689" s="1"/>
    </row>
    <row r="690" spans="1:10" x14ac:dyDescent="0.35">
      <c r="A690" s="6" t="s">
        <v>21</v>
      </c>
      <c r="B690" s="6">
        <f t="shared" si="160"/>
        <v>2027</v>
      </c>
      <c r="C690" s="1" t="s">
        <v>34</v>
      </c>
      <c r="D690" s="2" t="s">
        <v>2003</v>
      </c>
      <c r="E690" s="9" t="str">
        <f t="shared" si="158"/>
        <v>PSDP'!</v>
      </c>
      <c r="F690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90" s="6" t="s">
        <v>101</v>
      </c>
      <c r="H690" s="1"/>
      <c r="I690" s="1"/>
      <c r="J690" s="1"/>
    </row>
    <row r="691" spans="1:10" x14ac:dyDescent="0.35">
      <c r="A691" s="6" t="s">
        <v>21</v>
      </c>
      <c r="B691" s="6">
        <f t="shared" si="160"/>
        <v>2028</v>
      </c>
      <c r="C691" s="1" t="s">
        <v>34</v>
      </c>
      <c r="D691" s="2" t="s">
        <v>2003</v>
      </c>
      <c r="E691" s="9" t="str">
        <f t="shared" si="158"/>
        <v>PSDP'!</v>
      </c>
      <c r="F691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91" s="6" t="s">
        <v>101</v>
      </c>
      <c r="H691" s="1"/>
      <c r="I691" s="1"/>
      <c r="J691" s="1"/>
    </row>
    <row r="692" spans="1:10" x14ac:dyDescent="0.35">
      <c r="A692" s="6" t="s">
        <v>21</v>
      </c>
      <c r="B692" s="6">
        <f t="shared" si="160"/>
        <v>2029</v>
      </c>
      <c r="C692" s="1" t="s">
        <v>34</v>
      </c>
      <c r="D692" s="2" t="s">
        <v>2003</v>
      </c>
      <c r="E692" s="9" t="str">
        <f t="shared" si="158"/>
        <v>PSDP'!</v>
      </c>
      <c r="F692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92" s="6" t="s">
        <v>101</v>
      </c>
      <c r="H692" s="1"/>
      <c r="I692" s="1"/>
      <c r="J692" s="1"/>
    </row>
    <row r="693" spans="1:10" x14ac:dyDescent="0.35">
      <c r="A693" s="6" t="s">
        <v>21</v>
      </c>
      <c r="B693" s="6">
        <f t="shared" si="160"/>
        <v>2030</v>
      </c>
      <c r="C693" s="1" t="s">
        <v>34</v>
      </c>
      <c r="D693" s="2" t="s">
        <v>2003</v>
      </c>
      <c r="E693" s="9" t="str">
        <f t="shared" si="158"/>
        <v>PSDP'!</v>
      </c>
      <c r="F693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93" s="6" t="s">
        <v>101</v>
      </c>
      <c r="H693" s="1"/>
      <c r="I693" s="1"/>
      <c r="J693" s="1"/>
    </row>
    <row r="694" spans="1:10" x14ac:dyDescent="0.35">
      <c r="A694" s="6" t="s">
        <v>21</v>
      </c>
      <c r="B694" s="6">
        <f t="shared" si="160"/>
        <v>2031</v>
      </c>
      <c r="C694" s="1" t="s">
        <v>34</v>
      </c>
      <c r="D694" s="2" t="s">
        <v>2003</v>
      </c>
      <c r="E694" s="9" t="str">
        <f t="shared" si="158"/>
        <v>PSDP'!</v>
      </c>
      <c r="F694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94" s="6" t="s">
        <v>101</v>
      </c>
      <c r="H694" s="1"/>
      <c r="I694" s="1"/>
      <c r="J694" s="1"/>
    </row>
    <row r="695" spans="1:10" x14ac:dyDescent="0.35">
      <c r="A695" s="6" t="s">
        <v>21</v>
      </c>
      <c r="B695" s="6">
        <f t="shared" si="160"/>
        <v>2032</v>
      </c>
      <c r="C695" s="1" t="s">
        <v>34</v>
      </c>
      <c r="D695" s="2" t="s">
        <v>2003</v>
      </c>
      <c r="E695" s="9" t="str">
        <f t="shared" si="158"/>
        <v>PSDP'!</v>
      </c>
      <c r="F695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95" s="6" t="s">
        <v>101</v>
      </c>
      <c r="H695" s="1"/>
      <c r="I695" s="1"/>
      <c r="J695" s="1"/>
    </row>
    <row r="696" spans="1:10" x14ac:dyDescent="0.35">
      <c r="A696" s="6" t="s">
        <v>21</v>
      </c>
      <c r="B696" s="6">
        <f t="shared" si="160"/>
        <v>2033</v>
      </c>
      <c r="C696" s="1" t="s">
        <v>34</v>
      </c>
      <c r="D696" s="2" t="s">
        <v>2003</v>
      </c>
      <c r="E696" s="9" t="str">
        <f t="shared" si="158"/>
        <v>PSDP'!</v>
      </c>
      <c r="F696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96" s="6" t="s">
        <v>101</v>
      </c>
      <c r="H696" s="1"/>
      <c r="I696" s="1"/>
      <c r="J696" s="1"/>
    </row>
    <row r="697" spans="1:10" x14ac:dyDescent="0.35">
      <c r="A697" s="6" t="s">
        <v>21</v>
      </c>
      <c r="B697" s="6">
        <f t="shared" si="160"/>
        <v>2034</v>
      </c>
      <c r="C697" s="1" t="s">
        <v>34</v>
      </c>
      <c r="D697" s="2" t="s">
        <v>2003</v>
      </c>
      <c r="E697" s="9" t="str">
        <f t="shared" si="158"/>
        <v>PSDP'!</v>
      </c>
      <c r="F697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97" s="6" t="s">
        <v>101</v>
      </c>
      <c r="H697" s="1"/>
      <c r="I697" s="1"/>
      <c r="J697" s="1"/>
    </row>
    <row r="698" spans="1:10" x14ac:dyDescent="0.35">
      <c r="A698" s="6" t="s">
        <v>21</v>
      </c>
      <c r="B698" s="6">
        <f t="shared" si="160"/>
        <v>2035</v>
      </c>
      <c r="C698" s="1" t="s">
        <v>34</v>
      </c>
      <c r="D698" s="2" t="s">
        <v>2003</v>
      </c>
      <c r="E698" s="9" t="str">
        <f t="shared" si="158"/>
        <v>PSDP'!</v>
      </c>
      <c r="F698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98" s="6" t="s">
        <v>101</v>
      </c>
      <c r="H698" s="1"/>
      <c r="I698" s="1"/>
      <c r="J698" s="1"/>
    </row>
    <row r="699" spans="1:10" x14ac:dyDescent="0.35">
      <c r="A699" s="6" t="s">
        <v>21</v>
      </c>
      <c r="B699" s="6">
        <f t="shared" si="160"/>
        <v>2036</v>
      </c>
      <c r="C699" s="1" t="s">
        <v>34</v>
      </c>
      <c r="D699" s="2" t="s">
        <v>2003</v>
      </c>
      <c r="E699" s="9" t="str">
        <f t="shared" si="158"/>
        <v>PSDP'!</v>
      </c>
      <c r="F699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99" s="6" t="s">
        <v>101</v>
      </c>
      <c r="H699" s="1"/>
      <c r="I699" s="1"/>
      <c r="J699" s="1"/>
    </row>
    <row r="700" spans="1:10" x14ac:dyDescent="0.35">
      <c r="A700" s="6" t="s">
        <v>21</v>
      </c>
      <c r="B700" s="6">
        <f>+B699+1</f>
        <v>2037</v>
      </c>
      <c r="C700" s="1" t="s">
        <v>34</v>
      </c>
      <c r="D700" s="2" t="s">
        <v>2003</v>
      </c>
      <c r="E700" s="9" t="str">
        <f t="shared" si="158"/>
        <v>PSDP'!</v>
      </c>
      <c r="F700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00" s="6" t="s">
        <v>101</v>
      </c>
      <c r="H700" s="1"/>
      <c r="I700" s="1"/>
      <c r="J700" s="1"/>
    </row>
    <row r="701" spans="1:10" x14ac:dyDescent="0.35">
      <c r="A701" s="6" t="s">
        <v>21</v>
      </c>
      <c r="B701" s="6">
        <f t="shared" ref="B701:B703" si="161">+B700+1</f>
        <v>2038</v>
      </c>
      <c r="C701" s="1" t="s">
        <v>34</v>
      </c>
      <c r="D701" s="2" t="s">
        <v>2003</v>
      </c>
      <c r="E701" s="9" t="str">
        <f t="shared" si="158"/>
        <v>PSDP'!</v>
      </c>
      <c r="F701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01" s="6" t="s">
        <v>101</v>
      </c>
      <c r="H701" s="1"/>
      <c r="I701" s="1"/>
      <c r="J701" s="1"/>
    </row>
    <row r="702" spans="1:10" x14ac:dyDescent="0.35">
      <c r="A702" s="6" t="s">
        <v>21</v>
      </c>
      <c r="B702" s="6">
        <f t="shared" si="161"/>
        <v>2039</v>
      </c>
      <c r="C702" s="1" t="s">
        <v>34</v>
      </c>
      <c r="D702" s="2" t="s">
        <v>2003</v>
      </c>
      <c r="E702" s="9" t="str">
        <f t="shared" si="158"/>
        <v>PSDP'!</v>
      </c>
      <c r="F702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02" s="6" t="s">
        <v>101</v>
      </c>
      <c r="H702" s="1"/>
      <c r="I702" s="1"/>
      <c r="J702" s="1"/>
    </row>
    <row r="703" spans="1:10" x14ac:dyDescent="0.35">
      <c r="A703" s="6" t="s">
        <v>21</v>
      </c>
      <c r="B703" s="6">
        <f t="shared" si="161"/>
        <v>2040</v>
      </c>
      <c r="C703" s="1" t="s">
        <v>34</v>
      </c>
      <c r="D703" s="2" t="s">
        <v>2003</v>
      </c>
      <c r="E703" s="9" t="str">
        <f t="shared" si="158"/>
        <v>PSDP'!</v>
      </c>
      <c r="F703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03" s="6" t="s">
        <v>101</v>
      </c>
      <c r="H703" s="1"/>
      <c r="I703" s="1"/>
      <c r="J703" s="1"/>
    </row>
    <row r="704" spans="1:10" x14ac:dyDescent="0.35">
      <c r="A704" s="6" t="s">
        <v>21</v>
      </c>
      <c r="B704" s="6">
        <f>+B703+1</f>
        <v>2041</v>
      </c>
      <c r="C704" s="1" t="s">
        <v>34</v>
      </c>
      <c r="D704" s="2" t="s">
        <v>2003</v>
      </c>
      <c r="E704" s="9" t="str">
        <f t="shared" si="158"/>
        <v>PSDP'!</v>
      </c>
      <c r="F704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04" s="6" t="s">
        <v>101</v>
      </c>
      <c r="H704" s="1"/>
      <c r="I704" s="1"/>
      <c r="J704" s="1"/>
    </row>
    <row r="705" spans="1:10" x14ac:dyDescent="0.35">
      <c r="A705" s="6" t="s">
        <v>21</v>
      </c>
      <c r="B705" s="6">
        <f t="shared" ref="B705:B706" si="162">+B704+1</f>
        <v>2042</v>
      </c>
      <c r="C705" s="1" t="s">
        <v>34</v>
      </c>
      <c r="D705" s="2" t="s">
        <v>2003</v>
      </c>
      <c r="E705" s="9" t="str">
        <f t="shared" si="158"/>
        <v>PSDP'!</v>
      </c>
      <c r="F705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05" s="6" t="s">
        <v>101</v>
      </c>
      <c r="H705" s="1"/>
      <c r="I705" s="1"/>
      <c r="J705" s="1"/>
    </row>
    <row r="706" spans="1:10" x14ac:dyDescent="0.35">
      <c r="A706" s="6" t="s">
        <v>21</v>
      </c>
      <c r="B706" s="6">
        <f t="shared" si="162"/>
        <v>2043</v>
      </c>
      <c r="C706" s="1" t="s">
        <v>34</v>
      </c>
      <c r="D706" s="2" t="s">
        <v>2003</v>
      </c>
      <c r="E706" s="9" t="str">
        <f t="shared" si="158"/>
        <v>PSDP'!</v>
      </c>
      <c r="F706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06" s="6" t="s">
        <v>101</v>
      </c>
      <c r="H706" s="1"/>
      <c r="I706" s="1"/>
      <c r="J706" s="1"/>
    </row>
    <row r="707" spans="1:10" x14ac:dyDescent="0.35">
      <c r="A707" s="6" t="s">
        <v>21</v>
      </c>
      <c r="B707" s="6">
        <f>+B706+1</f>
        <v>2044</v>
      </c>
      <c r="C707" s="1" t="s">
        <v>34</v>
      </c>
      <c r="D707" s="2" t="s">
        <v>2003</v>
      </c>
      <c r="E707" s="9" t="str">
        <f t="shared" ref="E707:E722" si="163">_xlfn.CONCAT(A707,"'!")</f>
        <v>PSDP'!</v>
      </c>
      <c r="F707" s="5" t="str">
        <f t="shared" ref="F707:F722" si="164">_xlfn.CONCAT(D707," ",E707)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07" s="6" t="s">
        <v>101</v>
      </c>
      <c r="H707" s="1"/>
      <c r="I707" s="1"/>
      <c r="J707" s="1"/>
    </row>
    <row r="708" spans="1:10" x14ac:dyDescent="0.35">
      <c r="A708" s="6" t="s">
        <v>21</v>
      </c>
      <c r="B708" s="6">
        <f t="shared" ref="B708:B722" si="165">+B707+1</f>
        <v>2045</v>
      </c>
      <c r="C708" s="1" t="s">
        <v>34</v>
      </c>
      <c r="D708" s="2" t="s">
        <v>2003</v>
      </c>
      <c r="E708" s="9" t="str">
        <f t="shared" si="163"/>
        <v>PSDP'!</v>
      </c>
      <c r="F708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08" s="6" t="s">
        <v>101</v>
      </c>
      <c r="H708" s="1"/>
      <c r="I708" s="1"/>
      <c r="J708" s="1"/>
    </row>
    <row r="709" spans="1:10" x14ac:dyDescent="0.35">
      <c r="A709" s="6" t="s">
        <v>21</v>
      </c>
      <c r="B709" s="6">
        <f t="shared" si="165"/>
        <v>2046</v>
      </c>
      <c r="C709" s="1" t="s">
        <v>34</v>
      </c>
      <c r="D709" s="2" t="s">
        <v>2003</v>
      </c>
      <c r="E709" s="9" t="str">
        <f t="shared" si="163"/>
        <v>PSDP'!</v>
      </c>
      <c r="F709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09" s="6" t="s">
        <v>101</v>
      </c>
      <c r="H709" s="1"/>
      <c r="I709" s="1"/>
      <c r="J709" s="1"/>
    </row>
    <row r="710" spans="1:10" x14ac:dyDescent="0.35">
      <c r="A710" s="6" t="s">
        <v>21</v>
      </c>
      <c r="B710" s="6">
        <f t="shared" si="165"/>
        <v>2047</v>
      </c>
      <c r="C710" s="1" t="s">
        <v>34</v>
      </c>
      <c r="D710" s="2" t="s">
        <v>2003</v>
      </c>
      <c r="E710" s="9" t="str">
        <f t="shared" si="163"/>
        <v>PSDP'!</v>
      </c>
      <c r="F710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10" s="6" t="s">
        <v>101</v>
      </c>
      <c r="H710" s="1"/>
      <c r="I710" s="1"/>
      <c r="J710" s="1"/>
    </row>
    <row r="711" spans="1:10" x14ac:dyDescent="0.35">
      <c r="A711" s="6" t="s">
        <v>21</v>
      </c>
      <c r="B711" s="6">
        <f t="shared" si="165"/>
        <v>2048</v>
      </c>
      <c r="C711" s="1" t="s">
        <v>34</v>
      </c>
      <c r="D711" s="2" t="s">
        <v>2003</v>
      </c>
      <c r="E711" s="9" t="str">
        <f t="shared" si="163"/>
        <v>PSDP'!</v>
      </c>
      <c r="F711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11" s="6" t="s">
        <v>101</v>
      </c>
      <c r="H711" s="1"/>
      <c r="I711" s="1"/>
      <c r="J711" s="1"/>
    </row>
    <row r="712" spans="1:10" x14ac:dyDescent="0.35">
      <c r="A712" s="6" t="s">
        <v>21</v>
      </c>
      <c r="B712" s="6">
        <f t="shared" si="165"/>
        <v>2049</v>
      </c>
      <c r="C712" s="1" t="s">
        <v>34</v>
      </c>
      <c r="D712" s="2" t="s">
        <v>2003</v>
      </c>
      <c r="E712" s="9" t="str">
        <f t="shared" si="163"/>
        <v>PSDP'!</v>
      </c>
      <c r="F712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12" s="6" t="s">
        <v>101</v>
      </c>
      <c r="H712" s="1"/>
      <c r="I712" s="1"/>
      <c r="J712" s="1"/>
    </row>
    <row r="713" spans="1:10" x14ac:dyDescent="0.35">
      <c r="A713" s="6" t="s">
        <v>21</v>
      </c>
      <c r="B713" s="6">
        <f t="shared" si="165"/>
        <v>2050</v>
      </c>
      <c r="C713" s="1" t="s">
        <v>34</v>
      </c>
      <c r="D713" s="2" t="s">
        <v>2003</v>
      </c>
      <c r="E713" s="9" t="str">
        <f t="shared" si="163"/>
        <v>PSDP'!</v>
      </c>
      <c r="F713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13" s="6" t="s">
        <v>101</v>
      </c>
      <c r="H713" s="1"/>
      <c r="I713" s="1"/>
      <c r="J713" s="1"/>
    </row>
    <row r="714" spans="1:10" x14ac:dyDescent="0.35">
      <c r="A714" s="6" t="s">
        <v>21</v>
      </c>
      <c r="B714" s="6">
        <f t="shared" si="165"/>
        <v>2051</v>
      </c>
      <c r="C714" s="1" t="s">
        <v>34</v>
      </c>
      <c r="D714" s="2" t="s">
        <v>2003</v>
      </c>
      <c r="E714" s="9" t="str">
        <f t="shared" si="163"/>
        <v>PSDP'!</v>
      </c>
      <c r="F714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14" s="6" t="s">
        <v>101</v>
      </c>
      <c r="H714" s="1"/>
      <c r="I714" s="1"/>
      <c r="J714" s="1"/>
    </row>
    <row r="715" spans="1:10" x14ac:dyDescent="0.35">
      <c r="A715" s="6" t="s">
        <v>21</v>
      </c>
      <c r="B715" s="6">
        <f t="shared" si="165"/>
        <v>2052</v>
      </c>
      <c r="C715" s="1" t="s">
        <v>34</v>
      </c>
      <c r="D715" s="2" t="s">
        <v>2003</v>
      </c>
      <c r="E715" s="9" t="str">
        <f t="shared" si="163"/>
        <v>PSDP'!</v>
      </c>
      <c r="F715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15" s="6" t="s">
        <v>101</v>
      </c>
      <c r="H715" s="1"/>
      <c r="I715" s="1"/>
      <c r="J715" s="1"/>
    </row>
    <row r="716" spans="1:10" x14ac:dyDescent="0.35">
      <c r="A716" s="6" t="s">
        <v>21</v>
      </c>
      <c r="B716" s="6">
        <f t="shared" si="165"/>
        <v>2053</v>
      </c>
      <c r="C716" s="1" t="s">
        <v>34</v>
      </c>
      <c r="D716" s="2" t="s">
        <v>2003</v>
      </c>
      <c r="E716" s="9" t="str">
        <f t="shared" si="163"/>
        <v>PSDP'!</v>
      </c>
      <c r="F716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16" s="6" t="s">
        <v>101</v>
      </c>
      <c r="H716" s="1"/>
      <c r="I716" s="1"/>
      <c r="J716" s="1"/>
    </row>
    <row r="717" spans="1:10" x14ac:dyDescent="0.35">
      <c r="A717" s="6" t="s">
        <v>21</v>
      </c>
      <c r="B717" s="6">
        <f t="shared" si="165"/>
        <v>2054</v>
      </c>
      <c r="C717" s="1" t="s">
        <v>34</v>
      </c>
      <c r="D717" s="2" t="s">
        <v>2003</v>
      </c>
      <c r="E717" s="9" t="str">
        <f t="shared" si="163"/>
        <v>PSDP'!</v>
      </c>
      <c r="F717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17" s="6" t="s">
        <v>101</v>
      </c>
      <c r="H717" s="1"/>
      <c r="I717" s="1"/>
      <c r="J717" s="1"/>
    </row>
    <row r="718" spans="1:10" x14ac:dyDescent="0.35">
      <c r="A718" s="6" t="s">
        <v>21</v>
      </c>
      <c r="B718" s="6">
        <f t="shared" si="165"/>
        <v>2055</v>
      </c>
      <c r="C718" s="1" t="s">
        <v>34</v>
      </c>
      <c r="D718" s="2" t="s">
        <v>2003</v>
      </c>
      <c r="E718" s="9" t="str">
        <f t="shared" si="163"/>
        <v>PSDP'!</v>
      </c>
      <c r="F718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18" s="6" t="s">
        <v>101</v>
      </c>
      <c r="H718" s="1"/>
      <c r="I718" s="1"/>
      <c r="J718" s="1"/>
    </row>
    <row r="719" spans="1:10" x14ac:dyDescent="0.35">
      <c r="A719" s="6" t="s">
        <v>21</v>
      </c>
      <c r="B719" s="6">
        <f t="shared" si="165"/>
        <v>2056</v>
      </c>
      <c r="C719" s="1" t="s">
        <v>34</v>
      </c>
      <c r="D719" s="2" t="s">
        <v>2003</v>
      </c>
      <c r="E719" s="9" t="str">
        <f t="shared" si="163"/>
        <v>PSDP'!</v>
      </c>
      <c r="F719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19" s="6" t="s">
        <v>101</v>
      </c>
      <c r="H719" s="1"/>
      <c r="I719" s="1"/>
      <c r="J719" s="1"/>
    </row>
    <row r="720" spans="1:10" x14ac:dyDescent="0.35">
      <c r="A720" s="6" t="s">
        <v>21</v>
      </c>
      <c r="B720" s="6">
        <f t="shared" si="165"/>
        <v>2057</v>
      </c>
      <c r="C720" s="1" t="s">
        <v>34</v>
      </c>
      <c r="D720" s="2" t="s">
        <v>2003</v>
      </c>
      <c r="E720" s="9" t="str">
        <f t="shared" si="163"/>
        <v>PSDP'!</v>
      </c>
      <c r="F720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20" s="6" t="s">
        <v>101</v>
      </c>
      <c r="H720" s="1"/>
      <c r="I720" s="1"/>
      <c r="J720" s="1"/>
    </row>
    <row r="721" spans="1:10" x14ac:dyDescent="0.35">
      <c r="A721" s="6" t="s">
        <v>21</v>
      </c>
      <c r="B721" s="6">
        <f t="shared" si="165"/>
        <v>2058</v>
      </c>
      <c r="C721" s="1" t="s">
        <v>34</v>
      </c>
      <c r="D721" s="2" t="s">
        <v>2003</v>
      </c>
      <c r="E721" s="9" t="str">
        <f t="shared" si="163"/>
        <v>PSDP'!</v>
      </c>
      <c r="F721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21" s="6" t="s">
        <v>101</v>
      </c>
      <c r="H721" s="1"/>
      <c r="I721" s="1"/>
      <c r="J721" s="1"/>
    </row>
    <row r="722" spans="1:10" x14ac:dyDescent="0.35">
      <c r="A722" s="6" t="s">
        <v>21</v>
      </c>
      <c r="B722" s="6">
        <f t="shared" si="165"/>
        <v>2059</v>
      </c>
      <c r="C722" s="1" t="s">
        <v>34</v>
      </c>
      <c r="D722" s="2" t="s">
        <v>2003</v>
      </c>
      <c r="E722" s="9" t="str">
        <f t="shared" si="163"/>
        <v>PSDP'!</v>
      </c>
      <c r="F722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22" s="6" t="s">
        <v>101</v>
      </c>
      <c r="H722" s="1"/>
      <c r="I722" s="1"/>
      <c r="J722" s="1"/>
    </row>
    <row r="723" spans="1:10" x14ac:dyDescent="0.35">
      <c r="A723" s="6" t="s">
        <v>26</v>
      </c>
      <c r="B723" s="6"/>
      <c r="C723" s="1" t="s">
        <v>34</v>
      </c>
      <c r="D723" s="2"/>
      <c r="E723" s="9"/>
      <c r="F723" s="2"/>
      <c r="G723" s="6"/>
      <c r="H723" s="1"/>
      <c r="I723" s="1"/>
      <c r="J723" s="1"/>
    </row>
    <row r="724" spans="1:10" x14ac:dyDescent="0.35">
      <c r="A724" s="6" t="s">
        <v>22</v>
      </c>
      <c r="B724" s="6">
        <v>2023</v>
      </c>
      <c r="C724" s="1" t="s">
        <v>34</v>
      </c>
      <c r="D724" s="2" t="s">
        <v>2003</v>
      </c>
      <c r="E724" s="9" t="str">
        <f t="shared" ref="E724:E744" si="166">_xlfn.CONCAT(A724,"'!")</f>
        <v>PSNP'!</v>
      </c>
      <c r="F724" s="5" t="str">
        <f t="shared" ref="F724:F744" si="167">_xlfn.CONCAT(D724," ",E724)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24" s="6" t="s">
        <v>101</v>
      </c>
      <c r="H724" s="1"/>
      <c r="I724" s="1"/>
      <c r="J724" s="1"/>
    </row>
    <row r="725" spans="1:10" x14ac:dyDescent="0.35">
      <c r="A725" s="6" t="s">
        <v>22</v>
      </c>
      <c r="B725" s="6">
        <f>+B724+1</f>
        <v>2024</v>
      </c>
      <c r="C725" s="1" t="s">
        <v>34</v>
      </c>
      <c r="D725" s="2" t="s">
        <v>2003</v>
      </c>
      <c r="E725" s="9" t="str">
        <f t="shared" si="166"/>
        <v>PSNP'!</v>
      </c>
      <c r="F725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25" s="6" t="s">
        <v>101</v>
      </c>
      <c r="H725" s="1"/>
      <c r="I725" s="1"/>
      <c r="J725" s="1"/>
    </row>
    <row r="726" spans="1:10" x14ac:dyDescent="0.35">
      <c r="A726" s="6" t="s">
        <v>22</v>
      </c>
      <c r="B726" s="6">
        <f t="shared" ref="B726:B737" si="168">+B725+1</f>
        <v>2025</v>
      </c>
      <c r="C726" s="1" t="s">
        <v>34</v>
      </c>
      <c r="D726" s="2" t="s">
        <v>2003</v>
      </c>
      <c r="E726" s="9" t="str">
        <f t="shared" si="166"/>
        <v>PSNP'!</v>
      </c>
      <c r="F726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26" s="6" t="s">
        <v>101</v>
      </c>
      <c r="H726" s="1"/>
      <c r="I726" s="1"/>
      <c r="J726" s="1"/>
    </row>
    <row r="727" spans="1:10" x14ac:dyDescent="0.35">
      <c r="A727" s="6" t="s">
        <v>22</v>
      </c>
      <c r="B727" s="6">
        <f t="shared" si="168"/>
        <v>2026</v>
      </c>
      <c r="C727" s="1" t="s">
        <v>34</v>
      </c>
      <c r="D727" s="2" t="s">
        <v>2003</v>
      </c>
      <c r="E727" s="9" t="str">
        <f t="shared" si="166"/>
        <v>PSNP'!</v>
      </c>
      <c r="F727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27" s="6" t="s">
        <v>101</v>
      </c>
      <c r="H727" s="1"/>
      <c r="I727" s="1"/>
      <c r="J727" s="1"/>
    </row>
    <row r="728" spans="1:10" x14ac:dyDescent="0.35">
      <c r="A728" s="6" t="s">
        <v>22</v>
      </c>
      <c r="B728" s="6">
        <f t="shared" si="168"/>
        <v>2027</v>
      </c>
      <c r="C728" s="1" t="s">
        <v>34</v>
      </c>
      <c r="D728" s="2" t="s">
        <v>2003</v>
      </c>
      <c r="E728" s="9" t="str">
        <f t="shared" si="166"/>
        <v>PSNP'!</v>
      </c>
      <c r="F728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28" s="6" t="s">
        <v>101</v>
      </c>
      <c r="H728" s="1"/>
      <c r="I728" s="1"/>
      <c r="J728" s="1"/>
    </row>
    <row r="729" spans="1:10" x14ac:dyDescent="0.35">
      <c r="A729" s="6" t="s">
        <v>22</v>
      </c>
      <c r="B729" s="6">
        <f t="shared" si="168"/>
        <v>2028</v>
      </c>
      <c r="C729" s="1" t="s">
        <v>34</v>
      </c>
      <c r="D729" s="2" t="s">
        <v>2003</v>
      </c>
      <c r="E729" s="9" t="str">
        <f t="shared" si="166"/>
        <v>PSNP'!</v>
      </c>
      <c r="F729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29" s="6" t="s">
        <v>101</v>
      </c>
      <c r="H729" s="1"/>
      <c r="I729" s="1"/>
      <c r="J729" s="1"/>
    </row>
    <row r="730" spans="1:10" x14ac:dyDescent="0.35">
      <c r="A730" s="6" t="s">
        <v>22</v>
      </c>
      <c r="B730" s="6">
        <f t="shared" si="168"/>
        <v>2029</v>
      </c>
      <c r="C730" s="1" t="s">
        <v>34</v>
      </c>
      <c r="D730" s="2" t="s">
        <v>2003</v>
      </c>
      <c r="E730" s="9" t="str">
        <f t="shared" si="166"/>
        <v>PSNP'!</v>
      </c>
      <c r="F730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30" s="6" t="s">
        <v>101</v>
      </c>
      <c r="H730" s="1"/>
      <c r="I730" s="1"/>
      <c r="J730" s="1"/>
    </row>
    <row r="731" spans="1:10" x14ac:dyDescent="0.35">
      <c r="A731" s="6" t="s">
        <v>22</v>
      </c>
      <c r="B731" s="6">
        <f t="shared" si="168"/>
        <v>2030</v>
      </c>
      <c r="C731" s="1" t="s">
        <v>34</v>
      </c>
      <c r="D731" s="2" t="s">
        <v>2003</v>
      </c>
      <c r="E731" s="9" t="str">
        <f t="shared" si="166"/>
        <v>PSNP'!</v>
      </c>
      <c r="F731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31" s="6" t="s">
        <v>101</v>
      </c>
      <c r="H731" s="1"/>
      <c r="I731" s="1"/>
      <c r="J731" s="1"/>
    </row>
    <row r="732" spans="1:10" x14ac:dyDescent="0.35">
      <c r="A732" s="6" t="s">
        <v>22</v>
      </c>
      <c r="B732" s="6">
        <f t="shared" si="168"/>
        <v>2031</v>
      </c>
      <c r="C732" s="1" t="s">
        <v>34</v>
      </c>
      <c r="D732" s="2" t="s">
        <v>2003</v>
      </c>
      <c r="E732" s="9" t="str">
        <f t="shared" si="166"/>
        <v>PSNP'!</v>
      </c>
      <c r="F732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32" s="6" t="s">
        <v>101</v>
      </c>
      <c r="H732" s="1"/>
      <c r="I732" s="1"/>
      <c r="J732" s="1"/>
    </row>
    <row r="733" spans="1:10" x14ac:dyDescent="0.35">
      <c r="A733" s="6" t="s">
        <v>22</v>
      </c>
      <c r="B733" s="6">
        <f t="shared" si="168"/>
        <v>2032</v>
      </c>
      <c r="C733" s="1" t="s">
        <v>34</v>
      </c>
      <c r="D733" s="2" t="s">
        <v>2003</v>
      </c>
      <c r="E733" s="9" t="str">
        <f t="shared" si="166"/>
        <v>PSNP'!</v>
      </c>
      <c r="F733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33" s="6" t="s">
        <v>101</v>
      </c>
      <c r="H733" s="1"/>
      <c r="I733" s="1"/>
      <c r="J733" s="1"/>
    </row>
    <row r="734" spans="1:10" x14ac:dyDescent="0.35">
      <c r="A734" s="6" t="s">
        <v>22</v>
      </c>
      <c r="B734" s="6">
        <f t="shared" si="168"/>
        <v>2033</v>
      </c>
      <c r="C734" s="1" t="s">
        <v>34</v>
      </c>
      <c r="D734" s="2" t="s">
        <v>2003</v>
      </c>
      <c r="E734" s="9" t="str">
        <f t="shared" si="166"/>
        <v>PSNP'!</v>
      </c>
      <c r="F734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34" s="6" t="s">
        <v>101</v>
      </c>
      <c r="H734" s="1"/>
      <c r="I734" s="1"/>
      <c r="J734" s="1"/>
    </row>
    <row r="735" spans="1:10" x14ac:dyDescent="0.35">
      <c r="A735" s="6" t="s">
        <v>22</v>
      </c>
      <c r="B735" s="6">
        <f t="shared" si="168"/>
        <v>2034</v>
      </c>
      <c r="C735" s="1" t="s">
        <v>34</v>
      </c>
      <c r="D735" s="2" t="s">
        <v>2003</v>
      </c>
      <c r="E735" s="9" t="str">
        <f t="shared" si="166"/>
        <v>PSNP'!</v>
      </c>
      <c r="F735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35" s="6" t="s">
        <v>101</v>
      </c>
      <c r="H735" s="1"/>
      <c r="I735" s="1"/>
      <c r="J735" s="1"/>
    </row>
    <row r="736" spans="1:10" x14ac:dyDescent="0.35">
      <c r="A736" s="6" t="s">
        <v>22</v>
      </c>
      <c r="B736" s="6">
        <f t="shared" si="168"/>
        <v>2035</v>
      </c>
      <c r="C736" s="1" t="s">
        <v>34</v>
      </c>
      <c r="D736" s="2" t="s">
        <v>2003</v>
      </c>
      <c r="E736" s="9" t="str">
        <f t="shared" si="166"/>
        <v>PSNP'!</v>
      </c>
      <c r="F736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36" s="6" t="s">
        <v>101</v>
      </c>
      <c r="H736" s="1"/>
      <c r="I736" s="1"/>
      <c r="J736" s="1"/>
    </row>
    <row r="737" spans="1:10" x14ac:dyDescent="0.35">
      <c r="A737" s="6" t="s">
        <v>22</v>
      </c>
      <c r="B737" s="6">
        <f t="shared" si="168"/>
        <v>2036</v>
      </c>
      <c r="C737" s="1" t="s">
        <v>34</v>
      </c>
      <c r="D737" s="2" t="s">
        <v>2003</v>
      </c>
      <c r="E737" s="9" t="str">
        <f t="shared" si="166"/>
        <v>PSNP'!</v>
      </c>
      <c r="F737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37" s="6" t="s">
        <v>101</v>
      </c>
      <c r="H737" s="1"/>
      <c r="I737" s="1"/>
      <c r="J737" s="1"/>
    </row>
    <row r="738" spans="1:10" x14ac:dyDescent="0.35">
      <c r="A738" s="6" t="s">
        <v>22</v>
      </c>
      <c r="B738" s="6">
        <f>+B737+1</f>
        <v>2037</v>
      </c>
      <c r="C738" s="1" t="s">
        <v>34</v>
      </c>
      <c r="D738" s="2" t="s">
        <v>2003</v>
      </c>
      <c r="E738" s="9" t="str">
        <f t="shared" si="166"/>
        <v>PSNP'!</v>
      </c>
      <c r="F738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38" s="6" t="s">
        <v>101</v>
      </c>
      <c r="H738" s="1"/>
      <c r="I738" s="1"/>
      <c r="J738" s="1"/>
    </row>
    <row r="739" spans="1:10" x14ac:dyDescent="0.35">
      <c r="A739" s="6" t="s">
        <v>22</v>
      </c>
      <c r="B739" s="6">
        <f t="shared" ref="B739:B741" si="169">+B738+1</f>
        <v>2038</v>
      </c>
      <c r="C739" s="1" t="s">
        <v>34</v>
      </c>
      <c r="D739" s="2" t="s">
        <v>2003</v>
      </c>
      <c r="E739" s="9" t="str">
        <f t="shared" si="166"/>
        <v>PSNP'!</v>
      </c>
      <c r="F739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39" s="6" t="s">
        <v>101</v>
      </c>
      <c r="H739" s="1"/>
      <c r="I739" s="1"/>
      <c r="J739" s="1"/>
    </row>
    <row r="740" spans="1:10" x14ac:dyDescent="0.35">
      <c r="A740" s="6" t="s">
        <v>22</v>
      </c>
      <c r="B740" s="6">
        <f t="shared" si="169"/>
        <v>2039</v>
      </c>
      <c r="C740" s="1" t="s">
        <v>34</v>
      </c>
      <c r="D740" s="2" t="s">
        <v>2003</v>
      </c>
      <c r="E740" s="9" t="str">
        <f t="shared" si="166"/>
        <v>PSNP'!</v>
      </c>
      <c r="F740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40" s="6" t="s">
        <v>101</v>
      </c>
      <c r="H740" s="1"/>
      <c r="I740" s="1"/>
      <c r="J740" s="1"/>
    </row>
    <row r="741" spans="1:10" x14ac:dyDescent="0.35">
      <c r="A741" s="6" t="s">
        <v>22</v>
      </c>
      <c r="B741" s="6">
        <f t="shared" si="169"/>
        <v>2040</v>
      </c>
      <c r="C741" s="1" t="s">
        <v>34</v>
      </c>
      <c r="D741" s="2" t="s">
        <v>2003</v>
      </c>
      <c r="E741" s="9" t="str">
        <f t="shared" si="166"/>
        <v>PSNP'!</v>
      </c>
      <c r="F741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41" s="6" t="s">
        <v>101</v>
      </c>
      <c r="H741" s="1"/>
      <c r="I741" s="1"/>
      <c r="J741" s="1"/>
    </row>
    <row r="742" spans="1:10" x14ac:dyDescent="0.35">
      <c r="A742" s="6" t="s">
        <v>22</v>
      </c>
      <c r="B742" s="6">
        <f>+B741+1</f>
        <v>2041</v>
      </c>
      <c r="C742" s="1" t="s">
        <v>34</v>
      </c>
      <c r="D742" s="2" t="s">
        <v>2003</v>
      </c>
      <c r="E742" s="9" t="str">
        <f t="shared" si="166"/>
        <v>PSNP'!</v>
      </c>
      <c r="F742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42" s="6" t="s">
        <v>101</v>
      </c>
      <c r="H742" s="1"/>
      <c r="I742" s="1"/>
      <c r="J742" s="1"/>
    </row>
    <row r="743" spans="1:10" x14ac:dyDescent="0.35">
      <c r="A743" s="6" t="s">
        <v>22</v>
      </c>
      <c r="B743" s="6">
        <f t="shared" ref="B743:B744" si="170">+B742+1</f>
        <v>2042</v>
      </c>
      <c r="C743" s="1" t="s">
        <v>34</v>
      </c>
      <c r="D743" s="2" t="s">
        <v>2003</v>
      </c>
      <c r="E743" s="9" t="str">
        <f t="shared" si="166"/>
        <v>PSNP'!</v>
      </c>
      <c r="F743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43" s="6" t="s">
        <v>101</v>
      </c>
      <c r="H743" s="1"/>
      <c r="I743" s="1"/>
      <c r="J743" s="1"/>
    </row>
    <row r="744" spans="1:10" x14ac:dyDescent="0.35">
      <c r="A744" s="6" t="s">
        <v>22</v>
      </c>
      <c r="B744" s="6">
        <f t="shared" si="170"/>
        <v>2043</v>
      </c>
      <c r="C744" s="1" t="s">
        <v>34</v>
      </c>
      <c r="D744" s="2" t="s">
        <v>2003</v>
      </c>
      <c r="E744" s="9" t="str">
        <f t="shared" si="166"/>
        <v>PSNP'!</v>
      </c>
      <c r="F744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44" s="6" t="s">
        <v>101</v>
      </c>
      <c r="H744" s="1"/>
      <c r="I744" s="1"/>
      <c r="J744" s="1"/>
    </row>
    <row r="745" spans="1:10" x14ac:dyDescent="0.35">
      <c r="A745" s="6" t="s">
        <v>22</v>
      </c>
      <c r="B745" s="6">
        <f>+B744+1</f>
        <v>2044</v>
      </c>
      <c r="C745" s="1" t="s">
        <v>34</v>
      </c>
      <c r="D745" s="2" t="s">
        <v>2003</v>
      </c>
      <c r="E745" s="9" t="str">
        <f t="shared" ref="E745:E760" si="171">_xlfn.CONCAT(A745,"'!")</f>
        <v>PSNP'!</v>
      </c>
      <c r="F745" s="5" t="str">
        <f t="shared" ref="F745:F760" si="172">_xlfn.CONCAT(D745," ",E745)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45" s="6" t="s">
        <v>101</v>
      </c>
      <c r="H745" s="1"/>
      <c r="I745" s="1"/>
      <c r="J745" s="1"/>
    </row>
    <row r="746" spans="1:10" x14ac:dyDescent="0.35">
      <c r="A746" s="6" t="s">
        <v>22</v>
      </c>
      <c r="B746" s="6">
        <f t="shared" ref="B746:B760" si="173">+B745+1</f>
        <v>2045</v>
      </c>
      <c r="C746" s="1" t="s">
        <v>34</v>
      </c>
      <c r="D746" s="2" t="s">
        <v>2003</v>
      </c>
      <c r="E746" s="9" t="str">
        <f t="shared" si="171"/>
        <v>PSNP'!</v>
      </c>
      <c r="F746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46" s="6" t="s">
        <v>101</v>
      </c>
      <c r="H746" s="1"/>
      <c r="I746" s="1"/>
      <c r="J746" s="1"/>
    </row>
    <row r="747" spans="1:10" x14ac:dyDescent="0.35">
      <c r="A747" s="6" t="s">
        <v>22</v>
      </c>
      <c r="B747" s="6">
        <f t="shared" si="173"/>
        <v>2046</v>
      </c>
      <c r="C747" s="1" t="s">
        <v>34</v>
      </c>
      <c r="D747" s="2" t="s">
        <v>2003</v>
      </c>
      <c r="E747" s="9" t="str">
        <f t="shared" si="171"/>
        <v>PSNP'!</v>
      </c>
      <c r="F747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47" s="6" t="s">
        <v>101</v>
      </c>
      <c r="H747" s="1"/>
      <c r="I747" s="1"/>
      <c r="J747" s="1"/>
    </row>
    <row r="748" spans="1:10" x14ac:dyDescent="0.35">
      <c r="A748" s="6" t="s">
        <v>22</v>
      </c>
      <c r="B748" s="6">
        <f t="shared" si="173"/>
        <v>2047</v>
      </c>
      <c r="C748" s="1" t="s">
        <v>34</v>
      </c>
      <c r="D748" s="2" t="s">
        <v>2003</v>
      </c>
      <c r="E748" s="9" t="str">
        <f t="shared" si="171"/>
        <v>PSNP'!</v>
      </c>
      <c r="F748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48" s="6" t="s">
        <v>101</v>
      </c>
      <c r="H748" s="1"/>
      <c r="I748" s="1"/>
      <c r="J748" s="1"/>
    </row>
    <row r="749" spans="1:10" x14ac:dyDescent="0.35">
      <c r="A749" s="6" t="s">
        <v>22</v>
      </c>
      <c r="B749" s="6">
        <f t="shared" si="173"/>
        <v>2048</v>
      </c>
      <c r="C749" s="1" t="s">
        <v>34</v>
      </c>
      <c r="D749" s="2" t="s">
        <v>2003</v>
      </c>
      <c r="E749" s="9" t="str">
        <f t="shared" si="171"/>
        <v>PSNP'!</v>
      </c>
      <c r="F749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49" s="6" t="s">
        <v>101</v>
      </c>
      <c r="H749" s="1"/>
      <c r="I749" s="1"/>
      <c r="J749" s="1"/>
    </row>
    <row r="750" spans="1:10" x14ac:dyDescent="0.35">
      <c r="A750" s="6" t="s">
        <v>22</v>
      </c>
      <c r="B750" s="6">
        <f t="shared" si="173"/>
        <v>2049</v>
      </c>
      <c r="C750" s="1" t="s">
        <v>34</v>
      </c>
      <c r="D750" s="2" t="s">
        <v>2003</v>
      </c>
      <c r="E750" s="9" t="str">
        <f t="shared" si="171"/>
        <v>PSNP'!</v>
      </c>
      <c r="F750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50" s="6" t="s">
        <v>101</v>
      </c>
      <c r="H750" s="1"/>
      <c r="I750" s="1"/>
      <c r="J750" s="1"/>
    </row>
    <row r="751" spans="1:10" x14ac:dyDescent="0.35">
      <c r="A751" s="6" t="s">
        <v>22</v>
      </c>
      <c r="B751" s="6">
        <f t="shared" si="173"/>
        <v>2050</v>
      </c>
      <c r="C751" s="1" t="s">
        <v>34</v>
      </c>
      <c r="D751" s="2" t="s">
        <v>2003</v>
      </c>
      <c r="E751" s="9" t="str">
        <f t="shared" si="171"/>
        <v>PSNP'!</v>
      </c>
      <c r="F751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51" s="6" t="s">
        <v>101</v>
      </c>
      <c r="H751" s="1"/>
      <c r="I751" s="1"/>
      <c r="J751" s="1"/>
    </row>
    <row r="752" spans="1:10" x14ac:dyDescent="0.35">
      <c r="A752" s="6" t="s">
        <v>22</v>
      </c>
      <c r="B752" s="6">
        <f t="shared" si="173"/>
        <v>2051</v>
      </c>
      <c r="C752" s="1" t="s">
        <v>34</v>
      </c>
      <c r="D752" s="2" t="s">
        <v>2003</v>
      </c>
      <c r="E752" s="9" t="str">
        <f t="shared" si="171"/>
        <v>PSNP'!</v>
      </c>
      <c r="F752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52" s="6" t="s">
        <v>101</v>
      </c>
      <c r="H752" s="1"/>
      <c r="I752" s="1"/>
      <c r="J752" s="1"/>
    </row>
    <row r="753" spans="1:10" x14ac:dyDescent="0.35">
      <c r="A753" s="6" t="s">
        <v>22</v>
      </c>
      <c r="B753" s="6">
        <f t="shared" si="173"/>
        <v>2052</v>
      </c>
      <c r="C753" s="1" t="s">
        <v>34</v>
      </c>
      <c r="D753" s="2" t="s">
        <v>2003</v>
      </c>
      <c r="E753" s="9" t="str">
        <f t="shared" si="171"/>
        <v>PSNP'!</v>
      </c>
      <c r="F753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53" s="6" t="s">
        <v>101</v>
      </c>
      <c r="H753" s="1"/>
      <c r="I753" s="1"/>
      <c r="J753" s="1"/>
    </row>
    <row r="754" spans="1:10" x14ac:dyDescent="0.35">
      <c r="A754" s="6" t="s">
        <v>22</v>
      </c>
      <c r="B754" s="6">
        <f t="shared" si="173"/>
        <v>2053</v>
      </c>
      <c r="C754" s="1" t="s">
        <v>34</v>
      </c>
      <c r="D754" s="2" t="s">
        <v>2003</v>
      </c>
      <c r="E754" s="9" t="str">
        <f t="shared" si="171"/>
        <v>PSNP'!</v>
      </c>
      <c r="F754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54" s="6" t="s">
        <v>101</v>
      </c>
      <c r="H754" s="1"/>
      <c r="I754" s="1"/>
      <c r="J754" s="1"/>
    </row>
    <row r="755" spans="1:10" x14ac:dyDescent="0.35">
      <c r="A755" s="6" t="s">
        <v>22</v>
      </c>
      <c r="B755" s="6">
        <f t="shared" si="173"/>
        <v>2054</v>
      </c>
      <c r="C755" s="1" t="s">
        <v>34</v>
      </c>
      <c r="D755" s="2" t="s">
        <v>2003</v>
      </c>
      <c r="E755" s="9" t="str">
        <f t="shared" si="171"/>
        <v>PSNP'!</v>
      </c>
      <c r="F755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55" s="6" t="s">
        <v>101</v>
      </c>
      <c r="H755" s="1"/>
      <c r="I755" s="1"/>
      <c r="J755" s="1"/>
    </row>
    <row r="756" spans="1:10" x14ac:dyDescent="0.35">
      <c r="A756" s="6" t="s">
        <v>22</v>
      </c>
      <c r="B756" s="6">
        <f t="shared" si="173"/>
        <v>2055</v>
      </c>
      <c r="C756" s="1" t="s">
        <v>34</v>
      </c>
      <c r="D756" s="2" t="s">
        <v>2003</v>
      </c>
      <c r="E756" s="9" t="str">
        <f t="shared" si="171"/>
        <v>PSNP'!</v>
      </c>
      <c r="F756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56" s="6" t="s">
        <v>101</v>
      </c>
      <c r="H756" s="1"/>
      <c r="I756" s="1"/>
      <c r="J756" s="1"/>
    </row>
    <row r="757" spans="1:10" x14ac:dyDescent="0.35">
      <c r="A757" s="6" t="s">
        <v>22</v>
      </c>
      <c r="B757" s="6">
        <f t="shared" si="173"/>
        <v>2056</v>
      </c>
      <c r="C757" s="1" t="s">
        <v>34</v>
      </c>
      <c r="D757" s="2" t="s">
        <v>2003</v>
      </c>
      <c r="E757" s="9" t="str">
        <f t="shared" si="171"/>
        <v>PSNP'!</v>
      </c>
      <c r="F757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57" s="6" t="s">
        <v>101</v>
      </c>
      <c r="H757" s="1"/>
      <c r="I757" s="1"/>
      <c r="J757" s="1"/>
    </row>
    <row r="758" spans="1:10" x14ac:dyDescent="0.35">
      <c r="A758" s="6" t="s">
        <v>22</v>
      </c>
      <c r="B758" s="6">
        <f t="shared" si="173"/>
        <v>2057</v>
      </c>
      <c r="C758" s="1" t="s">
        <v>34</v>
      </c>
      <c r="D758" s="2" t="s">
        <v>2003</v>
      </c>
      <c r="E758" s="9" t="str">
        <f t="shared" si="171"/>
        <v>PSNP'!</v>
      </c>
      <c r="F758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58" s="6" t="s">
        <v>101</v>
      </c>
      <c r="H758" s="1"/>
      <c r="I758" s="1"/>
      <c r="J758" s="1"/>
    </row>
    <row r="759" spans="1:10" x14ac:dyDescent="0.35">
      <c r="A759" s="6" t="s">
        <v>22</v>
      </c>
      <c r="B759" s="6">
        <f t="shared" si="173"/>
        <v>2058</v>
      </c>
      <c r="C759" s="1" t="s">
        <v>34</v>
      </c>
      <c r="D759" s="2" t="s">
        <v>2003</v>
      </c>
      <c r="E759" s="9" t="str">
        <f t="shared" si="171"/>
        <v>PSNP'!</v>
      </c>
      <c r="F759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59" s="6" t="s">
        <v>101</v>
      </c>
      <c r="H759" s="1"/>
      <c r="I759" s="1"/>
      <c r="J759" s="1"/>
    </row>
    <row r="760" spans="1:10" x14ac:dyDescent="0.35">
      <c r="A760" s="6" t="s">
        <v>22</v>
      </c>
      <c r="B760" s="6">
        <f t="shared" si="173"/>
        <v>2059</v>
      </c>
      <c r="C760" s="1" t="s">
        <v>34</v>
      </c>
      <c r="D760" s="2" t="s">
        <v>2003</v>
      </c>
      <c r="E760" s="9" t="str">
        <f t="shared" si="171"/>
        <v>PSNP'!</v>
      </c>
      <c r="F760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60" s="6" t="s">
        <v>101</v>
      </c>
      <c r="H760" s="1"/>
      <c r="I760" s="1"/>
      <c r="J760" s="1"/>
    </row>
    <row r="761" spans="1:10" x14ac:dyDescent="0.35">
      <c r="A761" s="6" t="s">
        <v>26</v>
      </c>
      <c r="B761" s="6"/>
      <c r="C761" s="1" t="s">
        <v>34</v>
      </c>
      <c r="D761" s="2"/>
      <c r="E761" s="9"/>
      <c r="F761" s="2"/>
      <c r="G761" s="6"/>
      <c r="H761" s="1"/>
      <c r="I761" s="1"/>
      <c r="J761" s="1"/>
    </row>
    <row r="762" spans="1:10" x14ac:dyDescent="0.35">
      <c r="A762" s="6" t="s">
        <v>23</v>
      </c>
      <c r="B762" s="6">
        <v>2023</v>
      </c>
      <c r="C762" s="1" t="s">
        <v>34</v>
      </c>
      <c r="D762" s="2" t="s">
        <v>2003</v>
      </c>
      <c r="E762" s="9" t="str">
        <f t="shared" ref="E762:E782" si="174">_xlfn.CONCAT(A762,"'!")</f>
        <v>PSND'!</v>
      </c>
      <c r="F762" s="5" t="str">
        <f t="shared" ref="F762:F782" si="175">_xlfn.CONCAT(D762," ",E762)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62" s="6" t="s">
        <v>101</v>
      </c>
      <c r="H762" s="1"/>
      <c r="I762" s="1"/>
      <c r="J762" s="1"/>
    </row>
    <row r="763" spans="1:10" x14ac:dyDescent="0.35">
      <c r="A763" s="6" t="s">
        <v>23</v>
      </c>
      <c r="B763" s="6">
        <f>+B762+1</f>
        <v>2024</v>
      </c>
      <c r="C763" s="1" t="s">
        <v>34</v>
      </c>
      <c r="D763" s="2" t="s">
        <v>2003</v>
      </c>
      <c r="E763" s="9" t="str">
        <f t="shared" si="174"/>
        <v>PSND'!</v>
      </c>
      <c r="F763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63" s="6" t="s">
        <v>101</v>
      </c>
      <c r="H763" s="1"/>
      <c r="I763" s="1"/>
      <c r="J763" s="1"/>
    </row>
    <row r="764" spans="1:10" x14ac:dyDescent="0.35">
      <c r="A764" s="6" t="s">
        <v>23</v>
      </c>
      <c r="B764" s="6">
        <f t="shared" ref="B764:B775" si="176">+B763+1</f>
        <v>2025</v>
      </c>
      <c r="C764" s="1" t="s">
        <v>34</v>
      </c>
      <c r="D764" s="2" t="s">
        <v>2003</v>
      </c>
      <c r="E764" s="9" t="str">
        <f t="shared" si="174"/>
        <v>PSND'!</v>
      </c>
      <c r="F764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64" s="6" t="s">
        <v>101</v>
      </c>
      <c r="H764" s="1"/>
      <c r="I764" s="1"/>
      <c r="J764" s="1"/>
    </row>
    <row r="765" spans="1:10" x14ac:dyDescent="0.35">
      <c r="A765" s="6" t="s">
        <v>23</v>
      </c>
      <c r="B765" s="6">
        <f t="shared" si="176"/>
        <v>2026</v>
      </c>
      <c r="C765" s="1" t="s">
        <v>34</v>
      </c>
      <c r="D765" s="2" t="s">
        <v>2003</v>
      </c>
      <c r="E765" s="9" t="str">
        <f t="shared" si="174"/>
        <v>PSND'!</v>
      </c>
      <c r="F765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65" s="6" t="s">
        <v>101</v>
      </c>
      <c r="H765" s="1"/>
      <c r="I765" s="1"/>
      <c r="J765" s="1"/>
    </row>
    <row r="766" spans="1:10" x14ac:dyDescent="0.35">
      <c r="A766" s="6" t="s">
        <v>23</v>
      </c>
      <c r="B766" s="6">
        <f t="shared" si="176"/>
        <v>2027</v>
      </c>
      <c r="C766" s="1" t="s">
        <v>34</v>
      </c>
      <c r="D766" s="2" t="s">
        <v>2003</v>
      </c>
      <c r="E766" s="9" t="str">
        <f t="shared" si="174"/>
        <v>PSND'!</v>
      </c>
      <c r="F766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66" s="6" t="s">
        <v>101</v>
      </c>
      <c r="H766" s="1"/>
      <c r="I766" s="1"/>
      <c r="J766" s="1"/>
    </row>
    <row r="767" spans="1:10" x14ac:dyDescent="0.35">
      <c r="A767" s="6" t="s">
        <v>23</v>
      </c>
      <c r="B767" s="6">
        <f t="shared" si="176"/>
        <v>2028</v>
      </c>
      <c r="C767" s="1" t="s">
        <v>34</v>
      </c>
      <c r="D767" s="2" t="s">
        <v>2003</v>
      </c>
      <c r="E767" s="9" t="str">
        <f t="shared" si="174"/>
        <v>PSND'!</v>
      </c>
      <c r="F767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67" s="6" t="s">
        <v>101</v>
      </c>
      <c r="H767" s="1"/>
      <c r="I767" s="1"/>
      <c r="J767" s="1"/>
    </row>
    <row r="768" spans="1:10" x14ac:dyDescent="0.35">
      <c r="A768" s="6" t="s">
        <v>23</v>
      </c>
      <c r="B768" s="6">
        <f t="shared" si="176"/>
        <v>2029</v>
      </c>
      <c r="C768" s="1" t="s">
        <v>34</v>
      </c>
      <c r="D768" s="2" t="s">
        <v>2003</v>
      </c>
      <c r="E768" s="9" t="str">
        <f t="shared" si="174"/>
        <v>PSND'!</v>
      </c>
      <c r="F768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68" s="6" t="s">
        <v>101</v>
      </c>
      <c r="H768" s="1"/>
      <c r="I768" s="1"/>
      <c r="J768" s="1"/>
    </row>
    <row r="769" spans="1:10" x14ac:dyDescent="0.35">
      <c r="A769" s="6" t="s">
        <v>23</v>
      </c>
      <c r="B769" s="6">
        <f t="shared" si="176"/>
        <v>2030</v>
      </c>
      <c r="C769" s="1" t="s">
        <v>34</v>
      </c>
      <c r="D769" s="2" t="s">
        <v>2003</v>
      </c>
      <c r="E769" s="9" t="str">
        <f t="shared" si="174"/>
        <v>PSND'!</v>
      </c>
      <c r="F769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69" s="6" t="s">
        <v>101</v>
      </c>
      <c r="H769" s="1"/>
      <c r="I769" s="1"/>
      <c r="J769" s="1"/>
    </row>
    <row r="770" spans="1:10" x14ac:dyDescent="0.35">
      <c r="A770" s="6" t="s">
        <v>23</v>
      </c>
      <c r="B770" s="6">
        <f t="shared" si="176"/>
        <v>2031</v>
      </c>
      <c r="C770" s="1" t="s">
        <v>34</v>
      </c>
      <c r="D770" s="2" t="s">
        <v>2003</v>
      </c>
      <c r="E770" s="9" t="str">
        <f t="shared" si="174"/>
        <v>PSND'!</v>
      </c>
      <c r="F770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70" s="6" t="s">
        <v>101</v>
      </c>
      <c r="H770" s="1"/>
      <c r="I770" s="1"/>
      <c r="J770" s="1"/>
    </row>
    <row r="771" spans="1:10" x14ac:dyDescent="0.35">
      <c r="A771" s="6" t="s">
        <v>23</v>
      </c>
      <c r="B771" s="6">
        <f t="shared" si="176"/>
        <v>2032</v>
      </c>
      <c r="C771" s="1" t="s">
        <v>34</v>
      </c>
      <c r="D771" s="2" t="s">
        <v>2003</v>
      </c>
      <c r="E771" s="9" t="str">
        <f t="shared" si="174"/>
        <v>PSND'!</v>
      </c>
      <c r="F771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71" s="6" t="s">
        <v>101</v>
      </c>
      <c r="H771" s="1"/>
      <c r="I771" s="1"/>
      <c r="J771" s="1"/>
    </row>
    <row r="772" spans="1:10" x14ac:dyDescent="0.35">
      <c r="A772" s="6" t="s">
        <v>23</v>
      </c>
      <c r="B772" s="6">
        <f t="shared" si="176"/>
        <v>2033</v>
      </c>
      <c r="C772" s="1" t="s">
        <v>34</v>
      </c>
      <c r="D772" s="2" t="s">
        <v>2003</v>
      </c>
      <c r="E772" s="9" t="str">
        <f t="shared" si="174"/>
        <v>PSND'!</v>
      </c>
      <c r="F772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72" s="6" t="s">
        <v>101</v>
      </c>
      <c r="H772" s="1"/>
      <c r="I772" s="1"/>
      <c r="J772" s="1"/>
    </row>
    <row r="773" spans="1:10" x14ac:dyDescent="0.35">
      <c r="A773" s="6" t="s">
        <v>23</v>
      </c>
      <c r="B773" s="6">
        <f t="shared" si="176"/>
        <v>2034</v>
      </c>
      <c r="C773" s="1" t="s">
        <v>34</v>
      </c>
      <c r="D773" s="2" t="s">
        <v>2003</v>
      </c>
      <c r="E773" s="9" t="str">
        <f t="shared" si="174"/>
        <v>PSND'!</v>
      </c>
      <c r="F773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73" s="6" t="s">
        <v>101</v>
      </c>
      <c r="H773" s="1"/>
      <c r="I773" s="1"/>
      <c r="J773" s="1"/>
    </row>
    <row r="774" spans="1:10" x14ac:dyDescent="0.35">
      <c r="A774" s="6" t="s">
        <v>23</v>
      </c>
      <c r="B774" s="6">
        <f t="shared" si="176"/>
        <v>2035</v>
      </c>
      <c r="C774" s="1" t="s">
        <v>34</v>
      </c>
      <c r="D774" s="2" t="s">
        <v>2003</v>
      </c>
      <c r="E774" s="9" t="str">
        <f t="shared" si="174"/>
        <v>PSND'!</v>
      </c>
      <c r="F774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74" s="6" t="s">
        <v>101</v>
      </c>
      <c r="H774" s="1"/>
      <c r="I774" s="1"/>
      <c r="J774" s="1"/>
    </row>
    <row r="775" spans="1:10" x14ac:dyDescent="0.35">
      <c r="A775" s="6" t="s">
        <v>23</v>
      </c>
      <c r="B775" s="6">
        <f t="shared" si="176"/>
        <v>2036</v>
      </c>
      <c r="C775" s="1" t="s">
        <v>34</v>
      </c>
      <c r="D775" s="2" t="s">
        <v>2003</v>
      </c>
      <c r="E775" s="9" t="str">
        <f t="shared" si="174"/>
        <v>PSND'!</v>
      </c>
      <c r="F775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75" s="6" t="s">
        <v>101</v>
      </c>
      <c r="H775" s="1"/>
      <c r="I775" s="1"/>
      <c r="J775" s="1"/>
    </row>
    <row r="776" spans="1:10" x14ac:dyDescent="0.35">
      <c r="A776" s="6" t="s">
        <v>23</v>
      </c>
      <c r="B776" s="6">
        <f>+B775+1</f>
        <v>2037</v>
      </c>
      <c r="C776" s="1" t="s">
        <v>34</v>
      </c>
      <c r="D776" s="2" t="s">
        <v>2003</v>
      </c>
      <c r="E776" s="9" t="str">
        <f t="shared" si="174"/>
        <v>PSND'!</v>
      </c>
      <c r="F776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76" s="6" t="s">
        <v>101</v>
      </c>
      <c r="H776" s="1"/>
      <c r="I776" s="1"/>
      <c r="J776" s="1"/>
    </row>
    <row r="777" spans="1:10" x14ac:dyDescent="0.35">
      <c r="A777" s="6" t="s">
        <v>23</v>
      </c>
      <c r="B777" s="6">
        <f t="shared" ref="B777:B779" si="177">+B776+1</f>
        <v>2038</v>
      </c>
      <c r="C777" s="1" t="s">
        <v>34</v>
      </c>
      <c r="D777" s="2" t="s">
        <v>2003</v>
      </c>
      <c r="E777" s="9" t="str">
        <f t="shared" si="174"/>
        <v>PSND'!</v>
      </c>
      <c r="F777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77" s="6" t="s">
        <v>101</v>
      </c>
      <c r="H777" s="1"/>
      <c r="I777" s="1"/>
      <c r="J777" s="1"/>
    </row>
    <row r="778" spans="1:10" x14ac:dyDescent="0.35">
      <c r="A778" s="6" t="s">
        <v>23</v>
      </c>
      <c r="B778" s="6">
        <f t="shared" si="177"/>
        <v>2039</v>
      </c>
      <c r="C778" s="1" t="s">
        <v>34</v>
      </c>
      <c r="D778" s="2" t="s">
        <v>2003</v>
      </c>
      <c r="E778" s="9" t="str">
        <f t="shared" si="174"/>
        <v>PSND'!</v>
      </c>
      <c r="F778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78" s="6" t="s">
        <v>101</v>
      </c>
      <c r="H778" s="1"/>
      <c r="I778" s="1"/>
      <c r="J778" s="1"/>
    </row>
    <row r="779" spans="1:10" x14ac:dyDescent="0.35">
      <c r="A779" s="6" t="s">
        <v>23</v>
      </c>
      <c r="B779" s="6">
        <f t="shared" si="177"/>
        <v>2040</v>
      </c>
      <c r="C779" s="1" t="s">
        <v>34</v>
      </c>
      <c r="D779" s="2" t="s">
        <v>2003</v>
      </c>
      <c r="E779" s="9" t="str">
        <f t="shared" si="174"/>
        <v>PSND'!</v>
      </c>
      <c r="F779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79" s="6" t="s">
        <v>101</v>
      </c>
      <c r="H779" s="1"/>
      <c r="I779" s="1"/>
      <c r="J779" s="1"/>
    </row>
    <row r="780" spans="1:10" x14ac:dyDescent="0.35">
      <c r="A780" s="6" t="s">
        <v>23</v>
      </c>
      <c r="B780" s="6">
        <f>+B779+1</f>
        <v>2041</v>
      </c>
      <c r="C780" s="1" t="s">
        <v>34</v>
      </c>
      <c r="D780" s="2" t="s">
        <v>2003</v>
      </c>
      <c r="E780" s="9" t="str">
        <f t="shared" si="174"/>
        <v>PSND'!</v>
      </c>
      <c r="F780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80" s="6" t="s">
        <v>101</v>
      </c>
      <c r="H780" s="1"/>
      <c r="I780" s="1"/>
      <c r="J780" s="1"/>
    </row>
    <row r="781" spans="1:10" x14ac:dyDescent="0.35">
      <c r="A781" s="6" t="s">
        <v>23</v>
      </c>
      <c r="B781" s="6">
        <f t="shared" ref="B781:B782" si="178">+B780+1</f>
        <v>2042</v>
      </c>
      <c r="C781" s="1" t="s">
        <v>34</v>
      </c>
      <c r="D781" s="2" t="s">
        <v>2003</v>
      </c>
      <c r="E781" s="9" t="str">
        <f t="shared" si="174"/>
        <v>PSND'!</v>
      </c>
      <c r="F781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81" s="6" t="s">
        <v>101</v>
      </c>
      <c r="H781" s="1"/>
      <c r="I781" s="1"/>
      <c r="J781" s="1"/>
    </row>
    <row r="782" spans="1:10" x14ac:dyDescent="0.35">
      <c r="A782" s="6" t="s">
        <v>23</v>
      </c>
      <c r="B782" s="6">
        <f t="shared" si="178"/>
        <v>2043</v>
      </c>
      <c r="C782" s="1" t="s">
        <v>34</v>
      </c>
      <c r="D782" s="2" t="s">
        <v>2003</v>
      </c>
      <c r="E782" s="9" t="str">
        <f t="shared" si="174"/>
        <v>PSND'!</v>
      </c>
      <c r="F782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82" s="6" t="s">
        <v>101</v>
      </c>
      <c r="H782" s="1"/>
      <c r="I782" s="1"/>
      <c r="J782" s="1"/>
    </row>
    <row r="783" spans="1:10" x14ac:dyDescent="0.35">
      <c r="A783" s="6" t="s">
        <v>23</v>
      </c>
      <c r="B783" s="6">
        <f>+B782+1</f>
        <v>2044</v>
      </c>
      <c r="C783" s="1" t="s">
        <v>34</v>
      </c>
      <c r="D783" s="2" t="s">
        <v>2003</v>
      </c>
      <c r="E783" s="9" t="str">
        <f t="shared" ref="E783:E798" si="179">_xlfn.CONCAT(A783,"'!")</f>
        <v>PSND'!</v>
      </c>
      <c r="F783" s="5" t="str">
        <f t="shared" ref="F783:F798" si="180">_xlfn.CONCAT(D783," ",E783)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83" s="6" t="s">
        <v>101</v>
      </c>
      <c r="H783" s="1"/>
      <c r="I783" s="1"/>
      <c r="J783" s="1"/>
    </row>
    <row r="784" spans="1:10" x14ac:dyDescent="0.35">
      <c r="A784" s="6" t="s">
        <v>23</v>
      </c>
      <c r="B784" s="6">
        <f t="shared" ref="B784:B798" si="181">+B783+1</f>
        <v>2045</v>
      </c>
      <c r="C784" s="1" t="s">
        <v>34</v>
      </c>
      <c r="D784" s="2" t="s">
        <v>2003</v>
      </c>
      <c r="E784" s="9" t="str">
        <f t="shared" si="179"/>
        <v>PSND'!</v>
      </c>
      <c r="F784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84" s="6" t="s">
        <v>101</v>
      </c>
      <c r="H784" s="1"/>
      <c r="I784" s="1"/>
      <c r="J784" s="1"/>
    </row>
    <row r="785" spans="1:10" x14ac:dyDescent="0.35">
      <c r="A785" s="6" t="s">
        <v>23</v>
      </c>
      <c r="B785" s="6">
        <f t="shared" si="181"/>
        <v>2046</v>
      </c>
      <c r="C785" s="1" t="s">
        <v>34</v>
      </c>
      <c r="D785" s="2" t="s">
        <v>2003</v>
      </c>
      <c r="E785" s="9" t="str">
        <f t="shared" si="179"/>
        <v>PSND'!</v>
      </c>
      <c r="F785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85" s="6" t="s">
        <v>101</v>
      </c>
      <c r="H785" s="1"/>
      <c r="I785" s="1"/>
      <c r="J785" s="1"/>
    </row>
    <row r="786" spans="1:10" x14ac:dyDescent="0.35">
      <c r="A786" s="6" t="s">
        <v>23</v>
      </c>
      <c r="B786" s="6">
        <f t="shared" si="181"/>
        <v>2047</v>
      </c>
      <c r="C786" s="1" t="s">
        <v>34</v>
      </c>
      <c r="D786" s="2" t="s">
        <v>2003</v>
      </c>
      <c r="E786" s="9" t="str">
        <f t="shared" si="179"/>
        <v>PSND'!</v>
      </c>
      <c r="F786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86" s="6" t="s">
        <v>101</v>
      </c>
      <c r="H786" s="1"/>
      <c r="I786" s="1"/>
      <c r="J786" s="1"/>
    </row>
    <row r="787" spans="1:10" x14ac:dyDescent="0.35">
      <c r="A787" s="6" t="s">
        <v>23</v>
      </c>
      <c r="B787" s="6">
        <f t="shared" si="181"/>
        <v>2048</v>
      </c>
      <c r="C787" s="1" t="s">
        <v>34</v>
      </c>
      <c r="D787" s="2" t="s">
        <v>2003</v>
      </c>
      <c r="E787" s="9" t="str">
        <f t="shared" si="179"/>
        <v>PSND'!</v>
      </c>
      <c r="F787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87" s="6" t="s">
        <v>101</v>
      </c>
      <c r="H787" s="1"/>
      <c r="I787" s="1"/>
      <c r="J787" s="1"/>
    </row>
    <row r="788" spans="1:10" x14ac:dyDescent="0.35">
      <c r="A788" s="6" t="s">
        <v>23</v>
      </c>
      <c r="B788" s="6">
        <f t="shared" si="181"/>
        <v>2049</v>
      </c>
      <c r="C788" s="1" t="s">
        <v>34</v>
      </c>
      <c r="D788" s="2" t="s">
        <v>2003</v>
      </c>
      <c r="E788" s="9" t="str">
        <f t="shared" si="179"/>
        <v>PSND'!</v>
      </c>
      <c r="F788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88" s="6" t="s">
        <v>101</v>
      </c>
      <c r="H788" s="1"/>
      <c r="I788" s="1"/>
      <c r="J788" s="1"/>
    </row>
    <row r="789" spans="1:10" x14ac:dyDescent="0.35">
      <c r="A789" s="6" t="s">
        <v>23</v>
      </c>
      <c r="B789" s="6">
        <f t="shared" si="181"/>
        <v>2050</v>
      </c>
      <c r="C789" s="1" t="s">
        <v>34</v>
      </c>
      <c r="D789" s="2" t="s">
        <v>2003</v>
      </c>
      <c r="E789" s="9" t="str">
        <f t="shared" si="179"/>
        <v>PSND'!</v>
      </c>
      <c r="F789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89" s="6" t="s">
        <v>101</v>
      </c>
      <c r="H789" s="1"/>
      <c r="I789" s="1"/>
      <c r="J789" s="1"/>
    </row>
    <row r="790" spans="1:10" x14ac:dyDescent="0.35">
      <c r="A790" s="6" t="s">
        <v>23</v>
      </c>
      <c r="B790" s="6">
        <f t="shared" si="181"/>
        <v>2051</v>
      </c>
      <c r="C790" s="1" t="s">
        <v>34</v>
      </c>
      <c r="D790" s="2" t="s">
        <v>2003</v>
      </c>
      <c r="E790" s="9" t="str">
        <f t="shared" si="179"/>
        <v>PSND'!</v>
      </c>
      <c r="F790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90" s="6" t="s">
        <v>101</v>
      </c>
      <c r="H790" s="1"/>
      <c r="I790" s="1"/>
      <c r="J790" s="1"/>
    </row>
    <row r="791" spans="1:10" x14ac:dyDescent="0.35">
      <c r="A791" s="6" t="s">
        <v>23</v>
      </c>
      <c r="B791" s="6">
        <f t="shared" si="181"/>
        <v>2052</v>
      </c>
      <c r="C791" s="1" t="s">
        <v>34</v>
      </c>
      <c r="D791" s="2" t="s">
        <v>2003</v>
      </c>
      <c r="E791" s="9" t="str">
        <f t="shared" si="179"/>
        <v>PSND'!</v>
      </c>
      <c r="F791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91" s="6" t="s">
        <v>101</v>
      </c>
      <c r="H791" s="1"/>
      <c r="I791" s="1"/>
      <c r="J791" s="1"/>
    </row>
    <row r="792" spans="1:10" x14ac:dyDescent="0.35">
      <c r="A792" s="6" t="s">
        <v>23</v>
      </c>
      <c r="B792" s="6">
        <f t="shared" si="181"/>
        <v>2053</v>
      </c>
      <c r="C792" s="1" t="s">
        <v>34</v>
      </c>
      <c r="D792" s="2" t="s">
        <v>2003</v>
      </c>
      <c r="E792" s="9" t="str">
        <f t="shared" si="179"/>
        <v>PSND'!</v>
      </c>
      <c r="F792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92" s="6" t="s">
        <v>101</v>
      </c>
      <c r="H792" s="1"/>
      <c r="I792" s="1"/>
      <c r="J792" s="1"/>
    </row>
    <row r="793" spans="1:10" x14ac:dyDescent="0.35">
      <c r="A793" s="6" t="s">
        <v>23</v>
      </c>
      <c r="B793" s="6">
        <f t="shared" si="181"/>
        <v>2054</v>
      </c>
      <c r="C793" s="1" t="s">
        <v>34</v>
      </c>
      <c r="D793" s="2" t="s">
        <v>2003</v>
      </c>
      <c r="E793" s="9" t="str">
        <f t="shared" si="179"/>
        <v>PSND'!</v>
      </c>
      <c r="F793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93" s="6" t="s">
        <v>101</v>
      </c>
      <c r="H793" s="1"/>
      <c r="I793" s="1"/>
      <c r="J793" s="1"/>
    </row>
    <row r="794" spans="1:10" x14ac:dyDescent="0.35">
      <c r="A794" s="6" t="s">
        <v>23</v>
      </c>
      <c r="B794" s="6">
        <f t="shared" si="181"/>
        <v>2055</v>
      </c>
      <c r="C794" s="1" t="s">
        <v>34</v>
      </c>
      <c r="D794" s="2" t="s">
        <v>2003</v>
      </c>
      <c r="E794" s="9" t="str">
        <f t="shared" si="179"/>
        <v>PSND'!</v>
      </c>
      <c r="F794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94" s="6" t="s">
        <v>101</v>
      </c>
      <c r="H794" s="1"/>
      <c r="I794" s="1"/>
      <c r="J794" s="1"/>
    </row>
    <row r="795" spans="1:10" x14ac:dyDescent="0.35">
      <c r="A795" s="6" t="s">
        <v>23</v>
      </c>
      <c r="B795" s="6">
        <f t="shared" si="181"/>
        <v>2056</v>
      </c>
      <c r="C795" s="1" t="s">
        <v>34</v>
      </c>
      <c r="D795" s="2" t="s">
        <v>2003</v>
      </c>
      <c r="E795" s="9" t="str">
        <f t="shared" si="179"/>
        <v>PSND'!</v>
      </c>
      <c r="F795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95" s="6" t="s">
        <v>101</v>
      </c>
      <c r="H795" s="1"/>
      <c r="I795" s="1"/>
      <c r="J795" s="1"/>
    </row>
    <row r="796" spans="1:10" x14ac:dyDescent="0.35">
      <c r="A796" s="6" t="s">
        <v>23</v>
      </c>
      <c r="B796" s="6">
        <f t="shared" si="181"/>
        <v>2057</v>
      </c>
      <c r="C796" s="1" t="s">
        <v>34</v>
      </c>
      <c r="D796" s="2" t="s">
        <v>2003</v>
      </c>
      <c r="E796" s="9" t="str">
        <f t="shared" si="179"/>
        <v>PSND'!</v>
      </c>
      <c r="F796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96" s="6" t="s">
        <v>101</v>
      </c>
      <c r="H796" s="1"/>
      <c r="I796" s="1"/>
      <c r="J796" s="1"/>
    </row>
    <row r="797" spans="1:10" x14ac:dyDescent="0.35">
      <c r="A797" s="6" t="s">
        <v>23</v>
      </c>
      <c r="B797" s="6">
        <f t="shared" si="181"/>
        <v>2058</v>
      </c>
      <c r="C797" s="1" t="s">
        <v>34</v>
      </c>
      <c r="D797" s="2" t="s">
        <v>2003</v>
      </c>
      <c r="E797" s="9" t="str">
        <f t="shared" si="179"/>
        <v>PSND'!</v>
      </c>
      <c r="F797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97" s="6" t="s">
        <v>101</v>
      </c>
      <c r="H797" s="1"/>
      <c r="I797" s="1"/>
      <c r="J797" s="1"/>
    </row>
    <row r="798" spans="1:10" x14ac:dyDescent="0.35">
      <c r="A798" s="6" t="s">
        <v>23</v>
      </c>
      <c r="B798" s="6">
        <f t="shared" si="181"/>
        <v>2059</v>
      </c>
      <c r="C798" s="1" t="s">
        <v>34</v>
      </c>
      <c r="D798" s="2" t="s">
        <v>2003</v>
      </c>
      <c r="E798" s="9" t="str">
        <f t="shared" si="179"/>
        <v>PSND'!</v>
      </c>
      <c r="F798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98" s="6" t="s">
        <v>101</v>
      </c>
      <c r="H798" s="1"/>
      <c r="I798" s="1"/>
      <c r="J798" s="1"/>
    </row>
    <row r="799" spans="1:10" x14ac:dyDescent="0.35">
      <c r="A799" s="6" t="s">
        <v>26</v>
      </c>
      <c r="B799" s="6"/>
      <c r="C799" s="1" t="s">
        <v>34</v>
      </c>
      <c r="D799" s="2"/>
      <c r="E799" s="9"/>
      <c r="F799" s="2"/>
      <c r="G799" s="6"/>
      <c r="H799" s="1"/>
      <c r="I799" s="1"/>
      <c r="J799" s="1"/>
    </row>
    <row r="800" spans="1:10" x14ac:dyDescent="0.35">
      <c r="A800" s="6" t="s">
        <v>24</v>
      </c>
      <c r="B800" s="6">
        <v>2023</v>
      </c>
      <c r="C800" s="1" t="s">
        <v>34</v>
      </c>
      <c r="D800" s="2" t="s">
        <v>2003</v>
      </c>
      <c r="E800" s="9" t="str">
        <f t="shared" si="118"/>
        <v>PS'!</v>
      </c>
      <c r="F800" s="5" t="str">
        <f t="shared" ref="F800:F820" si="182">_xlfn.CONCAT(D800," ",E800)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00" s="6" t="s">
        <v>101</v>
      </c>
      <c r="H800" s="1">
        <f>IF(A800&lt;&gt;A670,36,H670+1)</f>
        <v>36</v>
      </c>
      <c r="I800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PS'!$BT$36</v>
      </c>
      <c r="J800" s="1" t="s">
        <v>2337</v>
      </c>
    </row>
    <row r="801" spans="1:10" x14ac:dyDescent="0.35">
      <c r="A801" s="6" t="s">
        <v>24</v>
      </c>
      <c r="B801" s="6">
        <f>+B800+1</f>
        <v>2024</v>
      </c>
      <c r="C801" s="1" t="s">
        <v>34</v>
      </c>
      <c r="D801" s="2" t="s">
        <v>2003</v>
      </c>
      <c r="E801" s="9" t="str">
        <f t="shared" si="118"/>
        <v>PS'!</v>
      </c>
      <c r="F801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01" s="6" t="s">
        <v>101</v>
      </c>
      <c r="H801" s="1">
        <f t="shared" si="120"/>
        <v>37</v>
      </c>
      <c r="I801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PS'!$BT$37</v>
      </c>
      <c r="J801" s="1" t="s">
        <v>2338</v>
      </c>
    </row>
    <row r="802" spans="1:10" x14ac:dyDescent="0.35">
      <c r="A802" s="6" t="s">
        <v>24</v>
      </c>
      <c r="B802" s="6">
        <f t="shared" ref="B802:B813" si="183">+B801+1</f>
        <v>2025</v>
      </c>
      <c r="C802" s="1" t="s">
        <v>34</v>
      </c>
      <c r="D802" s="2" t="s">
        <v>2003</v>
      </c>
      <c r="E802" s="9" t="str">
        <f t="shared" si="118"/>
        <v>PS'!</v>
      </c>
      <c r="F802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02" s="6" t="s">
        <v>101</v>
      </c>
      <c r="H802" s="1">
        <f t="shared" si="120"/>
        <v>38</v>
      </c>
      <c r="I802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PS'!$BT$38</v>
      </c>
      <c r="J802" s="1" t="s">
        <v>2339</v>
      </c>
    </row>
    <row r="803" spans="1:10" x14ac:dyDescent="0.35">
      <c r="A803" s="6" t="s">
        <v>24</v>
      </c>
      <c r="B803" s="6">
        <f t="shared" si="183"/>
        <v>2026</v>
      </c>
      <c r="C803" s="1" t="s">
        <v>34</v>
      </c>
      <c r="D803" s="2" t="s">
        <v>2003</v>
      </c>
      <c r="E803" s="9" t="str">
        <f t="shared" si="118"/>
        <v>PS'!</v>
      </c>
      <c r="F803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03" s="6" t="s">
        <v>101</v>
      </c>
      <c r="H803" s="1">
        <f t="shared" si="120"/>
        <v>39</v>
      </c>
      <c r="I803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PS'!$BT$39</v>
      </c>
      <c r="J803" s="1" t="s">
        <v>2340</v>
      </c>
    </row>
    <row r="804" spans="1:10" x14ac:dyDescent="0.35">
      <c r="A804" s="6" t="s">
        <v>24</v>
      </c>
      <c r="B804" s="6">
        <f t="shared" si="183"/>
        <v>2027</v>
      </c>
      <c r="C804" s="1" t="s">
        <v>34</v>
      </c>
      <c r="D804" s="2" t="s">
        <v>2003</v>
      </c>
      <c r="E804" s="9" t="str">
        <f t="shared" si="118"/>
        <v>PS'!</v>
      </c>
      <c r="F804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04" s="6" t="s">
        <v>101</v>
      </c>
      <c r="H804" s="1">
        <f t="shared" si="120"/>
        <v>40</v>
      </c>
      <c r="I804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PS'!$BT$40</v>
      </c>
      <c r="J804" s="1" t="s">
        <v>2341</v>
      </c>
    </row>
    <row r="805" spans="1:10" x14ac:dyDescent="0.35">
      <c r="A805" s="6" t="s">
        <v>24</v>
      </c>
      <c r="B805" s="6">
        <f t="shared" si="183"/>
        <v>2028</v>
      </c>
      <c r="C805" s="1" t="s">
        <v>34</v>
      </c>
      <c r="D805" s="2" t="s">
        <v>2003</v>
      </c>
      <c r="E805" s="9" t="str">
        <f t="shared" si="118"/>
        <v>PS'!</v>
      </c>
      <c r="F805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05" s="6" t="s">
        <v>101</v>
      </c>
      <c r="H805" s="1">
        <f t="shared" si="120"/>
        <v>41</v>
      </c>
      <c r="I805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PS'!$BT$41</v>
      </c>
      <c r="J805" s="1" t="s">
        <v>2342</v>
      </c>
    </row>
    <row r="806" spans="1:10" x14ac:dyDescent="0.35">
      <c r="A806" s="6" t="s">
        <v>24</v>
      </c>
      <c r="B806" s="6">
        <f t="shared" si="183"/>
        <v>2029</v>
      </c>
      <c r="C806" s="1" t="s">
        <v>34</v>
      </c>
      <c r="D806" s="2" t="s">
        <v>2003</v>
      </c>
      <c r="E806" s="9" t="str">
        <f t="shared" si="118"/>
        <v>PS'!</v>
      </c>
      <c r="F806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06" s="6" t="s">
        <v>101</v>
      </c>
      <c r="H806" s="1">
        <f t="shared" si="120"/>
        <v>42</v>
      </c>
      <c r="I806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PS'!$BT$42</v>
      </c>
      <c r="J806" s="1" t="s">
        <v>2343</v>
      </c>
    </row>
    <row r="807" spans="1:10" x14ac:dyDescent="0.35">
      <c r="A807" s="6" t="s">
        <v>24</v>
      </c>
      <c r="B807" s="6">
        <f t="shared" si="183"/>
        <v>2030</v>
      </c>
      <c r="C807" s="1" t="s">
        <v>34</v>
      </c>
      <c r="D807" s="2" t="s">
        <v>2003</v>
      </c>
      <c r="E807" s="9" t="str">
        <f t="shared" si="118"/>
        <v>PS'!</v>
      </c>
      <c r="F807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07" s="6" t="s">
        <v>101</v>
      </c>
      <c r="H807" s="1">
        <f t="shared" si="120"/>
        <v>43</v>
      </c>
      <c r="I807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PS'!$BT$43</v>
      </c>
      <c r="J807" s="1" t="s">
        <v>2344</v>
      </c>
    </row>
    <row r="808" spans="1:10" x14ac:dyDescent="0.35">
      <c r="A808" s="6" t="s">
        <v>24</v>
      </c>
      <c r="B808" s="6">
        <f t="shared" si="183"/>
        <v>2031</v>
      </c>
      <c r="C808" s="1" t="s">
        <v>34</v>
      </c>
      <c r="D808" s="2" t="s">
        <v>2003</v>
      </c>
      <c r="E808" s="9" t="str">
        <f t="shared" si="118"/>
        <v>PS'!</v>
      </c>
      <c r="F808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08" s="6" t="s">
        <v>101</v>
      </c>
      <c r="H808" s="1">
        <f t="shared" si="120"/>
        <v>44</v>
      </c>
      <c r="I808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PS'!$BT$44</v>
      </c>
      <c r="J808" s="1" t="s">
        <v>2345</v>
      </c>
    </row>
    <row r="809" spans="1:10" x14ac:dyDescent="0.35">
      <c r="A809" s="6" t="s">
        <v>24</v>
      </c>
      <c r="B809" s="6">
        <f t="shared" si="183"/>
        <v>2032</v>
      </c>
      <c r="C809" s="1" t="s">
        <v>34</v>
      </c>
      <c r="D809" s="2" t="s">
        <v>2003</v>
      </c>
      <c r="E809" s="9" t="str">
        <f t="shared" si="118"/>
        <v>PS'!</v>
      </c>
      <c r="F809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09" s="6" t="s">
        <v>101</v>
      </c>
      <c r="H809" s="1">
        <f t="shared" si="120"/>
        <v>45</v>
      </c>
      <c r="I809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PS'!$BT$45</v>
      </c>
      <c r="J809" s="1" t="s">
        <v>2346</v>
      </c>
    </row>
    <row r="810" spans="1:10" x14ac:dyDescent="0.35">
      <c r="A810" s="6" t="s">
        <v>24</v>
      </c>
      <c r="B810" s="6">
        <f t="shared" si="183"/>
        <v>2033</v>
      </c>
      <c r="C810" s="1" t="s">
        <v>34</v>
      </c>
      <c r="D810" s="2" t="s">
        <v>2003</v>
      </c>
      <c r="E810" s="9" t="str">
        <f t="shared" si="118"/>
        <v>PS'!</v>
      </c>
      <c r="F810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10" s="6" t="s">
        <v>101</v>
      </c>
      <c r="H810" s="1">
        <f t="shared" si="120"/>
        <v>46</v>
      </c>
      <c r="I810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PS'!$BT$46</v>
      </c>
      <c r="J810" s="1" t="s">
        <v>2347</v>
      </c>
    </row>
    <row r="811" spans="1:10" x14ac:dyDescent="0.35">
      <c r="A811" s="6" t="s">
        <v>24</v>
      </c>
      <c r="B811" s="6">
        <f t="shared" si="183"/>
        <v>2034</v>
      </c>
      <c r="C811" s="1" t="s">
        <v>34</v>
      </c>
      <c r="D811" s="2" t="s">
        <v>2003</v>
      </c>
      <c r="E811" s="9" t="str">
        <f t="shared" si="118"/>
        <v>PS'!</v>
      </c>
      <c r="F811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11" s="6" t="s">
        <v>101</v>
      </c>
      <c r="H811" s="1">
        <f t="shared" si="120"/>
        <v>47</v>
      </c>
      <c r="I811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PS'!$BT$47</v>
      </c>
      <c r="J811" s="1" t="s">
        <v>2348</v>
      </c>
    </row>
    <row r="812" spans="1:10" x14ac:dyDescent="0.35">
      <c r="A812" s="6" t="s">
        <v>24</v>
      </c>
      <c r="B812" s="6">
        <f t="shared" si="183"/>
        <v>2035</v>
      </c>
      <c r="C812" s="1" t="s">
        <v>34</v>
      </c>
      <c r="D812" s="2" t="s">
        <v>2003</v>
      </c>
      <c r="E812" s="9" t="str">
        <f t="shared" si="118"/>
        <v>PS'!</v>
      </c>
      <c r="F812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12" s="6" t="s">
        <v>101</v>
      </c>
      <c r="H812" s="1">
        <f t="shared" si="120"/>
        <v>48</v>
      </c>
      <c r="I812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PS'!$BT$48</v>
      </c>
      <c r="J812" s="1" t="s">
        <v>2349</v>
      </c>
    </row>
    <row r="813" spans="1:10" x14ac:dyDescent="0.35">
      <c r="A813" s="6" t="s">
        <v>24</v>
      </c>
      <c r="B813" s="6">
        <f t="shared" si="183"/>
        <v>2036</v>
      </c>
      <c r="C813" s="1" t="s">
        <v>34</v>
      </c>
      <c r="D813" s="2" t="s">
        <v>2003</v>
      </c>
      <c r="E813" s="9" t="str">
        <f t="shared" si="118"/>
        <v>PS'!</v>
      </c>
      <c r="F813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13" s="6" t="s">
        <v>101</v>
      </c>
      <c r="H813" s="1">
        <f t="shared" si="120"/>
        <v>49</v>
      </c>
      <c r="I813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PS'!$BT$49</v>
      </c>
      <c r="J813" s="1" t="s">
        <v>2350</v>
      </c>
    </row>
    <row r="814" spans="1:10" x14ac:dyDescent="0.35">
      <c r="A814" s="6" t="s">
        <v>24</v>
      </c>
      <c r="B814" s="6">
        <f>+B813+1</f>
        <v>2037</v>
      </c>
      <c r="C814" s="1" t="s">
        <v>34</v>
      </c>
      <c r="D814" s="2" t="s">
        <v>2003</v>
      </c>
      <c r="E814" s="9" t="str">
        <f t="shared" si="118"/>
        <v>PS'!</v>
      </c>
      <c r="F814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14" s="6" t="s">
        <v>101</v>
      </c>
      <c r="H814" s="1">
        <f t="shared" si="120"/>
        <v>50</v>
      </c>
      <c r="I814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PS'!$BT$50</v>
      </c>
      <c r="J814" s="1" t="s">
        <v>2351</v>
      </c>
    </row>
    <row r="815" spans="1:10" x14ac:dyDescent="0.35">
      <c r="A815" s="6" t="s">
        <v>24</v>
      </c>
      <c r="B815" s="6">
        <f t="shared" ref="B815:B817" si="184">+B814+1</f>
        <v>2038</v>
      </c>
      <c r="C815" s="1" t="s">
        <v>34</v>
      </c>
      <c r="D815" s="2" t="s">
        <v>2003</v>
      </c>
      <c r="E815" s="9" t="str">
        <f t="shared" si="118"/>
        <v>PS'!</v>
      </c>
      <c r="F815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15" s="6" t="s">
        <v>101</v>
      </c>
      <c r="H815" s="1">
        <f t="shared" si="120"/>
        <v>51</v>
      </c>
      <c r="I815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PS'!$BT$51</v>
      </c>
      <c r="J815" s="1" t="s">
        <v>2352</v>
      </c>
    </row>
    <row r="816" spans="1:10" x14ac:dyDescent="0.35">
      <c r="A816" s="6" t="s">
        <v>24</v>
      </c>
      <c r="B816" s="6">
        <f t="shared" si="184"/>
        <v>2039</v>
      </c>
      <c r="C816" s="1" t="s">
        <v>34</v>
      </c>
      <c r="D816" s="2" t="s">
        <v>2003</v>
      </c>
      <c r="E816" s="9" t="str">
        <f t="shared" si="118"/>
        <v>PS'!</v>
      </c>
      <c r="F816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16" s="6" t="s">
        <v>101</v>
      </c>
      <c r="H816" s="1">
        <f t="shared" si="120"/>
        <v>52</v>
      </c>
      <c r="I816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PS'!$BT$52</v>
      </c>
      <c r="J816" s="1" t="s">
        <v>2353</v>
      </c>
    </row>
    <row r="817" spans="1:10" x14ac:dyDescent="0.35">
      <c r="A817" s="6" t="s">
        <v>24</v>
      </c>
      <c r="B817" s="6">
        <f t="shared" si="184"/>
        <v>2040</v>
      </c>
      <c r="C817" s="1" t="s">
        <v>34</v>
      </c>
      <c r="D817" s="2" t="s">
        <v>2003</v>
      </c>
      <c r="E817" s="9" t="str">
        <f t="shared" si="118"/>
        <v>PS'!</v>
      </c>
      <c r="F817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17" s="6" t="s">
        <v>101</v>
      </c>
      <c r="H817" s="1">
        <f t="shared" si="120"/>
        <v>53</v>
      </c>
      <c r="I817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PS'!$BT$53</v>
      </c>
      <c r="J817" s="1" t="s">
        <v>2354</v>
      </c>
    </row>
    <row r="818" spans="1:10" x14ac:dyDescent="0.35">
      <c r="A818" s="6" t="s">
        <v>24</v>
      </c>
      <c r="B818" s="6">
        <f>+B817+1</f>
        <v>2041</v>
      </c>
      <c r="C818" s="1" t="s">
        <v>34</v>
      </c>
      <c r="D818" s="2" t="s">
        <v>2003</v>
      </c>
      <c r="E818" s="9" t="str">
        <f t="shared" si="118"/>
        <v>PS'!</v>
      </c>
      <c r="F818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18" s="6" t="s">
        <v>101</v>
      </c>
      <c r="H818" s="1">
        <f t="shared" si="120"/>
        <v>54</v>
      </c>
      <c r="I818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PS'!$BT$54</v>
      </c>
      <c r="J818" s="1" t="s">
        <v>2355</v>
      </c>
    </row>
    <row r="819" spans="1:10" x14ac:dyDescent="0.35">
      <c r="A819" s="6" t="s">
        <v>24</v>
      </c>
      <c r="B819" s="6">
        <f t="shared" ref="B819:B820" si="185">+B818+1</f>
        <v>2042</v>
      </c>
      <c r="C819" s="1" t="s">
        <v>34</v>
      </c>
      <c r="D819" s="2" t="s">
        <v>2003</v>
      </c>
      <c r="E819" s="9" t="str">
        <f t="shared" si="118"/>
        <v>PS'!</v>
      </c>
      <c r="F819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19" s="6" t="s">
        <v>101</v>
      </c>
      <c r="H819" s="1">
        <f t="shared" si="120"/>
        <v>55</v>
      </c>
      <c r="I819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PS'!$BT$55</v>
      </c>
      <c r="J819" s="1" t="s">
        <v>2356</v>
      </c>
    </row>
    <row r="820" spans="1:10" x14ac:dyDescent="0.35">
      <c r="A820" s="6" t="s">
        <v>24</v>
      </c>
      <c r="B820" s="6">
        <f t="shared" si="185"/>
        <v>2043</v>
      </c>
      <c r="C820" s="1" t="s">
        <v>34</v>
      </c>
      <c r="D820" s="2" t="s">
        <v>2003</v>
      </c>
      <c r="E820" s="9" t="str">
        <f t="shared" si="118"/>
        <v>PS'!</v>
      </c>
      <c r="F820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20" s="6" t="s">
        <v>101</v>
      </c>
      <c r="H820" s="1">
        <f t="shared" si="120"/>
        <v>56</v>
      </c>
      <c r="I820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PS'!$BT$56</v>
      </c>
      <c r="J820" s="1" t="s">
        <v>2357</v>
      </c>
    </row>
    <row r="821" spans="1:10" x14ac:dyDescent="0.35">
      <c r="A821" s="6" t="s">
        <v>24</v>
      </c>
      <c r="B821" s="6">
        <f>+B820+1</f>
        <v>2044</v>
      </c>
      <c r="C821" s="1" t="s">
        <v>34</v>
      </c>
      <c r="D821" s="2" t="s">
        <v>2003</v>
      </c>
      <c r="E821" s="9" t="str">
        <f t="shared" ref="E821:E836" si="186">_xlfn.CONCAT(A821,"'!")</f>
        <v>PS'!</v>
      </c>
      <c r="F821" s="5" t="str">
        <f t="shared" ref="F821:F836" si="187">_xlfn.CONCAT(D821," ",E821)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21" s="6" t="s">
        <v>101</v>
      </c>
      <c r="H821" s="1">
        <f t="shared" ref="H821:H836" si="188">IF(A821&lt;&gt;A820,36,H820+1)</f>
        <v>57</v>
      </c>
      <c r="I821" s="1" t="str">
        <f t="shared" ref="I821:I836" si="189">_xlfn.CONCAT("='",F821:H821)</f>
        <v>='C:\Users\jaime.benazar\Quorum Business Solutions\Ecopetrol Prometeo - Documents\Planning Space Implementation\3. Analysis &amp; Design\Design\FC22\DRR Jaime\Por presentar a ECP\Cantagallo\Cristalina\[VRC_CRISTALINA_CF_SEC_20221231.xlsx]CF PS'!$BT$57</v>
      </c>
      <c r="J821" s="1" t="s">
        <v>2358</v>
      </c>
    </row>
    <row r="822" spans="1:10" x14ac:dyDescent="0.35">
      <c r="A822" s="6" t="s">
        <v>24</v>
      </c>
      <c r="B822" s="6">
        <f t="shared" ref="B822:B836" si="190">+B821+1</f>
        <v>2045</v>
      </c>
      <c r="C822" s="1" t="s">
        <v>34</v>
      </c>
      <c r="D822" s="2" t="s">
        <v>2003</v>
      </c>
      <c r="E822" s="9" t="str">
        <f t="shared" si="186"/>
        <v>PS'!</v>
      </c>
      <c r="F822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22" s="6" t="s">
        <v>101</v>
      </c>
      <c r="H822" s="1">
        <f t="shared" si="188"/>
        <v>58</v>
      </c>
      <c r="I822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PS'!$BT$58</v>
      </c>
      <c r="J822" s="1" t="s">
        <v>2359</v>
      </c>
    </row>
    <row r="823" spans="1:10" x14ac:dyDescent="0.35">
      <c r="A823" s="6" t="s">
        <v>24</v>
      </c>
      <c r="B823" s="6">
        <f t="shared" si="190"/>
        <v>2046</v>
      </c>
      <c r="C823" s="1" t="s">
        <v>34</v>
      </c>
      <c r="D823" s="2" t="s">
        <v>2003</v>
      </c>
      <c r="E823" s="9" t="str">
        <f t="shared" si="186"/>
        <v>PS'!</v>
      </c>
      <c r="F823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23" s="6" t="s">
        <v>101</v>
      </c>
      <c r="H823" s="1">
        <f t="shared" si="188"/>
        <v>59</v>
      </c>
      <c r="I823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PS'!$BT$59</v>
      </c>
      <c r="J823" s="1" t="s">
        <v>2360</v>
      </c>
    </row>
    <row r="824" spans="1:10" x14ac:dyDescent="0.35">
      <c r="A824" s="6" t="s">
        <v>24</v>
      </c>
      <c r="B824" s="6">
        <f t="shared" si="190"/>
        <v>2047</v>
      </c>
      <c r="C824" s="1" t="s">
        <v>34</v>
      </c>
      <c r="D824" s="2" t="s">
        <v>2003</v>
      </c>
      <c r="E824" s="9" t="str">
        <f t="shared" si="186"/>
        <v>PS'!</v>
      </c>
      <c r="F824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24" s="6" t="s">
        <v>101</v>
      </c>
      <c r="H824" s="1">
        <f t="shared" si="188"/>
        <v>60</v>
      </c>
      <c r="I824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PS'!$BT$60</v>
      </c>
      <c r="J824" s="1" t="s">
        <v>2361</v>
      </c>
    </row>
    <row r="825" spans="1:10" x14ac:dyDescent="0.35">
      <c r="A825" s="6" t="s">
        <v>24</v>
      </c>
      <c r="B825" s="6">
        <f t="shared" si="190"/>
        <v>2048</v>
      </c>
      <c r="C825" s="1" t="s">
        <v>34</v>
      </c>
      <c r="D825" s="2" t="s">
        <v>2003</v>
      </c>
      <c r="E825" s="9" t="str">
        <f t="shared" si="186"/>
        <v>PS'!</v>
      </c>
      <c r="F825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25" s="6" t="s">
        <v>101</v>
      </c>
      <c r="H825" s="1">
        <f t="shared" si="188"/>
        <v>61</v>
      </c>
      <c r="I825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PS'!$BT$61</v>
      </c>
      <c r="J825" s="1" t="s">
        <v>2362</v>
      </c>
    </row>
    <row r="826" spans="1:10" x14ac:dyDescent="0.35">
      <c r="A826" s="6" t="s">
        <v>24</v>
      </c>
      <c r="B826" s="6">
        <f t="shared" si="190"/>
        <v>2049</v>
      </c>
      <c r="C826" s="1" t="s">
        <v>34</v>
      </c>
      <c r="D826" s="2" t="s">
        <v>2003</v>
      </c>
      <c r="E826" s="9" t="str">
        <f t="shared" si="186"/>
        <v>PS'!</v>
      </c>
      <c r="F826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26" s="6" t="s">
        <v>101</v>
      </c>
      <c r="H826" s="1">
        <f t="shared" si="188"/>
        <v>62</v>
      </c>
      <c r="I826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PS'!$BT$62</v>
      </c>
      <c r="J826" s="1" t="s">
        <v>2363</v>
      </c>
    </row>
    <row r="827" spans="1:10" x14ac:dyDescent="0.35">
      <c r="A827" s="6" t="s">
        <v>24</v>
      </c>
      <c r="B827" s="6">
        <f t="shared" si="190"/>
        <v>2050</v>
      </c>
      <c r="C827" s="1" t="s">
        <v>34</v>
      </c>
      <c r="D827" s="2" t="s">
        <v>2003</v>
      </c>
      <c r="E827" s="9" t="str">
        <f t="shared" si="186"/>
        <v>PS'!</v>
      </c>
      <c r="F827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27" s="6" t="s">
        <v>101</v>
      </c>
      <c r="H827" s="1">
        <f t="shared" si="188"/>
        <v>63</v>
      </c>
      <c r="I827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PS'!$BT$63</v>
      </c>
      <c r="J827" s="1" t="s">
        <v>2364</v>
      </c>
    </row>
    <row r="828" spans="1:10" x14ac:dyDescent="0.35">
      <c r="A828" s="6" t="s">
        <v>24</v>
      </c>
      <c r="B828" s="6">
        <f t="shared" si="190"/>
        <v>2051</v>
      </c>
      <c r="C828" s="1" t="s">
        <v>34</v>
      </c>
      <c r="D828" s="2" t="s">
        <v>2003</v>
      </c>
      <c r="E828" s="9" t="str">
        <f t="shared" si="186"/>
        <v>PS'!</v>
      </c>
      <c r="F828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28" s="6" t="s">
        <v>101</v>
      </c>
      <c r="H828" s="1">
        <f t="shared" si="188"/>
        <v>64</v>
      </c>
      <c r="I828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PS'!$BT$64</v>
      </c>
      <c r="J828" s="1" t="s">
        <v>2365</v>
      </c>
    </row>
    <row r="829" spans="1:10" x14ac:dyDescent="0.35">
      <c r="A829" s="6" t="s">
        <v>24</v>
      </c>
      <c r="B829" s="6">
        <f t="shared" si="190"/>
        <v>2052</v>
      </c>
      <c r="C829" s="1" t="s">
        <v>34</v>
      </c>
      <c r="D829" s="2" t="s">
        <v>2003</v>
      </c>
      <c r="E829" s="9" t="str">
        <f t="shared" si="186"/>
        <v>PS'!</v>
      </c>
      <c r="F829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29" s="6" t="s">
        <v>101</v>
      </c>
      <c r="H829" s="1">
        <f t="shared" si="188"/>
        <v>65</v>
      </c>
      <c r="I829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PS'!$BT$65</v>
      </c>
      <c r="J829" s="1" t="s">
        <v>2366</v>
      </c>
    </row>
    <row r="830" spans="1:10" x14ac:dyDescent="0.35">
      <c r="A830" s="6" t="s">
        <v>24</v>
      </c>
      <c r="B830" s="6">
        <f t="shared" si="190"/>
        <v>2053</v>
      </c>
      <c r="C830" s="1" t="s">
        <v>34</v>
      </c>
      <c r="D830" s="2" t="s">
        <v>2003</v>
      </c>
      <c r="E830" s="9" t="str">
        <f t="shared" si="186"/>
        <v>PS'!</v>
      </c>
      <c r="F830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30" s="6" t="s">
        <v>101</v>
      </c>
      <c r="H830" s="1">
        <f t="shared" si="188"/>
        <v>66</v>
      </c>
      <c r="I830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PS'!$BT$66</v>
      </c>
      <c r="J830" s="1" t="s">
        <v>2367</v>
      </c>
    </row>
    <row r="831" spans="1:10" x14ac:dyDescent="0.35">
      <c r="A831" s="6" t="s">
        <v>24</v>
      </c>
      <c r="B831" s="6">
        <f t="shared" si="190"/>
        <v>2054</v>
      </c>
      <c r="C831" s="1" t="s">
        <v>34</v>
      </c>
      <c r="D831" s="2" t="s">
        <v>2003</v>
      </c>
      <c r="E831" s="9" t="str">
        <f t="shared" si="186"/>
        <v>PS'!</v>
      </c>
      <c r="F831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31" s="6" t="s">
        <v>101</v>
      </c>
      <c r="H831" s="1">
        <f t="shared" si="188"/>
        <v>67</v>
      </c>
      <c r="I831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PS'!$BT$67</v>
      </c>
      <c r="J831" s="1" t="s">
        <v>2368</v>
      </c>
    </row>
    <row r="832" spans="1:10" x14ac:dyDescent="0.35">
      <c r="A832" s="6" t="s">
        <v>24</v>
      </c>
      <c r="B832" s="6">
        <f t="shared" si="190"/>
        <v>2055</v>
      </c>
      <c r="C832" s="1" t="s">
        <v>34</v>
      </c>
      <c r="D832" s="2" t="s">
        <v>2003</v>
      </c>
      <c r="E832" s="9" t="str">
        <f t="shared" si="186"/>
        <v>PS'!</v>
      </c>
      <c r="F832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32" s="6" t="s">
        <v>101</v>
      </c>
      <c r="H832" s="1">
        <f t="shared" si="188"/>
        <v>68</v>
      </c>
      <c r="I832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PS'!$BT$68</v>
      </c>
      <c r="J832" s="1" t="s">
        <v>2369</v>
      </c>
    </row>
    <row r="833" spans="1:10" x14ac:dyDescent="0.35">
      <c r="A833" s="6" t="s">
        <v>24</v>
      </c>
      <c r="B833" s="6">
        <f t="shared" si="190"/>
        <v>2056</v>
      </c>
      <c r="C833" s="1" t="s">
        <v>34</v>
      </c>
      <c r="D833" s="2" t="s">
        <v>2003</v>
      </c>
      <c r="E833" s="9" t="str">
        <f t="shared" si="186"/>
        <v>PS'!</v>
      </c>
      <c r="F833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33" s="6" t="s">
        <v>101</v>
      </c>
      <c r="H833" s="1">
        <f t="shared" si="188"/>
        <v>69</v>
      </c>
      <c r="I833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PS'!$BT$69</v>
      </c>
      <c r="J833" s="1" t="s">
        <v>2370</v>
      </c>
    </row>
    <row r="834" spans="1:10" x14ac:dyDescent="0.35">
      <c r="A834" s="6" t="s">
        <v>24</v>
      </c>
      <c r="B834" s="6">
        <f t="shared" si="190"/>
        <v>2057</v>
      </c>
      <c r="C834" s="1" t="s">
        <v>34</v>
      </c>
      <c r="D834" s="2" t="s">
        <v>2003</v>
      </c>
      <c r="E834" s="9" t="str">
        <f t="shared" si="186"/>
        <v>PS'!</v>
      </c>
      <c r="F834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34" s="6" t="s">
        <v>101</v>
      </c>
      <c r="H834" s="1">
        <f t="shared" si="188"/>
        <v>70</v>
      </c>
      <c r="I834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PS'!$BT$70</v>
      </c>
      <c r="J834" s="1" t="s">
        <v>2371</v>
      </c>
    </row>
    <row r="835" spans="1:10" x14ac:dyDescent="0.35">
      <c r="A835" s="6" t="s">
        <v>24</v>
      </c>
      <c r="B835" s="6">
        <f t="shared" si="190"/>
        <v>2058</v>
      </c>
      <c r="C835" s="1" t="s">
        <v>34</v>
      </c>
      <c r="D835" s="2" t="s">
        <v>2003</v>
      </c>
      <c r="E835" s="9" t="str">
        <f t="shared" si="186"/>
        <v>PS'!</v>
      </c>
      <c r="F835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35" s="6" t="s">
        <v>101</v>
      </c>
      <c r="H835" s="1">
        <f t="shared" si="188"/>
        <v>71</v>
      </c>
      <c r="I835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PS'!$BT$71</v>
      </c>
      <c r="J835" s="1" t="s">
        <v>2372</v>
      </c>
    </row>
    <row r="836" spans="1:10" x14ac:dyDescent="0.35">
      <c r="A836" s="6" t="s">
        <v>24</v>
      </c>
      <c r="B836" s="6">
        <f t="shared" si="190"/>
        <v>2059</v>
      </c>
      <c r="C836" s="1" t="s">
        <v>34</v>
      </c>
      <c r="D836" s="2" t="s">
        <v>2003</v>
      </c>
      <c r="E836" s="9" t="str">
        <f t="shared" si="186"/>
        <v>PS'!</v>
      </c>
      <c r="F836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36" s="6" t="s">
        <v>101</v>
      </c>
      <c r="H836" s="1">
        <f t="shared" si="188"/>
        <v>72</v>
      </c>
      <c r="I836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PS'!$BT$72</v>
      </c>
      <c r="J836" s="1" t="s">
        <v>2373</v>
      </c>
    </row>
    <row r="837" spans="1:10" x14ac:dyDescent="0.35">
      <c r="A837" s="6" t="s">
        <v>26</v>
      </c>
      <c r="B837" s="6"/>
      <c r="C837" s="1" t="s">
        <v>34</v>
      </c>
      <c r="D837" s="2"/>
      <c r="E837" s="9"/>
      <c r="F837" s="2"/>
      <c r="G837" s="6"/>
      <c r="H837" s="1"/>
      <c r="I837" s="1"/>
      <c r="J837" s="4"/>
    </row>
    <row r="838" spans="1:10" x14ac:dyDescent="0.35">
      <c r="A838" s="7" t="s">
        <v>14</v>
      </c>
      <c r="B838" s="7">
        <v>2023</v>
      </c>
      <c r="C838" s="4" t="s">
        <v>37</v>
      </c>
      <c r="D838" s="5" t="s">
        <v>2003</v>
      </c>
      <c r="E838" s="10" t="str">
        <f>_xlfn.CONCAT(A838,"'!")</f>
        <v>PDP'!</v>
      </c>
      <c r="F838" s="5" t="str">
        <f t="shared" ref="F838:F858" si="191">_xlfn.CONCAT(D838," ",E838)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38" s="7" t="s">
        <v>102</v>
      </c>
      <c r="H838" s="4">
        <f>IF(A838&lt;&gt;A822,36,H822+1)</f>
        <v>36</v>
      </c>
      <c r="I838" s="4" t="str">
        <f>_xlfn.CONCAT("='",F838:H838)</f>
        <v>='C:\Users\jaime.benazar\Quorum Business Solutions\Ecopetrol Prometeo - Documents\Planning Space Implementation\3. Analysis &amp; Design\Design\FC22\DRR Jaime\Por presentar a ECP\Cantagallo\Cristalina\[VRC_CRISTALINA_CF_SEC_20221231.xlsx]CF PDP'!$BW$36</v>
      </c>
      <c r="J838" s="4" t="s">
        <v>2374</v>
      </c>
    </row>
    <row r="839" spans="1:10" x14ac:dyDescent="0.35">
      <c r="A839" s="7" t="s">
        <v>14</v>
      </c>
      <c r="B839" s="7">
        <f>+B838+1</f>
        <v>2024</v>
      </c>
      <c r="C839" s="4" t="s">
        <v>37</v>
      </c>
      <c r="D839" s="5" t="s">
        <v>2003</v>
      </c>
      <c r="E839" s="10" t="str">
        <f t="shared" ref="E839:E932" si="192">_xlfn.CONCAT(A839,"'!")</f>
        <v>PDP'!</v>
      </c>
      <c r="F839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39" s="7" t="s">
        <v>102</v>
      </c>
      <c r="H839" s="4">
        <f>IF(A839&lt;&gt;A838,36,H838+1)</f>
        <v>37</v>
      </c>
      <c r="I839" s="4" t="str">
        <f t="shared" ref="I839:I932" si="193">_xlfn.CONCAT("='",F839:H839)</f>
        <v>='C:\Users\jaime.benazar\Quorum Business Solutions\Ecopetrol Prometeo - Documents\Planning Space Implementation\3. Analysis &amp; Design\Design\FC22\DRR Jaime\Por presentar a ECP\Cantagallo\Cristalina\[VRC_CRISTALINA_CF_SEC_20221231.xlsx]CF PDP'!$BW$37</v>
      </c>
      <c r="J839" s="4" t="s">
        <v>2375</v>
      </c>
    </row>
    <row r="840" spans="1:10" x14ac:dyDescent="0.35">
      <c r="A840" s="7" t="s">
        <v>14</v>
      </c>
      <c r="B840" s="7">
        <f t="shared" ref="B840:B851" si="194">+B839+1</f>
        <v>2025</v>
      </c>
      <c r="C840" s="4" t="s">
        <v>37</v>
      </c>
      <c r="D840" s="5" t="s">
        <v>2003</v>
      </c>
      <c r="E840" s="10" t="str">
        <f t="shared" si="192"/>
        <v>PDP'!</v>
      </c>
      <c r="F840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40" s="7" t="s">
        <v>102</v>
      </c>
      <c r="H840" s="4">
        <f t="shared" ref="H840:H933" si="195">IF(A840&lt;&gt;A839,36,H839+1)</f>
        <v>38</v>
      </c>
      <c r="I840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PDP'!$BW$38</v>
      </c>
      <c r="J840" s="4" t="s">
        <v>2376</v>
      </c>
    </row>
    <row r="841" spans="1:10" x14ac:dyDescent="0.35">
      <c r="A841" s="7" t="s">
        <v>14</v>
      </c>
      <c r="B841" s="7">
        <f t="shared" si="194"/>
        <v>2026</v>
      </c>
      <c r="C841" s="4" t="s">
        <v>37</v>
      </c>
      <c r="D841" s="5" t="s">
        <v>2003</v>
      </c>
      <c r="E841" s="10" t="str">
        <f t="shared" si="192"/>
        <v>PDP'!</v>
      </c>
      <c r="F841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41" s="7" t="s">
        <v>102</v>
      </c>
      <c r="H841" s="4">
        <f t="shared" si="195"/>
        <v>39</v>
      </c>
      <c r="I841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PDP'!$BW$39</v>
      </c>
      <c r="J841" s="4" t="s">
        <v>2377</v>
      </c>
    </row>
    <row r="842" spans="1:10" x14ac:dyDescent="0.35">
      <c r="A842" s="7" t="s">
        <v>14</v>
      </c>
      <c r="B842" s="7">
        <f t="shared" si="194"/>
        <v>2027</v>
      </c>
      <c r="C842" s="4" t="s">
        <v>37</v>
      </c>
      <c r="D842" s="5" t="s">
        <v>2003</v>
      </c>
      <c r="E842" s="10" t="str">
        <f t="shared" si="192"/>
        <v>PDP'!</v>
      </c>
      <c r="F842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42" s="7" t="s">
        <v>102</v>
      </c>
      <c r="H842" s="4">
        <f t="shared" si="195"/>
        <v>40</v>
      </c>
      <c r="I842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PDP'!$BW$40</v>
      </c>
      <c r="J842" s="4" t="s">
        <v>2378</v>
      </c>
    </row>
    <row r="843" spans="1:10" x14ac:dyDescent="0.35">
      <c r="A843" s="7" t="s">
        <v>14</v>
      </c>
      <c r="B843" s="7">
        <f t="shared" si="194"/>
        <v>2028</v>
      </c>
      <c r="C843" s="4" t="s">
        <v>37</v>
      </c>
      <c r="D843" s="5" t="s">
        <v>2003</v>
      </c>
      <c r="E843" s="10" t="str">
        <f t="shared" si="192"/>
        <v>PDP'!</v>
      </c>
      <c r="F843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43" s="7" t="s">
        <v>102</v>
      </c>
      <c r="H843" s="4">
        <f t="shared" si="195"/>
        <v>41</v>
      </c>
      <c r="I843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PDP'!$BW$41</v>
      </c>
      <c r="J843" s="4" t="s">
        <v>2379</v>
      </c>
    </row>
    <row r="844" spans="1:10" x14ac:dyDescent="0.35">
      <c r="A844" s="7" t="s">
        <v>14</v>
      </c>
      <c r="B844" s="7">
        <f t="shared" si="194"/>
        <v>2029</v>
      </c>
      <c r="C844" s="4" t="s">
        <v>37</v>
      </c>
      <c r="D844" s="5" t="s">
        <v>2003</v>
      </c>
      <c r="E844" s="10" t="str">
        <f t="shared" si="192"/>
        <v>PDP'!</v>
      </c>
      <c r="F844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44" s="7" t="s">
        <v>102</v>
      </c>
      <c r="H844" s="4">
        <f t="shared" si="195"/>
        <v>42</v>
      </c>
      <c r="I844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PDP'!$BW$42</v>
      </c>
      <c r="J844" s="4" t="s">
        <v>2380</v>
      </c>
    </row>
    <row r="845" spans="1:10" x14ac:dyDescent="0.35">
      <c r="A845" s="7" t="s">
        <v>14</v>
      </c>
      <c r="B845" s="7">
        <f t="shared" si="194"/>
        <v>2030</v>
      </c>
      <c r="C845" s="4" t="s">
        <v>37</v>
      </c>
      <c r="D845" s="5" t="s">
        <v>2003</v>
      </c>
      <c r="E845" s="10" t="str">
        <f t="shared" si="192"/>
        <v>PDP'!</v>
      </c>
      <c r="F845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45" s="7" t="s">
        <v>102</v>
      </c>
      <c r="H845" s="4">
        <f t="shared" si="195"/>
        <v>43</v>
      </c>
      <c r="I845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PDP'!$BW$43</v>
      </c>
      <c r="J845" s="4" t="s">
        <v>2381</v>
      </c>
    </row>
    <row r="846" spans="1:10" x14ac:dyDescent="0.35">
      <c r="A846" s="7" t="s">
        <v>14</v>
      </c>
      <c r="B846" s="7">
        <f t="shared" si="194"/>
        <v>2031</v>
      </c>
      <c r="C846" s="4" t="s">
        <v>37</v>
      </c>
      <c r="D846" s="5" t="s">
        <v>2003</v>
      </c>
      <c r="E846" s="10" t="str">
        <f t="shared" si="192"/>
        <v>PDP'!</v>
      </c>
      <c r="F846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46" s="7" t="s">
        <v>102</v>
      </c>
      <c r="H846" s="4">
        <f t="shared" si="195"/>
        <v>44</v>
      </c>
      <c r="I846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PDP'!$BW$44</v>
      </c>
      <c r="J846" s="4" t="s">
        <v>2382</v>
      </c>
    </row>
    <row r="847" spans="1:10" x14ac:dyDescent="0.35">
      <c r="A847" s="7" t="s">
        <v>14</v>
      </c>
      <c r="B847" s="7">
        <f t="shared" si="194"/>
        <v>2032</v>
      </c>
      <c r="C847" s="4" t="s">
        <v>37</v>
      </c>
      <c r="D847" s="5" t="s">
        <v>2003</v>
      </c>
      <c r="E847" s="10" t="str">
        <f t="shared" si="192"/>
        <v>PDP'!</v>
      </c>
      <c r="F847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47" s="7" t="s">
        <v>102</v>
      </c>
      <c r="H847" s="4">
        <f t="shared" si="195"/>
        <v>45</v>
      </c>
      <c r="I847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PDP'!$BW$45</v>
      </c>
      <c r="J847" s="4" t="s">
        <v>2383</v>
      </c>
    </row>
    <row r="848" spans="1:10" x14ac:dyDescent="0.35">
      <c r="A848" s="7" t="s">
        <v>14</v>
      </c>
      <c r="B848" s="7">
        <f t="shared" si="194"/>
        <v>2033</v>
      </c>
      <c r="C848" s="4" t="s">
        <v>37</v>
      </c>
      <c r="D848" s="5" t="s">
        <v>2003</v>
      </c>
      <c r="E848" s="10" t="str">
        <f t="shared" si="192"/>
        <v>PDP'!</v>
      </c>
      <c r="F848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48" s="7" t="s">
        <v>102</v>
      </c>
      <c r="H848" s="4">
        <f t="shared" si="195"/>
        <v>46</v>
      </c>
      <c r="I848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PDP'!$BW$46</v>
      </c>
      <c r="J848" s="4" t="s">
        <v>2384</v>
      </c>
    </row>
    <row r="849" spans="1:10" x14ac:dyDescent="0.35">
      <c r="A849" s="7" t="s">
        <v>14</v>
      </c>
      <c r="B849" s="7">
        <f t="shared" si="194"/>
        <v>2034</v>
      </c>
      <c r="C849" s="4" t="s">
        <v>37</v>
      </c>
      <c r="D849" s="5" t="s">
        <v>2003</v>
      </c>
      <c r="E849" s="10" t="str">
        <f t="shared" si="192"/>
        <v>PDP'!</v>
      </c>
      <c r="F849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49" s="7" t="s">
        <v>102</v>
      </c>
      <c r="H849" s="4">
        <f t="shared" si="195"/>
        <v>47</v>
      </c>
      <c r="I849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PDP'!$BW$47</v>
      </c>
      <c r="J849" s="4" t="s">
        <v>2385</v>
      </c>
    </row>
    <row r="850" spans="1:10" x14ac:dyDescent="0.35">
      <c r="A850" s="7" t="s">
        <v>14</v>
      </c>
      <c r="B850" s="7">
        <f t="shared" si="194"/>
        <v>2035</v>
      </c>
      <c r="C850" s="4" t="s">
        <v>37</v>
      </c>
      <c r="D850" s="5" t="s">
        <v>2003</v>
      </c>
      <c r="E850" s="10" t="str">
        <f t="shared" si="192"/>
        <v>PDP'!</v>
      </c>
      <c r="F850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50" s="7" t="s">
        <v>102</v>
      </c>
      <c r="H850" s="4">
        <f t="shared" si="195"/>
        <v>48</v>
      </c>
      <c r="I850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PDP'!$BW$48</v>
      </c>
      <c r="J850" s="4" t="s">
        <v>2386</v>
      </c>
    </row>
    <row r="851" spans="1:10" x14ac:dyDescent="0.35">
      <c r="A851" s="7" t="s">
        <v>14</v>
      </c>
      <c r="B851" s="7">
        <f t="shared" si="194"/>
        <v>2036</v>
      </c>
      <c r="C851" s="4" t="s">
        <v>37</v>
      </c>
      <c r="D851" s="5" t="s">
        <v>2003</v>
      </c>
      <c r="E851" s="10" t="str">
        <f t="shared" si="192"/>
        <v>PDP'!</v>
      </c>
      <c r="F851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51" s="7" t="s">
        <v>102</v>
      </c>
      <c r="H851" s="4">
        <f t="shared" si="195"/>
        <v>49</v>
      </c>
      <c r="I851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PDP'!$BW$49</v>
      </c>
      <c r="J851" s="4" t="s">
        <v>2387</v>
      </c>
    </row>
    <row r="852" spans="1:10" x14ac:dyDescent="0.35">
      <c r="A852" s="7" t="s">
        <v>14</v>
      </c>
      <c r="B852" s="7">
        <f>+B851+1</f>
        <v>2037</v>
      </c>
      <c r="C852" s="4" t="s">
        <v>37</v>
      </c>
      <c r="D852" s="5" t="s">
        <v>2003</v>
      </c>
      <c r="E852" s="10" t="str">
        <f t="shared" si="192"/>
        <v>PDP'!</v>
      </c>
      <c r="F852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52" s="7" t="s">
        <v>102</v>
      </c>
      <c r="H852" s="4">
        <f t="shared" si="195"/>
        <v>50</v>
      </c>
      <c r="I852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PDP'!$BW$50</v>
      </c>
      <c r="J852" s="4" t="s">
        <v>2388</v>
      </c>
    </row>
    <row r="853" spans="1:10" x14ac:dyDescent="0.35">
      <c r="A853" s="7" t="s">
        <v>14</v>
      </c>
      <c r="B853" s="7">
        <f t="shared" ref="B853:B855" si="196">+B852+1</f>
        <v>2038</v>
      </c>
      <c r="C853" s="4" t="s">
        <v>37</v>
      </c>
      <c r="D853" s="5" t="s">
        <v>2003</v>
      </c>
      <c r="E853" s="10" t="str">
        <f t="shared" si="192"/>
        <v>PDP'!</v>
      </c>
      <c r="F853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53" s="7" t="s">
        <v>102</v>
      </c>
      <c r="H853" s="4">
        <f t="shared" si="195"/>
        <v>51</v>
      </c>
      <c r="I853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PDP'!$BW$51</v>
      </c>
      <c r="J853" s="4" t="s">
        <v>2389</v>
      </c>
    </row>
    <row r="854" spans="1:10" x14ac:dyDescent="0.35">
      <c r="A854" s="7" t="s">
        <v>14</v>
      </c>
      <c r="B854" s="7">
        <f t="shared" si="196"/>
        <v>2039</v>
      </c>
      <c r="C854" s="4" t="s">
        <v>37</v>
      </c>
      <c r="D854" s="5" t="s">
        <v>2003</v>
      </c>
      <c r="E854" s="10" t="str">
        <f t="shared" si="192"/>
        <v>PDP'!</v>
      </c>
      <c r="F854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54" s="7" t="s">
        <v>102</v>
      </c>
      <c r="H854" s="4">
        <f t="shared" si="195"/>
        <v>52</v>
      </c>
      <c r="I854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PDP'!$BW$52</v>
      </c>
      <c r="J854" s="4" t="s">
        <v>2390</v>
      </c>
    </row>
    <row r="855" spans="1:10" x14ac:dyDescent="0.35">
      <c r="A855" s="7" t="s">
        <v>14</v>
      </c>
      <c r="B855" s="7">
        <f t="shared" si="196"/>
        <v>2040</v>
      </c>
      <c r="C855" s="4" t="s">
        <v>37</v>
      </c>
      <c r="D855" s="5" t="s">
        <v>2003</v>
      </c>
      <c r="E855" s="10" t="str">
        <f t="shared" si="192"/>
        <v>PDP'!</v>
      </c>
      <c r="F855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55" s="7" t="s">
        <v>102</v>
      </c>
      <c r="H855" s="4">
        <f t="shared" si="195"/>
        <v>53</v>
      </c>
      <c r="I855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PDP'!$BW$53</v>
      </c>
      <c r="J855" s="4" t="s">
        <v>2391</v>
      </c>
    </row>
    <row r="856" spans="1:10" x14ac:dyDescent="0.35">
      <c r="A856" s="7" t="s">
        <v>14</v>
      </c>
      <c r="B856" s="7">
        <f>+B855+1</f>
        <v>2041</v>
      </c>
      <c r="C856" s="4" t="s">
        <v>37</v>
      </c>
      <c r="D856" s="5" t="s">
        <v>2003</v>
      </c>
      <c r="E856" s="10" t="str">
        <f t="shared" si="192"/>
        <v>PDP'!</v>
      </c>
      <c r="F856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56" s="7" t="s">
        <v>102</v>
      </c>
      <c r="H856" s="4">
        <f t="shared" si="195"/>
        <v>54</v>
      </c>
      <c r="I856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PDP'!$BW$54</v>
      </c>
      <c r="J856" s="4" t="s">
        <v>2392</v>
      </c>
    </row>
    <row r="857" spans="1:10" x14ac:dyDescent="0.35">
      <c r="A857" s="7" t="s">
        <v>14</v>
      </c>
      <c r="B857" s="7">
        <f t="shared" ref="B857:B858" si="197">+B856+1</f>
        <v>2042</v>
      </c>
      <c r="C857" s="4" t="s">
        <v>37</v>
      </c>
      <c r="D857" s="5" t="s">
        <v>2003</v>
      </c>
      <c r="E857" s="10" t="str">
        <f t="shared" si="192"/>
        <v>PDP'!</v>
      </c>
      <c r="F857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57" s="7" t="s">
        <v>102</v>
      </c>
      <c r="H857" s="4">
        <f t="shared" si="195"/>
        <v>55</v>
      </c>
      <c r="I857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PDP'!$BW$55</v>
      </c>
      <c r="J857" s="4" t="s">
        <v>2393</v>
      </c>
    </row>
    <row r="858" spans="1:10" x14ac:dyDescent="0.35">
      <c r="A858" s="7" t="s">
        <v>14</v>
      </c>
      <c r="B858" s="7">
        <f t="shared" si="197"/>
        <v>2043</v>
      </c>
      <c r="C858" s="4" t="s">
        <v>37</v>
      </c>
      <c r="D858" s="5" t="s">
        <v>2003</v>
      </c>
      <c r="E858" s="10" t="str">
        <f t="shared" si="192"/>
        <v>PDP'!</v>
      </c>
      <c r="F858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58" s="7" t="s">
        <v>102</v>
      </c>
      <c r="H858" s="4">
        <f t="shared" si="195"/>
        <v>56</v>
      </c>
      <c r="I858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PDP'!$BW$56</v>
      </c>
      <c r="J858" s="4" t="s">
        <v>2394</v>
      </c>
    </row>
    <row r="859" spans="1:10" x14ac:dyDescent="0.35">
      <c r="A859" s="7" t="s">
        <v>14</v>
      </c>
      <c r="B859" s="7">
        <f>+B858+1</f>
        <v>2044</v>
      </c>
      <c r="C859" s="4" t="s">
        <v>37</v>
      </c>
      <c r="D859" s="5" t="s">
        <v>2003</v>
      </c>
      <c r="E859" s="10" t="str">
        <f t="shared" ref="E859:E874" si="198">_xlfn.CONCAT(A859,"'!")</f>
        <v>PDP'!</v>
      </c>
      <c r="F859" s="5" t="str">
        <f t="shared" ref="F859:F874" si="199">_xlfn.CONCAT(D859," ",E859)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59" s="7" t="s">
        <v>102</v>
      </c>
      <c r="H859" s="4">
        <f t="shared" ref="H859:H874" si="200">IF(A859&lt;&gt;A858,36,H858+1)</f>
        <v>57</v>
      </c>
      <c r="I859" s="4" t="str">
        <f t="shared" ref="I859:I874" si="201">_xlfn.CONCAT("='",F859:H859)</f>
        <v>='C:\Users\jaime.benazar\Quorum Business Solutions\Ecopetrol Prometeo - Documents\Planning Space Implementation\3. Analysis &amp; Design\Design\FC22\DRR Jaime\Por presentar a ECP\Cantagallo\Cristalina\[VRC_CRISTALINA_CF_SEC_20221231.xlsx]CF PDP'!$BW$57</v>
      </c>
      <c r="J859" s="4" t="s">
        <v>2395</v>
      </c>
    </row>
    <row r="860" spans="1:10" x14ac:dyDescent="0.35">
      <c r="A860" s="7" t="s">
        <v>14</v>
      </c>
      <c r="B860" s="7">
        <f t="shared" ref="B860:B874" si="202">+B859+1</f>
        <v>2045</v>
      </c>
      <c r="C860" s="4" t="s">
        <v>37</v>
      </c>
      <c r="D860" s="5" t="s">
        <v>2003</v>
      </c>
      <c r="E860" s="10" t="str">
        <f t="shared" si="198"/>
        <v>PDP'!</v>
      </c>
      <c r="F860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60" s="7" t="s">
        <v>102</v>
      </c>
      <c r="H860" s="4">
        <f t="shared" si="200"/>
        <v>58</v>
      </c>
      <c r="I860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PDP'!$BW$58</v>
      </c>
      <c r="J860" s="4" t="s">
        <v>2396</v>
      </c>
    </row>
    <row r="861" spans="1:10" x14ac:dyDescent="0.35">
      <c r="A861" s="7" t="s">
        <v>14</v>
      </c>
      <c r="B861" s="7">
        <f t="shared" si="202"/>
        <v>2046</v>
      </c>
      <c r="C861" s="4" t="s">
        <v>37</v>
      </c>
      <c r="D861" s="5" t="s">
        <v>2003</v>
      </c>
      <c r="E861" s="10" t="str">
        <f t="shared" si="198"/>
        <v>PDP'!</v>
      </c>
      <c r="F861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61" s="7" t="s">
        <v>102</v>
      </c>
      <c r="H861" s="4">
        <f t="shared" si="200"/>
        <v>59</v>
      </c>
      <c r="I861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PDP'!$BW$59</v>
      </c>
      <c r="J861" s="4" t="s">
        <v>2397</v>
      </c>
    </row>
    <row r="862" spans="1:10" x14ac:dyDescent="0.35">
      <c r="A862" s="7" t="s">
        <v>14</v>
      </c>
      <c r="B862" s="7">
        <f t="shared" si="202"/>
        <v>2047</v>
      </c>
      <c r="C862" s="4" t="s">
        <v>37</v>
      </c>
      <c r="D862" s="5" t="s">
        <v>2003</v>
      </c>
      <c r="E862" s="10" t="str">
        <f t="shared" si="198"/>
        <v>PDP'!</v>
      </c>
      <c r="F862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62" s="7" t="s">
        <v>102</v>
      </c>
      <c r="H862" s="4">
        <f t="shared" si="200"/>
        <v>60</v>
      </c>
      <c r="I862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PDP'!$BW$60</v>
      </c>
      <c r="J862" s="4" t="s">
        <v>2398</v>
      </c>
    </row>
    <row r="863" spans="1:10" x14ac:dyDescent="0.35">
      <c r="A863" s="7" t="s">
        <v>14</v>
      </c>
      <c r="B863" s="7">
        <f t="shared" si="202"/>
        <v>2048</v>
      </c>
      <c r="C863" s="4" t="s">
        <v>37</v>
      </c>
      <c r="D863" s="5" t="s">
        <v>2003</v>
      </c>
      <c r="E863" s="10" t="str">
        <f t="shared" si="198"/>
        <v>PDP'!</v>
      </c>
      <c r="F863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63" s="7" t="s">
        <v>102</v>
      </c>
      <c r="H863" s="4">
        <f t="shared" si="200"/>
        <v>61</v>
      </c>
      <c r="I863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PDP'!$BW$61</v>
      </c>
      <c r="J863" s="4" t="s">
        <v>2399</v>
      </c>
    </row>
    <row r="864" spans="1:10" x14ac:dyDescent="0.35">
      <c r="A864" s="7" t="s">
        <v>14</v>
      </c>
      <c r="B864" s="7">
        <f t="shared" si="202"/>
        <v>2049</v>
      </c>
      <c r="C864" s="4" t="s">
        <v>37</v>
      </c>
      <c r="D864" s="5" t="s">
        <v>2003</v>
      </c>
      <c r="E864" s="10" t="str">
        <f t="shared" si="198"/>
        <v>PDP'!</v>
      </c>
      <c r="F864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64" s="7" t="s">
        <v>102</v>
      </c>
      <c r="H864" s="4">
        <f t="shared" si="200"/>
        <v>62</v>
      </c>
      <c r="I864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PDP'!$BW$62</v>
      </c>
      <c r="J864" s="4" t="s">
        <v>2400</v>
      </c>
    </row>
    <row r="865" spans="1:10" x14ac:dyDescent="0.35">
      <c r="A865" s="7" t="s">
        <v>14</v>
      </c>
      <c r="B865" s="7">
        <f t="shared" si="202"/>
        <v>2050</v>
      </c>
      <c r="C865" s="4" t="s">
        <v>37</v>
      </c>
      <c r="D865" s="5" t="s">
        <v>2003</v>
      </c>
      <c r="E865" s="10" t="str">
        <f t="shared" si="198"/>
        <v>PDP'!</v>
      </c>
      <c r="F865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65" s="7" t="s">
        <v>102</v>
      </c>
      <c r="H865" s="4">
        <f t="shared" si="200"/>
        <v>63</v>
      </c>
      <c r="I865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PDP'!$BW$63</v>
      </c>
      <c r="J865" s="4" t="s">
        <v>2401</v>
      </c>
    </row>
    <row r="866" spans="1:10" x14ac:dyDescent="0.35">
      <c r="A866" s="7" t="s">
        <v>14</v>
      </c>
      <c r="B866" s="7">
        <f t="shared" si="202"/>
        <v>2051</v>
      </c>
      <c r="C866" s="4" t="s">
        <v>37</v>
      </c>
      <c r="D866" s="5" t="s">
        <v>2003</v>
      </c>
      <c r="E866" s="10" t="str">
        <f t="shared" si="198"/>
        <v>PDP'!</v>
      </c>
      <c r="F866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66" s="7" t="s">
        <v>102</v>
      </c>
      <c r="H866" s="4">
        <f t="shared" si="200"/>
        <v>64</v>
      </c>
      <c r="I866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PDP'!$BW$64</v>
      </c>
      <c r="J866" s="4" t="s">
        <v>2402</v>
      </c>
    </row>
    <row r="867" spans="1:10" x14ac:dyDescent="0.35">
      <c r="A867" s="7" t="s">
        <v>14</v>
      </c>
      <c r="B867" s="7">
        <f t="shared" si="202"/>
        <v>2052</v>
      </c>
      <c r="C867" s="4" t="s">
        <v>37</v>
      </c>
      <c r="D867" s="5" t="s">
        <v>2003</v>
      </c>
      <c r="E867" s="10" t="str">
        <f t="shared" si="198"/>
        <v>PDP'!</v>
      </c>
      <c r="F867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67" s="7" t="s">
        <v>102</v>
      </c>
      <c r="H867" s="4">
        <f t="shared" si="200"/>
        <v>65</v>
      </c>
      <c r="I867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PDP'!$BW$65</v>
      </c>
      <c r="J867" s="4" t="s">
        <v>2403</v>
      </c>
    </row>
    <row r="868" spans="1:10" x14ac:dyDescent="0.35">
      <c r="A868" s="7" t="s">
        <v>14</v>
      </c>
      <c r="B868" s="7">
        <f t="shared" si="202"/>
        <v>2053</v>
      </c>
      <c r="C868" s="4" t="s">
        <v>37</v>
      </c>
      <c r="D868" s="5" t="s">
        <v>2003</v>
      </c>
      <c r="E868" s="10" t="str">
        <f t="shared" si="198"/>
        <v>PDP'!</v>
      </c>
      <c r="F868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68" s="7" t="s">
        <v>102</v>
      </c>
      <c r="H868" s="4">
        <f t="shared" si="200"/>
        <v>66</v>
      </c>
      <c r="I868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PDP'!$BW$66</v>
      </c>
      <c r="J868" s="4" t="s">
        <v>2404</v>
      </c>
    </row>
    <row r="869" spans="1:10" x14ac:dyDescent="0.35">
      <c r="A869" s="7" t="s">
        <v>14</v>
      </c>
      <c r="B869" s="7">
        <f t="shared" si="202"/>
        <v>2054</v>
      </c>
      <c r="C869" s="4" t="s">
        <v>37</v>
      </c>
      <c r="D869" s="5" t="s">
        <v>2003</v>
      </c>
      <c r="E869" s="10" t="str">
        <f t="shared" si="198"/>
        <v>PDP'!</v>
      </c>
      <c r="F869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69" s="7" t="s">
        <v>102</v>
      </c>
      <c r="H869" s="4">
        <f t="shared" si="200"/>
        <v>67</v>
      </c>
      <c r="I869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PDP'!$BW$67</v>
      </c>
      <c r="J869" s="4" t="s">
        <v>2405</v>
      </c>
    </row>
    <row r="870" spans="1:10" x14ac:dyDescent="0.35">
      <c r="A870" s="7" t="s">
        <v>14</v>
      </c>
      <c r="B870" s="7">
        <f t="shared" si="202"/>
        <v>2055</v>
      </c>
      <c r="C870" s="4" t="s">
        <v>37</v>
      </c>
      <c r="D870" s="5" t="s">
        <v>2003</v>
      </c>
      <c r="E870" s="10" t="str">
        <f t="shared" si="198"/>
        <v>PDP'!</v>
      </c>
      <c r="F870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70" s="7" t="s">
        <v>102</v>
      </c>
      <c r="H870" s="4">
        <f t="shared" si="200"/>
        <v>68</v>
      </c>
      <c r="I870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PDP'!$BW$68</v>
      </c>
      <c r="J870" s="4" t="s">
        <v>2406</v>
      </c>
    </row>
    <row r="871" spans="1:10" x14ac:dyDescent="0.35">
      <c r="A871" s="7" t="s">
        <v>14</v>
      </c>
      <c r="B871" s="7">
        <f t="shared" si="202"/>
        <v>2056</v>
      </c>
      <c r="C871" s="4" t="s">
        <v>37</v>
      </c>
      <c r="D871" s="5" t="s">
        <v>2003</v>
      </c>
      <c r="E871" s="10" t="str">
        <f t="shared" si="198"/>
        <v>PDP'!</v>
      </c>
      <c r="F871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71" s="7" t="s">
        <v>102</v>
      </c>
      <c r="H871" s="4">
        <f t="shared" si="200"/>
        <v>69</v>
      </c>
      <c r="I871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PDP'!$BW$69</v>
      </c>
      <c r="J871" s="4" t="s">
        <v>2407</v>
      </c>
    </row>
    <row r="872" spans="1:10" x14ac:dyDescent="0.35">
      <c r="A872" s="7" t="s">
        <v>14</v>
      </c>
      <c r="B872" s="7">
        <f t="shared" si="202"/>
        <v>2057</v>
      </c>
      <c r="C872" s="4" t="s">
        <v>37</v>
      </c>
      <c r="D872" s="5" t="s">
        <v>2003</v>
      </c>
      <c r="E872" s="10" t="str">
        <f t="shared" si="198"/>
        <v>PDP'!</v>
      </c>
      <c r="F872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72" s="7" t="s">
        <v>102</v>
      </c>
      <c r="H872" s="4">
        <f t="shared" si="200"/>
        <v>70</v>
      </c>
      <c r="I872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PDP'!$BW$70</v>
      </c>
      <c r="J872" s="4" t="s">
        <v>2408</v>
      </c>
    </row>
    <row r="873" spans="1:10" x14ac:dyDescent="0.35">
      <c r="A873" s="7" t="s">
        <v>14</v>
      </c>
      <c r="B873" s="7">
        <f t="shared" si="202"/>
        <v>2058</v>
      </c>
      <c r="C873" s="4" t="s">
        <v>37</v>
      </c>
      <c r="D873" s="5" t="s">
        <v>2003</v>
      </c>
      <c r="E873" s="10" t="str">
        <f t="shared" si="198"/>
        <v>PDP'!</v>
      </c>
      <c r="F873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73" s="7" t="s">
        <v>102</v>
      </c>
      <c r="H873" s="4">
        <f t="shared" si="200"/>
        <v>71</v>
      </c>
      <c r="I873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PDP'!$BW$71</v>
      </c>
      <c r="J873" s="4" t="s">
        <v>2409</v>
      </c>
    </row>
    <row r="874" spans="1:10" x14ac:dyDescent="0.35">
      <c r="A874" s="7" t="s">
        <v>14</v>
      </c>
      <c r="B874" s="7">
        <f t="shared" si="202"/>
        <v>2059</v>
      </c>
      <c r="C874" s="4" t="s">
        <v>37</v>
      </c>
      <c r="D874" s="5" t="s">
        <v>2003</v>
      </c>
      <c r="E874" s="10" t="str">
        <f t="shared" si="198"/>
        <v>PDP'!</v>
      </c>
      <c r="F874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74" s="7" t="s">
        <v>102</v>
      </c>
      <c r="H874" s="4">
        <f t="shared" si="200"/>
        <v>72</v>
      </c>
      <c r="I874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PDP'!$BW$72</v>
      </c>
      <c r="J874" s="4" t="s">
        <v>2410</v>
      </c>
    </row>
    <row r="875" spans="1:10" x14ac:dyDescent="0.35">
      <c r="A875" s="7" t="s">
        <v>26</v>
      </c>
      <c r="B875" s="7"/>
      <c r="C875" s="4" t="s">
        <v>37</v>
      </c>
      <c r="D875" s="5"/>
      <c r="E875" s="10"/>
      <c r="F875" s="5"/>
      <c r="G875" s="7"/>
      <c r="H875" s="4"/>
      <c r="I875" s="4"/>
      <c r="J875" s="4"/>
    </row>
    <row r="876" spans="1:10" x14ac:dyDescent="0.35">
      <c r="A876" s="7" t="s">
        <v>15</v>
      </c>
      <c r="B876" s="7">
        <v>2023</v>
      </c>
      <c r="C876" s="4" t="s">
        <v>37</v>
      </c>
      <c r="D876" s="5" t="s">
        <v>2003</v>
      </c>
      <c r="E876" s="10" t="str">
        <f t="shared" si="192"/>
        <v>PNP'!</v>
      </c>
      <c r="F876" s="5" t="str">
        <f t="shared" ref="F876:F896" si="203">_xlfn.CONCAT(D876," ",E876)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76" s="7" t="s">
        <v>102</v>
      </c>
      <c r="H876" s="4">
        <f>IF(A876&lt;&gt;A860,36,H860+1)</f>
        <v>36</v>
      </c>
      <c r="I876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PNP'!$BW$36</v>
      </c>
      <c r="J876" s="4" t="s">
        <v>2411</v>
      </c>
    </row>
    <row r="877" spans="1:10" x14ac:dyDescent="0.35">
      <c r="A877" s="7" t="s">
        <v>15</v>
      </c>
      <c r="B877" s="7">
        <f>+B876+1</f>
        <v>2024</v>
      </c>
      <c r="C877" s="4" t="s">
        <v>37</v>
      </c>
      <c r="D877" s="5" t="s">
        <v>2003</v>
      </c>
      <c r="E877" s="10" t="str">
        <f t="shared" si="192"/>
        <v>PNP'!</v>
      </c>
      <c r="F877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77" s="7" t="s">
        <v>102</v>
      </c>
      <c r="H877" s="4">
        <f t="shared" si="195"/>
        <v>37</v>
      </c>
      <c r="I877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PNP'!$BW$37</v>
      </c>
      <c r="J877" s="4" t="s">
        <v>2412</v>
      </c>
    </row>
    <row r="878" spans="1:10" x14ac:dyDescent="0.35">
      <c r="A878" s="7" t="s">
        <v>15</v>
      </c>
      <c r="B878" s="7">
        <f t="shared" ref="B878:B889" si="204">+B877+1</f>
        <v>2025</v>
      </c>
      <c r="C878" s="4" t="s">
        <v>37</v>
      </c>
      <c r="D878" s="5" t="s">
        <v>2003</v>
      </c>
      <c r="E878" s="10" t="str">
        <f t="shared" si="192"/>
        <v>PNP'!</v>
      </c>
      <c r="F878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78" s="7" t="s">
        <v>102</v>
      </c>
      <c r="H878" s="4">
        <f t="shared" si="195"/>
        <v>38</v>
      </c>
      <c r="I878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PNP'!$BW$38</v>
      </c>
      <c r="J878" s="4" t="s">
        <v>2413</v>
      </c>
    </row>
    <row r="879" spans="1:10" x14ac:dyDescent="0.35">
      <c r="A879" s="7" t="s">
        <v>15</v>
      </c>
      <c r="B879" s="7">
        <f t="shared" si="204"/>
        <v>2026</v>
      </c>
      <c r="C879" s="4" t="s">
        <v>37</v>
      </c>
      <c r="D879" s="5" t="s">
        <v>2003</v>
      </c>
      <c r="E879" s="10" t="str">
        <f t="shared" si="192"/>
        <v>PNP'!</v>
      </c>
      <c r="F879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79" s="7" t="s">
        <v>102</v>
      </c>
      <c r="H879" s="4">
        <f t="shared" si="195"/>
        <v>39</v>
      </c>
      <c r="I879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PNP'!$BW$39</v>
      </c>
      <c r="J879" s="4" t="s">
        <v>2414</v>
      </c>
    </row>
    <row r="880" spans="1:10" x14ac:dyDescent="0.35">
      <c r="A880" s="7" t="s">
        <v>15</v>
      </c>
      <c r="B880" s="7">
        <f t="shared" si="204"/>
        <v>2027</v>
      </c>
      <c r="C880" s="4" t="s">
        <v>37</v>
      </c>
      <c r="D880" s="5" t="s">
        <v>2003</v>
      </c>
      <c r="E880" s="10" t="str">
        <f t="shared" si="192"/>
        <v>PNP'!</v>
      </c>
      <c r="F880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80" s="7" t="s">
        <v>102</v>
      </c>
      <c r="H880" s="4">
        <f t="shared" si="195"/>
        <v>40</v>
      </c>
      <c r="I880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PNP'!$BW$40</v>
      </c>
      <c r="J880" s="4" t="s">
        <v>2415</v>
      </c>
    </row>
    <row r="881" spans="1:10" x14ac:dyDescent="0.35">
      <c r="A881" s="7" t="s">
        <v>15</v>
      </c>
      <c r="B881" s="7">
        <f t="shared" si="204"/>
        <v>2028</v>
      </c>
      <c r="C881" s="4" t="s">
        <v>37</v>
      </c>
      <c r="D881" s="5" t="s">
        <v>2003</v>
      </c>
      <c r="E881" s="10" t="str">
        <f t="shared" si="192"/>
        <v>PNP'!</v>
      </c>
      <c r="F881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81" s="7" t="s">
        <v>102</v>
      </c>
      <c r="H881" s="4">
        <f t="shared" si="195"/>
        <v>41</v>
      </c>
      <c r="I881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PNP'!$BW$41</v>
      </c>
      <c r="J881" s="4" t="s">
        <v>2416</v>
      </c>
    </row>
    <row r="882" spans="1:10" x14ac:dyDescent="0.35">
      <c r="A882" s="7" t="s">
        <v>15</v>
      </c>
      <c r="B882" s="7">
        <f t="shared" si="204"/>
        <v>2029</v>
      </c>
      <c r="C882" s="4" t="s">
        <v>37</v>
      </c>
      <c r="D882" s="5" t="s">
        <v>2003</v>
      </c>
      <c r="E882" s="10" t="str">
        <f t="shared" si="192"/>
        <v>PNP'!</v>
      </c>
      <c r="F882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82" s="7" t="s">
        <v>102</v>
      </c>
      <c r="H882" s="4">
        <f t="shared" si="195"/>
        <v>42</v>
      </c>
      <c r="I882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PNP'!$BW$42</v>
      </c>
      <c r="J882" s="4" t="s">
        <v>2417</v>
      </c>
    </row>
    <row r="883" spans="1:10" x14ac:dyDescent="0.35">
      <c r="A883" s="7" t="s">
        <v>15</v>
      </c>
      <c r="B883" s="7">
        <f t="shared" si="204"/>
        <v>2030</v>
      </c>
      <c r="C883" s="4" t="s">
        <v>37</v>
      </c>
      <c r="D883" s="5" t="s">
        <v>2003</v>
      </c>
      <c r="E883" s="10" t="str">
        <f t="shared" si="192"/>
        <v>PNP'!</v>
      </c>
      <c r="F883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83" s="7" t="s">
        <v>102</v>
      </c>
      <c r="H883" s="4">
        <f t="shared" si="195"/>
        <v>43</v>
      </c>
      <c r="I883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PNP'!$BW$43</v>
      </c>
      <c r="J883" s="4" t="s">
        <v>2418</v>
      </c>
    </row>
    <row r="884" spans="1:10" x14ac:dyDescent="0.35">
      <c r="A884" s="7" t="s">
        <v>15</v>
      </c>
      <c r="B884" s="7">
        <f t="shared" si="204"/>
        <v>2031</v>
      </c>
      <c r="C884" s="4" t="s">
        <v>37</v>
      </c>
      <c r="D884" s="5" t="s">
        <v>2003</v>
      </c>
      <c r="E884" s="10" t="str">
        <f t="shared" si="192"/>
        <v>PNP'!</v>
      </c>
      <c r="F884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84" s="7" t="s">
        <v>102</v>
      </c>
      <c r="H884" s="4">
        <f t="shared" si="195"/>
        <v>44</v>
      </c>
      <c r="I884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PNP'!$BW$44</v>
      </c>
      <c r="J884" s="4" t="s">
        <v>2419</v>
      </c>
    </row>
    <row r="885" spans="1:10" x14ac:dyDescent="0.35">
      <c r="A885" s="7" t="s">
        <v>15</v>
      </c>
      <c r="B885" s="7">
        <f t="shared" si="204"/>
        <v>2032</v>
      </c>
      <c r="C885" s="4" t="s">
        <v>37</v>
      </c>
      <c r="D885" s="5" t="s">
        <v>2003</v>
      </c>
      <c r="E885" s="10" t="str">
        <f t="shared" si="192"/>
        <v>PNP'!</v>
      </c>
      <c r="F885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85" s="7" t="s">
        <v>102</v>
      </c>
      <c r="H885" s="4">
        <f t="shared" si="195"/>
        <v>45</v>
      </c>
      <c r="I885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PNP'!$BW$45</v>
      </c>
      <c r="J885" s="4" t="s">
        <v>2420</v>
      </c>
    </row>
    <row r="886" spans="1:10" x14ac:dyDescent="0.35">
      <c r="A886" s="7" t="s">
        <v>15</v>
      </c>
      <c r="B886" s="7">
        <f t="shared" si="204"/>
        <v>2033</v>
      </c>
      <c r="C886" s="4" t="s">
        <v>37</v>
      </c>
      <c r="D886" s="5" t="s">
        <v>2003</v>
      </c>
      <c r="E886" s="10" t="str">
        <f t="shared" si="192"/>
        <v>PNP'!</v>
      </c>
      <c r="F886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86" s="7" t="s">
        <v>102</v>
      </c>
      <c r="H886" s="4">
        <f t="shared" si="195"/>
        <v>46</v>
      </c>
      <c r="I886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PNP'!$BW$46</v>
      </c>
      <c r="J886" s="4" t="s">
        <v>2421</v>
      </c>
    </row>
    <row r="887" spans="1:10" x14ac:dyDescent="0.35">
      <c r="A887" s="7" t="s">
        <v>15</v>
      </c>
      <c r="B887" s="7">
        <f t="shared" si="204"/>
        <v>2034</v>
      </c>
      <c r="C887" s="4" t="s">
        <v>37</v>
      </c>
      <c r="D887" s="5" t="s">
        <v>2003</v>
      </c>
      <c r="E887" s="10" t="str">
        <f t="shared" si="192"/>
        <v>PNP'!</v>
      </c>
      <c r="F887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87" s="7" t="s">
        <v>102</v>
      </c>
      <c r="H887" s="4">
        <f t="shared" si="195"/>
        <v>47</v>
      </c>
      <c r="I887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PNP'!$BW$47</v>
      </c>
      <c r="J887" s="4" t="s">
        <v>2422</v>
      </c>
    </row>
    <row r="888" spans="1:10" x14ac:dyDescent="0.35">
      <c r="A888" s="7" t="s">
        <v>15</v>
      </c>
      <c r="B888" s="7">
        <f t="shared" si="204"/>
        <v>2035</v>
      </c>
      <c r="C888" s="4" t="s">
        <v>37</v>
      </c>
      <c r="D888" s="5" t="s">
        <v>2003</v>
      </c>
      <c r="E888" s="10" t="str">
        <f t="shared" si="192"/>
        <v>PNP'!</v>
      </c>
      <c r="F888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88" s="7" t="s">
        <v>102</v>
      </c>
      <c r="H888" s="4">
        <f t="shared" si="195"/>
        <v>48</v>
      </c>
      <c r="I888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PNP'!$BW$48</v>
      </c>
      <c r="J888" s="4" t="s">
        <v>2423</v>
      </c>
    </row>
    <row r="889" spans="1:10" x14ac:dyDescent="0.35">
      <c r="A889" s="7" t="s">
        <v>15</v>
      </c>
      <c r="B889" s="7">
        <f t="shared" si="204"/>
        <v>2036</v>
      </c>
      <c r="C889" s="4" t="s">
        <v>37</v>
      </c>
      <c r="D889" s="5" t="s">
        <v>2003</v>
      </c>
      <c r="E889" s="10" t="str">
        <f t="shared" si="192"/>
        <v>PNP'!</v>
      </c>
      <c r="F889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89" s="7" t="s">
        <v>102</v>
      </c>
      <c r="H889" s="4">
        <f t="shared" si="195"/>
        <v>49</v>
      </c>
      <c r="I889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PNP'!$BW$49</v>
      </c>
      <c r="J889" s="4" t="s">
        <v>2424</v>
      </c>
    </row>
    <row r="890" spans="1:10" x14ac:dyDescent="0.35">
      <c r="A890" s="7" t="s">
        <v>15</v>
      </c>
      <c r="B890" s="7">
        <f>+B889+1</f>
        <v>2037</v>
      </c>
      <c r="C890" s="4" t="s">
        <v>37</v>
      </c>
      <c r="D890" s="5" t="s">
        <v>2003</v>
      </c>
      <c r="E890" s="10" t="str">
        <f t="shared" si="192"/>
        <v>PNP'!</v>
      </c>
      <c r="F890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90" s="7" t="s">
        <v>102</v>
      </c>
      <c r="H890" s="4">
        <f t="shared" si="195"/>
        <v>50</v>
      </c>
      <c r="I890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PNP'!$BW$50</v>
      </c>
      <c r="J890" s="4" t="s">
        <v>2425</v>
      </c>
    </row>
    <row r="891" spans="1:10" x14ac:dyDescent="0.35">
      <c r="A891" s="7" t="s">
        <v>15</v>
      </c>
      <c r="B891" s="7">
        <f t="shared" ref="B891:B893" si="205">+B890+1</f>
        <v>2038</v>
      </c>
      <c r="C891" s="4" t="s">
        <v>37</v>
      </c>
      <c r="D891" s="5" t="s">
        <v>2003</v>
      </c>
      <c r="E891" s="10" t="str">
        <f t="shared" si="192"/>
        <v>PNP'!</v>
      </c>
      <c r="F891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91" s="7" t="s">
        <v>102</v>
      </c>
      <c r="H891" s="4">
        <f t="shared" si="195"/>
        <v>51</v>
      </c>
      <c r="I891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PNP'!$BW$51</v>
      </c>
      <c r="J891" s="4" t="s">
        <v>2426</v>
      </c>
    </row>
    <row r="892" spans="1:10" x14ac:dyDescent="0.35">
      <c r="A892" s="7" t="s">
        <v>15</v>
      </c>
      <c r="B892" s="7">
        <f t="shared" si="205"/>
        <v>2039</v>
      </c>
      <c r="C892" s="4" t="s">
        <v>37</v>
      </c>
      <c r="D892" s="5" t="s">
        <v>2003</v>
      </c>
      <c r="E892" s="10" t="str">
        <f t="shared" si="192"/>
        <v>PNP'!</v>
      </c>
      <c r="F892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92" s="7" t="s">
        <v>102</v>
      </c>
      <c r="H892" s="4">
        <f t="shared" si="195"/>
        <v>52</v>
      </c>
      <c r="I892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PNP'!$BW$52</v>
      </c>
      <c r="J892" s="4" t="s">
        <v>2427</v>
      </c>
    </row>
    <row r="893" spans="1:10" x14ac:dyDescent="0.35">
      <c r="A893" s="7" t="s">
        <v>15</v>
      </c>
      <c r="B893" s="7">
        <f t="shared" si="205"/>
        <v>2040</v>
      </c>
      <c r="C893" s="4" t="s">
        <v>37</v>
      </c>
      <c r="D893" s="5" t="s">
        <v>2003</v>
      </c>
      <c r="E893" s="10" t="str">
        <f t="shared" si="192"/>
        <v>PNP'!</v>
      </c>
      <c r="F893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93" s="7" t="s">
        <v>102</v>
      </c>
      <c r="H893" s="4">
        <f t="shared" si="195"/>
        <v>53</v>
      </c>
      <c r="I893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PNP'!$BW$53</v>
      </c>
      <c r="J893" s="4" t="s">
        <v>2428</v>
      </c>
    </row>
    <row r="894" spans="1:10" x14ac:dyDescent="0.35">
      <c r="A894" s="7" t="s">
        <v>15</v>
      </c>
      <c r="B894" s="7">
        <f>+B893+1</f>
        <v>2041</v>
      </c>
      <c r="C894" s="4" t="s">
        <v>37</v>
      </c>
      <c r="D894" s="5" t="s">
        <v>2003</v>
      </c>
      <c r="E894" s="10" t="str">
        <f t="shared" si="192"/>
        <v>PNP'!</v>
      </c>
      <c r="F894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94" s="7" t="s">
        <v>102</v>
      </c>
      <c r="H894" s="4">
        <f t="shared" si="195"/>
        <v>54</v>
      </c>
      <c r="I894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PNP'!$BW$54</v>
      </c>
      <c r="J894" s="4" t="s">
        <v>2429</v>
      </c>
    </row>
    <row r="895" spans="1:10" x14ac:dyDescent="0.35">
      <c r="A895" s="7" t="s">
        <v>15</v>
      </c>
      <c r="B895" s="7">
        <f t="shared" ref="B895:B896" si="206">+B894+1</f>
        <v>2042</v>
      </c>
      <c r="C895" s="4" t="s">
        <v>37</v>
      </c>
      <c r="D895" s="5" t="s">
        <v>2003</v>
      </c>
      <c r="E895" s="10" t="str">
        <f t="shared" si="192"/>
        <v>PNP'!</v>
      </c>
      <c r="F895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95" s="7" t="s">
        <v>102</v>
      </c>
      <c r="H895" s="4">
        <f t="shared" si="195"/>
        <v>55</v>
      </c>
      <c r="I895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PNP'!$BW$55</v>
      </c>
      <c r="J895" s="4" t="s">
        <v>2430</v>
      </c>
    </row>
    <row r="896" spans="1:10" x14ac:dyDescent="0.35">
      <c r="A896" s="7" t="s">
        <v>15</v>
      </c>
      <c r="B896" s="7">
        <f t="shared" si="206"/>
        <v>2043</v>
      </c>
      <c r="C896" s="4" t="s">
        <v>37</v>
      </c>
      <c r="D896" s="5" t="s">
        <v>2003</v>
      </c>
      <c r="E896" s="10" t="str">
        <f t="shared" si="192"/>
        <v>PNP'!</v>
      </c>
      <c r="F896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96" s="7" t="s">
        <v>102</v>
      </c>
      <c r="H896" s="4">
        <f t="shared" si="195"/>
        <v>56</v>
      </c>
      <c r="I896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PNP'!$BW$56</v>
      </c>
      <c r="J896" s="4" t="s">
        <v>2431</v>
      </c>
    </row>
    <row r="897" spans="1:10" x14ac:dyDescent="0.35">
      <c r="A897" s="7" t="s">
        <v>15</v>
      </c>
      <c r="B897" s="7">
        <f>+B896+1</f>
        <v>2044</v>
      </c>
      <c r="C897" s="4" t="s">
        <v>37</v>
      </c>
      <c r="D897" s="5" t="s">
        <v>2003</v>
      </c>
      <c r="E897" s="10" t="str">
        <f t="shared" ref="E897:E912" si="207">_xlfn.CONCAT(A897,"'!")</f>
        <v>PNP'!</v>
      </c>
      <c r="F897" s="5" t="str">
        <f t="shared" ref="F897:F912" si="208">_xlfn.CONCAT(D897," ",E897)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97" s="7" t="s">
        <v>102</v>
      </c>
      <c r="H897" s="4">
        <f t="shared" ref="H897:H912" si="209">IF(A897&lt;&gt;A896,36,H896+1)</f>
        <v>57</v>
      </c>
      <c r="I897" s="4" t="str">
        <f t="shared" ref="I897:I912" si="210">_xlfn.CONCAT("='",F897:H897)</f>
        <v>='C:\Users\jaime.benazar\Quorum Business Solutions\Ecopetrol Prometeo - Documents\Planning Space Implementation\3. Analysis &amp; Design\Design\FC22\DRR Jaime\Por presentar a ECP\Cantagallo\Cristalina\[VRC_CRISTALINA_CF_SEC_20221231.xlsx]CF PNP'!$BW$57</v>
      </c>
      <c r="J897" s="4" t="s">
        <v>2432</v>
      </c>
    </row>
    <row r="898" spans="1:10" x14ac:dyDescent="0.35">
      <c r="A898" s="7" t="s">
        <v>15</v>
      </c>
      <c r="B898" s="7">
        <f t="shared" ref="B898:B912" si="211">+B897+1</f>
        <v>2045</v>
      </c>
      <c r="C898" s="4" t="s">
        <v>37</v>
      </c>
      <c r="D898" s="5" t="s">
        <v>2003</v>
      </c>
      <c r="E898" s="10" t="str">
        <f t="shared" si="207"/>
        <v>PNP'!</v>
      </c>
      <c r="F898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98" s="7" t="s">
        <v>102</v>
      </c>
      <c r="H898" s="4">
        <f t="shared" si="209"/>
        <v>58</v>
      </c>
      <c r="I898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PNP'!$BW$58</v>
      </c>
      <c r="J898" s="4" t="s">
        <v>2433</v>
      </c>
    </row>
    <row r="899" spans="1:10" x14ac:dyDescent="0.35">
      <c r="A899" s="7" t="s">
        <v>15</v>
      </c>
      <c r="B899" s="7">
        <f t="shared" si="211"/>
        <v>2046</v>
      </c>
      <c r="C899" s="4" t="s">
        <v>37</v>
      </c>
      <c r="D899" s="5" t="s">
        <v>2003</v>
      </c>
      <c r="E899" s="10" t="str">
        <f t="shared" si="207"/>
        <v>PNP'!</v>
      </c>
      <c r="F899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99" s="7" t="s">
        <v>102</v>
      </c>
      <c r="H899" s="4">
        <f t="shared" si="209"/>
        <v>59</v>
      </c>
      <c r="I899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PNP'!$BW$59</v>
      </c>
      <c r="J899" s="4" t="s">
        <v>2434</v>
      </c>
    </row>
    <row r="900" spans="1:10" x14ac:dyDescent="0.35">
      <c r="A900" s="7" t="s">
        <v>15</v>
      </c>
      <c r="B900" s="7">
        <f t="shared" si="211"/>
        <v>2047</v>
      </c>
      <c r="C900" s="4" t="s">
        <v>37</v>
      </c>
      <c r="D900" s="5" t="s">
        <v>2003</v>
      </c>
      <c r="E900" s="10" t="str">
        <f t="shared" si="207"/>
        <v>PNP'!</v>
      </c>
      <c r="F900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900" s="7" t="s">
        <v>102</v>
      </c>
      <c r="H900" s="4">
        <f t="shared" si="209"/>
        <v>60</v>
      </c>
      <c r="I900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PNP'!$BW$60</v>
      </c>
      <c r="J900" s="4" t="s">
        <v>2435</v>
      </c>
    </row>
    <row r="901" spans="1:10" x14ac:dyDescent="0.35">
      <c r="A901" s="7" t="s">
        <v>15</v>
      </c>
      <c r="B901" s="7">
        <f t="shared" si="211"/>
        <v>2048</v>
      </c>
      <c r="C901" s="4" t="s">
        <v>37</v>
      </c>
      <c r="D901" s="5" t="s">
        <v>2003</v>
      </c>
      <c r="E901" s="10" t="str">
        <f t="shared" si="207"/>
        <v>PNP'!</v>
      </c>
      <c r="F901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901" s="7" t="s">
        <v>102</v>
      </c>
      <c r="H901" s="4">
        <f t="shared" si="209"/>
        <v>61</v>
      </c>
      <c r="I901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PNP'!$BW$61</v>
      </c>
      <c r="J901" s="4" t="s">
        <v>2436</v>
      </c>
    </row>
    <row r="902" spans="1:10" x14ac:dyDescent="0.35">
      <c r="A902" s="7" t="s">
        <v>15</v>
      </c>
      <c r="B902" s="7">
        <f t="shared" si="211"/>
        <v>2049</v>
      </c>
      <c r="C902" s="4" t="s">
        <v>37</v>
      </c>
      <c r="D902" s="5" t="s">
        <v>2003</v>
      </c>
      <c r="E902" s="10" t="str">
        <f t="shared" si="207"/>
        <v>PNP'!</v>
      </c>
      <c r="F902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902" s="7" t="s">
        <v>102</v>
      </c>
      <c r="H902" s="4">
        <f t="shared" si="209"/>
        <v>62</v>
      </c>
      <c r="I902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PNP'!$BW$62</v>
      </c>
      <c r="J902" s="4" t="s">
        <v>2437</v>
      </c>
    </row>
    <row r="903" spans="1:10" x14ac:dyDescent="0.35">
      <c r="A903" s="7" t="s">
        <v>15</v>
      </c>
      <c r="B903" s="7">
        <f t="shared" si="211"/>
        <v>2050</v>
      </c>
      <c r="C903" s="4" t="s">
        <v>37</v>
      </c>
      <c r="D903" s="5" t="s">
        <v>2003</v>
      </c>
      <c r="E903" s="10" t="str">
        <f t="shared" si="207"/>
        <v>PNP'!</v>
      </c>
      <c r="F903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903" s="7" t="s">
        <v>102</v>
      </c>
      <c r="H903" s="4">
        <f t="shared" si="209"/>
        <v>63</v>
      </c>
      <c r="I903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PNP'!$BW$63</v>
      </c>
      <c r="J903" s="4" t="s">
        <v>2438</v>
      </c>
    </row>
    <row r="904" spans="1:10" x14ac:dyDescent="0.35">
      <c r="A904" s="7" t="s">
        <v>15</v>
      </c>
      <c r="B904" s="7">
        <f t="shared" si="211"/>
        <v>2051</v>
      </c>
      <c r="C904" s="4" t="s">
        <v>37</v>
      </c>
      <c r="D904" s="5" t="s">
        <v>2003</v>
      </c>
      <c r="E904" s="10" t="str">
        <f t="shared" si="207"/>
        <v>PNP'!</v>
      </c>
      <c r="F904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904" s="7" t="s">
        <v>102</v>
      </c>
      <c r="H904" s="4">
        <f t="shared" si="209"/>
        <v>64</v>
      </c>
      <c r="I904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PNP'!$BW$64</v>
      </c>
      <c r="J904" s="4" t="s">
        <v>2439</v>
      </c>
    </row>
    <row r="905" spans="1:10" x14ac:dyDescent="0.35">
      <c r="A905" s="7" t="s">
        <v>15</v>
      </c>
      <c r="B905" s="7">
        <f t="shared" si="211"/>
        <v>2052</v>
      </c>
      <c r="C905" s="4" t="s">
        <v>37</v>
      </c>
      <c r="D905" s="5" t="s">
        <v>2003</v>
      </c>
      <c r="E905" s="10" t="str">
        <f t="shared" si="207"/>
        <v>PNP'!</v>
      </c>
      <c r="F905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905" s="7" t="s">
        <v>102</v>
      </c>
      <c r="H905" s="4">
        <f t="shared" si="209"/>
        <v>65</v>
      </c>
      <c r="I905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PNP'!$BW$65</v>
      </c>
      <c r="J905" s="4" t="s">
        <v>2440</v>
      </c>
    </row>
    <row r="906" spans="1:10" x14ac:dyDescent="0.35">
      <c r="A906" s="7" t="s">
        <v>15</v>
      </c>
      <c r="B906" s="7">
        <f t="shared" si="211"/>
        <v>2053</v>
      </c>
      <c r="C906" s="4" t="s">
        <v>37</v>
      </c>
      <c r="D906" s="5" t="s">
        <v>2003</v>
      </c>
      <c r="E906" s="10" t="str">
        <f t="shared" si="207"/>
        <v>PNP'!</v>
      </c>
      <c r="F906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906" s="7" t="s">
        <v>102</v>
      </c>
      <c r="H906" s="4">
        <f t="shared" si="209"/>
        <v>66</v>
      </c>
      <c r="I906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PNP'!$BW$66</v>
      </c>
      <c r="J906" s="4" t="s">
        <v>2441</v>
      </c>
    </row>
    <row r="907" spans="1:10" x14ac:dyDescent="0.35">
      <c r="A907" s="7" t="s">
        <v>15</v>
      </c>
      <c r="B907" s="7">
        <f t="shared" si="211"/>
        <v>2054</v>
      </c>
      <c r="C907" s="4" t="s">
        <v>37</v>
      </c>
      <c r="D907" s="5" t="s">
        <v>2003</v>
      </c>
      <c r="E907" s="10" t="str">
        <f t="shared" si="207"/>
        <v>PNP'!</v>
      </c>
      <c r="F907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907" s="7" t="s">
        <v>102</v>
      </c>
      <c r="H907" s="4">
        <f t="shared" si="209"/>
        <v>67</v>
      </c>
      <c r="I907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PNP'!$BW$67</v>
      </c>
      <c r="J907" s="4" t="s">
        <v>2442</v>
      </c>
    </row>
    <row r="908" spans="1:10" x14ac:dyDescent="0.35">
      <c r="A908" s="7" t="s">
        <v>15</v>
      </c>
      <c r="B908" s="7">
        <f t="shared" si="211"/>
        <v>2055</v>
      </c>
      <c r="C908" s="4" t="s">
        <v>37</v>
      </c>
      <c r="D908" s="5" t="s">
        <v>2003</v>
      </c>
      <c r="E908" s="10" t="str">
        <f t="shared" si="207"/>
        <v>PNP'!</v>
      </c>
      <c r="F908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908" s="7" t="s">
        <v>102</v>
      </c>
      <c r="H908" s="4">
        <f t="shared" si="209"/>
        <v>68</v>
      </c>
      <c r="I908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PNP'!$BW$68</v>
      </c>
      <c r="J908" s="4" t="s">
        <v>2443</v>
      </c>
    </row>
    <row r="909" spans="1:10" x14ac:dyDescent="0.35">
      <c r="A909" s="7" t="s">
        <v>15</v>
      </c>
      <c r="B909" s="7">
        <f t="shared" si="211"/>
        <v>2056</v>
      </c>
      <c r="C909" s="4" t="s">
        <v>37</v>
      </c>
      <c r="D909" s="5" t="s">
        <v>2003</v>
      </c>
      <c r="E909" s="10" t="str">
        <f t="shared" si="207"/>
        <v>PNP'!</v>
      </c>
      <c r="F909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909" s="7" t="s">
        <v>102</v>
      </c>
      <c r="H909" s="4">
        <f t="shared" si="209"/>
        <v>69</v>
      </c>
      <c r="I909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PNP'!$BW$69</v>
      </c>
      <c r="J909" s="4" t="s">
        <v>2444</v>
      </c>
    </row>
    <row r="910" spans="1:10" x14ac:dyDescent="0.35">
      <c r="A910" s="7" t="s">
        <v>15</v>
      </c>
      <c r="B910" s="7">
        <f t="shared" si="211"/>
        <v>2057</v>
      </c>
      <c r="C910" s="4" t="s">
        <v>37</v>
      </c>
      <c r="D910" s="5" t="s">
        <v>2003</v>
      </c>
      <c r="E910" s="10" t="str">
        <f t="shared" si="207"/>
        <v>PNP'!</v>
      </c>
      <c r="F910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910" s="7" t="s">
        <v>102</v>
      </c>
      <c r="H910" s="4">
        <f t="shared" si="209"/>
        <v>70</v>
      </c>
      <c r="I910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PNP'!$BW$70</v>
      </c>
      <c r="J910" s="4" t="s">
        <v>2445</v>
      </c>
    </row>
    <row r="911" spans="1:10" x14ac:dyDescent="0.35">
      <c r="A911" s="7" t="s">
        <v>15</v>
      </c>
      <c r="B911" s="7">
        <f t="shared" si="211"/>
        <v>2058</v>
      </c>
      <c r="C911" s="4" t="s">
        <v>37</v>
      </c>
      <c r="D911" s="5" t="s">
        <v>2003</v>
      </c>
      <c r="E911" s="10" t="str">
        <f t="shared" si="207"/>
        <v>PNP'!</v>
      </c>
      <c r="F911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911" s="7" t="s">
        <v>102</v>
      </c>
      <c r="H911" s="4">
        <f t="shared" si="209"/>
        <v>71</v>
      </c>
      <c r="I911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PNP'!$BW$71</v>
      </c>
      <c r="J911" s="4" t="s">
        <v>2446</v>
      </c>
    </row>
    <row r="912" spans="1:10" x14ac:dyDescent="0.35">
      <c r="A912" s="7" t="s">
        <v>15</v>
      </c>
      <c r="B912" s="7">
        <f t="shared" si="211"/>
        <v>2059</v>
      </c>
      <c r="C912" s="4" t="s">
        <v>37</v>
      </c>
      <c r="D912" s="5" t="s">
        <v>2003</v>
      </c>
      <c r="E912" s="10" t="str">
        <f t="shared" si="207"/>
        <v>PNP'!</v>
      </c>
      <c r="F912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912" s="7" t="s">
        <v>102</v>
      </c>
      <c r="H912" s="4">
        <f t="shared" si="209"/>
        <v>72</v>
      </c>
      <c r="I912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PNP'!$BW$72</v>
      </c>
      <c r="J912" s="4" t="s">
        <v>2447</v>
      </c>
    </row>
    <row r="913" spans="1:10" x14ac:dyDescent="0.35">
      <c r="A913" s="7" t="s">
        <v>26</v>
      </c>
      <c r="B913" s="7"/>
      <c r="C913" s="4" t="s">
        <v>37</v>
      </c>
      <c r="D913" s="5"/>
      <c r="E913" s="10"/>
      <c r="F913" s="5"/>
      <c r="G913" s="7"/>
      <c r="H913" s="4"/>
      <c r="I913" s="4"/>
      <c r="J913" s="4"/>
    </row>
    <row r="914" spans="1:10" x14ac:dyDescent="0.35">
      <c r="A914" s="7" t="s">
        <v>16</v>
      </c>
      <c r="B914" s="7">
        <v>2023</v>
      </c>
      <c r="C914" s="4" t="s">
        <v>37</v>
      </c>
      <c r="D914" s="5" t="s">
        <v>2003</v>
      </c>
      <c r="E914" s="10" t="str">
        <f t="shared" si="192"/>
        <v>PND'!</v>
      </c>
      <c r="F914" s="5" t="str">
        <f>_xlfn.CONCAT(D914," ",E914)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14" s="7" t="s">
        <v>102</v>
      </c>
      <c r="H914" s="4">
        <f>IF(A914&lt;&gt;A898,36,H898+1)</f>
        <v>36</v>
      </c>
      <c r="I914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PND'!$BW$36</v>
      </c>
      <c r="J914" s="4" t="s">
        <v>2448</v>
      </c>
    </row>
    <row r="915" spans="1:10" x14ac:dyDescent="0.35">
      <c r="A915" s="7" t="s">
        <v>16</v>
      </c>
      <c r="B915" s="7">
        <f>+B914+1</f>
        <v>2024</v>
      </c>
      <c r="C915" s="4" t="s">
        <v>37</v>
      </c>
      <c r="D915" s="5" t="s">
        <v>2003</v>
      </c>
      <c r="E915" s="10" t="str">
        <f t="shared" si="192"/>
        <v>PND'!</v>
      </c>
      <c r="F915" s="5" t="str">
        <f t="shared" ref="F915:F1006" si="212">_xlfn.CONCAT(D915," ",E915)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15" s="7" t="s">
        <v>102</v>
      </c>
      <c r="H915" s="4">
        <f t="shared" si="195"/>
        <v>37</v>
      </c>
      <c r="I915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PND'!$BW$37</v>
      </c>
      <c r="J915" s="4" t="s">
        <v>2449</v>
      </c>
    </row>
    <row r="916" spans="1:10" x14ac:dyDescent="0.35">
      <c r="A916" s="7" t="s">
        <v>16</v>
      </c>
      <c r="B916" s="7">
        <f t="shared" ref="B916:B927" si="213">+B915+1</f>
        <v>2025</v>
      </c>
      <c r="C916" s="4" t="s">
        <v>37</v>
      </c>
      <c r="D916" s="5" t="s">
        <v>2003</v>
      </c>
      <c r="E916" s="10" t="str">
        <f t="shared" si="192"/>
        <v>PND'!</v>
      </c>
      <c r="F916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16" s="7" t="s">
        <v>102</v>
      </c>
      <c r="H916" s="4">
        <f t="shared" si="195"/>
        <v>38</v>
      </c>
      <c r="I916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PND'!$BW$38</v>
      </c>
      <c r="J916" s="4" t="s">
        <v>2450</v>
      </c>
    </row>
    <row r="917" spans="1:10" x14ac:dyDescent="0.35">
      <c r="A917" s="7" t="s">
        <v>16</v>
      </c>
      <c r="B917" s="7">
        <f t="shared" si="213"/>
        <v>2026</v>
      </c>
      <c r="C917" s="4" t="s">
        <v>37</v>
      </c>
      <c r="D917" s="5" t="s">
        <v>2003</v>
      </c>
      <c r="E917" s="10" t="str">
        <f t="shared" si="192"/>
        <v>PND'!</v>
      </c>
      <c r="F917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17" s="7" t="s">
        <v>102</v>
      </c>
      <c r="H917" s="4">
        <f t="shared" si="195"/>
        <v>39</v>
      </c>
      <c r="I917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PND'!$BW$39</v>
      </c>
      <c r="J917" s="4" t="s">
        <v>2451</v>
      </c>
    </row>
    <row r="918" spans="1:10" x14ac:dyDescent="0.35">
      <c r="A918" s="7" t="s">
        <v>16</v>
      </c>
      <c r="B918" s="7">
        <f t="shared" si="213"/>
        <v>2027</v>
      </c>
      <c r="C918" s="4" t="s">
        <v>37</v>
      </c>
      <c r="D918" s="5" t="s">
        <v>2003</v>
      </c>
      <c r="E918" s="10" t="str">
        <f t="shared" si="192"/>
        <v>PND'!</v>
      </c>
      <c r="F918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18" s="7" t="s">
        <v>102</v>
      </c>
      <c r="H918" s="4">
        <f t="shared" si="195"/>
        <v>40</v>
      </c>
      <c r="I918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PND'!$BW$40</v>
      </c>
      <c r="J918" s="4" t="s">
        <v>2452</v>
      </c>
    </row>
    <row r="919" spans="1:10" x14ac:dyDescent="0.35">
      <c r="A919" s="7" t="s">
        <v>16</v>
      </c>
      <c r="B919" s="7">
        <f t="shared" si="213"/>
        <v>2028</v>
      </c>
      <c r="C919" s="4" t="s">
        <v>37</v>
      </c>
      <c r="D919" s="5" t="s">
        <v>2003</v>
      </c>
      <c r="E919" s="10" t="str">
        <f t="shared" si="192"/>
        <v>PND'!</v>
      </c>
      <c r="F919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19" s="7" t="s">
        <v>102</v>
      </c>
      <c r="H919" s="4">
        <f t="shared" si="195"/>
        <v>41</v>
      </c>
      <c r="I919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PND'!$BW$41</v>
      </c>
      <c r="J919" s="4" t="s">
        <v>2453</v>
      </c>
    </row>
    <row r="920" spans="1:10" x14ac:dyDescent="0.35">
      <c r="A920" s="7" t="s">
        <v>16</v>
      </c>
      <c r="B920" s="7">
        <f t="shared" si="213"/>
        <v>2029</v>
      </c>
      <c r="C920" s="4" t="s">
        <v>37</v>
      </c>
      <c r="D920" s="5" t="s">
        <v>2003</v>
      </c>
      <c r="E920" s="10" t="str">
        <f t="shared" si="192"/>
        <v>PND'!</v>
      </c>
      <c r="F920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20" s="7" t="s">
        <v>102</v>
      </c>
      <c r="H920" s="4">
        <f t="shared" si="195"/>
        <v>42</v>
      </c>
      <c r="I920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PND'!$BW$42</v>
      </c>
      <c r="J920" s="4" t="s">
        <v>2454</v>
      </c>
    </row>
    <row r="921" spans="1:10" x14ac:dyDescent="0.35">
      <c r="A921" s="7" t="s">
        <v>16</v>
      </c>
      <c r="B921" s="7">
        <f t="shared" si="213"/>
        <v>2030</v>
      </c>
      <c r="C921" s="4" t="s">
        <v>37</v>
      </c>
      <c r="D921" s="5" t="s">
        <v>2003</v>
      </c>
      <c r="E921" s="10" t="str">
        <f t="shared" si="192"/>
        <v>PND'!</v>
      </c>
      <c r="F921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21" s="7" t="s">
        <v>102</v>
      </c>
      <c r="H921" s="4">
        <f t="shared" si="195"/>
        <v>43</v>
      </c>
      <c r="I921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PND'!$BW$43</v>
      </c>
      <c r="J921" s="4" t="s">
        <v>2455</v>
      </c>
    </row>
    <row r="922" spans="1:10" x14ac:dyDescent="0.35">
      <c r="A922" s="7" t="s">
        <v>16</v>
      </c>
      <c r="B922" s="7">
        <f t="shared" si="213"/>
        <v>2031</v>
      </c>
      <c r="C922" s="4" t="s">
        <v>37</v>
      </c>
      <c r="D922" s="5" t="s">
        <v>2003</v>
      </c>
      <c r="E922" s="10" t="str">
        <f t="shared" si="192"/>
        <v>PND'!</v>
      </c>
      <c r="F922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22" s="7" t="s">
        <v>102</v>
      </c>
      <c r="H922" s="4">
        <f t="shared" si="195"/>
        <v>44</v>
      </c>
      <c r="I922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PND'!$BW$44</v>
      </c>
      <c r="J922" s="4" t="s">
        <v>2456</v>
      </c>
    </row>
    <row r="923" spans="1:10" x14ac:dyDescent="0.35">
      <c r="A923" s="7" t="s">
        <v>16</v>
      </c>
      <c r="B923" s="7">
        <f t="shared" si="213"/>
        <v>2032</v>
      </c>
      <c r="C923" s="4" t="s">
        <v>37</v>
      </c>
      <c r="D923" s="5" t="s">
        <v>2003</v>
      </c>
      <c r="E923" s="10" t="str">
        <f t="shared" si="192"/>
        <v>PND'!</v>
      </c>
      <c r="F923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23" s="7" t="s">
        <v>102</v>
      </c>
      <c r="H923" s="4">
        <f t="shared" si="195"/>
        <v>45</v>
      </c>
      <c r="I923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PND'!$BW$45</v>
      </c>
      <c r="J923" s="4" t="s">
        <v>2457</v>
      </c>
    </row>
    <row r="924" spans="1:10" x14ac:dyDescent="0.35">
      <c r="A924" s="7" t="s">
        <v>16</v>
      </c>
      <c r="B924" s="7">
        <f t="shared" si="213"/>
        <v>2033</v>
      </c>
      <c r="C924" s="4" t="s">
        <v>37</v>
      </c>
      <c r="D924" s="5" t="s">
        <v>2003</v>
      </c>
      <c r="E924" s="10" t="str">
        <f t="shared" si="192"/>
        <v>PND'!</v>
      </c>
      <c r="F924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24" s="7" t="s">
        <v>102</v>
      </c>
      <c r="H924" s="4">
        <f t="shared" si="195"/>
        <v>46</v>
      </c>
      <c r="I924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PND'!$BW$46</v>
      </c>
      <c r="J924" s="4" t="s">
        <v>2458</v>
      </c>
    </row>
    <row r="925" spans="1:10" x14ac:dyDescent="0.35">
      <c r="A925" s="7" t="s">
        <v>16</v>
      </c>
      <c r="B925" s="7">
        <f t="shared" si="213"/>
        <v>2034</v>
      </c>
      <c r="C925" s="4" t="s">
        <v>37</v>
      </c>
      <c r="D925" s="5" t="s">
        <v>2003</v>
      </c>
      <c r="E925" s="10" t="str">
        <f t="shared" si="192"/>
        <v>PND'!</v>
      </c>
      <c r="F925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25" s="7" t="s">
        <v>102</v>
      </c>
      <c r="H925" s="4">
        <f t="shared" si="195"/>
        <v>47</v>
      </c>
      <c r="I925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PND'!$BW$47</v>
      </c>
      <c r="J925" s="4" t="s">
        <v>2459</v>
      </c>
    </row>
    <row r="926" spans="1:10" x14ac:dyDescent="0.35">
      <c r="A926" s="7" t="s">
        <v>16</v>
      </c>
      <c r="B926" s="7">
        <f t="shared" si="213"/>
        <v>2035</v>
      </c>
      <c r="C926" s="4" t="s">
        <v>37</v>
      </c>
      <c r="D926" s="5" t="s">
        <v>2003</v>
      </c>
      <c r="E926" s="10" t="str">
        <f t="shared" si="192"/>
        <v>PND'!</v>
      </c>
      <c r="F926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26" s="7" t="s">
        <v>102</v>
      </c>
      <c r="H926" s="4">
        <f t="shared" si="195"/>
        <v>48</v>
      </c>
      <c r="I926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PND'!$BW$48</v>
      </c>
      <c r="J926" s="4" t="s">
        <v>2460</v>
      </c>
    </row>
    <row r="927" spans="1:10" x14ac:dyDescent="0.35">
      <c r="A927" s="7" t="s">
        <v>16</v>
      </c>
      <c r="B927" s="7">
        <f t="shared" si="213"/>
        <v>2036</v>
      </c>
      <c r="C927" s="4" t="s">
        <v>37</v>
      </c>
      <c r="D927" s="5" t="s">
        <v>2003</v>
      </c>
      <c r="E927" s="10" t="str">
        <f t="shared" si="192"/>
        <v>PND'!</v>
      </c>
      <c r="F927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27" s="7" t="s">
        <v>102</v>
      </c>
      <c r="H927" s="4">
        <f t="shared" si="195"/>
        <v>49</v>
      </c>
      <c r="I927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PND'!$BW$49</v>
      </c>
      <c r="J927" s="4" t="s">
        <v>2461</v>
      </c>
    </row>
    <row r="928" spans="1:10" x14ac:dyDescent="0.35">
      <c r="A928" s="7" t="s">
        <v>16</v>
      </c>
      <c r="B928" s="7">
        <f>+B927+1</f>
        <v>2037</v>
      </c>
      <c r="C928" s="4" t="s">
        <v>37</v>
      </c>
      <c r="D928" s="5" t="s">
        <v>2003</v>
      </c>
      <c r="E928" s="10" t="str">
        <f t="shared" si="192"/>
        <v>PND'!</v>
      </c>
      <c r="F928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28" s="7" t="s">
        <v>102</v>
      </c>
      <c r="H928" s="4">
        <f t="shared" si="195"/>
        <v>50</v>
      </c>
      <c r="I928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PND'!$BW$50</v>
      </c>
      <c r="J928" s="4" t="s">
        <v>2462</v>
      </c>
    </row>
    <row r="929" spans="1:10" x14ac:dyDescent="0.35">
      <c r="A929" s="7" t="s">
        <v>16</v>
      </c>
      <c r="B929" s="7">
        <f t="shared" ref="B929:B931" si="214">+B928+1</f>
        <v>2038</v>
      </c>
      <c r="C929" s="4" t="s">
        <v>37</v>
      </c>
      <c r="D929" s="5" t="s">
        <v>2003</v>
      </c>
      <c r="E929" s="10" t="str">
        <f t="shared" si="192"/>
        <v>PND'!</v>
      </c>
      <c r="F929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29" s="7" t="s">
        <v>102</v>
      </c>
      <c r="H929" s="4">
        <f t="shared" si="195"/>
        <v>51</v>
      </c>
      <c r="I929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PND'!$BW$51</v>
      </c>
      <c r="J929" s="4" t="s">
        <v>2463</v>
      </c>
    </row>
    <row r="930" spans="1:10" x14ac:dyDescent="0.35">
      <c r="A930" s="7" t="s">
        <v>16</v>
      </c>
      <c r="B930" s="7">
        <f t="shared" si="214"/>
        <v>2039</v>
      </c>
      <c r="C930" s="4" t="s">
        <v>37</v>
      </c>
      <c r="D930" s="5" t="s">
        <v>2003</v>
      </c>
      <c r="E930" s="10" t="str">
        <f t="shared" si="192"/>
        <v>PND'!</v>
      </c>
      <c r="F930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30" s="7" t="s">
        <v>102</v>
      </c>
      <c r="H930" s="4">
        <f t="shared" si="195"/>
        <v>52</v>
      </c>
      <c r="I930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PND'!$BW$52</v>
      </c>
      <c r="J930" s="4" t="s">
        <v>2464</v>
      </c>
    </row>
    <row r="931" spans="1:10" x14ac:dyDescent="0.35">
      <c r="A931" s="7" t="s">
        <v>16</v>
      </c>
      <c r="B931" s="7">
        <f t="shared" si="214"/>
        <v>2040</v>
      </c>
      <c r="C931" s="4" t="s">
        <v>37</v>
      </c>
      <c r="D931" s="5" t="s">
        <v>2003</v>
      </c>
      <c r="E931" s="10" t="str">
        <f t="shared" si="192"/>
        <v>PND'!</v>
      </c>
      <c r="F931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31" s="7" t="s">
        <v>102</v>
      </c>
      <c r="H931" s="4">
        <f t="shared" si="195"/>
        <v>53</v>
      </c>
      <c r="I931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PND'!$BW$53</v>
      </c>
      <c r="J931" s="4" t="s">
        <v>2465</v>
      </c>
    </row>
    <row r="932" spans="1:10" x14ac:dyDescent="0.35">
      <c r="A932" s="7" t="s">
        <v>16</v>
      </c>
      <c r="B932" s="7">
        <f>+B931+1</f>
        <v>2041</v>
      </c>
      <c r="C932" s="4" t="s">
        <v>37</v>
      </c>
      <c r="D932" s="5" t="s">
        <v>2003</v>
      </c>
      <c r="E932" s="10" t="str">
        <f t="shared" si="192"/>
        <v>PND'!</v>
      </c>
      <c r="F932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32" s="7" t="s">
        <v>102</v>
      </c>
      <c r="H932" s="4">
        <f t="shared" si="195"/>
        <v>54</v>
      </c>
      <c r="I932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PND'!$BW$54</v>
      </c>
      <c r="J932" s="4" t="s">
        <v>2466</v>
      </c>
    </row>
    <row r="933" spans="1:10" x14ac:dyDescent="0.35">
      <c r="A933" s="7" t="s">
        <v>16</v>
      </c>
      <c r="B933" s="7">
        <f t="shared" ref="B933:B934" si="215">+B932+1</f>
        <v>2042</v>
      </c>
      <c r="C933" s="4" t="s">
        <v>37</v>
      </c>
      <c r="D933" s="5" t="s">
        <v>2003</v>
      </c>
      <c r="E933" s="10" t="str">
        <f t="shared" ref="E933:E1238" si="216">_xlfn.CONCAT(A933,"'!")</f>
        <v>PND'!</v>
      </c>
      <c r="F933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33" s="7" t="s">
        <v>102</v>
      </c>
      <c r="H933" s="4">
        <f t="shared" si="195"/>
        <v>55</v>
      </c>
      <c r="I933" s="4" t="str">
        <f t="shared" ref="I933:I1238" si="217">_xlfn.CONCAT("='",F933:H933)</f>
        <v>='C:\Users\jaime.benazar\Quorum Business Solutions\Ecopetrol Prometeo - Documents\Planning Space Implementation\3. Analysis &amp; Design\Design\FC22\DRR Jaime\Por presentar a ECP\Cantagallo\Cristalina\[VRC_CRISTALINA_CF_SEC_20221231.xlsx]CF PND'!$BW$55</v>
      </c>
      <c r="J933" s="4" t="s">
        <v>2467</v>
      </c>
    </row>
    <row r="934" spans="1:10" x14ac:dyDescent="0.35">
      <c r="A934" s="7" t="s">
        <v>16</v>
      </c>
      <c r="B934" s="7">
        <f t="shared" si="215"/>
        <v>2043</v>
      </c>
      <c r="C934" s="4" t="s">
        <v>37</v>
      </c>
      <c r="D934" s="5" t="s">
        <v>2003</v>
      </c>
      <c r="E934" s="10" t="str">
        <f t="shared" si="216"/>
        <v>PND'!</v>
      </c>
      <c r="F934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34" s="7" t="s">
        <v>102</v>
      </c>
      <c r="H934" s="4">
        <f t="shared" ref="H934:H1238" si="218">IF(A934&lt;&gt;A933,36,H933+1)</f>
        <v>56</v>
      </c>
      <c r="I934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PND'!$BW$56</v>
      </c>
      <c r="J934" s="4" t="s">
        <v>2468</v>
      </c>
    </row>
    <row r="935" spans="1:10" x14ac:dyDescent="0.35">
      <c r="A935" s="7" t="s">
        <v>16</v>
      </c>
      <c r="B935" s="7">
        <f>+B934+1</f>
        <v>2044</v>
      </c>
      <c r="C935" s="4" t="s">
        <v>37</v>
      </c>
      <c r="D935" s="5" t="s">
        <v>2003</v>
      </c>
      <c r="E935" s="10" t="str">
        <f t="shared" ref="E935:E950" si="219">_xlfn.CONCAT(A935,"'!")</f>
        <v>PND'!</v>
      </c>
      <c r="F935" s="5" t="str">
        <f t="shared" ref="F935:F950" si="220">_xlfn.CONCAT(D935," ",E935)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35" s="7" t="s">
        <v>102</v>
      </c>
      <c r="H935" s="4">
        <f t="shared" ref="H935:H950" si="221">IF(A935&lt;&gt;A934,36,H934+1)</f>
        <v>57</v>
      </c>
      <c r="I935" s="4" t="str">
        <f t="shared" ref="I935:I950" si="222">_xlfn.CONCAT("='",F935:H935)</f>
        <v>='C:\Users\jaime.benazar\Quorum Business Solutions\Ecopetrol Prometeo - Documents\Planning Space Implementation\3. Analysis &amp; Design\Design\FC22\DRR Jaime\Por presentar a ECP\Cantagallo\Cristalina\[VRC_CRISTALINA_CF_SEC_20221231.xlsx]CF PND'!$BW$57</v>
      </c>
      <c r="J935" s="4" t="s">
        <v>2469</v>
      </c>
    </row>
    <row r="936" spans="1:10" x14ac:dyDescent="0.35">
      <c r="A936" s="7" t="s">
        <v>16</v>
      </c>
      <c r="B936" s="7">
        <f t="shared" ref="B936:B950" si="223">+B935+1</f>
        <v>2045</v>
      </c>
      <c r="C936" s="4" t="s">
        <v>37</v>
      </c>
      <c r="D936" s="5" t="s">
        <v>2003</v>
      </c>
      <c r="E936" s="10" t="str">
        <f t="shared" si="219"/>
        <v>PND'!</v>
      </c>
      <c r="F936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36" s="7" t="s">
        <v>102</v>
      </c>
      <c r="H936" s="4">
        <f t="shared" si="221"/>
        <v>58</v>
      </c>
      <c r="I936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PND'!$BW$58</v>
      </c>
      <c r="J936" s="4" t="s">
        <v>2470</v>
      </c>
    </row>
    <row r="937" spans="1:10" x14ac:dyDescent="0.35">
      <c r="A937" s="7" t="s">
        <v>16</v>
      </c>
      <c r="B937" s="7">
        <f t="shared" si="223"/>
        <v>2046</v>
      </c>
      <c r="C937" s="4" t="s">
        <v>37</v>
      </c>
      <c r="D937" s="5" t="s">
        <v>2003</v>
      </c>
      <c r="E937" s="10" t="str">
        <f t="shared" si="219"/>
        <v>PND'!</v>
      </c>
      <c r="F937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37" s="7" t="s">
        <v>102</v>
      </c>
      <c r="H937" s="4">
        <f t="shared" si="221"/>
        <v>59</v>
      </c>
      <c r="I937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PND'!$BW$59</v>
      </c>
      <c r="J937" s="4" t="s">
        <v>2471</v>
      </c>
    </row>
    <row r="938" spans="1:10" x14ac:dyDescent="0.35">
      <c r="A938" s="7" t="s">
        <v>16</v>
      </c>
      <c r="B938" s="7">
        <f t="shared" si="223"/>
        <v>2047</v>
      </c>
      <c r="C938" s="4" t="s">
        <v>37</v>
      </c>
      <c r="D938" s="5" t="s">
        <v>2003</v>
      </c>
      <c r="E938" s="10" t="str">
        <f t="shared" si="219"/>
        <v>PND'!</v>
      </c>
      <c r="F938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38" s="7" t="s">
        <v>102</v>
      </c>
      <c r="H938" s="4">
        <f t="shared" si="221"/>
        <v>60</v>
      </c>
      <c r="I938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PND'!$BW$60</v>
      </c>
      <c r="J938" s="4" t="s">
        <v>2472</v>
      </c>
    </row>
    <row r="939" spans="1:10" x14ac:dyDescent="0.35">
      <c r="A939" s="7" t="s">
        <v>16</v>
      </c>
      <c r="B939" s="7">
        <f t="shared" si="223"/>
        <v>2048</v>
      </c>
      <c r="C939" s="4" t="s">
        <v>37</v>
      </c>
      <c r="D939" s="5" t="s">
        <v>2003</v>
      </c>
      <c r="E939" s="10" t="str">
        <f t="shared" si="219"/>
        <v>PND'!</v>
      </c>
      <c r="F939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39" s="7" t="s">
        <v>102</v>
      </c>
      <c r="H939" s="4">
        <f t="shared" si="221"/>
        <v>61</v>
      </c>
      <c r="I939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PND'!$BW$61</v>
      </c>
      <c r="J939" s="4" t="s">
        <v>2473</v>
      </c>
    </row>
    <row r="940" spans="1:10" x14ac:dyDescent="0.35">
      <c r="A940" s="7" t="s">
        <v>16</v>
      </c>
      <c r="B940" s="7">
        <f t="shared" si="223"/>
        <v>2049</v>
      </c>
      <c r="C940" s="4" t="s">
        <v>37</v>
      </c>
      <c r="D940" s="5" t="s">
        <v>2003</v>
      </c>
      <c r="E940" s="10" t="str">
        <f t="shared" si="219"/>
        <v>PND'!</v>
      </c>
      <c r="F940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40" s="7" t="s">
        <v>102</v>
      </c>
      <c r="H940" s="4">
        <f t="shared" si="221"/>
        <v>62</v>
      </c>
      <c r="I940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PND'!$BW$62</v>
      </c>
      <c r="J940" s="4" t="s">
        <v>2474</v>
      </c>
    </row>
    <row r="941" spans="1:10" x14ac:dyDescent="0.35">
      <c r="A941" s="7" t="s">
        <v>16</v>
      </c>
      <c r="B941" s="7">
        <f t="shared" si="223"/>
        <v>2050</v>
      </c>
      <c r="C941" s="4" t="s">
        <v>37</v>
      </c>
      <c r="D941" s="5" t="s">
        <v>2003</v>
      </c>
      <c r="E941" s="10" t="str">
        <f t="shared" si="219"/>
        <v>PND'!</v>
      </c>
      <c r="F941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41" s="7" t="s">
        <v>102</v>
      </c>
      <c r="H941" s="4">
        <f t="shared" si="221"/>
        <v>63</v>
      </c>
      <c r="I941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PND'!$BW$63</v>
      </c>
      <c r="J941" s="4" t="s">
        <v>2475</v>
      </c>
    </row>
    <row r="942" spans="1:10" x14ac:dyDescent="0.35">
      <c r="A942" s="7" t="s">
        <v>16</v>
      </c>
      <c r="B942" s="7">
        <f t="shared" si="223"/>
        <v>2051</v>
      </c>
      <c r="C942" s="4" t="s">
        <v>37</v>
      </c>
      <c r="D942" s="5" t="s">
        <v>2003</v>
      </c>
      <c r="E942" s="10" t="str">
        <f t="shared" si="219"/>
        <v>PND'!</v>
      </c>
      <c r="F942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42" s="7" t="s">
        <v>102</v>
      </c>
      <c r="H942" s="4">
        <f t="shared" si="221"/>
        <v>64</v>
      </c>
      <c r="I942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PND'!$BW$64</v>
      </c>
      <c r="J942" s="4" t="s">
        <v>2476</v>
      </c>
    </row>
    <row r="943" spans="1:10" x14ac:dyDescent="0.35">
      <c r="A943" s="7" t="s">
        <v>16</v>
      </c>
      <c r="B943" s="7">
        <f t="shared" si="223"/>
        <v>2052</v>
      </c>
      <c r="C943" s="4" t="s">
        <v>37</v>
      </c>
      <c r="D943" s="5" t="s">
        <v>2003</v>
      </c>
      <c r="E943" s="10" t="str">
        <f t="shared" si="219"/>
        <v>PND'!</v>
      </c>
      <c r="F943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43" s="7" t="s">
        <v>102</v>
      </c>
      <c r="H943" s="4">
        <f t="shared" si="221"/>
        <v>65</v>
      </c>
      <c r="I943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PND'!$BW$65</v>
      </c>
      <c r="J943" s="4" t="s">
        <v>2477</v>
      </c>
    </row>
    <row r="944" spans="1:10" x14ac:dyDescent="0.35">
      <c r="A944" s="7" t="s">
        <v>16</v>
      </c>
      <c r="B944" s="7">
        <f t="shared" si="223"/>
        <v>2053</v>
      </c>
      <c r="C944" s="4" t="s">
        <v>37</v>
      </c>
      <c r="D944" s="5" t="s">
        <v>2003</v>
      </c>
      <c r="E944" s="10" t="str">
        <f t="shared" si="219"/>
        <v>PND'!</v>
      </c>
      <c r="F944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44" s="7" t="s">
        <v>102</v>
      </c>
      <c r="H944" s="4">
        <f t="shared" si="221"/>
        <v>66</v>
      </c>
      <c r="I944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PND'!$BW$66</v>
      </c>
      <c r="J944" s="4" t="s">
        <v>2478</v>
      </c>
    </row>
    <row r="945" spans="1:10" x14ac:dyDescent="0.35">
      <c r="A945" s="7" t="s">
        <v>16</v>
      </c>
      <c r="B945" s="7">
        <f t="shared" si="223"/>
        <v>2054</v>
      </c>
      <c r="C945" s="4" t="s">
        <v>37</v>
      </c>
      <c r="D945" s="5" t="s">
        <v>2003</v>
      </c>
      <c r="E945" s="10" t="str">
        <f t="shared" si="219"/>
        <v>PND'!</v>
      </c>
      <c r="F945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45" s="7" t="s">
        <v>102</v>
      </c>
      <c r="H945" s="4">
        <f t="shared" si="221"/>
        <v>67</v>
      </c>
      <c r="I945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PND'!$BW$67</v>
      </c>
      <c r="J945" s="4" t="s">
        <v>2479</v>
      </c>
    </row>
    <row r="946" spans="1:10" x14ac:dyDescent="0.35">
      <c r="A946" s="7" t="s">
        <v>16</v>
      </c>
      <c r="B946" s="7">
        <f t="shared" si="223"/>
        <v>2055</v>
      </c>
      <c r="C946" s="4" t="s">
        <v>37</v>
      </c>
      <c r="D946" s="5" t="s">
        <v>2003</v>
      </c>
      <c r="E946" s="10" t="str">
        <f t="shared" si="219"/>
        <v>PND'!</v>
      </c>
      <c r="F946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46" s="7" t="s">
        <v>102</v>
      </c>
      <c r="H946" s="4">
        <f t="shared" si="221"/>
        <v>68</v>
      </c>
      <c r="I946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PND'!$BW$68</v>
      </c>
      <c r="J946" s="4" t="s">
        <v>2480</v>
      </c>
    </row>
    <row r="947" spans="1:10" x14ac:dyDescent="0.35">
      <c r="A947" s="7" t="s">
        <v>16</v>
      </c>
      <c r="B947" s="7">
        <f t="shared" si="223"/>
        <v>2056</v>
      </c>
      <c r="C947" s="4" t="s">
        <v>37</v>
      </c>
      <c r="D947" s="5" t="s">
        <v>2003</v>
      </c>
      <c r="E947" s="10" t="str">
        <f t="shared" si="219"/>
        <v>PND'!</v>
      </c>
      <c r="F947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47" s="7" t="s">
        <v>102</v>
      </c>
      <c r="H947" s="4">
        <f t="shared" si="221"/>
        <v>69</v>
      </c>
      <c r="I947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PND'!$BW$69</v>
      </c>
      <c r="J947" s="4" t="s">
        <v>2481</v>
      </c>
    </row>
    <row r="948" spans="1:10" x14ac:dyDescent="0.35">
      <c r="A948" s="7" t="s">
        <v>16</v>
      </c>
      <c r="B948" s="7">
        <f t="shared" si="223"/>
        <v>2057</v>
      </c>
      <c r="C948" s="4" t="s">
        <v>37</v>
      </c>
      <c r="D948" s="5" t="s">
        <v>2003</v>
      </c>
      <c r="E948" s="10" t="str">
        <f t="shared" si="219"/>
        <v>PND'!</v>
      </c>
      <c r="F948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48" s="7" t="s">
        <v>102</v>
      </c>
      <c r="H948" s="4">
        <f t="shared" si="221"/>
        <v>70</v>
      </c>
      <c r="I948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PND'!$BW$70</v>
      </c>
      <c r="J948" s="4" t="s">
        <v>2482</v>
      </c>
    </row>
    <row r="949" spans="1:10" x14ac:dyDescent="0.35">
      <c r="A949" s="7" t="s">
        <v>16</v>
      </c>
      <c r="B949" s="7">
        <f t="shared" si="223"/>
        <v>2058</v>
      </c>
      <c r="C949" s="4" t="s">
        <v>37</v>
      </c>
      <c r="D949" s="5" t="s">
        <v>2003</v>
      </c>
      <c r="E949" s="10" t="str">
        <f t="shared" si="219"/>
        <v>PND'!</v>
      </c>
      <c r="F949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49" s="7" t="s">
        <v>102</v>
      </c>
      <c r="H949" s="4">
        <f t="shared" si="221"/>
        <v>71</v>
      </c>
      <c r="I949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PND'!$BW$71</v>
      </c>
      <c r="J949" s="4" t="s">
        <v>2483</v>
      </c>
    </row>
    <row r="950" spans="1:10" x14ac:dyDescent="0.35">
      <c r="A950" s="7" t="s">
        <v>16</v>
      </c>
      <c r="B950" s="7">
        <f t="shared" si="223"/>
        <v>2059</v>
      </c>
      <c r="C950" s="4" t="s">
        <v>37</v>
      </c>
      <c r="D950" s="5" t="s">
        <v>2003</v>
      </c>
      <c r="E950" s="10" t="str">
        <f t="shared" si="219"/>
        <v>PND'!</v>
      </c>
      <c r="F950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50" s="7" t="s">
        <v>102</v>
      </c>
      <c r="H950" s="4">
        <f t="shared" si="221"/>
        <v>72</v>
      </c>
      <c r="I950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PND'!$BW$72</v>
      </c>
      <c r="J950" s="4" t="s">
        <v>2484</v>
      </c>
    </row>
    <row r="951" spans="1:10" x14ac:dyDescent="0.35">
      <c r="A951" s="7" t="s">
        <v>26</v>
      </c>
      <c r="B951" s="7"/>
      <c r="C951" s="4" t="s">
        <v>37</v>
      </c>
      <c r="D951" s="5"/>
      <c r="E951" s="10"/>
      <c r="F951" s="5" t="str">
        <f t="shared" si="212"/>
        <v xml:space="preserve"> </v>
      </c>
      <c r="G951" s="7"/>
      <c r="H951" s="4"/>
      <c r="I951" s="4"/>
      <c r="J951" s="4"/>
    </row>
    <row r="952" spans="1:10" x14ac:dyDescent="0.35">
      <c r="A952" s="7" t="s">
        <v>17</v>
      </c>
      <c r="B952" s="7">
        <v>2023</v>
      </c>
      <c r="C952" s="4" t="s">
        <v>37</v>
      </c>
      <c r="D952" s="5" t="s">
        <v>2003</v>
      </c>
      <c r="E952" s="10" t="str">
        <f t="shared" ref="E952:E972" si="224">_xlfn.CONCAT(A952,"'!")</f>
        <v>PRBDP'!</v>
      </c>
      <c r="F952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52" s="7" t="s">
        <v>102</v>
      </c>
      <c r="H952" s="4"/>
      <c r="I952" s="4"/>
      <c r="J952" s="4"/>
    </row>
    <row r="953" spans="1:10" x14ac:dyDescent="0.35">
      <c r="A953" s="7" t="s">
        <v>17</v>
      </c>
      <c r="B953" s="7">
        <f>+B952+1</f>
        <v>2024</v>
      </c>
      <c r="C953" s="4" t="s">
        <v>37</v>
      </c>
      <c r="D953" s="5" t="s">
        <v>2003</v>
      </c>
      <c r="E953" s="10" t="str">
        <f t="shared" si="224"/>
        <v>PRBDP'!</v>
      </c>
      <c r="F953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53" s="7" t="s">
        <v>102</v>
      </c>
      <c r="H953" s="4"/>
      <c r="I953" s="4"/>
      <c r="J953" s="4"/>
    </row>
    <row r="954" spans="1:10" x14ac:dyDescent="0.35">
      <c r="A954" s="7" t="s">
        <v>17</v>
      </c>
      <c r="B954" s="7">
        <f t="shared" ref="B954:B965" si="225">+B953+1</f>
        <v>2025</v>
      </c>
      <c r="C954" s="4" t="s">
        <v>37</v>
      </c>
      <c r="D954" s="5" t="s">
        <v>2003</v>
      </c>
      <c r="E954" s="10" t="str">
        <f t="shared" si="224"/>
        <v>PRBDP'!</v>
      </c>
      <c r="F954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54" s="7" t="s">
        <v>102</v>
      </c>
      <c r="H954" s="4"/>
      <c r="I954" s="4"/>
      <c r="J954" s="4"/>
    </row>
    <row r="955" spans="1:10" x14ac:dyDescent="0.35">
      <c r="A955" s="7" t="s">
        <v>17</v>
      </c>
      <c r="B955" s="7">
        <f t="shared" si="225"/>
        <v>2026</v>
      </c>
      <c r="C955" s="4" t="s">
        <v>37</v>
      </c>
      <c r="D955" s="5" t="s">
        <v>2003</v>
      </c>
      <c r="E955" s="10" t="str">
        <f t="shared" si="224"/>
        <v>PRBDP'!</v>
      </c>
      <c r="F955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55" s="7" t="s">
        <v>102</v>
      </c>
      <c r="H955" s="4"/>
      <c r="I955" s="4"/>
      <c r="J955" s="4"/>
    </row>
    <row r="956" spans="1:10" x14ac:dyDescent="0.35">
      <c r="A956" s="7" t="s">
        <v>17</v>
      </c>
      <c r="B956" s="7">
        <f t="shared" si="225"/>
        <v>2027</v>
      </c>
      <c r="C956" s="4" t="s">
        <v>37</v>
      </c>
      <c r="D956" s="5" t="s">
        <v>2003</v>
      </c>
      <c r="E956" s="10" t="str">
        <f t="shared" si="224"/>
        <v>PRBDP'!</v>
      </c>
      <c r="F956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56" s="7" t="s">
        <v>102</v>
      </c>
      <c r="H956" s="4"/>
      <c r="I956" s="4"/>
      <c r="J956" s="4"/>
    </row>
    <row r="957" spans="1:10" x14ac:dyDescent="0.35">
      <c r="A957" s="7" t="s">
        <v>17</v>
      </c>
      <c r="B957" s="7">
        <f t="shared" si="225"/>
        <v>2028</v>
      </c>
      <c r="C957" s="4" t="s">
        <v>37</v>
      </c>
      <c r="D957" s="5" t="s">
        <v>2003</v>
      </c>
      <c r="E957" s="10" t="str">
        <f t="shared" si="224"/>
        <v>PRBDP'!</v>
      </c>
      <c r="F957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57" s="7" t="s">
        <v>102</v>
      </c>
      <c r="H957" s="4"/>
      <c r="I957" s="4"/>
      <c r="J957" s="4"/>
    </row>
    <row r="958" spans="1:10" x14ac:dyDescent="0.35">
      <c r="A958" s="7" t="s">
        <v>17</v>
      </c>
      <c r="B958" s="7">
        <f t="shared" si="225"/>
        <v>2029</v>
      </c>
      <c r="C958" s="4" t="s">
        <v>37</v>
      </c>
      <c r="D958" s="5" t="s">
        <v>2003</v>
      </c>
      <c r="E958" s="10" t="str">
        <f t="shared" si="224"/>
        <v>PRBDP'!</v>
      </c>
      <c r="F958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58" s="7" t="s">
        <v>102</v>
      </c>
      <c r="H958" s="4"/>
      <c r="I958" s="4"/>
      <c r="J958" s="4"/>
    </row>
    <row r="959" spans="1:10" x14ac:dyDescent="0.35">
      <c r="A959" s="7" t="s">
        <v>17</v>
      </c>
      <c r="B959" s="7">
        <f t="shared" si="225"/>
        <v>2030</v>
      </c>
      <c r="C959" s="4" t="s">
        <v>37</v>
      </c>
      <c r="D959" s="5" t="s">
        <v>2003</v>
      </c>
      <c r="E959" s="10" t="str">
        <f t="shared" si="224"/>
        <v>PRBDP'!</v>
      </c>
      <c r="F959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59" s="7" t="s">
        <v>102</v>
      </c>
      <c r="H959" s="4"/>
      <c r="I959" s="4"/>
      <c r="J959" s="4"/>
    </row>
    <row r="960" spans="1:10" x14ac:dyDescent="0.35">
      <c r="A960" s="7" t="s">
        <v>17</v>
      </c>
      <c r="B960" s="7">
        <f t="shared" si="225"/>
        <v>2031</v>
      </c>
      <c r="C960" s="4" t="s">
        <v>37</v>
      </c>
      <c r="D960" s="5" t="s">
        <v>2003</v>
      </c>
      <c r="E960" s="10" t="str">
        <f t="shared" si="224"/>
        <v>PRBDP'!</v>
      </c>
      <c r="F960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60" s="7" t="s">
        <v>102</v>
      </c>
      <c r="H960" s="4"/>
      <c r="I960" s="4"/>
      <c r="J960" s="4"/>
    </row>
    <row r="961" spans="1:10" x14ac:dyDescent="0.35">
      <c r="A961" s="7" t="s">
        <v>17</v>
      </c>
      <c r="B961" s="7">
        <f t="shared" si="225"/>
        <v>2032</v>
      </c>
      <c r="C961" s="4" t="s">
        <v>37</v>
      </c>
      <c r="D961" s="5" t="s">
        <v>2003</v>
      </c>
      <c r="E961" s="10" t="str">
        <f t="shared" si="224"/>
        <v>PRBDP'!</v>
      </c>
      <c r="F961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61" s="7" t="s">
        <v>102</v>
      </c>
      <c r="H961" s="4"/>
      <c r="I961" s="4"/>
      <c r="J961" s="4"/>
    </row>
    <row r="962" spans="1:10" x14ac:dyDescent="0.35">
      <c r="A962" s="7" t="s">
        <v>17</v>
      </c>
      <c r="B962" s="7">
        <f t="shared" si="225"/>
        <v>2033</v>
      </c>
      <c r="C962" s="4" t="s">
        <v>37</v>
      </c>
      <c r="D962" s="5" t="s">
        <v>2003</v>
      </c>
      <c r="E962" s="10" t="str">
        <f t="shared" si="224"/>
        <v>PRBDP'!</v>
      </c>
      <c r="F962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62" s="7" t="s">
        <v>102</v>
      </c>
      <c r="H962" s="4"/>
      <c r="I962" s="4"/>
      <c r="J962" s="4"/>
    </row>
    <row r="963" spans="1:10" x14ac:dyDescent="0.35">
      <c r="A963" s="7" t="s">
        <v>17</v>
      </c>
      <c r="B963" s="7">
        <f t="shared" si="225"/>
        <v>2034</v>
      </c>
      <c r="C963" s="4" t="s">
        <v>37</v>
      </c>
      <c r="D963" s="5" t="s">
        <v>2003</v>
      </c>
      <c r="E963" s="10" t="str">
        <f t="shared" si="224"/>
        <v>PRBDP'!</v>
      </c>
      <c r="F963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63" s="7" t="s">
        <v>102</v>
      </c>
      <c r="H963" s="4"/>
      <c r="I963" s="4"/>
      <c r="J963" s="4"/>
    </row>
    <row r="964" spans="1:10" x14ac:dyDescent="0.35">
      <c r="A964" s="7" t="s">
        <v>17</v>
      </c>
      <c r="B964" s="7">
        <f t="shared" si="225"/>
        <v>2035</v>
      </c>
      <c r="C964" s="4" t="s">
        <v>37</v>
      </c>
      <c r="D964" s="5" t="s">
        <v>2003</v>
      </c>
      <c r="E964" s="10" t="str">
        <f t="shared" si="224"/>
        <v>PRBDP'!</v>
      </c>
      <c r="F964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64" s="7" t="s">
        <v>102</v>
      </c>
      <c r="H964" s="4"/>
      <c r="I964" s="4"/>
      <c r="J964" s="4"/>
    </row>
    <row r="965" spans="1:10" x14ac:dyDescent="0.35">
      <c r="A965" s="7" t="s">
        <v>17</v>
      </c>
      <c r="B965" s="7">
        <f t="shared" si="225"/>
        <v>2036</v>
      </c>
      <c r="C965" s="4" t="s">
        <v>37</v>
      </c>
      <c r="D965" s="5" t="s">
        <v>2003</v>
      </c>
      <c r="E965" s="10" t="str">
        <f t="shared" si="224"/>
        <v>PRBDP'!</v>
      </c>
      <c r="F965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65" s="7" t="s">
        <v>102</v>
      </c>
      <c r="H965" s="4"/>
      <c r="I965" s="4"/>
      <c r="J965" s="4"/>
    </row>
    <row r="966" spans="1:10" x14ac:dyDescent="0.35">
      <c r="A966" s="7" t="s">
        <v>17</v>
      </c>
      <c r="B966" s="7">
        <f>+B965+1</f>
        <v>2037</v>
      </c>
      <c r="C966" s="4" t="s">
        <v>37</v>
      </c>
      <c r="D966" s="5" t="s">
        <v>2003</v>
      </c>
      <c r="E966" s="10" t="str">
        <f t="shared" si="224"/>
        <v>PRBDP'!</v>
      </c>
      <c r="F966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66" s="7" t="s">
        <v>102</v>
      </c>
      <c r="H966" s="4"/>
      <c r="I966" s="4"/>
      <c r="J966" s="4"/>
    </row>
    <row r="967" spans="1:10" x14ac:dyDescent="0.35">
      <c r="A967" s="7" t="s">
        <v>17</v>
      </c>
      <c r="B967" s="7">
        <f t="shared" ref="B967:B969" si="226">+B966+1</f>
        <v>2038</v>
      </c>
      <c r="C967" s="4" t="s">
        <v>37</v>
      </c>
      <c r="D967" s="5" t="s">
        <v>2003</v>
      </c>
      <c r="E967" s="10" t="str">
        <f t="shared" si="224"/>
        <v>PRBDP'!</v>
      </c>
      <c r="F967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67" s="7" t="s">
        <v>102</v>
      </c>
      <c r="H967" s="4"/>
      <c r="I967" s="4"/>
      <c r="J967" s="4"/>
    </row>
    <row r="968" spans="1:10" x14ac:dyDescent="0.35">
      <c r="A968" s="7" t="s">
        <v>17</v>
      </c>
      <c r="B968" s="7">
        <f t="shared" si="226"/>
        <v>2039</v>
      </c>
      <c r="C968" s="4" t="s">
        <v>37</v>
      </c>
      <c r="D968" s="5" t="s">
        <v>2003</v>
      </c>
      <c r="E968" s="10" t="str">
        <f t="shared" si="224"/>
        <v>PRBDP'!</v>
      </c>
      <c r="F968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68" s="7" t="s">
        <v>102</v>
      </c>
      <c r="H968" s="4"/>
      <c r="I968" s="4"/>
      <c r="J968" s="4"/>
    </row>
    <row r="969" spans="1:10" x14ac:dyDescent="0.35">
      <c r="A969" s="7" t="s">
        <v>17</v>
      </c>
      <c r="B969" s="7">
        <f t="shared" si="226"/>
        <v>2040</v>
      </c>
      <c r="C969" s="4" t="s">
        <v>37</v>
      </c>
      <c r="D969" s="5" t="s">
        <v>2003</v>
      </c>
      <c r="E969" s="10" t="str">
        <f t="shared" si="224"/>
        <v>PRBDP'!</v>
      </c>
      <c r="F969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69" s="7" t="s">
        <v>102</v>
      </c>
      <c r="H969" s="4"/>
      <c r="I969" s="4"/>
      <c r="J969" s="4"/>
    </row>
    <row r="970" spans="1:10" x14ac:dyDescent="0.35">
      <c r="A970" s="7" t="s">
        <v>17</v>
      </c>
      <c r="B970" s="7">
        <f>+B969+1</f>
        <v>2041</v>
      </c>
      <c r="C970" s="4" t="s">
        <v>37</v>
      </c>
      <c r="D970" s="5" t="s">
        <v>2003</v>
      </c>
      <c r="E970" s="10" t="str">
        <f t="shared" si="224"/>
        <v>PRBDP'!</v>
      </c>
      <c r="F970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70" s="7" t="s">
        <v>102</v>
      </c>
      <c r="H970" s="4"/>
      <c r="I970" s="4"/>
      <c r="J970" s="4"/>
    </row>
    <row r="971" spans="1:10" x14ac:dyDescent="0.35">
      <c r="A971" s="7" t="s">
        <v>17</v>
      </c>
      <c r="B971" s="7">
        <f t="shared" ref="B971:B972" si="227">+B970+1</f>
        <v>2042</v>
      </c>
      <c r="C971" s="4" t="s">
        <v>37</v>
      </c>
      <c r="D971" s="5" t="s">
        <v>2003</v>
      </c>
      <c r="E971" s="10" t="str">
        <f t="shared" si="224"/>
        <v>PRBDP'!</v>
      </c>
      <c r="F971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71" s="7" t="s">
        <v>102</v>
      </c>
      <c r="H971" s="4"/>
      <c r="I971" s="4"/>
      <c r="J971" s="4"/>
    </row>
    <row r="972" spans="1:10" x14ac:dyDescent="0.35">
      <c r="A972" s="7" t="s">
        <v>17</v>
      </c>
      <c r="B972" s="7">
        <f t="shared" si="227"/>
        <v>2043</v>
      </c>
      <c r="C972" s="4" t="s">
        <v>37</v>
      </c>
      <c r="D972" s="5" t="s">
        <v>2003</v>
      </c>
      <c r="E972" s="10" t="str">
        <f t="shared" si="224"/>
        <v>PRBDP'!</v>
      </c>
      <c r="F972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72" s="7" t="s">
        <v>102</v>
      </c>
      <c r="H972" s="4"/>
      <c r="I972" s="4"/>
      <c r="J972" s="4"/>
    </row>
    <row r="973" spans="1:10" x14ac:dyDescent="0.35">
      <c r="A973" s="7" t="s">
        <v>17</v>
      </c>
      <c r="B973" s="7">
        <f>+B972+1</f>
        <v>2044</v>
      </c>
      <c r="C973" s="4" t="s">
        <v>37</v>
      </c>
      <c r="D973" s="5" t="s">
        <v>2003</v>
      </c>
      <c r="E973" s="10" t="str">
        <f t="shared" ref="E973:E988" si="228">_xlfn.CONCAT(A973,"'!")</f>
        <v>PRBDP'!</v>
      </c>
      <c r="F973" s="5" t="str">
        <f t="shared" ref="F973:F988" si="229">_xlfn.CONCAT(D973," ",E973)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73" s="7" t="s">
        <v>102</v>
      </c>
      <c r="H973" s="4"/>
      <c r="I973" s="4"/>
      <c r="J973" s="4"/>
    </row>
    <row r="974" spans="1:10" x14ac:dyDescent="0.35">
      <c r="A974" s="7" t="s">
        <v>17</v>
      </c>
      <c r="B974" s="7">
        <f t="shared" ref="B974:B988" si="230">+B973+1</f>
        <v>2045</v>
      </c>
      <c r="C974" s="4" t="s">
        <v>37</v>
      </c>
      <c r="D974" s="5" t="s">
        <v>2003</v>
      </c>
      <c r="E974" s="10" t="str">
        <f t="shared" si="228"/>
        <v>PRBDP'!</v>
      </c>
      <c r="F974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74" s="7" t="s">
        <v>102</v>
      </c>
      <c r="H974" s="4"/>
      <c r="I974" s="4"/>
      <c r="J974" s="4"/>
    </row>
    <row r="975" spans="1:10" x14ac:dyDescent="0.35">
      <c r="A975" s="7" t="s">
        <v>17</v>
      </c>
      <c r="B975" s="7">
        <f t="shared" si="230"/>
        <v>2046</v>
      </c>
      <c r="C975" s="4" t="s">
        <v>37</v>
      </c>
      <c r="D975" s="5" t="s">
        <v>2003</v>
      </c>
      <c r="E975" s="10" t="str">
        <f t="shared" si="228"/>
        <v>PRBDP'!</v>
      </c>
      <c r="F975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75" s="7" t="s">
        <v>102</v>
      </c>
      <c r="H975" s="4"/>
      <c r="I975" s="4"/>
      <c r="J975" s="4"/>
    </row>
    <row r="976" spans="1:10" x14ac:dyDescent="0.35">
      <c r="A976" s="7" t="s">
        <v>17</v>
      </c>
      <c r="B976" s="7">
        <f t="shared" si="230"/>
        <v>2047</v>
      </c>
      <c r="C976" s="4" t="s">
        <v>37</v>
      </c>
      <c r="D976" s="5" t="s">
        <v>2003</v>
      </c>
      <c r="E976" s="10" t="str">
        <f t="shared" si="228"/>
        <v>PRBDP'!</v>
      </c>
      <c r="F976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76" s="7" t="s">
        <v>102</v>
      </c>
      <c r="H976" s="4"/>
      <c r="I976" s="4"/>
      <c r="J976" s="4"/>
    </row>
    <row r="977" spans="1:10" x14ac:dyDescent="0.35">
      <c r="A977" s="7" t="s">
        <v>17</v>
      </c>
      <c r="B977" s="7">
        <f t="shared" si="230"/>
        <v>2048</v>
      </c>
      <c r="C977" s="4" t="s">
        <v>37</v>
      </c>
      <c r="D977" s="5" t="s">
        <v>2003</v>
      </c>
      <c r="E977" s="10" t="str">
        <f t="shared" si="228"/>
        <v>PRBDP'!</v>
      </c>
      <c r="F977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77" s="7" t="s">
        <v>102</v>
      </c>
      <c r="H977" s="4"/>
      <c r="I977" s="4"/>
      <c r="J977" s="4"/>
    </row>
    <row r="978" spans="1:10" x14ac:dyDescent="0.35">
      <c r="A978" s="7" t="s">
        <v>17</v>
      </c>
      <c r="B978" s="7">
        <f t="shared" si="230"/>
        <v>2049</v>
      </c>
      <c r="C978" s="4" t="s">
        <v>37</v>
      </c>
      <c r="D978" s="5" t="s">
        <v>2003</v>
      </c>
      <c r="E978" s="10" t="str">
        <f t="shared" si="228"/>
        <v>PRBDP'!</v>
      </c>
      <c r="F978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78" s="7" t="s">
        <v>102</v>
      </c>
      <c r="H978" s="4"/>
      <c r="I978" s="4"/>
      <c r="J978" s="4"/>
    </row>
    <row r="979" spans="1:10" x14ac:dyDescent="0.35">
      <c r="A979" s="7" t="s">
        <v>17</v>
      </c>
      <c r="B979" s="7">
        <f t="shared" si="230"/>
        <v>2050</v>
      </c>
      <c r="C979" s="4" t="s">
        <v>37</v>
      </c>
      <c r="D979" s="5" t="s">
        <v>2003</v>
      </c>
      <c r="E979" s="10" t="str">
        <f t="shared" si="228"/>
        <v>PRBDP'!</v>
      </c>
      <c r="F979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79" s="7" t="s">
        <v>102</v>
      </c>
      <c r="H979" s="4"/>
      <c r="I979" s="4"/>
      <c r="J979" s="4"/>
    </row>
    <row r="980" spans="1:10" x14ac:dyDescent="0.35">
      <c r="A980" s="7" t="s">
        <v>17</v>
      </c>
      <c r="B980" s="7">
        <f t="shared" si="230"/>
        <v>2051</v>
      </c>
      <c r="C980" s="4" t="s">
        <v>37</v>
      </c>
      <c r="D980" s="5" t="s">
        <v>2003</v>
      </c>
      <c r="E980" s="10" t="str">
        <f t="shared" si="228"/>
        <v>PRBDP'!</v>
      </c>
      <c r="F980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80" s="7" t="s">
        <v>102</v>
      </c>
      <c r="H980" s="4"/>
      <c r="I980" s="4"/>
      <c r="J980" s="4"/>
    </row>
    <row r="981" spans="1:10" x14ac:dyDescent="0.35">
      <c r="A981" s="7" t="s">
        <v>17</v>
      </c>
      <c r="B981" s="7">
        <f t="shared" si="230"/>
        <v>2052</v>
      </c>
      <c r="C981" s="4" t="s">
        <v>37</v>
      </c>
      <c r="D981" s="5" t="s">
        <v>2003</v>
      </c>
      <c r="E981" s="10" t="str">
        <f t="shared" si="228"/>
        <v>PRBDP'!</v>
      </c>
      <c r="F981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81" s="7" t="s">
        <v>102</v>
      </c>
      <c r="H981" s="4"/>
      <c r="I981" s="4"/>
      <c r="J981" s="4"/>
    </row>
    <row r="982" spans="1:10" x14ac:dyDescent="0.35">
      <c r="A982" s="7" t="s">
        <v>17</v>
      </c>
      <c r="B982" s="7">
        <f t="shared" si="230"/>
        <v>2053</v>
      </c>
      <c r="C982" s="4" t="s">
        <v>37</v>
      </c>
      <c r="D982" s="5" t="s">
        <v>2003</v>
      </c>
      <c r="E982" s="10" t="str">
        <f t="shared" si="228"/>
        <v>PRBDP'!</v>
      </c>
      <c r="F982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82" s="7" t="s">
        <v>102</v>
      </c>
      <c r="H982" s="4"/>
      <c r="I982" s="4"/>
      <c r="J982" s="4"/>
    </row>
    <row r="983" spans="1:10" x14ac:dyDescent="0.35">
      <c r="A983" s="7" t="s">
        <v>17</v>
      </c>
      <c r="B983" s="7">
        <f t="shared" si="230"/>
        <v>2054</v>
      </c>
      <c r="C983" s="4" t="s">
        <v>37</v>
      </c>
      <c r="D983" s="5" t="s">
        <v>2003</v>
      </c>
      <c r="E983" s="10" t="str">
        <f t="shared" si="228"/>
        <v>PRBDP'!</v>
      </c>
      <c r="F983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83" s="7" t="s">
        <v>102</v>
      </c>
      <c r="H983" s="4"/>
      <c r="I983" s="4"/>
      <c r="J983" s="4"/>
    </row>
    <row r="984" spans="1:10" x14ac:dyDescent="0.35">
      <c r="A984" s="7" t="s">
        <v>17</v>
      </c>
      <c r="B984" s="7">
        <f t="shared" si="230"/>
        <v>2055</v>
      </c>
      <c r="C984" s="4" t="s">
        <v>37</v>
      </c>
      <c r="D984" s="5" t="s">
        <v>2003</v>
      </c>
      <c r="E984" s="10" t="str">
        <f t="shared" si="228"/>
        <v>PRBDP'!</v>
      </c>
      <c r="F984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84" s="7" t="s">
        <v>102</v>
      </c>
      <c r="H984" s="4"/>
      <c r="I984" s="4"/>
      <c r="J984" s="4"/>
    </row>
    <row r="985" spans="1:10" x14ac:dyDescent="0.35">
      <c r="A985" s="7" t="s">
        <v>17</v>
      </c>
      <c r="B985" s="7">
        <f t="shared" si="230"/>
        <v>2056</v>
      </c>
      <c r="C985" s="4" t="s">
        <v>37</v>
      </c>
      <c r="D985" s="5" t="s">
        <v>2003</v>
      </c>
      <c r="E985" s="10" t="str">
        <f t="shared" si="228"/>
        <v>PRBDP'!</v>
      </c>
      <c r="F985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85" s="7" t="s">
        <v>102</v>
      </c>
      <c r="H985" s="4"/>
      <c r="I985" s="4"/>
      <c r="J985" s="4"/>
    </row>
    <row r="986" spans="1:10" x14ac:dyDescent="0.35">
      <c r="A986" s="7" t="s">
        <v>17</v>
      </c>
      <c r="B986" s="7">
        <f t="shared" si="230"/>
        <v>2057</v>
      </c>
      <c r="C986" s="4" t="s">
        <v>37</v>
      </c>
      <c r="D986" s="5" t="s">
        <v>2003</v>
      </c>
      <c r="E986" s="10" t="str">
        <f t="shared" si="228"/>
        <v>PRBDP'!</v>
      </c>
      <c r="F986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86" s="7" t="s">
        <v>102</v>
      </c>
      <c r="H986" s="4"/>
      <c r="I986" s="4"/>
      <c r="J986" s="4"/>
    </row>
    <row r="987" spans="1:10" x14ac:dyDescent="0.35">
      <c r="A987" s="7" t="s">
        <v>17</v>
      </c>
      <c r="B987" s="7">
        <f t="shared" si="230"/>
        <v>2058</v>
      </c>
      <c r="C987" s="4" t="s">
        <v>37</v>
      </c>
      <c r="D987" s="5" t="s">
        <v>2003</v>
      </c>
      <c r="E987" s="10" t="str">
        <f t="shared" si="228"/>
        <v>PRBDP'!</v>
      </c>
      <c r="F987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87" s="7" t="s">
        <v>102</v>
      </c>
      <c r="H987" s="4"/>
      <c r="I987" s="4"/>
      <c r="J987" s="4"/>
    </row>
    <row r="988" spans="1:10" x14ac:dyDescent="0.35">
      <c r="A988" s="7" t="s">
        <v>17</v>
      </c>
      <c r="B988" s="7">
        <f t="shared" si="230"/>
        <v>2059</v>
      </c>
      <c r="C988" s="4" t="s">
        <v>37</v>
      </c>
      <c r="D988" s="5" t="s">
        <v>2003</v>
      </c>
      <c r="E988" s="10" t="str">
        <f t="shared" si="228"/>
        <v>PRBDP'!</v>
      </c>
      <c r="F988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88" s="7" t="s">
        <v>102</v>
      </c>
      <c r="H988" s="4"/>
      <c r="I988" s="4"/>
      <c r="J988" s="4"/>
    </row>
    <row r="989" spans="1:10" x14ac:dyDescent="0.35">
      <c r="A989" s="7" t="s">
        <v>26</v>
      </c>
      <c r="B989" s="7"/>
      <c r="C989" s="4" t="s">
        <v>37</v>
      </c>
      <c r="D989" s="5"/>
      <c r="E989" s="10"/>
      <c r="F989" s="5" t="str">
        <f t="shared" si="212"/>
        <v xml:space="preserve"> </v>
      </c>
      <c r="G989" s="7"/>
      <c r="H989" s="4"/>
      <c r="I989" s="4"/>
      <c r="J989" s="4"/>
    </row>
    <row r="990" spans="1:10" x14ac:dyDescent="0.35">
      <c r="A990" s="7" t="s">
        <v>18</v>
      </c>
      <c r="B990" s="7">
        <v>2023</v>
      </c>
      <c r="C990" s="4" t="s">
        <v>37</v>
      </c>
      <c r="D990" s="5" t="s">
        <v>2003</v>
      </c>
      <c r="E990" s="10" t="str">
        <f t="shared" ref="E990:E1010" si="231">_xlfn.CONCAT(A990,"'!")</f>
        <v>PRBNP'!</v>
      </c>
      <c r="F990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990" s="7" t="s">
        <v>102</v>
      </c>
      <c r="H990" s="4"/>
      <c r="I990" s="4"/>
      <c r="J990" s="4"/>
    </row>
    <row r="991" spans="1:10" x14ac:dyDescent="0.35">
      <c r="A991" s="7" t="s">
        <v>18</v>
      </c>
      <c r="B991" s="7">
        <f>+B990+1</f>
        <v>2024</v>
      </c>
      <c r="C991" s="4" t="s">
        <v>37</v>
      </c>
      <c r="D991" s="5" t="s">
        <v>2003</v>
      </c>
      <c r="E991" s="10" t="str">
        <f t="shared" si="231"/>
        <v>PRBNP'!</v>
      </c>
      <c r="F991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991" s="7" t="s">
        <v>102</v>
      </c>
      <c r="H991" s="4"/>
      <c r="I991" s="4"/>
      <c r="J991" s="4"/>
    </row>
    <row r="992" spans="1:10" x14ac:dyDescent="0.35">
      <c r="A992" s="7" t="s">
        <v>18</v>
      </c>
      <c r="B992" s="7">
        <f t="shared" ref="B992:B1003" si="232">+B991+1</f>
        <v>2025</v>
      </c>
      <c r="C992" s="4" t="s">
        <v>37</v>
      </c>
      <c r="D992" s="5" t="s">
        <v>2003</v>
      </c>
      <c r="E992" s="10" t="str">
        <f t="shared" si="231"/>
        <v>PRBNP'!</v>
      </c>
      <c r="F992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992" s="7" t="s">
        <v>102</v>
      </c>
      <c r="H992" s="4"/>
      <c r="I992" s="4"/>
      <c r="J992" s="4"/>
    </row>
    <row r="993" spans="1:10" x14ac:dyDescent="0.35">
      <c r="A993" s="7" t="s">
        <v>18</v>
      </c>
      <c r="B993" s="7">
        <f t="shared" si="232"/>
        <v>2026</v>
      </c>
      <c r="C993" s="4" t="s">
        <v>37</v>
      </c>
      <c r="D993" s="5" t="s">
        <v>2003</v>
      </c>
      <c r="E993" s="10" t="str">
        <f t="shared" si="231"/>
        <v>PRBNP'!</v>
      </c>
      <c r="F993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993" s="7" t="s">
        <v>102</v>
      </c>
      <c r="H993" s="4"/>
      <c r="I993" s="4"/>
      <c r="J993" s="4"/>
    </row>
    <row r="994" spans="1:10" x14ac:dyDescent="0.35">
      <c r="A994" s="7" t="s">
        <v>18</v>
      </c>
      <c r="B994" s="7">
        <f t="shared" si="232"/>
        <v>2027</v>
      </c>
      <c r="C994" s="4" t="s">
        <v>37</v>
      </c>
      <c r="D994" s="5" t="s">
        <v>2003</v>
      </c>
      <c r="E994" s="10" t="str">
        <f t="shared" si="231"/>
        <v>PRBNP'!</v>
      </c>
      <c r="F994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994" s="7" t="s">
        <v>102</v>
      </c>
      <c r="H994" s="4"/>
      <c r="I994" s="4"/>
      <c r="J994" s="4"/>
    </row>
    <row r="995" spans="1:10" x14ac:dyDescent="0.35">
      <c r="A995" s="7" t="s">
        <v>18</v>
      </c>
      <c r="B995" s="7">
        <f t="shared" si="232"/>
        <v>2028</v>
      </c>
      <c r="C995" s="4" t="s">
        <v>37</v>
      </c>
      <c r="D995" s="5" t="s">
        <v>2003</v>
      </c>
      <c r="E995" s="10" t="str">
        <f t="shared" si="231"/>
        <v>PRBNP'!</v>
      </c>
      <c r="F995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995" s="7" t="s">
        <v>102</v>
      </c>
      <c r="H995" s="4"/>
      <c r="I995" s="4"/>
      <c r="J995" s="4"/>
    </row>
    <row r="996" spans="1:10" x14ac:dyDescent="0.35">
      <c r="A996" s="7" t="s">
        <v>18</v>
      </c>
      <c r="B996" s="7">
        <f t="shared" si="232"/>
        <v>2029</v>
      </c>
      <c r="C996" s="4" t="s">
        <v>37</v>
      </c>
      <c r="D996" s="5" t="s">
        <v>2003</v>
      </c>
      <c r="E996" s="10" t="str">
        <f t="shared" si="231"/>
        <v>PRBNP'!</v>
      </c>
      <c r="F996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996" s="7" t="s">
        <v>102</v>
      </c>
      <c r="H996" s="4"/>
      <c r="I996" s="4"/>
      <c r="J996" s="4"/>
    </row>
    <row r="997" spans="1:10" x14ac:dyDescent="0.35">
      <c r="A997" s="7" t="s">
        <v>18</v>
      </c>
      <c r="B997" s="7">
        <f t="shared" si="232"/>
        <v>2030</v>
      </c>
      <c r="C997" s="4" t="s">
        <v>37</v>
      </c>
      <c r="D997" s="5" t="s">
        <v>2003</v>
      </c>
      <c r="E997" s="10" t="str">
        <f t="shared" si="231"/>
        <v>PRBNP'!</v>
      </c>
      <c r="F997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997" s="7" t="s">
        <v>102</v>
      </c>
      <c r="H997" s="4"/>
      <c r="I997" s="4"/>
      <c r="J997" s="4"/>
    </row>
    <row r="998" spans="1:10" x14ac:dyDescent="0.35">
      <c r="A998" s="7" t="s">
        <v>18</v>
      </c>
      <c r="B998" s="7">
        <f t="shared" si="232"/>
        <v>2031</v>
      </c>
      <c r="C998" s="4" t="s">
        <v>37</v>
      </c>
      <c r="D998" s="5" t="s">
        <v>2003</v>
      </c>
      <c r="E998" s="10" t="str">
        <f t="shared" si="231"/>
        <v>PRBNP'!</v>
      </c>
      <c r="F998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998" s="7" t="s">
        <v>102</v>
      </c>
      <c r="H998" s="4"/>
      <c r="I998" s="4"/>
      <c r="J998" s="4"/>
    </row>
    <row r="999" spans="1:10" x14ac:dyDescent="0.35">
      <c r="A999" s="7" t="s">
        <v>18</v>
      </c>
      <c r="B999" s="7">
        <f t="shared" si="232"/>
        <v>2032</v>
      </c>
      <c r="C999" s="4" t="s">
        <v>37</v>
      </c>
      <c r="D999" s="5" t="s">
        <v>2003</v>
      </c>
      <c r="E999" s="10" t="str">
        <f t="shared" si="231"/>
        <v>PRBNP'!</v>
      </c>
      <c r="F999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999" s="7" t="s">
        <v>102</v>
      </c>
      <c r="H999" s="4"/>
      <c r="I999" s="4"/>
      <c r="J999" s="4"/>
    </row>
    <row r="1000" spans="1:10" x14ac:dyDescent="0.35">
      <c r="A1000" s="7" t="s">
        <v>18</v>
      </c>
      <c r="B1000" s="7">
        <f t="shared" si="232"/>
        <v>2033</v>
      </c>
      <c r="C1000" s="4" t="s">
        <v>37</v>
      </c>
      <c r="D1000" s="5" t="s">
        <v>2003</v>
      </c>
      <c r="E1000" s="10" t="str">
        <f t="shared" si="231"/>
        <v>PRBNP'!</v>
      </c>
      <c r="F1000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00" s="7" t="s">
        <v>102</v>
      </c>
      <c r="H1000" s="4"/>
      <c r="I1000" s="4"/>
      <c r="J1000" s="4"/>
    </row>
    <row r="1001" spans="1:10" x14ac:dyDescent="0.35">
      <c r="A1001" s="7" t="s">
        <v>18</v>
      </c>
      <c r="B1001" s="7">
        <f t="shared" si="232"/>
        <v>2034</v>
      </c>
      <c r="C1001" s="4" t="s">
        <v>37</v>
      </c>
      <c r="D1001" s="5" t="s">
        <v>2003</v>
      </c>
      <c r="E1001" s="10" t="str">
        <f t="shared" si="231"/>
        <v>PRBNP'!</v>
      </c>
      <c r="F1001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01" s="7" t="s">
        <v>102</v>
      </c>
      <c r="H1001" s="4"/>
      <c r="I1001" s="4"/>
      <c r="J1001" s="4"/>
    </row>
    <row r="1002" spans="1:10" x14ac:dyDescent="0.35">
      <c r="A1002" s="7" t="s">
        <v>18</v>
      </c>
      <c r="B1002" s="7">
        <f t="shared" si="232"/>
        <v>2035</v>
      </c>
      <c r="C1002" s="4" t="s">
        <v>37</v>
      </c>
      <c r="D1002" s="5" t="s">
        <v>2003</v>
      </c>
      <c r="E1002" s="10" t="str">
        <f t="shared" si="231"/>
        <v>PRBNP'!</v>
      </c>
      <c r="F1002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02" s="7" t="s">
        <v>102</v>
      </c>
      <c r="H1002" s="4"/>
      <c r="I1002" s="4"/>
      <c r="J1002" s="4"/>
    </row>
    <row r="1003" spans="1:10" x14ac:dyDescent="0.35">
      <c r="A1003" s="7" t="s">
        <v>18</v>
      </c>
      <c r="B1003" s="7">
        <f t="shared" si="232"/>
        <v>2036</v>
      </c>
      <c r="C1003" s="4" t="s">
        <v>37</v>
      </c>
      <c r="D1003" s="5" t="s">
        <v>2003</v>
      </c>
      <c r="E1003" s="10" t="str">
        <f t="shared" si="231"/>
        <v>PRBNP'!</v>
      </c>
      <c r="F1003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03" s="7" t="s">
        <v>102</v>
      </c>
      <c r="H1003" s="4"/>
      <c r="I1003" s="4"/>
      <c r="J1003" s="4"/>
    </row>
    <row r="1004" spans="1:10" x14ac:dyDescent="0.35">
      <c r="A1004" s="7" t="s">
        <v>18</v>
      </c>
      <c r="B1004" s="7">
        <f>+B1003+1</f>
        <v>2037</v>
      </c>
      <c r="C1004" s="4" t="s">
        <v>37</v>
      </c>
      <c r="D1004" s="5" t="s">
        <v>2003</v>
      </c>
      <c r="E1004" s="10" t="str">
        <f t="shared" si="231"/>
        <v>PRBNP'!</v>
      </c>
      <c r="F1004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04" s="7" t="s">
        <v>102</v>
      </c>
      <c r="H1004" s="4"/>
      <c r="I1004" s="4"/>
      <c r="J1004" s="4"/>
    </row>
    <row r="1005" spans="1:10" x14ac:dyDescent="0.35">
      <c r="A1005" s="7" t="s">
        <v>18</v>
      </c>
      <c r="B1005" s="7">
        <f t="shared" ref="B1005:B1007" si="233">+B1004+1</f>
        <v>2038</v>
      </c>
      <c r="C1005" s="4" t="s">
        <v>37</v>
      </c>
      <c r="D1005" s="5" t="s">
        <v>2003</v>
      </c>
      <c r="E1005" s="10" t="str">
        <f t="shared" si="231"/>
        <v>PRBNP'!</v>
      </c>
      <c r="F1005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05" s="7" t="s">
        <v>102</v>
      </c>
      <c r="H1005" s="4"/>
      <c r="I1005" s="4"/>
      <c r="J1005" s="4"/>
    </row>
    <row r="1006" spans="1:10" x14ac:dyDescent="0.35">
      <c r="A1006" s="7" t="s">
        <v>18</v>
      </c>
      <c r="B1006" s="7">
        <f t="shared" si="233"/>
        <v>2039</v>
      </c>
      <c r="C1006" s="4" t="s">
        <v>37</v>
      </c>
      <c r="D1006" s="5" t="s">
        <v>2003</v>
      </c>
      <c r="E1006" s="10" t="str">
        <f t="shared" si="231"/>
        <v>PRBNP'!</v>
      </c>
      <c r="F1006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06" s="7" t="s">
        <v>102</v>
      </c>
      <c r="H1006" s="4"/>
      <c r="I1006" s="4"/>
      <c r="J1006" s="4"/>
    </row>
    <row r="1007" spans="1:10" x14ac:dyDescent="0.35">
      <c r="A1007" s="7" t="s">
        <v>18</v>
      </c>
      <c r="B1007" s="7">
        <f t="shared" si="233"/>
        <v>2040</v>
      </c>
      <c r="C1007" s="4" t="s">
        <v>37</v>
      </c>
      <c r="D1007" s="5" t="s">
        <v>2003</v>
      </c>
      <c r="E1007" s="10" t="str">
        <f t="shared" si="231"/>
        <v>PRBNP'!</v>
      </c>
      <c r="F1007" s="5" t="str">
        <f t="shared" ref="F1007:F1112" si="234">_xlfn.CONCAT(D1007," ",E1007)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07" s="7" t="s">
        <v>102</v>
      </c>
      <c r="H1007" s="4"/>
      <c r="I1007" s="4"/>
      <c r="J1007" s="4"/>
    </row>
    <row r="1008" spans="1:10" x14ac:dyDescent="0.35">
      <c r="A1008" s="7" t="s">
        <v>18</v>
      </c>
      <c r="B1008" s="7">
        <f>+B1007+1</f>
        <v>2041</v>
      </c>
      <c r="C1008" s="4" t="s">
        <v>37</v>
      </c>
      <c r="D1008" s="5" t="s">
        <v>2003</v>
      </c>
      <c r="E1008" s="10" t="str">
        <f t="shared" si="231"/>
        <v>PRBNP'!</v>
      </c>
      <c r="F1008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08" s="7" t="s">
        <v>102</v>
      </c>
      <c r="H1008" s="4"/>
      <c r="I1008" s="4"/>
      <c r="J1008" s="4"/>
    </row>
    <row r="1009" spans="1:10" x14ac:dyDescent="0.35">
      <c r="A1009" s="7" t="s">
        <v>18</v>
      </c>
      <c r="B1009" s="7">
        <f t="shared" ref="B1009:B1010" si="235">+B1008+1</f>
        <v>2042</v>
      </c>
      <c r="C1009" s="4" t="s">
        <v>37</v>
      </c>
      <c r="D1009" s="5" t="s">
        <v>2003</v>
      </c>
      <c r="E1009" s="10" t="str">
        <f t="shared" si="231"/>
        <v>PRBNP'!</v>
      </c>
      <c r="F1009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09" s="7" t="s">
        <v>102</v>
      </c>
      <c r="H1009" s="4"/>
      <c r="I1009" s="4"/>
      <c r="J1009" s="4"/>
    </row>
    <row r="1010" spans="1:10" x14ac:dyDescent="0.35">
      <c r="A1010" s="7" t="s">
        <v>18</v>
      </c>
      <c r="B1010" s="7">
        <f t="shared" si="235"/>
        <v>2043</v>
      </c>
      <c r="C1010" s="4" t="s">
        <v>37</v>
      </c>
      <c r="D1010" s="5" t="s">
        <v>2003</v>
      </c>
      <c r="E1010" s="10" t="str">
        <f t="shared" si="231"/>
        <v>PRBNP'!</v>
      </c>
      <c r="F1010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10" s="7" t="s">
        <v>102</v>
      </c>
      <c r="H1010" s="4"/>
      <c r="I1010" s="4"/>
      <c r="J1010" s="4"/>
    </row>
    <row r="1011" spans="1:10" x14ac:dyDescent="0.35">
      <c r="A1011" s="7" t="s">
        <v>18</v>
      </c>
      <c r="B1011" s="7">
        <f>+B1010+1</f>
        <v>2044</v>
      </c>
      <c r="C1011" s="4" t="s">
        <v>37</v>
      </c>
      <c r="D1011" s="5" t="s">
        <v>2003</v>
      </c>
      <c r="E1011" s="10" t="str">
        <f t="shared" ref="E1011:E1026" si="236">_xlfn.CONCAT(A1011,"'!")</f>
        <v>PRBNP'!</v>
      </c>
      <c r="F1011" s="5" t="str">
        <f t="shared" ref="F1011:F1026" si="237">_xlfn.CONCAT(D1011," ",E1011)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11" s="7" t="s">
        <v>102</v>
      </c>
      <c r="H1011" s="4"/>
      <c r="I1011" s="4"/>
      <c r="J1011" s="4"/>
    </row>
    <row r="1012" spans="1:10" x14ac:dyDescent="0.35">
      <c r="A1012" s="7" t="s">
        <v>18</v>
      </c>
      <c r="B1012" s="7">
        <f t="shared" ref="B1012:B1026" si="238">+B1011+1</f>
        <v>2045</v>
      </c>
      <c r="C1012" s="4" t="s">
        <v>37</v>
      </c>
      <c r="D1012" s="5" t="s">
        <v>2003</v>
      </c>
      <c r="E1012" s="10" t="str">
        <f t="shared" si="236"/>
        <v>PRBNP'!</v>
      </c>
      <c r="F1012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12" s="7" t="s">
        <v>102</v>
      </c>
      <c r="H1012" s="4"/>
      <c r="I1012" s="4"/>
      <c r="J1012" s="4"/>
    </row>
    <row r="1013" spans="1:10" x14ac:dyDescent="0.35">
      <c r="A1013" s="7" t="s">
        <v>18</v>
      </c>
      <c r="B1013" s="7">
        <f t="shared" si="238"/>
        <v>2046</v>
      </c>
      <c r="C1013" s="4" t="s">
        <v>37</v>
      </c>
      <c r="D1013" s="5" t="s">
        <v>2003</v>
      </c>
      <c r="E1013" s="10" t="str">
        <f t="shared" si="236"/>
        <v>PRBNP'!</v>
      </c>
      <c r="F1013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13" s="7" t="s">
        <v>102</v>
      </c>
      <c r="H1013" s="4"/>
      <c r="I1013" s="4"/>
      <c r="J1013" s="4"/>
    </row>
    <row r="1014" spans="1:10" x14ac:dyDescent="0.35">
      <c r="A1014" s="7" t="s">
        <v>18</v>
      </c>
      <c r="B1014" s="7">
        <f t="shared" si="238"/>
        <v>2047</v>
      </c>
      <c r="C1014" s="4" t="s">
        <v>37</v>
      </c>
      <c r="D1014" s="5" t="s">
        <v>2003</v>
      </c>
      <c r="E1014" s="10" t="str">
        <f t="shared" si="236"/>
        <v>PRBNP'!</v>
      </c>
      <c r="F1014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14" s="7" t="s">
        <v>102</v>
      </c>
      <c r="H1014" s="4"/>
      <c r="I1014" s="4"/>
      <c r="J1014" s="4"/>
    </row>
    <row r="1015" spans="1:10" x14ac:dyDescent="0.35">
      <c r="A1015" s="7" t="s">
        <v>18</v>
      </c>
      <c r="B1015" s="7">
        <f t="shared" si="238"/>
        <v>2048</v>
      </c>
      <c r="C1015" s="4" t="s">
        <v>37</v>
      </c>
      <c r="D1015" s="5" t="s">
        <v>2003</v>
      </c>
      <c r="E1015" s="10" t="str">
        <f t="shared" si="236"/>
        <v>PRBNP'!</v>
      </c>
      <c r="F1015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15" s="7" t="s">
        <v>102</v>
      </c>
      <c r="H1015" s="4"/>
      <c r="I1015" s="4"/>
      <c r="J1015" s="4"/>
    </row>
    <row r="1016" spans="1:10" x14ac:dyDescent="0.35">
      <c r="A1016" s="7" t="s">
        <v>18</v>
      </c>
      <c r="B1016" s="7">
        <f t="shared" si="238"/>
        <v>2049</v>
      </c>
      <c r="C1016" s="4" t="s">
        <v>37</v>
      </c>
      <c r="D1016" s="5" t="s">
        <v>2003</v>
      </c>
      <c r="E1016" s="10" t="str">
        <f t="shared" si="236"/>
        <v>PRBNP'!</v>
      </c>
      <c r="F1016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16" s="7" t="s">
        <v>102</v>
      </c>
      <c r="H1016" s="4"/>
      <c r="I1016" s="4"/>
      <c r="J1016" s="4"/>
    </row>
    <row r="1017" spans="1:10" x14ac:dyDescent="0.35">
      <c r="A1017" s="7" t="s">
        <v>18</v>
      </c>
      <c r="B1017" s="7">
        <f t="shared" si="238"/>
        <v>2050</v>
      </c>
      <c r="C1017" s="4" t="s">
        <v>37</v>
      </c>
      <c r="D1017" s="5" t="s">
        <v>2003</v>
      </c>
      <c r="E1017" s="10" t="str">
        <f t="shared" si="236"/>
        <v>PRBNP'!</v>
      </c>
      <c r="F1017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17" s="7" t="s">
        <v>102</v>
      </c>
      <c r="H1017" s="4"/>
      <c r="I1017" s="4"/>
      <c r="J1017" s="4"/>
    </row>
    <row r="1018" spans="1:10" x14ac:dyDescent="0.35">
      <c r="A1018" s="7" t="s">
        <v>18</v>
      </c>
      <c r="B1018" s="7">
        <f t="shared" si="238"/>
        <v>2051</v>
      </c>
      <c r="C1018" s="4" t="s">
        <v>37</v>
      </c>
      <c r="D1018" s="5" t="s">
        <v>2003</v>
      </c>
      <c r="E1018" s="10" t="str">
        <f t="shared" si="236"/>
        <v>PRBNP'!</v>
      </c>
      <c r="F1018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18" s="7" t="s">
        <v>102</v>
      </c>
      <c r="H1018" s="4"/>
      <c r="I1018" s="4"/>
      <c r="J1018" s="4"/>
    </row>
    <row r="1019" spans="1:10" x14ac:dyDescent="0.35">
      <c r="A1019" s="7" t="s">
        <v>18</v>
      </c>
      <c r="B1019" s="7">
        <f t="shared" si="238"/>
        <v>2052</v>
      </c>
      <c r="C1019" s="4" t="s">
        <v>37</v>
      </c>
      <c r="D1019" s="5" t="s">
        <v>2003</v>
      </c>
      <c r="E1019" s="10" t="str">
        <f t="shared" si="236"/>
        <v>PRBNP'!</v>
      </c>
      <c r="F1019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19" s="7" t="s">
        <v>102</v>
      </c>
      <c r="H1019" s="4"/>
      <c r="I1019" s="4"/>
      <c r="J1019" s="4"/>
    </row>
    <row r="1020" spans="1:10" x14ac:dyDescent="0.35">
      <c r="A1020" s="7" t="s">
        <v>18</v>
      </c>
      <c r="B1020" s="7">
        <f t="shared" si="238"/>
        <v>2053</v>
      </c>
      <c r="C1020" s="4" t="s">
        <v>37</v>
      </c>
      <c r="D1020" s="5" t="s">
        <v>2003</v>
      </c>
      <c r="E1020" s="10" t="str">
        <f t="shared" si="236"/>
        <v>PRBNP'!</v>
      </c>
      <c r="F1020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20" s="7" t="s">
        <v>102</v>
      </c>
      <c r="H1020" s="4"/>
      <c r="I1020" s="4"/>
      <c r="J1020" s="4"/>
    </row>
    <row r="1021" spans="1:10" x14ac:dyDescent="0.35">
      <c r="A1021" s="7" t="s">
        <v>18</v>
      </c>
      <c r="B1021" s="7">
        <f t="shared" si="238"/>
        <v>2054</v>
      </c>
      <c r="C1021" s="4" t="s">
        <v>37</v>
      </c>
      <c r="D1021" s="5" t="s">
        <v>2003</v>
      </c>
      <c r="E1021" s="10" t="str">
        <f t="shared" si="236"/>
        <v>PRBNP'!</v>
      </c>
      <c r="F1021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21" s="7" t="s">
        <v>102</v>
      </c>
      <c r="H1021" s="4"/>
      <c r="I1021" s="4"/>
      <c r="J1021" s="4"/>
    </row>
    <row r="1022" spans="1:10" x14ac:dyDescent="0.35">
      <c r="A1022" s="7" t="s">
        <v>18</v>
      </c>
      <c r="B1022" s="7">
        <f t="shared" si="238"/>
        <v>2055</v>
      </c>
      <c r="C1022" s="4" t="s">
        <v>37</v>
      </c>
      <c r="D1022" s="5" t="s">
        <v>2003</v>
      </c>
      <c r="E1022" s="10" t="str">
        <f t="shared" si="236"/>
        <v>PRBNP'!</v>
      </c>
      <c r="F1022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22" s="7" t="s">
        <v>102</v>
      </c>
      <c r="H1022" s="4"/>
      <c r="I1022" s="4"/>
      <c r="J1022" s="4"/>
    </row>
    <row r="1023" spans="1:10" x14ac:dyDescent="0.35">
      <c r="A1023" s="7" t="s">
        <v>18</v>
      </c>
      <c r="B1023" s="7">
        <f t="shared" si="238"/>
        <v>2056</v>
      </c>
      <c r="C1023" s="4" t="s">
        <v>37</v>
      </c>
      <c r="D1023" s="5" t="s">
        <v>2003</v>
      </c>
      <c r="E1023" s="10" t="str">
        <f t="shared" si="236"/>
        <v>PRBNP'!</v>
      </c>
      <c r="F1023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23" s="7" t="s">
        <v>102</v>
      </c>
      <c r="H1023" s="4"/>
      <c r="I1023" s="4"/>
      <c r="J1023" s="4"/>
    </row>
    <row r="1024" spans="1:10" x14ac:dyDescent="0.35">
      <c r="A1024" s="7" t="s">
        <v>18</v>
      </c>
      <c r="B1024" s="7">
        <f t="shared" si="238"/>
        <v>2057</v>
      </c>
      <c r="C1024" s="4" t="s">
        <v>37</v>
      </c>
      <c r="D1024" s="5" t="s">
        <v>2003</v>
      </c>
      <c r="E1024" s="10" t="str">
        <f t="shared" si="236"/>
        <v>PRBNP'!</v>
      </c>
      <c r="F1024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24" s="7" t="s">
        <v>102</v>
      </c>
      <c r="H1024" s="4"/>
      <c r="I1024" s="4"/>
      <c r="J1024" s="4"/>
    </row>
    <row r="1025" spans="1:10" x14ac:dyDescent="0.35">
      <c r="A1025" s="7" t="s">
        <v>18</v>
      </c>
      <c r="B1025" s="7">
        <f t="shared" si="238"/>
        <v>2058</v>
      </c>
      <c r="C1025" s="4" t="s">
        <v>37</v>
      </c>
      <c r="D1025" s="5" t="s">
        <v>2003</v>
      </c>
      <c r="E1025" s="10" t="str">
        <f t="shared" si="236"/>
        <v>PRBNP'!</v>
      </c>
      <c r="F1025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25" s="7" t="s">
        <v>102</v>
      </c>
      <c r="H1025" s="4"/>
      <c r="I1025" s="4"/>
      <c r="J1025" s="4"/>
    </row>
    <row r="1026" spans="1:10" x14ac:dyDescent="0.35">
      <c r="A1026" s="7" t="s">
        <v>18</v>
      </c>
      <c r="B1026" s="7">
        <f t="shared" si="238"/>
        <v>2059</v>
      </c>
      <c r="C1026" s="4" t="s">
        <v>37</v>
      </c>
      <c r="D1026" s="5" t="s">
        <v>2003</v>
      </c>
      <c r="E1026" s="10" t="str">
        <f t="shared" si="236"/>
        <v>PRBNP'!</v>
      </c>
      <c r="F1026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26" s="7" t="s">
        <v>102</v>
      </c>
      <c r="H1026" s="4"/>
      <c r="I1026" s="4"/>
      <c r="J1026" s="4"/>
    </row>
    <row r="1027" spans="1:10" x14ac:dyDescent="0.35">
      <c r="A1027" s="7" t="s">
        <v>26</v>
      </c>
      <c r="B1027" s="7"/>
      <c r="C1027" s="4" t="s">
        <v>37</v>
      </c>
      <c r="D1027" s="5"/>
      <c r="E1027" s="10"/>
      <c r="F1027" s="5" t="str">
        <f t="shared" si="234"/>
        <v xml:space="preserve"> </v>
      </c>
      <c r="G1027" s="7"/>
      <c r="H1027" s="4"/>
      <c r="I1027" s="4"/>
      <c r="J1027" s="4"/>
    </row>
    <row r="1028" spans="1:10" x14ac:dyDescent="0.35">
      <c r="A1028" s="7" t="s">
        <v>19</v>
      </c>
      <c r="B1028" s="7">
        <v>2023</v>
      </c>
      <c r="C1028" s="4" t="s">
        <v>37</v>
      </c>
      <c r="D1028" s="5" t="s">
        <v>2003</v>
      </c>
      <c r="E1028" s="10" t="str">
        <f t="shared" ref="E1028:E1048" si="239">_xlfn.CONCAT(A1028,"'!")</f>
        <v>PRBND'!</v>
      </c>
      <c r="F1028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28" s="7" t="s">
        <v>102</v>
      </c>
      <c r="H1028" s="4"/>
      <c r="I1028" s="4"/>
      <c r="J1028" s="4"/>
    </row>
    <row r="1029" spans="1:10" x14ac:dyDescent="0.35">
      <c r="A1029" s="7" t="s">
        <v>19</v>
      </c>
      <c r="B1029" s="7">
        <f>+B1028+1</f>
        <v>2024</v>
      </c>
      <c r="C1029" s="4" t="s">
        <v>37</v>
      </c>
      <c r="D1029" s="5" t="s">
        <v>2003</v>
      </c>
      <c r="E1029" s="10" t="str">
        <f t="shared" si="239"/>
        <v>PRBND'!</v>
      </c>
      <c r="F1029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29" s="7" t="s">
        <v>102</v>
      </c>
      <c r="H1029" s="4"/>
      <c r="I1029" s="4"/>
      <c r="J1029" s="4"/>
    </row>
    <row r="1030" spans="1:10" x14ac:dyDescent="0.35">
      <c r="A1030" s="7" t="s">
        <v>19</v>
      </c>
      <c r="B1030" s="7">
        <f t="shared" ref="B1030:B1041" si="240">+B1029+1</f>
        <v>2025</v>
      </c>
      <c r="C1030" s="4" t="s">
        <v>37</v>
      </c>
      <c r="D1030" s="5" t="s">
        <v>2003</v>
      </c>
      <c r="E1030" s="10" t="str">
        <f t="shared" si="239"/>
        <v>PRBND'!</v>
      </c>
      <c r="F1030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30" s="7" t="s">
        <v>102</v>
      </c>
      <c r="H1030" s="4"/>
      <c r="I1030" s="4"/>
      <c r="J1030" s="4"/>
    </row>
    <row r="1031" spans="1:10" x14ac:dyDescent="0.35">
      <c r="A1031" s="7" t="s">
        <v>19</v>
      </c>
      <c r="B1031" s="7">
        <f t="shared" si="240"/>
        <v>2026</v>
      </c>
      <c r="C1031" s="4" t="s">
        <v>37</v>
      </c>
      <c r="D1031" s="5" t="s">
        <v>2003</v>
      </c>
      <c r="E1031" s="10" t="str">
        <f t="shared" si="239"/>
        <v>PRBND'!</v>
      </c>
      <c r="F1031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31" s="7" t="s">
        <v>102</v>
      </c>
      <c r="H1031" s="4"/>
      <c r="I1031" s="4"/>
      <c r="J1031" s="4"/>
    </row>
    <row r="1032" spans="1:10" x14ac:dyDescent="0.35">
      <c r="A1032" s="7" t="s">
        <v>19</v>
      </c>
      <c r="B1032" s="7">
        <f t="shared" si="240"/>
        <v>2027</v>
      </c>
      <c r="C1032" s="4" t="s">
        <v>37</v>
      </c>
      <c r="D1032" s="5" t="s">
        <v>2003</v>
      </c>
      <c r="E1032" s="10" t="str">
        <f t="shared" si="239"/>
        <v>PRBND'!</v>
      </c>
      <c r="F1032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32" s="7" t="s">
        <v>102</v>
      </c>
      <c r="H1032" s="4"/>
      <c r="I1032" s="4"/>
      <c r="J1032" s="4"/>
    </row>
    <row r="1033" spans="1:10" x14ac:dyDescent="0.35">
      <c r="A1033" s="7" t="s">
        <v>19</v>
      </c>
      <c r="B1033" s="7">
        <f t="shared" si="240"/>
        <v>2028</v>
      </c>
      <c r="C1033" s="4" t="s">
        <v>37</v>
      </c>
      <c r="D1033" s="5" t="s">
        <v>2003</v>
      </c>
      <c r="E1033" s="10" t="str">
        <f t="shared" si="239"/>
        <v>PRBND'!</v>
      </c>
      <c r="F1033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33" s="7" t="s">
        <v>102</v>
      </c>
      <c r="H1033" s="4"/>
      <c r="I1033" s="4"/>
      <c r="J1033" s="4"/>
    </row>
    <row r="1034" spans="1:10" x14ac:dyDescent="0.35">
      <c r="A1034" s="7" t="s">
        <v>19</v>
      </c>
      <c r="B1034" s="7">
        <f t="shared" si="240"/>
        <v>2029</v>
      </c>
      <c r="C1034" s="4" t="s">
        <v>37</v>
      </c>
      <c r="D1034" s="5" t="s">
        <v>2003</v>
      </c>
      <c r="E1034" s="10" t="str">
        <f t="shared" si="239"/>
        <v>PRBND'!</v>
      </c>
      <c r="F1034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34" s="7" t="s">
        <v>102</v>
      </c>
      <c r="H1034" s="4"/>
      <c r="I1034" s="4"/>
      <c r="J1034" s="4"/>
    </row>
    <row r="1035" spans="1:10" x14ac:dyDescent="0.35">
      <c r="A1035" s="7" t="s">
        <v>19</v>
      </c>
      <c r="B1035" s="7">
        <f t="shared" si="240"/>
        <v>2030</v>
      </c>
      <c r="C1035" s="4" t="s">
        <v>37</v>
      </c>
      <c r="D1035" s="5" t="s">
        <v>2003</v>
      </c>
      <c r="E1035" s="10" t="str">
        <f t="shared" si="239"/>
        <v>PRBND'!</v>
      </c>
      <c r="F1035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35" s="7" t="s">
        <v>102</v>
      </c>
      <c r="H1035" s="4"/>
      <c r="I1035" s="4"/>
      <c r="J1035" s="4"/>
    </row>
    <row r="1036" spans="1:10" x14ac:dyDescent="0.35">
      <c r="A1036" s="7" t="s">
        <v>19</v>
      </c>
      <c r="B1036" s="7">
        <f t="shared" si="240"/>
        <v>2031</v>
      </c>
      <c r="C1036" s="4" t="s">
        <v>37</v>
      </c>
      <c r="D1036" s="5" t="s">
        <v>2003</v>
      </c>
      <c r="E1036" s="10" t="str">
        <f t="shared" si="239"/>
        <v>PRBND'!</v>
      </c>
      <c r="F1036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36" s="7" t="s">
        <v>102</v>
      </c>
      <c r="H1036" s="4"/>
      <c r="I1036" s="4"/>
      <c r="J1036" s="4"/>
    </row>
    <row r="1037" spans="1:10" x14ac:dyDescent="0.35">
      <c r="A1037" s="7" t="s">
        <v>19</v>
      </c>
      <c r="B1037" s="7">
        <f t="shared" si="240"/>
        <v>2032</v>
      </c>
      <c r="C1037" s="4" t="s">
        <v>37</v>
      </c>
      <c r="D1037" s="5" t="s">
        <v>2003</v>
      </c>
      <c r="E1037" s="10" t="str">
        <f t="shared" si="239"/>
        <v>PRBND'!</v>
      </c>
      <c r="F1037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37" s="7" t="s">
        <v>102</v>
      </c>
      <c r="H1037" s="4"/>
      <c r="I1037" s="4"/>
      <c r="J1037" s="4"/>
    </row>
    <row r="1038" spans="1:10" x14ac:dyDescent="0.35">
      <c r="A1038" s="7" t="s">
        <v>19</v>
      </c>
      <c r="B1038" s="7">
        <f t="shared" si="240"/>
        <v>2033</v>
      </c>
      <c r="C1038" s="4" t="s">
        <v>37</v>
      </c>
      <c r="D1038" s="5" t="s">
        <v>2003</v>
      </c>
      <c r="E1038" s="10" t="str">
        <f t="shared" si="239"/>
        <v>PRBND'!</v>
      </c>
      <c r="F1038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38" s="7" t="s">
        <v>102</v>
      </c>
      <c r="H1038" s="4"/>
      <c r="I1038" s="4"/>
      <c r="J1038" s="4"/>
    </row>
    <row r="1039" spans="1:10" x14ac:dyDescent="0.35">
      <c r="A1039" s="7" t="s">
        <v>19</v>
      </c>
      <c r="B1039" s="7">
        <f t="shared" si="240"/>
        <v>2034</v>
      </c>
      <c r="C1039" s="4" t="s">
        <v>37</v>
      </c>
      <c r="D1039" s="5" t="s">
        <v>2003</v>
      </c>
      <c r="E1039" s="10" t="str">
        <f t="shared" si="239"/>
        <v>PRBND'!</v>
      </c>
      <c r="F1039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39" s="7" t="s">
        <v>102</v>
      </c>
      <c r="H1039" s="4"/>
      <c r="I1039" s="4"/>
      <c r="J1039" s="4"/>
    </row>
    <row r="1040" spans="1:10" x14ac:dyDescent="0.35">
      <c r="A1040" s="7" t="s">
        <v>19</v>
      </c>
      <c r="B1040" s="7">
        <f t="shared" si="240"/>
        <v>2035</v>
      </c>
      <c r="C1040" s="4" t="s">
        <v>37</v>
      </c>
      <c r="D1040" s="5" t="s">
        <v>2003</v>
      </c>
      <c r="E1040" s="10" t="str">
        <f t="shared" si="239"/>
        <v>PRBND'!</v>
      </c>
      <c r="F1040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40" s="7" t="s">
        <v>102</v>
      </c>
      <c r="H1040" s="4"/>
      <c r="I1040" s="4"/>
      <c r="J1040" s="4"/>
    </row>
    <row r="1041" spans="1:10" x14ac:dyDescent="0.35">
      <c r="A1041" s="7" t="s">
        <v>19</v>
      </c>
      <c r="B1041" s="7">
        <f t="shared" si="240"/>
        <v>2036</v>
      </c>
      <c r="C1041" s="4" t="s">
        <v>37</v>
      </c>
      <c r="D1041" s="5" t="s">
        <v>2003</v>
      </c>
      <c r="E1041" s="10" t="str">
        <f t="shared" si="239"/>
        <v>PRBND'!</v>
      </c>
      <c r="F1041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41" s="7" t="s">
        <v>102</v>
      </c>
      <c r="H1041" s="4"/>
      <c r="I1041" s="4"/>
      <c r="J1041" s="4"/>
    </row>
    <row r="1042" spans="1:10" x14ac:dyDescent="0.35">
      <c r="A1042" s="7" t="s">
        <v>19</v>
      </c>
      <c r="B1042" s="7">
        <f>+B1041+1</f>
        <v>2037</v>
      </c>
      <c r="C1042" s="4" t="s">
        <v>37</v>
      </c>
      <c r="D1042" s="5" t="s">
        <v>2003</v>
      </c>
      <c r="E1042" s="10" t="str">
        <f t="shared" si="239"/>
        <v>PRBND'!</v>
      </c>
      <c r="F1042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42" s="7" t="s">
        <v>102</v>
      </c>
      <c r="H1042" s="4"/>
      <c r="I1042" s="4"/>
      <c r="J1042" s="4"/>
    </row>
    <row r="1043" spans="1:10" x14ac:dyDescent="0.35">
      <c r="A1043" s="7" t="s">
        <v>19</v>
      </c>
      <c r="B1043" s="7">
        <f t="shared" ref="B1043:B1045" si="241">+B1042+1</f>
        <v>2038</v>
      </c>
      <c r="C1043" s="4" t="s">
        <v>37</v>
      </c>
      <c r="D1043" s="5" t="s">
        <v>2003</v>
      </c>
      <c r="E1043" s="10" t="str">
        <f t="shared" si="239"/>
        <v>PRBND'!</v>
      </c>
      <c r="F1043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43" s="7" t="s">
        <v>102</v>
      </c>
      <c r="H1043" s="4"/>
      <c r="I1043" s="4"/>
      <c r="J1043" s="4"/>
    </row>
    <row r="1044" spans="1:10" x14ac:dyDescent="0.35">
      <c r="A1044" s="7" t="s">
        <v>19</v>
      </c>
      <c r="B1044" s="7">
        <f t="shared" si="241"/>
        <v>2039</v>
      </c>
      <c r="C1044" s="4" t="s">
        <v>37</v>
      </c>
      <c r="D1044" s="5" t="s">
        <v>2003</v>
      </c>
      <c r="E1044" s="10" t="str">
        <f t="shared" si="239"/>
        <v>PRBND'!</v>
      </c>
      <c r="F1044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44" s="7" t="s">
        <v>102</v>
      </c>
      <c r="H1044" s="4"/>
      <c r="I1044" s="4"/>
      <c r="J1044" s="4"/>
    </row>
    <row r="1045" spans="1:10" x14ac:dyDescent="0.35">
      <c r="A1045" s="7" t="s">
        <v>19</v>
      </c>
      <c r="B1045" s="7">
        <f t="shared" si="241"/>
        <v>2040</v>
      </c>
      <c r="C1045" s="4" t="s">
        <v>37</v>
      </c>
      <c r="D1045" s="5" t="s">
        <v>2003</v>
      </c>
      <c r="E1045" s="10" t="str">
        <f t="shared" si="239"/>
        <v>PRBND'!</v>
      </c>
      <c r="F1045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45" s="7" t="s">
        <v>102</v>
      </c>
      <c r="H1045" s="4"/>
      <c r="I1045" s="4"/>
      <c r="J1045" s="4"/>
    </row>
    <row r="1046" spans="1:10" x14ac:dyDescent="0.35">
      <c r="A1046" s="7" t="s">
        <v>19</v>
      </c>
      <c r="B1046" s="7">
        <f>+B1045+1</f>
        <v>2041</v>
      </c>
      <c r="C1046" s="4" t="s">
        <v>37</v>
      </c>
      <c r="D1046" s="5" t="s">
        <v>2003</v>
      </c>
      <c r="E1046" s="10" t="str">
        <f t="shared" si="239"/>
        <v>PRBND'!</v>
      </c>
      <c r="F1046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46" s="7" t="s">
        <v>102</v>
      </c>
      <c r="H1046" s="4"/>
      <c r="I1046" s="4"/>
      <c r="J1046" s="4"/>
    </row>
    <row r="1047" spans="1:10" x14ac:dyDescent="0.35">
      <c r="A1047" s="7" t="s">
        <v>19</v>
      </c>
      <c r="B1047" s="7">
        <f t="shared" ref="B1047:B1048" si="242">+B1046+1</f>
        <v>2042</v>
      </c>
      <c r="C1047" s="4" t="s">
        <v>37</v>
      </c>
      <c r="D1047" s="5" t="s">
        <v>2003</v>
      </c>
      <c r="E1047" s="10" t="str">
        <f t="shared" si="239"/>
        <v>PRBND'!</v>
      </c>
      <c r="F1047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47" s="7" t="s">
        <v>102</v>
      </c>
      <c r="H1047" s="4"/>
      <c r="I1047" s="4"/>
      <c r="J1047" s="4"/>
    </row>
    <row r="1048" spans="1:10" x14ac:dyDescent="0.35">
      <c r="A1048" s="7" t="s">
        <v>19</v>
      </c>
      <c r="B1048" s="7">
        <f t="shared" si="242"/>
        <v>2043</v>
      </c>
      <c r="C1048" s="4" t="s">
        <v>37</v>
      </c>
      <c r="D1048" s="5" t="s">
        <v>2003</v>
      </c>
      <c r="E1048" s="10" t="str">
        <f t="shared" si="239"/>
        <v>PRBND'!</v>
      </c>
      <c r="F1048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48" s="7" t="s">
        <v>102</v>
      </c>
      <c r="H1048" s="4"/>
      <c r="I1048" s="4"/>
      <c r="J1048" s="4"/>
    </row>
    <row r="1049" spans="1:10" x14ac:dyDescent="0.35">
      <c r="A1049" s="7" t="s">
        <v>19</v>
      </c>
      <c r="B1049" s="7">
        <f>+B1048+1</f>
        <v>2044</v>
      </c>
      <c r="C1049" s="4" t="s">
        <v>37</v>
      </c>
      <c r="D1049" s="5" t="s">
        <v>2003</v>
      </c>
      <c r="E1049" s="10" t="str">
        <f t="shared" ref="E1049:E1064" si="243">_xlfn.CONCAT(A1049,"'!")</f>
        <v>PRBND'!</v>
      </c>
      <c r="F1049" s="5" t="str">
        <f t="shared" ref="F1049:F1064" si="244">_xlfn.CONCAT(D1049," ",E1049)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49" s="7" t="s">
        <v>102</v>
      </c>
      <c r="H1049" s="4"/>
      <c r="I1049" s="4"/>
      <c r="J1049" s="4"/>
    </row>
    <row r="1050" spans="1:10" x14ac:dyDescent="0.35">
      <c r="A1050" s="7" t="s">
        <v>19</v>
      </c>
      <c r="B1050" s="7">
        <f t="shared" ref="B1050:B1064" si="245">+B1049+1</f>
        <v>2045</v>
      </c>
      <c r="C1050" s="4" t="s">
        <v>37</v>
      </c>
      <c r="D1050" s="5" t="s">
        <v>2003</v>
      </c>
      <c r="E1050" s="10" t="str">
        <f t="shared" si="243"/>
        <v>PRBND'!</v>
      </c>
      <c r="F1050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50" s="7" t="s">
        <v>102</v>
      </c>
      <c r="H1050" s="4"/>
      <c r="I1050" s="4"/>
      <c r="J1050" s="4"/>
    </row>
    <row r="1051" spans="1:10" x14ac:dyDescent="0.35">
      <c r="A1051" s="7" t="s">
        <v>19</v>
      </c>
      <c r="B1051" s="7">
        <f t="shared" si="245"/>
        <v>2046</v>
      </c>
      <c r="C1051" s="4" t="s">
        <v>37</v>
      </c>
      <c r="D1051" s="5" t="s">
        <v>2003</v>
      </c>
      <c r="E1051" s="10" t="str">
        <f t="shared" si="243"/>
        <v>PRBND'!</v>
      </c>
      <c r="F1051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51" s="7" t="s">
        <v>102</v>
      </c>
      <c r="H1051" s="4"/>
      <c r="I1051" s="4"/>
      <c r="J1051" s="4"/>
    </row>
    <row r="1052" spans="1:10" x14ac:dyDescent="0.35">
      <c r="A1052" s="7" t="s">
        <v>19</v>
      </c>
      <c r="B1052" s="7">
        <f t="shared" si="245"/>
        <v>2047</v>
      </c>
      <c r="C1052" s="4" t="s">
        <v>37</v>
      </c>
      <c r="D1052" s="5" t="s">
        <v>2003</v>
      </c>
      <c r="E1052" s="10" t="str">
        <f t="shared" si="243"/>
        <v>PRBND'!</v>
      </c>
      <c r="F1052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52" s="7" t="s">
        <v>102</v>
      </c>
      <c r="H1052" s="4"/>
      <c r="I1052" s="4"/>
      <c r="J1052" s="4"/>
    </row>
    <row r="1053" spans="1:10" x14ac:dyDescent="0.35">
      <c r="A1053" s="7" t="s">
        <v>19</v>
      </c>
      <c r="B1053" s="7">
        <f t="shared" si="245"/>
        <v>2048</v>
      </c>
      <c r="C1053" s="4" t="s">
        <v>37</v>
      </c>
      <c r="D1053" s="5" t="s">
        <v>2003</v>
      </c>
      <c r="E1053" s="10" t="str">
        <f t="shared" si="243"/>
        <v>PRBND'!</v>
      </c>
      <c r="F1053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53" s="7" t="s">
        <v>102</v>
      </c>
      <c r="H1053" s="4"/>
      <c r="I1053" s="4"/>
      <c r="J1053" s="4"/>
    </row>
    <row r="1054" spans="1:10" x14ac:dyDescent="0.35">
      <c r="A1054" s="7" t="s">
        <v>19</v>
      </c>
      <c r="B1054" s="7">
        <f t="shared" si="245"/>
        <v>2049</v>
      </c>
      <c r="C1054" s="4" t="s">
        <v>37</v>
      </c>
      <c r="D1054" s="5" t="s">
        <v>2003</v>
      </c>
      <c r="E1054" s="10" t="str">
        <f t="shared" si="243"/>
        <v>PRBND'!</v>
      </c>
      <c r="F1054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54" s="7" t="s">
        <v>102</v>
      </c>
      <c r="H1054" s="4"/>
      <c r="I1054" s="4"/>
      <c r="J1054" s="4"/>
    </row>
    <row r="1055" spans="1:10" x14ac:dyDescent="0.35">
      <c r="A1055" s="7" t="s">
        <v>19</v>
      </c>
      <c r="B1055" s="7">
        <f t="shared" si="245"/>
        <v>2050</v>
      </c>
      <c r="C1055" s="4" t="s">
        <v>37</v>
      </c>
      <c r="D1055" s="5" t="s">
        <v>2003</v>
      </c>
      <c r="E1055" s="10" t="str">
        <f t="shared" si="243"/>
        <v>PRBND'!</v>
      </c>
      <c r="F1055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55" s="7" t="s">
        <v>102</v>
      </c>
      <c r="H1055" s="4"/>
      <c r="I1055" s="4"/>
      <c r="J1055" s="4"/>
    </row>
    <row r="1056" spans="1:10" x14ac:dyDescent="0.35">
      <c r="A1056" s="7" t="s">
        <v>19</v>
      </c>
      <c r="B1056" s="7">
        <f t="shared" si="245"/>
        <v>2051</v>
      </c>
      <c r="C1056" s="4" t="s">
        <v>37</v>
      </c>
      <c r="D1056" s="5" t="s">
        <v>2003</v>
      </c>
      <c r="E1056" s="10" t="str">
        <f t="shared" si="243"/>
        <v>PRBND'!</v>
      </c>
      <c r="F1056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56" s="7" t="s">
        <v>102</v>
      </c>
      <c r="H1056" s="4"/>
      <c r="I1056" s="4"/>
      <c r="J1056" s="4"/>
    </row>
    <row r="1057" spans="1:10" x14ac:dyDescent="0.35">
      <c r="A1057" s="7" t="s">
        <v>19</v>
      </c>
      <c r="B1057" s="7">
        <f t="shared" si="245"/>
        <v>2052</v>
      </c>
      <c r="C1057" s="4" t="s">
        <v>37</v>
      </c>
      <c r="D1057" s="5" t="s">
        <v>2003</v>
      </c>
      <c r="E1057" s="10" t="str">
        <f t="shared" si="243"/>
        <v>PRBND'!</v>
      </c>
      <c r="F1057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57" s="7" t="s">
        <v>102</v>
      </c>
      <c r="H1057" s="4"/>
      <c r="I1057" s="4"/>
      <c r="J1057" s="4"/>
    </row>
    <row r="1058" spans="1:10" x14ac:dyDescent="0.35">
      <c r="A1058" s="7" t="s">
        <v>19</v>
      </c>
      <c r="B1058" s="7">
        <f t="shared" si="245"/>
        <v>2053</v>
      </c>
      <c r="C1058" s="4" t="s">
        <v>37</v>
      </c>
      <c r="D1058" s="5" t="s">
        <v>2003</v>
      </c>
      <c r="E1058" s="10" t="str">
        <f t="shared" si="243"/>
        <v>PRBND'!</v>
      </c>
      <c r="F1058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58" s="7" t="s">
        <v>102</v>
      </c>
      <c r="H1058" s="4"/>
      <c r="I1058" s="4"/>
      <c r="J1058" s="4"/>
    </row>
    <row r="1059" spans="1:10" x14ac:dyDescent="0.35">
      <c r="A1059" s="7" t="s">
        <v>19</v>
      </c>
      <c r="B1059" s="7">
        <f t="shared" si="245"/>
        <v>2054</v>
      </c>
      <c r="C1059" s="4" t="s">
        <v>37</v>
      </c>
      <c r="D1059" s="5" t="s">
        <v>2003</v>
      </c>
      <c r="E1059" s="10" t="str">
        <f t="shared" si="243"/>
        <v>PRBND'!</v>
      </c>
      <c r="F1059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59" s="7" t="s">
        <v>102</v>
      </c>
      <c r="H1059" s="4"/>
      <c r="I1059" s="4"/>
      <c r="J1059" s="4"/>
    </row>
    <row r="1060" spans="1:10" x14ac:dyDescent="0.35">
      <c r="A1060" s="7" t="s">
        <v>19</v>
      </c>
      <c r="B1060" s="7">
        <f t="shared" si="245"/>
        <v>2055</v>
      </c>
      <c r="C1060" s="4" t="s">
        <v>37</v>
      </c>
      <c r="D1060" s="5" t="s">
        <v>2003</v>
      </c>
      <c r="E1060" s="10" t="str">
        <f t="shared" si="243"/>
        <v>PRBND'!</v>
      </c>
      <c r="F1060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60" s="7" t="s">
        <v>102</v>
      </c>
      <c r="H1060" s="4"/>
      <c r="I1060" s="4"/>
      <c r="J1060" s="4"/>
    </row>
    <row r="1061" spans="1:10" x14ac:dyDescent="0.35">
      <c r="A1061" s="7" t="s">
        <v>19</v>
      </c>
      <c r="B1061" s="7">
        <f t="shared" si="245"/>
        <v>2056</v>
      </c>
      <c r="C1061" s="4" t="s">
        <v>37</v>
      </c>
      <c r="D1061" s="5" t="s">
        <v>2003</v>
      </c>
      <c r="E1061" s="10" t="str">
        <f t="shared" si="243"/>
        <v>PRBND'!</v>
      </c>
      <c r="F1061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61" s="7" t="s">
        <v>102</v>
      </c>
      <c r="H1061" s="4"/>
      <c r="I1061" s="4"/>
      <c r="J1061" s="4"/>
    </row>
    <row r="1062" spans="1:10" x14ac:dyDescent="0.35">
      <c r="A1062" s="7" t="s">
        <v>19</v>
      </c>
      <c r="B1062" s="7">
        <f t="shared" si="245"/>
        <v>2057</v>
      </c>
      <c r="C1062" s="4" t="s">
        <v>37</v>
      </c>
      <c r="D1062" s="5" t="s">
        <v>2003</v>
      </c>
      <c r="E1062" s="10" t="str">
        <f t="shared" si="243"/>
        <v>PRBND'!</v>
      </c>
      <c r="F1062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62" s="7" t="s">
        <v>102</v>
      </c>
      <c r="H1062" s="4"/>
      <c r="I1062" s="4"/>
      <c r="J1062" s="4"/>
    </row>
    <row r="1063" spans="1:10" x14ac:dyDescent="0.35">
      <c r="A1063" s="7" t="s">
        <v>19</v>
      </c>
      <c r="B1063" s="7">
        <f t="shared" si="245"/>
        <v>2058</v>
      </c>
      <c r="C1063" s="4" t="s">
        <v>37</v>
      </c>
      <c r="D1063" s="5" t="s">
        <v>2003</v>
      </c>
      <c r="E1063" s="10" t="str">
        <f t="shared" si="243"/>
        <v>PRBND'!</v>
      </c>
      <c r="F1063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63" s="7" t="s">
        <v>102</v>
      </c>
      <c r="H1063" s="4"/>
      <c r="I1063" s="4"/>
      <c r="J1063" s="4"/>
    </row>
    <row r="1064" spans="1:10" x14ac:dyDescent="0.35">
      <c r="A1064" s="7" t="s">
        <v>19</v>
      </c>
      <c r="B1064" s="7">
        <f t="shared" si="245"/>
        <v>2059</v>
      </c>
      <c r="C1064" s="4" t="s">
        <v>37</v>
      </c>
      <c r="D1064" s="5" t="s">
        <v>2003</v>
      </c>
      <c r="E1064" s="10" t="str">
        <f t="shared" si="243"/>
        <v>PRBND'!</v>
      </c>
      <c r="F1064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64" s="7" t="s">
        <v>102</v>
      </c>
      <c r="H1064" s="4"/>
      <c r="I1064" s="4"/>
      <c r="J1064" s="4"/>
    </row>
    <row r="1065" spans="1:10" x14ac:dyDescent="0.35">
      <c r="A1065" s="7" t="s">
        <v>26</v>
      </c>
      <c r="B1065" s="7"/>
      <c r="C1065" s="4" t="s">
        <v>37</v>
      </c>
      <c r="D1065" s="5"/>
      <c r="E1065" s="10"/>
      <c r="F1065" s="5" t="str">
        <f t="shared" si="234"/>
        <v xml:space="preserve"> </v>
      </c>
      <c r="G1065" s="7"/>
      <c r="H1065" s="4"/>
      <c r="I1065" s="4"/>
      <c r="J1065" s="4"/>
    </row>
    <row r="1066" spans="1:10" x14ac:dyDescent="0.35">
      <c r="A1066" s="7" t="s">
        <v>20</v>
      </c>
      <c r="B1066" s="7">
        <v>2023</v>
      </c>
      <c r="C1066" s="4" t="s">
        <v>37</v>
      </c>
      <c r="D1066" s="5" t="s">
        <v>2003</v>
      </c>
      <c r="E1066" s="10" t="str">
        <f t="shared" si="216"/>
        <v>PRB'!</v>
      </c>
      <c r="F1066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66" s="7" t="s">
        <v>102</v>
      </c>
      <c r="H1066" s="4">
        <f>IF(A1066&lt;&gt;A936,36,H936+1)</f>
        <v>36</v>
      </c>
      <c r="I1066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PRB'!$BW$36</v>
      </c>
      <c r="J1066" s="4" t="s">
        <v>2485</v>
      </c>
    </row>
    <row r="1067" spans="1:10" x14ac:dyDescent="0.35">
      <c r="A1067" s="7" t="s">
        <v>20</v>
      </c>
      <c r="B1067" s="7">
        <f>+B1066+1</f>
        <v>2024</v>
      </c>
      <c r="C1067" s="4" t="s">
        <v>37</v>
      </c>
      <c r="D1067" s="5" t="s">
        <v>2003</v>
      </c>
      <c r="E1067" s="10" t="str">
        <f t="shared" si="216"/>
        <v>PRB'!</v>
      </c>
      <c r="F1067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67" s="7" t="s">
        <v>102</v>
      </c>
      <c r="H1067" s="4">
        <f t="shared" si="218"/>
        <v>37</v>
      </c>
      <c r="I1067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PRB'!$BW$37</v>
      </c>
      <c r="J1067" s="4" t="s">
        <v>2486</v>
      </c>
    </row>
    <row r="1068" spans="1:10" x14ac:dyDescent="0.35">
      <c r="A1068" s="7" t="s">
        <v>20</v>
      </c>
      <c r="B1068" s="7">
        <f t="shared" ref="B1068:B1079" si="246">+B1067+1</f>
        <v>2025</v>
      </c>
      <c r="C1068" s="4" t="s">
        <v>37</v>
      </c>
      <c r="D1068" s="5" t="s">
        <v>2003</v>
      </c>
      <c r="E1068" s="10" t="str">
        <f t="shared" si="216"/>
        <v>PRB'!</v>
      </c>
      <c r="F1068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68" s="7" t="s">
        <v>102</v>
      </c>
      <c r="H1068" s="4">
        <f t="shared" si="218"/>
        <v>38</v>
      </c>
      <c r="I1068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PRB'!$BW$38</v>
      </c>
      <c r="J1068" s="4" t="s">
        <v>2487</v>
      </c>
    </row>
    <row r="1069" spans="1:10" x14ac:dyDescent="0.35">
      <c r="A1069" s="7" t="s">
        <v>20</v>
      </c>
      <c r="B1069" s="7">
        <f t="shared" si="246"/>
        <v>2026</v>
      </c>
      <c r="C1069" s="4" t="s">
        <v>37</v>
      </c>
      <c r="D1069" s="5" t="s">
        <v>2003</v>
      </c>
      <c r="E1069" s="10" t="str">
        <f t="shared" si="216"/>
        <v>PRB'!</v>
      </c>
      <c r="F1069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69" s="7" t="s">
        <v>102</v>
      </c>
      <c r="H1069" s="4">
        <f t="shared" si="218"/>
        <v>39</v>
      </c>
      <c r="I1069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PRB'!$BW$39</v>
      </c>
      <c r="J1069" s="4" t="s">
        <v>2488</v>
      </c>
    </row>
    <row r="1070" spans="1:10" x14ac:dyDescent="0.35">
      <c r="A1070" s="7" t="s">
        <v>20</v>
      </c>
      <c r="B1070" s="7">
        <f t="shared" si="246"/>
        <v>2027</v>
      </c>
      <c r="C1070" s="4" t="s">
        <v>37</v>
      </c>
      <c r="D1070" s="5" t="s">
        <v>2003</v>
      </c>
      <c r="E1070" s="10" t="str">
        <f t="shared" si="216"/>
        <v>PRB'!</v>
      </c>
      <c r="F1070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70" s="7" t="s">
        <v>102</v>
      </c>
      <c r="H1070" s="4">
        <f t="shared" si="218"/>
        <v>40</v>
      </c>
      <c r="I1070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PRB'!$BW$40</v>
      </c>
      <c r="J1070" s="4" t="s">
        <v>2489</v>
      </c>
    </row>
    <row r="1071" spans="1:10" x14ac:dyDescent="0.35">
      <c r="A1071" s="7" t="s">
        <v>20</v>
      </c>
      <c r="B1071" s="7">
        <f t="shared" si="246"/>
        <v>2028</v>
      </c>
      <c r="C1071" s="4" t="s">
        <v>37</v>
      </c>
      <c r="D1071" s="5" t="s">
        <v>2003</v>
      </c>
      <c r="E1071" s="10" t="str">
        <f t="shared" si="216"/>
        <v>PRB'!</v>
      </c>
      <c r="F1071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71" s="7" t="s">
        <v>102</v>
      </c>
      <c r="H1071" s="4">
        <f t="shared" si="218"/>
        <v>41</v>
      </c>
      <c r="I1071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PRB'!$BW$41</v>
      </c>
      <c r="J1071" s="4" t="s">
        <v>2490</v>
      </c>
    </row>
    <row r="1072" spans="1:10" x14ac:dyDescent="0.35">
      <c r="A1072" s="7" t="s">
        <v>20</v>
      </c>
      <c r="B1072" s="7">
        <f t="shared" si="246"/>
        <v>2029</v>
      </c>
      <c r="C1072" s="4" t="s">
        <v>37</v>
      </c>
      <c r="D1072" s="5" t="s">
        <v>2003</v>
      </c>
      <c r="E1072" s="10" t="str">
        <f t="shared" si="216"/>
        <v>PRB'!</v>
      </c>
      <c r="F1072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72" s="7" t="s">
        <v>102</v>
      </c>
      <c r="H1072" s="4">
        <f t="shared" si="218"/>
        <v>42</v>
      </c>
      <c r="I1072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PRB'!$BW$42</v>
      </c>
      <c r="J1072" s="4" t="s">
        <v>2491</v>
      </c>
    </row>
    <row r="1073" spans="1:10" x14ac:dyDescent="0.35">
      <c r="A1073" s="7" t="s">
        <v>20</v>
      </c>
      <c r="B1073" s="7">
        <f t="shared" si="246"/>
        <v>2030</v>
      </c>
      <c r="C1073" s="4" t="s">
        <v>37</v>
      </c>
      <c r="D1073" s="5" t="s">
        <v>2003</v>
      </c>
      <c r="E1073" s="10" t="str">
        <f t="shared" si="216"/>
        <v>PRB'!</v>
      </c>
      <c r="F1073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73" s="7" t="s">
        <v>102</v>
      </c>
      <c r="H1073" s="4">
        <f t="shared" si="218"/>
        <v>43</v>
      </c>
      <c r="I1073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PRB'!$BW$43</v>
      </c>
      <c r="J1073" s="4" t="s">
        <v>2492</v>
      </c>
    </row>
    <row r="1074" spans="1:10" x14ac:dyDescent="0.35">
      <c r="A1074" s="7" t="s">
        <v>20</v>
      </c>
      <c r="B1074" s="7">
        <f t="shared" si="246"/>
        <v>2031</v>
      </c>
      <c r="C1074" s="4" t="s">
        <v>37</v>
      </c>
      <c r="D1074" s="5" t="s">
        <v>2003</v>
      </c>
      <c r="E1074" s="10" t="str">
        <f t="shared" si="216"/>
        <v>PRB'!</v>
      </c>
      <c r="F1074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74" s="7" t="s">
        <v>102</v>
      </c>
      <c r="H1074" s="4">
        <f t="shared" si="218"/>
        <v>44</v>
      </c>
      <c r="I1074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PRB'!$BW$44</v>
      </c>
      <c r="J1074" s="4" t="s">
        <v>2493</v>
      </c>
    </row>
    <row r="1075" spans="1:10" x14ac:dyDescent="0.35">
      <c r="A1075" s="7" t="s">
        <v>20</v>
      </c>
      <c r="B1075" s="7">
        <f t="shared" si="246"/>
        <v>2032</v>
      </c>
      <c r="C1075" s="4" t="s">
        <v>37</v>
      </c>
      <c r="D1075" s="5" t="s">
        <v>2003</v>
      </c>
      <c r="E1075" s="10" t="str">
        <f t="shared" si="216"/>
        <v>PRB'!</v>
      </c>
      <c r="F1075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75" s="7" t="s">
        <v>102</v>
      </c>
      <c r="H1075" s="4">
        <f t="shared" si="218"/>
        <v>45</v>
      </c>
      <c r="I1075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PRB'!$BW$45</v>
      </c>
      <c r="J1075" s="4" t="s">
        <v>2494</v>
      </c>
    </row>
    <row r="1076" spans="1:10" x14ac:dyDescent="0.35">
      <c r="A1076" s="7" t="s">
        <v>20</v>
      </c>
      <c r="B1076" s="7">
        <f t="shared" si="246"/>
        <v>2033</v>
      </c>
      <c r="C1076" s="4" t="s">
        <v>37</v>
      </c>
      <c r="D1076" s="5" t="s">
        <v>2003</v>
      </c>
      <c r="E1076" s="10" t="str">
        <f t="shared" si="216"/>
        <v>PRB'!</v>
      </c>
      <c r="F1076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76" s="7" t="s">
        <v>102</v>
      </c>
      <c r="H1076" s="4">
        <f t="shared" si="218"/>
        <v>46</v>
      </c>
      <c r="I1076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PRB'!$BW$46</v>
      </c>
      <c r="J1076" s="4" t="s">
        <v>2495</v>
      </c>
    </row>
    <row r="1077" spans="1:10" x14ac:dyDescent="0.35">
      <c r="A1077" s="7" t="s">
        <v>20</v>
      </c>
      <c r="B1077" s="7">
        <f t="shared" si="246"/>
        <v>2034</v>
      </c>
      <c r="C1077" s="4" t="s">
        <v>37</v>
      </c>
      <c r="D1077" s="5" t="s">
        <v>2003</v>
      </c>
      <c r="E1077" s="10" t="str">
        <f t="shared" si="216"/>
        <v>PRB'!</v>
      </c>
      <c r="F1077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77" s="7" t="s">
        <v>102</v>
      </c>
      <c r="H1077" s="4">
        <f t="shared" si="218"/>
        <v>47</v>
      </c>
      <c r="I1077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PRB'!$BW$47</v>
      </c>
      <c r="J1077" s="4" t="s">
        <v>2496</v>
      </c>
    </row>
    <row r="1078" spans="1:10" x14ac:dyDescent="0.35">
      <c r="A1078" s="7" t="s">
        <v>20</v>
      </c>
      <c r="B1078" s="7">
        <f t="shared" si="246"/>
        <v>2035</v>
      </c>
      <c r="C1078" s="4" t="s">
        <v>37</v>
      </c>
      <c r="D1078" s="5" t="s">
        <v>2003</v>
      </c>
      <c r="E1078" s="10" t="str">
        <f t="shared" si="216"/>
        <v>PRB'!</v>
      </c>
      <c r="F1078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78" s="7" t="s">
        <v>102</v>
      </c>
      <c r="H1078" s="4">
        <f t="shared" si="218"/>
        <v>48</v>
      </c>
      <c r="I1078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PRB'!$BW$48</v>
      </c>
      <c r="J1078" s="4" t="s">
        <v>2497</v>
      </c>
    </row>
    <row r="1079" spans="1:10" x14ac:dyDescent="0.35">
      <c r="A1079" s="7" t="s">
        <v>20</v>
      </c>
      <c r="B1079" s="7">
        <f t="shared" si="246"/>
        <v>2036</v>
      </c>
      <c r="C1079" s="4" t="s">
        <v>37</v>
      </c>
      <c r="D1079" s="5" t="s">
        <v>2003</v>
      </c>
      <c r="E1079" s="10" t="str">
        <f t="shared" si="216"/>
        <v>PRB'!</v>
      </c>
      <c r="F1079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79" s="7" t="s">
        <v>102</v>
      </c>
      <c r="H1079" s="4">
        <f t="shared" si="218"/>
        <v>49</v>
      </c>
      <c r="I1079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PRB'!$BW$49</v>
      </c>
      <c r="J1079" s="4" t="s">
        <v>2498</v>
      </c>
    </row>
    <row r="1080" spans="1:10" x14ac:dyDescent="0.35">
      <c r="A1080" s="7" t="s">
        <v>20</v>
      </c>
      <c r="B1080" s="7">
        <f>+B1079+1</f>
        <v>2037</v>
      </c>
      <c r="C1080" s="4" t="s">
        <v>37</v>
      </c>
      <c r="D1080" s="5" t="s">
        <v>2003</v>
      </c>
      <c r="E1080" s="10" t="str">
        <f t="shared" si="216"/>
        <v>PRB'!</v>
      </c>
      <c r="F1080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80" s="7" t="s">
        <v>102</v>
      </c>
      <c r="H1080" s="4">
        <f t="shared" si="218"/>
        <v>50</v>
      </c>
      <c r="I1080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PRB'!$BW$50</v>
      </c>
      <c r="J1080" s="4" t="s">
        <v>2499</v>
      </c>
    </row>
    <row r="1081" spans="1:10" x14ac:dyDescent="0.35">
      <c r="A1081" s="7" t="s">
        <v>20</v>
      </c>
      <c r="B1081" s="7">
        <f t="shared" ref="B1081:B1083" si="247">+B1080+1</f>
        <v>2038</v>
      </c>
      <c r="C1081" s="4" t="s">
        <v>37</v>
      </c>
      <c r="D1081" s="5" t="s">
        <v>2003</v>
      </c>
      <c r="E1081" s="10" t="str">
        <f t="shared" si="216"/>
        <v>PRB'!</v>
      </c>
      <c r="F1081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81" s="7" t="s">
        <v>102</v>
      </c>
      <c r="H1081" s="4">
        <f t="shared" si="218"/>
        <v>51</v>
      </c>
      <c r="I1081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PRB'!$BW$51</v>
      </c>
      <c r="J1081" s="4" t="s">
        <v>2500</v>
      </c>
    </row>
    <row r="1082" spans="1:10" x14ac:dyDescent="0.35">
      <c r="A1082" s="7" t="s">
        <v>20</v>
      </c>
      <c r="B1082" s="7">
        <f t="shared" si="247"/>
        <v>2039</v>
      </c>
      <c r="C1082" s="4" t="s">
        <v>37</v>
      </c>
      <c r="D1082" s="5" t="s">
        <v>2003</v>
      </c>
      <c r="E1082" s="10" t="str">
        <f t="shared" si="216"/>
        <v>PRB'!</v>
      </c>
      <c r="F1082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82" s="7" t="s">
        <v>102</v>
      </c>
      <c r="H1082" s="4">
        <f t="shared" si="218"/>
        <v>52</v>
      </c>
      <c r="I1082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PRB'!$BW$52</v>
      </c>
      <c r="J1082" s="4" t="s">
        <v>2501</v>
      </c>
    </row>
    <row r="1083" spans="1:10" x14ac:dyDescent="0.35">
      <c r="A1083" s="7" t="s">
        <v>20</v>
      </c>
      <c r="B1083" s="7">
        <f t="shared" si="247"/>
        <v>2040</v>
      </c>
      <c r="C1083" s="4" t="s">
        <v>37</v>
      </c>
      <c r="D1083" s="5" t="s">
        <v>2003</v>
      </c>
      <c r="E1083" s="10" t="str">
        <f t="shared" si="216"/>
        <v>PRB'!</v>
      </c>
      <c r="F1083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83" s="7" t="s">
        <v>102</v>
      </c>
      <c r="H1083" s="4">
        <f t="shared" si="218"/>
        <v>53</v>
      </c>
      <c r="I1083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PRB'!$BW$53</v>
      </c>
      <c r="J1083" s="4" t="s">
        <v>2502</v>
      </c>
    </row>
    <row r="1084" spans="1:10" x14ac:dyDescent="0.35">
      <c r="A1084" s="7" t="s">
        <v>20</v>
      </c>
      <c r="B1084" s="7">
        <f>+B1083+1</f>
        <v>2041</v>
      </c>
      <c r="C1084" s="4" t="s">
        <v>37</v>
      </c>
      <c r="D1084" s="5" t="s">
        <v>2003</v>
      </c>
      <c r="E1084" s="10" t="str">
        <f t="shared" si="216"/>
        <v>PRB'!</v>
      </c>
      <c r="F1084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84" s="7" t="s">
        <v>102</v>
      </c>
      <c r="H1084" s="4">
        <f t="shared" si="218"/>
        <v>54</v>
      </c>
      <c r="I1084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PRB'!$BW$54</v>
      </c>
      <c r="J1084" s="4" t="s">
        <v>2503</v>
      </c>
    </row>
    <row r="1085" spans="1:10" x14ac:dyDescent="0.35">
      <c r="A1085" s="7" t="s">
        <v>20</v>
      </c>
      <c r="B1085" s="7">
        <f t="shared" ref="B1085:B1086" si="248">+B1084+1</f>
        <v>2042</v>
      </c>
      <c r="C1085" s="4" t="s">
        <v>37</v>
      </c>
      <c r="D1085" s="5" t="s">
        <v>2003</v>
      </c>
      <c r="E1085" s="10" t="str">
        <f t="shared" si="216"/>
        <v>PRB'!</v>
      </c>
      <c r="F1085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85" s="7" t="s">
        <v>102</v>
      </c>
      <c r="H1085" s="4">
        <f t="shared" si="218"/>
        <v>55</v>
      </c>
      <c r="I1085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PRB'!$BW$55</v>
      </c>
      <c r="J1085" s="4" t="s">
        <v>2504</v>
      </c>
    </row>
    <row r="1086" spans="1:10" x14ac:dyDescent="0.35">
      <c r="A1086" s="7" t="s">
        <v>20</v>
      </c>
      <c r="B1086" s="7">
        <f t="shared" si="248"/>
        <v>2043</v>
      </c>
      <c r="C1086" s="4" t="s">
        <v>37</v>
      </c>
      <c r="D1086" s="5" t="s">
        <v>2003</v>
      </c>
      <c r="E1086" s="10" t="str">
        <f t="shared" si="216"/>
        <v>PRB'!</v>
      </c>
      <c r="F1086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86" s="7" t="s">
        <v>102</v>
      </c>
      <c r="H1086" s="4">
        <f t="shared" si="218"/>
        <v>56</v>
      </c>
      <c r="I1086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PRB'!$BW$56</v>
      </c>
      <c r="J1086" s="4" t="s">
        <v>2505</v>
      </c>
    </row>
    <row r="1087" spans="1:10" x14ac:dyDescent="0.35">
      <c r="A1087" s="7" t="s">
        <v>20</v>
      </c>
      <c r="B1087" s="7">
        <f>+B1086+1</f>
        <v>2044</v>
      </c>
      <c r="C1087" s="4" t="s">
        <v>37</v>
      </c>
      <c r="D1087" s="5" t="s">
        <v>2003</v>
      </c>
      <c r="E1087" s="10" t="str">
        <f t="shared" ref="E1087:E1102" si="249">_xlfn.CONCAT(A1087,"'!")</f>
        <v>PRB'!</v>
      </c>
      <c r="F1087" s="5" t="str">
        <f t="shared" ref="F1087:F1102" si="250">_xlfn.CONCAT(D1087," ",E1087)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87" s="7" t="s">
        <v>102</v>
      </c>
      <c r="H1087" s="4">
        <f t="shared" ref="H1087:H1102" si="251">IF(A1087&lt;&gt;A1086,36,H1086+1)</f>
        <v>57</v>
      </c>
      <c r="I1087" s="4" t="str">
        <f t="shared" ref="I1087:I1102" si="252">_xlfn.CONCAT("='",F1087:H1087)</f>
        <v>='C:\Users\jaime.benazar\Quorum Business Solutions\Ecopetrol Prometeo - Documents\Planning Space Implementation\3. Analysis &amp; Design\Design\FC22\DRR Jaime\Por presentar a ECP\Cantagallo\Cristalina\[VRC_CRISTALINA_CF_SEC_20221231.xlsx]CF PRB'!$BW$57</v>
      </c>
      <c r="J1087" s="4" t="s">
        <v>2506</v>
      </c>
    </row>
    <row r="1088" spans="1:10" x14ac:dyDescent="0.35">
      <c r="A1088" s="7" t="s">
        <v>20</v>
      </c>
      <c r="B1088" s="7">
        <f t="shared" ref="B1088:B1102" si="253">+B1087+1</f>
        <v>2045</v>
      </c>
      <c r="C1088" s="4" t="s">
        <v>37</v>
      </c>
      <c r="D1088" s="5" t="s">
        <v>2003</v>
      </c>
      <c r="E1088" s="10" t="str">
        <f t="shared" si="249"/>
        <v>PRB'!</v>
      </c>
      <c r="F1088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88" s="7" t="s">
        <v>102</v>
      </c>
      <c r="H1088" s="4">
        <f t="shared" si="251"/>
        <v>58</v>
      </c>
      <c r="I1088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PRB'!$BW$58</v>
      </c>
      <c r="J1088" s="4" t="s">
        <v>2507</v>
      </c>
    </row>
    <row r="1089" spans="1:10" x14ac:dyDescent="0.35">
      <c r="A1089" s="7" t="s">
        <v>20</v>
      </c>
      <c r="B1089" s="7">
        <f t="shared" si="253"/>
        <v>2046</v>
      </c>
      <c r="C1089" s="4" t="s">
        <v>37</v>
      </c>
      <c r="D1089" s="5" t="s">
        <v>2003</v>
      </c>
      <c r="E1089" s="10" t="str">
        <f t="shared" si="249"/>
        <v>PRB'!</v>
      </c>
      <c r="F1089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89" s="7" t="s">
        <v>102</v>
      </c>
      <c r="H1089" s="4">
        <f t="shared" si="251"/>
        <v>59</v>
      </c>
      <c r="I1089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PRB'!$BW$59</v>
      </c>
      <c r="J1089" s="4" t="s">
        <v>2508</v>
      </c>
    </row>
    <row r="1090" spans="1:10" x14ac:dyDescent="0.35">
      <c r="A1090" s="7" t="s">
        <v>20</v>
      </c>
      <c r="B1090" s="7">
        <f t="shared" si="253"/>
        <v>2047</v>
      </c>
      <c r="C1090" s="4" t="s">
        <v>37</v>
      </c>
      <c r="D1090" s="5" t="s">
        <v>2003</v>
      </c>
      <c r="E1090" s="10" t="str">
        <f t="shared" si="249"/>
        <v>PRB'!</v>
      </c>
      <c r="F1090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90" s="7" t="s">
        <v>102</v>
      </c>
      <c r="H1090" s="4">
        <f t="shared" si="251"/>
        <v>60</v>
      </c>
      <c r="I1090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PRB'!$BW$60</v>
      </c>
      <c r="J1090" s="4" t="s">
        <v>2509</v>
      </c>
    </row>
    <row r="1091" spans="1:10" x14ac:dyDescent="0.35">
      <c r="A1091" s="7" t="s">
        <v>20</v>
      </c>
      <c r="B1091" s="7">
        <f t="shared" si="253"/>
        <v>2048</v>
      </c>
      <c r="C1091" s="4" t="s">
        <v>37</v>
      </c>
      <c r="D1091" s="5" t="s">
        <v>2003</v>
      </c>
      <c r="E1091" s="10" t="str">
        <f t="shared" si="249"/>
        <v>PRB'!</v>
      </c>
      <c r="F1091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91" s="7" t="s">
        <v>102</v>
      </c>
      <c r="H1091" s="4">
        <f t="shared" si="251"/>
        <v>61</v>
      </c>
      <c r="I1091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PRB'!$BW$61</v>
      </c>
      <c r="J1091" s="4" t="s">
        <v>2510</v>
      </c>
    </row>
    <row r="1092" spans="1:10" x14ac:dyDescent="0.35">
      <c r="A1092" s="7" t="s">
        <v>20</v>
      </c>
      <c r="B1092" s="7">
        <f t="shared" si="253"/>
        <v>2049</v>
      </c>
      <c r="C1092" s="4" t="s">
        <v>37</v>
      </c>
      <c r="D1092" s="5" t="s">
        <v>2003</v>
      </c>
      <c r="E1092" s="10" t="str">
        <f t="shared" si="249"/>
        <v>PRB'!</v>
      </c>
      <c r="F1092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92" s="7" t="s">
        <v>102</v>
      </c>
      <c r="H1092" s="4">
        <f t="shared" si="251"/>
        <v>62</v>
      </c>
      <c r="I1092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PRB'!$BW$62</v>
      </c>
      <c r="J1092" s="4" t="s">
        <v>2511</v>
      </c>
    </row>
    <row r="1093" spans="1:10" x14ac:dyDescent="0.35">
      <c r="A1093" s="7" t="s">
        <v>20</v>
      </c>
      <c r="B1093" s="7">
        <f t="shared" si="253"/>
        <v>2050</v>
      </c>
      <c r="C1093" s="4" t="s">
        <v>37</v>
      </c>
      <c r="D1093" s="5" t="s">
        <v>2003</v>
      </c>
      <c r="E1093" s="10" t="str">
        <f t="shared" si="249"/>
        <v>PRB'!</v>
      </c>
      <c r="F1093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93" s="7" t="s">
        <v>102</v>
      </c>
      <c r="H1093" s="4">
        <f t="shared" si="251"/>
        <v>63</v>
      </c>
      <c r="I1093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PRB'!$BW$63</v>
      </c>
      <c r="J1093" s="4" t="s">
        <v>2512</v>
      </c>
    </row>
    <row r="1094" spans="1:10" x14ac:dyDescent="0.35">
      <c r="A1094" s="7" t="s">
        <v>20</v>
      </c>
      <c r="B1094" s="7">
        <f t="shared" si="253"/>
        <v>2051</v>
      </c>
      <c r="C1094" s="4" t="s">
        <v>37</v>
      </c>
      <c r="D1094" s="5" t="s">
        <v>2003</v>
      </c>
      <c r="E1094" s="10" t="str">
        <f t="shared" si="249"/>
        <v>PRB'!</v>
      </c>
      <c r="F1094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94" s="7" t="s">
        <v>102</v>
      </c>
      <c r="H1094" s="4">
        <f t="shared" si="251"/>
        <v>64</v>
      </c>
      <c r="I1094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PRB'!$BW$64</v>
      </c>
      <c r="J1094" s="4" t="s">
        <v>2513</v>
      </c>
    </row>
    <row r="1095" spans="1:10" x14ac:dyDescent="0.35">
      <c r="A1095" s="7" t="s">
        <v>20</v>
      </c>
      <c r="B1095" s="7">
        <f t="shared" si="253"/>
        <v>2052</v>
      </c>
      <c r="C1095" s="4" t="s">
        <v>37</v>
      </c>
      <c r="D1095" s="5" t="s">
        <v>2003</v>
      </c>
      <c r="E1095" s="10" t="str">
        <f t="shared" si="249"/>
        <v>PRB'!</v>
      </c>
      <c r="F1095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95" s="7" t="s">
        <v>102</v>
      </c>
      <c r="H1095" s="4">
        <f t="shared" si="251"/>
        <v>65</v>
      </c>
      <c r="I1095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PRB'!$BW$65</v>
      </c>
      <c r="J1095" s="4" t="s">
        <v>2514</v>
      </c>
    </row>
    <row r="1096" spans="1:10" x14ac:dyDescent="0.35">
      <c r="A1096" s="7" t="s">
        <v>20</v>
      </c>
      <c r="B1096" s="7">
        <f t="shared" si="253"/>
        <v>2053</v>
      </c>
      <c r="C1096" s="4" t="s">
        <v>37</v>
      </c>
      <c r="D1096" s="5" t="s">
        <v>2003</v>
      </c>
      <c r="E1096" s="10" t="str">
        <f t="shared" si="249"/>
        <v>PRB'!</v>
      </c>
      <c r="F1096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96" s="7" t="s">
        <v>102</v>
      </c>
      <c r="H1096" s="4">
        <f t="shared" si="251"/>
        <v>66</v>
      </c>
      <c r="I1096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PRB'!$BW$66</v>
      </c>
      <c r="J1096" s="4" t="s">
        <v>2515</v>
      </c>
    </row>
    <row r="1097" spans="1:10" x14ac:dyDescent="0.35">
      <c r="A1097" s="7" t="s">
        <v>20</v>
      </c>
      <c r="B1097" s="7">
        <f t="shared" si="253"/>
        <v>2054</v>
      </c>
      <c r="C1097" s="4" t="s">
        <v>37</v>
      </c>
      <c r="D1097" s="5" t="s">
        <v>2003</v>
      </c>
      <c r="E1097" s="10" t="str">
        <f t="shared" si="249"/>
        <v>PRB'!</v>
      </c>
      <c r="F1097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97" s="7" t="s">
        <v>102</v>
      </c>
      <c r="H1097" s="4">
        <f t="shared" si="251"/>
        <v>67</v>
      </c>
      <c r="I1097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PRB'!$BW$67</v>
      </c>
      <c r="J1097" s="4" t="s">
        <v>2516</v>
      </c>
    </row>
    <row r="1098" spans="1:10" x14ac:dyDescent="0.35">
      <c r="A1098" s="7" t="s">
        <v>20</v>
      </c>
      <c r="B1098" s="7">
        <f t="shared" si="253"/>
        <v>2055</v>
      </c>
      <c r="C1098" s="4" t="s">
        <v>37</v>
      </c>
      <c r="D1098" s="5" t="s">
        <v>2003</v>
      </c>
      <c r="E1098" s="10" t="str">
        <f t="shared" si="249"/>
        <v>PRB'!</v>
      </c>
      <c r="F1098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98" s="7" t="s">
        <v>102</v>
      </c>
      <c r="H1098" s="4">
        <f t="shared" si="251"/>
        <v>68</v>
      </c>
      <c r="I1098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PRB'!$BW$68</v>
      </c>
      <c r="J1098" s="4" t="s">
        <v>2517</v>
      </c>
    </row>
    <row r="1099" spans="1:10" x14ac:dyDescent="0.35">
      <c r="A1099" s="7" t="s">
        <v>20</v>
      </c>
      <c r="B1099" s="7">
        <f t="shared" si="253"/>
        <v>2056</v>
      </c>
      <c r="C1099" s="4" t="s">
        <v>37</v>
      </c>
      <c r="D1099" s="5" t="s">
        <v>2003</v>
      </c>
      <c r="E1099" s="10" t="str">
        <f t="shared" si="249"/>
        <v>PRB'!</v>
      </c>
      <c r="F1099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99" s="7" t="s">
        <v>102</v>
      </c>
      <c r="H1099" s="4">
        <f t="shared" si="251"/>
        <v>69</v>
      </c>
      <c r="I1099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PRB'!$BW$69</v>
      </c>
      <c r="J1099" s="4" t="s">
        <v>2518</v>
      </c>
    </row>
    <row r="1100" spans="1:10" x14ac:dyDescent="0.35">
      <c r="A1100" s="7" t="s">
        <v>20</v>
      </c>
      <c r="B1100" s="7">
        <f t="shared" si="253"/>
        <v>2057</v>
      </c>
      <c r="C1100" s="4" t="s">
        <v>37</v>
      </c>
      <c r="D1100" s="5" t="s">
        <v>2003</v>
      </c>
      <c r="E1100" s="10" t="str">
        <f t="shared" si="249"/>
        <v>PRB'!</v>
      </c>
      <c r="F1100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100" s="7" t="s">
        <v>102</v>
      </c>
      <c r="H1100" s="4">
        <f t="shared" si="251"/>
        <v>70</v>
      </c>
      <c r="I1100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PRB'!$BW$70</v>
      </c>
      <c r="J1100" s="4" t="s">
        <v>2519</v>
      </c>
    </row>
    <row r="1101" spans="1:10" x14ac:dyDescent="0.35">
      <c r="A1101" s="7" t="s">
        <v>20</v>
      </c>
      <c r="B1101" s="7">
        <f t="shared" si="253"/>
        <v>2058</v>
      </c>
      <c r="C1101" s="4" t="s">
        <v>37</v>
      </c>
      <c r="D1101" s="5" t="s">
        <v>2003</v>
      </c>
      <c r="E1101" s="10" t="str">
        <f t="shared" si="249"/>
        <v>PRB'!</v>
      </c>
      <c r="F1101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101" s="7" t="s">
        <v>102</v>
      </c>
      <c r="H1101" s="4">
        <f t="shared" si="251"/>
        <v>71</v>
      </c>
      <c r="I1101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PRB'!$BW$71</v>
      </c>
      <c r="J1101" s="4" t="s">
        <v>2520</v>
      </c>
    </row>
    <row r="1102" spans="1:10" x14ac:dyDescent="0.35">
      <c r="A1102" s="7" t="s">
        <v>20</v>
      </c>
      <c r="B1102" s="7">
        <f t="shared" si="253"/>
        <v>2059</v>
      </c>
      <c r="C1102" s="4" t="s">
        <v>37</v>
      </c>
      <c r="D1102" s="5" t="s">
        <v>2003</v>
      </c>
      <c r="E1102" s="10" t="str">
        <f t="shared" si="249"/>
        <v>PRB'!</v>
      </c>
      <c r="F1102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102" s="7" t="s">
        <v>102</v>
      </c>
      <c r="H1102" s="4">
        <f t="shared" si="251"/>
        <v>72</v>
      </c>
      <c r="I1102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PRB'!$BW$72</v>
      </c>
      <c r="J1102" s="4" t="s">
        <v>2521</v>
      </c>
    </row>
    <row r="1103" spans="1:10" x14ac:dyDescent="0.35">
      <c r="A1103" s="7" t="s">
        <v>26</v>
      </c>
      <c r="B1103" s="7"/>
      <c r="C1103" s="4" t="s">
        <v>37</v>
      </c>
      <c r="D1103" s="5"/>
      <c r="E1103" s="10"/>
      <c r="F1103" s="5" t="str">
        <f t="shared" si="234"/>
        <v xml:space="preserve"> </v>
      </c>
      <c r="G1103" s="7"/>
      <c r="H1103" s="4"/>
      <c r="I1103" s="4"/>
      <c r="J1103" s="4"/>
    </row>
    <row r="1104" spans="1:10" x14ac:dyDescent="0.35">
      <c r="A1104" s="7" t="s">
        <v>21</v>
      </c>
      <c r="B1104" s="7">
        <v>2023</v>
      </c>
      <c r="C1104" s="4" t="s">
        <v>37</v>
      </c>
      <c r="D1104" s="5" t="s">
        <v>2003</v>
      </c>
      <c r="E1104" s="10" t="str">
        <f t="shared" ref="E1104:E1124" si="254">_xlfn.CONCAT(A1104,"'!")</f>
        <v>PSDP'!</v>
      </c>
      <c r="F1104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04" s="7" t="s">
        <v>102</v>
      </c>
      <c r="H1104" s="4"/>
      <c r="I1104" s="4"/>
      <c r="J1104" s="4"/>
    </row>
    <row r="1105" spans="1:10" x14ac:dyDescent="0.35">
      <c r="A1105" s="7" t="s">
        <v>21</v>
      </c>
      <c r="B1105" s="7">
        <f>+B1104+1</f>
        <v>2024</v>
      </c>
      <c r="C1105" s="4" t="s">
        <v>37</v>
      </c>
      <c r="D1105" s="5" t="s">
        <v>2003</v>
      </c>
      <c r="E1105" s="10" t="str">
        <f t="shared" si="254"/>
        <v>PSDP'!</v>
      </c>
      <c r="F1105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05" s="7" t="s">
        <v>102</v>
      </c>
      <c r="H1105" s="4"/>
      <c r="I1105" s="4"/>
      <c r="J1105" s="4"/>
    </row>
    <row r="1106" spans="1:10" x14ac:dyDescent="0.35">
      <c r="A1106" s="7" t="s">
        <v>21</v>
      </c>
      <c r="B1106" s="7">
        <f t="shared" ref="B1106:B1117" si="255">+B1105+1</f>
        <v>2025</v>
      </c>
      <c r="C1106" s="4" t="s">
        <v>37</v>
      </c>
      <c r="D1106" s="5" t="s">
        <v>2003</v>
      </c>
      <c r="E1106" s="10" t="str">
        <f t="shared" si="254"/>
        <v>PSDP'!</v>
      </c>
      <c r="F1106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06" s="7" t="s">
        <v>102</v>
      </c>
      <c r="H1106" s="4"/>
      <c r="I1106" s="4"/>
      <c r="J1106" s="4"/>
    </row>
    <row r="1107" spans="1:10" x14ac:dyDescent="0.35">
      <c r="A1107" s="7" t="s">
        <v>21</v>
      </c>
      <c r="B1107" s="7">
        <f t="shared" si="255"/>
        <v>2026</v>
      </c>
      <c r="C1107" s="4" t="s">
        <v>37</v>
      </c>
      <c r="D1107" s="5" t="s">
        <v>2003</v>
      </c>
      <c r="E1107" s="10" t="str">
        <f t="shared" si="254"/>
        <v>PSDP'!</v>
      </c>
      <c r="F1107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07" s="7" t="s">
        <v>102</v>
      </c>
      <c r="H1107" s="4"/>
      <c r="I1107" s="4"/>
      <c r="J1107" s="4"/>
    </row>
    <row r="1108" spans="1:10" x14ac:dyDescent="0.35">
      <c r="A1108" s="7" t="s">
        <v>21</v>
      </c>
      <c r="B1108" s="7">
        <f t="shared" si="255"/>
        <v>2027</v>
      </c>
      <c r="C1108" s="4" t="s">
        <v>37</v>
      </c>
      <c r="D1108" s="5" t="s">
        <v>2003</v>
      </c>
      <c r="E1108" s="10" t="str">
        <f t="shared" si="254"/>
        <v>PSDP'!</v>
      </c>
      <c r="F1108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08" s="7" t="s">
        <v>102</v>
      </c>
      <c r="H1108" s="4"/>
      <c r="I1108" s="4"/>
      <c r="J1108" s="4"/>
    </row>
    <row r="1109" spans="1:10" x14ac:dyDescent="0.35">
      <c r="A1109" s="7" t="s">
        <v>21</v>
      </c>
      <c r="B1109" s="7">
        <f t="shared" si="255"/>
        <v>2028</v>
      </c>
      <c r="C1109" s="4" t="s">
        <v>37</v>
      </c>
      <c r="D1109" s="5" t="s">
        <v>2003</v>
      </c>
      <c r="E1109" s="10" t="str">
        <f t="shared" si="254"/>
        <v>PSDP'!</v>
      </c>
      <c r="F1109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09" s="7" t="s">
        <v>102</v>
      </c>
      <c r="H1109" s="4"/>
      <c r="I1109" s="4"/>
      <c r="J1109" s="4"/>
    </row>
    <row r="1110" spans="1:10" x14ac:dyDescent="0.35">
      <c r="A1110" s="7" t="s">
        <v>21</v>
      </c>
      <c r="B1110" s="7">
        <f t="shared" si="255"/>
        <v>2029</v>
      </c>
      <c r="C1110" s="4" t="s">
        <v>37</v>
      </c>
      <c r="D1110" s="5" t="s">
        <v>2003</v>
      </c>
      <c r="E1110" s="10" t="str">
        <f t="shared" si="254"/>
        <v>PSDP'!</v>
      </c>
      <c r="F1110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10" s="7" t="s">
        <v>102</v>
      </c>
      <c r="H1110" s="4"/>
      <c r="I1110" s="4"/>
      <c r="J1110" s="4"/>
    </row>
    <row r="1111" spans="1:10" x14ac:dyDescent="0.35">
      <c r="A1111" s="7" t="s">
        <v>21</v>
      </c>
      <c r="B1111" s="7">
        <f t="shared" si="255"/>
        <v>2030</v>
      </c>
      <c r="C1111" s="4" t="s">
        <v>37</v>
      </c>
      <c r="D1111" s="5" t="s">
        <v>2003</v>
      </c>
      <c r="E1111" s="10" t="str">
        <f t="shared" si="254"/>
        <v>PSDP'!</v>
      </c>
      <c r="F1111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11" s="7" t="s">
        <v>102</v>
      </c>
      <c r="H1111" s="4"/>
      <c r="I1111" s="4"/>
      <c r="J1111" s="4"/>
    </row>
    <row r="1112" spans="1:10" x14ac:dyDescent="0.35">
      <c r="A1112" s="7" t="s">
        <v>21</v>
      </c>
      <c r="B1112" s="7">
        <f t="shared" si="255"/>
        <v>2031</v>
      </c>
      <c r="C1112" s="4" t="s">
        <v>37</v>
      </c>
      <c r="D1112" s="5" t="s">
        <v>2003</v>
      </c>
      <c r="E1112" s="10" t="str">
        <f t="shared" si="254"/>
        <v>PSDP'!</v>
      </c>
      <c r="F1112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12" s="7" t="s">
        <v>102</v>
      </c>
      <c r="H1112" s="4"/>
      <c r="I1112" s="4"/>
      <c r="J1112" s="4"/>
    </row>
    <row r="1113" spans="1:10" x14ac:dyDescent="0.35">
      <c r="A1113" s="7" t="s">
        <v>21</v>
      </c>
      <c r="B1113" s="7">
        <f t="shared" si="255"/>
        <v>2032</v>
      </c>
      <c r="C1113" s="4" t="s">
        <v>37</v>
      </c>
      <c r="D1113" s="5" t="s">
        <v>2003</v>
      </c>
      <c r="E1113" s="10" t="str">
        <f t="shared" si="254"/>
        <v>PSDP'!</v>
      </c>
      <c r="F1113" s="5" t="str">
        <f t="shared" ref="F1113:F1218" si="256">_xlfn.CONCAT(D1113," ",E1113)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13" s="7" t="s">
        <v>102</v>
      </c>
      <c r="H1113" s="4"/>
      <c r="I1113" s="4"/>
      <c r="J1113" s="4"/>
    </row>
    <row r="1114" spans="1:10" x14ac:dyDescent="0.35">
      <c r="A1114" s="7" t="s">
        <v>21</v>
      </c>
      <c r="B1114" s="7">
        <f t="shared" si="255"/>
        <v>2033</v>
      </c>
      <c r="C1114" s="4" t="s">
        <v>37</v>
      </c>
      <c r="D1114" s="5" t="s">
        <v>2003</v>
      </c>
      <c r="E1114" s="10" t="str">
        <f t="shared" si="254"/>
        <v>PSDP'!</v>
      </c>
      <c r="F1114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14" s="7" t="s">
        <v>102</v>
      </c>
      <c r="H1114" s="4"/>
      <c r="I1114" s="4"/>
      <c r="J1114" s="4"/>
    </row>
    <row r="1115" spans="1:10" x14ac:dyDescent="0.35">
      <c r="A1115" s="7" t="s">
        <v>21</v>
      </c>
      <c r="B1115" s="7">
        <f t="shared" si="255"/>
        <v>2034</v>
      </c>
      <c r="C1115" s="4" t="s">
        <v>37</v>
      </c>
      <c r="D1115" s="5" t="s">
        <v>2003</v>
      </c>
      <c r="E1115" s="10" t="str">
        <f t="shared" si="254"/>
        <v>PSDP'!</v>
      </c>
      <c r="F1115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15" s="7" t="s">
        <v>102</v>
      </c>
      <c r="H1115" s="4"/>
      <c r="I1115" s="4"/>
      <c r="J1115" s="4"/>
    </row>
    <row r="1116" spans="1:10" x14ac:dyDescent="0.35">
      <c r="A1116" s="7" t="s">
        <v>21</v>
      </c>
      <c r="B1116" s="7">
        <f t="shared" si="255"/>
        <v>2035</v>
      </c>
      <c r="C1116" s="4" t="s">
        <v>37</v>
      </c>
      <c r="D1116" s="5" t="s">
        <v>2003</v>
      </c>
      <c r="E1116" s="10" t="str">
        <f t="shared" si="254"/>
        <v>PSDP'!</v>
      </c>
      <c r="F1116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16" s="7" t="s">
        <v>102</v>
      </c>
      <c r="H1116" s="4"/>
      <c r="I1116" s="4"/>
      <c r="J1116" s="4"/>
    </row>
    <row r="1117" spans="1:10" x14ac:dyDescent="0.35">
      <c r="A1117" s="7" t="s">
        <v>21</v>
      </c>
      <c r="B1117" s="7">
        <f t="shared" si="255"/>
        <v>2036</v>
      </c>
      <c r="C1117" s="4" t="s">
        <v>37</v>
      </c>
      <c r="D1117" s="5" t="s">
        <v>2003</v>
      </c>
      <c r="E1117" s="10" t="str">
        <f t="shared" si="254"/>
        <v>PSDP'!</v>
      </c>
      <c r="F1117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17" s="7" t="s">
        <v>102</v>
      </c>
      <c r="H1117" s="4"/>
      <c r="I1117" s="4"/>
      <c r="J1117" s="4"/>
    </row>
    <row r="1118" spans="1:10" x14ac:dyDescent="0.35">
      <c r="A1118" s="7" t="s">
        <v>21</v>
      </c>
      <c r="B1118" s="7">
        <f>+B1117+1</f>
        <v>2037</v>
      </c>
      <c r="C1118" s="4" t="s">
        <v>37</v>
      </c>
      <c r="D1118" s="5" t="s">
        <v>2003</v>
      </c>
      <c r="E1118" s="10" t="str">
        <f t="shared" si="254"/>
        <v>PSDP'!</v>
      </c>
      <c r="F1118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18" s="7" t="s">
        <v>102</v>
      </c>
      <c r="H1118" s="4"/>
      <c r="I1118" s="4"/>
      <c r="J1118" s="4"/>
    </row>
    <row r="1119" spans="1:10" x14ac:dyDescent="0.35">
      <c r="A1119" s="7" t="s">
        <v>21</v>
      </c>
      <c r="B1119" s="7">
        <f t="shared" ref="B1119:B1121" si="257">+B1118+1</f>
        <v>2038</v>
      </c>
      <c r="C1119" s="4" t="s">
        <v>37</v>
      </c>
      <c r="D1119" s="5" t="s">
        <v>2003</v>
      </c>
      <c r="E1119" s="10" t="str">
        <f t="shared" si="254"/>
        <v>PSDP'!</v>
      </c>
      <c r="F1119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19" s="7" t="s">
        <v>102</v>
      </c>
      <c r="H1119" s="4"/>
      <c r="I1119" s="4"/>
      <c r="J1119" s="4"/>
    </row>
    <row r="1120" spans="1:10" x14ac:dyDescent="0.35">
      <c r="A1120" s="7" t="s">
        <v>21</v>
      </c>
      <c r="B1120" s="7">
        <f t="shared" si="257"/>
        <v>2039</v>
      </c>
      <c r="C1120" s="4" t="s">
        <v>37</v>
      </c>
      <c r="D1120" s="5" t="s">
        <v>2003</v>
      </c>
      <c r="E1120" s="10" t="str">
        <f t="shared" si="254"/>
        <v>PSDP'!</v>
      </c>
      <c r="F1120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20" s="7" t="s">
        <v>102</v>
      </c>
      <c r="H1120" s="4"/>
      <c r="I1120" s="4"/>
      <c r="J1120" s="4"/>
    </row>
    <row r="1121" spans="1:10" x14ac:dyDescent="0.35">
      <c r="A1121" s="7" t="s">
        <v>21</v>
      </c>
      <c r="B1121" s="7">
        <f t="shared" si="257"/>
        <v>2040</v>
      </c>
      <c r="C1121" s="4" t="s">
        <v>37</v>
      </c>
      <c r="D1121" s="5" t="s">
        <v>2003</v>
      </c>
      <c r="E1121" s="10" t="str">
        <f t="shared" si="254"/>
        <v>PSDP'!</v>
      </c>
      <c r="F1121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21" s="7" t="s">
        <v>102</v>
      </c>
      <c r="H1121" s="4"/>
      <c r="I1121" s="4"/>
      <c r="J1121" s="4"/>
    </row>
    <row r="1122" spans="1:10" x14ac:dyDescent="0.35">
      <c r="A1122" s="7" t="s">
        <v>21</v>
      </c>
      <c r="B1122" s="7">
        <f>+B1121+1</f>
        <v>2041</v>
      </c>
      <c r="C1122" s="4" t="s">
        <v>37</v>
      </c>
      <c r="D1122" s="5" t="s">
        <v>2003</v>
      </c>
      <c r="E1122" s="10" t="str">
        <f t="shared" si="254"/>
        <v>PSDP'!</v>
      </c>
      <c r="F1122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22" s="7" t="s">
        <v>102</v>
      </c>
      <c r="H1122" s="4"/>
      <c r="I1122" s="4"/>
      <c r="J1122" s="4"/>
    </row>
    <row r="1123" spans="1:10" x14ac:dyDescent="0.35">
      <c r="A1123" s="7" t="s">
        <v>21</v>
      </c>
      <c r="B1123" s="7">
        <f t="shared" ref="B1123:B1124" si="258">+B1122+1</f>
        <v>2042</v>
      </c>
      <c r="C1123" s="4" t="s">
        <v>37</v>
      </c>
      <c r="D1123" s="5" t="s">
        <v>2003</v>
      </c>
      <c r="E1123" s="10" t="str">
        <f t="shared" si="254"/>
        <v>PSDP'!</v>
      </c>
      <c r="F1123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23" s="7" t="s">
        <v>102</v>
      </c>
      <c r="H1123" s="4"/>
      <c r="I1123" s="4"/>
      <c r="J1123" s="4"/>
    </row>
    <row r="1124" spans="1:10" x14ac:dyDescent="0.35">
      <c r="A1124" s="7" t="s">
        <v>21</v>
      </c>
      <c r="B1124" s="7">
        <f t="shared" si="258"/>
        <v>2043</v>
      </c>
      <c r="C1124" s="4" t="s">
        <v>37</v>
      </c>
      <c r="D1124" s="5" t="s">
        <v>2003</v>
      </c>
      <c r="E1124" s="10" t="str">
        <f t="shared" si="254"/>
        <v>PSDP'!</v>
      </c>
      <c r="F1124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24" s="7" t="s">
        <v>102</v>
      </c>
      <c r="H1124" s="4"/>
      <c r="I1124" s="4"/>
      <c r="J1124" s="4"/>
    </row>
    <row r="1125" spans="1:10" x14ac:dyDescent="0.35">
      <c r="A1125" s="7" t="s">
        <v>21</v>
      </c>
      <c r="B1125" s="7">
        <f>+B1124+1</f>
        <v>2044</v>
      </c>
      <c r="C1125" s="4" t="s">
        <v>37</v>
      </c>
      <c r="D1125" s="5" t="s">
        <v>2003</v>
      </c>
      <c r="E1125" s="10" t="str">
        <f t="shared" ref="E1125:E1140" si="259">_xlfn.CONCAT(A1125,"'!")</f>
        <v>PSDP'!</v>
      </c>
      <c r="F1125" s="5" t="str">
        <f t="shared" ref="F1125:F1140" si="260">_xlfn.CONCAT(D1125," ",E1125)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25" s="7" t="s">
        <v>102</v>
      </c>
      <c r="H1125" s="4"/>
      <c r="I1125" s="4"/>
      <c r="J1125" s="4"/>
    </row>
    <row r="1126" spans="1:10" x14ac:dyDescent="0.35">
      <c r="A1126" s="7" t="s">
        <v>21</v>
      </c>
      <c r="B1126" s="7">
        <f t="shared" ref="B1126:B1140" si="261">+B1125+1</f>
        <v>2045</v>
      </c>
      <c r="C1126" s="4" t="s">
        <v>37</v>
      </c>
      <c r="D1126" s="5" t="s">
        <v>2003</v>
      </c>
      <c r="E1126" s="10" t="str">
        <f t="shared" si="259"/>
        <v>PSDP'!</v>
      </c>
      <c r="F1126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26" s="7" t="s">
        <v>102</v>
      </c>
      <c r="H1126" s="4"/>
      <c r="I1126" s="4"/>
      <c r="J1126" s="4"/>
    </row>
    <row r="1127" spans="1:10" x14ac:dyDescent="0.35">
      <c r="A1127" s="7" t="s">
        <v>21</v>
      </c>
      <c r="B1127" s="7">
        <f t="shared" si="261"/>
        <v>2046</v>
      </c>
      <c r="C1127" s="4" t="s">
        <v>37</v>
      </c>
      <c r="D1127" s="5" t="s">
        <v>2003</v>
      </c>
      <c r="E1127" s="10" t="str">
        <f t="shared" si="259"/>
        <v>PSDP'!</v>
      </c>
      <c r="F1127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27" s="7" t="s">
        <v>102</v>
      </c>
      <c r="H1127" s="4"/>
      <c r="I1127" s="4"/>
      <c r="J1127" s="4"/>
    </row>
    <row r="1128" spans="1:10" x14ac:dyDescent="0.35">
      <c r="A1128" s="7" t="s">
        <v>21</v>
      </c>
      <c r="B1128" s="7">
        <f t="shared" si="261"/>
        <v>2047</v>
      </c>
      <c r="C1128" s="4" t="s">
        <v>37</v>
      </c>
      <c r="D1128" s="5" t="s">
        <v>2003</v>
      </c>
      <c r="E1128" s="10" t="str">
        <f t="shared" si="259"/>
        <v>PSDP'!</v>
      </c>
      <c r="F1128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28" s="7" t="s">
        <v>102</v>
      </c>
      <c r="H1128" s="4"/>
      <c r="I1128" s="4"/>
      <c r="J1128" s="4"/>
    </row>
    <row r="1129" spans="1:10" x14ac:dyDescent="0.35">
      <c r="A1129" s="7" t="s">
        <v>21</v>
      </c>
      <c r="B1129" s="7">
        <f t="shared" si="261"/>
        <v>2048</v>
      </c>
      <c r="C1129" s="4" t="s">
        <v>37</v>
      </c>
      <c r="D1129" s="5" t="s">
        <v>2003</v>
      </c>
      <c r="E1129" s="10" t="str">
        <f t="shared" si="259"/>
        <v>PSDP'!</v>
      </c>
      <c r="F1129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29" s="7" t="s">
        <v>102</v>
      </c>
      <c r="H1129" s="4"/>
      <c r="I1129" s="4"/>
      <c r="J1129" s="4"/>
    </row>
    <row r="1130" spans="1:10" x14ac:dyDescent="0.35">
      <c r="A1130" s="7" t="s">
        <v>21</v>
      </c>
      <c r="B1130" s="7">
        <f t="shared" si="261"/>
        <v>2049</v>
      </c>
      <c r="C1130" s="4" t="s">
        <v>37</v>
      </c>
      <c r="D1130" s="5" t="s">
        <v>2003</v>
      </c>
      <c r="E1130" s="10" t="str">
        <f t="shared" si="259"/>
        <v>PSDP'!</v>
      </c>
      <c r="F1130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30" s="7" t="s">
        <v>102</v>
      </c>
      <c r="H1130" s="4"/>
      <c r="I1130" s="4"/>
      <c r="J1130" s="4"/>
    </row>
    <row r="1131" spans="1:10" x14ac:dyDescent="0.35">
      <c r="A1131" s="7" t="s">
        <v>21</v>
      </c>
      <c r="B1131" s="7">
        <f t="shared" si="261"/>
        <v>2050</v>
      </c>
      <c r="C1131" s="4" t="s">
        <v>37</v>
      </c>
      <c r="D1131" s="5" t="s">
        <v>2003</v>
      </c>
      <c r="E1131" s="10" t="str">
        <f t="shared" si="259"/>
        <v>PSDP'!</v>
      </c>
      <c r="F1131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31" s="7" t="s">
        <v>102</v>
      </c>
      <c r="H1131" s="4"/>
      <c r="I1131" s="4"/>
      <c r="J1131" s="4"/>
    </row>
    <row r="1132" spans="1:10" x14ac:dyDescent="0.35">
      <c r="A1132" s="7" t="s">
        <v>21</v>
      </c>
      <c r="B1132" s="7">
        <f t="shared" si="261"/>
        <v>2051</v>
      </c>
      <c r="C1132" s="4" t="s">
        <v>37</v>
      </c>
      <c r="D1132" s="5" t="s">
        <v>2003</v>
      </c>
      <c r="E1132" s="10" t="str">
        <f t="shared" si="259"/>
        <v>PSDP'!</v>
      </c>
      <c r="F1132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32" s="7" t="s">
        <v>102</v>
      </c>
      <c r="H1132" s="4"/>
      <c r="I1132" s="4"/>
      <c r="J1132" s="4"/>
    </row>
    <row r="1133" spans="1:10" x14ac:dyDescent="0.35">
      <c r="A1133" s="7" t="s">
        <v>21</v>
      </c>
      <c r="B1133" s="7">
        <f t="shared" si="261"/>
        <v>2052</v>
      </c>
      <c r="C1133" s="4" t="s">
        <v>37</v>
      </c>
      <c r="D1133" s="5" t="s">
        <v>2003</v>
      </c>
      <c r="E1133" s="10" t="str">
        <f t="shared" si="259"/>
        <v>PSDP'!</v>
      </c>
      <c r="F1133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33" s="7" t="s">
        <v>102</v>
      </c>
      <c r="H1133" s="4"/>
      <c r="I1133" s="4"/>
      <c r="J1133" s="4"/>
    </row>
    <row r="1134" spans="1:10" x14ac:dyDescent="0.35">
      <c r="A1134" s="7" t="s">
        <v>21</v>
      </c>
      <c r="B1134" s="7">
        <f t="shared" si="261"/>
        <v>2053</v>
      </c>
      <c r="C1134" s="4" t="s">
        <v>37</v>
      </c>
      <c r="D1134" s="5" t="s">
        <v>2003</v>
      </c>
      <c r="E1134" s="10" t="str">
        <f t="shared" si="259"/>
        <v>PSDP'!</v>
      </c>
      <c r="F1134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34" s="7" t="s">
        <v>102</v>
      </c>
      <c r="H1134" s="4"/>
      <c r="I1134" s="4"/>
      <c r="J1134" s="4"/>
    </row>
    <row r="1135" spans="1:10" x14ac:dyDescent="0.35">
      <c r="A1135" s="7" t="s">
        <v>21</v>
      </c>
      <c r="B1135" s="7">
        <f t="shared" si="261"/>
        <v>2054</v>
      </c>
      <c r="C1135" s="4" t="s">
        <v>37</v>
      </c>
      <c r="D1135" s="5" t="s">
        <v>2003</v>
      </c>
      <c r="E1135" s="10" t="str">
        <f t="shared" si="259"/>
        <v>PSDP'!</v>
      </c>
      <c r="F1135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35" s="7" t="s">
        <v>102</v>
      </c>
      <c r="H1135" s="4"/>
      <c r="I1135" s="4"/>
      <c r="J1135" s="4"/>
    </row>
    <row r="1136" spans="1:10" x14ac:dyDescent="0.35">
      <c r="A1136" s="7" t="s">
        <v>21</v>
      </c>
      <c r="B1136" s="7">
        <f t="shared" si="261"/>
        <v>2055</v>
      </c>
      <c r="C1136" s="4" t="s">
        <v>37</v>
      </c>
      <c r="D1136" s="5" t="s">
        <v>2003</v>
      </c>
      <c r="E1136" s="10" t="str">
        <f t="shared" si="259"/>
        <v>PSDP'!</v>
      </c>
      <c r="F1136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36" s="7" t="s">
        <v>102</v>
      </c>
      <c r="H1136" s="4"/>
      <c r="I1136" s="4"/>
      <c r="J1136" s="4"/>
    </row>
    <row r="1137" spans="1:10" x14ac:dyDescent="0.35">
      <c r="A1137" s="7" t="s">
        <v>21</v>
      </c>
      <c r="B1137" s="7">
        <f t="shared" si="261"/>
        <v>2056</v>
      </c>
      <c r="C1137" s="4" t="s">
        <v>37</v>
      </c>
      <c r="D1137" s="5" t="s">
        <v>2003</v>
      </c>
      <c r="E1137" s="10" t="str">
        <f t="shared" si="259"/>
        <v>PSDP'!</v>
      </c>
      <c r="F1137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37" s="7" t="s">
        <v>102</v>
      </c>
      <c r="H1137" s="4"/>
      <c r="I1137" s="4"/>
      <c r="J1137" s="4"/>
    </row>
    <row r="1138" spans="1:10" x14ac:dyDescent="0.35">
      <c r="A1138" s="7" t="s">
        <v>21</v>
      </c>
      <c r="B1138" s="7">
        <f t="shared" si="261"/>
        <v>2057</v>
      </c>
      <c r="C1138" s="4" t="s">
        <v>37</v>
      </c>
      <c r="D1138" s="5" t="s">
        <v>2003</v>
      </c>
      <c r="E1138" s="10" t="str">
        <f t="shared" si="259"/>
        <v>PSDP'!</v>
      </c>
      <c r="F1138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38" s="7" t="s">
        <v>102</v>
      </c>
      <c r="H1138" s="4"/>
      <c r="I1138" s="4"/>
      <c r="J1138" s="4"/>
    </row>
    <row r="1139" spans="1:10" x14ac:dyDescent="0.35">
      <c r="A1139" s="7" t="s">
        <v>21</v>
      </c>
      <c r="B1139" s="7">
        <f t="shared" si="261"/>
        <v>2058</v>
      </c>
      <c r="C1139" s="4" t="s">
        <v>37</v>
      </c>
      <c r="D1139" s="5" t="s">
        <v>2003</v>
      </c>
      <c r="E1139" s="10" t="str">
        <f t="shared" si="259"/>
        <v>PSDP'!</v>
      </c>
      <c r="F1139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39" s="7" t="s">
        <v>102</v>
      </c>
      <c r="H1139" s="4"/>
      <c r="I1139" s="4"/>
      <c r="J1139" s="4"/>
    </row>
    <row r="1140" spans="1:10" x14ac:dyDescent="0.35">
      <c r="A1140" s="7" t="s">
        <v>21</v>
      </c>
      <c r="B1140" s="7">
        <f t="shared" si="261"/>
        <v>2059</v>
      </c>
      <c r="C1140" s="4" t="s">
        <v>37</v>
      </c>
      <c r="D1140" s="5" t="s">
        <v>2003</v>
      </c>
      <c r="E1140" s="10" t="str">
        <f t="shared" si="259"/>
        <v>PSDP'!</v>
      </c>
      <c r="F1140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40" s="7" t="s">
        <v>102</v>
      </c>
      <c r="H1140" s="4"/>
      <c r="I1140" s="4"/>
      <c r="J1140" s="4"/>
    </row>
    <row r="1141" spans="1:10" x14ac:dyDescent="0.35">
      <c r="A1141" s="7" t="s">
        <v>26</v>
      </c>
      <c r="B1141" s="7"/>
      <c r="C1141" s="4" t="s">
        <v>37</v>
      </c>
      <c r="D1141" s="5"/>
      <c r="E1141" s="10"/>
      <c r="F1141" s="5" t="str">
        <f t="shared" si="256"/>
        <v xml:space="preserve"> </v>
      </c>
      <c r="G1141" s="7"/>
      <c r="H1141" s="4"/>
      <c r="I1141" s="4"/>
      <c r="J1141" s="4"/>
    </row>
    <row r="1142" spans="1:10" x14ac:dyDescent="0.35">
      <c r="A1142" s="7" t="s">
        <v>22</v>
      </c>
      <c r="B1142" s="7">
        <v>2023</v>
      </c>
      <c r="C1142" s="4" t="s">
        <v>37</v>
      </c>
      <c r="D1142" s="5" t="s">
        <v>2003</v>
      </c>
      <c r="E1142" s="10" t="str">
        <f t="shared" ref="E1142:E1162" si="262">_xlfn.CONCAT(A1142,"'!")</f>
        <v>PSNP'!</v>
      </c>
      <c r="F1142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42" s="7" t="s">
        <v>102</v>
      </c>
      <c r="H1142" s="4"/>
      <c r="I1142" s="4"/>
      <c r="J1142" s="4"/>
    </row>
    <row r="1143" spans="1:10" x14ac:dyDescent="0.35">
      <c r="A1143" s="7" t="s">
        <v>22</v>
      </c>
      <c r="B1143" s="7">
        <f>+B1142+1</f>
        <v>2024</v>
      </c>
      <c r="C1143" s="4" t="s">
        <v>37</v>
      </c>
      <c r="D1143" s="5" t="s">
        <v>2003</v>
      </c>
      <c r="E1143" s="10" t="str">
        <f t="shared" si="262"/>
        <v>PSNP'!</v>
      </c>
      <c r="F1143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43" s="7" t="s">
        <v>102</v>
      </c>
      <c r="H1143" s="4"/>
      <c r="I1143" s="4"/>
      <c r="J1143" s="4"/>
    </row>
    <row r="1144" spans="1:10" x14ac:dyDescent="0.35">
      <c r="A1144" s="7" t="s">
        <v>22</v>
      </c>
      <c r="B1144" s="7">
        <f t="shared" ref="B1144:B1155" si="263">+B1143+1</f>
        <v>2025</v>
      </c>
      <c r="C1144" s="4" t="s">
        <v>37</v>
      </c>
      <c r="D1144" s="5" t="s">
        <v>2003</v>
      </c>
      <c r="E1144" s="10" t="str">
        <f t="shared" si="262"/>
        <v>PSNP'!</v>
      </c>
      <c r="F1144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44" s="7" t="s">
        <v>102</v>
      </c>
      <c r="H1144" s="4"/>
      <c r="I1144" s="4"/>
      <c r="J1144" s="4"/>
    </row>
    <row r="1145" spans="1:10" x14ac:dyDescent="0.35">
      <c r="A1145" s="7" t="s">
        <v>22</v>
      </c>
      <c r="B1145" s="7">
        <f t="shared" si="263"/>
        <v>2026</v>
      </c>
      <c r="C1145" s="4" t="s">
        <v>37</v>
      </c>
      <c r="D1145" s="5" t="s">
        <v>2003</v>
      </c>
      <c r="E1145" s="10" t="str">
        <f t="shared" si="262"/>
        <v>PSNP'!</v>
      </c>
      <c r="F1145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45" s="7" t="s">
        <v>102</v>
      </c>
      <c r="H1145" s="4"/>
      <c r="I1145" s="4"/>
      <c r="J1145" s="4"/>
    </row>
    <row r="1146" spans="1:10" x14ac:dyDescent="0.35">
      <c r="A1146" s="7" t="s">
        <v>22</v>
      </c>
      <c r="B1146" s="7">
        <f t="shared" si="263"/>
        <v>2027</v>
      </c>
      <c r="C1146" s="4" t="s">
        <v>37</v>
      </c>
      <c r="D1146" s="5" t="s">
        <v>2003</v>
      </c>
      <c r="E1146" s="10" t="str">
        <f t="shared" si="262"/>
        <v>PSNP'!</v>
      </c>
      <c r="F1146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46" s="7" t="s">
        <v>102</v>
      </c>
      <c r="H1146" s="4"/>
      <c r="I1146" s="4"/>
      <c r="J1146" s="4"/>
    </row>
    <row r="1147" spans="1:10" x14ac:dyDescent="0.35">
      <c r="A1147" s="7" t="s">
        <v>22</v>
      </c>
      <c r="B1147" s="7">
        <f t="shared" si="263"/>
        <v>2028</v>
      </c>
      <c r="C1147" s="4" t="s">
        <v>37</v>
      </c>
      <c r="D1147" s="5" t="s">
        <v>2003</v>
      </c>
      <c r="E1147" s="10" t="str">
        <f t="shared" si="262"/>
        <v>PSNP'!</v>
      </c>
      <c r="F1147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47" s="7" t="s">
        <v>102</v>
      </c>
      <c r="H1147" s="4"/>
      <c r="I1147" s="4"/>
      <c r="J1147" s="4"/>
    </row>
    <row r="1148" spans="1:10" x14ac:dyDescent="0.35">
      <c r="A1148" s="7" t="s">
        <v>22</v>
      </c>
      <c r="B1148" s="7">
        <f t="shared" si="263"/>
        <v>2029</v>
      </c>
      <c r="C1148" s="4" t="s">
        <v>37</v>
      </c>
      <c r="D1148" s="5" t="s">
        <v>2003</v>
      </c>
      <c r="E1148" s="10" t="str">
        <f t="shared" si="262"/>
        <v>PSNP'!</v>
      </c>
      <c r="F1148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48" s="7" t="s">
        <v>102</v>
      </c>
      <c r="H1148" s="4"/>
      <c r="I1148" s="4"/>
      <c r="J1148" s="4"/>
    </row>
    <row r="1149" spans="1:10" x14ac:dyDescent="0.35">
      <c r="A1149" s="7" t="s">
        <v>22</v>
      </c>
      <c r="B1149" s="7">
        <f t="shared" si="263"/>
        <v>2030</v>
      </c>
      <c r="C1149" s="4" t="s">
        <v>37</v>
      </c>
      <c r="D1149" s="5" t="s">
        <v>2003</v>
      </c>
      <c r="E1149" s="10" t="str">
        <f t="shared" si="262"/>
        <v>PSNP'!</v>
      </c>
      <c r="F1149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49" s="7" t="s">
        <v>102</v>
      </c>
      <c r="H1149" s="4"/>
      <c r="I1149" s="4"/>
      <c r="J1149" s="4"/>
    </row>
    <row r="1150" spans="1:10" x14ac:dyDescent="0.35">
      <c r="A1150" s="7" t="s">
        <v>22</v>
      </c>
      <c r="B1150" s="7">
        <f t="shared" si="263"/>
        <v>2031</v>
      </c>
      <c r="C1150" s="4" t="s">
        <v>37</v>
      </c>
      <c r="D1150" s="5" t="s">
        <v>2003</v>
      </c>
      <c r="E1150" s="10" t="str">
        <f t="shared" si="262"/>
        <v>PSNP'!</v>
      </c>
      <c r="F1150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50" s="7" t="s">
        <v>102</v>
      </c>
      <c r="H1150" s="4"/>
      <c r="I1150" s="4"/>
      <c r="J1150" s="4"/>
    </row>
    <row r="1151" spans="1:10" x14ac:dyDescent="0.35">
      <c r="A1151" s="7" t="s">
        <v>22</v>
      </c>
      <c r="B1151" s="7">
        <f t="shared" si="263"/>
        <v>2032</v>
      </c>
      <c r="C1151" s="4" t="s">
        <v>37</v>
      </c>
      <c r="D1151" s="5" t="s">
        <v>2003</v>
      </c>
      <c r="E1151" s="10" t="str">
        <f t="shared" si="262"/>
        <v>PSNP'!</v>
      </c>
      <c r="F1151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51" s="7" t="s">
        <v>102</v>
      </c>
      <c r="H1151" s="4"/>
      <c r="I1151" s="4"/>
      <c r="J1151" s="4"/>
    </row>
    <row r="1152" spans="1:10" x14ac:dyDescent="0.35">
      <c r="A1152" s="7" t="s">
        <v>22</v>
      </c>
      <c r="B1152" s="7">
        <f t="shared" si="263"/>
        <v>2033</v>
      </c>
      <c r="C1152" s="4" t="s">
        <v>37</v>
      </c>
      <c r="D1152" s="5" t="s">
        <v>2003</v>
      </c>
      <c r="E1152" s="10" t="str">
        <f t="shared" si="262"/>
        <v>PSNP'!</v>
      </c>
      <c r="F1152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52" s="7" t="s">
        <v>102</v>
      </c>
      <c r="H1152" s="4"/>
      <c r="I1152" s="4"/>
      <c r="J1152" s="4"/>
    </row>
    <row r="1153" spans="1:10" x14ac:dyDescent="0.35">
      <c r="A1153" s="7" t="s">
        <v>22</v>
      </c>
      <c r="B1153" s="7">
        <f t="shared" si="263"/>
        <v>2034</v>
      </c>
      <c r="C1153" s="4" t="s">
        <v>37</v>
      </c>
      <c r="D1153" s="5" t="s">
        <v>2003</v>
      </c>
      <c r="E1153" s="10" t="str">
        <f t="shared" si="262"/>
        <v>PSNP'!</v>
      </c>
      <c r="F1153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53" s="7" t="s">
        <v>102</v>
      </c>
      <c r="H1153" s="4"/>
      <c r="I1153" s="4"/>
      <c r="J1153" s="4"/>
    </row>
    <row r="1154" spans="1:10" x14ac:dyDescent="0.35">
      <c r="A1154" s="7" t="s">
        <v>22</v>
      </c>
      <c r="B1154" s="7">
        <f t="shared" si="263"/>
        <v>2035</v>
      </c>
      <c r="C1154" s="4" t="s">
        <v>37</v>
      </c>
      <c r="D1154" s="5" t="s">
        <v>2003</v>
      </c>
      <c r="E1154" s="10" t="str">
        <f t="shared" si="262"/>
        <v>PSNP'!</v>
      </c>
      <c r="F1154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54" s="7" t="s">
        <v>102</v>
      </c>
      <c r="H1154" s="4"/>
      <c r="I1154" s="4"/>
      <c r="J1154" s="4"/>
    </row>
    <row r="1155" spans="1:10" x14ac:dyDescent="0.35">
      <c r="A1155" s="7" t="s">
        <v>22</v>
      </c>
      <c r="B1155" s="7">
        <f t="shared" si="263"/>
        <v>2036</v>
      </c>
      <c r="C1155" s="4" t="s">
        <v>37</v>
      </c>
      <c r="D1155" s="5" t="s">
        <v>2003</v>
      </c>
      <c r="E1155" s="10" t="str">
        <f t="shared" si="262"/>
        <v>PSNP'!</v>
      </c>
      <c r="F1155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55" s="7" t="s">
        <v>102</v>
      </c>
      <c r="H1155" s="4"/>
      <c r="I1155" s="4"/>
      <c r="J1155" s="4"/>
    </row>
    <row r="1156" spans="1:10" x14ac:dyDescent="0.35">
      <c r="A1156" s="7" t="s">
        <v>22</v>
      </c>
      <c r="B1156" s="7">
        <f>+B1155+1</f>
        <v>2037</v>
      </c>
      <c r="C1156" s="4" t="s">
        <v>37</v>
      </c>
      <c r="D1156" s="5" t="s">
        <v>2003</v>
      </c>
      <c r="E1156" s="10" t="str">
        <f t="shared" si="262"/>
        <v>PSNP'!</v>
      </c>
      <c r="F1156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56" s="7" t="s">
        <v>102</v>
      </c>
      <c r="H1156" s="4"/>
      <c r="I1156" s="4"/>
      <c r="J1156" s="4"/>
    </row>
    <row r="1157" spans="1:10" x14ac:dyDescent="0.35">
      <c r="A1157" s="7" t="s">
        <v>22</v>
      </c>
      <c r="B1157" s="7">
        <f t="shared" ref="B1157:B1159" si="264">+B1156+1</f>
        <v>2038</v>
      </c>
      <c r="C1157" s="4" t="s">
        <v>37</v>
      </c>
      <c r="D1157" s="5" t="s">
        <v>2003</v>
      </c>
      <c r="E1157" s="10" t="str">
        <f t="shared" si="262"/>
        <v>PSNP'!</v>
      </c>
      <c r="F1157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57" s="7" t="s">
        <v>102</v>
      </c>
      <c r="H1157" s="4"/>
      <c r="I1157" s="4"/>
      <c r="J1157" s="4"/>
    </row>
    <row r="1158" spans="1:10" x14ac:dyDescent="0.35">
      <c r="A1158" s="7" t="s">
        <v>22</v>
      </c>
      <c r="B1158" s="7">
        <f t="shared" si="264"/>
        <v>2039</v>
      </c>
      <c r="C1158" s="4" t="s">
        <v>37</v>
      </c>
      <c r="D1158" s="5" t="s">
        <v>2003</v>
      </c>
      <c r="E1158" s="10" t="str">
        <f t="shared" si="262"/>
        <v>PSNP'!</v>
      </c>
      <c r="F1158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58" s="7" t="s">
        <v>102</v>
      </c>
      <c r="H1158" s="4"/>
      <c r="I1158" s="4"/>
      <c r="J1158" s="4"/>
    </row>
    <row r="1159" spans="1:10" x14ac:dyDescent="0.35">
      <c r="A1159" s="7" t="s">
        <v>22</v>
      </c>
      <c r="B1159" s="7">
        <f t="shared" si="264"/>
        <v>2040</v>
      </c>
      <c r="C1159" s="4" t="s">
        <v>37</v>
      </c>
      <c r="D1159" s="5" t="s">
        <v>2003</v>
      </c>
      <c r="E1159" s="10" t="str">
        <f t="shared" si="262"/>
        <v>PSNP'!</v>
      </c>
      <c r="F1159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59" s="7" t="s">
        <v>102</v>
      </c>
      <c r="H1159" s="4"/>
      <c r="I1159" s="4"/>
      <c r="J1159" s="4"/>
    </row>
    <row r="1160" spans="1:10" x14ac:dyDescent="0.35">
      <c r="A1160" s="7" t="s">
        <v>22</v>
      </c>
      <c r="B1160" s="7">
        <f>+B1159+1</f>
        <v>2041</v>
      </c>
      <c r="C1160" s="4" t="s">
        <v>37</v>
      </c>
      <c r="D1160" s="5" t="s">
        <v>2003</v>
      </c>
      <c r="E1160" s="10" t="str">
        <f t="shared" si="262"/>
        <v>PSNP'!</v>
      </c>
      <c r="F1160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60" s="7" t="s">
        <v>102</v>
      </c>
      <c r="H1160" s="4"/>
      <c r="I1160" s="4"/>
      <c r="J1160" s="4"/>
    </row>
    <row r="1161" spans="1:10" x14ac:dyDescent="0.35">
      <c r="A1161" s="7" t="s">
        <v>22</v>
      </c>
      <c r="B1161" s="7">
        <f t="shared" ref="B1161:B1162" si="265">+B1160+1</f>
        <v>2042</v>
      </c>
      <c r="C1161" s="4" t="s">
        <v>37</v>
      </c>
      <c r="D1161" s="5" t="s">
        <v>2003</v>
      </c>
      <c r="E1161" s="10" t="str">
        <f t="shared" si="262"/>
        <v>PSNP'!</v>
      </c>
      <c r="F1161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61" s="7" t="s">
        <v>102</v>
      </c>
      <c r="H1161" s="4"/>
      <c r="I1161" s="4"/>
      <c r="J1161" s="4"/>
    </row>
    <row r="1162" spans="1:10" x14ac:dyDescent="0.35">
      <c r="A1162" s="7" t="s">
        <v>22</v>
      </c>
      <c r="B1162" s="7">
        <f t="shared" si="265"/>
        <v>2043</v>
      </c>
      <c r="C1162" s="4" t="s">
        <v>37</v>
      </c>
      <c r="D1162" s="5" t="s">
        <v>2003</v>
      </c>
      <c r="E1162" s="10" t="str">
        <f t="shared" si="262"/>
        <v>PSNP'!</v>
      </c>
      <c r="F1162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62" s="7" t="s">
        <v>102</v>
      </c>
      <c r="H1162" s="4"/>
      <c r="I1162" s="4"/>
      <c r="J1162" s="4"/>
    </row>
    <row r="1163" spans="1:10" x14ac:dyDescent="0.35">
      <c r="A1163" s="7" t="s">
        <v>22</v>
      </c>
      <c r="B1163" s="7">
        <f>+B1162+1</f>
        <v>2044</v>
      </c>
      <c r="C1163" s="4" t="s">
        <v>37</v>
      </c>
      <c r="D1163" s="5" t="s">
        <v>2003</v>
      </c>
      <c r="E1163" s="10" t="str">
        <f t="shared" ref="E1163:E1178" si="266">_xlfn.CONCAT(A1163,"'!")</f>
        <v>PSNP'!</v>
      </c>
      <c r="F1163" s="5" t="str">
        <f t="shared" ref="F1163:F1178" si="267">_xlfn.CONCAT(D1163," ",E1163)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63" s="7" t="s">
        <v>102</v>
      </c>
      <c r="H1163" s="4"/>
      <c r="I1163" s="4"/>
      <c r="J1163" s="4"/>
    </row>
    <row r="1164" spans="1:10" x14ac:dyDescent="0.35">
      <c r="A1164" s="7" t="s">
        <v>22</v>
      </c>
      <c r="B1164" s="7">
        <f t="shared" ref="B1164:B1178" si="268">+B1163+1</f>
        <v>2045</v>
      </c>
      <c r="C1164" s="4" t="s">
        <v>37</v>
      </c>
      <c r="D1164" s="5" t="s">
        <v>2003</v>
      </c>
      <c r="E1164" s="10" t="str">
        <f t="shared" si="266"/>
        <v>PSNP'!</v>
      </c>
      <c r="F1164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64" s="7" t="s">
        <v>102</v>
      </c>
      <c r="H1164" s="4"/>
      <c r="I1164" s="4"/>
      <c r="J1164" s="4"/>
    </row>
    <row r="1165" spans="1:10" x14ac:dyDescent="0.35">
      <c r="A1165" s="7" t="s">
        <v>22</v>
      </c>
      <c r="B1165" s="7">
        <f t="shared" si="268"/>
        <v>2046</v>
      </c>
      <c r="C1165" s="4" t="s">
        <v>37</v>
      </c>
      <c r="D1165" s="5" t="s">
        <v>2003</v>
      </c>
      <c r="E1165" s="10" t="str">
        <f t="shared" si="266"/>
        <v>PSNP'!</v>
      </c>
      <c r="F1165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65" s="7" t="s">
        <v>102</v>
      </c>
      <c r="H1165" s="4"/>
      <c r="I1165" s="4"/>
      <c r="J1165" s="4"/>
    </row>
    <row r="1166" spans="1:10" x14ac:dyDescent="0.35">
      <c r="A1166" s="7" t="s">
        <v>22</v>
      </c>
      <c r="B1166" s="7">
        <f t="shared" si="268"/>
        <v>2047</v>
      </c>
      <c r="C1166" s="4" t="s">
        <v>37</v>
      </c>
      <c r="D1166" s="5" t="s">
        <v>2003</v>
      </c>
      <c r="E1166" s="10" t="str">
        <f t="shared" si="266"/>
        <v>PSNP'!</v>
      </c>
      <c r="F1166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66" s="7" t="s">
        <v>102</v>
      </c>
      <c r="H1166" s="4"/>
      <c r="I1166" s="4"/>
      <c r="J1166" s="4"/>
    </row>
    <row r="1167" spans="1:10" x14ac:dyDescent="0.35">
      <c r="A1167" s="7" t="s">
        <v>22</v>
      </c>
      <c r="B1167" s="7">
        <f t="shared" si="268"/>
        <v>2048</v>
      </c>
      <c r="C1167" s="4" t="s">
        <v>37</v>
      </c>
      <c r="D1167" s="5" t="s">
        <v>2003</v>
      </c>
      <c r="E1167" s="10" t="str">
        <f t="shared" si="266"/>
        <v>PSNP'!</v>
      </c>
      <c r="F1167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67" s="7" t="s">
        <v>102</v>
      </c>
      <c r="H1167" s="4"/>
      <c r="I1167" s="4"/>
      <c r="J1167" s="4"/>
    </row>
    <row r="1168" spans="1:10" x14ac:dyDescent="0.35">
      <c r="A1168" s="7" t="s">
        <v>22</v>
      </c>
      <c r="B1168" s="7">
        <f t="shared" si="268"/>
        <v>2049</v>
      </c>
      <c r="C1168" s="4" t="s">
        <v>37</v>
      </c>
      <c r="D1168" s="5" t="s">
        <v>2003</v>
      </c>
      <c r="E1168" s="10" t="str">
        <f t="shared" si="266"/>
        <v>PSNP'!</v>
      </c>
      <c r="F1168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68" s="7" t="s">
        <v>102</v>
      </c>
      <c r="H1168" s="4"/>
      <c r="I1168" s="4"/>
      <c r="J1168" s="4"/>
    </row>
    <row r="1169" spans="1:10" x14ac:dyDescent="0.35">
      <c r="A1169" s="7" t="s">
        <v>22</v>
      </c>
      <c r="B1169" s="7">
        <f t="shared" si="268"/>
        <v>2050</v>
      </c>
      <c r="C1169" s="4" t="s">
        <v>37</v>
      </c>
      <c r="D1169" s="5" t="s">
        <v>2003</v>
      </c>
      <c r="E1169" s="10" t="str">
        <f t="shared" si="266"/>
        <v>PSNP'!</v>
      </c>
      <c r="F1169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69" s="7" t="s">
        <v>102</v>
      </c>
      <c r="H1169" s="4"/>
      <c r="I1169" s="4"/>
      <c r="J1169" s="4"/>
    </row>
    <row r="1170" spans="1:10" x14ac:dyDescent="0.35">
      <c r="A1170" s="7" t="s">
        <v>22</v>
      </c>
      <c r="B1170" s="7">
        <f t="shared" si="268"/>
        <v>2051</v>
      </c>
      <c r="C1170" s="4" t="s">
        <v>37</v>
      </c>
      <c r="D1170" s="5" t="s">
        <v>2003</v>
      </c>
      <c r="E1170" s="10" t="str">
        <f t="shared" si="266"/>
        <v>PSNP'!</v>
      </c>
      <c r="F1170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70" s="7" t="s">
        <v>102</v>
      </c>
      <c r="H1170" s="4"/>
      <c r="I1170" s="4"/>
      <c r="J1170" s="4"/>
    </row>
    <row r="1171" spans="1:10" x14ac:dyDescent="0.35">
      <c r="A1171" s="7" t="s">
        <v>22</v>
      </c>
      <c r="B1171" s="7">
        <f t="shared" si="268"/>
        <v>2052</v>
      </c>
      <c r="C1171" s="4" t="s">
        <v>37</v>
      </c>
      <c r="D1171" s="5" t="s">
        <v>2003</v>
      </c>
      <c r="E1171" s="10" t="str">
        <f t="shared" si="266"/>
        <v>PSNP'!</v>
      </c>
      <c r="F1171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71" s="7" t="s">
        <v>102</v>
      </c>
      <c r="H1171" s="4"/>
      <c r="I1171" s="4"/>
      <c r="J1171" s="4"/>
    </row>
    <row r="1172" spans="1:10" x14ac:dyDescent="0.35">
      <c r="A1172" s="7" t="s">
        <v>22</v>
      </c>
      <c r="B1172" s="7">
        <f t="shared" si="268"/>
        <v>2053</v>
      </c>
      <c r="C1172" s="4" t="s">
        <v>37</v>
      </c>
      <c r="D1172" s="5" t="s">
        <v>2003</v>
      </c>
      <c r="E1172" s="10" t="str">
        <f t="shared" si="266"/>
        <v>PSNP'!</v>
      </c>
      <c r="F1172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72" s="7" t="s">
        <v>102</v>
      </c>
      <c r="H1172" s="4"/>
      <c r="I1172" s="4"/>
      <c r="J1172" s="4"/>
    </row>
    <row r="1173" spans="1:10" x14ac:dyDescent="0.35">
      <c r="A1173" s="7" t="s">
        <v>22</v>
      </c>
      <c r="B1173" s="7">
        <f t="shared" si="268"/>
        <v>2054</v>
      </c>
      <c r="C1173" s="4" t="s">
        <v>37</v>
      </c>
      <c r="D1173" s="5" t="s">
        <v>2003</v>
      </c>
      <c r="E1173" s="10" t="str">
        <f t="shared" si="266"/>
        <v>PSNP'!</v>
      </c>
      <c r="F1173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73" s="7" t="s">
        <v>102</v>
      </c>
      <c r="H1173" s="4"/>
      <c r="I1173" s="4"/>
      <c r="J1173" s="4"/>
    </row>
    <row r="1174" spans="1:10" x14ac:dyDescent="0.35">
      <c r="A1174" s="7" t="s">
        <v>22</v>
      </c>
      <c r="B1174" s="7">
        <f t="shared" si="268"/>
        <v>2055</v>
      </c>
      <c r="C1174" s="4" t="s">
        <v>37</v>
      </c>
      <c r="D1174" s="5" t="s">
        <v>2003</v>
      </c>
      <c r="E1174" s="10" t="str">
        <f t="shared" si="266"/>
        <v>PSNP'!</v>
      </c>
      <c r="F1174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74" s="7" t="s">
        <v>102</v>
      </c>
      <c r="H1174" s="4"/>
      <c r="I1174" s="4"/>
      <c r="J1174" s="4"/>
    </row>
    <row r="1175" spans="1:10" x14ac:dyDescent="0.35">
      <c r="A1175" s="7" t="s">
        <v>22</v>
      </c>
      <c r="B1175" s="7">
        <f t="shared" si="268"/>
        <v>2056</v>
      </c>
      <c r="C1175" s="4" t="s">
        <v>37</v>
      </c>
      <c r="D1175" s="5" t="s">
        <v>2003</v>
      </c>
      <c r="E1175" s="10" t="str">
        <f t="shared" si="266"/>
        <v>PSNP'!</v>
      </c>
      <c r="F1175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75" s="7" t="s">
        <v>102</v>
      </c>
      <c r="H1175" s="4"/>
      <c r="I1175" s="4"/>
      <c r="J1175" s="4"/>
    </row>
    <row r="1176" spans="1:10" x14ac:dyDescent="0.35">
      <c r="A1176" s="7" t="s">
        <v>22</v>
      </c>
      <c r="B1176" s="7">
        <f t="shared" si="268"/>
        <v>2057</v>
      </c>
      <c r="C1176" s="4" t="s">
        <v>37</v>
      </c>
      <c r="D1176" s="5" t="s">
        <v>2003</v>
      </c>
      <c r="E1176" s="10" t="str">
        <f t="shared" si="266"/>
        <v>PSNP'!</v>
      </c>
      <c r="F1176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76" s="7" t="s">
        <v>102</v>
      </c>
      <c r="H1176" s="4"/>
      <c r="I1176" s="4"/>
      <c r="J1176" s="4"/>
    </row>
    <row r="1177" spans="1:10" x14ac:dyDescent="0.35">
      <c r="A1177" s="7" t="s">
        <v>22</v>
      </c>
      <c r="B1177" s="7">
        <f t="shared" si="268"/>
        <v>2058</v>
      </c>
      <c r="C1177" s="4" t="s">
        <v>37</v>
      </c>
      <c r="D1177" s="5" t="s">
        <v>2003</v>
      </c>
      <c r="E1177" s="10" t="str">
        <f t="shared" si="266"/>
        <v>PSNP'!</v>
      </c>
      <c r="F1177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77" s="7" t="s">
        <v>102</v>
      </c>
      <c r="H1177" s="4"/>
      <c r="I1177" s="4"/>
      <c r="J1177" s="4"/>
    </row>
    <row r="1178" spans="1:10" x14ac:dyDescent="0.35">
      <c r="A1178" s="7" t="s">
        <v>22</v>
      </c>
      <c r="B1178" s="7">
        <f t="shared" si="268"/>
        <v>2059</v>
      </c>
      <c r="C1178" s="4" t="s">
        <v>37</v>
      </c>
      <c r="D1178" s="5" t="s">
        <v>2003</v>
      </c>
      <c r="E1178" s="10" t="str">
        <f t="shared" si="266"/>
        <v>PSNP'!</v>
      </c>
      <c r="F1178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78" s="7" t="s">
        <v>102</v>
      </c>
      <c r="H1178" s="4"/>
      <c r="I1178" s="4"/>
      <c r="J1178" s="4"/>
    </row>
    <row r="1179" spans="1:10" x14ac:dyDescent="0.35">
      <c r="A1179" s="7" t="s">
        <v>26</v>
      </c>
      <c r="B1179" s="7"/>
      <c r="C1179" s="4" t="s">
        <v>37</v>
      </c>
      <c r="D1179" s="5"/>
      <c r="E1179" s="10"/>
      <c r="F1179" s="5" t="str">
        <f t="shared" si="256"/>
        <v xml:space="preserve"> </v>
      </c>
      <c r="G1179" s="7"/>
      <c r="H1179" s="4"/>
      <c r="I1179" s="4"/>
      <c r="J1179" s="4"/>
    </row>
    <row r="1180" spans="1:10" x14ac:dyDescent="0.35">
      <c r="A1180" s="7" t="s">
        <v>23</v>
      </c>
      <c r="B1180" s="7">
        <v>2023</v>
      </c>
      <c r="C1180" s="4" t="s">
        <v>37</v>
      </c>
      <c r="D1180" s="5" t="s">
        <v>2003</v>
      </c>
      <c r="E1180" s="10" t="str">
        <f t="shared" ref="E1180:E1200" si="269">_xlfn.CONCAT(A1180,"'!")</f>
        <v>PSND'!</v>
      </c>
      <c r="F1180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80" s="7" t="s">
        <v>102</v>
      </c>
      <c r="H1180" s="4"/>
      <c r="I1180" s="4"/>
      <c r="J1180" s="4"/>
    </row>
    <row r="1181" spans="1:10" x14ac:dyDescent="0.35">
      <c r="A1181" s="7" t="s">
        <v>23</v>
      </c>
      <c r="B1181" s="7">
        <f>+B1180+1</f>
        <v>2024</v>
      </c>
      <c r="C1181" s="4" t="s">
        <v>37</v>
      </c>
      <c r="D1181" s="5" t="s">
        <v>2003</v>
      </c>
      <c r="E1181" s="10" t="str">
        <f t="shared" si="269"/>
        <v>PSND'!</v>
      </c>
      <c r="F1181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81" s="7" t="s">
        <v>102</v>
      </c>
      <c r="H1181" s="4"/>
      <c r="I1181" s="4"/>
      <c r="J1181" s="4"/>
    </row>
    <row r="1182" spans="1:10" x14ac:dyDescent="0.35">
      <c r="A1182" s="7" t="s">
        <v>23</v>
      </c>
      <c r="B1182" s="7">
        <f t="shared" ref="B1182:B1193" si="270">+B1181+1</f>
        <v>2025</v>
      </c>
      <c r="C1182" s="4" t="s">
        <v>37</v>
      </c>
      <c r="D1182" s="5" t="s">
        <v>2003</v>
      </c>
      <c r="E1182" s="10" t="str">
        <f t="shared" si="269"/>
        <v>PSND'!</v>
      </c>
      <c r="F1182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82" s="7" t="s">
        <v>102</v>
      </c>
      <c r="H1182" s="4"/>
      <c r="I1182" s="4"/>
      <c r="J1182" s="4"/>
    </row>
    <row r="1183" spans="1:10" x14ac:dyDescent="0.35">
      <c r="A1183" s="7" t="s">
        <v>23</v>
      </c>
      <c r="B1183" s="7">
        <f t="shared" si="270"/>
        <v>2026</v>
      </c>
      <c r="C1183" s="4" t="s">
        <v>37</v>
      </c>
      <c r="D1183" s="5" t="s">
        <v>2003</v>
      </c>
      <c r="E1183" s="10" t="str">
        <f t="shared" si="269"/>
        <v>PSND'!</v>
      </c>
      <c r="F1183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83" s="7" t="s">
        <v>102</v>
      </c>
      <c r="H1183" s="4"/>
      <c r="I1183" s="4"/>
      <c r="J1183" s="4"/>
    </row>
    <row r="1184" spans="1:10" x14ac:dyDescent="0.35">
      <c r="A1184" s="7" t="s">
        <v>23</v>
      </c>
      <c r="B1184" s="7">
        <f t="shared" si="270"/>
        <v>2027</v>
      </c>
      <c r="C1184" s="4" t="s">
        <v>37</v>
      </c>
      <c r="D1184" s="5" t="s">
        <v>2003</v>
      </c>
      <c r="E1184" s="10" t="str">
        <f t="shared" si="269"/>
        <v>PSND'!</v>
      </c>
      <c r="F1184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84" s="7" t="s">
        <v>102</v>
      </c>
      <c r="H1184" s="4"/>
      <c r="I1184" s="4"/>
      <c r="J1184" s="4"/>
    </row>
    <row r="1185" spans="1:10" x14ac:dyDescent="0.35">
      <c r="A1185" s="7" t="s">
        <v>23</v>
      </c>
      <c r="B1185" s="7">
        <f t="shared" si="270"/>
        <v>2028</v>
      </c>
      <c r="C1185" s="4" t="s">
        <v>37</v>
      </c>
      <c r="D1185" s="5" t="s">
        <v>2003</v>
      </c>
      <c r="E1185" s="10" t="str">
        <f t="shared" si="269"/>
        <v>PSND'!</v>
      </c>
      <c r="F1185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85" s="7" t="s">
        <v>102</v>
      </c>
      <c r="H1185" s="4"/>
      <c r="I1185" s="4"/>
      <c r="J1185" s="4"/>
    </row>
    <row r="1186" spans="1:10" x14ac:dyDescent="0.35">
      <c r="A1186" s="7" t="s">
        <v>23</v>
      </c>
      <c r="B1186" s="7">
        <f t="shared" si="270"/>
        <v>2029</v>
      </c>
      <c r="C1186" s="4" t="s">
        <v>37</v>
      </c>
      <c r="D1186" s="5" t="s">
        <v>2003</v>
      </c>
      <c r="E1186" s="10" t="str">
        <f t="shared" si="269"/>
        <v>PSND'!</v>
      </c>
      <c r="F1186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86" s="7" t="s">
        <v>102</v>
      </c>
      <c r="H1186" s="4"/>
      <c r="I1186" s="4"/>
      <c r="J1186" s="4"/>
    </row>
    <row r="1187" spans="1:10" x14ac:dyDescent="0.35">
      <c r="A1187" s="7" t="s">
        <v>23</v>
      </c>
      <c r="B1187" s="7">
        <f t="shared" si="270"/>
        <v>2030</v>
      </c>
      <c r="C1187" s="4" t="s">
        <v>37</v>
      </c>
      <c r="D1187" s="5" t="s">
        <v>2003</v>
      </c>
      <c r="E1187" s="10" t="str">
        <f t="shared" si="269"/>
        <v>PSND'!</v>
      </c>
      <c r="F1187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87" s="7" t="s">
        <v>102</v>
      </c>
      <c r="H1187" s="4"/>
      <c r="I1187" s="4"/>
      <c r="J1187" s="4"/>
    </row>
    <row r="1188" spans="1:10" x14ac:dyDescent="0.35">
      <c r="A1188" s="7" t="s">
        <v>23</v>
      </c>
      <c r="B1188" s="7">
        <f t="shared" si="270"/>
        <v>2031</v>
      </c>
      <c r="C1188" s="4" t="s">
        <v>37</v>
      </c>
      <c r="D1188" s="5" t="s">
        <v>2003</v>
      </c>
      <c r="E1188" s="10" t="str">
        <f t="shared" si="269"/>
        <v>PSND'!</v>
      </c>
      <c r="F1188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88" s="7" t="s">
        <v>102</v>
      </c>
      <c r="H1188" s="4"/>
      <c r="I1188" s="4"/>
      <c r="J1188" s="4"/>
    </row>
    <row r="1189" spans="1:10" x14ac:dyDescent="0.35">
      <c r="A1189" s="7" t="s">
        <v>23</v>
      </c>
      <c r="B1189" s="7">
        <f t="shared" si="270"/>
        <v>2032</v>
      </c>
      <c r="C1189" s="4" t="s">
        <v>37</v>
      </c>
      <c r="D1189" s="5" t="s">
        <v>2003</v>
      </c>
      <c r="E1189" s="10" t="str">
        <f t="shared" si="269"/>
        <v>PSND'!</v>
      </c>
      <c r="F1189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89" s="7" t="s">
        <v>102</v>
      </c>
      <c r="H1189" s="4"/>
      <c r="I1189" s="4"/>
      <c r="J1189" s="4"/>
    </row>
    <row r="1190" spans="1:10" x14ac:dyDescent="0.35">
      <c r="A1190" s="7" t="s">
        <v>23</v>
      </c>
      <c r="B1190" s="7">
        <f t="shared" si="270"/>
        <v>2033</v>
      </c>
      <c r="C1190" s="4" t="s">
        <v>37</v>
      </c>
      <c r="D1190" s="5" t="s">
        <v>2003</v>
      </c>
      <c r="E1190" s="10" t="str">
        <f t="shared" si="269"/>
        <v>PSND'!</v>
      </c>
      <c r="F1190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90" s="7" t="s">
        <v>102</v>
      </c>
      <c r="H1190" s="4"/>
      <c r="I1190" s="4"/>
      <c r="J1190" s="4"/>
    </row>
    <row r="1191" spans="1:10" x14ac:dyDescent="0.35">
      <c r="A1191" s="7" t="s">
        <v>23</v>
      </c>
      <c r="B1191" s="7">
        <f t="shared" si="270"/>
        <v>2034</v>
      </c>
      <c r="C1191" s="4" t="s">
        <v>37</v>
      </c>
      <c r="D1191" s="5" t="s">
        <v>2003</v>
      </c>
      <c r="E1191" s="10" t="str">
        <f t="shared" si="269"/>
        <v>PSND'!</v>
      </c>
      <c r="F1191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91" s="7" t="s">
        <v>102</v>
      </c>
      <c r="H1191" s="4"/>
      <c r="I1191" s="4"/>
      <c r="J1191" s="4"/>
    </row>
    <row r="1192" spans="1:10" x14ac:dyDescent="0.35">
      <c r="A1192" s="7" t="s">
        <v>23</v>
      </c>
      <c r="B1192" s="7">
        <f t="shared" si="270"/>
        <v>2035</v>
      </c>
      <c r="C1192" s="4" t="s">
        <v>37</v>
      </c>
      <c r="D1192" s="5" t="s">
        <v>2003</v>
      </c>
      <c r="E1192" s="10" t="str">
        <f t="shared" si="269"/>
        <v>PSND'!</v>
      </c>
      <c r="F1192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92" s="7" t="s">
        <v>102</v>
      </c>
      <c r="H1192" s="4"/>
      <c r="I1192" s="4"/>
      <c r="J1192" s="4"/>
    </row>
    <row r="1193" spans="1:10" x14ac:dyDescent="0.35">
      <c r="A1193" s="7" t="s">
        <v>23</v>
      </c>
      <c r="B1193" s="7">
        <f t="shared" si="270"/>
        <v>2036</v>
      </c>
      <c r="C1193" s="4" t="s">
        <v>37</v>
      </c>
      <c r="D1193" s="5" t="s">
        <v>2003</v>
      </c>
      <c r="E1193" s="10" t="str">
        <f t="shared" si="269"/>
        <v>PSND'!</v>
      </c>
      <c r="F1193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93" s="7" t="s">
        <v>102</v>
      </c>
      <c r="H1193" s="4"/>
      <c r="I1193" s="4"/>
      <c r="J1193" s="4"/>
    </row>
    <row r="1194" spans="1:10" x14ac:dyDescent="0.35">
      <c r="A1194" s="7" t="s">
        <v>23</v>
      </c>
      <c r="B1194" s="7">
        <f>+B1193+1</f>
        <v>2037</v>
      </c>
      <c r="C1194" s="4" t="s">
        <v>37</v>
      </c>
      <c r="D1194" s="5" t="s">
        <v>2003</v>
      </c>
      <c r="E1194" s="10" t="str">
        <f t="shared" si="269"/>
        <v>PSND'!</v>
      </c>
      <c r="F1194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94" s="7" t="s">
        <v>102</v>
      </c>
      <c r="H1194" s="4"/>
      <c r="I1194" s="4"/>
      <c r="J1194" s="4"/>
    </row>
    <row r="1195" spans="1:10" x14ac:dyDescent="0.35">
      <c r="A1195" s="7" t="s">
        <v>23</v>
      </c>
      <c r="B1195" s="7">
        <f t="shared" ref="B1195:B1197" si="271">+B1194+1</f>
        <v>2038</v>
      </c>
      <c r="C1195" s="4" t="s">
        <v>37</v>
      </c>
      <c r="D1195" s="5" t="s">
        <v>2003</v>
      </c>
      <c r="E1195" s="10" t="str">
        <f t="shared" si="269"/>
        <v>PSND'!</v>
      </c>
      <c r="F1195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95" s="7" t="s">
        <v>102</v>
      </c>
      <c r="H1195" s="4"/>
      <c r="I1195" s="4"/>
      <c r="J1195" s="4"/>
    </row>
    <row r="1196" spans="1:10" x14ac:dyDescent="0.35">
      <c r="A1196" s="7" t="s">
        <v>23</v>
      </c>
      <c r="B1196" s="7">
        <f t="shared" si="271"/>
        <v>2039</v>
      </c>
      <c r="C1196" s="4" t="s">
        <v>37</v>
      </c>
      <c r="D1196" s="5" t="s">
        <v>2003</v>
      </c>
      <c r="E1196" s="10" t="str">
        <f t="shared" si="269"/>
        <v>PSND'!</v>
      </c>
      <c r="F1196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96" s="7" t="s">
        <v>102</v>
      </c>
      <c r="H1196" s="4"/>
      <c r="I1196" s="4"/>
      <c r="J1196" s="4"/>
    </row>
    <row r="1197" spans="1:10" x14ac:dyDescent="0.35">
      <c r="A1197" s="7" t="s">
        <v>23</v>
      </c>
      <c r="B1197" s="7">
        <f t="shared" si="271"/>
        <v>2040</v>
      </c>
      <c r="C1197" s="4" t="s">
        <v>37</v>
      </c>
      <c r="D1197" s="5" t="s">
        <v>2003</v>
      </c>
      <c r="E1197" s="10" t="str">
        <f t="shared" si="269"/>
        <v>PSND'!</v>
      </c>
      <c r="F1197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97" s="7" t="s">
        <v>102</v>
      </c>
      <c r="H1197" s="4"/>
      <c r="I1197" s="4"/>
      <c r="J1197" s="4"/>
    </row>
    <row r="1198" spans="1:10" x14ac:dyDescent="0.35">
      <c r="A1198" s="7" t="s">
        <v>23</v>
      </c>
      <c r="B1198" s="7">
        <f>+B1197+1</f>
        <v>2041</v>
      </c>
      <c r="C1198" s="4" t="s">
        <v>37</v>
      </c>
      <c r="D1198" s="5" t="s">
        <v>2003</v>
      </c>
      <c r="E1198" s="10" t="str">
        <f t="shared" si="269"/>
        <v>PSND'!</v>
      </c>
      <c r="F1198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98" s="7" t="s">
        <v>102</v>
      </c>
      <c r="H1198" s="4"/>
      <c r="I1198" s="4"/>
      <c r="J1198" s="4"/>
    </row>
    <row r="1199" spans="1:10" x14ac:dyDescent="0.35">
      <c r="A1199" s="7" t="s">
        <v>23</v>
      </c>
      <c r="B1199" s="7">
        <f t="shared" ref="B1199:B1200" si="272">+B1198+1</f>
        <v>2042</v>
      </c>
      <c r="C1199" s="4" t="s">
        <v>37</v>
      </c>
      <c r="D1199" s="5" t="s">
        <v>2003</v>
      </c>
      <c r="E1199" s="10" t="str">
        <f t="shared" si="269"/>
        <v>PSND'!</v>
      </c>
      <c r="F1199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99" s="7" t="s">
        <v>102</v>
      </c>
      <c r="H1199" s="4"/>
      <c r="I1199" s="4"/>
      <c r="J1199" s="4"/>
    </row>
    <row r="1200" spans="1:10" x14ac:dyDescent="0.35">
      <c r="A1200" s="7" t="s">
        <v>23</v>
      </c>
      <c r="B1200" s="7">
        <f t="shared" si="272"/>
        <v>2043</v>
      </c>
      <c r="C1200" s="4" t="s">
        <v>37</v>
      </c>
      <c r="D1200" s="5" t="s">
        <v>2003</v>
      </c>
      <c r="E1200" s="10" t="str">
        <f t="shared" si="269"/>
        <v>PSND'!</v>
      </c>
      <c r="F1200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00" s="7" t="s">
        <v>102</v>
      </c>
      <c r="H1200" s="4"/>
      <c r="I1200" s="4"/>
      <c r="J1200" s="4"/>
    </row>
    <row r="1201" spans="1:10" x14ac:dyDescent="0.35">
      <c r="A1201" s="7" t="s">
        <v>23</v>
      </c>
      <c r="B1201" s="7">
        <f>+B1200+1</f>
        <v>2044</v>
      </c>
      <c r="C1201" s="4" t="s">
        <v>37</v>
      </c>
      <c r="D1201" s="5" t="s">
        <v>2003</v>
      </c>
      <c r="E1201" s="10" t="str">
        <f t="shared" ref="E1201:E1216" si="273">_xlfn.CONCAT(A1201,"'!")</f>
        <v>PSND'!</v>
      </c>
      <c r="F1201" s="5" t="str">
        <f t="shared" ref="F1201:F1216" si="274">_xlfn.CONCAT(D1201," ",E1201)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01" s="7" t="s">
        <v>102</v>
      </c>
      <c r="H1201" s="4"/>
      <c r="I1201" s="4"/>
      <c r="J1201" s="4"/>
    </row>
    <row r="1202" spans="1:10" x14ac:dyDescent="0.35">
      <c r="A1202" s="7" t="s">
        <v>23</v>
      </c>
      <c r="B1202" s="7">
        <f t="shared" ref="B1202:B1216" si="275">+B1201+1</f>
        <v>2045</v>
      </c>
      <c r="C1202" s="4" t="s">
        <v>37</v>
      </c>
      <c r="D1202" s="5" t="s">
        <v>2003</v>
      </c>
      <c r="E1202" s="10" t="str">
        <f t="shared" si="273"/>
        <v>PSND'!</v>
      </c>
      <c r="F1202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02" s="7" t="s">
        <v>102</v>
      </c>
      <c r="H1202" s="4"/>
      <c r="I1202" s="4"/>
      <c r="J1202" s="4"/>
    </row>
    <row r="1203" spans="1:10" x14ac:dyDescent="0.35">
      <c r="A1203" s="7" t="s">
        <v>23</v>
      </c>
      <c r="B1203" s="7">
        <f t="shared" si="275"/>
        <v>2046</v>
      </c>
      <c r="C1203" s="4" t="s">
        <v>37</v>
      </c>
      <c r="D1203" s="5" t="s">
        <v>2003</v>
      </c>
      <c r="E1203" s="10" t="str">
        <f t="shared" si="273"/>
        <v>PSND'!</v>
      </c>
      <c r="F1203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03" s="7" t="s">
        <v>102</v>
      </c>
      <c r="H1203" s="4"/>
      <c r="I1203" s="4"/>
      <c r="J1203" s="4"/>
    </row>
    <row r="1204" spans="1:10" x14ac:dyDescent="0.35">
      <c r="A1204" s="7" t="s">
        <v>23</v>
      </c>
      <c r="B1204" s="7">
        <f t="shared" si="275"/>
        <v>2047</v>
      </c>
      <c r="C1204" s="4" t="s">
        <v>37</v>
      </c>
      <c r="D1204" s="5" t="s">
        <v>2003</v>
      </c>
      <c r="E1204" s="10" t="str">
        <f t="shared" si="273"/>
        <v>PSND'!</v>
      </c>
      <c r="F1204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04" s="7" t="s">
        <v>102</v>
      </c>
      <c r="H1204" s="4"/>
      <c r="I1204" s="4"/>
      <c r="J1204" s="4"/>
    </row>
    <row r="1205" spans="1:10" x14ac:dyDescent="0.35">
      <c r="A1205" s="7" t="s">
        <v>23</v>
      </c>
      <c r="B1205" s="7">
        <f t="shared" si="275"/>
        <v>2048</v>
      </c>
      <c r="C1205" s="4" t="s">
        <v>37</v>
      </c>
      <c r="D1205" s="5" t="s">
        <v>2003</v>
      </c>
      <c r="E1205" s="10" t="str">
        <f t="shared" si="273"/>
        <v>PSND'!</v>
      </c>
      <c r="F1205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05" s="7" t="s">
        <v>102</v>
      </c>
      <c r="H1205" s="4"/>
      <c r="I1205" s="4"/>
      <c r="J1205" s="4"/>
    </row>
    <row r="1206" spans="1:10" x14ac:dyDescent="0.35">
      <c r="A1206" s="7" t="s">
        <v>23</v>
      </c>
      <c r="B1206" s="7">
        <f t="shared" si="275"/>
        <v>2049</v>
      </c>
      <c r="C1206" s="4" t="s">
        <v>37</v>
      </c>
      <c r="D1206" s="5" t="s">
        <v>2003</v>
      </c>
      <c r="E1206" s="10" t="str">
        <f t="shared" si="273"/>
        <v>PSND'!</v>
      </c>
      <c r="F1206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06" s="7" t="s">
        <v>102</v>
      </c>
      <c r="H1206" s="4"/>
      <c r="I1206" s="4"/>
      <c r="J1206" s="4"/>
    </row>
    <row r="1207" spans="1:10" x14ac:dyDescent="0.35">
      <c r="A1207" s="7" t="s">
        <v>23</v>
      </c>
      <c r="B1207" s="7">
        <f t="shared" si="275"/>
        <v>2050</v>
      </c>
      <c r="C1207" s="4" t="s">
        <v>37</v>
      </c>
      <c r="D1207" s="5" t="s">
        <v>2003</v>
      </c>
      <c r="E1207" s="10" t="str">
        <f t="shared" si="273"/>
        <v>PSND'!</v>
      </c>
      <c r="F1207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07" s="7" t="s">
        <v>102</v>
      </c>
      <c r="H1207" s="4"/>
      <c r="I1207" s="4"/>
      <c r="J1207" s="4"/>
    </row>
    <row r="1208" spans="1:10" x14ac:dyDescent="0.35">
      <c r="A1208" s="7" t="s">
        <v>23</v>
      </c>
      <c r="B1208" s="7">
        <f t="shared" si="275"/>
        <v>2051</v>
      </c>
      <c r="C1208" s="4" t="s">
        <v>37</v>
      </c>
      <c r="D1208" s="5" t="s">
        <v>2003</v>
      </c>
      <c r="E1208" s="10" t="str">
        <f t="shared" si="273"/>
        <v>PSND'!</v>
      </c>
      <c r="F1208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08" s="7" t="s">
        <v>102</v>
      </c>
      <c r="H1208" s="4"/>
      <c r="I1208" s="4"/>
      <c r="J1208" s="4"/>
    </row>
    <row r="1209" spans="1:10" x14ac:dyDescent="0.35">
      <c r="A1209" s="7" t="s">
        <v>23</v>
      </c>
      <c r="B1209" s="7">
        <f t="shared" si="275"/>
        <v>2052</v>
      </c>
      <c r="C1209" s="4" t="s">
        <v>37</v>
      </c>
      <c r="D1209" s="5" t="s">
        <v>2003</v>
      </c>
      <c r="E1209" s="10" t="str">
        <f t="shared" si="273"/>
        <v>PSND'!</v>
      </c>
      <c r="F1209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09" s="7" t="s">
        <v>102</v>
      </c>
      <c r="H1209" s="4"/>
      <c r="I1209" s="4"/>
      <c r="J1209" s="4"/>
    </row>
    <row r="1210" spans="1:10" x14ac:dyDescent="0.35">
      <c r="A1210" s="7" t="s">
        <v>23</v>
      </c>
      <c r="B1210" s="7">
        <f t="shared" si="275"/>
        <v>2053</v>
      </c>
      <c r="C1210" s="4" t="s">
        <v>37</v>
      </c>
      <c r="D1210" s="5" t="s">
        <v>2003</v>
      </c>
      <c r="E1210" s="10" t="str">
        <f t="shared" si="273"/>
        <v>PSND'!</v>
      </c>
      <c r="F1210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10" s="7" t="s">
        <v>102</v>
      </c>
      <c r="H1210" s="4"/>
      <c r="I1210" s="4"/>
      <c r="J1210" s="4"/>
    </row>
    <row r="1211" spans="1:10" x14ac:dyDescent="0.35">
      <c r="A1211" s="7" t="s">
        <v>23</v>
      </c>
      <c r="B1211" s="7">
        <f t="shared" si="275"/>
        <v>2054</v>
      </c>
      <c r="C1211" s="4" t="s">
        <v>37</v>
      </c>
      <c r="D1211" s="5" t="s">
        <v>2003</v>
      </c>
      <c r="E1211" s="10" t="str">
        <f t="shared" si="273"/>
        <v>PSND'!</v>
      </c>
      <c r="F1211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11" s="7" t="s">
        <v>102</v>
      </c>
      <c r="H1211" s="4"/>
      <c r="I1211" s="4"/>
      <c r="J1211" s="4"/>
    </row>
    <row r="1212" spans="1:10" x14ac:dyDescent="0.35">
      <c r="A1212" s="7" t="s">
        <v>23</v>
      </c>
      <c r="B1212" s="7">
        <f t="shared" si="275"/>
        <v>2055</v>
      </c>
      <c r="C1212" s="4" t="s">
        <v>37</v>
      </c>
      <c r="D1212" s="5" t="s">
        <v>2003</v>
      </c>
      <c r="E1212" s="10" t="str">
        <f t="shared" si="273"/>
        <v>PSND'!</v>
      </c>
      <c r="F1212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12" s="7" t="s">
        <v>102</v>
      </c>
      <c r="H1212" s="4"/>
      <c r="I1212" s="4"/>
      <c r="J1212" s="4"/>
    </row>
    <row r="1213" spans="1:10" x14ac:dyDescent="0.35">
      <c r="A1213" s="7" t="s">
        <v>23</v>
      </c>
      <c r="B1213" s="7">
        <f t="shared" si="275"/>
        <v>2056</v>
      </c>
      <c r="C1213" s="4" t="s">
        <v>37</v>
      </c>
      <c r="D1213" s="5" t="s">
        <v>2003</v>
      </c>
      <c r="E1213" s="10" t="str">
        <f t="shared" si="273"/>
        <v>PSND'!</v>
      </c>
      <c r="F1213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13" s="7" t="s">
        <v>102</v>
      </c>
      <c r="H1213" s="4"/>
      <c r="I1213" s="4"/>
      <c r="J1213" s="4"/>
    </row>
    <row r="1214" spans="1:10" x14ac:dyDescent="0.35">
      <c r="A1214" s="7" t="s">
        <v>23</v>
      </c>
      <c r="B1214" s="7">
        <f t="shared" si="275"/>
        <v>2057</v>
      </c>
      <c r="C1214" s="4" t="s">
        <v>37</v>
      </c>
      <c r="D1214" s="5" t="s">
        <v>2003</v>
      </c>
      <c r="E1214" s="10" t="str">
        <f t="shared" si="273"/>
        <v>PSND'!</v>
      </c>
      <c r="F1214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14" s="7" t="s">
        <v>102</v>
      </c>
      <c r="H1214" s="4"/>
      <c r="I1214" s="4"/>
      <c r="J1214" s="4"/>
    </row>
    <row r="1215" spans="1:10" x14ac:dyDescent="0.35">
      <c r="A1215" s="7" t="s">
        <v>23</v>
      </c>
      <c r="B1215" s="7">
        <f t="shared" si="275"/>
        <v>2058</v>
      </c>
      <c r="C1215" s="4" t="s">
        <v>37</v>
      </c>
      <c r="D1215" s="5" t="s">
        <v>2003</v>
      </c>
      <c r="E1215" s="10" t="str">
        <f t="shared" si="273"/>
        <v>PSND'!</v>
      </c>
      <c r="F1215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15" s="7" t="s">
        <v>102</v>
      </c>
      <c r="H1215" s="4"/>
      <c r="I1215" s="4"/>
      <c r="J1215" s="4"/>
    </row>
    <row r="1216" spans="1:10" x14ac:dyDescent="0.35">
      <c r="A1216" s="7" t="s">
        <v>23</v>
      </c>
      <c r="B1216" s="7">
        <f t="shared" si="275"/>
        <v>2059</v>
      </c>
      <c r="C1216" s="4" t="s">
        <v>37</v>
      </c>
      <c r="D1216" s="5" t="s">
        <v>2003</v>
      </c>
      <c r="E1216" s="10" t="str">
        <f t="shared" si="273"/>
        <v>PSND'!</v>
      </c>
      <c r="F1216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16" s="7" t="s">
        <v>102</v>
      </c>
      <c r="H1216" s="4"/>
      <c r="I1216" s="4"/>
      <c r="J1216" s="4"/>
    </row>
    <row r="1217" spans="1:10" x14ac:dyDescent="0.35">
      <c r="A1217" s="7" t="s">
        <v>26</v>
      </c>
      <c r="B1217" s="7"/>
      <c r="C1217" s="4" t="s">
        <v>37</v>
      </c>
      <c r="D1217" s="5"/>
      <c r="E1217" s="10"/>
      <c r="F1217" s="5" t="str">
        <f t="shared" si="256"/>
        <v xml:space="preserve"> </v>
      </c>
      <c r="G1217" s="7"/>
      <c r="H1217" s="4"/>
      <c r="I1217" s="4"/>
      <c r="J1217" s="4"/>
    </row>
    <row r="1218" spans="1:10" x14ac:dyDescent="0.35">
      <c r="A1218" s="7" t="s">
        <v>24</v>
      </c>
      <c r="B1218" s="7">
        <v>2023</v>
      </c>
      <c r="C1218" s="4" t="s">
        <v>37</v>
      </c>
      <c r="D1218" s="5" t="s">
        <v>2003</v>
      </c>
      <c r="E1218" s="10" t="str">
        <f t="shared" si="216"/>
        <v>PS'!</v>
      </c>
      <c r="F1218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18" s="7" t="s">
        <v>102</v>
      </c>
      <c r="H1218" s="4">
        <f>IF(A1218&lt;&gt;A1088,36,H1088+1)</f>
        <v>36</v>
      </c>
      <c r="I1218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PS'!$BW$36</v>
      </c>
      <c r="J1218" s="4" t="s">
        <v>2522</v>
      </c>
    </row>
    <row r="1219" spans="1:10" x14ac:dyDescent="0.35">
      <c r="A1219" s="7" t="s">
        <v>24</v>
      </c>
      <c r="B1219" s="7">
        <f>+B1218+1</f>
        <v>2024</v>
      </c>
      <c r="C1219" s="4" t="s">
        <v>37</v>
      </c>
      <c r="D1219" s="5" t="s">
        <v>2003</v>
      </c>
      <c r="E1219" s="10" t="str">
        <f t="shared" si="216"/>
        <v>PS'!</v>
      </c>
      <c r="F1219" s="5" t="str">
        <f t="shared" ref="F1219:F1310" si="276">_xlfn.CONCAT(D1219," ",E1219)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19" s="7" t="s">
        <v>102</v>
      </c>
      <c r="H1219" s="4">
        <f t="shared" si="218"/>
        <v>37</v>
      </c>
      <c r="I1219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PS'!$BW$37</v>
      </c>
      <c r="J1219" s="4" t="s">
        <v>2523</v>
      </c>
    </row>
    <row r="1220" spans="1:10" x14ac:dyDescent="0.35">
      <c r="A1220" s="7" t="s">
        <v>24</v>
      </c>
      <c r="B1220" s="7">
        <f t="shared" ref="B1220:B1231" si="277">+B1219+1</f>
        <v>2025</v>
      </c>
      <c r="C1220" s="4" t="s">
        <v>37</v>
      </c>
      <c r="D1220" s="5" t="s">
        <v>2003</v>
      </c>
      <c r="E1220" s="10" t="str">
        <f t="shared" si="216"/>
        <v>PS'!</v>
      </c>
      <c r="F1220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20" s="7" t="s">
        <v>102</v>
      </c>
      <c r="H1220" s="4">
        <f t="shared" si="218"/>
        <v>38</v>
      </c>
      <c r="I1220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PS'!$BW$38</v>
      </c>
      <c r="J1220" s="4" t="s">
        <v>2524</v>
      </c>
    </row>
    <row r="1221" spans="1:10" x14ac:dyDescent="0.35">
      <c r="A1221" s="7" t="s">
        <v>24</v>
      </c>
      <c r="B1221" s="7">
        <f t="shared" si="277"/>
        <v>2026</v>
      </c>
      <c r="C1221" s="4" t="s">
        <v>37</v>
      </c>
      <c r="D1221" s="5" t="s">
        <v>2003</v>
      </c>
      <c r="E1221" s="10" t="str">
        <f t="shared" si="216"/>
        <v>PS'!</v>
      </c>
      <c r="F1221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21" s="7" t="s">
        <v>102</v>
      </c>
      <c r="H1221" s="4">
        <f t="shared" si="218"/>
        <v>39</v>
      </c>
      <c r="I1221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PS'!$BW$39</v>
      </c>
      <c r="J1221" s="4" t="s">
        <v>2525</v>
      </c>
    </row>
    <row r="1222" spans="1:10" x14ac:dyDescent="0.35">
      <c r="A1222" s="7" t="s">
        <v>24</v>
      </c>
      <c r="B1222" s="7">
        <f t="shared" si="277"/>
        <v>2027</v>
      </c>
      <c r="C1222" s="4" t="s">
        <v>37</v>
      </c>
      <c r="D1222" s="5" t="s">
        <v>2003</v>
      </c>
      <c r="E1222" s="10" t="str">
        <f t="shared" si="216"/>
        <v>PS'!</v>
      </c>
      <c r="F1222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22" s="7" t="s">
        <v>102</v>
      </c>
      <c r="H1222" s="4">
        <f t="shared" si="218"/>
        <v>40</v>
      </c>
      <c r="I1222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PS'!$BW$40</v>
      </c>
      <c r="J1222" s="4" t="s">
        <v>2526</v>
      </c>
    </row>
    <row r="1223" spans="1:10" x14ac:dyDescent="0.35">
      <c r="A1223" s="7" t="s">
        <v>24</v>
      </c>
      <c r="B1223" s="7">
        <f t="shared" si="277"/>
        <v>2028</v>
      </c>
      <c r="C1223" s="4" t="s">
        <v>37</v>
      </c>
      <c r="D1223" s="5" t="s">
        <v>2003</v>
      </c>
      <c r="E1223" s="10" t="str">
        <f t="shared" si="216"/>
        <v>PS'!</v>
      </c>
      <c r="F1223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23" s="7" t="s">
        <v>102</v>
      </c>
      <c r="H1223" s="4">
        <f t="shared" si="218"/>
        <v>41</v>
      </c>
      <c r="I1223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PS'!$BW$41</v>
      </c>
      <c r="J1223" s="4" t="s">
        <v>2527</v>
      </c>
    </row>
    <row r="1224" spans="1:10" x14ac:dyDescent="0.35">
      <c r="A1224" s="7" t="s">
        <v>24</v>
      </c>
      <c r="B1224" s="7">
        <f t="shared" si="277"/>
        <v>2029</v>
      </c>
      <c r="C1224" s="4" t="s">
        <v>37</v>
      </c>
      <c r="D1224" s="5" t="s">
        <v>2003</v>
      </c>
      <c r="E1224" s="10" t="str">
        <f t="shared" si="216"/>
        <v>PS'!</v>
      </c>
      <c r="F1224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24" s="7" t="s">
        <v>102</v>
      </c>
      <c r="H1224" s="4">
        <f t="shared" si="218"/>
        <v>42</v>
      </c>
      <c r="I1224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PS'!$BW$42</v>
      </c>
      <c r="J1224" s="4" t="s">
        <v>2528</v>
      </c>
    </row>
    <row r="1225" spans="1:10" x14ac:dyDescent="0.35">
      <c r="A1225" s="7" t="s">
        <v>24</v>
      </c>
      <c r="B1225" s="7">
        <f t="shared" si="277"/>
        <v>2030</v>
      </c>
      <c r="C1225" s="4" t="s">
        <v>37</v>
      </c>
      <c r="D1225" s="5" t="s">
        <v>2003</v>
      </c>
      <c r="E1225" s="10" t="str">
        <f t="shared" si="216"/>
        <v>PS'!</v>
      </c>
      <c r="F1225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25" s="7" t="s">
        <v>102</v>
      </c>
      <c r="H1225" s="4">
        <f t="shared" si="218"/>
        <v>43</v>
      </c>
      <c r="I1225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PS'!$BW$43</v>
      </c>
      <c r="J1225" s="4" t="s">
        <v>2529</v>
      </c>
    </row>
    <row r="1226" spans="1:10" x14ac:dyDescent="0.35">
      <c r="A1226" s="7" t="s">
        <v>24</v>
      </c>
      <c r="B1226" s="7">
        <f t="shared" si="277"/>
        <v>2031</v>
      </c>
      <c r="C1226" s="4" t="s">
        <v>37</v>
      </c>
      <c r="D1226" s="5" t="s">
        <v>2003</v>
      </c>
      <c r="E1226" s="10" t="str">
        <f t="shared" si="216"/>
        <v>PS'!</v>
      </c>
      <c r="F1226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26" s="7" t="s">
        <v>102</v>
      </c>
      <c r="H1226" s="4">
        <f t="shared" si="218"/>
        <v>44</v>
      </c>
      <c r="I1226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PS'!$BW$44</v>
      </c>
      <c r="J1226" s="4" t="s">
        <v>2530</v>
      </c>
    </row>
    <row r="1227" spans="1:10" x14ac:dyDescent="0.35">
      <c r="A1227" s="7" t="s">
        <v>24</v>
      </c>
      <c r="B1227" s="7">
        <f t="shared" si="277"/>
        <v>2032</v>
      </c>
      <c r="C1227" s="4" t="s">
        <v>37</v>
      </c>
      <c r="D1227" s="5" t="s">
        <v>2003</v>
      </c>
      <c r="E1227" s="10" t="str">
        <f t="shared" si="216"/>
        <v>PS'!</v>
      </c>
      <c r="F1227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27" s="7" t="s">
        <v>102</v>
      </c>
      <c r="H1227" s="4">
        <f t="shared" si="218"/>
        <v>45</v>
      </c>
      <c r="I1227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PS'!$BW$45</v>
      </c>
      <c r="J1227" s="4" t="s">
        <v>2531</v>
      </c>
    </row>
    <row r="1228" spans="1:10" x14ac:dyDescent="0.35">
      <c r="A1228" s="7" t="s">
        <v>24</v>
      </c>
      <c r="B1228" s="7">
        <f t="shared" si="277"/>
        <v>2033</v>
      </c>
      <c r="C1228" s="4" t="s">
        <v>37</v>
      </c>
      <c r="D1228" s="5" t="s">
        <v>2003</v>
      </c>
      <c r="E1228" s="10" t="str">
        <f t="shared" si="216"/>
        <v>PS'!</v>
      </c>
      <c r="F1228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28" s="7" t="s">
        <v>102</v>
      </c>
      <c r="H1228" s="4">
        <f t="shared" si="218"/>
        <v>46</v>
      </c>
      <c r="I1228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PS'!$BW$46</v>
      </c>
      <c r="J1228" s="4" t="s">
        <v>2532</v>
      </c>
    </row>
    <row r="1229" spans="1:10" x14ac:dyDescent="0.35">
      <c r="A1229" s="7" t="s">
        <v>24</v>
      </c>
      <c r="B1229" s="7">
        <f t="shared" si="277"/>
        <v>2034</v>
      </c>
      <c r="C1229" s="4" t="s">
        <v>37</v>
      </c>
      <c r="D1229" s="5" t="s">
        <v>2003</v>
      </c>
      <c r="E1229" s="10" t="str">
        <f t="shared" si="216"/>
        <v>PS'!</v>
      </c>
      <c r="F1229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29" s="7" t="s">
        <v>102</v>
      </c>
      <c r="H1229" s="4">
        <f t="shared" si="218"/>
        <v>47</v>
      </c>
      <c r="I1229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PS'!$BW$47</v>
      </c>
      <c r="J1229" s="4" t="s">
        <v>2533</v>
      </c>
    </row>
    <row r="1230" spans="1:10" x14ac:dyDescent="0.35">
      <c r="A1230" s="7" t="s">
        <v>24</v>
      </c>
      <c r="B1230" s="7">
        <f t="shared" si="277"/>
        <v>2035</v>
      </c>
      <c r="C1230" s="4" t="s">
        <v>37</v>
      </c>
      <c r="D1230" s="5" t="s">
        <v>2003</v>
      </c>
      <c r="E1230" s="10" t="str">
        <f t="shared" si="216"/>
        <v>PS'!</v>
      </c>
      <c r="F1230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30" s="7" t="s">
        <v>102</v>
      </c>
      <c r="H1230" s="4">
        <f t="shared" si="218"/>
        <v>48</v>
      </c>
      <c r="I1230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PS'!$BW$48</v>
      </c>
      <c r="J1230" s="4" t="s">
        <v>2534</v>
      </c>
    </row>
    <row r="1231" spans="1:10" x14ac:dyDescent="0.35">
      <c r="A1231" s="7" t="s">
        <v>24</v>
      </c>
      <c r="B1231" s="7">
        <f t="shared" si="277"/>
        <v>2036</v>
      </c>
      <c r="C1231" s="4" t="s">
        <v>37</v>
      </c>
      <c r="D1231" s="5" t="s">
        <v>2003</v>
      </c>
      <c r="E1231" s="10" t="str">
        <f t="shared" si="216"/>
        <v>PS'!</v>
      </c>
      <c r="F1231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31" s="7" t="s">
        <v>102</v>
      </c>
      <c r="H1231" s="4">
        <f t="shared" si="218"/>
        <v>49</v>
      </c>
      <c r="I1231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PS'!$BW$49</v>
      </c>
      <c r="J1231" s="4" t="s">
        <v>2535</v>
      </c>
    </row>
    <row r="1232" spans="1:10" x14ac:dyDescent="0.35">
      <c r="A1232" s="7" t="s">
        <v>24</v>
      </c>
      <c r="B1232" s="7">
        <f>+B1231+1</f>
        <v>2037</v>
      </c>
      <c r="C1232" s="4" t="s">
        <v>37</v>
      </c>
      <c r="D1232" s="5" t="s">
        <v>2003</v>
      </c>
      <c r="E1232" s="10" t="str">
        <f t="shared" si="216"/>
        <v>PS'!</v>
      </c>
      <c r="F1232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32" s="7" t="s">
        <v>102</v>
      </c>
      <c r="H1232" s="4">
        <f t="shared" si="218"/>
        <v>50</v>
      </c>
      <c r="I1232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PS'!$BW$50</v>
      </c>
      <c r="J1232" s="4" t="s">
        <v>2536</v>
      </c>
    </row>
    <row r="1233" spans="1:10" x14ac:dyDescent="0.35">
      <c r="A1233" s="7" t="s">
        <v>24</v>
      </c>
      <c r="B1233" s="7">
        <f t="shared" ref="B1233:B1235" si="278">+B1232+1</f>
        <v>2038</v>
      </c>
      <c r="C1233" s="4" t="s">
        <v>37</v>
      </c>
      <c r="D1233" s="5" t="s">
        <v>2003</v>
      </c>
      <c r="E1233" s="10" t="str">
        <f t="shared" si="216"/>
        <v>PS'!</v>
      </c>
      <c r="F1233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33" s="7" t="s">
        <v>102</v>
      </c>
      <c r="H1233" s="4">
        <f t="shared" si="218"/>
        <v>51</v>
      </c>
      <c r="I1233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PS'!$BW$51</v>
      </c>
      <c r="J1233" s="4" t="s">
        <v>2537</v>
      </c>
    </row>
    <row r="1234" spans="1:10" x14ac:dyDescent="0.35">
      <c r="A1234" s="7" t="s">
        <v>24</v>
      </c>
      <c r="B1234" s="7">
        <f t="shared" si="278"/>
        <v>2039</v>
      </c>
      <c r="C1234" s="4" t="s">
        <v>37</v>
      </c>
      <c r="D1234" s="5" t="s">
        <v>2003</v>
      </c>
      <c r="E1234" s="10" t="str">
        <f t="shared" si="216"/>
        <v>PS'!</v>
      </c>
      <c r="F1234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34" s="7" t="s">
        <v>102</v>
      </c>
      <c r="H1234" s="4">
        <f t="shared" si="218"/>
        <v>52</v>
      </c>
      <c r="I1234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PS'!$BW$52</v>
      </c>
      <c r="J1234" s="4" t="s">
        <v>2538</v>
      </c>
    </row>
    <row r="1235" spans="1:10" x14ac:dyDescent="0.35">
      <c r="A1235" s="7" t="s">
        <v>24</v>
      </c>
      <c r="B1235" s="7">
        <f t="shared" si="278"/>
        <v>2040</v>
      </c>
      <c r="C1235" s="4" t="s">
        <v>37</v>
      </c>
      <c r="D1235" s="5" t="s">
        <v>2003</v>
      </c>
      <c r="E1235" s="10" t="str">
        <f t="shared" si="216"/>
        <v>PS'!</v>
      </c>
      <c r="F1235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35" s="7" t="s">
        <v>102</v>
      </c>
      <c r="H1235" s="4">
        <f t="shared" si="218"/>
        <v>53</v>
      </c>
      <c r="I1235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PS'!$BW$53</v>
      </c>
      <c r="J1235" s="4" t="s">
        <v>2539</v>
      </c>
    </row>
    <row r="1236" spans="1:10" x14ac:dyDescent="0.35">
      <c r="A1236" s="7" t="s">
        <v>24</v>
      </c>
      <c r="B1236" s="7">
        <f>+B1235+1</f>
        <v>2041</v>
      </c>
      <c r="C1236" s="4" t="s">
        <v>37</v>
      </c>
      <c r="D1236" s="5" t="s">
        <v>2003</v>
      </c>
      <c r="E1236" s="10" t="str">
        <f t="shared" si="216"/>
        <v>PS'!</v>
      </c>
      <c r="F1236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36" s="7" t="s">
        <v>102</v>
      </c>
      <c r="H1236" s="4">
        <f t="shared" si="218"/>
        <v>54</v>
      </c>
      <c r="I1236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PS'!$BW$54</v>
      </c>
      <c r="J1236" s="4" t="s">
        <v>2540</v>
      </c>
    </row>
    <row r="1237" spans="1:10" x14ac:dyDescent="0.35">
      <c r="A1237" s="7" t="s">
        <v>24</v>
      </c>
      <c r="B1237" s="7">
        <f t="shared" ref="B1237:B1238" si="279">+B1236+1</f>
        <v>2042</v>
      </c>
      <c r="C1237" s="4" t="s">
        <v>37</v>
      </c>
      <c r="D1237" s="5" t="s">
        <v>2003</v>
      </c>
      <c r="E1237" s="10" t="str">
        <f t="shared" si="216"/>
        <v>PS'!</v>
      </c>
      <c r="F1237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37" s="7" t="s">
        <v>102</v>
      </c>
      <c r="H1237" s="4">
        <f t="shared" si="218"/>
        <v>55</v>
      </c>
      <c r="I1237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PS'!$BW$55</v>
      </c>
      <c r="J1237" s="4" t="s">
        <v>2541</v>
      </c>
    </row>
    <row r="1238" spans="1:10" x14ac:dyDescent="0.35">
      <c r="A1238" s="7" t="s">
        <v>24</v>
      </c>
      <c r="B1238" s="7">
        <f t="shared" si="279"/>
        <v>2043</v>
      </c>
      <c r="C1238" s="4" t="s">
        <v>37</v>
      </c>
      <c r="D1238" s="5" t="s">
        <v>2003</v>
      </c>
      <c r="E1238" s="10" t="str">
        <f t="shared" si="216"/>
        <v>PS'!</v>
      </c>
      <c r="F1238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38" s="7" t="s">
        <v>102</v>
      </c>
      <c r="H1238" s="4">
        <f t="shared" si="218"/>
        <v>56</v>
      </c>
      <c r="I1238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PS'!$BW$56</v>
      </c>
      <c r="J1238" s="4" t="s">
        <v>2542</v>
      </c>
    </row>
    <row r="1239" spans="1:10" x14ac:dyDescent="0.35">
      <c r="A1239" s="7" t="s">
        <v>24</v>
      </c>
      <c r="B1239" s="7">
        <f>+B1238+1</f>
        <v>2044</v>
      </c>
      <c r="C1239" s="4" t="s">
        <v>37</v>
      </c>
      <c r="D1239" s="5" t="s">
        <v>2003</v>
      </c>
      <c r="E1239" s="10" t="str">
        <f t="shared" ref="E1239:E1254" si="280">_xlfn.CONCAT(A1239,"'!")</f>
        <v>PS'!</v>
      </c>
      <c r="F1239" s="5" t="str">
        <f t="shared" ref="F1239:F1254" si="281">_xlfn.CONCAT(D1239," ",E1239)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39" s="7" t="s">
        <v>102</v>
      </c>
      <c r="H1239" s="4">
        <f t="shared" ref="H1239:H1254" si="282">IF(A1239&lt;&gt;A1238,36,H1238+1)</f>
        <v>57</v>
      </c>
      <c r="I1239" s="4" t="str">
        <f t="shared" ref="I1239:I1254" si="283">_xlfn.CONCAT("='",F1239:H1239)</f>
        <v>='C:\Users\jaime.benazar\Quorum Business Solutions\Ecopetrol Prometeo - Documents\Planning Space Implementation\3. Analysis &amp; Design\Design\FC22\DRR Jaime\Por presentar a ECP\Cantagallo\Cristalina\[VRC_CRISTALINA_CF_SEC_20221231.xlsx]CF PS'!$BW$57</v>
      </c>
      <c r="J1239" s="4" t="s">
        <v>2543</v>
      </c>
    </row>
    <row r="1240" spans="1:10" x14ac:dyDescent="0.35">
      <c r="A1240" s="7" t="s">
        <v>24</v>
      </c>
      <c r="B1240" s="7">
        <f t="shared" ref="B1240:B1254" si="284">+B1239+1</f>
        <v>2045</v>
      </c>
      <c r="C1240" s="4" t="s">
        <v>37</v>
      </c>
      <c r="D1240" s="5" t="s">
        <v>2003</v>
      </c>
      <c r="E1240" s="10" t="str">
        <f t="shared" si="280"/>
        <v>PS'!</v>
      </c>
      <c r="F1240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40" s="7" t="s">
        <v>102</v>
      </c>
      <c r="H1240" s="4">
        <f t="shared" si="282"/>
        <v>58</v>
      </c>
      <c r="I1240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PS'!$BW$58</v>
      </c>
      <c r="J1240" s="4" t="s">
        <v>2544</v>
      </c>
    </row>
    <row r="1241" spans="1:10" x14ac:dyDescent="0.35">
      <c r="A1241" s="7" t="s">
        <v>24</v>
      </c>
      <c r="B1241" s="7">
        <f t="shared" si="284"/>
        <v>2046</v>
      </c>
      <c r="C1241" s="4" t="s">
        <v>37</v>
      </c>
      <c r="D1241" s="5" t="s">
        <v>2003</v>
      </c>
      <c r="E1241" s="10" t="str">
        <f t="shared" si="280"/>
        <v>PS'!</v>
      </c>
      <c r="F1241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41" s="7" t="s">
        <v>102</v>
      </c>
      <c r="H1241" s="4">
        <f t="shared" si="282"/>
        <v>59</v>
      </c>
      <c r="I1241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PS'!$BW$59</v>
      </c>
      <c r="J1241" s="4" t="s">
        <v>2545</v>
      </c>
    </row>
    <row r="1242" spans="1:10" x14ac:dyDescent="0.35">
      <c r="A1242" s="7" t="s">
        <v>24</v>
      </c>
      <c r="B1242" s="7">
        <f t="shared" si="284"/>
        <v>2047</v>
      </c>
      <c r="C1242" s="4" t="s">
        <v>37</v>
      </c>
      <c r="D1242" s="5" t="s">
        <v>2003</v>
      </c>
      <c r="E1242" s="10" t="str">
        <f t="shared" si="280"/>
        <v>PS'!</v>
      </c>
      <c r="F1242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42" s="7" t="s">
        <v>102</v>
      </c>
      <c r="H1242" s="4">
        <f t="shared" si="282"/>
        <v>60</v>
      </c>
      <c r="I1242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PS'!$BW$60</v>
      </c>
      <c r="J1242" s="4" t="s">
        <v>2546</v>
      </c>
    </row>
    <row r="1243" spans="1:10" x14ac:dyDescent="0.35">
      <c r="A1243" s="7" t="s">
        <v>24</v>
      </c>
      <c r="B1243" s="7">
        <f t="shared" si="284"/>
        <v>2048</v>
      </c>
      <c r="C1243" s="4" t="s">
        <v>37</v>
      </c>
      <c r="D1243" s="5" t="s">
        <v>2003</v>
      </c>
      <c r="E1243" s="10" t="str">
        <f t="shared" si="280"/>
        <v>PS'!</v>
      </c>
      <c r="F1243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43" s="7" t="s">
        <v>102</v>
      </c>
      <c r="H1243" s="4">
        <f t="shared" si="282"/>
        <v>61</v>
      </c>
      <c r="I1243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PS'!$BW$61</v>
      </c>
      <c r="J1243" s="4" t="s">
        <v>2547</v>
      </c>
    </row>
    <row r="1244" spans="1:10" x14ac:dyDescent="0.35">
      <c r="A1244" s="7" t="s">
        <v>24</v>
      </c>
      <c r="B1244" s="7">
        <f t="shared" si="284"/>
        <v>2049</v>
      </c>
      <c r="C1244" s="4" t="s">
        <v>37</v>
      </c>
      <c r="D1244" s="5" t="s">
        <v>2003</v>
      </c>
      <c r="E1244" s="10" t="str">
        <f t="shared" si="280"/>
        <v>PS'!</v>
      </c>
      <c r="F1244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44" s="7" t="s">
        <v>102</v>
      </c>
      <c r="H1244" s="4">
        <f t="shared" si="282"/>
        <v>62</v>
      </c>
      <c r="I1244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PS'!$BW$62</v>
      </c>
      <c r="J1244" s="4" t="s">
        <v>2548</v>
      </c>
    </row>
    <row r="1245" spans="1:10" x14ac:dyDescent="0.35">
      <c r="A1245" s="7" t="s">
        <v>24</v>
      </c>
      <c r="B1245" s="7">
        <f t="shared" si="284"/>
        <v>2050</v>
      </c>
      <c r="C1245" s="4" t="s">
        <v>37</v>
      </c>
      <c r="D1245" s="5" t="s">
        <v>2003</v>
      </c>
      <c r="E1245" s="10" t="str">
        <f t="shared" si="280"/>
        <v>PS'!</v>
      </c>
      <c r="F1245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45" s="7" t="s">
        <v>102</v>
      </c>
      <c r="H1245" s="4">
        <f t="shared" si="282"/>
        <v>63</v>
      </c>
      <c r="I1245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PS'!$BW$63</v>
      </c>
      <c r="J1245" s="4" t="s">
        <v>2549</v>
      </c>
    </row>
    <row r="1246" spans="1:10" x14ac:dyDescent="0.35">
      <c r="A1246" s="7" t="s">
        <v>24</v>
      </c>
      <c r="B1246" s="7">
        <f t="shared" si="284"/>
        <v>2051</v>
      </c>
      <c r="C1246" s="4" t="s">
        <v>37</v>
      </c>
      <c r="D1246" s="5" t="s">
        <v>2003</v>
      </c>
      <c r="E1246" s="10" t="str">
        <f t="shared" si="280"/>
        <v>PS'!</v>
      </c>
      <c r="F1246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46" s="7" t="s">
        <v>102</v>
      </c>
      <c r="H1246" s="4">
        <f t="shared" si="282"/>
        <v>64</v>
      </c>
      <c r="I1246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PS'!$BW$64</v>
      </c>
      <c r="J1246" s="4" t="s">
        <v>2550</v>
      </c>
    </row>
    <row r="1247" spans="1:10" x14ac:dyDescent="0.35">
      <c r="A1247" s="7" t="s">
        <v>24</v>
      </c>
      <c r="B1247" s="7">
        <f t="shared" si="284"/>
        <v>2052</v>
      </c>
      <c r="C1247" s="4" t="s">
        <v>37</v>
      </c>
      <c r="D1247" s="5" t="s">
        <v>2003</v>
      </c>
      <c r="E1247" s="10" t="str">
        <f t="shared" si="280"/>
        <v>PS'!</v>
      </c>
      <c r="F1247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47" s="7" t="s">
        <v>102</v>
      </c>
      <c r="H1247" s="4">
        <f t="shared" si="282"/>
        <v>65</v>
      </c>
      <c r="I1247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PS'!$BW$65</v>
      </c>
      <c r="J1247" s="4" t="s">
        <v>2551</v>
      </c>
    </row>
    <row r="1248" spans="1:10" x14ac:dyDescent="0.35">
      <c r="A1248" s="7" t="s">
        <v>24</v>
      </c>
      <c r="B1248" s="7">
        <f t="shared" si="284"/>
        <v>2053</v>
      </c>
      <c r="C1248" s="4" t="s">
        <v>37</v>
      </c>
      <c r="D1248" s="5" t="s">
        <v>2003</v>
      </c>
      <c r="E1248" s="10" t="str">
        <f t="shared" si="280"/>
        <v>PS'!</v>
      </c>
      <c r="F1248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48" s="7" t="s">
        <v>102</v>
      </c>
      <c r="H1248" s="4">
        <f t="shared" si="282"/>
        <v>66</v>
      </c>
      <c r="I1248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PS'!$BW$66</v>
      </c>
      <c r="J1248" s="4" t="s">
        <v>2552</v>
      </c>
    </row>
    <row r="1249" spans="1:10" x14ac:dyDescent="0.35">
      <c r="A1249" s="7" t="s">
        <v>24</v>
      </c>
      <c r="B1249" s="7">
        <f t="shared" si="284"/>
        <v>2054</v>
      </c>
      <c r="C1249" s="4" t="s">
        <v>37</v>
      </c>
      <c r="D1249" s="5" t="s">
        <v>2003</v>
      </c>
      <c r="E1249" s="10" t="str">
        <f t="shared" si="280"/>
        <v>PS'!</v>
      </c>
      <c r="F1249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49" s="7" t="s">
        <v>102</v>
      </c>
      <c r="H1249" s="4">
        <f t="shared" si="282"/>
        <v>67</v>
      </c>
      <c r="I1249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PS'!$BW$67</v>
      </c>
      <c r="J1249" s="4" t="s">
        <v>2553</v>
      </c>
    </row>
    <row r="1250" spans="1:10" x14ac:dyDescent="0.35">
      <c r="A1250" s="7" t="s">
        <v>24</v>
      </c>
      <c r="B1250" s="7">
        <f t="shared" si="284"/>
        <v>2055</v>
      </c>
      <c r="C1250" s="4" t="s">
        <v>37</v>
      </c>
      <c r="D1250" s="5" t="s">
        <v>2003</v>
      </c>
      <c r="E1250" s="10" t="str">
        <f t="shared" si="280"/>
        <v>PS'!</v>
      </c>
      <c r="F1250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50" s="7" t="s">
        <v>102</v>
      </c>
      <c r="H1250" s="4">
        <f t="shared" si="282"/>
        <v>68</v>
      </c>
      <c r="I1250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PS'!$BW$68</v>
      </c>
      <c r="J1250" s="4" t="s">
        <v>2554</v>
      </c>
    </row>
    <row r="1251" spans="1:10" x14ac:dyDescent="0.35">
      <c r="A1251" s="7" t="s">
        <v>24</v>
      </c>
      <c r="B1251" s="7">
        <f t="shared" si="284"/>
        <v>2056</v>
      </c>
      <c r="C1251" s="4" t="s">
        <v>37</v>
      </c>
      <c r="D1251" s="5" t="s">
        <v>2003</v>
      </c>
      <c r="E1251" s="10" t="str">
        <f t="shared" si="280"/>
        <v>PS'!</v>
      </c>
      <c r="F1251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51" s="7" t="s">
        <v>102</v>
      </c>
      <c r="H1251" s="4">
        <f t="shared" si="282"/>
        <v>69</v>
      </c>
      <c r="I1251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PS'!$BW$69</v>
      </c>
      <c r="J1251" s="4" t="s">
        <v>2555</v>
      </c>
    </row>
    <row r="1252" spans="1:10" x14ac:dyDescent="0.35">
      <c r="A1252" s="7" t="s">
        <v>24</v>
      </c>
      <c r="B1252" s="7">
        <f t="shared" si="284"/>
        <v>2057</v>
      </c>
      <c r="C1252" s="4" t="s">
        <v>37</v>
      </c>
      <c r="D1252" s="5" t="s">
        <v>2003</v>
      </c>
      <c r="E1252" s="10" t="str">
        <f t="shared" si="280"/>
        <v>PS'!</v>
      </c>
      <c r="F1252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52" s="7" t="s">
        <v>102</v>
      </c>
      <c r="H1252" s="4">
        <f t="shared" si="282"/>
        <v>70</v>
      </c>
      <c r="I1252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PS'!$BW$70</v>
      </c>
      <c r="J1252" s="4" t="s">
        <v>2556</v>
      </c>
    </row>
    <row r="1253" spans="1:10" x14ac:dyDescent="0.35">
      <c r="A1253" s="7" t="s">
        <v>24</v>
      </c>
      <c r="B1253" s="7">
        <f t="shared" si="284"/>
        <v>2058</v>
      </c>
      <c r="C1253" s="4" t="s">
        <v>37</v>
      </c>
      <c r="D1253" s="5" t="s">
        <v>2003</v>
      </c>
      <c r="E1253" s="10" t="str">
        <f t="shared" si="280"/>
        <v>PS'!</v>
      </c>
      <c r="F1253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53" s="7" t="s">
        <v>102</v>
      </c>
      <c r="H1253" s="4">
        <f t="shared" si="282"/>
        <v>71</v>
      </c>
      <c r="I1253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PS'!$BW$71</v>
      </c>
      <c r="J1253" s="4" t="s">
        <v>2557</v>
      </c>
    </row>
    <row r="1254" spans="1:10" x14ac:dyDescent="0.35">
      <c r="A1254" s="7" t="s">
        <v>24</v>
      </c>
      <c r="B1254" s="7">
        <f t="shared" si="284"/>
        <v>2059</v>
      </c>
      <c r="C1254" s="4" t="s">
        <v>37</v>
      </c>
      <c r="D1254" s="5" t="s">
        <v>2003</v>
      </c>
      <c r="E1254" s="10" t="str">
        <f t="shared" si="280"/>
        <v>PS'!</v>
      </c>
      <c r="F1254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54" s="7" t="s">
        <v>102</v>
      </c>
      <c r="H1254" s="4">
        <f t="shared" si="282"/>
        <v>72</v>
      </c>
      <c r="I1254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PS'!$BW$72</v>
      </c>
      <c r="J1254" s="4" t="s">
        <v>2558</v>
      </c>
    </row>
    <row r="1255" spans="1:10" x14ac:dyDescent="0.35">
      <c r="A1255" s="7" t="s">
        <v>26</v>
      </c>
      <c r="B1255" s="7"/>
      <c r="C1255" s="4" t="s">
        <v>37</v>
      </c>
      <c r="D1255" s="5"/>
      <c r="E1255" s="10"/>
      <c r="F1255" s="5" t="str">
        <f t="shared" si="276"/>
        <v xml:space="preserve"> </v>
      </c>
      <c r="G1255" s="7"/>
      <c r="H1255" s="4"/>
      <c r="I1255" s="4"/>
      <c r="J1255" s="4"/>
    </row>
    <row r="1256" spans="1:10" x14ac:dyDescent="0.35">
      <c r="A1256" s="6" t="s">
        <v>14</v>
      </c>
      <c r="B1256" s="6">
        <v>2023</v>
      </c>
      <c r="C1256" s="1" t="s">
        <v>40</v>
      </c>
      <c r="D1256" s="2" t="s">
        <v>2003</v>
      </c>
      <c r="E1256" s="9" t="str">
        <f>_xlfn.CONCAT(A1256,"'!")</f>
        <v>PDP'!</v>
      </c>
      <c r="F1256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56" s="6" t="s">
        <v>103</v>
      </c>
      <c r="H1256" s="1">
        <f>IF(A1256&lt;&gt;A1240,36,H1240+1)</f>
        <v>36</v>
      </c>
      <c r="I1256" s="1" t="str">
        <f>_xlfn.CONCAT("='",F1256:H1256)</f>
        <v>='C:\Users\jaime.benazar\Quorum Business Solutions\Ecopetrol Prometeo - Documents\Planning Space Implementation\3. Analysis &amp; Design\Design\FC22\DRR Jaime\Por presentar a ECP\Cantagallo\Cristalina\[VRC_CRISTALINA_CF_SEC_20221231.xlsx]CF PDP'!$BX$36</v>
      </c>
      <c r="J1256" s="1" t="s">
        <v>2559</v>
      </c>
    </row>
    <row r="1257" spans="1:10" x14ac:dyDescent="0.35">
      <c r="A1257" s="6" t="s">
        <v>14</v>
      </c>
      <c r="B1257" s="6">
        <f>+B1256+1</f>
        <v>2024</v>
      </c>
      <c r="C1257" s="1" t="s">
        <v>40</v>
      </c>
      <c r="D1257" s="2" t="s">
        <v>2003</v>
      </c>
      <c r="E1257" s="9" t="str">
        <f t="shared" ref="E1257:E1350" si="285">_xlfn.CONCAT(A1257,"'!")</f>
        <v>PDP'!</v>
      </c>
      <c r="F1257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57" s="6" t="s">
        <v>103</v>
      </c>
      <c r="H1257" s="1">
        <f>IF(A1257&lt;&gt;A1256,36,H1256+1)</f>
        <v>37</v>
      </c>
      <c r="I1257" s="1" t="str">
        <f t="shared" ref="I1257:I1350" si="286">_xlfn.CONCAT("='",F1257:H1257)</f>
        <v>='C:\Users\jaime.benazar\Quorum Business Solutions\Ecopetrol Prometeo - Documents\Planning Space Implementation\3. Analysis &amp; Design\Design\FC22\DRR Jaime\Por presentar a ECP\Cantagallo\Cristalina\[VRC_CRISTALINA_CF_SEC_20221231.xlsx]CF PDP'!$BX$37</v>
      </c>
      <c r="J1257" s="1" t="s">
        <v>2560</v>
      </c>
    </row>
    <row r="1258" spans="1:10" x14ac:dyDescent="0.35">
      <c r="A1258" s="6" t="s">
        <v>14</v>
      </c>
      <c r="B1258" s="6">
        <f t="shared" ref="B1258:B1269" si="287">+B1257+1</f>
        <v>2025</v>
      </c>
      <c r="C1258" s="1" t="s">
        <v>40</v>
      </c>
      <c r="D1258" s="2" t="s">
        <v>2003</v>
      </c>
      <c r="E1258" s="9" t="str">
        <f t="shared" si="285"/>
        <v>PDP'!</v>
      </c>
      <c r="F1258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58" s="6" t="s">
        <v>103</v>
      </c>
      <c r="H1258" s="1">
        <f t="shared" ref="H1258:H1351" si="288">IF(A1258&lt;&gt;A1257,36,H1257+1)</f>
        <v>38</v>
      </c>
      <c r="I1258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PDP'!$BX$38</v>
      </c>
      <c r="J1258" s="1" t="s">
        <v>2561</v>
      </c>
    </row>
    <row r="1259" spans="1:10" x14ac:dyDescent="0.35">
      <c r="A1259" s="6" t="s">
        <v>14</v>
      </c>
      <c r="B1259" s="6">
        <f t="shared" si="287"/>
        <v>2026</v>
      </c>
      <c r="C1259" s="1" t="s">
        <v>40</v>
      </c>
      <c r="D1259" s="2" t="s">
        <v>2003</v>
      </c>
      <c r="E1259" s="9" t="str">
        <f t="shared" si="285"/>
        <v>PDP'!</v>
      </c>
      <c r="F1259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59" s="6" t="s">
        <v>103</v>
      </c>
      <c r="H1259" s="1">
        <f t="shared" si="288"/>
        <v>39</v>
      </c>
      <c r="I1259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PDP'!$BX$39</v>
      </c>
      <c r="J1259" s="1" t="s">
        <v>2562</v>
      </c>
    </row>
    <row r="1260" spans="1:10" x14ac:dyDescent="0.35">
      <c r="A1260" s="6" t="s">
        <v>14</v>
      </c>
      <c r="B1260" s="6">
        <f t="shared" si="287"/>
        <v>2027</v>
      </c>
      <c r="C1260" s="1" t="s">
        <v>40</v>
      </c>
      <c r="D1260" s="2" t="s">
        <v>2003</v>
      </c>
      <c r="E1260" s="9" t="str">
        <f t="shared" si="285"/>
        <v>PDP'!</v>
      </c>
      <c r="F1260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60" s="6" t="s">
        <v>103</v>
      </c>
      <c r="H1260" s="1">
        <f t="shared" si="288"/>
        <v>40</v>
      </c>
      <c r="I1260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PDP'!$BX$40</v>
      </c>
      <c r="J1260" s="1" t="s">
        <v>2563</v>
      </c>
    </row>
    <row r="1261" spans="1:10" x14ac:dyDescent="0.35">
      <c r="A1261" s="6" t="s">
        <v>14</v>
      </c>
      <c r="B1261" s="6">
        <f t="shared" si="287"/>
        <v>2028</v>
      </c>
      <c r="C1261" s="1" t="s">
        <v>40</v>
      </c>
      <c r="D1261" s="2" t="s">
        <v>2003</v>
      </c>
      <c r="E1261" s="9" t="str">
        <f t="shared" si="285"/>
        <v>PDP'!</v>
      </c>
      <c r="F1261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61" s="6" t="s">
        <v>103</v>
      </c>
      <c r="H1261" s="1">
        <f t="shared" si="288"/>
        <v>41</v>
      </c>
      <c r="I1261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PDP'!$BX$41</v>
      </c>
      <c r="J1261" s="1" t="s">
        <v>2564</v>
      </c>
    </row>
    <row r="1262" spans="1:10" x14ac:dyDescent="0.35">
      <c r="A1262" s="6" t="s">
        <v>14</v>
      </c>
      <c r="B1262" s="6">
        <f t="shared" si="287"/>
        <v>2029</v>
      </c>
      <c r="C1262" s="1" t="s">
        <v>40</v>
      </c>
      <c r="D1262" s="2" t="s">
        <v>2003</v>
      </c>
      <c r="E1262" s="9" t="str">
        <f t="shared" si="285"/>
        <v>PDP'!</v>
      </c>
      <c r="F1262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62" s="6" t="s">
        <v>103</v>
      </c>
      <c r="H1262" s="1">
        <f t="shared" si="288"/>
        <v>42</v>
      </c>
      <c r="I1262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PDP'!$BX$42</v>
      </c>
      <c r="J1262" s="1" t="s">
        <v>2565</v>
      </c>
    </row>
    <row r="1263" spans="1:10" x14ac:dyDescent="0.35">
      <c r="A1263" s="6" t="s">
        <v>14</v>
      </c>
      <c r="B1263" s="6">
        <f t="shared" si="287"/>
        <v>2030</v>
      </c>
      <c r="C1263" s="1" t="s">
        <v>40</v>
      </c>
      <c r="D1263" s="2" t="s">
        <v>2003</v>
      </c>
      <c r="E1263" s="9" t="str">
        <f t="shared" si="285"/>
        <v>PDP'!</v>
      </c>
      <c r="F1263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63" s="6" t="s">
        <v>103</v>
      </c>
      <c r="H1263" s="1">
        <f t="shared" si="288"/>
        <v>43</v>
      </c>
      <c r="I1263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PDP'!$BX$43</v>
      </c>
      <c r="J1263" s="1" t="s">
        <v>2566</v>
      </c>
    </row>
    <row r="1264" spans="1:10" x14ac:dyDescent="0.35">
      <c r="A1264" s="6" t="s">
        <v>14</v>
      </c>
      <c r="B1264" s="6">
        <f t="shared" si="287"/>
        <v>2031</v>
      </c>
      <c r="C1264" s="1" t="s">
        <v>40</v>
      </c>
      <c r="D1264" s="2" t="s">
        <v>2003</v>
      </c>
      <c r="E1264" s="9" t="str">
        <f t="shared" si="285"/>
        <v>PDP'!</v>
      </c>
      <c r="F1264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64" s="6" t="s">
        <v>103</v>
      </c>
      <c r="H1264" s="1">
        <f t="shared" si="288"/>
        <v>44</v>
      </c>
      <c r="I1264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PDP'!$BX$44</v>
      </c>
      <c r="J1264" s="1" t="s">
        <v>2567</v>
      </c>
    </row>
    <row r="1265" spans="1:10" x14ac:dyDescent="0.35">
      <c r="A1265" s="6" t="s">
        <v>14</v>
      </c>
      <c r="B1265" s="6">
        <f t="shared" si="287"/>
        <v>2032</v>
      </c>
      <c r="C1265" s="1" t="s">
        <v>40</v>
      </c>
      <c r="D1265" s="2" t="s">
        <v>2003</v>
      </c>
      <c r="E1265" s="9" t="str">
        <f t="shared" si="285"/>
        <v>PDP'!</v>
      </c>
      <c r="F1265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65" s="6" t="s">
        <v>103</v>
      </c>
      <c r="H1265" s="1">
        <f t="shared" si="288"/>
        <v>45</v>
      </c>
      <c r="I1265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PDP'!$BX$45</v>
      </c>
      <c r="J1265" s="1" t="s">
        <v>2568</v>
      </c>
    </row>
    <row r="1266" spans="1:10" x14ac:dyDescent="0.35">
      <c r="A1266" s="6" t="s">
        <v>14</v>
      </c>
      <c r="B1266" s="6">
        <f t="shared" si="287"/>
        <v>2033</v>
      </c>
      <c r="C1266" s="1" t="s">
        <v>40</v>
      </c>
      <c r="D1266" s="2" t="s">
        <v>2003</v>
      </c>
      <c r="E1266" s="9" t="str">
        <f t="shared" si="285"/>
        <v>PDP'!</v>
      </c>
      <c r="F1266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66" s="6" t="s">
        <v>103</v>
      </c>
      <c r="H1266" s="1">
        <f t="shared" si="288"/>
        <v>46</v>
      </c>
      <c r="I1266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PDP'!$BX$46</v>
      </c>
      <c r="J1266" s="1" t="s">
        <v>2569</v>
      </c>
    </row>
    <row r="1267" spans="1:10" x14ac:dyDescent="0.35">
      <c r="A1267" s="6" t="s">
        <v>14</v>
      </c>
      <c r="B1267" s="6">
        <f t="shared" si="287"/>
        <v>2034</v>
      </c>
      <c r="C1267" s="1" t="s">
        <v>40</v>
      </c>
      <c r="D1267" s="2" t="s">
        <v>2003</v>
      </c>
      <c r="E1267" s="9" t="str">
        <f t="shared" si="285"/>
        <v>PDP'!</v>
      </c>
      <c r="F1267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67" s="6" t="s">
        <v>103</v>
      </c>
      <c r="H1267" s="1">
        <f t="shared" si="288"/>
        <v>47</v>
      </c>
      <c r="I1267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PDP'!$BX$47</v>
      </c>
      <c r="J1267" s="1" t="s">
        <v>2570</v>
      </c>
    </row>
    <row r="1268" spans="1:10" x14ac:dyDescent="0.35">
      <c r="A1268" s="6" t="s">
        <v>14</v>
      </c>
      <c r="B1268" s="6">
        <f t="shared" si="287"/>
        <v>2035</v>
      </c>
      <c r="C1268" s="1" t="s">
        <v>40</v>
      </c>
      <c r="D1268" s="2" t="s">
        <v>2003</v>
      </c>
      <c r="E1268" s="9" t="str">
        <f t="shared" si="285"/>
        <v>PDP'!</v>
      </c>
      <c r="F1268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68" s="6" t="s">
        <v>103</v>
      </c>
      <c r="H1268" s="1">
        <f t="shared" si="288"/>
        <v>48</v>
      </c>
      <c r="I1268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PDP'!$BX$48</v>
      </c>
      <c r="J1268" s="1" t="s">
        <v>2571</v>
      </c>
    </row>
    <row r="1269" spans="1:10" x14ac:dyDescent="0.35">
      <c r="A1269" s="6" t="s">
        <v>14</v>
      </c>
      <c r="B1269" s="6">
        <f t="shared" si="287"/>
        <v>2036</v>
      </c>
      <c r="C1269" s="1" t="s">
        <v>40</v>
      </c>
      <c r="D1269" s="2" t="s">
        <v>2003</v>
      </c>
      <c r="E1269" s="9" t="str">
        <f t="shared" si="285"/>
        <v>PDP'!</v>
      </c>
      <c r="F1269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69" s="6" t="s">
        <v>103</v>
      </c>
      <c r="H1269" s="1">
        <f t="shared" si="288"/>
        <v>49</v>
      </c>
      <c r="I1269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PDP'!$BX$49</v>
      </c>
      <c r="J1269" s="1" t="s">
        <v>2572</v>
      </c>
    </row>
    <row r="1270" spans="1:10" x14ac:dyDescent="0.35">
      <c r="A1270" s="6" t="s">
        <v>14</v>
      </c>
      <c r="B1270" s="6">
        <f>+B1269+1</f>
        <v>2037</v>
      </c>
      <c r="C1270" s="1" t="s">
        <v>40</v>
      </c>
      <c r="D1270" s="2" t="s">
        <v>2003</v>
      </c>
      <c r="E1270" s="9" t="str">
        <f t="shared" si="285"/>
        <v>PDP'!</v>
      </c>
      <c r="F1270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70" s="6" t="s">
        <v>103</v>
      </c>
      <c r="H1270" s="1">
        <f t="shared" si="288"/>
        <v>50</v>
      </c>
      <c r="I1270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PDP'!$BX$50</v>
      </c>
      <c r="J1270" s="1" t="s">
        <v>2573</v>
      </c>
    </row>
    <row r="1271" spans="1:10" x14ac:dyDescent="0.35">
      <c r="A1271" s="6" t="s">
        <v>14</v>
      </c>
      <c r="B1271" s="6">
        <f t="shared" ref="B1271:B1273" si="289">+B1270+1</f>
        <v>2038</v>
      </c>
      <c r="C1271" s="1" t="s">
        <v>40</v>
      </c>
      <c r="D1271" s="2" t="s">
        <v>2003</v>
      </c>
      <c r="E1271" s="9" t="str">
        <f t="shared" si="285"/>
        <v>PDP'!</v>
      </c>
      <c r="F1271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71" s="6" t="s">
        <v>103</v>
      </c>
      <c r="H1271" s="1">
        <f t="shared" si="288"/>
        <v>51</v>
      </c>
      <c r="I1271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PDP'!$BX$51</v>
      </c>
      <c r="J1271" s="1" t="s">
        <v>2574</v>
      </c>
    </row>
    <row r="1272" spans="1:10" x14ac:dyDescent="0.35">
      <c r="A1272" s="6" t="s">
        <v>14</v>
      </c>
      <c r="B1272" s="6">
        <f t="shared" si="289"/>
        <v>2039</v>
      </c>
      <c r="C1272" s="1" t="s">
        <v>40</v>
      </c>
      <c r="D1272" s="2" t="s">
        <v>2003</v>
      </c>
      <c r="E1272" s="9" t="str">
        <f t="shared" si="285"/>
        <v>PDP'!</v>
      </c>
      <c r="F1272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72" s="6" t="s">
        <v>103</v>
      </c>
      <c r="H1272" s="1">
        <f t="shared" si="288"/>
        <v>52</v>
      </c>
      <c r="I1272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PDP'!$BX$52</v>
      </c>
      <c r="J1272" s="1" t="s">
        <v>2575</v>
      </c>
    </row>
    <row r="1273" spans="1:10" x14ac:dyDescent="0.35">
      <c r="A1273" s="6" t="s">
        <v>14</v>
      </c>
      <c r="B1273" s="6">
        <f t="shared" si="289"/>
        <v>2040</v>
      </c>
      <c r="C1273" s="1" t="s">
        <v>40</v>
      </c>
      <c r="D1273" s="2" t="s">
        <v>2003</v>
      </c>
      <c r="E1273" s="9" t="str">
        <f t="shared" si="285"/>
        <v>PDP'!</v>
      </c>
      <c r="F1273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73" s="6" t="s">
        <v>103</v>
      </c>
      <c r="H1273" s="1">
        <f t="shared" si="288"/>
        <v>53</v>
      </c>
      <c r="I1273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PDP'!$BX$53</v>
      </c>
      <c r="J1273" s="1" t="s">
        <v>2576</v>
      </c>
    </row>
    <row r="1274" spans="1:10" x14ac:dyDescent="0.35">
      <c r="A1274" s="6" t="s">
        <v>14</v>
      </c>
      <c r="B1274" s="6">
        <f>+B1273+1</f>
        <v>2041</v>
      </c>
      <c r="C1274" s="1" t="s">
        <v>40</v>
      </c>
      <c r="D1274" s="2" t="s">
        <v>2003</v>
      </c>
      <c r="E1274" s="9" t="str">
        <f t="shared" si="285"/>
        <v>PDP'!</v>
      </c>
      <c r="F1274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74" s="6" t="s">
        <v>103</v>
      </c>
      <c r="H1274" s="1">
        <f t="shared" si="288"/>
        <v>54</v>
      </c>
      <c r="I1274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PDP'!$BX$54</v>
      </c>
      <c r="J1274" s="1" t="s">
        <v>2577</v>
      </c>
    </row>
    <row r="1275" spans="1:10" x14ac:dyDescent="0.35">
      <c r="A1275" s="6" t="s">
        <v>14</v>
      </c>
      <c r="B1275" s="6">
        <f t="shared" ref="B1275:B1276" si="290">+B1274+1</f>
        <v>2042</v>
      </c>
      <c r="C1275" s="1" t="s">
        <v>40</v>
      </c>
      <c r="D1275" s="2" t="s">
        <v>2003</v>
      </c>
      <c r="E1275" s="9" t="str">
        <f t="shared" si="285"/>
        <v>PDP'!</v>
      </c>
      <c r="F1275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75" s="6" t="s">
        <v>103</v>
      </c>
      <c r="H1275" s="1">
        <f t="shared" si="288"/>
        <v>55</v>
      </c>
      <c r="I1275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PDP'!$BX$55</v>
      </c>
      <c r="J1275" s="1" t="s">
        <v>2578</v>
      </c>
    </row>
    <row r="1276" spans="1:10" x14ac:dyDescent="0.35">
      <c r="A1276" s="6" t="s">
        <v>14</v>
      </c>
      <c r="B1276" s="6">
        <f t="shared" si="290"/>
        <v>2043</v>
      </c>
      <c r="C1276" s="1" t="s">
        <v>40</v>
      </c>
      <c r="D1276" s="2" t="s">
        <v>2003</v>
      </c>
      <c r="E1276" s="9" t="str">
        <f t="shared" si="285"/>
        <v>PDP'!</v>
      </c>
      <c r="F1276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76" s="6" t="s">
        <v>103</v>
      </c>
      <c r="H1276" s="1">
        <f t="shared" si="288"/>
        <v>56</v>
      </c>
      <c r="I1276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PDP'!$BX$56</v>
      </c>
      <c r="J1276" s="1" t="s">
        <v>2579</v>
      </c>
    </row>
    <row r="1277" spans="1:10" x14ac:dyDescent="0.35">
      <c r="A1277" s="6" t="s">
        <v>14</v>
      </c>
      <c r="B1277" s="6">
        <f>+B1276+1</f>
        <v>2044</v>
      </c>
      <c r="C1277" s="1" t="s">
        <v>40</v>
      </c>
      <c r="D1277" s="2" t="s">
        <v>2003</v>
      </c>
      <c r="E1277" s="9" t="str">
        <f t="shared" ref="E1277:E1292" si="291">_xlfn.CONCAT(A1277,"'!")</f>
        <v>PDP'!</v>
      </c>
      <c r="F1277" s="5" t="str">
        <f t="shared" ref="F1277:F1292" si="292">_xlfn.CONCAT(D1277," ",E1277)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77" s="6" t="s">
        <v>103</v>
      </c>
      <c r="H1277" s="1">
        <f t="shared" ref="H1277:H1292" si="293">IF(A1277&lt;&gt;A1276,36,H1276+1)</f>
        <v>57</v>
      </c>
      <c r="I1277" s="1" t="str">
        <f t="shared" ref="I1277:I1292" si="294">_xlfn.CONCAT("='",F1277:H1277)</f>
        <v>='C:\Users\jaime.benazar\Quorum Business Solutions\Ecopetrol Prometeo - Documents\Planning Space Implementation\3. Analysis &amp; Design\Design\FC22\DRR Jaime\Por presentar a ECP\Cantagallo\Cristalina\[VRC_CRISTALINA_CF_SEC_20221231.xlsx]CF PDP'!$BX$57</v>
      </c>
      <c r="J1277" s="1" t="s">
        <v>2580</v>
      </c>
    </row>
    <row r="1278" spans="1:10" x14ac:dyDescent="0.35">
      <c r="A1278" s="6" t="s">
        <v>14</v>
      </c>
      <c r="B1278" s="6">
        <f t="shared" ref="B1278:B1292" si="295">+B1277+1</f>
        <v>2045</v>
      </c>
      <c r="C1278" s="1" t="s">
        <v>40</v>
      </c>
      <c r="D1278" s="2" t="s">
        <v>2003</v>
      </c>
      <c r="E1278" s="9" t="str">
        <f t="shared" si="291"/>
        <v>PDP'!</v>
      </c>
      <c r="F1278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78" s="6" t="s">
        <v>103</v>
      </c>
      <c r="H1278" s="1">
        <f t="shared" si="293"/>
        <v>58</v>
      </c>
      <c r="I1278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PDP'!$BX$58</v>
      </c>
      <c r="J1278" s="1" t="s">
        <v>2581</v>
      </c>
    </row>
    <row r="1279" spans="1:10" x14ac:dyDescent="0.35">
      <c r="A1279" s="6" t="s">
        <v>14</v>
      </c>
      <c r="B1279" s="6">
        <f t="shared" si="295"/>
        <v>2046</v>
      </c>
      <c r="C1279" s="1" t="s">
        <v>40</v>
      </c>
      <c r="D1279" s="2" t="s">
        <v>2003</v>
      </c>
      <c r="E1279" s="9" t="str">
        <f t="shared" si="291"/>
        <v>PDP'!</v>
      </c>
      <c r="F1279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79" s="6" t="s">
        <v>103</v>
      </c>
      <c r="H1279" s="1">
        <f t="shared" si="293"/>
        <v>59</v>
      </c>
      <c r="I1279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PDP'!$BX$59</v>
      </c>
      <c r="J1279" s="1" t="s">
        <v>2582</v>
      </c>
    </row>
    <row r="1280" spans="1:10" x14ac:dyDescent="0.35">
      <c r="A1280" s="6" t="s">
        <v>14</v>
      </c>
      <c r="B1280" s="6">
        <f t="shared" si="295"/>
        <v>2047</v>
      </c>
      <c r="C1280" s="1" t="s">
        <v>40</v>
      </c>
      <c r="D1280" s="2" t="s">
        <v>2003</v>
      </c>
      <c r="E1280" s="9" t="str">
        <f t="shared" si="291"/>
        <v>PDP'!</v>
      </c>
      <c r="F1280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80" s="6" t="s">
        <v>103</v>
      </c>
      <c r="H1280" s="1">
        <f t="shared" si="293"/>
        <v>60</v>
      </c>
      <c r="I1280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PDP'!$BX$60</v>
      </c>
      <c r="J1280" s="1" t="s">
        <v>2583</v>
      </c>
    </row>
    <row r="1281" spans="1:10" x14ac:dyDescent="0.35">
      <c r="A1281" s="6" t="s">
        <v>14</v>
      </c>
      <c r="B1281" s="6">
        <f t="shared" si="295"/>
        <v>2048</v>
      </c>
      <c r="C1281" s="1" t="s">
        <v>40</v>
      </c>
      <c r="D1281" s="2" t="s">
        <v>2003</v>
      </c>
      <c r="E1281" s="9" t="str">
        <f t="shared" si="291"/>
        <v>PDP'!</v>
      </c>
      <c r="F1281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81" s="6" t="s">
        <v>103</v>
      </c>
      <c r="H1281" s="1">
        <f t="shared" si="293"/>
        <v>61</v>
      </c>
      <c r="I1281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PDP'!$BX$61</v>
      </c>
      <c r="J1281" s="1" t="s">
        <v>2584</v>
      </c>
    </row>
    <row r="1282" spans="1:10" x14ac:dyDescent="0.35">
      <c r="A1282" s="6" t="s">
        <v>14</v>
      </c>
      <c r="B1282" s="6">
        <f t="shared" si="295"/>
        <v>2049</v>
      </c>
      <c r="C1282" s="1" t="s">
        <v>40</v>
      </c>
      <c r="D1282" s="2" t="s">
        <v>2003</v>
      </c>
      <c r="E1282" s="9" t="str">
        <f t="shared" si="291"/>
        <v>PDP'!</v>
      </c>
      <c r="F1282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82" s="6" t="s">
        <v>103</v>
      </c>
      <c r="H1282" s="1">
        <f t="shared" si="293"/>
        <v>62</v>
      </c>
      <c r="I1282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PDP'!$BX$62</v>
      </c>
      <c r="J1282" s="1" t="s">
        <v>2585</v>
      </c>
    </row>
    <row r="1283" spans="1:10" x14ac:dyDescent="0.35">
      <c r="A1283" s="6" t="s">
        <v>14</v>
      </c>
      <c r="B1283" s="6">
        <f t="shared" si="295"/>
        <v>2050</v>
      </c>
      <c r="C1283" s="1" t="s">
        <v>40</v>
      </c>
      <c r="D1283" s="2" t="s">
        <v>2003</v>
      </c>
      <c r="E1283" s="9" t="str">
        <f t="shared" si="291"/>
        <v>PDP'!</v>
      </c>
      <c r="F1283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83" s="6" t="s">
        <v>103</v>
      </c>
      <c r="H1283" s="1">
        <f t="shared" si="293"/>
        <v>63</v>
      </c>
      <c r="I1283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PDP'!$BX$63</v>
      </c>
      <c r="J1283" s="1" t="s">
        <v>2586</v>
      </c>
    </row>
    <row r="1284" spans="1:10" x14ac:dyDescent="0.35">
      <c r="A1284" s="6" t="s">
        <v>14</v>
      </c>
      <c r="B1284" s="6">
        <f t="shared" si="295"/>
        <v>2051</v>
      </c>
      <c r="C1284" s="1" t="s">
        <v>40</v>
      </c>
      <c r="D1284" s="2" t="s">
        <v>2003</v>
      </c>
      <c r="E1284" s="9" t="str">
        <f t="shared" si="291"/>
        <v>PDP'!</v>
      </c>
      <c r="F1284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84" s="6" t="s">
        <v>103</v>
      </c>
      <c r="H1284" s="1">
        <f t="shared" si="293"/>
        <v>64</v>
      </c>
      <c r="I1284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PDP'!$BX$64</v>
      </c>
      <c r="J1284" s="1" t="s">
        <v>2587</v>
      </c>
    </row>
    <row r="1285" spans="1:10" x14ac:dyDescent="0.35">
      <c r="A1285" s="6" t="s">
        <v>14</v>
      </c>
      <c r="B1285" s="6">
        <f t="shared" si="295"/>
        <v>2052</v>
      </c>
      <c r="C1285" s="1" t="s">
        <v>40</v>
      </c>
      <c r="D1285" s="2" t="s">
        <v>2003</v>
      </c>
      <c r="E1285" s="9" t="str">
        <f t="shared" si="291"/>
        <v>PDP'!</v>
      </c>
      <c r="F1285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85" s="6" t="s">
        <v>103</v>
      </c>
      <c r="H1285" s="1">
        <f t="shared" si="293"/>
        <v>65</v>
      </c>
      <c r="I1285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PDP'!$BX$65</v>
      </c>
      <c r="J1285" s="1" t="s">
        <v>2588</v>
      </c>
    </row>
    <row r="1286" spans="1:10" x14ac:dyDescent="0.35">
      <c r="A1286" s="6" t="s">
        <v>14</v>
      </c>
      <c r="B1286" s="6">
        <f t="shared" si="295"/>
        <v>2053</v>
      </c>
      <c r="C1286" s="1" t="s">
        <v>40</v>
      </c>
      <c r="D1286" s="2" t="s">
        <v>2003</v>
      </c>
      <c r="E1286" s="9" t="str">
        <f t="shared" si="291"/>
        <v>PDP'!</v>
      </c>
      <c r="F1286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86" s="6" t="s">
        <v>103</v>
      </c>
      <c r="H1286" s="1">
        <f t="shared" si="293"/>
        <v>66</v>
      </c>
      <c r="I1286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PDP'!$BX$66</v>
      </c>
      <c r="J1286" s="1" t="s">
        <v>2589</v>
      </c>
    </row>
    <row r="1287" spans="1:10" x14ac:dyDescent="0.35">
      <c r="A1287" s="6" t="s">
        <v>14</v>
      </c>
      <c r="B1287" s="6">
        <f t="shared" si="295"/>
        <v>2054</v>
      </c>
      <c r="C1287" s="1" t="s">
        <v>40</v>
      </c>
      <c r="D1287" s="2" t="s">
        <v>2003</v>
      </c>
      <c r="E1287" s="9" t="str">
        <f t="shared" si="291"/>
        <v>PDP'!</v>
      </c>
      <c r="F1287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87" s="6" t="s">
        <v>103</v>
      </c>
      <c r="H1287" s="1">
        <f t="shared" si="293"/>
        <v>67</v>
      </c>
      <c r="I1287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PDP'!$BX$67</v>
      </c>
      <c r="J1287" s="1" t="s">
        <v>2590</v>
      </c>
    </row>
    <row r="1288" spans="1:10" x14ac:dyDescent="0.35">
      <c r="A1288" s="6" t="s">
        <v>14</v>
      </c>
      <c r="B1288" s="6">
        <f t="shared" si="295"/>
        <v>2055</v>
      </c>
      <c r="C1288" s="1" t="s">
        <v>40</v>
      </c>
      <c r="D1288" s="2" t="s">
        <v>2003</v>
      </c>
      <c r="E1288" s="9" t="str">
        <f t="shared" si="291"/>
        <v>PDP'!</v>
      </c>
      <c r="F1288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88" s="6" t="s">
        <v>103</v>
      </c>
      <c r="H1288" s="1">
        <f t="shared" si="293"/>
        <v>68</v>
      </c>
      <c r="I1288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PDP'!$BX$68</v>
      </c>
      <c r="J1288" s="1" t="s">
        <v>2591</v>
      </c>
    </row>
    <row r="1289" spans="1:10" x14ac:dyDescent="0.35">
      <c r="A1289" s="6" t="s">
        <v>14</v>
      </c>
      <c r="B1289" s="6">
        <f t="shared" si="295"/>
        <v>2056</v>
      </c>
      <c r="C1289" s="1" t="s">
        <v>40</v>
      </c>
      <c r="D1289" s="2" t="s">
        <v>2003</v>
      </c>
      <c r="E1289" s="9" t="str">
        <f t="shared" si="291"/>
        <v>PDP'!</v>
      </c>
      <c r="F1289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89" s="6" t="s">
        <v>103</v>
      </c>
      <c r="H1289" s="1">
        <f t="shared" si="293"/>
        <v>69</v>
      </c>
      <c r="I1289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PDP'!$BX$69</v>
      </c>
      <c r="J1289" s="1" t="s">
        <v>2592</v>
      </c>
    </row>
    <row r="1290" spans="1:10" x14ac:dyDescent="0.35">
      <c r="A1290" s="6" t="s">
        <v>14</v>
      </c>
      <c r="B1290" s="6">
        <f t="shared" si="295"/>
        <v>2057</v>
      </c>
      <c r="C1290" s="1" t="s">
        <v>40</v>
      </c>
      <c r="D1290" s="2" t="s">
        <v>2003</v>
      </c>
      <c r="E1290" s="9" t="str">
        <f t="shared" si="291"/>
        <v>PDP'!</v>
      </c>
      <c r="F1290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90" s="6" t="s">
        <v>103</v>
      </c>
      <c r="H1290" s="1">
        <f t="shared" si="293"/>
        <v>70</v>
      </c>
      <c r="I1290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PDP'!$BX$70</v>
      </c>
      <c r="J1290" s="1" t="s">
        <v>2593</v>
      </c>
    </row>
    <row r="1291" spans="1:10" x14ac:dyDescent="0.35">
      <c r="A1291" s="6" t="s">
        <v>14</v>
      </c>
      <c r="B1291" s="6">
        <f t="shared" si="295"/>
        <v>2058</v>
      </c>
      <c r="C1291" s="1" t="s">
        <v>40</v>
      </c>
      <c r="D1291" s="2" t="s">
        <v>2003</v>
      </c>
      <c r="E1291" s="9" t="str">
        <f t="shared" si="291"/>
        <v>PDP'!</v>
      </c>
      <c r="F1291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91" s="6" t="s">
        <v>103</v>
      </c>
      <c r="H1291" s="1">
        <f t="shared" si="293"/>
        <v>71</v>
      </c>
      <c r="I1291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PDP'!$BX$71</v>
      </c>
      <c r="J1291" s="1" t="s">
        <v>2594</v>
      </c>
    </row>
    <row r="1292" spans="1:10" x14ac:dyDescent="0.35">
      <c r="A1292" s="6" t="s">
        <v>14</v>
      </c>
      <c r="B1292" s="6">
        <f t="shared" si="295"/>
        <v>2059</v>
      </c>
      <c r="C1292" s="1" t="s">
        <v>40</v>
      </c>
      <c r="D1292" s="2" t="s">
        <v>2003</v>
      </c>
      <c r="E1292" s="9" t="str">
        <f t="shared" si="291"/>
        <v>PDP'!</v>
      </c>
      <c r="F1292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92" s="6" t="s">
        <v>103</v>
      </c>
      <c r="H1292" s="1">
        <f t="shared" si="293"/>
        <v>72</v>
      </c>
      <c r="I1292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PDP'!$BX$72</v>
      </c>
      <c r="J1292" s="1" t="s">
        <v>2595</v>
      </c>
    </row>
    <row r="1293" spans="1:10" x14ac:dyDescent="0.35">
      <c r="A1293" s="6" t="s">
        <v>26</v>
      </c>
      <c r="B1293" s="6"/>
      <c r="C1293" s="1" t="s">
        <v>40</v>
      </c>
      <c r="D1293" s="2"/>
      <c r="E1293" s="9"/>
      <c r="F1293" s="5" t="str">
        <f t="shared" si="276"/>
        <v xml:space="preserve"> </v>
      </c>
      <c r="G1293" s="6"/>
      <c r="H1293" s="1"/>
      <c r="I1293" s="1"/>
      <c r="J1293" s="4"/>
    </row>
    <row r="1294" spans="1:10" x14ac:dyDescent="0.35">
      <c r="A1294" s="6" t="s">
        <v>15</v>
      </c>
      <c r="B1294" s="6">
        <v>2023</v>
      </c>
      <c r="C1294" s="1" t="s">
        <v>40</v>
      </c>
      <c r="D1294" s="2" t="s">
        <v>2003</v>
      </c>
      <c r="E1294" s="9" t="str">
        <f t="shared" si="285"/>
        <v>PNP'!</v>
      </c>
      <c r="F1294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294" s="6" t="s">
        <v>103</v>
      </c>
      <c r="H1294" s="1">
        <f>IF(A1294&lt;&gt;A1278,36,H1278+1)</f>
        <v>36</v>
      </c>
      <c r="I1294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PNP'!$BX$36</v>
      </c>
      <c r="J1294" s="1" t="s">
        <v>2596</v>
      </c>
    </row>
    <row r="1295" spans="1:10" x14ac:dyDescent="0.35">
      <c r="A1295" s="6" t="s">
        <v>15</v>
      </c>
      <c r="B1295" s="6">
        <f>+B1294+1</f>
        <v>2024</v>
      </c>
      <c r="C1295" s="1" t="s">
        <v>40</v>
      </c>
      <c r="D1295" s="2" t="s">
        <v>2003</v>
      </c>
      <c r="E1295" s="9" t="str">
        <f t="shared" si="285"/>
        <v>PNP'!</v>
      </c>
      <c r="F1295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295" s="6" t="s">
        <v>103</v>
      </c>
      <c r="H1295" s="1">
        <f t="shared" si="288"/>
        <v>37</v>
      </c>
      <c r="I1295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PNP'!$BX$37</v>
      </c>
      <c r="J1295" s="1" t="s">
        <v>2597</v>
      </c>
    </row>
    <row r="1296" spans="1:10" x14ac:dyDescent="0.35">
      <c r="A1296" s="6" t="s">
        <v>15</v>
      </c>
      <c r="B1296" s="6">
        <f t="shared" ref="B1296:B1307" si="296">+B1295+1</f>
        <v>2025</v>
      </c>
      <c r="C1296" s="1" t="s">
        <v>40</v>
      </c>
      <c r="D1296" s="2" t="s">
        <v>2003</v>
      </c>
      <c r="E1296" s="9" t="str">
        <f t="shared" si="285"/>
        <v>PNP'!</v>
      </c>
      <c r="F1296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296" s="6" t="s">
        <v>103</v>
      </c>
      <c r="H1296" s="1">
        <f t="shared" si="288"/>
        <v>38</v>
      </c>
      <c r="I1296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PNP'!$BX$38</v>
      </c>
      <c r="J1296" s="1" t="s">
        <v>2598</v>
      </c>
    </row>
    <row r="1297" spans="1:10" x14ac:dyDescent="0.35">
      <c r="A1297" s="6" t="s">
        <v>15</v>
      </c>
      <c r="B1297" s="6">
        <f t="shared" si="296"/>
        <v>2026</v>
      </c>
      <c r="C1297" s="1" t="s">
        <v>40</v>
      </c>
      <c r="D1297" s="2" t="s">
        <v>2003</v>
      </c>
      <c r="E1297" s="9" t="str">
        <f t="shared" si="285"/>
        <v>PNP'!</v>
      </c>
      <c r="F1297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297" s="6" t="s">
        <v>103</v>
      </c>
      <c r="H1297" s="1">
        <f t="shared" si="288"/>
        <v>39</v>
      </c>
      <c r="I1297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PNP'!$BX$39</v>
      </c>
      <c r="J1297" s="1" t="s">
        <v>2599</v>
      </c>
    </row>
    <row r="1298" spans="1:10" x14ac:dyDescent="0.35">
      <c r="A1298" s="6" t="s">
        <v>15</v>
      </c>
      <c r="B1298" s="6">
        <f t="shared" si="296"/>
        <v>2027</v>
      </c>
      <c r="C1298" s="1" t="s">
        <v>40</v>
      </c>
      <c r="D1298" s="2" t="s">
        <v>2003</v>
      </c>
      <c r="E1298" s="9" t="str">
        <f t="shared" si="285"/>
        <v>PNP'!</v>
      </c>
      <c r="F1298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298" s="6" t="s">
        <v>103</v>
      </c>
      <c r="H1298" s="1">
        <f t="shared" si="288"/>
        <v>40</v>
      </c>
      <c r="I1298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PNP'!$BX$40</v>
      </c>
      <c r="J1298" s="1" t="s">
        <v>2600</v>
      </c>
    </row>
    <row r="1299" spans="1:10" x14ac:dyDescent="0.35">
      <c r="A1299" s="6" t="s">
        <v>15</v>
      </c>
      <c r="B1299" s="6">
        <f t="shared" si="296"/>
        <v>2028</v>
      </c>
      <c r="C1299" s="1" t="s">
        <v>40</v>
      </c>
      <c r="D1299" s="2" t="s">
        <v>2003</v>
      </c>
      <c r="E1299" s="9" t="str">
        <f t="shared" si="285"/>
        <v>PNP'!</v>
      </c>
      <c r="F1299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299" s="6" t="s">
        <v>103</v>
      </c>
      <c r="H1299" s="1">
        <f t="shared" si="288"/>
        <v>41</v>
      </c>
      <c r="I1299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PNP'!$BX$41</v>
      </c>
      <c r="J1299" s="1" t="s">
        <v>2601</v>
      </c>
    </row>
    <row r="1300" spans="1:10" x14ac:dyDescent="0.35">
      <c r="A1300" s="6" t="s">
        <v>15</v>
      </c>
      <c r="B1300" s="6">
        <f t="shared" si="296"/>
        <v>2029</v>
      </c>
      <c r="C1300" s="1" t="s">
        <v>40</v>
      </c>
      <c r="D1300" s="2" t="s">
        <v>2003</v>
      </c>
      <c r="E1300" s="9" t="str">
        <f t="shared" si="285"/>
        <v>PNP'!</v>
      </c>
      <c r="F1300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00" s="6" t="s">
        <v>103</v>
      </c>
      <c r="H1300" s="1">
        <f t="shared" si="288"/>
        <v>42</v>
      </c>
      <c r="I1300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PNP'!$BX$42</v>
      </c>
      <c r="J1300" s="1" t="s">
        <v>2602</v>
      </c>
    </row>
    <row r="1301" spans="1:10" x14ac:dyDescent="0.35">
      <c r="A1301" s="6" t="s">
        <v>15</v>
      </c>
      <c r="B1301" s="6">
        <f t="shared" si="296"/>
        <v>2030</v>
      </c>
      <c r="C1301" s="1" t="s">
        <v>40</v>
      </c>
      <c r="D1301" s="2" t="s">
        <v>2003</v>
      </c>
      <c r="E1301" s="9" t="str">
        <f t="shared" si="285"/>
        <v>PNP'!</v>
      </c>
      <c r="F1301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01" s="6" t="s">
        <v>103</v>
      </c>
      <c r="H1301" s="1">
        <f t="shared" si="288"/>
        <v>43</v>
      </c>
      <c r="I1301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PNP'!$BX$43</v>
      </c>
      <c r="J1301" s="1" t="s">
        <v>2603</v>
      </c>
    </row>
    <row r="1302" spans="1:10" x14ac:dyDescent="0.35">
      <c r="A1302" s="6" t="s">
        <v>15</v>
      </c>
      <c r="B1302" s="6">
        <f t="shared" si="296"/>
        <v>2031</v>
      </c>
      <c r="C1302" s="1" t="s">
        <v>40</v>
      </c>
      <c r="D1302" s="2" t="s">
        <v>2003</v>
      </c>
      <c r="E1302" s="9" t="str">
        <f t="shared" si="285"/>
        <v>PNP'!</v>
      </c>
      <c r="F1302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02" s="6" t="s">
        <v>103</v>
      </c>
      <c r="H1302" s="1">
        <f t="shared" si="288"/>
        <v>44</v>
      </c>
      <c r="I1302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PNP'!$BX$44</v>
      </c>
      <c r="J1302" s="1" t="s">
        <v>2604</v>
      </c>
    </row>
    <row r="1303" spans="1:10" x14ac:dyDescent="0.35">
      <c r="A1303" s="6" t="s">
        <v>15</v>
      </c>
      <c r="B1303" s="6">
        <f t="shared" si="296"/>
        <v>2032</v>
      </c>
      <c r="C1303" s="1" t="s">
        <v>40</v>
      </c>
      <c r="D1303" s="2" t="s">
        <v>2003</v>
      </c>
      <c r="E1303" s="9" t="str">
        <f t="shared" si="285"/>
        <v>PNP'!</v>
      </c>
      <c r="F1303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03" s="6" t="s">
        <v>103</v>
      </c>
      <c r="H1303" s="1">
        <f t="shared" si="288"/>
        <v>45</v>
      </c>
      <c r="I1303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PNP'!$BX$45</v>
      </c>
      <c r="J1303" s="1" t="s">
        <v>2605</v>
      </c>
    </row>
    <row r="1304" spans="1:10" x14ac:dyDescent="0.35">
      <c r="A1304" s="6" t="s">
        <v>15</v>
      </c>
      <c r="B1304" s="6">
        <f t="shared" si="296"/>
        <v>2033</v>
      </c>
      <c r="C1304" s="1" t="s">
        <v>40</v>
      </c>
      <c r="D1304" s="2" t="s">
        <v>2003</v>
      </c>
      <c r="E1304" s="9" t="str">
        <f t="shared" si="285"/>
        <v>PNP'!</v>
      </c>
      <c r="F1304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04" s="6" t="s">
        <v>103</v>
      </c>
      <c r="H1304" s="1">
        <f t="shared" si="288"/>
        <v>46</v>
      </c>
      <c r="I1304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PNP'!$BX$46</v>
      </c>
      <c r="J1304" s="1" t="s">
        <v>2606</v>
      </c>
    </row>
    <row r="1305" spans="1:10" x14ac:dyDescent="0.35">
      <c r="A1305" s="6" t="s">
        <v>15</v>
      </c>
      <c r="B1305" s="6">
        <f t="shared" si="296"/>
        <v>2034</v>
      </c>
      <c r="C1305" s="1" t="s">
        <v>40</v>
      </c>
      <c r="D1305" s="2" t="s">
        <v>2003</v>
      </c>
      <c r="E1305" s="9" t="str">
        <f t="shared" si="285"/>
        <v>PNP'!</v>
      </c>
      <c r="F1305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05" s="6" t="s">
        <v>103</v>
      </c>
      <c r="H1305" s="1">
        <f t="shared" si="288"/>
        <v>47</v>
      </c>
      <c r="I1305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PNP'!$BX$47</v>
      </c>
      <c r="J1305" s="1" t="s">
        <v>2607</v>
      </c>
    </row>
    <row r="1306" spans="1:10" x14ac:dyDescent="0.35">
      <c r="A1306" s="6" t="s">
        <v>15</v>
      </c>
      <c r="B1306" s="6">
        <f t="shared" si="296"/>
        <v>2035</v>
      </c>
      <c r="C1306" s="1" t="s">
        <v>40</v>
      </c>
      <c r="D1306" s="2" t="s">
        <v>2003</v>
      </c>
      <c r="E1306" s="9" t="str">
        <f t="shared" si="285"/>
        <v>PNP'!</v>
      </c>
      <c r="F1306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06" s="6" t="s">
        <v>103</v>
      </c>
      <c r="H1306" s="1">
        <f t="shared" si="288"/>
        <v>48</v>
      </c>
      <c r="I1306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PNP'!$BX$48</v>
      </c>
      <c r="J1306" s="1" t="s">
        <v>2608</v>
      </c>
    </row>
    <row r="1307" spans="1:10" x14ac:dyDescent="0.35">
      <c r="A1307" s="6" t="s">
        <v>15</v>
      </c>
      <c r="B1307" s="6">
        <f t="shared" si="296"/>
        <v>2036</v>
      </c>
      <c r="C1307" s="1" t="s">
        <v>40</v>
      </c>
      <c r="D1307" s="2" t="s">
        <v>2003</v>
      </c>
      <c r="E1307" s="9" t="str">
        <f t="shared" si="285"/>
        <v>PNP'!</v>
      </c>
      <c r="F1307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07" s="6" t="s">
        <v>103</v>
      </c>
      <c r="H1307" s="1">
        <f t="shared" si="288"/>
        <v>49</v>
      </c>
      <c r="I1307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PNP'!$BX$49</v>
      </c>
      <c r="J1307" s="1" t="s">
        <v>2609</v>
      </c>
    </row>
    <row r="1308" spans="1:10" x14ac:dyDescent="0.35">
      <c r="A1308" s="6" t="s">
        <v>15</v>
      </c>
      <c r="B1308" s="6">
        <f>+B1307+1</f>
        <v>2037</v>
      </c>
      <c r="C1308" s="1" t="s">
        <v>40</v>
      </c>
      <c r="D1308" s="2" t="s">
        <v>2003</v>
      </c>
      <c r="E1308" s="9" t="str">
        <f t="shared" si="285"/>
        <v>PNP'!</v>
      </c>
      <c r="F1308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08" s="6" t="s">
        <v>103</v>
      </c>
      <c r="H1308" s="1">
        <f t="shared" si="288"/>
        <v>50</v>
      </c>
      <c r="I1308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PNP'!$BX$50</v>
      </c>
      <c r="J1308" s="1" t="s">
        <v>2610</v>
      </c>
    </row>
    <row r="1309" spans="1:10" x14ac:dyDescent="0.35">
      <c r="A1309" s="6" t="s">
        <v>15</v>
      </c>
      <c r="B1309" s="6">
        <f t="shared" ref="B1309:B1311" si="297">+B1308+1</f>
        <v>2038</v>
      </c>
      <c r="C1309" s="1" t="s">
        <v>40</v>
      </c>
      <c r="D1309" s="2" t="s">
        <v>2003</v>
      </c>
      <c r="E1309" s="9" t="str">
        <f t="shared" si="285"/>
        <v>PNP'!</v>
      </c>
      <c r="F1309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09" s="6" t="s">
        <v>103</v>
      </c>
      <c r="H1309" s="1">
        <f t="shared" si="288"/>
        <v>51</v>
      </c>
      <c r="I1309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PNP'!$BX$51</v>
      </c>
      <c r="J1309" s="1" t="s">
        <v>2611</v>
      </c>
    </row>
    <row r="1310" spans="1:10" x14ac:dyDescent="0.35">
      <c r="A1310" s="6" t="s">
        <v>15</v>
      </c>
      <c r="B1310" s="6">
        <f t="shared" si="297"/>
        <v>2039</v>
      </c>
      <c r="C1310" s="1" t="s">
        <v>40</v>
      </c>
      <c r="D1310" s="2" t="s">
        <v>2003</v>
      </c>
      <c r="E1310" s="9" t="str">
        <f t="shared" si="285"/>
        <v>PNP'!</v>
      </c>
      <c r="F1310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10" s="6" t="s">
        <v>103</v>
      </c>
      <c r="H1310" s="1">
        <f t="shared" si="288"/>
        <v>52</v>
      </c>
      <c r="I1310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PNP'!$BX$52</v>
      </c>
      <c r="J1310" s="1" t="s">
        <v>2612</v>
      </c>
    </row>
    <row r="1311" spans="1:10" x14ac:dyDescent="0.35">
      <c r="A1311" s="6" t="s">
        <v>15</v>
      </c>
      <c r="B1311" s="6">
        <f t="shared" si="297"/>
        <v>2040</v>
      </c>
      <c r="C1311" s="1" t="s">
        <v>40</v>
      </c>
      <c r="D1311" s="2" t="s">
        <v>2003</v>
      </c>
      <c r="E1311" s="9" t="str">
        <f t="shared" si="285"/>
        <v>PNP'!</v>
      </c>
      <c r="F1311" s="5" t="str">
        <f t="shared" ref="F1311:F1416" si="298">_xlfn.CONCAT(D1311," ",E1311)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11" s="6" t="s">
        <v>103</v>
      </c>
      <c r="H1311" s="1">
        <f t="shared" si="288"/>
        <v>53</v>
      </c>
      <c r="I1311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PNP'!$BX$53</v>
      </c>
      <c r="J1311" s="1" t="s">
        <v>2613</v>
      </c>
    </row>
    <row r="1312" spans="1:10" x14ac:dyDescent="0.35">
      <c r="A1312" s="6" t="s">
        <v>15</v>
      </c>
      <c r="B1312" s="6">
        <f>+B1311+1</f>
        <v>2041</v>
      </c>
      <c r="C1312" s="1" t="s">
        <v>40</v>
      </c>
      <c r="D1312" s="2" t="s">
        <v>2003</v>
      </c>
      <c r="E1312" s="9" t="str">
        <f t="shared" si="285"/>
        <v>PNP'!</v>
      </c>
      <c r="F1312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12" s="6" t="s">
        <v>103</v>
      </c>
      <c r="H1312" s="1">
        <f t="shared" si="288"/>
        <v>54</v>
      </c>
      <c r="I1312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PNP'!$BX$54</v>
      </c>
      <c r="J1312" s="1" t="s">
        <v>2614</v>
      </c>
    </row>
    <row r="1313" spans="1:10" x14ac:dyDescent="0.35">
      <c r="A1313" s="6" t="s">
        <v>15</v>
      </c>
      <c r="B1313" s="6">
        <f t="shared" ref="B1313:B1314" si="299">+B1312+1</f>
        <v>2042</v>
      </c>
      <c r="C1313" s="1" t="s">
        <v>40</v>
      </c>
      <c r="D1313" s="2" t="s">
        <v>2003</v>
      </c>
      <c r="E1313" s="9" t="str">
        <f t="shared" si="285"/>
        <v>PNP'!</v>
      </c>
      <c r="F1313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13" s="6" t="s">
        <v>103</v>
      </c>
      <c r="H1313" s="1">
        <f t="shared" si="288"/>
        <v>55</v>
      </c>
      <c r="I1313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PNP'!$BX$55</v>
      </c>
      <c r="J1313" s="1" t="s">
        <v>2615</v>
      </c>
    </row>
    <row r="1314" spans="1:10" x14ac:dyDescent="0.35">
      <c r="A1314" s="6" t="s">
        <v>15</v>
      </c>
      <c r="B1314" s="6">
        <f t="shared" si="299"/>
        <v>2043</v>
      </c>
      <c r="C1314" s="1" t="s">
        <v>40</v>
      </c>
      <c r="D1314" s="2" t="s">
        <v>2003</v>
      </c>
      <c r="E1314" s="9" t="str">
        <f t="shared" si="285"/>
        <v>PNP'!</v>
      </c>
      <c r="F1314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14" s="6" t="s">
        <v>103</v>
      </c>
      <c r="H1314" s="1">
        <f t="shared" si="288"/>
        <v>56</v>
      </c>
      <c r="I1314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PNP'!$BX$56</v>
      </c>
      <c r="J1314" s="1" t="s">
        <v>2616</v>
      </c>
    </row>
    <row r="1315" spans="1:10" x14ac:dyDescent="0.35">
      <c r="A1315" s="6" t="s">
        <v>15</v>
      </c>
      <c r="B1315" s="6">
        <f>+B1314+1</f>
        <v>2044</v>
      </c>
      <c r="C1315" s="1" t="s">
        <v>40</v>
      </c>
      <c r="D1315" s="2" t="s">
        <v>2003</v>
      </c>
      <c r="E1315" s="9" t="str">
        <f t="shared" ref="E1315:E1330" si="300">_xlfn.CONCAT(A1315,"'!")</f>
        <v>PNP'!</v>
      </c>
      <c r="F1315" s="5" t="str">
        <f t="shared" ref="F1315:F1330" si="301">_xlfn.CONCAT(D1315," ",E1315)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15" s="6" t="s">
        <v>103</v>
      </c>
      <c r="H1315" s="1">
        <f t="shared" ref="H1315:H1330" si="302">IF(A1315&lt;&gt;A1314,36,H1314+1)</f>
        <v>57</v>
      </c>
      <c r="I1315" s="1" t="str">
        <f t="shared" ref="I1315:I1330" si="303">_xlfn.CONCAT("='",F1315:H1315)</f>
        <v>='C:\Users\jaime.benazar\Quorum Business Solutions\Ecopetrol Prometeo - Documents\Planning Space Implementation\3. Analysis &amp; Design\Design\FC22\DRR Jaime\Por presentar a ECP\Cantagallo\Cristalina\[VRC_CRISTALINA_CF_SEC_20221231.xlsx]CF PNP'!$BX$57</v>
      </c>
      <c r="J1315" s="1" t="s">
        <v>2617</v>
      </c>
    </row>
    <row r="1316" spans="1:10" x14ac:dyDescent="0.35">
      <c r="A1316" s="6" t="s">
        <v>15</v>
      </c>
      <c r="B1316" s="6">
        <f t="shared" ref="B1316:B1330" si="304">+B1315+1</f>
        <v>2045</v>
      </c>
      <c r="C1316" s="1" t="s">
        <v>40</v>
      </c>
      <c r="D1316" s="2" t="s">
        <v>2003</v>
      </c>
      <c r="E1316" s="9" t="str">
        <f t="shared" si="300"/>
        <v>PNP'!</v>
      </c>
      <c r="F1316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16" s="6" t="s">
        <v>103</v>
      </c>
      <c r="H1316" s="1">
        <f t="shared" si="302"/>
        <v>58</v>
      </c>
      <c r="I1316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PNP'!$BX$58</v>
      </c>
      <c r="J1316" s="1" t="s">
        <v>2618</v>
      </c>
    </row>
    <row r="1317" spans="1:10" x14ac:dyDescent="0.35">
      <c r="A1317" s="6" t="s">
        <v>15</v>
      </c>
      <c r="B1317" s="6">
        <f t="shared" si="304"/>
        <v>2046</v>
      </c>
      <c r="C1317" s="1" t="s">
        <v>40</v>
      </c>
      <c r="D1317" s="2" t="s">
        <v>2003</v>
      </c>
      <c r="E1317" s="9" t="str">
        <f t="shared" si="300"/>
        <v>PNP'!</v>
      </c>
      <c r="F1317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17" s="6" t="s">
        <v>103</v>
      </c>
      <c r="H1317" s="1">
        <f t="shared" si="302"/>
        <v>59</v>
      </c>
      <c r="I1317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PNP'!$BX$59</v>
      </c>
      <c r="J1317" s="1" t="s">
        <v>2619</v>
      </c>
    </row>
    <row r="1318" spans="1:10" x14ac:dyDescent="0.35">
      <c r="A1318" s="6" t="s">
        <v>15</v>
      </c>
      <c r="B1318" s="6">
        <f t="shared" si="304"/>
        <v>2047</v>
      </c>
      <c r="C1318" s="1" t="s">
        <v>40</v>
      </c>
      <c r="D1318" s="2" t="s">
        <v>2003</v>
      </c>
      <c r="E1318" s="9" t="str">
        <f t="shared" si="300"/>
        <v>PNP'!</v>
      </c>
      <c r="F1318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18" s="6" t="s">
        <v>103</v>
      </c>
      <c r="H1318" s="1">
        <f t="shared" si="302"/>
        <v>60</v>
      </c>
      <c r="I1318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PNP'!$BX$60</v>
      </c>
      <c r="J1318" s="1" t="s">
        <v>2620</v>
      </c>
    </row>
    <row r="1319" spans="1:10" x14ac:dyDescent="0.35">
      <c r="A1319" s="6" t="s">
        <v>15</v>
      </c>
      <c r="B1319" s="6">
        <f t="shared" si="304"/>
        <v>2048</v>
      </c>
      <c r="C1319" s="1" t="s">
        <v>40</v>
      </c>
      <c r="D1319" s="2" t="s">
        <v>2003</v>
      </c>
      <c r="E1319" s="9" t="str">
        <f t="shared" si="300"/>
        <v>PNP'!</v>
      </c>
      <c r="F1319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19" s="6" t="s">
        <v>103</v>
      </c>
      <c r="H1319" s="1">
        <f t="shared" si="302"/>
        <v>61</v>
      </c>
      <c r="I1319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PNP'!$BX$61</v>
      </c>
      <c r="J1319" s="1" t="s">
        <v>2621</v>
      </c>
    </row>
    <row r="1320" spans="1:10" x14ac:dyDescent="0.35">
      <c r="A1320" s="6" t="s">
        <v>15</v>
      </c>
      <c r="B1320" s="6">
        <f t="shared" si="304"/>
        <v>2049</v>
      </c>
      <c r="C1320" s="1" t="s">
        <v>40</v>
      </c>
      <c r="D1320" s="2" t="s">
        <v>2003</v>
      </c>
      <c r="E1320" s="9" t="str">
        <f t="shared" si="300"/>
        <v>PNP'!</v>
      </c>
      <c r="F1320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20" s="6" t="s">
        <v>103</v>
      </c>
      <c r="H1320" s="1">
        <f t="shared" si="302"/>
        <v>62</v>
      </c>
      <c r="I1320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PNP'!$BX$62</v>
      </c>
      <c r="J1320" s="1" t="s">
        <v>2622</v>
      </c>
    </row>
    <row r="1321" spans="1:10" x14ac:dyDescent="0.35">
      <c r="A1321" s="6" t="s">
        <v>15</v>
      </c>
      <c r="B1321" s="6">
        <f t="shared" si="304"/>
        <v>2050</v>
      </c>
      <c r="C1321" s="1" t="s">
        <v>40</v>
      </c>
      <c r="D1321" s="2" t="s">
        <v>2003</v>
      </c>
      <c r="E1321" s="9" t="str">
        <f t="shared" si="300"/>
        <v>PNP'!</v>
      </c>
      <c r="F1321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21" s="6" t="s">
        <v>103</v>
      </c>
      <c r="H1321" s="1">
        <f t="shared" si="302"/>
        <v>63</v>
      </c>
      <c r="I1321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PNP'!$BX$63</v>
      </c>
      <c r="J1321" s="1" t="s">
        <v>2623</v>
      </c>
    </row>
    <row r="1322" spans="1:10" x14ac:dyDescent="0.35">
      <c r="A1322" s="6" t="s">
        <v>15</v>
      </c>
      <c r="B1322" s="6">
        <f t="shared" si="304"/>
        <v>2051</v>
      </c>
      <c r="C1322" s="1" t="s">
        <v>40</v>
      </c>
      <c r="D1322" s="2" t="s">
        <v>2003</v>
      </c>
      <c r="E1322" s="9" t="str">
        <f t="shared" si="300"/>
        <v>PNP'!</v>
      </c>
      <c r="F1322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22" s="6" t="s">
        <v>103</v>
      </c>
      <c r="H1322" s="1">
        <f t="shared" si="302"/>
        <v>64</v>
      </c>
      <c r="I1322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PNP'!$BX$64</v>
      </c>
      <c r="J1322" s="1" t="s">
        <v>2624</v>
      </c>
    </row>
    <row r="1323" spans="1:10" x14ac:dyDescent="0.35">
      <c r="A1323" s="6" t="s">
        <v>15</v>
      </c>
      <c r="B1323" s="6">
        <f t="shared" si="304"/>
        <v>2052</v>
      </c>
      <c r="C1323" s="1" t="s">
        <v>40</v>
      </c>
      <c r="D1323" s="2" t="s">
        <v>2003</v>
      </c>
      <c r="E1323" s="9" t="str">
        <f t="shared" si="300"/>
        <v>PNP'!</v>
      </c>
      <c r="F1323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23" s="6" t="s">
        <v>103</v>
      </c>
      <c r="H1323" s="1">
        <f t="shared" si="302"/>
        <v>65</v>
      </c>
      <c r="I1323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PNP'!$BX$65</v>
      </c>
      <c r="J1323" s="1" t="s">
        <v>2625</v>
      </c>
    </row>
    <row r="1324" spans="1:10" x14ac:dyDescent="0.35">
      <c r="A1324" s="6" t="s">
        <v>15</v>
      </c>
      <c r="B1324" s="6">
        <f t="shared" si="304"/>
        <v>2053</v>
      </c>
      <c r="C1324" s="1" t="s">
        <v>40</v>
      </c>
      <c r="D1324" s="2" t="s">
        <v>2003</v>
      </c>
      <c r="E1324" s="9" t="str">
        <f t="shared" si="300"/>
        <v>PNP'!</v>
      </c>
      <c r="F1324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24" s="6" t="s">
        <v>103</v>
      </c>
      <c r="H1324" s="1">
        <f t="shared" si="302"/>
        <v>66</v>
      </c>
      <c r="I1324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PNP'!$BX$66</v>
      </c>
      <c r="J1324" s="1" t="s">
        <v>2626</v>
      </c>
    </row>
    <row r="1325" spans="1:10" x14ac:dyDescent="0.35">
      <c r="A1325" s="6" t="s">
        <v>15</v>
      </c>
      <c r="B1325" s="6">
        <f t="shared" si="304"/>
        <v>2054</v>
      </c>
      <c r="C1325" s="1" t="s">
        <v>40</v>
      </c>
      <c r="D1325" s="2" t="s">
        <v>2003</v>
      </c>
      <c r="E1325" s="9" t="str">
        <f t="shared" si="300"/>
        <v>PNP'!</v>
      </c>
      <c r="F1325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25" s="6" t="s">
        <v>103</v>
      </c>
      <c r="H1325" s="1">
        <f t="shared" si="302"/>
        <v>67</v>
      </c>
      <c r="I1325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PNP'!$BX$67</v>
      </c>
      <c r="J1325" s="1" t="s">
        <v>2627</v>
      </c>
    </row>
    <row r="1326" spans="1:10" x14ac:dyDescent="0.35">
      <c r="A1326" s="6" t="s">
        <v>15</v>
      </c>
      <c r="B1326" s="6">
        <f t="shared" si="304"/>
        <v>2055</v>
      </c>
      <c r="C1326" s="1" t="s">
        <v>40</v>
      </c>
      <c r="D1326" s="2" t="s">
        <v>2003</v>
      </c>
      <c r="E1326" s="9" t="str">
        <f t="shared" si="300"/>
        <v>PNP'!</v>
      </c>
      <c r="F1326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26" s="6" t="s">
        <v>103</v>
      </c>
      <c r="H1326" s="1">
        <f t="shared" si="302"/>
        <v>68</v>
      </c>
      <c r="I1326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PNP'!$BX$68</v>
      </c>
      <c r="J1326" s="1" t="s">
        <v>2628</v>
      </c>
    </row>
    <row r="1327" spans="1:10" x14ac:dyDescent="0.35">
      <c r="A1327" s="6" t="s">
        <v>15</v>
      </c>
      <c r="B1327" s="6">
        <f t="shared" si="304"/>
        <v>2056</v>
      </c>
      <c r="C1327" s="1" t="s">
        <v>40</v>
      </c>
      <c r="D1327" s="2" t="s">
        <v>2003</v>
      </c>
      <c r="E1327" s="9" t="str">
        <f t="shared" si="300"/>
        <v>PNP'!</v>
      </c>
      <c r="F1327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27" s="6" t="s">
        <v>103</v>
      </c>
      <c r="H1327" s="1">
        <f t="shared" si="302"/>
        <v>69</v>
      </c>
      <c r="I1327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PNP'!$BX$69</v>
      </c>
      <c r="J1327" s="1" t="s">
        <v>2629</v>
      </c>
    </row>
    <row r="1328" spans="1:10" x14ac:dyDescent="0.35">
      <c r="A1328" s="6" t="s">
        <v>15</v>
      </c>
      <c r="B1328" s="6">
        <f t="shared" si="304"/>
        <v>2057</v>
      </c>
      <c r="C1328" s="1" t="s">
        <v>40</v>
      </c>
      <c r="D1328" s="2" t="s">
        <v>2003</v>
      </c>
      <c r="E1328" s="9" t="str">
        <f t="shared" si="300"/>
        <v>PNP'!</v>
      </c>
      <c r="F1328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28" s="6" t="s">
        <v>103</v>
      </c>
      <c r="H1328" s="1">
        <f t="shared" si="302"/>
        <v>70</v>
      </c>
      <c r="I1328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PNP'!$BX$70</v>
      </c>
      <c r="J1328" s="1" t="s">
        <v>2630</v>
      </c>
    </row>
    <row r="1329" spans="1:10" x14ac:dyDescent="0.35">
      <c r="A1329" s="6" t="s">
        <v>15</v>
      </c>
      <c r="B1329" s="6">
        <f t="shared" si="304"/>
        <v>2058</v>
      </c>
      <c r="C1329" s="1" t="s">
        <v>40</v>
      </c>
      <c r="D1329" s="2" t="s">
        <v>2003</v>
      </c>
      <c r="E1329" s="9" t="str">
        <f t="shared" si="300"/>
        <v>PNP'!</v>
      </c>
      <c r="F1329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29" s="6" t="s">
        <v>103</v>
      </c>
      <c r="H1329" s="1">
        <f t="shared" si="302"/>
        <v>71</v>
      </c>
      <c r="I1329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PNP'!$BX$71</v>
      </c>
      <c r="J1329" s="1" t="s">
        <v>2631</v>
      </c>
    </row>
    <row r="1330" spans="1:10" x14ac:dyDescent="0.35">
      <c r="A1330" s="6" t="s">
        <v>15</v>
      </c>
      <c r="B1330" s="6">
        <f t="shared" si="304"/>
        <v>2059</v>
      </c>
      <c r="C1330" s="1" t="s">
        <v>40</v>
      </c>
      <c r="D1330" s="2" t="s">
        <v>2003</v>
      </c>
      <c r="E1330" s="9" t="str">
        <f t="shared" si="300"/>
        <v>PNP'!</v>
      </c>
      <c r="F1330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30" s="6" t="s">
        <v>103</v>
      </c>
      <c r="H1330" s="1">
        <f t="shared" si="302"/>
        <v>72</v>
      </c>
      <c r="I1330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PNP'!$BX$72</v>
      </c>
      <c r="J1330" s="1" t="s">
        <v>2632</v>
      </c>
    </row>
    <row r="1331" spans="1:10" x14ac:dyDescent="0.35">
      <c r="A1331" s="6" t="s">
        <v>26</v>
      </c>
      <c r="B1331" s="6"/>
      <c r="C1331" s="1" t="s">
        <v>40</v>
      </c>
      <c r="D1331" s="2"/>
      <c r="E1331" s="9"/>
      <c r="F1331" s="5" t="str">
        <f t="shared" si="298"/>
        <v xml:space="preserve"> </v>
      </c>
      <c r="G1331" s="6"/>
      <c r="H1331" s="1"/>
      <c r="I1331" s="1"/>
      <c r="J1331" s="4"/>
    </row>
    <row r="1332" spans="1:10" x14ac:dyDescent="0.35">
      <c r="A1332" s="6" t="s">
        <v>16</v>
      </c>
      <c r="B1332" s="6">
        <v>2023</v>
      </c>
      <c r="C1332" s="1" t="s">
        <v>40</v>
      </c>
      <c r="D1332" s="2" t="s">
        <v>2003</v>
      </c>
      <c r="E1332" s="9" t="str">
        <f t="shared" si="285"/>
        <v>PND'!</v>
      </c>
      <c r="F1332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32" s="6" t="s">
        <v>103</v>
      </c>
      <c r="H1332" s="1">
        <f>IF(A1332&lt;&gt;A1316,36,H1316+1)</f>
        <v>36</v>
      </c>
      <c r="I1332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PND'!$BX$36</v>
      </c>
      <c r="J1332" s="1" t="s">
        <v>2633</v>
      </c>
    </row>
    <row r="1333" spans="1:10" x14ac:dyDescent="0.35">
      <c r="A1333" s="6" t="s">
        <v>16</v>
      </c>
      <c r="B1333" s="6">
        <f>+B1332+1</f>
        <v>2024</v>
      </c>
      <c r="C1333" s="1" t="s">
        <v>40</v>
      </c>
      <c r="D1333" s="2" t="s">
        <v>2003</v>
      </c>
      <c r="E1333" s="9" t="str">
        <f t="shared" si="285"/>
        <v>PND'!</v>
      </c>
      <c r="F1333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33" s="6" t="s">
        <v>103</v>
      </c>
      <c r="H1333" s="1">
        <f t="shared" si="288"/>
        <v>37</v>
      </c>
      <c r="I1333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PND'!$BX$37</v>
      </c>
      <c r="J1333" s="1" t="s">
        <v>2634</v>
      </c>
    </row>
    <row r="1334" spans="1:10" x14ac:dyDescent="0.35">
      <c r="A1334" s="6" t="s">
        <v>16</v>
      </c>
      <c r="B1334" s="6">
        <f t="shared" ref="B1334:B1345" si="305">+B1333+1</f>
        <v>2025</v>
      </c>
      <c r="C1334" s="1" t="s">
        <v>40</v>
      </c>
      <c r="D1334" s="2" t="s">
        <v>2003</v>
      </c>
      <c r="E1334" s="9" t="str">
        <f t="shared" si="285"/>
        <v>PND'!</v>
      </c>
      <c r="F1334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34" s="6" t="s">
        <v>103</v>
      </c>
      <c r="H1334" s="1">
        <f t="shared" si="288"/>
        <v>38</v>
      </c>
      <c r="I1334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PND'!$BX$38</v>
      </c>
      <c r="J1334" s="1" t="s">
        <v>2635</v>
      </c>
    </row>
    <row r="1335" spans="1:10" x14ac:dyDescent="0.35">
      <c r="A1335" s="6" t="s">
        <v>16</v>
      </c>
      <c r="B1335" s="6">
        <f t="shared" si="305"/>
        <v>2026</v>
      </c>
      <c r="C1335" s="1" t="s">
        <v>40</v>
      </c>
      <c r="D1335" s="2" t="s">
        <v>2003</v>
      </c>
      <c r="E1335" s="9" t="str">
        <f t="shared" si="285"/>
        <v>PND'!</v>
      </c>
      <c r="F1335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35" s="6" t="s">
        <v>103</v>
      </c>
      <c r="H1335" s="1">
        <f t="shared" si="288"/>
        <v>39</v>
      </c>
      <c r="I1335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PND'!$BX$39</v>
      </c>
      <c r="J1335" s="1" t="s">
        <v>2636</v>
      </c>
    </row>
    <row r="1336" spans="1:10" x14ac:dyDescent="0.35">
      <c r="A1336" s="6" t="s">
        <v>16</v>
      </c>
      <c r="B1336" s="6">
        <f t="shared" si="305"/>
        <v>2027</v>
      </c>
      <c r="C1336" s="1" t="s">
        <v>40</v>
      </c>
      <c r="D1336" s="2" t="s">
        <v>2003</v>
      </c>
      <c r="E1336" s="9" t="str">
        <f t="shared" si="285"/>
        <v>PND'!</v>
      </c>
      <c r="F1336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36" s="6" t="s">
        <v>103</v>
      </c>
      <c r="H1336" s="1">
        <f t="shared" si="288"/>
        <v>40</v>
      </c>
      <c r="I1336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PND'!$BX$40</v>
      </c>
      <c r="J1336" s="1" t="s">
        <v>2637</v>
      </c>
    </row>
    <row r="1337" spans="1:10" x14ac:dyDescent="0.35">
      <c r="A1337" s="6" t="s">
        <v>16</v>
      </c>
      <c r="B1337" s="6">
        <f t="shared" si="305"/>
        <v>2028</v>
      </c>
      <c r="C1337" s="1" t="s">
        <v>40</v>
      </c>
      <c r="D1337" s="2" t="s">
        <v>2003</v>
      </c>
      <c r="E1337" s="9" t="str">
        <f t="shared" si="285"/>
        <v>PND'!</v>
      </c>
      <c r="F1337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37" s="6" t="s">
        <v>103</v>
      </c>
      <c r="H1337" s="1">
        <f t="shared" si="288"/>
        <v>41</v>
      </c>
      <c r="I1337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PND'!$BX$41</v>
      </c>
      <c r="J1337" s="1" t="s">
        <v>2638</v>
      </c>
    </row>
    <row r="1338" spans="1:10" x14ac:dyDescent="0.35">
      <c r="A1338" s="6" t="s">
        <v>16</v>
      </c>
      <c r="B1338" s="6">
        <f t="shared" si="305"/>
        <v>2029</v>
      </c>
      <c r="C1338" s="1" t="s">
        <v>40</v>
      </c>
      <c r="D1338" s="2" t="s">
        <v>2003</v>
      </c>
      <c r="E1338" s="9" t="str">
        <f t="shared" si="285"/>
        <v>PND'!</v>
      </c>
      <c r="F1338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38" s="6" t="s">
        <v>103</v>
      </c>
      <c r="H1338" s="1">
        <f t="shared" si="288"/>
        <v>42</v>
      </c>
      <c r="I1338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PND'!$BX$42</v>
      </c>
      <c r="J1338" s="1" t="s">
        <v>2639</v>
      </c>
    </row>
    <row r="1339" spans="1:10" x14ac:dyDescent="0.35">
      <c r="A1339" s="6" t="s">
        <v>16</v>
      </c>
      <c r="B1339" s="6">
        <f t="shared" si="305"/>
        <v>2030</v>
      </c>
      <c r="C1339" s="1" t="s">
        <v>40</v>
      </c>
      <c r="D1339" s="2" t="s">
        <v>2003</v>
      </c>
      <c r="E1339" s="9" t="str">
        <f t="shared" si="285"/>
        <v>PND'!</v>
      </c>
      <c r="F1339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39" s="6" t="s">
        <v>103</v>
      </c>
      <c r="H1339" s="1">
        <f t="shared" si="288"/>
        <v>43</v>
      </c>
      <c r="I1339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PND'!$BX$43</v>
      </c>
      <c r="J1339" s="1" t="s">
        <v>2640</v>
      </c>
    </row>
    <row r="1340" spans="1:10" x14ac:dyDescent="0.35">
      <c r="A1340" s="6" t="s">
        <v>16</v>
      </c>
      <c r="B1340" s="6">
        <f t="shared" si="305"/>
        <v>2031</v>
      </c>
      <c r="C1340" s="1" t="s">
        <v>40</v>
      </c>
      <c r="D1340" s="2" t="s">
        <v>2003</v>
      </c>
      <c r="E1340" s="9" t="str">
        <f t="shared" si="285"/>
        <v>PND'!</v>
      </c>
      <c r="F1340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40" s="6" t="s">
        <v>103</v>
      </c>
      <c r="H1340" s="1">
        <f t="shared" si="288"/>
        <v>44</v>
      </c>
      <c r="I1340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PND'!$BX$44</v>
      </c>
      <c r="J1340" s="1" t="s">
        <v>2641</v>
      </c>
    </row>
    <row r="1341" spans="1:10" x14ac:dyDescent="0.35">
      <c r="A1341" s="6" t="s">
        <v>16</v>
      </c>
      <c r="B1341" s="6">
        <f t="shared" si="305"/>
        <v>2032</v>
      </c>
      <c r="C1341" s="1" t="s">
        <v>40</v>
      </c>
      <c r="D1341" s="2" t="s">
        <v>2003</v>
      </c>
      <c r="E1341" s="9" t="str">
        <f t="shared" si="285"/>
        <v>PND'!</v>
      </c>
      <c r="F1341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41" s="6" t="s">
        <v>103</v>
      </c>
      <c r="H1341" s="1">
        <f t="shared" si="288"/>
        <v>45</v>
      </c>
      <c r="I1341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PND'!$BX$45</v>
      </c>
      <c r="J1341" s="1" t="s">
        <v>2642</v>
      </c>
    </row>
    <row r="1342" spans="1:10" x14ac:dyDescent="0.35">
      <c r="A1342" s="6" t="s">
        <v>16</v>
      </c>
      <c r="B1342" s="6">
        <f t="shared" si="305"/>
        <v>2033</v>
      </c>
      <c r="C1342" s="1" t="s">
        <v>40</v>
      </c>
      <c r="D1342" s="2" t="s">
        <v>2003</v>
      </c>
      <c r="E1342" s="9" t="str">
        <f t="shared" si="285"/>
        <v>PND'!</v>
      </c>
      <c r="F1342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42" s="6" t="s">
        <v>103</v>
      </c>
      <c r="H1342" s="1">
        <f t="shared" si="288"/>
        <v>46</v>
      </c>
      <c r="I1342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PND'!$BX$46</v>
      </c>
      <c r="J1342" s="1" t="s">
        <v>2643</v>
      </c>
    </row>
    <row r="1343" spans="1:10" x14ac:dyDescent="0.35">
      <c r="A1343" s="6" t="s">
        <v>16</v>
      </c>
      <c r="B1343" s="6">
        <f t="shared" si="305"/>
        <v>2034</v>
      </c>
      <c r="C1343" s="1" t="s">
        <v>40</v>
      </c>
      <c r="D1343" s="2" t="s">
        <v>2003</v>
      </c>
      <c r="E1343" s="9" t="str">
        <f t="shared" si="285"/>
        <v>PND'!</v>
      </c>
      <c r="F1343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43" s="6" t="s">
        <v>103</v>
      </c>
      <c r="H1343" s="1">
        <f t="shared" si="288"/>
        <v>47</v>
      </c>
      <c r="I1343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PND'!$BX$47</v>
      </c>
      <c r="J1343" s="1" t="s">
        <v>2644</v>
      </c>
    </row>
    <row r="1344" spans="1:10" x14ac:dyDescent="0.35">
      <c r="A1344" s="6" t="s">
        <v>16</v>
      </c>
      <c r="B1344" s="6">
        <f t="shared" si="305"/>
        <v>2035</v>
      </c>
      <c r="C1344" s="1" t="s">
        <v>40</v>
      </c>
      <c r="D1344" s="2" t="s">
        <v>2003</v>
      </c>
      <c r="E1344" s="9" t="str">
        <f t="shared" si="285"/>
        <v>PND'!</v>
      </c>
      <c r="F1344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44" s="6" t="s">
        <v>103</v>
      </c>
      <c r="H1344" s="1">
        <f t="shared" si="288"/>
        <v>48</v>
      </c>
      <c r="I1344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PND'!$BX$48</v>
      </c>
      <c r="J1344" s="1" t="s">
        <v>2645</v>
      </c>
    </row>
    <row r="1345" spans="1:10" x14ac:dyDescent="0.35">
      <c r="A1345" s="6" t="s">
        <v>16</v>
      </c>
      <c r="B1345" s="6">
        <f t="shared" si="305"/>
        <v>2036</v>
      </c>
      <c r="C1345" s="1" t="s">
        <v>40</v>
      </c>
      <c r="D1345" s="2" t="s">
        <v>2003</v>
      </c>
      <c r="E1345" s="9" t="str">
        <f t="shared" si="285"/>
        <v>PND'!</v>
      </c>
      <c r="F1345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45" s="6" t="s">
        <v>103</v>
      </c>
      <c r="H1345" s="1">
        <f t="shared" si="288"/>
        <v>49</v>
      </c>
      <c r="I1345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PND'!$BX$49</v>
      </c>
      <c r="J1345" s="1" t="s">
        <v>2646</v>
      </c>
    </row>
    <row r="1346" spans="1:10" x14ac:dyDescent="0.35">
      <c r="A1346" s="6" t="s">
        <v>16</v>
      </c>
      <c r="B1346" s="6">
        <f>+B1345+1</f>
        <v>2037</v>
      </c>
      <c r="C1346" s="1" t="s">
        <v>40</v>
      </c>
      <c r="D1346" s="2" t="s">
        <v>2003</v>
      </c>
      <c r="E1346" s="9" t="str">
        <f t="shared" si="285"/>
        <v>PND'!</v>
      </c>
      <c r="F1346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46" s="6" t="s">
        <v>103</v>
      </c>
      <c r="H1346" s="1">
        <f t="shared" si="288"/>
        <v>50</v>
      </c>
      <c r="I1346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PND'!$BX$50</v>
      </c>
      <c r="J1346" s="1" t="s">
        <v>2647</v>
      </c>
    </row>
    <row r="1347" spans="1:10" x14ac:dyDescent="0.35">
      <c r="A1347" s="6" t="s">
        <v>16</v>
      </c>
      <c r="B1347" s="6">
        <f t="shared" ref="B1347:B1349" si="306">+B1346+1</f>
        <v>2038</v>
      </c>
      <c r="C1347" s="1" t="s">
        <v>40</v>
      </c>
      <c r="D1347" s="2" t="s">
        <v>2003</v>
      </c>
      <c r="E1347" s="9" t="str">
        <f t="shared" si="285"/>
        <v>PND'!</v>
      </c>
      <c r="F1347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47" s="6" t="s">
        <v>103</v>
      </c>
      <c r="H1347" s="1">
        <f t="shared" si="288"/>
        <v>51</v>
      </c>
      <c r="I1347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PND'!$BX$51</v>
      </c>
      <c r="J1347" s="1" t="s">
        <v>2648</v>
      </c>
    </row>
    <row r="1348" spans="1:10" x14ac:dyDescent="0.35">
      <c r="A1348" s="6" t="s">
        <v>16</v>
      </c>
      <c r="B1348" s="6">
        <f t="shared" si="306"/>
        <v>2039</v>
      </c>
      <c r="C1348" s="1" t="s">
        <v>40</v>
      </c>
      <c r="D1348" s="2" t="s">
        <v>2003</v>
      </c>
      <c r="E1348" s="9" t="str">
        <f t="shared" si="285"/>
        <v>PND'!</v>
      </c>
      <c r="F1348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48" s="6" t="s">
        <v>103</v>
      </c>
      <c r="H1348" s="1">
        <f t="shared" si="288"/>
        <v>52</v>
      </c>
      <c r="I1348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PND'!$BX$52</v>
      </c>
      <c r="J1348" s="1" t="s">
        <v>2649</v>
      </c>
    </row>
    <row r="1349" spans="1:10" x14ac:dyDescent="0.35">
      <c r="A1349" s="6" t="s">
        <v>16</v>
      </c>
      <c r="B1349" s="6">
        <f t="shared" si="306"/>
        <v>2040</v>
      </c>
      <c r="C1349" s="1" t="s">
        <v>40</v>
      </c>
      <c r="D1349" s="2" t="s">
        <v>2003</v>
      </c>
      <c r="E1349" s="9" t="str">
        <f t="shared" si="285"/>
        <v>PND'!</v>
      </c>
      <c r="F1349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49" s="6" t="s">
        <v>103</v>
      </c>
      <c r="H1349" s="1">
        <f t="shared" si="288"/>
        <v>53</v>
      </c>
      <c r="I1349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PND'!$BX$53</v>
      </c>
      <c r="J1349" s="1" t="s">
        <v>2650</v>
      </c>
    </row>
    <row r="1350" spans="1:10" x14ac:dyDescent="0.35">
      <c r="A1350" s="6" t="s">
        <v>16</v>
      </c>
      <c r="B1350" s="6">
        <f>+B1349+1</f>
        <v>2041</v>
      </c>
      <c r="C1350" s="1" t="s">
        <v>40</v>
      </c>
      <c r="D1350" s="2" t="s">
        <v>2003</v>
      </c>
      <c r="E1350" s="9" t="str">
        <f t="shared" si="285"/>
        <v>PND'!</v>
      </c>
      <c r="F1350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50" s="6" t="s">
        <v>103</v>
      </c>
      <c r="H1350" s="1">
        <f t="shared" si="288"/>
        <v>54</v>
      </c>
      <c r="I1350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PND'!$BX$54</v>
      </c>
      <c r="J1350" s="1" t="s">
        <v>2651</v>
      </c>
    </row>
    <row r="1351" spans="1:10" x14ac:dyDescent="0.35">
      <c r="A1351" s="6" t="s">
        <v>16</v>
      </c>
      <c r="B1351" s="6">
        <f t="shared" ref="B1351:B1352" si="307">+B1350+1</f>
        <v>2042</v>
      </c>
      <c r="C1351" s="1" t="s">
        <v>40</v>
      </c>
      <c r="D1351" s="2" t="s">
        <v>2003</v>
      </c>
      <c r="E1351" s="9" t="str">
        <f t="shared" ref="E1351:E1656" si="308">_xlfn.CONCAT(A1351,"'!")</f>
        <v>PND'!</v>
      </c>
      <c r="F1351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51" s="6" t="s">
        <v>103</v>
      </c>
      <c r="H1351" s="1">
        <f t="shared" si="288"/>
        <v>55</v>
      </c>
      <c r="I1351" s="1" t="str">
        <f t="shared" ref="I1351:I1656" si="309">_xlfn.CONCAT("='",F1351:H1351)</f>
        <v>='C:\Users\jaime.benazar\Quorum Business Solutions\Ecopetrol Prometeo - Documents\Planning Space Implementation\3. Analysis &amp; Design\Design\FC22\DRR Jaime\Por presentar a ECP\Cantagallo\Cristalina\[VRC_CRISTALINA_CF_SEC_20221231.xlsx]CF PND'!$BX$55</v>
      </c>
      <c r="J1351" s="1" t="s">
        <v>2652</v>
      </c>
    </row>
    <row r="1352" spans="1:10" x14ac:dyDescent="0.35">
      <c r="A1352" s="6" t="s">
        <v>16</v>
      </c>
      <c r="B1352" s="6">
        <f t="shared" si="307"/>
        <v>2043</v>
      </c>
      <c r="C1352" s="1" t="s">
        <v>40</v>
      </c>
      <c r="D1352" s="2" t="s">
        <v>2003</v>
      </c>
      <c r="E1352" s="9" t="str">
        <f t="shared" si="308"/>
        <v>PND'!</v>
      </c>
      <c r="F1352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52" s="6" t="s">
        <v>103</v>
      </c>
      <c r="H1352" s="1">
        <f t="shared" ref="H1352:H1656" si="310">IF(A1352&lt;&gt;A1351,36,H1351+1)</f>
        <v>56</v>
      </c>
      <c r="I1352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PND'!$BX$56</v>
      </c>
      <c r="J1352" s="1" t="s">
        <v>2653</v>
      </c>
    </row>
    <row r="1353" spans="1:10" x14ac:dyDescent="0.35">
      <c r="A1353" s="6" t="s">
        <v>16</v>
      </c>
      <c r="B1353" s="6">
        <f>+B1352+1</f>
        <v>2044</v>
      </c>
      <c r="C1353" s="1" t="s">
        <v>40</v>
      </c>
      <c r="D1353" s="2" t="s">
        <v>2003</v>
      </c>
      <c r="E1353" s="9" t="str">
        <f t="shared" ref="E1353:E1368" si="311">_xlfn.CONCAT(A1353,"'!")</f>
        <v>PND'!</v>
      </c>
      <c r="F1353" s="5" t="str">
        <f t="shared" ref="F1353:F1368" si="312">_xlfn.CONCAT(D1353," ",E1353)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53" s="6" t="s">
        <v>103</v>
      </c>
      <c r="H1353" s="1">
        <f t="shared" ref="H1353:H1368" si="313">IF(A1353&lt;&gt;A1352,36,H1352+1)</f>
        <v>57</v>
      </c>
      <c r="I1353" s="1" t="str">
        <f t="shared" ref="I1353:I1368" si="314">_xlfn.CONCAT("='",F1353:H1353)</f>
        <v>='C:\Users\jaime.benazar\Quorum Business Solutions\Ecopetrol Prometeo - Documents\Planning Space Implementation\3. Analysis &amp; Design\Design\FC22\DRR Jaime\Por presentar a ECP\Cantagallo\Cristalina\[VRC_CRISTALINA_CF_SEC_20221231.xlsx]CF PND'!$BX$57</v>
      </c>
      <c r="J1353" s="1" t="s">
        <v>2654</v>
      </c>
    </row>
    <row r="1354" spans="1:10" x14ac:dyDescent="0.35">
      <c r="A1354" s="6" t="s">
        <v>16</v>
      </c>
      <c r="B1354" s="6">
        <f t="shared" ref="B1354:B1368" si="315">+B1353+1</f>
        <v>2045</v>
      </c>
      <c r="C1354" s="1" t="s">
        <v>40</v>
      </c>
      <c r="D1354" s="2" t="s">
        <v>2003</v>
      </c>
      <c r="E1354" s="9" t="str">
        <f t="shared" si="311"/>
        <v>PND'!</v>
      </c>
      <c r="F1354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54" s="6" t="s">
        <v>103</v>
      </c>
      <c r="H1354" s="1">
        <f t="shared" si="313"/>
        <v>58</v>
      </c>
      <c r="I1354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PND'!$BX$58</v>
      </c>
      <c r="J1354" s="1" t="s">
        <v>2655</v>
      </c>
    </row>
    <row r="1355" spans="1:10" x14ac:dyDescent="0.35">
      <c r="A1355" s="6" t="s">
        <v>16</v>
      </c>
      <c r="B1355" s="6">
        <f t="shared" si="315"/>
        <v>2046</v>
      </c>
      <c r="C1355" s="1" t="s">
        <v>40</v>
      </c>
      <c r="D1355" s="2" t="s">
        <v>2003</v>
      </c>
      <c r="E1355" s="9" t="str">
        <f t="shared" si="311"/>
        <v>PND'!</v>
      </c>
      <c r="F1355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55" s="6" t="s">
        <v>103</v>
      </c>
      <c r="H1355" s="1">
        <f t="shared" si="313"/>
        <v>59</v>
      </c>
      <c r="I1355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PND'!$BX$59</v>
      </c>
      <c r="J1355" s="1" t="s">
        <v>2656</v>
      </c>
    </row>
    <row r="1356" spans="1:10" x14ac:dyDescent="0.35">
      <c r="A1356" s="6" t="s">
        <v>16</v>
      </c>
      <c r="B1356" s="6">
        <f t="shared" si="315"/>
        <v>2047</v>
      </c>
      <c r="C1356" s="1" t="s">
        <v>40</v>
      </c>
      <c r="D1356" s="2" t="s">
        <v>2003</v>
      </c>
      <c r="E1356" s="9" t="str">
        <f t="shared" si="311"/>
        <v>PND'!</v>
      </c>
      <c r="F1356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56" s="6" t="s">
        <v>103</v>
      </c>
      <c r="H1356" s="1">
        <f t="shared" si="313"/>
        <v>60</v>
      </c>
      <c r="I1356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PND'!$BX$60</v>
      </c>
      <c r="J1356" s="1" t="s">
        <v>2657</v>
      </c>
    </row>
    <row r="1357" spans="1:10" x14ac:dyDescent="0.35">
      <c r="A1357" s="6" t="s">
        <v>16</v>
      </c>
      <c r="B1357" s="6">
        <f t="shared" si="315"/>
        <v>2048</v>
      </c>
      <c r="C1357" s="1" t="s">
        <v>40</v>
      </c>
      <c r="D1357" s="2" t="s">
        <v>2003</v>
      </c>
      <c r="E1357" s="9" t="str">
        <f t="shared" si="311"/>
        <v>PND'!</v>
      </c>
      <c r="F1357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57" s="6" t="s">
        <v>103</v>
      </c>
      <c r="H1357" s="1">
        <f t="shared" si="313"/>
        <v>61</v>
      </c>
      <c r="I1357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PND'!$BX$61</v>
      </c>
      <c r="J1357" s="1" t="s">
        <v>2658</v>
      </c>
    </row>
    <row r="1358" spans="1:10" x14ac:dyDescent="0.35">
      <c r="A1358" s="6" t="s">
        <v>16</v>
      </c>
      <c r="B1358" s="6">
        <f t="shared" si="315"/>
        <v>2049</v>
      </c>
      <c r="C1358" s="1" t="s">
        <v>40</v>
      </c>
      <c r="D1358" s="2" t="s">
        <v>2003</v>
      </c>
      <c r="E1358" s="9" t="str">
        <f t="shared" si="311"/>
        <v>PND'!</v>
      </c>
      <c r="F1358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58" s="6" t="s">
        <v>103</v>
      </c>
      <c r="H1358" s="1">
        <f t="shared" si="313"/>
        <v>62</v>
      </c>
      <c r="I1358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PND'!$BX$62</v>
      </c>
      <c r="J1358" s="1" t="s">
        <v>2659</v>
      </c>
    </row>
    <row r="1359" spans="1:10" x14ac:dyDescent="0.35">
      <c r="A1359" s="6" t="s">
        <v>16</v>
      </c>
      <c r="B1359" s="6">
        <f t="shared" si="315"/>
        <v>2050</v>
      </c>
      <c r="C1359" s="1" t="s">
        <v>40</v>
      </c>
      <c r="D1359" s="2" t="s">
        <v>2003</v>
      </c>
      <c r="E1359" s="9" t="str">
        <f t="shared" si="311"/>
        <v>PND'!</v>
      </c>
      <c r="F1359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59" s="6" t="s">
        <v>103</v>
      </c>
      <c r="H1359" s="1">
        <f t="shared" si="313"/>
        <v>63</v>
      </c>
      <c r="I1359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PND'!$BX$63</v>
      </c>
      <c r="J1359" s="1" t="s">
        <v>2660</v>
      </c>
    </row>
    <row r="1360" spans="1:10" x14ac:dyDescent="0.35">
      <c r="A1360" s="6" t="s">
        <v>16</v>
      </c>
      <c r="B1360" s="6">
        <f t="shared" si="315"/>
        <v>2051</v>
      </c>
      <c r="C1360" s="1" t="s">
        <v>40</v>
      </c>
      <c r="D1360" s="2" t="s">
        <v>2003</v>
      </c>
      <c r="E1360" s="9" t="str">
        <f t="shared" si="311"/>
        <v>PND'!</v>
      </c>
      <c r="F1360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60" s="6" t="s">
        <v>103</v>
      </c>
      <c r="H1360" s="1">
        <f t="shared" si="313"/>
        <v>64</v>
      </c>
      <c r="I1360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PND'!$BX$64</v>
      </c>
      <c r="J1360" s="1" t="s">
        <v>2661</v>
      </c>
    </row>
    <row r="1361" spans="1:10" x14ac:dyDescent="0.35">
      <c r="A1361" s="6" t="s">
        <v>16</v>
      </c>
      <c r="B1361" s="6">
        <f t="shared" si="315"/>
        <v>2052</v>
      </c>
      <c r="C1361" s="1" t="s">
        <v>40</v>
      </c>
      <c r="D1361" s="2" t="s">
        <v>2003</v>
      </c>
      <c r="E1361" s="9" t="str">
        <f t="shared" si="311"/>
        <v>PND'!</v>
      </c>
      <c r="F1361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61" s="6" t="s">
        <v>103</v>
      </c>
      <c r="H1361" s="1">
        <f t="shared" si="313"/>
        <v>65</v>
      </c>
      <c r="I1361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PND'!$BX$65</v>
      </c>
      <c r="J1361" s="1" t="s">
        <v>2662</v>
      </c>
    </row>
    <row r="1362" spans="1:10" x14ac:dyDescent="0.35">
      <c r="A1362" s="6" t="s">
        <v>16</v>
      </c>
      <c r="B1362" s="6">
        <f t="shared" si="315"/>
        <v>2053</v>
      </c>
      <c r="C1362" s="1" t="s">
        <v>40</v>
      </c>
      <c r="D1362" s="2" t="s">
        <v>2003</v>
      </c>
      <c r="E1362" s="9" t="str">
        <f t="shared" si="311"/>
        <v>PND'!</v>
      </c>
      <c r="F1362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62" s="6" t="s">
        <v>103</v>
      </c>
      <c r="H1362" s="1">
        <f t="shared" si="313"/>
        <v>66</v>
      </c>
      <c r="I1362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PND'!$BX$66</v>
      </c>
      <c r="J1362" s="1" t="s">
        <v>2663</v>
      </c>
    </row>
    <row r="1363" spans="1:10" x14ac:dyDescent="0.35">
      <c r="A1363" s="6" t="s">
        <v>16</v>
      </c>
      <c r="B1363" s="6">
        <f t="shared" si="315"/>
        <v>2054</v>
      </c>
      <c r="C1363" s="1" t="s">
        <v>40</v>
      </c>
      <c r="D1363" s="2" t="s">
        <v>2003</v>
      </c>
      <c r="E1363" s="9" t="str">
        <f t="shared" si="311"/>
        <v>PND'!</v>
      </c>
      <c r="F1363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63" s="6" t="s">
        <v>103</v>
      </c>
      <c r="H1363" s="1">
        <f t="shared" si="313"/>
        <v>67</v>
      </c>
      <c r="I1363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PND'!$BX$67</v>
      </c>
      <c r="J1363" s="1" t="s">
        <v>2664</v>
      </c>
    </row>
    <row r="1364" spans="1:10" x14ac:dyDescent="0.35">
      <c r="A1364" s="6" t="s">
        <v>16</v>
      </c>
      <c r="B1364" s="6">
        <f t="shared" si="315"/>
        <v>2055</v>
      </c>
      <c r="C1364" s="1" t="s">
        <v>40</v>
      </c>
      <c r="D1364" s="2" t="s">
        <v>2003</v>
      </c>
      <c r="E1364" s="9" t="str">
        <f t="shared" si="311"/>
        <v>PND'!</v>
      </c>
      <c r="F1364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64" s="6" t="s">
        <v>103</v>
      </c>
      <c r="H1364" s="1">
        <f t="shared" si="313"/>
        <v>68</v>
      </c>
      <c r="I1364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PND'!$BX$68</v>
      </c>
      <c r="J1364" s="1" t="s">
        <v>2665</v>
      </c>
    </row>
    <row r="1365" spans="1:10" x14ac:dyDescent="0.35">
      <c r="A1365" s="6" t="s">
        <v>16</v>
      </c>
      <c r="B1365" s="6">
        <f t="shared" si="315"/>
        <v>2056</v>
      </c>
      <c r="C1365" s="1" t="s">
        <v>40</v>
      </c>
      <c r="D1365" s="2" t="s">
        <v>2003</v>
      </c>
      <c r="E1365" s="9" t="str">
        <f t="shared" si="311"/>
        <v>PND'!</v>
      </c>
      <c r="F1365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65" s="6" t="s">
        <v>103</v>
      </c>
      <c r="H1365" s="1">
        <f t="shared" si="313"/>
        <v>69</v>
      </c>
      <c r="I1365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PND'!$BX$69</v>
      </c>
      <c r="J1365" s="1" t="s">
        <v>2666</v>
      </c>
    </row>
    <row r="1366" spans="1:10" x14ac:dyDescent="0.35">
      <c r="A1366" s="6" t="s">
        <v>16</v>
      </c>
      <c r="B1366" s="6">
        <f t="shared" si="315"/>
        <v>2057</v>
      </c>
      <c r="C1366" s="1" t="s">
        <v>40</v>
      </c>
      <c r="D1366" s="2" t="s">
        <v>2003</v>
      </c>
      <c r="E1366" s="9" t="str">
        <f t="shared" si="311"/>
        <v>PND'!</v>
      </c>
      <c r="F1366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66" s="6" t="s">
        <v>103</v>
      </c>
      <c r="H1366" s="1">
        <f t="shared" si="313"/>
        <v>70</v>
      </c>
      <c r="I1366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PND'!$BX$70</v>
      </c>
      <c r="J1366" s="1" t="s">
        <v>2667</v>
      </c>
    </row>
    <row r="1367" spans="1:10" x14ac:dyDescent="0.35">
      <c r="A1367" s="6" t="s">
        <v>16</v>
      </c>
      <c r="B1367" s="6">
        <f t="shared" si="315"/>
        <v>2058</v>
      </c>
      <c r="C1367" s="1" t="s">
        <v>40</v>
      </c>
      <c r="D1367" s="2" t="s">
        <v>2003</v>
      </c>
      <c r="E1367" s="9" t="str">
        <f t="shared" si="311"/>
        <v>PND'!</v>
      </c>
      <c r="F1367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67" s="6" t="s">
        <v>103</v>
      </c>
      <c r="H1367" s="1">
        <f t="shared" si="313"/>
        <v>71</v>
      </c>
      <c r="I1367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PND'!$BX$71</v>
      </c>
      <c r="J1367" s="1" t="s">
        <v>2668</v>
      </c>
    </row>
    <row r="1368" spans="1:10" x14ac:dyDescent="0.35">
      <c r="A1368" s="6" t="s">
        <v>16</v>
      </c>
      <c r="B1368" s="6">
        <f t="shared" si="315"/>
        <v>2059</v>
      </c>
      <c r="C1368" s="1" t="s">
        <v>40</v>
      </c>
      <c r="D1368" s="2" t="s">
        <v>2003</v>
      </c>
      <c r="E1368" s="9" t="str">
        <f t="shared" si="311"/>
        <v>PND'!</v>
      </c>
      <c r="F1368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68" s="6" t="s">
        <v>103</v>
      </c>
      <c r="H1368" s="1">
        <f t="shared" si="313"/>
        <v>72</v>
      </c>
      <c r="I1368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PND'!$BX$72</v>
      </c>
      <c r="J1368" s="1" t="s">
        <v>2669</v>
      </c>
    </row>
    <row r="1369" spans="1:10" x14ac:dyDescent="0.35">
      <c r="A1369" s="6" t="s">
        <v>26</v>
      </c>
      <c r="B1369" s="6"/>
      <c r="C1369" s="1" t="s">
        <v>40</v>
      </c>
      <c r="D1369" s="2"/>
      <c r="E1369" s="9"/>
      <c r="F1369" s="5" t="str">
        <f t="shared" si="298"/>
        <v xml:space="preserve"> </v>
      </c>
      <c r="G1369" s="6"/>
      <c r="H1369" s="1"/>
      <c r="I1369" s="1"/>
      <c r="J1369" s="4"/>
    </row>
    <row r="1370" spans="1:10" x14ac:dyDescent="0.35">
      <c r="A1370" s="6" t="s">
        <v>17</v>
      </c>
      <c r="B1370" s="6">
        <v>2023</v>
      </c>
      <c r="C1370" s="1" t="s">
        <v>40</v>
      </c>
      <c r="D1370" s="2" t="s">
        <v>2003</v>
      </c>
      <c r="E1370" s="9" t="str">
        <f t="shared" ref="E1370:E1390" si="316">_xlfn.CONCAT(A1370,"'!")</f>
        <v>PRBDP'!</v>
      </c>
      <c r="F1370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70" s="6" t="s">
        <v>103</v>
      </c>
      <c r="H1370" s="1"/>
      <c r="I1370" s="1"/>
      <c r="J1370" s="1"/>
    </row>
    <row r="1371" spans="1:10" x14ac:dyDescent="0.35">
      <c r="A1371" s="6" t="s">
        <v>17</v>
      </c>
      <c r="B1371" s="6">
        <f>+B1370+1</f>
        <v>2024</v>
      </c>
      <c r="C1371" s="1" t="s">
        <v>40</v>
      </c>
      <c r="D1371" s="2" t="s">
        <v>2003</v>
      </c>
      <c r="E1371" s="9" t="str">
        <f t="shared" si="316"/>
        <v>PRBDP'!</v>
      </c>
      <c r="F1371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71" s="6" t="s">
        <v>103</v>
      </c>
      <c r="H1371" s="1"/>
      <c r="I1371" s="1"/>
      <c r="J1371" s="1"/>
    </row>
    <row r="1372" spans="1:10" x14ac:dyDescent="0.35">
      <c r="A1372" s="6" t="s">
        <v>17</v>
      </c>
      <c r="B1372" s="6">
        <f t="shared" ref="B1372:B1383" si="317">+B1371+1</f>
        <v>2025</v>
      </c>
      <c r="C1372" s="1" t="s">
        <v>40</v>
      </c>
      <c r="D1372" s="2" t="s">
        <v>2003</v>
      </c>
      <c r="E1372" s="9" t="str">
        <f t="shared" si="316"/>
        <v>PRBDP'!</v>
      </c>
      <c r="F1372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72" s="6" t="s">
        <v>103</v>
      </c>
      <c r="H1372" s="1"/>
      <c r="I1372" s="1"/>
      <c r="J1372" s="1"/>
    </row>
    <row r="1373" spans="1:10" x14ac:dyDescent="0.35">
      <c r="A1373" s="6" t="s">
        <v>17</v>
      </c>
      <c r="B1373" s="6">
        <f t="shared" si="317"/>
        <v>2026</v>
      </c>
      <c r="C1373" s="1" t="s">
        <v>40</v>
      </c>
      <c r="D1373" s="2" t="s">
        <v>2003</v>
      </c>
      <c r="E1373" s="9" t="str">
        <f t="shared" si="316"/>
        <v>PRBDP'!</v>
      </c>
      <c r="F1373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73" s="6" t="s">
        <v>103</v>
      </c>
      <c r="H1373" s="1"/>
      <c r="I1373" s="1"/>
      <c r="J1373" s="1"/>
    </row>
    <row r="1374" spans="1:10" x14ac:dyDescent="0.35">
      <c r="A1374" s="6" t="s">
        <v>17</v>
      </c>
      <c r="B1374" s="6">
        <f t="shared" si="317"/>
        <v>2027</v>
      </c>
      <c r="C1374" s="1" t="s">
        <v>40</v>
      </c>
      <c r="D1374" s="2" t="s">
        <v>2003</v>
      </c>
      <c r="E1374" s="9" t="str">
        <f t="shared" si="316"/>
        <v>PRBDP'!</v>
      </c>
      <c r="F1374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74" s="6" t="s">
        <v>103</v>
      </c>
      <c r="H1374" s="1"/>
      <c r="I1374" s="1"/>
      <c r="J1374" s="1"/>
    </row>
    <row r="1375" spans="1:10" x14ac:dyDescent="0.35">
      <c r="A1375" s="6" t="s">
        <v>17</v>
      </c>
      <c r="B1375" s="6">
        <f t="shared" si="317"/>
        <v>2028</v>
      </c>
      <c r="C1375" s="1" t="s">
        <v>40</v>
      </c>
      <c r="D1375" s="2" t="s">
        <v>2003</v>
      </c>
      <c r="E1375" s="9" t="str">
        <f t="shared" si="316"/>
        <v>PRBDP'!</v>
      </c>
      <c r="F1375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75" s="6" t="s">
        <v>103</v>
      </c>
      <c r="H1375" s="1"/>
      <c r="I1375" s="1"/>
      <c r="J1375" s="1"/>
    </row>
    <row r="1376" spans="1:10" x14ac:dyDescent="0.35">
      <c r="A1376" s="6" t="s">
        <v>17</v>
      </c>
      <c r="B1376" s="6">
        <f t="shared" si="317"/>
        <v>2029</v>
      </c>
      <c r="C1376" s="1" t="s">
        <v>40</v>
      </c>
      <c r="D1376" s="2" t="s">
        <v>2003</v>
      </c>
      <c r="E1376" s="9" t="str">
        <f t="shared" si="316"/>
        <v>PRBDP'!</v>
      </c>
      <c r="F1376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76" s="6" t="s">
        <v>103</v>
      </c>
      <c r="H1376" s="1"/>
      <c r="I1376" s="1"/>
      <c r="J1376" s="1"/>
    </row>
    <row r="1377" spans="1:10" x14ac:dyDescent="0.35">
      <c r="A1377" s="6" t="s">
        <v>17</v>
      </c>
      <c r="B1377" s="6">
        <f t="shared" si="317"/>
        <v>2030</v>
      </c>
      <c r="C1377" s="1" t="s">
        <v>40</v>
      </c>
      <c r="D1377" s="2" t="s">
        <v>2003</v>
      </c>
      <c r="E1377" s="9" t="str">
        <f t="shared" si="316"/>
        <v>PRBDP'!</v>
      </c>
      <c r="F1377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77" s="6" t="s">
        <v>103</v>
      </c>
      <c r="H1377" s="1"/>
      <c r="I1377" s="1"/>
      <c r="J1377" s="1"/>
    </row>
    <row r="1378" spans="1:10" x14ac:dyDescent="0.35">
      <c r="A1378" s="6" t="s">
        <v>17</v>
      </c>
      <c r="B1378" s="6">
        <f t="shared" si="317"/>
        <v>2031</v>
      </c>
      <c r="C1378" s="1" t="s">
        <v>40</v>
      </c>
      <c r="D1378" s="2" t="s">
        <v>2003</v>
      </c>
      <c r="E1378" s="9" t="str">
        <f t="shared" si="316"/>
        <v>PRBDP'!</v>
      </c>
      <c r="F1378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78" s="6" t="s">
        <v>103</v>
      </c>
      <c r="H1378" s="1"/>
      <c r="I1378" s="1"/>
      <c r="J1378" s="1"/>
    </row>
    <row r="1379" spans="1:10" x14ac:dyDescent="0.35">
      <c r="A1379" s="6" t="s">
        <v>17</v>
      </c>
      <c r="B1379" s="6">
        <f t="shared" si="317"/>
        <v>2032</v>
      </c>
      <c r="C1379" s="1" t="s">
        <v>40</v>
      </c>
      <c r="D1379" s="2" t="s">
        <v>2003</v>
      </c>
      <c r="E1379" s="9" t="str">
        <f t="shared" si="316"/>
        <v>PRBDP'!</v>
      </c>
      <c r="F1379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79" s="6" t="s">
        <v>103</v>
      </c>
      <c r="H1379" s="1"/>
      <c r="I1379" s="1"/>
      <c r="J1379" s="1"/>
    </row>
    <row r="1380" spans="1:10" x14ac:dyDescent="0.35">
      <c r="A1380" s="6" t="s">
        <v>17</v>
      </c>
      <c r="B1380" s="6">
        <f t="shared" si="317"/>
        <v>2033</v>
      </c>
      <c r="C1380" s="1" t="s">
        <v>40</v>
      </c>
      <c r="D1380" s="2" t="s">
        <v>2003</v>
      </c>
      <c r="E1380" s="9" t="str">
        <f t="shared" si="316"/>
        <v>PRBDP'!</v>
      </c>
      <c r="F1380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80" s="6" t="s">
        <v>103</v>
      </c>
      <c r="H1380" s="1"/>
      <c r="I1380" s="1"/>
      <c r="J1380" s="1"/>
    </row>
    <row r="1381" spans="1:10" x14ac:dyDescent="0.35">
      <c r="A1381" s="6" t="s">
        <v>17</v>
      </c>
      <c r="B1381" s="6">
        <f t="shared" si="317"/>
        <v>2034</v>
      </c>
      <c r="C1381" s="1" t="s">
        <v>40</v>
      </c>
      <c r="D1381" s="2" t="s">
        <v>2003</v>
      </c>
      <c r="E1381" s="9" t="str">
        <f t="shared" si="316"/>
        <v>PRBDP'!</v>
      </c>
      <c r="F1381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81" s="6" t="s">
        <v>103</v>
      </c>
      <c r="H1381" s="1"/>
      <c r="I1381" s="1"/>
      <c r="J1381" s="1"/>
    </row>
    <row r="1382" spans="1:10" x14ac:dyDescent="0.35">
      <c r="A1382" s="6" t="s">
        <v>17</v>
      </c>
      <c r="B1382" s="6">
        <f t="shared" si="317"/>
        <v>2035</v>
      </c>
      <c r="C1382" s="1" t="s">
        <v>40</v>
      </c>
      <c r="D1382" s="2" t="s">
        <v>2003</v>
      </c>
      <c r="E1382" s="9" t="str">
        <f t="shared" si="316"/>
        <v>PRBDP'!</v>
      </c>
      <c r="F1382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82" s="6" t="s">
        <v>103</v>
      </c>
      <c r="H1382" s="1"/>
      <c r="I1382" s="1"/>
      <c r="J1382" s="1"/>
    </row>
    <row r="1383" spans="1:10" x14ac:dyDescent="0.35">
      <c r="A1383" s="6" t="s">
        <v>17</v>
      </c>
      <c r="B1383" s="6">
        <f t="shared" si="317"/>
        <v>2036</v>
      </c>
      <c r="C1383" s="1" t="s">
        <v>40</v>
      </c>
      <c r="D1383" s="2" t="s">
        <v>2003</v>
      </c>
      <c r="E1383" s="9" t="str">
        <f t="shared" si="316"/>
        <v>PRBDP'!</v>
      </c>
      <c r="F1383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83" s="6" t="s">
        <v>103</v>
      </c>
      <c r="H1383" s="1"/>
      <c r="I1383" s="1"/>
      <c r="J1383" s="1"/>
    </row>
    <row r="1384" spans="1:10" x14ac:dyDescent="0.35">
      <c r="A1384" s="6" t="s">
        <v>17</v>
      </c>
      <c r="B1384" s="6">
        <f>+B1383+1</f>
        <v>2037</v>
      </c>
      <c r="C1384" s="1" t="s">
        <v>40</v>
      </c>
      <c r="D1384" s="2" t="s">
        <v>2003</v>
      </c>
      <c r="E1384" s="9" t="str">
        <f t="shared" si="316"/>
        <v>PRBDP'!</v>
      </c>
      <c r="F1384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84" s="6" t="s">
        <v>103</v>
      </c>
      <c r="H1384" s="1"/>
      <c r="I1384" s="1"/>
      <c r="J1384" s="1"/>
    </row>
    <row r="1385" spans="1:10" x14ac:dyDescent="0.35">
      <c r="A1385" s="6" t="s">
        <v>17</v>
      </c>
      <c r="B1385" s="6">
        <f t="shared" ref="B1385:B1387" si="318">+B1384+1</f>
        <v>2038</v>
      </c>
      <c r="C1385" s="1" t="s">
        <v>40</v>
      </c>
      <c r="D1385" s="2" t="s">
        <v>2003</v>
      </c>
      <c r="E1385" s="9" t="str">
        <f t="shared" si="316"/>
        <v>PRBDP'!</v>
      </c>
      <c r="F1385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85" s="6" t="s">
        <v>103</v>
      </c>
      <c r="H1385" s="1"/>
      <c r="I1385" s="1"/>
      <c r="J1385" s="1"/>
    </row>
    <row r="1386" spans="1:10" x14ac:dyDescent="0.35">
      <c r="A1386" s="6" t="s">
        <v>17</v>
      </c>
      <c r="B1386" s="6">
        <f t="shared" si="318"/>
        <v>2039</v>
      </c>
      <c r="C1386" s="1" t="s">
        <v>40</v>
      </c>
      <c r="D1386" s="2" t="s">
        <v>2003</v>
      </c>
      <c r="E1386" s="9" t="str">
        <f t="shared" si="316"/>
        <v>PRBDP'!</v>
      </c>
      <c r="F1386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86" s="6" t="s">
        <v>103</v>
      </c>
      <c r="H1386" s="1"/>
      <c r="I1386" s="1"/>
      <c r="J1386" s="1"/>
    </row>
    <row r="1387" spans="1:10" x14ac:dyDescent="0.35">
      <c r="A1387" s="6" t="s">
        <v>17</v>
      </c>
      <c r="B1387" s="6">
        <f t="shared" si="318"/>
        <v>2040</v>
      </c>
      <c r="C1387" s="1" t="s">
        <v>40</v>
      </c>
      <c r="D1387" s="2" t="s">
        <v>2003</v>
      </c>
      <c r="E1387" s="9" t="str">
        <f t="shared" si="316"/>
        <v>PRBDP'!</v>
      </c>
      <c r="F1387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87" s="6" t="s">
        <v>103</v>
      </c>
      <c r="H1387" s="1"/>
      <c r="I1387" s="1"/>
      <c r="J1387" s="1"/>
    </row>
    <row r="1388" spans="1:10" x14ac:dyDescent="0.35">
      <c r="A1388" s="6" t="s">
        <v>17</v>
      </c>
      <c r="B1388" s="6">
        <f>+B1387+1</f>
        <v>2041</v>
      </c>
      <c r="C1388" s="1" t="s">
        <v>40</v>
      </c>
      <c r="D1388" s="2" t="s">
        <v>2003</v>
      </c>
      <c r="E1388" s="9" t="str">
        <f t="shared" si="316"/>
        <v>PRBDP'!</v>
      </c>
      <c r="F1388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88" s="6" t="s">
        <v>103</v>
      </c>
      <c r="H1388" s="1"/>
      <c r="I1388" s="1"/>
      <c r="J1388" s="1"/>
    </row>
    <row r="1389" spans="1:10" x14ac:dyDescent="0.35">
      <c r="A1389" s="6" t="s">
        <v>17</v>
      </c>
      <c r="B1389" s="6">
        <f t="shared" ref="B1389:B1390" si="319">+B1388+1</f>
        <v>2042</v>
      </c>
      <c r="C1389" s="1" t="s">
        <v>40</v>
      </c>
      <c r="D1389" s="2" t="s">
        <v>2003</v>
      </c>
      <c r="E1389" s="9" t="str">
        <f t="shared" si="316"/>
        <v>PRBDP'!</v>
      </c>
      <c r="F1389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89" s="6" t="s">
        <v>103</v>
      </c>
      <c r="H1389" s="1"/>
      <c r="I1389" s="1"/>
      <c r="J1389" s="1"/>
    </row>
    <row r="1390" spans="1:10" x14ac:dyDescent="0.35">
      <c r="A1390" s="6" t="s">
        <v>17</v>
      </c>
      <c r="B1390" s="6">
        <f t="shared" si="319"/>
        <v>2043</v>
      </c>
      <c r="C1390" s="1" t="s">
        <v>40</v>
      </c>
      <c r="D1390" s="2" t="s">
        <v>2003</v>
      </c>
      <c r="E1390" s="9" t="str">
        <f t="shared" si="316"/>
        <v>PRBDP'!</v>
      </c>
      <c r="F1390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90" s="6" t="s">
        <v>103</v>
      </c>
      <c r="H1390" s="1"/>
      <c r="I1390" s="1"/>
      <c r="J1390" s="1"/>
    </row>
    <row r="1391" spans="1:10" x14ac:dyDescent="0.35">
      <c r="A1391" s="6" t="s">
        <v>17</v>
      </c>
      <c r="B1391" s="6">
        <f>+B1390+1</f>
        <v>2044</v>
      </c>
      <c r="C1391" s="1" t="s">
        <v>40</v>
      </c>
      <c r="D1391" s="2" t="s">
        <v>2003</v>
      </c>
      <c r="E1391" s="9" t="str">
        <f t="shared" ref="E1391:E1406" si="320">_xlfn.CONCAT(A1391,"'!")</f>
        <v>PRBDP'!</v>
      </c>
      <c r="F1391" s="5" t="str">
        <f t="shared" ref="F1391:F1406" si="321">_xlfn.CONCAT(D1391," ",E1391)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91" s="6" t="s">
        <v>103</v>
      </c>
      <c r="H1391" s="1"/>
      <c r="I1391" s="1"/>
      <c r="J1391" s="1"/>
    </row>
    <row r="1392" spans="1:10" x14ac:dyDescent="0.35">
      <c r="A1392" s="6" t="s">
        <v>17</v>
      </c>
      <c r="B1392" s="6">
        <f t="shared" ref="B1392:B1406" si="322">+B1391+1</f>
        <v>2045</v>
      </c>
      <c r="C1392" s="1" t="s">
        <v>40</v>
      </c>
      <c r="D1392" s="2" t="s">
        <v>2003</v>
      </c>
      <c r="E1392" s="9" t="str">
        <f t="shared" si="320"/>
        <v>PRBDP'!</v>
      </c>
      <c r="F1392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92" s="6" t="s">
        <v>103</v>
      </c>
      <c r="H1392" s="1"/>
      <c r="I1392" s="1"/>
      <c r="J1392" s="1"/>
    </row>
    <row r="1393" spans="1:10" x14ac:dyDescent="0.35">
      <c r="A1393" s="6" t="s">
        <v>17</v>
      </c>
      <c r="B1393" s="6">
        <f t="shared" si="322"/>
        <v>2046</v>
      </c>
      <c r="C1393" s="1" t="s">
        <v>40</v>
      </c>
      <c r="D1393" s="2" t="s">
        <v>2003</v>
      </c>
      <c r="E1393" s="9" t="str">
        <f t="shared" si="320"/>
        <v>PRBDP'!</v>
      </c>
      <c r="F1393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93" s="6" t="s">
        <v>103</v>
      </c>
      <c r="H1393" s="1"/>
      <c r="I1393" s="1"/>
      <c r="J1393" s="1"/>
    </row>
    <row r="1394" spans="1:10" x14ac:dyDescent="0.35">
      <c r="A1394" s="6" t="s">
        <v>17</v>
      </c>
      <c r="B1394" s="6">
        <f t="shared" si="322"/>
        <v>2047</v>
      </c>
      <c r="C1394" s="1" t="s">
        <v>40</v>
      </c>
      <c r="D1394" s="2" t="s">
        <v>2003</v>
      </c>
      <c r="E1394" s="9" t="str">
        <f t="shared" si="320"/>
        <v>PRBDP'!</v>
      </c>
      <c r="F1394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94" s="6" t="s">
        <v>103</v>
      </c>
      <c r="H1394" s="1"/>
      <c r="I1394" s="1"/>
      <c r="J1394" s="1"/>
    </row>
    <row r="1395" spans="1:10" x14ac:dyDescent="0.35">
      <c r="A1395" s="6" t="s">
        <v>17</v>
      </c>
      <c r="B1395" s="6">
        <f t="shared" si="322"/>
        <v>2048</v>
      </c>
      <c r="C1395" s="1" t="s">
        <v>40</v>
      </c>
      <c r="D1395" s="2" t="s">
        <v>2003</v>
      </c>
      <c r="E1395" s="9" t="str">
        <f t="shared" si="320"/>
        <v>PRBDP'!</v>
      </c>
      <c r="F1395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95" s="6" t="s">
        <v>103</v>
      </c>
      <c r="H1395" s="1"/>
      <c r="I1395" s="1"/>
      <c r="J1395" s="1"/>
    </row>
    <row r="1396" spans="1:10" x14ac:dyDescent="0.35">
      <c r="A1396" s="6" t="s">
        <v>17</v>
      </c>
      <c r="B1396" s="6">
        <f t="shared" si="322"/>
        <v>2049</v>
      </c>
      <c r="C1396" s="1" t="s">
        <v>40</v>
      </c>
      <c r="D1396" s="2" t="s">
        <v>2003</v>
      </c>
      <c r="E1396" s="9" t="str">
        <f t="shared" si="320"/>
        <v>PRBDP'!</v>
      </c>
      <c r="F1396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96" s="6" t="s">
        <v>103</v>
      </c>
      <c r="H1396" s="1"/>
      <c r="I1396" s="1"/>
      <c r="J1396" s="1"/>
    </row>
    <row r="1397" spans="1:10" x14ac:dyDescent="0.35">
      <c r="A1397" s="6" t="s">
        <v>17</v>
      </c>
      <c r="B1397" s="6">
        <f t="shared" si="322"/>
        <v>2050</v>
      </c>
      <c r="C1397" s="1" t="s">
        <v>40</v>
      </c>
      <c r="D1397" s="2" t="s">
        <v>2003</v>
      </c>
      <c r="E1397" s="9" t="str">
        <f t="shared" si="320"/>
        <v>PRBDP'!</v>
      </c>
      <c r="F1397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97" s="6" t="s">
        <v>103</v>
      </c>
      <c r="H1397" s="1"/>
      <c r="I1397" s="1"/>
      <c r="J1397" s="1"/>
    </row>
    <row r="1398" spans="1:10" x14ac:dyDescent="0.35">
      <c r="A1398" s="6" t="s">
        <v>17</v>
      </c>
      <c r="B1398" s="6">
        <f t="shared" si="322"/>
        <v>2051</v>
      </c>
      <c r="C1398" s="1" t="s">
        <v>40</v>
      </c>
      <c r="D1398" s="2" t="s">
        <v>2003</v>
      </c>
      <c r="E1398" s="9" t="str">
        <f t="shared" si="320"/>
        <v>PRBDP'!</v>
      </c>
      <c r="F1398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98" s="6" t="s">
        <v>103</v>
      </c>
      <c r="H1398" s="1"/>
      <c r="I1398" s="1"/>
      <c r="J1398" s="1"/>
    </row>
    <row r="1399" spans="1:10" x14ac:dyDescent="0.35">
      <c r="A1399" s="6" t="s">
        <v>17</v>
      </c>
      <c r="B1399" s="6">
        <f t="shared" si="322"/>
        <v>2052</v>
      </c>
      <c r="C1399" s="1" t="s">
        <v>40</v>
      </c>
      <c r="D1399" s="2" t="s">
        <v>2003</v>
      </c>
      <c r="E1399" s="9" t="str">
        <f t="shared" si="320"/>
        <v>PRBDP'!</v>
      </c>
      <c r="F1399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99" s="6" t="s">
        <v>103</v>
      </c>
      <c r="H1399" s="1"/>
      <c r="I1399" s="1"/>
      <c r="J1399" s="1"/>
    </row>
    <row r="1400" spans="1:10" x14ac:dyDescent="0.35">
      <c r="A1400" s="6" t="s">
        <v>17</v>
      </c>
      <c r="B1400" s="6">
        <f t="shared" si="322"/>
        <v>2053</v>
      </c>
      <c r="C1400" s="1" t="s">
        <v>40</v>
      </c>
      <c r="D1400" s="2" t="s">
        <v>2003</v>
      </c>
      <c r="E1400" s="9" t="str">
        <f t="shared" si="320"/>
        <v>PRBDP'!</v>
      </c>
      <c r="F1400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00" s="6" t="s">
        <v>103</v>
      </c>
      <c r="H1400" s="1"/>
      <c r="I1400" s="1"/>
      <c r="J1400" s="1"/>
    </row>
    <row r="1401" spans="1:10" x14ac:dyDescent="0.35">
      <c r="A1401" s="6" t="s">
        <v>17</v>
      </c>
      <c r="B1401" s="6">
        <f t="shared" si="322"/>
        <v>2054</v>
      </c>
      <c r="C1401" s="1" t="s">
        <v>40</v>
      </c>
      <c r="D1401" s="2" t="s">
        <v>2003</v>
      </c>
      <c r="E1401" s="9" t="str">
        <f t="shared" si="320"/>
        <v>PRBDP'!</v>
      </c>
      <c r="F1401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01" s="6" t="s">
        <v>103</v>
      </c>
      <c r="H1401" s="1"/>
      <c r="I1401" s="1"/>
      <c r="J1401" s="1"/>
    </row>
    <row r="1402" spans="1:10" x14ac:dyDescent="0.35">
      <c r="A1402" s="6" t="s">
        <v>17</v>
      </c>
      <c r="B1402" s="6">
        <f t="shared" si="322"/>
        <v>2055</v>
      </c>
      <c r="C1402" s="1" t="s">
        <v>40</v>
      </c>
      <c r="D1402" s="2" t="s">
        <v>2003</v>
      </c>
      <c r="E1402" s="9" t="str">
        <f t="shared" si="320"/>
        <v>PRBDP'!</v>
      </c>
      <c r="F1402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02" s="6" t="s">
        <v>103</v>
      </c>
      <c r="H1402" s="1"/>
      <c r="I1402" s="1"/>
      <c r="J1402" s="1"/>
    </row>
    <row r="1403" spans="1:10" x14ac:dyDescent="0.35">
      <c r="A1403" s="6" t="s">
        <v>17</v>
      </c>
      <c r="B1403" s="6">
        <f t="shared" si="322"/>
        <v>2056</v>
      </c>
      <c r="C1403" s="1" t="s">
        <v>40</v>
      </c>
      <c r="D1403" s="2" t="s">
        <v>2003</v>
      </c>
      <c r="E1403" s="9" t="str">
        <f t="shared" si="320"/>
        <v>PRBDP'!</v>
      </c>
      <c r="F1403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03" s="6" t="s">
        <v>103</v>
      </c>
      <c r="H1403" s="1"/>
      <c r="I1403" s="1"/>
      <c r="J1403" s="1"/>
    </row>
    <row r="1404" spans="1:10" x14ac:dyDescent="0.35">
      <c r="A1404" s="6" t="s">
        <v>17</v>
      </c>
      <c r="B1404" s="6">
        <f t="shared" si="322"/>
        <v>2057</v>
      </c>
      <c r="C1404" s="1" t="s">
        <v>40</v>
      </c>
      <c r="D1404" s="2" t="s">
        <v>2003</v>
      </c>
      <c r="E1404" s="9" t="str">
        <f t="shared" si="320"/>
        <v>PRBDP'!</v>
      </c>
      <c r="F1404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04" s="6" t="s">
        <v>103</v>
      </c>
      <c r="H1404" s="1"/>
      <c r="I1404" s="1"/>
      <c r="J1404" s="1"/>
    </row>
    <row r="1405" spans="1:10" x14ac:dyDescent="0.35">
      <c r="A1405" s="6" t="s">
        <v>17</v>
      </c>
      <c r="B1405" s="6">
        <f t="shared" si="322"/>
        <v>2058</v>
      </c>
      <c r="C1405" s="1" t="s">
        <v>40</v>
      </c>
      <c r="D1405" s="2" t="s">
        <v>2003</v>
      </c>
      <c r="E1405" s="9" t="str">
        <f t="shared" si="320"/>
        <v>PRBDP'!</v>
      </c>
      <c r="F1405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05" s="6" t="s">
        <v>103</v>
      </c>
      <c r="H1405" s="1"/>
      <c r="I1405" s="1"/>
      <c r="J1405" s="1"/>
    </row>
    <row r="1406" spans="1:10" x14ac:dyDescent="0.35">
      <c r="A1406" s="6" t="s">
        <v>17</v>
      </c>
      <c r="B1406" s="6">
        <f t="shared" si="322"/>
        <v>2059</v>
      </c>
      <c r="C1406" s="1" t="s">
        <v>40</v>
      </c>
      <c r="D1406" s="2" t="s">
        <v>2003</v>
      </c>
      <c r="E1406" s="9" t="str">
        <f t="shared" si="320"/>
        <v>PRBDP'!</v>
      </c>
      <c r="F1406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06" s="6" t="s">
        <v>103</v>
      </c>
      <c r="H1406" s="1"/>
      <c r="I1406" s="1"/>
      <c r="J1406" s="1"/>
    </row>
    <row r="1407" spans="1:10" x14ac:dyDescent="0.35">
      <c r="A1407" s="6" t="s">
        <v>26</v>
      </c>
      <c r="B1407" s="6"/>
      <c r="C1407" s="1" t="s">
        <v>40</v>
      </c>
      <c r="D1407" s="2"/>
      <c r="E1407" s="9"/>
      <c r="F1407" s="5" t="str">
        <f t="shared" si="298"/>
        <v xml:space="preserve"> </v>
      </c>
      <c r="G1407" s="6"/>
      <c r="H1407" s="1"/>
      <c r="I1407" s="1"/>
      <c r="J1407" s="1"/>
    </row>
    <row r="1408" spans="1:10" x14ac:dyDescent="0.35">
      <c r="A1408" s="6" t="s">
        <v>18</v>
      </c>
      <c r="B1408" s="6">
        <v>2023</v>
      </c>
      <c r="C1408" s="1" t="s">
        <v>40</v>
      </c>
      <c r="D1408" s="2" t="s">
        <v>2003</v>
      </c>
      <c r="E1408" s="9" t="str">
        <f t="shared" ref="E1408:E1428" si="323">_xlfn.CONCAT(A1408,"'!")</f>
        <v>PRBNP'!</v>
      </c>
      <c r="F1408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08" s="6" t="s">
        <v>103</v>
      </c>
      <c r="H1408" s="1"/>
      <c r="I1408" s="1"/>
      <c r="J1408" s="1"/>
    </row>
    <row r="1409" spans="1:10" x14ac:dyDescent="0.35">
      <c r="A1409" s="6" t="s">
        <v>18</v>
      </c>
      <c r="B1409" s="6">
        <f>+B1408+1</f>
        <v>2024</v>
      </c>
      <c r="C1409" s="1" t="s">
        <v>40</v>
      </c>
      <c r="D1409" s="2" t="s">
        <v>2003</v>
      </c>
      <c r="E1409" s="9" t="str">
        <f t="shared" si="323"/>
        <v>PRBNP'!</v>
      </c>
      <c r="F1409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09" s="6" t="s">
        <v>103</v>
      </c>
      <c r="H1409" s="1"/>
      <c r="I1409" s="1"/>
      <c r="J1409" s="1"/>
    </row>
    <row r="1410" spans="1:10" x14ac:dyDescent="0.35">
      <c r="A1410" s="6" t="s">
        <v>18</v>
      </c>
      <c r="B1410" s="6">
        <f t="shared" ref="B1410:B1421" si="324">+B1409+1</f>
        <v>2025</v>
      </c>
      <c r="C1410" s="1" t="s">
        <v>40</v>
      </c>
      <c r="D1410" s="2" t="s">
        <v>2003</v>
      </c>
      <c r="E1410" s="9" t="str">
        <f t="shared" si="323"/>
        <v>PRBNP'!</v>
      </c>
      <c r="F1410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10" s="6" t="s">
        <v>103</v>
      </c>
      <c r="H1410" s="1"/>
      <c r="I1410" s="1"/>
      <c r="J1410" s="1"/>
    </row>
    <row r="1411" spans="1:10" x14ac:dyDescent="0.35">
      <c r="A1411" s="6" t="s">
        <v>18</v>
      </c>
      <c r="B1411" s="6">
        <f t="shared" si="324"/>
        <v>2026</v>
      </c>
      <c r="C1411" s="1" t="s">
        <v>40</v>
      </c>
      <c r="D1411" s="2" t="s">
        <v>2003</v>
      </c>
      <c r="E1411" s="9" t="str">
        <f t="shared" si="323"/>
        <v>PRBNP'!</v>
      </c>
      <c r="F1411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11" s="6" t="s">
        <v>103</v>
      </c>
      <c r="H1411" s="1"/>
      <c r="I1411" s="1"/>
      <c r="J1411" s="1"/>
    </row>
    <row r="1412" spans="1:10" x14ac:dyDescent="0.35">
      <c r="A1412" s="6" t="s">
        <v>18</v>
      </c>
      <c r="B1412" s="6">
        <f t="shared" si="324"/>
        <v>2027</v>
      </c>
      <c r="C1412" s="1" t="s">
        <v>40</v>
      </c>
      <c r="D1412" s="2" t="s">
        <v>2003</v>
      </c>
      <c r="E1412" s="9" t="str">
        <f t="shared" si="323"/>
        <v>PRBNP'!</v>
      </c>
      <c r="F1412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12" s="6" t="s">
        <v>103</v>
      </c>
      <c r="H1412" s="1"/>
      <c r="I1412" s="1"/>
      <c r="J1412" s="1"/>
    </row>
    <row r="1413" spans="1:10" x14ac:dyDescent="0.35">
      <c r="A1413" s="6" t="s">
        <v>18</v>
      </c>
      <c r="B1413" s="6">
        <f t="shared" si="324"/>
        <v>2028</v>
      </c>
      <c r="C1413" s="1" t="s">
        <v>40</v>
      </c>
      <c r="D1413" s="2" t="s">
        <v>2003</v>
      </c>
      <c r="E1413" s="9" t="str">
        <f t="shared" si="323"/>
        <v>PRBNP'!</v>
      </c>
      <c r="F1413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13" s="6" t="s">
        <v>103</v>
      </c>
      <c r="H1413" s="1"/>
      <c r="I1413" s="1"/>
      <c r="J1413" s="1"/>
    </row>
    <row r="1414" spans="1:10" x14ac:dyDescent="0.35">
      <c r="A1414" s="6" t="s">
        <v>18</v>
      </c>
      <c r="B1414" s="6">
        <f t="shared" si="324"/>
        <v>2029</v>
      </c>
      <c r="C1414" s="1" t="s">
        <v>40</v>
      </c>
      <c r="D1414" s="2" t="s">
        <v>2003</v>
      </c>
      <c r="E1414" s="9" t="str">
        <f t="shared" si="323"/>
        <v>PRBNP'!</v>
      </c>
      <c r="F1414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14" s="6" t="s">
        <v>103</v>
      </c>
      <c r="H1414" s="1"/>
      <c r="I1414" s="1"/>
      <c r="J1414" s="1"/>
    </row>
    <row r="1415" spans="1:10" x14ac:dyDescent="0.35">
      <c r="A1415" s="6" t="s">
        <v>18</v>
      </c>
      <c r="B1415" s="6">
        <f t="shared" si="324"/>
        <v>2030</v>
      </c>
      <c r="C1415" s="1" t="s">
        <v>40</v>
      </c>
      <c r="D1415" s="2" t="s">
        <v>2003</v>
      </c>
      <c r="E1415" s="9" t="str">
        <f t="shared" si="323"/>
        <v>PRBNP'!</v>
      </c>
      <c r="F1415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15" s="6" t="s">
        <v>103</v>
      </c>
      <c r="H1415" s="1"/>
      <c r="I1415" s="1"/>
      <c r="J1415" s="1"/>
    </row>
    <row r="1416" spans="1:10" x14ac:dyDescent="0.35">
      <c r="A1416" s="6" t="s">
        <v>18</v>
      </c>
      <c r="B1416" s="6">
        <f t="shared" si="324"/>
        <v>2031</v>
      </c>
      <c r="C1416" s="1" t="s">
        <v>40</v>
      </c>
      <c r="D1416" s="2" t="s">
        <v>2003</v>
      </c>
      <c r="E1416" s="9" t="str">
        <f t="shared" si="323"/>
        <v>PRBNP'!</v>
      </c>
      <c r="F1416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16" s="6" t="s">
        <v>103</v>
      </c>
      <c r="H1416" s="1"/>
      <c r="I1416" s="1"/>
      <c r="J1416" s="1"/>
    </row>
    <row r="1417" spans="1:10" x14ac:dyDescent="0.35">
      <c r="A1417" s="6" t="s">
        <v>18</v>
      </c>
      <c r="B1417" s="6">
        <f t="shared" si="324"/>
        <v>2032</v>
      </c>
      <c r="C1417" s="1" t="s">
        <v>40</v>
      </c>
      <c r="D1417" s="2" t="s">
        <v>2003</v>
      </c>
      <c r="E1417" s="9" t="str">
        <f t="shared" si="323"/>
        <v>PRBNP'!</v>
      </c>
      <c r="F1417" s="5" t="str">
        <f t="shared" ref="F1417:F1428" si="325">_xlfn.CONCAT(D1417," ",E1417)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17" s="6" t="s">
        <v>103</v>
      </c>
      <c r="H1417" s="1"/>
      <c r="I1417" s="1"/>
      <c r="J1417" s="1"/>
    </row>
    <row r="1418" spans="1:10" x14ac:dyDescent="0.35">
      <c r="A1418" s="6" t="s">
        <v>18</v>
      </c>
      <c r="B1418" s="6">
        <f t="shared" si="324"/>
        <v>2033</v>
      </c>
      <c r="C1418" s="1" t="s">
        <v>40</v>
      </c>
      <c r="D1418" s="2" t="s">
        <v>2003</v>
      </c>
      <c r="E1418" s="9" t="str">
        <f t="shared" si="323"/>
        <v>PRBNP'!</v>
      </c>
      <c r="F1418" s="5" t="str">
        <f t="shared" si="32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18" s="6" t="s">
        <v>103</v>
      </c>
      <c r="H1418" s="1"/>
      <c r="I1418" s="1"/>
      <c r="J1418" s="1"/>
    </row>
    <row r="1419" spans="1:10" x14ac:dyDescent="0.35">
      <c r="A1419" s="6" t="s">
        <v>18</v>
      </c>
      <c r="B1419" s="6">
        <f t="shared" si="324"/>
        <v>2034</v>
      </c>
      <c r="C1419" s="1" t="s">
        <v>40</v>
      </c>
      <c r="D1419" s="2" t="s">
        <v>2003</v>
      </c>
      <c r="E1419" s="9" t="str">
        <f t="shared" si="323"/>
        <v>PRBNP'!</v>
      </c>
      <c r="F1419" s="5" t="str">
        <f t="shared" si="32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19" s="6" t="s">
        <v>103</v>
      </c>
      <c r="H1419" s="1"/>
      <c r="I1419" s="1"/>
      <c r="J1419" s="1"/>
    </row>
    <row r="1420" spans="1:10" x14ac:dyDescent="0.35">
      <c r="A1420" s="6" t="s">
        <v>18</v>
      </c>
      <c r="B1420" s="6">
        <f t="shared" si="324"/>
        <v>2035</v>
      </c>
      <c r="C1420" s="1" t="s">
        <v>40</v>
      </c>
      <c r="D1420" s="2" t="s">
        <v>2003</v>
      </c>
      <c r="E1420" s="9" t="str">
        <f t="shared" si="323"/>
        <v>PRBNP'!</v>
      </c>
      <c r="F1420" s="5" t="str">
        <f t="shared" si="32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20" s="6" t="s">
        <v>103</v>
      </c>
      <c r="H1420" s="1"/>
      <c r="I1420" s="1"/>
      <c r="J1420" s="1"/>
    </row>
    <row r="1421" spans="1:10" x14ac:dyDescent="0.35">
      <c r="A1421" s="6" t="s">
        <v>18</v>
      </c>
      <c r="B1421" s="6">
        <f t="shared" si="324"/>
        <v>2036</v>
      </c>
      <c r="C1421" s="1" t="s">
        <v>40</v>
      </c>
      <c r="D1421" s="2" t="s">
        <v>2003</v>
      </c>
      <c r="E1421" s="9" t="str">
        <f t="shared" si="323"/>
        <v>PRBNP'!</v>
      </c>
      <c r="F1421" s="5" t="str">
        <f t="shared" si="32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21" s="6" t="s">
        <v>103</v>
      </c>
      <c r="H1421" s="1"/>
      <c r="I1421" s="1"/>
      <c r="J1421" s="1"/>
    </row>
    <row r="1422" spans="1:10" x14ac:dyDescent="0.35">
      <c r="A1422" s="6" t="s">
        <v>18</v>
      </c>
      <c r="B1422" s="6">
        <f>+B1421+1</f>
        <v>2037</v>
      </c>
      <c r="C1422" s="1" t="s">
        <v>40</v>
      </c>
      <c r="D1422" s="2" t="s">
        <v>2003</v>
      </c>
      <c r="E1422" s="9" t="str">
        <f t="shared" si="323"/>
        <v>PRBNP'!</v>
      </c>
      <c r="F1422" s="5" t="str">
        <f t="shared" si="32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22" s="6" t="s">
        <v>103</v>
      </c>
      <c r="H1422" s="1"/>
      <c r="I1422" s="1"/>
      <c r="J1422" s="1"/>
    </row>
    <row r="1423" spans="1:10" x14ac:dyDescent="0.35">
      <c r="A1423" s="6" t="s">
        <v>18</v>
      </c>
      <c r="B1423" s="6">
        <f t="shared" ref="B1423:B1425" si="326">+B1422+1</f>
        <v>2038</v>
      </c>
      <c r="C1423" s="1" t="s">
        <v>40</v>
      </c>
      <c r="D1423" s="2" t="s">
        <v>2003</v>
      </c>
      <c r="E1423" s="9" t="str">
        <f t="shared" si="323"/>
        <v>PRBNP'!</v>
      </c>
      <c r="F1423" s="5" t="str">
        <f t="shared" si="32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23" s="6" t="s">
        <v>103</v>
      </c>
      <c r="H1423" s="1"/>
      <c r="I1423" s="1"/>
      <c r="J1423" s="1"/>
    </row>
    <row r="1424" spans="1:10" x14ac:dyDescent="0.35">
      <c r="A1424" s="6" t="s">
        <v>18</v>
      </c>
      <c r="B1424" s="6">
        <f t="shared" si="326"/>
        <v>2039</v>
      </c>
      <c r="C1424" s="1" t="s">
        <v>40</v>
      </c>
      <c r="D1424" s="2" t="s">
        <v>2003</v>
      </c>
      <c r="E1424" s="9" t="str">
        <f t="shared" si="323"/>
        <v>PRBNP'!</v>
      </c>
      <c r="F1424" s="5" t="str">
        <f t="shared" si="32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24" s="6" t="s">
        <v>103</v>
      </c>
      <c r="H1424" s="1"/>
      <c r="I1424" s="1"/>
      <c r="J1424" s="1"/>
    </row>
    <row r="1425" spans="1:10" x14ac:dyDescent="0.35">
      <c r="A1425" s="6" t="s">
        <v>18</v>
      </c>
      <c r="B1425" s="6">
        <f t="shared" si="326"/>
        <v>2040</v>
      </c>
      <c r="C1425" s="1" t="s">
        <v>40</v>
      </c>
      <c r="D1425" s="2" t="s">
        <v>2003</v>
      </c>
      <c r="E1425" s="9" t="str">
        <f t="shared" si="323"/>
        <v>PRBNP'!</v>
      </c>
      <c r="F1425" s="5" t="str">
        <f t="shared" si="32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25" s="6" t="s">
        <v>103</v>
      </c>
      <c r="H1425" s="1"/>
      <c r="I1425" s="1"/>
      <c r="J1425" s="1"/>
    </row>
    <row r="1426" spans="1:10" x14ac:dyDescent="0.35">
      <c r="A1426" s="6" t="s">
        <v>18</v>
      </c>
      <c r="B1426" s="6">
        <f>+B1425+1</f>
        <v>2041</v>
      </c>
      <c r="C1426" s="1" t="s">
        <v>40</v>
      </c>
      <c r="D1426" s="2" t="s">
        <v>2003</v>
      </c>
      <c r="E1426" s="9" t="str">
        <f t="shared" si="323"/>
        <v>PRBNP'!</v>
      </c>
      <c r="F1426" s="5" t="str">
        <f t="shared" si="32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26" s="6" t="s">
        <v>103</v>
      </c>
      <c r="H1426" s="1"/>
      <c r="I1426" s="1"/>
      <c r="J1426" s="1"/>
    </row>
    <row r="1427" spans="1:10" x14ac:dyDescent="0.35">
      <c r="A1427" s="6" t="s">
        <v>18</v>
      </c>
      <c r="B1427" s="6">
        <f t="shared" ref="B1427:B1428" si="327">+B1426+1</f>
        <v>2042</v>
      </c>
      <c r="C1427" s="1" t="s">
        <v>40</v>
      </c>
      <c r="D1427" s="2" t="s">
        <v>2003</v>
      </c>
      <c r="E1427" s="9" t="str">
        <f t="shared" si="323"/>
        <v>PRBNP'!</v>
      </c>
      <c r="F1427" s="5" t="str">
        <f t="shared" si="32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27" s="6" t="s">
        <v>103</v>
      </c>
      <c r="H1427" s="1"/>
      <c r="I1427" s="1"/>
      <c r="J1427" s="1"/>
    </row>
    <row r="1428" spans="1:10" x14ac:dyDescent="0.35">
      <c r="A1428" s="6" t="s">
        <v>18</v>
      </c>
      <c r="B1428" s="6">
        <f t="shared" si="327"/>
        <v>2043</v>
      </c>
      <c r="C1428" s="1" t="s">
        <v>40</v>
      </c>
      <c r="D1428" s="2" t="s">
        <v>2003</v>
      </c>
      <c r="E1428" s="9" t="str">
        <f t="shared" si="323"/>
        <v>PRBNP'!</v>
      </c>
      <c r="F1428" s="5" t="str">
        <f t="shared" si="32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28" s="6" t="s">
        <v>103</v>
      </c>
      <c r="H1428" s="1"/>
      <c r="I1428" s="1"/>
      <c r="J1428" s="1"/>
    </row>
    <row r="1429" spans="1:10" x14ac:dyDescent="0.35">
      <c r="A1429" s="6" t="s">
        <v>18</v>
      </c>
      <c r="B1429" s="6">
        <f>+B1428+1</f>
        <v>2044</v>
      </c>
      <c r="C1429" s="1" t="s">
        <v>40</v>
      </c>
      <c r="D1429" s="2" t="s">
        <v>2003</v>
      </c>
      <c r="E1429" s="9" t="str">
        <f t="shared" ref="E1429:E1444" si="328">_xlfn.CONCAT(A1429,"'!")</f>
        <v>PRBNP'!</v>
      </c>
      <c r="F1429" s="5" t="str">
        <f t="shared" ref="F1429:F1444" si="329">_xlfn.CONCAT(D1429," ",E1429)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29" s="6" t="s">
        <v>103</v>
      </c>
      <c r="H1429" s="1"/>
      <c r="I1429" s="1"/>
      <c r="J1429" s="1"/>
    </row>
    <row r="1430" spans="1:10" x14ac:dyDescent="0.35">
      <c r="A1430" s="6" t="s">
        <v>18</v>
      </c>
      <c r="B1430" s="6">
        <f t="shared" ref="B1430:B1444" si="330">+B1429+1</f>
        <v>2045</v>
      </c>
      <c r="C1430" s="1" t="s">
        <v>40</v>
      </c>
      <c r="D1430" s="2" t="s">
        <v>2003</v>
      </c>
      <c r="E1430" s="9" t="str">
        <f t="shared" si="328"/>
        <v>PRBNP'!</v>
      </c>
      <c r="F1430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30" s="6" t="s">
        <v>103</v>
      </c>
      <c r="H1430" s="1"/>
      <c r="I1430" s="1"/>
      <c r="J1430" s="1"/>
    </row>
    <row r="1431" spans="1:10" x14ac:dyDescent="0.35">
      <c r="A1431" s="6" t="s">
        <v>18</v>
      </c>
      <c r="B1431" s="6">
        <f t="shared" si="330"/>
        <v>2046</v>
      </c>
      <c r="C1431" s="1" t="s">
        <v>40</v>
      </c>
      <c r="D1431" s="2" t="s">
        <v>2003</v>
      </c>
      <c r="E1431" s="9" t="str">
        <f t="shared" si="328"/>
        <v>PRBNP'!</v>
      </c>
      <c r="F1431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31" s="6" t="s">
        <v>103</v>
      </c>
      <c r="H1431" s="1"/>
      <c r="I1431" s="1"/>
      <c r="J1431" s="1"/>
    </row>
    <row r="1432" spans="1:10" x14ac:dyDescent="0.35">
      <c r="A1432" s="6" t="s">
        <v>18</v>
      </c>
      <c r="B1432" s="6">
        <f t="shared" si="330"/>
        <v>2047</v>
      </c>
      <c r="C1432" s="1" t="s">
        <v>40</v>
      </c>
      <c r="D1432" s="2" t="s">
        <v>2003</v>
      </c>
      <c r="E1432" s="9" t="str">
        <f t="shared" si="328"/>
        <v>PRBNP'!</v>
      </c>
      <c r="F1432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32" s="6" t="s">
        <v>103</v>
      </c>
      <c r="H1432" s="1"/>
      <c r="I1432" s="1"/>
      <c r="J1432" s="1"/>
    </row>
    <row r="1433" spans="1:10" x14ac:dyDescent="0.35">
      <c r="A1433" s="6" t="s">
        <v>18</v>
      </c>
      <c r="B1433" s="6">
        <f t="shared" si="330"/>
        <v>2048</v>
      </c>
      <c r="C1433" s="1" t="s">
        <v>40</v>
      </c>
      <c r="D1433" s="2" t="s">
        <v>2003</v>
      </c>
      <c r="E1433" s="9" t="str">
        <f t="shared" si="328"/>
        <v>PRBNP'!</v>
      </c>
      <c r="F1433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33" s="6" t="s">
        <v>103</v>
      </c>
      <c r="H1433" s="1"/>
      <c r="I1433" s="1"/>
      <c r="J1433" s="1"/>
    </row>
    <row r="1434" spans="1:10" x14ac:dyDescent="0.35">
      <c r="A1434" s="6" t="s">
        <v>18</v>
      </c>
      <c r="B1434" s="6">
        <f t="shared" si="330"/>
        <v>2049</v>
      </c>
      <c r="C1434" s="1" t="s">
        <v>40</v>
      </c>
      <c r="D1434" s="2" t="s">
        <v>2003</v>
      </c>
      <c r="E1434" s="9" t="str">
        <f t="shared" si="328"/>
        <v>PRBNP'!</v>
      </c>
      <c r="F1434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34" s="6" t="s">
        <v>103</v>
      </c>
      <c r="H1434" s="1"/>
      <c r="I1434" s="1"/>
      <c r="J1434" s="1"/>
    </row>
    <row r="1435" spans="1:10" x14ac:dyDescent="0.35">
      <c r="A1435" s="6" t="s">
        <v>18</v>
      </c>
      <c r="B1435" s="6">
        <f t="shared" si="330"/>
        <v>2050</v>
      </c>
      <c r="C1435" s="1" t="s">
        <v>40</v>
      </c>
      <c r="D1435" s="2" t="s">
        <v>2003</v>
      </c>
      <c r="E1435" s="9" t="str">
        <f t="shared" si="328"/>
        <v>PRBNP'!</v>
      </c>
      <c r="F1435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35" s="6" t="s">
        <v>103</v>
      </c>
      <c r="H1435" s="1"/>
      <c r="I1435" s="1"/>
      <c r="J1435" s="1"/>
    </row>
    <row r="1436" spans="1:10" x14ac:dyDescent="0.35">
      <c r="A1436" s="6" t="s">
        <v>18</v>
      </c>
      <c r="B1436" s="6">
        <f t="shared" si="330"/>
        <v>2051</v>
      </c>
      <c r="C1436" s="1" t="s">
        <v>40</v>
      </c>
      <c r="D1436" s="2" t="s">
        <v>2003</v>
      </c>
      <c r="E1436" s="9" t="str">
        <f t="shared" si="328"/>
        <v>PRBNP'!</v>
      </c>
      <c r="F1436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36" s="6" t="s">
        <v>103</v>
      </c>
      <c r="H1436" s="1"/>
      <c r="I1436" s="1"/>
      <c r="J1436" s="1"/>
    </row>
    <row r="1437" spans="1:10" x14ac:dyDescent="0.35">
      <c r="A1437" s="6" t="s">
        <v>18</v>
      </c>
      <c r="B1437" s="6">
        <f t="shared" si="330"/>
        <v>2052</v>
      </c>
      <c r="C1437" s="1" t="s">
        <v>40</v>
      </c>
      <c r="D1437" s="2" t="s">
        <v>2003</v>
      </c>
      <c r="E1437" s="9" t="str">
        <f t="shared" si="328"/>
        <v>PRBNP'!</v>
      </c>
      <c r="F1437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37" s="6" t="s">
        <v>103</v>
      </c>
      <c r="H1437" s="1"/>
      <c r="I1437" s="1"/>
      <c r="J1437" s="1"/>
    </row>
    <row r="1438" spans="1:10" x14ac:dyDescent="0.35">
      <c r="A1438" s="6" t="s">
        <v>18</v>
      </c>
      <c r="B1438" s="6">
        <f t="shared" si="330"/>
        <v>2053</v>
      </c>
      <c r="C1438" s="1" t="s">
        <v>40</v>
      </c>
      <c r="D1438" s="2" t="s">
        <v>2003</v>
      </c>
      <c r="E1438" s="9" t="str">
        <f t="shared" si="328"/>
        <v>PRBNP'!</v>
      </c>
      <c r="F1438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38" s="6" t="s">
        <v>103</v>
      </c>
      <c r="H1438" s="1"/>
      <c r="I1438" s="1"/>
      <c r="J1438" s="1"/>
    </row>
    <row r="1439" spans="1:10" x14ac:dyDescent="0.35">
      <c r="A1439" s="6" t="s">
        <v>18</v>
      </c>
      <c r="B1439" s="6">
        <f t="shared" si="330"/>
        <v>2054</v>
      </c>
      <c r="C1439" s="1" t="s">
        <v>40</v>
      </c>
      <c r="D1439" s="2" t="s">
        <v>2003</v>
      </c>
      <c r="E1439" s="9" t="str">
        <f t="shared" si="328"/>
        <v>PRBNP'!</v>
      </c>
      <c r="F1439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39" s="6" t="s">
        <v>103</v>
      </c>
      <c r="H1439" s="1"/>
      <c r="I1439" s="1"/>
      <c r="J1439" s="1"/>
    </row>
    <row r="1440" spans="1:10" x14ac:dyDescent="0.35">
      <c r="A1440" s="6" t="s">
        <v>18</v>
      </c>
      <c r="B1440" s="6">
        <f t="shared" si="330"/>
        <v>2055</v>
      </c>
      <c r="C1440" s="1" t="s">
        <v>40</v>
      </c>
      <c r="D1440" s="2" t="s">
        <v>2003</v>
      </c>
      <c r="E1440" s="9" t="str">
        <f t="shared" si="328"/>
        <v>PRBNP'!</v>
      </c>
      <c r="F1440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40" s="6" t="s">
        <v>103</v>
      </c>
      <c r="H1440" s="1"/>
      <c r="I1440" s="1"/>
      <c r="J1440" s="1"/>
    </row>
    <row r="1441" spans="1:10" x14ac:dyDescent="0.35">
      <c r="A1441" s="6" t="s">
        <v>18</v>
      </c>
      <c r="B1441" s="6">
        <f t="shared" si="330"/>
        <v>2056</v>
      </c>
      <c r="C1441" s="1" t="s">
        <v>40</v>
      </c>
      <c r="D1441" s="2" t="s">
        <v>2003</v>
      </c>
      <c r="E1441" s="9" t="str">
        <f t="shared" si="328"/>
        <v>PRBNP'!</v>
      </c>
      <c r="F1441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41" s="6" t="s">
        <v>103</v>
      </c>
      <c r="H1441" s="1"/>
      <c r="I1441" s="1"/>
      <c r="J1441" s="1"/>
    </row>
    <row r="1442" spans="1:10" x14ac:dyDescent="0.35">
      <c r="A1442" s="6" t="s">
        <v>18</v>
      </c>
      <c r="B1442" s="6">
        <f t="shared" si="330"/>
        <v>2057</v>
      </c>
      <c r="C1442" s="1" t="s">
        <v>40</v>
      </c>
      <c r="D1442" s="2" t="s">
        <v>2003</v>
      </c>
      <c r="E1442" s="9" t="str">
        <f t="shared" si="328"/>
        <v>PRBNP'!</v>
      </c>
      <c r="F1442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42" s="6" t="s">
        <v>103</v>
      </c>
      <c r="H1442" s="1"/>
      <c r="I1442" s="1"/>
      <c r="J1442" s="1"/>
    </row>
    <row r="1443" spans="1:10" x14ac:dyDescent="0.35">
      <c r="A1443" s="6" t="s">
        <v>18</v>
      </c>
      <c r="B1443" s="6">
        <f t="shared" si="330"/>
        <v>2058</v>
      </c>
      <c r="C1443" s="1" t="s">
        <v>40</v>
      </c>
      <c r="D1443" s="2" t="s">
        <v>2003</v>
      </c>
      <c r="E1443" s="9" t="str">
        <f t="shared" si="328"/>
        <v>PRBNP'!</v>
      </c>
      <c r="F1443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43" s="6" t="s">
        <v>103</v>
      </c>
      <c r="H1443" s="1"/>
      <c r="I1443" s="1"/>
      <c r="J1443" s="1"/>
    </row>
    <row r="1444" spans="1:10" x14ac:dyDescent="0.35">
      <c r="A1444" s="6" t="s">
        <v>18</v>
      </c>
      <c r="B1444" s="6">
        <f t="shared" si="330"/>
        <v>2059</v>
      </c>
      <c r="C1444" s="1" t="s">
        <v>40</v>
      </c>
      <c r="D1444" s="2" t="s">
        <v>2003</v>
      </c>
      <c r="E1444" s="9" t="str">
        <f t="shared" si="328"/>
        <v>PRBNP'!</v>
      </c>
      <c r="F1444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44" s="6" t="s">
        <v>103</v>
      </c>
      <c r="H1444" s="1"/>
      <c r="I1444" s="1"/>
      <c r="J1444" s="1"/>
    </row>
    <row r="1445" spans="1:10" x14ac:dyDescent="0.35">
      <c r="A1445" s="6" t="s">
        <v>26</v>
      </c>
      <c r="B1445" s="6"/>
      <c r="C1445" s="1" t="s">
        <v>40</v>
      </c>
      <c r="D1445" s="2"/>
      <c r="E1445" s="9"/>
      <c r="F1445" s="2"/>
      <c r="G1445" s="6"/>
      <c r="H1445" s="1"/>
      <c r="I1445" s="1"/>
      <c r="J1445" s="1"/>
    </row>
    <row r="1446" spans="1:10" x14ac:dyDescent="0.35">
      <c r="A1446" s="6" t="s">
        <v>19</v>
      </c>
      <c r="B1446" s="6">
        <v>2023</v>
      </c>
      <c r="C1446" s="1" t="s">
        <v>40</v>
      </c>
      <c r="D1446" s="2" t="s">
        <v>2003</v>
      </c>
      <c r="E1446" s="9" t="str">
        <f t="shared" ref="E1446:E1466" si="331">_xlfn.CONCAT(A1446,"'!")</f>
        <v>PRBND'!</v>
      </c>
      <c r="F1446" s="5" t="str">
        <f t="shared" ref="F1446:F1537" si="332">_xlfn.CONCAT(D1446," ",E1446)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46" s="6" t="s">
        <v>103</v>
      </c>
      <c r="H1446" s="1"/>
      <c r="I1446" s="1"/>
      <c r="J1446" s="1"/>
    </row>
    <row r="1447" spans="1:10" x14ac:dyDescent="0.35">
      <c r="A1447" s="6" t="s">
        <v>19</v>
      </c>
      <c r="B1447" s="6">
        <f>+B1446+1</f>
        <v>2024</v>
      </c>
      <c r="C1447" s="1" t="s">
        <v>40</v>
      </c>
      <c r="D1447" s="2" t="s">
        <v>2003</v>
      </c>
      <c r="E1447" s="9" t="str">
        <f t="shared" si="331"/>
        <v>PRBND'!</v>
      </c>
      <c r="F1447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47" s="6" t="s">
        <v>103</v>
      </c>
      <c r="H1447" s="1"/>
      <c r="I1447" s="1"/>
      <c r="J1447" s="1"/>
    </row>
    <row r="1448" spans="1:10" x14ac:dyDescent="0.35">
      <c r="A1448" s="6" t="s">
        <v>19</v>
      </c>
      <c r="B1448" s="6">
        <f t="shared" ref="B1448:B1459" si="333">+B1447+1</f>
        <v>2025</v>
      </c>
      <c r="C1448" s="1" t="s">
        <v>40</v>
      </c>
      <c r="D1448" s="2" t="s">
        <v>2003</v>
      </c>
      <c r="E1448" s="9" t="str">
        <f t="shared" si="331"/>
        <v>PRBND'!</v>
      </c>
      <c r="F1448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48" s="6" t="s">
        <v>103</v>
      </c>
      <c r="H1448" s="1"/>
      <c r="I1448" s="1"/>
      <c r="J1448" s="1"/>
    </row>
    <row r="1449" spans="1:10" x14ac:dyDescent="0.35">
      <c r="A1449" s="6" t="s">
        <v>19</v>
      </c>
      <c r="B1449" s="6">
        <f t="shared" si="333"/>
        <v>2026</v>
      </c>
      <c r="C1449" s="1" t="s">
        <v>40</v>
      </c>
      <c r="D1449" s="2" t="s">
        <v>2003</v>
      </c>
      <c r="E1449" s="9" t="str">
        <f t="shared" si="331"/>
        <v>PRBND'!</v>
      </c>
      <c r="F1449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49" s="6" t="s">
        <v>103</v>
      </c>
      <c r="H1449" s="1"/>
      <c r="I1449" s="1"/>
      <c r="J1449" s="1"/>
    </row>
    <row r="1450" spans="1:10" x14ac:dyDescent="0.35">
      <c r="A1450" s="6" t="s">
        <v>19</v>
      </c>
      <c r="B1450" s="6">
        <f t="shared" si="333"/>
        <v>2027</v>
      </c>
      <c r="C1450" s="1" t="s">
        <v>40</v>
      </c>
      <c r="D1450" s="2" t="s">
        <v>2003</v>
      </c>
      <c r="E1450" s="9" t="str">
        <f t="shared" si="331"/>
        <v>PRBND'!</v>
      </c>
      <c r="F1450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50" s="6" t="s">
        <v>103</v>
      </c>
      <c r="H1450" s="1"/>
      <c r="I1450" s="1"/>
      <c r="J1450" s="1"/>
    </row>
    <row r="1451" spans="1:10" x14ac:dyDescent="0.35">
      <c r="A1451" s="6" t="s">
        <v>19</v>
      </c>
      <c r="B1451" s="6">
        <f t="shared" si="333"/>
        <v>2028</v>
      </c>
      <c r="C1451" s="1" t="s">
        <v>40</v>
      </c>
      <c r="D1451" s="2" t="s">
        <v>2003</v>
      </c>
      <c r="E1451" s="9" t="str">
        <f t="shared" si="331"/>
        <v>PRBND'!</v>
      </c>
      <c r="F1451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51" s="6" t="s">
        <v>103</v>
      </c>
      <c r="H1451" s="1"/>
      <c r="I1451" s="1"/>
      <c r="J1451" s="1"/>
    </row>
    <row r="1452" spans="1:10" x14ac:dyDescent="0.35">
      <c r="A1452" s="6" t="s">
        <v>19</v>
      </c>
      <c r="B1452" s="6">
        <f t="shared" si="333"/>
        <v>2029</v>
      </c>
      <c r="C1452" s="1" t="s">
        <v>40</v>
      </c>
      <c r="D1452" s="2" t="s">
        <v>2003</v>
      </c>
      <c r="E1452" s="9" t="str">
        <f t="shared" si="331"/>
        <v>PRBND'!</v>
      </c>
      <c r="F1452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52" s="6" t="s">
        <v>103</v>
      </c>
      <c r="H1452" s="1"/>
      <c r="I1452" s="1"/>
      <c r="J1452" s="1"/>
    </row>
    <row r="1453" spans="1:10" x14ac:dyDescent="0.35">
      <c r="A1453" s="6" t="s">
        <v>19</v>
      </c>
      <c r="B1453" s="6">
        <f t="shared" si="333"/>
        <v>2030</v>
      </c>
      <c r="C1453" s="1" t="s">
        <v>40</v>
      </c>
      <c r="D1453" s="2" t="s">
        <v>2003</v>
      </c>
      <c r="E1453" s="9" t="str">
        <f t="shared" si="331"/>
        <v>PRBND'!</v>
      </c>
      <c r="F1453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53" s="6" t="s">
        <v>103</v>
      </c>
      <c r="H1453" s="1"/>
      <c r="I1453" s="1"/>
      <c r="J1453" s="1"/>
    </row>
    <row r="1454" spans="1:10" x14ac:dyDescent="0.35">
      <c r="A1454" s="6" t="s">
        <v>19</v>
      </c>
      <c r="B1454" s="6">
        <f t="shared" si="333"/>
        <v>2031</v>
      </c>
      <c r="C1454" s="1" t="s">
        <v>40</v>
      </c>
      <c r="D1454" s="2" t="s">
        <v>2003</v>
      </c>
      <c r="E1454" s="9" t="str">
        <f t="shared" si="331"/>
        <v>PRBND'!</v>
      </c>
      <c r="F1454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54" s="6" t="s">
        <v>103</v>
      </c>
      <c r="H1454" s="1"/>
      <c r="I1454" s="1"/>
      <c r="J1454" s="1"/>
    </row>
    <row r="1455" spans="1:10" x14ac:dyDescent="0.35">
      <c r="A1455" s="6" t="s">
        <v>19</v>
      </c>
      <c r="B1455" s="6">
        <f t="shared" si="333"/>
        <v>2032</v>
      </c>
      <c r="C1455" s="1" t="s">
        <v>40</v>
      </c>
      <c r="D1455" s="2" t="s">
        <v>2003</v>
      </c>
      <c r="E1455" s="9" t="str">
        <f t="shared" si="331"/>
        <v>PRBND'!</v>
      </c>
      <c r="F1455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55" s="6" t="s">
        <v>103</v>
      </c>
      <c r="H1455" s="1"/>
      <c r="I1455" s="1"/>
      <c r="J1455" s="1"/>
    </row>
    <row r="1456" spans="1:10" x14ac:dyDescent="0.35">
      <c r="A1456" s="6" t="s">
        <v>19</v>
      </c>
      <c r="B1456" s="6">
        <f t="shared" si="333"/>
        <v>2033</v>
      </c>
      <c r="C1456" s="1" t="s">
        <v>40</v>
      </c>
      <c r="D1456" s="2" t="s">
        <v>2003</v>
      </c>
      <c r="E1456" s="9" t="str">
        <f t="shared" si="331"/>
        <v>PRBND'!</v>
      </c>
      <c r="F1456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56" s="6" t="s">
        <v>103</v>
      </c>
      <c r="H1456" s="1"/>
      <c r="I1456" s="1"/>
      <c r="J1456" s="1"/>
    </row>
    <row r="1457" spans="1:10" x14ac:dyDescent="0.35">
      <c r="A1457" s="6" t="s">
        <v>19</v>
      </c>
      <c r="B1457" s="6">
        <f t="shared" si="333"/>
        <v>2034</v>
      </c>
      <c r="C1457" s="1" t="s">
        <v>40</v>
      </c>
      <c r="D1457" s="2" t="s">
        <v>2003</v>
      </c>
      <c r="E1457" s="9" t="str">
        <f t="shared" si="331"/>
        <v>PRBND'!</v>
      </c>
      <c r="F1457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57" s="6" t="s">
        <v>103</v>
      </c>
      <c r="H1457" s="1"/>
      <c r="I1457" s="1"/>
      <c r="J1457" s="1"/>
    </row>
    <row r="1458" spans="1:10" x14ac:dyDescent="0.35">
      <c r="A1458" s="6" t="s">
        <v>19</v>
      </c>
      <c r="B1458" s="6">
        <f t="shared" si="333"/>
        <v>2035</v>
      </c>
      <c r="C1458" s="1" t="s">
        <v>40</v>
      </c>
      <c r="D1458" s="2" t="s">
        <v>2003</v>
      </c>
      <c r="E1458" s="9" t="str">
        <f t="shared" si="331"/>
        <v>PRBND'!</v>
      </c>
      <c r="F1458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58" s="6" t="s">
        <v>103</v>
      </c>
      <c r="H1458" s="1"/>
      <c r="I1458" s="1"/>
      <c r="J1458" s="1"/>
    </row>
    <row r="1459" spans="1:10" x14ac:dyDescent="0.35">
      <c r="A1459" s="6" t="s">
        <v>19</v>
      </c>
      <c r="B1459" s="6">
        <f t="shared" si="333"/>
        <v>2036</v>
      </c>
      <c r="C1459" s="1" t="s">
        <v>40</v>
      </c>
      <c r="D1459" s="2" t="s">
        <v>2003</v>
      </c>
      <c r="E1459" s="9" t="str">
        <f t="shared" si="331"/>
        <v>PRBND'!</v>
      </c>
      <c r="F1459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59" s="6" t="s">
        <v>103</v>
      </c>
      <c r="H1459" s="1"/>
      <c r="I1459" s="1"/>
      <c r="J1459" s="1"/>
    </row>
    <row r="1460" spans="1:10" x14ac:dyDescent="0.35">
      <c r="A1460" s="6" t="s">
        <v>19</v>
      </c>
      <c r="B1460" s="6">
        <f>+B1459+1</f>
        <v>2037</v>
      </c>
      <c r="C1460" s="1" t="s">
        <v>40</v>
      </c>
      <c r="D1460" s="2" t="s">
        <v>2003</v>
      </c>
      <c r="E1460" s="9" t="str">
        <f t="shared" si="331"/>
        <v>PRBND'!</v>
      </c>
      <c r="F1460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60" s="6" t="s">
        <v>103</v>
      </c>
      <c r="H1460" s="1"/>
      <c r="I1460" s="1"/>
      <c r="J1460" s="1"/>
    </row>
    <row r="1461" spans="1:10" x14ac:dyDescent="0.35">
      <c r="A1461" s="6" t="s">
        <v>19</v>
      </c>
      <c r="B1461" s="6">
        <f t="shared" ref="B1461:B1463" si="334">+B1460+1</f>
        <v>2038</v>
      </c>
      <c r="C1461" s="1" t="s">
        <v>40</v>
      </c>
      <c r="D1461" s="2" t="s">
        <v>2003</v>
      </c>
      <c r="E1461" s="9" t="str">
        <f t="shared" si="331"/>
        <v>PRBND'!</v>
      </c>
      <c r="F1461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61" s="6" t="s">
        <v>103</v>
      </c>
      <c r="H1461" s="1"/>
      <c r="I1461" s="1"/>
      <c r="J1461" s="1"/>
    </row>
    <row r="1462" spans="1:10" x14ac:dyDescent="0.35">
      <c r="A1462" s="6" t="s">
        <v>19</v>
      </c>
      <c r="B1462" s="6">
        <f t="shared" si="334"/>
        <v>2039</v>
      </c>
      <c r="C1462" s="1" t="s">
        <v>40</v>
      </c>
      <c r="D1462" s="2" t="s">
        <v>2003</v>
      </c>
      <c r="E1462" s="9" t="str">
        <f t="shared" si="331"/>
        <v>PRBND'!</v>
      </c>
      <c r="F1462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62" s="6" t="s">
        <v>103</v>
      </c>
      <c r="H1462" s="1"/>
      <c r="I1462" s="1"/>
      <c r="J1462" s="1"/>
    </row>
    <row r="1463" spans="1:10" x14ac:dyDescent="0.35">
      <c r="A1463" s="6" t="s">
        <v>19</v>
      </c>
      <c r="B1463" s="6">
        <f t="shared" si="334"/>
        <v>2040</v>
      </c>
      <c r="C1463" s="1" t="s">
        <v>40</v>
      </c>
      <c r="D1463" s="2" t="s">
        <v>2003</v>
      </c>
      <c r="E1463" s="9" t="str">
        <f t="shared" si="331"/>
        <v>PRBND'!</v>
      </c>
      <c r="F1463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63" s="6" t="s">
        <v>103</v>
      </c>
      <c r="H1463" s="1"/>
      <c r="I1463" s="1"/>
      <c r="J1463" s="1"/>
    </row>
    <row r="1464" spans="1:10" x14ac:dyDescent="0.35">
      <c r="A1464" s="6" t="s">
        <v>19</v>
      </c>
      <c r="B1464" s="6">
        <f>+B1463+1</f>
        <v>2041</v>
      </c>
      <c r="C1464" s="1" t="s">
        <v>40</v>
      </c>
      <c r="D1464" s="2" t="s">
        <v>2003</v>
      </c>
      <c r="E1464" s="9" t="str">
        <f t="shared" si="331"/>
        <v>PRBND'!</v>
      </c>
      <c r="F1464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64" s="6" t="s">
        <v>103</v>
      </c>
      <c r="H1464" s="1"/>
      <c r="I1464" s="1"/>
      <c r="J1464" s="1"/>
    </row>
    <row r="1465" spans="1:10" x14ac:dyDescent="0.35">
      <c r="A1465" s="6" t="s">
        <v>19</v>
      </c>
      <c r="B1465" s="6">
        <f t="shared" ref="B1465:B1466" si="335">+B1464+1</f>
        <v>2042</v>
      </c>
      <c r="C1465" s="1" t="s">
        <v>40</v>
      </c>
      <c r="D1465" s="2" t="s">
        <v>2003</v>
      </c>
      <c r="E1465" s="9" t="str">
        <f t="shared" si="331"/>
        <v>PRBND'!</v>
      </c>
      <c r="F1465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65" s="6" t="s">
        <v>103</v>
      </c>
      <c r="H1465" s="1"/>
      <c r="I1465" s="1"/>
      <c r="J1465" s="1"/>
    </row>
    <row r="1466" spans="1:10" x14ac:dyDescent="0.35">
      <c r="A1466" s="6" t="s">
        <v>19</v>
      </c>
      <c r="B1466" s="6">
        <f t="shared" si="335"/>
        <v>2043</v>
      </c>
      <c r="C1466" s="1" t="s">
        <v>40</v>
      </c>
      <c r="D1466" s="2" t="s">
        <v>2003</v>
      </c>
      <c r="E1466" s="9" t="str">
        <f t="shared" si="331"/>
        <v>PRBND'!</v>
      </c>
      <c r="F1466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66" s="6" t="s">
        <v>103</v>
      </c>
      <c r="H1466" s="1"/>
      <c r="I1466" s="1"/>
      <c r="J1466" s="1"/>
    </row>
    <row r="1467" spans="1:10" x14ac:dyDescent="0.35">
      <c r="A1467" s="6" t="s">
        <v>19</v>
      </c>
      <c r="B1467" s="6">
        <f>+B1466+1</f>
        <v>2044</v>
      </c>
      <c r="C1467" s="1" t="s">
        <v>40</v>
      </c>
      <c r="D1467" s="2" t="s">
        <v>2003</v>
      </c>
      <c r="E1467" s="9" t="str">
        <f t="shared" ref="E1467:E1482" si="336">_xlfn.CONCAT(A1467,"'!")</f>
        <v>PRBND'!</v>
      </c>
      <c r="F1467" s="5" t="str">
        <f t="shared" ref="F1467:F1482" si="337">_xlfn.CONCAT(D1467," ",E1467)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67" s="6" t="s">
        <v>103</v>
      </c>
      <c r="H1467" s="1"/>
      <c r="I1467" s="1"/>
      <c r="J1467" s="1"/>
    </row>
    <row r="1468" spans="1:10" x14ac:dyDescent="0.35">
      <c r="A1468" s="6" t="s">
        <v>19</v>
      </c>
      <c r="B1468" s="6">
        <f t="shared" ref="B1468:B1482" si="338">+B1467+1</f>
        <v>2045</v>
      </c>
      <c r="C1468" s="1" t="s">
        <v>40</v>
      </c>
      <c r="D1468" s="2" t="s">
        <v>2003</v>
      </c>
      <c r="E1468" s="9" t="str">
        <f t="shared" si="336"/>
        <v>PRBND'!</v>
      </c>
      <c r="F1468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68" s="6" t="s">
        <v>103</v>
      </c>
      <c r="H1468" s="1"/>
      <c r="I1468" s="1"/>
      <c r="J1468" s="1"/>
    </row>
    <row r="1469" spans="1:10" x14ac:dyDescent="0.35">
      <c r="A1469" s="6" t="s">
        <v>19</v>
      </c>
      <c r="B1469" s="6">
        <f t="shared" si="338"/>
        <v>2046</v>
      </c>
      <c r="C1469" s="1" t="s">
        <v>40</v>
      </c>
      <c r="D1469" s="2" t="s">
        <v>2003</v>
      </c>
      <c r="E1469" s="9" t="str">
        <f t="shared" si="336"/>
        <v>PRBND'!</v>
      </c>
      <c r="F1469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69" s="6" t="s">
        <v>103</v>
      </c>
      <c r="H1469" s="1"/>
      <c r="I1469" s="1"/>
      <c r="J1469" s="1"/>
    </row>
    <row r="1470" spans="1:10" x14ac:dyDescent="0.35">
      <c r="A1470" s="6" t="s">
        <v>19</v>
      </c>
      <c r="B1470" s="6">
        <f t="shared" si="338"/>
        <v>2047</v>
      </c>
      <c r="C1470" s="1" t="s">
        <v>40</v>
      </c>
      <c r="D1470" s="2" t="s">
        <v>2003</v>
      </c>
      <c r="E1470" s="9" t="str">
        <f t="shared" si="336"/>
        <v>PRBND'!</v>
      </c>
      <c r="F1470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70" s="6" t="s">
        <v>103</v>
      </c>
      <c r="H1470" s="1"/>
      <c r="I1470" s="1"/>
      <c r="J1470" s="1"/>
    </row>
    <row r="1471" spans="1:10" x14ac:dyDescent="0.35">
      <c r="A1471" s="6" t="s">
        <v>19</v>
      </c>
      <c r="B1471" s="6">
        <f t="shared" si="338"/>
        <v>2048</v>
      </c>
      <c r="C1471" s="1" t="s">
        <v>40</v>
      </c>
      <c r="D1471" s="2" t="s">
        <v>2003</v>
      </c>
      <c r="E1471" s="9" t="str">
        <f t="shared" si="336"/>
        <v>PRBND'!</v>
      </c>
      <c r="F1471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71" s="6" t="s">
        <v>103</v>
      </c>
      <c r="H1471" s="1"/>
      <c r="I1471" s="1"/>
      <c r="J1471" s="1"/>
    </row>
    <row r="1472" spans="1:10" x14ac:dyDescent="0.35">
      <c r="A1472" s="6" t="s">
        <v>19</v>
      </c>
      <c r="B1472" s="6">
        <f t="shared" si="338"/>
        <v>2049</v>
      </c>
      <c r="C1472" s="1" t="s">
        <v>40</v>
      </c>
      <c r="D1472" s="2" t="s">
        <v>2003</v>
      </c>
      <c r="E1472" s="9" t="str">
        <f t="shared" si="336"/>
        <v>PRBND'!</v>
      </c>
      <c r="F1472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72" s="6" t="s">
        <v>103</v>
      </c>
      <c r="H1472" s="1"/>
      <c r="I1472" s="1"/>
      <c r="J1472" s="1"/>
    </row>
    <row r="1473" spans="1:10" x14ac:dyDescent="0.35">
      <c r="A1473" s="6" t="s">
        <v>19</v>
      </c>
      <c r="B1473" s="6">
        <f t="shared" si="338"/>
        <v>2050</v>
      </c>
      <c r="C1473" s="1" t="s">
        <v>40</v>
      </c>
      <c r="D1473" s="2" t="s">
        <v>2003</v>
      </c>
      <c r="E1473" s="9" t="str">
        <f t="shared" si="336"/>
        <v>PRBND'!</v>
      </c>
      <c r="F1473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73" s="6" t="s">
        <v>103</v>
      </c>
      <c r="H1473" s="1"/>
      <c r="I1473" s="1"/>
      <c r="J1473" s="1"/>
    </row>
    <row r="1474" spans="1:10" x14ac:dyDescent="0.35">
      <c r="A1474" s="6" t="s">
        <v>19</v>
      </c>
      <c r="B1474" s="6">
        <f t="shared" si="338"/>
        <v>2051</v>
      </c>
      <c r="C1474" s="1" t="s">
        <v>40</v>
      </c>
      <c r="D1474" s="2" t="s">
        <v>2003</v>
      </c>
      <c r="E1474" s="9" t="str">
        <f t="shared" si="336"/>
        <v>PRBND'!</v>
      </c>
      <c r="F1474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74" s="6" t="s">
        <v>103</v>
      </c>
      <c r="H1474" s="1"/>
      <c r="I1474" s="1"/>
      <c r="J1474" s="1"/>
    </row>
    <row r="1475" spans="1:10" x14ac:dyDescent="0.35">
      <c r="A1475" s="6" t="s">
        <v>19</v>
      </c>
      <c r="B1475" s="6">
        <f t="shared" si="338"/>
        <v>2052</v>
      </c>
      <c r="C1475" s="1" t="s">
        <v>40</v>
      </c>
      <c r="D1475" s="2" t="s">
        <v>2003</v>
      </c>
      <c r="E1475" s="9" t="str">
        <f t="shared" si="336"/>
        <v>PRBND'!</v>
      </c>
      <c r="F1475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75" s="6" t="s">
        <v>103</v>
      </c>
      <c r="H1475" s="1"/>
      <c r="I1475" s="1"/>
      <c r="J1475" s="1"/>
    </row>
    <row r="1476" spans="1:10" x14ac:dyDescent="0.35">
      <c r="A1476" s="6" t="s">
        <v>19</v>
      </c>
      <c r="B1476" s="6">
        <f t="shared" si="338"/>
        <v>2053</v>
      </c>
      <c r="C1476" s="1" t="s">
        <v>40</v>
      </c>
      <c r="D1476" s="2" t="s">
        <v>2003</v>
      </c>
      <c r="E1476" s="9" t="str">
        <f t="shared" si="336"/>
        <v>PRBND'!</v>
      </c>
      <c r="F1476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76" s="6" t="s">
        <v>103</v>
      </c>
      <c r="H1476" s="1"/>
      <c r="I1476" s="1"/>
      <c r="J1476" s="1"/>
    </row>
    <row r="1477" spans="1:10" x14ac:dyDescent="0.35">
      <c r="A1477" s="6" t="s">
        <v>19</v>
      </c>
      <c r="B1477" s="6">
        <f t="shared" si="338"/>
        <v>2054</v>
      </c>
      <c r="C1477" s="1" t="s">
        <v>40</v>
      </c>
      <c r="D1477" s="2" t="s">
        <v>2003</v>
      </c>
      <c r="E1477" s="9" t="str">
        <f t="shared" si="336"/>
        <v>PRBND'!</v>
      </c>
      <c r="F1477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77" s="6" t="s">
        <v>103</v>
      </c>
      <c r="H1477" s="1"/>
      <c r="I1477" s="1"/>
      <c r="J1477" s="1"/>
    </row>
    <row r="1478" spans="1:10" x14ac:dyDescent="0.35">
      <c r="A1478" s="6" t="s">
        <v>19</v>
      </c>
      <c r="B1478" s="6">
        <f t="shared" si="338"/>
        <v>2055</v>
      </c>
      <c r="C1478" s="1" t="s">
        <v>40</v>
      </c>
      <c r="D1478" s="2" t="s">
        <v>2003</v>
      </c>
      <c r="E1478" s="9" t="str">
        <f t="shared" si="336"/>
        <v>PRBND'!</v>
      </c>
      <c r="F1478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78" s="6" t="s">
        <v>103</v>
      </c>
      <c r="H1478" s="1"/>
      <c r="I1478" s="1"/>
      <c r="J1478" s="1"/>
    </row>
    <row r="1479" spans="1:10" x14ac:dyDescent="0.35">
      <c r="A1479" s="6" t="s">
        <v>19</v>
      </c>
      <c r="B1479" s="6">
        <f t="shared" si="338"/>
        <v>2056</v>
      </c>
      <c r="C1479" s="1" t="s">
        <v>40</v>
      </c>
      <c r="D1479" s="2" t="s">
        <v>2003</v>
      </c>
      <c r="E1479" s="9" t="str">
        <f t="shared" si="336"/>
        <v>PRBND'!</v>
      </c>
      <c r="F1479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79" s="6" t="s">
        <v>103</v>
      </c>
      <c r="H1479" s="1"/>
      <c r="I1479" s="1"/>
      <c r="J1479" s="1"/>
    </row>
    <row r="1480" spans="1:10" x14ac:dyDescent="0.35">
      <c r="A1480" s="6" t="s">
        <v>19</v>
      </c>
      <c r="B1480" s="6">
        <f t="shared" si="338"/>
        <v>2057</v>
      </c>
      <c r="C1480" s="1" t="s">
        <v>40</v>
      </c>
      <c r="D1480" s="2" t="s">
        <v>2003</v>
      </c>
      <c r="E1480" s="9" t="str">
        <f t="shared" si="336"/>
        <v>PRBND'!</v>
      </c>
      <c r="F1480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80" s="6" t="s">
        <v>103</v>
      </c>
      <c r="H1480" s="1"/>
      <c r="I1480" s="1"/>
      <c r="J1480" s="1"/>
    </row>
    <row r="1481" spans="1:10" x14ac:dyDescent="0.35">
      <c r="A1481" s="6" t="s">
        <v>19</v>
      </c>
      <c r="B1481" s="6">
        <f t="shared" si="338"/>
        <v>2058</v>
      </c>
      <c r="C1481" s="1" t="s">
        <v>40</v>
      </c>
      <c r="D1481" s="2" t="s">
        <v>2003</v>
      </c>
      <c r="E1481" s="9" t="str">
        <f t="shared" si="336"/>
        <v>PRBND'!</v>
      </c>
      <c r="F1481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81" s="6" t="s">
        <v>103</v>
      </c>
      <c r="H1481" s="1"/>
      <c r="I1481" s="1"/>
      <c r="J1481" s="1"/>
    </row>
    <row r="1482" spans="1:10" x14ac:dyDescent="0.35">
      <c r="A1482" s="6" t="s">
        <v>19</v>
      </c>
      <c r="B1482" s="6">
        <f t="shared" si="338"/>
        <v>2059</v>
      </c>
      <c r="C1482" s="1" t="s">
        <v>40</v>
      </c>
      <c r="D1482" s="2" t="s">
        <v>2003</v>
      </c>
      <c r="E1482" s="9" t="str">
        <f t="shared" si="336"/>
        <v>PRBND'!</v>
      </c>
      <c r="F1482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82" s="6" t="s">
        <v>103</v>
      </c>
      <c r="H1482" s="1"/>
      <c r="I1482" s="1"/>
      <c r="J1482" s="1"/>
    </row>
    <row r="1483" spans="1:10" x14ac:dyDescent="0.35">
      <c r="A1483" s="6" t="s">
        <v>26</v>
      </c>
      <c r="B1483" s="6"/>
      <c r="C1483" s="1" t="s">
        <v>40</v>
      </c>
      <c r="D1483" s="2"/>
      <c r="E1483" s="9"/>
      <c r="F1483" s="2"/>
      <c r="G1483" s="6"/>
      <c r="H1483" s="1"/>
      <c r="I1483" s="1"/>
      <c r="J1483" s="1"/>
    </row>
    <row r="1484" spans="1:10" x14ac:dyDescent="0.35">
      <c r="A1484" s="6" t="s">
        <v>20</v>
      </c>
      <c r="B1484" s="6">
        <v>2023</v>
      </c>
      <c r="C1484" s="1" t="s">
        <v>40</v>
      </c>
      <c r="D1484" s="2" t="s">
        <v>2003</v>
      </c>
      <c r="E1484" s="9" t="str">
        <f t="shared" si="308"/>
        <v>PRB'!</v>
      </c>
      <c r="F1484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84" s="6" t="s">
        <v>103</v>
      </c>
      <c r="H1484" s="1">
        <f>IF(A1484&lt;&gt;A1354,36,H1354+1)</f>
        <v>36</v>
      </c>
      <c r="I1484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PRB'!$BX$36</v>
      </c>
      <c r="J1484" s="1" t="s">
        <v>2670</v>
      </c>
    </row>
    <row r="1485" spans="1:10" x14ac:dyDescent="0.35">
      <c r="A1485" s="6" t="s">
        <v>20</v>
      </c>
      <c r="B1485" s="6">
        <f>+B1484+1</f>
        <v>2024</v>
      </c>
      <c r="C1485" s="1" t="s">
        <v>40</v>
      </c>
      <c r="D1485" s="2" t="s">
        <v>2003</v>
      </c>
      <c r="E1485" s="9" t="str">
        <f t="shared" si="308"/>
        <v>PRB'!</v>
      </c>
      <c r="F1485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85" s="6" t="s">
        <v>103</v>
      </c>
      <c r="H1485" s="1">
        <f t="shared" si="310"/>
        <v>37</v>
      </c>
      <c r="I1485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PRB'!$BX$37</v>
      </c>
      <c r="J1485" s="1" t="s">
        <v>2671</v>
      </c>
    </row>
    <row r="1486" spans="1:10" x14ac:dyDescent="0.35">
      <c r="A1486" s="6" t="s">
        <v>20</v>
      </c>
      <c r="B1486" s="6">
        <f t="shared" ref="B1486:B1497" si="339">+B1485+1</f>
        <v>2025</v>
      </c>
      <c r="C1486" s="1" t="s">
        <v>40</v>
      </c>
      <c r="D1486" s="2" t="s">
        <v>2003</v>
      </c>
      <c r="E1486" s="9" t="str">
        <f t="shared" si="308"/>
        <v>PRB'!</v>
      </c>
      <c r="F1486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86" s="6" t="s">
        <v>103</v>
      </c>
      <c r="H1486" s="1">
        <f t="shared" si="310"/>
        <v>38</v>
      </c>
      <c r="I1486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PRB'!$BX$38</v>
      </c>
      <c r="J1486" s="1" t="s">
        <v>2672</v>
      </c>
    </row>
    <row r="1487" spans="1:10" x14ac:dyDescent="0.35">
      <c r="A1487" s="6" t="s">
        <v>20</v>
      </c>
      <c r="B1487" s="6">
        <f t="shared" si="339"/>
        <v>2026</v>
      </c>
      <c r="C1487" s="1" t="s">
        <v>40</v>
      </c>
      <c r="D1487" s="2" t="s">
        <v>2003</v>
      </c>
      <c r="E1487" s="9" t="str">
        <f t="shared" si="308"/>
        <v>PRB'!</v>
      </c>
      <c r="F1487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87" s="6" t="s">
        <v>103</v>
      </c>
      <c r="H1487" s="1">
        <f t="shared" si="310"/>
        <v>39</v>
      </c>
      <c r="I1487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PRB'!$BX$39</v>
      </c>
      <c r="J1487" s="1" t="s">
        <v>2673</v>
      </c>
    </row>
    <row r="1488" spans="1:10" x14ac:dyDescent="0.35">
      <c r="A1488" s="6" t="s">
        <v>20</v>
      </c>
      <c r="B1488" s="6">
        <f t="shared" si="339"/>
        <v>2027</v>
      </c>
      <c r="C1488" s="1" t="s">
        <v>40</v>
      </c>
      <c r="D1488" s="2" t="s">
        <v>2003</v>
      </c>
      <c r="E1488" s="9" t="str">
        <f t="shared" si="308"/>
        <v>PRB'!</v>
      </c>
      <c r="F1488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88" s="6" t="s">
        <v>103</v>
      </c>
      <c r="H1488" s="1">
        <f t="shared" si="310"/>
        <v>40</v>
      </c>
      <c r="I1488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PRB'!$BX$40</v>
      </c>
      <c r="J1488" s="1" t="s">
        <v>2674</v>
      </c>
    </row>
    <row r="1489" spans="1:10" x14ac:dyDescent="0.35">
      <c r="A1489" s="6" t="s">
        <v>20</v>
      </c>
      <c r="B1489" s="6">
        <f t="shared" si="339"/>
        <v>2028</v>
      </c>
      <c r="C1489" s="1" t="s">
        <v>40</v>
      </c>
      <c r="D1489" s="2" t="s">
        <v>2003</v>
      </c>
      <c r="E1489" s="9" t="str">
        <f t="shared" si="308"/>
        <v>PRB'!</v>
      </c>
      <c r="F1489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89" s="6" t="s">
        <v>103</v>
      </c>
      <c r="H1489" s="1">
        <f t="shared" si="310"/>
        <v>41</v>
      </c>
      <c r="I1489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PRB'!$BX$41</v>
      </c>
      <c r="J1489" s="1" t="s">
        <v>2675</v>
      </c>
    </row>
    <row r="1490" spans="1:10" x14ac:dyDescent="0.35">
      <c r="A1490" s="6" t="s">
        <v>20</v>
      </c>
      <c r="B1490" s="6">
        <f t="shared" si="339"/>
        <v>2029</v>
      </c>
      <c r="C1490" s="1" t="s">
        <v>40</v>
      </c>
      <c r="D1490" s="2" t="s">
        <v>2003</v>
      </c>
      <c r="E1490" s="9" t="str">
        <f t="shared" si="308"/>
        <v>PRB'!</v>
      </c>
      <c r="F1490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90" s="6" t="s">
        <v>103</v>
      </c>
      <c r="H1490" s="1">
        <f t="shared" si="310"/>
        <v>42</v>
      </c>
      <c r="I1490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PRB'!$BX$42</v>
      </c>
      <c r="J1490" s="1" t="s">
        <v>2676</v>
      </c>
    </row>
    <row r="1491" spans="1:10" x14ac:dyDescent="0.35">
      <c r="A1491" s="6" t="s">
        <v>20</v>
      </c>
      <c r="B1491" s="6">
        <f t="shared" si="339"/>
        <v>2030</v>
      </c>
      <c r="C1491" s="1" t="s">
        <v>40</v>
      </c>
      <c r="D1491" s="2" t="s">
        <v>2003</v>
      </c>
      <c r="E1491" s="9" t="str">
        <f t="shared" si="308"/>
        <v>PRB'!</v>
      </c>
      <c r="F1491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91" s="6" t="s">
        <v>103</v>
      </c>
      <c r="H1491" s="1">
        <f t="shared" si="310"/>
        <v>43</v>
      </c>
      <c r="I1491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PRB'!$BX$43</v>
      </c>
      <c r="J1491" s="1" t="s">
        <v>2677</v>
      </c>
    </row>
    <row r="1492" spans="1:10" x14ac:dyDescent="0.35">
      <c r="A1492" s="6" t="s">
        <v>20</v>
      </c>
      <c r="B1492" s="6">
        <f t="shared" si="339"/>
        <v>2031</v>
      </c>
      <c r="C1492" s="1" t="s">
        <v>40</v>
      </c>
      <c r="D1492" s="2" t="s">
        <v>2003</v>
      </c>
      <c r="E1492" s="9" t="str">
        <f t="shared" si="308"/>
        <v>PRB'!</v>
      </c>
      <c r="F1492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92" s="6" t="s">
        <v>103</v>
      </c>
      <c r="H1492" s="1">
        <f t="shared" si="310"/>
        <v>44</v>
      </c>
      <c r="I1492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PRB'!$BX$44</v>
      </c>
      <c r="J1492" s="1" t="s">
        <v>2678</v>
      </c>
    </row>
    <row r="1493" spans="1:10" x14ac:dyDescent="0.35">
      <c r="A1493" s="6" t="s">
        <v>20</v>
      </c>
      <c r="B1493" s="6">
        <f t="shared" si="339"/>
        <v>2032</v>
      </c>
      <c r="C1493" s="1" t="s">
        <v>40</v>
      </c>
      <c r="D1493" s="2" t="s">
        <v>2003</v>
      </c>
      <c r="E1493" s="9" t="str">
        <f t="shared" si="308"/>
        <v>PRB'!</v>
      </c>
      <c r="F1493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93" s="6" t="s">
        <v>103</v>
      </c>
      <c r="H1493" s="1">
        <f t="shared" si="310"/>
        <v>45</v>
      </c>
      <c r="I1493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PRB'!$BX$45</v>
      </c>
      <c r="J1493" s="1" t="s">
        <v>2679</v>
      </c>
    </row>
    <row r="1494" spans="1:10" x14ac:dyDescent="0.35">
      <c r="A1494" s="6" t="s">
        <v>20</v>
      </c>
      <c r="B1494" s="6">
        <f t="shared" si="339"/>
        <v>2033</v>
      </c>
      <c r="C1494" s="1" t="s">
        <v>40</v>
      </c>
      <c r="D1494" s="2" t="s">
        <v>2003</v>
      </c>
      <c r="E1494" s="9" t="str">
        <f t="shared" si="308"/>
        <v>PRB'!</v>
      </c>
      <c r="F1494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94" s="6" t="s">
        <v>103</v>
      </c>
      <c r="H1494" s="1">
        <f t="shared" si="310"/>
        <v>46</v>
      </c>
      <c r="I1494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PRB'!$BX$46</v>
      </c>
      <c r="J1494" s="1" t="s">
        <v>2680</v>
      </c>
    </row>
    <row r="1495" spans="1:10" x14ac:dyDescent="0.35">
      <c r="A1495" s="6" t="s">
        <v>20</v>
      </c>
      <c r="B1495" s="6">
        <f t="shared" si="339"/>
        <v>2034</v>
      </c>
      <c r="C1495" s="1" t="s">
        <v>40</v>
      </c>
      <c r="D1495" s="2" t="s">
        <v>2003</v>
      </c>
      <c r="E1495" s="9" t="str">
        <f t="shared" si="308"/>
        <v>PRB'!</v>
      </c>
      <c r="F1495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95" s="6" t="s">
        <v>103</v>
      </c>
      <c r="H1495" s="1">
        <f t="shared" si="310"/>
        <v>47</v>
      </c>
      <c r="I1495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PRB'!$BX$47</v>
      </c>
      <c r="J1495" s="1" t="s">
        <v>2681</v>
      </c>
    </row>
    <row r="1496" spans="1:10" x14ac:dyDescent="0.35">
      <c r="A1496" s="6" t="s">
        <v>20</v>
      </c>
      <c r="B1496" s="6">
        <f t="shared" si="339"/>
        <v>2035</v>
      </c>
      <c r="C1496" s="1" t="s">
        <v>40</v>
      </c>
      <c r="D1496" s="2" t="s">
        <v>2003</v>
      </c>
      <c r="E1496" s="9" t="str">
        <f t="shared" si="308"/>
        <v>PRB'!</v>
      </c>
      <c r="F1496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96" s="6" t="s">
        <v>103</v>
      </c>
      <c r="H1496" s="1">
        <f t="shared" si="310"/>
        <v>48</v>
      </c>
      <c r="I1496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PRB'!$BX$48</v>
      </c>
      <c r="J1496" s="1" t="s">
        <v>2682</v>
      </c>
    </row>
    <row r="1497" spans="1:10" x14ac:dyDescent="0.35">
      <c r="A1497" s="6" t="s">
        <v>20</v>
      </c>
      <c r="B1497" s="6">
        <f t="shared" si="339"/>
        <v>2036</v>
      </c>
      <c r="C1497" s="1" t="s">
        <v>40</v>
      </c>
      <c r="D1497" s="2" t="s">
        <v>2003</v>
      </c>
      <c r="E1497" s="9" t="str">
        <f t="shared" si="308"/>
        <v>PRB'!</v>
      </c>
      <c r="F1497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97" s="6" t="s">
        <v>103</v>
      </c>
      <c r="H1497" s="1">
        <f t="shared" si="310"/>
        <v>49</v>
      </c>
      <c r="I1497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PRB'!$BX$49</v>
      </c>
      <c r="J1497" s="1" t="s">
        <v>2683</v>
      </c>
    </row>
    <row r="1498" spans="1:10" x14ac:dyDescent="0.35">
      <c r="A1498" s="6" t="s">
        <v>20</v>
      </c>
      <c r="B1498" s="6">
        <f>+B1497+1</f>
        <v>2037</v>
      </c>
      <c r="C1498" s="1" t="s">
        <v>40</v>
      </c>
      <c r="D1498" s="2" t="s">
        <v>2003</v>
      </c>
      <c r="E1498" s="9" t="str">
        <f t="shared" si="308"/>
        <v>PRB'!</v>
      </c>
      <c r="F1498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98" s="6" t="s">
        <v>103</v>
      </c>
      <c r="H1498" s="1">
        <f t="shared" si="310"/>
        <v>50</v>
      </c>
      <c r="I1498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PRB'!$BX$50</v>
      </c>
      <c r="J1498" s="1" t="s">
        <v>2684</v>
      </c>
    </row>
    <row r="1499" spans="1:10" x14ac:dyDescent="0.35">
      <c r="A1499" s="6" t="s">
        <v>20</v>
      </c>
      <c r="B1499" s="6">
        <f t="shared" ref="B1499:B1501" si="340">+B1498+1</f>
        <v>2038</v>
      </c>
      <c r="C1499" s="1" t="s">
        <v>40</v>
      </c>
      <c r="D1499" s="2" t="s">
        <v>2003</v>
      </c>
      <c r="E1499" s="9" t="str">
        <f t="shared" si="308"/>
        <v>PRB'!</v>
      </c>
      <c r="F1499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99" s="6" t="s">
        <v>103</v>
      </c>
      <c r="H1499" s="1">
        <f t="shared" si="310"/>
        <v>51</v>
      </c>
      <c r="I1499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PRB'!$BX$51</v>
      </c>
      <c r="J1499" s="1" t="s">
        <v>2685</v>
      </c>
    </row>
    <row r="1500" spans="1:10" x14ac:dyDescent="0.35">
      <c r="A1500" s="6" t="s">
        <v>20</v>
      </c>
      <c r="B1500" s="6">
        <f t="shared" si="340"/>
        <v>2039</v>
      </c>
      <c r="C1500" s="1" t="s">
        <v>40</v>
      </c>
      <c r="D1500" s="2" t="s">
        <v>2003</v>
      </c>
      <c r="E1500" s="9" t="str">
        <f t="shared" si="308"/>
        <v>PRB'!</v>
      </c>
      <c r="F1500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00" s="6" t="s">
        <v>103</v>
      </c>
      <c r="H1500" s="1">
        <f t="shared" si="310"/>
        <v>52</v>
      </c>
      <c r="I1500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PRB'!$BX$52</v>
      </c>
      <c r="J1500" s="1" t="s">
        <v>2686</v>
      </c>
    </row>
    <row r="1501" spans="1:10" x14ac:dyDescent="0.35">
      <c r="A1501" s="6" t="s">
        <v>20</v>
      </c>
      <c r="B1501" s="6">
        <f t="shared" si="340"/>
        <v>2040</v>
      </c>
      <c r="C1501" s="1" t="s">
        <v>40</v>
      </c>
      <c r="D1501" s="2" t="s">
        <v>2003</v>
      </c>
      <c r="E1501" s="9" t="str">
        <f t="shared" si="308"/>
        <v>PRB'!</v>
      </c>
      <c r="F1501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01" s="6" t="s">
        <v>103</v>
      </c>
      <c r="H1501" s="1">
        <f t="shared" si="310"/>
        <v>53</v>
      </c>
      <c r="I1501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PRB'!$BX$53</v>
      </c>
      <c r="J1501" s="1" t="s">
        <v>2687</v>
      </c>
    </row>
    <row r="1502" spans="1:10" x14ac:dyDescent="0.35">
      <c r="A1502" s="6" t="s">
        <v>20</v>
      </c>
      <c r="B1502" s="6">
        <f>+B1501+1</f>
        <v>2041</v>
      </c>
      <c r="C1502" s="1" t="s">
        <v>40</v>
      </c>
      <c r="D1502" s="2" t="s">
        <v>2003</v>
      </c>
      <c r="E1502" s="9" t="str">
        <f t="shared" si="308"/>
        <v>PRB'!</v>
      </c>
      <c r="F1502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02" s="6" t="s">
        <v>103</v>
      </c>
      <c r="H1502" s="1">
        <f t="shared" si="310"/>
        <v>54</v>
      </c>
      <c r="I1502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PRB'!$BX$54</v>
      </c>
      <c r="J1502" s="1" t="s">
        <v>2688</v>
      </c>
    </row>
    <row r="1503" spans="1:10" x14ac:dyDescent="0.35">
      <c r="A1503" s="6" t="s">
        <v>20</v>
      </c>
      <c r="B1503" s="6">
        <f t="shared" ref="B1503:B1504" si="341">+B1502+1</f>
        <v>2042</v>
      </c>
      <c r="C1503" s="1" t="s">
        <v>40</v>
      </c>
      <c r="D1503" s="2" t="s">
        <v>2003</v>
      </c>
      <c r="E1503" s="9" t="str">
        <f t="shared" si="308"/>
        <v>PRB'!</v>
      </c>
      <c r="F1503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03" s="6" t="s">
        <v>103</v>
      </c>
      <c r="H1503" s="1">
        <f t="shared" si="310"/>
        <v>55</v>
      </c>
      <c r="I1503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PRB'!$BX$55</v>
      </c>
      <c r="J1503" s="1" t="s">
        <v>2689</v>
      </c>
    </row>
    <row r="1504" spans="1:10" x14ac:dyDescent="0.35">
      <c r="A1504" s="6" t="s">
        <v>20</v>
      </c>
      <c r="B1504" s="6">
        <f t="shared" si="341"/>
        <v>2043</v>
      </c>
      <c r="C1504" s="1" t="s">
        <v>40</v>
      </c>
      <c r="D1504" s="2" t="s">
        <v>2003</v>
      </c>
      <c r="E1504" s="9" t="str">
        <f t="shared" si="308"/>
        <v>PRB'!</v>
      </c>
      <c r="F1504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04" s="6" t="s">
        <v>103</v>
      </c>
      <c r="H1504" s="1">
        <f t="shared" si="310"/>
        <v>56</v>
      </c>
      <c r="I1504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PRB'!$BX$56</v>
      </c>
      <c r="J1504" s="1" t="s">
        <v>2690</v>
      </c>
    </row>
    <row r="1505" spans="1:10" x14ac:dyDescent="0.35">
      <c r="A1505" s="6" t="s">
        <v>20</v>
      </c>
      <c r="B1505" s="6">
        <f>+B1504+1</f>
        <v>2044</v>
      </c>
      <c r="C1505" s="1" t="s">
        <v>40</v>
      </c>
      <c r="D1505" s="2" t="s">
        <v>2003</v>
      </c>
      <c r="E1505" s="9" t="str">
        <f t="shared" ref="E1505:E1520" si="342">_xlfn.CONCAT(A1505,"'!")</f>
        <v>PRB'!</v>
      </c>
      <c r="F1505" s="5" t="str">
        <f t="shared" ref="F1505:F1520" si="343">_xlfn.CONCAT(D1505," ",E1505)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05" s="6" t="s">
        <v>103</v>
      </c>
      <c r="H1505" s="1">
        <f t="shared" ref="H1505:H1520" si="344">IF(A1505&lt;&gt;A1504,36,H1504+1)</f>
        <v>57</v>
      </c>
      <c r="I1505" s="1" t="str">
        <f t="shared" ref="I1505:I1520" si="345">_xlfn.CONCAT("='",F1505:H1505)</f>
        <v>='C:\Users\jaime.benazar\Quorum Business Solutions\Ecopetrol Prometeo - Documents\Planning Space Implementation\3. Analysis &amp; Design\Design\FC22\DRR Jaime\Por presentar a ECP\Cantagallo\Cristalina\[VRC_CRISTALINA_CF_SEC_20221231.xlsx]CF PRB'!$BX$57</v>
      </c>
      <c r="J1505" s="1" t="s">
        <v>2691</v>
      </c>
    </row>
    <row r="1506" spans="1:10" x14ac:dyDescent="0.35">
      <c r="A1506" s="6" t="s">
        <v>20</v>
      </c>
      <c r="B1506" s="6">
        <f t="shared" ref="B1506:B1520" si="346">+B1505+1</f>
        <v>2045</v>
      </c>
      <c r="C1506" s="1" t="s">
        <v>40</v>
      </c>
      <c r="D1506" s="2" t="s">
        <v>2003</v>
      </c>
      <c r="E1506" s="9" t="str">
        <f t="shared" si="342"/>
        <v>PRB'!</v>
      </c>
      <c r="F1506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06" s="6" t="s">
        <v>103</v>
      </c>
      <c r="H1506" s="1">
        <f t="shared" si="344"/>
        <v>58</v>
      </c>
      <c r="I1506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PRB'!$BX$58</v>
      </c>
      <c r="J1506" s="1" t="s">
        <v>2692</v>
      </c>
    </row>
    <row r="1507" spans="1:10" x14ac:dyDescent="0.35">
      <c r="A1507" s="6" t="s">
        <v>20</v>
      </c>
      <c r="B1507" s="6">
        <f t="shared" si="346"/>
        <v>2046</v>
      </c>
      <c r="C1507" s="1" t="s">
        <v>40</v>
      </c>
      <c r="D1507" s="2" t="s">
        <v>2003</v>
      </c>
      <c r="E1507" s="9" t="str">
        <f t="shared" si="342"/>
        <v>PRB'!</v>
      </c>
      <c r="F1507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07" s="6" t="s">
        <v>103</v>
      </c>
      <c r="H1507" s="1">
        <f t="shared" si="344"/>
        <v>59</v>
      </c>
      <c r="I1507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PRB'!$BX$59</v>
      </c>
      <c r="J1507" s="1" t="s">
        <v>2693</v>
      </c>
    </row>
    <row r="1508" spans="1:10" x14ac:dyDescent="0.35">
      <c r="A1508" s="6" t="s">
        <v>20</v>
      </c>
      <c r="B1508" s="6">
        <f t="shared" si="346"/>
        <v>2047</v>
      </c>
      <c r="C1508" s="1" t="s">
        <v>40</v>
      </c>
      <c r="D1508" s="2" t="s">
        <v>2003</v>
      </c>
      <c r="E1508" s="9" t="str">
        <f t="shared" si="342"/>
        <v>PRB'!</v>
      </c>
      <c r="F1508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08" s="6" t="s">
        <v>103</v>
      </c>
      <c r="H1508" s="1">
        <f t="shared" si="344"/>
        <v>60</v>
      </c>
      <c r="I1508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PRB'!$BX$60</v>
      </c>
      <c r="J1508" s="1" t="s">
        <v>2694</v>
      </c>
    </row>
    <row r="1509" spans="1:10" x14ac:dyDescent="0.35">
      <c r="A1509" s="6" t="s">
        <v>20</v>
      </c>
      <c r="B1509" s="6">
        <f t="shared" si="346"/>
        <v>2048</v>
      </c>
      <c r="C1509" s="1" t="s">
        <v>40</v>
      </c>
      <c r="D1509" s="2" t="s">
        <v>2003</v>
      </c>
      <c r="E1509" s="9" t="str">
        <f t="shared" si="342"/>
        <v>PRB'!</v>
      </c>
      <c r="F1509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09" s="6" t="s">
        <v>103</v>
      </c>
      <c r="H1509" s="1">
        <f t="shared" si="344"/>
        <v>61</v>
      </c>
      <c r="I1509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PRB'!$BX$61</v>
      </c>
      <c r="J1509" s="1" t="s">
        <v>2695</v>
      </c>
    </row>
    <row r="1510" spans="1:10" x14ac:dyDescent="0.35">
      <c r="A1510" s="6" t="s">
        <v>20</v>
      </c>
      <c r="B1510" s="6">
        <f t="shared" si="346"/>
        <v>2049</v>
      </c>
      <c r="C1510" s="1" t="s">
        <v>40</v>
      </c>
      <c r="D1510" s="2" t="s">
        <v>2003</v>
      </c>
      <c r="E1510" s="9" t="str">
        <f t="shared" si="342"/>
        <v>PRB'!</v>
      </c>
      <c r="F1510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10" s="6" t="s">
        <v>103</v>
      </c>
      <c r="H1510" s="1">
        <f t="shared" si="344"/>
        <v>62</v>
      </c>
      <c r="I1510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PRB'!$BX$62</v>
      </c>
      <c r="J1510" s="1" t="s">
        <v>2696</v>
      </c>
    </row>
    <row r="1511" spans="1:10" x14ac:dyDescent="0.35">
      <c r="A1511" s="6" t="s">
        <v>20</v>
      </c>
      <c r="B1511" s="6">
        <f t="shared" si="346"/>
        <v>2050</v>
      </c>
      <c r="C1511" s="1" t="s">
        <v>40</v>
      </c>
      <c r="D1511" s="2" t="s">
        <v>2003</v>
      </c>
      <c r="E1511" s="9" t="str">
        <f t="shared" si="342"/>
        <v>PRB'!</v>
      </c>
      <c r="F1511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11" s="6" t="s">
        <v>103</v>
      </c>
      <c r="H1511" s="1">
        <f t="shared" si="344"/>
        <v>63</v>
      </c>
      <c r="I1511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PRB'!$BX$63</v>
      </c>
      <c r="J1511" s="1" t="s">
        <v>2697</v>
      </c>
    </row>
    <row r="1512" spans="1:10" x14ac:dyDescent="0.35">
      <c r="A1512" s="6" t="s">
        <v>20</v>
      </c>
      <c r="B1512" s="6">
        <f t="shared" si="346"/>
        <v>2051</v>
      </c>
      <c r="C1512" s="1" t="s">
        <v>40</v>
      </c>
      <c r="D1512" s="2" t="s">
        <v>2003</v>
      </c>
      <c r="E1512" s="9" t="str">
        <f t="shared" si="342"/>
        <v>PRB'!</v>
      </c>
      <c r="F1512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12" s="6" t="s">
        <v>103</v>
      </c>
      <c r="H1512" s="1">
        <f t="shared" si="344"/>
        <v>64</v>
      </c>
      <c r="I1512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PRB'!$BX$64</v>
      </c>
      <c r="J1512" s="1" t="s">
        <v>2698</v>
      </c>
    </row>
    <row r="1513" spans="1:10" x14ac:dyDescent="0.35">
      <c r="A1513" s="6" t="s">
        <v>20</v>
      </c>
      <c r="B1513" s="6">
        <f t="shared" si="346"/>
        <v>2052</v>
      </c>
      <c r="C1513" s="1" t="s">
        <v>40</v>
      </c>
      <c r="D1513" s="2" t="s">
        <v>2003</v>
      </c>
      <c r="E1513" s="9" t="str">
        <f t="shared" si="342"/>
        <v>PRB'!</v>
      </c>
      <c r="F1513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13" s="6" t="s">
        <v>103</v>
      </c>
      <c r="H1513" s="1">
        <f t="shared" si="344"/>
        <v>65</v>
      </c>
      <c r="I1513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PRB'!$BX$65</v>
      </c>
      <c r="J1513" s="1" t="s">
        <v>2699</v>
      </c>
    </row>
    <row r="1514" spans="1:10" x14ac:dyDescent="0.35">
      <c r="A1514" s="6" t="s">
        <v>20</v>
      </c>
      <c r="B1514" s="6">
        <f t="shared" si="346"/>
        <v>2053</v>
      </c>
      <c r="C1514" s="1" t="s">
        <v>40</v>
      </c>
      <c r="D1514" s="2" t="s">
        <v>2003</v>
      </c>
      <c r="E1514" s="9" t="str">
        <f t="shared" si="342"/>
        <v>PRB'!</v>
      </c>
      <c r="F1514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14" s="6" t="s">
        <v>103</v>
      </c>
      <c r="H1514" s="1">
        <f t="shared" si="344"/>
        <v>66</v>
      </c>
      <c r="I1514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PRB'!$BX$66</v>
      </c>
      <c r="J1514" s="1" t="s">
        <v>2700</v>
      </c>
    </row>
    <row r="1515" spans="1:10" x14ac:dyDescent="0.35">
      <c r="A1515" s="6" t="s">
        <v>20</v>
      </c>
      <c r="B1515" s="6">
        <f t="shared" si="346"/>
        <v>2054</v>
      </c>
      <c r="C1515" s="1" t="s">
        <v>40</v>
      </c>
      <c r="D1515" s="2" t="s">
        <v>2003</v>
      </c>
      <c r="E1515" s="9" t="str">
        <f t="shared" si="342"/>
        <v>PRB'!</v>
      </c>
      <c r="F1515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15" s="6" t="s">
        <v>103</v>
      </c>
      <c r="H1515" s="1">
        <f t="shared" si="344"/>
        <v>67</v>
      </c>
      <c r="I1515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PRB'!$BX$67</v>
      </c>
      <c r="J1515" s="1" t="s">
        <v>2701</v>
      </c>
    </row>
    <row r="1516" spans="1:10" x14ac:dyDescent="0.35">
      <c r="A1516" s="6" t="s">
        <v>20</v>
      </c>
      <c r="B1516" s="6">
        <f t="shared" si="346"/>
        <v>2055</v>
      </c>
      <c r="C1516" s="1" t="s">
        <v>40</v>
      </c>
      <c r="D1516" s="2" t="s">
        <v>2003</v>
      </c>
      <c r="E1516" s="9" t="str">
        <f t="shared" si="342"/>
        <v>PRB'!</v>
      </c>
      <c r="F1516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16" s="6" t="s">
        <v>103</v>
      </c>
      <c r="H1516" s="1">
        <f t="shared" si="344"/>
        <v>68</v>
      </c>
      <c r="I1516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PRB'!$BX$68</v>
      </c>
      <c r="J1516" s="1" t="s">
        <v>2702</v>
      </c>
    </row>
    <row r="1517" spans="1:10" x14ac:dyDescent="0.35">
      <c r="A1517" s="6" t="s">
        <v>20</v>
      </c>
      <c r="B1517" s="6">
        <f t="shared" si="346"/>
        <v>2056</v>
      </c>
      <c r="C1517" s="1" t="s">
        <v>40</v>
      </c>
      <c r="D1517" s="2" t="s">
        <v>2003</v>
      </c>
      <c r="E1517" s="9" t="str">
        <f t="shared" si="342"/>
        <v>PRB'!</v>
      </c>
      <c r="F1517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17" s="6" t="s">
        <v>103</v>
      </c>
      <c r="H1517" s="1">
        <f t="shared" si="344"/>
        <v>69</v>
      </c>
      <c r="I1517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PRB'!$BX$69</v>
      </c>
      <c r="J1517" s="1" t="s">
        <v>2703</v>
      </c>
    </row>
    <row r="1518" spans="1:10" x14ac:dyDescent="0.35">
      <c r="A1518" s="6" t="s">
        <v>20</v>
      </c>
      <c r="B1518" s="6">
        <f t="shared" si="346"/>
        <v>2057</v>
      </c>
      <c r="C1518" s="1" t="s">
        <v>40</v>
      </c>
      <c r="D1518" s="2" t="s">
        <v>2003</v>
      </c>
      <c r="E1518" s="9" t="str">
        <f t="shared" si="342"/>
        <v>PRB'!</v>
      </c>
      <c r="F1518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18" s="6" t="s">
        <v>103</v>
      </c>
      <c r="H1518" s="1">
        <f t="shared" si="344"/>
        <v>70</v>
      </c>
      <c r="I1518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PRB'!$BX$70</v>
      </c>
      <c r="J1518" s="1" t="s">
        <v>2704</v>
      </c>
    </row>
    <row r="1519" spans="1:10" x14ac:dyDescent="0.35">
      <c r="A1519" s="6" t="s">
        <v>20</v>
      </c>
      <c r="B1519" s="6">
        <f t="shared" si="346"/>
        <v>2058</v>
      </c>
      <c r="C1519" s="1" t="s">
        <v>40</v>
      </c>
      <c r="D1519" s="2" t="s">
        <v>2003</v>
      </c>
      <c r="E1519" s="9" t="str">
        <f t="shared" si="342"/>
        <v>PRB'!</v>
      </c>
      <c r="F1519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19" s="6" t="s">
        <v>103</v>
      </c>
      <c r="H1519" s="1">
        <f t="shared" si="344"/>
        <v>71</v>
      </c>
      <c r="I1519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PRB'!$BX$71</v>
      </c>
      <c r="J1519" s="1" t="s">
        <v>2705</v>
      </c>
    </row>
    <row r="1520" spans="1:10" x14ac:dyDescent="0.35">
      <c r="A1520" s="6" t="s">
        <v>20</v>
      </c>
      <c r="B1520" s="6">
        <f t="shared" si="346"/>
        <v>2059</v>
      </c>
      <c r="C1520" s="1" t="s">
        <v>40</v>
      </c>
      <c r="D1520" s="2" t="s">
        <v>2003</v>
      </c>
      <c r="E1520" s="9" t="str">
        <f t="shared" si="342"/>
        <v>PRB'!</v>
      </c>
      <c r="F1520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20" s="6" t="s">
        <v>103</v>
      </c>
      <c r="H1520" s="1">
        <f t="shared" si="344"/>
        <v>72</v>
      </c>
      <c r="I1520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PRB'!$BX$72</v>
      </c>
      <c r="J1520" s="1" t="s">
        <v>2706</v>
      </c>
    </row>
    <row r="1521" spans="1:10" x14ac:dyDescent="0.35">
      <c r="A1521" s="6" t="s">
        <v>26</v>
      </c>
      <c r="B1521" s="6"/>
      <c r="C1521" s="1" t="s">
        <v>40</v>
      </c>
      <c r="D1521" s="2"/>
      <c r="E1521" s="9"/>
      <c r="F1521" s="2"/>
      <c r="G1521" s="6"/>
      <c r="H1521" s="1"/>
      <c r="I1521" s="1"/>
      <c r="J1521" s="4"/>
    </row>
    <row r="1522" spans="1:10" x14ac:dyDescent="0.35">
      <c r="A1522" s="6" t="s">
        <v>21</v>
      </c>
      <c r="B1522" s="6">
        <v>2023</v>
      </c>
      <c r="C1522" s="1" t="s">
        <v>40</v>
      </c>
      <c r="D1522" s="2" t="s">
        <v>2003</v>
      </c>
      <c r="E1522" s="9" t="str">
        <f t="shared" ref="E1522:E1542" si="347">_xlfn.CONCAT(A1522,"'!")</f>
        <v>PSDP'!</v>
      </c>
      <c r="F1522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22" s="6" t="s">
        <v>103</v>
      </c>
      <c r="H1522" s="1"/>
      <c r="I1522" s="1"/>
      <c r="J1522" s="1"/>
    </row>
    <row r="1523" spans="1:10" x14ac:dyDescent="0.35">
      <c r="A1523" s="6" t="s">
        <v>21</v>
      </c>
      <c r="B1523" s="6">
        <f>+B1522+1</f>
        <v>2024</v>
      </c>
      <c r="C1523" s="1" t="s">
        <v>40</v>
      </c>
      <c r="D1523" s="2" t="s">
        <v>2003</v>
      </c>
      <c r="E1523" s="9" t="str">
        <f t="shared" si="347"/>
        <v>PSDP'!</v>
      </c>
      <c r="F1523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23" s="6" t="s">
        <v>103</v>
      </c>
      <c r="H1523" s="1"/>
      <c r="I1523" s="1"/>
      <c r="J1523" s="1"/>
    </row>
    <row r="1524" spans="1:10" x14ac:dyDescent="0.35">
      <c r="A1524" s="6" t="s">
        <v>21</v>
      </c>
      <c r="B1524" s="6">
        <f t="shared" ref="B1524:B1535" si="348">+B1523+1</f>
        <v>2025</v>
      </c>
      <c r="C1524" s="1" t="s">
        <v>40</v>
      </c>
      <c r="D1524" s="2" t="s">
        <v>2003</v>
      </c>
      <c r="E1524" s="9" t="str">
        <f t="shared" si="347"/>
        <v>PSDP'!</v>
      </c>
      <c r="F1524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24" s="6" t="s">
        <v>103</v>
      </c>
      <c r="H1524" s="1"/>
      <c r="I1524" s="1"/>
      <c r="J1524" s="1"/>
    </row>
    <row r="1525" spans="1:10" x14ac:dyDescent="0.35">
      <c r="A1525" s="6" t="s">
        <v>21</v>
      </c>
      <c r="B1525" s="6">
        <f t="shared" si="348"/>
        <v>2026</v>
      </c>
      <c r="C1525" s="1" t="s">
        <v>40</v>
      </c>
      <c r="D1525" s="2" t="s">
        <v>2003</v>
      </c>
      <c r="E1525" s="9" t="str">
        <f t="shared" si="347"/>
        <v>PSDP'!</v>
      </c>
      <c r="F1525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25" s="6" t="s">
        <v>103</v>
      </c>
      <c r="H1525" s="1"/>
      <c r="I1525" s="1"/>
      <c r="J1525" s="1"/>
    </row>
    <row r="1526" spans="1:10" x14ac:dyDescent="0.35">
      <c r="A1526" s="6" t="s">
        <v>21</v>
      </c>
      <c r="B1526" s="6">
        <f t="shared" si="348"/>
        <v>2027</v>
      </c>
      <c r="C1526" s="1" t="s">
        <v>40</v>
      </c>
      <c r="D1526" s="2" t="s">
        <v>2003</v>
      </c>
      <c r="E1526" s="9" t="str">
        <f t="shared" si="347"/>
        <v>PSDP'!</v>
      </c>
      <c r="F1526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26" s="6" t="s">
        <v>103</v>
      </c>
      <c r="H1526" s="1"/>
      <c r="I1526" s="1"/>
      <c r="J1526" s="1"/>
    </row>
    <row r="1527" spans="1:10" x14ac:dyDescent="0.35">
      <c r="A1527" s="6" t="s">
        <v>21</v>
      </c>
      <c r="B1527" s="6">
        <f t="shared" si="348"/>
        <v>2028</v>
      </c>
      <c r="C1527" s="1" t="s">
        <v>40</v>
      </c>
      <c r="D1527" s="2" t="s">
        <v>2003</v>
      </c>
      <c r="E1527" s="9" t="str">
        <f t="shared" si="347"/>
        <v>PSDP'!</v>
      </c>
      <c r="F1527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27" s="6" t="s">
        <v>103</v>
      </c>
      <c r="H1527" s="1"/>
      <c r="I1527" s="1"/>
      <c r="J1527" s="1"/>
    </row>
    <row r="1528" spans="1:10" x14ac:dyDescent="0.35">
      <c r="A1528" s="6" t="s">
        <v>21</v>
      </c>
      <c r="B1528" s="6">
        <f t="shared" si="348"/>
        <v>2029</v>
      </c>
      <c r="C1528" s="1" t="s">
        <v>40</v>
      </c>
      <c r="D1528" s="2" t="s">
        <v>2003</v>
      </c>
      <c r="E1528" s="9" t="str">
        <f t="shared" si="347"/>
        <v>PSDP'!</v>
      </c>
      <c r="F1528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28" s="6" t="s">
        <v>103</v>
      </c>
      <c r="H1528" s="1"/>
      <c r="I1528" s="1"/>
      <c r="J1528" s="1"/>
    </row>
    <row r="1529" spans="1:10" x14ac:dyDescent="0.35">
      <c r="A1529" s="6" t="s">
        <v>21</v>
      </c>
      <c r="B1529" s="6">
        <f t="shared" si="348"/>
        <v>2030</v>
      </c>
      <c r="C1529" s="1" t="s">
        <v>40</v>
      </c>
      <c r="D1529" s="2" t="s">
        <v>2003</v>
      </c>
      <c r="E1529" s="9" t="str">
        <f t="shared" si="347"/>
        <v>PSDP'!</v>
      </c>
      <c r="F1529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29" s="6" t="s">
        <v>103</v>
      </c>
      <c r="H1529" s="1"/>
      <c r="I1529" s="1"/>
      <c r="J1529" s="1"/>
    </row>
    <row r="1530" spans="1:10" x14ac:dyDescent="0.35">
      <c r="A1530" s="6" t="s">
        <v>21</v>
      </c>
      <c r="B1530" s="6">
        <f t="shared" si="348"/>
        <v>2031</v>
      </c>
      <c r="C1530" s="1" t="s">
        <v>40</v>
      </c>
      <c r="D1530" s="2" t="s">
        <v>2003</v>
      </c>
      <c r="E1530" s="9" t="str">
        <f t="shared" si="347"/>
        <v>PSDP'!</v>
      </c>
      <c r="F1530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30" s="6" t="s">
        <v>103</v>
      </c>
      <c r="H1530" s="1"/>
      <c r="I1530" s="1"/>
      <c r="J1530" s="1"/>
    </row>
    <row r="1531" spans="1:10" x14ac:dyDescent="0.35">
      <c r="A1531" s="6" t="s">
        <v>21</v>
      </c>
      <c r="B1531" s="6">
        <f t="shared" si="348"/>
        <v>2032</v>
      </c>
      <c r="C1531" s="1" t="s">
        <v>40</v>
      </c>
      <c r="D1531" s="2" t="s">
        <v>2003</v>
      </c>
      <c r="E1531" s="9" t="str">
        <f t="shared" si="347"/>
        <v>PSDP'!</v>
      </c>
      <c r="F1531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31" s="6" t="s">
        <v>103</v>
      </c>
      <c r="H1531" s="1"/>
      <c r="I1531" s="1"/>
      <c r="J1531" s="1"/>
    </row>
    <row r="1532" spans="1:10" x14ac:dyDescent="0.35">
      <c r="A1532" s="6" t="s">
        <v>21</v>
      </c>
      <c r="B1532" s="6">
        <f t="shared" si="348"/>
        <v>2033</v>
      </c>
      <c r="C1532" s="1" t="s">
        <v>40</v>
      </c>
      <c r="D1532" s="2" t="s">
        <v>2003</v>
      </c>
      <c r="E1532" s="9" t="str">
        <f t="shared" si="347"/>
        <v>PSDP'!</v>
      </c>
      <c r="F1532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32" s="6" t="s">
        <v>103</v>
      </c>
      <c r="H1532" s="1"/>
      <c r="I1532" s="1"/>
      <c r="J1532" s="1"/>
    </row>
    <row r="1533" spans="1:10" x14ac:dyDescent="0.35">
      <c r="A1533" s="6" t="s">
        <v>21</v>
      </c>
      <c r="B1533" s="6">
        <f t="shared" si="348"/>
        <v>2034</v>
      </c>
      <c r="C1533" s="1" t="s">
        <v>40</v>
      </c>
      <c r="D1533" s="2" t="s">
        <v>2003</v>
      </c>
      <c r="E1533" s="9" t="str">
        <f t="shared" si="347"/>
        <v>PSDP'!</v>
      </c>
      <c r="F1533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33" s="6" t="s">
        <v>103</v>
      </c>
      <c r="H1533" s="1"/>
      <c r="I1533" s="1"/>
      <c r="J1533" s="1"/>
    </row>
    <row r="1534" spans="1:10" x14ac:dyDescent="0.35">
      <c r="A1534" s="6" t="s">
        <v>21</v>
      </c>
      <c r="B1534" s="6">
        <f t="shared" si="348"/>
        <v>2035</v>
      </c>
      <c r="C1534" s="1" t="s">
        <v>40</v>
      </c>
      <c r="D1534" s="2" t="s">
        <v>2003</v>
      </c>
      <c r="E1534" s="9" t="str">
        <f t="shared" si="347"/>
        <v>PSDP'!</v>
      </c>
      <c r="F1534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34" s="6" t="s">
        <v>103</v>
      </c>
      <c r="H1534" s="1"/>
      <c r="I1534" s="1"/>
      <c r="J1534" s="1"/>
    </row>
    <row r="1535" spans="1:10" x14ac:dyDescent="0.35">
      <c r="A1535" s="6" t="s">
        <v>21</v>
      </c>
      <c r="B1535" s="6">
        <f t="shared" si="348"/>
        <v>2036</v>
      </c>
      <c r="C1535" s="1" t="s">
        <v>40</v>
      </c>
      <c r="D1535" s="2" t="s">
        <v>2003</v>
      </c>
      <c r="E1535" s="9" t="str">
        <f t="shared" si="347"/>
        <v>PSDP'!</v>
      </c>
      <c r="F1535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35" s="6" t="s">
        <v>103</v>
      </c>
      <c r="H1535" s="1"/>
      <c r="I1535" s="1"/>
      <c r="J1535" s="1"/>
    </row>
    <row r="1536" spans="1:10" x14ac:dyDescent="0.35">
      <c r="A1536" s="6" t="s">
        <v>21</v>
      </c>
      <c r="B1536" s="6">
        <f>+B1535+1</f>
        <v>2037</v>
      </c>
      <c r="C1536" s="1" t="s">
        <v>40</v>
      </c>
      <c r="D1536" s="2" t="s">
        <v>2003</v>
      </c>
      <c r="E1536" s="9" t="str">
        <f t="shared" si="347"/>
        <v>PSDP'!</v>
      </c>
      <c r="F1536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36" s="6" t="s">
        <v>103</v>
      </c>
      <c r="H1536" s="1"/>
      <c r="I1536" s="1"/>
      <c r="J1536" s="1"/>
    </row>
    <row r="1537" spans="1:10" x14ac:dyDescent="0.35">
      <c r="A1537" s="6" t="s">
        <v>21</v>
      </c>
      <c r="B1537" s="6">
        <f t="shared" ref="B1537:B1539" si="349">+B1536+1</f>
        <v>2038</v>
      </c>
      <c r="C1537" s="1" t="s">
        <v>40</v>
      </c>
      <c r="D1537" s="2" t="s">
        <v>2003</v>
      </c>
      <c r="E1537" s="9" t="str">
        <f t="shared" si="347"/>
        <v>PSDP'!</v>
      </c>
      <c r="F1537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37" s="6" t="s">
        <v>103</v>
      </c>
      <c r="H1537" s="1"/>
      <c r="I1537" s="1"/>
      <c r="J1537" s="1"/>
    </row>
    <row r="1538" spans="1:10" x14ac:dyDescent="0.35">
      <c r="A1538" s="6" t="s">
        <v>21</v>
      </c>
      <c r="B1538" s="6">
        <f t="shared" si="349"/>
        <v>2039</v>
      </c>
      <c r="C1538" s="1" t="s">
        <v>40</v>
      </c>
      <c r="D1538" s="2" t="s">
        <v>2003</v>
      </c>
      <c r="E1538" s="9" t="str">
        <f t="shared" si="347"/>
        <v>PSDP'!</v>
      </c>
      <c r="F1538" s="5" t="str">
        <f t="shared" ref="F1538:F1542" si="350">_xlfn.CONCAT(D1538," ",E1538)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38" s="6" t="s">
        <v>103</v>
      </c>
      <c r="H1538" s="1"/>
      <c r="I1538" s="1"/>
      <c r="J1538" s="1"/>
    </row>
    <row r="1539" spans="1:10" x14ac:dyDescent="0.35">
      <c r="A1539" s="6" t="s">
        <v>21</v>
      </c>
      <c r="B1539" s="6">
        <f t="shared" si="349"/>
        <v>2040</v>
      </c>
      <c r="C1539" s="1" t="s">
        <v>40</v>
      </c>
      <c r="D1539" s="2" t="s">
        <v>2003</v>
      </c>
      <c r="E1539" s="9" t="str">
        <f t="shared" si="347"/>
        <v>PSDP'!</v>
      </c>
      <c r="F1539" s="5" t="str">
        <f t="shared" si="35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39" s="6" t="s">
        <v>103</v>
      </c>
      <c r="H1539" s="1"/>
      <c r="I1539" s="1"/>
      <c r="J1539" s="1"/>
    </row>
    <row r="1540" spans="1:10" x14ac:dyDescent="0.35">
      <c r="A1540" s="6" t="s">
        <v>21</v>
      </c>
      <c r="B1540" s="6">
        <f>+B1539+1</f>
        <v>2041</v>
      </c>
      <c r="C1540" s="1" t="s">
        <v>40</v>
      </c>
      <c r="D1540" s="2" t="s">
        <v>2003</v>
      </c>
      <c r="E1540" s="9" t="str">
        <f t="shared" si="347"/>
        <v>PSDP'!</v>
      </c>
      <c r="F1540" s="5" t="str">
        <f t="shared" si="35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40" s="6" t="s">
        <v>103</v>
      </c>
      <c r="H1540" s="1"/>
      <c r="I1540" s="1"/>
      <c r="J1540" s="1"/>
    </row>
    <row r="1541" spans="1:10" x14ac:dyDescent="0.35">
      <c r="A1541" s="6" t="s">
        <v>21</v>
      </c>
      <c r="B1541" s="6">
        <f t="shared" ref="B1541:B1542" si="351">+B1540+1</f>
        <v>2042</v>
      </c>
      <c r="C1541" s="1" t="s">
        <v>40</v>
      </c>
      <c r="D1541" s="2" t="s">
        <v>2003</v>
      </c>
      <c r="E1541" s="9" t="str">
        <f t="shared" si="347"/>
        <v>PSDP'!</v>
      </c>
      <c r="F1541" s="5" t="str">
        <f t="shared" si="35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41" s="6" t="s">
        <v>103</v>
      </c>
      <c r="H1541" s="1"/>
      <c r="I1541" s="1"/>
      <c r="J1541" s="1"/>
    </row>
    <row r="1542" spans="1:10" x14ac:dyDescent="0.35">
      <c r="A1542" s="6" t="s">
        <v>21</v>
      </c>
      <c r="B1542" s="6">
        <f t="shared" si="351"/>
        <v>2043</v>
      </c>
      <c r="C1542" s="1" t="s">
        <v>40</v>
      </c>
      <c r="D1542" s="2" t="s">
        <v>2003</v>
      </c>
      <c r="E1542" s="9" t="str">
        <f t="shared" si="347"/>
        <v>PSDP'!</v>
      </c>
      <c r="F1542" s="5" t="str">
        <f t="shared" si="35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42" s="6" t="s">
        <v>103</v>
      </c>
      <c r="H1542" s="1"/>
      <c r="I1542" s="1"/>
      <c r="J1542" s="1"/>
    </row>
    <row r="1543" spans="1:10" x14ac:dyDescent="0.35">
      <c r="A1543" s="6" t="s">
        <v>21</v>
      </c>
      <c r="B1543" s="6">
        <f>+B1542+1</f>
        <v>2044</v>
      </c>
      <c r="C1543" s="1" t="s">
        <v>40</v>
      </c>
      <c r="D1543" s="2" t="s">
        <v>2003</v>
      </c>
      <c r="E1543" s="9" t="str">
        <f t="shared" ref="E1543:E1558" si="352">_xlfn.CONCAT(A1543,"'!")</f>
        <v>PSDP'!</v>
      </c>
      <c r="F1543" s="5" t="str">
        <f t="shared" ref="F1543:F1558" si="353">_xlfn.CONCAT(D1543," ",E1543)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43" s="6" t="s">
        <v>103</v>
      </c>
      <c r="H1543" s="1"/>
      <c r="I1543" s="1"/>
      <c r="J1543" s="1"/>
    </row>
    <row r="1544" spans="1:10" x14ac:dyDescent="0.35">
      <c r="A1544" s="6" t="s">
        <v>21</v>
      </c>
      <c r="B1544" s="6">
        <f t="shared" ref="B1544:B1558" si="354">+B1543+1</f>
        <v>2045</v>
      </c>
      <c r="C1544" s="1" t="s">
        <v>40</v>
      </c>
      <c r="D1544" s="2" t="s">
        <v>2003</v>
      </c>
      <c r="E1544" s="9" t="str">
        <f t="shared" si="352"/>
        <v>PSDP'!</v>
      </c>
      <c r="F1544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44" s="6" t="s">
        <v>103</v>
      </c>
      <c r="H1544" s="1"/>
      <c r="I1544" s="1"/>
      <c r="J1544" s="1"/>
    </row>
    <row r="1545" spans="1:10" x14ac:dyDescent="0.35">
      <c r="A1545" s="6" t="s">
        <v>21</v>
      </c>
      <c r="B1545" s="6">
        <f t="shared" si="354"/>
        <v>2046</v>
      </c>
      <c r="C1545" s="1" t="s">
        <v>40</v>
      </c>
      <c r="D1545" s="2" t="s">
        <v>2003</v>
      </c>
      <c r="E1545" s="9" t="str">
        <f t="shared" si="352"/>
        <v>PSDP'!</v>
      </c>
      <c r="F1545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45" s="6" t="s">
        <v>103</v>
      </c>
      <c r="H1545" s="1"/>
      <c r="I1545" s="1"/>
      <c r="J1545" s="1"/>
    </row>
    <row r="1546" spans="1:10" x14ac:dyDescent="0.35">
      <c r="A1546" s="6" t="s">
        <v>21</v>
      </c>
      <c r="B1546" s="6">
        <f t="shared" si="354"/>
        <v>2047</v>
      </c>
      <c r="C1546" s="1" t="s">
        <v>40</v>
      </c>
      <c r="D1546" s="2" t="s">
        <v>2003</v>
      </c>
      <c r="E1546" s="9" t="str">
        <f t="shared" si="352"/>
        <v>PSDP'!</v>
      </c>
      <c r="F1546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46" s="6" t="s">
        <v>103</v>
      </c>
      <c r="H1546" s="1"/>
      <c r="I1546" s="1"/>
      <c r="J1546" s="1"/>
    </row>
    <row r="1547" spans="1:10" x14ac:dyDescent="0.35">
      <c r="A1547" s="6" t="s">
        <v>21</v>
      </c>
      <c r="B1547" s="6">
        <f t="shared" si="354"/>
        <v>2048</v>
      </c>
      <c r="C1547" s="1" t="s">
        <v>40</v>
      </c>
      <c r="D1547" s="2" t="s">
        <v>2003</v>
      </c>
      <c r="E1547" s="9" t="str">
        <f t="shared" si="352"/>
        <v>PSDP'!</v>
      </c>
      <c r="F1547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47" s="6" t="s">
        <v>103</v>
      </c>
      <c r="H1547" s="1"/>
      <c r="I1547" s="1"/>
      <c r="J1547" s="1"/>
    </row>
    <row r="1548" spans="1:10" x14ac:dyDescent="0.35">
      <c r="A1548" s="6" t="s">
        <v>21</v>
      </c>
      <c r="B1548" s="6">
        <f t="shared" si="354"/>
        <v>2049</v>
      </c>
      <c r="C1548" s="1" t="s">
        <v>40</v>
      </c>
      <c r="D1548" s="2" t="s">
        <v>2003</v>
      </c>
      <c r="E1548" s="9" t="str">
        <f t="shared" si="352"/>
        <v>PSDP'!</v>
      </c>
      <c r="F1548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48" s="6" t="s">
        <v>103</v>
      </c>
      <c r="H1548" s="1"/>
      <c r="I1548" s="1"/>
      <c r="J1548" s="1"/>
    </row>
    <row r="1549" spans="1:10" x14ac:dyDescent="0.35">
      <c r="A1549" s="6" t="s">
        <v>21</v>
      </c>
      <c r="B1549" s="6">
        <f t="shared" si="354"/>
        <v>2050</v>
      </c>
      <c r="C1549" s="1" t="s">
        <v>40</v>
      </c>
      <c r="D1549" s="2" t="s">
        <v>2003</v>
      </c>
      <c r="E1549" s="9" t="str">
        <f t="shared" si="352"/>
        <v>PSDP'!</v>
      </c>
      <c r="F1549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49" s="6" t="s">
        <v>103</v>
      </c>
      <c r="H1549" s="1"/>
      <c r="I1549" s="1"/>
      <c r="J1549" s="1"/>
    </row>
    <row r="1550" spans="1:10" x14ac:dyDescent="0.35">
      <c r="A1550" s="6" t="s">
        <v>21</v>
      </c>
      <c r="B1550" s="6">
        <f t="shared" si="354"/>
        <v>2051</v>
      </c>
      <c r="C1550" s="1" t="s">
        <v>40</v>
      </c>
      <c r="D1550" s="2" t="s">
        <v>2003</v>
      </c>
      <c r="E1550" s="9" t="str">
        <f t="shared" si="352"/>
        <v>PSDP'!</v>
      </c>
      <c r="F1550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50" s="6" t="s">
        <v>103</v>
      </c>
      <c r="H1550" s="1"/>
      <c r="I1550" s="1"/>
      <c r="J1550" s="1"/>
    </row>
    <row r="1551" spans="1:10" x14ac:dyDescent="0.35">
      <c r="A1551" s="6" t="s">
        <v>21</v>
      </c>
      <c r="B1551" s="6">
        <f t="shared" si="354"/>
        <v>2052</v>
      </c>
      <c r="C1551" s="1" t="s">
        <v>40</v>
      </c>
      <c r="D1551" s="2" t="s">
        <v>2003</v>
      </c>
      <c r="E1551" s="9" t="str">
        <f t="shared" si="352"/>
        <v>PSDP'!</v>
      </c>
      <c r="F1551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51" s="6" t="s">
        <v>103</v>
      </c>
      <c r="H1551" s="1"/>
      <c r="I1551" s="1"/>
      <c r="J1551" s="1"/>
    </row>
    <row r="1552" spans="1:10" x14ac:dyDescent="0.35">
      <c r="A1552" s="6" t="s">
        <v>21</v>
      </c>
      <c r="B1552" s="6">
        <f t="shared" si="354"/>
        <v>2053</v>
      </c>
      <c r="C1552" s="1" t="s">
        <v>40</v>
      </c>
      <c r="D1552" s="2" t="s">
        <v>2003</v>
      </c>
      <c r="E1552" s="9" t="str">
        <f t="shared" si="352"/>
        <v>PSDP'!</v>
      </c>
      <c r="F1552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52" s="6" t="s">
        <v>103</v>
      </c>
      <c r="H1552" s="1"/>
      <c r="I1552" s="1"/>
      <c r="J1552" s="1"/>
    </row>
    <row r="1553" spans="1:10" x14ac:dyDescent="0.35">
      <c r="A1553" s="6" t="s">
        <v>21</v>
      </c>
      <c r="B1553" s="6">
        <f t="shared" si="354"/>
        <v>2054</v>
      </c>
      <c r="C1553" s="1" t="s">
        <v>40</v>
      </c>
      <c r="D1553" s="2" t="s">
        <v>2003</v>
      </c>
      <c r="E1553" s="9" t="str">
        <f t="shared" si="352"/>
        <v>PSDP'!</v>
      </c>
      <c r="F1553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53" s="6" t="s">
        <v>103</v>
      </c>
      <c r="H1553" s="1"/>
      <c r="I1553" s="1"/>
      <c r="J1553" s="1"/>
    </row>
    <row r="1554" spans="1:10" x14ac:dyDescent="0.35">
      <c r="A1554" s="6" t="s">
        <v>21</v>
      </c>
      <c r="B1554" s="6">
        <f t="shared" si="354"/>
        <v>2055</v>
      </c>
      <c r="C1554" s="1" t="s">
        <v>40</v>
      </c>
      <c r="D1554" s="2" t="s">
        <v>2003</v>
      </c>
      <c r="E1554" s="9" t="str">
        <f t="shared" si="352"/>
        <v>PSDP'!</v>
      </c>
      <c r="F1554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54" s="6" t="s">
        <v>103</v>
      </c>
      <c r="H1554" s="1"/>
      <c r="I1554" s="1"/>
      <c r="J1554" s="1"/>
    </row>
    <row r="1555" spans="1:10" x14ac:dyDescent="0.35">
      <c r="A1555" s="6" t="s">
        <v>21</v>
      </c>
      <c r="B1555" s="6">
        <f t="shared" si="354"/>
        <v>2056</v>
      </c>
      <c r="C1555" s="1" t="s">
        <v>40</v>
      </c>
      <c r="D1555" s="2" t="s">
        <v>2003</v>
      </c>
      <c r="E1555" s="9" t="str">
        <f t="shared" si="352"/>
        <v>PSDP'!</v>
      </c>
      <c r="F1555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55" s="6" t="s">
        <v>103</v>
      </c>
      <c r="H1555" s="1"/>
      <c r="I1555" s="1"/>
      <c r="J1555" s="1"/>
    </row>
    <row r="1556" spans="1:10" x14ac:dyDescent="0.35">
      <c r="A1556" s="6" t="s">
        <v>21</v>
      </c>
      <c r="B1556" s="6">
        <f t="shared" si="354"/>
        <v>2057</v>
      </c>
      <c r="C1556" s="1" t="s">
        <v>40</v>
      </c>
      <c r="D1556" s="2" t="s">
        <v>2003</v>
      </c>
      <c r="E1556" s="9" t="str">
        <f t="shared" si="352"/>
        <v>PSDP'!</v>
      </c>
      <c r="F1556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56" s="6" t="s">
        <v>103</v>
      </c>
      <c r="H1556" s="1"/>
      <c r="I1556" s="1"/>
      <c r="J1556" s="1"/>
    </row>
    <row r="1557" spans="1:10" x14ac:dyDescent="0.35">
      <c r="A1557" s="6" t="s">
        <v>21</v>
      </c>
      <c r="B1557" s="6">
        <f t="shared" si="354"/>
        <v>2058</v>
      </c>
      <c r="C1557" s="1" t="s">
        <v>40</v>
      </c>
      <c r="D1557" s="2" t="s">
        <v>2003</v>
      </c>
      <c r="E1557" s="9" t="str">
        <f t="shared" si="352"/>
        <v>PSDP'!</v>
      </c>
      <c r="F1557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57" s="6" t="s">
        <v>103</v>
      </c>
      <c r="H1557" s="1"/>
      <c r="I1557" s="1"/>
      <c r="J1557" s="1"/>
    </row>
    <row r="1558" spans="1:10" x14ac:dyDescent="0.35">
      <c r="A1558" s="6" t="s">
        <v>21</v>
      </c>
      <c r="B1558" s="6">
        <f t="shared" si="354"/>
        <v>2059</v>
      </c>
      <c r="C1558" s="1" t="s">
        <v>40</v>
      </c>
      <c r="D1558" s="2" t="s">
        <v>2003</v>
      </c>
      <c r="E1558" s="9" t="str">
        <f t="shared" si="352"/>
        <v>PSDP'!</v>
      </c>
      <c r="F1558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58" s="6" t="s">
        <v>103</v>
      </c>
      <c r="H1558" s="1"/>
      <c r="I1558" s="1"/>
      <c r="J1558" s="1"/>
    </row>
    <row r="1559" spans="1:10" x14ac:dyDescent="0.35">
      <c r="A1559" s="6" t="s">
        <v>26</v>
      </c>
      <c r="B1559" s="6"/>
      <c r="C1559" s="1" t="s">
        <v>40</v>
      </c>
      <c r="D1559" s="2"/>
      <c r="E1559" s="9"/>
      <c r="F1559" s="2"/>
      <c r="G1559" s="6"/>
      <c r="H1559" s="1"/>
      <c r="I1559" s="1"/>
      <c r="J1559" s="1"/>
    </row>
    <row r="1560" spans="1:10" x14ac:dyDescent="0.35">
      <c r="A1560" s="6" t="s">
        <v>22</v>
      </c>
      <c r="B1560" s="6">
        <v>2023</v>
      </c>
      <c r="C1560" s="1" t="s">
        <v>40</v>
      </c>
      <c r="D1560" s="2" t="s">
        <v>2003</v>
      </c>
      <c r="E1560" s="9" t="str">
        <f t="shared" ref="E1560:E1580" si="355">_xlfn.CONCAT(A1560,"'!")</f>
        <v>PSNP'!</v>
      </c>
      <c r="F1560" s="5" t="str">
        <f t="shared" ref="F1560:F1580" si="356">_xlfn.CONCAT(D1560," ",E1560)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60" s="6" t="s">
        <v>103</v>
      </c>
      <c r="H1560" s="1"/>
      <c r="I1560" s="1"/>
      <c r="J1560" s="1"/>
    </row>
    <row r="1561" spans="1:10" x14ac:dyDescent="0.35">
      <c r="A1561" s="6" t="s">
        <v>22</v>
      </c>
      <c r="B1561" s="6">
        <f>+B1560+1</f>
        <v>2024</v>
      </c>
      <c r="C1561" s="1" t="s">
        <v>40</v>
      </c>
      <c r="D1561" s="2" t="s">
        <v>2003</v>
      </c>
      <c r="E1561" s="9" t="str">
        <f t="shared" si="355"/>
        <v>PSNP'!</v>
      </c>
      <c r="F1561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61" s="6" t="s">
        <v>103</v>
      </c>
      <c r="H1561" s="1"/>
      <c r="I1561" s="1"/>
      <c r="J1561" s="1"/>
    </row>
    <row r="1562" spans="1:10" x14ac:dyDescent="0.35">
      <c r="A1562" s="6" t="s">
        <v>22</v>
      </c>
      <c r="B1562" s="6">
        <f t="shared" ref="B1562:B1573" si="357">+B1561+1</f>
        <v>2025</v>
      </c>
      <c r="C1562" s="1" t="s">
        <v>40</v>
      </c>
      <c r="D1562" s="2" t="s">
        <v>2003</v>
      </c>
      <c r="E1562" s="9" t="str">
        <f t="shared" si="355"/>
        <v>PSNP'!</v>
      </c>
      <c r="F1562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62" s="6" t="s">
        <v>103</v>
      </c>
      <c r="H1562" s="1"/>
      <c r="I1562" s="1"/>
      <c r="J1562" s="1"/>
    </row>
    <row r="1563" spans="1:10" x14ac:dyDescent="0.35">
      <c r="A1563" s="6" t="s">
        <v>22</v>
      </c>
      <c r="B1563" s="6">
        <f t="shared" si="357"/>
        <v>2026</v>
      </c>
      <c r="C1563" s="1" t="s">
        <v>40</v>
      </c>
      <c r="D1563" s="2" t="s">
        <v>2003</v>
      </c>
      <c r="E1563" s="9" t="str">
        <f t="shared" si="355"/>
        <v>PSNP'!</v>
      </c>
      <c r="F1563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63" s="6" t="s">
        <v>103</v>
      </c>
      <c r="H1563" s="1"/>
      <c r="I1563" s="1"/>
      <c r="J1563" s="1"/>
    </row>
    <row r="1564" spans="1:10" x14ac:dyDescent="0.35">
      <c r="A1564" s="6" t="s">
        <v>22</v>
      </c>
      <c r="B1564" s="6">
        <f t="shared" si="357"/>
        <v>2027</v>
      </c>
      <c r="C1564" s="1" t="s">
        <v>40</v>
      </c>
      <c r="D1564" s="2" t="s">
        <v>2003</v>
      </c>
      <c r="E1564" s="9" t="str">
        <f t="shared" si="355"/>
        <v>PSNP'!</v>
      </c>
      <c r="F1564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64" s="6" t="s">
        <v>103</v>
      </c>
      <c r="H1564" s="1"/>
      <c r="I1564" s="1"/>
      <c r="J1564" s="1"/>
    </row>
    <row r="1565" spans="1:10" x14ac:dyDescent="0.35">
      <c r="A1565" s="6" t="s">
        <v>22</v>
      </c>
      <c r="B1565" s="6">
        <f t="shared" si="357"/>
        <v>2028</v>
      </c>
      <c r="C1565" s="1" t="s">
        <v>40</v>
      </c>
      <c r="D1565" s="2" t="s">
        <v>2003</v>
      </c>
      <c r="E1565" s="9" t="str">
        <f t="shared" si="355"/>
        <v>PSNP'!</v>
      </c>
      <c r="F1565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65" s="6" t="s">
        <v>103</v>
      </c>
      <c r="H1565" s="1"/>
      <c r="I1565" s="1"/>
      <c r="J1565" s="1"/>
    </row>
    <row r="1566" spans="1:10" x14ac:dyDescent="0.35">
      <c r="A1566" s="6" t="s">
        <v>22</v>
      </c>
      <c r="B1566" s="6">
        <f t="shared" si="357"/>
        <v>2029</v>
      </c>
      <c r="C1566" s="1" t="s">
        <v>40</v>
      </c>
      <c r="D1566" s="2" t="s">
        <v>2003</v>
      </c>
      <c r="E1566" s="9" t="str">
        <f t="shared" si="355"/>
        <v>PSNP'!</v>
      </c>
      <c r="F1566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66" s="6" t="s">
        <v>103</v>
      </c>
      <c r="H1566" s="1"/>
      <c r="I1566" s="1"/>
      <c r="J1566" s="1"/>
    </row>
    <row r="1567" spans="1:10" x14ac:dyDescent="0.35">
      <c r="A1567" s="6" t="s">
        <v>22</v>
      </c>
      <c r="B1567" s="6">
        <f t="shared" si="357"/>
        <v>2030</v>
      </c>
      <c r="C1567" s="1" t="s">
        <v>40</v>
      </c>
      <c r="D1567" s="2" t="s">
        <v>2003</v>
      </c>
      <c r="E1567" s="9" t="str">
        <f t="shared" si="355"/>
        <v>PSNP'!</v>
      </c>
      <c r="F1567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67" s="6" t="s">
        <v>103</v>
      </c>
      <c r="H1567" s="1"/>
      <c r="I1567" s="1"/>
      <c r="J1567" s="1"/>
    </row>
    <row r="1568" spans="1:10" x14ac:dyDescent="0.35">
      <c r="A1568" s="6" t="s">
        <v>22</v>
      </c>
      <c r="B1568" s="6">
        <f t="shared" si="357"/>
        <v>2031</v>
      </c>
      <c r="C1568" s="1" t="s">
        <v>40</v>
      </c>
      <c r="D1568" s="2" t="s">
        <v>2003</v>
      </c>
      <c r="E1568" s="9" t="str">
        <f t="shared" si="355"/>
        <v>PSNP'!</v>
      </c>
      <c r="F1568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68" s="6" t="s">
        <v>103</v>
      </c>
      <c r="H1568" s="1"/>
      <c r="I1568" s="1"/>
      <c r="J1568" s="1"/>
    </row>
    <row r="1569" spans="1:10" x14ac:dyDescent="0.35">
      <c r="A1569" s="6" t="s">
        <v>22</v>
      </c>
      <c r="B1569" s="6">
        <f t="shared" si="357"/>
        <v>2032</v>
      </c>
      <c r="C1569" s="1" t="s">
        <v>40</v>
      </c>
      <c r="D1569" s="2" t="s">
        <v>2003</v>
      </c>
      <c r="E1569" s="9" t="str">
        <f t="shared" si="355"/>
        <v>PSNP'!</v>
      </c>
      <c r="F1569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69" s="6" t="s">
        <v>103</v>
      </c>
      <c r="H1569" s="1"/>
      <c r="I1569" s="1"/>
      <c r="J1569" s="1"/>
    </row>
    <row r="1570" spans="1:10" x14ac:dyDescent="0.35">
      <c r="A1570" s="6" t="s">
        <v>22</v>
      </c>
      <c r="B1570" s="6">
        <f t="shared" si="357"/>
        <v>2033</v>
      </c>
      <c r="C1570" s="1" t="s">
        <v>40</v>
      </c>
      <c r="D1570" s="2" t="s">
        <v>2003</v>
      </c>
      <c r="E1570" s="9" t="str">
        <f t="shared" si="355"/>
        <v>PSNP'!</v>
      </c>
      <c r="F1570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70" s="6" t="s">
        <v>103</v>
      </c>
      <c r="H1570" s="1"/>
      <c r="I1570" s="1"/>
      <c r="J1570" s="1"/>
    </row>
    <row r="1571" spans="1:10" x14ac:dyDescent="0.35">
      <c r="A1571" s="6" t="s">
        <v>22</v>
      </c>
      <c r="B1571" s="6">
        <f t="shared" si="357"/>
        <v>2034</v>
      </c>
      <c r="C1571" s="1" t="s">
        <v>40</v>
      </c>
      <c r="D1571" s="2" t="s">
        <v>2003</v>
      </c>
      <c r="E1571" s="9" t="str">
        <f t="shared" si="355"/>
        <v>PSNP'!</v>
      </c>
      <c r="F1571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71" s="6" t="s">
        <v>103</v>
      </c>
      <c r="H1571" s="1"/>
      <c r="I1571" s="1"/>
      <c r="J1571" s="1"/>
    </row>
    <row r="1572" spans="1:10" x14ac:dyDescent="0.35">
      <c r="A1572" s="6" t="s">
        <v>22</v>
      </c>
      <c r="B1572" s="6">
        <f t="shared" si="357"/>
        <v>2035</v>
      </c>
      <c r="C1572" s="1" t="s">
        <v>40</v>
      </c>
      <c r="D1572" s="2" t="s">
        <v>2003</v>
      </c>
      <c r="E1572" s="9" t="str">
        <f t="shared" si="355"/>
        <v>PSNP'!</v>
      </c>
      <c r="F1572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72" s="6" t="s">
        <v>103</v>
      </c>
      <c r="H1572" s="1"/>
      <c r="I1572" s="1"/>
      <c r="J1572" s="1"/>
    </row>
    <row r="1573" spans="1:10" x14ac:dyDescent="0.35">
      <c r="A1573" s="6" t="s">
        <v>22</v>
      </c>
      <c r="B1573" s="6">
        <f t="shared" si="357"/>
        <v>2036</v>
      </c>
      <c r="C1573" s="1" t="s">
        <v>40</v>
      </c>
      <c r="D1573" s="2" t="s">
        <v>2003</v>
      </c>
      <c r="E1573" s="9" t="str">
        <f t="shared" si="355"/>
        <v>PSNP'!</v>
      </c>
      <c r="F1573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73" s="6" t="s">
        <v>103</v>
      </c>
      <c r="H1573" s="1"/>
      <c r="I1573" s="1"/>
      <c r="J1573" s="1"/>
    </row>
    <row r="1574" spans="1:10" x14ac:dyDescent="0.35">
      <c r="A1574" s="6" t="s">
        <v>22</v>
      </c>
      <c r="B1574" s="6">
        <f>+B1573+1</f>
        <v>2037</v>
      </c>
      <c r="C1574" s="1" t="s">
        <v>40</v>
      </c>
      <c r="D1574" s="2" t="s">
        <v>2003</v>
      </c>
      <c r="E1574" s="9" t="str">
        <f t="shared" si="355"/>
        <v>PSNP'!</v>
      </c>
      <c r="F1574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74" s="6" t="s">
        <v>103</v>
      </c>
      <c r="H1574" s="1"/>
      <c r="I1574" s="1"/>
      <c r="J1574" s="1"/>
    </row>
    <row r="1575" spans="1:10" x14ac:dyDescent="0.35">
      <c r="A1575" s="6" t="s">
        <v>22</v>
      </c>
      <c r="B1575" s="6">
        <f t="shared" ref="B1575:B1577" si="358">+B1574+1</f>
        <v>2038</v>
      </c>
      <c r="C1575" s="1" t="s">
        <v>40</v>
      </c>
      <c r="D1575" s="2" t="s">
        <v>2003</v>
      </c>
      <c r="E1575" s="9" t="str">
        <f t="shared" si="355"/>
        <v>PSNP'!</v>
      </c>
      <c r="F1575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75" s="6" t="s">
        <v>103</v>
      </c>
      <c r="H1575" s="1"/>
      <c r="I1575" s="1"/>
      <c r="J1575" s="1"/>
    </row>
    <row r="1576" spans="1:10" x14ac:dyDescent="0.35">
      <c r="A1576" s="6" t="s">
        <v>22</v>
      </c>
      <c r="B1576" s="6">
        <f t="shared" si="358"/>
        <v>2039</v>
      </c>
      <c r="C1576" s="1" t="s">
        <v>40</v>
      </c>
      <c r="D1576" s="2" t="s">
        <v>2003</v>
      </c>
      <c r="E1576" s="9" t="str">
        <f t="shared" si="355"/>
        <v>PSNP'!</v>
      </c>
      <c r="F1576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76" s="6" t="s">
        <v>103</v>
      </c>
      <c r="H1576" s="1"/>
      <c r="I1576" s="1"/>
      <c r="J1576" s="1"/>
    </row>
    <row r="1577" spans="1:10" x14ac:dyDescent="0.35">
      <c r="A1577" s="6" t="s">
        <v>22</v>
      </c>
      <c r="B1577" s="6">
        <f t="shared" si="358"/>
        <v>2040</v>
      </c>
      <c r="C1577" s="1" t="s">
        <v>40</v>
      </c>
      <c r="D1577" s="2" t="s">
        <v>2003</v>
      </c>
      <c r="E1577" s="9" t="str">
        <f t="shared" si="355"/>
        <v>PSNP'!</v>
      </c>
      <c r="F1577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77" s="6" t="s">
        <v>103</v>
      </c>
      <c r="H1577" s="1"/>
      <c r="I1577" s="1"/>
      <c r="J1577" s="1"/>
    </row>
    <row r="1578" spans="1:10" x14ac:dyDescent="0.35">
      <c r="A1578" s="6" t="s">
        <v>22</v>
      </c>
      <c r="B1578" s="6">
        <f>+B1577+1</f>
        <v>2041</v>
      </c>
      <c r="C1578" s="1" t="s">
        <v>40</v>
      </c>
      <c r="D1578" s="2" t="s">
        <v>2003</v>
      </c>
      <c r="E1578" s="9" t="str">
        <f t="shared" si="355"/>
        <v>PSNP'!</v>
      </c>
      <c r="F1578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78" s="6" t="s">
        <v>103</v>
      </c>
      <c r="H1578" s="1"/>
      <c r="I1578" s="1"/>
      <c r="J1578" s="1"/>
    </row>
    <row r="1579" spans="1:10" x14ac:dyDescent="0.35">
      <c r="A1579" s="6" t="s">
        <v>22</v>
      </c>
      <c r="B1579" s="6">
        <f t="shared" ref="B1579:B1580" si="359">+B1578+1</f>
        <v>2042</v>
      </c>
      <c r="C1579" s="1" t="s">
        <v>40</v>
      </c>
      <c r="D1579" s="2" t="s">
        <v>2003</v>
      </c>
      <c r="E1579" s="9" t="str">
        <f t="shared" si="355"/>
        <v>PSNP'!</v>
      </c>
      <c r="F1579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79" s="6" t="s">
        <v>103</v>
      </c>
      <c r="H1579" s="1"/>
      <c r="I1579" s="1"/>
      <c r="J1579" s="1"/>
    </row>
    <row r="1580" spans="1:10" x14ac:dyDescent="0.35">
      <c r="A1580" s="6" t="s">
        <v>22</v>
      </c>
      <c r="B1580" s="6">
        <f t="shared" si="359"/>
        <v>2043</v>
      </c>
      <c r="C1580" s="1" t="s">
        <v>40</v>
      </c>
      <c r="D1580" s="2" t="s">
        <v>2003</v>
      </c>
      <c r="E1580" s="9" t="str">
        <f t="shared" si="355"/>
        <v>PSNP'!</v>
      </c>
      <c r="F1580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80" s="6" t="s">
        <v>103</v>
      </c>
      <c r="H1580" s="1"/>
      <c r="I1580" s="1"/>
      <c r="J1580" s="1"/>
    </row>
    <row r="1581" spans="1:10" x14ac:dyDescent="0.35">
      <c r="A1581" s="6" t="s">
        <v>22</v>
      </c>
      <c r="B1581" s="6">
        <f>+B1580+1</f>
        <v>2044</v>
      </c>
      <c r="C1581" s="1" t="s">
        <v>40</v>
      </c>
      <c r="D1581" s="2" t="s">
        <v>2003</v>
      </c>
      <c r="E1581" s="9" t="str">
        <f t="shared" ref="E1581:E1596" si="360">_xlfn.CONCAT(A1581,"'!")</f>
        <v>PSNP'!</v>
      </c>
      <c r="F1581" s="5" t="str">
        <f t="shared" ref="F1581:F1596" si="361">_xlfn.CONCAT(D1581," ",E1581)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81" s="6" t="s">
        <v>103</v>
      </c>
      <c r="H1581" s="1"/>
      <c r="I1581" s="1"/>
      <c r="J1581" s="1"/>
    </row>
    <row r="1582" spans="1:10" x14ac:dyDescent="0.35">
      <c r="A1582" s="6" t="s">
        <v>22</v>
      </c>
      <c r="B1582" s="6">
        <f t="shared" ref="B1582:B1596" si="362">+B1581+1</f>
        <v>2045</v>
      </c>
      <c r="C1582" s="1" t="s">
        <v>40</v>
      </c>
      <c r="D1582" s="2" t="s">
        <v>2003</v>
      </c>
      <c r="E1582" s="9" t="str">
        <f t="shared" si="360"/>
        <v>PSNP'!</v>
      </c>
      <c r="F1582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82" s="6" t="s">
        <v>103</v>
      </c>
      <c r="H1582" s="1"/>
      <c r="I1582" s="1"/>
      <c r="J1582" s="1"/>
    </row>
    <row r="1583" spans="1:10" x14ac:dyDescent="0.35">
      <c r="A1583" s="6" t="s">
        <v>22</v>
      </c>
      <c r="B1583" s="6">
        <f t="shared" si="362"/>
        <v>2046</v>
      </c>
      <c r="C1583" s="1" t="s">
        <v>40</v>
      </c>
      <c r="D1583" s="2" t="s">
        <v>2003</v>
      </c>
      <c r="E1583" s="9" t="str">
        <f t="shared" si="360"/>
        <v>PSNP'!</v>
      </c>
      <c r="F1583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83" s="6" t="s">
        <v>103</v>
      </c>
      <c r="H1583" s="1"/>
      <c r="I1583" s="1"/>
      <c r="J1583" s="1"/>
    </row>
    <row r="1584" spans="1:10" x14ac:dyDescent="0.35">
      <c r="A1584" s="6" t="s">
        <v>22</v>
      </c>
      <c r="B1584" s="6">
        <f t="shared" si="362"/>
        <v>2047</v>
      </c>
      <c r="C1584" s="1" t="s">
        <v>40</v>
      </c>
      <c r="D1584" s="2" t="s">
        <v>2003</v>
      </c>
      <c r="E1584" s="9" t="str">
        <f t="shared" si="360"/>
        <v>PSNP'!</v>
      </c>
      <c r="F1584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84" s="6" t="s">
        <v>103</v>
      </c>
      <c r="H1584" s="1"/>
      <c r="I1584" s="1"/>
      <c r="J1584" s="1"/>
    </row>
    <row r="1585" spans="1:10" x14ac:dyDescent="0.35">
      <c r="A1585" s="6" t="s">
        <v>22</v>
      </c>
      <c r="B1585" s="6">
        <f t="shared" si="362"/>
        <v>2048</v>
      </c>
      <c r="C1585" s="1" t="s">
        <v>40</v>
      </c>
      <c r="D1585" s="2" t="s">
        <v>2003</v>
      </c>
      <c r="E1585" s="9" t="str">
        <f t="shared" si="360"/>
        <v>PSNP'!</v>
      </c>
      <c r="F1585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85" s="6" t="s">
        <v>103</v>
      </c>
      <c r="H1585" s="1"/>
      <c r="I1585" s="1"/>
      <c r="J1585" s="1"/>
    </row>
    <row r="1586" spans="1:10" x14ac:dyDescent="0.35">
      <c r="A1586" s="6" t="s">
        <v>22</v>
      </c>
      <c r="B1586" s="6">
        <f t="shared" si="362"/>
        <v>2049</v>
      </c>
      <c r="C1586" s="1" t="s">
        <v>40</v>
      </c>
      <c r="D1586" s="2" t="s">
        <v>2003</v>
      </c>
      <c r="E1586" s="9" t="str">
        <f t="shared" si="360"/>
        <v>PSNP'!</v>
      </c>
      <c r="F1586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86" s="6" t="s">
        <v>103</v>
      </c>
      <c r="H1586" s="1"/>
      <c r="I1586" s="1"/>
      <c r="J1586" s="1"/>
    </row>
    <row r="1587" spans="1:10" x14ac:dyDescent="0.35">
      <c r="A1587" s="6" t="s">
        <v>22</v>
      </c>
      <c r="B1587" s="6">
        <f t="shared" si="362"/>
        <v>2050</v>
      </c>
      <c r="C1587" s="1" t="s">
        <v>40</v>
      </c>
      <c r="D1587" s="2" t="s">
        <v>2003</v>
      </c>
      <c r="E1587" s="9" t="str">
        <f t="shared" si="360"/>
        <v>PSNP'!</v>
      </c>
      <c r="F1587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87" s="6" t="s">
        <v>103</v>
      </c>
      <c r="H1587" s="1"/>
      <c r="I1587" s="1"/>
      <c r="J1587" s="1"/>
    </row>
    <row r="1588" spans="1:10" x14ac:dyDescent="0.35">
      <c r="A1588" s="6" t="s">
        <v>22</v>
      </c>
      <c r="B1588" s="6">
        <f t="shared" si="362"/>
        <v>2051</v>
      </c>
      <c r="C1588" s="1" t="s">
        <v>40</v>
      </c>
      <c r="D1588" s="2" t="s">
        <v>2003</v>
      </c>
      <c r="E1588" s="9" t="str">
        <f t="shared" si="360"/>
        <v>PSNP'!</v>
      </c>
      <c r="F1588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88" s="6" t="s">
        <v>103</v>
      </c>
      <c r="H1588" s="1"/>
      <c r="I1588" s="1"/>
      <c r="J1588" s="1"/>
    </row>
    <row r="1589" spans="1:10" x14ac:dyDescent="0.35">
      <c r="A1589" s="6" t="s">
        <v>22</v>
      </c>
      <c r="B1589" s="6">
        <f t="shared" si="362"/>
        <v>2052</v>
      </c>
      <c r="C1589" s="1" t="s">
        <v>40</v>
      </c>
      <c r="D1589" s="2" t="s">
        <v>2003</v>
      </c>
      <c r="E1589" s="9" t="str">
        <f t="shared" si="360"/>
        <v>PSNP'!</v>
      </c>
      <c r="F1589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89" s="6" t="s">
        <v>103</v>
      </c>
      <c r="H1589" s="1"/>
      <c r="I1589" s="1"/>
      <c r="J1589" s="1"/>
    </row>
    <row r="1590" spans="1:10" x14ac:dyDescent="0.35">
      <c r="A1590" s="6" t="s">
        <v>22</v>
      </c>
      <c r="B1590" s="6">
        <f t="shared" si="362"/>
        <v>2053</v>
      </c>
      <c r="C1590" s="1" t="s">
        <v>40</v>
      </c>
      <c r="D1590" s="2" t="s">
        <v>2003</v>
      </c>
      <c r="E1590" s="9" t="str">
        <f t="shared" si="360"/>
        <v>PSNP'!</v>
      </c>
      <c r="F1590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90" s="6" t="s">
        <v>103</v>
      </c>
      <c r="H1590" s="1"/>
      <c r="I1590" s="1"/>
      <c r="J1590" s="1"/>
    </row>
    <row r="1591" spans="1:10" x14ac:dyDescent="0.35">
      <c r="A1591" s="6" t="s">
        <v>22</v>
      </c>
      <c r="B1591" s="6">
        <f t="shared" si="362"/>
        <v>2054</v>
      </c>
      <c r="C1591" s="1" t="s">
        <v>40</v>
      </c>
      <c r="D1591" s="2" t="s">
        <v>2003</v>
      </c>
      <c r="E1591" s="9" t="str">
        <f t="shared" si="360"/>
        <v>PSNP'!</v>
      </c>
      <c r="F1591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91" s="6" t="s">
        <v>103</v>
      </c>
      <c r="H1591" s="1"/>
      <c r="I1591" s="1"/>
      <c r="J1591" s="1"/>
    </row>
    <row r="1592" spans="1:10" x14ac:dyDescent="0.35">
      <c r="A1592" s="6" t="s">
        <v>22</v>
      </c>
      <c r="B1592" s="6">
        <f t="shared" si="362"/>
        <v>2055</v>
      </c>
      <c r="C1592" s="1" t="s">
        <v>40</v>
      </c>
      <c r="D1592" s="2" t="s">
        <v>2003</v>
      </c>
      <c r="E1592" s="9" t="str">
        <f t="shared" si="360"/>
        <v>PSNP'!</v>
      </c>
      <c r="F1592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92" s="6" t="s">
        <v>103</v>
      </c>
      <c r="H1592" s="1"/>
      <c r="I1592" s="1"/>
      <c r="J1592" s="1"/>
    </row>
    <row r="1593" spans="1:10" x14ac:dyDescent="0.35">
      <c r="A1593" s="6" t="s">
        <v>22</v>
      </c>
      <c r="B1593" s="6">
        <f t="shared" si="362"/>
        <v>2056</v>
      </c>
      <c r="C1593" s="1" t="s">
        <v>40</v>
      </c>
      <c r="D1593" s="2" t="s">
        <v>2003</v>
      </c>
      <c r="E1593" s="9" t="str">
        <f t="shared" si="360"/>
        <v>PSNP'!</v>
      </c>
      <c r="F1593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93" s="6" t="s">
        <v>103</v>
      </c>
      <c r="H1593" s="1"/>
      <c r="I1593" s="1"/>
      <c r="J1593" s="1"/>
    </row>
    <row r="1594" spans="1:10" x14ac:dyDescent="0.35">
      <c r="A1594" s="6" t="s">
        <v>22</v>
      </c>
      <c r="B1594" s="6">
        <f t="shared" si="362"/>
        <v>2057</v>
      </c>
      <c r="C1594" s="1" t="s">
        <v>40</v>
      </c>
      <c r="D1594" s="2" t="s">
        <v>2003</v>
      </c>
      <c r="E1594" s="9" t="str">
        <f t="shared" si="360"/>
        <v>PSNP'!</v>
      </c>
      <c r="F1594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94" s="6" t="s">
        <v>103</v>
      </c>
      <c r="H1594" s="1"/>
      <c r="I1594" s="1"/>
      <c r="J1594" s="1"/>
    </row>
    <row r="1595" spans="1:10" x14ac:dyDescent="0.35">
      <c r="A1595" s="6" t="s">
        <v>22</v>
      </c>
      <c r="B1595" s="6">
        <f t="shared" si="362"/>
        <v>2058</v>
      </c>
      <c r="C1595" s="1" t="s">
        <v>40</v>
      </c>
      <c r="D1595" s="2" t="s">
        <v>2003</v>
      </c>
      <c r="E1595" s="9" t="str">
        <f t="shared" si="360"/>
        <v>PSNP'!</v>
      </c>
      <c r="F1595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95" s="6" t="s">
        <v>103</v>
      </c>
      <c r="H1595" s="1"/>
      <c r="I1595" s="1"/>
      <c r="J1595" s="1"/>
    </row>
    <row r="1596" spans="1:10" x14ac:dyDescent="0.35">
      <c r="A1596" s="6" t="s">
        <v>22</v>
      </c>
      <c r="B1596" s="6">
        <f t="shared" si="362"/>
        <v>2059</v>
      </c>
      <c r="C1596" s="1" t="s">
        <v>40</v>
      </c>
      <c r="D1596" s="2" t="s">
        <v>2003</v>
      </c>
      <c r="E1596" s="9" t="str">
        <f t="shared" si="360"/>
        <v>PSNP'!</v>
      </c>
      <c r="F1596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96" s="6" t="s">
        <v>103</v>
      </c>
      <c r="H1596" s="1"/>
      <c r="I1596" s="1"/>
      <c r="J1596" s="1"/>
    </row>
    <row r="1597" spans="1:10" x14ac:dyDescent="0.35">
      <c r="A1597" s="6" t="s">
        <v>26</v>
      </c>
      <c r="B1597" s="6"/>
      <c r="C1597" s="1" t="s">
        <v>40</v>
      </c>
      <c r="D1597" s="2"/>
      <c r="E1597" s="9"/>
      <c r="F1597" s="2"/>
      <c r="G1597" s="6"/>
      <c r="H1597" s="1"/>
      <c r="I1597" s="1"/>
      <c r="J1597" s="1"/>
    </row>
    <row r="1598" spans="1:10" x14ac:dyDescent="0.35">
      <c r="A1598" s="6" t="s">
        <v>23</v>
      </c>
      <c r="B1598" s="6">
        <v>2023</v>
      </c>
      <c r="C1598" s="1" t="s">
        <v>40</v>
      </c>
      <c r="D1598" s="2" t="s">
        <v>2003</v>
      </c>
      <c r="E1598" s="9" t="str">
        <f t="shared" ref="E1598:E1618" si="363">_xlfn.CONCAT(A1598,"'!")</f>
        <v>PSND'!</v>
      </c>
      <c r="F1598" s="5" t="str">
        <f t="shared" ref="F1598:F1618" si="364">_xlfn.CONCAT(D1598," ",E1598)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598" s="6" t="s">
        <v>103</v>
      </c>
      <c r="H1598" s="1"/>
      <c r="I1598" s="1"/>
      <c r="J1598" s="1"/>
    </row>
    <row r="1599" spans="1:10" x14ac:dyDescent="0.35">
      <c r="A1599" s="6" t="s">
        <v>23</v>
      </c>
      <c r="B1599" s="6">
        <f>+B1598+1</f>
        <v>2024</v>
      </c>
      <c r="C1599" s="1" t="s">
        <v>40</v>
      </c>
      <c r="D1599" s="2" t="s">
        <v>2003</v>
      </c>
      <c r="E1599" s="9" t="str">
        <f t="shared" si="363"/>
        <v>PSND'!</v>
      </c>
      <c r="F1599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599" s="6" t="s">
        <v>103</v>
      </c>
      <c r="H1599" s="1"/>
      <c r="I1599" s="1"/>
      <c r="J1599" s="1"/>
    </row>
    <row r="1600" spans="1:10" x14ac:dyDescent="0.35">
      <c r="A1600" s="6" t="s">
        <v>23</v>
      </c>
      <c r="B1600" s="6">
        <f t="shared" ref="B1600:B1611" si="365">+B1599+1</f>
        <v>2025</v>
      </c>
      <c r="C1600" s="1" t="s">
        <v>40</v>
      </c>
      <c r="D1600" s="2" t="s">
        <v>2003</v>
      </c>
      <c r="E1600" s="9" t="str">
        <f t="shared" si="363"/>
        <v>PSND'!</v>
      </c>
      <c r="F1600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00" s="6" t="s">
        <v>103</v>
      </c>
      <c r="H1600" s="1"/>
      <c r="I1600" s="1"/>
      <c r="J1600" s="1"/>
    </row>
    <row r="1601" spans="1:10" x14ac:dyDescent="0.35">
      <c r="A1601" s="6" t="s">
        <v>23</v>
      </c>
      <c r="B1601" s="6">
        <f t="shared" si="365"/>
        <v>2026</v>
      </c>
      <c r="C1601" s="1" t="s">
        <v>40</v>
      </c>
      <c r="D1601" s="2" t="s">
        <v>2003</v>
      </c>
      <c r="E1601" s="9" t="str">
        <f t="shared" si="363"/>
        <v>PSND'!</v>
      </c>
      <c r="F1601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01" s="6" t="s">
        <v>103</v>
      </c>
      <c r="H1601" s="1"/>
      <c r="I1601" s="1"/>
      <c r="J1601" s="1"/>
    </row>
    <row r="1602" spans="1:10" x14ac:dyDescent="0.35">
      <c r="A1602" s="6" t="s">
        <v>23</v>
      </c>
      <c r="B1602" s="6">
        <f t="shared" si="365"/>
        <v>2027</v>
      </c>
      <c r="C1602" s="1" t="s">
        <v>40</v>
      </c>
      <c r="D1602" s="2" t="s">
        <v>2003</v>
      </c>
      <c r="E1602" s="9" t="str">
        <f t="shared" si="363"/>
        <v>PSND'!</v>
      </c>
      <c r="F1602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02" s="6" t="s">
        <v>103</v>
      </c>
      <c r="H1602" s="1"/>
      <c r="I1602" s="1"/>
      <c r="J1602" s="1"/>
    </row>
    <row r="1603" spans="1:10" x14ac:dyDescent="0.35">
      <c r="A1603" s="6" t="s">
        <v>23</v>
      </c>
      <c r="B1603" s="6">
        <f t="shared" si="365"/>
        <v>2028</v>
      </c>
      <c r="C1603" s="1" t="s">
        <v>40</v>
      </c>
      <c r="D1603" s="2" t="s">
        <v>2003</v>
      </c>
      <c r="E1603" s="9" t="str">
        <f t="shared" si="363"/>
        <v>PSND'!</v>
      </c>
      <c r="F1603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03" s="6" t="s">
        <v>103</v>
      </c>
      <c r="H1603" s="1"/>
      <c r="I1603" s="1"/>
      <c r="J1603" s="1"/>
    </row>
    <row r="1604" spans="1:10" x14ac:dyDescent="0.35">
      <c r="A1604" s="6" t="s">
        <v>23</v>
      </c>
      <c r="B1604" s="6">
        <f t="shared" si="365"/>
        <v>2029</v>
      </c>
      <c r="C1604" s="1" t="s">
        <v>40</v>
      </c>
      <c r="D1604" s="2" t="s">
        <v>2003</v>
      </c>
      <c r="E1604" s="9" t="str">
        <f t="shared" si="363"/>
        <v>PSND'!</v>
      </c>
      <c r="F1604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04" s="6" t="s">
        <v>103</v>
      </c>
      <c r="H1604" s="1"/>
      <c r="I1604" s="1"/>
      <c r="J1604" s="1"/>
    </row>
    <row r="1605" spans="1:10" x14ac:dyDescent="0.35">
      <c r="A1605" s="6" t="s">
        <v>23</v>
      </c>
      <c r="B1605" s="6">
        <f t="shared" si="365"/>
        <v>2030</v>
      </c>
      <c r="C1605" s="1" t="s">
        <v>40</v>
      </c>
      <c r="D1605" s="2" t="s">
        <v>2003</v>
      </c>
      <c r="E1605" s="9" t="str">
        <f t="shared" si="363"/>
        <v>PSND'!</v>
      </c>
      <c r="F1605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05" s="6" t="s">
        <v>103</v>
      </c>
      <c r="H1605" s="1"/>
      <c r="I1605" s="1"/>
      <c r="J1605" s="1"/>
    </row>
    <row r="1606" spans="1:10" x14ac:dyDescent="0.35">
      <c r="A1606" s="6" t="s">
        <v>23</v>
      </c>
      <c r="B1606" s="6">
        <f t="shared" si="365"/>
        <v>2031</v>
      </c>
      <c r="C1606" s="1" t="s">
        <v>40</v>
      </c>
      <c r="D1606" s="2" t="s">
        <v>2003</v>
      </c>
      <c r="E1606" s="9" t="str">
        <f t="shared" si="363"/>
        <v>PSND'!</v>
      </c>
      <c r="F1606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06" s="6" t="s">
        <v>103</v>
      </c>
      <c r="H1606" s="1"/>
      <c r="I1606" s="1"/>
      <c r="J1606" s="1"/>
    </row>
    <row r="1607" spans="1:10" x14ac:dyDescent="0.35">
      <c r="A1607" s="6" t="s">
        <v>23</v>
      </c>
      <c r="B1607" s="6">
        <f t="shared" si="365"/>
        <v>2032</v>
      </c>
      <c r="C1607" s="1" t="s">
        <v>40</v>
      </c>
      <c r="D1607" s="2" t="s">
        <v>2003</v>
      </c>
      <c r="E1607" s="9" t="str">
        <f t="shared" si="363"/>
        <v>PSND'!</v>
      </c>
      <c r="F1607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07" s="6" t="s">
        <v>103</v>
      </c>
      <c r="H1607" s="1"/>
      <c r="I1607" s="1"/>
      <c r="J1607" s="1"/>
    </row>
    <row r="1608" spans="1:10" x14ac:dyDescent="0.35">
      <c r="A1608" s="6" t="s">
        <v>23</v>
      </c>
      <c r="B1608" s="6">
        <f t="shared" si="365"/>
        <v>2033</v>
      </c>
      <c r="C1608" s="1" t="s">
        <v>40</v>
      </c>
      <c r="D1608" s="2" t="s">
        <v>2003</v>
      </c>
      <c r="E1608" s="9" t="str">
        <f t="shared" si="363"/>
        <v>PSND'!</v>
      </c>
      <c r="F1608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08" s="6" t="s">
        <v>103</v>
      </c>
      <c r="H1608" s="1"/>
      <c r="I1608" s="1"/>
      <c r="J1608" s="1"/>
    </row>
    <row r="1609" spans="1:10" x14ac:dyDescent="0.35">
      <c r="A1609" s="6" t="s">
        <v>23</v>
      </c>
      <c r="B1609" s="6">
        <f t="shared" si="365"/>
        <v>2034</v>
      </c>
      <c r="C1609" s="1" t="s">
        <v>40</v>
      </c>
      <c r="D1609" s="2" t="s">
        <v>2003</v>
      </c>
      <c r="E1609" s="9" t="str">
        <f t="shared" si="363"/>
        <v>PSND'!</v>
      </c>
      <c r="F1609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09" s="6" t="s">
        <v>103</v>
      </c>
      <c r="H1609" s="1"/>
      <c r="I1609" s="1"/>
      <c r="J1609" s="1"/>
    </row>
    <row r="1610" spans="1:10" x14ac:dyDescent="0.35">
      <c r="A1610" s="6" t="s">
        <v>23</v>
      </c>
      <c r="B1610" s="6">
        <f t="shared" si="365"/>
        <v>2035</v>
      </c>
      <c r="C1610" s="1" t="s">
        <v>40</v>
      </c>
      <c r="D1610" s="2" t="s">
        <v>2003</v>
      </c>
      <c r="E1610" s="9" t="str">
        <f t="shared" si="363"/>
        <v>PSND'!</v>
      </c>
      <c r="F1610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10" s="6" t="s">
        <v>103</v>
      </c>
      <c r="H1610" s="1"/>
      <c r="I1610" s="1"/>
      <c r="J1610" s="1"/>
    </row>
    <row r="1611" spans="1:10" x14ac:dyDescent="0.35">
      <c r="A1611" s="6" t="s">
        <v>23</v>
      </c>
      <c r="B1611" s="6">
        <f t="shared" si="365"/>
        <v>2036</v>
      </c>
      <c r="C1611" s="1" t="s">
        <v>40</v>
      </c>
      <c r="D1611" s="2" t="s">
        <v>2003</v>
      </c>
      <c r="E1611" s="9" t="str">
        <f t="shared" si="363"/>
        <v>PSND'!</v>
      </c>
      <c r="F1611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11" s="6" t="s">
        <v>103</v>
      </c>
      <c r="H1611" s="1"/>
      <c r="I1611" s="1"/>
      <c r="J1611" s="1"/>
    </row>
    <row r="1612" spans="1:10" x14ac:dyDescent="0.35">
      <c r="A1612" s="6" t="s">
        <v>23</v>
      </c>
      <c r="B1612" s="6">
        <f>+B1611+1</f>
        <v>2037</v>
      </c>
      <c r="C1612" s="1" t="s">
        <v>40</v>
      </c>
      <c r="D1612" s="2" t="s">
        <v>2003</v>
      </c>
      <c r="E1612" s="9" t="str">
        <f t="shared" si="363"/>
        <v>PSND'!</v>
      </c>
      <c r="F1612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12" s="6" t="s">
        <v>103</v>
      </c>
      <c r="H1612" s="1"/>
      <c r="I1612" s="1"/>
      <c r="J1612" s="1"/>
    </row>
    <row r="1613" spans="1:10" x14ac:dyDescent="0.35">
      <c r="A1613" s="6" t="s">
        <v>23</v>
      </c>
      <c r="B1613" s="6">
        <f t="shared" ref="B1613:B1615" si="366">+B1612+1</f>
        <v>2038</v>
      </c>
      <c r="C1613" s="1" t="s">
        <v>40</v>
      </c>
      <c r="D1613" s="2" t="s">
        <v>2003</v>
      </c>
      <c r="E1613" s="9" t="str">
        <f t="shared" si="363"/>
        <v>PSND'!</v>
      </c>
      <c r="F1613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13" s="6" t="s">
        <v>103</v>
      </c>
      <c r="H1613" s="1"/>
      <c r="I1613" s="1"/>
      <c r="J1613" s="1"/>
    </row>
    <row r="1614" spans="1:10" x14ac:dyDescent="0.35">
      <c r="A1614" s="6" t="s">
        <v>23</v>
      </c>
      <c r="B1614" s="6">
        <f t="shared" si="366"/>
        <v>2039</v>
      </c>
      <c r="C1614" s="1" t="s">
        <v>40</v>
      </c>
      <c r="D1614" s="2" t="s">
        <v>2003</v>
      </c>
      <c r="E1614" s="9" t="str">
        <f t="shared" si="363"/>
        <v>PSND'!</v>
      </c>
      <c r="F1614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14" s="6" t="s">
        <v>103</v>
      </c>
      <c r="H1614" s="1"/>
      <c r="I1614" s="1"/>
      <c r="J1614" s="1"/>
    </row>
    <row r="1615" spans="1:10" x14ac:dyDescent="0.35">
      <c r="A1615" s="6" t="s">
        <v>23</v>
      </c>
      <c r="B1615" s="6">
        <f t="shared" si="366"/>
        <v>2040</v>
      </c>
      <c r="C1615" s="1" t="s">
        <v>40</v>
      </c>
      <c r="D1615" s="2" t="s">
        <v>2003</v>
      </c>
      <c r="E1615" s="9" t="str">
        <f t="shared" si="363"/>
        <v>PSND'!</v>
      </c>
      <c r="F1615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15" s="6" t="s">
        <v>103</v>
      </c>
      <c r="H1615" s="1"/>
      <c r="I1615" s="1"/>
      <c r="J1615" s="1"/>
    </row>
    <row r="1616" spans="1:10" x14ac:dyDescent="0.35">
      <c r="A1616" s="6" t="s">
        <v>23</v>
      </c>
      <c r="B1616" s="6">
        <f>+B1615+1</f>
        <v>2041</v>
      </c>
      <c r="C1616" s="1" t="s">
        <v>40</v>
      </c>
      <c r="D1616" s="2" t="s">
        <v>2003</v>
      </c>
      <c r="E1616" s="9" t="str">
        <f t="shared" si="363"/>
        <v>PSND'!</v>
      </c>
      <c r="F1616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16" s="6" t="s">
        <v>103</v>
      </c>
      <c r="H1616" s="1"/>
      <c r="I1616" s="1"/>
      <c r="J1616" s="1"/>
    </row>
    <row r="1617" spans="1:10" x14ac:dyDescent="0.35">
      <c r="A1617" s="6" t="s">
        <v>23</v>
      </c>
      <c r="B1617" s="6">
        <f t="shared" ref="B1617:B1618" si="367">+B1616+1</f>
        <v>2042</v>
      </c>
      <c r="C1617" s="1" t="s">
        <v>40</v>
      </c>
      <c r="D1617" s="2" t="s">
        <v>2003</v>
      </c>
      <c r="E1617" s="9" t="str">
        <f t="shared" si="363"/>
        <v>PSND'!</v>
      </c>
      <c r="F1617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17" s="6" t="s">
        <v>103</v>
      </c>
      <c r="H1617" s="1"/>
      <c r="I1617" s="1"/>
      <c r="J1617" s="1"/>
    </row>
    <row r="1618" spans="1:10" x14ac:dyDescent="0.35">
      <c r="A1618" s="6" t="s">
        <v>23</v>
      </c>
      <c r="B1618" s="6">
        <f t="shared" si="367"/>
        <v>2043</v>
      </c>
      <c r="C1618" s="1" t="s">
        <v>40</v>
      </c>
      <c r="D1618" s="2" t="s">
        <v>2003</v>
      </c>
      <c r="E1618" s="9" t="str">
        <f t="shared" si="363"/>
        <v>PSND'!</v>
      </c>
      <c r="F1618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18" s="6" t="s">
        <v>103</v>
      </c>
      <c r="H1618" s="1"/>
      <c r="I1618" s="1"/>
      <c r="J1618" s="1"/>
    </row>
    <row r="1619" spans="1:10" x14ac:dyDescent="0.35">
      <c r="A1619" s="6" t="s">
        <v>23</v>
      </c>
      <c r="B1619" s="6">
        <f>+B1618+1</f>
        <v>2044</v>
      </c>
      <c r="C1619" s="1" t="s">
        <v>40</v>
      </c>
      <c r="D1619" s="2" t="s">
        <v>2003</v>
      </c>
      <c r="E1619" s="9" t="str">
        <f t="shared" ref="E1619:E1634" si="368">_xlfn.CONCAT(A1619,"'!")</f>
        <v>PSND'!</v>
      </c>
      <c r="F1619" s="5" t="str">
        <f t="shared" ref="F1619:F1634" si="369">_xlfn.CONCAT(D1619," ",E1619)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19" s="6" t="s">
        <v>103</v>
      </c>
      <c r="H1619" s="1"/>
      <c r="I1619" s="1"/>
      <c r="J1619" s="1"/>
    </row>
    <row r="1620" spans="1:10" x14ac:dyDescent="0.35">
      <c r="A1620" s="6" t="s">
        <v>23</v>
      </c>
      <c r="B1620" s="6">
        <f t="shared" ref="B1620:B1634" si="370">+B1619+1</f>
        <v>2045</v>
      </c>
      <c r="C1620" s="1" t="s">
        <v>40</v>
      </c>
      <c r="D1620" s="2" t="s">
        <v>2003</v>
      </c>
      <c r="E1620" s="9" t="str">
        <f t="shared" si="368"/>
        <v>PSND'!</v>
      </c>
      <c r="F1620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20" s="6" t="s">
        <v>103</v>
      </c>
      <c r="H1620" s="1"/>
      <c r="I1620" s="1"/>
      <c r="J1620" s="1"/>
    </row>
    <row r="1621" spans="1:10" x14ac:dyDescent="0.35">
      <c r="A1621" s="6" t="s">
        <v>23</v>
      </c>
      <c r="B1621" s="6">
        <f t="shared" si="370"/>
        <v>2046</v>
      </c>
      <c r="C1621" s="1" t="s">
        <v>40</v>
      </c>
      <c r="D1621" s="2" t="s">
        <v>2003</v>
      </c>
      <c r="E1621" s="9" t="str">
        <f t="shared" si="368"/>
        <v>PSND'!</v>
      </c>
      <c r="F1621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21" s="6" t="s">
        <v>103</v>
      </c>
      <c r="H1621" s="1"/>
      <c r="I1621" s="1"/>
      <c r="J1621" s="1"/>
    </row>
    <row r="1622" spans="1:10" x14ac:dyDescent="0.35">
      <c r="A1622" s="6" t="s">
        <v>23</v>
      </c>
      <c r="B1622" s="6">
        <f t="shared" si="370"/>
        <v>2047</v>
      </c>
      <c r="C1622" s="1" t="s">
        <v>40</v>
      </c>
      <c r="D1622" s="2" t="s">
        <v>2003</v>
      </c>
      <c r="E1622" s="9" t="str">
        <f t="shared" si="368"/>
        <v>PSND'!</v>
      </c>
      <c r="F1622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22" s="6" t="s">
        <v>103</v>
      </c>
      <c r="H1622" s="1"/>
      <c r="I1622" s="1"/>
      <c r="J1622" s="1"/>
    </row>
    <row r="1623" spans="1:10" x14ac:dyDescent="0.35">
      <c r="A1623" s="6" t="s">
        <v>23</v>
      </c>
      <c r="B1623" s="6">
        <f t="shared" si="370"/>
        <v>2048</v>
      </c>
      <c r="C1623" s="1" t="s">
        <v>40</v>
      </c>
      <c r="D1623" s="2" t="s">
        <v>2003</v>
      </c>
      <c r="E1623" s="9" t="str">
        <f t="shared" si="368"/>
        <v>PSND'!</v>
      </c>
      <c r="F1623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23" s="6" t="s">
        <v>103</v>
      </c>
      <c r="H1623" s="1"/>
      <c r="I1623" s="1"/>
      <c r="J1623" s="1"/>
    </row>
    <row r="1624" spans="1:10" x14ac:dyDescent="0.35">
      <c r="A1624" s="6" t="s">
        <v>23</v>
      </c>
      <c r="B1624" s="6">
        <f t="shared" si="370"/>
        <v>2049</v>
      </c>
      <c r="C1624" s="1" t="s">
        <v>40</v>
      </c>
      <c r="D1624" s="2" t="s">
        <v>2003</v>
      </c>
      <c r="E1624" s="9" t="str">
        <f t="shared" si="368"/>
        <v>PSND'!</v>
      </c>
      <c r="F1624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24" s="6" t="s">
        <v>103</v>
      </c>
      <c r="H1624" s="1"/>
      <c r="I1624" s="1"/>
      <c r="J1624" s="1"/>
    </row>
    <row r="1625" spans="1:10" x14ac:dyDescent="0.35">
      <c r="A1625" s="6" t="s">
        <v>23</v>
      </c>
      <c r="B1625" s="6">
        <f t="shared" si="370"/>
        <v>2050</v>
      </c>
      <c r="C1625" s="1" t="s">
        <v>40</v>
      </c>
      <c r="D1625" s="2" t="s">
        <v>2003</v>
      </c>
      <c r="E1625" s="9" t="str">
        <f t="shared" si="368"/>
        <v>PSND'!</v>
      </c>
      <c r="F1625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25" s="6" t="s">
        <v>103</v>
      </c>
      <c r="H1625" s="1"/>
      <c r="I1625" s="1"/>
      <c r="J1625" s="1"/>
    </row>
    <row r="1626" spans="1:10" x14ac:dyDescent="0.35">
      <c r="A1626" s="6" t="s">
        <v>23</v>
      </c>
      <c r="B1626" s="6">
        <f t="shared" si="370"/>
        <v>2051</v>
      </c>
      <c r="C1626" s="1" t="s">
        <v>40</v>
      </c>
      <c r="D1626" s="2" t="s">
        <v>2003</v>
      </c>
      <c r="E1626" s="9" t="str">
        <f t="shared" si="368"/>
        <v>PSND'!</v>
      </c>
      <c r="F1626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26" s="6" t="s">
        <v>103</v>
      </c>
      <c r="H1626" s="1"/>
      <c r="I1626" s="1"/>
      <c r="J1626" s="1"/>
    </row>
    <row r="1627" spans="1:10" x14ac:dyDescent="0.35">
      <c r="A1627" s="6" t="s">
        <v>23</v>
      </c>
      <c r="B1627" s="6">
        <f t="shared" si="370"/>
        <v>2052</v>
      </c>
      <c r="C1627" s="1" t="s">
        <v>40</v>
      </c>
      <c r="D1627" s="2" t="s">
        <v>2003</v>
      </c>
      <c r="E1627" s="9" t="str">
        <f t="shared" si="368"/>
        <v>PSND'!</v>
      </c>
      <c r="F1627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27" s="6" t="s">
        <v>103</v>
      </c>
      <c r="H1627" s="1"/>
      <c r="I1627" s="1"/>
      <c r="J1627" s="1"/>
    </row>
    <row r="1628" spans="1:10" x14ac:dyDescent="0.35">
      <c r="A1628" s="6" t="s">
        <v>23</v>
      </c>
      <c r="B1628" s="6">
        <f t="shared" si="370"/>
        <v>2053</v>
      </c>
      <c r="C1628" s="1" t="s">
        <v>40</v>
      </c>
      <c r="D1628" s="2" t="s">
        <v>2003</v>
      </c>
      <c r="E1628" s="9" t="str">
        <f t="shared" si="368"/>
        <v>PSND'!</v>
      </c>
      <c r="F1628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28" s="6" t="s">
        <v>103</v>
      </c>
      <c r="H1628" s="1"/>
      <c r="I1628" s="1"/>
      <c r="J1628" s="1"/>
    </row>
    <row r="1629" spans="1:10" x14ac:dyDescent="0.35">
      <c r="A1629" s="6" t="s">
        <v>23</v>
      </c>
      <c r="B1629" s="6">
        <f t="shared" si="370"/>
        <v>2054</v>
      </c>
      <c r="C1629" s="1" t="s">
        <v>40</v>
      </c>
      <c r="D1629" s="2" t="s">
        <v>2003</v>
      </c>
      <c r="E1629" s="9" t="str">
        <f t="shared" si="368"/>
        <v>PSND'!</v>
      </c>
      <c r="F1629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29" s="6" t="s">
        <v>103</v>
      </c>
      <c r="H1629" s="1"/>
      <c r="I1629" s="1"/>
      <c r="J1629" s="1"/>
    </row>
    <row r="1630" spans="1:10" x14ac:dyDescent="0.35">
      <c r="A1630" s="6" t="s">
        <v>23</v>
      </c>
      <c r="B1630" s="6">
        <f t="shared" si="370"/>
        <v>2055</v>
      </c>
      <c r="C1630" s="1" t="s">
        <v>40</v>
      </c>
      <c r="D1630" s="2" t="s">
        <v>2003</v>
      </c>
      <c r="E1630" s="9" t="str">
        <f t="shared" si="368"/>
        <v>PSND'!</v>
      </c>
      <c r="F1630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30" s="6" t="s">
        <v>103</v>
      </c>
      <c r="H1630" s="1"/>
      <c r="I1630" s="1"/>
      <c r="J1630" s="1"/>
    </row>
    <row r="1631" spans="1:10" x14ac:dyDescent="0.35">
      <c r="A1631" s="6" t="s">
        <v>23</v>
      </c>
      <c r="B1631" s="6">
        <f t="shared" si="370"/>
        <v>2056</v>
      </c>
      <c r="C1631" s="1" t="s">
        <v>40</v>
      </c>
      <c r="D1631" s="2" t="s">
        <v>2003</v>
      </c>
      <c r="E1631" s="9" t="str">
        <f t="shared" si="368"/>
        <v>PSND'!</v>
      </c>
      <c r="F1631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31" s="6" t="s">
        <v>103</v>
      </c>
      <c r="H1631" s="1"/>
      <c r="I1631" s="1"/>
      <c r="J1631" s="1"/>
    </row>
    <row r="1632" spans="1:10" x14ac:dyDescent="0.35">
      <c r="A1632" s="6" t="s">
        <v>23</v>
      </c>
      <c r="B1632" s="6">
        <f t="shared" si="370"/>
        <v>2057</v>
      </c>
      <c r="C1632" s="1" t="s">
        <v>40</v>
      </c>
      <c r="D1632" s="2" t="s">
        <v>2003</v>
      </c>
      <c r="E1632" s="9" t="str">
        <f t="shared" si="368"/>
        <v>PSND'!</v>
      </c>
      <c r="F1632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32" s="6" t="s">
        <v>103</v>
      </c>
      <c r="H1632" s="1"/>
      <c r="I1632" s="1"/>
      <c r="J1632" s="1"/>
    </row>
    <row r="1633" spans="1:10" x14ac:dyDescent="0.35">
      <c r="A1633" s="6" t="s">
        <v>23</v>
      </c>
      <c r="B1633" s="6">
        <f t="shared" si="370"/>
        <v>2058</v>
      </c>
      <c r="C1633" s="1" t="s">
        <v>40</v>
      </c>
      <c r="D1633" s="2" t="s">
        <v>2003</v>
      </c>
      <c r="E1633" s="9" t="str">
        <f t="shared" si="368"/>
        <v>PSND'!</v>
      </c>
      <c r="F1633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33" s="6" t="s">
        <v>103</v>
      </c>
      <c r="H1633" s="1"/>
      <c r="I1633" s="1"/>
      <c r="J1633" s="1"/>
    </row>
    <row r="1634" spans="1:10" x14ac:dyDescent="0.35">
      <c r="A1634" s="6" t="s">
        <v>23</v>
      </c>
      <c r="B1634" s="6">
        <f t="shared" si="370"/>
        <v>2059</v>
      </c>
      <c r="C1634" s="1" t="s">
        <v>40</v>
      </c>
      <c r="D1634" s="2" t="s">
        <v>2003</v>
      </c>
      <c r="E1634" s="9" t="str">
        <f t="shared" si="368"/>
        <v>PSND'!</v>
      </c>
      <c r="F1634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34" s="6" t="s">
        <v>103</v>
      </c>
      <c r="H1634" s="1"/>
      <c r="I1634" s="1"/>
      <c r="J1634" s="1"/>
    </row>
    <row r="1635" spans="1:10" x14ac:dyDescent="0.35">
      <c r="A1635" s="6" t="s">
        <v>26</v>
      </c>
      <c r="B1635" s="6"/>
      <c r="C1635" s="1" t="s">
        <v>40</v>
      </c>
      <c r="D1635" s="2"/>
      <c r="E1635" s="9"/>
      <c r="F1635" s="2"/>
      <c r="G1635" s="6"/>
      <c r="H1635" s="1"/>
      <c r="I1635" s="1"/>
      <c r="J1635" s="1"/>
    </row>
    <row r="1636" spans="1:10" x14ac:dyDescent="0.35">
      <c r="A1636" s="6" t="s">
        <v>24</v>
      </c>
      <c r="B1636" s="6">
        <v>2023</v>
      </c>
      <c r="C1636" s="1" t="s">
        <v>40</v>
      </c>
      <c r="D1636" s="2" t="s">
        <v>2003</v>
      </c>
      <c r="E1636" s="9" t="str">
        <f t="shared" si="308"/>
        <v>PS'!</v>
      </c>
      <c r="F1636" s="5" t="str">
        <f t="shared" ref="F1636:F1656" si="371">_xlfn.CONCAT(D1636," ",E1636)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36" s="6" t="s">
        <v>103</v>
      </c>
      <c r="H1636" s="1">
        <f>IF(A1636&lt;&gt;A1506,36,H1506+1)</f>
        <v>36</v>
      </c>
      <c r="I1636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PS'!$BX$36</v>
      </c>
      <c r="J1636" s="1" t="s">
        <v>2707</v>
      </c>
    </row>
    <row r="1637" spans="1:10" x14ac:dyDescent="0.35">
      <c r="A1637" s="6" t="s">
        <v>24</v>
      </c>
      <c r="B1637" s="6">
        <f>+B1636+1</f>
        <v>2024</v>
      </c>
      <c r="C1637" s="1" t="s">
        <v>40</v>
      </c>
      <c r="D1637" s="2" t="s">
        <v>2003</v>
      </c>
      <c r="E1637" s="9" t="str">
        <f t="shared" si="308"/>
        <v>PS'!</v>
      </c>
      <c r="F1637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37" s="6" t="s">
        <v>103</v>
      </c>
      <c r="H1637" s="1">
        <f t="shared" si="310"/>
        <v>37</v>
      </c>
      <c r="I1637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PS'!$BX$37</v>
      </c>
      <c r="J1637" s="1" t="s">
        <v>2708</v>
      </c>
    </row>
    <row r="1638" spans="1:10" x14ac:dyDescent="0.35">
      <c r="A1638" s="6" t="s">
        <v>24</v>
      </c>
      <c r="B1638" s="6">
        <f t="shared" ref="B1638:B1649" si="372">+B1637+1</f>
        <v>2025</v>
      </c>
      <c r="C1638" s="1" t="s">
        <v>40</v>
      </c>
      <c r="D1638" s="2" t="s">
        <v>2003</v>
      </c>
      <c r="E1638" s="9" t="str">
        <f t="shared" si="308"/>
        <v>PS'!</v>
      </c>
      <c r="F1638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38" s="6" t="s">
        <v>103</v>
      </c>
      <c r="H1638" s="1">
        <f t="shared" si="310"/>
        <v>38</v>
      </c>
      <c r="I1638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PS'!$BX$38</v>
      </c>
      <c r="J1638" s="1" t="s">
        <v>2709</v>
      </c>
    </row>
    <row r="1639" spans="1:10" x14ac:dyDescent="0.35">
      <c r="A1639" s="6" t="s">
        <v>24</v>
      </c>
      <c r="B1639" s="6">
        <f t="shared" si="372"/>
        <v>2026</v>
      </c>
      <c r="C1639" s="1" t="s">
        <v>40</v>
      </c>
      <c r="D1639" s="2" t="s">
        <v>2003</v>
      </c>
      <c r="E1639" s="9" t="str">
        <f t="shared" si="308"/>
        <v>PS'!</v>
      </c>
      <c r="F1639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39" s="6" t="s">
        <v>103</v>
      </c>
      <c r="H1639" s="1">
        <f t="shared" si="310"/>
        <v>39</v>
      </c>
      <c r="I1639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PS'!$BX$39</v>
      </c>
      <c r="J1639" s="1" t="s">
        <v>2710</v>
      </c>
    </row>
    <row r="1640" spans="1:10" x14ac:dyDescent="0.35">
      <c r="A1640" s="6" t="s">
        <v>24</v>
      </c>
      <c r="B1640" s="6">
        <f t="shared" si="372"/>
        <v>2027</v>
      </c>
      <c r="C1640" s="1" t="s">
        <v>40</v>
      </c>
      <c r="D1640" s="2" t="s">
        <v>2003</v>
      </c>
      <c r="E1640" s="9" t="str">
        <f t="shared" si="308"/>
        <v>PS'!</v>
      </c>
      <c r="F1640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40" s="6" t="s">
        <v>103</v>
      </c>
      <c r="H1640" s="1">
        <f t="shared" si="310"/>
        <v>40</v>
      </c>
      <c r="I1640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PS'!$BX$40</v>
      </c>
      <c r="J1640" s="1" t="s">
        <v>2711</v>
      </c>
    </row>
    <row r="1641" spans="1:10" x14ac:dyDescent="0.35">
      <c r="A1641" s="6" t="s">
        <v>24</v>
      </c>
      <c r="B1641" s="6">
        <f t="shared" si="372"/>
        <v>2028</v>
      </c>
      <c r="C1641" s="1" t="s">
        <v>40</v>
      </c>
      <c r="D1641" s="2" t="s">
        <v>2003</v>
      </c>
      <c r="E1641" s="9" t="str">
        <f t="shared" si="308"/>
        <v>PS'!</v>
      </c>
      <c r="F1641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41" s="6" t="s">
        <v>103</v>
      </c>
      <c r="H1641" s="1">
        <f t="shared" si="310"/>
        <v>41</v>
      </c>
      <c r="I1641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PS'!$BX$41</v>
      </c>
      <c r="J1641" s="1" t="s">
        <v>2712</v>
      </c>
    </row>
    <row r="1642" spans="1:10" x14ac:dyDescent="0.35">
      <c r="A1642" s="6" t="s">
        <v>24</v>
      </c>
      <c r="B1642" s="6">
        <f t="shared" si="372"/>
        <v>2029</v>
      </c>
      <c r="C1642" s="1" t="s">
        <v>40</v>
      </c>
      <c r="D1642" s="2" t="s">
        <v>2003</v>
      </c>
      <c r="E1642" s="9" t="str">
        <f t="shared" si="308"/>
        <v>PS'!</v>
      </c>
      <c r="F1642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42" s="6" t="s">
        <v>103</v>
      </c>
      <c r="H1642" s="1">
        <f t="shared" si="310"/>
        <v>42</v>
      </c>
      <c r="I1642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PS'!$BX$42</v>
      </c>
      <c r="J1642" s="1" t="s">
        <v>2713</v>
      </c>
    </row>
    <row r="1643" spans="1:10" x14ac:dyDescent="0.35">
      <c r="A1643" s="6" t="s">
        <v>24</v>
      </c>
      <c r="B1643" s="6">
        <f t="shared" si="372"/>
        <v>2030</v>
      </c>
      <c r="C1643" s="1" t="s">
        <v>40</v>
      </c>
      <c r="D1643" s="2" t="s">
        <v>2003</v>
      </c>
      <c r="E1643" s="9" t="str">
        <f t="shared" si="308"/>
        <v>PS'!</v>
      </c>
      <c r="F1643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43" s="6" t="s">
        <v>103</v>
      </c>
      <c r="H1643" s="1">
        <f t="shared" si="310"/>
        <v>43</v>
      </c>
      <c r="I1643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PS'!$BX$43</v>
      </c>
      <c r="J1643" s="1" t="s">
        <v>2714</v>
      </c>
    </row>
    <row r="1644" spans="1:10" x14ac:dyDescent="0.35">
      <c r="A1644" s="6" t="s">
        <v>24</v>
      </c>
      <c r="B1644" s="6">
        <f t="shared" si="372"/>
        <v>2031</v>
      </c>
      <c r="C1644" s="1" t="s">
        <v>40</v>
      </c>
      <c r="D1644" s="2" t="s">
        <v>2003</v>
      </c>
      <c r="E1644" s="9" t="str">
        <f t="shared" si="308"/>
        <v>PS'!</v>
      </c>
      <c r="F1644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44" s="6" t="s">
        <v>103</v>
      </c>
      <c r="H1644" s="1">
        <f t="shared" si="310"/>
        <v>44</v>
      </c>
      <c r="I1644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PS'!$BX$44</v>
      </c>
      <c r="J1644" s="1" t="s">
        <v>2715</v>
      </c>
    </row>
    <row r="1645" spans="1:10" x14ac:dyDescent="0.35">
      <c r="A1645" s="6" t="s">
        <v>24</v>
      </c>
      <c r="B1645" s="6">
        <f t="shared" si="372"/>
        <v>2032</v>
      </c>
      <c r="C1645" s="1" t="s">
        <v>40</v>
      </c>
      <c r="D1645" s="2" t="s">
        <v>2003</v>
      </c>
      <c r="E1645" s="9" t="str">
        <f t="shared" si="308"/>
        <v>PS'!</v>
      </c>
      <c r="F1645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45" s="6" t="s">
        <v>103</v>
      </c>
      <c r="H1645" s="1">
        <f t="shared" si="310"/>
        <v>45</v>
      </c>
      <c r="I1645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PS'!$BX$45</v>
      </c>
      <c r="J1645" s="1" t="s">
        <v>2716</v>
      </c>
    </row>
    <row r="1646" spans="1:10" x14ac:dyDescent="0.35">
      <c r="A1646" s="6" t="s">
        <v>24</v>
      </c>
      <c r="B1646" s="6">
        <f t="shared" si="372"/>
        <v>2033</v>
      </c>
      <c r="C1646" s="1" t="s">
        <v>40</v>
      </c>
      <c r="D1646" s="2" t="s">
        <v>2003</v>
      </c>
      <c r="E1646" s="9" t="str">
        <f t="shared" si="308"/>
        <v>PS'!</v>
      </c>
      <c r="F1646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46" s="6" t="s">
        <v>103</v>
      </c>
      <c r="H1646" s="1">
        <f t="shared" si="310"/>
        <v>46</v>
      </c>
      <c r="I1646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PS'!$BX$46</v>
      </c>
      <c r="J1646" s="1" t="s">
        <v>2717</v>
      </c>
    </row>
    <row r="1647" spans="1:10" x14ac:dyDescent="0.35">
      <c r="A1647" s="6" t="s">
        <v>24</v>
      </c>
      <c r="B1647" s="6">
        <f t="shared" si="372"/>
        <v>2034</v>
      </c>
      <c r="C1647" s="1" t="s">
        <v>40</v>
      </c>
      <c r="D1647" s="2" t="s">
        <v>2003</v>
      </c>
      <c r="E1647" s="9" t="str">
        <f t="shared" si="308"/>
        <v>PS'!</v>
      </c>
      <c r="F1647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47" s="6" t="s">
        <v>103</v>
      </c>
      <c r="H1647" s="1">
        <f t="shared" si="310"/>
        <v>47</v>
      </c>
      <c r="I1647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PS'!$BX$47</v>
      </c>
      <c r="J1647" s="1" t="s">
        <v>2718</v>
      </c>
    </row>
    <row r="1648" spans="1:10" x14ac:dyDescent="0.35">
      <c r="A1648" s="6" t="s">
        <v>24</v>
      </c>
      <c r="B1648" s="6">
        <f t="shared" si="372"/>
        <v>2035</v>
      </c>
      <c r="C1648" s="1" t="s">
        <v>40</v>
      </c>
      <c r="D1648" s="2" t="s">
        <v>2003</v>
      </c>
      <c r="E1648" s="9" t="str">
        <f t="shared" si="308"/>
        <v>PS'!</v>
      </c>
      <c r="F1648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48" s="6" t="s">
        <v>103</v>
      </c>
      <c r="H1648" s="1">
        <f t="shared" si="310"/>
        <v>48</v>
      </c>
      <c r="I1648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PS'!$BX$48</v>
      </c>
      <c r="J1648" s="1" t="s">
        <v>2719</v>
      </c>
    </row>
    <row r="1649" spans="1:10" x14ac:dyDescent="0.35">
      <c r="A1649" s="6" t="s">
        <v>24</v>
      </c>
      <c r="B1649" s="6">
        <f t="shared" si="372"/>
        <v>2036</v>
      </c>
      <c r="C1649" s="1" t="s">
        <v>40</v>
      </c>
      <c r="D1649" s="2" t="s">
        <v>2003</v>
      </c>
      <c r="E1649" s="9" t="str">
        <f t="shared" si="308"/>
        <v>PS'!</v>
      </c>
      <c r="F1649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49" s="6" t="s">
        <v>103</v>
      </c>
      <c r="H1649" s="1">
        <f t="shared" si="310"/>
        <v>49</v>
      </c>
      <c r="I1649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PS'!$BX$49</v>
      </c>
      <c r="J1649" s="1" t="s">
        <v>2720</v>
      </c>
    </row>
    <row r="1650" spans="1:10" x14ac:dyDescent="0.35">
      <c r="A1650" s="6" t="s">
        <v>24</v>
      </c>
      <c r="B1650" s="6">
        <f>+B1649+1</f>
        <v>2037</v>
      </c>
      <c r="C1650" s="1" t="s">
        <v>40</v>
      </c>
      <c r="D1650" s="2" t="s">
        <v>2003</v>
      </c>
      <c r="E1650" s="9" t="str">
        <f t="shared" si="308"/>
        <v>PS'!</v>
      </c>
      <c r="F1650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50" s="6" t="s">
        <v>103</v>
      </c>
      <c r="H1650" s="1">
        <f t="shared" si="310"/>
        <v>50</v>
      </c>
      <c r="I1650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PS'!$BX$50</v>
      </c>
      <c r="J1650" s="1" t="s">
        <v>2721</v>
      </c>
    </row>
    <row r="1651" spans="1:10" x14ac:dyDescent="0.35">
      <c r="A1651" s="6" t="s">
        <v>24</v>
      </c>
      <c r="B1651" s="6">
        <f t="shared" ref="B1651:B1653" si="373">+B1650+1</f>
        <v>2038</v>
      </c>
      <c r="C1651" s="1" t="s">
        <v>40</v>
      </c>
      <c r="D1651" s="2" t="s">
        <v>2003</v>
      </c>
      <c r="E1651" s="9" t="str">
        <f t="shared" si="308"/>
        <v>PS'!</v>
      </c>
      <c r="F1651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51" s="6" t="s">
        <v>103</v>
      </c>
      <c r="H1651" s="1">
        <f t="shared" si="310"/>
        <v>51</v>
      </c>
      <c r="I1651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PS'!$BX$51</v>
      </c>
      <c r="J1651" s="1" t="s">
        <v>2722</v>
      </c>
    </row>
    <row r="1652" spans="1:10" x14ac:dyDescent="0.35">
      <c r="A1652" s="6" t="s">
        <v>24</v>
      </c>
      <c r="B1652" s="6">
        <f t="shared" si="373"/>
        <v>2039</v>
      </c>
      <c r="C1652" s="1" t="s">
        <v>40</v>
      </c>
      <c r="D1652" s="2" t="s">
        <v>2003</v>
      </c>
      <c r="E1652" s="9" t="str">
        <f t="shared" si="308"/>
        <v>PS'!</v>
      </c>
      <c r="F1652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52" s="6" t="s">
        <v>103</v>
      </c>
      <c r="H1652" s="1">
        <f t="shared" si="310"/>
        <v>52</v>
      </c>
      <c r="I1652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PS'!$BX$52</v>
      </c>
      <c r="J1652" s="1" t="s">
        <v>2723</v>
      </c>
    </row>
    <row r="1653" spans="1:10" x14ac:dyDescent="0.35">
      <c r="A1653" s="6" t="s">
        <v>24</v>
      </c>
      <c r="B1653" s="6">
        <f t="shared" si="373"/>
        <v>2040</v>
      </c>
      <c r="C1653" s="1" t="s">
        <v>40</v>
      </c>
      <c r="D1653" s="2" t="s">
        <v>2003</v>
      </c>
      <c r="E1653" s="9" t="str">
        <f t="shared" si="308"/>
        <v>PS'!</v>
      </c>
      <c r="F1653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53" s="6" t="s">
        <v>103</v>
      </c>
      <c r="H1653" s="1">
        <f t="shared" si="310"/>
        <v>53</v>
      </c>
      <c r="I1653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PS'!$BX$53</v>
      </c>
      <c r="J1653" s="1" t="s">
        <v>2724</v>
      </c>
    </row>
    <row r="1654" spans="1:10" x14ac:dyDescent="0.35">
      <c r="A1654" s="6" t="s">
        <v>24</v>
      </c>
      <c r="B1654" s="6">
        <f>+B1653+1</f>
        <v>2041</v>
      </c>
      <c r="C1654" s="1" t="s">
        <v>40</v>
      </c>
      <c r="D1654" s="2" t="s">
        <v>2003</v>
      </c>
      <c r="E1654" s="9" t="str">
        <f t="shared" si="308"/>
        <v>PS'!</v>
      </c>
      <c r="F1654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54" s="6" t="s">
        <v>103</v>
      </c>
      <c r="H1654" s="1">
        <f t="shared" si="310"/>
        <v>54</v>
      </c>
      <c r="I1654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PS'!$BX$54</v>
      </c>
      <c r="J1654" s="1" t="s">
        <v>2725</v>
      </c>
    </row>
    <row r="1655" spans="1:10" x14ac:dyDescent="0.35">
      <c r="A1655" s="6" t="s">
        <v>24</v>
      </c>
      <c r="B1655" s="6">
        <f t="shared" ref="B1655:B1656" si="374">+B1654+1</f>
        <v>2042</v>
      </c>
      <c r="C1655" s="1" t="s">
        <v>40</v>
      </c>
      <c r="D1655" s="2" t="s">
        <v>2003</v>
      </c>
      <c r="E1655" s="9" t="str">
        <f t="shared" si="308"/>
        <v>PS'!</v>
      </c>
      <c r="F1655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55" s="6" t="s">
        <v>103</v>
      </c>
      <c r="H1655" s="1">
        <f t="shared" si="310"/>
        <v>55</v>
      </c>
      <c r="I1655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PS'!$BX$55</v>
      </c>
      <c r="J1655" s="1" t="s">
        <v>2726</v>
      </c>
    </row>
    <row r="1656" spans="1:10" x14ac:dyDescent="0.35">
      <c r="A1656" s="6" t="s">
        <v>24</v>
      </c>
      <c r="B1656" s="6">
        <f t="shared" si="374"/>
        <v>2043</v>
      </c>
      <c r="C1656" s="1" t="s">
        <v>40</v>
      </c>
      <c r="D1656" s="2" t="s">
        <v>2003</v>
      </c>
      <c r="E1656" s="9" t="str">
        <f t="shared" si="308"/>
        <v>PS'!</v>
      </c>
      <c r="F1656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56" s="6" t="s">
        <v>103</v>
      </c>
      <c r="H1656" s="1">
        <f t="shared" si="310"/>
        <v>56</v>
      </c>
      <c r="I1656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PS'!$BX$56</v>
      </c>
      <c r="J1656" s="1" t="s">
        <v>2727</v>
      </c>
    </row>
    <row r="1657" spans="1:10" x14ac:dyDescent="0.35">
      <c r="A1657" s="6" t="s">
        <v>24</v>
      </c>
      <c r="B1657" s="6">
        <f>+B1656+1</f>
        <v>2044</v>
      </c>
      <c r="C1657" s="1" t="s">
        <v>40</v>
      </c>
      <c r="D1657" s="2" t="s">
        <v>2003</v>
      </c>
      <c r="E1657" s="9" t="str">
        <f t="shared" ref="E1657:E1672" si="375">_xlfn.CONCAT(A1657,"'!")</f>
        <v>PS'!</v>
      </c>
      <c r="F1657" s="5" t="str">
        <f t="shared" ref="F1657:F1672" si="376">_xlfn.CONCAT(D1657," ",E1657)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57" s="6" t="s">
        <v>103</v>
      </c>
      <c r="H1657" s="1">
        <f t="shared" ref="H1657:H1672" si="377">IF(A1657&lt;&gt;A1656,36,H1656+1)</f>
        <v>57</v>
      </c>
      <c r="I1657" s="1" t="str">
        <f t="shared" ref="I1657:I1672" si="378">_xlfn.CONCAT("='",F1657:H1657)</f>
        <v>='C:\Users\jaime.benazar\Quorum Business Solutions\Ecopetrol Prometeo - Documents\Planning Space Implementation\3. Analysis &amp; Design\Design\FC22\DRR Jaime\Por presentar a ECP\Cantagallo\Cristalina\[VRC_CRISTALINA_CF_SEC_20221231.xlsx]CF PS'!$BX$57</v>
      </c>
      <c r="J1657" s="1" t="s">
        <v>2728</v>
      </c>
    </row>
    <row r="1658" spans="1:10" x14ac:dyDescent="0.35">
      <c r="A1658" s="6" t="s">
        <v>24</v>
      </c>
      <c r="B1658" s="6">
        <f t="shared" ref="B1658:B1672" si="379">+B1657+1</f>
        <v>2045</v>
      </c>
      <c r="C1658" s="1" t="s">
        <v>40</v>
      </c>
      <c r="D1658" s="2" t="s">
        <v>2003</v>
      </c>
      <c r="E1658" s="9" t="str">
        <f t="shared" si="375"/>
        <v>PS'!</v>
      </c>
      <c r="F1658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58" s="6" t="s">
        <v>103</v>
      </c>
      <c r="H1658" s="1">
        <f t="shared" si="377"/>
        <v>58</v>
      </c>
      <c r="I1658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PS'!$BX$58</v>
      </c>
      <c r="J1658" s="1" t="s">
        <v>2729</v>
      </c>
    </row>
    <row r="1659" spans="1:10" x14ac:dyDescent="0.35">
      <c r="A1659" s="6" t="s">
        <v>24</v>
      </c>
      <c r="B1659" s="6">
        <f t="shared" si="379"/>
        <v>2046</v>
      </c>
      <c r="C1659" s="1" t="s">
        <v>40</v>
      </c>
      <c r="D1659" s="2" t="s">
        <v>2003</v>
      </c>
      <c r="E1659" s="9" t="str">
        <f t="shared" si="375"/>
        <v>PS'!</v>
      </c>
      <c r="F1659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59" s="6" t="s">
        <v>103</v>
      </c>
      <c r="H1659" s="1">
        <f t="shared" si="377"/>
        <v>59</v>
      </c>
      <c r="I1659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PS'!$BX$59</v>
      </c>
      <c r="J1659" s="1" t="s">
        <v>2730</v>
      </c>
    </row>
    <row r="1660" spans="1:10" x14ac:dyDescent="0.35">
      <c r="A1660" s="6" t="s">
        <v>24</v>
      </c>
      <c r="B1660" s="6">
        <f t="shared" si="379"/>
        <v>2047</v>
      </c>
      <c r="C1660" s="1" t="s">
        <v>40</v>
      </c>
      <c r="D1660" s="2" t="s">
        <v>2003</v>
      </c>
      <c r="E1660" s="9" t="str">
        <f t="shared" si="375"/>
        <v>PS'!</v>
      </c>
      <c r="F1660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60" s="6" t="s">
        <v>103</v>
      </c>
      <c r="H1660" s="1">
        <f t="shared" si="377"/>
        <v>60</v>
      </c>
      <c r="I1660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PS'!$BX$60</v>
      </c>
      <c r="J1660" s="1" t="s">
        <v>2731</v>
      </c>
    </row>
    <row r="1661" spans="1:10" x14ac:dyDescent="0.35">
      <c r="A1661" s="6" t="s">
        <v>24</v>
      </c>
      <c r="B1661" s="6">
        <f t="shared" si="379"/>
        <v>2048</v>
      </c>
      <c r="C1661" s="1" t="s">
        <v>40</v>
      </c>
      <c r="D1661" s="2" t="s">
        <v>2003</v>
      </c>
      <c r="E1661" s="9" t="str">
        <f t="shared" si="375"/>
        <v>PS'!</v>
      </c>
      <c r="F1661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61" s="6" t="s">
        <v>103</v>
      </c>
      <c r="H1661" s="1">
        <f t="shared" si="377"/>
        <v>61</v>
      </c>
      <c r="I1661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PS'!$BX$61</v>
      </c>
      <c r="J1661" s="1" t="s">
        <v>2732</v>
      </c>
    </row>
    <row r="1662" spans="1:10" x14ac:dyDescent="0.35">
      <c r="A1662" s="6" t="s">
        <v>24</v>
      </c>
      <c r="B1662" s="6">
        <f t="shared" si="379"/>
        <v>2049</v>
      </c>
      <c r="C1662" s="1" t="s">
        <v>40</v>
      </c>
      <c r="D1662" s="2" t="s">
        <v>2003</v>
      </c>
      <c r="E1662" s="9" t="str">
        <f t="shared" si="375"/>
        <v>PS'!</v>
      </c>
      <c r="F1662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62" s="6" t="s">
        <v>103</v>
      </c>
      <c r="H1662" s="1">
        <f t="shared" si="377"/>
        <v>62</v>
      </c>
      <c r="I1662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PS'!$BX$62</v>
      </c>
      <c r="J1662" s="1" t="s">
        <v>2733</v>
      </c>
    </row>
    <row r="1663" spans="1:10" x14ac:dyDescent="0.35">
      <c r="A1663" s="6" t="s">
        <v>24</v>
      </c>
      <c r="B1663" s="6">
        <f t="shared" si="379"/>
        <v>2050</v>
      </c>
      <c r="C1663" s="1" t="s">
        <v>40</v>
      </c>
      <c r="D1663" s="2" t="s">
        <v>2003</v>
      </c>
      <c r="E1663" s="9" t="str">
        <f t="shared" si="375"/>
        <v>PS'!</v>
      </c>
      <c r="F1663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63" s="6" t="s">
        <v>103</v>
      </c>
      <c r="H1663" s="1">
        <f t="shared" si="377"/>
        <v>63</v>
      </c>
      <c r="I1663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PS'!$BX$63</v>
      </c>
      <c r="J1663" s="1" t="s">
        <v>2734</v>
      </c>
    </row>
    <row r="1664" spans="1:10" x14ac:dyDescent="0.35">
      <c r="A1664" s="6" t="s">
        <v>24</v>
      </c>
      <c r="B1664" s="6">
        <f t="shared" si="379"/>
        <v>2051</v>
      </c>
      <c r="C1664" s="1" t="s">
        <v>40</v>
      </c>
      <c r="D1664" s="2" t="s">
        <v>2003</v>
      </c>
      <c r="E1664" s="9" t="str">
        <f t="shared" si="375"/>
        <v>PS'!</v>
      </c>
      <c r="F1664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64" s="6" t="s">
        <v>103</v>
      </c>
      <c r="H1664" s="1">
        <f t="shared" si="377"/>
        <v>64</v>
      </c>
      <c r="I1664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PS'!$BX$64</v>
      </c>
      <c r="J1664" s="1" t="s">
        <v>2735</v>
      </c>
    </row>
    <row r="1665" spans="1:10" x14ac:dyDescent="0.35">
      <c r="A1665" s="6" t="s">
        <v>24</v>
      </c>
      <c r="B1665" s="6">
        <f t="shared" si="379"/>
        <v>2052</v>
      </c>
      <c r="C1665" s="1" t="s">
        <v>40</v>
      </c>
      <c r="D1665" s="2" t="s">
        <v>2003</v>
      </c>
      <c r="E1665" s="9" t="str">
        <f t="shared" si="375"/>
        <v>PS'!</v>
      </c>
      <c r="F1665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65" s="6" t="s">
        <v>103</v>
      </c>
      <c r="H1665" s="1">
        <f t="shared" si="377"/>
        <v>65</v>
      </c>
      <c r="I1665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PS'!$BX$65</v>
      </c>
      <c r="J1665" s="1" t="s">
        <v>2736</v>
      </c>
    </row>
    <row r="1666" spans="1:10" x14ac:dyDescent="0.35">
      <c r="A1666" s="6" t="s">
        <v>24</v>
      </c>
      <c r="B1666" s="6">
        <f t="shared" si="379"/>
        <v>2053</v>
      </c>
      <c r="C1666" s="1" t="s">
        <v>40</v>
      </c>
      <c r="D1666" s="2" t="s">
        <v>2003</v>
      </c>
      <c r="E1666" s="9" t="str">
        <f t="shared" si="375"/>
        <v>PS'!</v>
      </c>
      <c r="F1666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66" s="6" t="s">
        <v>103</v>
      </c>
      <c r="H1666" s="1">
        <f t="shared" si="377"/>
        <v>66</v>
      </c>
      <c r="I1666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PS'!$BX$66</v>
      </c>
      <c r="J1666" s="1" t="s">
        <v>2737</v>
      </c>
    </row>
    <row r="1667" spans="1:10" x14ac:dyDescent="0.35">
      <c r="A1667" s="6" t="s">
        <v>24</v>
      </c>
      <c r="B1667" s="6">
        <f t="shared" si="379"/>
        <v>2054</v>
      </c>
      <c r="C1667" s="1" t="s">
        <v>40</v>
      </c>
      <c r="D1667" s="2" t="s">
        <v>2003</v>
      </c>
      <c r="E1667" s="9" t="str">
        <f t="shared" si="375"/>
        <v>PS'!</v>
      </c>
      <c r="F1667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67" s="6" t="s">
        <v>103</v>
      </c>
      <c r="H1667" s="1">
        <f t="shared" si="377"/>
        <v>67</v>
      </c>
      <c r="I1667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PS'!$BX$67</v>
      </c>
      <c r="J1667" s="1" t="s">
        <v>2738</v>
      </c>
    </row>
    <row r="1668" spans="1:10" x14ac:dyDescent="0.35">
      <c r="A1668" s="6" t="s">
        <v>24</v>
      </c>
      <c r="B1668" s="6">
        <f t="shared" si="379"/>
        <v>2055</v>
      </c>
      <c r="C1668" s="1" t="s">
        <v>40</v>
      </c>
      <c r="D1668" s="2" t="s">
        <v>2003</v>
      </c>
      <c r="E1668" s="9" t="str">
        <f t="shared" si="375"/>
        <v>PS'!</v>
      </c>
      <c r="F1668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68" s="6" t="s">
        <v>103</v>
      </c>
      <c r="H1668" s="1">
        <f t="shared" si="377"/>
        <v>68</v>
      </c>
      <c r="I1668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PS'!$BX$68</v>
      </c>
      <c r="J1668" s="1" t="s">
        <v>2739</v>
      </c>
    </row>
    <row r="1669" spans="1:10" x14ac:dyDescent="0.35">
      <c r="A1669" s="6" t="s">
        <v>24</v>
      </c>
      <c r="B1669" s="6">
        <f t="shared" si="379"/>
        <v>2056</v>
      </c>
      <c r="C1669" s="1" t="s">
        <v>40</v>
      </c>
      <c r="D1669" s="2" t="s">
        <v>2003</v>
      </c>
      <c r="E1669" s="9" t="str">
        <f t="shared" si="375"/>
        <v>PS'!</v>
      </c>
      <c r="F1669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69" s="6" t="s">
        <v>103</v>
      </c>
      <c r="H1669" s="1">
        <f t="shared" si="377"/>
        <v>69</v>
      </c>
      <c r="I1669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PS'!$BX$69</v>
      </c>
      <c r="J1669" s="1" t="s">
        <v>2740</v>
      </c>
    </row>
    <row r="1670" spans="1:10" x14ac:dyDescent="0.35">
      <c r="A1670" s="6" t="s">
        <v>24</v>
      </c>
      <c r="B1670" s="6">
        <f t="shared" si="379"/>
        <v>2057</v>
      </c>
      <c r="C1670" s="1" t="s">
        <v>40</v>
      </c>
      <c r="D1670" s="2" t="s">
        <v>2003</v>
      </c>
      <c r="E1670" s="9" t="str">
        <f t="shared" si="375"/>
        <v>PS'!</v>
      </c>
      <c r="F1670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70" s="6" t="s">
        <v>103</v>
      </c>
      <c r="H1670" s="1">
        <f t="shared" si="377"/>
        <v>70</v>
      </c>
      <c r="I1670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PS'!$BX$70</v>
      </c>
      <c r="J1670" s="1" t="s">
        <v>2741</v>
      </c>
    </row>
    <row r="1671" spans="1:10" x14ac:dyDescent="0.35">
      <c r="A1671" s="6" t="s">
        <v>24</v>
      </c>
      <c r="B1671" s="6">
        <f t="shared" si="379"/>
        <v>2058</v>
      </c>
      <c r="C1671" s="1" t="s">
        <v>40</v>
      </c>
      <c r="D1671" s="2" t="s">
        <v>2003</v>
      </c>
      <c r="E1671" s="9" t="str">
        <f t="shared" si="375"/>
        <v>PS'!</v>
      </c>
      <c r="F1671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71" s="6" t="s">
        <v>103</v>
      </c>
      <c r="H1671" s="1">
        <f t="shared" si="377"/>
        <v>71</v>
      </c>
      <c r="I1671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PS'!$BX$71</v>
      </c>
      <c r="J1671" s="1" t="s">
        <v>2742</v>
      </c>
    </row>
    <row r="1672" spans="1:10" x14ac:dyDescent="0.35">
      <c r="A1672" s="6" t="s">
        <v>24</v>
      </c>
      <c r="B1672" s="6">
        <f t="shared" si="379"/>
        <v>2059</v>
      </c>
      <c r="C1672" s="1" t="s">
        <v>40</v>
      </c>
      <c r="D1672" s="2" t="s">
        <v>2003</v>
      </c>
      <c r="E1672" s="9" t="str">
        <f t="shared" si="375"/>
        <v>PS'!</v>
      </c>
      <c r="F1672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72" s="6" t="s">
        <v>103</v>
      </c>
      <c r="H1672" s="1">
        <f t="shared" si="377"/>
        <v>72</v>
      </c>
      <c r="I1672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PS'!$BX$72</v>
      </c>
      <c r="J1672" s="1" t="s">
        <v>2743</v>
      </c>
    </row>
    <row r="1673" spans="1:10" x14ac:dyDescent="0.35">
      <c r="A1673" s="6" t="s">
        <v>26</v>
      </c>
      <c r="B1673" s="6"/>
      <c r="C1673" s="1" t="s">
        <v>40</v>
      </c>
      <c r="D1673" s="2"/>
      <c r="E1673" s="9"/>
      <c r="F1673" s="2"/>
      <c r="G1673" s="6"/>
      <c r="H1673" s="1"/>
      <c r="I1673" s="1"/>
      <c r="J1673" s="4"/>
    </row>
    <row r="1674" spans="1:10" x14ac:dyDescent="0.35">
      <c r="A1674" s="7" t="s">
        <v>14</v>
      </c>
      <c r="B1674" s="7">
        <v>2023</v>
      </c>
      <c r="C1674" s="4" t="s">
        <v>46</v>
      </c>
      <c r="D1674" s="5" t="s">
        <v>2003</v>
      </c>
      <c r="E1674" s="10" t="str">
        <f>_xlfn.CONCAT(A1674,"'!")</f>
        <v>PDP'!</v>
      </c>
      <c r="F1674" s="5" t="str">
        <f t="shared" ref="F1674:F1694" si="380">_xlfn.CONCAT(D1674," ",E1674)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74" s="7" t="s">
        <v>104</v>
      </c>
      <c r="H1674" s="4">
        <f>IF(A1674&lt;&gt;A1658,36,H1658+1)</f>
        <v>36</v>
      </c>
      <c r="I1674" s="4" t="str">
        <f>_xlfn.CONCAT("='",F1674:H1674)</f>
        <v>='C:\Users\jaime.benazar\Quorum Business Solutions\Ecopetrol Prometeo - Documents\Planning Space Implementation\3. Analysis &amp; Design\Design\FC22\DRR Jaime\Por presentar a ECP\Cantagallo\Cristalina\[VRC_CRISTALINA_CF_SEC_20221231.xlsx]CF PDP'!$BU$36</v>
      </c>
      <c r="J1674" s="4" t="s">
        <v>2744</v>
      </c>
    </row>
    <row r="1675" spans="1:10" x14ac:dyDescent="0.35">
      <c r="A1675" s="7" t="s">
        <v>14</v>
      </c>
      <c r="B1675" s="7">
        <f>+B1674+1</f>
        <v>2024</v>
      </c>
      <c r="C1675" s="4" t="s">
        <v>46</v>
      </c>
      <c r="D1675" s="5" t="s">
        <v>2003</v>
      </c>
      <c r="E1675" s="10" t="str">
        <f t="shared" ref="E1675:E1768" si="381">_xlfn.CONCAT(A1675,"'!")</f>
        <v>PDP'!</v>
      </c>
      <c r="F1675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75" s="7" t="s">
        <v>104</v>
      </c>
      <c r="H1675" s="4">
        <f>IF(A1675&lt;&gt;A1674,36,H1674+1)</f>
        <v>37</v>
      </c>
      <c r="I1675" s="4" t="str">
        <f t="shared" ref="I1675:I1768" si="382">_xlfn.CONCAT("='",F1675:H1675)</f>
        <v>='C:\Users\jaime.benazar\Quorum Business Solutions\Ecopetrol Prometeo - Documents\Planning Space Implementation\3. Analysis &amp; Design\Design\FC22\DRR Jaime\Por presentar a ECP\Cantagallo\Cristalina\[VRC_CRISTALINA_CF_SEC_20221231.xlsx]CF PDP'!$BU$37</v>
      </c>
      <c r="J1675" s="4" t="s">
        <v>2745</v>
      </c>
    </row>
    <row r="1676" spans="1:10" x14ac:dyDescent="0.35">
      <c r="A1676" s="7" t="s">
        <v>14</v>
      </c>
      <c r="B1676" s="7">
        <f t="shared" ref="B1676:B1687" si="383">+B1675+1</f>
        <v>2025</v>
      </c>
      <c r="C1676" s="4" t="s">
        <v>46</v>
      </c>
      <c r="D1676" s="5" t="s">
        <v>2003</v>
      </c>
      <c r="E1676" s="10" t="str">
        <f t="shared" si="381"/>
        <v>PDP'!</v>
      </c>
      <c r="F1676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76" s="7" t="s">
        <v>104</v>
      </c>
      <c r="H1676" s="4">
        <f t="shared" ref="H1676:H1769" si="384">IF(A1676&lt;&gt;A1675,36,H1675+1)</f>
        <v>38</v>
      </c>
      <c r="I1676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PDP'!$BU$38</v>
      </c>
      <c r="J1676" s="4" t="s">
        <v>2746</v>
      </c>
    </row>
    <row r="1677" spans="1:10" x14ac:dyDescent="0.35">
      <c r="A1677" s="7" t="s">
        <v>14</v>
      </c>
      <c r="B1677" s="7">
        <f t="shared" si="383"/>
        <v>2026</v>
      </c>
      <c r="C1677" s="4" t="s">
        <v>46</v>
      </c>
      <c r="D1677" s="5" t="s">
        <v>2003</v>
      </c>
      <c r="E1677" s="10" t="str">
        <f t="shared" si="381"/>
        <v>PDP'!</v>
      </c>
      <c r="F1677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77" s="7" t="s">
        <v>104</v>
      </c>
      <c r="H1677" s="4">
        <f t="shared" si="384"/>
        <v>39</v>
      </c>
      <c r="I1677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PDP'!$BU$39</v>
      </c>
      <c r="J1677" s="4" t="s">
        <v>2747</v>
      </c>
    </row>
    <row r="1678" spans="1:10" x14ac:dyDescent="0.35">
      <c r="A1678" s="7" t="s">
        <v>14</v>
      </c>
      <c r="B1678" s="7">
        <f t="shared" si="383"/>
        <v>2027</v>
      </c>
      <c r="C1678" s="4" t="s">
        <v>46</v>
      </c>
      <c r="D1678" s="5" t="s">
        <v>2003</v>
      </c>
      <c r="E1678" s="10" t="str">
        <f t="shared" si="381"/>
        <v>PDP'!</v>
      </c>
      <c r="F1678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78" s="7" t="s">
        <v>104</v>
      </c>
      <c r="H1678" s="4">
        <f t="shared" si="384"/>
        <v>40</v>
      </c>
      <c r="I1678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PDP'!$BU$40</v>
      </c>
      <c r="J1678" s="4" t="s">
        <v>2748</v>
      </c>
    </row>
    <row r="1679" spans="1:10" x14ac:dyDescent="0.35">
      <c r="A1679" s="7" t="s">
        <v>14</v>
      </c>
      <c r="B1679" s="7">
        <f t="shared" si="383"/>
        <v>2028</v>
      </c>
      <c r="C1679" s="4" t="s">
        <v>46</v>
      </c>
      <c r="D1679" s="5" t="s">
        <v>2003</v>
      </c>
      <c r="E1679" s="10" t="str">
        <f t="shared" si="381"/>
        <v>PDP'!</v>
      </c>
      <c r="F1679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79" s="7" t="s">
        <v>104</v>
      </c>
      <c r="H1679" s="4">
        <f t="shared" si="384"/>
        <v>41</v>
      </c>
      <c r="I1679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PDP'!$BU$41</v>
      </c>
      <c r="J1679" s="4" t="s">
        <v>2749</v>
      </c>
    </row>
    <row r="1680" spans="1:10" x14ac:dyDescent="0.35">
      <c r="A1680" s="7" t="s">
        <v>14</v>
      </c>
      <c r="B1680" s="7">
        <f t="shared" si="383"/>
        <v>2029</v>
      </c>
      <c r="C1680" s="4" t="s">
        <v>46</v>
      </c>
      <c r="D1680" s="5" t="s">
        <v>2003</v>
      </c>
      <c r="E1680" s="10" t="str">
        <f t="shared" si="381"/>
        <v>PDP'!</v>
      </c>
      <c r="F1680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80" s="7" t="s">
        <v>104</v>
      </c>
      <c r="H1680" s="4">
        <f t="shared" si="384"/>
        <v>42</v>
      </c>
      <c r="I1680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PDP'!$BU$42</v>
      </c>
      <c r="J1680" s="4" t="s">
        <v>2750</v>
      </c>
    </row>
    <row r="1681" spans="1:10" x14ac:dyDescent="0.35">
      <c r="A1681" s="7" t="s">
        <v>14</v>
      </c>
      <c r="B1681" s="7">
        <f t="shared" si="383"/>
        <v>2030</v>
      </c>
      <c r="C1681" s="4" t="s">
        <v>46</v>
      </c>
      <c r="D1681" s="5" t="s">
        <v>2003</v>
      </c>
      <c r="E1681" s="10" t="str">
        <f t="shared" si="381"/>
        <v>PDP'!</v>
      </c>
      <c r="F1681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81" s="7" t="s">
        <v>104</v>
      </c>
      <c r="H1681" s="4">
        <f t="shared" si="384"/>
        <v>43</v>
      </c>
      <c r="I1681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PDP'!$BU$43</v>
      </c>
      <c r="J1681" s="4" t="s">
        <v>2751</v>
      </c>
    </row>
    <row r="1682" spans="1:10" x14ac:dyDescent="0.35">
      <c r="A1682" s="7" t="s">
        <v>14</v>
      </c>
      <c r="B1682" s="7">
        <f t="shared" si="383"/>
        <v>2031</v>
      </c>
      <c r="C1682" s="4" t="s">
        <v>46</v>
      </c>
      <c r="D1682" s="5" t="s">
        <v>2003</v>
      </c>
      <c r="E1682" s="10" t="str">
        <f t="shared" si="381"/>
        <v>PDP'!</v>
      </c>
      <c r="F1682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82" s="7" t="s">
        <v>104</v>
      </c>
      <c r="H1682" s="4">
        <f t="shared" si="384"/>
        <v>44</v>
      </c>
      <c r="I1682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PDP'!$BU$44</v>
      </c>
      <c r="J1682" s="4" t="s">
        <v>2752</v>
      </c>
    </row>
    <row r="1683" spans="1:10" x14ac:dyDescent="0.35">
      <c r="A1683" s="7" t="s">
        <v>14</v>
      </c>
      <c r="B1683" s="7">
        <f t="shared" si="383"/>
        <v>2032</v>
      </c>
      <c r="C1683" s="4" t="s">
        <v>46</v>
      </c>
      <c r="D1683" s="5" t="s">
        <v>2003</v>
      </c>
      <c r="E1683" s="10" t="str">
        <f t="shared" si="381"/>
        <v>PDP'!</v>
      </c>
      <c r="F1683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83" s="7" t="s">
        <v>104</v>
      </c>
      <c r="H1683" s="4">
        <f t="shared" si="384"/>
        <v>45</v>
      </c>
      <c r="I1683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PDP'!$BU$45</v>
      </c>
      <c r="J1683" s="4" t="s">
        <v>2753</v>
      </c>
    </row>
    <row r="1684" spans="1:10" x14ac:dyDescent="0.35">
      <c r="A1684" s="7" t="s">
        <v>14</v>
      </c>
      <c r="B1684" s="7">
        <f t="shared" si="383"/>
        <v>2033</v>
      </c>
      <c r="C1684" s="4" t="s">
        <v>46</v>
      </c>
      <c r="D1684" s="5" t="s">
        <v>2003</v>
      </c>
      <c r="E1684" s="10" t="str">
        <f t="shared" si="381"/>
        <v>PDP'!</v>
      </c>
      <c r="F1684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84" s="7" t="s">
        <v>104</v>
      </c>
      <c r="H1684" s="4">
        <f t="shared" si="384"/>
        <v>46</v>
      </c>
      <c r="I1684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PDP'!$BU$46</v>
      </c>
      <c r="J1684" s="4" t="s">
        <v>2754</v>
      </c>
    </row>
    <row r="1685" spans="1:10" x14ac:dyDescent="0.35">
      <c r="A1685" s="7" t="s">
        <v>14</v>
      </c>
      <c r="B1685" s="7">
        <f t="shared" si="383"/>
        <v>2034</v>
      </c>
      <c r="C1685" s="4" t="s">
        <v>46</v>
      </c>
      <c r="D1685" s="5" t="s">
        <v>2003</v>
      </c>
      <c r="E1685" s="10" t="str">
        <f t="shared" si="381"/>
        <v>PDP'!</v>
      </c>
      <c r="F1685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85" s="7" t="s">
        <v>104</v>
      </c>
      <c r="H1685" s="4">
        <f t="shared" si="384"/>
        <v>47</v>
      </c>
      <c r="I1685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PDP'!$BU$47</v>
      </c>
      <c r="J1685" s="4" t="s">
        <v>2755</v>
      </c>
    </row>
    <row r="1686" spans="1:10" x14ac:dyDescent="0.35">
      <c r="A1686" s="7" t="s">
        <v>14</v>
      </c>
      <c r="B1686" s="7">
        <f t="shared" si="383"/>
        <v>2035</v>
      </c>
      <c r="C1686" s="4" t="s">
        <v>46</v>
      </c>
      <c r="D1686" s="5" t="s">
        <v>2003</v>
      </c>
      <c r="E1686" s="10" t="str">
        <f t="shared" si="381"/>
        <v>PDP'!</v>
      </c>
      <c r="F1686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86" s="7" t="s">
        <v>104</v>
      </c>
      <c r="H1686" s="4">
        <f t="shared" si="384"/>
        <v>48</v>
      </c>
      <c r="I1686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PDP'!$BU$48</v>
      </c>
      <c r="J1686" s="4" t="s">
        <v>2756</v>
      </c>
    </row>
    <row r="1687" spans="1:10" x14ac:dyDescent="0.35">
      <c r="A1687" s="7" t="s">
        <v>14</v>
      </c>
      <c r="B1687" s="7">
        <f t="shared" si="383"/>
        <v>2036</v>
      </c>
      <c r="C1687" s="4" t="s">
        <v>46</v>
      </c>
      <c r="D1687" s="5" t="s">
        <v>2003</v>
      </c>
      <c r="E1687" s="10" t="str">
        <f t="shared" si="381"/>
        <v>PDP'!</v>
      </c>
      <c r="F1687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87" s="7" t="s">
        <v>104</v>
      </c>
      <c r="H1687" s="4">
        <f t="shared" si="384"/>
        <v>49</v>
      </c>
      <c r="I1687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PDP'!$BU$49</v>
      </c>
      <c r="J1687" s="4" t="s">
        <v>2757</v>
      </c>
    </row>
    <row r="1688" spans="1:10" x14ac:dyDescent="0.35">
      <c r="A1688" s="7" t="s">
        <v>14</v>
      </c>
      <c r="B1688" s="7">
        <f>+B1687+1</f>
        <v>2037</v>
      </c>
      <c r="C1688" s="4" t="s">
        <v>46</v>
      </c>
      <c r="D1688" s="5" t="s">
        <v>2003</v>
      </c>
      <c r="E1688" s="10" t="str">
        <f t="shared" si="381"/>
        <v>PDP'!</v>
      </c>
      <c r="F1688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88" s="7" t="s">
        <v>104</v>
      </c>
      <c r="H1688" s="4">
        <f t="shared" si="384"/>
        <v>50</v>
      </c>
      <c r="I1688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PDP'!$BU$50</v>
      </c>
      <c r="J1688" s="4" t="s">
        <v>2758</v>
      </c>
    </row>
    <row r="1689" spans="1:10" x14ac:dyDescent="0.35">
      <c r="A1689" s="7" t="s">
        <v>14</v>
      </c>
      <c r="B1689" s="7">
        <f t="shared" ref="B1689:B1691" si="385">+B1688+1</f>
        <v>2038</v>
      </c>
      <c r="C1689" s="4" t="s">
        <v>46</v>
      </c>
      <c r="D1689" s="5" t="s">
        <v>2003</v>
      </c>
      <c r="E1689" s="10" t="str">
        <f t="shared" si="381"/>
        <v>PDP'!</v>
      </c>
      <c r="F1689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89" s="7" t="s">
        <v>104</v>
      </c>
      <c r="H1689" s="4">
        <f t="shared" si="384"/>
        <v>51</v>
      </c>
      <c r="I1689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PDP'!$BU$51</v>
      </c>
      <c r="J1689" s="4" t="s">
        <v>2759</v>
      </c>
    </row>
    <row r="1690" spans="1:10" x14ac:dyDescent="0.35">
      <c r="A1690" s="7" t="s">
        <v>14</v>
      </c>
      <c r="B1690" s="7">
        <f t="shared" si="385"/>
        <v>2039</v>
      </c>
      <c r="C1690" s="4" t="s">
        <v>46</v>
      </c>
      <c r="D1690" s="5" t="s">
        <v>2003</v>
      </c>
      <c r="E1690" s="10" t="str">
        <f t="shared" si="381"/>
        <v>PDP'!</v>
      </c>
      <c r="F1690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90" s="7" t="s">
        <v>104</v>
      </c>
      <c r="H1690" s="4">
        <f t="shared" si="384"/>
        <v>52</v>
      </c>
      <c r="I1690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PDP'!$BU$52</v>
      </c>
      <c r="J1690" s="4" t="s">
        <v>2760</v>
      </c>
    </row>
    <row r="1691" spans="1:10" x14ac:dyDescent="0.35">
      <c r="A1691" s="7" t="s">
        <v>14</v>
      </c>
      <c r="B1691" s="7">
        <f t="shared" si="385"/>
        <v>2040</v>
      </c>
      <c r="C1691" s="4" t="s">
        <v>46</v>
      </c>
      <c r="D1691" s="5" t="s">
        <v>2003</v>
      </c>
      <c r="E1691" s="10" t="str">
        <f t="shared" si="381"/>
        <v>PDP'!</v>
      </c>
      <c r="F1691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91" s="7" t="s">
        <v>104</v>
      </c>
      <c r="H1691" s="4">
        <f t="shared" si="384"/>
        <v>53</v>
      </c>
      <c r="I1691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PDP'!$BU$53</v>
      </c>
      <c r="J1691" s="4" t="s">
        <v>2761</v>
      </c>
    </row>
    <row r="1692" spans="1:10" x14ac:dyDescent="0.35">
      <c r="A1692" s="7" t="s">
        <v>14</v>
      </c>
      <c r="B1692" s="7">
        <f>+B1691+1</f>
        <v>2041</v>
      </c>
      <c r="C1692" s="4" t="s">
        <v>46</v>
      </c>
      <c r="D1692" s="5" t="s">
        <v>2003</v>
      </c>
      <c r="E1692" s="10" t="str">
        <f t="shared" si="381"/>
        <v>PDP'!</v>
      </c>
      <c r="F1692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92" s="7" t="s">
        <v>104</v>
      </c>
      <c r="H1692" s="4">
        <f t="shared" si="384"/>
        <v>54</v>
      </c>
      <c r="I1692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PDP'!$BU$54</v>
      </c>
      <c r="J1692" s="4" t="s">
        <v>2762</v>
      </c>
    </row>
    <row r="1693" spans="1:10" x14ac:dyDescent="0.35">
      <c r="A1693" s="7" t="s">
        <v>14</v>
      </c>
      <c r="B1693" s="7">
        <f t="shared" ref="B1693:B1694" si="386">+B1692+1</f>
        <v>2042</v>
      </c>
      <c r="C1693" s="4" t="s">
        <v>46</v>
      </c>
      <c r="D1693" s="5" t="s">
        <v>2003</v>
      </c>
      <c r="E1693" s="10" t="str">
        <f t="shared" si="381"/>
        <v>PDP'!</v>
      </c>
      <c r="F1693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93" s="7" t="s">
        <v>104</v>
      </c>
      <c r="H1693" s="4">
        <f t="shared" si="384"/>
        <v>55</v>
      </c>
      <c r="I1693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PDP'!$BU$55</v>
      </c>
      <c r="J1693" s="4" t="s">
        <v>2763</v>
      </c>
    </row>
    <row r="1694" spans="1:10" x14ac:dyDescent="0.35">
      <c r="A1694" s="7" t="s">
        <v>14</v>
      </c>
      <c r="B1694" s="7">
        <f t="shared" si="386"/>
        <v>2043</v>
      </c>
      <c r="C1694" s="4" t="s">
        <v>46</v>
      </c>
      <c r="D1694" s="5" t="s">
        <v>2003</v>
      </c>
      <c r="E1694" s="10" t="str">
        <f t="shared" si="381"/>
        <v>PDP'!</v>
      </c>
      <c r="F1694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94" s="7" t="s">
        <v>104</v>
      </c>
      <c r="H1694" s="4">
        <f t="shared" si="384"/>
        <v>56</v>
      </c>
      <c r="I1694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PDP'!$BU$56</v>
      </c>
      <c r="J1694" s="4" t="s">
        <v>2764</v>
      </c>
    </row>
    <row r="1695" spans="1:10" x14ac:dyDescent="0.35">
      <c r="A1695" s="7" t="s">
        <v>14</v>
      </c>
      <c r="B1695" s="7">
        <f>+B1694+1</f>
        <v>2044</v>
      </c>
      <c r="C1695" s="4" t="s">
        <v>46</v>
      </c>
      <c r="D1695" s="5" t="s">
        <v>2003</v>
      </c>
      <c r="E1695" s="10" t="str">
        <f t="shared" ref="E1695:E1710" si="387">_xlfn.CONCAT(A1695,"'!")</f>
        <v>PDP'!</v>
      </c>
      <c r="F1695" s="5" t="str">
        <f t="shared" ref="F1695:F1710" si="388">_xlfn.CONCAT(D1695," ",E1695)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95" s="7" t="s">
        <v>104</v>
      </c>
      <c r="H1695" s="4">
        <f t="shared" ref="H1695:H1710" si="389">IF(A1695&lt;&gt;A1694,36,H1694+1)</f>
        <v>57</v>
      </c>
      <c r="I1695" s="4" t="str">
        <f t="shared" ref="I1695:I1710" si="390">_xlfn.CONCAT("='",F1695:H1695)</f>
        <v>='C:\Users\jaime.benazar\Quorum Business Solutions\Ecopetrol Prometeo - Documents\Planning Space Implementation\3. Analysis &amp; Design\Design\FC22\DRR Jaime\Por presentar a ECP\Cantagallo\Cristalina\[VRC_CRISTALINA_CF_SEC_20221231.xlsx]CF PDP'!$BU$57</v>
      </c>
      <c r="J1695" s="4" t="s">
        <v>2765</v>
      </c>
    </row>
    <row r="1696" spans="1:10" x14ac:dyDescent="0.35">
      <c r="A1696" s="7" t="s">
        <v>14</v>
      </c>
      <c r="B1696" s="7">
        <f t="shared" ref="B1696:B1710" si="391">+B1695+1</f>
        <v>2045</v>
      </c>
      <c r="C1696" s="4" t="s">
        <v>46</v>
      </c>
      <c r="D1696" s="5" t="s">
        <v>2003</v>
      </c>
      <c r="E1696" s="10" t="str">
        <f t="shared" si="387"/>
        <v>PDP'!</v>
      </c>
      <c r="F1696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96" s="7" t="s">
        <v>104</v>
      </c>
      <c r="H1696" s="4">
        <f t="shared" si="389"/>
        <v>58</v>
      </c>
      <c r="I1696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PDP'!$BU$58</v>
      </c>
      <c r="J1696" s="4" t="s">
        <v>2766</v>
      </c>
    </row>
    <row r="1697" spans="1:10" x14ac:dyDescent="0.35">
      <c r="A1697" s="7" t="s">
        <v>14</v>
      </c>
      <c r="B1697" s="7">
        <f t="shared" si="391"/>
        <v>2046</v>
      </c>
      <c r="C1697" s="4" t="s">
        <v>46</v>
      </c>
      <c r="D1697" s="5" t="s">
        <v>2003</v>
      </c>
      <c r="E1697" s="10" t="str">
        <f t="shared" si="387"/>
        <v>PDP'!</v>
      </c>
      <c r="F1697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97" s="7" t="s">
        <v>104</v>
      </c>
      <c r="H1697" s="4">
        <f t="shared" si="389"/>
        <v>59</v>
      </c>
      <c r="I1697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PDP'!$BU$59</v>
      </c>
      <c r="J1697" s="4" t="s">
        <v>2767</v>
      </c>
    </row>
    <row r="1698" spans="1:10" x14ac:dyDescent="0.35">
      <c r="A1698" s="7" t="s">
        <v>14</v>
      </c>
      <c r="B1698" s="7">
        <f t="shared" si="391"/>
        <v>2047</v>
      </c>
      <c r="C1698" s="4" t="s">
        <v>46</v>
      </c>
      <c r="D1698" s="5" t="s">
        <v>2003</v>
      </c>
      <c r="E1698" s="10" t="str">
        <f t="shared" si="387"/>
        <v>PDP'!</v>
      </c>
      <c r="F1698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98" s="7" t="s">
        <v>104</v>
      </c>
      <c r="H1698" s="4">
        <f t="shared" si="389"/>
        <v>60</v>
      </c>
      <c r="I1698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PDP'!$BU$60</v>
      </c>
      <c r="J1698" s="4" t="s">
        <v>2768</v>
      </c>
    </row>
    <row r="1699" spans="1:10" x14ac:dyDescent="0.35">
      <c r="A1699" s="7" t="s">
        <v>14</v>
      </c>
      <c r="B1699" s="7">
        <f t="shared" si="391"/>
        <v>2048</v>
      </c>
      <c r="C1699" s="4" t="s">
        <v>46</v>
      </c>
      <c r="D1699" s="5" t="s">
        <v>2003</v>
      </c>
      <c r="E1699" s="10" t="str">
        <f t="shared" si="387"/>
        <v>PDP'!</v>
      </c>
      <c r="F1699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99" s="7" t="s">
        <v>104</v>
      </c>
      <c r="H1699" s="4">
        <f t="shared" si="389"/>
        <v>61</v>
      </c>
      <c r="I1699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PDP'!$BU$61</v>
      </c>
      <c r="J1699" s="4" t="s">
        <v>2769</v>
      </c>
    </row>
    <row r="1700" spans="1:10" x14ac:dyDescent="0.35">
      <c r="A1700" s="7" t="s">
        <v>14</v>
      </c>
      <c r="B1700" s="7">
        <f t="shared" si="391"/>
        <v>2049</v>
      </c>
      <c r="C1700" s="4" t="s">
        <v>46</v>
      </c>
      <c r="D1700" s="5" t="s">
        <v>2003</v>
      </c>
      <c r="E1700" s="10" t="str">
        <f t="shared" si="387"/>
        <v>PDP'!</v>
      </c>
      <c r="F1700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700" s="7" t="s">
        <v>104</v>
      </c>
      <c r="H1700" s="4">
        <f t="shared" si="389"/>
        <v>62</v>
      </c>
      <c r="I1700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PDP'!$BU$62</v>
      </c>
      <c r="J1700" s="4" t="s">
        <v>2770</v>
      </c>
    </row>
    <row r="1701" spans="1:10" x14ac:dyDescent="0.35">
      <c r="A1701" s="7" t="s">
        <v>14</v>
      </c>
      <c r="B1701" s="7">
        <f t="shared" si="391"/>
        <v>2050</v>
      </c>
      <c r="C1701" s="4" t="s">
        <v>46</v>
      </c>
      <c r="D1701" s="5" t="s">
        <v>2003</v>
      </c>
      <c r="E1701" s="10" t="str">
        <f t="shared" si="387"/>
        <v>PDP'!</v>
      </c>
      <c r="F1701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701" s="7" t="s">
        <v>104</v>
      </c>
      <c r="H1701" s="4">
        <f t="shared" si="389"/>
        <v>63</v>
      </c>
      <c r="I1701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PDP'!$BU$63</v>
      </c>
      <c r="J1701" s="4" t="s">
        <v>2771</v>
      </c>
    </row>
    <row r="1702" spans="1:10" x14ac:dyDescent="0.35">
      <c r="A1702" s="7" t="s">
        <v>14</v>
      </c>
      <c r="B1702" s="7">
        <f t="shared" si="391"/>
        <v>2051</v>
      </c>
      <c r="C1702" s="4" t="s">
        <v>46</v>
      </c>
      <c r="D1702" s="5" t="s">
        <v>2003</v>
      </c>
      <c r="E1702" s="10" t="str">
        <f t="shared" si="387"/>
        <v>PDP'!</v>
      </c>
      <c r="F1702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702" s="7" t="s">
        <v>104</v>
      </c>
      <c r="H1702" s="4">
        <f t="shared" si="389"/>
        <v>64</v>
      </c>
      <c r="I1702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PDP'!$BU$64</v>
      </c>
      <c r="J1702" s="4" t="s">
        <v>2772</v>
      </c>
    </row>
    <row r="1703" spans="1:10" x14ac:dyDescent="0.35">
      <c r="A1703" s="7" t="s">
        <v>14</v>
      </c>
      <c r="B1703" s="7">
        <f t="shared" si="391"/>
        <v>2052</v>
      </c>
      <c r="C1703" s="4" t="s">
        <v>46</v>
      </c>
      <c r="D1703" s="5" t="s">
        <v>2003</v>
      </c>
      <c r="E1703" s="10" t="str">
        <f t="shared" si="387"/>
        <v>PDP'!</v>
      </c>
      <c r="F1703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703" s="7" t="s">
        <v>104</v>
      </c>
      <c r="H1703" s="4">
        <f t="shared" si="389"/>
        <v>65</v>
      </c>
      <c r="I1703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PDP'!$BU$65</v>
      </c>
      <c r="J1703" s="4" t="s">
        <v>2773</v>
      </c>
    </row>
    <row r="1704" spans="1:10" x14ac:dyDescent="0.35">
      <c r="A1704" s="7" t="s">
        <v>14</v>
      </c>
      <c r="B1704" s="7">
        <f t="shared" si="391"/>
        <v>2053</v>
      </c>
      <c r="C1704" s="4" t="s">
        <v>46</v>
      </c>
      <c r="D1704" s="5" t="s">
        <v>2003</v>
      </c>
      <c r="E1704" s="10" t="str">
        <f t="shared" si="387"/>
        <v>PDP'!</v>
      </c>
      <c r="F1704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704" s="7" t="s">
        <v>104</v>
      </c>
      <c r="H1704" s="4">
        <f t="shared" si="389"/>
        <v>66</v>
      </c>
      <c r="I1704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PDP'!$BU$66</v>
      </c>
      <c r="J1704" s="4" t="s">
        <v>2774</v>
      </c>
    </row>
    <row r="1705" spans="1:10" x14ac:dyDescent="0.35">
      <c r="A1705" s="7" t="s">
        <v>14</v>
      </c>
      <c r="B1705" s="7">
        <f t="shared" si="391"/>
        <v>2054</v>
      </c>
      <c r="C1705" s="4" t="s">
        <v>46</v>
      </c>
      <c r="D1705" s="5" t="s">
        <v>2003</v>
      </c>
      <c r="E1705" s="10" t="str">
        <f t="shared" si="387"/>
        <v>PDP'!</v>
      </c>
      <c r="F1705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705" s="7" t="s">
        <v>104</v>
      </c>
      <c r="H1705" s="4">
        <f t="shared" si="389"/>
        <v>67</v>
      </c>
      <c r="I1705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PDP'!$BU$67</v>
      </c>
      <c r="J1705" s="4" t="s">
        <v>2775</v>
      </c>
    </row>
    <row r="1706" spans="1:10" x14ac:dyDescent="0.35">
      <c r="A1706" s="7" t="s">
        <v>14</v>
      </c>
      <c r="B1706" s="7">
        <f t="shared" si="391"/>
        <v>2055</v>
      </c>
      <c r="C1706" s="4" t="s">
        <v>46</v>
      </c>
      <c r="D1706" s="5" t="s">
        <v>2003</v>
      </c>
      <c r="E1706" s="10" t="str">
        <f t="shared" si="387"/>
        <v>PDP'!</v>
      </c>
      <c r="F1706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706" s="7" t="s">
        <v>104</v>
      </c>
      <c r="H1706" s="4">
        <f t="shared" si="389"/>
        <v>68</v>
      </c>
      <c r="I1706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PDP'!$BU$68</v>
      </c>
      <c r="J1706" s="4" t="s">
        <v>2776</v>
      </c>
    </row>
    <row r="1707" spans="1:10" x14ac:dyDescent="0.35">
      <c r="A1707" s="7" t="s">
        <v>14</v>
      </c>
      <c r="B1707" s="7">
        <f t="shared" si="391"/>
        <v>2056</v>
      </c>
      <c r="C1707" s="4" t="s">
        <v>46</v>
      </c>
      <c r="D1707" s="5" t="s">
        <v>2003</v>
      </c>
      <c r="E1707" s="10" t="str">
        <f t="shared" si="387"/>
        <v>PDP'!</v>
      </c>
      <c r="F1707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707" s="7" t="s">
        <v>104</v>
      </c>
      <c r="H1707" s="4">
        <f t="shared" si="389"/>
        <v>69</v>
      </c>
      <c r="I1707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PDP'!$BU$69</v>
      </c>
      <c r="J1707" s="4" t="s">
        <v>2777</v>
      </c>
    </row>
    <row r="1708" spans="1:10" x14ac:dyDescent="0.35">
      <c r="A1708" s="7" t="s">
        <v>14</v>
      </c>
      <c r="B1708" s="7">
        <f t="shared" si="391"/>
        <v>2057</v>
      </c>
      <c r="C1708" s="4" t="s">
        <v>46</v>
      </c>
      <c r="D1708" s="5" t="s">
        <v>2003</v>
      </c>
      <c r="E1708" s="10" t="str">
        <f t="shared" si="387"/>
        <v>PDP'!</v>
      </c>
      <c r="F1708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708" s="7" t="s">
        <v>104</v>
      </c>
      <c r="H1708" s="4">
        <f t="shared" si="389"/>
        <v>70</v>
      </c>
      <c r="I1708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PDP'!$BU$70</v>
      </c>
      <c r="J1708" s="4" t="s">
        <v>2778</v>
      </c>
    </row>
    <row r="1709" spans="1:10" x14ac:dyDescent="0.35">
      <c r="A1709" s="7" t="s">
        <v>14</v>
      </c>
      <c r="B1709" s="7">
        <f t="shared" si="391"/>
        <v>2058</v>
      </c>
      <c r="C1709" s="4" t="s">
        <v>46</v>
      </c>
      <c r="D1709" s="5" t="s">
        <v>2003</v>
      </c>
      <c r="E1709" s="10" t="str">
        <f t="shared" si="387"/>
        <v>PDP'!</v>
      </c>
      <c r="F1709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709" s="7" t="s">
        <v>104</v>
      </c>
      <c r="H1709" s="4">
        <f t="shared" si="389"/>
        <v>71</v>
      </c>
      <c r="I1709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PDP'!$BU$71</v>
      </c>
      <c r="J1709" s="4" t="s">
        <v>2779</v>
      </c>
    </row>
    <row r="1710" spans="1:10" x14ac:dyDescent="0.35">
      <c r="A1710" s="7" t="s">
        <v>14</v>
      </c>
      <c r="B1710" s="7">
        <f t="shared" si="391"/>
        <v>2059</v>
      </c>
      <c r="C1710" s="4" t="s">
        <v>46</v>
      </c>
      <c r="D1710" s="5" t="s">
        <v>2003</v>
      </c>
      <c r="E1710" s="10" t="str">
        <f t="shared" si="387"/>
        <v>PDP'!</v>
      </c>
      <c r="F1710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710" s="7" t="s">
        <v>104</v>
      </c>
      <c r="H1710" s="4">
        <f t="shared" si="389"/>
        <v>72</v>
      </c>
      <c r="I1710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PDP'!$BU$72</v>
      </c>
      <c r="J1710" s="4" t="s">
        <v>2780</v>
      </c>
    </row>
    <row r="1711" spans="1:10" x14ac:dyDescent="0.35">
      <c r="A1711" s="7" t="s">
        <v>26</v>
      </c>
      <c r="B1711" s="7"/>
      <c r="C1711" s="4" t="s">
        <v>46</v>
      </c>
      <c r="D1711" s="5"/>
      <c r="E1711" s="10"/>
      <c r="F1711" s="2"/>
      <c r="G1711" s="7"/>
      <c r="H1711" s="4"/>
      <c r="I1711" s="4"/>
      <c r="J1711" s="4"/>
    </row>
    <row r="1712" spans="1:10" x14ac:dyDescent="0.35">
      <c r="A1712" s="7" t="s">
        <v>15</v>
      </c>
      <c r="B1712" s="7">
        <v>2023</v>
      </c>
      <c r="C1712" s="4" t="s">
        <v>46</v>
      </c>
      <c r="D1712" s="5" t="s">
        <v>2003</v>
      </c>
      <c r="E1712" s="10" t="str">
        <f t="shared" si="381"/>
        <v>PNP'!</v>
      </c>
      <c r="F1712" s="5" t="str">
        <f t="shared" ref="F1712:F1732" si="392">_xlfn.CONCAT(D1712," ",E1712)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12" s="7" t="s">
        <v>104</v>
      </c>
      <c r="H1712" s="4">
        <f>IF(A1712&lt;&gt;A1696,36,H1696+1)</f>
        <v>36</v>
      </c>
      <c r="I1712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PNP'!$BU$36</v>
      </c>
      <c r="J1712" s="4" t="s">
        <v>2781</v>
      </c>
    </row>
    <row r="1713" spans="1:10" x14ac:dyDescent="0.35">
      <c r="A1713" s="7" t="s">
        <v>15</v>
      </c>
      <c r="B1713" s="7">
        <f>+B1712+1</f>
        <v>2024</v>
      </c>
      <c r="C1713" s="4" t="s">
        <v>46</v>
      </c>
      <c r="D1713" s="5" t="s">
        <v>2003</v>
      </c>
      <c r="E1713" s="10" t="str">
        <f t="shared" si="381"/>
        <v>PNP'!</v>
      </c>
      <c r="F1713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13" s="7" t="s">
        <v>104</v>
      </c>
      <c r="H1713" s="4">
        <f t="shared" si="384"/>
        <v>37</v>
      </c>
      <c r="I1713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PNP'!$BU$37</v>
      </c>
      <c r="J1713" s="4" t="s">
        <v>2782</v>
      </c>
    </row>
    <row r="1714" spans="1:10" x14ac:dyDescent="0.35">
      <c r="A1714" s="7" t="s">
        <v>15</v>
      </c>
      <c r="B1714" s="7">
        <f t="shared" ref="B1714:B1725" si="393">+B1713+1</f>
        <v>2025</v>
      </c>
      <c r="C1714" s="4" t="s">
        <v>46</v>
      </c>
      <c r="D1714" s="5" t="s">
        <v>2003</v>
      </c>
      <c r="E1714" s="10" t="str">
        <f t="shared" si="381"/>
        <v>PNP'!</v>
      </c>
      <c r="F1714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14" s="7" t="s">
        <v>104</v>
      </c>
      <c r="H1714" s="4">
        <f t="shared" si="384"/>
        <v>38</v>
      </c>
      <c r="I1714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PNP'!$BU$38</v>
      </c>
      <c r="J1714" s="4" t="s">
        <v>2783</v>
      </c>
    </row>
    <row r="1715" spans="1:10" x14ac:dyDescent="0.35">
      <c r="A1715" s="7" t="s">
        <v>15</v>
      </c>
      <c r="B1715" s="7">
        <f t="shared" si="393"/>
        <v>2026</v>
      </c>
      <c r="C1715" s="4" t="s">
        <v>46</v>
      </c>
      <c r="D1715" s="5" t="s">
        <v>2003</v>
      </c>
      <c r="E1715" s="10" t="str">
        <f t="shared" si="381"/>
        <v>PNP'!</v>
      </c>
      <c r="F1715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15" s="7" t="s">
        <v>104</v>
      </c>
      <c r="H1715" s="4">
        <f t="shared" si="384"/>
        <v>39</v>
      </c>
      <c r="I1715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PNP'!$BU$39</v>
      </c>
      <c r="J1715" s="4" t="s">
        <v>2784</v>
      </c>
    </row>
    <row r="1716" spans="1:10" x14ac:dyDescent="0.35">
      <c r="A1716" s="7" t="s">
        <v>15</v>
      </c>
      <c r="B1716" s="7">
        <f t="shared" si="393"/>
        <v>2027</v>
      </c>
      <c r="C1716" s="4" t="s">
        <v>46</v>
      </c>
      <c r="D1716" s="5" t="s">
        <v>2003</v>
      </c>
      <c r="E1716" s="10" t="str">
        <f t="shared" si="381"/>
        <v>PNP'!</v>
      </c>
      <c r="F1716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16" s="7" t="s">
        <v>104</v>
      </c>
      <c r="H1716" s="4">
        <f t="shared" si="384"/>
        <v>40</v>
      </c>
      <c r="I1716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PNP'!$BU$40</v>
      </c>
      <c r="J1716" s="4" t="s">
        <v>2785</v>
      </c>
    </row>
    <row r="1717" spans="1:10" x14ac:dyDescent="0.35">
      <c r="A1717" s="7" t="s">
        <v>15</v>
      </c>
      <c r="B1717" s="7">
        <f t="shared" si="393"/>
        <v>2028</v>
      </c>
      <c r="C1717" s="4" t="s">
        <v>46</v>
      </c>
      <c r="D1717" s="5" t="s">
        <v>2003</v>
      </c>
      <c r="E1717" s="10" t="str">
        <f t="shared" si="381"/>
        <v>PNP'!</v>
      </c>
      <c r="F1717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17" s="7" t="s">
        <v>104</v>
      </c>
      <c r="H1717" s="4">
        <f t="shared" si="384"/>
        <v>41</v>
      </c>
      <c r="I1717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PNP'!$BU$41</v>
      </c>
      <c r="J1717" s="4" t="s">
        <v>2786</v>
      </c>
    </row>
    <row r="1718" spans="1:10" x14ac:dyDescent="0.35">
      <c r="A1718" s="7" t="s">
        <v>15</v>
      </c>
      <c r="B1718" s="7">
        <f t="shared" si="393"/>
        <v>2029</v>
      </c>
      <c r="C1718" s="4" t="s">
        <v>46</v>
      </c>
      <c r="D1718" s="5" t="s">
        <v>2003</v>
      </c>
      <c r="E1718" s="10" t="str">
        <f t="shared" si="381"/>
        <v>PNP'!</v>
      </c>
      <c r="F1718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18" s="7" t="s">
        <v>104</v>
      </c>
      <c r="H1718" s="4">
        <f t="shared" si="384"/>
        <v>42</v>
      </c>
      <c r="I1718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PNP'!$BU$42</v>
      </c>
      <c r="J1718" s="4" t="s">
        <v>2787</v>
      </c>
    </row>
    <row r="1719" spans="1:10" x14ac:dyDescent="0.35">
      <c r="A1719" s="7" t="s">
        <v>15</v>
      </c>
      <c r="B1719" s="7">
        <f t="shared" si="393"/>
        <v>2030</v>
      </c>
      <c r="C1719" s="4" t="s">
        <v>46</v>
      </c>
      <c r="D1719" s="5" t="s">
        <v>2003</v>
      </c>
      <c r="E1719" s="10" t="str">
        <f t="shared" si="381"/>
        <v>PNP'!</v>
      </c>
      <c r="F1719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19" s="7" t="s">
        <v>104</v>
      </c>
      <c r="H1719" s="4">
        <f t="shared" si="384"/>
        <v>43</v>
      </c>
      <c r="I1719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PNP'!$BU$43</v>
      </c>
      <c r="J1719" s="4" t="s">
        <v>2788</v>
      </c>
    </row>
    <row r="1720" spans="1:10" x14ac:dyDescent="0.35">
      <c r="A1720" s="7" t="s">
        <v>15</v>
      </c>
      <c r="B1720" s="7">
        <f t="shared" si="393"/>
        <v>2031</v>
      </c>
      <c r="C1720" s="4" t="s">
        <v>46</v>
      </c>
      <c r="D1720" s="5" t="s">
        <v>2003</v>
      </c>
      <c r="E1720" s="10" t="str">
        <f t="shared" si="381"/>
        <v>PNP'!</v>
      </c>
      <c r="F1720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20" s="7" t="s">
        <v>104</v>
      </c>
      <c r="H1720" s="4">
        <f t="shared" si="384"/>
        <v>44</v>
      </c>
      <c r="I1720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PNP'!$BU$44</v>
      </c>
      <c r="J1720" s="4" t="s">
        <v>2789</v>
      </c>
    </row>
    <row r="1721" spans="1:10" x14ac:dyDescent="0.35">
      <c r="A1721" s="7" t="s">
        <v>15</v>
      </c>
      <c r="B1721" s="7">
        <f t="shared" si="393"/>
        <v>2032</v>
      </c>
      <c r="C1721" s="4" t="s">
        <v>46</v>
      </c>
      <c r="D1721" s="5" t="s">
        <v>2003</v>
      </c>
      <c r="E1721" s="10" t="str">
        <f t="shared" si="381"/>
        <v>PNP'!</v>
      </c>
      <c r="F1721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21" s="7" t="s">
        <v>104</v>
      </c>
      <c r="H1721" s="4">
        <f t="shared" si="384"/>
        <v>45</v>
      </c>
      <c r="I1721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PNP'!$BU$45</v>
      </c>
      <c r="J1721" s="4" t="s">
        <v>2790</v>
      </c>
    </row>
    <row r="1722" spans="1:10" x14ac:dyDescent="0.35">
      <c r="A1722" s="7" t="s">
        <v>15</v>
      </c>
      <c r="B1722" s="7">
        <f t="shared" si="393"/>
        <v>2033</v>
      </c>
      <c r="C1722" s="4" t="s">
        <v>46</v>
      </c>
      <c r="D1722" s="5" t="s">
        <v>2003</v>
      </c>
      <c r="E1722" s="10" t="str">
        <f t="shared" si="381"/>
        <v>PNP'!</v>
      </c>
      <c r="F1722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22" s="7" t="s">
        <v>104</v>
      </c>
      <c r="H1722" s="4">
        <f t="shared" si="384"/>
        <v>46</v>
      </c>
      <c r="I1722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PNP'!$BU$46</v>
      </c>
      <c r="J1722" s="4" t="s">
        <v>2791</v>
      </c>
    </row>
    <row r="1723" spans="1:10" x14ac:dyDescent="0.35">
      <c r="A1723" s="7" t="s">
        <v>15</v>
      </c>
      <c r="B1723" s="7">
        <f t="shared" si="393"/>
        <v>2034</v>
      </c>
      <c r="C1723" s="4" t="s">
        <v>46</v>
      </c>
      <c r="D1723" s="5" t="s">
        <v>2003</v>
      </c>
      <c r="E1723" s="10" t="str">
        <f t="shared" si="381"/>
        <v>PNP'!</v>
      </c>
      <c r="F1723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23" s="7" t="s">
        <v>104</v>
      </c>
      <c r="H1723" s="4">
        <f t="shared" si="384"/>
        <v>47</v>
      </c>
      <c r="I1723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PNP'!$BU$47</v>
      </c>
      <c r="J1723" s="4" t="s">
        <v>2792</v>
      </c>
    </row>
    <row r="1724" spans="1:10" x14ac:dyDescent="0.35">
      <c r="A1724" s="7" t="s">
        <v>15</v>
      </c>
      <c r="B1724" s="7">
        <f t="shared" si="393"/>
        <v>2035</v>
      </c>
      <c r="C1724" s="4" t="s">
        <v>46</v>
      </c>
      <c r="D1724" s="5" t="s">
        <v>2003</v>
      </c>
      <c r="E1724" s="10" t="str">
        <f t="shared" si="381"/>
        <v>PNP'!</v>
      </c>
      <c r="F1724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24" s="7" t="s">
        <v>104</v>
      </c>
      <c r="H1724" s="4">
        <f t="shared" si="384"/>
        <v>48</v>
      </c>
      <c r="I1724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PNP'!$BU$48</v>
      </c>
      <c r="J1724" s="4" t="s">
        <v>2793</v>
      </c>
    </row>
    <row r="1725" spans="1:10" x14ac:dyDescent="0.35">
      <c r="A1725" s="7" t="s">
        <v>15</v>
      </c>
      <c r="B1725" s="7">
        <f t="shared" si="393"/>
        <v>2036</v>
      </c>
      <c r="C1725" s="4" t="s">
        <v>46</v>
      </c>
      <c r="D1725" s="5" t="s">
        <v>2003</v>
      </c>
      <c r="E1725" s="10" t="str">
        <f t="shared" si="381"/>
        <v>PNP'!</v>
      </c>
      <c r="F1725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25" s="7" t="s">
        <v>104</v>
      </c>
      <c r="H1725" s="4">
        <f t="shared" si="384"/>
        <v>49</v>
      </c>
      <c r="I1725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PNP'!$BU$49</v>
      </c>
      <c r="J1725" s="4" t="s">
        <v>2794</v>
      </c>
    </row>
    <row r="1726" spans="1:10" x14ac:dyDescent="0.35">
      <c r="A1726" s="7" t="s">
        <v>15</v>
      </c>
      <c r="B1726" s="7">
        <f>+B1725+1</f>
        <v>2037</v>
      </c>
      <c r="C1726" s="4" t="s">
        <v>46</v>
      </c>
      <c r="D1726" s="5" t="s">
        <v>2003</v>
      </c>
      <c r="E1726" s="10" t="str">
        <f t="shared" si="381"/>
        <v>PNP'!</v>
      </c>
      <c r="F1726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26" s="7" t="s">
        <v>104</v>
      </c>
      <c r="H1726" s="4">
        <f t="shared" si="384"/>
        <v>50</v>
      </c>
      <c r="I1726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PNP'!$BU$50</v>
      </c>
      <c r="J1726" s="4" t="s">
        <v>2795</v>
      </c>
    </row>
    <row r="1727" spans="1:10" x14ac:dyDescent="0.35">
      <c r="A1727" s="7" t="s">
        <v>15</v>
      </c>
      <c r="B1727" s="7">
        <f t="shared" ref="B1727:B1729" si="394">+B1726+1</f>
        <v>2038</v>
      </c>
      <c r="C1727" s="4" t="s">
        <v>46</v>
      </c>
      <c r="D1727" s="5" t="s">
        <v>2003</v>
      </c>
      <c r="E1727" s="10" t="str">
        <f t="shared" si="381"/>
        <v>PNP'!</v>
      </c>
      <c r="F1727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27" s="7" t="s">
        <v>104</v>
      </c>
      <c r="H1727" s="4">
        <f t="shared" si="384"/>
        <v>51</v>
      </c>
      <c r="I1727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PNP'!$BU$51</v>
      </c>
      <c r="J1727" s="4" t="s">
        <v>2796</v>
      </c>
    </row>
    <row r="1728" spans="1:10" x14ac:dyDescent="0.35">
      <c r="A1728" s="7" t="s">
        <v>15</v>
      </c>
      <c r="B1728" s="7">
        <f t="shared" si="394"/>
        <v>2039</v>
      </c>
      <c r="C1728" s="4" t="s">
        <v>46</v>
      </c>
      <c r="D1728" s="5" t="s">
        <v>2003</v>
      </c>
      <c r="E1728" s="10" t="str">
        <f t="shared" si="381"/>
        <v>PNP'!</v>
      </c>
      <c r="F1728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28" s="7" t="s">
        <v>104</v>
      </c>
      <c r="H1728" s="4">
        <f t="shared" si="384"/>
        <v>52</v>
      </c>
      <c r="I1728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PNP'!$BU$52</v>
      </c>
      <c r="J1728" s="4" t="s">
        <v>2797</v>
      </c>
    </row>
    <row r="1729" spans="1:10" x14ac:dyDescent="0.35">
      <c r="A1729" s="7" t="s">
        <v>15</v>
      </c>
      <c r="B1729" s="7">
        <f t="shared" si="394"/>
        <v>2040</v>
      </c>
      <c r="C1729" s="4" t="s">
        <v>46</v>
      </c>
      <c r="D1729" s="5" t="s">
        <v>2003</v>
      </c>
      <c r="E1729" s="10" t="str">
        <f t="shared" si="381"/>
        <v>PNP'!</v>
      </c>
      <c r="F1729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29" s="7" t="s">
        <v>104</v>
      </c>
      <c r="H1729" s="4">
        <f t="shared" si="384"/>
        <v>53</v>
      </c>
      <c r="I1729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PNP'!$BU$53</v>
      </c>
      <c r="J1729" s="4" t="s">
        <v>2798</v>
      </c>
    </row>
    <row r="1730" spans="1:10" x14ac:dyDescent="0.35">
      <c r="A1730" s="7" t="s">
        <v>15</v>
      </c>
      <c r="B1730" s="7">
        <f>+B1729+1</f>
        <v>2041</v>
      </c>
      <c r="C1730" s="4" t="s">
        <v>46</v>
      </c>
      <c r="D1730" s="5" t="s">
        <v>2003</v>
      </c>
      <c r="E1730" s="10" t="str">
        <f t="shared" si="381"/>
        <v>PNP'!</v>
      </c>
      <c r="F1730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30" s="7" t="s">
        <v>104</v>
      </c>
      <c r="H1730" s="4">
        <f t="shared" si="384"/>
        <v>54</v>
      </c>
      <c r="I1730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PNP'!$BU$54</v>
      </c>
      <c r="J1730" s="4" t="s">
        <v>2799</v>
      </c>
    </row>
    <row r="1731" spans="1:10" x14ac:dyDescent="0.35">
      <c r="A1731" s="7" t="s">
        <v>15</v>
      </c>
      <c r="B1731" s="7">
        <f t="shared" ref="B1731:B1732" si="395">+B1730+1</f>
        <v>2042</v>
      </c>
      <c r="C1731" s="4" t="s">
        <v>46</v>
      </c>
      <c r="D1731" s="5" t="s">
        <v>2003</v>
      </c>
      <c r="E1731" s="10" t="str">
        <f t="shared" si="381"/>
        <v>PNP'!</v>
      </c>
      <c r="F1731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31" s="7" t="s">
        <v>104</v>
      </c>
      <c r="H1731" s="4">
        <f t="shared" si="384"/>
        <v>55</v>
      </c>
      <c r="I1731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PNP'!$BU$55</v>
      </c>
      <c r="J1731" s="4" t="s">
        <v>2800</v>
      </c>
    </row>
    <row r="1732" spans="1:10" x14ac:dyDescent="0.35">
      <c r="A1732" s="7" t="s">
        <v>15</v>
      </c>
      <c r="B1732" s="7">
        <f t="shared" si="395"/>
        <v>2043</v>
      </c>
      <c r="C1732" s="4" t="s">
        <v>46</v>
      </c>
      <c r="D1732" s="5" t="s">
        <v>2003</v>
      </c>
      <c r="E1732" s="10" t="str">
        <f t="shared" si="381"/>
        <v>PNP'!</v>
      </c>
      <c r="F1732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32" s="7" t="s">
        <v>104</v>
      </c>
      <c r="H1732" s="4">
        <f t="shared" si="384"/>
        <v>56</v>
      </c>
      <c r="I1732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PNP'!$BU$56</v>
      </c>
      <c r="J1732" s="4" t="s">
        <v>2801</v>
      </c>
    </row>
    <row r="1733" spans="1:10" x14ac:dyDescent="0.35">
      <c r="A1733" s="7" t="s">
        <v>15</v>
      </c>
      <c r="B1733" s="7">
        <f>+B1732+1</f>
        <v>2044</v>
      </c>
      <c r="C1733" s="4" t="s">
        <v>46</v>
      </c>
      <c r="D1733" s="5" t="s">
        <v>2003</v>
      </c>
      <c r="E1733" s="10" t="str">
        <f t="shared" ref="E1733:E1748" si="396">_xlfn.CONCAT(A1733,"'!")</f>
        <v>PNP'!</v>
      </c>
      <c r="F1733" s="5" t="str">
        <f t="shared" ref="F1733:F1748" si="397">_xlfn.CONCAT(D1733," ",E1733)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33" s="7" t="s">
        <v>104</v>
      </c>
      <c r="H1733" s="4">
        <f t="shared" ref="H1733:H1748" si="398">IF(A1733&lt;&gt;A1732,36,H1732+1)</f>
        <v>57</v>
      </c>
      <c r="I1733" s="4" t="str">
        <f t="shared" ref="I1733:I1748" si="399">_xlfn.CONCAT("='",F1733:H1733)</f>
        <v>='C:\Users\jaime.benazar\Quorum Business Solutions\Ecopetrol Prometeo - Documents\Planning Space Implementation\3. Analysis &amp; Design\Design\FC22\DRR Jaime\Por presentar a ECP\Cantagallo\Cristalina\[VRC_CRISTALINA_CF_SEC_20221231.xlsx]CF PNP'!$BU$57</v>
      </c>
      <c r="J1733" s="4" t="s">
        <v>2802</v>
      </c>
    </row>
    <row r="1734" spans="1:10" x14ac:dyDescent="0.35">
      <c r="A1734" s="7" t="s">
        <v>15</v>
      </c>
      <c r="B1734" s="7">
        <f t="shared" ref="B1734:B1748" si="400">+B1733+1</f>
        <v>2045</v>
      </c>
      <c r="C1734" s="4" t="s">
        <v>46</v>
      </c>
      <c r="D1734" s="5" t="s">
        <v>2003</v>
      </c>
      <c r="E1734" s="10" t="str">
        <f t="shared" si="396"/>
        <v>PNP'!</v>
      </c>
      <c r="F1734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34" s="7" t="s">
        <v>104</v>
      </c>
      <c r="H1734" s="4">
        <f t="shared" si="398"/>
        <v>58</v>
      </c>
      <c r="I1734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PNP'!$BU$58</v>
      </c>
      <c r="J1734" s="4" t="s">
        <v>2803</v>
      </c>
    </row>
    <row r="1735" spans="1:10" x14ac:dyDescent="0.35">
      <c r="A1735" s="7" t="s">
        <v>15</v>
      </c>
      <c r="B1735" s="7">
        <f t="shared" si="400"/>
        <v>2046</v>
      </c>
      <c r="C1735" s="4" t="s">
        <v>46</v>
      </c>
      <c r="D1735" s="5" t="s">
        <v>2003</v>
      </c>
      <c r="E1735" s="10" t="str">
        <f t="shared" si="396"/>
        <v>PNP'!</v>
      </c>
      <c r="F1735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35" s="7" t="s">
        <v>104</v>
      </c>
      <c r="H1735" s="4">
        <f t="shared" si="398"/>
        <v>59</v>
      </c>
      <c r="I1735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PNP'!$BU$59</v>
      </c>
      <c r="J1735" s="4" t="s">
        <v>2804</v>
      </c>
    </row>
    <row r="1736" spans="1:10" x14ac:dyDescent="0.35">
      <c r="A1736" s="7" t="s">
        <v>15</v>
      </c>
      <c r="B1736" s="7">
        <f t="shared" si="400"/>
        <v>2047</v>
      </c>
      <c r="C1736" s="4" t="s">
        <v>46</v>
      </c>
      <c r="D1736" s="5" t="s">
        <v>2003</v>
      </c>
      <c r="E1736" s="10" t="str">
        <f t="shared" si="396"/>
        <v>PNP'!</v>
      </c>
      <c r="F1736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36" s="7" t="s">
        <v>104</v>
      </c>
      <c r="H1736" s="4">
        <f t="shared" si="398"/>
        <v>60</v>
      </c>
      <c r="I1736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PNP'!$BU$60</v>
      </c>
      <c r="J1736" s="4" t="s">
        <v>2805</v>
      </c>
    </row>
    <row r="1737" spans="1:10" x14ac:dyDescent="0.35">
      <c r="A1737" s="7" t="s">
        <v>15</v>
      </c>
      <c r="B1737" s="7">
        <f t="shared" si="400"/>
        <v>2048</v>
      </c>
      <c r="C1737" s="4" t="s">
        <v>46</v>
      </c>
      <c r="D1737" s="5" t="s">
        <v>2003</v>
      </c>
      <c r="E1737" s="10" t="str">
        <f t="shared" si="396"/>
        <v>PNP'!</v>
      </c>
      <c r="F1737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37" s="7" t="s">
        <v>104</v>
      </c>
      <c r="H1737" s="4">
        <f t="shared" si="398"/>
        <v>61</v>
      </c>
      <c r="I1737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PNP'!$BU$61</v>
      </c>
      <c r="J1737" s="4" t="s">
        <v>2806</v>
      </c>
    </row>
    <row r="1738" spans="1:10" x14ac:dyDescent="0.35">
      <c r="A1738" s="7" t="s">
        <v>15</v>
      </c>
      <c r="B1738" s="7">
        <f t="shared" si="400"/>
        <v>2049</v>
      </c>
      <c r="C1738" s="4" t="s">
        <v>46</v>
      </c>
      <c r="D1738" s="5" t="s">
        <v>2003</v>
      </c>
      <c r="E1738" s="10" t="str">
        <f t="shared" si="396"/>
        <v>PNP'!</v>
      </c>
      <c r="F1738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38" s="7" t="s">
        <v>104</v>
      </c>
      <c r="H1738" s="4">
        <f t="shared" si="398"/>
        <v>62</v>
      </c>
      <c r="I1738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PNP'!$BU$62</v>
      </c>
      <c r="J1738" s="4" t="s">
        <v>2807</v>
      </c>
    </row>
    <row r="1739" spans="1:10" x14ac:dyDescent="0.35">
      <c r="A1739" s="7" t="s">
        <v>15</v>
      </c>
      <c r="B1739" s="7">
        <f t="shared" si="400"/>
        <v>2050</v>
      </c>
      <c r="C1739" s="4" t="s">
        <v>46</v>
      </c>
      <c r="D1739" s="5" t="s">
        <v>2003</v>
      </c>
      <c r="E1739" s="10" t="str">
        <f t="shared" si="396"/>
        <v>PNP'!</v>
      </c>
      <c r="F1739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39" s="7" t="s">
        <v>104</v>
      </c>
      <c r="H1739" s="4">
        <f t="shared" si="398"/>
        <v>63</v>
      </c>
      <c r="I1739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PNP'!$BU$63</v>
      </c>
      <c r="J1739" s="4" t="s">
        <v>2808</v>
      </c>
    </row>
    <row r="1740" spans="1:10" x14ac:dyDescent="0.35">
      <c r="A1740" s="7" t="s">
        <v>15</v>
      </c>
      <c r="B1740" s="7">
        <f t="shared" si="400"/>
        <v>2051</v>
      </c>
      <c r="C1740" s="4" t="s">
        <v>46</v>
      </c>
      <c r="D1740" s="5" t="s">
        <v>2003</v>
      </c>
      <c r="E1740" s="10" t="str">
        <f t="shared" si="396"/>
        <v>PNP'!</v>
      </c>
      <c r="F1740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40" s="7" t="s">
        <v>104</v>
      </c>
      <c r="H1740" s="4">
        <f t="shared" si="398"/>
        <v>64</v>
      </c>
      <c r="I1740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PNP'!$BU$64</v>
      </c>
      <c r="J1740" s="4" t="s">
        <v>2809</v>
      </c>
    </row>
    <row r="1741" spans="1:10" x14ac:dyDescent="0.35">
      <c r="A1741" s="7" t="s">
        <v>15</v>
      </c>
      <c r="B1741" s="7">
        <f t="shared" si="400"/>
        <v>2052</v>
      </c>
      <c r="C1741" s="4" t="s">
        <v>46</v>
      </c>
      <c r="D1741" s="5" t="s">
        <v>2003</v>
      </c>
      <c r="E1741" s="10" t="str">
        <f t="shared" si="396"/>
        <v>PNP'!</v>
      </c>
      <c r="F1741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41" s="7" t="s">
        <v>104</v>
      </c>
      <c r="H1741" s="4">
        <f t="shared" si="398"/>
        <v>65</v>
      </c>
      <c r="I1741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PNP'!$BU$65</v>
      </c>
      <c r="J1741" s="4" t="s">
        <v>2810</v>
      </c>
    </row>
    <row r="1742" spans="1:10" x14ac:dyDescent="0.35">
      <c r="A1742" s="7" t="s">
        <v>15</v>
      </c>
      <c r="B1742" s="7">
        <f t="shared" si="400"/>
        <v>2053</v>
      </c>
      <c r="C1742" s="4" t="s">
        <v>46</v>
      </c>
      <c r="D1742" s="5" t="s">
        <v>2003</v>
      </c>
      <c r="E1742" s="10" t="str">
        <f t="shared" si="396"/>
        <v>PNP'!</v>
      </c>
      <c r="F1742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42" s="7" t="s">
        <v>104</v>
      </c>
      <c r="H1742" s="4">
        <f t="shared" si="398"/>
        <v>66</v>
      </c>
      <c r="I1742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PNP'!$BU$66</v>
      </c>
      <c r="J1742" s="4" t="s">
        <v>2811</v>
      </c>
    </row>
    <row r="1743" spans="1:10" x14ac:dyDescent="0.35">
      <c r="A1743" s="7" t="s">
        <v>15</v>
      </c>
      <c r="B1743" s="7">
        <f t="shared" si="400"/>
        <v>2054</v>
      </c>
      <c r="C1743" s="4" t="s">
        <v>46</v>
      </c>
      <c r="D1743" s="5" t="s">
        <v>2003</v>
      </c>
      <c r="E1743" s="10" t="str">
        <f t="shared" si="396"/>
        <v>PNP'!</v>
      </c>
      <c r="F1743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43" s="7" t="s">
        <v>104</v>
      </c>
      <c r="H1743" s="4">
        <f t="shared" si="398"/>
        <v>67</v>
      </c>
      <c r="I1743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PNP'!$BU$67</v>
      </c>
      <c r="J1743" s="4" t="s">
        <v>2812</v>
      </c>
    </row>
    <row r="1744" spans="1:10" x14ac:dyDescent="0.35">
      <c r="A1744" s="7" t="s">
        <v>15</v>
      </c>
      <c r="B1744" s="7">
        <f t="shared" si="400"/>
        <v>2055</v>
      </c>
      <c r="C1744" s="4" t="s">
        <v>46</v>
      </c>
      <c r="D1744" s="5" t="s">
        <v>2003</v>
      </c>
      <c r="E1744" s="10" t="str">
        <f t="shared" si="396"/>
        <v>PNP'!</v>
      </c>
      <c r="F1744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44" s="7" t="s">
        <v>104</v>
      </c>
      <c r="H1744" s="4">
        <f t="shared" si="398"/>
        <v>68</v>
      </c>
      <c r="I1744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PNP'!$BU$68</v>
      </c>
      <c r="J1744" s="4" t="s">
        <v>2813</v>
      </c>
    </row>
    <row r="1745" spans="1:10" x14ac:dyDescent="0.35">
      <c r="A1745" s="7" t="s">
        <v>15</v>
      </c>
      <c r="B1745" s="7">
        <f t="shared" si="400"/>
        <v>2056</v>
      </c>
      <c r="C1745" s="4" t="s">
        <v>46</v>
      </c>
      <c r="D1745" s="5" t="s">
        <v>2003</v>
      </c>
      <c r="E1745" s="10" t="str">
        <f t="shared" si="396"/>
        <v>PNP'!</v>
      </c>
      <c r="F1745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45" s="7" t="s">
        <v>104</v>
      </c>
      <c r="H1745" s="4">
        <f t="shared" si="398"/>
        <v>69</v>
      </c>
      <c r="I1745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PNP'!$BU$69</v>
      </c>
      <c r="J1745" s="4" t="s">
        <v>2814</v>
      </c>
    </row>
    <row r="1746" spans="1:10" x14ac:dyDescent="0.35">
      <c r="A1746" s="7" t="s">
        <v>15</v>
      </c>
      <c r="B1746" s="7">
        <f t="shared" si="400"/>
        <v>2057</v>
      </c>
      <c r="C1746" s="4" t="s">
        <v>46</v>
      </c>
      <c r="D1746" s="5" t="s">
        <v>2003</v>
      </c>
      <c r="E1746" s="10" t="str">
        <f t="shared" si="396"/>
        <v>PNP'!</v>
      </c>
      <c r="F1746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46" s="7" t="s">
        <v>104</v>
      </c>
      <c r="H1746" s="4">
        <f t="shared" si="398"/>
        <v>70</v>
      </c>
      <c r="I1746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PNP'!$BU$70</v>
      </c>
      <c r="J1746" s="4" t="s">
        <v>2815</v>
      </c>
    </row>
    <row r="1747" spans="1:10" x14ac:dyDescent="0.35">
      <c r="A1747" s="7" t="s">
        <v>15</v>
      </c>
      <c r="B1747" s="7">
        <f t="shared" si="400"/>
        <v>2058</v>
      </c>
      <c r="C1747" s="4" t="s">
        <v>46</v>
      </c>
      <c r="D1747" s="5" t="s">
        <v>2003</v>
      </c>
      <c r="E1747" s="10" t="str">
        <f t="shared" si="396"/>
        <v>PNP'!</v>
      </c>
      <c r="F1747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47" s="7" t="s">
        <v>104</v>
      </c>
      <c r="H1747" s="4">
        <f t="shared" si="398"/>
        <v>71</v>
      </c>
      <c r="I1747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PNP'!$BU$71</v>
      </c>
      <c r="J1747" s="4" t="s">
        <v>2816</v>
      </c>
    </row>
    <row r="1748" spans="1:10" x14ac:dyDescent="0.35">
      <c r="A1748" s="7" t="s">
        <v>15</v>
      </c>
      <c r="B1748" s="7">
        <f t="shared" si="400"/>
        <v>2059</v>
      </c>
      <c r="C1748" s="4" t="s">
        <v>46</v>
      </c>
      <c r="D1748" s="5" t="s">
        <v>2003</v>
      </c>
      <c r="E1748" s="10" t="str">
        <f t="shared" si="396"/>
        <v>PNP'!</v>
      </c>
      <c r="F1748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48" s="7" t="s">
        <v>104</v>
      </c>
      <c r="H1748" s="4">
        <f t="shared" si="398"/>
        <v>72</v>
      </c>
      <c r="I1748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PNP'!$BU$72</v>
      </c>
      <c r="J1748" s="4" t="s">
        <v>2817</v>
      </c>
    </row>
    <row r="1749" spans="1:10" x14ac:dyDescent="0.35">
      <c r="A1749" s="7" t="s">
        <v>26</v>
      </c>
      <c r="B1749" s="7"/>
      <c r="C1749" s="4" t="s">
        <v>46</v>
      </c>
      <c r="D1749" s="5"/>
      <c r="E1749" s="10"/>
      <c r="F1749" s="2"/>
      <c r="G1749" s="7"/>
      <c r="H1749" s="4"/>
      <c r="I1749" s="4"/>
      <c r="J1749" s="4"/>
    </row>
    <row r="1750" spans="1:10" x14ac:dyDescent="0.35">
      <c r="A1750" s="7" t="s">
        <v>16</v>
      </c>
      <c r="B1750" s="7">
        <v>2023</v>
      </c>
      <c r="C1750" s="4" t="s">
        <v>46</v>
      </c>
      <c r="D1750" s="5" t="s">
        <v>2003</v>
      </c>
      <c r="E1750" s="10" t="str">
        <f t="shared" si="381"/>
        <v>PND'!</v>
      </c>
      <c r="F1750" s="5" t="str">
        <f t="shared" ref="F1750:F1770" si="401">_xlfn.CONCAT(D1750," ",E1750)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50" s="7" t="s">
        <v>104</v>
      </c>
      <c r="H1750" s="4">
        <f>IF(A1750&lt;&gt;A1734,36,H1734+1)</f>
        <v>36</v>
      </c>
      <c r="I1750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PND'!$BU$36</v>
      </c>
      <c r="J1750" s="4" t="s">
        <v>2818</v>
      </c>
    </row>
    <row r="1751" spans="1:10" x14ac:dyDescent="0.35">
      <c r="A1751" s="7" t="s">
        <v>16</v>
      </c>
      <c r="B1751" s="7">
        <f>+B1750+1</f>
        <v>2024</v>
      </c>
      <c r="C1751" s="4" t="s">
        <v>46</v>
      </c>
      <c r="D1751" s="5" t="s">
        <v>2003</v>
      </c>
      <c r="E1751" s="10" t="str">
        <f t="shared" si="381"/>
        <v>PND'!</v>
      </c>
      <c r="F1751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51" s="7" t="s">
        <v>104</v>
      </c>
      <c r="H1751" s="4">
        <f t="shared" si="384"/>
        <v>37</v>
      </c>
      <c r="I1751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PND'!$BU$37</v>
      </c>
      <c r="J1751" s="4" t="s">
        <v>2819</v>
      </c>
    </row>
    <row r="1752" spans="1:10" x14ac:dyDescent="0.35">
      <c r="A1752" s="7" t="s">
        <v>16</v>
      </c>
      <c r="B1752" s="7">
        <f t="shared" ref="B1752:B1763" si="402">+B1751+1</f>
        <v>2025</v>
      </c>
      <c r="C1752" s="4" t="s">
        <v>46</v>
      </c>
      <c r="D1752" s="5" t="s">
        <v>2003</v>
      </c>
      <c r="E1752" s="10" t="str">
        <f t="shared" si="381"/>
        <v>PND'!</v>
      </c>
      <c r="F1752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52" s="7" t="s">
        <v>104</v>
      </c>
      <c r="H1752" s="4">
        <f t="shared" si="384"/>
        <v>38</v>
      </c>
      <c r="I1752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PND'!$BU$38</v>
      </c>
      <c r="J1752" s="4" t="s">
        <v>2820</v>
      </c>
    </row>
    <row r="1753" spans="1:10" x14ac:dyDescent="0.35">
      <c r="A1753" s="7" t="s">
        <v>16</v>
      </c>
      <c r="B1753" s="7">
        <f t="shared" si="402"/>
        <v>2026</v>
      </c>
      <c r="C1753" s="4" t="s">
        <v>46</v>
      </c>
      <c r="D1753" s="5" t="s">
        <v>2003</v>
      </c>
      <c r="E1753" s="10" t="str">
        <f t="shared" si="381"/>
        <v>PND'!</v>
      </c>
      <c r="F1753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53" s="7" t="s">
        <v>104</v>
      </c>
      <c r="H1753" s="4">
        <f t="shared" si="384"/>
        <v>39</v>
      </c>
      <c r="I1753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PND'!$BU$39</v>
      </c>
      <c r="J1753" s="4" t="s">
        <v>2821</v>
      </c>
    </row>
    <row r="1754" spans="1:10" x14ac:dyDescent="0.35">
      <c r="A1754" s="7" t="s">
        <v>16</v>
      </c>
      <c r="B1754" s="7">
        <f t="shared" si="402"/>
        <v>2027</v>
      </c>
      <c r="C1754" s="4" t="s">
        <v>46</v>
      </c>
      <c r="D1754" s="5" t="s">
        <v>2003</v>
      </c>
      <c r="E1754" s="10" t="str">
        <f t="shared" si="381"/>
        <v>PND'!</v>
      </c>
      <c r="F1754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54" s="7" t="s">
        <v>104</v>
      </c>
      <c r="H1754" s="4">
        <f t="shared" si="384"/>
        <v>40</v>
      </c>
      <c r="I1754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PND'!$BU$40</v>
      </c>
      <c r="J1754" s="4" t="s">
        <v>2822</v>
      </c>
    </row>
    <row r="1755" spans="1:10" x14ac:dyDescent="0.35">
      <c r="A1755" s="7" t="s">
        <v>16</v>
      </c>
      <c r="B1755" s="7">
        <f t="shared" si="402"/>
        <v>2028</v>
      </c>
      <c r="C1755" s="4" t="s">
        <v>46</v>
      </c>
      <c r="D1755" s="5" t="s">
        <v>2003</v>
      </c>
      <c r="E1755" s="10" t="str">
        <f t="shared" si="381"/>
        <v>PND'!</v>
      </c>
      <c r="F1755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55" s="7" t="s">
        <v>104</v>
      </c>
      <c r="H1755" s="4">
        <f t="shared" si="384"/>
        <v>41</v>
      </c>
      <c r="I1755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PND'!$BU$41</v>
      </c>
      <c r="J1755" s="4" t="s">
        <v>2823</v>
      </c>
    </row>
    <row r="1756" spans="1:10" x14ac:dyDescent="0.35">
      <c r="A1756" s="7" t="s">
        <v>16</v>
      </c>
      <c r="B1756" s="7">
        <f t="shared" si="402"/>
        <v>2029</v>
      </c>
      <c r="C1756" s="4" t="s">
        <v>46</v>
      </c>
      <c r="D1756" s="5" t="s">
        <v>2003</v>
      </c>
      <c r="E1756" s="10" t="str">
        <f t="shared" si="381"/>
        <v>PND'!</v>
      </c>
      <c r="F1756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56" s="7" t="s">
        <v>104</v>
      </c>
      <c r="H1756" s="4">
        <f t="shared" si="384"/>
        <v>42</v>
      </c>
      <c r="I1756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PND'!$BU$42</v>
      </c>
      <c r="J1756" s="4" t="s">
        <v>2824</v>
      </c>
    </row>
    <row r="1757" spans="1:10" x14ac:dyDescent="0.35">
      <c r="A1757" s="7" t="s">
        <v>16</v>
      </c>
      <c r="B1757" s="7">
        <f t="shared" si="402"/>
        <v>2030</v>
      </c>
      <c r="C1757" s="4" t="s">
        <v>46</v>
      </c>
      <c r="D1757" s="5" t="s">
        <v>2003</v>
      </c>
      <c r="E1757" s="10" t="str">
        <f t="shared" si="381"/>
        <v>PND'!</v>
      </c>
      <c r="F1757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57" s="7" t="s">
        <v>104</v>
      </c>
      <c r="H1757" s="4">
        <f t="shared" si="384"/>
        <v>43</v>
      </c>
      <c r="I1757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PND'!$BU$43</v>
      </c>
      <c r="J1757" s="4" t="s">
        <v>2825</v>
      </c>
    </row>
    <row r="1758" spans="1:10" x14ac:dyDescent="0.35">
      <c r="A1758" s="7" t="s">
        <v>16</v>
      </c>
      <c r="B1758" s="7">
        <f t="shared" si="402"/>
        <v>2031</v>
      </c>
      <c r="C1758" s="4" t="s">
        <v>46</v>
      </c>
      <c r="D1758" s="5" t="s">
        <v>2003</v>
      </c>
      <c r="E1758" s="10" t="str">
        <f t="shared" si="381"/>
        <v>PND'!</v>
      </c>
      <c r="F1758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58" s="7" t="s">
        <v>104</v>
      </c>
      <c r="H1758" s="4">
        <f t="shared" si="384"/>
        <v>44</v>
      </c>
      <c r="I1758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PND'!$BU$44</v>
      </c>
      <c r="J1758" s="4" t="s">
        <v>2826</v>
      </c>
    </row>
    <row r="1759" spans="1:10" x14ac:dyDescent="0.35">
      <c r="A1759" s="7" t="s">
        <v>16</v>
      </c>
      <c r="B1759" s="7">
        <f t="shared" si="402"/>
        <v>2032</v>
      </c>
      <c r="C1759" s="4" t="s">
        <v>46</v>
      </c>
      <c r="D1759" s="5" t="s">
        <v>2003</v>
      </c>
      <c r="E1759" s="10" t="str">
        <f t="shared" si="381"/>
        <v>PND'!</v>
      </c>
      <c r="F1759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59" s="7" t="s">
        <v>104</v>
      </c>
      <c r="H1759" s="4">
        <f t="shared" si="384"/>
        <v>45</v>
      </c>
      <c r="I1759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PND'!$BU$45</v>
      </c>
      <c r="J1759" s="4" t="s">
        <v>2827</v>
      </c>
    </row>
    <row r="1760" spans="1:10" x14ac:dyDescent="0.35">
      <c r="A1760" s="7" t="s">
        <v>16</v>
      </c>
      <c r="B1760" s="7">
        <f t="shared" si="402"/>
        <v>2033</v>
      </c>
      <c r="C1760" s="4" t="s">
        <v>46</v>
      </c>
      <c r="D1760" s="5" t="s">
        <v>2003</v>
      </c>
      <c r="E1760" s="10" t="str">
        <f t="shared" si="381"/>
        <v>PND'!</v>
      </c>
      <c r="F1760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60" s="7" t="s">
        <v>104</v>
      </c>
      <c r="H1760" s="4">
        <f t="shared" si="384"/>
        <v>46</v>
      </c>
      <c r="I1760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PND'!$BU$46</v>
      </c>
      <c r="J1760" s="4" t="s">
        <v>2828</v>
      </c>
    </row>
    <row r="1761" spans="1:10" x14ac:dyDescent="0.35">
      <c r="A1761" s="7" t="s">
        <v>16</v>
      </c>
      <c r="B1761" s="7">
        <f t="shared" si="402"/>
        <v>2034</v>
      </c>
      <c r="C1761" s="4" t="s">
        <v>46</v>
      </c>
      <c r="D1761" s="5" t="s">
        <v>2003</v>
      </c>
      <c r="E1761" s="10" t="str">
        <f t="shared" si="381"/>
        <v>PND'!</v>
      </c>
      <c r="F1761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61" s="7" t="s">
        <v>104</v>
      </c>
      <c r="H1761" s="4">
        <f t="shared" si="384"/>
        <v>47</v>
      </c>
      <c r="I1761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PND'!$BU$47</v>
      </c>
      <c r="J1761" s="4" t="s">
        <v>2829</v>
      </c>
    </row>
    <row r="1762" spans="1:10" x14ac:dyDescent="0.35">
      <c r="A1762" s="7" t="s">
        <v>16</v>
      </c>
      <c r="B1762" s="7">
        <f t="shared" si="402"/>
        <v>2035</v>
      </c>
      <c r="C1762" s="4" t="s">
        <v>46</v>
      </c>
      <c r="D1762" s="5" t="s">
        <v>2003</v>
      </c>
      <c r="E1762" s="10" t="str">
        <f t="shared" si="381"/>
        <v>PND'!</v>
      </c>
      <c r="F1762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62" s="7" t="s">
        <v>104</v>
      </c>
      <c r="H1762" s="4">
        <f t="shared" si="384"/>
        <v>48</v>
      </c>
      <c r="I1762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PND'!$BU$48</v>
      </c>
      <c r="J1762" s="4" t="s">
        <v>2830</v>
      </c>
    </row>
    <row r="1763" spans="1:10" x14ac:dyDescent="0.35">
      <c r="A1763" s="7" t="s">
        <v>16</v>
      </c>
      <c r="B1763" s="7">
        <f t="shared" si="402"/>
        <v>2036</v>
      </c>
      <c r="C1763" s="4" t="s">
        <v>46</v>
      </c>
      <c r="D1763" s="5" t="s">
        <v>2003</v>
      </c>
      <c r="E1763" s="10" t="str">
        <f t="shared" si="381"/>
        <v>PND'!</v>
      </c>
      <c r="F1763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63" s="7" t="s">
        <v>104</v>
      </c>
      <c r="H1763" s="4">
        <f t="shared" si="384"/>
        <v>49</v>
      </c>
      <c r="I1763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PND'!$BU$49</v>
      </c>
      <c r="J1763" s="4" t="s">
        <v>2831</v>
      </c>
    </row>
    <row r="1764" spans="1:10" x14ac:dyDescent="0.35">
      <c r="A1764" s="7" t="s">
        <v>16</v>
      </c>
      <c r="B1764" s="7">
        <f>+B1763+1</f>
        <v>2037</v>
      </c>
      <c r="C1764" s="4" t="s">
        <v>46</v>
      </c>
      <c r="D1764" s="5" t="s">
        <v>2003</v>
      </c>
      <c r="E1764" s="10" t="str">
        <f t="shared" si="381"/>
        <v>PND'!</v>
      </c>
      <c r="F1764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64" s="7" t="s">
        <v>104</v>
      </c>
      <c r="H1764" s="4">
        <f t="shared" si="384"/>
        <v>50</v>
      </c>
      <c r="I1764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PND'!$BU$50</v>
      </c>
      <c r="J1764" s="4" t="s">
        <v>2832</v>
      </c>
    </row>
    <row r="1765" spans="1:10" x14ac:dyDescent="0.35">
      <c r="A1765" s="7" t="s">
        <v>16</v>
      </c>
      <c r="B1765" s="7">
        <f t="shared" ref="B1765:B1767" si="403">+B1764+1</f>
        <v>2038</v>
      </c>
      <c r="C1765" s="4" t="s">
        <v>46</v>
      </c>
      <c r="D1765" s="5" t="s">
        <v>2003</v>
      </c>
      <c r="E1765" s="10" t="str">
        <f t="shared" si="381"/>
        <v>PND'!</v>
      </c>
      <c r="F1765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65" s="7" t="s">
        <v>104</v>
      </c>
      <c r="H1765" s="4">
        <f t="shared" si="384"/>
        <v>51</v>
      </c>
      <c r="I1765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PND'!$BU$51</v>
      </c>
      <c r="J1765" s="4" t="s">
        <v>2833</v>
      </c>
    </row>
    <row r="1766" spans="1:10" x14ac:dyDescent="0.35">
      <c r="A1766" s="7" t="s">
        <v>16</v>
      </c>
      <c r="B1766" s="7">
        <f t="shared" si="403"/>
        <v>2039</v>
      </c>
      <c r="C1766" s="4" t="s">
        <v>46</v>
      </c>
      <c r="D1766" s="5" t="s">
        <v>2003</v>
      </c>
      <c r="E1766" s="10" t="str">
        <f t="shared" si="381"/>
        <v>PND'!</v>
      </c>
      <c r="F1766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66" s="7" t="s">
        <v>104</v>
      </c>
      <c r="H1766" s="4">
        <f t="shared" si="384"/>
        <v>52</v>
      </c>
      <c r="I1766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PND'!$BU$52</v>
      </c>
      <c r="J1766" s="4" t="s">
        <v>2834</v>
      </c>
    </row>
    <row r="1767" spans="1:10" x14ac:dyDescent="0.35">
      <c r="A1767" s="7" t="s">
        <v>16</v>
      </c>
      <c r="B1767" s="7">
        <f t="shared" si="403"/>
        <v>2040</v>
      </c>
      <c r="C1767" s="4" t="s">
        <v>46</v>
      </c>
      <c r="D1767" s="5" t="s">
        <v>2003</v>
      </c>
      <c r="E1767" s="10" t="str">
        <f t="shared" si="381"/>
        <v>PND'!</v>
      </c>
      <c r="F1767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67" s="7" t="s">
        <v>104</v>
      </c>
      <c r="H1767" s="4">
        <f t="shared" si="384"/>
        <v>53</v>
      </c>
      <c r="I1767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PND'!$BU$53</v>
      </c>
      <c r="J1767" s="4" t="s">
        <v>2835</v>
      </c>
    </row>
    <row r="1768" spans="1:10" x14ac:dyDescent="0.35">
      <c r="A1768" s="7" t="s">
        <v>16</v>
      </c>
      <c r="B1768" s="7">
        <f>+B1767+1</f>
        <v>2041</v>
      </c>
      <c r="C1768" s="4" t="s">
        <v>46</v>
      </c>
      <c r="D1768" s="5" t="s">
        <v>2003</v>
      </c>
      <c r="E1768" s="10" t="str">
        <f t="shared" si="381"/>
        <v>PND'!</v>
      </c>
      <c r="F1768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68" s="7" t="s">
        <v>104</v>
      </c>
      <c r="H1768" s="4">
        <f t="shared" si="384"/>
        <v>54</v>
      </c>
      <c r="I1768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PND'!$BU$54</v>
      </c>
      <c r="J1768" s="4" t="s">
        <v>2836</v>
      </c>
    </row>
    <row r="1769" spans="1:10" x14ac:dyDescent="0.35">
      <c r="A1769" s="7" t="s">
        <v>16</v>
      </c>
      <c r="B1769" s="7">
        <f t="shared" ref="B1769:B1770" si="404">+B1768+1</f>
        <v>2042</v>
      </c>
      <c r="C1769" s="4" t="s">
        <v>46</v>
      </c>
      <c r="D1769" s="5" t="s">
        <v>2003</v>
      </c>
      <c r="E1769" s="10" t="str">
        <f t="shared" ref="E1769:E2074" si="405">_xlfn.CONCAT(A1769,"'!")</f>
        <v>PND'!</v>
      </c>
      <c r="F1769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69" s="7" t="s">
        <v>104</v>
      </c>
      <c r="H1769" s="4">
        <f t="shared" si="384"/>
        <v>55</v>
      </c>
      <c r="I1769" s="4" t="str">
        <f t="shared" ref="I1769:I2074" si="406">_xlfn.CONCAT("='",F1769:H1769)</f>
        <v>='C:\Users\jaime.benazar\Quorum Business Solutions\Ecopetrol Prometeo - Documents\Planning Space Implementation\3. Analysis &amp; Design\Design\FC22\DRR Jaime\Por presentar a ECP\Cantagallo\Cristalina\[VRC_CRISTALINA_CF_SEC_20221231.xlsx]CF PND'!$BU$55</v>
      </c>
      <c r="J1769" s="4" t="s">
        <v>2837</v>
      </c>
    </row>
    <row r="1770" spans="1:10" x14ac:dyDescent="0.35">
      <c r="A1770" s="7" t="s">
        <v>16</v>
      </c>
      <c r="B1770" s="7">
        <f t="shared" si="404"/>
        <v>2043</v>
      </c>
      <c r="C1770" s="4" t="s">
        <v>46</v>
      </c>
      <c r="D1770" s="5" t="s">
        <v>2003</v>
      </c>
      <c r="E1770" s="10" t="str">
        <f t="shared" si="405"/>
        <v>PND'!</v>
      </c>
      <c r="F1770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70" s="7" t="s">
        <v>104</v>
      </c>
      <c r="H1770" s="4">
        <f t="shared" ref="H1770:H2074" si="407">IF(A1770&lt;&gt;A1769,36,H1769+1)</f>
        <v>56</v>
      </c>
      <c r="I1770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PND'!$BU$56</v>
      </c>
      <c r="J1770" s="4" t="s">
        <v>2838</v>
      </c>
    </row>
    <row r="1771" spans="1:10" x14ac:dyDescent="0.35">
      <c r="A1771" s="7" t="s">
        <v>16</v>
      </c>
      <c r="B1771" s="7">
        <f>+B1770+1</f>
        <v>2044</v>
      </c>
      <c r="C1771" s="4" t="s">
        <v>46</v>
      </c>
      <c r="D1771" s="5" t="s">
        <v>2003</v>
      </c>
      <c r="E1771" s="10" t="str">
        <f t="shared" ref="E1771:E1786" si="408">_xlfn.CONCAT(A1771,"'!")</f>
        <v>PND'!</v>
      </c>
      <c r="F1771" s="5" t="str">
        <f t="shared" ref="F1771:F1786" si="409">_xlfn.CONCAT(D1771," ",E1771)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71" s="7" t="s">
        <v>104</v>
      </c>
      <c r="H1771" s="4">
        <f t="shared" ref="H1771:H1786" si="410">IF(A1771&lt;&gt;A1770,36,H1770+1)</f>
        <v>57</v>
      </c>
      <c r="I1771" s="4" t="str">
        <f t="shared" ref="I1771:I1786" si="411">_xlfn.CONCAT("='",F1771:H1771)</f>
        <v>='C:\Users\jaime.benazar\Quorum Business Solutions\Ecopetrol Prometeo - Documents\Planning Space Implementation\3. Analysis &amp; Design\Design\FC22\DRR Jaime\Por presentar a ECP\Cantagallo\Cristalina\[VRC_CRISTALINA_CF_SEC_20221231.xlsx]CF PND'!$BU$57</v>
      </c>
      <c r="J1771" s="4" t="s">
        <v>2839</v>
      </c>
    </row>
    <row r="1772" spans="1:10" x14ac:dyDescent="0.35">
      <c r="A1772" s="7" t="s">
        <v>16</v>
      </c>
      <c r="B1772" s="7">
        <f t="shared" ref="B1772:B1786" si="412">+B1771+1</f>
        <v>2045</v>
      </c>
      <c r="C1772" s="4" t="s">
        <v>46</v>
      </c>
      <c r="D1772" s="5" t="s">
        <v>2003</v>
      </c>
      <c r="E1772" s="10" t="str">
        <f t="shared" si="408"/>
        <v>PND'!</v>
      </c>
      <c r="F1772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72" s="7" t="s">
        <v>104</v>
      </c>
      <c r="H1772" s="4">
        <f t="shared" si="410"/>
        <v>58</v>
      </c>
      <c r="I1772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PND'!$BU$58</v>
      </c>
      <c r="J1772" s="4" t="s">
        <v>2840</v>
      </c>
    </row>
    <row r="1773" spans="1:10" x14ac:dyDescent="0.35">
      <c r="A1773" s="7" t="s">
        <v>16</v>
      </c>
      <c r="B1773" s="7">
        <f t="shared" si="412"/>
        <v>2046</v>
      </c>
      <c r="C1773" s="4" t="s">
        <v>46</v>
      </c>
      <c r="D1773" s="5" t="s">
        <v>2003</v>
      </c>
      <c r="E1773" s="10" t="str">
        <f t="shared" si="408"/>
        <v>PND'!</v>
      </c>
      <c r="F1773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73" s="7" t="s">
        <v>104</v>
      </c>
      <c r="H1773" s="4">
        <f t="shared" si="410"/>
        <v>59</v>
      </c>
      <c r="I1773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PND'!$BU$59</v>
      </c>
      <c r="J1773" s="4" t="s">
        <v>2841</v>
      </c>
    </row>
    <row r="1774" spans="1:10" x14ac:dyDescent="0.35">
      <c r="A1774" s="7" t="s">
        <v>16</v>
      </c>
      <c r="B1774" s="7">
        <f t="shared" si="412"/>
        <v>2047</v>
      </c>
      <c r="C1774" s="4" t="s">
        <v>46</v>
      </c>
      <c r="D1774" s="5" t="s">
        <v>2003</v>
      </c>
      <c r="E1774" s="10" t="str">
        <f t="shared" si="408"/>
        <v>PND'!</v>
      </c>
      <c r="F1774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74" s="7" t="s">
        <v>104</v>
      </c>
      <c r="H1774" s="4">
        <f t="shared" si="410"/>
        <v>60</v>
      </c>
      <c r="I1774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PND'!$BU$60</v>
      </c>
      <c r="J1774" s="4" t="s">
        <v>2842</v>
      </c>
    </row>
    <row r="1775" spans="1:10" x14ac:dyDescent="0.35">
      <c r="A1775" s="7" t="s">
        <v>16</v>
      </c>
      <c r="B1775" s="7">
        <f t="shared" si="412"/>
        <v>2048</v>
      </c>
      <c r="C1775" s="4" t="s">
        <v>46</v>
      </c>
      <c r="D1775" s="5" t="s">
        <v>2003</v>
      </c>
      <c r="E1775" s="10" t="str">
        <f t="shared" si="408"/>
        <v>PND'!</v>
      </c>
      <c r="F1775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75" s="7" t="s">
        <v>104</v>
      </c>
      <c r="H1775" s="4">
        <f t="shared" si="410"/>
        <v>61</v>
      </c>
      <c r="I1775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PND'!$BU$61</v>
      </c>
      <c r="J1775" s="4" t="s">
        <v>2843</v>
      </c>
    </row>
    <row r="1776" spans="1:10" x14ac:dyDescent="0.35">
      <c r="A1776" s="7" t="s">
        <v>16</v>
      </c>
      <c r="B1776" s="7">
        <f t="shared" si="412"/>
        <v>2049</v>
      </c>
      <c r="C1776" s="4" t="s">
        <v>46</v>
      </c>
      <c r="D1776" s="5" t="s">
        <v>2003</v>
      </c>
      <c r="E1776" s="10" t="str">
        <f t="shared" si="408"/>
        <v>PND'!</v>
      </c>
      <c r="F1776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76" s="7" t="s">
        <v>104</v>
      </c>
      <c r="H1776" s="4">
        <f t="shared" si="410"/>
        <v>62</v>
      </c>
      <c r="I1776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PND'!$BU$62</v>
      </c>
      <c r="J1776" s="4" t="s">
        <v>2844</v>
      </c>
    </row>
    <row r="1777" spans="1:10" x14ac:dyDescent="0.35">
      <c r="A1777" s="7" t="s">
        <v>16</v>
      </c>
      <c r="B1777" s="7">
        <f t="shared" si="412"/>
        <v>2050</v>
      </c>
      <c r="C1777" s="4" t="s">
        <v>46</v>
      </c>
      <c r="D1777" s="5" t="s">
        <v>2003</v>
      </c>
      <c r="E1777" s="10" t="str">
        <f t="shared" si="408"/>
        <v>PND'!</v>
      </c>
      <c r="F1777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77" s="7" t="s">
        <v>104</v>
      </c>
      <c r="H1777" s="4">
        <f t="shared" si="410"/>
        <v>63</v>
      </c>
      <c r="I1777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PND'!$BU$63</v>
      </c>
      <c r="J1777" s="4" t="s">
        <v>2845</v>
      </c>
    </row>
    <row r="1778" spans="1:10" x14ac:dyDescent="0.35">
      <c r="A1778" s="7" t="s">
        <v>16</v>
      </c>
      <c r="B1778" s="7">
        <f t="shared" si="412"/>
        <v>2051</v>
      </c>
      <c r="C1778" s="4" t="s">
        <v>46</v>
      </c>
      <c r="D1778" s="5" t="s">
        <v>2003</v>
      </c>
      <c r="E1778" s="10" t="str">
        <f t="shared" si="408"/>
        <v>PND'!</v>
      </c>
      <c r="F1778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78" s="7" t="s">
        <v>104</v>
      </c>
      <c r="H1778" s="4">
        <f t="shared" si="410"/>
        <v>64</v>
      </c>
      <c r="I1778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PND'!$BU$64</v>
      </c>
      <c r="J1778" s="4" t="s">
        <v>2846</v>
      </c>
    </row>
    <row r="1779" spans="1:10" x14ac:dyDescent="0.35">
      <c r="A1779" s="7" t="s">
        <v>16</v>
      </c>
      <c r="B1779" s="7">
        <f t="shared" si="412"/>
        <v>2052</v>
      </c>
      <c r="C1779" s="4" t="s">
        <v>46</v>
      </c>
      <c r="D1779" s="5" t="s">
        <v>2003</v>
      </c>
      <c r="E1779" s="10" t="str">
        <f t="shared" si="408"/>
        <v>PND'!</v>
      </c>
      <c r="F1779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79" s="7" t="s">
        <v>104</v>
      </c>
      <c r="H1779" s="4">
        <f t="shared" si="410"/>
        <v>65</v>
      </c>
      <c r="I1779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PND'!$BU$65</v>
      </c>
      <c r="J1779" s="4" t="s">
        <v>2847</v>
      </c>
    </row>
    <row r="1780" spans="1:10" x14ac:dyDescent="0.35">
      <c r="A1780" s="7" t="s">
        <v>16</v>
      </c>
      <c r="B1780" s="7">
        <f t="shared" si="412"/>
        <v>2053</v>
      </c>
      <c r="C1780" s="4" t="s">
        <v>46</v>
      </c>
      <c r="D1780" s="5" t="s">
        <v>2003</v>
      </c>
      <c r="E1780" s="10" t="str">
        <f t="shared" si="408"/>
        <v>PND'!</v>
      </c>
      <c r="F1780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80" s="7" t="s">
        <v>104</v>
      </c>
      <c r="H1780" s="4">
        <f t="shared" si="410"/>
        <v>66</v>
      </c>
      <c r="I1780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PND'!$BU$66</v>
      </c>
      <c r="J1780" s="4" t="s">
        <v>2848</v>
      </c>
    </row>
    <row r="1781" spans="1:10" x14ac:dyDescent="0.35">
      <c r="A1781" s="7" t="s">
        <v>16</v>
      </c>
      <c r="B1781" s="7">
        <f t="shared" si="412"/>
        <v>2054</v>
      </c>
      <c r="C1781" s="4" t="s">
        <v>46</v>
      </c>
      <c r="D1781" s="5" t="s">
        <v>2003</v>
      </c>
      <c r="E1781" s="10" t="str">
        <f t="shared" si="408"/>
        <v>PND'!</v>
      </c>
      <c r="F1781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81" s="7" t="s">
        <v>104</v>
      </c>
      <c r="H1781" s="4">
        <f t="shared" si="410"/>
        <v>67</v>
      </c>
      <c r="I1781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PND'!$BU$67</v>
      </c>
      <c r="J1781" s="4" t="s">
        <v>2849</v>
      </c>
    </row>
    <row r="1782" spans="1:10" x14ac:dyDescent="0.35">
      <c r="A1782" s="7" t="s">
        <v>16</v>
      </c>
      <c r="B1782" s="7">
        <f t="shared" si="412"/>
        <v>2055</v>
      </c>
      <c r="C1782" s="4" t="s">
        <v>46</v>
      </c>
      <c r="D1782" s="5" t="s">
        <v>2003</v>
      </c>
      <c r="E1782" s="10" t="str">
        <f t="shared" si="408"/>
        <v>PND'!</v>
      </c>
      <c r="F1782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82" s="7" t="s">
        <v>104</v>
      </c>
      <c r="H1782" s="4">
        <f t="shared" si="410"/>
        <v>68</v>
      </c>
      <c r="I1782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PND'!$BU$68</v>
      </c>
      <c r="J1782" s="4" t="s">
        <v>2850</v>
      </c>
    </row>
    <row r="1783" spans="1:10" x14ac:dyDescent="0.35">
      <c r="A1783" s="7" t="s">
        <v>16</v>
      </c>
      <c r="B1783" s="7">
        <f t="shared" si="412"/>
        <v>2056</v>
      </c>
      <c r="C1783" s="4" t="s">
        <v>46</v>
      </c>
      <c r="D1783" s="5" t="s">
        <v>2003</v>
      </c>
      <c r="E1783" s="10" t="str">
        <f t="shared" si="408"/>
        <v>PND'!</v>
      </c>
      <c r="F1783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83" s="7" t="s">
        <v>104</v>
      </c>
      <c r="H1783" s="4">
        <f t="shared" si="410"/>
        <v>69</v>
      </c>
      <c r="I1783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PND'!$BU$69</v>
      </c>
      <c r="J1783" s="4" t="s">
        <v>2851</v>
      </c>
    </row>
    <row r="1784" spans="1:10" x14ac:dyDescent="0.35">
      <c r="A1784" s="7" t="s">
        <v>16</v>
      </c>
      <c r="B1784" s="7">
        <f t="shared" si="412"/>
        <v>2057</v>
      </c>
      <c r="C1784" s="4" t="s">
        <v>46</v>
      </c>
      <c r="D1784" s="5" t="s">
        <v>2003</v>
      </c>
      <c r="E1784" s="10" t="str">
        <f t="shared" si="408"/>
        <v>PND'!</v>
      </c>
      <c r="F1784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84" s="7" t="s">
        <v>104</v>
      </c>
      <c r="H1784" s="4">
        <f t="shared" si="410"/>
        <v>70</v>
      </c>
      <c r="I1784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PND'!$BU$70</v>
      </c>
      <c r="J1784" s="4" t="s">
        <v>2852</v>
      </c>
    </row>
    <row r="1785" spans="1:10" x14ac:dyDescent="0.35">
      <c r="A1785" s="7" t="s">
        <v>16</v>
      </c>
      <c r="B1785" s="7">
        <f t="shared" si="412"/>
        <v>2058</v>
      </c>
      <c r="C1785" s="4" t="s">
        <v>46</v>
      </c>
      <c r="D1785" s="5" t="s">
        <v>2003</v>
      </c>
      <c r="E1785" s="10" t="str">
        <f t="shared" si="408"/>
        <v>PND'!</v>
      </c>
      <c r="F1785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85" s="7" t="s">
        <v>104</v>
      </c>
      <c r="H1785" s="4">
        <f t="shared" si="410"/>
        <v>71</v>
      </c>
      <c r="I1785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PND'!$BU$71</v>
      </c>
      <c r="J1785" s="4" t="s">
        <v>2853</v>
      </c>
    </row>
    <row r="1786" spans="1:10" x14ac:dyDescent="0.35">
      <c r="A1786" s="7" t="s">
        <v>16</v>
      </c>
      <c r="B1786" s="7">
        <f t="shared" si="412"/>
        <v>2059</v>
      </c>
      <c r="C1786" s="4" t="s">
        <v>46</v>
      </c>
      <c r="D1786" s="5" t="s">
        <v>2003</v>
      </c>
      <c r="E1786" s="10" t="str">
        <f t="shared" si="408"/>
        <v>PND'!</v>
      </c>
      <c r="F1786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86" s="7" t="s">
        <v>104</v>
      </c>
      <c r="H1786" s="4">
        <f t="shared" si="410"/>
        <v>72</v>
      </c>
      <c r="I1786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PND'!$BU$72</v>
      </c>
      <c r="J1786" s="4" t="s">
        <v>2854</v>
      </c>
    </row>
    <row r="1787" spans="1:10" x14ac:dyDescent="0.35">
      <c r="A1787" s="7" t="s">
        <v>26</v>
      </c>
      <c r="B1787" s="7"/>
      <c r="C1787" s="4" t="s">
        <v>46</v>
      </c>
      <c r="D1787" s="5"/>
      <c r="E1787" s="10"/>
      <c r="F1787" s="5"/>
      <c r="G1787" s="7"/>
      <c r="H1787" s="4"/>
      <c r="I1787" s="4"/>
      <c r="J1787" s="4"/>
    </row>
    <row r="1788" spans="1:10" x14ac:dyDescent="0.35">
      <c r="A1788" s="7" t="s">
        <v>17</v>
      </c>
      <c r="B1788" s="7">
        <v>2023</v>
      </c>
      <c r="C1788" s="4" t="s">
        <v>46</v>
      </c>
      <c r="D1788" s="5" t="s">
        <v>2003</v>
      </c>
      <c r="E1788" s="10" t="str">
        <f t="shared" ref="E1788:E1808" si="413">_xlfn.CONCAT(A1788,"'!")</f>
        <v>PRBDP'!</v>
      </c>
      <c r="F1788" s="5" t="str">
        <f t="shared" ref="F1788:F1808" si="414">_xlfn.CONCAT(D1788," ",E1788)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788" s="7" t="s">
        <v>104</v>
      </c>
      <c r="H1788" s="4"/>
      <c r="I1788" s="4"/>
      <c r="J1788" s="4"/>
    </row>
    <row r="1789" spans="1:10" x14ac:dyDescent="0.35">
      <c r="A1789" s="7" t="s">
        <v>17</v>
      </c>
      <c r="B1789" s="7">
        <f>+B1788+1</f>
        <v>2024</v>
      </c>
      <c r="C1789" s="4" t="s">
        <v>46</v>
      </c>
      <c r="D1789" s="5" t="s">
        <v>2003</v>
      </c>
      <c r="E1789" s="10" t="str">
        <f t="shared" si="413"/>
        <v>PRBDP'!</v>
      </c>
      <c r="F1789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789" s="7" t="s">
        <v>104</v>
      </c>
      <c r="H1789" s="4"/>
      <c r="I1789" s="4"/>
      <c r="J1789" s="4"/>
    </row>
    <row r="1790" spans="1:10" x14ac:dyDescent="0.35">
      <c r="A1790" s="7" t="s">
        <v>17</v>
      </c>
      <c r="B1790" s="7">
        <f t="shared" ref="B1790:B1801" si="415">+B1789+1</f>
        <v>2025</v>
      </c>
      <c r="C1790" s="4" t="s">
        <v>46</v>
      </c>
      <c r="D1790" s="5" t="s">
        <v>2003</v>
      </c>
      <c r="E1790" s="10" t="str">
        <f t="shared" si="413"/>
        <v>PRBDP'!</v>
      </c>
      <c r="F1790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790" s="7" t="s">
        <v>104</v>
      </c>
      <c r="H1790" s="4"/>
      <c r="I1790" s="4"/>
      <c r="J1790" s="4"/>
    </row>
    <row r="1791" spans="1:10" x14ac:dyDescent="0.35">
      <c r="A1791" s="7" t="s">
        <v>17</v>
      </c>
      <c r="B1791" s="7">
        <f t="shared" si="415"/>
        <v>2026</v>
      </c>
      <c r="C1791" s="4" t="s">
        <v>46</v>
      </c>
      <c r="D1791" s="5" t="s">
        <v>2003</v>
      </c>
      <c r="E1791" s="10" t="str">
        <f t="shared" si="413"/>
        <v>PRBDP'!</v>
      </c>
      <c r="F1791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791" s="7" t="s">
        <v>104</v>
      </c>
      <c r="H1791" s="4"/>
      <c r="I1791" s="4"/>
      <c r="J1791" s="4"/>
    </row>
    <row r="1792" spans="1:10" x14ac:dyDescent="0.35">
      <c r="A1792" s="7" t="s">
        <v>17</v>
      </c>
      <c r="B1792" s="7">
        <f t="shared" si="415"/>
        <v>2027</v>
      </c>
      <c r="C1792" s="4" t="s">
        <v>46</v>
      </c>
      <c r="D1792" s="5" t="s">
        <v>2003</v>
      </c>
      <c r="E1792" s="10" t="str">
        <f t="shared" si="413"/>
        <v>PRBDP'!</v>
      </c>
      <c r="F1792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792" s="7" t="s">
        <v>104</v>
      </c>
      <c r="H1792" s="4"/>
      <c r="I1792" s="4"/>
      <c r="J1792" s="4"/>
    </row>
    <row r="1793" spans="1:10" x14ac:dyDescent="0.35">
      <c r="A1793" s="7" t="s">
        <v>17</v>
      </c>
      <c r="B1793" s="7">
        <f t="shared" si="415"/>
        <v>2028</v>
      </c>
      <c r="C1793" s="4" t="s">
        <v>46</v>
      </c>
      <c r="D1793" s="5" t="s">
        <v>2003</v>
      </c>
      <c r="E1793" s="10" t="str">
        <f t="shared" si="413"/>
        <v>PRBDP'!</v>
      </c>
      <c r="F1793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793" s="7" t="s">
        <v>104</v>
      </c>
      <c r="H1793" s="4"/>
      <c r="I1793" s="4"/>
      <c r="J1793" s="4"/>
    </row>
    <row r="1794" spans="1:10" x14ac:dyDescent="0.35">
      <c r="A1794" s="7" t="s">
        <v>17</v>
      </c>
      <c r="B1794" s="7">
        <f t="shared" si="415"/>
        <v>2029</v>
      </c>
      <c r="C1794" s="4" t="s">
        <v>46</v>
      </c>
      <c r="D1794" s="5" t="s">
        <v>2003</v>
      </c>
      <c r="E1794" s="10" t="str">
        <f t="shared" si="413"/>
        <v>PRBDP'!</v>
      </c>
      <c r="F1794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794" s="7" t="s">
        <v>104</v>
      </c>
      <c r="H1794" s="4"/>
      <c r="I1794" s="4"/>
      <c r="J1794" s="4"/>
    </row>
    <row r="1795" spans="1:10" x14ac:dyDescent="0.35">
      <c r="A1795" s="7" t="s">
        <v>17</v>
      </c>
      <c r="B1795" s="7">
        <f t="shared" si="415"/>
        <v>2030</v>
      </c>
      <c r="C1795" s="4" t="s">
        <v>46</v>
      </c>
      <c r="D1795" s="5" t="s">
        <v>2003</v>
      </c>
      <c r="E1795" s="10" t="str">
        <f t="shared" si="413"/>
        <v>PRBDP'!</v>
      </c>
      <c r="F1795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795" s="7" t="s">
        <v>104</v>
      </c>
      <c r="H1795" s="4"/>
      <c r="I1795" s="4"/>
      <c r="J1795" s="4"/>
    </row>
    <row r="1796" spans="1:10" x14ac:dyDescent="0.35">
      <c r="A1796" s="7" t="s">
        <v>17</v>
      </c>
      <c r="B1796" s="7">
        <f t="shared" si="415"/>
        <v>2031</v>
      </c>
      <c r="C1796" s="4" t="s">
        <v>46</v>
      </c>
      <c r="D1796" s="5" t="s">
        <v>2003</v>
      </c>
      <c r="E1796" s="10" t="str">
        <f t="shared" si="413"/>
        <v>PRBDP'!</v>
      </c>
      <c r="F1796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796" s="7" t="s">
        <v>104</v>
      </c>
      <c r="H1796" s="4"/>
      <c r="I1796" s="4"/>
      <c r="J1796" s="4"/>
    </row>
    <row r="1797" spans="1:10" x14ac:dyDescent="0.35">
      <c r="A1797" s="7" t="s">
        <v>17</v>
      </c>
      <c r="B1797" s="7">
        <f t="shared" si="415"/>
        <v>2032</v>
      </c>
      <c r="C1797" s="4" t="s">
        <v>46</v>
      </c>
      <c r="D1797" s="5" t="s">
        <v>2003</v>
      </c>
      <c r="E1797" s="10" t="str">
        <f t="shared" si="413"/>
        <v>PRBDP'!</v>
      </c>
      <c r="F1797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797" s="7" t="s">
        <v>104</v>
      </c>
      <c r="H1797" s="4"/>
      <c r="I1797" s="4"/>
      <c r="J1797" s="4"/>
    </row>
    <row r="1798" spans="1:10" x14ac:dyDescent="0.35">
      <c r="A1798" s="7" t="s">
        <v>17</v>
      </c>
      <c r="B1798" s="7">
        <f t="shared" si="415"/>
        <v>2033</v>
      </c>
      <c r="C1798" s="4" t="s">
        <v>46</v>
      </c>
      <c r="D1798" s="5" t="s">
        <v>2003</v>
      </c>
      <c r="E1798" s="10" t="str">
        <f t="shared" si="413"/>
        <v>PRBDP'!</v>
      </c>
      <c r="F1798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798" s="7" t="s">
        <v>104</v>
      </c>
      <c r="H1798" s="4"/>
      <c r="I1798" s="4"/>
      <c r="J1798" s="4"/>
    </row>
    <row r="1799" spans="1:10" x14ac:dyDescent="0.35">
      <c r="A1799" s="7" t="s">
        <v>17</v>
      </c>
      <c r="B1799" s="7">
        <f t="shared" si="415"/>
        <v>2034</v>
      </c>
      <c r="C1799" s="4" t="s">
        <v>46</v>
      </c>
      <c r="D1799" s="5" t="s">
        <v>2003</v>
      </c>
      <c r="E1799" s="10" t="str">
        <f t="shared" si="413"/>
        <v>PRBDP'!</v>
      </c>
      <c r="F1799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799" s="7" t="s">
        <v>104</v>
      </c>
      <c r="H1799" s="4"/>
      <c r="I1799" s="4"/>
      <c r="J1799" s="4"/>
    </row>
    <row r="1800" spans="1:10" x14ac:dyDescent="0.35">
      <c r="A1800" s="7" t="s">
        <v>17</v>
      </c>
      <c r="B1800" s="7">
        <f t="shared" si="415"/>
        <v>2035</v>
      </c>
      <c r="C1800" s="4" t="s">
        <v>46</v>
      </c>
      <c r="D1800" s="5" t="s">
        <v>2003</v>
      </c>
      <c r="E1800" s="10" t="str">
        <f t="shared" si="413"/>
        <v>PRBDP'!</v>
      </c>
      <c r="F1800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00" s="7" t="s">
        <v>104</v>
      </c>
      <c r="H1800" s="4"/>
      <c r="I1800" s="4"/>
      <c r="J1800" s="4"/>
    </row>
    <row r="1801" spans="1:10" x14ac:dyDescent="0.35">
      <c r="A1801" s="7" t="s">
        <v>17</v>
      </c>
      <c r="B1801" s="7">
        <f t="shared" si="415"/>
        <v>2036</v>
      </c>
      <c r="C1801" s="4" t="s">
        <v>46</v>
      </c>
      <c r="D1801" s="5" t="s">
        <v>2003</v>
      </c>
      <c r="E1801" s="10" t="str">
        <f t="shared" si="413"/>
        <v>PRBDP'!</v>
      </c>
      <c r="F1801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01" s="7" t="s">
        <v>104</v>
      </c>
      <c r="H1801" s="4"/>
      <c r="I1801" s="4"/>
      <c r="J1801" s="4"/>
    </row>
    <row r="1802" spans="1:10" x14ac:dyDescent="0.35">
      <c r="A1802" s="7" t="s">
        <v>17</v>
      </c>
      <c r="B1802" s="7">
        <f>+B1801+1</f>
        <v>2037</v>
      </c>
      <c r="C1802" s="4" t="s">
        <v>46</v>
      </c>
      <c r="D1802" s="5" t="s">
        <v>2003</v>
      </c>
      <c r="E1802" s="10" t="str">
        <f t="shared" si="413"/>
        <v>PRBDP'!</v>
      </c>
      <c r="F1802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02" s="7" t="s">
        <v>104</v>
      </c>
      <c r="H1802" s="4"/>
      <c r="I1802" s="4"/>
      <c r="J1802" s="4"/>
    </row>
    <row r="1803" spans="1:10" x14ac:dyDescent="0.35">
      <c r="A1803" s="7" t="s">
        <v>17</v>
      </c>
      <c r="B1803" s="7">
        <f t="shared" ref="B1803:B1805" si="416">+B1802+1</f>
        <v>2038</v>
      </c>
      <c r="C1803" s="4" t="s">
        <v>46</v>
      </c>
      <c r="D1803" s="5" t="s">
        <v>2003</v>
      </c>
      <c r="E1803" s="10" t="str">
        <f t="shared" si="413"/>
        <v>PRBDP'!</v>
      </c>
      <c r="F1803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03" s="7" t="s">
        <v>104</v>
      </c>
      <c r="H1803" s="4"/>
      <c r="I1803" s="4"/>
      <c r="J1803" s="4"/>
    </row>
    <row r="1804" spans="1:10" x14ac:dyDescent="0.35">
      <c r="A1804" s="7" t="s">
        <v>17</v>
      </c>
      <c r="B1804" s="7">
        <f t="shared" si="416"/>
        <v>2039</v>
      </c>
      <c r="C1804" s="4" t="s">
        <v>46</v>
      </c>
      <c r="D1804" s="5" t="s">
        <v>2003</v>
      </c>
      <c r="E1804" s="10" t="str">
        <f t="shared" si="413"/>
        <v>PRBDP'!</v>
      </c>
      <c r="F1804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04" s="7" t="s">
        <v>104</v>
      </c>
      <c r="H1804" s="4"/>
      <c r="I1804" s="4"/>
      <c r="J1804" s="4"/>
    </row>
    <row r="1805" spans="1:10" x14ac:dyDescent="0.35">
      <c r="A1805" s="7" t="s">
        <v>17</v>
      </c>
      <c r="B1805" s="7">
        <f t="shared" si="416"/>
        <v>2040</v>
      </c>
      <c r="C1805" s="4" t="s">
        <v>46</v>
      </c>
      <c r="D1805" s="5" t="s">
        <v>2003</v>
      </c>
      <c r="E1805" s="10" t="str">
        <f t="shared" si="413"/>
        <v>PRBDP'!</v>
      </c>
      <c r="F1805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05" s="7" t="s">
        <v>104</v>
      </c>
      <c r="H1805" s="4"/>
      <c r="I1805" s="4"/>
      <c r="J1805" s="4"/>
    </row>
    <row r="1806" spans="1:10" x14ac:dyDescent="0.35">
      <c r="A1806" s="7" t="s">
        <v>17</v>
      </c>
      <c r="B1806" s="7">
        <f>+B1805+1</f>
        <v>2041</v>
      </c>
      <c r="C1806" s="4" t="s">
        <v>46</v>
      </c>
      <c r="D1806" s="5" t="s">
        <v>2003</v>
      </c>
      <c r="E1806" s="10" t="str">
        <f t="shared" si="413"/>
        <v>PRBDP'!</v>
      </c>
      <c r="F1806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06" s="7" t="s">
        <v>104</v>
      </c>
      <c r="H1806" s="4"/>
      <c r="I1806" s="4"/>
      <c r="J1806" s="4"/>
    </row>
    <row r="1807" spans="1:10" x14ac:dyDescent="0.35">
      <c r="A1807" s="7" t="s">
        <v>17</v>
      </c>
      <c r="B1807" s="7">
        <f t="shared" ref="B1807:B1808" si="417">+B1806+1</f>
        <v>2042</v>
      </c>
      <c r="C1807" s="4" t="s">
        <v>46</v>
      </c>
      <c r="D1807" s="5" t="s">
        <v>2003</v>
      </c>
      <c r="E1807" s="10" t="str">
        <f t="shared" si="413"/>
        <v>PRBDP'!</v>
      </c>
      <c r="F1807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07" s="7" t="s">
        <v>104</v>
      </c>
      <c r="H1807" s="4"/>
      <c r="I1807" s="4"/>
      <c r="J1807" s="4"/>
    </row>
    <row r="1808" spans="1:10" x14ac:dyDescent="0.35">
      <c r="A1808" s="7" t="s">
        <v>17</v>
      </c>
      <c r="B1808" s="7">
        <f t="shared" si="417"/>
        <v>2043</v>
      </c>
      <c r="C1808" s="4" t="s">
        <v>46</v>
      </c>
      <c r="D1808" s="5" t="s">
        <v>2003</v>
      </c>
      <c r="E1808" s="10" t="str">
        <f t="shared" si="413"/>
        <v>PRBDP'!</v>
      </c>
      <c r="F1808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08" s="7" t="s">
        <v>104</v>
      </c>
      <c r="H1808" s="4"/>
      <c r="I1808" s="4"/>
      <c r="J1808" s="4"/>
    </row>
    <row r="1809" spans="1:10" x14ac:dyDescent="0.35">
      <c r="A1809" s="7" t="s">
        <v>17</v>
      </c>
      <c r="B1809" s="7">
        <f>+B1808+1</f>
        <v>2044</v>
      </c>
      <c r="C1809" s="4" t="s">
        <v>46</v>
      </c>
      <c r="D1809" s="5" t="s">
        <v>2003</v>
      </c>
      <c r="E1809" s="10" t="str">
        <f t="shared" ref="E1809:E1824" si="418">_xlfn.CONCAT(A1809,"'!")</f>
        <v>PRBDP'!</v>
      </c>
      <c r="F1809" s="5" t="str">
        <f t="shared" ref="F1809:F1824" si="419">_xlfn.CONCAT(D1809," ",E1809)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09" s="7" t="s">
        <v>104</v>
      </c>
      <c r="H1809" s="4"/>
      <c r="I1809" s="4"/>
      <c r="J1809" s="4"/>
    </row>
    <row r="1810" spans="1:10" x14ac:dyDescent="0.35">
      <c r="A1810" s="7" t="s">
        <v>17</v>
      </c>
      <c r="B1810" s="7">
        <f t="shared" ref="B1810:B1824" si="420">+B1809+1</f>
        <v>2045</v>
      </c>
      <c r="C1810" s="4" t="s">
        <v>46</v>
      </c>
      <c r="D1810" s="5" t="s">
        <v>2003</v>
      </c>
      <c r="E1810" s="10" t="str">
        <f t="shared" si="418"/>
        <v>PRBDP'!</v>
      </c>
      <c r="F1810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10" s="7" t="s">
        <v>104</v>
      </c>
      <c r="H1810" s="4"/>
      <c r="I1810" s="4"/>
      <c r="J1810" s="4"/>
    </row>
    <row r="1811" spans="1:10" x14ac:dyDescent="0.35">
      <c r="A1811" s="7" t="s">
        <v>17</v>
      </c>
      <c r="B1811" s="7">
        <f t="shared" si="420"/>
        <v>2046</v>
      </c>
      <c r="C1811" s="4" t="s">
        <v>46</v>
      </c>
      <c r="D1811" s="5" t="s">
        <v>2003</v>
      </c>
      <c r="E1811" s="10" t="str">
        <f t="shared" si="418"/>
        <v>PRBDP'!</v>
      </c>
      <c r="F1811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11" s="7" t="s">
        <v>104</v>
      </c>
      <c r="H1811" s="4"/>
      <c r="I1811" s="4"/>
      <c r="J1811" s="4"/>
    </row>
    <row r="1812" spans="1:10" x14ac:dyDescent="0.35">
      <c r="A1812" s="7" t="s">
        <v>17</v>
      </c>
      <c r="B1812" s="7">
        <f t="shared" si="420"/>
        <v>2047</v>
      </c>
      <c r="C1812" s="4" t="s">
        <v>46</v>
      </c>
      <c r="D1812" s="5" t="s">
        <v>2003</v>
      </c>
      <c r="E1812" s="10" t="str">
        <f t="shared" si="418"/>
        <v>PRBDP'!</v>
      </c>
      <c r="F1812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12" s="7" t="s">
        <v>104</v>
      </c>
      <c r="H1812" s="4"/>
      <c r="I1812" s="4"/>
      <c r="J1812" s="4"/>
    </row>
    <row r="1813" spans="1:10" x14ac:dyDescent="0.35">
      <c r="A1813" s="7" t="s">
        <v>17</v>
      </c>
      <c r="B1813" s="7">
        <f t="shared" si="420"/>
        <v>2048</v>
      </c>
      <c r="C1813" s="4" t="s">
        <v>46</v>
      </c>
      <c r="D1813" s="5" t="s">
        <v>2003</v>
      </c>
      <c r="E1813" s="10" t="str">
        <f t="shared" si="418"/>
        <v>PRBDP'!</v>
      </c>
      <c r="F1813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13" s="7" t="s">
        <v>104</v>
      </c>
      <c r="H1813" s="4"/>
      <c r="I1813" s="4"/>
      <c r="J1813" s="4"/>
    </row>
    <row r="1814" spans="1:10" x14ac:dyDescent="0.35">
      <c r="A1814" s="7" t="s">
        <v>17</v>
      </c>
      <c r="B1814" s="7">
        <f t="shared" si="420"/>
        <v>2049</v>
      </c>
      <c r="C1814" s="4" t="s">
        <v>46</v>
      </c>
      <c r="D1814" s="5" t="s">
        <v>2003</v>
      </c>
      <c r="E1814" s="10" t="str">
        <f t="shared" si="418"/>
        <v>PRBDP'!</v>
      </c>
      <c r="F1814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14" s="7" t="s">
        <v>104</v>
      </c>
      <c r="H1814" s="4"/>
      <c r="I1814" s="4"/>
      <c r="J1814" s="4"/>
    </row>
    <row r="1815" spans="1:10" x14ac:dyDescent="0.35">
      <c r="A1815" s="7" t="s">
        <v>17</v>
      </c>
      <c r="B1815" s="7">
        <f t="shared" si="420"/>
        <v>2050</v>
      </c>
      <c r="C1815" s="4" t="s">
        <v>46</v>
      </c>
      <c r="D1815" s="5" t="s">
        <v>2003</v>
      </c>
      <c r="E1815" s="10" t="str">
        <f t="shared" si="418"/>
        <v>PRBDP'!</v>
      </c>
      <c r="F1815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15" s="7" t="s">
        <v>104</v>
      </c>
      <c r="H1815" s="4"/>
      <c r="I1815" s="4"/>
      <c r="J1815" s="4"/>
    </row>
    <row r="1816" spans="1:10" x14ac:dyDescent="0.35">
      <c r="A1816" s="7" t="s">
        <v>17</v>
      </c>
      <c r="B1816" s="7">
        <f t="shared" si="420"/>
        <v>2051</v>
      </c>
      <c r="C1816" s="4" t="s">
        <v>46</v>
      </c>
      <c r="D1816" s="5" t="s">
        <v>2003</v>
      </c>
      <c r="E1816" s="10" t="str">
        <f t="shared" si="418"/>
        <v>PRBDP'!</v>
      </c>
      <c r="F1816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16" s="7" t="s">
        <v>104</v>
      </c>
      <c r="H1816" s="4"/>
      <c r="I1816" s="4"/>
      <c r="J1816" s="4"/>
    </row>
    <row r="1817" spans="1:10" x14ac:dyDescent="0.35">
      <c r="A1817" s="7" t="s">
        <v>17</v>
      </c>
      <c r="B1817" s="7">
        <f t="shared" si="420"/>
        <v>2052</v>
      </c>
      <c r="C1817" s="4" t="s">
        <v>46</v>
      </c>
      <c r="D1817" s="5" t="s">
        <v>2003</v>
      </c>
      <c r="E1817" s="10" t="str">
        <f t="shared" si="418"/>
        <v>PRBDP'!</v>
      </c>
      <c r="F1817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17" s="7" t="s">
        <v>104</v>
      </c>
      <c r="H1817" s="4"/>
      <c r="I1817" s="4"/>
      <c r="J1817" s="4"/>
    </row>
    <row r="1818" spans="1:10" x14ac:dyDescent="0.35">
      <c r="A1818" s="7" t="s">
        <v>17</v>
      </c>
      <c r="B1818" s="7">
        <f t="shared" si="420"/>
        <v>2053</v>
      </c>
      <c r="C1818" s="4" t="s">
        <v>46</v>
      </c>
      <c r="D1818" s="5" t="s">
        <v>2003</v>
      </c>
      <c r="E1818" s="10" t="str">
        <f t="shared" si="418"/>
        <v>PRBDP'!</v>
      </c>
      <c r="F1818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18" s="7" t="s">
        <v>104</v>
      </c>
      <c r="H1818" s="4"/>
      <c r="I1818" s="4"/>
      <c r="J1818" s="4"/>
    </row>
    <row r="1819" spans="1:10" x14ac:dyDescent="0.35">
      <c r="A1819" s="7" t="s">
        <v>17</v>
      </c>
      <c r="B1819" s="7">
        <f t="shared" si="420"/>
        <v>2054</v>
      </c>
      <c r="C1819" s="4" t="s">
        <v>46</v>
      </c>
      <c r="D1819" s="5" t="s">
        <v>2003</v>
      </c>
      <c r="E1819" s="10" t="str">
        <f t="shared" si="418"/>
        <v>PRBDP'!</v>
      </c>
      <c r="F1819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19" s="7" t="s">
        <v>104</v>
      </c>
      <c r="H1819" s="4"/>
      <c r="I1819" s="4"/>
      <c r="J1819" s="4"/>
    </row>
    <row r="1820" spans="1:10" x14ac:dyDescent="0.35">
      <c r="A1820" s="7" t="s">
        <v>17</v>
      </c>
      <c r="B1820" s="7">
        <f t="shared" si="420"/>
        <v>2055</v>
      </c>
      <c r="C1820" s="4" t="s">
        <v>46</v>
      </c>
      <c r="D1820" s="5" t="s">
        <v>2003</v>
      </c>
      <c r="E1820" s="10" t="str">
        <f t="shared" si="418"/>
        <v>PRBDP'!</v>
      </c>
      <c r="F1820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20" s="7" t="s">
        <v>104</v>
      </c>
      <c r="H1820" s="4"/>
      <c r="I1820" s="4"/>
      <c r="J1820" s="4"/>
    </row>
    <row r="1821" spans="1:10" x14ac:dyDescent="0.35">
      <c r="A1821" s="7" t="s">
        <v>17</v>
      </c>
      <c r="B1821" s="7">
        <f t="shared" si="420"/>
        <v>2056</v>
      </c>
      <c r="C1821" s="4" t="s">
        <v>46</v>
      </c>
      <c r="D1821" s="5" t="s">
        <v>2003</v>
      </c>
      <c r="E1821" s="10" t="str">
        <f t="shared" si="418"/>
        <v>PRBDP'!</v>
      </c>
      <c r="F1821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21" s="7" t="s">
        <v>104</v>
      </c>
      <c r="H1821" s="4"/>
      <c r="I1821" s="4"/>
      <c r="J1821" s="4"/>
    </row>
    <row r="1822" spans="1:10" x14ac:dyDescent="0.35">
      <c r="A1822" s="7" t="s">
        <v>17</v>
      </c>
      <c r="B1822" s="7">
        <f t="shared" si="420"/>
        <v>2057</v>
      </c>
      <c r="C1822" s="4" t="s">
        <v>46</v>
      </c>
      <c r="D1822" s="5" t="s">
        <v>2003</v>
      </c>
      <c r="E1822" s="10" t="str">
        <f t="shared" si="418"/>
        <v>PRBDP'!</v>
      </c>
      <c r="F1822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22" s="7" t="s">
        <v>104</v>
      </c>
      <c r="H1822" s="4"/>
      <c r="I1822" s="4"/>
      <c r="J1822" s="4"/>
    </row>
    <row r="1823" spans="1:10" x14ac:dyDescent="0.35">
      <c r="A1823" s="7" t="s">
        <v>17</v>
      </c>
      <c r="B1823" s="7">
        <f t="shared" si="420"/>
        <v>2058</v>
      </c>
      <c r="C1823" s="4" t="s">
        <v>46</v>
      </c>
      <c r="D1823" s="5" t="s">
        <v>2003</v>
      </c>
      <c r="E1823" s="10" t="str">
        <f t="shared" si="418"/>
        <v>PRBDP'!</v>
      </c>
      <c r="F1823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23" s="7" t="s">
        <v>104</v>
      </c>
      <c r="H1823" s="4"/>
      <c r="I1823" s="4"/>
      <c r="J1823" s="4"/>
    </row>
    <row r="1824" spans="1:10" x14ac:dyDescent="0.35">
      <c r="A1824" s="7" t="s">
        <v>17</v>
      </c>
      <c r="B1824" s="7">
        <f t="shared" si="420"/>
        <v>2059</v>
      </c>
      <c r="C1824" s="4" t="s">
        <v>46</v>
      </c>
      <c r="D1824" s="5" t="s">
        <v>2003</v>
      </c>
      <c r="E1824" s="10" t="str">
        <f t="shared" si="418"/>
        <v>PRBDP'!</v>
      </c>
      <c r="F1824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24" s="7" t="s">
        <v>104</v>
      </c>
      <c r="H1824" s="4"/>
      <c r="I1824" s="4"/>
      <c r="J1824" s="4"/>
    </row>
    <row r="1825" spans="1:10" x14ac:dyDescent="0.35">
      <c r="A1825" s="7" t="s">
        <v>26</v>
      </c>
      <c r="B1825" s="7"/>
      <c r="C1825" s="4" t="s">
        <v>46</v>
      </c>
      <c r="D1825" s="5"/>
      <c r="E1825" s="10"/>
      <c r="F1825" s="5"/>
      <c r="G1825" s="7"/>
      <c r="H1825" s="4"/>
      <c r="I1825" s="4"/>
      <c r="J1825" s="4"/>
    </row>
    <row r="1826" spans="1:10" x14ac:dyDescent="0.35">
      <c r="A1826" s="7" t="s">
        <v>18</v>
      </c>
      <c r="B1826" s="7">
        <v>2023</v>
      </c>
      <c r="C1826" s="4" t="s">
        <v>46</v>
      </c>
      <c r="D1826" s="5" t="s">
        <v>2003</v>
      </c>
      <c r="E1826" s="10" t="str">
        <f t="shared" ref="E1826:E1846" si="421">_xlfn.CONCAT(A1826,"'!")</f>
        <v>PRBNP'!</v>
      </c>
      <c r="F1826" s="5" t="str">
        <f t="shared" ref="F1826:F1846" si="422">_xlfn.CONCAT(D1826," ",E1826)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26" s="7" t="s">
        <v>104</v>
      </c>
      <c r="H1826" s="4"/>
      <c r="I1826" s="4"/>
      <c r="J1826" s="4"/>
    </row>
    <row r="1827" spans="1:10" x14ac:dyDescent="0.35">
      <c r="A1827" s="7" t="s">
        <v>18</v>
      </c>
      <c r="B1827" s="7">
        <f>+B1826+1</f>
        <v>2024</v>
      </c>
      <c r="C1827" s="4" t="s">
        <v>46</v>
      </c>
      <c r="D1827" s="5" t="s">
        <v>2003</v>
      </c>
      <c r="E1827" s="10" t="str">
        <f t="shared" si="421"/>
        <v>PRBNP'!</v>
      </c>
      <c r="F1827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27" s="7" t="s">
        <v>104</v>
      </c>
      <c r="H1827" s="4"/>
      <c r="I1827" s="4"/>
      <c r="J1827" s="4"/>
    </row>
    <row r="1828" spans="1:10" x14ac:dyDescent="0.35">
      <c r="A1828" s="7" t="s">
        <v>18</v>
      </c>
      <c r="B1828" s="7">
        <f t="shared" ref="B1828:B1839" si="423">+B1827+1</f>
        <v>2025</v>
      </c>
      <c r="C1828" s="4" t="s">
        <v>46</v>
      </c>
      <c r="D1828" s="5" t="s">
        <v>2003</v>
      </c>
      <c r="E1828" s="10" t="str">
        <f t="shared" si="421"/>
        <v>PRBNP'!</v>
      </c>
      <c r="F1828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28" s="7" t="s">
        <v>104</v>
      </c>
      <c r="H1828" s="4"/>
      <c r="I1828" s="4"/>
      <c r="J1828" s="4"/>
    </row>
    <row r="1829" spans="1:10" x14ac:dyDescent="0.35">
      <c r="A1829" s="7" t="s">
        <v>18</v>
      </c>
      <c r="B1829" s="7">
        <f t="shared" si="423"/>
        <v>2026</v>
      </c>
      <c r="C1829" s="4" t="s">
        <v>46</v>
      </c>
      <c r="D1829" s="5" t="s">
        <v>2003</v>
      </c>
      <c r="E1829" s="10" t="str">
        <f t="shared" si="421"/>
        <v>PRBNP'!</v>
      </c>
      <c r="F1829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29" s="7" t="s">
        <v>104</v>
      </c>
      <c r="H1829" s="4"/>
      <c r="I1829" s="4"/>
      <c r="J1829" s="4"/>
    </row>
    <row r="1830" spans="1:10" x14ac:dyDescent="0.35">
      <c r="A1830" s="7" t="s">
        <v>18</v>
      </c>
      <c r="B1830" s="7">
        <f t="shared" si="423"/>
        <v>2027</v>
      </c>
      <c r="C1830" s="4" t="s">
        <v>46</v>
      </c>
      <c r="D1830" s="5" t="s">
        <v>2003</v>
      </c>
      <c r="E1830" s="10" t="str">
        <f t="shared" si="421"/>
        <v>PRBNP'!</v>
      </c>
      <c r="F1830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30" s="7" t="s">
        <v>104</v>
      </c>
      <c r="H1830" s="4"/>
      <c r="I1830" s="4"/>
      <c r="J1830" s="4"/>
    </row>
    <row r="1831" spans="1:10" x14ac:dyDescent="0.35">
      <c r="A1831" s="7" t="s">
        <v>18</v>
      </c>
      <c r="B1831" s="7">
        <f t="shared" si="423"/>
        <v>2028</v>
      </c>
      <c r="C1831" s="4" t="s">
        <v>46</v>
      </c>
      <c r="D1831" s="5" t="s">
        <v>2003</v>
      </c>
      <c r="E1831" s="10" t="str">
        <f t="shared" si="421"/>
        <v>PRBNP'!</v>
      </c>
      <c r="F1831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31" s="7" t="s">
        <v>104</v>
      </c>
      <c r="H1831" s="4"/>
      <c r="I1831" s="4"/>
      <c r="J1831" s="4"/>
    </row>
    <row r="1832" spans="1:10" x14ac:dyDescent="0.35">
      <c r="A1832" s="7" t="s">
        <v>18</v>
      </c>
      <c r="B1832" s="7">
        <f t="shared" si="423"/>
        <v>2029</v>
      </c>
      <c r="C1832" s="4" t="s">
        <v>46</v>
      </c>
      <c r="D1832" s="5" t="s">
        <v>2003</v>
      </c>
      <c r="E1832" s="10" t="str">
        <f t="shared" si="421"/>
        <v>PRBNP'!</v>
      </c>
      <c r="F1832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32" s="7" t="s">
        <v>104</v>
      </c>
      <c r="H1832" s="4"/>
      <c r="I1832" s="4"/>
      <c r="J1832" s="4"/>
    </row>
    <row r="1833" spans="1:10" x14ac:dyDescent="0.35">
      <c r="A1833" s="7" t="s">
        <v>18</v>
      </c>
      <c r="B1833" s="7">
        <f t="shared" si="423"/>
        <v>2030</v>
      </c>
      <c r="C1833" s="4" t="s">
        <v>46</v>
      </c>
      <c r="D1833" s="5" t="s">
        <v>2003</v>
      </c>
      <c r="E1833" s="10" t="str">
        <f t="shared" si="421"/>
        <v>PRBNP'!</v>
      </c>
      <c r="F1833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33" s="7" t="s">
        <v>104</v>
      </c>
      <c r="H1833" s="4"/>
      <c r="I1833" s="4"/>
      <c r="J1833" s="4"/>
    </row>
    <row r="1834" spans="1:10" x14ac:dyDescent="0.35">
      <c r="A1834" s="7" t="s">
        <v>18</v>
      </c>
      <c r="B1834" s="7">
        <f t="shared" si="423"/>
        <v>2031</v>
      </c>
      <c r="C1834" s="4" t="s">
        <v>46</v>
      </c>
      <c r="D1834" s="5" t="s">
        <v>2003</v>
      </c>
      <c r="E1834" s="10" t="str">
        <f t="shared" si="421"/>
        <v>PRBNP'!</v>
      </c>
      <c r="F1834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34" s="7" t="s">
        <v>104</v>
      </c>
      <c r="H1834" s="4"/>
      <c r="I1834" s="4"/>
      <c r="J1834" s="4"/>
    </row>
    <row r="1835" spans="1:10" x14ac:dyDescent="0.35">
      <c r="A1835" s="7" t="s">
        <v>18</v>
      </c>
      <c r="B1835" s="7">
        <f t="shared" si="423"/>
        <v>2032</v>
      </c>
      <c r="C1835" s="4" t="s">
        <v>46</v>
      </c>
      <c r="D1835" s="5" t="s">
        <v>2003</v>
      </c>
      <c r="E1835" s="10" t="str">
        <f t="shared" si="421"/>
        <v>PRBNP'!</v>
      </c>
      <c r="F1835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35" s="7" t="s">
        <v>104</v>
      </c>
      <c r="H1835" s="4"/>
      <c r="I1835" s="4"/>
      <c r="J1835" s="4"/>
    </row>
    <row r="1836" spans="1:10" x14ac:dyDescent="0.35">
      <c r="A1836" s="7" t="s">
        <v>18</v>
      </c>
      <c r="B1836" s="7">
        <f t="shared" si="423"/>
        <v>2033</v>
      </c>
      <c r="C1836" s="4" t="s">
        <v>46</v>
      </c>
      <c r="D1836" s="5" t="s">
        <v>2003</v>
      </c>
      <c r="E1836" s="10" t="str">
        <f t="shared" si="421"/>
        <v>PRBNP'!</v>
      </c>
      <c r="F1836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36" s="7" t="s">
        <v>104</v>
      </c>
      <c r="H1836" s="4"/>
      <c r="I1836" s="4"/>
      <c r="J1836" s="4"/>
    </row>
    <row r="1837" spans="1:10" x14ac:dyDescent="0.35">
      <c r="A1837" s="7" t="s">
        <v>18</v>
      </c>
      <c r="B1837" s="7">
        <f t="shared" si="423"/>
        <v>2034</v>
      </c>
      <c r="C1837" s="4" t="s">
        <v>46</v>
      </c>
      <c r="D1837" s="5" t="s">
        <v>2003</v>
      </c>
      <c r="E1837" s="10" t="str">
        <f t="shared" si="421"/>
        <v>PRBNP'!</v>
      </c>
      <c r="F1837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37" s="7" t="s">
        <v>104</v>
      </c>
      <c r="H1837" s="4"/>
      <c r="I1837" s="4"/>
      <c r="J1837" s="4"/>
    </row>
    <row r="1838" spans="1:10" x14ac:dyDescent="0.35">
      <c r="A1838" s="7" t="s">
        <v>18</v>
      </c>
      <c r="B1838" s="7">
        <f t="shared" si="423"/>
        <v>2035</v>
      </c>
      <c r="C1838" s="4" t="s">
        <v>46</v>
      </c>
      <c r="D1838" s="5" t="s">
        <v>2003</v>
      </c>
      <c r="E1838" s="10" t="str">
        <f t="shared" si="421"/>
        <v>PRBNP'!</v>
      </c>
      <c r="F1838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38" s="7" t="s">
        <v>104</v>
      </c>
      <c r="H1838" s="4"/>
      <c r="I1838" s="4"/>
      <c r="J1838" s="4"/>
    </row>
    <row r="1839" spans="1:10" x14ac:dyDescent="0.35">
      <c r="A1839" s="7" t="s">
        <v>18</v>
      </c>
      <c r="B1839" s="7">
        <f t="shared" si="423"/>
        <v>2036</v>
      </c>
      <c r="C1839" s="4" t="s">
        <v>46</v>
      </c>
      <c r="D1839" s="5" t="s">
        <v>2003</v>
      </c>
      <c r="E1839" s="10" t="str">
        <f t="shared" si="421"/>
        <v>PRBNP'!</v>
      </c>
      <c r="F1839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39" s="7" t="s">
        <v>104</v>
      </c>
      <c r="H1839" s="4"/>
      <c r="I1839" s="4"/>
      <c r="J1839" s="4"/>
    </row>
    <row r="1840" spans="1:10" x14ac:dyDescent="0.35">
      <c r="A1840" s="7" t="s">
        <v>18</v>
      </c>
      <c r="B1840" s="7">
        <f>+B1839+1</f>
        <v>2037</v>
      </c>
      <c r="C1840" s="4" t="s">
        <v>46</v>
      </c>
      <c r="D1840" s="5" t="s">
        <v>2003</v>
      </c>
      <c r="E1840" s="10" t="str">
        <f t="shared" si="421"/>
        <v>PRBNP'!</v>
      </c>
      <c r="F1840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40" s="7" t="s">
        <v>104</v>
      </c>
      <c r="H1840" s="4"/>
      <c r="I1840" s="4"/>
      <c r="J1840" s="4"/>
    </row>
    <row r="1841" spans="1:10" x14ac:dyDescent="0.35">
      <c r="A1841" s="7" t="s">
        <v>18</v>
      </c>
      <c r="B1841" s="7">
        <f t="shared" ref="B1841:B1843" si="424">+B1840+1</f>
        <v>2038</v>
      </c>
      <c r="C1841" s="4" t="s">
        <v>46</v>
      </c>
      <c r="D1841" s="5" t="s">
        <v>2003</v>
      </c>
      <c r="E1841" s="10" t="str">
        <f t="shared" si="421"/>
        <v>PRBNP'!</v>
      </c>
      <c r="F1841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41" s="7" t="s">
        <v>104</v>
      </c>
      <c r="H1841" s="4"/>
      <c r="I1841" s="4"/>
      <c r="J1841" s="4"/>
    </row>
    <row r="1842" spans="1:10" x14ac:dyDescent="0.35">
      <c r="A1842" s="7" t="s">
        <v>18</v>
      </c>
      <c r="B1842" s="7">
        <f t="shared" si="424"/>
        <v>2039</v>
      </c>
      <c r="C1842" s="4" t="s">
        <v>46</v>
      </c>
      <c r="D1842" s="5" t="s">
        <v>2003</v>
      </c>
      <c r="E1842" s="10" t="str">
        <f t="shared" si="421"/>
        <v>PRBNP'!</v>
      </c>
      <c r="F1842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42" s="7" t="s">
        <v>104</v>
      </c>
      <c r="H1842" s="4"/>
      <c r="I1842" s="4"/>
      <c r="J1842" s="4"/>
    </row>
    <row r="1843" spans="1:10" x14ac:dyDescent="0.35">
      <c r="A1843" s="7" t="s">
        <v>18</v>
      </c>
      <c r="B1843" s="7">
        <f t="shared" si="424"/>
        <v>2040</v>
      </c>
      <c r="C1843" s="4" t="s">
        <v>46</v>
      </c>
      <c r="D1843" s="5" t="s">
        <v>2003</v>
      </c>
      <c r="E1843" s="10" t="str">
        <f t="shared" si="421"/>
        <v>PRBNP'!</v>
      </c>
      <c r="F1843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43" s="7" t="s">
        <v>104</v>
      </c>
      <c r="H1843" s="4"/>
      <c r="I1843" s="4"/>
      <c r="J1843" s="4"/>
    </row>
    <row r="1844" spans="1:10" x14ac:dyDescent="0.35">
      <c r="A1844" s="7" t="s">
        <v>18</v>
      </c>
      <c r="B1844" s="7">
        <f>+B1843+1</f>
        <v>2041</v>
      </c>
      <c r="C1844" s="4" t="s">
        <v>46</v>
      </c>
      <c r="D1844" s="5" t="s">
        <v>2003</v>
      </c>
      <c r="E1844" s="10" t="str">
        <f t="shared" si="421"/>
        <v>PRBNP'!</v>
      </c>
      <c r="F1844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44" s="7" t="s">
        <v>104</v>
      </c>
      <c r="H1844" s="4"/>
      <c r="I1844" s="4"/>
      <c r="J1844" s="4"/>
    </row>
    <row r="1845" spans="1:10" x14ac:dyDescent="0.35">
      <c r="A1845" s="7" t="s">
        <v>18</v>
      </c>
      <c r="B1845" s="7">
        <f t="shared" ref="B1845:B1846" si="425">+B1844+1</f>
        <v>2042</v>
      </c>
      <c r="C1845" s="4" t="s">
        <v>46</v>
      </c>
      <c r="D1845" s="5" t="s">
        <v>2003</v>
      </c>
      <c r="E1845" s="10" t="str">
        <f t="shared" si="421"/>
        <v>PRBNP'!</v>
      </c>
      <c r="F1845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45" s="7" t="s">
        <v>104</v>
      </c>
      <c r="H1845" s="4"/>
      <c r="I1845" s="4"/>
      <c r="J1845" s="4"/>
    </row>
    <row r="1846" spans="1:10" x14ac:dyDescent="0.35">
      <c r="A1846" s="7" t="s">
        <v>18</v>
      </c>
      <c r="B1846" s="7">
        <f t="shared" si="425"/>
        <v>2043</v>
      </c>
      <c r="C1846" s="4" t="s">
        <v>46</v>
      </c>
      <c r="D1846" s="5" t="s">
        <v>2003</v>
      </c>
      <c r="E1846" s="10" t="str">
        <f t="shared" si="421"/>
        <v>PRBNP'!</v>
      </c>
      <c r="F1846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46" s="7" t="s">
        <v>104</v>
      </c>
      <c r="H1846" s="4"/>
      <c r="I1846" s="4"/>
      <c r="J1846" s="4"/>
    </row>
    <row r="1847" spans="1:10" x14ac:dyDescent="0.35">
      <c r="A1847" s="7" t="s">
        <v>18</v>
      </c>
      <c r="B1847" s="7">
        <f>+B1846+1</f>
        <v>2044</v>
      </c>
      <c r="C1847" s="4" t="s">
        <v>46</v>
      </c>
      <c r="D1847" s="5" t="s">
        <v>2003</v>
      </c>
      <c r="E1847" s="10" t="str">
        <f t="shared" ref="E1847:E1862" si="426">_xlfn.CONCAT(A1847,"'!")</f>
        <v>PRBNP'!</v>
      </c>
      <c r="F1847" s="5" t="str">
        <f t="shared" ref="F1847:F1862" si="427">_xlfn.CONCAT(D1847," ",E1847)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47" s="7" t="s">
        <v>104</v>
      </c>
      <c r="H1847" s="4"/>
      <c r="I1847" s="4"/>
      <c r="J1847" s="4"/>
    </row>
    <row r="1848" spans="1:10" x14ac:dyDescent="0.35">
      <c r="A1848" s="7" t="s">
        <v>18</v>
      </c>
      <c r="B1848" s="7">
        <f t="shared" ref="B1848:B1862" si="428">+B1847+1</f>
        <v>2045</v>
      </c>
      <c r="C1848" s="4" t="s">
        <v>46</v>
      </c>
      <c r="D1848" s="5" t="s">
        <v>2003</v>
      </c>
      <c r="E1848" s="10" t="str">
        <f t="shared" si="426"/>
        <v>PRBNP'!</v>
      </c>
      <c r="F1848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48" s="7" t="s">
        <v>104</v>
      </c>
      <c r="H1848" s="4"/>
      <c r="I1848" s="4"/>
      <c r="J1848" s="4"/>
    </row>
    <row r="1849" spans="1:10" x14ac:dyDescent="0.35">
      <c r="A1849" s="7" t="s">
        <v>18</v>
      </c>
      <c r="B1849" s="7">
        <f t="shared" si="428"/>
        <v>2046</v>
      </c>
      <c r="C1849" s="4" t="s">
        <v>46</v>
      </c>
      <c r="D1849" s="5" t="s">
        <v>2003</v>
      </c>
      <c r="E1849" s="10" t="str">
        <f t="shared" si="426"/>
        <v>PRBNP'!</v>
      </c>
      <c r="F1849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49" s="7" t="s">
        <v>104</v>
      </c>
      <c r="H1849" s="4"/>
      <c r="I1849" s="4"/>
      <c r="J1849" s="4"/>
    </row>
    <row r="1850" spans="1:10" x14ac:dyDescent="0.35">
      <c r="A1850" s="7" t="s">
        <v>18</v>
      </c>
      <c r="B1850" s="7">
        <f t="shared" si="428"/>
        <v>2047</v>
      </c>
      <c r="C1850" s="4" t="s">
        <v>46</v>
      </c>
      <c r="D1850" s="5" t="s">
        <v>2003</v>
      </c>
      <c r="E1850" s="10" t="str">
        <f t="shared" si="426"/>
        <v>PRBNP'!</v>
      </c>
      <c r="F1850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50" s="7" t="s">
        <v>104</v>
      </c>
      <c r="H1850" s="4"/>
      <c r="I1850" s="4"/>
      <c r="J1850" s="4"/>
    </row>
    <row r="1851" spans="1:10" x14ac:dyDescent="0.35">
      <c r="A1851" s="7" t="s">
        <v>18</v>
      </c>
      <c r="B1851" s="7">
        <f t="shared" si="428"/>
        <v>2048</v>
      </c>
      <c r="C1851" s="4" t="s">
        <v>46</v>
      </c>
      <c r="D1851" s="5" t="s">
        <v>2003</v>
      </c>
      <c r="E1851" s="10" t="str">
        <f t="shared" si="426"/>
        <v>PRBNP'!</v>
      </c>
      <c r="F1851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51" s="7" t="s">
        <v>104</v>
      </c>
      <c r="H1851" s="4"/>
      <c r="I1851" s="4"/>
      <c r="J1851" s="4"/>
    </row>
    <row r="1852" spans="1:10" x14ac:dyDescent="0.35">
      <c r="A1852" s="7" t="s">
        <v>18</v>
      </c>
      <c r="B1852" s="7">
        <f t="shared" si="428"/>
        <v>2049</v>
      </c>
      <c r="C1852" s="4" t="s">
        <v>46</v>
      </c>
      <c r="D1852" s="5" t="s">
        <v>2003</v>
      </c>
      <c r="E1852" s="10" t="str">
        <f t="shared" si="426"/>
        <v>PRBNP'!</v>
      </c>
      <c r="F1852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52" s="7" t="s">
        <v>104</v>
      </c>
      <c r="H1852" s="4"/>
      <c r="I1852" s="4"/>
      <c r="J1852" s="4"/>
    </row>
    <row r="1853" spans="1:10" x14ac:dyDescent="0.35">
      <c r="A1853" s="7" t="s">
        <v>18</v>
      </c>
      <c r="B1853" s="7">
        <f t="shared" si="428"/>
        <v>2050</v>
      </c>
      <c r="C1853" s="4" t="s">
        <v>46</v>
      </c>
      <c r="D1853" s="5" t="s">
        <v>2003</v>
      </c>
      <c r="E1853" s="10" t="str">
        <f t="shared" si="426"/>
        <v>PRBNP'!</v>
      </c>
      <c r="F1853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53" s="7" t="s">
        <v>104</v>
      </c>
      <c r="H1853" s="4"/>
      <c r="I1853" s="4"/>
      <c r="J1853" s="4"/>
    </row>
    <row r="1854" spans="1:10" x14ac:dyDescent="0.35">
      <c r="A1854" s="7" t="s">
        <v>18</v>
      </c>
      <c r="B1854" s="7">
        <f t="shared" si="428"/>
        <v>2051</v>
      </c>
      <c r="C1854" s="4" t="s">
        <v>46</v>
      </c>
      <c r="D1854" s="5" t="s">
        <v>2003</v>
      </c>
      <c r="E1854" s="10" t="str">
        <f t="shared" si="426"/>
        <v>PRBNP'!</v>
      </c>
      <c r="F1854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54" s="7" t="s">
        <v>104</v>
      </c>
      <c r="H1854" s="4"/>
      <c r="I1854" s="4"/>
      <c r="J1854" s="4"/>
    </row>
    <row r="1855" spans="1:10" x14ac:dyDescent="0.35">
      <c r="A1855" s="7" t="s">
        <v>18</v>
      </c>
      <c r="B1855" s="7">
        <f t="shared" si="428"/>
        <v>2052</v>
      </c>
      <c r="C1855" s="4" t="s">
        <v>46</v>
      </c>
      <c r="D1855" s="5" t="s">
        <v>2003</v>
      </c>
      <c r="E1855" s="10" t="str">
        <f t="shared" si="426"/>
        <v>PRBNP'!</v>
      </c>
      <c r="F1855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55" s="7" t="s">
        <v>104</v>
      </c>
      <c r="H1855" s="4"/>
      <c r="I1855" s="4"/>
      <c r="J1855" s="4"/>
    </row>
    <row r="1856" spans="1:10" x14ac:dyDescent="0.35">
      <c r="A1856" s="7" t="s">
        <v>18</v>
      </c>
      <c r="B1856" s="7">
        <f t="shared" si="428"/>
        <v>2053</v>
      </c>
      <c r="C1856" s="4" t="s">
        <v>46</v>
      </c>
      <c r="D1856" s="5" t="s">
        <v>2003</v>
      </c>
      <c r="E1856" s="10" t="str">
        <f t="shared" si="426"/>
        <v>PRBNP'!</v>
      </c>
      <c r="F1856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56" s="7" t="s">
        <v>104</v>
      </c>
      <c r="H1856" s="4"/>
      <c r="I1856" s="4"/>
      <c r="J1856" s="4"/>
    </row>
    <row r="1857" spans="1:10" x14ac:dyDescent="0.35">
      <c r="A1857" s="7" t="s">
        <v>18</v>
      </c>
      <c r="B1857" s="7">
        <f t="shared" si="428"/>
        <v>2054</v>
      </c>
      <c r="C1857" s="4" t="s">
        <v>46</v>
      </c>
      <c r="D1857" s="5" t="s">
        <v>2003</v>
      </c>
      <c r="E1857" s="10" t="str">
        <f t="shared" si="426"/>
        <v>PRBNP'!</v>
      </c>
      <c r="F1857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57" s="7" t="s">
        <v>104</v>
      </c>
      <c r="H1857" s="4"/>
      <c r="I1857" s="4"/>
      <c r="J1857" s="4"/>
    </row>
    <row r="1858" spans="1:10" x14ac:dyDescent="0.35">
      <c r="A1858" s="7" t="s">
        <v>18</v>
      </c>
      <c r="B1858" s="7">
        <f t="shared" si="428"/>
        <v>2055</v>
      </c>
      <c r="C1858" s="4" t="s">
        <v>46</v>
      </c>
      <c r="D1858" s="5" t="s">
        <v>2003</v>
      </c>
      <c r="E1858" s="10" t="str">
        <f t="shared" si="426"/>
        <v>PRBNP'!</v>
      </c>
      <c r="F1858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58" s="7" t="s">
        <v>104</v>
      </c>
      <c r="H1858" s="4"/>
      <c r="I1858" s="4"/>
      <c r="J1858" s="4"/>
    </row>
    <row r="1859" spans="1:10" x14ac:dyDescent="0.35">
      <c r="A1859" s="7" t="s">
        <v>18</v>
      </c>
      <c r="B1859" s="7">
        <f t="shared" si="428"/>
        <v>2056</v>
      </c>
      <c r="C1859" s="4" t="s">
        <v>46</v>
      </c>
      <c r="D1859" s="5" t="s">
        <v>2003</v>
      </c>
      <c r="E1859" s="10" t="str">
        <f t="shared" si="426"/>
        <v>PRBNP'!</v>
      </c>
      <c r="F1859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59" s="7" t="s">
        <v>104</v>
      </c>
      <c r="H1859" s="4"/>
      <c r="I1859" s="4"/>
      <c r="J1859" s="4"/>
    </row>
    <row r="1860" spans="1:10" x14ac:dyDescent="0.35">
      <c r="A1860" s="7" t="s">
        <v>18</v>
      </c>
      <c r="B1860" s="7">
        <f t="shared" si="428"/>
        <v>2057</v>
      </c>
      <c r="C1860" s="4" t="s">
        <v>46</v>
      </c>
      <c r="D1860" s="5" t="s">
        <v>2003</v>
      </c>
      <c r="E1860" s="10" t="str">
        <f t="shared" si="426"/>
        <v>PRBNP'!</v>
      </c>
      <c r="F1860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60" s="7" t="s">
        <v>104</v>
      </c>
      <c r="H1860" s="4"/>
      <c r="I1860" s="4"/>
      <c r="J1860" s="4"/>
    </row>
    <row r="1861" spans="1:10" x14ac:dyDescent="0.35">
      <c r="A1861" s="7" t="s">
        <v>18</v>
      </c>
      <c r="B1861" s="7">
        <f t="shared" si="428"/>
        <v>2058</v>
      </c>
      <c r="C1861" s="4" t="s">
        <v>46</v>
      </c>
      <c r="D1861" s="5" t="s">
        <v>2003</v>
      </c>
      <c r="E1861" s="10" t="str">
        <f t="shared" si="426"/>
        <v>PRBNP'!</v>
      </c>
      <c r="F1861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61" s="7" t="s">
        <v>104</v>
      </c>
      <c r="H1861" s="4"/>
      <c r="I1861" s="4"/>
      <c r="J1861" s="4"/>
    </row>
    <row r="1862" spans="1:10" x14ac:dyDescent="0.35">
      <c r="A1862" s="7" t="s">
        <v>18</v>
      </c>
      <c r="B1862" s="7">
        <f t="shared" si="428"/>
        <v>2059</v>
      </c>
      <c r="C1862" s="4" t="s">
        <v>46</v>
      </c>
      <c r="D1862" s="5" t="s">
        <v>2003</v>
      </c>
      <c r="E1862" s="10" t="str">
        <f t="shared" si="426"/>
        <v>PRBNP'!</v>
      </c>
      <c r="F1862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62" s="7" t="s">
        <v>104</v>
      </c>
      <c r="H1862" s="4"/>
      <c r="I1862" s="4"/>
      <c r="J1862" s="4"/>
    </row>
    <row r="1863" spans="1:10" x14ac:dyDescent="0.35">
      <c r="A1863" s="7" t="s">
        <v>26</v>
      </c>
      <c r="B1863" s="7"/>
      <c r="C1863" s="4" t="s">
        <v>46</v>
      </c>
      <c r="D1863" s="5"/>
      <c r="E1863" s="10"/>
      <c r="F1863" s="5"/>
      <c r="G1863" s="7"/>
      <c r="H1863" s="4"/>
      <c r="I1863" s="4"/>
      <c r="J1863" s="4"/>
    </row>
    <row r="1864" spans="1:10" x14ac:dyDescent="0.35">
      <c r="A1864" s="7" t="s">
        <v>19</v>
      </c>
      <c r="B1864" s="7">
        <v>2023</v>
      </c>
      <c r="C1864" s="4" t="s">
        <v>46</v>
      </c>
      <c r="D1864" s="5" t="s">
        <v>2003</v>
      </c>
      <c r="E1864" s="10" t="str">
        <f t="shared" ref="E1864:E1884" si="429">_xlfn.CONCAT(A1864,"'!")</f>
        <v>PRBND'!</v>
      </c>
      <c r="F1864" s="5" t="str">
        <f t="shared" ref="F1864:F1884" si="430">_xlfn.CONCAT(D1864," ",E1864)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64" s="7" t="s">
        <v>104</v>
      </c>
      <c r="H1864" s="4"/>
      <c r="I1864" s="4"/>
      <c r="J1864" s="4"/>
    </row>
    <row r="1865" spans="1:10" x14ac:dyDescent="0.35">
      <c r="A1865" s="7" t="s">
        <v>19</v>
      </c>
      <c r="B1865" s="7">
        <f>+B1864+1</f>
        <v>2024</v>
      </c>
      <c r="C1865" s="4" t="s">
        <v>46</v>
      </c>
      <c r="D1865" s="5" t="s">
        <v>2003</v>
      </c>
      <c r="E1865" s="10" t="str">
        <f t="shared" si="429"/>
        <v>PRBND'!</v>
      </c>
      <c r="F1865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65" s="7" t="s">
        <v>104</v>
      </c>
      <c r="H1865" s="4"/>
      <c r="I1865" s="4"/>
      <c r="J1865" s="4"/>
    </row>
    <row r="1866" spans="1:10" x14ac:dyDescent="0.35">
      <c r="A1866" s="7" t="s">
        <v>19</v>
      </c>
      <c r="B1866" s="7">
        <f t="shared" ref="B1866:B1877" si="431">+B1865+1</f>
        <v>2025</v>
      </c>
      <c r="C1866" s="4" t="s">
        <v>46</v>
      </c>
      <c r="D1866" s="5" t="s">
        <v>2003</v>
      </c>
      <c r="E1866" s="10" t="str">
        <f t="shared" si="429"/>
        <v>PRBND'!</v>
      </c>
      <c r="F1866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66" s="7" t="s">
        <v>104</v>
      </c>
      <c r="H1866" s="4"/>
      <c r="I1866" s="4"/>
      <c r="J1866" s="4"/>
    </row>
    <row r="1867" spans="1:10" x14ac:dyDescent="0.35">
      <c r="A1867" s="7" t="s">
        <v>19</v>
      </c>
      <c r="B1867" s="7">
        <f t="shared" si="431"/>
        <v>2026</v>
      </c>
      <c r="C1867" s="4" t="s">
        <v>46</v>
      </c>
      <c r="D1867" s="5" t="s">
        <v>2003</v>
      </c>
      <c r="E1867" s="10" t="str">
        <f t="shared" si="429"/>
        <v>PRBND'!</v>
      </c>
      <c r="F1867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67" s="7" t="s">
        <v>104</v>
      </c>
      <c r="H1867" s="4"/>
      <c r="I1867" s="4"/>
      <c r="J1867" s="4"/>
    </row>
    <row r="1868" spans="1:10" x14ac:dyDescent="0.35">
      <c r="A1868" s="7" t="s">
        <v>19</v>
      </c>
      <c r="B1868" s="7">
        <f t="shared" si="431"/>
        <v>2027</v>
      </c>
      <c r="C1868" s="4" t="s">
        <v>46</v>
      </c>
      <c r="D1868" s="5" t="s">
        <v>2003</v>
      </c>
      <c r="E1868" s="10" t="str">
        <f t="shared" si="429"/>
        <v>PRBND'!</v>
      </c>
      <c r="F1868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68" s="7" t="s">
        <v>104</v>
      </c>
      <c r="H1868" s="4"/>
      <c r="I1868" s="4"/>
      <c r="J1868" s="4"/>
    </row>
    <row r="1869" spans="1:10" x14ac:dyDescent="0.35">
      <c r="A1869" s="7" t="s">
        <v>19</v>
      </c>
      <c r="B1869" s="7">
        <f t="shared" si="431"/>
        <v>2028</v>
      </c>
      <c r="C1869" s="4" t="s">
        <v>46</v>
      </c>
      <c r="D1869" s="5" t="s">
        <v>2003</v>
      </c>
      <c r="E1869" s="10" t="str">
        <f t="shared" si="429"/>
        <v>PRBND'!</v>
      </c>
      <c r="F1869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69" s="7" t="s">
        <v>104</v>
      </c>
      <c r="H1869" s="4"/>
      <c r="I1869" s="4"/>
      <c r="J1869" s="4"/>
    </row>
    <row r="1870" spans="1:10" x14ac:dyDescent="0.35">
      <c r="A1870" s="7" t="s">
        <v>19</v>
      </c>
      <c r="B1870" s="7">
        <f t="shared" si="431"/>
        <v>2029</v>
      </c>
      <c r="C1870" s="4" t="s">
        <v>46</v>
      </c>
      <c r="D1870" s="5" t="s">
        <v>2003</v>
      </c>
      <c r="E1870" s="10" t="str">
        <f t="shared" si="429"/>
        <v>PRBND'!</v>
      </c>
      <c r="F1870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70" s="7" t="s">
        <v>104</v>
      </c>
      <c r="H1870" s="4"/>
      <c r="I1870" s="4"/>
      <c r="J1870" s="4"/>
    </row>
    <row r="1871" spans="1:10" x14ac:dyDescent="0.35">
      <c r="A1871" s="7" t="s">
        <v>19</v>
      </c>
      <c r="B1871" s="7">
        <f t="shared" si="431"/>
        <v>2030</v>
      </c>
      <c r="C1871" s="4" t="s">
        <v>46</v>
      </c>
      <c r="D1871" s="5" t="s">
        <v>2003</v>
      </c>
      <c r="E1871" s="10" t="str">
        <f t="shared" si="429"/>
        <v>PRBND'!</v>
      </c>
      <c r="F1871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71" s="7" t="s">
        <v>104</v>
      </c>
      <c r="H1871" s="4"/>
      <c r="I1871" s="4"/>
      <c r="J1871" s="4"/>
    </row>
    <row r="1872" spans="1:10" x14ac:dyDescent="0.35">
      <c r="A1872" s="7" t="s">
        <v>19</v>
      </c>
      <c r="B1872" s="7">
        <f t="shared" si="431"/>
        <v>2031</v>
      </c>
      <c r="C1872" s="4" t="s">
        <v>46</v>
      </c>
      <c r="D1872" s="5" t="s">
        <v>2003</v>
      </c>
      <c r="E1872" s="10" t="str">
        <f t="shared" si="429"/>
        <v>PRBND'!</v>
      </c>
      <c r="F1872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72" s="7" t="s">
        <v>104</v>
      </c>
      <c r="H1872" s="4"/>
      <c r="I1872" s="4"/>
      <c r="J1872" s="4"/>
    </row>
    <row r="1873" spans="1:10" x14ac:dyDescent="0.35">
      <c r="A1873" s="7" t="s">
        <v>19</v>
      </c>
      <c r="B1873" s="7">
        <f t="shared" si="431"/>
        <v>2032</v>
      </c>
      <c r="C1873" s="4" t="s">
        <v>46</v>
      </c>
      <c r="D1873" s="5" t="s">
        <v>2003</v>
      </c>
      <c r="E1873" s="10" t="str">
        <f t="shared" si="429"/>
        <v>PRBND'!</v>
      </c>
      <c r="F1873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73" s="7" t="s">
        <v>104</v>
      </c>
      <c r="H1873" s="4"/>
      <c r="I1873" s="4"/>
      <c r="J1873" s="4"/>
    </row>
    <row r="1874" spans="1:10" x14ac:dyDescent="0.35">
      <c r="A1874" s="7" t="s">
        <v>19</v>
      </c>
      <c r="B1874" s="7">
        <f t="shared" si="431"/>
        <v>2033</v>
      </c>
      <c r="C1874" s="4" t="s">
        <v>46</v>
      </c>
      <c r="D1874" s="5" t="s">
        <v>2003</v>
      </c>
      <c r="E1874" s="10" t="str">
        <f t="shared" si="429"/>
        <v>PRBND'!</v>
      </c>
      <c r="F1874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74" s="7" t="s">
        <v>104</v>
      </c>
      <c r="H1874" s="4"/>
      <c r="I1874" s="4"/>
      <c r="J1874" s="4"/>
    </row>
    <row r="1875" spans="1:10" x14ac:dyDescent="0.35">
      <c r="A1875" s="7" t="s">
        <v>19</v>
      </c>
      <c r="B1875" s="7">
        <f t="shared" si="431"/>
        <v>2034</v>
      </c>
      <c r="C1875" s="4" t="s">
        <v>46</v>
      </c>
      <c r="D1875" s="5" t="s">
        <v>2003</v>
      </c>
      <c r="E1875" s="10" t="str">
        <f t="shared" si="429"/>
        <v>PRBND'!</v>
      </c>
      <c r="F1875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75" s="7" t="s">
        <v>104</v>
      </c>
      <c r="H1875" s="4"/>
      <c r="I1875" s="4"/>
      <c r="J1875" s="4"/>
    </row>
    <row r="1876" spans="1:10" x14ac:dyDescent="0.35">
      <c r="A1876" s="7" t="s">
        <v>19</v>
      </c>
      <c r="B1876" s="7">
        <f t="shared" si="431"/>
        <v>2035</v>
      </c>
      <c r="C1876" s="4" t="s">
        <v>46</v>
      </c>
      <c r="D1876" s="5" t="s">
        <v>2003</v>
      </c>
      <c r="E1876" s="10" t="str">
        <f t="shared" si="429"/>
        <v>PRBND'!</v>
      </c>
      <c r="F1876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76" s="7" t="s">
        <v>104</v>
      </c>
      <c r="H1876" s="4"/>
      <c r="I1876" s="4"/>
      <c r="J1876" s="4"/>
    </row>
    <row r="1877" spans="1:10" x14ac:dyDescent="0.35">
      <c r="A1877" s="7" t="s">
        <v>19</v>
      </c>
      <c r="B1877" s="7">
        <f t="shared" si="431"/>
        <v>2036</v>
      </c>
      <c r="C1877" s="4" t="s">
        <v>46</v>
      </c>
      <c r="D1877" s="5" t="s">
        <v>2003</v>
      </c>
      <c r="E1877" s="10" t="str">
        <f t="shared" si="429"/>
        <v>PRBND'!</v>
      </c>
      <c r="F1877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77" s="7" t="s">
        <v>104</v>
      </c>
      <c r="H1877" s="4"/>
      <c r="I1877" s="4"/>
      <c r="J1877" s="4"/>
    </row>
    <row r="1878" spans="1:10" x14ac:dyDescent="0.35">
      <c r="A1878" s="7" t="s">
        <v>19</v>
      </c>
      <c r="B1878" s="7">
        <f>+B1877+1</f>
        <v>2037</v>
      </c>
      <c r="C1878" s="4" t="s">
        <v>46</v>
      </c>
      <c r="D1878" s="5" t="s">
        <v>2003</v>
      </c>
      <c r="E1878" s="10" t="str">
        <f t="shared" si="429"/>
        <v>PRBND'!</v>
      </c>
      <c r="F1878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78" s="7" t="s">
        <v>104</v>
      </c>
      <c r="H1878" s="4"/>
      <c r="I1878" s="4"/>
      <c r="J1878" s="4"/>
    </row>
    <row r="1879" spans="1:10" x14ac:dyDescent="0.35">
      <c r="A1879" s="7" t="s">
        <v>19</v>
      </c>
      <c r="B1879" s="7">
        <f t="shared" ref="B1879:B1881" si="432">+B1878+1</f>
        <v>2038</v>
      </c>
      <c r="C1879" s="4" t="s">
        <v>46</v>
      </c>
      <c r="D1879" s="5" t="s">
        <v>2003</v>
      </c>
      <c r="E1879" s="10" t="str">
        <f t="shared" si="429"/>
        <v>PRBND'!</v>
      </c>
      <c r="F1879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79" s="7" t="s">
        <v>104</v>
      </c>
      <c r="H1879" s="4"/>
      <c r="I1879" s="4"/>
      <c r="J1879" s="4"/>
    </row>
    <row r="1880" spans="1:10" x14ac:dyDescent="0.35">
      <c r="A1880" s="7" t="s">
        <v>19</v>
      </c>
      <c r="B1880" s="7">
        <f t="shared" si="432"/>
        <v>2039</v>
      </c>
      <c r="C1880" s="4" t="s">
        <v>46</v>
      </c>
      <c r="D1880" s="5" t="s">
        <v>2003</v>
      </c>
      <c r="E1880" s="10" t="str">
        <f t="shared" si="429"/>
        <v>PRBND'!</v>
      </c>
      <c r="F1880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80" s="7" t="s">
        <v>104</v>
      </c>
      <c r="H1880" s="4"/>
      <c r="I1880" s="4"/>
      <c r="J1880" s="4"/>
    </row>
    <row r="1881" spans="1:10" x14ac:dyDescent="0.35">
      <c r="A1881" s="7" t="s">
        <v>19</v>
      </c>
      <c r="B1881" s="7">
        <f t="shared" si="432"/>
        <v>2040</v>
      </c>
      <c r="C1881" s="4" t="s">
        <v>46</v>
      </c>
      <c r="D1881" s="5" t="s">
        <v>2003</v>
      </c>
      <c r="E1881" s="10" t="str">
        <f t="shared" si="429"/>
        <v>PRBND'!</v>
      </c>
      <c r="F1881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81" s="7" t="s">
        <v>104</v>
      </c>
      <c r="H1881" s="4"/>
      <c r="I1881" s="4"/>
      <c r="J1881" s="4"/>
    </row>
    <row r="1882" spans="1:10" x14ac:dyDescent="0.35">
      <c r="A1882" s="7" t="s">
        <v>19</v>
      </c>
      <c r="B1882" s="7">
        <f>+B1881+1</f>
        <v>2041</v>
      </c>
      <c r="C1882" s="4" t="s">
        <v>46</v>
      </c>
      <c r="D1882" s="5" t="s">
        <v>2003</v>
      </c>
      <c r="E1882" s="10" t="str">
        <f t="shared" si="429"/>
        <v>PRBND'!</v>
      </c>
      <c r="F1882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82" s="7" t="s">
        <v>104</v>
      </c>
      <c r="H1882" s="4"/>
      <c r="I1882" s="4"/>
      <c r="J1882" s="4"/>
    </row>
    <row r="1883" spans="1:10" x14ac:dyDescent="0.35">
      <c r="A1883" s="7" t="s">
        <v>19</v>
      </c>
      <c r="B1883" s="7">
        <f t="shared" ref="B1883:B1884" si="433">+B1882+1</f>
        <v>2042</v>
      </c>
      <c r="C1883" s="4" t="s">
        <v>46</v>
      </c>
      <c r="D1883" s="5" t="s">
        <v>2003</v>
      </c>
      <c r="E1883" s="10" t="str">
        <f t="shared" si="429"/>
        <v>PRBND'!</v>
      </c>
      <c r="F1883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83" s="7" t="s">
        <v>104</v>
      </c>
      <c r="H1883" s="4"/>
      <c r="I1883" s="4"/>
      <c r="J1883" s="4"/>
    </row>
    <row r="1884" spans="1:10" x14ac:dyDescent="0.35">
      <c r="A1884" s="7" t="s">
        <v>19</v>
      </c>
      <c r="B1884" s="7">
        <f t="shared" si="433"/>
        <v>2043</v>
      </c>
      <c r="C1884" s="4" t="s">
        <v>46</v>
      </c>
      <c r="D1884" s="5" t="s">
        <v>2003</v>
      </c>
      <c r="E1884" s="10" t="str">
        <f t="shared" si="429"/>
        <v>PRBND'!</v>
      </c>
      <c r="F1884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84" s="7" t="s">
        <v>104</v>
      </c>
      <c r="H1884" s="4"/>
      <c r="I1884" s="4"/>
      <c r="J1884" s="4"/>
    </row>
    <row r="1885" spans="1:10" x14ac:dyDescent="0.35">
      <c r="A1885" s="7" t="s">
        <v>19</v>
      </c>
      <c r="B1885" s="7">
        <f>+B1884+1</f>
        <v>2044</v>
      </c>
      <c r="C1885" s="4" t="s">
        <v>46</v>
      </c>
      <c r="D1885" s="5" t="s">
        <v>2003</v>
      </c>
      <c r="E1885" s="10" t="str">
        <f t="shared" ref="E1885:E1900" si="434">_xlfn.CONCAT(A1885,"'!")</f>
        <v>PRBND'!</v>
      </c>
      <c r="F1885" s="5" t="str">
        <f t="shared" ref="F1885:F1900" si="435">_xlfn.CONCAT(D1885," ",E1885)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85" s="7" t="s">
        <v>104</v>
      </c>
      <c r="H1885" s="4"/>
      <c r="I1885" s="4"/>
      <c r="J1885" s="4"/>
    </row>
    <row r="1886" spans="1:10" x14ac:dyDescent="0.35">
      <c r="A1886" s="7" t="s">
        <v>19</v>
      </c>
      <c r="B1886" s="7">
        <f t="shared" ref="B1886:B1900" si="436">+B1885+1</f>
        <v>2045</v>
      </c>
      <c r="C1886" s="4" t="s">
        <v>46</v>
      </c>
      <c r="D1886" s="5" t="s">
        <v>2003</v>
      </c>
      <c r="E1886" s="10" t="str">
        <f t="shared" si="434"/>
        <v>PRBND'!</v>
      </c>
      <c r="F1886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86" s="7" t="s">
        <v>104</v>
      </c>
      <c r="H1886" s="4"/>
      <c r="I1886" s="4"/>
      <c r="J1886" s="4"/>
    </row>
    <row r="1887" spans="1:10" x14ac:dyDescent="0.35">
      <c r="A1887" s="7" t="s">
        <v>19</v>
      </c>
      <c r="B1887" s="7">
        <f t="shared" si="436"/>
        <v>2046</v>
      </c>
      <c r="C1887" s="4" t="s">
        <v>46</v>
      </c>
      <c r="D1887" s="5" t="s">
        <v>2003</v>
      </c>
      <c r="E1887" s="10" t="str">
        <f t="shared" si="434"/>
        <v>PRBND'!</v>
      </c>
      <c r="F1887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87" s="7" t="s">
        <v>104</v>
      </c>
      <c r="H1887" s="4"/>
      <c r="I1887" s="4"/>
      <c r="J1887" s="4"/>
    </row>
    <row r="1888" spans="1:10" x14ac:dyDescent="0.35">
      <c r="A1888" s="7" t="s">
        <v>19</v>
      </c>
      <c r="B1888" s="7">
        <f t="shared" si="436"/>
        <v>2047</v>
      </c>
      <c r="C1888" s="4" t="s">
        <v>46</v>
      </c>
      <c r="D1888" s="5" t="s">
        <v>2003</v>
      </c>
      <c r="E1888" s="10" t="str">
        <f t="shared" si="434"/>
        <v>PRBND'!</v>
      </c>
      <c r="F1888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88" s="7" t="s">
        <v>104</v>
      </c>
      <c r="H1888" s="4"/>
      <c r="I1888" s="4"/>
      <c r="J1888" s="4"/>
    </row>
    <row r="1889" spans="1:10" x14ac:dyDescent="0.35">
      <c r="A1889" s="7" t="s">
        <v>19</v>
      </c>
      <c r="B1889" s="7">
        <f t="shared" si="436"/>
        <v>2048</v>
      </c>
      <c r="C1889" s="4" t="s">
        <v>46</v>
      </c>
      <c r="D1889" s="5" t="s">
        <v>2003</v>
      </c>
      <c r="E1889" s="10" t="str">
        <f t="shared" si="434"/>
        <v>PRBND'!</v>
      </c>
      <c r="F1889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89" s="7" t="s">
        <v>104</v>
      </c>
      <c r="H1889" s="4"/>
      <c r="I1889" s="4"/>
      <c r="J1889" s="4"/>
    </row>
    <row r="1890" spans="1:10" x14ac:dyDescent="0.35">
      <c r="A1890" s="7" t="s">
        <v>19</v>
      </c>
      <c r="B1890" s="7">
        <f t="shared" si="436"/>
        <v>2049</v>
      </c>
      <c r="C1890" s="4" t="s">
        <v>46</v>
      </c>
      <c r="D1890" s="5" t="s">
        <v>2003</v>
      </c>
      <c r="E1890" s="10" t="str">
        <f t="shared" si="434"/>
        <v>PRBND'!</v>
      </c>
      <c r="F1890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90" s="7" t="s">
        <v>104</v>
      </c>
      <c r="H1890" s="4"/>
      <c r="I1890" s="4"/>
      <c r="J1890" s="4"/>
    </row>
    <row r="1891" spans="1:10" x14ac:dyDescent="0.35">
      <c r="A1891" s="7" t="s">
        <v>19</v>
      </c>
      <c r="B1891" s="7">
        <f t="shared" si="436"/>
        <v>2050</v>
      </c>
      <c r="C1891" s="4" t="s">
        <v>46</v>
      </c>
      <c r="D1891" s="5" t="s">
        <v>2003</v>
      </c>
      <c r="E1891" s="10" t="str">
        <f t="shared" si="434"/>
        <v>PRBND'!</v>
      </c>
      <c r="F1891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91" s="7" t="s">
        <v>104</v>
      </c>
      <c r="H1891" s="4"/>
      <c r="I1891" s="4"/>
      <c r="J1891" s="4"/>
    </row>
    <row r="1892" spans="1:10" x14ac:dyDescent="0.35">
      <c r="A1892" s="7" t="s">
        <v>19</v>
      </c>
      <c r="B1892" s="7">
        <f t="shared" si="436"/>
        <v>2051</v>
      </c>
      <c r="C1892" s="4" t="s">
        <v>46</v>
      </c>
      <c r="D1892" s="5" t="s">
        <v>2003</v>
      </c>
      <c r="E1892" s="10" t="str">
        <f t="shared" si="434"/>
        <v>PRBND'!</v>
      </c>
      <c r="F1892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92" s="7" t="s">
        <v>104</v>
      </c>
      <c r="H1892" s="4"/>
      <c r="I1892" s="4"/>
      <c r="J1892" s="4"/>
    </row>
    <row r="1893" spans="1:10" x14ac:dyDescent="0.35">
      <c r="A1893" s="7" t="s">
        <v>19</v>
      </c>
      <c r="B1893" s="7">
        <f t="shared" si="436"/>
        <v>2052</v>
      </c>
      <c r="C1893" s="4" t="s">
        <v>46</v>
      </c>
      <c r="D1893" s="5" t="s">
        <v>2003</v>
      </c>
      <c r="E1893" s="10" t="str">
        <f t="shared" si="434"/>
        <v>PRBND'!</v>
      </c>
      <c r="F1893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93" s="7" t="s">
        <v>104</v>
      </c>
      <c r="H1893" s="4"/>
      <c r="I1893" s="4"/>
      <c r="J1893" s="4"/>
    </row>
    <row r="1894" spans="1:10" x14ac:dyDescent="0.35">
      <c r="A1894" s="7" t="s">
        <v>19</v>
      </c>
      <c r="B1894" s="7">
        <f t="shared" si="436"/>
        <v>2053</v>
      </c>
      <c r="C1894" s="4" t="s">
        <v>46</v>
      </c>
      <c r="D1894" s="5" t="s">
        <v>2003</v>
      </c>
      <c r="E1894" s="10" t="str">
        <f t="shared" si="434"/>
        <v>PRBND'!</v>
      </c>
      <c r="F1894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94" s="7" t="s">
        <v>104</v>
      </c>
      <c r="H1894" s="4"/>
      <c r="I1894" s="4"/>
      <c r="J1894" s="4"/>
    </row>
    <row r="1895" spans="1:10" x14ac:dyDescent="0.35">
      <c r="A1895" s="7" t="s">
        <v>19</v>
      </c>
      <c r="B1895" s="7">
        <f t="shared" si="436"/>
        <v>2054</v>
      </c>
      <c r="C1895" s="4" t="s">
        <v>46</v>
      </c>
      <c r="D1895" s="5" t="s">
        <v>2003</v>
      </c>
      <c r="E1895" s="10" t="str">
        <f t="shared" si="434"/>
        <v>PRBND'!</v>
      </c>
      <c r="F1895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95" s="7" t="s">
        <v>104</v>
      </c>
      <c r="H1895" s="4"/>
      <c r="I1895" s="4"/>
      <c r="J1895" s="4"/>
    </row>
    <row r="1896" spans="1:10" x14ac:dyDescent="0.35">
      <c r="A1896" s="7" t="s">
        <v>19</v>
      </c>
      <c r="B1896" s="7">
        <f t="shared" si="436"/>
        <v>2055</v>
      </c>
      <c r="C1896" s="4" t="s">
        <v>46</v>
      </c>
      <c r="D1896" s="5" t="s">
        <v>2003</v>
      </c>
      <c r="E1896" s="10" t="str">
        <f t="shared" si="434"/>
        <v>PRBND'!</v>
      </c>
      <c r="F1896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96" s="7" t="s">
        <v>104</v>
      </c>
      <c r="H1896" s="4"/>
      <c r="I1896" s="4"/>
      <c r="J1896" s="4"/>
    </row>
    <row r="1897" spans="1:10" x14ac:dyDescent="0.35">
      <c r="A1897" s="7" t="s">
        <v>19</v>
      </c>
      <c r="B1897" s="7">
        <f t="shared" si="436"/>
        <v>2056</v>
      </c>
      <c r="C1897" s="4" t="s">
        <v>46</v>
      </c>
      <c r="D1897" s="5" t="s">
        <v>2003</v>
      </c>
      <c r="E1897" s="10" t="str">
        <f t="shared" si="434"/>
        <v>PRBND'!</v>
      </c>
      <c r="F1897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97" s="7" t="s">
        <v>104</v>
      </c>
      <c r="H1897" s="4"/>
      <c r="I1897" s="4"/>
      <c r="J1897" s="4"/>
    </row>
    <row r="1898" spans="1:10" x14ac:dyDescent="0.35">
      <c r="A1898" s="7" t="s">
        <v>19</v>
      </c>
      <c r="B1898" s="7">
        <f t="shared" si="436"/>
        <v>2057</v>
      </c>
      <c r="C1898" s="4" t="s">
        <v>46</v>
      </c>
      <c r="D1898" s="5" t="s">
        <v>2003</v>
      </c>
      <c r="E1898" s="10" t="str">
        <f t="shared" si="434"/>
        <v>PRBND'!</v>
      </c>
      <c r="F1898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98" s="7" t="s">
        <v>104</v>
      </c>
      <c r="H1898" s="4"/>
      <c r="I1898" s="4"/>
      <c r="J1898" s="4"/>
    </row>
    <row r="1899" spans="1:10" x14ac:dyDescent="0.35">
      <c r="A1899" s="7" t="s">
        <v>19</v>
      </c>
      <c r="B1899" s="7">
        <f t="shared" si="436"/>
        <v>2058</v>
      </c>
      <c r="C1899" s="4" t="s">
        <v>46</v>
      </c>
      <c r="D1899" s="5" t="s">
        <v>2003</v>
      </c>
      <c r="E1899" s="10" t="str">
        <f t="shared" si="434"/>
        <v>PRBND'!</v>
      </c>
      <c r="F1899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99" s="7" t="s">
        <v>104</v>
      </c>
      <c r="H1899" s="4"/>
      <c r="I1899" s="4"/>
      <c r="J1899" s="4"/>
    </row>
    <row r="1900" spans="1:10" x14ac:dyDescent="0.35">
      <c r="A1900" s="7" t="s">
        <v>19</v>
      </c>
      <c r="B1900" s="7">
        <f t="shared" si="436"/>
        <v>2059</v>
      </c>
      <c r="C1900" s="4" t="s">
        <v>46</v>
      </c>
      <c r="D1900" s="5" t="s">
        <v>2003</v>
      </c>
      <c r="E1900" s="10" t="str">
        <f t="shared" si="434"/>
        <v>PRBND'!</v>
      </c>
      <c r="F1900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900" s="7" t="s">
        <v>104</v>
      </c>
      <c r="H1900" s="4"/>
      <c r="I1900" s="4"/>
      <c r="J1900" s="4"/>
    </row>
    <row r="1901" spans="1:10" x14ac:dyDescent="0.35">
      <c r="A1901" s="7" t="s">
        <v>26</v>
      </c>
      <c r="B1901" s="7"/>
      <c r="C1901" s="4" t="s">
        <v>46</v>
      </c>
      <c r="D1901" s="5"/>
      <c r="E1901" s="10"/>
      <c r="F1901" s="5"/>
      <c r="G1901" s="7"/>
      <c r="H1901" s="4"/>
      <c r="I1901" s="4"/>
      <c r="J1901" s="4"/>
    </row>
    <row r="1902" spans="1:10" x14ac:dyDescent="0.35">
      <c r="A1902" s="7" t="s">
        <v>20</v>
      </c>
      <c r="B1902" s="7">
        <v>2023</v>
      </c>
      <c r="C1902" s="4" t="s">
        <v>46</v>
      </c>
      <c r="D1902" s="5" t="s">
        <v>2003</v>
      </c>
      <c r="E1902" s="10" t="str">
        <f t="shared" si="405"/>
        <v>PRB'!</v>
      </c>
      <c r="F1902" s="5" t="str">
        <f t="shared" ref="F1902:F1922" si="437">_xlfn.CONCAT(D1902," ",E1902)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02" s="7" t="s">
        <v>104</v>
      </c>
      <c r="H1902" s="4">
        <f>IF(A1902&lt;&gt;A1772,36,H1772+1)</f>
        <v>36</v>
      </c>
      <c r="I1902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PRB'!$BU$36</v>
      </c>
      <c r="J1902" s="4" t="s">
        <v>2855</v>
      </c>
    </row>
    <row r="1903" spans="1:10" x14ac:dyDescent="0.35">
      <c r="A1903" s="7" t="s">
        <v>20</v>
      </c>
      <c r="B1903" s="7">
        <f>+B1902+1</f>
        <v>2024</v>
      </c>
      <c r="C1903" s="4" t="s">
        <v>46</v>
      </c>
      <c r="D1903" s="5" t="s">
        <v>2003</v>
      </c>
      <c r="E1903" s="10" t="str">
        <f t="shared" si="405"/>
        <v>PRB'!</v>
      </c>
      <c r="F1903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03" s="7" t="s">
        <v>104</v>
      </c>
      <c r="H1903" s="4">
        <f t="shared" si="407"/>
        <v>37</v>
      </c>
      <c r="I1903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PRB'!$BU$37</v>
      </c>
      <c r="J1903" s="4" t="s">
        <v>2856</v>
      </c>
    </row>
    <row r="1904" spans="1:10" x14ac:dyDescent="0.35">
      <c r="A1904" s="7" t="s">
        <v>20</v>
      </c>
      <c r="B1904" s="7">
        <f t="shared" ref="B1904:B1915" si="438">+B1903+1</f>
        <v>2025</v>
      </c>
      <c r="C1904" s="4" t="s">
        <v>46</v>
      </c>
      <c r="D1904" s="5" t="s">
        <v>2003</v>
      </c>
      <c r="E1904" s="10" t="str">
        <f t="shared" si="405"/>
        <v>PRB'!</v>
      </c>
      <c r="F1904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04" s="7" t="s">
        <v>104</v>
      </c>
      <c r="H1904" s="4">
        <f t="shared" si="407"/>
        <v>38</v>
      </c>
      <c r="I1904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PRB'!$BU$38</v>
      </c>
      <c r="J1904" s="4" t="s">
        <v>2857</v>
      </c>
    </row>
    <row r="1905" spans="1:10" x14ac:dyDescent="0.35">
      <c r="A1905" s="7" t="s">
        <v>20</v>
      </c>
      <c r="B1905" s="7">
        <f t="shared" si="438"/>
        <v>2026</v>
      </c>
      <c r="C1905" s="4" t="s">
        <v>46</v>
      </c>
      <c r="D1905" s="5" t="s">
        <v>2003</v>
      </c>
      <c r="E1905" s="10" t="str">
        <f t="shared" si="405"/>
        <v>PRB'!</v>
      </c>
      <c r="F1905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05" s="7" t="s">
        <v>104</v>
      </c>
      <c r="H1905" s="4">
        <f t="shared" si="407"/>
        <v>39</v>
      </c>
      <c r="I1905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PRB'!$BU$39</v>
      </c>
      <c r="J1905" s="4" t="s">
        <v>2858</v>
      </c>
    </row>
    <row r="1906" spans="1:10" x14ac:dyDescent="0.35">
      <c r="A1906" s="7" t="s">
        <v>20</v>
      </c>
      <c r="B1906" s="7">
        <f t="shared" si="438"/>
        <v>2027</v>
      </c>
      <c r="C1906" s="4" t="s">
        <v>46</v>
      </c>
      <c r="D1906" s="5" t="s">
        <v>2003</v>
      </c>
      <c r="E1906" s="10" t="str">
        <f t="shared" si="405"/>
        <v>PRB'!</v>
      </c>
      <c r="F1906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06" s="7" t="s">
        <v>104</v>
      </c>
      <c r="H1906" s="4">
        <f t="shared" si="407"/>
        <v>40</v>
      </c>
      <c r="I1906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PRB'!$BU$40</v>
      </c>
      <c r="J1906" s="4" t="s">
        <v>2859</v>
      </c>
    </row>
    <row r="1907" spans="1:10" x14ac:dyDescent="0.35">
      <c r="A1907" s="7" t="s">
        <v>20</v>
      </c>
      <c r="B1907" s="7">
        <f t="shared" si="438"/>
        <v>2028</v>
      </c>
      <c r="C1907" s="4" t="s">
        <v>46</v>
      </c>
      <c r="D1907" s="5" t="s">
        <v>2003</v>
      </c>
      <c r="E1907" s="10" t="str">
        <f t="shared" si="405"/>
        <v>PRB'!</v>
      </c>
      <c r="F1907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07" s="7" t="s">
        <v>104</v>
      </c>
      <c r="H1907" s="4">
        <f t="shared" si="407"/>
        <v>41</v>
      </c>
      <c r="I1907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PRB'!$BU$41</v>
      </c>
      <c r="J1907" s="4" t="s">
        <v>2860</v>
      </c>
    </row>
    <row r="1908" spans="1:10" x14ac:dyDescent="0.35">
      <c r="A1908" s="7" t="s">
        <v>20</v>
      </c>
      <c r="B1908" s="7">
        <f t="shared" si="438"/>
        <v>2029</v>
      </c>
      <c r="C1908" s="4" t="s">
        <v>46</v>
      </c>
      <c r="D1908" s="5" t="s">
        <v>2003</v>
      </c>
      <c r="E1908" s="10" t="str">
        <f t="shared" si="405"/>
        <v>PRB'!</v>
      </c>
      <c r="F1908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08" s="7" t="s">
        <v>104</v>
      </c>
      <c r="H1908" s="4">
        <f t="shared" si="407"/>
        <v>42</v>
      </c>
      <c r="I1908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PRB'!$BU$42</v>
      </c>
      <c r="J1908" s="4" t="s">
        <v>2861</v>
      </c>
    </row>
    <row r="1909" spans="1:10" x14ac:dyDescent="0.35">
      <c r="A1909" s="7" t="s">
        <v>20</v>
      </c>
      <c r="B1909" s="7">
        <f t="shared" si="438"/>
        <v>2030</v>
      </c>
      <c r="C1909" s="4" t="s">
        <v>46</v>
      </c>
      <c r="D1909" s="5" t="s">
        <v>2003</v>
      </c>
      <c r="E1909" s="10" t="str">
        <f t="shared" si="405"/>
        <v>PRB'!</v>
      </c>
      <c r="F1909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09" s="7" t="s">
        <v>104</v>
      </c>
      <c r="H1909" s="4">
        <f t="shared" si="407"/>
        <v>43</v>
      </c>
      <c r="I1909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PRB'!$BU$43</v>
      </c>
      <c r="J1909" s="4" t="s">
        <v>2862</v>
      </c>
    </row>
    <row r="1910" spans="1:10" x14ac:dyDescent="0.35">
      <c r="A1910" s="7" t="s">
        <v>20</v>
      </c>
      <c r="B1910" s="7">
        <f t="shared" si="438"/>
        <v>2031</v>
      </c>
      <c r="C1910" s="4" t="s">
        <v>46</v>
      </c>
      <c r="D1910" s="5" t="s">
        <v>2003</v>
      </c>
      <c r="E1910" s="10" t="str">
        <f t="shared" si="405"/>
        <v>PRB'!</v>
      </c>
      <c r="F1910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10" s="7" t="s">
        <v>104</v>
      </c>
      <c r="H1910" s="4">
        <f t="shared" si="407"/>
        <v>44</v>
      </c>
      <c r="I1910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PRB'!$BU$44</v>
      </c>
      <c r="J1910" s="4" t="s">
        <v>2863</v>
      </c>
    </row>
    <row r="1911" spans="1:10" x14ac:dyDescent="0.35">
      <c r="A1911" s="7" t="s">
        <v>20</v>
      </c>
      <c r="B1911" s="7">
        <f t="shared" si="438"/>
        <v>2032</v>
      </c>
      <c r="C1911" s="4" t="s">
        <v>46</v>
      </c>
      <c r="D1911" s="5" t="s">
        <v>2003</v>
      </c>
      <c r="E1911" s="10" t="str">
        <f t="shared" si="405"/>
        <v>PRB'!</v>
      </c>
      <c r="F1911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11" s="7" t="s">
        <v>104</v>
      </c>
      <c r="H1911" s="4">
        <f t="shared" si="407"/>
        <v>45</v>
      </c>
      <c r="I1911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PRB'!$BU$45</v>
      </c>
      <c r="J1911" s="4" t="s">
        <v>2864</v>
      </c>
    </row>
    <row r="1912" spans="1:10" x14ac:dyDescent="0.35">
      <c r="A1912" s="7" t="s">
        <v>20</v>
      </c>
      <c r="B1912" s="7">
        <f t="shared" si="438"/>
        <v>2033</v>
      </c>
      <c r="C1912" s="4" t="s">
        <v>46</v>
      </c>
      <c r="D1912" s="5" t="s">
        <v>2003</v>
      </c>
      <c r="E1912" s="10" t="str">
        <f t="shared" si="405"/>
        <v>PRB'!</v>
      </c>
      <c r="F1912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12" s="7" t="s">
        <v>104</v>
      </c>
      <c r="H1912" s="4">
        <f t="shared" si="407"/>
        <v>46</v>
      </c>
      <c r="I1912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PRB'!$BU$46</v>
      </c>
      <c r="J1912" s="4" t="s">
        <v>2865</v>
      </c>
    </row>
    <row r="1913" spans="1:10" x14ac:dyDescent="0.35">
      <c r="A1913" s="7" t="s">
        <v>20</v>
      </c>
      <c r="B1913" s="7">
        <f t="shared" si="438"/>
        <v>2034</v>
      </c>
      <c r="C1913" s="4" t="s">
        <v>46</v>
      </c>
      <c r="D1913" s="5" t="s">
        <v>2003</v>
      </c>
      <c r="E1913" s="10" t="str">
        <f t="shared" si="405"/>
        <v>PRB'!</v>
      </c>
      <c r="F1913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13" s="7" t="s">
        <v>104</v>
      </c>
      <c r="H1913" s="4">
        <f t="shared" si="407"/>
        <v>47</v>
      </c>
      <c r="I1913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PRB'!$BU$47</v>
      </c>
      <c r="J1913" s="4" t="s">
        <v>2866</v>
      </c>
    </row>
    <row r="1914" spans="1:10" x14ac:dyDescent="0.35">
      <c r="A1914" s="7" t="s">
        <v>20</v>
      </c>
      <c r="B1914" s="7">
        <f t="shared" si="438"/>
        <v>2035</v>
      </c>
      <c r="C1914" s="4" t="s">
        <v>46</v>
      </c>
      <c r="D1914" s="5" t="s">
        <v>2003</v>
      </c>
      <c r="E1914" s="10" t="str">
        <f t="shared" si="405"/>
        <v>PRB'!</v>
      </c>
      <c r="F1914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14" s="7" t="s">
        <v>104</v>
      </c>
      <c r="H1914" s="4">
        <f t="shared" si="407"/>
        <v>48</v>
      </c>
      <c r="I1914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PRB'!$BU$48</v>
      </c>
      <c r="J1914" s="4" t="s">
        <v>2867</v>
      </c>
    </row>
    <row r="1915" spans="1:10" x14ac:dyDescent="0.35">
      <c r="A1915" s="7" t="s">
        <v>20</v>
      </c>
      <c r="B1915" s="7">
        <f t="shared" si="438"/>
        <v>2036</v>
      </c>
      <c r="C1915" s="4" t="s">
        <v>46</v>
      </c>
      <c r="D1915" s="5" t="s">
        <v>2003</v>
      </c>
      <c r="E1915" s="10" t="str">
        <f t="shared" si="405"/>
        <v>PRB'!</v>
      </c>
      <c r="F1915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15" s="7" t="s">
        <v>104</v>
      </c>
      <c r="H1915" s="4">
        <f t="shared" si="407"/>
        <v>49</v>
      </c>
      <c r="I1915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PRB'!$BU$49</v>
      </c>
      <c r="J1915" s="4" t="s">
        <v>2868</v>
      </c>
    </row>
    <row r="1916" spans="1:10" x14ac:dyDescent="0.35">
      <c r="A1916" s="7" t="s">
        <v>20</v>
      </c>
      <c r="B1916" s="7">
        <f>+B1915+1</f>
        <v>2037</v>
      </c>
      <c r="C1916" s="4" t="s">
        <v>46</v>
      </c>
      <c r="D1916" s="5" t="s">
        <v>2003</v>
      </c>
      <c r="E1916" s="10" t="str">
        <f t="shared" si="405"/>
        <v>PRB'!</v>
      </c>
      <c r="F1916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16" s="7" t="s">
        <v>104</v>
      </c>
      <c r="H1916" s="4">
        <f t="shared" si="407"/>
        <v>50</v>
      </c>
      <c r="I1916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PRB'!$BU$50</v>
      </c>
      <c r="J1916" s="4" t="s">
        <v>2869</v>
      </c>
    </row>
    <row r="1917" spans="1:10" x14ac:dyDescent="0.35">
      <c r="A1917" s="7" t="s">
        <v>20</v>
      </c>
      <c r="B1917" s="7">
        <f t="shared" ref="B1917:B1919" si="439">+B1916+1</f>
        <v>2038</v>
      </c>
      <c r="C1917" s="4" t="s">
        <v>46</v>
      </c>
      <c r="D1917" s="5" t="s">
        <v>2003</v>
      </c>
      <c r="E1917" s="10" t="str">
        <f t="shared" si="405"/>
        <v>PRB'!</v>
      </c>
      <c r="F1917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17" s="7" t="s">
        <v>104</v>
      </c>
      <c r="H1917" s="4">
        <f t="shared" si="407"/>
        <v>51</v>
      </c>
      <c r="I1917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PRB'!$BU$51</v>
      </c>
      <c r="J1917" s="4" t="s">
        <v>2870</v>
      </c>
    </row>
    <row r="1918" spans="1:10" x14ac:dyDescent="0.35">
      <c r="A1918" s="7" t="s">
        <v>20</v>
      </c>
      <c r="B1918" s="7">
        <f t="shared" si="439"/>
        <v>2039</v>
      </c>
      <c r="C1918" s="4" t="s">
        <v>46</v>
      </c>
      <c r="D1918" s="5" t="s">
        <v>2003</v>
      </c>
      <c r="E1918" s="10" t="str">
        <f t="shared" si="405"/>
        <v>PRB'!</v>
      </c>
      <c r="F1918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18" s="7" t="s">
        <v>104</v>
      </c>
      <c r="H1918" s="4">
        <f t="shared" si="407"/>
        <v>52</v>
      </c>
      <c r="I1918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PRB'!$BU$52</v>
      </c>
      <c r="J1918" s="4" t="s">
        <v>2871</v>
      </c>
    </row>
    <row r="1919" spans="1:10" x14ac:dyDescent="0.35">
      <c r="A1919" s="7" t="s">
        <v>20</v>
      </c>
      <c r="B1919" s="7">
        <f t="shared" si="439"/>
        <v>2040</v>
      </c>
      <c r="C1919" s="4" t="s">
        <v>46</v>
      </c>
      <c r="D1919" s="5" t="s">
        <v>2003</v>
      </c>
      <c r="E1919" s="10" t="str">
        <f t="shared" si="405"/>
        <v>PRB'!</v>
      </c>
      <c r="F1919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19" s="7" t="s">
        <v>104</v>
      </c>
      <c r="H1919" s="4">
        <f t="shared" si="407"/>
        <v>53</v>
      </c>
      <c r="I1919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PRB'!$BU$53</v>
      </c>
      <c r="J1919" s="4" t="s">
        <v>2872</v>
      </c>
    </row>
    <row r="1920" spans="1:10" x14ac:dyDescent="0.35">
      <c r="A1920" s="7" t="s">
        <v>20</v>
      </c>
      <c r="B1920" s="7">
        <f>+B1919+1</f>
        <v>2041</v>
      </c>
      <c r="C1920" s="4" t="s">
        <v>46</v>
      </c>
      <c r="D1920" s="5" t="s">
        <v>2003</v>
      </c>
      <c r="E1920" s="10" t="str">
        <f t="shared" si="405"/>
        <v>PRB'!</v>
      </c>
      <c r="F1920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20" s="7" t="s">
        <v>104</v>
      </c>
      <c r="H1920" s="4">
        <f t="shared" si="407"/>
        <v>54</v>
      </c>
      <c r="I1920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PRB'!$BU$54</v>
      </c>
      <c r="J1920" s="4" t="s">
        <v>2873</v>
      </c>
    </row>
    <row r="1921" spans="1:10" x14ac:dyDescent="0.35">
      <c r="A1921" s="7" t="s">
        <v>20</v>
      </c>
      <c r="B1921" s="7">
        <f t="shared" ref="B1921:B1922" si="440">+B1920+1</f>
        <v>2042</v>
      </c>
      <c r="C1921" s="4" t="s">
        <v>46</v>
      </c>
      <c r="D1921" s="5" t="s">
        <v>2003</v>
      </c>
      <c r="E1921" s="10" t="str">
        <f t="shared" si="405"/>
        <v>PRB'!</v>
      </c>
      <c r="F1921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21" s="7" t="s">
        <v>104</v>
      </c>
      <c r="H1921" s="4">
        <f t="shared" si="407"/>
        <v>55</v>
      </c>
      <c r="I1921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PRB'!$BU$55</v>
      </c>
      <c r="J1921" s="4" t="s">
        <v>2874</v>
      </c>
    </row>
    <row r="1922" spans="1:10" x14ac:dyDescent="0.35">
      <c r="A1922" s="7" t="s">
        <v>20</v>
      </c>
      <c r="B1922" s="7">
        <f t="shared" si="440"/>
        <v>2043</v>
      </c>
      <c r="C1922" s="4" t="s">
        <v>46</v>
      </c>
      <c r="D1922" s="5" t="s">
        <v>2003</v>
      </c>
      <c r="E1922" s="10" t="str">
        <f t="shared" si="405"/>
        <v>PRB'!</v>
      </c>
      <c r="F1922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22" s="7" t="s">
        <v>104</v>
      </c>
      <c r="H1922" s="4">
        <f t="shared" si="407"/>
        <v>56</v>
      </c>
      <c r="I1922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PRB'!$BU$56</v>
      </c>
      <c r="J1922" s="4" t="s">
        <v>2875</v>
      </c>
    </row>
    <row r="1923" spans="1:10" x14ac:dyDescent="0.35">
      <c r="A1923" s="7" t="s">
        <v>20</v>
      </c>
      <c r="B1923" s="7">
        <f>+B1922+1</f>
        <v>2044</v>
      </c>
      <c r="C1923" s="4" t="s">
        <v>46</v>
      </c>
      <c r="D1923" s="5" t="s">
        <v>2003</v>
      </c>
      <c r="E1923" s="10" t="str">
        <f t="shared" ref="E1923:E1938" si="441">_xlfn.CONCAT(A1923,"'!")</f>
        <v>PRB'!</v>
      </c>
      <c r="F1923" s="5" t="str">
        <f t="shared" ref="F1923:F1938" si="442">_xlfn.CONCAT(D1923," ",E1923)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23" s="7" t="s">
        <v>104</v>
      </c>
      <c r="H1923" s="4">
        <f t="shared" ref="H1923:H1938" si="443">IF(A1923&lt;&gt;A1922,36,H1922+1)</f>
        <v>57</v>
      </c>
      <c r="I1923" s="4" t="str">
        <f t="shared" ref="I1923:I1938" si="444">_xlfn.CONCAT("='",F1923:H1923)</f>
        <v>='C:\Users\jaime.benazar\Quorum Business Solutions\Ecopetrol Prometeo - Documents\Planning Space Implementation\3. Analysis &amp; Design\Design\FC22\DRR Jaime\Por presentar a ECP\Cantagallo\Cristalina\[VRC_CRISTALINA_CF_SEC_20221231.xlsx]CF PRB'!$BU$57</v>
      </c>
      <c r="J1923" s="4" t="s">
        <v>2876</v>
      </c>
    </row>
    <row r="1924" spans="1:10" x14ac:dyDescent="0.35">
      <c r="A1924" s="7" t="s">
        <v>20</v>
      </c>
      <c r="B1924" s="7">
        <f t="shared" ref="B1924:B1938" si="445">+B1923+1</f>
        <v>2045</v>
      </c>
      <c r="C1924" s="4" t="s">
        <v>46</v>
      </c>
      <c r="D1924" s="5" t="s">
        <v>2003</v>
      </c>
      <c r="E1924" s="10" t="str">
        <f t="shared" si="441"/>
        <v>PRB'!</v>
      </c>
      <c r="F1924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24" s="7" t="s">
        <v>104</v>
      </c>
      <c r="H1924" s="4">
        <f t="shared" si="443"/>
        <v>58</v>
      </c>
      <c r="I1924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PRB'!$BU$58</v>
      </c>
      <c r="J1924" s="4" t="s">
        <v>2877</v>
      </c>
    </row>
    <row r="1925" spans="1:10" x14ac:dyDescent="0.35">
      <c r="A1925" s="7" t="s">
        <v>20</v>
      </c>
      <c r="B1925" s="7">
        <f t="shared" si="445"/>
        <v>2046</v>
      </c>
      <c r="C1925" s="4" t="s">
        <v>46</v>
      </c>
      <c r="D1925" s="5" t="s">
        <v>2003</v>
      </c>
      <c r="E1925" s="10" t="str">
        <f t="shared" si="441"/>
        <v>PRB'!</v>
      </c>
      <c r="F1925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25" s="7" t="s">
        <v>104</v>
      </c>
      <c r="H1925" s="4">
        <f t="shared" si="443"/>
        <v>59</v>
      </c>
      <c r="I1925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PRB'!$BU$59</v>
      </c>
      <c r="J1925" s="4" t="s">
        <v>2878</v>
      </c>
    </row>
    <row r="1926" spans="1:10" x14ac:dyDescent="0.35">
      <c r="A1926" s="7" t="s">
        <v>20</v>
      </c>
      <c r="B1926" s="7">
        <f t="shared" si="445"/>
        <v>2047</v>
      </c>
      <c r="C1926" s="4" t="s">
        <v>46</v>
      </c>
      <c r="D1926" s="5" t="s">
        <v>2003</v>
      </c>
      <c r="E1926" s="10" t="str">
        <f t="shared" si="441"/>
        <v>PRB'!</v>
      </c>
      <c r="F1926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26" s="7" t="s">
        <v>104</v>
      </c>
      <c r="H1926" s="4">
        <f t="shared" si="443"/>
        <v>60</v>
      </c>
      <c r="I1926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PRB'!$BU$60</v>
      </c>
      <c r="J1926" s="4" t="s">
        <v>2879</v>
      </c>
    </row>
    <row r="1927" spans="1:10" x14ac:dyDescent="0.35">
      <c r="A1927" s="7" t="s">
        <v>20</v>
      </c>
      <c r="B1927" s="7">
        <f t="shared" si="445"/>
        <v>2048</v>
      </c>
      <c r="C1927" s="4" t="s">
        <v>46</v>
      </c>
      <c r="D1927" s="5" t="s">
        <v>2003</v>
      </c>
      <c r="E1927" s="10" t="str">
        <f t="shared" si="441"/>
        <v>PRB'!</v>
      </c>
      <c r="F1927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27" s="7" t="s">
        <v>104</v>
      </c>
      <c r="H1927" s="4">
        <f t="shared" si="443"/>
        <v>61</v>
      </c>
      <c r="I1927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PRB'!$BU$61</v>
      </c>
      <c r="J1927" s="4" t="s">
        <v>2880</v>
      </c>
    </row>
    <row r="1928" spans="1:10" x14ac:dyDescent="0.35">
      <c r="A1928" s="7" t="s">
        <v>20</v>
      </c>
      <c r="B1928" s="7">
        <f t="shared" si="445"/>
        <v>2049</v>
      </c>
      <c r="C1928" s="4" t="s">
        <v>46</v>
      </c>
      <c r="D1928" s="5" t="s">
        <v>2003</v>
      </c>
      <c r="E1928" s="10" t="str">
        <f t="shared" si="441"/>
        <v>PRB'!</v>
      </c>
      <c r="F1928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28" s="7" t="s">
        <v>104</v>
      </c>
      <c r="H1928" s="4">
        <f t="shared" si="443"/>
        <v>62</v>
      </c>
      <c r="I1928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PRB'!$BU$62</v>
      </c>
      <c r="J1928" s="4" t="s">
        <v>2881</v>
      </c>
    </row>
    <row r="1929" spans="1:10" x14ac:dyDescent="0.35">
      <c r="A1929" s="7" t="s">
        <v>20</v>
      </c>
      <c r="B1929" s="7">
        <f t="shared" si="445"/>
        <v>2050</v>
      </c>
      <c r="C1929" s="4" t="s">
        <v>46</v>
      </c>
      <c r="D1929" s="5" t="s">
        <v>2003</v>
      </c>
      <c r="E1929" s="10" t="str">
        <f t="shared" si="441"/>
        <v>PRB'!</v>
      </c>
      <c r="F1929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29" s="7" t="s">
        <v>104</v>
      </c>
      <c r="H1929" s="4">
        <f t="shared" si="443"/>
        <v>63</v>
      </c>
      <c r="I1929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PRB'!$BU$63</v>
      </c>
      <c r="J1929" s="4" t="s">
        <v>2882</v>
      </c>
    </row>
    <row r="1930" spans="1:10" x14ac:dyDescent="0.35">
      <c r="A1930" s="7" t="s">
        <v>20</v>
      </c>
      <c r="B1930" s="7">
        <f t="shared" si="445"/>
        <v>2051</v>
      </c>
      <c r="C1930" s="4" t="s">
        <v>46</v>
      </c>
      <c r="D1930" s="5" t="s">
        <v>2003</v>
      </c>
      <c r="E1930" s="10" t="str">
        <f t="shared" si="441"/>
        <v>PRB'!</v>
      </c>
      <c r="F1930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30" s="7" t="s">
        <v>104</v>
      </c>
      <c r="H1930" s="4">
        <f t="shared" si="443"/>
        <v>64</v>
      </c>
      <c r="I1930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PRB'!$BU$64</v>
      </c>
      <c r="J1930" s="4" t="s">
        <v>2883</v>
      </c>
    </row>
    <row r="1931" spans="1:10" x14ac:dyDescent="0.35">
      <c r="A1931" s="7" t="s">
        <v>20</v>
      </c>
      <c r="B1931" s="7">
        <f t="shared" si="445"/>
        <v>2052</v>
      </c>
      <c r="C1931" s="4" t="s">
        <v>46</v>
      </c>
      <c r="D1931" s="5" t="s">
        <v>2003</v>
      </c>
      <c r="E1931" s="10" t="str">
        <f t="shared" si="441"/>
        <v>PRB'!</v>
      </c>
      <c r="F1931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31" s="7" t="s">
        <v>104</v>
      </c>
      <c r="H1931" s="4">
        <f t="shared" si="443"/>
        <v>65</v>
      </c>
      <c r="I1931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PRB'!$BU$65</v>
      </c>
      <c r="J1931" s="4" t="s">
        <v>2884</v>
      </c>
    </row>
    <row r="1932" spans="1:10" x14ac:dyDescent="0.35">
      <c r="A1932" s="7" t="s">
        <v>20</v>
      </c>
      <c r="B1932" s="7">
        <f t="shared" si="445"/>
        <v>2053</v>
      </c>
      <c r="C1932" s="4" t="s">
        <v>46</v>
      </c>
      <c r="D1932" s="5" t="s">
        <v>2003</v>
      </c>
      <c r="E1932" s="10" t="str">
        <f t="shared" si="441"/>
        <v>PRB'!</v>
      </c>
      <c r="F1932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32" s="7" t="s">
        <v>104</v>
      </c>
      <c r="H1932" s="4">
        <f t="shared" si="443"/>
        <v>66</v>
      </c>
      <c r="I1932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PRB'!$BU$66</v>
      </c>
      <c r="J1932" s="4" t="s">
        <v>2885</v>
      </c>
    </row>
    <row r="1933" spans="1:10" x14ac:dyDescent="0.35">
      <c r="A1933" s="7" t="s">
        <v>20</v>
      </c>
      <c r="B1933" s="7">
        <f t="shared" si="445"/>
        <v>2054</v>
      </c>
      <c r="C1933" s="4" t="s">
        <v>46</v>
      </c>
      <c r="D1933" s="5" t="s">
        <v>2003</v>
      </c>
      <c r="E1933" s="10" t="str">
        <f t="shared" si="441"/>
        <v>PRB'!</v>
      </c>
      <c r="F1933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33" s="7" t="s">
        <v>104</v>
      </c>
      <c r="H1933" s="4">
        <f t="shared" si="443"/>
        <v>67</v>
      </c>
      <c r="I1933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PRB'!$BU$67</v>
      </c>
      <c r="J1933" s="4" t="s">
        <v>2886</v>
      </c>
    </row>
    <row r="1934" spans="1:10" x14ac:dyDescent="0.35">
      <c r="A1934" s="7" t="s">
        <v>20</v>
      </c>
      <c r="B1934" s="7">
        <f t="shared" si="445"/>
        <v>2055</v>
      </c>
      <c r="C1934" s="4" t="s">
        <v>46</v>
      </c>
      <c r="D1934" s="5" t="s">
        <v>2003</v>
      </c>
      <c r="E1934" s="10" t="str">
        <f t="shared" si="441"/>
        <v>PRB'!</v>
      </c>
      <c r="F1934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34" s="7" t="s">
        <v>104</v>
      </c>
      <c r="H1934" s="4">
        <f t="shared" si="443"/>
        <v>68</v>
      </c>
      <c r="I1934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PRB'!$BU$68</v>
      </c>
      <c r="J1934" s="4" t="s">
        <v>2887</v>
      </c>
    </row>
    <row r="1935" spans="1:10" x14ac:dyDescent="0.35">
      <c r="A1935" s="7" t="s">
        <v>20</v>
      </c>
      <c r="B1935" s="7">
        <f t="shared" si="445"/>
        <v>2056</v>
      </c>
      <c r="C1935" s="4" t="s">
        <v>46</v>
      </c>
      <c r="D1935" s="5" t="s">
        <v>2003</v>
      </c>
      <c r="E1935" s="10" t="str">
        <f t="shared" si="441"/>
        <v>PRB'!</v>
      </c>
      <c r="F1935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35" s="7" t="s">
        <v>104</v>
      </c>
      <c r="H1935" s="4">
        <f t="shared" si="443"/>
        <v>69</v>
      </c>
      <c r="I1935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PRB'!$BU$69</v>
      </c>
      <c r="J1935" s="4" t="s">
        <v>2888</v>
      </c>
    </row>
    <row r="1936" spans="1:10" x14ac:dyDescent="0.35">
      <c r="A1936" s="7" t="s">
        <v>20</v>
      </c>
      <c r="B1936" s="7">
        <f t="shared" si="445"/>
        <v>2057</v>
      </c>
      <c r="C1936" s="4" t="s">
        <v>46</v>
      </c>
      <c r="D1936" s="5" t="s">
        <v>2003</v>
      </c>
      <c r="E1936" s="10" t="str">
        <f t="shared" si="441"/>
        <v>PRB'!</v>
      </c>
      <c r="F1936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36" s="7" t="s">
        <v>104</v>
      </c>
      <c r="H1936" s="4">
        <f t="shared" si="443"/>
        <v>70</v>
      </c>
      <c r="I1936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PRB'!$BU$70</v>
      </c>
      <c r="J1936" s="4" t="s">
        <v>2889</v>
      </c>
    </row>
    <row r="1937" spans="1:10" x14ac:dyDescent="0.35">
      <c r="A1937" s="7" t="s">
        <v>20</v>
      </c>
      <c r="B1937" s="7">
        <f t="shared" si="445"/>
        <v>2058</v>
      </c>
      <c r="C1937" s="4" t="s">
        <v>46</v>
      </c>
      <c r="D1937" s="5" t="s">
        <v>2003</v>
      </c>
      <c r="E1937" s="10" t="str">
        <f t="shared" si="441"/>
        <v>PRB'!</v>
      </c>
      <c r="F1937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37" s="7" t="s">
        <v>104</v>
      </c>
      <c r="H1937" s="4">
        <f t="shared" si="443"/>
        <v>71</v>
      </c>
      <c r="I1937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PRB'!$BU$71</v>
      </c>
      <c r="J1937" s="4" t="s">
        <v>2890</v>
      </c>
    </row>
    <row r="1938" spans="1:10" x14ac:dyDescent="0.35">
      <c r="A1938" s="7" t="s">
        <v>20</v>
      </c>
      <c r="B1938" s="7">
        <f t="shared" si="445"/>
        <v>2059</v>
      </c>
      <c r="C1938" s="4" t="s">
        <v>46</v>
      </c>
      <c r="D1938" s="5" t="s">
        <v>2003</v>
      </c>
      <c r="E1938" s="10" t="str">
        <f t="shared" si="441"/>
        <v>PRB'!</v>
      </c>
      <c r="F1938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38" s="7" t="s">
        <v>104</v>
      </c>
      <c r="H1938" s="4">
        <f t="shared" si="443"/>
        <v>72</v>
      </c>
      <c r="I1938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PRB'!$BU$72</v>
      </c>
      <c r="J1938" s="4" t="s">
        <v>2891</v>
      </c>
    </row>
    <row r="1939" spans="1:10" x14ac:dyDescent="0.35">
      <c r="A1939" s="7" t="s">
        <v>26</v>
      </c>
      <c r="B1939" s="7"/>
      <c r="C1939" s="4" t="s">
        <v>46</v>
      </c>
      <c r="D1939" s="5"/>
      <c r="E1939" s="10"/>
      <c r="F1939" s="5"/>
      <c r="G1939" s="7"/>
      <c r="H1939" s="4"/>
      <c r="I1939" s="4"/>
      <c r="J1939" s="4"/>
    </row>
    <row r="1940" spans="1:10" x14ac:dyDescent="0.35">
      <c r="A1940" s="7" t="s">
        <v>21</v>
      </c>
      <c r="B1940" s="7">
        <v>2023</v>
      </c>
      <c r="C1940" s="4" t="s">
        <v>46</v>
      </c>
      <c r="D1940" s="5" t="s">
        <v>2003</v>
      </c>
      <c r="E1940" s="10" t="str">
        <f t="shared" ref="E1940:E1960" si="446">_xlfn.CONCAT(A1940,"'!")</f>
        <v>PSDP'!</v>
      </c>
      <c r="F1940" s="5" t="str">
        <f t="shared" ref="F1940:F1960" si="447">_xlfn.CONCAT(D1940," ",E1940)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40" s="7" t="s">
        <v>104</v>
      </c>
      <c r="H1940" s="4"/>
      <c r="I1940" s="4"/>
      <c r="J1940" s="4"/>
    </row>
    <row r="1941" spans="1:10" x14ac:dyDescent="0.35">
      <c r="A1941" s="7" t="s">
        <v>21</v>
      </c>
      <c r="B1941" s="7">
        <f>+B1940+1</f>
        <v>2024</v>
      </c>
      <c r="C1941" s="4" t="s">
        <v>46</v>
      </c>
      <c r="D1941" s="5" t="s">
        <v>2003</v>
      </c>
      <c r="E1941" s="10" t="str">
        <f t="shared" si="446"/>
        <v>PSDP'!</v>
      </c>
      <c r="F1941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41" s="7" t="s">
        <v>104</v>
      </c>
      <c r="H1941" s="4"/>
      <c r="I1941" s="4"/>
      <c r="J1941" s="4"/>
    </row>
    <row r="1942" spans="1:10" x14ac:dyDescent="0.35">
      <c r="A1942" s="7" t="s">
        <v>21</v>
      </c>
      <c r="B1942" s="7">
        <f t="shared" ref="B1942:B1953" si="448">+B1941+1</f>
        <v>2025</v>
      </c>
      <c r="C1942" s="4" t="s">
        <v>46</v>
      </c>
      <c r="D1942" s="5" t="s">
        <v>2003</v>
      </c>
      <c r="E1942" s="10" t="str">
        <f t="shared" si="446"/>
        <v>PSDP'!</v>
      </c>
      <c r="F1942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42" s="7" t="s">
        <v>104</v>
      </c>
      <c r="H1942" s="4"/>
      <c r="I1942" s="4"/>
      <c r="J1942" s="4"/>
    </row>
    <row r="1943" spans="1:10" x14ac:dyDescent="0.35">
      <c r="A1943" s="7" t="s">
        <v>21</v>
      </c>
      <c r="B1943" s="7">
        <f t="shared" si="448"/>
        <v>2026</v>
      </c>
      <c r="C1943" s="4" t="s">
        <v>46</v>
      </c>
      <c r="D1943" s="5" t="s">
        <v>2003</v>
      </c>
      <c r="E1943" s="10" t="str">
        <f t="shared" si="446"/>
        <v>PSDP'!</v>
      </c>
      <c r="F1943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43" s="7" t="s">
        <v>104</v>
      </c>
      <c r="H1943" s="4"/>
      <c r="I1943" s="4"/>
      <c r="J1943" s="4"/>
    </row>
    <row r="1944" spans="1:10" x14ac:dyDescent="0.35">
      <c r="A1944" s="7" t="s">
        <v>21</v>
      </c>
      <c r="B1944" s="7">
        <f t="shared" si="448"/>
        <v>2027</v>
      </c>
      <c r="C1944" s="4" t="s">
        <v>46</v>
      </c>
      <c r="D1944" s="5" t="s">
        <v>2003</v>
      </c>
      <c r="E1944" s="10" t="str">
        <f t="shared" si="446"/>
        <v>PSDP'!</v>
      </c>
      <c r="F1944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44" s="7" t="s">
        <v>104</v>
      </c>
      <c r="H1944" s="4"/>
      <c r="I1944" s="4"/>
      <c r="J1944" s="4"/>
    </row>
    <row r="1945" spans="1:10" x14ac:dyDescent="0.35">
      <c r="A1945" s="7" t="s">
        <v>21</v>
      </c>
      <c r="B1945" s="7">
        <f t="shared" si="448"/>
        <v>2028</v>
      </c>
      <c r="C1945" s="4" t="s">
        <v>46</v>
      </c>
      <c r="D1945" s="5" t="s">
        <v>2003</v>
      </c>
      <c r="E1945" s="10" t="str">
        <f t="shared" si="446"/>
        <v>PSDP'!</v>
      </c>
      <c r="F1945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45" s="7" t="s">
        <v>104</v>
      </c>
      <c r="H1945" s="4"/>
      <c r="I1945" s="4"/>
      <c r="J1945" s="4"/>
    </row>
    <row r="1946" spans="1:10" x14ac:dyDescent="0.35">
      <c r="A1946" s="7" t="s">
        <v>21</v>
      </c>
      <c r="B1946" s="7">
        <f t="shared" si="448"/>
        <v>2029</v>
      </c>
      <c r="C1946" s="4" t="s">
        <v>46</v>
      </c>
      <c r="D1946" s="5" t="s">
        <v>2003</v>
      </c>
      <c r="E1946" s="10" t="str">
        <f t="shared" si="446"/>
        <v>PSDP'!</v>
      </c>
      <c r="F1946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46" s="7" t="s">
        <v>104</v>
      </c>
      <c r="H1946" s="4"/>
      <c r="I1946" s="4"/>
      <c r="J1946" s="4"/>
    </row>
    <row r="1947" spans="1:10" x14ac:dyDescent="0.35">
      <c r="A1947" s="7" t="s">
        <v>21</v>
      </c>
      <c r="B1947" s="7">
        <f t="shared" si="448"/>
        <v>2030</v>
      </c>
      <c r="C1947" s="4" t="s">
        <v>46</v>
      </c>
      <c r="D1947" s="5" t="s">
        <v>2003</v>
      </c>
      <c r="E1947" s="10" t="str">
        <f t="shared" si="446"/>
        <v>PSDP'!</v>
      </c>
      <c r="F1947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47" s="7" t="s">
        <v>104</v>
      </c>
      <c r="H1947" s="4"/>
      <c r="I1947" s="4"/>
      <c r="J1947" s="4"/>
    </row>
    <row r="1948" spans="1:10" x14ac:dyDescent="0.35">
      <c r="A1948" s="7" t="s">
        <v>21</v>
      </c>
      <c r="B1948" s="7">
        <f t="shared" si="448"/>
        <v>2031</v>
      </c>
      <c r="C1948" s="4" t="s">
        <v>46</v>
      </c>
      <c r="D1948" s="5" t="s">
        <v>2003</v>
      </c>
      <c r="E1948" s="10" t="str">
        <f t="shared" si="446"/>
        <v>PSDP'!</v>
      </c>
      <c r="F1948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48" s="7" t="s">
        <v>104</v>
      </c>
      <c r="H1948" s="4"/>
      <c r="I1948" s="4"/>
      <c r="J1948" s="4"/>
    </row>
    <row r="1949" spans="1:10" x14ac:dyDescent="0.35">
      <c r="A1949" s="7" t="s">
        <v>21</v>
      </c>
      <c r="B1949" s="7">
        <f t="shared" si="448"/>
        <v>2032</v>
      </c>
      <c r="C1949" s="4" t="s">
        <v>46</v>
      </c>
      <c r="D1949" s="5" t="s">
        <v>2003</v>
      </c>
      <c r="E1949" s="10" t="str">
        <f t="shared" si="446"/>
        <v>PSDP'!</v>
      </c>
      <c r="F1949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49" s="7" t="s">
        <v>104</v>
      </c>
      <c r="H1949" s="4"/>
      <c r="I1949" s="4"/>
      <c r="J1949" s="4"/>
    </row>
    <row r="1950" spans="1:10" x14ac:dyDescent="0.35">
      <c r="A1950" s="7" t="s">
        <v>21</v>
      </c>
      <c r="B1950" s="7">
        <f t="shared" si="448"/>
        <v>2033</v>
      </c>
      <c r="C1950" s="4" t="s">
        <v>46</v>
      </c>
      <c r="D1950" s="5" t="s">
        <v>2003</v>
      </c>
      <c r="E1950" s="10" t="str">
        <f t="shared" si="446"/>
        <v>PSDP'!</v>
      </c>
      <c r="F1950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50" s="7" t="s">
        <v>104</v>
      </c>
      <c r="H1950" s="4"/>
      <c r="I1950" s="4"/>
      <c r="J1950" s="4"/>
    </row>
    <row r="1951" spans="1:10" x14ac:dyDescent="0.35">
      <c r="A1951" s="7" t="s">
        <v>21</v>
      </c>
      <c r="B1951" s="7">
        <f t="shared" si="448"/>
        <v>2034</v>
      </c>
      <c r="C1951" s="4" t="s">
        <v>46</v>
      </c>
      <c r="D1951" s="5" t="s">
        <v>2003</v>
      </c>
      <c r="E1951" s="10" t="str">
        <f t="shared" si="446"/>
        <v>PSDP'!</v>
      </c>
      <c r="F1951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51" s="7" t="s">
        <v>104</v>
      </c>
      <c r="H1951" s="4"/>
      <c r="I1951" s="4"/>
      <c r="J1951" s="4"/>
    </row>
    <row r="1952" spans="1:10" x14ac:dyDescent="0.35">
      <c r="A1952" s="7" t="s">
        <v>21</v>
      </c>
      <c r="B1952" s="7">
        <f t="shared" si="448"/>
        <v>2035</v>
      </c>
      <c r="C1952" s="4" t="s">
        <v>46</v>
      </c>
      <c r="D1952" s="5" t="s">
        <v>2003</v>
      </c>
      <c r="E1952" s="10" t="str">
        <f t="shared" si="446"/>
        <v>PSDP'!</v>
      </c>
      <c r="F1952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52" s="7" t="s">
        <v>104</v>
      </c>
      <c r="H1952" s="4"/>
      <c r="I1952" s="4"/>
      <c r="J1952" s="4"/>
    </row>
    <row r="1953" spans="1:10" x14ac:dyDescent="0.35">
      <c r="A1953" s="7" t="s">
        <v>21</v>
      </c>
      <c r="B1953" s="7">
        <f t="shared" si="448"/>
        <v>2036</v>
      </c>
      <c r="C1953" s="4" t="s">
        <v>46</v>
      </c>
      <c r="D1953" s="5" t="s">
        <v>2003</v>
      </c>
      <c r="E1953" s="10" t="str">
        <f t="shared" si="446"/>
        <v>PSDP'!</v>
      </c>
      <c r="F1953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53" s="7" t="s">
        <v>104</v>
      </c>
      <c r="H1953" s="4"/>
      <c r="I1953" s="4"/>
      <c r="J1953" s="4"/>
    </row>
    <row r="1954" spans="1:10" x14ac:dyDescent="0.35">
      <c r="A1954" s="7" t="s">
        <v>21</v>
      </c>
      <c r="B1954" s="7">
        <f>+B1953+1</f>
        <v>2037</v>
      </c>
      <c r="C1954" s="4" t="s">
        <v>46</v>
      </c>
      <c r="D1954" s="5" t="s">
        <v>2003</v>
      </c>
      <c r="E1954" s="10" t="str">
        <f t="shared" si="446"/>
        <v>PSDP'!</v>
      </c>
      <c r="F1954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54" s="7" t="s">
        <v>104</v>
      </c>
      <c r="H1954" s="4"/>
      <c r="I1954" s="4"/>
      <c r="J1954" s="4"/>
    </row>
    <row r="1955" spans="1:10" x14ac:dyDescent="0.35">
      <c r="A1955" s="7" t="s">
        <v>21</v>
      </c>
      <c r="B1955" s="7">
        <f t="shared" ref="B1955:B1957" si="449">+B1954+1</f>
        <v>2038</v>
      </c>
      <c r="C1955" s="4" t="s">
        <v>46</v>
      </c>
      <c r="D1955" s="5" t="s">
        <v>2003</v>
      </c>
      <c r="E1955" s="10" t="str">
        <f t="shared" si="446"/>
        <v>PSDP'!</v>
      </c>
      <c r="F1955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55" s="7" t="s">
        <v>104</v>
      </c>
      <c r="H1955" s="4"/>
      <c r="I1955" s="4"/>
      <c r="J1955" s="4"/>
    </row>
    <row r="1956" spans="1:10" x14ac:dyDescent="0.35">
      <c r="A1956" s="7" t="s">
        <v>21</v>
      </c>
      <c r="B1956" s="7">
        <f t="shared" si="449"/>
        <v>2039</v>
      </c>
      <c r="C1956" s="4" t="s">
        <v>46</v>
      </c>
      <c r="D1956" s="5" t="s">
        <v>2003</v>
      </c>
      <c r="E1956" s="10" t="str">
        <f t="shared" si="446"/>
        <v>PSDP'!</v>
      </c>
      <c r="F1956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56" s="7" t="s">
        <v>104</v>
      </c>
      <c r="H1956" s="4"/>
      <c r="I1956" s="4"/>
      <c r="J1956" s="4"/>
    </row>
    <row r="1957" spans="1:10" x14ac:dyDescent="0.35">
      <c r="A1957" s="7" t="s">
        <v>21</v>
      </c>
      <c r="B1957" s="7">
        <f t="shared" si="449"/>
        <v>2040</v>
      </c>
      <c r="C1957" s="4" t="s">
        <v>46</v>
      </c>
      <c r="D1957" s="5" t="s">
        <v>2003</v>
      </c>
      <c r="E1957" s="10" t="str">
        <f t="shared" si="446"/>
        <v>PSDP'!</v>
      </c>
      <c r="F1957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57" s="7" t="s">
        <v>104</v>
      </c>
      <c r="H1957" s="4"/>
      <c r="I1957" s="4"/>
      <c r="J1957" s="4"/>
    </row>
    <row r="1958" spans="1:10" x14ac:dyDescent="0.35">
      <c r="A1958" s="7" t="s">
        <v>21</v>
      </c>
      <c r="B1958" s="7">
        <f>+B1957+1</f>
        <v>2041</v>
      </c>
      <c r="C1958" s="4" t="s">
        <v>46</v>
      </c>
      <c r="D1958" s="5" t="s">
        <v>2003</v>
      </c>
      <c r="E1958" s="10" t="str">
        <f t="shared" si="446"/>
        <v>PSDP'!</v>
      </c>
      <c r="F1958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58" s="7" t="s">
        <v>104</v>
      </c>
      <c r="H1958" s="4"/>
      <c r="I1958" s="4"/>
      <c r="J1958" s="4"/>
    </row>
    <row r="1959" spans="1:10" x14ac:dyDescent="0.35">
      <c r="A1959" s="7" t="s">
        <v>21</v>
      </c>
      <c r="B1959" s="7">
        <f t="shared" ref="B1959:B1960" si="450">+B1958+1</f>
        <v>2042</v>
      </c>
      <c r="C1959" s="4" t="s">
        <v>46</v>
      </c>
      <c r="D1959" s="5" t="s">
        <v>2003</v>
      </c>
      <c r="E1959" s="10" t="str">
        <f t="shared" si="446"/>
        <v>PSDP'!</v>
      </c>
      <c r="F1959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59" s="7" t="s">
        <v>104</v>
      </c>
      <c r="H1959" s="4"/>
      <c r="I1959" s="4"/>
      <c r="J1959" s="4"/>
    </row>
    <row r="1960" spans="1:10" x14ac:dyDescent="0.35">
      <c r="A1960" s="7" t="s">
        <v>21</v>
      </c>
      <c r="B1960" s="7">
        <f t="shared" si="450"/>
        <v>2043</v>
      </c>
      <c r="C1960" s="4" t="s">
        <v>46</v>
      </c>
      <c r="D1960" s="5" t="s">
        <v>2003</v>
      </c>
      <c r="E1960" s="10" t="str">
        <f t="shared" si="446"/>
        <v>PSDP'!</v>
      </c>
      <c r="F1960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60" s="7" t="s">
        <v>104</v>
      </c>
      <c r="H1960" s="4"/>
      <c r="I1960" s="4"/>
      <c r="J1960" s="4"/>
    </row>
    <row r="1961" spans="1:10" x14ac:dyDescent="0.35">
      <c r="A1961" s="7" t="s">
        <v>21</v>
      </c>
      <c r="B1961" s="7">
        <f>+B1960+1</f>
        <v>2044</v>
      </c>
      <c r="C1961" s="4" t="s">
        <v>46</v>
      </c>
      <c r="D1961" s="5" t="s">
        <v>2003</v>
      </c>
      <c r="E1961" s="10" t="str">
        <f t="shared" ref="E1961:E1976" si="451">_xlfn.CONCAT(A1961,"'!")</f>
        <v>PSDP'!</v>
      </c>
      <c r="F1961" s="5" t="str">
        <f t="shared" ref="F1961:F1976" si="452">_xlfn.CONCAT(D1961," ",E1961)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61" s="7" t="s">
        <v>104</v>
      </c>
      <c r="H1961" s="4"/>
      <c r="I1961" s="4"/>
      <c r="J1961" s="4"/>
    </row>
    <row r="1962" spans="1:10" x14ac:dyDescent="0.35">
      <c r="A1962" s="7" t="s">
        <v>21</v>
      </c>
      <c r="B1962" s="7">
        <f t="shared" ref="B1962:B1976" si="453">+B1961+1</f>
        <v>2045</v>
      </c>
      <c r="C1962" s="4" t="s">
        <v>46</v>
      </c>
      <c r="D1962" s="5" t="s">
        <v>2003</v>
      </c>
      <c r="E1962" s="10" t="str">
        <f t="shared" si="451"/>
        <v>PSDP'!</v>
      </c>
      <c r="F1962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62" s="7" t="s">
        <v>104</v>
      </c>
      <c r="H1962" s="4"/>
      <c r="I1962" s="4"/>
      <c r="J1962" s="4"/>
    </row>
    <row r="1963" spans="1:10" x14ac:dyDescent="0.35">
      <c r="A1963" s="7" t="s">
        <v>21</v>
      </c>
      <c r="B1963" s="7">
        <f t="shared" si="453"/>
        <v>2046</v>
      </c>
      <c r="C1963" s="4" t="s">
        <v>46</v>
      </c>
      <c r="D1963" s="5" t="s">
        <v>2003</v>
      </c>
      <c r="E1963" s="10" t="str">
        <f t="shared" si="451"/>
        <v>PSDP'!</v>
      </c>
      <c r="F1963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63" s="7" t="s">
        <v>104</v>
      </c>
      <c r="H1963" s="4"/>
      <c r="I1963" s="4"/>
      <c r="J1963" s="4"/>
    </row>
    <row r="1964" spans="1:10" x14ac:dyDescent="0.35">
      <c r="A1964" s="7" t="s">
        <v>21</v>
      </c>
      <c r="B1964" s="7">
        <f t="shared" si="453"/>
        <v>2047</v>
      </c>
      <c r="C1964" s="4" t="s">
        <v>46</v>
      </c>
      <c r="D1964" s="5" t="s">
        <v>2003</v>
      </c>
      <c r="E1964" s="10" t="str">
        <f t="shared" si="451"/>
        <v>PSDP'!</v>
      </c>
      <c r="F1964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64" s="7" t="s">
        <v>104</v>
      </c>
      <c r="H1964" s="4"/>
      <c r="I1964" s="4"/>
      <c r="J1964" s="4"/>
    </row>
    <row r="1965" spans="1:10" x14ac:dyDescent="0.35">
      <c r="A1965" s="7" t="s">
        <v>21</v>
      </c>
      <c r="B1965" s="7">
        <f t="shared" si="453"/>
        <v>2048</v>
      </c>
      <c r="C1965" s="4" t="s">
        <v>46</v>
      </c>
      <c r="D1965" s="5" t="s">
        <v>2003</v>
      </c>
      <c r="E1965" s="10" t="str">
        <f t="shared" si="451"/>
        <v>PSDP'!</v>
      </c>
      <c r="F1965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65" s="7" t="s">
        <v>104</v>
      </c>
      <c r="H1965" s="4"/>
      <c r="I1965" s="4"/>
      <c r="J1965" s="4"/>
    </row>
    <row r="1966" spans="1:10" x14ac:dyDescent="0.35">
      <c r="A1966" s="7" t="s">
        <v>21</v>
      </c>
      <c r="B1966" s="7">
        <f t="shared" si="453"/>
        <v>2049</v>
      </c>
      <c r="C1966" s="4" t="s">
        <v>46</v>
      </c>
      <c r="D1966" s="5" t="s">
        <v>2003</v>
      </c>
      <c r="E1966" s="10" t="str">
        <f t="shared" si="451"/>
        <v>PSDP'!</v>
      </c>
      <c r="F1966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66" s="7" t="s">
        <v>104</v>
      </c>
      <c r="H1966" s="4"/>
      <c r="I1966" s="4"/>
      <c r="J1966" s="4"/>
    </row>
    <row r="1967" spans="1:10" x14ac:dyDescent="0.35">
      <c r="A1967" s="7" t="s">
        <v>21</v>
      </c>
      <c r="B1967" s="7">
        <f t="shared" si="453"/>
        <v>2050</v>
      </c>
      <c r="C1967" s="4" t="s">
        <v>46</v>
      </c>
      <c r="D1967" s="5" t="s">
        <v>2003</v>
      </c>
      <c r="E1967" s="10" t="str">
        <f t="shared" si="451"/>
        <v>PSDP'!</v>
      </c>
      <c r="F1967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67" s="7" t="s">
        <v>104</v>
      </c>
      <c r="H1967" s="4"/>
      <c r="I1967" s="4"/>
      <c r="J1967" s="4"/>
    </row>
    <row r="1968" spans="1:10" x14ac:dyDescent="0.35">
      <c r="A1968" s="7" t="s">
        <v>21</v>
      </c>
      <c r="B1968" s="7">
        <f t="shared" si="453"/>
        <v>2051</v>
      </c>
      <c r="C1968" s="4" t="s">
        <v>46</v>
      </c>
      <c r="D1968" s="5" t="s">
        <v>2003</v>
      </c>
      <c r="E1968" s="10" t="str">
        <f t="shared" si="451"/>
        <v>PSDP'!</v>
      </c>
      <c r="F1968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68" s="7" t="s">
        <v>104</v>
      </c>
      <c r="H1968" s="4"/>
      <c r="I1968" s="4"/>
      <c r="J1968" s="4"/>
    </row>
    <row r="1969" spans="1:10" x14ac:dyDescent="0.35">
      <c r="A1969" s="7" t="s">
        <v>21</v>
      </c>
      <c r="B1969" s="7">
        <f t="shared" si="453"/>
        <v>2052</v>
      </c>
      <c r="C1969" s="4" t="s">
        <v>46</v>
      </c>
      <c r="D1969" s="5" t="s">
        <v>2003</v>
      </c>
      <c r="E1969" s="10" t="str">
        <f t="shared" si="451"/>
        <v>PSDP'!</v>
      </c>
      <c r="F1969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69" s="7" t="s">
        <v>104</v>
      </c>
      <c r="H1969" s="4"/>
      <c r="I1969" s="4"/>
      <c r="J1969" s="4"/>
    </row>
    <row r="1970" spans="1:10" x14ac:dyDescent="0.35">
      <c r="A1970" s="7" t="s">
        <v>21</v>
      </c>
      <c r="B1970" s="7">
        <f t="shared" si="453"/>
        <v>2053</v>
      </c>
      <c r="C1970" s="4" t="s">
        <v>46</v>
      </c>
      <c r="D1970" s="5" t="s">
        <v>2003</v>
      </c>
      <c r="E1970" s="10" t="str">
        <f t="shared" si="451"/>
        <v>PSDP'!</v>
      </c>
      <c r="F1970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70" s="7" t="s">
        <v>104</v>
      </c>
      <c r="H1970" s="4"/>
      <c r="I1970" s="4"/>
      <c r="J1970" s="4"/>
    </row>
    <row r="1971" spans="1:10" x14ac:dyDescent="0.35">
      <c r="A1971" s="7" t="s">
        <v>21</v>
      </c>
      <c r="B1971" s="7">
        <f t="shared" si="453"/>
        <v>2054</v>
      </c>
      <c r="C1971" s="4" t="s">
        <v>46</v>
      </c>
      <c r="D1971" s="5" t="s">
        <v>2003</v>
      </c>
      <c r="E1971" s="10" t="str">
        <f t="shared" si="451"/>
        <v>PSDP'!</v>
      </c>
      <c r="F1971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71" s="7" t="s">
        <v>104</v>
      </c>
      <c r="H1971" s="4"/>
      <c r="I1971" s="4"/>
      <c r="J1971" s="4"/>
    </row>
    <row r="1972" spans="1:10" x14ac:dyDescent="0.35">
      <c r="A1972" s="7" t="s">
        <v>21</v>
      </c>
      <c r="B1972" s="7">
        <f t="shared" si="453"/>
        <v>2055</v>
      </c>
      <c r="C1972" s="4" t="s">
        <v>46</v>
      </c>
      <c r="D1972" s="5" t="s">
        <v>2003</v>
      </c>
      <c r="E1972" s="10" t="str">
        <f t="shared" si="451"/>
        <v>PSDP'!</v>
      </c>
      <c r="F1972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72" s="7" t="s">
        <v>104</v>
      </c>
      <c r="H1972" s="4"/>
      <c r="I1972" s="4"/>
      <c r="J1972" s="4"/>
    </row>
    <row r="1973" spans="1:10" x14ac:dyDescent="0.35">
      <c r="A1973" s="7" t="s">
        <v>21</v>
      </c>
      <c r="B1973" s="7">
        <f t="shared" si="453"/>
        <v>2056</v>
      </c>
      <c r="C1973" s="4" t="s">
        <v>46</v>
      </c>
      <c r="D1973" s="5" t="s">
        <v>2003</v>
      </c>
      <c r="E1973" s="10" t="str">
        <f t="shared" si="451"/>
        <v>PSDP'!</v>
      </c>
      <c r="F1973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73" s="7" t="s">
        <v>104</v>
      </c>
      <c r="H1973" s="4"/>
      <c r="I1973" s="4"/>
      <c r="J1973" s="4"/>
    </row>
    <row r="1974" spans="1:10" x14ac:dyDescent="0.35">
      <c r="A1974" s="7" t="s">
        <v>21</v>
      </c>
      <c r="B1974" s="7">
        <f t="shared" si="453"/>
        <v>2057</v>
      </c>
      <c r="C1974" s="4" t="s">
        <v>46</v>
      </c>
      <c r="D1974" s="5" t="s">
        <v>2003</v>
      </c>
      <c r="E1974" s="10" t="str">
        <f t="shared" si="451"/>
        <v>PSDP'!</v>
      </c>
      <c r="F1974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74" s="7" t="s">
        <v>104</v>
      </c>
      <c r="H1974" s="4"/>
      <c r="I1974" s="4"/>
      <c r="J1974" s="4"/>
    </row>
    <row r="1975" spans="1:10" x14ac:dyDescent="0.35">
      <c r="A1975" s="7" t="s">
        <v>21</v>
      </c>
      <c r="B1975" s="7">
        <f t="shared" si="453"/>
        <v>2058</v>
      </c>
      <c r="C1975" s="4" t="s">
        <v>46</v>
      </c>
      <c r="D1975" s="5" t="s">
        <v>2003</v>
      </c>
      <c r="E1975" s="10" t="str">
        <f t="shared" si="451"/>
        <v>PSDP'!</v>
      </c>
      <c r="F1975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75" s="7" t="s">
        <v>104</v>
      </c>
      <c r="H1975" s="4"/>
      <c r="I1975" s="4"/>
      <c r="J1975" s="4"/>
    </row>
    <row r="1976" spans="1:10" x14ac:dyDescent="0.35">
      <c r="A1976" s="7" t="s">
        <v>21</v>
      </c>
      <c r="B1976" s="7">
        <f t="shared" si="453"/>
        <v>2059</v>
      </c>
      <c r="C1976" s="4" t="s">
        <v>46</v>
      </c>
      <c r="D1976" s="5" t="s">
        <v>2003</v>
      </c>
      <c r="E1976" s="10" t="str">
        <f t="shared" si="451"/>
        <v>PSDP'!</v>
      </c>
      <c r="F1976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76" s="7" t="s">
        <v>104</v>
      </c>
      <c r="H1976" s="4"/>
      <c r="I1976" s="4"/>
      <c r="J1976" s="4"/>
    </row>
    <row r="1977" spans="1:10" x14ac:dyDescent="0.35">
      <c r="A1977" s="7" t="s">
        <v>26</v>
      </c>
      <c r="B1977" s="7"/>
      <c r="C1977" s="4" t="s">
        <v>46</v>
      </c>
      <c r="D1977" s="5"/>
      <c r="E1977" s="10"/>
      <c r="F1977" s="5"/>
      <c r="G1977" s="7"/>
      <c r="H1977" s="4"/>
      <c r="I1977" s="4"/>
      <c r="J1977" s="4"/>
    </row>
    <row r="1978" spans="1:10" x14ac:dyDescent="0.35">
      <c r="A1978" s="7" t="s">
        <v>22</v>
      </c>
      <c r="B1978" s="7">
        <v>2023</v>
      </c>
      <c r="C1978" s="4" t="s">
        <v>46</v>
      </c>
      <c r="D1978" s="5" t="s">
        <v>2003</v>
      </c>
      <c r="E1978" s="10" t="str">
        <f t="shared" ref="E1978:E1998" si="454">_xlfn.CONCAT(A1978,"'!")</f>
        <v>PSNP'!</v>
      </c>
      <c r="F1978" s="5" t="str">
        <f t="shared" ref="F1978:F1998" si="455">_xlfn.CONCAT(D1978," ",E1978)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78" s="7" t="s">
        <v>104</v>
      </c>
      <c r="H1978" s="4"/>
      <c r="I1978" s="4"/>
      <c r="J1978" s="4"/>
    </row>
    <row r="1979" spans="1:10" x14ac:dyDescent="0.35">
      <c r="A1979" s="7" t="s">
        <v>22</v>
      </c>
      <c r="B1979" s="7">
        <f>+B1978+1</f>
        <v>2024</v>
      </c>
      <c r="C1979" s="4" t="s">
        <v>46</v>
      </c>
      <c r="D1979" s="5" t="s">
        <v>2003</v>
      </c>
      <c r="E1979" s="10" t="str">
        <f t="shared" si="454"/>
        <v>PSNP'!</v>
      </c>
      <c r="F1979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79" s="7" t="s">
        <v>104</v>
      </c>
      <c r="H1979" s="4"/>
      <c r="I1979" s="4"/>
      <c r="J1979" s="4"/>
    </row>
    <row r="1980" spans="1:10" x14ac:dyDescent="0.35">
      <c r="A1980" s="7" t="s">
        <v>22</v>
      </c>
      <c r="B1980" s="7">
        <f t="shared" ref="B1980:B1991" si="456">+B1979+1</f>
        <v>2025</v>
      </c>
      <c r="C1980" s="4" t="s">
        <v>46</v>
      </c>
      <c r="D1980" s="5" t="s">
        <v>2003</v>
      </c>
      <c r="E1980" s="10" t="str">
        <f t="shared" si="454"/>
        <v>PSNP'!</v>
      </c>
      <c r="F1980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80" s="7" t="s">
        <v>104</v>
      </c>
      <c r="H1980" s="4"/>
      <c r="I1980" s="4"/>
      <c r="J1980" s="4"/>
    </row>
    <row r="1981" spans="1:10" x14ac:dyDescent="0.35">
      <c r="A1981" s="7" t="s">
        <v>22</v>
      </c>
      <c r="B1981" s="7">
        <f t="shared" si="456"/>
        <v>2026</v>
      </c>
      <c r="C1981" s="4" t="s">
        <v>46</v>
      </c>
      <c r="D1981" s="5" t="s">
        <v>2003</v>
      </c>
      <c r="E1981" s="10" t="str">
        <f t="shared" si="454"/>
        <v>PSNP'!</v>
      </c>
      <c r="F1981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81" s="7" t="s">
        <v>104</v>
      </c>
      <c r="H1981" s="4"/>
      <c r="I1981" s="4"/>
      <c r="J1981" s="4"/>
    </row>
    <row r="1982" spans="1:10" x14ac:dyDescent="0.35">
      <c r="A1982" s="7" t="s">
        <v>22</v>
      </c>
      <c r="B1982" s="7">
        <f t="shared" si="456"/>
        <v>2027</v>
      </c>
      <c r="C1982" s="4" t="s">
        <v>46</v>
      </c>
      <c r="D1982" s="5" t="s">
        <v>2003</v>
      </c>
      <c r="E1982" s="10" t="str">
        <f t="shared" si="454"/>
        <v>PSNP'!</v>
      </c>
      <c r="F1982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82" s="7" t="s">
        <v>104</v>
      </c>
      <c r="H1982" s="4"/>
      <c r="I1982" s="4"/>
      <c r="J1982" s="4"/>
    </row>
    <row r="1983" spans="1:10" x14ac:dyDescent="0.35">
      <c r="A1983" s="7" t="s">
        <v>22</v>
      </c>
      <c r="B1983" s="7">
        <f t="shared" si="456"/>
        <v>2028</v>
      </c>
      <c r="C1983" s="4" t="s">
        <v>46</v>
      </c>
      <c r="D1983" s="5" t="s">
        <v>2003</v>
      </c>
      <c r="E1983" s="10" t="str">
        <f t="shared" si="454"/>
        <v>PSNP'!</v>
      </c>
      <c r="F1983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83" s="7" t="s">
        <v>104</v>
      </c>
      <c r="H1983" s="4"/>
      <c r="I1983" s="4"/>
      <c r="J1983" s="4"/>
    </row>
    <row r="1984" spans="1:10" x14ac:dyDescent="0.35">
      <c r="A1984" s="7" t="s">
        <v>22</v>
      </c>
      <c r="B1984" s="7">
        <f t="shared" si="456"/>
        <v>2029</v>
      </c>
      <c r="C1984" s="4" t="s">
        <v>46</v>
      </c>
      <c r="D1984" s="5" t="s">
        <v>2003</v>
      </c>
      <c r="E1984" s="10" t="str">
        <f t="shared" si="454"/>
        <v>PSNP'!</v>
      </c>
      <c r="F1984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84" s="7" t="s">
        <v>104</v>
      </c>
      <c r="H1984" s="4"/>
      <c r="I1984" s="4"/>
      <c r="J1984" s="4"/>
    </row>
    <row r="1985" spans="1:10" x14ac:dyDescent="0.35">
      <c r="A1985" s="7" t="s">
        <v>22</v>
      </c>
      <c r="B1985" s="7">
        <f t="shared" si="456"/>
        <v>2030</v>
      </c>
      <c r="C1985" s="4" t="s">
        <v>46</v>
      </c>
      <c r="D1985" s="5" t="s">
        <v>2003</v>
      </c>
      <c r="E1985" s="10" t="str">
        <f t="shared" si="454"/>
        <v>PSNP'!</v>
      </c>
      <c r="F1985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85" s="7" t="s">
        <v>104</v>
      </c>
      <c r="H1985" s="4"/>
      <c r="I1985" s="4"/>
      <c r="J1985" s="4"/>
    </row>
    <row r="1986" spans="1:10" x14ac:dyDescent="0.35">
      <c r="A1986" s="7" t="s">
        <v>22</v>
      </c>
      <c r="B1986" s="7">
        <f t="shared" si="456"/>
        <v>2031</v>
      </c>
      <c r="C1986" s="4" t="s">
        <v>46</v>
      </c>
      <c r="D1986" s="5" t="s">
        <v>2003</v>
      </c>
      <c r="E1986" s="10" t="str">
        <f t="shared" si="454"/>
        <v>PSNP'!</v>
      </c>
      <c r="F1986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86" s="7" t="s">
        <v>104</v>
      </c>
      <c r="H1986" s="4"/>
      <c r="I1986" s="4"/>
      <c r="J1986" s="4"/>
    </row>
    <row r="1987" spans="1:10" x14ac:dyDescent="0.35">
      <c r="A1987" s="7" t="s">
        <v>22</v>
      </c>
      <c r="B1987" s="7">
        <f t="shared" si="456"/>
        <v>2032</v>
      </c>
      <c r="C1987" s="4" t="s">
        <v>46</v>
      </c>
      <c r="D1987" s="5" t="s">
        <v>2003</v>
      </c>
      <c r="E1987" s="10" t="str">
        <f t="shared" si="454"/>
        <v>PSNP'!</v>
      </c>
      <c r="F1987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87" s="7" t="s">
        <v>104</v>
      </c>
      <c r="H1987" s="4"/>
      <c r="I1987" s="4"/>
      <c r="J1987" s="4"/>
    </row>
    <row r="1988" spans="1:10" x14ac:dyDescent="0.35">
      <c r="A1988" s="7" t="s">
        <v>22</v>
      </c>
      <c r="B1988" s="7">
        <f t="shared" si="456"/>
        <v>2033</v>
      </c>
      <c r="C1988" s="4" t="s">
        <v>46</v>
      </c>
      <c r="D1988" s="5" t="s">
        <v>2003</v>
      </c>
      <c r="E1988" s="10" t="str">
        <f t="shared" si="454"/>
        <v>PSNP'!</v>
      </c>
      <c r="F1988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88" s="7" t="s">
        <v>104</v>
      </c>
      <c r="H1988" s="4"/>
      <c r="I1988" s="4"/>
      <c r="J1988" s="4"/>
    </row>
    <row r="1989" spans="1:10" x14ac:dyDescent="0.35">
      <c r="A1989" s="7" t="s">
        <v>22</v>
      </c>
      <c r="B1989" s="7">
        <f t="shared" si="456"/>
        <v>2034</v>
      </c>
      <c r="C1989" s="4" t="s">
        <v>46</v>
      </c>
      <c r="D1989" s="5" t="s">
        <v>2003</v>
      </c>
      <c r="E1989" s="10" t="str">
        <f t="shared" si="454"/>
        <v>PSNP'!</v>
      </c>
      <c r="F1989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89" s="7" t="s">
        <v>104</v>
      </c>
      <c r="H1989" s="4"/>
      <c r="I1989" s="4"/>
      <c r="J1989" s="4"/>
    </row>
    <row r="1990" spans="1:10" x14ac:dyDescent="0.35">
      <c r="A1990" s="7" t="s">
        <v>22</v>
      </c>
      <c r="B1990" s="7">
        <f t="shared" si="456"/>
        <v>2035</v>
      </c>
      <c r="C1990" s="4" t="s">
        <v>46</v>
      </c>
      <c r="D1990" s="5" t="s">
        <v>2003</v>
      </c>
      <c r="E1990" s="10" t="str">
        <f t="shared" si="454"/>
        <v>PSNP'!</v>
      </c>
      <c r="F1990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90" s="7" t="s">
        <v>104</v>
      </c>
      <c r="H1990" s="4"/>
      <c r="I1990" s="4"/>
      <c r="J1990" s="4"/>
    </row>
    <row r="1991" spans="1:10" x14ac:dyDescent="0.35">
      <c r="A1991" s="7" t="s">
        <v>22</v>
      </c>
      <c r="B1991" s="7">
        <f t="shared" si="456"/>
        <v>2036</v>
      </c>
      <c r="C1991" s="4" t="s">
        <v>46</v>
      </c>
      <c r="D1991" s="5" t="s">
        <v>2003</v>
      </c>
      <c r="E1991" s="10" t="str">
        <f t="shared" si="454"/>
        <v>PSNP'!</v>
      </c>
      <c r="F1991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91" s="7" t="s">
        <v>104</v>
      </c>
      <c r="H1991" s="4"/>
      <c r="I1991" s="4"/>
      <c r="J1991" s="4"/>
    </row>
    <row r="1992" spans="1:10" x14ac:dyDescent="0.35">
      <c r="A1992" s="7" t="s">
        <v>22</v>
      </c>
      <c r="B1992" s="7">
        <f>+B1991+1</f>
        <v>2037</v>
      </c>
      <c r="C1992" s="4" t="s">
        <v>46</v>
      </c>
      <c r="D1992" s="5" t="s">
        <v>2003</v>
      </c>
      <c r="E1992" s="10" t="str">
        <f t="shared" si="454"/>
        <v>PSNP'!</v>
      </c>
      <c r="F1992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92" s="7" t="s">
        <v>104</v>
      </c>
      <c r="H1992" s="4"/>
      <c r="I1992" s="4"/>
      <c r="J1992" s="4"/>
    </row>
    <row r="1993" spans="1:10" x14ac:dyDescent="0.35">
      <c r="A1993" s="7" t="s">
        <v>22</v>
      </c>
      <c r="B1993" s="7">
        <f t="shared" ref="B1993:B1995" si="457">+B1992+1</f>
        <v>2038</v>
      </c>
      <c r="C1993" s="4" t="s">
        <v>46</v>
      </c>
      <c r="D1993" s="5" t="s">
        <v>2003</v>
      </c>
      <c r="E1993" s="10" t="str">
        <f t="shared" si="454"/>
        <v>PSNP'!</v>
      </c>
      <c r="F1993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93" s="7" t="s">
        <v>104</v>
      </c>
      <c r="H1993" s="4"/>
      <c r="I1993" s="4"/>
      <c r="J1993" s="4"/>
    </row>
    <row r="1994" spans="1:10" x14ac:dyDescent="0.35">
      <c r="A1994" s="7" t="s">
        <v>22</v>
      </c>
      <c r="B1994" s="7">
        <f t="shared" si="457"/>
        <v>2039</v>
      </c>
      <c r="C1994" s="4" t="s">
        <v>46</v>
      </c>
      <c r="D1994" s="5" t="s">
        <v>2003</v>
      </c>
      <c r="E1994" s="10" t="str">
        <f t="shared" si="454"/>
        <v>PSNP'!</v>
      </c>
      <c r="F1994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94" s="7" t="s">
        <v>104</v>
      </c>
      <c r="H1994" s="4"/>
      <c r="I1994" s="4"/>
      <c r="J1994" s="4"/>
    </row>
    <row r="1995" spans="1:10" x14ac:dyDescent="0.35">
      <c r="A1995" s="7" t="s">
        <v>22</v>
      </c>
      <c r="B1995" s="7">
        <f t="shared" si="457"/>
        <v>2040</v>
      </c>
      <c r="C1995" s="4" t="s">
        <v>46</v>
      </c>
      <c r="D1995" s="5" t="s">
        <v>2003</v>
      </c>
      <c r="E1995" s="10" t="str">
        <f t="shared" si="454"/>
        <v>PSNP'!</v>
      </c>
      <c r="F1995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95" s="7" t="s">
        <v>104</v>
      </c>
      <c r="H1995" s="4"/>
      <c r="I1995" s="4"/>
      <c r="J1995" s="4"/>
    </row>
    <row r="1996" spans="1:10" x14ac:dyDescent="0.35">
      <c r="A1996" s="7" t="s">
        <v>22</v>
      </c>
      <c r="B1996" s="7">
        <f>+B1995+1</f>
        <v>2041</v>
      </c>
      <c r="C1996" s="4" t="s">
        <v>46</v>
      </c>
      <c r="D1996" s="5" t="s">
        <v>2003</v>
      </c>
      <c r="E1996" s="10" t="str">
        <f t="shared" si="454"/>
        <v>PSNP'!</v>
      </c>
      <c r="F1996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96" s="7" t="s">
        <v>104</v>
      </c>
      <c r="H1996" s="4"/>
      <c r="I1996" s="4"/>
      <c r="J1996" s="4"/>
    </row>
    <row r="1997" spans="1:10" x14ac:dyDescent="0.35">
      <c r="A1997" s="7" t="s">
        <v>22</v>
      </c>
      <c r="B1997" s="7">
        <f t="shared" ref="B1997:B1998" si="458">+B1996+1</f>
        <v>2042</v>
      </c>
      <c r="C1997" s="4" t="s">
        <v>46</v>
      </c>
      <c r="D1997" s="5" t="s">
        <v>2003</v>
      </c>
      <c r="E1997" s="10" t="str">
        <f t="shared" si="454"/>
        <v>PSNP'!</v>
      </c>
      <c r="F1997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97" s="7" t="s">
        <v>104</v>
      </c>
      <c r="H1997" s="4"/>
      <c r="I1997" s="4"/>
      <c r="J1997" s="4"/>
    </row>
    <row r="1998" spans="1:10" x14ac:dyDescent="0.35">
      <c r="A1998" s="7" t="s">
        <v>22</v>
      </c>
      <c r="B1998" s="7">
        <f t="shared" si="458"/>
        <v>2043</v>
      </c>
      <c r="C1998" s="4" t="s">
        <v>46</v>
      </c>
      <c r="D1998" s="5" t="s">
        <v>2003</v>
      </c>
      <c r="E1998" s="10" t="str">
        <f t="shared" si="454"/>
        <v>PSNP'!</v>
      </c>
      <c r="F1998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98" s="7" t="s">
        <v>104</v>
      </c>
      <c r="H1998" s="4"/>
      <c r="I1998" s="4"/>
      <c r="J1998" s="4"/>
    </row>
    <row r="1999" spans="1:10" x14ac:dyDescent="0.35">
      <c r="A1999" s="7" t="s">
        <v>22</v>
      </c>
      <c r="B1999" s="7">
        <f>+B1998+1</f>
        <v>2044</v>
      </c>
      <c r="C1999" s="4" t="s">
        <v>46</v>
      </c>
      <c r="D1999" s="5" t="s">
        <v>2003</v>
      </c>
      <c r="E1999" s="10" t="str">
        <f t="shared" ref="E1999:E2014" si="459">_xlfn.CONCAT(A1999,"'!")</f>
        <v>PSNP'!</v>
      </c>
      <c r="F1999" s="5" t="str">
        <f t="shared" ref="F1999:F2014" si="460">_xlfn.CONCAT(D1999," ",E1999)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99" s="7" t="s">
        <v>104</v>
      </c>
      <c r="H1999" s="4"/>
      <c r="I1999" s="4"/>
      <c r="J1999" s="4"/>
    </row>
    <row r="2000" spans="1:10" x14ac:dyDescent="0.35">
      <c r="A2000" s="7" t="s">
        <v>22</v>
      </c>
      <c r="B2000" s="7">
        <f t="shared" ref="B2000:B2014" si="461">+B1999+1</f>
        <v>2045</v>
      </c>
      <c r="C2000" s="4" t="s">
        <v>46</v>
      </c>
      <c r="D2000" s="5" t="s">
        <v>2003</v>
      </c>
      <c r="E2000" s="10" t="str">
        <f t="shared" si="459"/>
        <v>PSNP'!</v>
      </c>
      <c r="F2000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00" s="7" t="s">
        <v>104</v>
      </c>
      <c r="H2000" s="4"/>
      <c r="I2000" s="4"/>
      <c r="J2000" s="4"/>
    </row>
    <row r="2001" spans="1:10" x14ac:dyDescent="0.35">
      <c r="A2001" s="7" t="s">
        <v>22</v>
      </c>
      <c r="B2001" s="7">
        <f t="shared" si="461"/>
        <v>2046</v>
      </c>
      <c r="C2001" s="4" t="s">
        <v>46</v>
      </c>
      <c r="D2001" s="5" t="s">
        <v>2003</v>
      </c>
      <c r="E2001" s="10" t="str">
        <f t="shared" si="459"/>
        <v>PSNP'!</v>
      </c>
      <c r="F2001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01" s="7" t="s">
        <v>104</v>
      </c>
      <c r="H2001" s="4"/>
      <c r="I2001" s="4"/>
      <c r="J2001" s="4"/>
    </row>
    <row r="2002" spans="1:10" x14ac:dyDescent="0.35">
      <c r="A2002" s="7" t="s">
        <v>22</v>
      </c>
      <c r="B2002" s="7">
        <f t="shared" si="461"/>
        <v>2047</v>
      </c>
      <c r="C2002" s="4" t="s">
        <v>46</v>
      </c>
      <c r="D2002" s="5" t="s">
        <v>2003</v>
      </c>
      <c r="E2002" s="10" t="str">
        <f t="shared" si="459"/>
        <v>PSNP'!</v>
      </c>
      <c r="F2002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02" s="7" t="s">
        <v>104</v>
      </c>
      <c r="H2002" s="4"/>
      <c r="I2002" s="4"/>
      <c r="J2002" s="4"/>
    </row>
    <row r="2003" spans="1:10" x14ac:dyDescent="0.35">
      <c r="A2003" s="7" t="s">
        <v>22</v>
      </c>
      <c r="B2003" s="7">
        <f t="shared" si="461"/>
        <v>2048</v>
      </c>
      <c r="C2003" s="4" t="s">
        <v>46</v>
      </c>
      <c r="D2003" s="5" t="s">
        <v>2003</v>
      </c>
      <c r="E2003" s="10" t="str">
        <f t="shared" si="459"/>
        <v>PSNP'!</v>
      </c>
      <c r="F2003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03" s="7" t="s">
        <v>104</v>
      </c>
      <c r="H2003" s="4"/>
      <c r="I2003" s="4"/>
      <c r="J2003" s="4"/>
    </row>
    <row r="2004" spans="1:10" x14ac:dyDescent="0.35">
      <c r="A2004" s="7" t="s">
        <v>22</v>
      </c>
      <c r="B2004" s="7">
        <f t="shared" si="461"/>
        <v>2049</v>
      </c>
      <c r="C2004" s="4" t="s">
        <v>46</v>
      </c>
      <c r="D2004" s="5" t="s">
        <v>2003</v>
      </c>
      <c r="E2004" s="10" t="str">
        <f t="shared" si="459"/>
        <v>PSNP'!</v>
      </c>
      <c r="F2004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04" s="7" t="s">
        <v>104</v>
      </c>
      <c r="H2004" s="4"/>
      <c r="I2004" s="4"/>
      <c r="J2004" s="4"/>
    </row>
    <row r="2005" spans="1:10" x14ac:dyDescent="0.35">
      <c r="A2005" s="7" t="s">
        <v>22</v>
      </c>
      <c r="B2005" s="7">
        <f t="shared" si="461"/>
        <v>2050</v>
      </c>
      <c r="C2005" s="4" t="s">
        <v>46</v>
      </c>
      <c r="D2005" s="5" t="s">
        <v>2003</v>
      </c>
      <c r="E2005" s="10" t="str">
        <f t="shared" si="459"/>
        <v>PSNP'!</v>
      </c>
      <c r="F2005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05" s="7" t="s">
        <v>104</v>
      </c>
      <c r="H2005" s="4"/>
      <c r="I2005" s="4"/>
      <c r="J2005" s="4"/>
    </row>
    <row r="2006" spans="1:10" x14ac:dyDescent="0.35">
      <c r="A2006" s="7" t="s">
        <v>22</v>
      </c>
      <c r="B2006" s="7">
        <f t="shared" si="461"/>
        <v>2051</v>
      </c>
      <c r="C2006" s="4" t="s">
        <v>46</v>
      </c>
      <c r="D2006" s="5" t="s">
        <v>2003</v>
      </c>
      <c r="E2006" s="10" t="str">
        <f t="shared" si="459"/>
        <v>PSNP'!</v>
      </c>
      <c r="F2006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06" s="7" t="s">
        <v>104</v>
      </c>
      <c r="H2006" s="4"/>
      <c r="I2006" s="4"/>
      <c r="J2006" s="4"/>
    </row>
    <row r="2007" spans="1:10" x14ac:dyDescent="0.35">
      <c r="A2007" s="7" t="s">
        <v>22</v>
      </c>
      <c r="B2007" s="7">
        <f t="shared" si="461"/>
        <v>2052</v>
      </c>
      <c r="C2007" s="4" t="s">
        <v>46</v>
      </c>
      <c r="D2007" s="5" t="s">
        <v>2003</v>
      </c>
      <c r="E2007" s="10" t="str">
        <f t="shared" si="459"/>
        <v>PSNP'!</v>
      </c>
      <c r="F2007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07" s="7" t="s">
        <v>104</v>
      </c>
      <c r="H2007" s="4"/>
      <c r="I2007" s="4"/>
      <c r="J2007" s="4"/>
    </row>
    <row r="2008" spans="1:10" x14ac:dyDescent="0.35">
      <c r="A2008" s="7" t="s">
        <v>22</v>
      </c>
      <c r="B2008" s="7">
        <f t="shared" si="461"/>
        <v>2053</v>
      </c>
      <c r="C2008" s="4" t="s">
        <v>46</v>
      </c>
      <c r="D2008" s="5" t="s">
        <v>2003</v>
      </c>
      <c r="E2008" s="10" t="str">
        <f t="shared" si="459"/>
        <v>PSNP'!</v>
      </c>
      <c r="F2008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08" s="7" t="s">
        <v>104</v>
      </c>
      <c r="H2008" s="4"/>
      <c r="I2008" s="4"/>
      <c r="J2008" s="4"/>
    </row>
    <row r="2009" spans="1:10" x14ac:dyDescent="0.35">
      <c r="A2009" s="7" t="s">
        <v>22</v>
      </c>
      <c r="B2009" s="7">
        <f t="shared" si="461"/>
        <v>2054</v>
      </c>
      <c r="C2009" s="4" t="s">
        <v>46</v>
      </c>
      <c r="D2009" s="5" t="s">
        <v>2003</v>
      </c>
      <c r="E2009" s="10" t="str">
        <f t="shared" si="459"/>
        <v>PSNP'!</v>
      </c>
      <c r="F2009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09" s="7" t="s">
        <v>104</v>
      </c>
      <c r="H2009" s="4"/>
      <c r="I2009" s="4"/>
      <c r="J2009" s="4"/>
    </row>
    <row r="2010" spans="1:10" x14ac:dyDescent="0.35">
      <c r="A2010" s="7" t="s">
        <v>22</v>
      </c>
      <c r="B2010" s="7">
        <f t="shared" si="461"/>
        <v>2055</v>
      </c>
      <c r="C2010" s="4" t="s">
        <v>46</v>
      </c>
      <c r="D2010" s="5" t="s">
        <v>2003</v>
      </c>
      <c r="E2010" s="10" t="str">
        <f t="shared" si="459"/>
        <v>PSNP'!</v>
      </c>
      <c r="F2010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10" s="7" t="s">
        <v>104</v>
      </c>
      <c r="H2010" s="4"/>
      <c r="I2010" s="4"/>
      <c r="J2010" s="4"/>
    </row>
    <row r="2011" spans="1:10" x14ac:dyDescent="0.35">
      <c r="A2011" s="7" t="s">
        <v>22</v>
      </c>
      <c r="B2011" s="7">
        <f t="shared" si="461"/>
        <v>2056</v>
      </c>
      <c r="C2011" s="4" t="s">
        <v>46</v>
      </c>
      <c r="D2011" s="5" t="s">
        <v>2003</v>
      </c>
      <c r="E2011" s="10" t="str">
        <f t="shared" si="459"/>
        <v>PSNP'!</v>
      </c>
      <c r="F2011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11" s="7" t="s">
        <v>104</v>
      </c>
      <c r="H2011" s="4"/>
      <c r="I2011" s="4"/>
      <c r="J2011" s="4"/>
    </row>
    <row r="2012" spans="1:10" x14ac:dyDescent="0.35">
      <c r="A2012" s="7" t="s">
        <v>22</v>
      </c>
      <c r="B2012" s="7">
        <f t="shared" si="461"/>
        <v>2057</v>
      </c>
      <c r="C2012" s="4" t="s">
        <v>46</v>
      </c>
      <c r="D2012" s="5" t="s">
        <v>2003</v>
      </c>
      <c r="E2012" s="10" t="str">
        <f t="shared" si="459"/>
        <v>PSNP'!</v>
      </c>
      <c r="F2012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12" s="7" t="s">
        <v>104</v>
      </c>
      <c r="H2012" s="4"/>
      <c r="I2012" s="4"/>
      <c r="J2012" s="4"/>
    </row>
    <row r="2013" spans="1:10" x14ac:dyDescent="0.35">
      <c r="A2013" s="7" t="s">
        <v>22</v>
      </c>
      <c r="B2013" s="7">
        <f t="shared" si="461"/>
        <v>2058</v>
      </c>
      <c r="C2013" s="4" t="s">
        <v>46</v>
      </c>
      <c r="D2013" s="5" t="s">
        <v>2003</v>
      </c>
      <c r="E2013" s="10" t="str">
        <f t="shared" si="459"/>
        <v>PSNP'!</v>
      </c>
      <c r="F2013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13" s="7" t="s">
        <v>104</v>
      </c>
      <c r="H2013" s="4"/>
      <c r="I2013" s="4"/>
      <c r="J2013" s="4"/>
    </row>
    <row r="2014" spans="1:10" x14ac:dyDescent="0.35">
      <c r="A2014" s="7" t="s">
        <v>22</v>
      </c>
      <c r="B2014" s="7">
        <f t="shared" si="461"/>
        <v>2059</v>
      </c>
      <c r="C2014" s="4" t="s">
        <v>46</v>
      </c>
      <c r="D2014" s="5" t="s">
        <v>2003</v>
      </c>
      <c r="E2014" s="10" t="str">
        <f t="shared" si="459"/>
        <v>PSNP'!</v>
      </c>
      <c r="F2014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14" s="7" t="s">
        <v>104</v>
      </c>
      <c r="H2014" s="4"/>
      <c r="I2014" s="4"/>
      <c r="J2014" s="4"/>
    </row>
    <row r="2015" spans="1:10" x14ac:dyDescent="0.35">
      <c r="A2015" s="7" t="s">
        <v>26</v>
      </c>
      <c r="B2015" s="7"/>
      <c r="C2015" s="4" t="s">
        <v>46</v>
      </c>
      <c r="D2015" s="5"/>
      <c r="E2015" s="10"/>
      <c r="F2015" s="5"/>
      <c r="G2015" s="7"/>
      <c r="H2015" s="4"/>
      <c r="I2015" s="4"/>
      <c r="J2015" s="4"/>
    </row>
    <row r="2016" spans="1:10" x14ac:dyDescent="0.35">
      <c r="A2016" s="7" t="s">
        <v>23</v>
      </c>
      <c r="B2016" s="7">
        <v>2023</v>
      </c>
      <c r="C2016" s="4" t="s">
        <v>46</v>
      </c>
      <c r="D2016" s="5" t="s">
        <v>2003</v>
      </c>
      <c r="E2016" s="10" t="str">
        <f t="shared" ref="E2016:E2036" si="462">_xlfn.CONCAT(A2016,"'!")</f>
        <v>PSND'!</v>
      </c>
      <c r="F2016" s="5" t="str">
        <f t="shared" ref="F2016:F2036" si="463">_xlfn.CONCAT(D2016," ",E2016)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16" s="7" t="s">
        <v>104</v>
      </c>
      <c r="H2016" s="4"/>
      <c r="I2016" s="4"/>
      <c r="J2016" s="4"/>
    </row>
    <row r="2017" spans="1:10" x14ac:dyDescent="0.35">
      <c r="A2017" s="7" t="s">
        <v>23</v>
      </c>
      <c r="B2017" s="7">
        <f>+B2016+1</f>
        <v>2024</v>
      </c>
      <c r="C2017" s="4" t="s">
        <v>46</v>
      </c>
      <c r="D2017" s="5" t="s">
        <v>2003</v>
      </c>
      <c r="E2017" s="10" t="str">
        <f t="shared" si="462"/>
        <v>PSND'!</v>
      </c>
      <c r="F2017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17" s="7" t="s">
        <v>104</v>
      </c>
      <c r="H2017" s="4"/>
      <c r="I2017" s="4"/>
      <c r="J2017" s="4"/>
    </row>
    <row r="2018" spans="1:10" x14ac:dyDescent="0.35">
      <c r="A2018" s="7" t="s">
        <v>23</v>
      </c>
      <c r="B2018" s="7">
        <f t="shared" ref="B2018:B2029" si="464">+B2017+1</f>
        <v>2025</v>
      </c>
      <c r="C2018" s="4" t="s">
        <v>46</v>
      </c>
      <c r="D2018" s="5" t="s">
        <v>2003</v>
      </c>
      <c r="E2018" s="10" t="str">
        <f t="shared" si="462"/>
        <v>PSND'!</v>
      </c>
      <c r="F2018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18" s="7" t="s">
        <v>104</v>
      </c>
      <c r="H2018" s="4"/>
      <c r="I2018" s="4"/>
      <c r="J2018" s="4"/>
    </row>
    <row r="2019" spans="1:10" x14ac:dyDescent="0.35">
      <c r="A2019" s="7" t="s">
        <v>23</v>
      </c>
      <c r="B2019" s="7">
        <f t="shared" si="464"/>
        <v>2026</v>
      </c>
      <c r="C2019" s="4" t="s">
        <v>46</v>
      </c>
      <c r="D2019" s="5" t="s">
        <v>2003</v>
      </c>
      <c r="E2019" s="10" t="str">
        <f t="shared" si="462"/>
        <v>PSND'!</v>
      </c>
      <c r="F2019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19" s="7" t="s">
        <v>104</v>
      </c>
      <c r="H2019" s="4"/>
      <c r="I2019" s="4"/>
      <c r="J2019" s="4"/>
    </row>
    <row r="2020" spans="1:10" x14ac:dyDescent="0.35">
      <c r="A2020" s="7" t="s">
        <v>23</v>
      </c>
      <c r="B2020" s="7">
        <f t="shared" si="464"/>
        <v>2027</v>
      </c>
      <c r="C2020" s="4" t="s">
        <v>46</v>
      </c>
      <c r="D2020" s="5" t="s">
        <v>2003</v>
      </c>
      <c r="E2020" s="10" t="str">
        <f t="shared" si="462"/>
        <v>PSND'!</v>
      </c>
      <c r="F2020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20" s="7" t="s">
        <v>104</v>
      </c>
      <c r="H2020" s="4"/>
      <c r="I2020" s="4"/>
      <c r="J2020" s="4"/>
    </row>
    <row r="2021" spans="1:10" x14ac:dyDescent="0.35">
      <c r="A2021" s="7" t="s">
        <v>23</v>
      </c>
      <c r="B2021" s="7">
        <f t="shared" si="464"/>
        <v>2028</v>
      </c>
      <c r="C2021" s="4" t="s">
        <v>46</v>
      </c>
      <c r="D2021" s="5" t="s">
        <v>2003</v>
      </c>
      <c r="E2021" s="10" t="str">
        <f t="shared" si="462"/>
        <v>PSND'!</v>
      </c>
      <c r="F2021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21" s="7" t="s">
        <v>104</v>
      </c>
      <c r="H2021" s="4"/>
      <c r="I2021" s="4"/>
      <c r="J2021" s="4"/>
    </row>
    <row r="2022" spans="1:10" x14ac:dyDescent="0.35">
      <c r="A2022" s="7" t="s">
        <v>23</v>
      </c>
      <c r="B2022" s="7">
        <f t="shared" si="464"/>
        <v>2029</v>
      </c>
      <c r="C2022" s="4" t="s">
        <v>46</v>
      </c>
      <c r="D2022" s="5" t="s">
        <v>2003</v>
      </c>
      <c r="E2022" s="10" t="str">
        <f t="shared" si="462"/>
        <v>PSND'!</v>
      </c>
      <c r="F2022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22" s="7" t="s">
        <v>104</v>
      </c>
      <c r="H2022" s="4"/>
      <c r="I2022" s="4"/>
      <c r="J2022" s="4"/>
    </row>
    <row r="2023" spans="1:10" x14ac:dyDescent="0.35">
      <c r="A2023" s="7" t="s">
        <v>23</v>
      </c>
      <c r="B2023" s="7">
        <f t="shared" si="464"/>
        <v>2030</v>
      </c>
      <c r="C2023" s="4" t="s">
        <v>46</v>
      </c>
      <c r="D2023" s="5" t="s">
        <v>2003</v>
      </c>
      <c r="E2023" s="10" t="str">
        <f t="shared" si="462"/>
        <v>PSND'!</v>
      </c>
      <c r="F2023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23" s="7" t="s">
        <v>104</v>
      </c>
      <c r="H2023" s="4"/>
      <c r="I2023" s="4"/>
      <c r="J2023" s="4"/>
    </row>
    <row r="2024" spans="1:10" x14ac:dyDescent="0.35">
      <c r="A2024" s="7" t="s">
        <v>23</v>
      </c>
      <c r="B2024" s="7">
        <f t="shared" si="464"/>
        <v>2031</v>
      </c>
      <c r="C2024" s="4" t="s">
        <v>46</v>
      </c>
      <c r="D2024" s="5" t="s">
        <v>2003</v>
      </c>
      <c r="E2024" s="10" t="str">
        <f t="shared" si="462"/>
        <v>PSND'!</v>
      </c>
      <c r="F2024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24" s="7" t="s">
        <v>104</v>
      </c>
      <c r="H2024" s="4"/>
      <c r="I2024" s="4"/>
      <c r="J2024" s="4"/>
    </row>
    <row r="2025" spans="1:10" x14ac:dyDescent="0.35">
      <c r="A2025" s="7" t="s">
        <v>23</v>
      </c>
      <c r="B2025" s="7">
        <f t="shared" si="464"/>
        <v>2032</v>
      </c>
      <c r="C2025" s="4" t="s">
        <v>46</v>
      </c>
      <c r="D2025" s="5" t="s">
        <v>2003</v>
      </c>
      <c r="E2025" s="10" t="str">
        <f t="shared" si="462"/>
        <v>PSND'!</v>
      </c>
      <c r="F2025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25" s="7" t="s">
        <v>104</v>
      </c>
      <c r="H2025" s="4"/>
      <c r="I2025" s="4"/>
      <c r="J2025" s="4"/>
    </row>
    <row r="2026" spans="1:10" x14ac:dyDescent="0.35">
      <c r="A2026" s="7" t="s">
        <v>23</v>
      </c>
      <c r="B2026" s="7">
        <f t="shared" si="464"/>
        <v>2033</v>
      </c>
      <c r="C2026" s="4" t="s">
        <v>46</v>
      </c>
      <c r="D2026" s="5" t="s">
        <v>2003</v>
      </c>
      <c r="E2026" s="10" t="str">
        <f t="shared" si="462"/>
        <v>PSND'!</v>
      </c>
      <c r="F2026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26" s="7" t="s">
        <v>104</v>
      </c>
      <c r="H2026" s="4"/>
      <c r="I2026" s="4"/>
      <c r="J2026" s="4"/>
    </row>
    <row r="2027" spans="1:10" x14ac:dyDescent="0.35">
      <c r="A2027" s="7" t="s">
        <v>23</v>
      </c>
      <c r="B2027" s="7">
        <f t="shared" si="464"/>
        <v>2034</v>
      </c>
      <c r="C2027" s="4" t="s">
        <v>46</v>
      </c>
      <c r="D2027" s="5" t="s">
        <v>2003</v>
      </c>
      <c r="E2027" s="10" t="str">
        <f t="shared" si="462"/>
        <v>PSND'!</v>
      </c>
      <c r="F2027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27" s="7" t="s">
        <v>104</v>
      </c>
      <c r="H2027" s="4"/>
      <c r="I2027" s="4"/>
      <c r="J2027" s="4"/>
    </row>
    <row r="2028" spans="1:10" x14ac:dyDescent="0.35">
      <c r="A2028" s="7" t="s">
        <v>23</v>
      </c>
      <c r="B2028" s="7">
        <f t="shared" si="464"/>
        <v>2035</v>
      </c>
      <c r="C2028" s="4" t="s">
        <v>46</v>
      </c>
      <c r="D2028" s="5" t="s">
        <v>2003</v>
      </c>
      <c r="E2028" s="10" t="str">
        <f t="shared" si="462"/>
        <v>PSND'!</v>
      </c>
      <c r="F2028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28" s="7" t="s">
        <v>104</v>
      </c>
      <c r="H2028" s="4"/>
      <c r="I2028" s="4"/>
      <c r="J2028" s="4"/>
    </row>
    <row r="2029" spans="1:10" x14ac:dyDescent="0.35">
      <c r="A2029" s="7" t="s">
        <v>23</v>
      </c>
      <c r="B2029" s="7">
        <f t="shared" si="464"/>
        <v>2036</v>
      </c>
      <c r="C2029" s="4" t="s">
        <v>46</v>
      </c>
      <c r="D2029" s="5" t="s">
        <v>2003</v>
      </c>
      <c r="E2029" s="10" t="str">
        <f t="shared" si="462"/>
        <v>PSND'!</v>
      </c>
      <c r="F2029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29" s="7" t="s">
        <v>104</v>
      </c>
      <c r="H2029" s="4"/>
      <c r="I2029" s="4"/>
      <c r="J2029" s="4"/>
    </row>
    <row r="2030" spans="1:10" x14ac:dyDescent="0.35">
      <c r="A2030" s="7" t="s">
        <v>23</v>
      </c>
      <c r="B2030" s="7">
        <f>+B2029+1</f>
        <v>2037</v>
      </c>
      <c r="C2030" s="4" t="s">
        <v>46</v>
      </c>
      <c r="D2030" s="5" t="s">
        <v>2003</v>
      </c>
      <c r="E2030" s="10" t="str">
        <f t="shared" si="462"/>
        <v>PSND'!</v>
      </c>
      <c r="F2030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30" s="7" t="s">
        <v>104</v>
      </c>
      <c r="H2030" s="4"/>
      <c r="I2030" s="4"/>
      <c r="J2030" s="4"/>
    </row>
    <row r="2031" spans="1:10" x14ac:dyDescent="0.35">
      <c r="A2031" s="7" t="s">
        <v>23</v>
      </c>
      <c r="B2031" s="7">
        <f t="shared" ref="B2031:B2033" si="465">+B2030+1</f>
        <v>2038</v>
      </c>
      <c r="C2031" s="4" t="s">
        <v>46</v>
      </c>
      <c r="D2031" s="5" t="s">
        <v>2003</v>
      </c>
      <c r="E2031" s="10" t="str">
        <f t="shared" si="462"/>
        <v>PSND'!</v>
      </c>
      <c r="F2031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31" s="7" t="s">
        <v>104</v>
      </c>
      <c r="H2031" s="4"/>
      <c r="I2031" s="4"/>
      <c r="J2031" s="4"/>
    </row>
    <row r="2032" spans="1:10" x14ac:dyDescent="0.35">
      <c r="A2032" s="7" t="s">
        <v>23</v>
      </c>
      <c r="B2032" s="7">
        <f t="shared" si="465"/>
        <v>2039</v>
      </c>
      <c r="C2032" s="4" t="s">
        <v>46</v>
      </c>
      <c r="D2032" s="5" t="s">
        <v>2003</v>
      </c>
      <c r="E2032" s="10" t="str">
        <f t="shared" si="462"/>
        <v>PSND'!</v>
      </c>
      <c r="F2032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32" s="7" t="s">
        <v>104</v>
      </c>
      <c r="H2032" s="4"/>
      <c r="I2032" s="4"/>
      <c r="J2032" s="4"/>
    </row>
    <row r="2033" spans="1:10" x14ac:dyDescent="0.35">
      <c r="A2033" s="7" t="s">
        <v>23</v>
      </c>
      <c r="B2033" s="7">
        <f t="shared" si="465"/>
        <v>2040</v>
      </c>
      <c r="C2033" s="4" t="s">
        <v>46</v>
      </c>
      <c r="D2033" s="5" t="s">
        <v>2003</v>
      </c>
      <c r="E2033" s="10" t="str">
        <f t="shared" si="462"/>
        <v>PSND'!</v>
      </c>
      <c r="F2033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33" s="7" t="s">
        <v>104</v>
      </c>
      <c r="H2033" s="4"/>
      <c r="I2033" s="4"/>
      <c r="J2033" s="4"/>
    </row>
    <row r="2034" spans="1:10" x14ac:dyDescent="0.35">
      <c r="A2034" s="7" t="s">
        <v>23</v>
      </c>
      <c r="B2034" s="7">
        <f>+B2033+1</f>
        <v>2041</v>
      </c>
      <c r="C2034" s="4" t="s">
        <v>46</v>
      </c>
      <c r="D2034" s="5" t="s">
        <v>2003</v>
      </c>
      <c r="E2034" s="10" t="str">
        <f t="shared" si="462"/>
        <v>PSND'!</v>
      </c>
      <c r="F2034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34" s="7" t="s">
        <v>104</v>
      </c>
      <c r="H2034" s="4"/>
      <c r="I2034" s="4"/>
      <c r="J2034" s="4"/>
    </row>
    <row r="2035" spans="1:10" x14ac:dyDescent="0.35">
      <c r="A2035" s="7" t="s">
        <v>23</v>
      </c>
      <c r="B2035" s="7">
        <f t="shared" ref="B2035:B2036" si="466">+B2034+1</f>
        <v>2042</v>
      </c>
      <c r="C2035" s="4" t="s">
        <v>46</v>
      </c>
      <c r="D2035" s="5" t="s">
        <v>2003</v>
      </c>
      <c r="E2035" s="10" t="str">
        <f t="shared" si="462"/>
        <v>PSND'!</v>
      </c>
      <c r="F2035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35" s="7" t="s">
        <v>104</v>
      </c>
      <c r="H2035" s="4"/>
      <c r="I2035" s="4"/>
      <c r="J2035" s="4"/>
    </row>
    <row r="2036" spans="1:10" x14ac:dyDescent="0.35">
      <c r="A2036" s="7" t="s">
        <v>23</v>
      </c>
      <c r="B2036" s="7">
        <f t="shared" si="466"/>
        <v>2043</v>
      </c>
      <c r="C2036" s="4" t="s">
        <v>46</v>
      </c>
      <c r="D2036" s="5" t="s">
        <v>2003</v>
      </c>
      <c r="E2036" s="10" t="str">
        <f t="shared" si="462"/>
        <v>PSND'!</v>
      </c>
      <c r="F2036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36" s="7" t="s">
        <v>104</v>
      </c>
      <c r="H2036" s="4"/>
      <c r="I2036" s="4"/>
      <c r="J2036" s="4"/>
    </row>
    <row r="2037" spans="1:10" x14ac:dyDescent="0.35">
      <c r="A2037" s="7" t="s">
        <v>23</v>
      </c>
      <c r="B2037" s="7">
        <f>+B2036+1</f>
        <v>2044</v>
      </c>
      <c r="C2037" s="4" t="s">
        <v>46</v>
      </c>
      <c r="D2037" s="5" t="s">
        <v>2003</v>
      </c>
      <c r="E2037" s="10" t="str">
        <f t="shared" ref="E2037:E2052" si="467">_xlfn.CONCAT(A2037,"'!")</f>
        <v>PSND'!</v>
      </c>
      <c r="F2037" s="5" t="str">
        <f t="shared" ref="F2037:F2052" si="468">_xlfn.CONCAT(D2037," ",E2037)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37" s="7" t="s">
        <v>104</v>
      </c>
      <c r="H2037" s="4"/>
      <c r="I2037" s="4"/>
      <c r="J2037" s="4"/>
    </row>
    <row r="2038" spans="1:10" x14ac:dyDescent="0.35">
      <c r="A2038" s="7" t="s">
        <v>23</v>
      </c>
      <c r="B2038" s="7">
        <f t="shared" ref="B2038:B2052" si="469">+B2037+1</f>
        <v>2045</v>
      </c>
      <c r="C2038" s="4" t="s">
        <v>46</v>
      </c>
      <c r="D2038" s="5" t="s">
        <v>2003</v>
      </c>
      <c r="E2038" s="10" t="str">
        <f t="shared" si="467"/>
        <v>PSND'!</v>
      </c>
      <c r="F2038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38" s="7" t="s">
        <v>104</v>
      </c>
      <c r="H2038" s="4"/>
      <c r="I2038" s="4"/>
      <c r="J2038" s="4"/>
    </row>
    <row r="2039" spans="1:10" x14ac:dyDescent="0.35">
      <c r="A2039" s="7" t="s">
        <v>23</v>
      </c>
      <c r="B2039" s="7">
        <f t="shared" si="469"/>
        <v>2046</v>
      </c>
      <c r="C2039" s="4" t="s">
        <v>46</v>
      </c>
      <c r="D2039" s="5" t="s">
        <v>2003</v>
      </c>
      <c r="E2039" s="10" t="str">
        <f t="shared" si="467"/>
        <v>PSND'!</v>
      </c>
      <c r="F2039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39" s="7" t="s">
        <v>104</v>
      </c>
      <c r="H2039" s="4"/>
      <c r="I2039" s="4"/>
      <c r="J2039" s="4"/>
    </row>
    <row r="2040" spans="1:10" x14ac:dyDescent="0.35">
      <c r="A2040" s="7" t="s">
        <v>23</v>
      </c>
      <c r="B2040" s="7">
        <f t="shared" si="469"/>
        <v>2047</v>
      </c>
      <c r="C2040" s="4" t="s">
        <v>46</v>
      </c>
      <c r="D2040" s="5" t="s">
        <v>2003</v>
      </c>
      <c r="E2040" s="10" t="str">
        <f t="shared" si="467"/>
        <v>PSND'!</v>
      </c>
      <c r="F2040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40" s="7" t="s">
        <v>104</v>
      </c>
      <c r="H2040" s="4"/>
      <c r="I2040" s="4"/>
      <c r="J2040" s="4"/>
    </row>
    <row r="2041" spans="1:10" x14ac:dyDescent="0.35">
      <c r="A2041" s="7" t="s">
        <v>23</v>
      </c>
      <c r="B2041" s="7">
        <f t="shared" si="469"/>
        <v>2048</v>
      </c>
      <c r="C2041" s="4" t="s">
        <v>46</v>
      </c>
      <c r="D2041" s="5" t="s">
        <v>2003</v>
      </c>
      <c r="E2041" s="10" t="str">
        <f t="shared" si="467"/>
        <v>PSND'!</v>
      </c>
      <c r="F2041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41" s="7" t="s">
        <v>104</v>
      </c>
      <c r="H2041" s="4"/>
      <c r="I2041" s="4"/>
      <c r="J2041" s="4"/>
    </row>
    <row r="2042" spans="1:10" x14ac:dyDescent="0.35">
      <c r="A2042" s="7" t="s">
        <v>23</v>
      </c>
      <c r="B2042" s="7">
        <f t="shared" si="469"/>
        <v>2049</v>
      </c>
      <c r="C2042" s="4" t="s">
        <v>46</v>
      </c>
      <c r="D2042" s="5" t="s">
        <v>2003</v>
      </c>
      <c r="E2042" s="10" t="str">
        <f t="shared" si="467"/>
        <v>PSND'!</v>
      </c>
      <c r="F2042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42" s="7" t="s">
        <v>104</v>
      </c>
      <c r="H2042" s="4"/>
      <c r="I2042" s="4"/>
      <c r="J2042" s="4"/>
    </row>
    <row r="2043" spans="1:10" x14ac:dyDescent="0.35">
      <c r="A2043" s="7" t="s">
        <v>23</v>
      </c>
      <c r="B2043" s="7">
        <f t="shared" si="469"/>
        <v>2050</v>
      </c>
      <c r="C2043" s="4" t="s">
        <v>46</v>
      </c>
      <c r="D2043" s="5" t="s">
        <v>2003</v>
      </c>
      <c r="E2043" s="10" t="str">
        <f t="shared" si="467"/>
        <v>PSND'!</v>
      </c>
      <c r="F2043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43" s="7" t="s">
        <v>104</v>
      </c>
      <c r="H2043" s="4"/>
      <c r="I2043" s="4"/>
      <c r="J2043" s="4"/>
    </row>
    <row r="2044" spans="1:10" x14ac:dyDescent="0.35">
      <c r="A2044" s="7" t="s">
        <v>23</v>
      </c>
      <c r="B2044" s="7">
        <f t="shared" si="469"/>
        <v>2051</v>
      </c>
      <c r="C2044" s="4" t="s">
        <v>46</v>
      </c>
      <c r="D2044" s="5" t="s">
        <v>2003</v>
      </c>
      <c r="E2044" s="10" t="str">
        <f t="shared" si="467"/>
        <v>PSND'!</v>
      </c>
      <c r="F2044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44" s="7" t="s">
        <v>104</v>
      </c>
      <c r="H2044" s="4"/>
      <c r="I2044" s="4"/>
      <c r="J2044" s="4"/>
    </row>
    <row r="2045" spans="1:10" x14ac:dyDescent="0.35">
      <c r="A2045" s="7" t="s">
        <v>23</v>
      </c>
      <c r="B2045" s="7">
        <f t="shared" si="469"/>
        <v>2052</v>
      </c>
      <c r="C2045" s="4" t="s">
        <v>46</v>
      </c>
      <c r="D2045" s="5" t="s">
        <v>2003</v>
      </c>
      <c r="E2045" s="10" t="str">
        <f t="shared" si="467"/>
        <v>PSND'!</v>
      </c>
      <c r="F2045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45" s="7" t="s">
        <v>104</v>
      </c>
      <c r="H2045" s="4"/>
      <c r="I2045" s="4"/>
      <c r="J2045" s="4"/>
    </row>
    <row r="2046" spans="1:10" x14ac:dyDescent="0.35">
      <c r="A2046" s="7" t="s">
        <v>23</v>
      </c>
      <c r="B2046" s="7">
        <f t="shared" si="469"/>
        <v>2053</v>
      </c>
      <c r="C2046" s="4" t="s">
        <v>46</v>
      </c>
      <c r="D2046" s="5" t="s">
        <v>2003</v>
      </c>
      <c r="E2046" s="10" t="str">
        <f t="shared" si="467"/>
        <v>PSND'!</v>
      </c>
      <c r="F2046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46" s="7" t="s">
        <v>104</v>
      </c>
      <c r="H2046" s="4"/>
      <c r="I2046" s="4"/>
      <c r="J2046" s="4"/>
    </row>
    <row r="2047" spans="1:10" x14ac:dyDescent="0.35">
      <c r="A2047" s="7" t="s">
        <v>23</v>
      </c>
      <c r="B2047" s="7">
        <f t="shared" si="469"/>
        <v>2054</v>
      </c>
      <c r="C2047" s="4" t="s">
        <v>46</v>
      </c>
      <c r="D2047" s="5" t="s">
        <v>2003</v>
      </c>
      <c r="E2047" s="10" t="str">
        <f t="shared" si="467"/>
        <v>PSND'!</v>
      </c>
      <c r="F2047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47" s="7" t="s">
        <v>104</v>
      </c>
      <c r="H2047" s="4"/>
      <c r="I2047" s="4"/>
      <c r="J2047" s="4"/>
    </row>
    <row r="2048" spans="1:10" x14ac:dyDescent="0.35">
      <c r="A2048" s="7" t="s">
        <v>23</v>
      </c>
      <c r="B2048" s="7">
        <f t="shared" si="469"/>
        <v>2055</v>
      </c>
      <c r="C2048" s="4" t="s">
        <v>46</v>
      </c>
      <c r="D2048" s="5" t="s">
        <v>2003</v>
      </c>
      <c r="E2048" s="10" t="str">
        <f t="shared" si="467"/>
        <v>PSND'!</v>
      </c>
      <c r="F2048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48" s="7" t="s">
        <v>104</v>
      </c>
      <c r="H2048" s="4"/>
      <c r="I2048" s="4"/>
      <c r="J2048" s="4"/>
    </row>
    <row r="2049" spans="1:10" x14ac:dyDescent="0.35">
      <c r="A2049" s="7" t="s">
        <v>23</v>
      </c>
      <c r="B2049" s="7">
        <f t="shared" si="469"/>
        <v>2056</v>
      </c>
      <c r="C2049" s="4" t="s">
        <v>46</v>
      </c>
      <c r="D2049" s="5" t="s">
        <v>2003</v>
      </c>
      <c r="E2049" s="10" t="str">
        <f t="shared" si="467"/>
        <v>PSND'!</v>
      </c>
      <c r="F2049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49" s="7" t="s">
        <v>104</v>
      </c>
      <c r="H2049" s="4"/>
      <c r="I2049" s="4"/>
      <c r="J2049" s="4"/>
    </row>
    <row r="2050" spans="1:10" x14ac:dyDescent="0.35">
      <c r="A2050" s="7" t="s">
        <v>23</v>
      </c>
      <c r="B2050" s="7">
        <f t="shared" si="469"/>
        <v>2057</v>
      </c>
      <c r="C2050" s="4" t="s">
        <v>46</v>
      </c>
      <c r="D2050" s="5" t="s">
        <v>2003</v>
      </c>
      <c r="E2050" s="10" t="str">
        <f t="shared" si="467"/>
        <v>PSND'!</v>
      </c>
      <c r="F2050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50" s="7" t="s">
        <v>104</v>
      </c>
      <c r="H2050" s="4"/>
      <c r="I2050" s="4"/>
      <c r="J2050" s="4"/>
    </row>
    <row r="2051" spans="1:10" x14ac:dyDescent="0.35">
      <c r="A2051" s="7" t="s">
        <v>23</v>
      </c>
      <c r="B2051" s="7">
        <f t="shared" si="469"/>
        <v>2058</v>
      </c>
      <c r="C2051" s="4" t="s">
        <v>46</v>
      </c>
      <c r="D2051" s="5" t="s">
        <v>2003</v>
      </c>
      <c r="E2051" s="10" t="str">
        <f t="shared" si="467"/>
        <v>PSND'!</v>
      </c>
      <c r="F2051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51" s="7" t="s">
        <v>104</v>
      </c>
      <c r="H2051" s="4"/>
      <c r="I2051" s="4"/>
      <c r="J2051" s="4"/>
    </row>
    <row r="2052" spans="1:10" x14ac:dyDescent="0.35">
      <c r="A2052" s="7" t="s">
        <v>23</v>
      </c>
      <c r="B2052" s="7">
        <f t="shared" si="469"/>
        <v>2059</v>
      </c>
      <c r="C2052" s="4" t="s">
        <v>46</v>
      </c>
      <c r="D2052" s="5" t="s">
        <v>2003</v>
      </c>
      <c r="E2052" s="10" t="str">
        <f t="shared" si="467"/>
        <v>PSND'!</v>
      </c>
      <c r="F2052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52" s="7" t="s">
        <v>104</v>
      </c>
      <c r="H2052" s="4"/>
      <c r="I2052" s="4"/>
      <c r="J2052" s="4"/>
    </row>
    <row r="2053" spans="1:10" x14ac:dyDescent="0.35">
      <c r="A2053" s="7" t="s">
        <v>26</v>
      </c>
      <c r="B2053" s="7"/>
      <c r="C2053" s="4" t="s">
        <v>46</v>
      </c>
      <c r="D2053" s="5"/>
      <c r="E2053" s="10"/>
      <c r="F2053" s="5"/>
      <c r="G2053" s="7"/>
      <c r="H2053" s="4"/>
      <c r="I2053" s="4"/>
      <c r="J2053" s="4"/>
    </row>
    <row r="2054" spans="1:10" x14ac:dyDescent="0.35">
      <c r="A2054" s="7" t="s">
        <v>24</v>
      </c>
      <c r="B2054" s="7">
        <v>2023</v>
      </c>
      <c r="C2054" s="4" t="s">
        <v>46</v>
      </c>
      <c r="D2054" s="5" t="s">
        <v>2003</v>
      </c>
      <c r="E2054" s="10" t="str">
        <f t="shared" si="405"/>
        <v>PS'!</v>
      </c>
      <c r="F2054" s="5" t="str">
        <f t="shared" ref="F2054:F2074" si="470">_xlfn.CONCAT(D2054," ",E2054)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54" s="7" t="s">
        <v>104</v>
      </c>
      <c r="H2054" s="4">
        <f>IF(A2054&lt;&gt;A1924,36,H1924+1)</f>
        <v>36</v>
      </c>
      <c r="I2054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PS'!$BU$36</v>
      </c>
      <c r="J2054" s="4" t="s">
        <v>2892</v>
      </c>
    </row>
    <row r="2055" spans="1:10" x14ac:dyDescent="0.35">
      <c r="A2055" s="7" t="s">
        <v>24</v>
      </c>
      <c r="B2055" s="7">
        <f>+B2054+1</f>
        <v>2024</v>
      </c>
      <c r="C2055" s="4" t="s">
        <v>46</v>
      </c>
      <c r="D2055" s="5" t="s">
        <v>2003</v>
      </c>
      <c r="E2055" s="10" t="str">
        <f t="shared" si="405"/>
        <v>PS'!</v>
      </c>
      <c r="F2055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55" s="7" t="s">
        <v>104</v>
      </c>
      <c r="H2055" s="4">
        <f t="shared" si="407"/>
        <v>37</v>
      </c>
      <c r="I2055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PS'!$BU$37</v>
      </c>
      <c r="J2055" s="4" t="s">
        <v>2893</v>
      </c>
    </row>
    <row r="2056" spans="1:10" x14ac:dyDescent="0.35">
      <c r="A2056" s="7" t="s">
        <v>24</v>
      </c>
      <c r="B2056" s="7">
        <f t="shared" ref="B2056:B2067" si="471">+B2055+1</f>
        <v>2025</v>
      </c>
      <c r="C2056" s="4" t="s">
        <v>46</v>
      </c>
      <c r="D2056" s="5" t="s">
        <v>2003</v>
      </c>
      <c r="E2056" s="10" t="str">
        <f t="shared" si="405"/>
        <v>PS'!</v>
      </c>
      <c r="F2056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56" s="7" t="s">
        <v>104</v>
      </c>
      <c r="H2056" s="4">
        <f t="shared" si="407"/>
        <v>38</v>
      </c>
      <c r="I2056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PS'!$BU$38</v>
      </c>
      <c r="J2056" s="4" t="s">
        <v>2894</v>
      </c>
    </row>
    <row r="2057" spans="1:10" x14ac:dyDescent="0.35">
      <c r="A2057" s="7" t="s">
        <v>24</v>
      </c>
      <c r="B2057" s="7">
        <f t="shared" si="471"/>
        <v>2026</v>
      </c>
      <c r="C2057" s="4" t="s">
        <v>46</v>
      </c>
      <c r="D2057" s="5" t="s">
        <v>2003</v>
      </c>
      <c r="E2057" s="10" t="str">
        <f t="shared" si="405"/>
        <v>PS'!</v>
      </c>
      <c r="F2057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57" s="7" t="s">
        <v>104</v>
      </c>
      <c r="H2057" s="4">
        <f t="shared" si="407"/>
        <v>39</v>
      </c>
      <c r="I2057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PS'!$BU$39</v>
      </c>
      <c r="J2057" s="4" t="s">
        <v>2895</v>
      </c>
    </row>
    <row r="2058" spans="1:10" x14ac:dyDescent="0.35">
      <c r="A2058" s="7" t="s">
        <v>24</v>
      </c>
      <c r="B2058" s="7">
        <f t="shared" si="471"/>
        <v>2027</v>
      </c>
      <c r="C2058" s="4" t="s">
        <v>46</v>
      </c>
      <c r="D2058" s="5" t="s">
        <v>2003</v>
      </c>
      <c r="E2058" s="10" t="str">
        <f t="shared" si="405"/>
        <v>PS'!</v>
      </c>
      <c r="F2058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58" s="7" t="s">
        <v>104</v>
      </c>
      <c r="H2058" s="4">
        <f t="shared" si="407"/>
        <v>40</v>
      </c>
      <c r="I2058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PS'!$BU$40</v>
      </c>
      <c r="J2058" s="4" t="s">
        <v>2896</v>
      </c>
    </row>
    <row r="2059" spans="1:10" x14ac:dyDescent="0.35">
      <c r="A2059" s="7" t="s">
        <v>24</v>
      </c>
      <c r="B2059" s="7">
        <f t="shared" si="471"/>
        <v>2028</v>
      </c>
      <c r="C2059" s="4" t="s">
        <v>46</v>
      </c>
      <c r="D2059" s="5" t="s">
        <v>2003</v>
      </c>
      <c r="E2059" s="10" t="str">
        <f t="shared" si="405"/>
        <v>PS'!</v>
      </c>
      <c r="F2059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59" s="7" t="s">
        <v>104</v>
      </c>
      <c r="H2059" s="4">
        <f t="shared" si="407"/>
        <v>41</v>
      </c>
      <c r="I2059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PS'!$BU$41</v>
      </c>
      <c r="J2059" s="4" t="s">
        <v>2897</v>
      </c>
    </row>
    <row r="2060" spans="1:10" x14ac:dyDescent="0.35">
      <c r="A2060" s="7" t="s">
        <v>24</v>
      </c>
      <c r="B2060" s="7">
        <f t="shared" si="471"/>
        <v>2029</v>
      </c>
      <c r="C2060" s="4" t="s">
        <v>46</v>
      </c>
      <c r="D2060" s="5" t="s">
        <v>2003</v>
      </c>
      <c r="E2060" s="10" t="str">
        <f t="shared" si="405"/>
        <v>PS'!</v>
      </c>
      <c r="F2060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60" s="7" t="s">
        <v>104</v>
      </c>
      <c r="H2060" s="4">
        <f t="shared" si="407"/>
        <v>42</v>
      </c>
      <c r="I2060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PS'!$BU$42</v>
      </c>
      <c r="J2060" s="4" t="s">
        <v>2898</v>
      </c>
    </row>
    <row r="2061" spans="1:10" x14ac:dyDescent="0.35">
      <c r="A2061" s="7" t="s">
        <v>24</v>
      </c>
      <c r="B2061" s="7">
        <f t="shared" si="471"/>
        <v>2030</v>
      </c>
      <c r="C2061" s="4" t="s">
        <v>46</v>
      </c>
      <c r="D2061" s="5" t="s">
        <v>2003</v>
      </c>
      <c r="E2061" s="10" t="str">
        <f t="shared" si="405"/>
        <v>PS'!</v>
      </c>
      <c r="F2061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61" s="7" t="s">
        <v>104</v>
      </c>
      <c r="H2061" s="4">
        <f t="shared" si="407"/>
        <v>43</v>
      </c>
      <c r="I2061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PS'!$BU$43</v>
      </c>
      <c r="J2061" s="4" t="s">
        <v>2899</v>
      </c>
    </row>
    <row r="2062" spans="1:10" x14ac:dyDescent="0.35">
      <c r="A2062" s="7" t="s">
        <v>24</v>
      </c>
      <c r="B2062" s="7">
        <f t="shared" si="471"/>
        <v>2031</v>
      </c>
      <c r="C2062" s="4" t="s">
        <v>46</v>
      </c>
      <c r="D2062" s="5" t="s">
        <v>2003</v>
      </c>
      <c r="E2062" s="10" t="str">
        <f t="shared" si="405"/>
        <v>PS'!</v>
      </c>
      <c r="F2062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62" s="7" t="s">
        <v>104</v>
      </c>
      <c r="H2062" s="4">
        <f t="shared" si="407"/>
        <v>44</v>
      </c>
      <c r="I2062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PS'!$BU$44</v>
      </c>
      <c r="J2062" s="4" t="s">
        <v>2900</v>
      </c>
    </row>
    <row r="2063" spans="1:10" x14ac:dyDescent="0.35">
      <c r="A2063" s="7" t="s">
        <v>24</v>
      </c>
      <c r="B2063" s="7">
        <f t="shared" si="471"/>
        <v>2032</v>
      </c>
      <c r="C2063" s="4" t="s">
        <v>46</v>
      </c>
      <c r="D2063" s="5" t="s">
        <v>2003</v>
      </c>
      <c r="E2063" s="10" t="str">
        <f t="shared" si="405"/>
        <v>PS'!</v>
      </c>
      <c r="F2063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63" s="7" t="s">
        <v>104</v>
      </c>
      <c r="H2063" s="4">
        <f t="shared" si="407"/>
        <v>45</v>
      </c>
      <c r="I2063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PS'!$BU$45</v>
      </c>
      <c r="J2063" s="4" t="s">
        <v>2901</v>
      </c>
    </row>
    <row r="2064" spans="1:10" x14ac:dyDescent="0.35">
      <c r="A2064" s="7" t="s">
        <v>24</v>
      </c>
      <c r="B2064" s="7">
        <f t="shared" si="471"/>
        <v>2033</v>
      </c>
      <c r="C2064" s="4" t="s">
        <v>46</v>
      </c>
      <c r="D2064" s="5" t="s">
        <v>2003</v>
      </c>
      <c r="E2064" s="10" t="str">
        <f t="shared" si="405"/>
        <v>PS'!</v>
      </c>
      <c r="F2064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64" s="7" t="s">
        <v>104</v>
      </c>
      <c r="H2064" s="4">
        <f t="shared" si="407"/>
        <v>46</v>
      </c>
      <c r="I2064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PS'!$BU$46</v>
      </c>
      <c r="J2064" s="4" t="s">
        <v>2902</v>
      </c>
    </row>
    <row r="2065" spans="1:10" x14ac:dyDescent="0.35">
      <c r="A2065" s="7" t="s">
        <v>24</v>
      </c>
      <c r="B2065" s="7">
        <f t="shared" si="471"/>
        <v>2034</v>
      </c>
      <c r="C2065" s="4" t="s">
        <v>46</v>
      </c>
      <c r="D2065" s="5" t="s">
        <v>2003</v>
      </c>
      <c r="E2065" s="10" t="str">
        <f t="shared" si="405"/>
        <v>PS'!</v>
      </c>
      <c r="F2065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65" s="7" t="s">
        <v>104</v>
      </c>
      <c r="H2065" s="4">
        <f t="shared" si="407"/>
        <v>47</v>
      </c>
      <c r="I2065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PS'!$BU$47</v>
      </c>
      <c r="J2065" s="4" t="s">
        <v>2903</v>
      </c>
    </row>
    <row r="2066" spans="1:10" x14ac:dyDescent="0.35">
      <c r="A2066" s="7" t="s">
        <v>24</v>
      </c>
      <c r="B2066" s="7">
        <f t="shared" si="471"/>
        <v>2035</v>
      </c>
      <c r="C2066" s="4" t="s">
        <v>46</v>
      </c>
      <c r="D2066" s="5" t="s">
        <v>2003</v>
      </c>
      <c r="E2066" s="10" t="str">
        <f t="shared" si="405"/>
        <v>PS'!</v>
      </c>
      <c r="F2066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66" s="7" t="s">
        <v>104</v>
      </c>
      <c r="H2066" s="4">
        <f t="shared" si="407"/>
        <v>48</v>
      </c>
      <c r="I2066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PS'!$BU$48</v>
      </c>
      <c r="J2066" s="4" t="s">
        <v>2904</v>
      </c>
    </row>
    <row r="2067" spans="1:10" x14ac:dyDescent="0.35">
      <c r="A2067" s="7" t="s">
        <v>24</v>
      </c>
      <c r="B2067" s="7">
        <f t="shared" si="471"/>
        <v>2036</v>
      </c>
      <c r="C2067" s="4" t="s">
        <v>46</v>
      </c>
      <c r="D2067" s="5" t="s">
        <v>2003</v>
      </c>
      <c r="E2067" s="10" t="str">
        <f t="shared" si="405"/>
        <v>PS'!</v>
      </c>
      <c r="F2067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67" s="7" t="s">
        <v>104</v>
      </c>
      <c r="H2067" s="4">
        <f t="shared" si="407"/>
        <v>49</v>
      </c>
      <c r="I2067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PS'!$BU$49</v>
      </c>
      <c r="J2067" s="4" t="s">
        <v>2905</v>
      </c>
    </row>
    <row r="2068" spans="1:10" x14ac:dyDescent="0.35">
      <c r="A2068" s="7" t="s">
        <v>24</v>
      </c>
      <c r="B2068" s="7">
        <f>+B2067+1</f>
        <v>2037</v>
      </c>
      <c r="C2068" s="4" t="s">
        <v>46</v>
      </c>
      <c r="D2068" s="5" t="s">
        <v>2003</v>
      </c>
      <c r="E2068" s="10" t="str">
        <f t="shared" si="405"/>
        <v>PS'!</v>
      </c>
      <c r="F2068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68" s="7" t="s">
        <v>104</v>
      </c>
      <c r="H2068" s="4">
        <f t="shared" si="407"/>
        <v>50</v>
      </c>
      <c r="I2068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PS'!$BU$50</v>
      </c>
      <c r="J2068" s="4" t="s">
        <v>2906</v>
      </c>
    </row>
    <row r="2069" spans="1:10" x14ac:dyDescent="0.35">
      <c r="A2069" s="7" t="s">
        <v>24</v>
      </c>
      <c r="B2069" s="7">
        <f t="shared" ref="B2069:B2071" si="472">+B2068+1</f>
        <v>2038</v>
      </c>
      <c r="C2069" s="4" t="s">
        <v>46</v>
      </c>
      <c r="D2069" s="5" t="s">
        <v>2003</v>
      </c>
      <c r="E2069" s="10" t="str">
        <f t="shared" si="405"/>
        <v>PS'!</v>
      </c>
      <c r="F2069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69" s="7" t="s">
        <v>104</v>
      </c>
      <c r="H2069" s="4">
        <f t="shared" si="407"/>
        <v>51</v>
      </c>
      <c r="I2069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PS'!$BU$51</v>
      </c>
      <c r="J2069" s="4" t="s">
        <v>2907</v>
      </c>
    </row>
    <row r="2070" spans="1:10" x14ac:dyDescent="0.35">
      <c r="A2070" s="7" t="s">
        <v>24</v>
      </c>
      <c r="B2070" s="7">
        <f t="shared" si="472"/>
        <v>2039</v>
      </c>
      <c r="C2070" s="4" t="s">
        <v>46</v>
      </c>
      <c r="D2070" s="5" t="s">
        <v>2003</v>
      </c>
      <c r="E2070" s="10" t="str">
        <f t="shared" si="405"/>
        <v>PS'!</v>
      </c>
      <c r="F2070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70" s="7" t="s">
        <v>104</v>
      </c>
      <c r="H2070" s="4">
        <f t="shared" si="407"/>
        <v>52</v>
      </c>
      <c r="I2070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PS'!$BU$52</v>
      </c>
      <c r="J2070" s="4" t="s">
        <v>2908</v>
      </c>
    </row>
    <row r="2071" spans="1:10" x14ac:dyDescent="0.35">
      <c r="A2071" s="7" t="s">
        <v>24</v>
      </c>
      <c r="B2071" s="7">
        <f t="shared" si="472"/>
        <v>2040</v>
      </c>
      <c r="C2071" s="4" t="s">
        <v>46</v>
      </c>
      <c r="D2071" s="5" t="s">
        <v>2003</v>
      </c>
      <c r="E2071" s="10" t="str">
        <f t="shared" si="405"/>
        <v>PS'!</v>
      </c>
      <c r="F2071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71" s="7" t="s">
        <v>104</v>
      </c>
      <c r="H2071" s="4">
        <f t="shared" si="407"/>
        <v>53</v>
      </c>
      <c r="I2071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PS'!$BU$53</v>
      </c>
      <c r="J2071" s="4" t="s">
        <v>2909</v>
      </c>
    </row>
    <row r="2072" spans="1:10" x14ac:dyDescent="0.35">
      <c r="A2072" s="7" t="s">
        <v>24</v>
      </c>
      <c r="B2072" s="7">
        <f>+B2071+1</f>
        <v>2041</v>
      </c>
      <c r="C2072" s="4" t="s">
        <v>46</v>
      </c>
      <c r="D2072" s="5" t="s">
        <v>2003</v>
      </c>
      <c r="E2072" s="10" t="str">
        <f t="shared" si="405"/>
        <v>PS'!</v>
      </c>
      <c r="F2072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72" s="7" t="s">
        <v>104</v>
      </c>
      <c r="H2072" s="4">
        <f t="shared" si="407"/>
        <v>54</v>
      </c>
      <c r="I2072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PS'!$BU$54</v>
      </c>
      <c r="J2072" s="4" t="s">
        <v>2910</v>
      </c>
    </row>
    <row r="2073" spans="1:10" x14ac:dyDescent="0.35">
      <c r="A2073" s="7" t="s">
        <v>24</v>
      </c>
      <c r="B2073" s="7">
        <f t="shared" ref="B2073:B2074" si="473">+B2072+1</f>
        <v>2042</v>
      </c>
      <c r="C2073" s="4" t="s">
        <v>46</v>
      </c>
      <c r="D2073" s="5" t="s">
        <v>2003</v>
      </c>
      <c r="E2073" s="10" t="str">
        <f t="shared" si="405"/>
        <v>PS'!</v>
      </c>
      <c r="F2073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73" s="7" t="s">
        <v>104</v>
      </c>
      <c r="H2073" s="4">
        <f t="shared" si="407"/>
        <v>55</v>
      </c>
      <c r="I2073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PS'!$BU$55</v>
      </c>
      <c r="J2073" s="4" t="s">
        <v>2911</v>
      </c>
    </row>
    <row r="2074" spans="1:10" x14ac:dyDescent="0.35">
      <c r="A2074" s="7" t="s">
        <v>24</v>
      </c>
      <c r="B2074" s="7">
        <f t="shared" si="473"/>
        <v>2043</v>
      </c>
      <c r="C2074" s="4" t="s">
        <v>46</v>
      </c>
      <c r="D2074" s="5" t="s">
        <v>2003</v>
      </c>
      <c r="E2074" s="10" t="str">
        <f t="shared" si="405"/>
        <v>PS'!</v>
      </c>
      <c r="F2074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74" s="7" t="s">
        <v>104</v>
      </c>
      <c r="H2074" s="4">
        <f t="shared" si="407"/>
        <v>56</v>
      </c>
      <c r="I2074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PS'!$BU$56</v>
      </c>
      <c r="J2074" s="4" t="s">
        <v>2912</v>
      </c>
    </row>
    <row r="2075" spans="1:10" x14ac:dyDescent="0.35">
      <c r="A2075" s="7" t="s">
        <v>24</v>
      </c>
      <c r="B2075" s="7">
        <f>+B2074+1</f>
        <v>2044</v>
      </c>
      <c r="C2075" s="4" t="s">
        <v>46</v>
      </c>
      <c r="D2075" s="5" t="s">
        <v>2003</v>
      </c>
      <c r="E2075" s="10" t="str">
        <f t="shared" ref="E2075:E2090" si="474">_xlfn.CONCAT(A2075,"'!")</f>
        <v>PS'!</v>
      </c>
      <c r="F2075" s="5" t="str">
        <f t="shared" ref="F2075:F2090" si="475">_xlfn.CONCAT(D2075," ",E2075)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75" s="7" t="s">
        <v>104</v>
      </c>
      <c r="H2075" s="4">
        <f t="shared" ref="H2075:H2090" si="476">IF(A2075&lt;&gt;A2074,36,H2074+1)</f>
        <v>57</v>
      </c>
      <c r="I2075" s="4" t="str">
        <f t="shared" ref="I2075:I2090" si="477">_xlfn.CONCAT("='",F2075:H2075)</f>
        <v>='C:\Users\jaime.benazar\Quorum Business Solutions\Ecopetrol Prometeo - Documents\Planning Space Implementation\3. Analysis &amp; Design\Design\FC22\DRR Jaime\Por presentar a ECP\Cantagallo\Cristalina\[VRC_CRISTALINA_CF_SEC_20221231.xlsx]CF PS'!$BU$57</v>
      </c>
      <c r="J2075" s="4" t="s">
        <v>2913</v>
      </c>
    </row>
    <row r="2076" spans="1:10" x14ac:dyDescent="0.35">
      <c r="A2076" s="7" t="s">
        <v>24</v>
      </c>
      <c r="B2076" s="7">
        <f t="shared" ref="B2076:B2090" si="478">+B2075+1</f>
        <v>2045</v>
      </c>
      <c r="C2076" s="4" t="s">
        <v>46</v>
      </c>
      <c r="D2076" s="5" t="s">
        <v>2003</v>
      </c>
      <c r="E2076" s="10" t="str">
        <f t="shared" si="474"/>
        <v>PS'!</v>
      </c>
      <c r="F2076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76" s="7" t="s">
        <v>104</v>
      </c>
      <c r="H2076" s="4">
        <f t="shared" si="476"/>
        <v>58</v>
      </c>
      <c r="I2076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PS'!$BU$58</v>
      </c>
      <c r="J2076" s="4" t="s">
        <v>2914</v>
      </c>
    </row>
    <row r="2077" spans="1:10" x14ac:dyDescent="0.35">
      <c r="A2077" s="7" t="s">
        <v>24</v>
      </c>
      <c r="B2077" s="7">
        <f t="shared" si="478"/>
        <v>2046</v>
      </c>
      <c r="C2077" s="4" t="s">
        <v>46</v>
      </c>
      <c r="D2077" s="5" t="s">
        <v>2003</v>
      </c>
      <c r="E2077" s="10" t="str">
        <f t="shared" si="474"/>
        <v>PS'!</v>
      </c>
      <c r="F2077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77" s="7" t="s">
        <v>104</v>
      </c>
      <c r="H2077" s="4">
        <f t="shared" si="476"/>
        <v>59</v>
      </c>
      <c r="I2077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PS'!$BU$59</v>
      </c>
      <c r="J2077" s="4" t="s">
        <v>2915</v>
      </c>
    </row>
    <row r="2078" spans="1:10" x14ac:dyDescent="0.35">
      <c r="A2078" s="7" t="s">
        <v>24</v>
      </c>
      <c r="B2078" s="7">
        <f t="shared" si="478"/>
        <v>2047</v>
      </c>
      <c r="C2078" s="4" t="s">
        <v>46</v>
      </c>
      <c r="D2078" s="5" t="s">
        <v>2003</v>
      </c>
      <c r="E2078" s="10" t="str">
        <f t="shared" si="474"/>
        <v>PS'!</v>
      </c>
      <c r="F2078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78" s="7" t="s">
        <v>104</v>
      </c>
      <c r="H2078" s="4">
        <f t="shared" si="476"/>
        <v>60</v>
      </c>
      <c r="I2078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PS'!$BU$60</v>
      </c>
      <c r="J2078" s="4" t="s">
        <v>2916</v>
      </c>
    </row>
    <row r="2079" spans="1:10" x14ac:dyDescent="0.35">
      <c r="A2079" s="7" t="s">
        <v>24</v>
      </c>
      <c r="B2079" s="7">
        <f t="shared" si="478"/>
        <v>2048</v>
      </c>
      <c r="C2079" s="4" t="s">
        <v>46</v>
      </c>
      <c r="D2079" s="5" t="s">
        <v>2003</v>
      </c>
      <c r="E2079" s="10" t="str">
        <f t="shared" si="474"/>
        <v>PS'!</v>
      </c>
      <c r="F2079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79" s="7" t="s">
        <v>104</v>
      </c>
      <c r="H2079" s="4">
        <f t="shared" si="476"/>
        <v>61</v>
      </c>
      <c r="I2079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PS'!$BU$61</v>
      </c>
      <c r="J2079" s="4" t="s">
        <v>2917</v>
      </c>
    </row>
    <row r="2080" spans="1:10" x14ac:dyDescent="0.35">
      <c r="A2080" s="7" t="s">
        <v>24</v>
      </c>
      <c r="B2080" s="7">
        <f t="shared" si="478"/>
        <v>2049</v>
      </c>
      <c r="C2080" s="4" t="s">
        <v>46</v>
      </c>
      <c r="D2080" s="5" t="s">
        <v>2003</v>
      </c>
      <c r="E2080" s="10" t="str">
        <f t="shared" si="474"/>
        <v>PS'!</v>
      </c>
      <c r="F2080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80" s="7" t="s">
        <v>104</v>
      </c>
      <c r="H2080" s="4">
        <f t="shared" si="476"/>
        <v>62</v>
      </c>
      <c r="I2080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PS'!$BU$62</v>
      </c>
      <c r="J2080" s="4" t="s">
        <v>2918</v>
      </c>
    </row>
    <row r="2081" spans="1:10" x14ac:dyDescent="0.35">
      <c r="A2081" s="7" t="s">
        <v>24</v>
      </c>
      <c r="B2081" s="7">
        <f t="shared" si="478"/>
        <v>2050</v>
      </c>
      <c r="C2081" s="4" t="s">
        <v>46</v>
      </c>
      <c r="D2081" s="5" t="s">
        <v>2003</v>
      </c>
      <c r="E2081" s="10" t="str">
        <f t="shared" si="474"/>
        <v>PS'!</v>
      </c>
      <c r="F2081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81" s="7" t="s">
        <v>104</v>
      </c>
      <c r="H2081" s="4">
        <f t="shared" si="476"/>
        <v>63</v>
      </c>
      <c r="I2081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PS'!$BU$63</v>
      </c>
      <c r="J2081" s="4" t="s">
        <v>2919</v>
      </c>
    </row>
    <row r="2082" spans="1:10" x14ac:dyDescent="0.35">
      <c r="A2082" s="7" t="s">
        <v>24</v>
      </c>
      <c r="B2082" s="7">
        <f t="shared" si="478"/>
        <v>2051</v>
      </c>
      <c r="C2082" s="4" t="s">
        <v>46</v>
      </c>
      <c r="D2082" s="5" t="s">
        <v>2003</v>
      </c>
      <c r="E2082" s="10" t="str">
        <f t="shared" si="474"/>
        <v>PS'!</v>
      </c>
      <c r="F2082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82" s="7" t="s">
        <v>104</v>
      </c>
      <c r="H2082" s="4">
        <f t="shared" si="476"/>
        <v>64</v>
      </c>
      <c r="I2082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PS'!$BU$64</v>
      </c>
      <c r="J2082" s="4" t="s">
        <v>2920</v>
      </c>
    </row>
    <row r="2083" spans="1:10" x14ac:dyDescent="0.35">
      <c r="A2083" s="7" t="s">
        <v>24</v>
      </c>
      <c r="B2083" s="7">
        <f t="shared" si="478"/>
        <v>2052</v>
      </c>
      <c r="C2083" s="4" t="s">
        <v>46</v>
      </c>
      <c r="D2083" s="5" t="s">
        <v>2003</v>
      </c>
      <c r="E2083" s="10" t="str">
        <f t="shared" si="474"/>
        <v>PS'!</v>
      </c>
      <c r="F2083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83" s="7" t="s">
        <v>104</v>
      </c>
      <c r="H2083" s="4">
        <f t="shared" si="476"/>
        <v>65</v>
      </c>
      <c r="I2083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PS'!$BU$65</v>
      </c>
      <c r="J2083" s="4" t="s">
        <v>2921</v>
      </c>
    </row>
    <row r="2084" spans="1:10" x14ac:dyDescent="0.35">
      <c r="A2084" s="7" t="s">
        <v>24</v>
      </c>
      <c r="B2084" s="7">
        <f t="shared" si="478"/>
        <v>2053</v>
      </c>
      <c r="C2084" s="4" t="s">
        <v>46</v>
      </c>
      <c r="D2084" s="5" t="s">
        <v>2003</v>
      </c>
      <c r="E2084" s="10" t="str">
        <f t="shared" si="474"/>
        <v>PS'!</v>
      </c>
      <c r="F2084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84" s="7" t="s">
        <v>104</v>
      </c>
      <c r="H2084" s="4">
        <f t="shared" si="476"/>
        <v>66</v>
      </c>
      <c r="I2084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PS'!$BU$66</v>
      </c>
      <c r="J2084" s="4" t="s">
        <v>2922</v>
      </c>
    </row>
    <row r="2085" spans="1:10" x14ac:dyDescent="0.35">
      <c r="A2085" s="7" t="s">
        <v>24</v>
      </c>
      <c r="B2085" s="7">
        <f t="shared" si="478"/>
        <v>2054</v>
      </c>
      <c r="C2085" s="4" t="s">
        <v>46</v>
      </c>
      <c r="D2085" s="5" t="s">
        <v>2003</v>
      </c>
      <c r="E2085" s="10" t="str">
        <f t="shared" si="474"/>
        <v>PS'!</v>
      </c>
      <c r="F2085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85" s="7" t="s">
        <v>104</v>
      </c>
      <c r="H2085" s="4">
        <f t="shared" si="476"/>
        <v>67</v>
      </c>
      <c r="I2085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PS'!$BU$67</v>
      </c>
      <c r="J2085" s="4" t="s">
        <v>2923</v>
      </c>
    </row>
    <row r="2086" spans="1:10" x14ac:dyDescent="0.35">
      <c r="A2086" s="7" t="s">
        <v>24</v>
      </c>
      <c r="B2086" s="7">
        <f t="shared" si="478"/>
        <v>2055</v>
      </c>
      <c r="C2086" s="4" t="s">
        <v>46</v>
      </c>
      <c r="D2086" s="5" t="s">
        <v>2003</v>
      </c>
      <c r="E2086" s="10" t="str">
        <f t="shared" si="474"/>
        <v>PS'!</v>
      </c>
      <c r="F2086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86" s="7" t="s">
        <v>104</v>
      </c>
      <c r="H2086" s="4">
        <f t="shared" si="476"/>
        <v>68</v>
      </c>
      <c r="I2086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PS'!$BU$68</v>
      </c>
      <c r="J2086" s="4" t="s">
        <v>2924</v>
      </c>
    </row>
    <row r="2087" spans="1:10" x14ac:dyDescent="0.35">
      <c r="A2087" s="7" t="s">
        <v>24</v>
      </c>
      <c r="B2087" s="7">
        <f t="shared" si="478"/>
        <v>2056</v>
      </c>
      <c r="C2087" s="4" t="s">
        <v>46</v>
      </c>
      <c r="D2087" s="5" t="s">
        <v>2003</v>
      </c>
      <c r="E2087" s="10" t="str">
        <f t="shared" si="474"/>
        <v>PS'!</v>
      </c>
      <c r="F2087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87" s="7" t="s">
        <v>104</v>
      </c>
      <c r="H2087" s="4">
        <f t="shared" si="476"/>
        <v>69</v>
      </c>
      <c r="I2087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PS'!$BU$69</v>
      </c>
      <c r="J2087" s="4" t="s">
        <v>2925</v>
      </c>
    </row>
    <row r="2088" spans="1:10" x14ac:dyDescent="0.35">
      <c r="A2088" s="7" t="s">
        <v>24</v>
      </c>
      <c r="B2088" s="7">
        <f t="shared" si="478"/>
        <v>2057</v>
      </c>
      <c r="C2088" s="4" t="s">
        <v>46</v>
      </c>
      <c r="D2088" s="5" t="s">
        <v>2003</v>
      </c>
      <c r="E2088" s="10" t="str">
        <f t="shared" si="474"/>
        <v>PS'!</v>
      </c>
      <c r="F2088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88" s="7" t="s">
        <v>104</v>
      </c>
      <c r="H2088" s="4">
        <f t="shared" si="476"/>
        <v>70</v>
      </c>
      <c r="I2088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PS'!$BU$70</v>
      </c>
      <c r="J2088" s="4" t="s">
        <v>2926</v>
      </c>
    </row>
    <row r="2089" spans="1:10" x14ac:dyDescent="0.35">
      <c r="A2089" s="7" t="s">
        <v>24</v>
      </c>
      <c r="B2089" s="7">
        <f t="shared" si="478"/>
        <v>2058</v>
      </c>
      <c r="C2089" s="4" t="s">
        <v>46</v>
      </c>
      <c r="D2089" s="5" t="s">
        <v>2003</v>
      </c>
      <c r="E2089" s="10" t="str">
        <f t="shared" si="474"/>
        <v>PS'!</v>
      </c>
      <c r="F2089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89" s="7" t="s">
        <v>104</v>
      </c>
      <c r="H2089" s="4">
        <f t="shared" si="476"/>
        <v>71</v>
      </c>
      <c r="I2089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PS'!$BU$71</v>
      </c>
      <c r="J2089" s="4" t="s">
        <v>2927</v>
      </c>
    </row>
    <row r="2090" spans="1:10" x14ac:dyDescent="0.35">
      <c r="A2090" s="7" t="s">
        <v>24</v>
      </c>
      <c r="B2090" s="7">
        <f t="shared" si="478"/>
        <v>2059</v>
      </c>
      <c r="C2090" s="4" t="s">
        <v>46</v>
      </c>
      <c r="D2090" s="5" t="s">
        <v>2003</v>
      </c>
      <c r="E2090" s="10" t="str">
        <f t="shared" si="474"/>
        <v>PS'!</v>
      </c>
      <c r="F2090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90" s="7" t="s">
        <v>104</v>
      </c>
      <c r="H2090" s="4">
        <f t="shared" si="476"/>
        <v>72</v>
      </c>
      <c r="I2090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PS'!$BU$72</v>
      </c>
      <c r="J2090" s="4" t="s">
        <v>2928</v>
      </c>
    </row>
    <row r="2091" spans="1:10" x14ac:dyDescent="0.35">
      <c r="A2091" s="7" t="s">
        <v>26</v>
      </c>
      <c r="B2091" s="7"/>
      <c r="C2091" s="4" t="s">
        <v>46</v>
      </c>
      <c r="D2091" s="5"/>
      <c r="E2091" s="10"/>
      <c r="F2091" s="5"/>
      <c r="G2091" s="7"/>
      <c r="H2091" s="4"/>
      <c r="I2091" s="4"/>
      <c r="J2091" s="4"/>
    </row>
    <row r="2092" spans="1:10" x14ac:dyDescent="0.35">
      <c r="A2092" s="6" t="s">
        <v>14</v>
      </c>
      <c r="B2092" s="6">
        <v>2023</v>
      </c>
      <c r="C2092" s="1" t="s">
        <v>49</v>
      </c>
      <c r="D2092" s="2" t="s">
        <v>2003</v>
      </c>
      <c r="E2092" s="9" t="str">
        <f>_xlfn.CONCAT(A2092,"'!")</f>
        <v>PDP'!</v>
      </c>
      <c r="F2092" s="5" t="str">
        <f t="shared" ref="F2092:F2112" si="479">_xlfn.CONCAT(D2092," ",E2092)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092" s="6" t="s">
        <v>105</v>
      </c>
      <c r="H2092" s="1">
        <f>IF(A2092&lt;&gt;A2076,36,H2076+1)</f>
        <v>36</v>
      </c>
      <c r="I2092" s="1" t="str">
        <f>_xlfn.CONCAT("='",F2092:H2092)</f>
        <v>='C:\Users\jaime.benazar\Quorum Business Solutions\Ecopetrol Prometeo - Documents\Planning Space Implementation\3. Analysis &amp; Design\Design\FC22\DRR Jaime\Por presentar a ECP\Cantagallo\Cristalina\[VRC_CRISTALINA_CF_SEC_20221231.xlsx]CF PDP'!$CT$36</v>
      </c>
      <c r="J2092" s="1" t="s">
        <v>2929</v>
      </c>
    </row>
    <row r="2093" spans="1:10" x14ac:dyDescent="0.35">
      <c r="A2093" s="6" t="s">
        <v>14</v>
      </c>
      <c r="B2093" s="6">
        <f>+B2092+1</f>
        <v>2024</v>
      </c>
      <c r="C2093" s="1" t="s">
        <v>49</v>
      </c>
      <c r="D2093" s="2" t="s">
        <v>2003</v>
      </c>
      <c r="E2093" s="9" t="str">
        <f t="shared" ref="E2093:E2186" si="480">_xlfn.CONCAT(A2093,"'!")</f>
        <v>PDP'!</v>
      </c>
      <c r="F2093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093" s="6" t="s">
        <v>105</v>
      </c>
      <c r="H2093" s="1">
        <f>IF(A2093&lt;&gt;A2092,36,H2092+1)</f>
        <v>37</v>
      </c>
      <c r="I2093" s="1" t="str">
        <f t="shared" ref="I2093:I2186" si="481">_xlfn.CONCAT("='",F2093:H2093)</f>
        <v>='C:\Users\jaime.benazar\Quorum Business Solutions\Ecopetrol Prometeo - Documents\Planning Space Implementation\3. Analysis &amp; Design\Design\FC22\DRR Jaime\Por presentar a ECP\Cantagallo\Cristalina\[VRC_CRISTALINA_CF_SEC_20221231.xlsx]CF PDP'!$CT$37</v>
      </c>
      <c r="J2093" s="1" t="s">
        <v>2930</v>
      </c>
    </row>
    <row r="2094" spans="1:10" x14ac:dyDescent="0.35">
      <c r="A2094" s="6" t="s">
        <v>14</v>
      </c>
      <c r="B2094" s="6">
        <f t="shared" ref="B2094:B2105" si="482">+B2093+1</f>
        <v>2025</v>
      </c>
      <c r="C2094" s="1" t="s">
        <v>49</v>
      </c>
      <c r="D2094" s="2" t="s">
        <v>2003</v>
      </c>
      <c r="E2094" s="9" t="str">
        <f t="shared" si="480"/>
        <v>PDP'!</v>
      </c>
      <c r="F2094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094" s="6" t="s">
        <v>105</v>
      </c>
      <c r="H2094" s="1">
        <f t="shared" ref="H2094:H2187" si="483">IF(A2094&lt;&gt;A2093,36,H2093+1)</f>
        <v>38</v>
      </c>
      <c r="I2094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PDP'!$CT$38</v>
      </c>
      <c r="J2094" s="1" t="s">
        <v>2931</v>
      </c>
    </row>
    <row r="2095" spans="1:10" x14ac:dyDescent="0.35">
      <c r="A2095" s="6" t="s">
        <v>14</v>
      </c>
      <c r="B2095" s="6">
        <f t="shared" si="482"/>
        <v>2026</v>
      </c>
      <c r="C2095" s="1" t="s">
        <v>49</v>
      </c>
      <c r="D2095" s="2" t="s">
        <v>2003</v>
      </c>
      <c r="E2095" s="9" t="str">
        <f t="shared" si="480"/>
        <v>PDP'!</v>
      </c>
      <c r="F2095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095" s="6" t="s">
        <v>105</v>
      </c>
      <c r="H2095" s="1">
        <f t="shared" si="483"/>
        <v>39</v>
      </c>
      <c r="I2095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PDP'!$CT$39</v>
      </c>
      <c r="J2095" s="1" t="s">
        <v>2932</v>
      </c>
    </row>
    <row r="2096" spans="1:10" x14ac:dyDescent="0.35">
      <c r="A2096" s="6" t="s">
        <v>14</v>
      </c>
      <c r="B2096" s="6">
        <f t="shared" si="482"/>
        <v>2027</v>
      </c>
      <c r="C2096" s="1" t="s">
        <v>49</v>
      </c>
      <c r="D2096" s="2" t="s">
        <v>2003</v>
      </c>
      <c r="E2096" s="9" t="str">
        <f t="shared" si="480"/>
        <v>PDP'!</v>
      </c>
      <c r="F2096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096" s="6" t="s">
        <v>105</v>
      </c>
      <c r="H2096" s="1">
        <f t="shared" si="483"/>
        <v>40</v>
      </c>
      <c r="I2096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PDP'!$CT$40</v>
      </c>
      <c r="J2096" s="1" t="s">
        <v>2933</v>
      </c>
    </row>
    <row r="2097" spans="1:10" x14ac:dyDescent="0.35">
      <c r="A2097" s="6" t="s">
        <v>14</v>
      </c>
      <c r="B2097" s="6">
        <f t="shared" si="482"/>
        <v>2028</v>
      </c>
      <c r="C2097" s="1" t="s">
        <v>49</v>
      </c>
      <c r="D2097" s="2" t="s">
        <v>2003</v>
      </c>
      <c r="E2097" s="9" t="str">
        <f t="shared" si="480"/>
        <v>PDP'!</v>
      </c>
      <c r="F2097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097" s="6" t="s">
        <v>105</v>
      </c>
      <c r="H2097" s="1">
        <f t="shared" si="483"/>
        <v>41</v>
      </c>
      <c r="I2097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PDP'!$CT$41</v>
      </c>
      <c r="J2097" s="1" t="s">
        <v>2934</v>
      </c>
    </row>
    <row r="2098" spans="1:10" x14ac:dyDescent="0.35">
      <c r="A2098" s="6" t="s">
        <v>14</v>
      </c>
      <c r="B2098" s="6">
        <f t="shared" si="482"/>
        <v>2029</v>
      </c>
      <c r="C2098" s="1" t="s">
        <v>49</v>
      </c>
      <c r="D2098" s="2" t="s">
        <v>2003</v>
      </c>
      <c r="E2098" s="9" t="str">
        <f t="shared" si="480"/>
        <v>PDP'!</v>
      </c>
      <c r="F2098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098" s="6" t="s">
        <v>105</v>
      </c>
      <c r="H2098" s="1">
        <f t="shared" si="483"/>
        <v>42</v>
      </c>
      <c r="I2098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PDP'!$CT$42</v>
      </c>
      <c r="J2098" s="1" t="s">
        <v>2935</v>
      </c>
    </row>
    <row r="2099" spans="1:10" x14ac:dyDescent="0.35">
      <c r="A2099" s="6" t="s">
        <v>14</v>
      </c>
      <c r="B2099" s="6">
        <f t="shared" si="482"/>
        <v>2030</v>
      </c>
      <c r="C2099" s="1" t="s">
        <v>49</v>
      </c>
      <c r="D2099" s="2" t="s">
        <v>2003</v>
      </c>
      <c r="E2099" s="9" t="str">
        <f t="shared" si="480"/>
        <v>PDP'!</v>
      </c>
      <c r="F2099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099" s="6" t="s">
        <v>105</v>
      </c>
      <c r="H2099" s="1">
        <f t="shared" si="483"/>
        <v>43</v>
      </c>
      <c r="I2099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PDP'!$CT$43</v>
      </c>
      <c r="J2099" s="1" t="s">
        <v>2936</v>
      </c>
    </row>
    <row r="2100" spans="1:10" x14ac:dyDescent="0.35">
      <c r="A2100" s="6" t="s">
        <v>14</v>
      </c>
      <c r="B2100" s="6">
        <f t="shared" si="482"/>
        <v>2031</v>
      </c>
      <c r="C2100" s="1" t="s">
        <v>49</v>
      </c>
      <c r="D2100" s="2" t="s">
        <v>2003</v>
      </c>
      <c r="E2100" s="9" t="str">
        <f t="shared" si="480"/>
        <v>PDP'!</v>
      </c>
      <c r="F2100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00" s="6" t="s">
        <v>105</v>
      </c>
      <c r="H2100" s="1">
        <f t="shared" si="483"/>
        <v>44</v>
      </c>
      <c r="I2100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PDP'!$CT$44</v>
      </c>
      <c r="J2100" s="1" t="s">
        <v>2937</v>
      </c>
    </row>
    <row r="2101" spans="1:10" x14ac:dyDescent="0.35">
      <c r="A2101" s="6" t="s">
        <v>14</v>
      </c>
      <c r="B2101" s="6">
        <f t="shared" si="482"/>
        <v>2032</v>
      </c>
      <c r="C2101" s="1" t="s">
        <v>49</v>
      </c>
      <c r="D2101" s="2" t="s">
        <v>2003</v>
      </c>
      <c r="E2101" s="9" t="str">
        <f t="shared" si="480"/>
        <v>PDP'!</v>
      </c>
      <c r="F2101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01" s="6" t="s">
        <v>105</v>
      </c>
      <c r="H2101" s="1">
        <f t="shared" si="483"/>
        <v>45</v>
      </c>
      <c r="I2101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PDP'!$CT$45</v>
      </c>
      <c r="J2101" s="1" t="s">
        <v>2938</v>
      </c>
    </row>
    <row r="2102" spans="1:10" x14ac:dyDescent="0.35">
      <c r="A2102" s="6" t="s">
        <v>14</v>
      </c>
      <c r="B2102" s="6">
        <f t="shared" si="482"/>
        <v>2033</v>
      </c>
      <c r="C2102" s="1" t="s">
        <v>49</v>
      </c>
      <c r="D2102" s="2" t="s">
        <v>2003</v>
      </c>
      <c r="E2102" s="9" t="str">
        <f t="shared" si="480"/>
        <v>PDP'!</v>
      </c>
      <c r="F2102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02" s="6" t="s">
        <v>105</v>
      </c>
      <c r="H2102" s="1">
        <f t="shared" si="483"/>
        <v>46</v>
      </c>
      <c r="I2102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PDP'!$CT$46</v>
      </c>
      <c r="J2102" s="1" t="s">
        <v>2939</v>
      </c>
    </row>
    <row r="2103" spans="1:10" x14ac:dyDescent="0.35">
      <c r="A2103" s="6" t="s">
        <v>14</v>
      </c>
      <c r="B2103" s="6">
        <f t="shared" si="482"/>
        <v>2034</v>
      </c>
      <c r="C2103" s="1" t="s">
        <v>49</v>
      </c>
      <c r="D2103" s="2" t="s">
        <v>2003</v>
      </c>
      <c r="E2103" s="9" t="str">
        <f t="shared" si="480"/>
        <v>PDP'!</v>
      </c>
      <c r="F2103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03" s="6" t="s">
        <v>105</v>
      </c>
      <c r="H2103" s="1">
        <f t="shared" si="483"/>
        <v>47</v>
      </c>
      <c r="I2103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PDP'!$CT$47</v>
      </c>
      <c r="J2103" s="1" t="s">
        <v>2940</v>
      </c>
    </row>
    <row r="2104" spans="1:10" x14ac:dyDescent="0.35">
      <c r="A2104" s="6" t="s">
        <v>14</v>
      </c>
      <c r="B2104" s="6">
        <f t="shared" si="482"/>
        <v>2035</v>
      </c>
      <c r="C2104" s="1" t="s">
        <v>49</v>
      </c>
      <c r="D2104" s="2" t="s">
        <v>2003</v>
      </c>
      <c r="E2104" s="9" t="str">
        <f t="shared" si="480"/>
        <v>PDP'!</v>
      </c>
      <c r="F2104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04" s="6" t="s">
        <v>105</v>
      </c>
      <c r="H2104" s="1">
        <f t="shared" si="483"/>
        <v>48</v>
      </c>
      <c r="I2104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PDP'!$CT$48</v>
      </c>
      <c r="J2104" s="1" t="s">
        <v>2941</v>
      </c>
    </row>
    <row r="2105" spans="1:10" x14ac:dyDescent="0.35">
      <c r="A2105" s="6" t="s">
        <v>14</v>
      </c>
      <c r="B2105" s="6">
        <f t="shared" si="482"/>
        <v>2036</v>
      </c>
      <c r="C2105" s="1" t="s">
        <v>49</v>
      </c>
      <c r="D2105" s="2" t="s">
        <v>2003</v>
      </c>
      <c r="E2105" s="9" t="str">
        <f t="shared" si="480"/>
        <v>PDP'!</v>
      </c>
      <c r="F2105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05" s="6" t="s">
        <v>105</v>
      </c>
      <c r="H2105" s="1">
        <f t="shared" si="483"/>
        <v>49</v>
      </c>
      <c r="I2105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PDP'!$CT$49</v>
      </c>
      <c r="J2105" s="1" t="s">
        <v>2942</v>
      </c>
    </row>
    <row r="2106" spans="1:10" x14ac:dyDescent="0.35">
      <c r="A2106" s="6" t="s">
        <v>14</v>
      </c>
      <c r="B2106" s="6">
        <f>+B2105+1</f>
        <v>2037</v>
      </c>
      <c r="C2106" s="1" t="s">
        <v>49</v>
      </c>
      <c r="D2106" s="2" t="s">
        <v>2003</v>
      </c>
      <c r="E2106" s="9" t="str">
        <f t="shared" si="480"/>
        <v>PDP'!</v>
      </c>
      <c r="F2106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06" s="6" t="s">
        <v>105</v>
      </c>
      <c r="H2106" s="1">
        <f t="shared" si="483"/>
        <v>50</v>
      </c>
      <c r="I2106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PDP'!$CT$50</v>
      </c>
      <c r="J2106" s="1" t="s">
        <v>2943</v>
      </c>
    </row>
    <row r="2107" spans="1:10" x14ac:dyDescent="0.35">
      <c r="A2107" s="6" t="s">
        <v>14</v>
      </c>
      <c r="B2107" s="6">
        <f t="shared" ref="B2107:B2109" si="484">+B2106+1</f>
        <v>2038</v>
      </c>
      <c r="C2107" s="1" t="s">
        <v>49</v>
      </c>
      <c r="D2107" s="2" t="s">
        <v>2003</v>
      </c>
      <c r="E2107" s="9" t="str">
        <f t="shared" si="480"/>
        <v>PDP'!</v>
      </c>
      <c r="F2107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07" s="6" t="s">
        <v>105</v>
      </c>
      <c r="H2107" s="1">
        <f t="shared" si="483"/>
        <v>51</v>
      </c>
      <c r="I2107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PDP'!$CT$51</v>
      </c>
      <c r="J2107" s="1" t="s">
        <v>2944</v>
      </c>
    </row>
    <row r="2108" spans="1:10" x14ac:dyDescent="0.35">
      <c r="A2108" s="6" t="s">
        <v>14</v>
      </c>
      <c r="B2108" s="6">
        <f t="shared" si="484"/>
        <v>2039</v>
      </c>
      <c r="C2108" s="1" t="s">
        <v>49</v>
      </c>
      <c r="D2108" s="2" t="s">
        <v>2003</v>
      </c>
      <c r="E2108" s="9" t="str">
        <f t="shared" si="480"/>
        <v>PDP'!</v>
      </c>
      <c r="F2108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08" s="6" t="s">
        <v>105</v>
      </c>
      <c r="H2108" s="1">
        <f t="shared" si="483"/>
        <v>52</v>
      </c>
      <c r="I2108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PDP'!$CT$52</v>
      </c>
      <c r="J2108" s="1" t="s">
        <v>2945</v>
      </c>
    </row>
    <row r="2109" spans="1:10" x14ac:dyDescent="0.35">
      <c r="A2109" s="6" t="s">
        <v>14</v>
      </c>
      <c r="B2109" s="6">
        <f t="shared" si="484"/>
        <v>2040</v>
      </c>
      <c r="C2109" s="1" t="s">
        <v>49</v>
      </c>
      <c r="D2109" s="2" t="s">
        <v>2003</v>
      </c>
      <c r="E2109" s="9" t="str">
        <f t="shared" si="480"/>
        <v>PDP'!</v>
      </c>
      <c r="F2109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09" s="6" t="s">
        <v>105</v>
      </c>
      <c r="H2109" s="1">
        <f t="shared" si="483"/>
        <v>53</v>
      </c>
      <c r="I2109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PDP'!$CT$53</v>
      </c>
      <c r="J2109" s="1" t="s">
        <v>2946</v>
      </c>
    </row>
    <row r="2110" spans="1:10" x14ac:dyDescent="0.35">
      <c r="A2110" s="6" t="s">
        <v>14</v>
      </c>
      <c r="B2110" s="6">
        <f>+B2109+1</f>
        <v>2041</v>
      </c>
      <c r="C2110" s="1" t="s">
        <v>49</v>
      </c>
      <c r="D2110" s="2" t="s">
        <v>2003</v>
      </c>
      <c r="E2110" s="9" t="str">
        <f t="shared" si="480"/>
        <v>PDP'!</v>
      </c>
      <c r="F2110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10" s="6" t="s">
        <v>105</v>
      </c>
      <c r="H2110" s="1">
        <f t="shared" si="483"/>
        <v>54</v>
      </c>
      <c r="I2110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PDP'!$CT$54</v>
      </c>
      <c r="J2110" s="1" t="s">
        <v>2947</v>
      </c>
    </row>
    <row r="2111" spans="1:10" x14ac:dyDescent="0.35">
      <c r="A2111" s="6" t="s">
        <v>14</v>
      </c>
      <c r="B2111" s="6">
        <f t="shared" ref="B2111:B2112" si="485">+B2110+1</f>
        <v>2042</v>
      </c>
      <c r="C2111" s="1" t="s">
        <v>49</v>
      </c>
      <c r="D2111" s="2" t="s">
        <v>2003</v>
      </c>
      <c r="E2111" s="9" t="str">
        <f t="shared" si="480"/>
        <v>PDP'!</v>
      </c>
      <c r="F2111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11" s="6" t="s">
        <v>105</v>
      </c>
      <c r="H2111" s="1">
        <f t="shared" si="483"/>
        <v>55</v>
      </c>
      <c r="I2111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PDP'!$CT$55</v>
      </c>
      <c r="J2111" s="1" t="s">
        <v>2948</v>
      </c>
    </row>
    <row r="2112" spans="1:10" x14ac:dyDescent="0.35">
      <c r="A2112" s="6" t="s">
        <v>14</v>
      </c>
      <c r="B2112" s="6">
        <f t="shared" si="485"/>
        <v>2043</v>
      </c>
      <c r="C2112" s="1" t="s">
        <v>49</v>
      </c>
      <c r="D2112" s="2" t="s">
        <v>2003</v>
      </c>
      <c r="E2112" s="9" t="str">
        <f t="shared" si="480"/>
        <v>PDP'!</v>
      </c>
      <c r="F2112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12" s="6" t="s">
        <v>105</v>
      </c>
      <c r="H2112" s="1">
        <f t="shared" si="483"/>
        <v>56</v>
      </c>
      <c r="I2112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PDP'!$CT$56</v>
      </c>
      <c r="J2112" s="1" t="s">
        <v>2949</v>
      </c>
    </row>
    <row r="2113" spans="1:10" x14ac:dyDescent="0.35">
      <c r="A2113" s="6" t="s">
        <v>14</v>
      </c>
      <c r="B2113" s="6">
        <f>+B2112+1</f>
        <v>2044</v>
      </c>
      <c r="C2113" s="1" t="s">
        <v>49</v>
      </c>
      <c r="D2113" s="2" t="s">
        <v>2003</v>
      </c>
      <c r="E2113" s="9" t="str">
        <f t="shared" ref="E2113:E2128" si="486">_xlfn.CONCAT(A2113,"'!")</f>
        <v>PDP'!</v>
      </c>
      <c r="F2113" s="5" t="str">
        <f t="shared" ref="F2113:F2128" si="487">_xlfn.CONCAT(D2113," ",E2113)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13" s="6" t="s">
        <v>105</v>
      </c>
      <c r="H2113" s="1">
        <f t="shared" ref="H2113:H2128" si="488">IF(A2113&lt;&gt;A2112,36,H2112+1)</f>
        <v>57</v>
      </c>
      <c r="I2113" s="1" t="str">
        <f t="shared" ref="I2113:I2128" si="489">_xlfn.CONCAT("='",F2113:H2113)</f>
        <v>='C:\Users\jaime.benazar\Quorum Business Solutions\Ecopetrol Prometeo - Documents\Planning Space Implementation\3. Analysis &amp; Design\Design\FC22\DRR Jaime\Por presentar a ECP\Cantagallo\Cristalina\[VRC_CRISTALINA_CF_SEC_20221231.xlsx]CF PDP'!$CT$57</v>
      </c>
      <c r="J2113" s="1" t="s">
        <v>2950</v>
      </c>
    </row>
    <row r="2114" spans="1:10" x14ac:dyDescent="0.35">
      <c r="A2114" s="6" t="s">
        <v>14</v>
      </c>
      <c r="B2114" s="6">
        <f t="shared" ref="B2114:B2128" si="490">+B2113+1</f>
        <v>2045</v>
      </c>
      <c r="C2114" s="1" t="s">
        <v>49</v>
      </c>
      <c r="D2114" s="2" t="s">
        <v>2003</v>
      </c>
      <c r="E2114" s="9" t="str">
        <f t="shared" si="486"/>
        <v>PDP'!</v>
      </c>
      <c r="F2114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14" s="6" t="s">
        <v>105</v>
      </c>
      <c r="H2114" s="1">
        <f t="shared" si="488"/>
        <v>58</v>
      </c>
      <c r="I2114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PDP'!$CT$58</v>
      </c>
      <c r="J2114" s="1" t="s">
        <v>2951</v>
      </c>
    </row>
    <row r="2115" spans="1:10" x14ac:dyDescent="0.35">
      <c r="A2115" s="6" t="s">
        <v>14</v>
      </c>
      <c r="B2115" s="6">
        <f t="shared" si="490"/>
        <v>2046</v>
      </c>
      <c r="C2115" s="1" t="s">
        <v>49</v>
      </c>
      <c r="D2115" s="2" t="s">
        <v>2003</v>
      </c>
      <c r="E2115" s="9" t="str">
        <f t="shared" si="486"/>
        <v>PDP'!</v>
      </c>
      <c r="F2115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15" s="6" t="s">
        <v>105</v>
      </c>
      <c r="H2115" s="1">
        <f t="shared" si="488"/>
        <v>59</v>
      </c>
      <c r="I2115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PDP'!$CT$59</v>
      </c>
      <c r="J2115" s="1" t="s">
        <v>2952</v>
      </c>
    </row>
    <row r="2116" spans="1:10" x14ac:dyDescent="0.35">
      <c r="A2116" s="6" t="s">
        <v>14</v>
      </c>
      <c r="B2116" s="6">
        <f t="shared" si="490"/>
        <v>2047</v>
      </c>
      <c r="C2116" s="1" t="s">
        <v>49</v>
      </c>
      <c r="D2116" s="2" t="s">
        <v>2003</v>
      </c>
      <c r="E2116" s="9" t="str">
        <f t="shared" si="486"/>
        <v>PDP'!</v>
      </c>
      <c r="F2116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16" s="6" t="s">
        <v>105</v>
      </c>
      <c r="H2116" s="1">
        <f t="shared" si="488"/>
        <v>60</v>
      </c>
      <c r="I2116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PDP'!$CT$60</v>
      </c>
      <c r="J2116" s="1" t="s">
        <v>2953</v>
      </c>
    </row>
    <row r="2117" spans="1:10" x14ac:dyDescent="0.35">
      <c r="A2117" s="6" t="s">
        <v>14</v>
      </c>
      <c r="B2117" s="6">
        <f t="shared" si="490"/>
        <v>2048</v>
      </c>
      <c r="C2117" s="1" t="s">
        <v>49</v>
      </c>
      <c r="D2117" s="2" t="s">
        <v>2003</v>
      </c>
      <c r="E2117" s="9" t="str">
        <f t="shared" si="486"/>
        <v>PDP'!</v>
      </c>
      <c r="F2117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17" s="6" t="s">
        <v>105</v>
      </c>
      <c r="H2117" s="1">
        <f t="shared" si="488"/>
        <v>61</v>
      </c>
      <c r="I2117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PDP'!$CT$61</v>
      </c>
      <c r="J2117" s="1" t="s">
        <v>2954</v>
      </c>
    </row>
    <row r="2118" spans="1:10" x14ac:dyDescent="0.35">
      <c r="A2118" s="6" t="s">
        <v>14</v>
      </c>
      <c r="B2118" s="6">
        <f t="shared" si="490"/>
        <v>2049</v>
      </c>
      <c r="C2118" s="1" t="s">
        <v>49</v>
      </c>
      <c r="D2118" s="2" t="s">
        <v>2003</v>
      </c>
      <c r="E2118" s="9" t="str">
        <f t="shared" si="486"/>
        <v>PDP'!</v>
      </c>
      <c r="F2118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18" s="6" t="s">
        <v>105</v>
      </c>
      <c r="H2118" s="1">
        <f t="shared" si="488"/>
        <v>62</v>
      </c>
      <c r="I2118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PDP'!$CT$62</v>
      </c>
      <c r="J2118" s="1" t="s">
        <v>2955</v>
      </c>
    </row>
    <row r="2119" spans="1:10" x14ac:dyDescent="0.35">
      <c r="A2119" s="6" t="s">
        <v>14</v>
      </c>
      <c r="B2119" s="6">
        <f t="shared" si="490"/>
        <v>2050</v>
      </c>
      <c r="C2119" s="1" t="s">
        <v>49</v>
      </c>
      <c r="D2119" s="2" t="s">
        <v>2003</v>
      </c>
      <c r="E2119" s="9" t="str">
        <f t="shared" si="486"/>
        <v>PDP'!</v>
      </c>
      <c r="F2119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19" s="6" t="s">
        <v>105</v>
      </c>
      <c r="H2119" s="1">
        <f t="shared" si="488"/>
        <v>63</v>
      </c>
      <c r="I2119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PDP'!$CT$63</v>
      </c>
      <c r="J2119" s="1" t="s">
        <v>2956</v>
      </c>
    </row>
    <row r="2120" spans="1:10" x14ac:dyDescent="0.35">
      <c r="A2120" s="6" t="s">
        <v>14</v>
      </c>
      <c r="B2120" s="6">
        <f t="shared" si="490"/>
        <v>2051</v>
      </c>
      <c r="C2120" s="1" t="s">
        <v>49</v>
      </c>
      <c r="D2120" s="2" t="s">
        <v>2003</v>
      </c>
      <c r="E2120" s="9" t="str">
        <f t="shared" si="486"/>
        <v>PDP'!</v>
      </c>
      <c r="F2120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20" s="6" t="s">
        <v>105</v>
      </c>
      <c r="H2120" s="1">
        <f t="shared" si="488"/>
        <v>64</v>
      </c>
      <c r="I2120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PDP'!$CT$64</v>
      </c>
      <c r="J2120" s="1" t="s">
        <v>2957</v>
      </c>
    </row>
    <row r="2121" spans="1:10" x14ac:dyDescent="0.35">
      <c r="A2121" s="6" t="s">
        <v>14</v>
      </c>
      <c r="B2121" s="6">
        <f t="shared" si="490"/>
        <v>2052</v>
      </c>
      <c r="C2121" s="1" t="s">
        <v>49</v>
      </c>
      <c r="D2121" s="2" t="s">
        <v>2003</v>
      </c>
      <c r="E2121" s="9" t="str">
        <f t="shared" si="486"/>
        <v>PDP'!</v>
      </c>
      <c r="F2121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21" s="6" t="s">
        <v>105</v>
      </c>
      <c r="H2121" s="1">
        <f t="shared" si="488"/>
        <v>65</v>
      </c>
      <c r="I2121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PDP'!$CT$65</v>
      </c>
      <c r="J2121" s="1" t="s">
        <v>2958</v>
      </c>
    </row>
    <row r="2122" spans="1:10" x14ac:dyDescent="0.35">
      <c r="A2122" s="6" t="s">
        <v>14</v>
      </c>
      <c r="B2122" s="6">
        <f t="shared" si="490"/>
        <v>2053</v>
      </c>
      <c r="C2122" s="1" t="s">
        <v>49</v>
      </c>
      <c r="D2122" s="2" t="s">
        <v>2003</v>
      </c>
      <c r="E2122" s="9" t="str">
        <f t="shared" si="486"/>
        <v>PDP'!</v>
      </c>
      <c r="F2122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22" s="6" t="s">
        <v>105</v>
      </c>
      <c r="H2122" s="1">
        <f t="shared" si="488"/>
        <v>66</v>
      </c>
      <c r="I2122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PDP'!$CT$66</v>
      </c>
      <c r="J2122" s="1" t="s">
        <v>2959</v>
      </c>
    </row>
    <row r="2123" spans="1:10" x14ac:dyDescent="0.35">
      <c r="A2123" s="6" t="s">
        <v>14</v>
      </c>
      <c r="B2123" s="6">
        <f t="shared" si="490"/>
        <v>2054</v>
      </c>
      <c r="C2123" s="1" t="s">
        <v>49</v>
      </c>
      <c r="D2123" s="2" t="s">
        <v>2003</v>
      </c>
      <c r="E2123" s="9" t="str">
        <f t="shared" si="486"/>
        <v>PDP'!</v>
      </c>
      <c r="F2123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23" s="6" t="s">
        <v>105</v>
      </c>
      <c r="H2123" s="1">
        <f t="shared" si="488"/>
        <v>67</v>
      </c>
      <c r="I2123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PDP'!$CT$67</v>
      </c>
      <c r="J2123" s="1" t="s">
        <v>2960</v>
      </c>
    </row>
    <row r="2124" spans="1:10" x14ac:dyDescent="0.35">
      <c r="A2124" s="6" t="s">
        <v>14</v>
      </c>
      <c r="B2124" s="6">
        <f t="shared" si="490"/>
        <v>2055</v>
      </c>
      <c r="C2124" s="1" t="s">
        <v>49</v>
      </c>
      <c r="D2124" s="2" t="s">
        <v>2003</v>
      </c>
      <c r="E2124" s="9" t="str">
        <f t="shared" si="486"/>
        <v>PDP'!</v>
      </c>
      <c r="F2124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24" s="6" t="s">
        <v>105</v>
      </c>
      <c r="H2124" s="1">
        <f t="shared" si="488"/>
        <v>68</v>
      </c>
      <c r="I2124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PDP'!$CT$68</v>
      </c>
      <c r="J2124" s="1" t="s">
        <v>2961</v>
      </c>
    </row>
    <row r="2125" spans="1:10" x14ac:dyDescent="0.35">
      <c r="A2125" s="6" t="s">
        <v>14</v>
      </c>
      <c r="B2125" s="6">
        <f t="shared" si="490"/>
        <v>2056</v>
      </c>
      <c r="C2125" s="1" t="s">
        <v>49</v>
      </c>
      <c r="D2125" s="2" t="s">
        <v>2003</v>
      </c>
      <c r="E2125" s="9" t="str">
        <f t="shared" si="486"/>
        <v>PDP'!</v>
      </c>
      <c r="F2125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25" s="6" t="s">
        <v>105</v>
      </c>
      <c r="H2125" s="1">
        <f t="shared" si="488"/>
        <v>69</v>
      </c>
      <c r="I2125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PDP'!$CT$69</v>
      </c>
      <c r="J2125" s="1" t="s">
        <v>2962</v>
      </c>
    </row>
    <row r="2126" spans="1:10" x14ac:dyDescent="0.35">
      <c r="A2126" s="6" t="s">
        <v>14</v>
      </c>
      <c r="B2126" s="6">
        <f t="shared" si="490"/>
        <v>2057</v>
      </c>
      <c r="C2126" s="1" t="s">
        <v>49</v>
      </c>
      <c r="D2126" s="2" t="s">
        <v>2003</v>
      </c>
      <c r="E2126" s="9" t="str">
        <f t="shared" si="486"/>
        <v>PDP'!</v>
      </c>
      <c r="F2126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26" s="6" t="s">
        <v>105</v>
      </c>
      <c r="H2126" s="1">
        <f t="shared" si="488"/>
        <v>70</v>
      </c>
      <c r="I2126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PDP'!$CT$70</v>
      </c>
      <c r="J2126" s="1" t="s">
        <v>2963</v>
      </c>
    </row>
    <row r="2127" spans="1:10" x14ac:dyDescent="0.35">
      <c r="A2127" s="6" t="s">
        <v>14</v>
      </c>
      <c r="B2127" s="6">
        <f t="shared" si="490"/>
        <v>2058</v>
      </c>
      <c r="C2127" s="1" t="s">
        <v>49</v>
      </c>
      <c r="D2127" s="2" t="s">
        <v>2003</v>
      </c>
      <c r="E2127" s="9" t="str">
        <f t="shared" si="486"/>
        <v>PDP'!</v>
      </c>
      <c r="F2127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27" s="6" t="s">
        <v>105</v>
      </c>
      <c r="H2127" s="1">
        <f t="shared" si="488"/>
        <v>71</v>
      </c>
      <c r="I2127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PDP'!$CT$71</v>
      </c>
      <c r="J2127" s="1" t="s">
        <v>2964</v>
      </c>
    </row>
    <row r="2128" spans="1:10" x14ac:dyDescent="0.35">
      <c r="A2128" s="6" t="s">
        <v>14</v>
      </c>
      <c r="B2128" s="6">
        <f t="shared" si="490"/>
        <v>2059</v>
      </c>
      <c r="C2128" s="1" t="s">
        <v>49</v>
      </c>
      <c r="D2128" s="2" t="s">
        <v>2003</v>
      </c>
      <c r="E2128" s="9" t="str">
        <f t="shared" si="486"/>
        <v>PDP'!</v>
      </c>
      <c r="F2128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28" s="6" t="s">
        <v>105</v>
      </c>
      <c r="H2128" s="1">
        <f t="shared" si="488"/>
        <v>72</v>
      </c>
      <c r="I2128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PDP'!$CT$72</v>
      </c>
      <c r="J2128" s="1" t="s">
        <v>2965</v>
      </c>
    </row>
    <row r="2129" spans="1:10" x14ac:dyDescent="0.35">
      <c r="A2129" s="6" t="s">
        <v>26</v>
      </c>
      <c r="B2129" s="6"/>
      <c r="C2129" s="1" t="s">
        <v>49</v>
      </c>
      <c r="D2129" s="2"/>
      <c r="E2129" s="9"/>
      <c r="F2129" s="2"/>
      <c r="G2129" s="6"/>
      <c r="H2129" s="1"/>
      <c r="I2129" s="1"/>
      <c r="J2129" s="4"/>
    </row>
    <row r="2130" spans="1:10" x14ac:dyDescent="0.35">
      <c r="A2130" s="6" t="s">
        <v>15</v>
      </c>
      <c r="B2130" s="6">
        <v>2023</v>
      </c>
      <c r="C2130" s="1" t="s">
        <v>49</v>
      </c>
      <c r="D2130" s="2" t="s">
        <v>2003</v>
      </c>
      <c r="E2130" s="9" t="str">
        <f t="shared" si="480"/>
        <v>PNP'!</v>
      </c>
      <c r="F2130" s="5" t="str">
        <f t="shared" ref="F2130:F2150" si="491">_xlfn.CONCAT(D2130," ",E2130)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30" s="6" t="s">
        <v>105</v>
      </c>
      <c r="H2130" s="1">
        <f>IF(A2130&lt;&gt;A2114,36,H2114+1)</f>
        <v>36</v>
      </c>
      <c r="I2130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PNP'!$CT$36</v>
      </c>
      <c r="J2130" s="1" t="s">
        <v>2966</v>
      </c>
    </row>
    <row r="2131" spans="1:10" x14ac:dyDescent="0.35">
      <c r="A2131" s="6" t="s">
        <v>15</v>
      </c>
      <c r="B2131" s="6">
        <f>+B2130+1</f>
        <v>2024</v>
      </c>
      <c r="C2131" s="1" t="s">
        <v>49</v>
      </c>
      <c r="D2131" s="2" t="s">
        <v>2003</v>
      </c>
      <c r="E2131" s="9" t="str">
        <f t="shared" si="480"/>
        <v>PNP'!</v>
      </c>
      <c r="F2131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31" s="6" t="s">
        <v>105</v>
      </c>
      <c r="H2131" s="1">
        <f t="shared" si="483"/>
        <v>37</v>
      </c>
      <c r="I2131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PNP'!$CT$37</v>
      </c>
      <c r="J2131" s="1" t="s">
        <v>2967</v>
      </c>
    </row>
    <row r="2132" spans="1:10" x14ac:dyDescent="0.35">
      <c r="A2132" s="6" t="s">
        <v>15</v>
      </c>
      <c r="B2132" s="6">
        <f t="shared" ref="B2132:B2143" si="492">+B2131+1</f>
        <v>2025</v>
      </c>
      <c r="C2132" s="1" t="s">
        <v>49</v>
      </c>
      <c r="D2132" s="2" t="s">
        <v>2003</v>
      </c>
      <c r="E2132" s="9" t="str">
        <f t="shared" si="480"/>
        <v>PNP'!</v>
      </c>
      <c r="F2132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32" s="6" t="s">
        <v>105</v>
      </c>
      <c r="H2132" s="1">
        <f t="shared" si="483"/>
        <v>38</v>
      </c>
      <c r="I2132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PNP'!$CT$38</v>
      </c>
      <c r="J2132" s="1" t="s">
        <v>2968</v>
      </c>
    </row>
    <row r="2133" spans="1:10" x14ac:dyDescent="0.35">
      <c r="A2133" s="6" t="s">
        <v>15</v>
      </c>
      <c r="B2133" s="6">
        <f t="shared" si="492"/>
        <v>2026</v>
      </c>
      <c r="C2133" s="1" t="s">
        <v>49</v>
      </c>
      <c r="D2133" s="2" t="s">
        <v>2003</v>
      </c>
      <c r="E2133" s="9" t="str">
        <f t="shared" si="480"/>
        <v>PNP'!</v>
      </c>
      <c r="F2133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33" s="6" t="s">
        <v>105</v>
      </c>
      <c r="H2133" s="1">
        <f t="shared" si="483"/>
        <v>39</v>
      </c>
      <c r="I2133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PNP'!$CT$39</v>
      </c>
      <c r="J2133" s="1" t="s">
        <v>2969</v>
      </c>
    </row>
    <row r="2134" spans="1:10" x14ac:dyDescent="0.35">
      <c r="A2134" s="6" t="s">
        <v>15</v>
      </c>
      <c r="B2134" s="6">
        <f t="shared" si="492"/>
        <v>2027</v>
      </c>
      <c r="C2134" s="1" t="s">
        <v>49</v>
      </c>
      <c r="D2134" s="2" t="s">
        <v>2003</v>
      </c>
      <c r="E2134" s="9" t="str">
        <f t="shared" si="480"/>
        <v>PNP'!</v>
      </c>
      <c r="F2134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34" s="6" t="s">
        <v>105</v>
      </c>
      <c r="H2134" s="1">
        <f t="shared" si="483"/>
        <v>40</v>
      </c>
      <c r="I2134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PNP'!$CT$40</v>
      </c>
      <c r="J2134" s="1" t="s">
        <v>2970</v>
      </c>
    </row>
    <row r="2135" spans="1:10" x14ac:dyDescent="0.35">
      <c r="A2135" s="6" t="s">
        <v>15</v>
      </c>
      <c r="B2135" s="6">
        <f t="shared" si="492"/>
        <v>2028</v>
      </c>
      <c r="C2135" s="1" t="s">
        <v>49</v>
      </c>
      <c r="D2135" s="2" t="s">
        <v>2003</v>
      </c>
      <c r="E2135" s="9" t="str">
        <f t="shared" si="480"/>
        <v>PNP'!</v>
      </c>
      <c r="F2135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35" s="6" t="s">
        <v>105</v>
      </c>
      <c r="H2135" s="1">
        <f t="shared" si="483"/>
        <v>41</v>
      </c>
      <c r="I2135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PNP'!$CT$41</v>
      </c>
      <c r="J2135" s="1" t="s">
        <v>2971</v>
      </c>
    </row>
    <row r="2136" spans="1:10" x14ac:dyDescent="0.35">
      <c r="A2136" s="6" t="s">
        <v>15</v>
      </c>
      <c r="B2136" s="6">
        <f t="shared" si="492"/>
        <v>2029</v>
      </c>
      <c r="C2136" s="1" t="s">
        <v>49</v>
      </c>
      <c r="D2136" s="2" t="s">
        <v>2003</v>
      </c>
      <c r="E2136" s="9" t="str">
        <f t="shared" si="480"/>
        <v>PNP'!</v>
      </c>
      <c r="F2136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36" s="6" t="s">
        <v>105</v>
      </c>
      <c r="H2136" s="1">
        <f t="shared" si="483"/>
        <v>42</v>
      </c>
      <c r="I2136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PNP'!$CT$42</v>
      </c>
      <c r="J2136" s="1" t="s">
        <v>2972</v>
      </c>
    </row>
    <row r="2137" spans="1:10" x14ac:dyDescent="0.35">
      <c r="A2137" s="6" t="s">
        <v>15</v>
      </c>
      <c r="B2137" s="6">
        <f t="shared" si="492"/>
        <v>2030</v>
      </c>
      <c r="C2137" s="1" t="s">
        <v>49</v>
      </c>
      <c r="D2137" s="2" t="s">
        <v>2003</v>
      </c>
      <c r="E2137" s="9" t="str">
        <f t="shared" si="480"/>
        <v>PNP'!</v>
      </c>
      <c r="F2137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37" s="6" t="s">
        <v>105</v>
      </c>
      <c r="H2137" s="1">
        <f t="shared" si="483"/>
        <v>43</v>
      </c>
      <c r="I2137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PNP'!$CT$43</v>
      </c>
      <c r="J2137" s="1" t="s">
        <v>2973</v>
      </c>
    </row>
    <row r="2138" spans="1:10" x14ac:dyDescent="0.35">
      <c r="A2138" s="6" t="s">
        <v>15</v>
      </c>
      <c r="B2138" s="6">
        <f t="shared" si="492"/>
        <v>2031</v>
      </c>
      <c r="C2138" s="1" t="s">
        <v>49</v>
      </c>
      <c r="D2138" s="2" t="s">
        <v>2003</v>
      </c>
      <c r="E2138" s="9" t="str">
        <f t="shared" si="480"/>
        <v>PNP'!</v>
      </c>
      <c r="F2138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38" s="6" t="s">
        <v>105</v>
      </c>
      <c r="H2138" s="1">
        <f t="shared" si="483"/>
        <v>44</v>
      </c>
      <c r="I2138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PNP'!$CT$44</v>
      </c>
      <c r="J2138" s="1" t="s">
        <v>2974</v>
      </c>
    </row>
    <row r="2139" spans="1:10" x14ac:dyDescent="0.35">
      <c r="A2139" s="6" t="s">
        <v>15</v>
      </c>
      <c r="B2139" s="6">
        <f t="shared" si="492"/>
        <v>2032</v>
      </c>
      <c r="C2139" s="1" t="s">
        <v>49</v>
      </c>
      <c r="D2139" s="2" t="s">
        <v>2003</v>
      </c>
      <c r="E2139" s="9" t="str">
        <f t="shared" si="480"/>
        <v>PNP'!</v>
      </c>
      <c r="F2139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39" s="6" t="s">
        <v>105</v>
      </c>
      <c r="H2139" s="1">
        <f t="shared" si="483"/>
        <v>45</v>
      </c>
      <c r="I2139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PNP'!$CT$45</v>
      </c>
      <c r="J2139" s="1" t="s">
        <v>2975</v>
      </c>
    </row>
    <row r="2140" spans="1:10" x14ac:dyDescent="0.35">
      <c r="A2140" s="6" t="s">
        <v>15</v>
      </c>
      <c r="B2140" s="6">
        <f t="shared" si="492"/>
        <v>2033</v>
      </c>
      <c r="C2140" s="1" t="s">
        <v>49</v>
      </c>
      <c r="D2140" s="2" t="s">
        <v>2003</v>
      </c>
      <c r="E2140" s="9" t="str">
        <f t="shared" si="480"/>
        <v>PNP'!</v>
      </c>
      <c r="F2140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40" s="6" t="s">
        <v>105</v>
      </c>
      <c r="H2140" s="1">
        <f t="shared" si="483"/>
        <v>46</v>
      </c>
      <c r="I2140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PNP'!$CT$46</v>
      </c>
      <c r="J2140" s="1" t="s">
        <v>2976</v>
      </c>
    </row>
    <row r="2141" spans="1:10" x14ac:dyDescent="0.35">
      <c r="A2141" s="6" t="s">
        <v>15</v>
      </c>
      <c r="B2141" s="6">
        <f t="shared" si="492"/>
        <v>2034</v>
      </c>
      <c r="C2141" s="1" t="s">
        <v>49</v>
      </c>
      <c r="D2141" s="2" t="s">
        <v>2003</v>
      </c>
      <c r="E2141" s="9" t="str">
        <f t="shared" si="480"/>
        <v>PNP'!</v>
      </c>
      <c r="F2141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41" s="6" t="s">
        <v>105</v>
      </c>
      <c r="H2141" s="1">
        <f t="shared" si="483"/>
        <v>47</v>
      </c>
      <c r="I2141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PNP'!$CT$47</v>
      </c>
      <c r="J2141" s="1" t="s">
        <v>2977</v>
      </c>
    </row>
    <row r="2142" spans="1:10" x14ac:dyDescent="0.35">
      <c r="A2142" s="6" t="s">
        <v>15</v>
      </c>
      <c r="B2142" s="6">
        <f t="shared" si="492"/>
        <v>2035</v>
      </c>
      <c r="C2142" s="1" t="s">
        <v>49</v>
      </c>
      <c r="D2142" s="2" t="s">
        <v>2003</v>
      </c>
      <c r="E2142" s="9" t="str">
        <f t="shared" si="480"/>
        <v>PNP'!</v>
      </c>
      <c r="F2142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42" s="6" t="s">
        <v>105</v>
      </c>
      <c r="H2142" s="1">
        <f t="shared" si="483"/>
        <v>48</v>
      </c>
      <c r="I2142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PNP'!$CT$48</v>
      </c>
      <c r="J2142" s="1" t="s">
        <v>2978</v>
      </c>
    </row>
    <row r="2143" spans="1:10" x14ac:dyDescent="0.35">
      <c r="A2143" s="6" t="s">
        <v>15</v>
      </c>
      <c r="B2143" s="6">
        <f t="shared" si="492"/>
        <v>2036</v>
      </c>
      <c r="C2143" s="1" t="s">
        <v>49</v>
      </c>
      <c r="D2143" s="2" t="s">
        <v>2003</v>
      </c>
      <c r="E2143" s="9" t="str">
        <f t="shared" si="480"/>
        <v>PNP'!</v>
      </c>
      <c r="F2143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43" s="6" t="s">
        <v>105</v>
      </c>
      <c r="H2143" s="1">
        <f t="shared" si="483"/>
        <v>49</v>
      </c>
      <c r="I2143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PNP'!$CT$49</v>
      </c>
      <c r="J2143" s="1" t="s">
        <v>2979</v>
      </c>
    </row>
    <row r="2144" spans="1:10" x14ac:dyDescent="0.35">
      <c r="A2144" s="6" t="s">
        <v>15</v>
      </c>
      <c r="B2144" s="6">
        <f>+B2143+1</f>
        <v>2037</v>
      </c>
      <c r="C2144" s="1" t="s">
        <v>49</v>
      </c>
      <c r="D2144" s="2" t="s">
        <v>2003</v>
      </c>
      <c r="E2144" s="9" t="str">
        <f t="shared" si="480"/>
        <v>PNP'!</v>
      </c>
      <c r="F2144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44" s="6" t="s">
        <v>105</v>
      </c>
      <c r="H2144" s="1">
        <f t="shared" si="483"/>
        <v>50</v>
      </c>
      <c r="I2144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PNP'!$CT$50</v>
      </c>
      <c r="J2144" s="1" t="s">
        <v>2980</v>
      </c>
    </row>
    <row r="2145" spans="1:10" x14ac:dyDescent="0.35">
      <c r="A2145" s="6" t="s">
        <v>15</v>
      </c>
      <c r="B2145" s="6">
        <f t="shared" ref="B2145:B2147" si="493">+B2144+1</f>
        <v>2038</v>
      </c>
      <c r="C2145" s="1" t="s">
        <v>49</v>
      </c>
      <c r="D2145" s="2" t="s">
        <v>2003</v>
      </c>
      <c r="E2145" s="9" t="str">
        <f t="shared" si="480"/>
        <v>PNP'!</v>
      </c>
      <c r="F2145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45" s="6" t="s">
        <v>105</v>
      </c>
      <c r="H2145" s="1">
        <f t="shared" si="483"/>
        <v>51</v>
      </c>
      <c r="I2145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PNP'!$CT$51</v>
      </c>
      <c r="J2145" s="1" t="s">
        <v>2981</v>
      </c>
    </row>
    <row r="2146" spans="1:10" x14ac:dyDescent="0.35">
      <c r="A2146" s="6" t="s">
        <v>15</v>
      </c>
      <c r="B2146" s="6">
        <f t="shared" si="493"/>
        <v>2039</v>
      </c>
      <c r="C2146" s="1" t="s">
        <v>49</v>
      </c>
      <c r="D2146" s="2" t="s">
        <v>2003</v>
      </c>
      <c r="E2146" s="9" t="str">
        <f t="shared" si="480"/>
        <v>PNP'!</v>
      </c>
      <c r="F2146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46" s="6" t="s">
        <v>105</v>
      </c>
      <c r="H2146" s="1">
        <f t="shared" si="483"/>
        <v>52</v>
      </c>
      <c r="I2146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PNP'!$CT$52</v>
      </c>
      <c r="J2146" s="1" t="s">
        <v>2982</v>
      </c>
    </row>
    <row r="2147" spans="1:10" x14ac:dyDescent="0.35">
      <c r="A2147" s="6" t="s">
        <v>15</v>
      </c>
      <c r="B2147" s="6">
        <f t="shared" si="493"/>
        <v>2040</v>
      </c>
      <c r="C2147" s="1" t="s">
        <v>49</v>
      </c>
      <c r="D2147" s="2" t="s">
        <v>2003</v>
      </c>
      <c r="E2147" s="9" t="str">
        <f t="shared" si="480"/>
        <v>PNP'!</v>
      </c>
      <c r="F2147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47" s="6" t="s">
        <v>105</v>
      </c>
      <c r="H2147" s="1">
        <f t="shared" si="483"/>
        <v>53</v>
      </c>
      <c r="I2147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PNP'!$CT$53</v>
      </c>
      <c r="J2147" s="1" t="s">
        <v>2983</v>
      </c>
    </row>
    <row r="2148" spans="1:10" x14ac:dyDescent="0.35">
      <c r="A2148" s="6" t="s">
        <v>15</v>
      </c>
      <c r="B2148" s="6">
        <f>+B2147+1</f>
        <v>2041</v>
      </c>
      <c r="C2148" s="1" t="s">
        <v>49</v>
      </c>
      <c r="D2148" s="2" t="s">
        <v>2003</v>
      </c>
      <c r="E2148" s="9" t="str">
        <f t="shared" si="480"/>
        <v>PNP'!</v>
      </c>
      <c r="F2148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48" s="6" t="s">
        <v>105</v>
      </c>
      <c r="H2148" s="1">
        <f t="shared" si="483"/>
        <v>54</v>
      </c>
      <c r="I2148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PNP'!$CT$54</v>
      </c>
      <c r="J2148" s="1" t="s">
        <v>2984</v>
      </c>
    </row>
    <row r="2149" spans="1:10" x14ac:dyDescent="0.35">
      <c r="A2149" s="6" t="s">
        <v>15</v>
      </c>
      <c r="B2149" s="6">
        <f t="shared" ref="B2149:B2150" si="494">+B2148+1</f>
        <v>2042</v>
      </c>
      <c r="C2149" s="1" t="s">
        <v>49</v>
      </c>
      <c r="D2149" s="2" t="s">
        <v>2003</v>
      </c>
      <c r="E2149" s="9" t="str">
        <f t="shared" si="480"/>
        <v>PNP'!</v>
      </c>
      <c r="F2149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49" s="6" t="s">
        <v>105</v>
      </c>
      <c r="H2149" s="1">
        <f t="shared" si="483"/>
        <v>55</v>
      </c>
      <c r="I2149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PNP'!$CT$55</v>
      </c>
      <c r="J2149" s="1" t="s">
        <v>2985</v>
      </c>
    </row>
    <row r="2150" spans="1:10" x14ac:dyDescent="0.35">
      <c r="A2150" s="6" t="s">
        <v>15</v>
      </c>
      <c r="B2150" s="6">
        <f t="shared" si="494"/>
        <v>2043</v>
      </c>
      <c r="C2150" s="1" t="s">
        <v>49</v>
      </c>
      <c r="D2150" s="2" t="s">
        <v>2003</v>
      </c>
      <c r="E2150" s="9" t="str">
        <f t="shared" si="480"/>
        <v>PNP'!</v>
      </c>
      <c r="F2150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50" s="6" t="s">
        <v>105</v>
      </c>
      <c r="H2150" s="1">
        <f t="shared" si="483"/>
        <v>56</v>
      </c>
      <c r="I2150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PNP'!$CT$56</v>
      </c>
      <c r="J2150" s="1" t="s">
        <v>2986</v>
      </c>
    </row>
    <row r="2151" spans="1:10" x14ac:dyDescent="0.35">
      <c r="A2151" s="6" t="s">
        <v>15</v>
      </c>
      <c r="B2151" s="6">
        <f>+B2150+1</f>
        <v>2044</v>
      </c>
      <c r="C2151" s="1" t="s">
        <v>49</v>
      </c>
      <c r="D2151" s="2" t="s">
        <v>2003</v>
      </c>
      <c r="E2151" s="9" t="str">
        <f t="shared" ref="E2151:E2166" si="495">_xlfn.CONCAT(A2151,"'!")</f>
        <v>PNP'!</v>
      </c>
      <c r="F2151" s="5" t="str">
        <f t="shared" ref="F2151:F2166" si="496">_xlfn.CONCAT(D2151," ",E2151)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51" s="6" t="s">
        <v>105</v>
      </c>
      <c r="H2151" s="1">
        <f t="shared" ref="H2151:H2166" si="497">IF(A2151&lt;&gt;A2150,36,H2150+1)</f>
        <v>57</v>
      </c>
      <c r="I2151" s="1" t="str">
        <f t="shared" ref="I2151:I2166" si="498">_xlfn.CONCAT("='",F2151:H2151)</f>
        <v>='C:\Users\jaime.benazar\Quorum Business Solutions\Ecopetrol Prometeo - Documents\Planning Space Implementation\3. Analysis &amp; Design\Design\FC22\DRR Jaime\Por presentar a ECP\Cantagallo\Cristalina\[VRC_CRISTALINA_CF_SEC_20221231.xlsx]CF PNP'!$CT$57</v>
      </c>
      <c r="J2151" s="1" t="s">
        <v>2987</v>
      </c>
    </row>
    <row r="2152" spans="1:10" x14ac:dyDescent="0.35">
      <c r="A2152" s="6" t="s">
        <v>15</v>
      </c>
      <c r="B2152" s="6">
        <f t="shared" ref="B2152:B2166" si="499">+B2151+1</f>
        <v>2045</v>
      </c>
      <c r="C2152" s="1" t="s">
        <v>49</v>
      </c>
      <c r="D2152" s="2" t="s">
        <v>2003</v>
      </c>
      <c r="E2152" s="9" t="str">
        <f t="shared" si="495"/>
        <v>PNP'!</v>
      </c>
      <c r="F2152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52" s="6" t="s">
        <v>105</v>
      </c>
      <c r="H2152" s="1">
        <f t="shared" si="497"/>
        <v>58</v>
      </c>
      <c r="I2152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PNP'!$CT$58</v>
      </c>
      <c r="J2152" s="1" t="s">
        <v>2988</v>
      </c>
    </row>
    <row r="2153" spans="1:10" x14ac:dyDescent="0.35">
      <c r="A2153" s="6" t="s">
        <v>15</v>
      </c>
      <c r="B2153" s="6">
        <f t="shared" si="499"/>
        <v>2046</v>
      </c>
      <c r="C2153" s="1" t="s">
        <v>49</v>
      </c>
      <c r="D2153" s="2" t="s">
        <v>2003</v>
      </c>
      <c r="E2153" s="9" t="str">
        <f t="shared" si="495"/>
        <v>PNP'!</v>
      </c>
      <c r="F2153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53" s="6" t="s">
        <v>105</v>
      </c>
      <c r="H2153" s="1">
        <f t="shared" si="497"/>
        <v>59</v>
      </c>
      <c r="I2153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PNP'!$CT$59</v>
      </c>
      <c r="J2153" s="1" t="s">
        <v>2989</v>
      </c>
    </row>
    <row r="2154" spans="1:10" x14ac:dyDescent="0.35">
      <c r="A2154" s="6" t="s">
        <v>15</v>
      </c>
      <c r="B2154" s="6">
        <f t="shared" si="499"/>
        <v>2047</v>
      </c>
      <c r="C2154" s="1" t="s">
        <v>49</v>
      </c>
      <c r="D2154" s="2" t="s">
        <v>2003</v>
      </c>
      <c r="E2154" s="9" t="str">
        <f t="shared" si="495"/>
        <v>PNP'!</v>
      </c>
      <c r="F2154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54" s="6" t="s">
        <v>105</v>
      </c>
      <c r="H2154" s="1">
        <f t="shared" si="497"/>
        <v>60</v>
      </c>
      <c r="I2154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PNP'!$CT$60</v>
      </c>
      <c r="J2154" s="1" t="s">
        <v>2990</v>
      </c>
    </row>
    <row r="2155" spans="1:10" x14ac:dyDescent="0.35">
      <c r="A2155" s="6" t="s">
        <v>15</v>
      </c>
      <c r="B2155" s="6">
        <f t="shared" si="499"/>
        <v>2048</v>
      </c>
      <c r="C2155" s="1" t="s">
        <v>49</v>
      </c>
      <c r="D2155" s="2" t="s">
        <v>2003</v>
      </c>
      <c r="E2155" s="9" t="str">
        <f t="shared" si="495"/>
        <v>PNP'!</v>
      </c>
      <c r="F2155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55" s="6" t="s">
        <v>105</v>
      </c>
      <c r="H2155" s="1">
        <f t="shared" si="497"/>
        <v>61</v>
      </c>
      <c r="I2155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PNP'!$CT$61</v>
      </c>
      <c r="J2155" s="1" t="s">
        <v>2991</v>
      </c>
    </row>
    <row r="2156" spans="1:10" x14ac:dyDescent="0.35">
      <c r="A2156" s="6" t="s">
        <v>15</v>
      </c>
      <c r="B2156" s="6">
        <f t="shared" si="499"/>
        <v>2049</v>
      </c>
      <c r="C2156" s="1" t="s">
        <v>49</v>
      </c>
      <c r="D2156" s="2" t="s">
        <v>2003</v>
      </c>
      <c r="E2156" s="9" t="str">
        <f t="shared" si="495"/>
        <v>PNP'!</v>
      </c>
      <c r="F2156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56" s="6" t="s">
        <v>105</v>
      </c>
      <c r="H2156" s="1">
        <f t="shared" si="497"/>
        <v>62</v>
      </c>
      <c r="I2156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PNP'!$CT$62</v>
      </c>
      <c r="J2156" s="1" t="s">
        <v>2992</v>
      </c>
    </row>
    <row r="2157" spans="1:10" x14ac:dyDescent="0.35">
      <c r="A2157" s="6" t="s">
        <v>15</v>
      </c>
      <c r="B2157" s="6">
        <f t="shared" si="499"/>
        <v>2050</v>
      </c>
      <c r="C2157" s="1" t="s">
        <v>49</v>
      </c>
      <c r="D2157" s="2" t="s">
        <v>2003</v>
      </c>
      <c r="E2157" s="9" t="str">
        <f t="shared" si="495"/>
        <v>PNP'!</v>
      </c>
      <c r="F2157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57" s="6" t="s">
        <v>105</v>
      </c>
      <c r="H2157" s="1">
        <f t="shared" si="497"/>
        <v>63</v>
      </c>
      <c r="I2157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PNP'!$CT$63</v>
      </c>
      <c r="J2157" s="1" t="s">
        <v>2993</v>
      </c>
    </row>
    <row r="2158" spans="1:10" x14ac:dyDescent="0.35">
      <c r="A2158" s="6" t="s">
        <v>15</v>
      </c>
      <c r="B2158" s="6">
        <f t="shared" si="499"/>
        <v>2051</v>
      </c>
      <c r="C2158" s="1" t="s">
        <v>49</v>
      </c>
      <c r="D2158" s="2" t="s">
        <v>2003</v>
      </c>
      <c r="E2158" s="9" t="str">
        <f t="shared" si="495"/>
        <v>PNP'!</v>
      </c>
      <c r="F2158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58" s="6" t="s">
        <v>105</v>
      </c>
      <c r="H2158" s="1">
        <f t="shared" si="497"/>
        <v>64</v>
      </c>
      <c r="I2158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PNP'!$CT$64</v>
      </c>
      <c r="J2158" s="1" t="s">
        <v>2994</v>
      </c>
    </row>
    <row r="2159" spans="1:10" x14ac:dyDescent="0.35">
      <c r="A2159" s="6" t="s">
        <v>15</v>
      </c>
      <c r="B2159" s="6">
        <f t="shared" si="499"/>
        <v>2052</v>
      </c>
      <c r="C2159" s="1" t="s">
        <v>49</v>
      </c>
      <c r="D2159" s="2" t="s">
        <v>2003</v>
      </c>
      <c r="E2159" s="9" t="str">
        <f t="shared" si="495"/>
        <v>PNP'!</v>
      </c>
      <c r="F2159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59" s="6" t="s">
        <v>105</v>
      </c>
      <c r="H2159" s="1">
        <f t="shared" si="497"/>
        <v>65</v>
      </c>
      <c r="I2159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PNP'!$CT$65</v>
      </c>
      <c r="J2159" s="1" t="s">
        <v>2995</v>
      </c>
    </row>
    <row r="2160" spans="1:10" x14ac:dyDescent="0.35">
      <c r="A2160" s="6" t="s">
        <v>15</v>
      </c>
      <c r="B2160" s="6">
        <f t="shared" si="499"/>
        <v>2053</v>
      </c>
      <c r="C2160" s="1" t="s">
        <v>49</v>
      </c>
      <c r="D2160" s="2" t="s">
        <v>2003</v>
      </c>
      <c r="E2160" s="9" t="str">
        <f t="shared" si="495"/>
        <v>PNP'!</v>
      </c>
      <c r="F2160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60" s="6" t="s">
        <v>105</v>
      </c>
      <c r="H2160" s="1">
        <f t="shared" si="497"/>
        <v>66</v>
      </c>
      <c r="I2160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PNP'!$CT$66</v>
      </c>
      <c r="J2160" s="1" t="s">
        <v>2996</v>
      </c>
    </row>
    <row r="2161" spans="1:10" x14ac:dyDescent="0.35">
      <c r="A2161" s="6" t="s">
        <v>15</v>
      </c>
      <c r="B2161" s="6">
        <f t="shared" si="499"/>
        <v>2054</v>
      </c>
      <c r="C2161" s="1" t="s">
        <v>49</v>
      </c>
      <c r="D2161" s="2" t="s">
        <v>2003</v>
      </c>
      <c r="E2161" s="9" t="str">
        <f t="shared" si="495"/>
        <v>PNP'!</v>
      </c>
      <c r="F2161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61" s="6" t="s">
        <v>105</v>
      </c>
      <c r="H2161" s="1">
        <f t="shared" si="497"/>
        <v>67</v>
      </c>
      <c r="I2161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PNP'!$CT$67</v>
      </c>
      <c r="J2161" s="1" t="s">
        <v>2997</v>
      </c>
    </row>
    <row r="2162" spans="1:10" x14ac:dyDescent="0.35">
      <c r="A2162" s="6" t="s">
        <v>15</v>
      </c>
      <c r="B2162" s="6">
        <f t="shared" si="499"/>
        <v>2055</v>
      </c>
      <c r="C2162" s="1" t="s">
        <v>49</v>
      </c>
      <c r="D2162" s="2" t="s">
        <v>2003</v>
      </c>
      <c r="E2162" s="9" t="str">
        <f t="shared" si="495"/>
        <v>PNP'!</v>
      </c>
      <c r="F2162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62" s="6" t="s">
        <v>105</v>
      </c>
      <c r="H2162" s="1">
        <f t="shared" si="497"/>
        <v>68</v>
      </c>
      <c r="I2162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PNP'!$CT$68</v>
      </c>
      <c r="J2162" s="1" t="s">
        <v>2998</v>
      </c>
    </row>
    <row r="2163" spans="1:10" x14ac:dyDescent="0.35">
      <c r="A2163" s="6" t="s">
        <v>15</v>
      </c>
      <c r="B2163" s="6">
        <f t="shared" si="499"/>
        <v>2056</v>
      </c>
      <c r="C2163" s="1" t="s">
        <v>49</v>
      </c>
      <c r="D2163" s="2" t="s">
        <v>2003</v>
      </c>
      <c r="E2163" s="9" t="str">
        <f t="shared" si="495"/>
        <v>PNP'!</v>
      </c>
      <c r="F2163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63" s="6" t="s">
        <v>105</v>
      </c>
      <c r="H2163" s="1">
        <f t="shared" si="497"/>
        <v>69</v>
      </c>
      <c r="I2163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PNP'!$CT$69</v>
      </c>
      <c r="J2163" s="1" t="s">
        <v>2999</v>
      </c>
    </row>
    <row r="2164" spans="1:10" x14ac:dyDescent="0.35">
      <c r="A2164" s="6" t="s">
        <v>15</v>
      </c>
      <c r="B2164" s="6">
        <f t="shared" si="499"/>
        <v>2057</v>
      </c>
      <c r="C2164" s="1" t="s">
        <v>49</v>
      </c>
      <c r="D2164" s="2" t="s">
        <v>2003</v>
      </c>
      <c r="E2164" s="9" t="str">
        <f t="shared" si="495"/>
        <v>PNP'!</v>
      </c>
      <c r="F2164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64" s="6" t="s">
        <v>105</v>
      </c>
      <c r="H2164" s="1">
        <f t="shared" si="497"/>
        <v>70</v>
      </c>
      <c r="I2164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PNP'!$CT$70</v>
      </c>
      <c r="J2164" s="1" t="s">
        <v>3000</v>
      </c>
    </row>
    <row r="2165" spans="1:10" x14ac:dyDescent="0.35">
      <c r="A2165" s="6" t="s">
        <v>15</v>
      </c>
      <c r="B2165" s="6">
        <f t="shared" si="499"/>
        <v>2058</v>
      </c>
      <c r="C2165" s="1" t="s">
        <v>49</v>
      </c>
      <c r="D2165" s="2" t="s">
        <v>2003</v>
      </c>
      <c r="E2165" s="9" t="str">
        <f t="shared" si="495"/>
        <v>PNP'!</v>
      </c>
      <c r="F2165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65" s="6" t="s">
        <v>105</v>
      </c>
      <c r="H2165" s="1">
        <f t="shared" si="497"/>
        <v>71</v>
      </c>
      <c r="I2165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PNP'!$CT$71</v>
      </c>
      <c r="J2165" s="1" t="s">
        <v>3001</v>
      </c>
    </row>
    <row r="2166" spans="1:10" x14ac:dyDescent="0.35">
      <c r="A2166" s="6" t="s">
        <v>15</v>
      </c>
      <c r="B2166" s="6">
        <f t="shared" si="499"/>
        <v>2059</v>
      </c>
      <c r="C2166" s="1" t="s">
        <v>49</v>
      </c>
      <c r="D2166" s="2" t="s">
        <v>2003</v>
      </c>
      <c r="E2166" s="9" t="str">
        <f t="shared" si="495"/>
        <v>PNP'!</v>
      </c>
      <c r="F2166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66" s="6" t="s">
        <v>105</v>
      </c>
      <c r="H2166" s="1">
        <f t="shared" si="497"/>
        <v>72</v>
      </c>
      <c r="I2166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PNP'!$CT$72</v>
      </c>
      <c r="J2166" s="1" t="s">
        <v>3002</v>
      </c>
    </row>
    <row r="2167" spans="1:10" x14ac:dyDescent="0.35">
      <c r="A2167" s="6" t="s">
        <v>26</v>
      </c>
      <c r="B2167" s="6"/>
      <c r="C2167" s="1" t="s">
        <v>49</v>
      </c>
      <c r="D2167" s="2"/>
      <c r="E2167" s="9"/>
      <c r="F2167" s="5"/>
      <c r="G2167" s="6"/>
      <c r="H2167" s="1"/>
      <c r="I2167" s="1"/>
      <c r="J2167" s="4"/>
    </row>
    <row r="2168" spans="1:10" x14ac:dyDescent="0.35">
      <c r="A2168" s="6" t="s">
        <v>16</v>
      </c>
      <c r="B2168" s="6">
        <v>2023</v>
      </c>
      <c r="C2168" s="1" t="s">
        <v>49</v>
      </c>
      <c r="D2168" s="2" t="s">
        <v>2003</v>
      </c>
      <c r="E2168" s="9" t="str">
        <f t="shared" si="480"/>
        <v>PND'!</v>
      </c>
      <c r="F2168" s="5" t="str">
        <f t="shared" ref="F2168:F2188" si="500">_xlfn.CONCAT(D2168," ",E2168)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68" s="6" t="s">
        <v>105</v>
      </c>
      <c r="H2168" s="1">
        <f>IF(A2168&lt;&gt;A2152,36,H2152+1)</f>
        <v>36</v>
      </c>
      <c r="I2168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PND'!$CT$36</v>
      </c>
      <c r="J2168" s="1" t="s">
        <v>3003</v>
      </c>
    </row>
    <row r="2169" spans="1:10" x14ac:dyDescent="0.35">
      <c r="A2169" s="6" t="s">
        <v>16</v>
      </c>
      <c r="B2169" s="6">
        <f>+B2168+1</f>
        <v>2024</v>
      </c>
      <c r="C2169" s="1" t="s">
        <v>49</v>
      </c>
      <c r="D2169" s="2" t="s">
        <v>2003</v>
      </c>
      <c r="E2169" s="9" t="str">
        <f t="shared" si="480"/>
        <v>PND'!</v>
      </c>
      <c r="F2169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69" s="6" t="s">
        <v>105</v>
      </c>
      <c r="H2169" s="1">
        <f t="shared" si="483"/>
        <v>37</v>
      </c>
      <c r="I2169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PND'!$CT$37</v>
      </c>
      <c r="J2169" s="1" t="s">
        <v>3004</v>
      </c>
    </row>
    <row r="2170" spans="1:10" x14ac:dyDescent="0.35">
      <c r="A2170" s="6" t="s">
        <v>16</v>
      </c>
      <c r="B2170" s="6">
        <f t="shared" ref="B2170:B2181" si="501">+B2169+1</f>
        <v>2025</v>
      </c>
      <c r="C2170" s="1" t="s">
        <v>49</v>
      </c>
      <c r="D2170" s="2" t="s">
        <v>2003</v>
      </c>
      <c r="E2170" s="9" t="str">
        <f t="shared" si="480"/>
        <v>PND'!</v>
      </c>
      <c r="F2170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70" s="6" t="s">
        <v>105</v>
      </c>
      <c r="H2170" s="1">
        <f t="shared" si="483"/>
        <v>38</v>
      </c>
      <c r="I2170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PND'!$CT$38</v>
      </c>
      <c r="J2170" s="1" t="s">
        <v>3005</v>
      </c>
    </row>
    <row r="2171" spans="1:10" x14ac:dyDescent="0.35">
      <c r="A2171" s="6" t="s">
        <v>16</v>
      </c>
      <c r="B2171" s="6">
        <f t="shared" si="501"/>
        <v>2026</v>
      </c>
      <c r="C2171" s="1" t="s">
        <v>49</v>
      </c>
      <c r="D2171" s="2" t="s">
        <v>2003</v>
      </c>
      <c r="E2171" s="9" t="str">
        <f t="shared" si="480"/>
        <v>PND'!</v>
      </c>
      <c r="F2171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71" s="6" t="s">
        <v>105</v>
      </c>
      <c r="H2171" s="1">
        <f t="shared" si="483"/>
        <v>39</v>
      </c>
      <c r="I2171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PND'!$CT$39</v>
      </c>
      <c r="J2171" s="1" t="s">
        <v>3006</v>
      </c>
    </row>
    <row r="2172" spans="1:10" x14ac:dyDescent="0.35">
      <c r="A2172" s="6" t="s">
        <v>16</v>
      </c>
      <c r="B2172" s="6">
        <f t="shared" si="501"/>
        <v>2027</v>
      </c>
      <c r="C2172" s="1" t="s">
        <v>49</v>
      </c>
      <c r="D2172" s="2" t="s">
        <v>2003</v>
      </c>
      <c r="E2172" s="9" t="str">
        <f t="shared" si="480"/>
        <v>PND'!</v>
      </c>
      <c r="F2172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72" s="6" t="s">
        <v>105</v>
      </c>
      <c r="H2172" s="1">
        <f t="shared" si="483"/>
        <v>40</v>
      </c>
      <c r="I2172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PND'!$CT$40</v>
      </c>
      <c r="J2172" s="1" t="s">
        <v>3007</v>
      </c>
    </row>
    <row r="2173" spans="1:10" x14ac:dyDescent="0.35">
      <c r="A2173" s="6" t="s">
        <v>16</v>
      </c>
      <c r="B2173" s="6">
        <f t="shared" si="501"/>
        <v>2028</v>
      </c>
      <c r="C2173" s="1" t="s">
        <v>49</v>
      </c>
      <c r="D2173" s="2" t="s">
        <v>2003</v>
      </c>
      <c r="E2173" s="9" t="str">
        <f t="shared" si="480"/>
        <v>PND'!</v>
      </c>
      <c r="F2173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73" s="6" t="s">
        <v>105</v>
      </c>
      <c r="H2173" s="1">
        <f t="shared" si="483"/>
        <v>41</v>
      </c>
      <c r="I2173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PND'!$CT$41</v>
      </c>
      <c r="J2173" s="1" t="s">
        <v>3008</v>
      </c>
    </row>
    <row r="2174" spans="1:10" x14ac:dyDescent="0.35">
      <c r="A2174" s="6" t="s">
        <v>16</v>
      </c>
      <c r="B2174" s="6">
        <f t="shared" si="501"/>
        <v>2029</v>
      </c>
      <c r="C2174" s="1" t="s">
        <v>49</v>
      </c>
      <c r="D2174" s="2" t="s">
        <v>2003</v>
      </c>
      <c r="E2174" s="9" t="str">
        <f t="shared" si="480"/>
        <v>PND'!</v>
      </c>
      <c r="F2174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74" s="6" t="s">
        <v>105</v>
      </c>
      <c r="H2174" s="1">
        <f t="shared" si="483"/>
        <v>42</v>
      </c>
      <c r="I2174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PND'!$CT$42</v>
      </c>
      <c r="J2174" s="1" t="s">
        <v>3009</v>
      </c>
    </row>
    <row r="2175" spans="1:10" x14ac:dyDescent="0.35">
      <c r="A2175" s="6" t="s">
        <v>16</v>
      </c>
      <c r="B2175" s="6">
        <f t="shared" si="501"/>
        <v>2030</v>
      </c>
      <c r="C2175" s="1" t="s">
        <v>49</v>
      </c>
      <c r="D2175" s="2" t="s">
        <v>2003</v>
      </c>
      <c r="E2175" s="9" t="str">
        <f t="shared" si="480"/>
        <v>PND'!</v>
      </c>
      <c r="F2175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75" s="6" t="s">
        <v>105</v>
      </c>
      <c r="H2175" s="1">
        <f t="shared" si="483"/>
        <v>43</v>
      </c>
      <c r="I2175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PND'!$CT$43</v>
      </c>
      <c r="J2175" s="1" t="s">
        <v>3010</v>
      </c>
    </row>
    <row r="2176" spans="1:10" x14ac:dyDescent="0.35">
      <c r="A2176" s="6" t="s">
        <v>16</v>
      </c>
      <c r="B2176" s="6">
        <f t="shared" si="501"/>
        <v>2031</v>
      </c>
      <c r="C2176" s="1" t="s">
        <v>49</v>
      </c>
      <c r="D2176" s="2" t="s">
        <v>2003</v>
      </c>
      <c r="E2176" s="9" t="str">
        <f t="shared" si="480"/>
        <v>PND'!</v>
      </c>
      <c r="F2176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76" s="6" t="s">
        <v>105</v>
      </c>
      <c r="H2176" s="1">
        <f t="shared" si="483"/>
        <v>44</v>
      </c>
      <c r="I2176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PND'!$CT$44</v>
      </c>
      <c r="J2176" s="1" t="s">
        <v>3011</v>
      </c>
    </row>
    <row r="2177" spans="1:10" x14ac:dyDescent="0.35">
      <c r="A2177" s="6" t="s">
        <v>16</v>
      </c>
      <c r="B2177" s="6">
        <f t="shared" si="501"/>
        <v>2032</v>
      </c>
      <c r="C2177" s="1" t="s">
        <v>49</v>
      </c>
      <c r="D2177" s="2" t="s">
        <v>2003</v>
      </c>
      <c r="E2177" s="9" t="str">
        <f t="shared" si="480"/>
        <v>PND'!</v>
      </c>
      <c r="F2177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77" s="6" t="s">
        <v>105</v>
      </c>
      <c r="H2177" s="1">
        <f t="shared" si="483"/>
        <v>45</v>
      </c>
      <c r="I2177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PND'!$CT$45</v>
      </c>
      <c r="J2177" s="1" t="s">
        <v>3012</v>
      </c>
    </row>
    <row r="2178" spans="1:10" x14ac:dyDescent="0.35">
      <c r="A2178" s="6" t="s">
        <v>16</v>
      </c>
      <c r="B2178" s="6">
        <f t="shared" si="501"/>
        <v>2033</v>
      </c>
      <c r="C2178" s="1" t="s">
        <v>49</v>
      </c>
      <c r="D2178" s="2" t="s">
        <v>2003</v>
      </c>
      <c r="E2178" s="9" t="str">
        <f t="shared" si="480"/>
        <v>PND'!</v>
      </c>
      <c r="F2178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78" s="6" t="s">
        <v>105</v>
      </c>
      <c r="H2178" s="1">
        <f t="shared" si="483"/>
        <v>46</v>
      </c>
      <c r="I2178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PND'!$CT$46</v>
      </c>
      <c r="J2178" s="1" t="s">
        <v>3013</v>
      </c>
    </row>
    <row r="2179" spans="1:10" x14ac:dyDescent="0.35">
      <c r="A2179" s="6" t="s">
        <v>16</v>
      </c>
      <c r="B2179" s="6">
        <f t="shared" si="501"/>
        <v>2034</v>
      </c>
      <c r="C2179" s="1" t="s">
        <v>49</v>
      </c>
      <c r="D2179" s="2" t="s">
        <v>2003</v>
      </c>
      <c r="E2179" s="9" t="str">
        <f t="shared" si="480"/>
        <v>PND'!</v>
      </c>
      <c r="F2179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79" s="6" t="s">
        <v>105</v>
      </c>
      <c r="H2179" s="1">
        <f t="shared" si="483"/>
        <v>47</v>
      </c>
      <c r="I2179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PND'!$CT$47</v>
      </c>
      <c r="J2179" s="1" t="s">
        <v>3014</v>
      </c>
    </row>
    <row r="2180" spans="1:10" x14ac:dyDescent="0.35">
      <c r="A2180" s="6" t="s">
        <v>16</v>
      </c>
      <c r="B2180" s="6">
        <f t="shared" si="501"/>
        <v>2035</v>
      </c>
      <c r="C2180" s="1" t="s">
        <v>49</v>
      </c>
      <c r="D2180" s="2" t="s">
        <v>2003</v>
      </c>
      <c r="E2180" s="9" t="str">
        <f t="shared" si="480"/>
        <v>PND'!</v>
      </c>
      <c r="F2180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80" s="6" t="s">
        <v>105</v>
      </c>
      <c r="H2180" s="1">
        <f t="shared" si="483"/>
        <v>48</v>
      </c>
      <c r="I2180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PND'!$CT$48</v>
      </c>
      <c r="J2180" s="1" t="s">
        <v>3015</v>
      </c>
    </row>
    <row r="2181" spans="1:10" x14ac:dyDescent="0.35">
      <c r="A2181" s="6" t="s">
        <v>16</v>
      </c>
      <c r="B2181" s="6">
        <f t="shared" si="501"/>
        <v>2036</v>
      </c>
      <c r="C2181" s="1" t="s">
        <v>49</v>
      </c>
      <c r="D2181" s="2" t="s">
        <v>2003</v>
      </c>
      <c r="E2181" s="9" t="str">
        <f t="shared" si="480"/>
        <v>PND'!</v>
      </c>
      <c r="F2181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81" s="6" t="s">
        <v>105</v>
      </c>
      <c r="H2181" s="1">
        <f t="shared" si="483"/>
        <v>49</v>
      </c>
      <c r="I2181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PND'!$CT$49</v>
      </c>
      <c r="J2181" s="1" t="s">
        <v>3016</v>
      </c>
    </row>
    <row r="2182" spans="1:10" x14ac:dyDescent="0.35">
      <c r="A2182" s="6" t="s">
        <v>16</v>
      </c>
      <c r="B2182" s="6">
        <f>+B2181+1</f>
        <v>2037</v>
      </c>
      <c r="C2182" s="1" t="s">
        <v>49</v>
      </c>
      <c r="D2182" s="2" t="s">
        <v>2003</v>
      </c>
      <c r="E2182" s="9" t="str">
        <f t="shared" si="480"/>
        <v>PND'!</v>
      </c>
      <c r="F2182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82" s="6" t="s">
        <v>105</v>
      </c>
      <c r="H2182" s="1">
        <f t="shared" si="483"/>
        <v>50</v>
      </c>
      <c r="I2182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PND'!$CT$50</v>
      </c>
      <c r="J2182" s="1" t="s">
        <v>3017</v>
      </c>
    </row>
    <row r="2183" spans="1:10" x14ac:dyDescent="0.35">
      <c r="A2183" s="6" t="s">
        <v>16</v>
      </c>
      <c r="B2183" s="6">
        <f t="shared" ref="B2183:B2185" si="502">+B2182+1</f>
        <v>2038</v>
      </c>
      <c r="C2183" s="1" t="s">
        <v>49</v>
      </c>
      <c r="D2183" s="2" t="s">
        <v>2003</v>
      </c>
      <c r="E2183" s="9" t="str">
        <f t="shared" si="480"/>
        <v>PND'!</v>
      </c>
      <c r="F2183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83" s="6" t="s">
        <v>105</v>
      </c>
      <c r="H2183" s="1">
        <f t="shared" si="483"/>
        <v>51</v>
      </c>
      <c r="I2183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PND'!$CT$51</v>
      </c>
      <c r="J2183" s="1" t="s">
        <v>3018</v>
      </c>
    </row>
    <row r="2184" spans="1:10" x14ac:dyDescent="0.35">
      <c r="A2184" s="6" t="s">
        <v>16</v>
      </c>
      <c r="B2184" s="6">
        <f t="shared" si="502"/>
        <v>2039</v>
      </c>
      <c r="C2184" s="1" t="s">
        <v>49</v>
      </c>
      <c r="D2184" s="2" t="s">
        <v>2003</v>
      </c>
      <c r="E2184" s="9" t="str">
        <f t="shared" si="480"/>
        <v>PND'!</v>
      </c>
      <c r="F2184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84" s="6" t="s">
        <v>105</v>
      </c>
      <c r="H2184" s="1">
        <f t="shared" si="483"/>
        <v>52</v>
      </c>
      <c r="I2184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PND'!$CT$52</v>
      </c>
      <c r="J2184" s="1" t="s">
        <v>3019</v>
      </c>
    </row>
    <row r="2185" spans="1:10" x14ac:dyDescent="0.35">
      <c r="A2185" s="6" t="s">
        <v>16</v>
      </c>
      <c r="B2185" s="6">
        <f t="shared" si="502"/>
        <v>2040</v>
      </c>
      <c r="C2185" s="1" t="s">
        <v>49</v>
      </c>
      <c r="D2185" s="2" t="s">
        <v>2003</v>
      </c>
      <c r="E2185" s="9" t="str">
        <f t="shared" si="480"/>
        <v>PND'!</v>
      </c>
      <c r="F2185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85" s="6" t="s">
        <v>105</v>
      </c>
      <c r="H2185" s="1">
        <f t="shared" si="483"/>
        <v>53</v>
      </c>
      <c r="I2185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PND'!$CT$53</v>
      </c>
      <c r="J2185" s="1" t="s">
        <v>3020</v>
      </c>
    </row>
    <row r="2186" spans="1:10" x14ac:dyDescent="0.35">
      <c r="A2186" s="6" t="s">
        <v>16</v>
      </c>
      <c r="B2186" s="6">
        <f>+B2185+1</f>
        <v>2041</v>
      </c>
      <c r="C2186" s="1" t="s">
        <v>49</v>
      </c>
      <c r="D2186" s="2" t="s">
        <v>2003</v>
      </c>
      <c r="E2186" s="9" t="str">
        <f t="shared" si="480"/>
        <v>PND'!</v>
      </c>
      <c r="F2186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86" s="6" t="s">
        <v>105</v>
      </c>
      <c r="H2186" s="1">
        <f t="shared" si="483"/>
        <v>54</v>
      </c>
      <c r="I2186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PND'!$CT$54</v>
      </c>
      <c r="J2186" s="1" t="s">
        <v>3021</v>
      </c>
    </row>
    <row r="2187" spans="1:10" x14ac:dyDescent="0.35">
      <c r="A2187" s="6" t="s">
        <v>16</v>
      </c>
      <c r="B2187" s="6">
        <f t="shared" ref="B2187:B2188" si="503">+B2186+1</f>
        <v>2042</v>
      </c>
      <c r="C2187" s="1" t="s">
        <v>49</v>
      </c>
      <c r="D2187" s="2" t="s">
        <v>2003</v>
      </c>
      <c r="E2187" s="9" t="str">
        <f t="shared" ref="E2187:E2340" si="504">_xlfn.CONCAT(A2187,"'!")</f>
        <v>PND'!</v>
      </c>
      <c r="F2187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87" s="6" t="s">
        <v>105</v>
      </c>
      <c r="H2187" s="1">
        <f t="shared" si="483"/>
        <v>55</v>
      </c>
      <c r="I2187" s="1" t="str">
        <f t="shared" ref="I2187:I2340" si="505">_xlfn.CONCAT("='",F2187:H2187)</f>
        <v>='C:\Users\jaime.benazar\Quorum Business Solutions\Ecopetrol Prometeo - Documents\Planning Space Implementation\3. Analysis &amp; Design\Design\FC22\DRR Jaime\Por presentar a ECP\Cantagallo\Cristalina\[VRC_CRISTALINA_CF_SEC_20221231.xlsx]CF PND'!$CT$55</v>
      </c>
      <c r="J2187" s="1" t="s">
        <v>3022</v>
      </c>
    </row>
    <row r="2188" spans="1:10" x14ac:dyDescent="0.35">
      <c r="A2188" s="6" t="s">
        <v>16</v>
      </c>
      <c r="B2188" s="6">
        <f t="shared" si="503"/>
        <v>2043</v>
      </c>
      <c r="C2188" s="1" t="s">
        <v>49</v>
      </c>
      <c r="D2188" s="2" t="s">
        <v>2003</v>
      </c>
      <c r="E2188" s="9" t="str">
        <f t="shared" si="504"/>
        <v>PND'!</v>
      </c>
      <c r="F2188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88" s="6" t="s">
        <v>105</v>
      </c>
      <c r="H2188" s="1">
        <f t="shared" ref="H2188:H2340" si="506">IF(A2188&lt;&gt;A2187,36,H2187+1)</f>
        <v>56</v>
      </c>
      <c r="I2188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PND'!$CT$56</v>
      </c>
      <c r="J2188" s="1" t="s">
        <v>3023</v>
      </c>
    </row>
    <row r="2189" spans="1:10" x14ac:dyDescent="0.35">
      <c r="A2189" s="6" t="s">
        <v>16</v>
      </c>
      <c r="B2189" s="6">
        <f>+B2188+1</f>
        <v>2044</v>
      </c>
      <c r="C2189" s="1" t="s">
        <v>49</v>
      </c>
      <c r="D2189" s="2" t="s">
        <v>2003</v>
      </c>
      <c r="E2189" s="9" t="str">
        <f t="shared" ref="E2189:E2204" si="507">_xlfn.CONCAT(A2189,"'!")</f>
        <v>PND'!</v>
      </c>
      <c r="F2189" s="5" t="str">
        <f t="shared" ref="F2189:F2204" si="508">_xlfn.CONCAT(D2189," ",E2189)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89" s="6" t="s">
        <v>105</v>
      </c>
      <c r="H2189" s="1">
        <f t="shared" ref="H2189:H2204" si="509">IF(A2189&lt;&gt;A2188,36,H2188+1)</f>
        <v>57</v>
      </c>
      <c r="I2189" s="1" t="str">
        <f t="shared" ref="I2189:I2204" si="510">_xlfn.CONCAT("='",F2189:H2189)</f>
        <v>='C:\Users\jaime.benazar\Quorum Business Solutions\Ecopetrol Prometeo - Documents\Planning Space Implementation\3. Analysis &amp; Design\Design\FC22\DRR Jaime\Por presentar a ECP\Cantagallo\Cristalina\[VRC_CRISTALINA_CF_SEC_20221231.xlsx]CF PND'!$CT$57</v>
      </c>
      <c r="J2189" s="1" t="s">
        <v>3024</v>
      </c>
    </row>
    <row r="2190" spans="1:10" x14ac:dyDescent="0.35">
      <c r="A2190" s="6" t="s">
        <v>16</v>
      </c>
      <c r="B2190" s="6">
        <f t="shared" ref="B2190:B2204" si="511">+B2189+1</f>
        <v>2045</v>
      </c>
      <c r="C2190" s="1" t="s">
        <v>49</v>
      </c>
      <c r="D2190" s="2" t="s">
        <v>2003</v>
      </c>
      <c r="E2190" s="9" t="str">
        <f t="shared" si="507"/>
        <v>PND'!</v>
      </c>
      <c r="F2190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90" s="6" t="s">
        <v>105</v>
      </c>
      <c r="H2190" s="1">
        <f t="shared" si="509"/>
        <v>58</v>
      </c>
      <c r="I2190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PND'!$CT$58</v>
      </c>
      <c r="J2190" s="1" t="s">
        <v>3025</v>
      </c>
    </row>
    <row r="2191" spans="1:10" x14ac:dyDescent="0.35">
      <c r="A2191" s="6" t="s">
        <v>16</v>
      </c>
      <c r="B2191" s="6">
        <f t="shared" si="511"/>
        <v>2046</v>
      </c>
      <c r="C2191" s="1" t="s">
        <v>49</v>
      </c>
      <c r="D2191" s="2" t="s">
        <v>2003</v>
      </c>
      <c r="E2191" s="9" t="str">
        <f t="shared" si="507"/>
        <v>PND'!</v>
      </c>
      <c r="F2191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91" s="6" t="s">
        <v>105</v>
      </c>
      <c r="H2191" s="1">
        <f t="shared" si="509"/>
        <v>59</v>
      </c>
      <c r="I2191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PND'!$CT$59</v>
      </c>
      <c r="J2191" s="1" t="s">
        <v>3026</v>
      </c>
    </row>
    <row r="2192" spans="1:10" x14ac:dyDescent="0.35">
      <c r="A2192" s="6" t="s">
        <v>16</v>
      </c>
      <c r="B2192" s="6">
        <f t="shared" si="511"/>
        <v>2047</v>
      </c>
      <c r="C2192" s="1" t="s">
        <v>49</v>
      </c>
      <c r="D2192" s="2" t="s">
        <v>2003</v>
      </c>
      <c r="E2192" s="9" t="str">
        <f t="shared" si="507"/>
        <v>PND'!</v>
      </c>
      <c r="F2192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92" s="6" t="s">
        <v>105</v>
      </c>
      <c r="H2192" s="1">
        <f t="shared" si="509"/>
        <v>60</v>
      </c>
      <c r="I2192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PND'!$CT$60</v>
      </c>
      <c r="J2192" s="1" t="s">
        <v>3027</v>
      </c>
    </row>
    <row r="2193" spans="1:10" x14ac:dyDescent="0.35">
      <c r="A2193" s="6" t="s">
        <v>16</v>
      </c>
      <c r="B2193" s="6">
        <f t="shared" si="511"/>
        <v>2048</v>
      </c>
      <c r="C2193" s="1" t="s">
        <v>49</v>
      </c>
      <c r="D2193" s="2" t="s">
        <v>2003</v>
      </c>
      <c r="E2193" s="9" t="str">
        <f t="shared" si="507"/>
        <v>PND'!</v>
      </c>
      <c r="F2193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93" s="6" t="s">
        <v>105</v>
      </c>
      <c r="H2193" s="1">
        <f t="shared" si="509"/>
        <v>61</v>
      </c>
      <c r="I2193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PND'!$CT$61</v>
      </c>
      <c r="J2193" s="1" t="s">
        <v>3028</v>
      </c>
    </row>
    <row r="2194" spans="1:10" x14ac:dyDescent="0.35">
      <c r="A2194" s="6" t="s">
        <v>16</v>
      </c>
      <c r="B2194" s="6">
        <f t="shared" si="511"/>
        <v>2049</v>
      </c>
      <c r="C2194" s="1" t="s">
        <v>49</v>
      </c>
      <c r="D2194" s="2" t="s">
        <v>2003</v>
      </c>
      <c r="E2194" s="9" t="str">
        <f t="shared" si="507"/>
        <v>PND'!</v>
      </c>
      <c r="F2194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94" s="6" t="s">
        <v>105</v>
      </c>
      <c r="H2194" s="1">
        <f t="shared" si="509"/>
        <v>62</v>
      </c>
      <c r="I2194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PND'!$CT$62</v>
      </c>
      <c r="J2194" s="1" t="s">
        <v>3029</v>
      </c>
    </row>
    <row r="2195" spans="1:10" x14ac:dyDescent="0.35">
      <c r="A2195" s="6" t="s">
        <v>16</v>
      </c>
      <c r="B2195" s="6">
        <f t="shared" si="511"/>
        <v>2050</v>
      </c>
      <c r="C2195" s="1" t="s">
        <v>49</v>
      </c>
      <c r="D2195" s="2" t="s">
        <v>2003</v>
      </c>
      <c r="E2195" s="9" t="str">
        <f t="shared" si="507"/>
        <v>PND'!</v>
      </c>
      <c r="F2195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95" s="6" t="s">
        <v>105</v>
      </c>
      <c r="H2195" s="1">
        <f t="shared" si="509"/>
        <v>63</v>
      </c>
      <c r="I2195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PND'!$CT$63</v>
      </c>
      <c r="J2195" s="1" t="s">
        <v>3030</v>
      </c>
    </row>
    <row r="2196" spans="1:10" x14ac:dyDescent="0.35">
      <c r="A2196" s="6" t="s">
        <v>16</v>
      </c>
      <c r="B2196" s="6">
        <f t="shared" si="511"/>
        <v>2051</v>
      </c>
      <c r="C2196" s="1" t="s">
        <v>49</v>
      </c>
      <c r="D2196" s="2" t="s">
        <v>2003</v>
      </c>
      <c r="E2196" s="9" t="str">
        <f t="shared" si="507"/>
        <v>PND'!</v>
      </c>
      <c r="F2196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96" s="6" t="s">
        <v>105</v>
      </c>
      <c r="H2196" s="1">
        <f t="shared" si="509"/>
        <v>64</v>
      </c>
      <c r="I2196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PND'!$CT$64</v>
      </c>
      <c r="J2196" s="1" t="s">
        <v>3031</v>
      </c>
    </row>
    <row r="2197" spans="1:10" x14ac:dyDescent="0.35">
      <c r="A2197" s="6" t="s">
        <v>16</v>
      </c>
      <c r="B2197" s="6">
        <f t="shared" si="511"/>
        <v>2052</v>
      </c>
      <c r="C2197" s="1" t="s">
        <v>49</v>
      </c>
      <c r="D2197" s="2" t="s">
        <v>2003</v>
      </c>
      <c r="E2197" s="9" t="str">
        <f t="shared" si="507"/>
        <v>PND'!</v>
      </c>
      <c r="F2197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97" s="6" t="s">
        <v>105</v>
      </c>
      <c r="H2197" s="1">
        <f t="shared" si="509"/>
        <v>65</v>
      </c>
      <c r="I2197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PND'!$CT$65</v>
      </c>
      <c r="J2197" s="1" t="s">
        <v>3032</v>
      </c>
    </row>
    <row r="2198" spans="1:10" x14ac:dyDescent="0.35">
      <c r="A2198" s="6" t="s">
        <v>16</v>
      </c>
      <c r="B2198" s="6">
        <f t="shared" si="511"/>
        <v>2053</v>
      </c>
      <c r="C2198" s="1" t="s">
        <v>49</v>
      </c>
      <c r="D2198" s="2" t="s">
        <v>2003</v>
      </c>
      <c r="E2198" s="9" t="str">
        <f t="shared" si="507"/>
        <v>PND'!</v>
      </c>
      <c r="F2198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98" s="6" t="s">
        <v>105</v>
      </c>
      <c r="H2198" s="1">
        <f t="shared" si="509"/>
        <v>66</v>
      </c>
      <c r="I2198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PND'!$CT$66</v>
      </c>
      <c r="J2198" s="1" t="s">
        <v>3033</v>
      </c>
    </row>
    <row r="2199" spans="1:10" x14ac:dyDescent="0.35">
      <c r="A2199" s="6" t="s">
        <v>16</v>
      </c>
      <c r="B2199" s="6">
        <f t="shared" si="511"/>
        <v>2054</v>
      </c>
      <c r="C2199" s="1" t="s">
        <v>49</v>
      </c>
      <c r="D2199" s="2" t="s">
        <v>2003</v>
      </c>
      <c r="E2199" s="9" t="str">
        <f t="shared" si="507"/>
        <v>PND'!</v>
      </c>
      <c r="F2199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99" s="6" t="s">
        <v>105</v>
      </c>
      <c r="H2199" s="1">
        <f t="shared" si="509"/>
        <v>67</v>
      </c>
      <c r="I2199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PND'!$CT$67</v>
      </c>
      <c r="J2199" s="1" t="s">
        <v>3034</v>
      </c>
    </row>
    <row r="2200" spans="1:10" x14ac:dyDescent="0.35">
      <c r="A2200" s="6" t="s">
        <v>16</v>
      </c>
      <c r="B2200" s="6">
        <f t="shared" si="511"/>
        <v>2055</v>
      </c>
      <c r="C2200" s="1" t="s">
        <v>49</v>
      </c>
      <c r="D2200" s="2" t="s">
        <v>2003</v>
      </c>
      <c r="E2200" s="9" t="str">
        <f t="shared" si="507"/>
        <v>PND'!</v>
      </c>
      <c r="F2200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200" s="6" t="s">
        <v>105</v>
      </c>
      <c r="H2200" s="1">
        <f t="shared" si="509"/>
        <v>68</v>
      </c>
      <c r="I2200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PND'!$CT$68</v>
      </c>
      <c r="J2200" s="1" t="s">
        <v>3035</v>
      </c>
    </row>
    <row r="2201" spans="1:10" x14ac:dyDescent="0.35">
      <c r="A2201" s="6" t="s">
        <v>16</v>
      </c>
      <c r="B2201" s="6">
        <f t="shared" si="511"/>
        <v>2056</v>
      </c>
      <c r="C2201" s="1" t="s">
        <v>49</v>
      </c>
      <c r="D2201" s="2" t="s">
        <v>2003</v>
      </c>
      <c r="E2201" s="9" t="str">
        <f t="shared" si="507"/>
        <v>PND'!</v>
      </c>
      <c r="F2201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201" s="6" t="s">
        <v>105</v>
      </c>
      <c r="H2201" s="1">
        <f t="shared" si="509"/>
        <v>69</v>
      </c>
      <c r="I2201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PND'!$CT$69</v>
      </c>
      <c r="J2201" s="1" t="s">
        <v>3036</v>
      </c>
    </row>
    <row r="2202" spans="1:10" x14ac:dyDescent="0.35">
      <c r="A2202" s="6" t="s">
        <v>16</v>
      </c>
      <c r="B2202" s="6">
        <f t="shared" si="511"/>
        <v>2057</v>
      </c>
      <c r="C2202" s="1" t="s">
        <v>49</v>
      </c>
      <c r="D2202" s="2" t="s">
        <v>2003</v>
      </c>
      <c r="E2202" s="9" t="str">
        <f t="shared" si="507"/>
        <v>PND'!</v>
      </c>
      <c r="F2202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202" s="6" t="s">
        <v>105</v>
      </c>
      <c r="H2202" s="1">
        <f t="shared" si="509"/>
        <v>70</v>
      </c>
      <c r="I2202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PND'!$CT$70</v>
      </c>
      <c r="J2202" s="1" t="s">
        <v>3037</v>
      </c>
    </row>
    <row r="2203" spans="1:10" x14ac:dyDescent="0.35">
      <c r="A2203" s="6" t="s">
        <v>16</v>
      </c>
      <c r="B2203" s="6">
        <f t="shared" si="511"/>
        <v>2058</v>
      </c>
      <c r="C2203" s="1" t="s">
        <v>49</v>
      </c>
      <c r="D2203" s="2" t="s">
        <v>2003</v>
      </c>
      <c r="E2203" s="9" t="str">
        <f t="shared" si="507"/>
        <v>PND'!</v>
      </c>
      <c r="F2203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203" s="6" t="s">
        <v>105</v>
      </c>
      <c r="H2203" s="1">
        <f t="shared" si="509"/>
        <v>71</v>
      </c>
      <c r="I2203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PND'!$CT$71</v>
      </c>
      <c r="J2203" s="1" t="s">
        <v>3038</v>
      </c>
    </row>
    <row r="2204" spans="1:10" x14ac:dyDescent="0.35">
      <c r="A2204" s="6" t="s">
        <v>16</v>
      </c>
      <c r="B2204" s="6">
        <f t="shared" si="511"/>
        <v>2059</v>
      </c>
      <c r="C2204" s="1" t="s">
        <v>49</v>
      </c>
      <c r="D2204" s="2" t="s">
        <v>2003</v>
      </c>
      <c r="E2204" s="9" t="str">
        <f t="shared" si="507"/>
        <v>PND'!</v>
      </c>
      <c r="F2204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204" s="6" t="s">
        <v>105</v>
      </c>
      <c r="H2204" s="1">
        <f t="shared" si="509"/>
        <v>72</v>
      </c>
      <c r="I2204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PND'!$CT$72</v>
      </c>
      <c r="J2204" s="1" t="s">
        <v>3039</v>
      </c>
    </row>
    <row r="2205" spans="1:10" x14ac:dyDescent="0.35">
      <c r="A2205" s="6" t="s">
        <v>26</v>
      </c>
      <c r="B2205" s="6"/>
      <c r="C2205" s="1" t="s">
        <v>49</v>
      </c>
      <c r="D2205" s="2"/>
      <c r="E2205" s="9"/>
      <c r="F2205" s="2"/>
      <c r="G2205" s="6"/>
      <c r="H2205" s="1"/>
      <c r="I2205" s="1"/>
      <c r="J2205" s="4"/>
    </row>
    <row r="2206" spans="1:10" x14ac:dyDescent="0.35">
      <c r="A2206" s="6" t="s">
        <v>17</v>
      </c>
      <c r="B2206" s="6">
        <v>2023</v>
      </c>
      <c r="C2206" s="1" t="s">
        <v>49</v>
      </c>
      <c r="D2206" s="2" t="s">
        <v>2003</v>
      </c>
      <c r="E2206" s="9" t="str">
        <f t="shared" ref="E2206:E2226" si="512">_xlfn.CONCAT(A2206,"'!")</f>
        <v>PRBDP'!</v>
      </c>
      <c r="F2206" s="5" t="str">
        <f t="shared" ref="F2206:F2226" si="513">_xlfn.CONCAT(D2206," ",E2206)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06" s="6" t="s">
        <v>105</v>
      </c>
      <c r="H2206" s="1"/>
      <c r="I2206" s="1"/>
      <c r="J2206" s="1"/>
    </row>
    <row r="2207" spans="1:10" x14ac:dyDescent="0.35">
      <c r="A2207" s="6" t="s">
        <v>17</v>
      </c>
      <c r="B2207" s="6">
        <f>+B2206+1</f>
        <v>2024</v>
      </c>
      <c r="C2207" s="1" t="s">
        <v>49</v>
      </c>
      <c r="D2207" s="2" t="s">
        <v>2003</v>
      </c>
      <c r="E2207" s="9" t="str">
        <f t="shared" si="512"/>
        <v>PRBDP'!</v>
      </c>
      <c r="F2207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07" s="6" t="s">
        <v>105</v>
      </c>
      <c r="H2207" s="1"/>
      <c r="I2207" s="1"/>
      <c r="J2207" s="1"/>
    </row>
    <row r="2208" spans="1:10" x14ac:dyDescent="0.35">
      <c r="A2208" s="6" t="s">
        <v>17</v>
      </c>
      <c r="B2208" s="6">
        <f t="shared" ref="B2208:B2219" si="514">+B2207+1</f>
        <v>2025</v>
      </c>
      <c r="C2208" s="1" t="s">
        <v>49</v>
      </c>
      <c r="D2208" s="2" t="s">
        <v>2003</v>
      </c>
      <c r="E2208" s="9" t="str">
        <f t="shared" si="512"/>
        <v>PRBDP'!</v>
      </c>
      <c r="F2208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08" s="6" t="s">
        <v>105</v>
      </c>
      <c r="H2208" s="1"/>
      <c r="I2208" s="1"/>
      <c r="J2208" s="1"/>
    </row>
    <row r="2209" spans="1:10" x14ac:dyDescent="0.35">
      <c r="A2209" s="6" t="s">
        <v>17</v>
      </c>
      <c r="B2209" s="6">
        <f t="shared" si="514"/>
        <v>2026</v>
      </c>
      <c r="C2209" s="1" t="s">
        <v>49</v>
      </c>
      <c r="D2209" s="2" t="s">
        <v>2003</v>
      </c>
      <c r="E2209" s="9" t="str">
        <f t="shared" si="512"/>
        <v>PRBDP'!</v>
      </c>
      <c r="F2209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09" s="6" t="s">
        <v>105</v>
      </c>
      <c r="H2209" s="1"/>
      <c r="I2209" s="1"/>
      <c r="J2209" s="1"/>
    </row>
    <row r="2210" spans="1:10" x14ac:dyDescent="0.35">
      <c r="A2210" s="6" t="s">
        <v>17</v>
      </c>
      <c r="B2210" s="6">
        <f t="shared" si="514"/>
        <v>2027</v>
      </c>
      <c r="C2210" s="1" t="s">
        <v>49</v>
      </c>
      <c r="D2210" s="2" t="s">
        <v>2003</v>
      </c>
      <c r="E2210" s="9" t="str">
        <f t="shared" si="512"/>
        <v>PRBDP'!</v>
      </c>
      <c r="F2210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10" s="6" t="s">
        <v>105</v>
      </c>
      <c r="H2210" s="1"/>
      <c r="I2210" s="1"/>
      <c r="J2210" s="1"/>
    </row>
    <row r="2211" spans="1:10" x14ac:dyDescent="0.35">
      <c r="A2211" s="6" t="s">
        <v>17</v>
      </c>
      <c r="B2211" s="6">
        <f t="shared" si="514"/>
        <v>2028</v>
      </c>
      <c r="C2211" s="1" t="s">
        <v>49</v>
      </c>
      <c r="D2211" s="2" t="s">
        <v>2003</v>
      </c>
      <c r="E2211" s="9" t="str">
        <f t="shared" si="512"/>
        <v>PRBDP'!</v>
      </c>
      <c r="F2211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11" s="6" t="s">
        <v>105</v>
      </c>
      <c r="H2211" s="1"/>
      <c r="I2211" s="1"/>
      <c r="J2211" s="1"/>
    </row>
    <row r="2212" spans="1:10" x14ac:dyDescent="0.35">
      <c r="A2212" s="6" t="s">
        <v>17</v>
      </c>
      <c r="B2212" s="6">
        <f t="shared" si="514"/>
        <v>2029</v>
      </c>
      <c r="C2212" s="1" t="s">
        <v>49</v>
      </c>
      <c r="D2212" s="2" t="s">
        <v>2003</v>
      </c>
      <c r="E2212" s="9" t="str">
        <f t="shared" si="512"/>
        <v>PRBDP'!</v>
      </c>
      <c r="F2212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12" s="6" t="s">
        <v>105</v>
      </c>
      <c r="H2212" s="1"/>
      <c r="I2212" s="1"/>
      <c r="J2212" s="1"/>
    </row>
    <row r="2213" spans="1:10" x14ac:dyDescent="0.35">
      <c r="A2213" s="6" t="s">
        <v>17</v>
      </c>
      <c r="B2213" s="6">
        <f t="shared" si="514"/>
        <v>2030</v>
      </c>
      <c r="C2213" s="1" t="s">
        <v>49</v>
      </c>
      <c r="D2213" s="2" t="s">
        <v>2003</v>
      </c>
      <c r="E2213" s="9" t="str">
        <f t="shared" si="512"/>
        <v>PRBDP'!</v>
      </c>
      <c r="F2213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13" s="6" t="s">
        <v>105</v>
      </c>
      <c r="H2213" s="1"/>
      <c r="I2213" s="1"/>
      <c r="J2213" s="1"/>
    </row>
    <row r="2214" spans="1:10" x14ac:dyDescent="0.35">
      <c r="A2214" s="6" t="s">
        <v>17</v>
      </c>
      <c r="B2214" s="6">
        <f t="shared" si="514"/>
        <v>2031</v>
      </c>
      <c r="C2214" s="1" t="s">
        <v>49</v>
      </c>
      <c r="D2214" s="2" t="s">
        <v>2003</v>
      </c>
      <c r="E2214" s="9" t="str">
        <f t="shared" si="512"/>
        <v>PRBDP'!</v>
      </c>
      <c r="F2214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14" s="6" t="s">
        <v>105</v>
      </c>
      <c r="H2214" s="1"/>
      <c r="I2214" s="1"/>
      <c r="J2214" s="1"/>
    </row>
    <row r="2215" spans="1:10" x14ac:dyDescent="0.35">
      <c r="A2215" s="6" t="s">
        <v>17</v>
      </c>
      <c r="B2215" s="6">
        <f t="shared" si="514"/>
        <v>2032</v>
      </c>
      <c r="C2215" s="1" t="s">
        <v>49</v>
      </c>
      <c r="D2215" s="2" t="s">
        <v>2003</v>
      </c>
      <c r="E2215" s="9" t="str">
        <f t="shared" si="512"/>
        <v>PRBDP'!</v>
      </c>
      <c r="F2215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15" s="6" t="s">
        <v>105</v>
      </c>
      <c r="H2215" s="1"/>
      <c r="I2215" s="1"/>
      <c r="J2215" s="1"/>
    </row>
    <row r="2216" spans="1:10" x14ac:dyDescent="0.35">
      <c r="A2216" s="6" t="s">
        <v>17</v>
      </c>
      <c r="B2216" s="6">
        <f t="shared" si="514"/>
        <v>2033</v>
      </c>
      <c r="C2216" s="1" t="s">
        <v>49</v>
      </c>
      <c r="D2216" s="2" t="s">
        <v>2003</v>
      </c>
      <c r="E2216" s="9" t="str">
        <f t="shared" si="512"/>
        <v>PRBDP'!</v>
      </c>
      <c r="F2216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16" s="6" t="s">
        <v>105</v>
      </c>
      <c r="H2216" s="1"/>
      <c r="I2216" s="1"/>
      <c r="J2216" s="1"/>
    </row>
    <row r="2217" spans="1:10" x14ac:dyDescent="0.35">
      <c r="A2217" s="6" t="s">
        <v>17</v>
      </c>
      <c r="B2217" s="6">
        <f t="shared" si="514"/>
        <v>2034</v>
      </c>
      <c r="C2217" s="1" t="s">
        <v>49</v>
      </c>
      <c r="D2217" s="2" t="s">
        <v>2003</v>
      </c>
      <c r="E2217" s="9" t="str">
        <f t="shared" si="512"/>
        <v>PRBDP'!</v>
      </c>
      <c r="F2217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17" s="6" t="s">
        <v>105</v>
      </c>
      <c r="H2217" s="1"/>
      <c r="I2217" s="1"/>
      <c r="J2217" s="1"/>
    </row>
    <row r="2218" spans="1:10" x14ac:dyDescent="0.35">
      <c r="A2218" s="6" t="s">
        <v>17</v>
      </c>
      <c r="B2218" s="6">
        <f t="shared" si="514"/>
        <v>2035</v>
      </c>
      <c r="C2218" s="1" t="s">
        <v>49</v>
      </c>
      <c r="D2218" s="2" t="s">
        <v>2003</v>
      </c>
      <c r="E2218" s="9" t="str">
        <f t="shared" si="512"/>
        <v>PRBDP'!</v>
      </c>
      <c r="F2218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18" s="6" t="s">
        <v>105</v>
      </c>
      <c r="H2218" s="1"/>
      <c r="I2218" s="1"/>
      <c r="J2218" s="1"/>
    </row>
    <row r="2219" spans="1:10" x14ac:dyDescent="0.35">
      <c r="A2219" s="6" t="s">
        <v>17</v>
      </c>
      <c r="B2219" s="6">
        <f t="shared" si="514"/>
        <v>2036</v>
      </c>
      <c r="C2219" s="1" t="s">
        <v>49</v>
      </c>
      <c r="D2219" s="2" t="s">
        <v>2003</v>
      </c>
      <c r="E2219" s="9" t="str">
        <f t="shared" si="512"/>
        <v>PRBDP'!</v>
      </c>
      <c r="F2219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19" s="6" t="s">
        <v>105</v>
      </c>
      <c r="H2219" s="1"/>
      <c r="I2219" s="1"/>
      <c r="J2219" s="1"/>
    </row>
    <row r="2220" spans="1:10" x14ac:dyDescent="0.35">
      <c r="A2220" s="6" t="s">
        <v>17</v>
      </c>
      <c r="B2220" s="6">
        <f>+B2219+1</f>
        <v>2037</v>
      </c>
      <c r="C2220" s="1" t="s">
        <v>49</v>
      </c>
      <c r="D2220" s="2" t="s">
        <v>2003</v>
      </c>
      <c r="E2220" s="9" t="str">
        <f t="shared" si="512"/>
        <v>PRBDP'!</v>
      </c>
      <c r="F2220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20" s="6" t="s">
        <v>105</v>
      </c>
      <c r="H2220" s="1"/>
      <c r="I2220" s="1"/>
      <c r="J2220" s="1"/>
    </row>
    <row r="2221" spans="1:10" x14ac:dyDescent="0.35">
      <c r="A2221" s="6" t="s">
        <v>17</v>
      </c>
      <c r="B2221" s="6">
        <f t="shared" ref="B2221:B2223" si="515">+B2220+1</f>
        <v>2038</v>
      </c>
      <c r="C2221" s="1" t="s">
        <v>49</v>
      </c>
      <c r="D2221" s="2" t="s">
        <v>2003</v>
      </c>
      <c r="E2221" s="9" t="str">
        <f t="shared" si="512"/>
        <v>PRBDP'!</v>
      </c>
      <c r="F2221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21" s="6" t="s">
        <v>105</v>
      </c>
      <c r="H2221" s="1"/>
      <c r="I2221" s="1"/>
      <c r="J2221" s="1"/>
    </row>
    <row r="2222" spans="1:10" x14ac:dyDescent="0.35">
      <c r="A2222" s="6" t="s">
        <v>17</v>
      </c>
      <c r="B2222" s="6">
        <f t="shared" si="515"/>
        <v>2039</v>
      </c>
      <c r="C2222" s="1" t="s">
        <v>49</v>
      </c>
      <c r="D2222" s="2" t="s">
        <v>2003</v>
      </c>
      <c r="E2222" s="9" t="str">
        <f t="shared" si="512"/>
        <v>PRBDP'!</v>
      </c>
      <c r="F2222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22" s="6" t="s">
        <v>105</v>
      </c>
      <c r="H2222" s="1"/>
      <c r="I2222" s="1"/>
      <c r="J2222" s="1"/>
    </row>
    <row r="2223" spans="1:10" x14ac:dyDescent="0.35">
      <c r="A2223" s="6" t="s">
        <v>17</v>
      </c>
      <c r="B2223" s="6">
        <f t="shared" si="515"/>
        <v>2040</v>
      </c>
      <c r="C2223" s="1" t="s">
        <v>49</v>
      </c>
      <c r="D2223" s="2" t="s">
        <v>2003</v>
      </c>
      <c r="E2223" s="9" t="str">
        <f t="shared" si="512"/>
        <v>PRBDP'!</v>
      </c>
      <c r="F2223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23" s="6" t="s">
        <v>105</v>
      </c>
      <c r="H2223" s="1"/>
      <c r="I2223" s="1"/>
      <c r="J2223" s="1"/>
    </row>
    <row r="2224" spans="1:10" x14ac:dyDescent="0.35">
      <c r="A2224" s="6" t="s">
        <v>17</v>
      </c>
      <c r="B2224" s="6">
        <f>+B2223+1</f>
        <v>2041</v>
      </c>
      <c r="C2224" s="1" t="s">
        <v>49</v>
      </c>
      <c r="D2224" s="2" t="s">
        <v>2003</v>
      </c>
      <c r="E2224" s="9" t="str">
        <f t="shared" si="512"/>
        <v>PRBDP'!</v>
      </c>
      <c r="F2224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24" s="6" t="s">
        <v>105</v>
      </c>
      <c r="H2224" s="1"/>
      <c r="I2224" s="1"/>
      <c r="J2224" s="1"/>
    </row>
    <row r="2225" spans="1:10" x14ac:dyDescent="0.35">
      <c r="A2225" s="6" t="s">
        <v>17</v>
      </c>
      <c r="B2225" s="6">
        <f t="shared" ref="B2225:B2226" si="516">+B2224+1</f>
        <v>2042</v>
      </c>
      <c r="C2225" s="1" t="s">
        <v>49</v>
      </c>
      <c r="D2225" s="2" t="s">
        <v>2003</v>
      </c>
      <c r="E2225" s="9" t="str">
        <f t="shared" si="512"/>
        <v>PRBDP'!</v>
      </c>
      <c r="F2225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25" s="6" t="s">
        <v>105</v>
      </c>
      <c r="H2225" s="1"/>
      <c r="I2225" s="1"/>
      <c r="J2225" s="1"/>
    </row>
    <row r="2226" spans="1:10" x14ac:dyDescent="0.35">
      <c r="A2226" s="6" t="s">
        <v>17</v>
      </c>
      <c r="B2226" s="6">
        <f t="shared" si="516"/>
        <v>2043</v>
      </c>
      <c r="C2226" s="1" t="s">
        <v>49</v>
      </c>
      <c r="D2226" s="2" t="s">
        <v>2003</v>
      </c>
      <c r="E2226" s="9" t="str">
        <f t="shared" si="512"/>
        <v>PRBDP'!</v>
      </c>
      <c r="F2226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26" s="6" t="s">
        <v>105</v>
      </c>
      <c r="H2226" s="1"/>
      <c r="I2226" s="1"/>
      <c r="J2226" s="1"/>
    </row>
    <row r="2227" spans="1:10" x14ac:dyDescent="0.35">
      <c r="A2227" s="6" t="s">
        <v>17</v>
      </c>
      <c r="B2227" s="6">
        <f>+B2226+1</f>
        <v>2044</v>
      </c>
      <c r="C2227" s="1" t="s">
        <v>49</v>
      </c>
      <c r="D2227" s="2" t="s">
        <v>2003</v>
      </c>
      <c r="E2227" s="9" t="str">
        <f t="shared" ref="E2227:E2242" si="517">_xlfn.CONCAT(A2227,"'!")</f>
        <v>PRBDP'!</v>
      </c>
      <c r="F2227" s="5" t="str">
        <f t="shared" ref="F2227:F2242" si="518">_xlfn.CONCAT(D2227," ",E2227)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27" s="6" t="s">
        <v>105</v>
      </c>
      <c r="H2227" s="1"/>
      <c r="I2227" s="1"/>
      <c r="J2227" s="1"/>
    </row>
    <row r="2228" spans="1:10" x14ac:dyDescent="0.35">
      <c r="A2228" s="6" t="s">
        <v>17</v>
      </c>
      <c r="B2228" s="6">
        <f t="shared" ref="B2228:B2242" si="519">+B2227+1</f>
        <v>2045</v>
      </c>
      <c r="C2228" s="1" t="s">
        <v>49</v>
      </c>
      <c r="D2228" s="2" t="s">
        <v>2003</v>
      </c>
      <c r="E2228" s="9" t="str">
        <f t="shared" si="517"/>
        <v>PRBDP'!</v>
      </c>
      <c r="F2228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28" s="6" t="s">
        <v>105</v>
      </c>
      <c r="H2228" s="1"/>
      <c r="I2228" s="1"/>
      <c r="J2228" s="1"/>
    </row>
    <row r="2229" spans="1:10" x14ac:dyDescent="0.35">
      <c r="A2229" s="6" t="s">
        <v>17</v>
      </c>
      <c r="B2229" s="6">
        <f t="shared" si="519"/>
        <v>2046</v>
      </c>
      <c r="C2229" s="1" t="s">
        <v>49</v>
      </c>
      <c r="D2229" s="2" t="s">
        <v>2003</v>
      </c>
      <c r="E2229" s="9" t="str">
        <f t="shared" si="517"/>
        <v>PRBDP'!</v>
      </c>
      <c r="F2229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29" s="6" t="s">
        <v>105</v>
      </c>
      <c r="H2229" s="1"/>
      <c r="I2229" s="1"/>
      <c r="J2229" s="1"/>
    </row>
    <row r="2230" spans="1:10" x14ac:dyDescent="0.35">
      <c r="A2230" s="6" t="s">
        <v>17</v>
      </c>
      <c r="B2230" s="6">
        <f t="shared" si="519"/>
        <v>2047</v>
      </c>
      <c r="C2230" s="1" t="s">
        <v>49</v>
      </c>
      <c r="D2230" s="2" t="s">
        <v>2003</v>
      </c>
      <c r="E2230" s="9" t="str">
        <f t="shared" si="517"/>
        <v>PRBDP'!</v>
      </c>
      <c r="F2230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30" s="6" t="s">
        <v>105</v>
      </c>
      <c r="H2230" s="1"/>
      <c r="I2230" s="1"/>
      <c r="J2230" s="1"/>
    </row>
    <row r="2231" spans="1:10" x14ac:dyDescent="0.35">
      <c r="A2231" s="6" t="s">
        <v>17</v>
      </c>
      <c r="B2231" s="6">
        <f t="shared" si="519"/>
        <v>2048</v>
      </c>
      <c r="C2231" s="1" t="s">
        <v>49</v>
      </c>
      <c r="D2231" s="2" t="s">
        <v>2003</v>
      </c>
      <c r="E2231" s="9" t="str">
        <f t="shared" si="517"/>
        <v>PRBDP'!</v>
      </c>
      <c r="F2231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31" s="6" t="s">
        <v>105</v>
      </c>
      <c r="H2231" s="1"/>
      <c r="I2231" s="1"/>
      <c r="J2231" s="1"/>
    </row>
    <row r="2232" spans="1:10" x14ac:dyDescent="0.35">
      <c r="A2232" s="6" t="s">
        <v>17</v>
      </c>
      <c r="B2232" s="6">
        <f t="shared" si="519"/>
        <v>2049</v>
      </c>
      <c r="C2232" s="1" t="s">
        <v>49</v>
      </c>
      <c r="D2232" s="2" t="s">
        <v>2003</v>
      </c>
      <c r="E2232" s="9" t="str">
        <f t="shared" si="517"/>
        <v>PRBDP'!</v>
      </c>
      <c r="F2232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32" s="6" t="s">
        <v>105</v>
      </c>
      <c r="H2232" s="1"/>
      <c r="I2232" s="1"/>
      <c r="J2232" s="1"/>
    </row>
    <row r="2233" spans="1:10" x14ac:dyDescent="0.35">
      <c r="A2233" s="6" t="s">
        <v>17</v>
      </c>
      <c r="B2233" s="6">
        <f t="shared" si="519"/>
        <v>2050</v>
      </c>
      <c r="C2233" s="1" t="s">
        <v>49</v>
      </c>
      <c r="D2233" s="2" t="s">
        <v>2003</v>
      </c>
      <c r="E2233" s="9" t="str">
        <f t="shared" si="517"/>
        <v>PRBDP'!</v>
      </c>
      <c r="F2233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33" s="6" t="s">
        <v>105</v>
      </c>
      <c r="H2233" s="1"/>
      <c r="I2233" s="1"/>
      <c r="J2233" s="1"/>
    </row>
    <row r="2234" spans="1:10" x14ac:dyDescent="0.35">
      <c r="A2234" s="6" t="s">
        <v>17</v>
      </c>
      <c r="B2234" s="6">
        <f t="shared" si="519"/>
        <v>2051</v>
      </c>
      <c r="C2234" s="1" t="s">
        <v>49</v>
      </c>
      <c r="D2234" s="2" t="s">
        <v>2003</v>
      </c>
      <c r="E2234" s="9" t="str">
        <f t="shared" si="517"/>
        <v>PRBDP'!</v>
      </c>
      <c r="F2234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34" s="6" t="s">
        <v>105</v>
      </c>
      <c r="H2234" s="1"/>
      <c r="I2234" s="1"/>
      <c r="J2234" s="1"/>
    </row>
    <row r="2235" spans="1:10" x14ac:dyDescent="0.35">
      <c r="A2235" s="6" t="s">
        <v>17</v>
      </c>
      <c r="B2235" s="6">
        <f t="shared" si="519"/>
        <v>2052</v>
      </c>
      <c r="C2235" s="1" t="s">
        <v>49</v>
      </c>
      <c r="D2235" s="2" t="s">
        <v>2003</v>
      </c>
      <c r="E2235" s="9" t="str">
        <f t="shared" si="517"/>
        <v>PRBDP'!</v>
      </c>
      <c r="F2235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35" s="6" t="s">
        <v>105</v>
      </c>
      <c r="H2235" s="1"/>
      <c r="I2235" s="1"/>
      <c r="J2235" s="1"/>
    </row>
    <row r="2236" spans="1:10" x14ac:dyDescent="0.35">
      <c r="A2236" s="6" t="s">
        <v>17</v>
      </c>
      <c r="B2236" s="6">
        <f t="shared" si="519"/>
        <v>2053</v>
      </c>
      <c r="C2236" s="1" t="s">
        <v>49</v>
      </c>
      <c r="D2236" s="2" t="s">
        <v>2003</v>
      </c>
      <c r="E2236" s="9" t="str">
        <f t="shared" si="517"/>
        <v>PRBDP'!</v>
      </c>
      <c r="F2236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36" s="6" t="s">
        <v>105</v>
      </c>
      <c r="H2236" s="1"/>
      <c r="I2236" s="1"/>
      <c r="J2236" s="1"/>
    </row>
    <row r="2237" spans="1:10" x14ac:dyDescent="0.35">
      <c r="A2237" s="6" t="s">
        <v>17</v>
      </c>
      <c r="B2237" s="6">
        <f t="shared" si="519"/>
        <v>2054</v>
      </c>
      <c r="C2237" s="1" t="s">
        <v>49</v>
      </c>
      <c r="D2237" s="2" t="s">
        <v>2003</v>
      </c>
      <c r="E2237" s="9" t="str">
        <f t="shared" si="517"/>
        <v>PRBDP'!</v>
      </c>
      <c r="F2237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37" s="6" t="s">
        <v>105</v>
      </c>
      <c r="H2237" s="1"/>
      <c r="I2237" s="1"/>
      <c r="J2237" s="1"/>
    </row>
    <row r="2238" spans="1:10" x14ac:dyDescent="0.35">
      <c r="A2238" s="6" t="s">
        <v>17</v>
      </c>
      <c r="B2238" s="6">
        <f t="shared" si="519"/>
        <v>2055</v>
      </c>
      <c r="C2238" s="1" t="s">
        <v>49</v>
      </c>
      <c r="D2238" s="2" t="s">
        <v>2003</v>
      </c>
      <c r="E2238" s="9" t="str">
        <f t="shared" si="517"/>
        <v>PRBDP'!</v>
      </c>
      <c r="F2238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38" s="6" t="s">
        <v>105</v>
      </c>
      <c r="H2238" s="1"/>
      <c r="I2238" s="1"/>
      <c r="J2238" s="1"/>
    </row>
    <row r="2239" spans="1:10" x14ac:dyDescent="0.35">
      <c r="A2239" s="6" t="s">
        <v>17</v>
      </c>
      <c r="B2239" s="6">
        <f t="shared" si="519"/>
        <v>2056</v>
      </c>
      <c r="C2239" s="1" t="s">
        <v>49</v>
      </c>
      <c r="D2239" s="2" t="s">
        <v>2003</v>
      </c>
      <c r="E2239" s="9" t="str">
        <f t="shared" si="517"/>
        <v>PRBDP'!</v>
      </c>
      <c r="F2239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39" s="6" t="s">
        <v>105</v>
      </c>
      <c r="H2239" s="1"/>
      <c r="I2239" s="1"/>
      <c r="J2239" s="1"/>
    </row>
    <row r="2240" spans="1:10" x14ac:dyDescent="0.35">
      <c r="A2240" s="6" t="s">
        <v>17</v>
      </c>
      <c r="B2240" s="6">
        <f t="shared" si="519"/>
        <v>2057</v>
      </c>
      <c r="C2240" s="1" t="s">
        <v>49</v>
      </c>
      <c r="D2240" s="2" t="s">
        <v>2003</v>
      </c>
      <c r="E2240" s="9" t="str">
        <f t="shared" si="517"/>
        <v>PRBDP'!</v>
      </c>
      <c r="F2240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40" s="6" t="s">
        <v>105</v>
      </c>
      <c r="H2240" s="1"/>
      <c r="I2240" s="1"/>
      <c r="J2240" s="1"/>
    </row>
    <row r="2241" spans="1:10" x14ac:dyDescent="0.35">
      <c r="A2241" s="6" t="s">
        <v>17</v>
      </c>
      <c r="B2241" s="6">
        <f t="shared" si="519"/>
        <v>2058</v>
      </c>
      <c r="C2241" s="1" t="s">
        <v>49</v>
      </c>
      <c r="D2241" s="2" t="s">
        <v>2003</v>
      </c>
      <c r="E2241" s="9" t="str">
        <f t="shared" si="517"/>
        <v>PRBDP'!</v>
      </c>
      <c r="F2241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41" s="6" t="s">
        <v>105</v>
      </c>
      <c r="H2241" s="1"/>
      <c r="I2241" s="1"/>
      <c r="J2241" s="1"/>
    </row>
    <row r="2242" spans="1:10" x14ac:dyDescent="0.35">
      <c r="A2242" s="6" t="s">
        <v>17</v>
      </c>
      <c r="B2242" s="6">
        <f t="shared" si="519"/>
        <v>2059</v>
      </c>
      <c r="C2242" s="1" t="s">
        <v>49</v>
      </c>
      <c r="D2242" s="2" t="s">
        <v>2003</v>
      </c>
      <c r="E2242" s="9" t="str">
        <f t="shared" si="517"/>
        <v>PRBDP'!</v>
      </c>
      <c r="F2242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42" s="6" t="s">
        <v>105</v>
      </c>
      <c r="H2242" s="1"/>
      <c r="I2242" s="1"/>
      <c r="J2242" s="1"/>
    </row>
    <row r="2243" spans="1:10" x14ac:dyDescent="0.35">
      <c r="A2243" s="6" t="s">
        <v>26</v>
      </c>
      <c r="B2243" s="6"/>
      <c r="C2243" s="1" t="s">
        <v>49</v>
      </c>
      <c r="D2243" s="2"/>
      <c r="E2243" s="9"/>
      <c r="F2243" s="5"/>
      <c r="G2243" s="6"/>
      <c r="H2243" s="1"/>
      <c r="I2243" s="1"/>
      <c r="J2243" s="1"/>
    </row>
    <row r="2244" spans="1:10" x14ac:dyDescent="0.35">
      <c r="A2244" s="6" t="s">
        <v>18</v>
      </c>
      <c r="B2244" s="6">
        <v>2023</v>
      </c>
      <c r="C2244" s="1" t="s">
        <v>49</v>
      </c>
      <c r="D2244" s="2" t="s">
        <v>2003</v>
      </c>
      <c r="E2244" s="9" t="str">
        <f t="shared" ref="E2244:E2264" si="520">_xlfn.CONCAT(A2244,"'!")</f>
        <v>PRBNP'!</v>
      </c>
      <c r="F2244" s="5" t="str">
        <f t="shared" ref="F2244:F2264" si="521">_xlfn.CONCAT(D2244," ",E2244)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44" s="6" t="s">
        <v>105</v>
      </c>
      <c r="H2244" s="1"/>
      <c r="I2244" s="1"/>
      <c r="J2244" s="1"/>
    </row>
    <row r="2245" spans="1:10" x14ac:dyDescent="0.35">
      <c r="A2245" s="6" t="s">
        <v>18</v>
      </c>
      <c r="B2245" s="6">
        <f>+B2244+1</f>
        <v>2024</v>
      </c>
      <c r="C2245" s="1" t="s">
        <v>49</v>
      </c>
      <c r="D2245" s="2" t="s">
        <v>2003</v>
      </c>
      <c r="E2245" s="9" t="str">
        <f t="shared" si="520"/>
        <v>PRBNP'!</v>
      </c>
      <c r="F2245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45" s="6" t="s">
        <v>105</v>
      </c>
      <c r="H2245" s="1"/>
      <c r="I2245" s="1"/>
      <c r="J2245" s="1"/>
    </row>
    <row r="2246" spans="1:10" x14ac:dyDescent="0.35">
      <c r="A2246" s="6" t="s">
        <v>18</v>
      </c>
      <c r="B2246" s="6">
        <f t="shared" ref="B2246:B2257" si="522">+B2245+1</f>
        <v>2025</v>
      </c>
      <c r="C2246" s="1" t="s">
        <v>49</v>
      </c>
      <c r="D2246" s="2" t="s">
        <v>2003</v>
      </c>
      <c r="E2246" s="9" t="str">
        <f t="shared" si="520"/>
        <v>PRBNP'!</v>
      </c>
      <c r="F2246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46" s="6" t="s">
        <v>105</v>
      </c>
      <c r="H2246" s="1"/>
      <c r="I2246" s="1"/>
      <c r="J2246" s="1"/>
    </row>
    <row r="2247" spans="1:10" x14ac:dyDescent="0.35">
      <c r="A2247" s="6" t="s">
        <v>18</v>
      </c>
      <c r="B2247" s="6">
        <f t="shared" si="522"/>
        <v>2026</v>
      </c>
      <c r="C2247" s="1" t="s">
        <v>49</v>
      </c>
      <c r="D2247" s="2" t="s">
        <v>2003</v>
      </c>
      <c r="E2247" s="9" t="str">
        <f t="shared" si="520"/>
        <v>PRBNP'!</v>
      </c>
      <c r="F2247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47" s="6" t="s">
        <v>105</v>
      </c>
      <c r="H2247" s="1"/>
      <c r="I2247" s="1"/>
      <c r="J2247" s="1"/>
    </row>
    <row r="2248" spans="1:10" x14ac:dyDescent="0.35">
      <c r="A2248" s="6" t="s">
        <v>18</v>
      </c>
      <c r="B2248" s="6">
        <f t="shared" si="522"/>
        <v>2027</v>
      </c>
      <c r="C2248" s="1" t="s">
        <v>49</v>
      </c>
      <c r="D2248" s="2" t="s">
        <v>2003</v>
      </c>
      <c r="E2248" s="9" t="str">
        <f t="shared" si="520"/>
        <v>PRBNP'!</v>
      </c>
      <c r="F2248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48" s="6" t="s">
        <v>105</v>
      </c>
      <c r="H2248" s="1"/>
      <c r="I2248" s="1"/>
      <c r="J2248" s="1"/>
    </row>
    <row r="2249" spans="1:10" x14ac:dyDescent="0.35">
      <c r="A2249" s="6" t="s">
        <v>18</v>
      </c>
      <c r="B2249" s="6">
        <f t="shared" si="522"/>
        <v>2028</v>
      </c>
      <c r="C2249" s="1" t="s">
        <v>49</v>
      </c>
      <c r="D2249" s="2" t="s">
        <v>2003</v>
      </c>
      <c r="E2249" s="9" t="str">
        <f t="shared" si="520"/>
        <v>PRBNP'!</v>
      </c>
      <c r="F2249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49" s="6" t="s">
        <v>105</v>
      </c>
      <c r="H2249" s="1"/>
      <c r="I2249" s="1"/>
      <c r="J2249" s="1"/>
    </row>
    <row r="2250" spans="1:10" x14ac:dyDescent="0.35">
      <c r="A2250" s="6" t="s">
        <v>18</v>
      </c>
      <c r="B2250" s="6">
        <f t="shared" si="522"/>
        <v>2029</v>
      </c>
      <c r="C2250" s="1" t="s">
        <v>49</v>
      </c>
      <c r="D2250" s="2" t="s">
        <v>2003</v>
      </c>
      <c r="E2250" s="9" t="str">
        <f t="shared" si="520"/>
        <v>PRBNP'!</v>
      </c>
      <c r="F2250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50" s="6" t="s">
        <v>105</v>
      </c>
      <c r="H2250" s="1"/>
      <c r="I2250" s="1"/>
      <c r="J2250" s="1"/>
    </row>
    <row r="2251" spans="1:10" x14ac:dyDescent="0.35">
      <c r="A2251" s="6" t="s">
        <v>18</v>
      </c>
      <c r="B2251" s="6">
        <f t="shared" si="522"/>
        <v>2030</v>
      </c>
      <c r="C2251" s="1" t="s">
        <v>49</v>
      </c>
      <c r="D2251" s="2" t="s">
        <v>2003</v>
      </c>
      <c r="E2251" s="9" t="str">
        <f t="shared" si="520"/>
        <v>PRBNP'!</v>
      </c>
      <c r="F2251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51" s="6" t="s">
        <v>105</v>
      </c>
      <c r="H2251" s="1"/>
      <c r="I2251" s="1"/>
      <c r="J2251" s="1"/>
    </row>
    <row r="2252" spans="1:10" x14ac:dyDescent="0.35">
      <c r="A2252" s="6" t="s">
        <v>18</v>
      </c>
      <c r="B2252" s="6">
        <f t="shared" si="522"/>
        <v>2031</v>
      </c>
      <c r="C2252" s="1" t="s">
        <v>49</v>
      </c>
      <c r="D2252" s="2" t="s">
        <v>2003</v>
      </c>
      <c r="E2252" s="9" t="str">
        <f t="shared" si="520"/>
        <v>PRBNP'!</v>
      </c>
      <c r="F2252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52" s="6" t="s">
        <v>105</v>
      </c>
      <c r="H2252" s="1"/>
      <c r="I2252" s="1"/>
      <c r="J2252" s="1"/>
    </row>
    <row r="2253" spans="1:10" x14ac:dyDescent="0.35">
      <c r="A2253" s="6" t="s">
        <v>18</v>
      </c>
      <c r="B2253" s="6">
        <f t="shared" si="522"/>
        <v>2032</v>
      </c>
      <c r="C2253" s="1" t="s">
        <v>49</v>
      </c>
      <c r="D2253" s="2" t="s">
        <v>2003</v>
      </c>
      <c r="E2253" s="9" t="str">
        <f t="shared" si="520"/>
        <v>PRBNP'!</v>
      </c>
      <c r="F2253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53" s="6" t="s">
        <v>105</v>
      </c>
      <c r="H2253" s="1"/>
      <c r="I2253" s="1"/>
      <c r="J2253" s="1"/>
    </row>
    <row r="2254" spans="1:10" x14ac:dyDescent="0.35">
      <c r="A2254" s="6" t="s">
        <v>18</v>
      </c>
      <c r="B2254" s="6">
        <f t="shared" si="522"/>
        <v>2033</v>
      </c>
      <c r="C2254" s="1" t="s">
        <v>49</v>
      </c>
      <c r="D2254" s="2" t="s">
        <v>2003</v>
      </c>
      <c r="E2254" s="9" t="str">
        <f t="shared" si="520"/>
        <v>PRBNP'!</v>
      </c>
      <c r="F2254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54" s="6" t="s">
        <v>105</v>
      </c>
      <c r="H2254" s="1"/>
      <c r="I2254" s="1"/>
      <c r="J2254" s="1"/>
    </row>
    <row r="2255" spans="1:10" x14ac:dyDescent="0.35">
      <c r="A2255" s="6" t="s">
        <v>18</v>
      </c>
      <c r="B2255" s="6">
        <f t="shared" si="522"/>
        <v>2034</v>
      </c>
      <c r="C2255" s="1" t="s">
        <v>49</v>
      </c>
      <c r="D2255" s="2" t="s">
        <v>2003</v>
      </c>
      <c r="E2255" s="9" t="str">
        <f t="shared" si="520"/>
        <v>PRBNP'!</v>
      </c>
      <c r="F2255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55" s="6" t="s">
        <v>105</v>
      </c>
      <c r="H2255" s="1"/>
      <c r="I2255" s="1"/>
      <c r="J2255" s="1"/>
    </row>
    <row r="2256" spans="1:10" x14ac:dyDescent="0.35">
      <c r="A2256" s="6" t="s">
        <v>18</v>
      </c>
      <c r="B2256" s="6">
        <f t="shared" si="522"/>
        <v>2035</v>
      </c>
      <c r="C2256" s="1" t="s">
        <v>49</v>
      </c>
      <c r="D2256" s="2" t="s">
        <v>2003</v>
      </c>
      <c r="E2256" s="9" t="str">
        <f t="shared" si="520"/>
        <v>PRBNP'!</v>
      </c>
      <c r="F2256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56" s="6" t="s">
        <v>105</v>
      </c>
      <c r="H2256" s="1"/>
      <c r="I2256" s="1"/>
      <c r="J2256" s="1"/>
    </row>
    <row r="2257" spans="1:10" x14ac:dyDescent="0.35">
      <c r="A2257" s="6" t="s">
        <v>18</v>
      </c>
      <c r="B2257" s="6">
        <f t="shared" si="522"/>
        <v>2036</v>
      </c>
      <c r="C2257" s="1" t="s">
        <v>49</v>
      </c>
      <c r="D2257" s="2" t="s">
        <v>2003</v>
      </c>
      <c r="E2257" s="9" t="str">
        <f t="shared" si="520"/>
        <v>PRBNP'!</v>
      </c>
      <c r="F2257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57" s="6" t="s">
        <v>105</v>
      </c>
      <c r="H2257" s="1"/>
      <c r="I2257" s="1"/>
      <c r="J2257" s="1"/>
    </row>
    <row r="2258" spans="1:10" x14ac:dyDescent="0.35">
      <c r="A2258" s="6" t="s">
        <v>18</v>
      </c>
      <c r="B2258" s="6">
        <f>+B2257+1</f>
        <v>2037</v>
      </c>
      <c r="C2258" s="1" t="s">
        <v>49</v>
      </c>
      <c r="D2258" s="2" t="s">
        <v>2003</v>
      </c>
      <c r="E2258" s="9" t="str">
        <f t="shared" si="520"/>
        <v>PRBNP'!</v>
      </c>
      <c r="F2258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58" s="6" t="s">
        <v>105</v>
      </c>
      <c r="H2258" s="1"/>
      <c r="I2258" s="1"/>
      <c r="J2258" s="1"/>
    </row>
    <row r="2259" spans="1:10" x14ac:dyDescent="0.35">
      <c r="A2259" s="6" t="s">
        <v>18</v>
      </c>
      <c r="B2259" s="6">
        <f t="shared" ref="B2259:B2261" si="523">+B2258+1</f>
        <v>2038</v>
      </c>
      <c r="C2259" s="1" t="s">
        <v>49</v>
      </c>
      <c r="D2259" s="2" t="s">
        <v>2003</v>
      </c>
      <c r="E2259" s="9" t="str">
        <f t="shared" si="520"/>
        <v>PRBNP'!</v>
      </c>
      <c r="F2259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59" s="6" t="s">
        <v>105</v>
      </c>
      <c r="H2259" s="1"/>
      <c r="I2259" s="1"/>
      <c r="J2259" s="1"/>
    </row>
    <row r="2260" spans="1:10" x14ac:dyDescent="0.35">
      <c r="A2260" s="6" t="s">
        <v>18</v>
      </c>
      <c r="B2260" s="6">
        <f t="shared" si="523"/>
        <v>2039</v>
      </c>
      <c r="C2260" s="1" t="s">
        <v>49</v>
      </c>
      <c r="D2260" s="2" t="s">
        <v>2003</v>
      </c>
      <c r="E2260" s="9" t="str">
        <f t="shared" si="520"/>
        <v>PRBNP'!</v>
      </c>
      <c r="F2260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60" s="6" t="s">
        <v>105</v>
      </c>
      <c r="H2260" s="1"/>
      <c r="I2260" s="1"/>
      <c r="J2260" s="1"/>
    </row>
    <row r="2261" spans="1:10" x14ac:dyDescent="0.35">
      <c r="A2261" s="6" t="s">
        <v>18</v>
      </c>
      <c r="B2261" s="6">
        <f t="shared" si="523"/>
        <v>2040</v>
      </c>
      <c r="C2261" s="1" t="s">
        <v>49</v>
      </c>
      <c r="D2261" s="2" t="s">
        <v>2003</v>
      </c>
      <c r="E2261" s="9" t="str">
        <f t="shared" si="520"/>
        <v>PRBNP'!</v>
      </c>
      <c r="F2261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61" s="6" t="s">
        <v>105</v>
      </c>
      <c r="H2261" s="1"/>
      <c r="I2261" s="1"/>
      <c r="J2261" s="1"/>
    </row>
    <row r="2262" spans="1:10" x14ac:dyDescent="0.35">
      <c r="A2262" s="6" t="s">
        <v>18</v>
      </c>
      <c r="B2262" s="6">
        <f>+B2261+1</f>
        <v>2041</v>
      </c>
      <c r="C2262" s="1" t="s">
        <v>49</v>
      </c>
      <c r="D2262" s="2" t="s">
        <v>2003</v>
      </c>
      <c r="E2262" s="9" t="str">
        <f t="shared" si="520"/>
        <v>PRBNP'!</v>
      </c>
      <c r="F2262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62" s="6" t="s">
        <v>105</v>
      </c>
      <c r="H2262" s="1"/>
      <c r="I2262" s="1"/>
      <c r="J2262" s="1"/>
    </row>
    <row r="2263" spans="1:10" x14ac:dyDescent="0.35">
      <c r="A2263" s="6" t="s">
        <v>18</v>
      </c>
      <c r="B2263" s="6">
        <f t="shared" ref="B2263:B2264" si="524">+B2262+1</f>
        <v>2042</v>
      </c>
      <c r="C2263" s="1" t="s">
        <v>49</v>
      </c>
      <c r="D2263" s="2" t="s">
        <v>2003</v>
      </c>
      <c r="E2263" s="9" t="str">
        <f t="shared" si="520"/>
        <v>PRBNP'!</v>
      </c>
      <c r="F2263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63" s="6" t="s">
        <v>105</v>
      </c>
      <c r="H2263" s="1"/>
      <c r="I2263" s="1"/>
      <c r="J2263" s="1"/>
    </row>
    <row r="2264" spans="1:10" x14ac:dyDescent="0.35">
      <c r="A2264" s="6" t="s">
        <v>18</v>
      </c>
      <c r="B2264" s="6">
        <f t="shared" si="524"/>
        <v>2043</v>
      </c>
      <c r="C2264" s="1" t="s">
        <v>49</v>
      </c>
      <c r="D2264" s="2" t="s">
        <v>2003</v>
      </c>
      <c r="E2264" s="9" t="str">
        <f t="shared" si="520"/>
        <v>PRBNP'!</v>
      </c>
      <c r="F2264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64" s="6" t="s">
        <v>105</v>
      </c>
      <c r="H2264" s="1"/>
      <c r="I2264" s="1"/>
      <c r="J2264" s="1"/>
    </row>
    <row r="2265" spans="1:10" x14ac:dyDescent="0.35">
      <c r="A2265" s="6" t="s">
        <v>18</v>
      </c>
      <c r="B2265" s="6">
        <f>+B2264+1</f>
        <v>2044</v>
      </c>
      <c r="C2265" s="1" t="s">
        <v>49</v>
      </c>
      <c r="D2265" s="2" t="s">
        <v>2003</v>
      </c>
      <c r="E2265" s="9" t="str">
        <f t="shared" ref="E2265:E2280" si="525">_xlfn.CONCAT(A2265,"'!")</f>
        <v>PRBNP'!</v>
      </c>
      <c r="F2265" s="5" t="str">
        <f t="shared" ref="F2265:F2280" si="526">_xlfn.CONCAT(D2265," ",E2265)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65" s="6" t="s">
        <v>105</v>
      </c>
      <c r="H2265" s="1"/>
      <c r="I2265" s="1"/>
      <c r="J2265" s="1"/>
    </row>
    <row r="2266" spans="1:10" x14ac:dyDescent="0.35">
      <c r="A2266" s="6" t="s">
        <v>18</v>
      </c>
      <c r="B2266" s="6">
        <f t="shared" ref="B2266:B2280" si="527">+B2265+1</f>
        <v>2045</v>
      </c>
      <c r="C2266" s="1" t="s">
        <v>49</v>
      </c>
      <c r="D2266" s="2" t="s">
        <v>2003</v>
      </c>
      <c r="E2266" s="9" t="str">
        <f t="shared" si="525"/>
        <v>PRBNP'!</v>
      </c>
      <c r="F2266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66" s="6" t="s">
        <v>105</v>
      </c>
      <c r="H2266" s="1"/>
      <c r="I2266" s="1"/>
      <c r="J2266" s="1"/>
    </row>
    <row r="2267" spans="1:10" x14ac:dyDescent="0.35">
      <c r="A2267" s="6" t="s">
        <v>18</v>
      </c>
      <c r="B2267" s="6">
        <f t="shared" si="527"/>
        <v>2046</v>
      </c>
      <c r="C2267" s="1" t="s">
        <v>49</v>
      </c>
      <c r="D2267" s="2" t="s">
        <v>2003</v>
      </c>
      <c r="E2267" s="9" t="str">
        <f t="shared" si="525"/>
        <v>PRBNP'!</v>
      </c>
      <c r="F2267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67" s="6" t="s">
        <v>105</v>
      </c>
      <c r="H2267" s="1"/>
      <c r="I2267" s="1"/>
      <c r="J2267" s="1"/>
    </row>
    <row r="2268" spans="1:10" x14ac:dyDescent="0.35">
      <c r="A2268" s="6" t="s">
        <v>18</v>
      </c>
      <c r="B2268" s="6">
        <f t="shared" si="527"/>
        <v>2047</v>
      </c>
      <c r="C2268" s="1" t="s">
        <v>49</v>
      </c>
      <c r="D2268" s="2" t="s">
        <v>2003</v>
      </c>
      <c r="E2268" s="9" t="str">
        <f t="shared" si="525"/>
        <v>PRBNP'!</v>
      </c>
      <c r="F2268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68" s="6" t="s">
        <v>105</v>
      </c>
      <c r="H2268" s="1"/>
      <c r="I2268" s="1"/>
      <c r="J2268" s="1"/>
    </row>
    <row r="2269" spans="1:10" x14ac:dyDescent="0.35">
      <c r="A2269" s="6" t="s">
        <v>18</v>
      </c>
      <c r="B2269" s="6">
        <f t="shared" si="527"/>
        <v>2048</v>
      </c>
      <c r="C2269" s="1" t="s">
        <v>49</v>
      </c>
      <c r="D2269" s="2" t="s">
        <v>2003</v>
      </c>
      <c r="E2269" s="9" t="str">
        <f t="shared" si="525"/>
        <v>PRBNP'!</v>
      </c>
      <c r="F2269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69" s="6" t="s">
        <v>105</v>
      </c>
      <c r="H2269" s="1"/>
      <c r="I2269" s="1"/>
      <c r="J2269" s="1"/>
    </row>
    <row r="2270" spans="1:10" x14ac:dyDescent="0.35">
      <c r="A2270" s="6" t="s">
        <v>18</v>
      </c>
      <c r="B2270" s="6">
        <f t="shared" si="527"/>
        <v>2049</v>
      </c>
      <c r="C2270" s="1" t="s">
        <v>49</v>
      </c>
      <c r="D2270" s="2" t="s">
        <v>2003</v>
      </c>
      <c r="E2270" s="9" t="str">
        <f t="shared" si="525"/>
        <v>PRBNP'!</v>
      </c>
      <c r="F2270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70" s="6" t="s">
        <v>105</v>
      </c>
      <c r="H2270" s="1"/>
      <c r="I2270" s="1"/>
      <c r="J2270" s="1"/>
    </row>
    <row r="2271" spans="1:10" x14ac:dyDescent="0.35">
      <c r="A2271" s="6" t="s">
        <v>18</v>
      </c>
      <c r="B2271" s="6">
        <f t="shared" si="527"/>
        <v>2050</v>
      </c>
      <c r="C2271" s="1" t="s">
        <v>49</v>
      </c>
      <c r="D2271" s="2" t="s">
        <v>2003</v>
      </c>
      <c r="E2271" s="9" t="str">
        <f t="shared" si="525"/>
        <v>PRBNP'!</v>
      </c>
      <c r="F2271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71" s="6" t="s">
        <v>105</v>
      </c>
      <c r="H2271" s="1"/>
      <c r="I2271" s="1"/>
      <c r="J2271" s="1"/>
    </row>
    <row r="2272" spans="1:10" x14ac:dyDescent="0.35">
      <c r="A2272" s="6" t="s">
        <v>18</v>
      </c>
      <c r="B2272" s="6">
        <f t="shared" si="527"/>
        <v>2051</v>
      </c>
      <c r="C2272" s="1" t="s">
        <v>49</v>
      </c>
      <c r="D2272" s="2" t="s">
        <v>2003</v>
      </c>
      <c r="E2272" s="9" t="str">
        <f t="shared" si="525"/>
        <v>PRBNP'!</v>
      </c>
      <c r="F2272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72" s="6" t="s">
        <v>105</v>
      </c>
      <c r="H2272" s="1"/>
      <c r="I2272" s="1"/>
      <c r="J2272" s="1"/>
    </row>
    <row r="2273" spans="1:10" x14ac:dyDescent="0.35">
      <c r="A2273" s="6" t="s">
        <v>18</v>
      </c>
      <c r="B2273" s="6">
        <f t="shared" si="527"/>
        <v>2052</v>
      </c>
      <c r="C2273" s="1" t="s">
        <v>49</v>
      </c>
      <c r="D2273" s="2" t="s">
        <v>2003</v>
      </c>
      <c r="E2273" s="9" t="str">
        <f t="shared" si="525"/>
        <v>PRBNP'!</v>
      </c>
      <c r="F2273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73" s="6" t="s">
        <v>105</v>
      </c>
      <c r="H2273" s="1"/>
      <c r="I2273" s="1"/>
      <c r="J2273" s="1"/>
    </row>
    <row r="2274" spans="1:10" x14ac:dyDescent="0.35">
      <c r="A2274" s="6" t="s">
        <v>18</v>
      </c>
      <c r="B2274" s="6">
        <f t="shared" si="527"/>
        <v>2053</v>
      </c>
      <c r="C2274" s="1" t="s">
        <v>49</v>
      </c>
      <c r="D2274" s="2" t="s">
        <v>2003</v>
      </c>
      <c r="E2274" s="9" t="str">
        <f t="shared" si="525"/>
        <v>PRBNP'!</v>
      </c>
      <c r="F2274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74" s="6" t="s">
        <v>105</v>
      </c>
      <c r="H2274" s="1"/>
      <c r="I2274" s="1"/>
      <c r="J2274" s="1"/>
    </row>
    <row r="2275" spans="1:10" x14ac:dyDescent="0.35">
      <c r="A2275" s="6" t="s">
        <v>18</v>
      </c>
      <c r="B2275" s="6">
        <f t="shared" si="527"/>
        <v>2054</v>
      </c>
      <c r="C2275" s="1" t="s">
        <v>49</v>
      </c>
      <c r="D2275" s="2" t="s">
        <v>2003</v>
      </c>
      <c r="E2275" s="9" t="str">
        <f t="shared" si="525"/>
        <v>PRBNP'!</v>
      </c>
      <c r="F2275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75" s="6" t="s">
        <v>105</v>
      </c>
      <c r="H2275" s="1"/>
      <c r="I2275" s="1"/>
      <c r="J2275" s="1"/>
    </row>
    <row r="2276" spans="1:10" x14ac:dyDescent="0.35">
      <c r="A2276" s="6" t="s">
        <v>18</v>
      </c>
      <c r="B2276" s="6">
        <f t="shared" si="527"/>
        <v>2055</v>
      </c>
      <c r="C2276" s="1" t="s">
        <v>49</v>
      </c>
      <c r="D2276" s="2" t="s">
        <v>2003</v>
      </c>
      <c r="E2276" s="9" t="str">
        <f t="shared" si="525"/>
        <v>PRBNP'!</v>
      </c>
      <c r="F2276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76" s="6" t="s">
        <v>105</v>
      </c>
      <c r="H2276" s="1"/>
      <c r="I2276" s="1"/>
      <c r="J2276" s="1"/>
    </row>
    <row r="2277" spans="1:10" x14ac:dyDescent="0.35">
      <c r="A2277" s="6" t="s">
        <v>18</v>
      </c>
      <c r="B2277" s="6">
        <f t="shared" si="527"/>
        <v>2056</v>
      </c>
      <c r="C2277" s="1" t="s">
        <v>49</v>
      </c>
      <c r="D2277" s="2" t="s">
        <v>2003</v>
      </c>
      <c r="E2277" s="9" t="str">
        <f t="shared" si="525"/>
        <v>PRBNP'!</v>
      </c>
      <c r="F2277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77" s="6" t="s">
        <v>105</v>
      </c>
      <c r="H2277" s="1"/>
      <c r="I2277" s="1"/>
      <c r="J2277" s="1"/>
    </row>
    <row r="2278" spans="1:10" x14ac:dyDescent="0.35">
      <c r="A2278" s="6" t="s">
        <v>18</v>
      </c>
      <c r="B2278" s="6">
        <f t="shared" si="527"/>
        <v>2057</v>
      </c>
      <c r="C2278" s="1" t="s">
        <v>49</v>
      </c>
      <c r="D2278" s="2" t="s">
        <v>2003</v>
      </c>
      <c r="E2278" s="9" t="str">
        <f t="shared" si="525"/>
        <v>PRBNP'!</v>
      </c>
      <c r="F2278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78" s="6" t="s">
        <v>105</v>
      </c>
      <c r="H2278" s="1"/>
      <c r="I2278" s="1"/>
      <c r="J2278" s="1"/>
    </row>
    <row r="2279" spans="1:10" x14ac:dyDescent="0.35">
      <c r="A2279" s="6" t="s">
        <v>18</v>
      </c>
      <c r="B2279" s="6">
        <f t="shared" si="527"/>
        <v>2058</v>
      </c>
      <c r="C2279" s="1" t="s">
        <v>49</v>
      </c>
      <c r="D2279" s="2" t="s">
        <v>2003</v>
      </c>
      <c r="E2279" s="9" t="str">
        <f t="shared" si="525"/>
        <v>PRBNP'!</v>
      </c>
      <c r="F2279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79" s="6" t="s">
        <v>105</v>
      </c>
      <c r="H2279" s="1"/>
      <c r="I2279" s="1"/>
      <c r="J2279" s="1"/>
    </row>
    <row r="2280" spans="1:10" x14ac:dyDescent="0.35">
      <c r="A2280" s="6" t="s">
        <v>18</v>
      </c>
      <c r="B2280" s="6">
        <f t="shared" si="527"/>
        <v>2059</v>
      </c>
      <c r="C2280" s="1" t="s">
        <v>49</v>
      </c>
      <c r="D2280" s="2" t="s">
        <v>2003</v>
      </c>
      <c r="E2280" s="9" t="str">
        <f t="shared" si="525"/>
        <v>PRBNP'!</v>
      </c>
      <c r="F2280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80" s="6" t="s">
        <v>105</v>
      </c>
      <c r="H2280" s="1"/>
      <c r="I2280" s="1"/>
      <c r="J2280" s="1"/>
    </row>
    <row r="2281" spans="1:10" x14ac:dyDescent="0.35">
      <c r="A2281" s="6" t="s">
        <v>26</v>
      </c>
      <c r="B2281" s="6"/>
      <c r="C2281" s="1" t="s">
        <v>49</v>
      </c>
      <c r="D2281" s="2"/>
      <c r="E2281" s="9"/>
      <c r="F2281" s="2"/>
      <c r="G2281" s="6"/>
      <c r="H2281" s="1"/>
      <c r="I2281" s="1"/>
      <c r="J2281" s="1"/>
    </row>
    <row r="2282" spans="1:10" x14ac:dyDescent="0.35">
      <c r="A2282" s="6" t="s">
        <v>19</v>
      </c>
      <c r="B2282" s="6">
        <v>2023</v>
      </c>
      <c r="C2282" s="1" t="s">
        <v>49</v>
      </c>
      <c r="D2282" s="2" t="s">
        <v>2003</v>
      </c>
      <c r="E2282" s="9" t="str">
        <f t="shared" ref="E2282:E2302" si="528">_xlfn.CONCAT(A2282,"'!")</f>
        <v>PRBND'!</v>
      </c>
      <c r="F2282" s="5" t="str">
        <f t="shared" ref="F2282:F2302" si="529">_xlfn.CONCAT(D2282," ",E2282)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82" s="6" t="s">
        <v>105</v>
      </c>
      <c r="H2282" s="1"/>
      <c r="I2282" s="1"/>
      <c r="J2282" s="1"/>
    </row>
    <row r="2283" spans="1:10" x14ac:dyDescent="0.35">
      <c r="A2283" s="6" t="s">
        <v>19</v>
      </c>
      <c r="B2283" s="6">
        <f>+B2282+1</f>
        <v>2024</v>
      </c>
      <c r="C2283" s="1" t="s">
        <v>49</v>
      </c>
      <c r="D2283" s="2" t="s">
        <v>2003</v>
      </c>
      <c r="E2283" s="9" t="str">
        <f t="shared" si="528"/>
        <v>PRBND'!</v>
      </c>
      <c r="F2283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83" s="6" t="s">
        <v>105</v>
      </c>
      <c r="H2283" s="1"/>
      <c r="I2283" s="1"/>
      <c r="J2283" s="1"/>
    </row>
    <row r="2284" spans="1:10" x14ac:dyDescent="0.35">
      <c r="A2284" s="6" t="s">
        <v>19</v>
      </c>
      <c r="B2284" s="6">
        <f t="shared" ref="B2284:B2295" si="530">+B2283+1</f>
        <v>2025</v>
      </c>
      <c r="C2284" s="1" t="s">
        <v>49</v>
      </c>
      <c r="D2284" s="2" t="s">
        <v>2003</v>
      </c>
      <c r="E2284" s="9" t="str">
        <f t="shared" si="528"/>
        <v>PRBND'!</v>
      </c>
      <c r="F2284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84" s="6" t="s">
        <v>105</v>
      </c>
      <c r="H2284" s="1"/>
      <c r="I2284" s="1"/>
      <c r="J2284" s="1"/>
    </row>
    <row r="2285" spans="1:10" x14ac:dyDescent="0.35">
      <c r="A2285" s="6" t="s">
        <v>19</v>
      </c>
      <c r="B2285" s="6">
        <f t="shared" si="530"/>
        <v>2026</v>
      </c>
      <c r="C2285" s="1" t="s">
        <v>49</v>
      </c>
      <c r="D2285" s="2" t="s">
        <v>2003</v>
      </c>
      <c r="E2285" s="9" t="str">
        <f t="shared" si="528"/>
        <v>PRBND'!</v>
      </c>
      <c r="F2285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85" s="6" t="s">
        <v>105</v>
      </c>
      <c r="H2285" s="1"/>
      <c r="I2285" s="1"/>
      <c r="J2285" s="1"/>
    </row>
    <row r="2286" spans="1:10" x14ac:dyDescent="0.35">
      <c r="A2286" s="6" t="s">
        <v>19</v>
      </c>
      <c r="B2286" s="6">
        <f t="shared" si="530"/>
        <v>2027</v>
      </c>
      <c r="C2286" s="1" t="s">
        <v>49</v>
      </c>
      <c r="D2286" s="2" t="s">
        <v>2003</v>
      </c>
      <c r="E2286" s="9" t="str">
        <f t="shared" si="528"/>
        <v>PRBND'!</v>
      </c>
      <c r="F2286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86" s="6" t="s">
        <v>105</v>
      </c>
      <c r="H2286" s="1"/>
      <c r="I2286" s="1"/>
      <c r="J2286" s="1"/>
    </row>
    <row r="2287" spans="1:10" x14ac:dyDescent="0.35">
      <c r="A2287" s="6" t="s">
        <v>19</v>
      </c>
      <c r="B2287" s="6">
        <f t="shared" si="530"/>
        <v>2028</v>
      </c>
      <c r="C2287" s="1" t="s">
        <v>49</v>
      </c>
      <c r="D2287" s="2" t="s">
        <v>2003</v>
      </c>
      <c r="E2287" s="9" t="str">
        <f t="shared" si="528"/>
        <v>PRBND'!</v>
      </c>
      <c r="F2287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87" s="6" t="s">
        <v>105</v>
      </c>
      <c r="H2287" s="1"/>
      <c r="I2287" s="1"/>
      <c r="J2287" s="1"/>
    </row>
    <row r="2288" spans="1:10" x14ac:dyDescent="0.35">
      <c r="A2288" s="6" t="s">
        <v>19</v>
      </c>
      <c r="B2288" s="6">
        <f t="shared" si="530"/>
        <v>2029</v>
      </c>
      <c r="C2288" s="1" t="s">
        <v>49</v>
      </c>
      <c r="D2288" s="2" t="s">
        <v>2003</v>
      </c>
      <c r="E2288" s="9" t="str">
        <f t="shared" si="528"/>
        <v>PRBND'!</v>
      </c>
      <c r="F2288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88" s="6" t="s">
        <v>105</v>
      </c>
      <c r="H2288" s="1"/>
      <c r="I2288" s="1"/>
      <c r="J2288" s="1"/>
    </row>
    <row r="2289" spans="1:10" x14ac:dyDescent="0.35">
      <c r="A2289" s="6" t="s">
        <v>19</v>
      </c>
      <c r="B2289" s="6">
        <f t="shared" si="530"/>
        <v>2030</v>
      </c>
      <c r="C2289" s="1" t="s">
        <v>49</v>
      </c>
      <c r="D2289" s="2" t="s">
        <v>2003</v>
      </c>
      <c r="E2289" s="9" t="str">
        <f t="shared" si="528"/>
        <v>PRBND'!</v>
      </c>
      <c r="F2289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89" s="6" t="s">
        <v>105</v>
      </c>
      <c r="H2289" s="1"/>
      <c r="I2289" s="1"/>
      <c r="J2289" s="1"/>
    </row>
    <row r="2290" spans="1:10" x14ac:dyDescent="0.35">
      <c r="A2290" s="6" t="s">
        <v>19</v>
      </c>
      <c r="B2290" s="6">
        <f t="shared" si="530"/>
        <v>2031</v>
      </c>
      <c r="C2290" s="1" t="s">
        <v>49</v>
      </c>
      <c r="D2290" s="2" t="s">
        <v>2003</v>
      </c>
      <c r="E2290" s="9" t="str">
        <f t="shared" si="528"/>
        <v>PRBND'!</v>
      </c>
      <c r="F2290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90" s="6" t="s">
        <v>105</v>
      </c>
      <c r="H2290" s="1"/>
      <c r="I2290" s="1"/>
      <c r="J2290" s="1"/>
    </row>
    <row r="2291" spans="1:10" x14ac:dyDescent="0.35">
      <c r="A2291" s="6" t="s">
        <v>19</v>
      </c>
      <c r="B2291" s="6">
        <f t="shared" si="530"/>
        <v>2032</v>
      </c>
      <c r="C2291" s="1" t="s">
        <v>49</v>
      </c>
      <c r="D2291" s="2" t="s">
        <v>2003</v>
      </c>
      <c r="E2291" s="9" t="str">
        <f t="shared" si="528"/>
        <v>PRBND'!</v>
      </c>
      <c r="F2291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91" s="6" t="s">
        <v>105</v>
      </c>
      <c r="H2291" s="1"/>
      <c r="I2291" s="1"/>
      <c r="J2291" s="1"/>
    </row>
    <row r="2292" spans="1:10" x14ac:dyDescent="0.35">
      <c r="A2292" s="6" t="s">
        <v>19</v>
      </c>
      <c r="B2292" s="6">
        <f t="shared" si="530"/>
        <v>2033</v>
      </c>
      <c r="C2292" s="1" t="s">
        <v>49</v>
      </c>
      <c r="D2292" s="2" t="s">
        <v>2003</v>
      </c>
      <c r="E2292" s="9" t="str">
        <f t="shared" si="528"/>
        <v>PRBND'!</v>
      </c>
      <c r="F2292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92" s="6" t="s">
        <v>105</v>
      </c>
      <c r="H2292" s="1"/>
      <c r="I2292" s="1"/>
      <c r="J2292" s="1"/>
    </row>
    <row r="2293" spans="1:10" x14ac:dyDescent="0.35">
      <c r="A2293" s="6" t="s">
        <v>19</v>
      </c>
      <c r="B2293" s="6">
        <f t="shared" si="530"/>
        <v>2034</v>
      </c>
      <c r="C2293" s="1" t="s">
        <v>49</v>
      </c>
      <c r="D2293" s="2" t="s">
        <v>2003</v>
      </c>
      <c r="E2293" s="9" t="str">
        <f t="shared" si="528"/>
        <v>PRBND'!</v>
      </c>
      <c r="F2293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93" s="6" t="s">
        <v>105</v>
      </c>
      <c r="H2293" s="1"/>
      <c r="I2293" s="1"/>
      <c r="J2293" s="1"/>
    </row>
    <row r="2294" spans="1:10" x14ac:dyDescent="0.35">
      <c r="A2294" s="6" t="s">
        <v>19</v>
      </c>
      <c r="B2294" s="6">
        <f t="shared" si="530"/>
        <v>2035</v>
      </c>
      <c r="C2294" s="1" t="s">
        <v>49</v>
      </c>
      <c r="D2294" s="2" t="s">
        <v>2003</v>
      </c>
      <c r="E2294" s="9" t="str">
        <f t="shared" si="528"/>
        <v>PRBND'!</v>
      </c>
      <c r="F2294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94" s="6" t="s">
        <v>105</v>
      </c>
      <c r="H2294" s="1"/>
      <c r="I2294" s="1"/>
      <c r="J2294" s="1"/>
    </row>
    <row r="2295" spans="1:10" x14ac:dyDescent="0.35">
      <c r="A2295" s="6" t="s">
        <v>19</v>
      </c>
      <c r="B2295" s="6">
        <f t="shared" si="530"/>
        <v>2036</v>
      </c>
      <c r="C2295" s="1" t="s">
        <v>49</v>
      </c>
      <c r="D2295" s="2" t="s">
        <v>2003</v>
      </c>
      <c r="E2295" s="9" t="str">
        <f t="shared" si="528"/>
        <v>PRBND'!</v>
      </c>
      <c r="F2295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95" s="6" t="s">
        <v>105</v>
      </c>
      <c r="H2295" s="1"/>
      <c r="I2295" s="1"/>
      <c r="J2295" s="1"/>
    </row>
    <row r="2296" spans="1:10" x14ac:dyDescent="0.35">
      <c r="A2296" s="6" t="s">
        <v>19</v>
      </c>
      <c r="B2296" s="6">
        <f>+B2295+1</f>
        <v>2037</v>
      </c>
      <c r="C2296" s="1" t="s">
        <v>49</v>
      </c>
      <c r="D2296" s="2" t="s">
        <v>2003</v>
      </c>
      <c r="E2296" s="9" t="str">
        <f t="shared" si="528"/>
        <v>PRBND'!</v>
      </c>
      <c r="F2296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96" s="6" t="s">
        <v>105</v>
      </c>
      <c r="H2296" s="1"/>
      <c r="I2296" s="1"/>
      <c r="J2296" s="1"/>
    </row>
    <row r="2297" spans="1:10" x14ac:dyDescent="0.35">
      <c r="A2297" s="6" t="s">
        <v>19</v>
      </c>
      <c r="B2297" s="6">
        <f t="shared" ref="B2297:B2299" si="531">+B2296+1</f>
        <v>2038</v>
      </c>
      <c r="C2297" s="1" t="s">
        <v>49</v>
      </c>
      <c r="D2297" s="2" t="s">
        <v>2003</v>
      </c>
      <c r="E2297" s="9" t="str">
        <f t="shared" si="528"/>
        <v>PRBND'!</v>
      </c>
      <c r="F2297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97" s="6" t="s">
        <v>105</v>
      </c>
      <c r="H2297" s="1"/>
      <c r="I2297" s="1"/>
      <c r="J2297" s="1"/>
    </row>
    <row r="2298" spans="1:10" x14ac:dyDescent="0.35">
      <c r="A2298" s="6" t="s">
        <v>19</v>
      </c>
      <c r="B2298" s="6">
        <f t="shared" si="531"/>
        <v>2039</v>
      </c>
      <c r="C2298" s="1" t="s">
        <v>49</v>
      </c>
      <c r="D2298" s="2" t="s">
        <v>2003</v>
      </c>
      <c r="E2298" s="9" t="str">
        <f t="shared" si="528"/>
        <v>PRBND'!</v>
      </c>
      <c r="F2298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98" s="6" t="s">
        <v>105</v>
      </c>
      <c r="H2298" s="1"/>
      <c r="I2298" s="1"/>
      <c r="J2298" s="1"/>
    </row>
    <row r="2299" spans="1:10" x14ac:dyDescent="0.35">
      <c r="A2299" s="6" t="s">
        <v>19</v>
      </c>
      <c r="B2299" s="6">
        <f t="shared" si="531"/>
        <v>2040</v>
      </c>
      <c r="C2299" s="1" t="s">
        <v>49</v>
      </c>
      <c r="D2299" s="2" t="s">
        <v>2003</v>
      </c>
      <c r="E2299" s="9" t="str">
        <f t="shared" si="528"/>
        <v>PRBND'!</v>
      </c>
      <c r="F2299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99" s="6" t="s">
        <v>105</v>
      </c>
      <c r="H2299" s="1"/>
      <c r="I2299" s="1"/>
      <c r="J2299" s="1"/>
    </row>
    <row r="2300" spans="1:10" x14ac:dyDescent="0.35">
      <c r="A2300" s="6" t="s">
        <v>19</v>
      </c>
      <c r="B2300" s="6">
        <f>+B2299+1</f>
        <v>2041</v>
      </c>
      <c r="C2300" s="1" t="s">
        <v>49</v>
      </c>
      <c r="D2300" s="2" t="s">
        <v>2003</v>
      </c>
      <c r="E2300" s="9" t="str">
        <f t="shared" si="528"/>
        <v>PRBND'!</v>
      </c>
      <c r="F2300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00" s="6" t="s">
        <v>105</v>
      </c>
      <c r="H2300" s="1"/>
      <c r="I2300" s="1"/>
      <c r="J2300" s="1"/>
    </row>
    <row r="2301" spans="1:10" x14ac:dyDescent="0.35">
      <c r="A2301" s="6" t="s">
        <v>19</v>
      </c>
      <c r="B2301" s="6">
        <f t="shared" ref="B2301:B2302" si="532">+B2300+1</f>
        <v>2042</v>
      </c>
      <c r="C2301" s="1" t="s">
        <v>49</v>
      </c>
      <c r="D2301" s="2" t="s">
        <v>2003</v>
      </c>
      <c r="E2301" s="9" t="str">
        <f t="shared" si="528"/>
        <v>PRBND'!</v>
      </c>
      <c r="F2301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01" s="6" t="s">
        <v>105</v>
      </c>
      <c r="H2301" s="1"/>
      <c r="I2301" s="1"/>
      <c r="J2301" s="1"/>
    </row>
    <row r="2302" spans="1:10" x14ac:dyDescent="0.35">
      <c r="A2302" s="6" t="s">
        <v>19</v>
      </c>
      <c r="B2302" s="6">
        <f t="shared" si="532"/>
        <v>2043</v>
      </c>
      <c r="C2302" s="1" t="s">
        <v>49</v>
      </c>
      <c r="D2302" s="2" t="s">
        <v>2003</v>
      </c>
      <c r="E2302" s="9" t="str">
        <f t="shared" si="528"/>
        <v>PRBND'!</v>
      </c>
      <c r="F2302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02" s="6" t="s">
        <v>105</v>
      </c>
      <c r="H2302" s="1"/>
      <c r="I2302" s="1"/>
      <c r="J2302" s="1"/>
    </row>
    <row r="2303" spans="1:10" x14ac:dyDescent="0.35">
      <c r="A2303" s="6" t="s">
        <v>19</v>
      </c>
      <c r="B2303" s="6">
        <f>+B2302+1</f>
        <v>2044</v>
      </c>
      <c r="C2303" s="1" t="s">
        <v>49</v>
      </c>
      <c r="D2303" s="2" t="s">
        <v>2003</v>
      </c>
      <c r="E2303" s="9" t="str">
        <f t="shared" ref="E2303:E2318" si="533">_xlfn.CONCAT(A2303,"'!")</f>
        <v>PRBND'!</v>
      </c>
      <c r="F2303" s="5" t="str">
        <f t="shared" ref="F2303:F2318" si="534">_xlfn.CONCAT(D2303," ",E2303)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03" s="6" t="s">
        <v>105</v>
      </c>
      <c r="H2303" s="1"/>
      <c r="I2303" s="1"/>
      <c r="J2303" s="1"/>
    </row>
    <row r="2304" spans="1:10" x14ac:dyDescent="0.35">
      <c r="A2304" s="6" t="s">
        <v>19</v>
      </c>
      <c r="B2304" s="6">
        <f t="shared" ref="B2304:B2318" si="535">+B2303+1</f>
        <v>2045</v>
      </c>
      <c r="C2304" s="1" t="s">
        <v>49</v>
      </c>
      <c r="D2304" s="2" t="s">
        <v>2003</v>
      </c>
      <c r="E2304" s="9" t="str">
        <f t="shared" si="533"/>
        <v>PRBND'!</v>
      </c>
      <c r="F2304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04" s="6" t="s">
        <v>105</v>
      </c>
      <c r="H2304" s="1"/>
      <c r="I2304" s="1"/>
      <c r="J2304" s="1"/>
    </row>
    <row r="2305" spans="1:10" x14ac:dyDescent="0.35">
      <c r="A2305" s="6" t="s">
        <v>19</v>
      </c>
      <c r="B2305" s="6">
        <f t="shared" si="535"/>
        <v>2046</v>
      </c>
      <c r="C2305" s="1" t="s">
        <v>49</v>
      </c>
      <c r="D2305" s="2" t="s">
        <v>2003</v>
      </c>
      <c r="E2305" s="9" t="str">
        <f t="shared" si="533"/>
        <v>PRBND'!</v>
      </c>
      <c r="F2305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05" s="6" t="s">
        <v>105</v>
      </c>
      <c r="H2305" s="1"/>
      <c r="I2305" s="1"/>
      <c r="J2305" s="1"/>
    </row>
    <row r="2306" spans="1:10" x14ac:dyDescent="0.35">
      <c r="A2306" s="6" t="s">
        <v>19</v>
      </c>
      <c r="B2306" s="6">
        <f t="shared" si="535"/>
        <v>2047</v>
      </c>
      <c r="C2306" s="1" t="s">
        <v>49</v>
      </c>
      <c r="D2306" s="2" t="s">
        <v>2003</v>
      </c>
      <c r="E2306" s="9" t="str">
        <f t="shared" si="533"/>
        <v>PRBND'!</v>
      </c>
      <c r="F2306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06" s="6" t="s">
        <v>105</v>
      </c>
      <c r="H2306" s="1"/>
      <c r="I2306" s="1"/>
      <c r="J2306" s="1"/>
    </row>
    <row r="2307" spans="1:10" x14ac:dyDescent="0.35">
      <c r="A2307" s="6" t="s">
        <v>19</v>
      </c>
      <c r="B2307" s="6">
        <f t="shared" si="535"/>
        <v>2048</v>
      </c>
      <c r="C2307" s="1" t="s">
        <v>49</v>
      </c>
      <c r="D2307" s="2" t="s">
        <v>2003</v>
      </c>
      <c r="E2307" s="9" t="str">
        <f t="shared" si="533"/>
        <v>PRBND'!</v>
      </c>
      <c r="F2307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07" s="6" t="s">
        <v>105</v>
      </c>
      <c r="H2307" s="1"/>
      <c r="I2307" s="1"/>
      <c r="J2307" s="1"/>
    </row>
    <row r="2308" spans="1:10" x14ac:dyDescent="0.35">
      <c r="A2308" s="6" t="s">
        <v>19</v>
      </c>
      <c r="B2308" s="6">
        <f t="shared" si="535"/>
        <v>2049</v>
      </c>
      <c r="C2308" s="1" t="s">
        <v>49</v>
      </c>
      <c r="D2308" s="2" t="s">
        <v>2003</v>
      </c>
      <c r="E2308" s="9" t="str">
        <f t="shared" si="533"/>
        <v>PRBND'!</v>
      </c>
      <c r="F2308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08" s="6" t="s">
        <v>105</v>
      </c>
      <c r="H2308" s="1"/>
      <c r="I2308" s="1"/>
      <c r="J2308" s="1"/>
    </row>
    <row r="2309" spans="1:10" x14ac:dyDescent="0.35">
      <c r="A2309" s="6" t="s">
        <v>19</v>
      </c>
      <c r="B2309" s="6">
        <f t="shared" si="535"/>
        <v>2050</v>
      </c>
      <c r="C2309" s="1" t="s">
        <v>49</v>
      </c>
      <c r="D2309" s="2" t="s">
        <v>2003</v>
      </c>
      <c r="E2309" s="9" t="str">
        <f t="shared" si="533"/>
        <v>PRBND'!</v>
      </c>
      <c r="F2309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09" s="6" t="s">
        <v>105</v>
      </c>
      <c r="H2309" s="1"/>
      <c r="I2309" s="1"/>
      <c r="J2309" s="1"/>
    </row>
    <row r="2310" spans="1:10" x14ac:dyDescent="0.35">
      <c r="A2310" s="6" t="s">
        <v>19</v>
      </c>
      <c r="B2310" s="6">
        <f t="shared" si="535"/>
        <v>2051</v>
      </c>
      <c r="C2310" s="1" t="s">
        <v>49</v>
      </c>
      <c r="D2310" s="2" t="s">
        <v>2003</v>
      </c>
      <c r="E2310" s="9" t="str">
        <f t="shared" si="533"/>
        <v>PRBND'!</v>
      </c>
      <c r="F2310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10" s="6" t="s">
        <v>105</v>
      </c>
      <c r="H2310" s="1"/>
      <c r="I2310" s="1"/>
      <c r="J2310" s="1"/>
    </row>
    <row r="2311" spans="1:10" x14ac:dyDescent="0.35">
      <c r="A2311" s="6" t="s">
        <v>19</v>
      </c>
      <c r="B2311" s="6">
        <f t="shared" si="535"/>
        <v>2052</v>
      </c>
      <c r="C2311" s="1" t="s">
        <v>49</v>
      </c>
      <c r="D2311" s="2" t="s">
        <v>2003</v>
      </c>
      <c r="E2311" s="9" t="str">
        <f t="shared" si="533"/>
        <v>PRBND'!</v>
      </c>
      <c r="F2311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11" s="6" t="s">
        <v>105</v>
      </c>
      <c r="H2311" s="1"/>
      <c r="I2311" s="1"/>
      <c r="J2311" s="1"/>
    </row>
    <row r="2312" spans="1:10" x14ac:dyDescent="0.35">
      <c r="A2312" s="6" t="s">
        <v>19</v>
      </c>
      <c r="B2312" s="6">
        <f t="shared" si="535"/>
        <v>2053</v>
      </c>
      <c r="C2312" s="1" t="s">
        <v>49</v>
      </c>
      <c r="D2312" s="2" t="s">
        <v>2003</v>
      </c>
      <c r="E2312" s="9" t="str">
        <f t="shared" si="533"/>
        <v>PRBND'!</v>
      </c>
      <c r="F2312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12" s="6" t="s">
        <v>105</v>
      </c>
      <c r="H2312" s="1"/>
      <c r="I2312" s="1"/>
      <c r="J2312" s="1"/>
    </row>
    <row r="2313" spans="1:10" x14ac:dyDescent="0.35">
      <c r="A2313" s="6" t="s">
        <v>19</v>
      </c>
      <c r="B2313" s="6">
        <f t="shared" si="535"/>
        <v>2054</v>
      </c>
      <c r="C2313" s="1" t="s">
        <v>49</v>
      </c>
      <c r="D2313" s="2" t="s">
        <v>2003</v>
      </c>
      <c r="E2313" s="9" t="str">
        <f t="shared" si="533"/>
        <v>PRBND'!</v>
      </c>
      <c r="F2313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13" s="6" t="s">
        <v>105</v>
      </c>
      <c r="H2313" s="1"/>
      <c r="I2313" s="1"/>
      <c r="J2313" s="1"/>
    </row>
    <row r="2314" spans="1:10" x14ac:dyDescent="0.35">
      <c r="A2314" s="6" t="s">
        <v>19</v>
      </c>
      <c r="B2314" s="6">
        <f t="shared" si="535"/>
        <v>2055</v>
      </c>
      <c r="C2314" s="1" t="s">
        <v>49</v>
      </c>
      <c r="D2314" s="2" t="s">
        <v>2003</v>
      </c>
      <c r="E2314" s="9" t="str">
        <f t="shared" si="533"/>
        <v>PRBND'!</v>
      </c>
      <c r="F2314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14" s="6" t="s">
        <v>105</v>
      </c>
      <c r="H2314" s="1"/>
      <c r="I2314" s="1"/>
      <c r="J2314" s="1"/>
    </row>
    <row r="2315" spans="1:10" x14ac:dyDescent="0.35">
      <c r="A2315" s="6" t="s">
        <v>19</v>
      </c>
      <c r="B2315" s="6">
        <f t="shared" si="535"/>
        <v>2056</v>
      </c>
      <c r="C2315" s="1" t="s">
        <v>49</v>
      </c>
      <c r="D2315" s="2" t="s">
        <v>2003</v>
      </c>
      <c r="E2315" s="9" t="str">
        <f t="shared" si="533"/>
        <v>PRBND'!</v>
      </c>
      <c r="F2315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15" s="6" t="s">
        <v>105</v>
      </c>
      <c r="H2315" s="1"/>
      <c r="I2315" s="1"/>
      <c r="J2315" s="1"/>
    </row>
    <row r="2316" spans="1:10" x14ac:dyDescent="0.35">
      <c r="A2316" s="6" t="s">
        <v>19</v>
      </c>
      <c r="B2316" s="6">
        <f t="shared" si="535"/>
        <v>2057</v>
      </c>
      <c r="C2316" s="1" t="s">
        <v>49</v>
      </c>
      <c r="D2316" s="2" t="s">
        <v>2003</v>
      </c>
      <c r="E2316" s="9" t="str">
        <f t="shared" si="533"/>
        <v>PRBND'!</v>
      </c>
      <c r="F2316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16" s="6" t="s">
        <v>105</v>
      </c>
      <c r="H2316" s="1"/>
      <c r="I2316" s="1"/>
      <c r="J2316" s="1"/>
    </row>
    <row r="2317" spans="1:10" x14ac:dyDescent="0.35">
      <c r="A2317" s="6" t="s">
        <v>19</v>
      </c>
      <c r="B2317" s="6">
        <f t="shared" si="535"/>
        <v>2058</v>
      </c>
      <c r="C2317" s="1" t="s">
        <v>49</v>
      </c>
      <c r="D2317" s="2" t="s">
        <v>2003</v>
      </c>
      <c r="E2317" s="9" t="str">
        <f t="shared" si="533"/>
        <v>PRBND'!</v>
      </c>
      <c r="F2317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17" s="6" t="s">
        <v>105</v>
      </c>
      <c r="H2317" s="1"/>
      <c r="I2317" s="1"/>
      <c r="J2317" s="1"/>
    </row>
    <row r="2318" spans="1:10" x14ac:dyDescent="0.35">
      <c r="A2318" s="6" t="s">
        <v>19</v>
      </c>
      <c r="B2318" s="6">
        <f t="shared" si="535"/>
        <v>2059</v>
      </c>
      <c r="C2318" s="1" t="s">
        <v>49</v>
      </c>
      <c r="D2318" s="2" t="s">
        <v>2003</v>
      </c>
      <c r="E2318" s="9" t="str">
        <f t="shared" si="533"/>
        <v>PRBND'!</v>
      </c>
      <c r="F2318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18" s="6" t="s">
        <v>105</v>
      </c>
      <c r="H2318" s="1"/>
      <c r="I2318" s="1"/>
      <c r="J2318" s="1"/>
    </row>
    <row r="2319" spans="1:10" x14ac:dyDescent="0.35">
      <c r="A2319" s="6" t="s">
        <v>26</v>
      </c>
      <c r="B2319" s="6"/>
      <c r="C2319" s="1" t="s">
        <v>49</v>
      </c>
      <c r="D2319" s="2"/>
      <c r="E2319" s="9"/>
      <c r="F2319" s="5"/>
      <c r="G2319" s="6"/>
      <c r="H2319" s="1"/>
      <c r="I2319" s="1"/>
      <c r="J2319" s="1"/>
    </row>
    <row r="2320" spans="1:10" x14ac:dyDescent="0.35">
      <c r="A2320" s="6" t="s">
        <v>20</v>
      </c>
      <c r="B2320" s="6">
        <v>2023</v>
      </c>
      <c r="C2320" s="1" t="s">
        <v>49</v>
      </c>
      <c r="D2320" s="2" t="s">
        <v>2003</v>
      </c>
      <c r="E2320" s="9" t="str">
        <f t="shared" si="504"/>
        <v>PRB'!</v>
      </c>
      <c r="F2320" s="5" t="str">
        <f t="shared" ref="F2320:F2340" si="536">_xlfn.CONCAT(D2320," ",E2320)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20" s="6" t="s">
        <v>105</v>
      </c>
      <c r="H2320" s="1">
        <f>IF(A2320&lt;&gt;A2190,36,H2190+1)</f>
        <v>36</v>
      </c>
      <c r="I2320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PRB'!$CT$36</v>
      </c>
      <c r="J2320" s="1" t="s">
        <v>3040</v>
      </c>
    </row>
    <row r="2321" spans="1:10" x14ac:dyDescent="0.35">
      <c r="A2321" s="6" t="s">
        <v>20</v>
      </c>
      <c r="B2321" s="6">
        <f>+B2320+1</f>
        <v>2024</v>
      </c>
      <c r="C2321" s="1" t="s">
        <v>49</v>
      </c>
      <c r="D2321" s="2" t="s">
        <v>2003</v>
      </c>
      <c r="E2321" s="9" t="str">
        <f t="shared" si="504"/>
        <v>PRB'!</v>
      </c>
      <c r="F2321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21" s="6" t="s">
        <v>105</v>
      </c>
      <c r="H2321" s="1">
        <f t="shared" si="506"/>
        <v>37</v>
      </c>
      <c r="I2321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PRB'!$CT$37</v>
      </c>
      <c r="J2321" s="1" t="s">
        <v>3041</v>
      </c>
    </row>
    <row r="2322" spans="1:10" x14ac:dyDescent="0.35">
      <c r="A2322" s="6" t="s">
        <v>20</v>
      </c>
      <c r="B2322" s="6">
        <f t="shared" ref="B2322:B2333" si="537">+B2321+1</f>
        <v>2025</v>
      </c>
      <c r="C2322" s="1" t="s">
        <v>49</v>
      </c>
      <c r="D2322" s="2" t="s">
        <v>2003</v>
      </c>
      <c r="E2322" s="9" t="str">
        <f t="shared" si="504"/>
        <v>PRB'!</v>
      </c>
      <c r="F2322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22" s="6" t="s">
        <v>105</v>
      </c>
      <c r="H2322" s="1">
        <f t="shared" si="506"/>
        <v>38</v>
      </c>
      <c r="I2322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PRB'!$CT$38</v>
      </c>
      <c r="J2322" s="1" t="s">
        <v>3042</v>
      </c>
    </row>
    <row r="2323" spans="1:10" x14ac:dyDescent="0.35">
      <c r="A2323" s="6" t="s">
        <v>20</v>
      </c>
      <c r="B2323" s="6">
        <f t="shared" si="537"/>
        <v>2026</v>
      </c>
      <c r="C2323" s="1" t="s">
        <v>49</v>
      </c>
      <c r="D2323" s="2" t="s">
        <v>2003</v>
      </c>
      <c r="E2323" s="9" t="str">
        <f t="shared" si="504"/>
        <v>PRB'!</v>
      </c>
      <c r="F2323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23" s="6" t="s">
        <v>105</v>
      </c>
      <c r="H2323" s="1">
        <f t="shared" si="506"/>
        <v>39</v>
      </c>
      <c r="I2323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PRB'!$CT$39</v>
      </c>
      <c r="J2323" s="1" t="s">
        <v>3043</v>
      </c>
    </row>
    <row r="2324" spans="1:10" x14ac:dyDescent="0.35">
      <c r="A2324" s="6" t="s">
        <v>20</v>
      </c>
      <c r="B2324" s="6">
        <f t="shared" si="537"/>
        <v>2027</v>
      </c>
      <c r="C2324" s="1" t="s">
        <v>49</v>
      </c>
      <c r="D2324" s="2" t="s">
        <v>2003</v>
      </c>
      <c r="E2324" s="9" t="str">
        <f t="shared" si="504"/>
        <v>PRB'!</v>
      </c>
      <c r="F2324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24" s="6" t="s">
        <v>105</v>
      </c>
      <c r="H2324" s="1">
        <f t="shared" si="506"/>
        <v>40</v>
      </c>
      <c r="I2324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PRB'!$CT$40</v>
      </c>
      <c r="J2324" s="1" t="s">
        <v>3044</v>
      </c>
    </row>
    <row r="2325" spans="1:10" x14ac:dyDescent="0.35">
      <c r="A2325" s="6" t="s">
        <v>20</v>
      </c>
      <c r="B2325" s="6">
        <f t="shared" si="537"/>
        <v>2028</v>
      </c>
      <c r="C2325" s="1" t="s">
        <v>49</v>
      </c>
      <c r="D2325" s="2" t="s">
        <v>2003</v>
      </c>
      <c r="E2325" s="9" t="str">
        <f t="shared" si="504"/>
        <v>PRB'!</v>
      </c>
      <c r="F2325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25" s="6" t="s">
        <v>105</v>
      </c>
      <c r="H2325" s="1">
        <f t="shared" si="506"/>
        <v>41</v>
      </c>
      <c r="I2325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PRB'!$CT$41</v>
      </c>
      <c r="J2325" s="1" t="s">
        <v>3045</v>
      </c>
    </row>
    <row r="2326" spans="1:10" x14ac:dyDescent="0.35">
      <c r="A2326" s="6" t="s">
        <v>20</v>
      </c>
      <c r="B2326" s="6">
        <f t="shared" si="537"/>
        <v>2029</v>
      </c>
      <c r="C2326" s="1" t="s">
        <v>49</v>
      </c>
      <c r="D2326" s="2" t="s">
        <v>2003</v>
      </c>
      <c r="E2326" s="9" t="str">
        <f t="shared" si="504"/>
        <v>PRB'!</v>
      </c>
      <c r="F2326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26" s="6" t="s">
        <v>105</v>
      </c>
      <c r="H2326" s="1">
        <f t="shared" si="506"/>
        <v>42</v>
      </c>
      <c r="I2326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PRB'!$CT$42</v>
      </c>
      <c r="J2326" s="1" t="s">
        <v>3046</v>
      </c>
    </row>
    <row r="2327" spans="1:10" x14ac:dyDescent="0.35">
      <c r="A2327" s="6" t="s">
        <v>20</v>
      </c>
      <c r="B2327" s="6">
        <f t="shared" si="537"/>
        <v>2030</v>
      </c>
      <c r="C2327" s="1" t="s">
        <v>49</v>
      </c>
      <c r="D2327" s="2" t="s">
        <v>2003</v>
      </c>
      <c r="E2327" s="9" t="str">
        <f t="shared" si="504"/>
        <v>PRB'!</v>
      </c>
      <c r="F2327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27" s="6" t="s">
        <v>105</v>
      </c>
      <c r="H2327" s="1">
        <f t="shared" si="506"/>
        <v>43</v>
      </c>
      <c r="I2327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PRB'!$CT$43</v>
      </c>
      <c r="J2327" s="1" t="s">
        <v>3047</v>
      </c>
    </row>
    <row r="2328" spans="1:10" x14ac:dyDescent="0.35">
      <c r="A2328" s="6" t="s">
        <v>20</v>
      </c>
      <c r="B2328" s="6">
        <f t="shared" si="537"/>
        <v>2031</v>
      </c>
      <c r="C2328" s="1" t="s">
        <v>49</v>
      </c>
      <c r="D2328" s="2" t="s">
        <v>2003</v>
      </c>
      <c r="E2328" s="9" t="str">
        <f t="shared" si="504"/>
        <v>PRB'!</v>
      </c>
      <c r="F2328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28" s="6" t="s">
        <v>105</v>
      </c>
      <c r="H2328" s="1">
        <f t="shared" si="506"/>
        <v>44</v>
      </c>
      <c r="I2328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PRB'!$CT$44</v>
      </c>
      <c r="J2328" s="1" t="s">
        <v>3048</v>
      </c>
    </row>
    <row r="2329" spans="1:10" x14ac:dyDescent="0.35">
      <c r="A2329" s="6" t="s">
        <v>20</v>
      </c>
      <c r="B2329" s="6">
        <f t="shared" si="537"/>
        <v>2032</v>
      </c>
      <c r="C2329" s="1" t="s">
        <v>49</v>
      </c>
      <c r="D2329" s="2" t="s">
        <v>2003</v>
      </c>
      <c r="E2329" s="9" t="str">
        <f t="shared" si="504"/>
        <v>PRB'!</v>
      </c>
      <c r="F2329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29" s="6" t="s">
        <v>105</v>
      </c>
      <c r="H2329" s="1">
        <f t="shared" si="506"/>
        <v>45</v>
      </c>
      <c r="I2329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PRB'!$CT$45</v>
      </c>
      <c r="J2329" s="1" t="s">
        <v>3049</v>
      </c>
    </row>
    <row r="2330" spans="1:10" x14ac:dyDescent="0.35">
      <c r="A2330" s="6" t="s">
        <v>20</v>
      </c>
      <c r="B2330" s="6">
        <f t="shared" si="537"/>
        <v>2033</v>
      </c>
      <c r="C2330" s="1" t="s">
        <v>49</v>
      </c>
      <c r="D2330" s="2" t="s">
        <v>2003</v>
      </c>
      <c r="E2330" s="9" t="str">
        <f t="shared" si="504"/>
        <v>PRB'!</v>
      </c>
      <c r="F2330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30" s="6" t="s">
        <v>105</v>
      </c>
      <c r="H2330" s="1">
        <f t="shared" si="506"/>
        <v>46</v>
      </c>
      <c r="I2330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PRB'!$CT$46</v>
      </c>
      <c r="J2330" s="1" t="s">
        <v>3050</v>
      </c>
    </row>
    <row r="2331" spans="1:10" x14ac:dyDescent="0.35">
      <c r="A2331" s="6" t="s">
        <v>20</v>
      </c>
      <c r="B2331" s="6">
        <f t="shared" si="537"/>
        <v>2034</v>
      </c>
      <c r="C2331" s="1" t="s">
        <v>49</v>
      </c>
      <c r="D2331" s="2" t="s">
        <v>2003</v>
      </c>
      <c r="E2331" s="9" t="str">
        <f t="shared" si="504"/>
        <v>PRB'!</v>
      </c>
      <c r="F2331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31" s="6" t="s">
        <v>105</v>
      </c>
      <c r="H2331" s="1">
        <f t="shared" si="506"/>
        <v>47</v>
      </c>
      <c r="I2331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PRB'!$CT$47</v>
      </c>
      <c r="J2331" s="1" t="s">
        <v>3051</v>
      </c>
    </row>
    <row r="2332" spans="1:10" x14ac:dyDescent="0.35">
      <c r="A2332" s="6" t="s">
        <v>20</v>
      </c>
      <c r="B2332" s="6">
        <f t="shared" si="537"/>
        <v>2035</v>
      </c>
      <c r="C2332" s="1" t="s">
        <v>49</v>
      </c>
      <c r="D2332" s="2" t="s">
        <v>2003</v>
      </c>
      <c r="E2332" s="9" t="str">
        <f t="shared" si="504"/>
        <v>PRB'!</v>
      </c>
      <c r="F2332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32" s="6" t="s">
        <v>105</v>
      </c>
      <c r="H2332" s="1">
        <f t="shared" si="506"/>
        <v>48</v>
      </c>
      <c r="I2332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PRB'!$CT$48</v>
      </c>
      <c r="J2332" s="1" t="s">
        <v>3052</v>
      </c>
    </row>
    <row r="2333" spans="1:10" x14ac:dyDescent="0.35">
      <c r="A2333" s="6" t="s">
        <v>20</v>
      </c>
      <c r="B2333" s="6">
        <f t="shared" si="537"/>
        <v>2036</v>
      </c>
      <c r="C2333" s="1" t="s">
        <v>49</v>
      </c>
      <c r="D2333" s="2" t="s">
        <v>2003</v>
      </c>
      <c r="E2333" s="9" t="str">
        <f t="shared" si="504"/>
        <v>PRB'!</v>
      </c>
      <c r="F2333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33" s="6" t="s">
        <v>105</v>
      </c>
      <c r="H2333" s="1">
        <f t="shared" si="506"/>
        <v>49</v>
      </c>
      <c r="I2333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PRB'!$CT$49</v>
      </c>
      <c r="J2333" s="1" t="s">
        <v>3053</v>
      </c>
    </row>
    <row r="2334" spans="1:10" x14ac:dyDescent="0.35">
      <c r="A2334" s="6" t="s">
        <v>20</v>
      </c>
      <c r="B2334" s="6">
        <f>+B2333+1</f>
        <v>2037</v>
      </c>
      <c r="C2334" s="1" t="s">
        <v>49</v>
      </c>
      <c r="D2334" s="2" t="s">
        <v>2003</v>
      </c>
      <c r="E2334" s="9" t="str">
        <f t="shared" si="504"/>
        <v>PRB'!</v>
      </c>
      <c r="F2334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34" s="6" t="s">
        <v>105</v>
      </c>
      <c r="H2334" s="1">
        <f t="shared" si="506"/>
        <v>50</v>
      </c>
      <c r="I2334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PRB'!$CT$50</v>
      </c>
      <c r="J2334" s="1" t="s">
        <v>3054</v>
      </c>
    </row>
    <row r="2335" spans="1:10" x14ac:dyDescent="0.35">
      <c r="A2335" s="6" t="s">
        <v>20</v>
      </c>
      <c r="B2335" s="6">
        <f t="shared" ref="B2335:B2337" si="538">+B2334+1</f>
        <v>2038</v>
      </c>
      <c r="C2335" s="1" t="s">
        <v>49</v>
      </c>
      <c r="D2335" s="2" t="s">
        <v>2003</v>
      </c>
      <c r="E2335" s="9" t="str">
        <f t="shared" si="504"/>
        <v>PRB'!</v>
      </c>
      <c r="F2335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35" s="6" t="s">
        <v>105</v>
      </c>
      <c r="H2335" s="1">
        <f t="shared" si="506"/>
        <v>51</v>
      </c>
      <c r="I2335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PRB'!$CT$51</v>
      </c>
      <c r="J2335" s="1" t="s">
        <v>3055</v>
      </c>
    </row>
    <row r="2336" spans="1:10" x14ac:dyDescent="0.35">
      <c r="A2336" s="6" t="s">
        <v>20</v>
      </c>
      <c r="B2336" s="6">
        <f t="shared" si="538"/>
        <v>2039</v>
      </c>
      <c r="C2336" s="1" t="s">
        <v>49</v>
      </c>
      <c r="D2336" s="2" t="s">
        <v>2003</v>
      </c>
      <c r="E2336" s="9" t="str">
        <f t="shared" si="504"/>
        <v>PRB'!</v>
      </c>
      <c r="F2336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36" s="6" t="s">
        <v>105</v>
      </c>
      <c r="H2336" s="1">
        <f t="shared" si="506"/>
        <v>52</v>
      </c>
      <c r="I2336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PRB'!$CT$52</v>
      </c>
      <c r="J2336" s="1" t="s">
        <v>3056</v>
      </c>
    </row>
    <row r="2337" spans="1:10" x14ac:dyDescent="0.35">
      <c r="A2337" s="6" t="s">
        <v>20</v>
      </c>
      <c r="B2337" s="6">
        <f t="shared" si="538"/>
        <v>2040</v>
      </c>
      <c r="C2337" s="1" t="s">
        <v>49</v>
      </c>
      <c r="D2337" s="2" t="s">
        <v>2003</v>
      </c>
      <c r="E2337" s="9" t="str">
        <f t="shared" si="504"/>
        <v>PRB'!</v>
      </c>
      <c r="F2337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37" s="6" t="s">
        <v>105</v>
      </c>
      <c r="H2337" s="1">
        <f t="shared" si="506"/>
        <v>53</v>
      </c>
      <c r="I2337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PRB'!$CT$53</v>
      </c>
      <c r="J2337" s="1" t="s">
        <v>3057</v>
      </c>
    </row>
    <row r="2338" spans="1:10" x14ac:dyDescent="0.35">
      <c r="A2338" s="6" t="s">
        <v>20</v>
      </c>
      <c r="B2338" s="6">
        <f>+B2337+1</f>
        <v>2041</v>
      </c>
      <c r="C2338" s="1" t="s">
        <v>49</v>
      </c>
      <c r="D2338" s="2" t="s">
        <v>2003</v>
      </c>
      <c r="E2338" s="9" t="str">
        <f t="shared" si="504"/>
        <v>PRB'!</v>
      </c>
      <c r="F2338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38" s="6" t="s">
        <v>105</v>
      </c>
      <c r="H2338" s="1">
        <f t="shared" si="506"/>
        <v>54</v>
      </c>
      <c r="I2338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PRB'!$CT$54</v>
      </c>
      <c r="J2338" s="1" t="s">
        <v>3058</v>
      </c>
    </row>
    <row r="2339" spans="1:10" x14ac:dyDescent="0.35">
      <c r="A2339" s="6" t="s">
        <v>20</v>
      </c>
      <c r="B2339" s="6">
        <f t="shared" ref="B2339:B2340" si="539">+B2338+1</f>
        <v>2042</v>
      </c>
      <c r="C2339" s="1" t="s">
        <v>49</v>
      </c>
      <c r="D2339" s="2" t="s">
        <v>2003</v>
      </c>
      <c r="E2339" s="9" t="str">
        <f t="shared" si="504"/>
        <v>PRB'!</v>
      </c>
      <c r="F2339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39" s="6" t="s">
        <v>105</v>
      </c>
      <c r="H2339" s="1">
        <f t="shared" si="506"/>
        <v>55</v>
      </c>
      <c r="I2339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PRB'!$CT$55</v>
      </c>
      <c r="J2339" s="1" t="s">
        <v>3059</v>
      </c>
    </row>
    <row r="2340" spans="1:10" x14ac:dyDescent="0.35">
      <c r="A2340" s="6" t="s">
        <v>20</v>
      </c>
      <c r="B2340" s="6">
        <f t="shared" si="539"/>
        <v>2043</v>
      </c>
      <c r="C2340" s="1" t="s">
        <v>49</v>
      </c>
      <c r="D2340" s="2" t="s">
        <v>2003</v>
      </c>
      <c r="E2340" s="9" t="str">
        <f t="shared" si="504"/>
        <v>PRB'!</v>
      </c>
      <c r="F2340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40" s="6" t="s">
        <v>105</v>
      </c>
      <c r="H2340" s="1">
        <f t="shared" si="506"/>
        <v>56</v>
      </c>
      <c r="I2340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PRB'!$CT$56</v>
      </c>
      <c r="J2340" s="1" t="s">
        <v>3060</v>
      </c>
    </row>
    <row r="2341" spans="1:10" x14ac:dyDescent="0.35">
      <c r="A2341" s="6" t="s">
        <v>20</v>
      </c>
      <c r="B2341" s="6">
        <f>+B2340+1</f>
        <v>2044</v>
      </c>
      <c r="C2341" s="1" t="s">
        <v>49</v>
      </c>
      <c r="D2341" s="2" t="s">
        <v>2003</v>
      </c>
      <c r="E2341" s="9" t="str">
        <f t="shared" ref="E2341:E2356" si="540">_xlfn.CONCAT(A2341,"'!")</f>
        <v>PRB'!</v>
      </c>
      <c r="F2341" s="5" t="str">
        <f t="shared" ref="F2341:F2356" si="541">_xlfn.CONCAT(D2341," ",E2341)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41" s="6" t="s">
        <v>105</v>
      </c>
      <c r="H2341" s="1">
        <f t="shared" ref="H2341:H2356" si="542">IF(A2341&lt;&gt;A2340,36,H2340+1)</f>
        <v>57</v>
      </c>
      <c r="I2341" s="1" t="str">
        <f t="shared" ref="I2341:I2356" si="543">_xlfn.CONCAT("='",F2341:H2341)</f>
        <v>='C:\Users\jaime.benazar\Quorum Business Solutions\Ecopetrol Prometeo - Documents\Planning Space Implementation\3. Analysis &amp; Design\Design\FC22\DRR Jaime\Por presentar a ECP\Cantagallo\Cristalina\[VRC_CRISTALINA_CF_SEC_20221231.xlsx]CF PRB'!$CT$57</v>
      </c>
      <c r="J2341" s="1" t="s">
        <v>3061</v>
      </c>
    </row>
    <row r="2342" spans="1:10" x14ac:dyDescent="0.35">
      <c r="A2342" s="6" t="s">
        <v>20</v>
      </c>
      <c r="B2342" s="6">
        <f t="shared" ref="B2342:B2356" si="544">+B2341+1</f>
        <v>2045</v>
      </c>
      <c r="C2342" s="1" t="s">
        <v>49</v>
      </c>
      <c r="D2342" s="2" t="s">
        <v>2003</v>
      </c>
      <c r="E2342" s="9" t="str">
        <f t="shared" si="540"/>
        <v>PRB'!</v>
      </c>
      <c r="F2342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42" s="6" t="s">
        <v>105</v>
      </c>
      <c r="H2342" s="1">
        <f t="shared" si="542"/>
        <v>58</v>
      </c>
      <c r="I2342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PRB'!$CT$58</v>
      </c>
      <c r="J2342" s="1" t="s">
        <v>3062</v>
      </c>
    </row>
    <row r="2343" spans="1:10" x14ac:dyDescent="0.35">
      <c r="A2343" s="6" t="s">
        <v>20</v>
      </c>
      <c r="B2343" s="6">
        <f t="shared" si="544"/>
        <v>2046</v>
      </c>
      <c r="C2343" s="1" t="s">
        <v>49</v>
      </c>
      <c r="D2343" s="2" t="s">
        <v>2003</v>
      </c>
      <c r="E2343" s="9" t="str">
        <f t="shared" si="540"/>
        <v>PRB'!</v>
      </c>
      <c r="F2343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43" s="6" t="s">
        <v>105</v>
      </c>
      <c r="H2343" s="1">
        <f t="shared" si="542"/>
        <v>59</v>
      </c>
      <c r="I2343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PRB'!$CT$59</v>
      </c>
      <c r="J2343" s="1" t="s">
        <v>3063</v>
      </c>
    </row>
    <row r="2344" spans="1:10" x14ac:dyDescent="0.35">
      <c r="A2344" s="6" t="s">
        <v>20</v>
      </c>
      <c r="B2344" s="6">
        <f t="shared" si="544"/>
        <v>2047</v>
      </c>
      <c r="C2344" s="1" t="s">
        <v>49</v>
      </c>
      <c r="D2344" s="2" t="s">
        <v>2003</v>
      </c>
      <c r="E2344" s="9" t="str">
        <f t="shared" si="540"/>
        <v>PRB'!</v>
      </c>
      <c r="F2344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44" s="6" t="s">
        <v>105</v>
      </c>
      <c r="H2344" s="1">
        <f t="shared" si="542"/>
        <v>60</v>
      </c>
      <c r="I2344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PRB'!$CT$60</v>
      </c>
      <c r="J2344" s="1" t="s">
        <v>3064</v>
      </c>
    </row>
    <row r="2345" spans="1:10" x14ac:dyDescent="0.35">
      <c r="A2345" s="6" t="s">
        <v>20</v>
      </c>
      <c r="B2345" s="6">
        <f t="shared" si="544"/>
        <v>2048</v>
      </c>
      <c r="C2345" s="1" t="s">
        <v>49</v>
      </c>
      <c r="D2345" s="2" t="s">
        <v>2003</v>
      </c>
      <c r="E2345" s="9" t="str">
        <f t="shared" si="540"/>
        <v>PRB'!</v>
      </c>
      <c r="F2345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45" s="6" t="s">
        <v>105</v>
      </c>
      <c r="H2345" s="1">
        <f t="shared" si="542"/>
        <v>61</v>
      </c>
      <c r="I2345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PRB'!$CT$61</v>
      </c>
      <c r="J2345" s="1" t="s">
        <v>3065</v>
      </c>
    </row>
    <row r="2346" spans="1:10" x14ac:dyDescent="0.35">
      <c r="A2346" s="6" t="s">
        <v>20</v>
      </c>
      <c r="B2346" s="6">
        <f t="shared" si="544"/>
        <v>2049</v>
      </c>
      <c r="C2346" s="1" t="s">
        <v>49</v>
      </c>
      <c r="D2346" s="2" t="s">
        <v>2003</v>
      </c>
      <c r="E2346" s="9" t="str">
        <f t="shared" si="540"/>
        <v>PRB'!</v>
      </c>
      <c r="F2346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46" s="6" t="s">
        <v>105</v>
      </c>
      <c r="H2346" s="1">
        <f t="shared" si="542"/>
        <v>62</v>
      </c>
      <c r="I2346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PRB'!$CT$62</v>
      </c>
      <c r="J2346" s="1" t="s">
        <v>3066</v>
      </c>
    </row>
    <row r="2347" spans="1:10" x14ac:dyDescent="0.35">
      <c r="A2347" s="6" t="s">
        <v>20</v>
      </c>
      <c r="B2347" s="6">
        <f t="shared" si="544"/>
        <v>2050</v>
      </c>
      <c r="C2347" s="1" t="s">
        <v>49</v>
      </c>
      <c r="D2347" s="2" t="s">
        <v>2003</v>
      </c>
      <c r="E2347" s="9" t="str">
        <f t="shared" si="540"/>
        <v>PRB'!</v>
      </c>
      <c r="F2347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47" s="6" t="s">
        <v>105</v>
      </c>
      <c r="H2347" s="1">
        <f t="shared" si="542"/>
        <v>63</v>
      </c>
      <c r="I2347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PRB'!$CT$63</v>
      </c>
      <c r="J2347" s="1" t="s">
        <v>3067</v>
      </c>
    </row>
    <row r="2348" spans="1:10" x14ac:dyDescent="0.35">
      <c r="A2348" s="6" t="s">
        <v>20</v>
      </c>
      <c r="B2348" s="6">
        <f t="shared" si="544"/>
        <v>2051</v>
      </c>
      <c r="C2348" s="1" t="s">
        <v>49</v>
      </c>
      <c r="D2348" s="2" t="s">
        <v>2003</v>
      </c>
      <c r="E2348" s="9" t="str">
        <f t="shared" si="540"/>
        <v>PRB'!</v>
      </c>
      <c r="F2348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48" s="6" t="s">
        <v>105</v>
      </c>
      <c r="H2348" s="1">
        <f t="shared" si="542"/>
        <v>64</v>
      </c>
      <c r="I2348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PRB'!$CT$64</v>
      </c>
      <c r="J2348" s="1" t="s">
        <v>3068</v>
      </c>
    </row>
    <row r="2349" spans="1:10" x14ac:dyDescent="0.35">
      <c r="A2349" s="6" t="s">
        <v>20</v>
      </c>
      <c r="B2349" s="6">
        <f t="shared" si="544"/>
        <v>2052</v>
      </c>
      <c r="C2349" s="1" t="s">
        <v>49</v>
      </c>
      <c r="D2349" s="2" t="s">
        <v>2003</v>
      </c>
      <c r="E2349" s="9" t="str">
        <f t="shared" si="540"/>
        <v>PRB'!</v>
      </c>
      <c r="F2349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49" s="6" t="s">
        <v>105</v>
      </c>
      <c r="H2349" s="1">
        <f t="shared" si="542"/>
        <v>65</v>
      </c>
      <c r="I2349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PRB'!$CT$65</v>
      </c>
      <c r="J2349" s="1" t="s">
        <v>3069</v>
      </c>
    </row>
    <row r="2350" spans="1:10" x14ac:dyDescent="0.35">
      <c r="A2350" s="6" t="s">
        <v>20</v>
      </c>
      <c r="B2350" s="6">
        <f t="shared" si="544"/>
        <v>2053</v>
      </c>
      <c r="C2350" s="1" t="s">
        <v>49</v>
      </c>
      <c r="D2350" s="2" t="s">
        <v>2003</v>
      </c>
      <c r="E2350" s="9" t="str">
        <f t="shared" si="540"/>
        <v>PRB'!</v>
      </c>
      <c r="F2350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50" s="6" t="s">
        <v>105</v>
      </c>
      <c r="H2350" s="1">
        <f t="shared" si="542"/>
        <v>66</v>
      </c>
      <c r="I2350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PRB'!$CT$66</v>
      </c>
      <c r="J2350" s="1" t="s">
        <v>3070</v>
      </c>
    </row>
    <row r="2351" spans="1:10" x14ac:dyDescent="0.35">
      <c r="A2351" s="6" t="s">
        <v>20</v>
      </c>
      <c r="B2351" s="6">
        <f t="shared" si="544"/>
        <v>2054</v>
      </c>
      <c r="C2351" s="1" t="s">
        <v>49</v>
      </c>
      <c r="D2351" s="2" t="s">
        <v>2003</v>
      </c>
      <c r="E2351" s="9" t="str">
        <f t="shared" si="540"/>
        <v>PRB'!</v>
      </c>
      <c r="F2351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51" s="6" t="s">
        <v>105</v>
      </c>
      <c r="H2351" s="1">
        <f t="shared" si="542"/>
        <v>67</v>
      </c>
      <c r="I2351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PRB'!$CT$67</v>
      </c>
      <c r="J2351" s="1" t="s">
        <v>3071</v>
      </c>
    </row>
    <row r="2352" spans="1:10" x14ac:dyDescent="0.35">
      <c r="A2352" s="6" t="s">
        <v>20</v>
      </c>
      <c r="B2352" s="6">
        <f t="shared" si="544"/>
        <v>2055</v>
      </c>
      <c r="C2352" s="1" t="s">
        <v>49</v>
      </c>
      <c r="D2352" s="2" t="s">
        <v>2003</v>
      </c>
      <c r="E2352" s="9" t="str">
        <f t="shared" si="540"/>
        <v>PRB'!</v>
      </c>
      <c r="F2352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52" s="6" t="s">
        <v>105</v>
      </c>
      <c r="H2352" s="1">
        <f t="shared" si="542"/>
        <v>68</v>
      </c>
      <c r="I2352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PRB'!$CT$68</v>
      </c>
      <c r="J2352" s="1" t="s">
        <v>3072</v>
      </c>
    </row>
    <row r="2353" spans="1:10" x14ac:dyDescent="0.35">
      <c r="A2353" s="6" t="s">
        <v>20</v>
      </c>
      <c r="B2353" s="6">
        <f t="shared" si="544"/>
        <v>2056</v>
      </c>
      <c r="C2353" s="1" t="s">
        <v>49</v>
      </c>
      <c r="D2353" s="2" t="s">
        <v>2003</v>
      </c>
      <c r="E2353" s="9" t="str">
        <f t="shared" si="540"/>
        <v>PRB'!</v>
      </c>
      <c r="F2353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53" s="6" t="s">
        <v>105</v>
      </c>
      <c r="H2353" s="1">
        <f t="shared" si="542"/>
        <v>69</v>
      </c>
      <c r="I2353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PRB'!$CT$69</v>
      </c>
      <c r="J2353" s="1" t="s">
        <v>3073</v>
      </c>
    </row>
    <row r="2354" spans="1:10" x14ac:dyDescent="0.35">
      <c r="A2354" s="6" t="s">
        <v>20</v>
      </c>
      <c r="B2354" s="6">
        <f t="shared" si="544"/>
        <v>2057</v>
      </c>
      <c r="C2354" s="1" t="s">
        <v>49</v>
      </c>
      <c r="D2354" s="2" t="s">
        <v>2003</v>
      </c>
      <c r="E2354" s="9" t="str">
        <f t="shared" si="540"/>
        <v>PRB'!</v>
      </c>
      <c r="F2354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54" s="6" t="s">
        <v>105</v>
      </c>
      <c r="H2354" s="1">
        <f t="shared" si="542"/>
        <v>70</v>
      </c>
      <c r="I2354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PRB'!$CT$70</v>
      </c>
      <c r="J2354" s="1" t="s">
        <v>3074</v>
      </c>
    </row>
    <row r="2355" spans="1:10" x14ac:dyDescent="0.35">
      <c r="A2355" s="6" t="s">
        <v>20</v>
      </c>
      <c r="B2355" s="6">
        <f t="shared" si="544"/>
        <v>2058</v>
      </c>
      <c r="C2355" s="1" t="s">
        <v>49</v>
      </c>
      <c r="D2355" s="2" t="s">
        <v>2003</v>
      </c>
      <c r="E2355" s="9" t="str">
        <f t="shared" si="540"/>
        <v>PRB'!</v>
      </c>
      <c r="F2355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55" s="6" t="s">
        <v>105</v>
      </c>
      <c r="H2355" s="1">
        <f t="shared" si="542"/>
        <v>71</v>
      </c>
      <c r="I2355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PRB'!$CT$71</v>
      </c>
      <c r="J2355" s="1" t="s">
        <v>3075</v>
      </c>
    </row>
    <row r="2356" spans="1:10" x14ac:dyDescent="0.35">
      <c r="A2356" s="6" t="s">
        <v>20</v>
      </c>
      <c r="B2356" s="6">
        <f t="shared" si="544"/>
        <v>2059</v>
      </c>
      <c r="C2356" s="1" t="s">
        <v>49</v>
      </c>
      <c r="D2356" s="2" t="s">
        <v>2003</v>
      </c>
      <c r="E2356" s="9" t="str">
        <f t="shared" si="540"/>
        <v>PRB'!</v>
      </c>
      <c r="F2356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56" s="6" t="s">
        <v>105</v>
      </c>
      <c r="H2356" s="1">
        <f t="shared" si="542"/>
        <v>72</v>
      </c>
      <c r="I2356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PRB'!$CT$72</v>
      </c>
      <c r="J2356" s="1" t="s">
        <v>3076</v>
      </c>
    </row>
    <row r="2357" spans="1:10" x14ac:dyDescent="0.35">
      <c r="A2357" s="6" t="s">
        <v>26</v>
      </c>
      <c r="B2357" s="6"/>
      <c r="C2357" s="1" t="s">
        <v>49</v>
      </c>
      <c r="D2357" s="2"/>
      <c r="E2357" s="9"/>
      <c r="F2357" s="2"/>
      <c r="G2357" s="6"/>
      <c r="H2357" s="1"/>
      <c r="I2357" s="1"/>
      <c r="J2357" s="4"/>
    </row>
    <row r="2358" spans="1:10" x14ac:dyDescent="0.35">
      <c r="A2358" s="6" t="s">
        <v>21</v>
      </c>
      <c r="B2358" s="6">
        <v>2023</v>
      </c>
      <c r="C2358" s="1" t="s">
        <v>49</v>
      </c>
      <c r="D2358" s="2" t="s">
        <v>2003</v>
      </c>
      <c r="E2358" s="9" t="s">
        <v>106</v>
      </c>
      <c r="F2358" s="5" t="str">
        <f t="shared" ref="F2358:F2378" si="545">_xlfn.CONCAT(D2358," ",E2358)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58" s="6" t="s">
        <v>105</v>
      </c>
      <c r="H2358" s="1"/>
      <c r="I2358" s="1"/>
      <c r="J2358" s="1"/>
    </row>
    <row r="2359" spans="1:10" x14ac:dyDescent="0.35">
      <c r="A2359" s="6" t="s">
        <v>21</v>
      </c>
      <c r="B2359" s="6">
        <v>2024</v>
      </c>
      <c r="C2359" s="1" t="s">
        <v>49</v>
      </c>
      <c r="D2359" s="2" t="s">
        <v>2003</v>
      </c>
      <c r="E2359" s="9" t="s">
        <v>106</v>
      </c>
      <c r="F2359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59" s="6" t="s">
        <v>105</v>
      </c>
      <c r="H2359" s="1"/>
      <c r="I2359" s="1"/>
      <c r="J2359" s="1"/>
    </row>
    <row r="2360" spans="1:10" x14ac:dyDescent="0.35">
      <c r="A2360" s="6" t="s">
        <v>21</v>
      </c>
      <c r="B2360" s="6">
        <v>2025</v>
      </c>
      <c r="C2360" s="1" t="s">
        <v>49</v>
      </c>
      <c r="D2360" s="2" t="s">
        <v>2003</v>
      </c>
      <c r="E2360" s="9" t="s">
        <v>106</v>
      </c>
      <c r="F2360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60" s="6" t="s">
        <v>105</v>
      </c>
      <c r="H2360" s="1"/>
      <c r="I2360" s="1"/>
      <c r="J2360" s="1"/>
    </row>
    <row r="2361" spans="1:10" x14ac:dyDescent="0.35">
      <c r="A2361" s="6" t="s">
        <v>21</v>
      </c>
      <c r="B2361" s="6">
        <v>2026</v>
      </c>
      <c r="C2361" s="1" t="s">
        <v>49</v>
      </c>
      <c r="D2361" s="2" t="s">
        <v>2003</v>
      </c>
      <c r="E2361" s="9" t="s">
        <v>106</v>
      </c>
      <c r="F2361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61" s="6" t="s">
        <v>105</v>
      </c>
      <c r="H2361" s="1"/>
      <c r="I2361" s="1"/>
      <c r="J2361" s="1"/>
    </row>
    <row r="2362" spans="1:10" x14ac:dyDescent="0.35">
      <c r="A2362" s="6" t="s">
        <v>21</v>
      </c>
      <c r="B2362" s="6">
        <v>2027</v>
      </c>
      <c r="C2362" s="1" t="s">
        <v>49</v>
      </c>
      <c r="D2362" s="2" t="s">
        <v>2003</v>
      </c>
      <c r="E2362" s="9" t="s">
        <v>106</v>
      </c>
      <c r="F2362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62" s="6" t="s">
        <v>105</v>
      </c>
      <c r="H2362" s="1"/>
      <c r="I2362" s="1"/>
      <c r="J2362" s="1"/>
    </row>
    <row r="2363" spans="1:10" x14ac:dyDescent="0.35">
      <c r="A2363" s="6" t="s">
        <v>21</v>
      </c>
      <c r="B2363" s="6">
        <v>2028</v>
      </c>
      <c r="C2363" s="1" t="s">
        <v>49</v>
      </c>
      <c r="D2363" s="2" t="s">
        <v>2003</v>
      </c>
      <c r="E2363" s="9" t="s">
        <v>106</v>
      </c>
      <c r="F2363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63" s="6" t="s">
        <v>105</v>
      </c>
      <c r="H2363" s="1"/>
      <c r="I2363" s="1"/>
      <c r="J2363" s="1"/>
    </row>
    <row r="2364" spans="1:10" x14ac:dyDescent="0.35">
      <c r="A2364" s="6" t="s">
        <v>21</v>
      </c>
      <c r="B2364" s="6">
        <v>2029</v>
      </c>
      <c r="C2364" s="1" t="s">
        <v>49</v>
      </c>
      <c r="D2364" s="2" t="s">
        <v>2003</v>
      </c>
      <c r="E2364" s="9" t="s">
        <v>106</v>
      </c>
      <c r="F2364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64" s="6" t="s">
        <v>105</v>
      </c>
      <c r="H2364" s="1"/>
      <c r="I2364" s="1"/>
      <c r="J2364" s="1"/>
    </row>
    <row r="2365" spans="1:10" x14ac:dyDescent="0.35">
      <c r="A2365" s="6" t="s">
        <v>21</v>
      </c>
      <c r="B2365" s="6">
        <v>2030</v>
      </c>
      <c r="C2365" s="1" t="s">
        <v>49</v>
      </c>
      <c r="D2365" s="2" t="s">
        <v>2003</v>
      </c>
      <c r="E2365" s="9" t="s">
        <v>106</v>
      </c>
      <c r="F2365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65" s="6" t="s">
        <v>105</v>
      </c>
      <c r="H2365" s="1"/>
      <c r="I2365" s="1"/>
      <c r="J2365" s="1"/>
    </row>
    <row r="2366" spans="1:10" x14ac:dyDescent="0.35">
      <c r="A2366" s="6" t="s">
        <v>21</v>
      </c>
      <c r="B2366" s="6">
        <v>2031</v>
      </c>
      <c r="C2366" s="1" t="s">
        <v>49</v>
      </c>
      <c r="D2366" s="2" t="s">
        <v>2003</v>
      </c>
      <c r="E2366" s="9" t="s">
        <v>106</v>
      </c>
      <c r="F2366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66" s="6" t="s">
        <v>105</v>
      </c>
      <c r="H2366" s="1"/>
      <c r="I2366" s="1"/>
      <c r="J2366" s="1"/>
    </row>
    <row r="2367" spans="1:10" x14ac:dyDescent="0.35">
      <c r="A2367" s="6" t="s">
        <v>21</v>
      </c>
      <c r="B2367" s="6">
        <v>2032</v>
      </c>
      <c r="C2367" s="1" t="s">
        <v>49</v>
      </c>
      <c r="D2367" s="2" t="s">
        <v>2003</v>
      </c>
      <c r="E2367" s="9" t="s">
        <v>106</v>
      </c>
      <c r="F2367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67" s="6" t="s">
        <v>105</v>
      </c>
      <c r="H2367" s="1"/>
      <c r="I2367" s="1"/>
      <c r="J2367" s="1"/>
    </row>
    <row r="2368" spans="1:10" x14ac:dyDescent="0.35">
      <c r="A2368" s="6" t="s">
        <v>21</v>
      </c>
      <c r="B2368" s="6">
        <v>2033</v>
      </c>
      <c r="C2368" s="1" t="s">
        <v>49</v>
      </c>
      <c r="D2368" s="2" t="s">
        <v>2003</v>
      </c>
      <c r="E2368" s="9" t="s">
        <v>106</v>
      </c>
      <c r="F2368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68" s="6" t="s">
        <v>105</v>
      </c>
      <c r="H2368" s="1"/>
      <c r="I2368" s="1"/>
      <c r="J2368" s="1"/>
    </row>
    <row r="2369" spans="1:10" x14ac:dyDescent="0.35">
      <c r="A2369" s="6" t="s">
        <v>21</v>
      </c>
      <c r="B2369" s="6">
        <v>2034</v>
      </c>
      <c r="C2369" s="1" t="s">
        <v>49</v>
      </c>
      <c r="D2369" s="2" t="s">
        <v>2003</v>
      </c>
      <c r="E2369" s="9" t="s">
        <v>106</v>
      </c>
      <c r="F2369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69" s="6" t="s">
        <v>105</v>
      </c>
      <c r="H2369" s="1"/>
      <c r="I2369" s="1"/>
      <c r="J2369" s="1"/>
    </row>
    <row r="2370" spans="1:10" x14ac:dyDescent="0.35">
      <c r="A2370" s="6" t="s">
        <v>21</v>
      </c>
      <c r="B2370" s="6">
        <v>2035</v>
      </c>
      <c r="C2370" s="1" t="s">
        <v>49</v>
      </c>
      <c r="D2370" s="2" t="s">
        <v>2003</v>
      </c>
      <c r="E2370" s="9" t="s">
        <v>106</v>
      </c>
      <c r="F2370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70" s="6" t="s">
        <v>105</v>
      </c>
      <c r="H2370" s="1"/>
      <c r="I2370" s="1"/>
      <c r="J2370" s="1"/>
    </row>
    <row r="2371" spans="1:10" x14ac:dyDescent="0.35">
      <c r="A2371" s="6" t="s">
        <v>21</v>
      </c>
      <c r="B2371" s="6">
        <v>2036</v>
      </c>
      <c r="C2371" s="1" t="s">
        <v>49</v>
      </c>
      <c r="D2371" s="2" t="s">
        <v>2003</v>
      </c>
      <c r="E2371" s="9" t="s">
        <v>106</v>
      </c>
      <c r="F2371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71" s="6" t="s">
        <v>105</v>
      </c>
      <c r="H2371" s="1"/>
      <c r="I2371" s="1"/>
      <c r="J2371" s="1"/>
    </row>
    <row r="2372" spans="1:10" x14ac:dyDescent="0.35">
      <c r="A2372" s="6" t="s">
        <v>21</v>
      </c>
      <c r="B2372" s="6">
        <v>2037</v>
      </c>
      <c r="C2372" s="1" t="s">
        <v>49</v>
      </c>
      <c r="D2372" s="2" t="s">
        <v>2003</v>
      </c>
      <c r="E2372" s="9" t="s">
        <v>106</v>
      </c>
      <c r="F2372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72" s="6" t="s">
        <v>105</v>
      </c>
      <c r="H2372" s="1"/>
      <c r="I2372" s="1"/>
      <c r="J2372" s="1"/>
    </row>
    <row r="2373" spans="1:10" x14ac:dyDescent="0.35">
      <c r="A2373" s="6" t="s">
        <v>21</v>
      </c>
      <c r="B2373" s="6">
        <v>2038</v>
      </c>
      <c r="C2373" s="1" t="s">
        <v>49</v>
      </c>
      <c r="D2373" s="2" t="s">
        <v>2003</v>
      </c>
      <c r="E2373" s="9" t="s">
        <v>106</v>
      </c>
      <c r="F2373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73" s="6" t="s">
        <v>105</v>
      </c>
      <c r="H2373" s="1"/>
      <c r="I2373" s="1"/>
      <c r="J2373" s="1"/>
    </row>
    <row r="2374" spans="1:10" x14ac:dyDescent="0.35">
      <c r="A2374" s="6" t="s">
        <v>21</v>
      </c>
      <c r="B2374" s="6">
        <v>2039</v>
      </c>
      <c r="C2374" s="1" t="s">
        <v>49</v>
      </c>
      <c r="D2374" s="2" t="s">
        <v>2003</v>
      </c>
      <c r="E2374" s="9" t="s">
        <v>106</v>
      </c>
      <c r="F2374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74" s="6" t="s">
        <v>105</v>
      </c>
      <c r="H2374" s="1"/>
      <c r="I2374" s="1"/>
      <c r="J2374" s="1"/>
    </row>
    <row r="2375" spans="1:10" x14ac:dyDescent="0.35">
      <c r="A2375" s="6" t="s">
        <v>21</v>
      </c>
      <c r="B2375" s="6">
        <v>2040</v>
      </c>
      <c r="C2375" s="1" t="s">
        <v>49</v>
      </c>
      <c r="D2375" s="2" t="s">
        <v>2003</v>
      </c>
      <c r="E2375" s="9" t="s">
        <v>106</v>
      </c>
      <c r="F2375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75" s="6" t="s">
        <v>105</v>
      </c>
      <c r="H2375" s="1"/>
      <c r="I2375" s="1"/>
      <c r="J2375" s="1"/>
    </row>
    <row r="2376" spans="1:10" x14ac:dyDescent="0.35">
      <c r="A2376" s="6" t="s">
        <v>21</v>
      </c>
      <c r="B2376" s="6">
        <v>2041</v>
      </c>
      <c r="C2376" s="1" t="s">
        <v>49</v>
      </c>
      <c r="D2376" s="2" t="s">
        <v>2003</v>
      </c>
      <c r="E2376" s="9" t="s">
        <v>106</v>
      </c>
      <c r="F2376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76" s="6" t="s">
        <v>105</v>
      </c>
      <c r="H2376" s="1"/>
      <c r="I2376" s="1"/>
      <c r="J2376" s="1"/>
    </row>
    <row r="2377" spans="1:10" x14ac:dyDescent="0.35">
      <c r="A2377" s="6" t="s">
        <v>21</v>
      </c>
      <c r="B2377" s="6">
        <v>2042</v>
      </c>
      <c r="C2377" s="1" t="s">
        <v>49</v>
      </c>
      <c r="D2377" s="2" t="s">
        <v>2003</v>
      </c>
      <c r="E2377" s="9" t="s">
        <v>106</v>
      </c>
      <c r="F2377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77" s="6" t="s">
        <v>105</v>
      </c>
      <c r="H2377" s="1"/>
      <c r="I2377" s="1"/>
      <c r="J2377" s="1"/>
    </row>
    <row r="2378" spans="1:10" x14ac:dyDescent="0.35">
      <c r="A2378" s="6" t="s">
        <v>21</v>
      </c>
      <c r="B2378" s="6">
        <v>2043</v>
      </c>
      <c r="C2378" s="1" t="s">
        <v>49</v>
      </c>
      <c r="D2378" s="2" t="s">
        <v>2003</v>
      </c>
      <c r="E2378" s="9" t="s">
        <v>106</v>
      </c>
      <c r="F2378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78" s="6" t="s">
        <v>105</v>
      </c>
      <c r="H2378" s="1"/>
      <c r="I2378" s="1"/>
      <c r="J2378" s="1"/>
    </row>
    <row r="2379" spans="1:10" x14ac:dyDescent="0.35">
      <c r="A2379" s="6" t="s">
        <v>21</v>
      </c>
      <c r="B2379" s="6">
        <v>2044</v>
      </c>
      <c r="C2379" s="1" t="s">
        <v>49</v>
      </c>
      <c r="D2379" s="2" t="s">
        <v>2003</v>
      </c>
      <c r="E2379" s="9" t="s">
        <v>106</v>
      </c>
      <c r="F2379" s="5" t="str">
        <f t="shared" ref="F2379:F2394" si="546">_xlfn.CONCAT(D2379," ",E2379)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79" s="6" t="s">
        <v>105</v>
      </c>
      <c r="H2379" s="1"/>
      <c r="I2379" s="1"/>
      <c r="J2379" s="1"/>
    </row>
    <row r="2380" spans="1:10" x14ac:dyDescent="0.35">
      <c r="A2380" s="6" t="s">
        <v>21</v>
      </c>
      <c r="B2380" s="6">
        <v>2045</v>
      </c>
      <c r="C2380" s="1" t="s">
        <v>49</v>
      </c>
      <c r="D2380" s="2" t="s">
        <v>2003</v>
      </c>
      <c r="E2380" s="9" t="s">
        <v>106</v>
      </c>
      <c r="F2380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80" s="6" t="s">
        <v>105</v>
      </c>
      <c r="H2380" s="1"/>
      <c r="I2380" s="1"/>
      <c r="J2380" s="1"/>
    </row>
    <row r="2381" spans="1:10" x14ac:dyDescent="0.35">
      <c r="A2381" s="6" t="s">
        <v>21</v>
      </c>
      <c r="B2381" s="6">
        <v>2046</v>
      </c>
      <c r="C2381" s="1" t="s">
        <v>49</v>
      </c>
      <c r="D2381" s="2" t="s">
        <v>2003</v>
      </c>
      <c r="E2381" s="9" t="s">
        <v>106</v>
      </c>
      <c r="F2381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81" s="6" t="s">
        <v>105</v>
      </c>
      <c r="H2381" s="1"/>
      <c r="I2381" s="1"/>
      <c r="J2381" s="1"/>
    </row>
    <row r="2382" spans="1:10" x14ac:dyDescent="0.35">
      <c r="A2382" s="6" t="s">
        <v>21</v>
      </c>
      <c r="B2382" s="6">
        <v>2047</v>
      </c>
      <c r="C2382" s="1" t="s">
        <v>49</v>
      </c>
      <c r="D2382" s="2" t="s">
        <v>2003</v>
      </c>
      <c r="E2382" s="9" t="s">
        <v>106</v>
      </c>
      <c r="F2382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82" s="6" t="s">
        <v>105</v>
      </c>
      <c r="H2382" s="1"/>
      <c r="I2382" s="1"/>
      <c r="J2382" s="1"/>
    </row>
    <row r="2383" spans="1:10" x14ac:dyDescent="0.35">
      <c r="A2383" s="6" t="s">
        <v>21</v>
      </c>
      <c r="B2383" s="6">
        <v>2048</v>
      </c>
      <c r="C2383" s="1" t="s">
        <v>49</v>
      </c>
      <c r="D2383" s="2" t="s">
        <v>2003</v>
      </c>
      <c r="E2383" s="9" t="s">
        <v>106</v>
      </c>
      <c r="F2383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83" s="6" t="s">
        <v>105</v>
      </c>
      <c r="H2383" s="1"/>
      <c r="I2383" s="1"/>
      <c r="J2383" s="1"/>
    </row>
    <row r="2384" spans="1:10" x14ac:dyDescent="0.35">
      <c r="A2384" s="6" t="s">
        <v>21</v>
      </c>
      <c r="B2384" s="6">
        <v>2049</v>
      </c>
      <c r="C2384" s="1" t="s">
        <v>49</v>
      </c>
      <c r="D2384" s="2" t="s">
        <v>2003</v>
      </c>
      <c r="E2384" s="9" t="s">
        <v>106</v>
      </c>
      <c r="F2384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84" s="6" t="s">
        <v>105</v>
      </c>
      <c r="H2384" s="1"/>
      <c r="I2384" s="1"/>
      <c r="J2384" s="1"/>
    </row>
    <row r="2385" spans="1:10" x14ac:dyDescent="0.35">
      <c r="A2385" s="6" t="s">
        <v>21</v>
      </c>
      <c r="B2385" s="6">
        <v>2050</v>
      </c>
      <c r="C2385" s="1" t="s">
        <v>49</v>
      </c>
      <c r="D2385" s="2" t="s">
        <v>2003</v>
      </c>
      <c r="E2385" s="9" t="s">
        <v>106</v>
      </c>
      <c r="F2385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85" s="6" t="s">
        <v>105</v>
      </c>
      <c r="H2385" s="1"/>
      <c r="I2385" s="1"/>
      <c r="J2385" s="1"/>
    </row>
    <row r="2386" spans="1:10" x14ac:dyDescent="0.35">
      <c r="A2386" s="6" t="s">
        <v>21</v>
      </c>
      <c r="B2386" s="6">
        <v>2051</v>
      </c>
      <c r="C2386" s="1" t="s">
        <v>49</v>
      </c>
      <c r="D2386" s="2" t="s">
        <v>2003</v>
      </c>
      <c r="E2386" s="9" t="s">
        <v>106</v>
      </c>
      <c r="F2386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86" s="6" t="s">
        <v>105</v>
      </c>
      <c r="H2386" s="1"/>
      <c r="I2386" s="1"/>
      <c r="J2386" s="1"/>
    </row>
    <row r="2387" spans="1:10" x14ac:dyDescent="0.35">
      <c r="A2387" s="6" t="s">
        <v>21</v>
      </c>
      <c r="B2387" s="6">
        <v>2052</v>
      </c>
      <c r="C2387" s="1" t="s">
        <v>49</v>
      </c>
      <c r="D2387" s="2" t="s">
        <v>2003</v>
      </c>
      <c r="E2387" s="9" t="s">
        <v>106</v>
      </c>
      <c r="F2387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87" s="6" t="s">
        <v>105</v>
      </c>
      <c r="H2387" s="1"/>
      <c r="I2387" s="1"/>
      <c r="J2387" s="1"/>
    </row>
    <row r="2388" spans="1:10" x14ac:dyDescent="0.35">
      <c r="A2388" s="6" t="s">
        <v>21</v>
      </c>
      <c r="B2388" s="6">
        <v>2053</v>
      </c>
      <c r="C2388" s="1" t="s">
        <v>49</v>
      </c>
      <c r="D2388" s="2" t="s">
        <v>2003</v>
      </c>
      <c r="E2388" s="9" t="s">
        <v>106</v>
      </c>
      <c r="F2388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88" s="6" t="s">
        <v>105</v>
      </c>
      <c r="H2388" s="1"/>
      <c r="I2388" s="1"/>
      <c r="J2388" s="1"/>
    </row>
    <row r="2389" spans="1:10" x14ac:dyDescent="0.35">
      <c r="A2389" s="6" t="s">
        <v>21</v>
      </c>
      <c r="B2389" s="6">
        <v>2054</v>
      </c>
      <c r="C2389" s="1" t="s">
        <v>49</v>
      </c>
      <c r="D2389" s="2" t="s">
        <v>2003</v>
      </c>
      <c r="E2389" s="9" t="s">
        <v>106</v>
      </c>
      <c r="F2389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89" s="6" t="s">
        <v>105</v>
      </c>
      <c r="H2389" s="1"/>
      <c r="I2389" s="1"/>
      <c r="J2389" s="1"/>
    </row>
    <row r="2390" spans="1:10" x14ac:dyDescent="0.35">
      <c r="A2390" s="6" t="s">
        <v>21</v>
      </c>
      <c r="B2390" s="6">
        <v>2055</v>
      </c>
      <c r="C2390" s="1" t="s">
        <v>49</v>
      </c>
      <c r="D2390" s="2" t="s">
        <v>2003</v>
      </c>
      <c r="E2390" s="9" t="s">
        <v>106</v>
      </c>
      <c r="F2390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90" s="6" t="s">
        <v>105</v>
      </c>
      <c r="H2390" s="1"/>
      <c r="I2390" s="1"/>
      <c r="J2390" s="1"/>
    </row>
    <row r="2391" spans="1:10" x14ac:dyDescent="0.35">
      <c r="A2391" s="6" t="s">
        <v>21</v>
      </c>
      <c r="B2391" s="6">
        <v>2056</v>
      </c>
      <c r="C2391" s="1" t="s">
        <v>49</v>
      </c>
      <c r="D2391" s="2" t="s">
        <v>2003</v>
      </c>
      <c r="E2391" s="9" t="s">
        <v>106</v>
      </c>
      <c r="F2391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91" s="6" t="s">
        <v>105</v>
      </c>
      <c r="H2391" s="1"/>
      <c r="I2391" s="1"/>
      <c r="J2391" s="1"/>
    </row>
    <row r="2392" spans="1:10" x14ac:dyDescent="0.35">
      <c r="A2392" s="6" t="s">
        <v>21</v>
      </c>
      <c r="B2392" s="6">
        <v>2057</v>
      </c>
      <c r="C2392" s="1" t="s">
        <v>49</v>
      </c>
      <c r="D2392" s="2" t="s">
        <v>2003</v>
      </c>
      <c r="E2392" s="9" t="s">
        <v>106</v>
      </c>
      <c r="F2392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92" s="6" t="s">
        <v>105</v>
      </c>
      <c r="H2392" s="1"/>
      <c r="I2392" s="1"/>
      <c r="J2392" s="1"/>
    </row>
    <row r="2393" spans="1:10" x14ac:dyDescent="0.35">
      <c r="A2393" s="6" t="s">
        <v>21</v>
      </c>
      <c r="B2393" s="6">
        <v>2058</v>
      </c>
      <c r="C2393" s="1" t="s">
        <v>49</v>
      </c>
      <c r="D2393" s="2" t="s">
        <v>2003</v>
      </c>
      <c r="E2393" s="9" t="s">
        <v>106</v>
      </c>
      <c r="F2393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93" s="6" t="s">
        <v>105</v>
      </c>
      <c r="H2393" s="1"/>
      <c r="I2393" s="1"/>
      <c r="J2393" s="1"/>
    </row>
    <row r="2394" spans="1:10" x14ac:dyDescent="0.35">
      <c r="A2394" s="6" t="s">
        <v>21</v>
      </c>
      <c r="B2394" s="6">
        <v>2059</v>
      </c>
      <c r="C2394" s="1" t="s">
        <v>49</v>
      </c>
      <c r="D2394" s="2" t="s">
        <v>2003</v>
      </c>
      <c r="E2394" s="9" t="s">
        <v>106</v>
      </c>
      <c r="F2394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94" s="6" t="s">
        <v>105</v>
      </c>
      <c r="H2394" s="1"/>
      <c r="I2394" s="1"/>
      <c r="J2394" s="1"/>
    </row>
    <row r="2395" spans="1:10" x14ac:dyDescent="0.35">
      <c r="A2395" s="6" t="s">
        <v>26</v>
      </c>
      <c r="B2395" s="6"/>
      <c r="C2395" s="1" t="s">
        <v>49</v>
      </c>
      <c r="D2395" s="2"/>
      <c r="E2395" s="9"/>
      <c r="F2395" s="5"/>
      <c r="G2395" s="6"/>
      <c r="H2395" s="1"/>
      <c r="I2395" s="1"/>
      <c r="J2395" s="1"/>
    </row>
    <row r="2396" spans="1:10" x14ac:dyDescent="0.35">
      <c r="A2396" s="6" t="s">
        <v>22</v>
      </c>
      <c r="B2396" s="6">
        <v>2023</v>
      </c>
      <c r="C2396" s="1" t="s">
        <v>49</v>
      </c>
      <c r="D2396" s="2" t="s">
        <v>2003</v>
      </c>
      <c r="E2396" s="9" t="s">
        <v>107</v>
      </c>
      <c r="F2396" s="5" t="str">
        <f t="shared" ref="F2396:F2487" si="547">_xlfn.CONCAT(D2396," ",E2396)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396" s="6" t="s">
        <v>105</v>
      </c>
      <c r="H2396" s="1"/>
      <c r="I2396" s="1"/>
      <c r="J2396" s="1"/>
    </row>
    <row r="2397" spans="1:10" x14ac:dyDescent="0.35">
      <c r="A2397" s="6" t="s">
        <v>22</v>
      </c>
      <c r="B2397" s="6">
        <v>2024</v>
      </c>
      <c r="C2397" s="1" t="s">
        <v>49</v>
      </c>
      <c r="D2397" s="2" t="s">
        <v>2003</v>
      </c>
      <c r="E2397" s="9" t="s">
        <v>107</v>
      </c>
      <c r="F2397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397" s="6" t="s">
        <v>105</v>
      </c>
      <c r="H2397" s="1"/>
      <c r="I2397" s="1"/>
      <c r="J2397" s="1"/>
    </row>
    <row r="2398" spans="1:10" x14ac:dyDescent="0.35">
      <c r="A2398" s="6" t="s">
        <v>22</v>
      </c>
      <c r="B2398" s="6">
        <v>2025</v>
      </c>
      <c r="C2398" s="1" t="s">
        <v>49</v>
      </c>
      <c r="D2398" s="2" t="s">
        <v>2003</v>
      </c>
      <c r="E2398" s="9" t="s">
        <v>107</v>
      </c>
      <c r="F2398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398" s="6" t="s">
        <v>105</v>
      </c>
      <c r="H2398" s="1"/>
      <c r="I2398" s="1"/>
      <c r="J2398" s="1"/>
    </row>
    <row r="2399" spans="1:10" x14ac:dyDescent="0.35">
      <c r="A2399" s="6" t="s">
        <v>22</v>
      </c>
      <c r="B2399" s="6">
        <v>2026</v>
      </c>
      <c r="C2399" s="1" t="s">
        <v>49</v>
      </c>
      <c r="D2399" s="2" t="s">
        <v>2003</v>
      </c>
      <c r="E2399" s="9" t="s">
        <v>107</v>
      </c>
      <c r="F2399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399" s="6" t="s">
        <v>105</v>
      </c>
      <c r="H2399" s="1"/>
      <c r="I2399" s="1"/>
      <c r="J2399" s="1"/>
    </row>
    <row r="2400" spans="1:10" x14ac:dyDescent="0.35">
      <c r="A2400" s="6" t="s">
        <v>22</v>
      </c>
      <c r="B2400" s="6">
        <v>2027</v>
      </c>
      <c r="C2400" s="1" t="s">
        <v>49</v>
      </c>
      <c r="D2400" s="2" t="s">
        <v>2003</v>
      </c>
      <c r="E2400" s="9" t="s">
        <v>107</v>
      </c>
      <c r="F2400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00" s="6" t="s">
        <v>105</v>
      </c>
      <c r="H2400" s="1"/>
      <c r="I2400" s="1"/>
      <c r="J2400" s="1"/>
    </row>
    <row r="2401" spans="1:10" x14ac:dyDescent="0.35">
      <c r="A2401" s="6" t="s">
        <v>22</v>
      </c>
      <c r="B2401" s="6">
        <v>2028</v>
      </c>
      <c r="C2401" s="1" t="s">
        <v>49</v>
      </c>
      <c r="D2401" s="2" t="s">
        <v>2003</v>
      </c>
      <c r="E2401" s="9" t="s">
        <v>107</v>
      </c>
      <c r="F2401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01" s="6" t="s">
        <v>105</v>
      </c>
      <c r="H2401" s="1"/>
      <c r="I2401" s="1"/>
      <c r="J2401" s="1"/>
    </row>
    <row r="2402" spans="1:10" x14ac:dyDescent="0.35">
      <c r="A2402" s="6" t="s">
        <v>22</v>
      </c>
      <c r="B2402" s="6">
        <v>2029</v>
      </c>
      <c r="C2402" s="1" t="s">
        <v>49</v>
      </c>
      <c r="D2402" s="2" t="s">
        <v>2003</v>
      </c>
      <c r="E2402" s="9" t="s">
        <v>107</v>
      </c>
      <c r="F2402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02" s="6" t="s">
        <v>105</v>
      </c>
      <c r="H2402" s="1"/>
      <c r="I2402" s="1"/>
      <c r="J2402" s="1"/>
    </row>
    <row r="2403" spans="1:10" x14ac:dyDescent="0.35">
      <c r="A2403" s="6" t="s">
        <v>22</v>
      </c>
      <c r="B2403" s="6">
        <v>2030</v>
      </c>
      <c r="C2403" s="1" t="s">
        <v>49</v>
      </c>
      <c r="D2403" s="2" t="s">
        <v>2003</v>
      </c>
      <c r="E2403" s="9" t="s">
        <v>107</v>
      </c>
      <c r="F2403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03" s="6" t="s">
        <v>105</v>
      </c>
      <c r="H2403" s="1"/>
      <c r="I2403" s="1"/>
      <c r="J2403" s="1"/>
    </row>
    <row r="2404" spans="1:10" x14ac:dyDescent="0.35">
      <c r="A2404" s="6" t="s">
        <v>22</v>
      </c>
      <c r="B2404" s="6">
        <v>2031</v>
      </c>
      <c r="C2404" s="1" t="s">
        <v>49</v>
      </c>
      <c r="D2404" s="2" t="s">
        <v>2003</v>
      </c>
      <c r="E2404" s="9" t="s">
        <v>107</v>
      </c>
      <c r="F2404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04" s="6" t="s">
        <v>105</v>
      </c>
      <c r="H2404" s="1"/>
      <c r="I2404" s="1"/>
      <c r="J2404" s="1"/>
    </row>
    <row r="2405" spans="1:10" x14ac:dyDescent="0.35">
      <c r="A2405" s="6" t="s">
        <v>22</v>
      </c>
      <c r="B2405" s="6">
        <v>2032</v>
      </c>
      <c r="C2405" s="1" t="s">
        <v>49</v>
      </c>
      <c r="D2405" s="2" t="s">
        <v>2003</v>
      </c>
      <c r="E2405" s="9" t="s">
        <v>107</v>
      </c>
      <c r="F2405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05" s="6" t="s">
        <v>105</v>
      </c>
      <c r="H2405" s="1"/>
      <c r="I2405" s="1"/>
      <c r="J2405" s="1"/>
    </row>
    <row r="2406" spans="1:10" x14ac:dyDescent="0.35">
      <c r="A2406" s="6" t="s">
        <v>22</v>
      </c>
      <c r="B2406" s="6">
        <v>2033</v>
      </c>
      <c r="C2406" s="1" t="s">
        <v>49</v>
      </c>
      <c r="D2406" s="2" t="s">
        <v>2003</v>
      </c>
      <c r="E2406" s="9" t="s">
        <v>107</v>
      </c>
      <c r="F2406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06" s="6" t="s">
        <v>105</v>
      </c>
      <c r="H2406" s="1"/>
      <c r="I2406" s="1"/>
      <c r="J2406" s="1"/>
    </row>
    <row r="2407" spans="1:10" x14ac:dyDescent="0.35">
      <c r="A2407" s="6" t="s">
        <v>22</v>
      </c>
      <c r="B2407" s="6">
        <v>2034</v>
      </c>
      <c r="C2407" s="1" t="s">
        <v>49</v>
      </c>
      <c r="D2407" s="2" t="s">
        <v>2003</v>
      </c>
      <c r="E2407" s="9" t="s">
        <v>107</v>
      </c>
      <c r="F2407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07" s="6" t="s">
        <v>105</v>
      </c>
      <c r="H2407" s="1"/>
      <c r="I2407" s="1"/>
      <c r="J2407" s="1"/>
    </row>
    <row r="2408" spans="1:10" x14ac:dyDescent="0.35">
      <c r="A2408" s="6" t="s">
        <v>22</v>
      </c>
      <c r="B2408" s="6">
        <v>2035</v>
      </c>
      <c r="C2408" s="1" t="s">
        <v>49</v>
      </c>
      <c r="D2408" s="2" t="s">
        <v>2003</v>
      </c>
      <c r="E2408" s="9" t="s">
        <v>107</v>
      </c>
      <c r="F2408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08" s="6" t="s">
        <v>105</v>
      </c>
      <c r="H2408" s="1"/>
      <c r="I2408" s="1"/>
      <c r="J2408" s="1"/>
    </row>
    <row r="2409" spans="1:10" x14ac:dyDescent="0.35">
      <c r="A2409" s="6" t="s">
        <v>22</v>
      </c>
      <c r="B2409" s="6">
        <v>2036</v>
      </c>
      <c r="C2409" s="1" t="s">
        <v>49</v>
      </c>
      <c r="D2409" s="2" t="s">
        <v>2003</v>
      </c>
      <c r="E2409" s="9" t="s">
        <v>107</v>
      </c>
      <c r="F2409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09" s="6" t="s">
        <v>105</v>
      </c>
      <c r="H2409" s="1"/>
      <c r="I2409" s="1"/>
      <c r="J2409" s="1"/>
    </row>
    <row r="2410" spans="1:10" x14ac:dyDescent="0.35">
      <c r="A2410" s="6" t="s">
        <v>22</v>
      </c>
      <c r="B2410" s="6">
        <v>2037</v>
      </c>
      <c r="C2410" s="1" t="s">
        <v>49</v>
      </c>
      <c r="D2410" s="2" t="s">
        <v>2003</v>
      </c>
      <c r="E2410" s="9" t="s">
        <v>107</v>
      </c>
      <c r="F2410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10" s="6" t="s">
        <v>105</v>
      </c>
      <c r="H2410" s="1"/>
      <c r="I2410" s="1"/>
      <c r="J2410" s="1"/>
    </row>
    <row r="2411" spans="1:10" x14ac:dyDescent="0.35">
      <c r="A2411" s="6" t="s">
        <v>22</v>
      </c>
      <c r="B2411" s="6">
        <v>2038</v>
      </c>
      <c r="C2411" s="1" t="s">
        <v>49</v>
      </c>
      <c r="D2411" s="2" t="s">
        <v>2003</v>
      </c>
      <c r="E2411" s="9" t="s">
        <v>107</v>
      </c>
      <c r="F2411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11" s="6" t="s">
        <v>105</v>
      </c>
      <c r="H2411" s="1"/>
      <c r="I2411" s="1"/>
      <c r="J2411" s="1"/>
    </row>
    <row r="2412" spans="1:10" x14ac:dyDescent="0.35">
      <c r="A2412" s="6" t="s">
        <v>22</v>
      </c>
      <c r="B2412" s="6">
        <v>2039</v>
      </c>
      <c r="C2412" s="1" t="s">
        <v>49</v>
      </c>
      <c r="D2412" s="2" t="s">
        <v>2003</v>
      </c>
      <c r="E2412" s="9" t="s">
        <v>107</v>
      </c>
      <c r="F2412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12" s="6" t="s">
        <v>105</v>
      </c>
      <c r="H2412" s="1"/>
      <c r="I2412" s="1"/>
      <c r="J2412" s="1"/>
    </row>
    <row r="2413" spans="1:10" x14ac:dyDescent="0.35">
      <c r="A2413" s="6" t="s">
        <v>22</v>
      </c>
      <c r="B2413" s="6">
        <v>2040</v>
      </c>
      <c r="C2413" s="1" t="s">
        <v>49</v>
      </c>
      <c r="D2413" s="2" t="s">
        <v>2003</v>
      </c>
      <c r="E2413" s="9" t="s">
        <v>107</v>
      </c>
      <c r="F2413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13" s="6" t="s">
        <v>105</v>
      </c>
      <c r="H2413" s="1"/>
      <c r="I2413" s="1"/>
      <c r="J2413" s="1"/>
    </row>
    <row r="2414" spans="1:10" x14ac:dyDescent="0.35">
      <c r="A2414" s="6" t="s">
        <v>22</v>
      </c>
      <c r="B2414" s="6">
        <v>2041</v>
      </c>
      <c r="C2414" s="1" t="s">
        <v>49</v>
      </c>
      <c r="D2414" s="2" t="s">
        <v>2003</v>
      </c>
      <c r="E2414" s="9" t="s">
        <v>107</v>
      </c>
      <c r="F2414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14" s="6" t="s">
        <v>105</v>
      </c>
      <c r="H2414" s="1"/>
      <c r="I2414" s="1"/>
      <c r="J2414" s="1"/>
    </row>
    <row r="2415" spans="1:10" x14ac:dyDescent="0.35">
      <c r="A2415" s="6" t="s">
        <v>22</v>
      </c>
      <c r="B2415" s="6">
        <v>2042</v>
      </c>
      <c r="C2415" s="1" t="s">
        <v>49</v>
      </c>
      <c r="D2415" s="2" t="s">
        <v>2003</v>
      </c>
      <c r="E2415" s="9" t="s">
        <v>107</v>
      </c>
      <c r="F2415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15" s="6" t="s">
        <v>105</v>
      </c>
      <c r="H2415" s="1"/>
      <c r="I2415" s="1"/>
      <c r="J2415" s="1"/>
    </row>
    <row r="2416" spans="1:10" x14ac:dyDescent="0.35">
      <c r="A2416" s="6" t="s">
        <v>22</v>
      </c>
      <c r="B2416" s="6">
        <v>2043</v>
      </c>
      <c r="C2416" s="1" t="s">
        <v>49</v>
      </c>
      <c r="D2416" s="2" t="s">
        <v>2003</v>
      </c>
      <c r="E2416" s="9" t="s">
        <v>107</v>
      </c>
      <c r="F2416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16" s="6" t="s">
        <v>105</v>
      </c>
      <c r="H2416" s="1"/>
      <c r="I2416" s="1"/>
      <c r="J2416" s="1"/>
    </row>
    <row r="2417" spans="1:10" x14ac:dyDescent="0.35">
      <c r="A2417" s="6" t="s">
        <v>22</v>
      </c>
      <c r="B2417" s="6">
        <v>2044</v>
      </c>
      <c r="C2417" s="1" t="s">
        <v>49</v>
      </c>
      <c r="D2417" s="2" t="s">
        <v>2003</v>
      </c>
      <c r="E2417" s="9" t="s">
        <v>107</v>
      </c>
      <c r="F2417" s="5" t="str">
        <f t="shared" ref="F2417:F2432" si="548">_xlfn.CONCAT(D2417," ",E2417)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17" s="6" t="s">
        <v>105</v>
      </c>
      <c r="H2417" s="1"/>
      <c r="I2417" s="1"/>
      <c r="J2417" s="1"/>
    </row>
    <row r="2418" spans="1:10" x14ac:dyDescent="0.35">
      <c r="A2418" s="6" t="s">
        <v>22</v>
      </c>
      <c r="B2418" s="6">
        <v>2045</v>
      </c>
      <c r="C2418" s="1" t="s">
        <v>49</v>
      </c>
      <c r="D2418" s="2" t="s">
        <v>2003</v>
      </c>
      <c r="E2418" s="9" t="s">
        <v>107</v>
      </c>
      <c r="F2418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18" s="6" t="s">
        <v>105</v>
      </c>
      <c r="H2418" s="1"/>
      <c r="I2418" s="1"/>
      <c r="J2418" s="1"/>
    </row>
    <row r="2419" spans="1:10" x14ac:dyDescent="0.35">
      <c r="A2419" s="6" t="s">
        <v>22</v>
      </c>
      <c r="B2419" s="6">
        <v>2046</v>
      </c>
      <c r="C2419" s="1" t="s">
        <v>49</v>
      </c>
      <c r="D2419" s="2" t="s">
        <v>2003</v>
      </c>
      <c r="E2419" s="9" t="s">
        <v>107</v>
      </c>
      <c r="F2419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19" s="6" t="s">
        <v>105</v>
      </c>
      <c r="H2419" s="1"/>
      <c r="I2419" s="1"/>
      <c r="J2419" s="1"/>
    </row>
    <row r="2420" spans="1:10" x14ac:dyDescent="0.35">
      <c r="A2420" s="6" t="s">
        <v>22</v>
      </c>
      <c r="B2420" s="6">
        <v>2047</v>
      </c>
      <c r="C2420" s="1" t="s">
        <v>49</v>
      </c>
      <c r="D2420" s="2" t="s">
        <v>2003</v>
      </c>
      <c r="E2420" s="9" t="s">
        <v>107</v>
      </c>
      <c r="F2420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20" s="6" t="s">
        <v>105</v>
      </c>
      <c r="H2420" s="1"/>
      <c r="I2420" s="1"/>
      <c r="J2420" s="1"/>
    </row>
    <row r="2421" spans="1:10" x14ac:dyDescent="0.35">
      <c r="A2421" s="6" t="s">
        <v>22</v>
      </c>
      <c r="B2421" s="6">
        <v>2048</v>
      </c>
      <c r="C2421" s="1" t="s">
        <v>49</v>
      </c>
      <c r="D2421" s="2" t="s">
        <v>2003</v>
      </c>
      <c r="E2421" s="9" t="s">
        <v>107</v>
      </c>
      <c r="F2421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21" s="6" t="s">
        <v>105</v>
      </c>
      <c r="H2421" s="1"/>
      <c r="I2421" s="1"/>
      <c r="J2421" s="1"/>
    </row>
    <row r="2422" spans="1:10" x14ac:dyDescent="0.35">
      <c r="A2422" s="6" t="s">
        <v>22</v>
      </c>
      <c r="B2422" s="6">
        <v>2049</v>
      </c>
      <c r="C2422" s="1" t="s">
        <v>49</v>
      </c>
      <c r="D2422" s="2" t="s">
        <v>2003</v>
      </c>
      <c r="E2422" s="9" t="s">
        <v>107</v>
      </c>
      <c r="F2422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22" s="6" t="s">
        <v>105</v>
      </c>
      <c r="H2422" s="1"/>
      <c r="I2422" s="1"/>
      <c r="J2422" s="1"/>
    </row>
    <row r="2423" spans="1:10" x14ac:dyDescent="0.35">
      <c r="A2423" s="6" t="s">
        <v>22</v>
      </c>
      <c r="B2423" s="6">
        <v>2050</v>
      </c>
      <c r="C2423" s="1" t="s">
        <v>49</v>
      </c>
      <c r="D2423" s="2" t="s">
        <v>2003</v>
      </c>
      <c r="E2423" s="9" t="s">
        <v>107</v>
      </c>
      <c r="F2423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23" s="6" t="s">
        <v>105</v>
      </c>
      <c r="H2423" s="1"/>
      <c r="I2423" s="1"/>
      <c r="J2423" s="1"/>
    </row>
    <row r="2424" spans="1:10" x14ac:dyDescent="0.35">
      <c r="A2424" s="6" t="s">
        <v>22</v>
      </c>
      <c r="B2424" s="6">
        <v>2051</v>
      </c>
      <c r="C2424" s="1" t="s">
        <v>49</v>
      </c>
      <c r="D2424" s="2" t="s">
        <v>2003</v>
      </c>
      <c r="E2424" s="9" t="s">
        <v>107</v>
      </c>
      <c r="F2424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24" s="6" t="s">
        <v>105</v>
      </c>
      <c r="H2424" s="1"/>
      <c r="I2424" s="1"/>
      <c r="J2424" s="1"/>
    </row>
    <row r="2425" spans="1:10" x14ac:dyDescent="0.35">
      <c r="A2425" s="6" t="s">
        <v>22</v>
      </c>
      <c r="B2425" s="6">
        <v>2052</v>
      </c>
      <c r="C2425" s="1" t="s">
        <v>49</v>
      </c>
      <c r="D2425" s="2" t="s">
        <v>2003</v>
      </c>
      <c r="E2425" s="9" t="s">
        <v>107</v>
      </c>
      <c r="F2425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25" s="6" t="s">
        <v>105</v>
      </c>
      <c r="H2425" s="1"/>
      <c r="I2425" s="1"/>
      <c r="J2425" s="1"/>
    </row>
    <row r="2426" spans="1:10" x14ac:dyDescent="0.35">
      <c r="A2426" s="6" t="s">
        <v>22</v>
      </c>
      <c r="B2426" s="6">
        <v>2053</v>
      </c>
      <c r="C2426" s="1" t="s">
        <v>49</v>
      </c>
      <c r="D2426" s="2" t="s">
        <v>2003</v>
      </c>
      <c r="E2426" s="9" t="s">
        <v>107</v>
      </c>
      <c r="F2426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26" s="6" t="s">
        <v>105</v>
      </c>
      <c r="H2426" s="1"/>
      <c r="I2426" s="1"/>
      <c r="J2426" s="1"/>
    </row>
    <row r="2427" spans="1:10" x14ac:dyDescent="0.35">
      <c r="A2427" s="6" t="s">
        <v>22</v>
      </c>
      <c r="B2427" s="6">
        <v>2054</v>
      </c>
      <c r="C2427" s="1" t="s">
        <v>49</v>
      </c>
      <c r="D2427" s="2" t="s">
        <v>2003</v>
      </c>
      <c r="E2427" s="9" t="s">
        <v>107</v>
      </c>
      <c r="F2427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27" s="6" t="s">
        <v>105</v>
      </c>
      <c r="H2427" s="1"/>
      <c r="I2427" s="1"/>
      <c r="J2427" s="1"/>
    </row>
    <row r="2428" spans="1:10" x14ac:dyDescent="0.35">
      <c r="A2428" s="6" t="s">
        <v>22</v>
      </c>
      <c r="B2428" s="6">
        <v>2055</v>
      </c>
      <c r="C2428" s="1" t="s">
        <v>49</v>
      </c>
      <c r="D2428" s="2" t="s">
        <v>2003</v>
      </c>
      <c r="E2428" s="9" t="s">
        <v>107</v>
      </c>
      <c r="F2428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28" s="6" t="s">
        <v>105</v>
      </c>
      <c r="H2428" s="1"/>
      <c r="I2428" s="1"/>
      <c r="J2428" s="1"/>
    </row>
    <row r="2429" spans="1:10" x14ac:dyDescent="0.35">
      <c r="A2429" s="6" t="s">
        <v>22</v>
      </c>
      <c r="B2429" s="6">
        <v>2056</v>
      </c>
      <c r="C2429" s="1" t="s">
        <v>49</v>
      </c>
      <c r="D2429" s="2" t="s">
        <v>2003</v>
      </c>
      <c r="E2429" s="9" t="s">
        <v>107</v>
      </c>
      <c r="F2429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29" s="6" t="s">
        <v>105</v>
      </c>
      <c r="H2429" s="1"/>
      <c r="I2429" s="1"/>
      <c r="J2429" s="1"/>
    </row>
    <row r="2430" spans="1:10" x14ac:dyDescent="0.35">
      <c r="A2430" s="6" t="s">
        <v>22</v>
      </c>
      <c r="B2430" s="6">
        <v>2057</v>
      </c>
      <c r="C2430" s="1" t="s">
        <v>49</v>
      </c>
      <c r="D2430" s="2" t="s">
        <v>2003</v>
      </c>
      <c r="E2430" s="9" t="s">
        <v>107</v>
      </c>
      <c r="F2430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30" s="6" t="s">
        <v>105</v>
      </c>
      <c r="H2430" s="1"/>
      <c r="I2430" s="1"/>
      <c r="J2430" s="1"/>
    </row>
    <row r="2431" spans="1:10" x14ac:dyDescent="0.35">
      <c r="A2431" s="6" t="s">
        <v>22</v>
      </c>
      <c r="B2431" s="6">
        <v>2058</v>
      </c>
      <c r="C2431" s="1" t="s">
        <v>49</v>
      </c>
      <c r="D2431" s="2" t="s">
        <v>2003</v>
      </c>
      <c r="E2431" s="9" t="s">
        <v>107</v>
      </c>
      <c r="F2431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31" s="6" t="s">
        <v>105</v>
      </c>
      <c r="H2431" s="1"/>
      <c r="I2431" s="1"/>
      <c r="J2431" s="1"/>
    </row>
    <row r="2432" spans="1:10" x14ac:dyDescent="0.35">
      <c r="A2432" s="6" t="s">
        <v>22</v>
      </c>
      <c r="B2432" s="6">
        <v>2059</v>
      </c>
      <c r="C2432" s="1" t="s">
        <v>49</v>
      </c>
      <c r="D2432" s="2" t="s">
        <v>2003</v>
      </c>
      <c r="E2432" s="9" t="s">
        <v>107</v>
      </c>
      <c r="F2432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32" s="6" t="s">
        <v>105</v>
      </c>
      <c r="H2432" s="1"/>
      <c r="I2432" s="1"/>
      <c r="J2432" s="1"/>
    </row>
    <row r="2433" spans="1:10" x14ac:dyDescent="0.35">
      <c r="A2433" s="6" t="s">
        <v>26</v>
      </c>
      <c r="B2433" s="6"/>
      <c r="C2433" s="1" t="s">
        <v>49</v>
      </c>
      <c r="D2433" s="2"/>
      <c r="E2433" s="9"/>
      <c r="F2433" s="2"/>
      <c r="G2433" s="6"/>
      <c r="H2433" s="1"/>
      <c r="I2433" s="1"/>
      <c r="J2433" s="1"/>
    </row>
    <row r="2434" spans="1:10" x14ac:dyDescent="0.35">
      <c r="A2434" s="6" t="s">
        <v>23</v>
      </c>
      <c r="B2434" s="6">
        <v>2023</v>
      </c>
      <c r="C2434" s="1" t="s">
        <v>49</v>
      </c>
      <c r="D2434" s="2" t="s">
        <v>2003</v>
      </c>
      <c r="E2434" s="9" t="s">
        <v>108</v>
      </c>
      <c r="F2434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34" s="6" t="s">
        <v>105</v>
      </c>
      <c r="H2434" s="1"/>
      <c r="I2434" s="1"/>
      <c r="J2434" s="1"/>
    </row>
    <row r="2435" spans="1:10" x14ac:dyDescent="0.35">
      <c r="A2435" s="6" t="s">
        <v>23</v>
      </c>
      <c r="B2435" s="6">
        <v>2024</v>
      </c>
      <c r="C2435" s="1" t="s">
        <v>49</v>
      </c>
      <c r="D2435" s="2" t="s">
        <v>2003</v>
      </c>
      <c r="E2435" s="9" t="s">
        <v>108</v>
      </c>
      <c r="F2435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35" s="6" t="s">
        <v>105</v>
      </c>
      <c r="H2435" s="1"/>
      <c r="I2435" s="1"/>
      <c r="J2435" s="1"/>
    </row>
    <row r="2436" spans="1:10" x14ac:dyDescent="0.35">
      <c r="A2436" s="6" t="s">
        <v>23</v>
      </c>
      <c r="B2436" s="6">
        <v>2025</v>
      </c>
      <c r="C2436" s="1" t="s">
        <v>49</v>
      </c>
      <c r="D2436" s="2" t="s">
        <v>2003</v>
      </c>
      <c r="E2436" s="9" t="s">
        <v>108</v>
      </c>
      <c r="F2436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36" s="6" t="s">
        <v>105</v>
      </c>
      <c r="H2436" s="1"/>
      <c r="I2436" s="1"/>
      <c r="J2436" s="1"/>
    </row>
    <row r="2437" spans="1:10" x14ac:dyDescent="0.35">
      <c r="A2437" s="6" t="s">
        <v>23</v>
      </c>
      <c r="B2437" s="6">
        <v>2026</v>
      </c>
      <c r="C2437" s="1" t="s">
        <v>49</v>
      </c>
      <c r="D2437" s="2" t="s">
        <v>2003</v>
      </c>
      <c r="E2437" s="9" t="s">
        <v>108</v>
      </c>
      <c r="F2437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37" s="6" t="s">
        <v>105</v>
      </c>
      <c r="H2437" s="1"/>
      <c r="I2437" s="1"/>
      <c r="J2437" s="1"/>
    </row>
    <row r="2438" spans="1:10" x14ac:dyDescent="0.35">
      <c r="A2438" s="6" t="s">
        <v>23</v>
      </c>
      <c r="B2438" s="6">
        <v>2027</v>
      </c>
      <c r="C2438" s="1" t="s">
        <v>49</v>
      </c>
      <c r="D2438" s="2" t="s">
        <v>2003</v>
      </c>
      <c r="E2438" s="9" t="s">
        <v>108</v>
      </c>
      <c r="F2438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38" s="6" t="s">
        <v>105</v>
      </c>
      <c r="H2438" s="1"/>
      <c r="I2438" s="1"/>
      <c r="J2438" s="1"/>
    </row>
    <row r="2439" spans="1:10" x14ac:dyDescent="0.35">
      <c r="A2439" s="6" t="s">
        <v>23</v>
      </c>
      <c r="B2439" s="6">
        <v>2028</v>
      </c>
      <c r="C2439" s="1" t="s">
        <v>49</v>
      </c>
      <c r="D2439" s="2" t="s">
        <v>2003</v>
      </c>
      <c r="E2439" s="9" t="s">
        <v>108</v>
      </c>
      <c r="F2439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39" s="6" t="s">
        <v>105</v>
      </c>
      <c r="H2439" s="1"/>
      <c r="I2439" s="1"/>
      <c r="J2439" s="1"/>
    </row>
    <row r="2440" spans="1:10" x14ac:dyDescent="0.35">
      <c r="A2440" s="6" t="s">
        <v>23</v>
      </c>
      <c r="B2440" s="6">
        <v>2029</v>
      </c>
      <c r="C2440" s="1" t="s">
        <v>49</v>
      </c>
      <c r="D2440" s="2" t="s">
        <v>2003</v>
      </c>
      <c r="E2440" s="9" t="s">
        <v>108</v>
      </c>
      <c r="F2440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40" s="6" t="s">
        <v>105</v>
      </c>
      <c r="H2440" s="1"/>
      <c r="I2440" s="1"/>
      <c r="J2440" s="1"/>
    </row>
    <row r="2441" spans="1:10" x14ac:dyDescent="0.35">
      <c r="A2441" s="6" t="s">
        <v>23</v>
      </c>
      <c r="B2441" s="6">
        <v>2030</v>
      </c>
      <c r="C2441" s="1" t="s">
        <v>49</v>
      </c>
      <c r="D2441" s="2" t="s">
        <v>2003</v>
      </c>
      <c r="E2441" s="9" t="s">
        <v>108</v>
      </c>
      <c r="F2441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41" s="6" t="s">
        <v>105</v>
      </c>
      <c r="H2441" s="1"/>
      <c r="I2441" s="1"/>
      <c r="J2441" s="1"/>
    </row>
    <row r="2442" spans="1:10" x14ac:dyDescent="0.35">
      <c r="A2442" s="6" t="s">
        <v>23</v>
      </c>
      <c r="B2442" s="6">
        <v>2031</v>
      </c>
      <c r="C2442" s="1" t="s">
        <v>49</v>
      </c>
      <c r="D2442" s="2" t="s">
        <v>2003</v>
      </c>
      <c r="E2442" s="9" t="s">
        <v>108</v>
      </c>
      <c r="F2442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42" s="6" t="s">
        <v>105</v>
      </c>
      <c r="H2442" s="1"/>
      <c r="I2442" s="1"/>
      <c r="J2442" s="1"/>
    </row>
    <row r="2443" spans="1:10" x14ac:dyDescent="0.35">
      <c r="A2443" s="6" t="s">
        <v>23</v>
      </c>
      <c r="B2443" s="6">
        <v>2032</v>
      </c>
      <c r="C2443" s="1" t="s">
        <v>49</v>
      </c>
      <c r="D2443" s="2" t="s">
        <v>2003</v>
      </c>
      <c r="E2443" s="9" t="s">
        <v>108</v>
      </c>
      <c r="F2443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43" s="6" t="s">
        <v>105</v>
      </c>
      <c r="H2443" s="1"/>
      <c r="I2443" s="1"/>
      <c r="J2443" s="1"/>
    </row>
    <row r="2444" spans="1:10" x14ac:dyDescent="0.35">
      <c r="A2444" s="6" t="s">
        <v>23</v>
      </c>
      <c r="B2444" s="6">
        <v>2033</v>
      </c>
      <c r="C2444" s="1" t="s">
        <v>49</v>
      </c>
      <c r="D2444" s="2" t="s">
        <v>2003</v>
      </c>
      <c r="E2444" s="9" t="s">
        <v>108</v>
      </c>
      <c r="F2444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44" s="6" t="s">
        <v>105</v>
      </c>
      <c r="H2444" s="1"/>
      <c r="I2444" s="1"/>
      <c r="J2444" s="1"/>
    </row>
    <row r="2445" spans="1:10" x14ac:dyDescent="0.35">
      <c r="A2445" s="6" t="s">
        <v>23</v>
      </c>
      <c r="B2445" s="6">
        <v>2034</v>
      </c>
      <c r="C2445" s="1" t="s">
        <v>49</v>
      </c>
      <c r="D2445" s="2" t="s">
        <v>2003</v>
      </c>
      <c r="E2445" s="9" t="s">
        <v>108</v>
      </c>
      <c r="F2445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45" s="6" t="s">
        <v>105</v>
      </c>
      <c r="H2445" s="1"/>
      <c r="I2445" s="1"/>
      <c r="J2445" s="1"/>
    </row>
    <row r="2446" spans="1:10" x14ac:dyDescent="0.35">
      <c r="A2446" s="6" t="s">
        <v>23</v>
      </c>
      <c r="B2446" s="6">
        <v>2035</v>
      </c>
      <c r="C2446" s="1" t="s">
        <v>49</v>
      </c>
      <c r="D2446" s="2" t="s">
        <v>2003</v>
      </c>
      <c r="E2446" s="9" t="s">
        <v>108</v>
      </c>
      <c r="F2446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46" s="6" t="s">
        <v>105</v>
      </c>
      <c r="H2446" s="1"/>
      <c r="I2446" s="1"/>
      <c r="J2446" s="1"/>
    </row>
    <row r="2447" spans="1:10" x14ac:dyDescent="0.35">
      <c r="A2447" s="6" t="s">
        <v>23</v>
      </c>
      <c r="B2447" s="6">
        <v>2036</v>
      </c>
      <c r="C2447" s="1" t="s">
        <v>49</v>
      </c>
      <c r="D2447" s="2" t="s">
        <v>2003</v>
      </c>
      <c r="E2447" s="9" t="s">
        <v>108</v>
      </c>
      <c r="F2447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47" s="6" t="s">
        <v>105</v>
      </c>
      <c r="H2447" s="1"/>
      <c r="I2447" s="1"/>
      <c r="J2447" s="1"/>
    </row>
    <row r="2448" spans="1:10" x14ac:dyDescent="0.35">
      <c r="A2448" s="6" t="s">
        <v>23</v>
      </c>
      <c r="B2448" s="6">
        <v>2037</v>
      </c>
      <c r="C2448" s="1" t="s">
        <v>49</v>
      </c>
      <c r="D2448" s="2" t="s">
        <v>2003</v>
      </c>
      <c r="E2448" s="9" t="s">
        <v>108</v>
      </c>
      <c r="F2448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48" s="6" t="s">
        <v>105</v>
      </c>
      <c r="H2448" s="1"/>
      <c r="I2448" s="1"/>
      <c r="J2448" s="1"/>
    </row>
    <row r="2449" spans="1:10" x14ac:dyDescent="0.35">
      <c r="A2449" s="6" t="s">
        <v>23</v>
      </c>
      <c r="B2449" s="6">
        <v>2038</v>
      </c>
      <c r="C2449" s="1" t="s">
        <v>49</v>
      </c>
      <c r="D2449" s="2" t="s">
        <v>2003</v>
      </c>
      <c r="E2449" s="9" t="s">
        <v>108</v>
      </c>
      <c r="F2449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49" s="6" t="s">
        <v>105</v>
      </c>
      <c r="H2449" s="1"/>
      <c r="I2449" s="1"/>
      <c r="J2449" s="1"/>
    </row>
    <row r="2450" spans="1:10" x14ac:dyDescent="0.35">
      <c r="A2450" s="6" t="s">
        <v>23</v>
      </c>
      <c r="B2450" s="6">
        <v>2039</v>
      </c>
      <c r="C2450" s="1" t="s">
        <v>49</v>
      </c>
      <c r="D2450" s="2" t="s">
        <v>2003</v>
      </c>
      <c r="E2450" s="9" t="s">
        <v>108</v>
      </c>
      <c r="F2450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50" s="6" t="s">
        <v>105</v>
      </c>
      <c r="H2450" s="1"/>
      <c r="I2450" s="1"/>
      <c r="J2450" s="1"/>
    </row>
    <row r="2451" spans="1:10" x14ac:dyDescent="0.35">
      <c r="A2451" s="6" t="s">
        <v>23</v>
      </c>
      <c r="B2451" s="6">
        <v>2040</v>
      </c>
      <c r="C2451" s="1" t="s">
        <v>49</v>
      </c>
      <c r="D2451" s="2" t="s">
        <v>2003</v>
      </c>
      <c r="E2451" s="9" t="s">
        <v>108</v>
      </c>
      <c r="F2451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51" s="6" t="s">
        <v>105</v>
      </c>
      <c r="H2451" s="1"/>
      <c r="I2451" s="1"/>
      <c r="J2451" s="1"/>
    </row>
    <row r="2452" spans="1:10" x14ac:dyDescent="0.35">
      <c r="A2452" s="6" t="s">
        <v>23</v>
      </c>
      <c r="B2452" s="6">
        <v>2041</v>
      </c>
      <c r="C2452" s="1" t="s">
        <v>49</v>
      </c>
      <c r="D2452" s="2" t="s">
        <v>2003</v>
      </c>
      <c r="E2452" s="9" t="s">
        <v>108</v>
      </c>
      <c r="F2452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52" s="6" t="s">
        <v>105</v>
      </c>
      <c r="H2452" s="1"/>
      <c r="I2452" s="1"/>
      <c r="J2452" s="1"/>
    </row>
    <row r="2453" spans="1:10" x14ac:dyDescent="0.35">
      <c r="A2453" s="6" t="s">
        <v>23</v>
      </c>
      <c r="B2453" s="6">
        <v>2042</v>
      </c>
      <c r="C2453" s="1" t="s">
        <v>49</v>
      </c>
      <c r="D2453" s="2" t="s">
        <v>2003</v>
      </c>
      <c r="E2453" s="9" t="s">
        <v>108</v>
      </c>
      <c r="F2453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53" s="6" t="s">
        <v>105</v>
      </c>
      <c r="H2453" s="1"/>
      <c r="I2453" s="1"/>
      <c r="J2453" s="1"/>
    </row>
    <row r="2454" spans="1:10" x14ac:dyDescent="0.35">
      <c r="A2454" s="6" t="s">
        <v>23</v>
      </c>
      <c r="B2454" s="6">
        <v>2043</v>
      </c>
      <c r="C2454" s="1" t="s">
        <v>49</v>
      </c>
      <c r="D2454" s="2" t="s">
        <v>2003</v>
      </c>
      <c r="E2454" s="9" t="s">
        <v>108</v>
      </c>
      <c r="F2454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54" s="6" t="s">
        <v>105</v>
      </c>
      <c r="H2454" s="1"/>
      <c r="I2454" s="1"/>
      <c r="J2454" s="1"/>
    </row>
    <row r="2455" spans="1:10" x14ac:dyDescent="0.35">
      <c r="A2455" s="6" t="s">
        <v>23</v>
      </c>
      <c r="B2455" s="6">
        <v>2044</v>
      </c>
      <c r="C2455" s="1" t="s">
        <v>49</v>
      </c>
      <c r="D2455" s="2" t="s">
        <v>2003</v>
      </c>
      <c r="E2455" s="9" t="s">
        <v>108</v>
      </c>
      <c r="F2455" s="5" t="str">
        <f t="shared" ref="F2455:F2470" si="549">_xlfn.CONCAT(D2455," ",E2455)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55" s="6" t="s">
        <v>105</v>
      </c>
      <c r="H2455" s="1"/>
      <c r="I2455" s="1"/>
      <c r="J2455" s="1"/>
    </row>
    <row r="2456" spans="1:10" x14ac:dyDescent="0.35">
      <c r="A2456" s="6" t="s">
        <v>23</v>
      </c>
      <c r="B2456" s="6">
        <v>2045</v>
      </c>
      <c r="C2456" s="1" t="s">
        <v>49</v>
      </c>
      <c r="D2456" s="2" t="s">
        <v>2003</v>
      </c>
      <c r="E2456" s="9" t="s">
        <v>108</v>
      </c>
      <c r="F2456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56" s="6" t="s">
        <v>105</v>
      </c>
      <c r="H2456" s="1"/>
      <c r="I2456" s="1"/>
      <c r="J2456" s="1"/>
    </row>
    <row r="2457" spans="1:10" x14ac:dyDescent="0.35">
      <c r="A2457" s="6" t="s">
        <v>23</v>
      </c>
      <c r="B2457" s="6">
        <v>2046</v>
      </c>
      <c r="C2457" s="1" t="s">
        <v>49</v>
      </c>
      <c r="D2457" s="2" t="s">
        <v>2003</v>
      </c>
      <c r="E2457" s="9" t="s">
        <v>108</v>
      </c>
      <c r="F2457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57" s="6" t="s">
        <v>105</v>
      </c>
      <c r="H2457" s="1"/>
      <c r="I2457" s="1"/>
      <c r="J2457" s="1"/>
    </row>
    <row r="2458" spans="1:10" x14ac:dyDescent="0.35">
      <c r="A2458" s="6" t="s">
        <v>23</v>
      </c>
      <c r="B2458" s="6">
        <v>2047</v>
      </c>
      <c r="C2458" s="1" t="s">
        <v>49</v>
      </c>
      <c r="D2458" s="2" t="s">
        <v>2003</v>
      </c>
      <c r="E2458" s="9" t="s">
        <v>108</v>
      </c>
      <c r="F2458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58" s="6" t="s">
        <v>105</v>
      </c>
      <c r="H2458" s="1"/>
      <c r="I2458" s="1"/>
      <c r="J2458" s="1"/>
    </row>
    <row r="2459" spans="1:10" x14ac:dyDescent="0.35">
      <c r="A2459" s="6" t="s">
        <v>23</v>
      </c>
      <c r="B2459" s="6">
        <v>2048</v>
      </c>
      <c r="C2459" s="1" t="s">
        <v>49</v>
      </c>
      <c r="D2459" s="2" t="s">
        <v>2003</v>
      </c>
      <c r="E2459" s="9" t="s">
        <v>108</v>
      </c>
      <c r="F2459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59" s="6" t="s">
        <v>105</v>
      </c>
      <c r="H2459" s="1"/>
      <c r="I2459" s="1"/>
      <c r="J2459" s="1"/>
    </row>
    <row r="2460" spans="1:10" x14ac:dyDescent="0.35">
      <c r="A2460" s="6" t="s">
        <v>23</v>
      </c>
      <c r="B2460" s="6">
        <v>2049</v>
      </c>
      <c r="C2460" s="1" t="s">
        <v>49</v>
      </c>
      <c r="D2460" s="2" t="s">
        <v>2003</v>
      </c>
      <c r="E2460" s="9" t="s">
        <v>108</v>
      </c>
      <c r="F2460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60" s="6" t="s">
        <v>105</v>
      </c>
      <c r="H2460" s="1"/>
      <c r="I2460" s="1"/>
      <c r="J2460" s="1"/>
    </row>
    <row r="2461" spans="1:10" x14ac:dyDescent="0.35">
      <c r="A2461" s="6" t="s">
        <v>23</v>
      </c>
      <c r="B2461" s="6">
        <v>2050</v>
      </c>
      <c r="C2461" s="1" t="s">
        <v>49</v>
      </c>
      <c r="D2461" s="2" t="s">
        <v>2003</v>
      </c>
      <c r="E2461" s="9" t="s">
        <v>108</v>
      </c>
      <c r="F2461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61" s="6" t="s">
        <v>105</v>
      </c>
      <c r="H2461" s="1"/>
      <c r="I2461" s="1"/>
      <c r="J2461" s="1"/>
    </row>
    <row r="2462" spans="1:10" x14ac:dyDescent="0.35">
      <c r="A2462" s="6" t="s">
        <v>23</v>
      </c>
      <c r="B2462" s="6">
        <v>2051</v>
      </c>
      <c r="C2462" s="1" t="s">
        <v>49</v>
      </c>
      <c r="D2462" s="2" t="s">
        <v>2003</v>
      </c>
      <c r="E2462" s="9" t="s">
        <v>108</v>
      </c>
      <c r="F2462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62" s="6" t="s">
        <v>105</v>
      </c>
      <c r="H2462" s="1"/>
      <c r="I2462" s="1"/>
      <c r="J2462" s="1"/>
    </row>
    <row r="2463" spans="1:10" x14ac:dyDescent="0.35">
      <c r="A2463" s="6" t="s">
        <v>23</v>
      </c>
      <c r="B2463" s="6">
        <v>2052</v>
      </c>
      <c r="C2463" s="1" t="s">
        <v>49</v>
      </c>
      <c r="D2463" s="2" t="s">
        <v>2003</v>
      </c>
      <c r="E2463" s="9" t="s">
        <v>108</v>
      </c>
      <c r="F2463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63" s="6" t="s">
        <v>105</v>
      </c>
      <c r="H2463" s="1"/>
      <c r="I2463" s="1"/>
      <c r="J2463" s="1"/>
    </row>
    <row r="2464" spans="1:10" x14ac:dyDescent="0.35">
      <c r="A2464" s="6" t="s">
        <v>23</v>
      </c>
      <c r="B2464" s="6">
        <v>2053</v>
      </c>
      <c r="C2464" s="1" t="s">
        <v>49</v>
      </c>
      <c r="D2464" s="2" t="s">
        <v>2003</v>
      </c>
      <c r="E2464" s="9" t="s">
        <v>108</v>
      </c>
      <c r="F2464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64" s="6" t="s">
        <v>105</v>
      </c>
      <c r="H2464" s="1"/>
      <c r="I2464" s="1"/>
      <c r="J2464" s="1"/>
    </row>
    <row r="2465" spans="1:10" x14ac:dyDescent="0.35">
      <c r="A2465" s="6" t="s">
        <v>23</v>
      </c>
      <c r="B2465" s="6">
        <v>2054</v>
      </c>
      <c r="C2465" s="1" t="s">
        <v>49</v>
      </c>
      <c r="D2465" s="2" t="s">
        <v>2003</v>
      </c>
      <c r="E2465" s="9" t="s">
        <v>108</v>
      </c>
      <c r="F2465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65" s="6" t="s">
        <v>105</v>
      </c>
      <c r="H2465" s="1"/>
      <c r="I2465" s="1"/>
      <c r="J2465" s="1"/>
    </row>
    <row r="2466" spans="1:10" x14ac:dyDescent="0.35">
      <c r="A2466" s="6" t="s">
        <v>23</v>
      </c>
      <c r="B2466" s="6">
        <v>2055</v>
      </c>
      <c r="C2466" s="1" t="s">
        <v>49</v>
      </c>
      <c r="D2466" s="2" t="s">
        <v>2003</v>
      </c>
      <c r="E2466" s="9" t="s">
        <v>108</v>
      </c>
      <c r="F2466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66" s="6" t="s">
        <v>105</v>
      </c>
      <c r="H2466" s="1"/>
      <c r="I2466" s="1"/>
      <c r="J2466" s="1"/>
    </row>
    <row r="2467" spans="1:10" x14ac:dyDescent="0.35">
      <c r="A2467" s="6" t="s">
        <v>23</v>
      </c>
      <c r="B2467" s="6">
        <v>2056</v>
      </c>
      <c r="C2467" s="1" t="s">
        <v>49</v>
      </c>
      <c r="D2467" s="2" t="s">
        <v>2003</v>
      </c>
      <c r="E2467" s="9" t="s">
        <v>108</v>
      </c>
      <c r="F2467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67" s="6" t="s">
        <v>105</v>
      </c>
      <c r="H2467" s="1"/>
      <c r="I2467" s="1"/>
      <c r="J2467" s="1"/>
    </row>
    <row r="2468" spans="1:10" x14ac:dyDescent="0.35">
      <c r="A2468" s="6" t="s">
        <v>23</v>
      </c>
      <c r="B2468" s="6">
        <v>2057</v>
      </c>
      <c r="C2468" s="1" t="s">
        <v>49</v>
      </c>
      <c r="D2468" s="2" t="s">
        <v>2003</v>
      </c>
      <c r="E2468" s="9" t="s">
        <v>108</v>
      </c>
      <c r="F2468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68" s="6" t="s">
        <v>105</v>
      </c>
      <c r="H2468" s="1"/>
      <c r="I2468" s="1"/>
      <c r="J2468" s="1"/>
    </row>
    <row r="2469" spans="1:10" x14ac:dyDescent="0.35">
      <c r="A2469" s="6" t="s">
        <v>23</v>
      </c>
      <c r="B2469" s="6">
        <v>2058</v>
      </c>
      <c r="C2469" s="1" t="s">
        <v>49</v>
      </c>
      <c r="D2469" s="2" t="s">
        <v>2003</v>
      </c>
      <c r="E2469" s="9" t="s">
        <v>108</v>
      </c>
      <c r="F2469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69" s="6" t="s">
        <v>105</v>
      </c>
      <c r="H2469" s="1"/>
      <c r="I2469" s="1"/>
      <c r="J2469" s="1"/>
    </row>
    <row r="2470" spans="1:10" x14ac:dyDescent="0.35">
      <c r="A2470" s="6" t="s">
        <v>23</v>
      </c>
      <c r="B2470" s="6">
        <v>2059</v>
      </c>
      <c r="C2470" s="1" t="s">
        <v>49</v>
      </c>
      <c r="D2470" s="2" t="s">
        <v>2003</v>
      </c>
      <c r="E2470" s="9" t="s">
        <v>108</v>
      </c>
      <c r="F2470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70" s="6" t="s">
        <v>105</v>
      </c>
      <c r="H2470" s="1"/>
      <c r="I2470" s="1"/>
      <c r="J2470" s="1"/>
    </row>
    <row r="2471" spans="1:10" x14ac:dyDescent="0.35">
      <c r="A2471" s="6" t="s">
        <v>26</v>
      </c>
      <c r="B2471" s="6"/>
      <c r="C2471" s="1" t="s">
        <v>49</v>
      </c>
      <c r="D2471" s="2"/>
      <c r="E2471" s="9"/>
      <c r="F2471" s="2"/>
      <c r="G2471" s="6"/>
      <c r="H2471" s="1"/>
      <c r="I2471" s="1"/>
      <c r="J2471" s="1"/>
    </row>
    <row r="2472" spans="1:10" x14ac:dyDescent="0.35">
      <c r="A2472" s="6" t="s">
        <v>24</v>
      </c>
      <c r="B2472" s="6">
        <v>2023</v>
      </c>
      <c r="C2472" s="1" t="s">
        <v>49</v>
      </c>
      <c r="D2472" s="2" t="s">
        <v>2003</v>
      </c>
      <c r="E2472" s="9" t="str">
        <f t="shared" ref="E2472:E2492" si="550">_xlfn.CONCAT(A2472,"'!")</f>
        <v>PS'!</v>
      </c>
      <c r="F2472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72" s="6" t="s">
        <v>105</v>
      </c>
      <c r="H2472" s="1">
        <f>IF(A2472&lt;&gt;A2342,36,H2342+1)</f>
        <v>36</v>
      </c>
      <c r="I2472" s="1" t="str">
        <f t="shared" ref="I2472:I2492" si="551">_xlfn.CONCAT("='",F2472:H2472)</f>
        <v>='C:\Users\jaime.benazar\Quorum Business Solutions\Ecopetrol Prometeo - Documents\Planning Space Implementation\3. Analysis &amp; Design\Design\FC22\DRR Jaime\Por presentar a ECP\Cantagallo\Cristalina\[VRC_CRISTALINA_CF_SEC_20221231.xlsx]CF PS'!$CT$36</v>
      </c>
      <c r="J2472" s="1" t="s">
        <v>3077</v>
      </c>
    </row>
    <row r="2473" spans="1:10" x14ac:dyDescent="0.35">
      <c r="A2473" s="6" t="s">
        <v>24</v>
      </c>
      <c r="B2473" s="6">
        <f>+B2472+1</f>
        <v>2024</v>
      </c>
      <c r="C2473" s="1" t="s">
        <v>49</v>
      </c>
      <c r="D2473" s="2" t="s">
        <v>2003</v>
      </c>
      <c r="E2473" s="9" t="str">
        <f t="shared" si="550"/>
        <v>PS'!</v>
      </c>
      <c r="F2473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73" s="6" t="s">
        <v>105</v>
      </c>
      <c r="H2473" s="1">
        <f t="shared" ref="H2473:H2492" si="552">IF(A2473&lt;&gt;A2472,36,H2472+1)</f>
        <v>37</v>
      </c>
      <c r="I2473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PS'!$CT$37</v>
      </c>
      <c r="J2473" s="1" t="s">
        <v>3078</v>
      </c>
    </row>
    <row r="2474" spans="1:10" x14ac:dyDescent="0.35">
      <c r="A2474" s="6" t="s">
        <v>24</v>
      </c>
      <c r="B2474" s="6">
        <f t="shared" ref="B2474:B2485" si="553">+B2473+1</f>
        <v>2025</v>
      </c>
      <c r="C2474" s="1" t="s">
        <v>49</v>
      </c>
      <c r="D2474" s="2" t="s">
        <v>2003</v>
      </c>
      <c r="E2474" s="9" t="str">
        <f t="shared" si="550"/>
        <v>PS'!</v>
      </c>
      <c r="F2474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74" s="6" t="s">
        <v>105</v>
      </c>
      <c r="H2474" s="1">
        <f t="shared" si="552"/>
        <v>38</v>
      </c>
      <c r="I2474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PS'!$CT$38</v>
      </c>
      <c r="J2474" s="1" t="s">
        <v>3079</v>
      </c>
    </row>
    <row r="2475" spans="1:10" x14ac:dyDescent="0.35">
      <c r="A2475" s="6" t="s">
        <v>24</v>
      </c>
      <c r="B2475" s="6">
        <f t="shared" si="553"/>
        <v>2026</v>
      </c>
      <c r="C2475" s="1" t="s">
        <v>49</v>
      </c>
      <c r="D2475" s="2" t="s">
        <v>2003</v>
      </c>
      <c r="E2475" s="9" t="str">
        <f t="shared" si="550"/>
        <v>PS'!</v>
      </c>
      <c r="F2475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75" s="6" t="s">
        <v>105</v>
      </c>
      <c r="H2475" s="1">
        <f t="shared" si="552"/>
        <v>39</v>
      </c>
      <c r="I2475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PS'!$CT$39</v>
      </c>
      <c r="J2475" s="1" t="s">
        <v>3080</v>
      </c>
    </row>
    <row r="2476" spans="1:10" x14ac:dyDescent="0.35">
      <c r="A2476" s="6" t="s">
        <v>24</v>
      </c>
      <c r="B2476" s="6">
        <f t="shared" si="553"/>
        <v>2027</v>
      </c>
      <c r="C2476" s="1" t="s">
        <v>49</v>
      </c>
      <c r="D2476" s="2" t="s">
        <v>2003</v>
      </c>
      <c r="E2476" s="9" t="str">
        <f t="shared" si="550"/>
        <v>PS'!</v>
      </c>
      <c r="F2476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76" s="6" t="s">
        <v>105</v>
      </c>
      <c r="H2476" s="1">
        <f t="shared" si="552"/>
        <v>40</v>
      </c>
      <c r="I2476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PS'!$CT$40</v>
      </c>
      <c r="J2476" s="1" t="s">
        <v>3081</v>
      </c>
    </row>
    <row r="2477" spans="1:10" x14ac:dyDescent="0.35">
      <c r="A2477" s="6" t="s">
        <v>24</v>
      </c>
      <c r="B2477" s="6">
        <f t="shared" si="553"/>
        <v>2028</v>
      </c>
      <c r="C2477" s="1" t="s">
        <v>49</v>
      </c>
      <c r="D2477" s="2" t="s">
        <v>2003</v>
      </c>
      <c r="E2477" s="9" t="str">
        <f t="shared" si="550"/>
        <v>PS'!</v>
      </c>
      <c r="F2477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77" s="6" t="s">
        <v>105</v>
      </c>
      <c r="H2477" s="1">
        <f t="shared" si="552"/>
        <v>41</v>
      </c>
      <c r="I2477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PS'!$CT$41</v>
      </c>
      <c r="J2477" s="1" t="s">
        <v>3082</v>
      </c>
    </row>
    <row r="2478" spans="1:10" x14ac:dyDescent="0.35">
      <c r="A2478" s="6" t="s">
        <v>24</v>
      </c>
      <c r="B2478" s="6">
        <f t="shared" si="553"/>
        <v>2029</v>
      </c>
      <c r="C2478" s="1" t="s">
        <v>49</v>
      </c>
      <c r="D2478" s="2" t="s">
        <v>2003</v>
      </c>
      <c r="E2478" s="9" t="str">
        <f t="shared" si="550"/>
        <v>PS'!</v>
      </c>
      <c r="F2478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78" s="6" t="s">
        <v>105</v>
      </c>
      <c r="H2478" s="1">
        <f t="shared" si="552"/>
        <v>42</v>
      </c>
      <c r="I2478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PS'!$CT$42</v>
      </c>
      <c r="J2478" s="1" t="s">
        <v>3083</v>
      </c>
    </row>
    <row r="2479" spans="1:10" x14ac:dyDescent="0.35">
      <c r="A2479" s="6" t="s">
        <v>24</v>
      </c>
      <c r="B2479" s="6">
        <f t="shared" si="553"/>
        <v>2030</v>
      </c>
      <c r="C2479" s="1" t="s">
        <v>49</v>
      </c>
      <c r="D2479" s="2" t="s">
        <v>2003</v>
      </c>
      <c r="E2479" s="9" t="str">
        <f t="shared" si="550"/>
        <v>PS'!</v>
      </c>
      <c r="F2479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79" s="6" t="s">
        <v>105</v>
      </c>
      <c r="H2479" s="1">
        <f t="shared" si="552"/>
        <v>43</v>
      </c>
      <c r="I2479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PS'!$CT$43</v>
      </c>
      <c r="J2479" s="1" t="s">
        <v>3084</v>
      </c>
    </row>
    <row r="2480" spans="1:10" x14ac:dyDescent="0.35">
      <c r="A2480" s="6" t="s">
        <v>24</v>
      </c>
      <c r="B2480" s="6">
        <f t="shared" si="553"/>
        <v>2031</v>
      </c>
      <c r="C2480" s="1" t="s">
        <v>49</v>
      </c>
      <c r="D2480" s="2" t="s">
        <v>2003</v>
      </c>
      <c r="E2480" s="9" t="str">
        <f t="shared" si="550"/>
        <v>PS'!</v>
      </c>
      <c r="F2480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80" s="6" t="s">
        <v>105</v>
      </c>
      <c r="H2480" s="1">
        <f t="shared" si="552"/>
        <v>44</v>
      </c>
      <c r="I2480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PS'!$CT$44</v>
      </c>
      <c r="J2480" s="1" t="s">
        <v>3085</v>
      </c>
    </row>
    <row r="2481" spans="1:10" x14ac:dyDescent="0.35">
      <c r="A2481" s="6" t="s">
        <v>24</v>
      </c>
      <c r="B2481" s="6">
        <f t="shared" si="553"/>
        <v>2032</v>
      </c>
      <c r="C2481" s="1" t="s">
        <v>49</v>
      </c>
      <c r="D2481" s="2" t="s">
        <v>2003</v>
      </c>
      <c r="E2481" s="9" t="str">
        <f t="shared" si="550"/>
        <v>PS'!</v>
      </c>
      <c r="F2481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81" s="6" t="s">
        <v>105</v>
      </c>
      <c r="H2481" s="1">
        <f t="shared" si="552"/>
        <v>45</v>
      </c>
      <c r="I2481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PS'!$CT$45</v>
      </c>
      <c r="J2481" s="1" t="s">
        <v>3086</v>
      </c>
    </row>
    <row r="2482" spans="1:10" x14ac:dyDescent="0.35">
      <c r="A2482" s="6" t="s">
        <v>24</v>
      </c>
      <c r="B2482" s="6">
        <f t="shared" si="553"/>
        <v>2033</v>
      </c>
      <c r="C2482" s="1" t="s">
        <v>49</v>
      </c>
      <c r="D2482" s="2" t="s">
        <v>2003</v>
      </c>
      <c r="E2482" s="9" t="str">
        <f t="shared" si="550"/>
        <v>PS'!</v>
      </c>
      <c r="F2482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82" s="6" t="s">
        <v>105</v>
      </c>
      <c r="H2482" s="1">
        <f t="shared" si="552"/>
        <v>46</v>
      </c>
      <c r="I2482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PS'!$CT$46</v>
      </c>
      <c r="J2482" s="1" t="s">
        <v>3087</v>
      </c>
    </row>
    <row r="2483" spans="1:10" x14ac:dyDescent="0.35">
      <c r="A2483" s="6" t="s">
        <v>24</v>
      </c>
      <c r="B2483" s="6">
        <f t="shared" si="553"/>
        <v>2034</v>
      </c>
      <c r="C2483" s="1" t="s">
        <v>49</v>
      </c>
      <c r="D2483" s="2" t="s">
        <v>2003</v>
      </c>
      <c r="E2483" s="9" t="str">
        <f t="shared" si="550"/>
        <v>PS'!</v>
      </c>
      <c r="F2483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83" s="6" t="s">
        <v>105</v>
      </c>
      <c r="H2483" s="1">
        <f t="shared" si="552"/>
        <v>47</v>
      </c>
      <c r="I2483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PS'!$CT$47</v>
      </c>
      <c r="J2483" s="1" t="s">
        <v>3088</v>
      </c>
    </row>
    <row r="2484" spans="1:10" x14ac:dyDescent="0.35">
      <c r="A2484" s="6" t="s">
        <v>24</v>
      </c>
      <c r="B2484" s="6">
        <f t="shared" si="553"/>
        <v>2035</v>
      </c>
      <c r="C2484" s="1" t="s">
        <v>49</v>
      </c>
      <c r="D2484" s="2" t="s">
        <v>2003</v>
      </c>
      <c r="E2484" s="9" t="str">
        <f t="shared" si="550"/>
        <v>PS'!</v>
      </c>
      <c r="F2484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84" s="6" t="s">
        <v>105</v>
      </c>
      <c r="H2484" s="1">
        <f t="shared" si="552"/>
        <v>48</v>
      </c>
      <c r="I2484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PS'!$CT$48</v>
      </c>
      <c r="J2484" s="1" t="s">
        <v>3089</v>
      </c>
    </row>
    <row r="2485" spans="1:10" x14ac:dyDescent="0.35">
      <c r="A2485" s="6" t="s">
        <v>24</v>
      </c>
      <c r="B2485" s="6">
        <f t="shared" si="553"/>
        <v>2036</v>
      </c>
      <c r="C2485" s="1" t="s">
        <v>49</v>
      </c>
      <c r="D2485" s="2" t="s">
        <v>2003</v>
      </c>
      <c r="E2485" s="9" t="str">
        <f t="shared" si="550"/>
        <v>PS'!</v>
      </c>
      <c r="F2485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85" s="6" t="s">
        <v>105</v>
      </c>
      <c r="H2485" s="1">
        <f t="shared" si="552"/>
        <v>49</v>
      </c>
      <c r="I2485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PS'!$CT$49</v>
      </c>
      <c r="J2485" s="1" t="s">
        <v>3090</v>
      </c>
    </row>
    <row r="2486" spans="1:10" x14ac:dyDescent="0.35">
      <c r="A2486" s="6" t="s">
        <v>24</v>
      </c>
      <c r="B2486" s="6">
        <f>+B2485+1</f>
        <v>2037</v>
      </c>
      <c r="C2486" s="1" t="s">
        <v>49</v>
      </c>
      <c r="D2486" s="2" t="s">
        <v>2003</v>
      </c>
      <c r="E2486" s="9" t="str">
        <f t="shared" si="550"/>
        <v>PS'!</v>
      </c>
      <c r="F2486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86" s="6" t="s">
        <v>105</v>
      </c>
      <c r="H2486" s="1">
        <f t="shared" si="552"/>
        <v>50</v>
      </c>
      <c r="I2486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PS'!$CT$50</v>
      </c>
      <c r="J2486" s="1" t="s">
        <v>3091</v>
      </c>
    </row>
    <row r="2487" spans="1:10" x14ac:dyDescent="0.35">
      <c r="A2487" s="6" t="s">
        <v>24</v>
      </c>
      <c r="B2487" s="6">
        <f t="shared" ref="B2487:B2489" si="554">+B2486+1</f>
        <v>2038</v>
      </c>
      <c r="C2487" s="1" t="s">
        <v>49</v>
      </c>
      <c r="D2487" s="2" t="s">
        <v>2003</v>
      </c>
      <c r="E2487" s="9" t="str">
        <f t="shared" si="550"/>
        <v>PS'!</v>
      </c>
      <c r="F2487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87" s="6" t="s">
        <v>105</v>
      </c>
      <c r="H2487" s="1">
        <f t="shared" si="552"/>
        <v>51</v>
      </c>
      <c r="I2487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PS'!$CT$51</v>
      </c>
      <c r="J2487" s="1" t="s">
        <v>3092</v>
      </c>
    </row>
    <row r="2488" spans="1:10" x14ac:dyDescent="0.35">
      <c r="A2488" s="6" t="s">
        <v>24</v>
      </c>
      <c r="B2488" s="6">
        <f t="shared" si="554"/>
        <v>2039</v>
      </c>
      <c r="C2488" s="1" t="s">
        <v>49</v>
      </c>
      <c r="D2488" s="2" t="s">
        <v>2003</v>
      </c>
      <c r="E2488" s="9" t="str">
        <f t="shared" si="550"/>
        <v>PS'!</v>
      </c>
      <c r="F2488" s="5" t="str">
        <f t="shared" ref="F2488:F2492" si="555">_xlfn.CONCAT(D2488," ",E2488)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88" s="6" t="s">
        <v>105</v>
      </c>
      <c r="H2488" s="1">
        <f t="shared" si="552"/>
        <v>52</v>
      </c>
      <c r="I2488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PS'!$CT$52</v>
      </c>
      <c r="J2488" s="1" t="s">
        <v>3093</v>
      </c>
    </row>
    <row r="2489" spans="1:10" x14ac:dyDescent="0.35">
      <c r="A2489" s="6" t="s">
        <v>24</v>
      </c>
      <c r="B2489" s="6">
        <f t="shared" si="554"/>
        <v>2040</v>
      </c>
      <c r="C2489" s="1" t="s">
        <v>49</v>
      </c>
      <c r="D2489" s="2" t="s">
        <v>2003</v>
      </c>
      <c r="E2489" s="9" t="str">
        <f t="shared" si="550"/>
        <v>PS'!</v>
      </c>
      <c r="F2489" s="5" t="str">
        <f t="shared" si="5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89" s="6" t="s">
        <v>105</v>
      </c>
      <c r="H2489" s="1">
        <f t="shared" si="552"/>
        <v>53</v>
      </c>
      <c r="I2489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PS'!$CT$53</v>
      </c>
      <c r="J2489" s="1" t="s">
        <v>3094</v>
      </c>
    </row>
    <row r="2490" spans="1:10" x14ac:dyDescent="0.35">
      <c r="A2490" s="6" t="s">
        <v>24</v>
      </c>
      <c r="B2490" s="6">
        <f>+B2489+1</f>
        <v>2041</v>
      </c>
      <c r="C2490" s="1" t="s">
        <v>49</v>
      </c>
      <c r="D2490" s="2" t="s">
        <v>2003</v>
      </c>
      <c r="E2490" s="9" t="str">
        <f t="shared" si="550"/>
        <v>PS'!</v>
      </c>
      <c r="F2490" s="5" t="str">
        <f t="shared" si="5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90" s="6" t="s">
        <v>105</v>
      </c>
      <c r="H2490" s="1">
        <f t="shared" si="552"/>
        <v>54</v>
      </c>
      <c r="I2490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PS'!$CT$54</v>
      </c>
      <c r="J2490" s="1" t="s">
        <v>3095</v>
      </c>
    </row>
    <row r="2491" spans="1:10" x14ac:dyDescent="0.35">
      <c r="A2491" s="6" t="s">
        <v>24</v>
      </c>
      <c r="B2491" s="6">
        <f t="shared" ref="B2491:B2492" si="556">+B2490+1</f>
        <v>2042</v>
      </c>
      <c r="C2491" s="1" t="s">
        <v>49</v>
      </c>
      <c r="D2491" s="2" t="s">
        <v>2003</v>
      </c>
      <c r="E2491" s="9" t="str">
        <f t="shared" si="550"/>
        <v>PS'!</v>
      </c>
      <c r="F2491" s="5" t="str">
        <f t="shared" si="5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91" s="6" t="s">
        <v>105</v>
      </c>
      <c r="H2491" s="1">
        <f t="shared" si="552"/>
        <v>55</v>
      </c>
      <c r="I2491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PS'!$CT$55</v>
      </c>
      <c r="J2491" s="1" t="s">
        <v>3096</v>
      </c>
    </row>
    <row r="2492" spans="1:10" x14ac:dyDescent="0.35">
      <c r="A2492" s="6" t="s">
        <v>24</v>
      </c>
      <c r="B2492" s="6">
        <f t="shared" si="556"/>
        <v>2043</v>
      </c>
      <c r="C2492" s="1" t="s">
        <v>49</v>
      </c>
      <c r="D2492" s="2" t="s">
        <v>2003</v>
      </c>
      <c r="E2492" s="9" t="str">
        <f t="shared" si="550"/>
        <v>PS'!</v>
      </c>
      <c r="F2492" s="5" t="str">
        <f t="shared" si="5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92" s="6" t="s">
        <v>105</v>
      </c>
      <c r="H2492" s="1">
        <f t="shared" si="552"/>
        <v>56</v>
      </c>
      <c r="I2492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PS'!$CT$56</v>
      </c>
      <c r="J2492" s="1" t="s">
        <v>3097</v>
      </c>
    </row>
    <row r="2493" spans="1:10" x14ac:dyDescent="0.35">
      <c r="A2493" s="6" t="s">
        <v>24</v>
      </c>
      <c r="B2493" s="6">
        <f>+B2492+1</f>
        <v>2044</v>
      </c>
      <c r="C2493" s="1" t="s">
        <v>49</v>
      </c>
      <c r="D2493" s="2" t="s">
        <v>2003</v>
      </c>
      <c r="E2493" s="9" t="str">
        <f t="shared" ref="E2493:E2508" si="557">_xlfn.CONCAT(A2493,"'!")</f>
        <v>PS'!</v>
      </c>
      <c r="F2493" s="5" t="str">
        <f t="shared" ref="F2493:F2508" si="558">_xlfn.CONCAT(D2493," ",E2493)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93" s="6" t="s">
        <v>105</v>
      </c>
      <c r="H2493" s="1">
        <f t="shared" ref="H2493:H2508" si="559">IF(A2493&lt;&gt;A2492,36,H2492+1)</f>
        <v>57</v>
      </c>
      <c r="I2493" s="1" t="str">
        <f t="shared" ref="I2493:I2508" si="560">_xlfn.CONCAT("='",F2493:H2493)</f>
        <v>='C:\Users\jaime.benazar\Quorum Business Solutions\Ecopetrol Prometeo - Documents\Planning Space Implementation\3. Analysis &amp; Design\Design\FC22\DRR Jaime\Por presentar a ECP\Cantagallo\Cristalina\[VRC_CRISTALINA_CF_SEC_20221231.xlsx]CF PS'!$CT$57</v>
      </c>
      <c r="J2493" s="1" t="s">
        <v>3098</v>
      </c>
    </row>
    <row r="2494" spans="1:10" x14ac:dyDescent="0.35">
      <c r="A2494" s="6" t="s">
        <v>24</v>
      </c>
      <c r="B2494" s="6">
        <f t="shared" ref="B2494:B2508" si="561">+B2493+1</f>
        <v>2045</v>
      </c>
      <c r="C2494" s="1" t="s">
        <v>49</v>
      </c>
      <c r="D2494" s="2" t="s">
        <v>2003</v>
      </c>
      <c r="E2494" s="9" t="str">
        <f t="shared" si="557"/>
        <v>PS'!</v>
      </c>
      <c r="F2494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94" s="6" t="s">
        <v>105</v>
      </c>
      <c r="H2494" s="1">
        <f t="shared" si="559"/>
        <v>58</v>
      </c>
      <c r="I2494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PS'!$CT$58</v>
      </c>
      <c r="J2494" s="1" t="s">
        <v>3099</v>
      </c>
    </row>
    <row r="2495" spans="1:10" x14ac:dyDescent="0.35">
      <c r="A2495" s="6" t="s">
        <v>24</v>
      </c>
      <c r="B2495" s="6">
        <f t="shared" si="561"/>
        <v>2046</v>
      </c>
      <c r="C2495" s="1" t="s">
        <v>49</v>
      </c>
      <c r="D2495" s="2" t="s">
        <v>2003</v>
      </c>
      <c r="E2495" s="9" t="str">
        <f t="shared" si="557"/>
        <v>PS'!</v>
      </c>
      <c r="F2495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95" s="6" t="s">
        <v>105</v>
      </c>
      <c r="H2495" s="1">
        <f t="shared" si="559"/>
        <v>59</v>
      </c>
      <c r="I2495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PS'!$CT$59</v>
      </c>
      <c r="J2495" s="1" t="s">
        <v>3100</v>
      </c>
    </row>
    <row r="2496" spans="1:10" x14ac:dyDescent="0.35">
      <c r="A2496" s="6" t="s">
        <v>24</v>
      </c>
      <c r="B2496" s="6">
        <f t="shared" si="561"/>
        <v>2047</v>
      </c>
      <c r="C2496" s="1" t="s">
        <v>49</v>
      </c>
      <c r="D2496" s="2" t="s">
        <v>2003</v>
      </c>
      <c r="E2496" s="9" t="str">
        <f t="shared" si="557"/>
        <v>PS'!</v>
      </c>
      <c r="F2496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96" s="6" t="s">
        <v>105</v>
      </c>
      <c r="H2496" s="1">
        <f t="shared" si="559"/>
        <v>60</v>
      </c>
      <c r="I2496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PS'!$CT$60</v>
      </c>
      <c r="J2496" s="1" t="s">
        <v>3101</v>
      </c>
    </row>
    <row r="2497" spans="1:10" x14ac:dyDescent="0.35">
      <c r="A2497" s="6" t="s">
        <v>24</v>
      </c>
      <c r="B2497" s="6">
        <f t="shared" si="561"/>
        <v>2048</v>
      </c>
      <c r="C2497" s="1" t="s">
        <v>49</v>
      </c>
      <c r="D2497" s="2" t="s">
        <v>2003</v>
      </c>
      <c r="E2497" s="9" t="str">
        <f t="shared" si="557"/>
        <v>PS'!</v>
      </c>
      <c r="F2497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97" s="6" t="s">
        <v>105</v>
      </c>
      <c r="H2497" s="1">
        <f t="shared" si="559"/>
        <v>61</v>
      </c>
      <c r="I2497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PS'!$CT$61</v>
      </c>
      <c r="J2497" s="1" t="s">
        <v>3102</v>
      </c>
    </row>
    <row r="2498" spans="1:10" x14ac:dyDescent="0.35">
      <c r="A2498" s="6" t="s">
        <v>24</v>
      </c>
      <c r="B2498" s="6">
        <f t="shared" si="561"/>
        <v>2049</v>
      </c>
      <c r="C2498" s="1" t="s">
        <v>49</v>
      </c>
      <c r="D2498" s="2" t="s">
        <v>2003</v>
      </c>
      <c r="E2498" s="9" t="str">
        <f t="shared" si="557"/>
        <v>PS'!</v>
      </c>
      <c r="F2498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98" s="6" t="s">
        <v>105</v>
      </c>
      <c r="H2498" s="1">
        <f t="shared" si="559"/>
        <v>62</v>
      </c>
      <c r="I2498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PS'!$CT$62</v>
      </c>
      <c r="J2498" s="1" t="s">
        <v>3103</v>
      </c>
    </row>
    <row r="2499" spans="1:10" x14ac:dyDescent="0.35">
      <c r="A2499" s="6" t="s">
        <v>24</v>
      </c>
      <c r="B2499" s="6">
        <f t="shared" si="561"/>
        <v>2050</v>
      </c>
      <c r="C2499" s="1" t="s">
        <v>49</v>
      </c>
      <c r="D2499" s="2" t="s">
        <v>2003</v>
      </c>
      <c r="E2499" s="9" t="str">
        <f t="shared" si="557"/>
        <v>PS'!</v>
      </c>
      <c r="F2499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99" s="6" t="s">
        <v>105</v>
      </c>
      <c r="H2499" s="1">
        <f t="shared" si="559"/>
        <v>63</v>
      </c>
      <c r="I2499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PS'!$CT$63</v>
      </c>
      <c r="J2499" s="1" t="s">
        <v>3104</v>
      </c>
    </row>
    <row r="2500" spans="1:10" x14ac:dyDescent="0.35">
      <c r="A2500" s="6" t="s">
        <v>24</v>
      </c>
      <c r="B2500" s="6">
        <f t="shared" si="561"/>
        <v>2051</v>
      </c>
      <c r="C2500" s="1" t="s">
        <v>49</v>
      </c>
      <c r="D2500" s="2" t="s">
        <v>2003</v>
      </c>
      <c r="E2500" s="9" t="str">
        <f t="shared" si="557"/>
        <v>PS'!</v>
      </c>
      <c r="F2500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500" s="6" t="s">
        <v>105</v>
      </c>
      <c r="H2500" s="1">
        <f t="shared" si="559"/>
        <v>64</v>
      </c>
      <c r="I2500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PS'!$CT$64</v>
      </c>
      <c r="J2500" s="1" t="s">
        <v>3105</v>
      </c>
    </row>
    <row r="2501" spans="1:10" x14ac:dyDescent="0.35">
      <c r="A2501" s="6" t="s">
        <v>24</v>
      </c>
      <c r="B2501" s="6">
        <f t="shared" si="561"/>
        <v>2052</v>
      </c>
      <c r="C2501" s="1" t="s">
        <v>49</v>
      </c>
      <c r="D2501" s="2" t="s">
        <v>2003</v>
      </c>
      <c r="E2501" s="9" t="str">
        <f t="shared" si="557"/>
        <v>PS'!</v>
      </c>
      <c r="F2501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501" s="6" t="s">
        <v>105</v>
      </c>
      <c r="H2501" s="1">
        <f t="shared" si="559"/>
        <v>65</v>
      </c>
      <c r="I2501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PS'!$CT$65</v>
      </c>
      <c r="J2501" s="1" t="s">
        <v>3106</v>
      </c>
    </row>
    <row r="2502" spans="1:10" x14ac:dyDescent="0.35">
      <c r="A2502" s="6" t="s">
        <v>24</v>
      </c>
      <c r="B2502" s="6">
        <f t="shared" si="561"/>
        <v>2053</v>
      </c>
      <c r="C2502" s="1" t="s">
        <v>49</v>
      </c>
      <c r="D2502" s="2" t="s">
        <v>2003</v>
      </c>
      <c r="E2502" s="9" t="str">
        <f t="shared" si="557"/>
        <v>PS'!</v>
      </c>
      <c r="F2502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502" s="6" t="s">
        <v>105</v>
      </c>
      <c r="H2502" s="1">
        <f t="shared" si="559"/>
        <v>66</v>
      </c>
      <c r="I2502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PS'!$CT$66</v>
      </c>
      <c r="J2502" s="1" t="s">
        <v>3107</v>
      </c>
    </row>
    <row r="2503" spans="1:10" x14ac:dyDescent="0.35">
      <c r="A2503" s="6" t="s">
        <v>24</v>
      </c>
      <c r="B2503" s="6">
        <f t="shared" si="561"/>
        <v>2054</v>
      </c>
      <c r="C2503" s="1" t="s">
        <v>49</v>
      </c>
      <c r="D2503" s="2" t="s">
        <v>2003</v>
      </c>
      <c r="E2503" s="9" t="str">
        <f t="shared" si="557"/>
        <v>PS'!</v>
      </c>
      <c r="F2503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503" s="6" t="s">
        <v>105</v>
      </c>
      <c r="H2503" s="1">
        <f t="shared" si="559"/>
        <v>67</v>
      </c>
      <c r="I2503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PS'!$CT$67</v>
      </c>
      <c r="J2503" s="1" t="s">
        <v>3108</v>
      </c>
    </row>
    <row r="2504" spans="1:10" x14ac:dyDescent="0.35">
      <c r="A2504" s="6" t="s">
        <v>24</v>
      </c>
      <c r="B2504" s="6">
        <f t="shared" si="561"/>
        <v>2055</v>
      </c>
      <c r="C2504" s="1" t="s">
        <v>49</v>
      </c>
      <c r="D2504" s="2" t="s">
        <v>2003</v>
      </c>
      <c r="E2504" s="9" t="str">
        <f t="shared" si="557"/>
        <v>PS'!</v>
      </c>
      <c r="F2504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504" s="6" t="s">
        <v>105</v>
      </c>
      <c r="H2504" s="1">
        <f t="shared" si="559"/>
        <v>68</v>
      </c>
      <c r="I2504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PS'!$CT$68</v>
      </c>
      <c r="J2504" s="1" t="s">
        <v>3109</v>
      </c>
    </row>
    <row r="2505" spans="1:10" x14ac:dyDescent="0.35">
      <c r="A2505" s="6" t="s">
        <v>24</v>
      </c>
      <c r="B2505" s="6">
        <f t="shared" si="561"/>
        <v>2056</v>
      </c>
      <c r="C2505" s="1" t="s">
        <v>49</v>
      </c>
      <c r="D2505" s="2" t="s">
        <v>2003</v>
      </c>
      <c r="E2505" s="9" t="str">
        <f t="shared" si="557"/>
        <v>PS'!</v>
      </c>
      <c r="F2505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505" s="6" t="s">
        <v>105</v>
      </c>
      <c r="H2505" s="1">
        <f t="shared" si="559"/>
        <v>69</v>
      </c>
      <c r="I2505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PS'!$CT$69</v>
      </c>
      <c r="J2505" s="1" t="s">
        <v>3110</v>
      </c>
    </row>
    <row r="2506" spans="1:10" x14ac:dyDescent="0.35">
      <c r="A2506" s="6" t="s">
        <v>24</v>
      </c>
      <c r="B2506" s="6">
        <f t="shared" si="561"/>
        <v>2057</v>
      </c>
      <c r="C2506" s="1" t="s">
        <v>49</v>
      </c>
      <c r="D2506" s="2" t="s">
        <v>2003</v>
      </c>
      <c r="E2506" s="9" t="str">
        <f t="shared" si="557"/>
        <v>PS'!</v>
      </c>
      <c r="F2506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506" s="6" t="s">
        <v>105</v>
      </c>
      <c r="H2506" s="1">
        <f t="shared" si="559"/>
        <v>70</v>
      </c>
      <c r="I2506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PS'!$CT$70</v>
      </c>
      <c r="J2506" s="1" t="s">
        <v>3111</v>
      </c>
    </row>
    <row r="2507" spans="1:10" x14ac:dyDescent="0.35">
      <c r="A2507" s="6" t="s">
        <v>24</v>
      </c>
      <c r="B2507" s="6">
        <f t="shared" si="561"/>
        <v>2058</v>
      </c>
      <c r="C2507" s="1" t="s">
        <v>49</v>
      </c>
      <c r="D2507" s="2" t="s">
        <v>2003</v>
      </c>
      <c r="E2507" s="9" t="str">
        <f t="shared" si="557"/>
        <v>PS'!</v>
      </c>
      <c r="F2507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507" s="6" t="s">
        <v>105</v>
      </c>
      <c r="H2507" s="1">
        <f t="shared" si="559"/>
        <v>71</v>
      </c>
      <c r="I2507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PS'!$CT$71</v>
      </c>
      <c r="J2507" s="1" t="s">
        <v>3112</v>
      </c>
    </row>
    <row r="2508" spans="1:10" x14ac:dyDescent="0.35">
      <c r="A2508" s="6" t="s">
        <v>24</v>
      </c>
      <c r="B2508" s="6">
        <f t="shared" si="561"/>
        <v>2059</v>
      </c>
      <c r="C2508" s="1" t="s">
        <v>49</v>
      </c>
      <c r="D2508" s="2" t="s">
        <v>2003</v>
      </c>
      <c r="E2508" s="9" t="str">
        <f t="shared" si="557"/>
        <v>PS'!</v>
      </c>
      <c r="F2508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508" s="6" t="s">
        <v>105</v>
      </c>
      <c r="H2508" s="1">
        <f t="shared" si="559"/>
        <v>72</v>
      </c>
      <c r="I2508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PS'!$CT$72</v>
      </c>
      <c r="J2508" s="1" t="s">
        <v>3113</v>
      </c>
    </row>
    <row r="2509" spans="1:10" x14ac:dyDescent="0.35">
      <c r="A2509" s="6" t="s">
        <v>26</v>
      </c>
      <c r="B2509" s="6"/>
      <c r="C2509" s="1" t="s">
        <v>49</v>
      </c>
      <c r="D2509" s="2"/>
      <c r="E2509" s="9"/>
      <c r="F2509" s="2"/>
      <c r="G2509" s="6"/>
      <c r="H2509" s="1"/>
      <c r="I2509" s="1"/>
      <c r="J2509" s="4"/>
    </row>
    <row r="2510" spans="1:10" x14ac:dyDescent="0.35">
      <c r="A2510" s="7" t="s">
        <v>14</v>
      </c>
      <c r="B2510" s="7">
        <v>2023</v>
      </c>
      <c r="C2510" s="4" t="s">
        <v>52</v>
      </c>
      <c r="D2510" s="5" t="s">
        <v>2003</v>
      </c>
      <c r="E2510" s="10" t="str">
        <f t="shared" ref="E2510:E2530" si="562">_xlfn.CONCAT(A2510,"'!")</f>
        <v>PDP'!</v>
      </c>
      <c r="F2510" s="5" t="str">
        <f t="shared" ref="F2510:F2568" si="563">_xlfn.CONCAT(D2510," ",E2510)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10" s="7" t="s">
        <v>109</v>
      </c>
      <c r="H2510" s="4">
        <f>IF(A2510&lt;&gt;A2380,36,H2380+1)</f>
        <v>36</v>
      </c>
      <c r="I2510" s="4" t="str">
        <f t="shared" ref="I2510:I2530" si="564">_xlfn.CONCAT("='",F2510:H2510)</f>
        <v>='C:\Users\jaime.benazar\Quorum Business Solutions\Ecopetrol Prometeo - Documents\Planning Space Implementation\3. Analysis &amp; Design\Design\FC22\DRR Jaime\Por presentar a ECP\Cantagallo\Cristalina\[VRC_CRISTALINA_CF_SEC_20221231.xlsx]CF PDP'!$DN$36</v>
      </c>
      <c r="J2510" s="4" t="s">
        <v>3114</v>
      </c>
    </row>
    <row r="2511" spans="1:10" x14ac:dyDescent="0.35">
      <c r="A2511" s="7" t="s">
        <v>14</v>
      </c>
      <c r="B2511" s="7">
        <f>+B2510+1</f>
        <v>2024</v>
      </c>
      <c r="C2511" s="4" t="s">
        <v>52</v>
      </c>
      <c r="D2511" s="5" t="s">
        <v>2003</v>
      </c>
      <c r="E2511" s="10" t="str">
        <f t="shared" si="562"/>
        <v>PDP'!</v>
      </c>
      <c r="F2511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11" s="7" t="s">
        <v>109</v>
      </c>
      <c r="H2511" s="4">
        <f t="shared" ref="H2511:H2530" si="565">IF(A2511&lt;&gt;A2510,36,H2510+1)</f>
        <v>37</v>
      </c>
      <c r="I2511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PDP'!$DN$37</v>
      </c>
      <c r="J2511" s="4" t="s">
        <v>3115</v>
      </c>
    </row>
    <row r="2512" spans="1:10" x14ac:dyDescent="0.35">
      <c r="A2512" s="7" t="s">
        <v>14</v>
      </c>
      <c r="B2512" s="7">
        <f t="shared" ref="B2512:B2523" si="566">+B2511+1</f>
        <v>2025</v>
      </c>
      <c r="C2512" s="4" t="s">
        <v>52</v>
      </c>
      <c r="D2512" s="5" t="s">
        <v>2003</v>
      </c>
      <c r="E2512" s="10" t="str">
        <f t="shared" si="562"/>
        <v>PDP'!</v>
      </c>
      <c r="F2512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12" s="7" t="s">
        <v>109</v>
      </c>
      <c r="H2512" s="4">
        <f t="shared" si="565"/>
        <v>38</v>
      </c>
      <c r="I2512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PDP'!$DN$38</v>
      </c>
      <c r="J2512" s="4" t="s">
        <v>3116</v>
      </c>
    </row>
    <row r="2513" spans="1:10" x14ac:dyDescent="0.35">
      <c r="A2513" s="7" t="s">
        <v>14</v>
      </c>
      <c r="B2513" s="7">
        <f t="shared" si="566"/>
        <v>2026</v>
      </c>
      <c r="C2513" s="4" t="s">
        <v>52</v>
      </c>
      <c r="D2513" s="5" t="s">
        <v>2003</v>
      </c>
      <c r="E2513" s="10" t="str">
        <f t="shared" si="562"/>
        <v>PDP'!</v>
      </c>
      <c r="F2513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13" s="7" t="s">
        <v>109</v>
      </c>
      <c r="H2513" s="4">
        <f t="shared" si="565"/>
        <v>39</v>
      </c>
      <c r="I2513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PDP'!$DN$39</v>
      </c>
      <c r="J2513" s="4" t="s">
        <v>3117</v>
      </c>
    </row>
    <row r="2514" spans="1:10" x14ac:dyDescent="0.35">
      <c r="A2514" s="7" t="s">
        <v>14</v>
      </c>
      <c r="B2514" s="7">
        <f t="shared" si="566"/>
        <v>2027</v>
      </c>
      <c r="C2514" s="4" t="s">
        <v>52</v>
      </c>
      <c r="D2514" s="5" t="s">
        <v>2003</v>
      </c>
      <c r="E2514" s="10" t="str">
        <f t="shared" si="562"/>
        <v>PDP'!</v>
      </c>
      <c r="F2514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14" s="7" t="s">
        <v>109</v>
      </c>
      <c r="H2514" s="4">
        <f t="shared" si="565"/>
        <v>40</v>
      </c>
      <c r="I2514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PDP'!$DN$40</v>
      </c>
      <c r="J2514" s="4" t="s">
        <v>3118</v>
      </c>
    </row>
    <row r="2515" spans="1:10" x14ac:dyDescent="0.35">
      <c r="A2515" s="7" t="s">
        <v>14</v>
      </c>
      <c r="B2515" s="7">
        <f t="shared" si="566"/>
        <v>2028</v>
      </c>
      <c r="C2515" s="4" t="s">
        <v>52</v>
      </c>
      <c r="D2515" s="5" t="s">
        <v>2003</v>
      </c>
      <c r="E2515" s="10" t="str">
        <f t="shared" si="562"/>
        <v>PDP'!</v>
      </c>
      <c r="F2515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15" s="7" t="s">
        <v>109</v>
      </c>
      <c r="H2515" s="4">
        <f t="shared" si="565"/>
        <v>41</v>
      </c>
      <c r="I2515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PDP'!$DN$41</v>
      </c>
      <c r="J2515" s="4" t="s">
        <v>3119</v>
      </c>
    </row>
    <row r="2516" spans="1:10" x14ac:dyDescent="0.35">
      <c r="A2516" s="7" t="s">
        <v>14</v>
      </c>
      <c r="B2516" s="7">
        <f t="shared" si="566"/>
        <v>2029</v>
      </c>
      <c r="C2516" s="4" t="s">
        <v>52</v>
      </c>
      <c r="D2516" s="5" t="s">
        <v>2003</v>
      </c>
      <c r="E2516" s="10" t="str">
        <f t="shared" si="562"/>
        <v>PDP'!</v>
      </c>
      <c r="F2516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16" s="7" t="s">
        <v>109</v>
      </c>
      <c r="H2516" s="4">
        <f t="shared" si="565"/>
        <v>42</v>
      </c>
      <c r="I2516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PDP'!$DN$42</v>
      </c>
      <c r="J2516" s="4" t="s">
        <v>3120</v>
      </c>
    </row>
    <row r="2517" spans="1:10" x14ac:dyDescent="0.35">
      <c r="A2517" s="7" t="s">
        <v>14</v>
      </c>
      <c r="B2517" s="7">
        <f t="shared" si="566"/>
        <v>2030</v>
      </c>
      <c r="C2517" s="4" t="s">
        <v>52</v>
      </c>
      <c r="D2517" s="5" t="s">
        <v>2003</v>
      </c>
      <c r="E2517" s="10" t="str">
        <f t="shared" si="562"/>
        <v>PDP'!</v>
      </c>
      <c r="F2517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17" s="7" t="s">
        <v>109</v>
      </c>
      <c r="H2517" s="4">
        <f t="shared" si="565"/>
        <v>43</v>
      </c>
      <c r="I2517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PDP'!$DN$43</v>
      </c>
      <c r="J2517" s="4" t="s">
        <v>3121</v>
      </c>
    </row>
    <row r="2518" spans="1:10" x14ac:dyDescent="0.35">
      <c r="A2518" s="7" t="s">
        <v>14</v>
      </c>
      <c r="B2518" s="7">
        <f t="shared" si="566"/>
        <v>2031</v>
      </c>
      <c r="C2518" s="4" t="s">
        <v>52</v>
      </c>
      <c r="D2518" s="5" t="s">
        <v>2003</v>
      </c>
      <c r="E2518" s="10" t="str">
        <f t="shared" si="562"/>
        <v>PDP'!</v>
      </c>
      <c r="F2518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18" s="7" t="s">
        <v>109</v>
      </c>
      <c r="H2518" s="4">
        <f t="shared" si="565"/>
        <v>44</v>
      </c>
      <c r="I2518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PDP'!$DN$44</v>
      </c>
      <c r="J2518" s="4" t="s">
        <v>3122</v>
      </c>
    </row>
    <row r="2519" spans="1:10" x14ac:dyDescent="0.35">
      <c r="A2519" s="7" t="s">
        <v>14</v>
      </c>
      <c r="B2519" s="7">
        <f t="shared" si="566"/>
        <v>2032</v>
      </c>
      <c r="C2519" s="4" t="s">
        <v>52</v>
      </c>
      <c r="D2519" s="5" t="s">
        <v>2003</v>
      </c>
      <c r="E2519" s="10" t="str">
        <f t="shared" si="562"/>
        <v>PDP'!</v>
      </c>
      <c r="F2519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19" s="7" t="s">
        <v>109</v>
      </c>
      <c r="H2519" s="4">
        <f t="shared" si="565"/>
        <v>45</v>
      </c>
      <c r="I2519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PDP'!$DN$45</v>
      </c>
      <c r="J2519" s="4" t="s">
        <v>3123</v>
      </c>
    </row>
    <row r="2520" spans="1:10" x14ac:dyDescent="0.35">
      <c r="A2520" s="7" t="s">
        <v>14</v>
      </c>
      <c r="B2520" s="7">
        <f t="shared" si="566"/>
        <v>2033</v>
      </c>
      <c r="C2520" s="4" t="s">
        <v>52</v>
      </c>
      <c r="D2520" s="5" t="s">
        <v>2003</v>
      </c>
      <c r="E2520" s="10" t="str">
        <f t="shared" si="562"/>
        <v>PDP'!</v>
      </c>
      <c r="F2520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20" s="7" t="s">
        <v>109</v>
      </c>
      <c r="H2520" s="4">
        <f t="shared" si="565"/>
        <v>46</v>
      </c>
      <c r="I2520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PDP'!$DN$46</v>
      </c>
      <c r="J2520" s="4" t="s">
        <v>3124</v>
      </c>
    </row>
    <row r="2521" spans="1:10" x14ac:dyDescent="0.35">
      <c r="A2521" s="7" t="s">
        <v>14</v>
      </c>
      <c r="B2521" s="7">
        <f t="shared" si="566"/>
        <v>2034</v>
      </c>
      <c r="C2521" s="4" t="s">
        <v>52</v>
      </c>
      <c r="D2521" s="5" t="s">
        <v>2003</v>
      </c>
      <c r="E2521" s="10" t="str">
        <f t="shared" si="562"/>
        <v>PDP'!</v>
      </c>
      <c r="F2521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21" s="7" t="s">
        <v>109</v>
      </c>
      <c r="H2521" s="4">
        <f t="shared" si="565"/>
        <v>47</v>
      </c>
      <c r="I2521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PDP'!$DN$47</v>
      </c>
      <c r="J2521" s="4" t="s">
        <v>3125</v>
      </c>
    </row>
    <row r="2522" spans="1:10" x14ac:dyDescent="0.35">
      <c r="A2522" s="7" t="s">
        <v>14</v>
      </c>
      <c r="B2522" s="7">
        <f t="shared" si="566"/>
        <v>2035</v>
      </c>
      <c r="C2522" s="4" t="s">
        <v>52</v>
      </c>
      <c r="D2522" s="5" t="s">
        <v>2003</v>
      </c>
      <c r="E2522" s="10" t="str">
        <f t="shared" si="562"/>
        <v>PDP'!</v>
      </c>
      <c r="F2522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22" s="7" t="s">
        <v>109</v>
      </c>
      <c r="H2522" s="4">
        <f t="shared" si="565"/>
        <v>48</v>
      </c>
      <c r="I2522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PDP'!$DN$48</v>
      </c>
      <c r="J2522" s="4" t="s">
        <v>3126</v>
      </c>
    </row>
    <row r="2523" spans="1:10" x14ac:dyDescent="0.35">
      <c r="A2523" s="7" t="s">
        <v>14</v>
      </c>
      <c r="B2523" s="7">
        <f t="shared" si="566"/>
        <v>2036</v>
      </c>
      <c r="C2523" s="4" t="s">
        <v>52</v>
      </c>
      <c r="D2523" s="5" t="s">
        <v>2003</v>
      </c>
      <c r="E2523" s="10" t="str">
        <f t="shared" si="562"/>
        <v>PDP'!</v>
      </c>
      <c r="F2523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23" s="7" t="s">
        <v>109</v>
      </c>
      <c r="H2523" s="4">
        <f t="shared" si="565"/>
        <v>49</v>
      </c>
      <c r="I2523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PDP'!$DN$49</v>
      </c>
      <c r="J2523" s="4" t="s">
        <v>3127</v>
      </c>
    </row>
    <row r="2524" spans="1:10" x14ac:dyDescent="0.35">
      <c r="A2524" s="7" t="s">
        <v>14</v>
      </c>
      <c r="B2524" s="7">
        <f>+B2523+1</f>
        <v>2037</v>
      </c>
      <c r="C2524" s="4" t="s">
        <v>52</v>
      </c>
      <c r="D2524" s="5" t="s">
        <v>2003</v>
      </c>
      <c r="E2524" s="10" t="str">
        <f t="shared" si="562"/>
        <v>PDP'!</v>
      </c>
      <c r="F2524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24" s="7" t="s">
        <v>109</v>
      </c>
      <c r="H2524" s="4">
        <f t="shared" si="565"/>
        <v>50</v>
      </c>
      <c r="I2524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PDP'!$DN$50</v>
      </c>
      <c r="J2524" s="4" t="s">
        <v>3128</v>
      </c>
    </row>
    <row r="2525" spans="1:10" x14ac:dyDescent="0.35">
      <c r="A2525" s="7" t="s">
        <v>14</v>
      </c>
      <c r="B2525" s="7">
        <f t="shared" ref="B2525:B2527" si="567">+B2524+1</f>
        <v>2038</v>
      </c>
      <c r="C2525" s="4" t="s">
        <v>52</v>
      </c>
      <c r="D2525" s="5" t="s">
        <v>2003</v>
      </c>
      <c r="E2525" s="10" t="str">
        <f t="shared" si="562"/>
        <v>PDP'!</v>
      </c>
      <c r="F2525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25" s="7" t="s">
        <v>109</v>
      </c>
      <c r="H2525" s="4">
        <f t="shared" si="565"/>
        <v>51</v>
      </c>
      <c r="I2525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PDP'!$DN$51</v>
      </c>
      <c r="J2525" s="4" t="s">
        <v>3129</v>
      </c>
    </row>
    <row r="2526" spans="1:10" x14ac:dyDescent="0.35">
      <c r="A2526" s="7" t="s">
        <v>14</v>
      </c>
      <c r="B2526" s="7">
        <f t="shared" si="567"/>
        <v>2039</v>
      </c>
      <c r="C2526" s="4" t="s">
        <v>52</v>
      </c>
      <c r="D2526" s="5" t="s">
        <v>2003</v>
      </c>
      <c r="E2526" s="10" t="str">
        <f t="shared" si="562"/>
        <v>PDP'!</v>
      </c>
      <c r="F2526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26" s="7" t="s">
        <v>109</v>
      </c>
      <c r="H2526" s="4">
        <f t="shared" si="565"/>
        <v>52</v>
      </c>
      <c r="I2526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PDP'!$DN$52</v>
      </c>
      <c r="J2526" s="4" t="s">
        <v>3130</v>
      </c>
    </row>
    <row r="2527" spans="1:10" x14ac:dyDescent="0.35">
      <c r="A2527" s="7" t="s">
        <v>14</v>
      </c>
      <c r="B2527" s="7">
        <f t="shared" si="567"/>
        <v>2040</v>
      </c>
      <c r="C2527" s="4" t="s">
        <v>52</v>
      </c>
      <c r="D2527" s="5" t="s">
        <v>2003</v>
      </c>
      <c r="E2527" s="10" t="str">
        <f t="shared" si="562"/>
        <v>PDP'!</v>
      </c>
      <c r="F2527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27" s="7" t="s">
        <v>109</v>
      </c>
      <c r="H2527" s="4">
        <f t="shared" si="565"/>
        <v>53</v>
      </c>
      <c r="I2527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PDP'!$DN$53</v>
      </c>
      <c r="J2527" s="4" t="s">
        <v>3131</v>
      </c>
    </row>
    <row r="2528" spans="1:10" x14ac:dyDescent="0.35">
      <c r="A2528" s="7" t="s">
        <v>14</v>
      </c>
      <c r="B2528" s="7">
        <f>+B2527+1</f>
        <v>2041</v>
      </c>
      <c r="C2528" s="4" t="s">
        <v>52</v>
      </c>
      <c r="D2528" s="5" t="s">
        <v>2003</v>
      </c>
      <c r="E2528" s="10" t="str">
        <f t="shared" si="562"/>
        <v>PDP'!</v>
      </c>
      <c r="F2528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28" s="7" t="s">
        <v>109</v>
      </c>
      <c r="H2528" s="4">
        <f t="shared" si="565"/>
        <v>54</v>
      </c>
      <c r="I2528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PDP'!$DN$54</v>
      </c>
      <c r="J2528" s="4" t="s">
        <v>3132</v>
      </c>
    </row>
    <row r="2529" spans="1:10" x14ac:dyDescent="0.35">
      <c r="A2529" s="7" t="s">
        <v>14</v>
      </c>
      <c r="B2529" s="7">
        <f t="shared" ref="B2529:B2530" si="568">+B2528+1</f>
        <v>2042</v>
      </c>
      <c r="C2529" s="4" t="s">
        <v>52</v>
      </c>
      <c r="D2529" s="5" t="s">
        <v>2003</v>
      </c>
      <c r="E2529" s="10" t="str">
        <f t="shared" si="562"/>
        <v>PDP'!</v>
      </c>
      <c r="F2529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29" s="7" t="s">
        <v>109</v>
      </c>
      <c r="H2529" s="4">
        <f t="shared" si="565"/>
        <v>55</v>
      </c>
      <c r="I2529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PDP'!$DN$55</v>
      </c>
      <c r="J2529" s="4" t="s">
        <v>3133</v>
      </c>
    </row>
    <row r="2530" spans="1:10" x14ac:dyDescent="0.35">
      <c r="A2530" s="7" t="s">
        <v>14</v>
      </c>
      <c r="B2530" s="7">
        <f t="shared" si="568"/>
        <v>2043</v>
      </c>
      <c r="C2530" s="4" t="s">
        <v>52</v>
      </c>
      <c r="D2530" s="5" t="s">
        <v>2003</v>
      </c>
      <c r="E2530" s="10" t="str">
        <f t="shared" si="562"/>
        <v>PDP'!</v>
      </c>
      <c r="F2530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30" s="7" t="s">
        <v>109</v>
      </c>
      <c r="H2530" s="4">
        <f t="shared" si="565"/>
        <v>56</v>
      </c>
      <c r="I2530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PDP'!$DN$56</v>
      </c>
      <c r="J2530" s="4" t="s">
        <v>3134</v>
      </c>
    </row>
    <row r="2531" spans="1:10" x14ac:dyDescent="0.35">
      <c r="A2531" s="7" t="s">
        <v>14</v>
      </c>
      <c r="B2531" s="7">
        <f>+B2530+1</f>
        <v>2044</v>
      </c>
      <c r="C2531" s="4" t="s">
        <v>52</v>
      </c>
      <c r="D2531" s="5" t="s">
        <v>2003</v>
      </c>
      <c r="E2531" s="10" t="str">
        <f t="shared" ref="E2531:E2546" si="569">_xlfn.CONCAT(A2531,"'!")</f>
        <v>PDP'!</v>
      </c>
      <c r="F2531" s="5" t="str">
        <f t="shared" ref="F2531:F2546" si="570">_xlfn.CONCAT(D2531," ",E2531)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31" s="7" t="s">
        <v>109</v>
      </c>
      <c r="H2531" s="4">
        <f t="shared" ref="H2531:H2546" si="571">IF(A2531&lt;&gt;A2530,36,H2530+1)</f>
        <v>57</v>
      </c>
      <c r="I2531" s="4" t="str">
        <f t="shared" ref="I2531:I2546" si="572">_xlfn.CONCAT("='",F2531:H2531)</f>
        <v>='C:\Users\jaime.benazar\Quorum Business Solutions\Ecopetrol Prometeo - Documents\Planning Space Implementation\3. Analysis &amp; Design\Design\FC22\DRR Jaime\Por presentar a ECP\Cantagallo\Cristalina\[VRC_CRISTALINA_CF_SEC_20221231.xlsx]CF PDP'!$DN$57</v>
      </c>
      <c r="J2531" s="4" t="s">
        <v>3135</v>
      </c>
    </row>
    <row r="2532" spans="1:10" x14ac:dyDescent="0.35">
      <c r="A2532" s="7" t="s">
        <v>14</v>
      </c>
      <c r="B2532" s="7">
        <f t="shared" ref="B2532:B2546" si="573">+B2531+1</f>
        <v>2045</v>
      </c>
      <c r="C2532" s="4" t="s">
        <v>52</v>
      </c>
      <c r="D2532" s="5" t="s">
        <v>2003</v>
      </c>
      <c r="E2532" s="10" t="str">
        <f t="shared" si="569"/>
        <v>PDP'!</v>
      </c>
      <c r="F2532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32" s="7" t="s">
        <v>109</v>
      </c>
      <c r="H2532" s="4">
        <f t="shared" si="571"/>
        <v>58</v>
      </c>
      <c r="I2532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PDP'!$DN$58</v>
      </c>
      <c r="J2532" s="4" t="s">
        <v>3136</v>
      </c>
    </row>
    <row r="2533" spans="1:10" x14ac:dyDescent="0.35">
      <c r="A2533" s="7" t="s">
        <v>14</v>
      </c>
      <c r="B2533" s="7">
        <f t="shared" si="573"/>
        <v>2046</v>
      </c>
      <c r="C2533" s="4" t="s">
        <v>52</v>
      </c>
      <c r="D2533" s="5" t="s">
        <v>2003</v>
      </c>
      <c r="E2533" s="10" t="str">
        <f t="shared" si="569"/>
        <v>PDP'!</v>
      </c>
      <c r="F2533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33" s="7" t="s">
        <v>109</v>
      </c>
      <c r="H2533" s="4">
        <f t="shared" si="571"/>
        <v>59</v>
      </c>
      <c r="I2533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PDP'!$DN$59</v>
      </c>
      <c r="J2533" s="4" t="s">
        <v>3137</v>
      </c>
    </row>
    <row r="2534" spans="1:10" x14ac:dyDescent="0.35">
      <c r="A2534" s="7" t="s">
        <v>14</v>
      </c>
      <c r="B2534" s="7">
        <f t="shared" si="573"/>
        <v>2047</v>
      </c>
      <c r="C2534" s="4" t="s">
        <v>52</v>
      </c>
      <c r="D2534" s="5" t="s">
        <v>2003</v>
      </c>
      <c r="E2534" s="10" t="str">
        <f t="shared" si="569"/>
        <v>PDP'!</v>
      </c>
      <c r="F2534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34" s="7" t="s">
        <v>109</v>
      </c>
      <c r="H2534" s="4">
        <f t="shared" si="571"/>
        <v>60</v>
      </c>
      <c r="I2534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PDP'!$DN$60</v>
      </c>
      <c r="J2534" s="4" t="s">
        <v>3138</v>
      </c>
    </row>
    <row r="2535" spans="1:10" x14ac:dyDescent="0.35">
      <c r="A2535" s="7" t="s">
        <v>14</v>
      </c>
      <c r="B2535" s="7">
        <f t="shared" si="573"/>
        <v>2048</v>
      </c>
      <c r="C2535" s="4" t="s">
        <v>52</v>
      </c>
      <c r="D2535" s="5" t="s">
        <v>2003</v>
      </c>
      <c r="E2535" s="10" t="str">
        <f t="shared" si="569"/>
        <v>PDP'!</v>
      </c>
      <c r="F2535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35" s="7" t="s">
        <v>109</v>
      </c>
      <c r="H2535" s="4">
        <f t="shared" si="571"/>
        <v>61</v>
      </c>
      <c r="I2535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PDP'!$DN$61</v>
      </c>
      <c r="J2535" s="4" t="s">
        <v>3139</v>
      </c>
    </row>
    <row r="2536" spans="1:10" x14ac:dyDescent="0.35">
      <c r="A2536" s="7" t="s">
        <v>14</v>
      </c>
      <c r="B2536" s="7">
        <f t="shared" si="573"/>
        <v>2049</v>
      </c>
      <c r="C2536" s="4" t="s">
        <v>52</v>
      </c>
      <c r="D2536" s="5" t="s">
        <v>2003</v>
      </c>
      <c r="E2536" s="10" t="str">
        <f t="shared" si="569"/>
        <v>PDP'!</v>
      </c>
      <c r="F2536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36" s="7" t="s">
        <v>109</v>
      </c>
      <c r="H2536" s="4">
        <f t="shared" si="571"/>
        <v>62</v>
      </c>
      <c r="I2536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PDP'!$DN$62</v>
      </c>
      <c r="J2536" s="4" t="s">
        <v>3140</v>
      </c>
    </row>
    <row r="2537" spans="1:10" x14ac:dyDescent="0.35">
      <c r="A2537" s="7" t="s">
        <v>14</v>
      </c>
      <c r="B2537" s="7">
        <f t="shared" si="573"/>
        <v>2050</v>
      </c>
      <c r="C2537" s="4" t="s">
        <v>52</v>
      </c>
      <c r="D2537" s="5" t="s">
        <v>2003</v>
      </c>
      <c r="E2537" s="10" t="str">
        <f t="shared" si="569"/>
        <v>PDP'!</v>
      </c>
      <c r="F2537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37" s="7" t="s">
        <v>109</v>
      </c>
      <c r="H2537" s="4">
        <f t="shared" si="571"/>
        <v>63</v>
      </c>
      <c r="I2537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PDP'!$DN$63</v>
      </c>
      <c r="J2537" s="4" t="s">
        <v>3141</v>
      </c>
    </row>
    <row r="2538" spans="1:10" x14ac:dyDescent="0.35">
      <c r="A2538" s="7" t="s">
        <v>14</v>
      </c>
      <c r="B2538" s="7">
        <f t="shared" si="573"/>
        <v>2051</v>
      </c>
      <c r="C2538" s="4" t="s">
        <v>52</v>
      </c>
      <c r="D2538" s="5" t="s">
        <v>2003</v>
      </c>
      <c r="E2538" s="10" t="str">
        <f t="shared" si="569"/>
        <v>PDP'!</v>
      </c>
      <c r="F2538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38" s="7" t="s">
        <v>109</v>
      </c>
      <c r="H2538" s="4">
        <f t="shared" si="571"/>
        <v>64</v>
      </c>
      <c r="I2538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PDP'!$DN$64</v>
      </c>
      <c r="J2538" s="4" t="s">
        <v>3142</v>
      </c>
    </row>
    <row r="2539" spans="1:10" x14ac:dyDescent="0.35">
      <c r="A2539" s="7" t="s">
        <v>14</v>
      </c>
      <c r="B2539" s="7">
        <f t="shared" si="573"/>
        <v>2052</v>
      </c>
      <c r="C2539" s="4" t="s">
        <v>52</v>
      </c>
      <c r="D2539" s="5" t="s">
        <v>2003</v>
      </c>
      <c r="E2539" s="10" t="str">
        <f t="shared" si="569"/>
        <v>PDP'!</v>
      </c>
      <c r="F2539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39" s="7" t="s">
        <v>109</v>
      </c>
      <c r="H2539" s="4">
        <f t="shared" si="571"/>
        <v>65</v>
      </c>
      <c r="I2539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PDP'!$DN$65</v>
      </c>
      <c r="J2539" s="4" t="s">
        <v>3143</v>
      </c>
    </row>
    <row r="2540" spans="1:10" x14ac:dyDescent="0.35">
      <c r="A2540" s="7" t="s">
        <v>14</v>
      </c>
      <c r="B2540" s="7">
        <f t="shared" si="573"/>
        <v>2053</v>
      </c>
      <c r="C2540" s="4" t="s">
        <v>52</v>
      </c>
      <c r="D2540" s="5" t="s">
        <v>2003</v>
      </c>
      <c r="E2540" s="10" t="str">
        <f t="shared" si="569"/>
        <v>PDP'!</v>
      </c>
      <c r="F2540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40" s="7" t="s">
        <v>109</v>
      </c>
      <c r="H2540" s="4">
        <f t="shared" si="571"/>
        <v>66</v>
      </c>
      <c r="I2540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PDP'!$DN$66</v>
      </c>
      <c r="J2540" s="4" t="s">
        <v>3144</v>
      </c>
    </row>
    <row r="2541" spans="1:10" x14ac:dyDescent="0.35">
      <c r="A2541" s="7" t="s">
        <v>14</v>
      </c>
      <c r="B2541" s="7">
        <f t="shared" si="573"/>
        <v>2054</v>
      </c>
      <c r="C2541" s="4" t="s">
        <v>52</v>
      </c>
      <c r="D2541" s="5" t="s">
        <v>2003</v>
      </c>
      <c r="E2541" s="10" t="str">
        <f t="shared" si="569"/>
        <v>PDP'!</v>
      </c>
      <c r="F2541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41" s="7" t="s">
        <v>109</v>
      </c>
      <c r="H2541" s="4">
        <f t="shared" si="571"/>
        <v>67</v>
      </c>
      <c r="I2541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PDP'!$DN$67</v>
      </c>
      <c r="J2541" s="4" t="s">
        <v>3145</v>
      </c>
    </row>
    <row r="2542" spans="1:10" x14ac:dyDescent="0.35">
      <c r="A2542" s="7" t="s">
        <v>14</v>
      </c>
      <c r="B2542" s="7">
        <f t="shared" si="573"/>
        <v>2055</v>
      </c>
      <c r="C2542" s="4" t="s">
        <v>52</v>
      </c>
      <c r="D2542" s="5" t="s">
        <v>2003</v>
      </c>
      <c r="E2542" s="10" t="str">
        <f t="shared" si="569"/>
        <v>PDP'!</v>
      </c>
      <c r="F2542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42" s="7" t="s">
        <v>109</v>
      </c>
      <c r="H2542" s="4">
        <f t="shared" si="571"/>
        <v>68</v>
      </c>
      <c r="I2542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PDP'!$DN$68</v>
      </c>
      <c r="J2542" s="4" t="s">
        <v>3146</v>
      </c>
    </row>
    <row r="2543" spans="1:10" x14ac:dyDescent="0.35">
      <c r="A2543" s="7" t="s">
        <v>14</v>
      </c>
      <c r="B2543" s="7">
        <f t="shared" si="573"/>
        <v>2056</v>
      </c>
      <c r="C2543" s="4" t="s">
        <v>52</v>
      </c>
      <c r="D2543" s="5" t="s">
        <v>2003</v>
      </c>
      <c r="E2543" s="10" t="str">
        <f t="shared" si="569"/>
        <v>PDP'!</v>
      </c>
      <c r="F2543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43" s="7" t="s">
        <v>109</v>
      </c>
      <c r="H2543" s="4">
        <f t="shared" si="571"/>
        <v>69</v>
      </c>
      <c r="I2543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PDP'!$DN$69</v>
      </c>
      <c r="J2543" s="4" t="s">
        <v>3147</v>
      </c>
    </row>
    <row r="2544" spans="1:10" x14ac:dyDescent="0.35">
      <c r="A2544" s="7" t="s">
        <v>14</v>
      </c>
      <c r="B2544" s="7">
        <f t="shared" si="573"/>
        <v>2057</v>
      </c>
      <c r="C2544" s="4" t="s">
        <v>52</v>
      </c>
      <c r="D2544" s="5" t="s">
        <v>2003</v>
      </c>
      <c r="E2544" s="10" t="str">
        <f t="shared" si="569"/>
        <v>PDP'!</v>
      </c>
      <c r="F2544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44" s="7" t="s">
        <v>109</v>
      </c>
      <c r="H2544" s="4">
        <f t="shared" si="571"/>
        <v>70</v>
      </c>
      <c r="I2544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PDP'!$DN$70</v>
      </c>
      <c r="J2544" s="4" t="s">
        <v>3148</v>
      </c>
    </row>
    <row r="2545" spans="1:10" x14ac:dyDescent="0.35">
      <c r="A2545" s="7" t="s">
        <v>14</v>
      </c>
      <c r="B2545" s="7">
        <f t="shared" si="573"/>
        <v>2058</v>
      </c>
      <c r="C2545" s="4" t="s">
        <v>52</v>
      </c>
      <c r="D2545" s="5" t="s">
        <v>2003</v>
      </c>
      <c r="E2545" s="10" t="str">
        <f t="shared" si="569"/>
        <v>PDP'!</v>
      </c>
      <c r="F2545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45" s="7" t="s">
        <v>109</v>
      </c>
      <c r="H2545" s="4">
        <f t="shared" si="571"/>
        <v>71</v>
      </c>
      <c r="I2545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PDP'!$DN$71</v>
      </c>
      <c r="J2545" s="4" t="s">
        <v>3149</v>
      </c>
    </row>
    <row r="2546" spans="1:10" x14ac:dyDescent="0.35">
      <c r="A2546" s="7" t="s">
        <v>14</v>
      </c>
      <c r="B2546" s="7">
        <f t="shared" si="573"/>
        <v>2059</v>
      </c>
      <c r="C2546" s="4" t="s">
        <v>52</v>
      </c>
      <c r="D2546" s="5" t="s">
        <v>2003</v>
      </c>
      <c r="E2546" s="10" t="str">
        <f t="shared" si="569"/>
        <v>PDP'!</v>
      </c>
      <c r="F2546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46" s="7" t="s">
        <v>109</v>
      </c>
      <c r="H2546" s="4">
        <f t="shared" si="571"/>
        <v>72</v>
      </c>
      <c r="I2546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PDP'!$DN$72</v>
      </c>
      <c r="J2546" s="4" t="s">
        <v>3150</v>
      </c>
    </row>
    <row r="2547" spans="1:10" x14ac:dyDescent="0.35">
      <c r="A2547" s="7" t="s">
        <v>26</v>
      </c>
      <c r="B2547" s="7"/>
      <c r="C2547" s="4" t="s">
        <v>52</v>
      </c>
      <c r="D2547" s="5"/>
      <c r="E2547" s="10"/>
      <c r="F2547" s="2"/>
      <c r="G2547" s="7"/>
      <c r="H2547" s="4"/>
      <c r="I2547" s="4"/>
      <c r="J2547" s="4"/>
    </row>
    <row r="2548" spans="1:10" x14ac:dyDescent="0.35">
      <c r="A2548" s="7" t="s">
        <v>15</v>
      </c>
      <c r="B2548" s="7">
        <v>2023</v>
      </c>
      <c r="C2548" s="4" t="s">
        <v>52</v>
      </c>
      <c r="D2548" s="5" t="s">
        <v>2003</v>
      </c>
      <c r="E2548" s="10" t="str">
        <f t="shared" ref="E2548:E2568" si="574">_xlfn.CONCAT(A2548,"'!")</f>
        <v>PNP'!</v>
      </c>
      <c r="F2548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48" s="7" t="s">
        <v>109</v>
      </c>
      <c r="H2548" s="4">
        <f>IF(A2548&lt;&gt;A2418,36,H2418+1)</f>
        <v>36</v>
      </c>
      <c r="I2548" s="4" t="str">
        <f t="shared" ref="I2548:I2568" si="575">_xlfn.CONCAT("='",F2548:H2548)</f>
        <v>='C:\Users\jaime.benazar\Quorum Business Solutions\Ecopetrol Prometeo - Documents\Planning Space Implementation\3. Analysis &amp; Design\Design\FC22\DRR Jaime\Por presentar a ECP\Cantagallo\Cristalina\[VRC_CRISTALINA_CF_SEC_20221231.xlsx]CF PNP'!$DN$36</v>
      </c>
      <c r="J2548" s="4" t="s">
        <v>3151</v>
      </c>
    </row>
    <row r="2549" spans="1:10" x14ac:dyDescent="0.35">
      <c r="A2549" s="7" t="s">
        <v>15</v>
      </c>
      <c r="B2549" s="7">
        <f>+B2548+1</f>
        <v>2024</v>
      </c>
      <c r="C2549" s="4" t="s">
        <v>52</v>
      </c>
      <c r="D2549" s="5" t="s">
        <v>2003</v>
      </c>
      <c r="E2549" s="10" t="str">
        <f t="shared" si="574"/>
        <v>PNP'!</v>
      </c>
      <c r="F2549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49" s="7" t="s">
        <v>109</v>
      </c>
      <c r="H2549" s="4">
        <f t="shared" ref="H2549:H2568" si="576">IF(A2549&lt;&gt;A2548,36,H2548+1)</f>
        <v>37</v>
      </c>
      <c r="I2549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PNP'!$DN$37</v>
      </c>
      <c r="J2549" s="4" t="s">
        <v>3152</v>
      </c>
    </row>
    <row r="2550" spans="1:10" x14ac:dyDescent="0.35">
      <c r="A2550" s="7" t="s">
        <v>15</v>
      </c>
      <c r="B2550" s="7">
        <f t="shared" ref="B2550:B2561" si="577">+B2549+1</f>
        <v>2025</v>
      </c>
      <c r="C2550" s="4" t="s">
        <v>52</v>
      </c>
      <c r="D2550" s="5" t="s">
        <v>2003</v>
      </c>
      <c r="E2550" s="10" t="str">
        <f t="shared" si="574"/>
        <v>PNP'!</v>
      </c>
      <c r="F2550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50" s="7" t="s">
        <v>109</v>
      </c>
      <c r="H2550" s="4">
        <f t="shared" si="576"/>
        <v>38</v>
      </c>
      <c r="I2550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PNP'!$DN$38</v>
      </c>
      <c r="J2550" s="4" t="s">
        <v>3153</v>
      </c>
    </row>
    <row r="2551" spans="1:10" x14ac:dyDescent="0.35">
      <c r="A2551" s="7" t="s">
        <v>15</v>
      </c>
      <c r="B2551" s="7">
        <f t="shared" si="577"/>
        <v>2026</v>
      </c>
      <c r="C2551" s="4" t="s">
        <v>52</v>
      </c>
      <c r="D2551" s="5" t="s">
        <v>2003</v>
      </c>
      <c r="E2551" s="10" t="str">
        <f t="shared" si="574"/>
        <v>PNP'!</v>
      </c>
      <c r="F2551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51" s="7" t="s">
        <v>109</v>
      </c>
      <c r="H2551" s="4">
        <f t="shared" si="576"/>
        <v>39</v>
      </c>
      <c r="I2551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PNP'!$DN$39</v>
      </c>
      <c r="J2551" s="4" t="s">
        <v>3154</v>
      </c>
    </row>
    <row r="2552" spans="1:10" x14ac:dyDescent="0.35">
      <c r="A2552" s="7" t="s">
        <v>15</v>
      </c>
      <c r="B2552" s="7">
        <f t="shared" si="577"/>
        <v>2027</v>
      </c>
      <c r="C2552" s="4" t="s">
        <v>52</v>
      </c>
      <c r="D2552" s="5" t="s">
        <v>2003</v>
      </c>
      <c r="E2552" s="10" t="str">
        <f t="shared" si="574"/>
        <v>PNP'!</v>
      </c>
      <c r="F2552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52" s="7" t="s">
        <v>109</v>
      </c>
      <c r="H2552" s="4">
        <f t="shared" si="576"/>
        <v>40</v>
      </c>
      <c r="I2552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PNP'!$DN$40</v>
      </c>
      <c r="J2552" s="4" t="s">
        <v>3155</v>
      </c>
    </row>
    <row r="2553" spans="1:10" x14ac:dyDescent="0.35">
      <c r="A2553" s="7" t="s">
        <v>15</v>
      </c>
      <c r="B2553" s="7">
        <f t="shared" si="577"/>
        <v>2028</v>
      </c>
      <c r="C2553" s="4" t="s">
        <v>52</v>
      </c>
      <c r="D2553" s="5" t="s">
        <v>2003</v>
      </c>
      <c r="E2553" s="10" t="str">
        <f t="shared" si="574"/>
        <v>PNP'!</v>
      </c>
      <c r="F2553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53" s="7" t="s">
        <v>109</v>
      </c>
      <c r="H2553" s="4">
        <f t="shared" si="576"/>
        <v>41</v>
      </c>
      <c r="I2553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PNP'!$DN$41</v>
      </c>
      <c r="J2553" s="4" t="s">
        <v>3156</v>
      </c>
    </row>
    <row r="2554" spans="1:10" x14ac:dyDescent="0.35">
      <c r="A2554" s="7" t="s">
        <v>15</v>
      </c>
      <c r="B2554" s="7">
        <f t="shared" si="577"/>
        <v>2029</v>
      </c>
      <c r="C2554" s="4" t="s">
        <v>52</v>
      </c>
      <c r="D2554" s="5" t="s">
        <v>2003</v>
      </c>
      <c r="E2554" s="10" t="str">
        <f t="shared" si="574"/>
        <v>PNP'!</v>
      </c>
      <c r="F2554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54" s="7" t="s">
        <v>109</v>
      </c>
      <c r="H2554" s="4">
        <f t="shared" si="576"/>
        <v>42</v>
      </c>
      <c r="I2554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PNP'!$DN$42</v>
      </c>
      <c r="J2554" s="4" t="s">
        <v>3157</v>
      </c>
    </row>
    <row r="2555" spans="1:10" x14ac:dyDescent="0.35">
      <c r="A2555" s="7" t="s">
        <v>15</v>
      </c>
      <c r="B2555" s="7">
        <f t="shared" si="577"/>
        <v>2030</v>
      </c>
      <c r="C2555" s="4" t="s">
        <v>52</v>
      </c>
      <c r="D2555" s="5" t="s">
        <v>2003</v>
      </c>
      <c r="E2555" s="10" t="str">
        <f t="shared" si="574"/>
        <v>PNP'!</v>
      </c>
      <c r="F2555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55" s="7" t="s">
        <v>109</v>
      </c>
      <c r="H2555" s="4">
        <f t="shared" si="576"/>
        <v>43</v>
      </c>
      <c r="I2555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PNP'!$DN$43</v>
      </c>
      <c r="J2555" s="4" t="s">
        <v>3158</v>
      </c>
    </row>
    <row r="2556" spans="1:10" x14ac:dyDescent="0.35">
      <c r="A2556" s="7" t="s">
        <v>15</v>
      </c>
      <c r="B2556" s="7">
        <f t="shared" si="577"/>
        <v>2031</v>
      </c>
      <c r="C2556" s="4" t="s">
        <v>52</v>
      </c>
      <c r="D2556" s="5" t="s">
        <v>2003</v>
      </c>
      <c r="E2556" s="10" t="str">
        <f t="shared" si="574"/>
        <v>PNP'!</v>
      </c>
      <c r="F2556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56" s="7" t="s">
        <v>109</v>
      </c>
      <c r="H2556" s="4">
        <f t="shared" si="576"/>
        <v>44</v>
      </c>
      <c r="I2556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PNP'!$DN$44</v>
      </c>
      <c r="J2556" s="4" t="s">
        <v>3159</v>
      </c>
    </row>
    <row r="2557" spans="1:10" x14ac:dyDescent="0.35">
      <c r="A2557" s="7" t="s">
        <v>15</v>
      </c>
      <c r="B2557" s="7">
        <f t="shared" si="577"/>
        <v>2032</v>
      </c>
      <c r="C2557" s="4" t="s">
        <v>52</v>
      </c>
      <c r="D2557" s="5" t="s">
        <v>2003</v>
      </c>
      <c r="E2557" s="10" t="str">
        <f t="shared" si="574"/>
        <v>PNP'!</v>
      </c>
      <c r="F2557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57" s="7" t="s">
        <v>109</v>
      </c>
      <c r="H2557" s="4">
        <f t="shared" si="576"/>
        <v>45</v>
      </c>
      <c r="I2557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PNP'!$DN$45</v>
      </c>
      <c r="J2557" s="4" t="s">
        <v>3160</v>
      </c>
    </row>
    <row r="2558" spans="1:10" x14ac:dyDescent="0.35">
      <c r="A2558" s="7" t="s">
        <v>15</v>
      </c>
      <c r="B2558" s="7">
        <f t="shared" si="577"/>
        <v>2033</v>
      </c>
      <c r="C2558" s="4" t="s">
        <v>52</v>
      </c>
      <c r="D2558" s="5" t="s">
        <v>2003</v>
      </c>
      <c r="E2558" s="10" t="str">
        <f t="shared" si="574"/>
        <v>PNP'!</v>
      </c>
      <c r="F2558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58" s="7" t="s">
        <v>109</v>
      </c>
      <c r="H2558" s="4">
        <f t="shared" si="576"/>
        <v>46</v>
      </c>
      <c r="I2558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PNP'!$DN$46</v>
      </c>
      <c r="J2558" s="4" t="s">
        <v>3161</v>
      </c>
    </row>
    <row r="2559" spans="1:10" x14ac:dyDescent="0.35">
      <c r="A2559" s="7" t="s">
        <v>15</v>
      </c>
      <c r="B2559" s="7">
        <f t="shared" si="577"/>
        <v>2034</v>
      </c>
      <c r="C2559" s="4" t="s">
        <v>52</v>
      </c>
      <c r="D2559" s="5" t="s">
        <v>2003</v>
      </c>
      <c r="E2559" s="10" t="str">
        <f t="shared" si="574"/>
        <v>PNP'!</v>
      </c>
      <c r="F2559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59" s="7" t="s">
        <v>109</v>
      </c>
      <c r="H2559" s="4">
        <f t="shared" si="576"/>
        <v>47</v>
      </c>
      <c r="I2559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PNP'!$DN$47</v>
      </c>
      <c r="J2559" s="4" t="s">
        <v>3162</v>
      </c>
    </row>
    <row r="2560" spans="1:10" x14ac:dyDescent="0.35">
      <c r="A2560" s="7" t="s">
        <v>15</v>
      </c>
      <c r="B2560" s="7">
        <f t="shared" si="577"/>
        <v>2035</v>
      </c>
      <c r="C2560" s="4" t="s">
        <v>52</v>
      </c>
      <c r="D2560" s="5" t="s">
        <v>2003</v>
      </c>
      <c r="E2560" s="10" t="str">
        <f t="shared" si="574"/>
        <v>PNP'!</v>
      </c>
      <c r="F2560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60" s="7" t="s">
        <v>109</v>
      </c>
      <c r="H2560" s="4">
        <f t="shared" si="576"/>
        <v>48</v>
      </c>
      <c r="I2560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PNP'!$DN$48</v>
      </c>
      <c r="J2560" s="4" t="s">
        <v>3163</v>
      </c>
    </row>
    <row r="2561" spans="1:10" x14ac:dyDescent="0.35">
      <c r="A2561" s="7" t="s">
        <v>15</v>
      </c>
      <c r="B2561" s="7">
        <f t="shared" si="577"/>
        <v>2036</v>
      </c>
      <c r="C2561" s="4" t="s">
        <v>52</v>
      </c>
      <c r="D2561" s="5" t="s">
        <v>2003</v>
      </c>
      <c r="E2561" s="10" t="str">
        <f t="shared" si="574"/>
        <v>PNP'!</v>
      </c>
      <c r="F2561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61" s="7" t="s">
        <v>109</v>
      </c>
      <c r="H2561" s="4">
        <f t="shared" si="576"/>
        <v>49</v>
      </c>
      <c r="I2561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PNP'!$DN$49</v>
      </c>
      <c r="J2561" s="4" t="s">
        <v>3164</v>
      </c>
    </row>
    <row r="2562" spans="1:10" x14ac:dyDescent="0.35">
      <c r="A2562" s="7" t="s">
        <v>15</v>
      </c>
      <c r="B2562" s="7">
        <f>+B2561+1</f>
        <v>2037</v>
      </c>
      <c r="C2562" s="4" t="s">
        <v>52</v>
      </c>
      <c r="D2562" s="5" t="s">
        <v>2003</v>
      </c>
      <c r="E2562" s="10" t="str">
        <f t="shared" si="574"/>
        <v>PNP'!</v>
      </c>
      <c r="F2562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62" s="7" t="s">
        <v>109</v>
      </c>
      <c r="H2562" s="4">
        <f t="shared" si="576"/>
        <v>50</v>
      </c>
      <c r="I2562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PNP'!$DN$50</v>
      </c>
      <c r="J2562" s="4" t="s">
        <v>3165</v>
      </c>
    </row>
    <row r="2563" spans="1:10" x14ac:dyDescent="0.35">
      <c r="A2563" s="7" t="s">
        <v>15</v>
      </c>
      <c r="B2563" s="7">
        <f t="shared" ref="B2563:B2565" si="578">+B2562+1</f>
        <v>2038</v>
      </c>
      <c r="C2563" s="4" t="s">
        <v>52</v>
      </c>
      <c r="D2563" s="5" t="s">
        <v>2003</v>
      </c>
      <c r="E2563" s="10" t="str">
        <f t="shared" si="574"/>
        <v>PNP'!</v>
      </c>
      <c r="F2563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63" s="7" t="s">
        <v>109</v>
      </c>
      <c r="H2563" s="4">
        <f t="shared" si="576"/>
        <v>51</v>
      </c>
      <c r="I2563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PNP'!$DN$51</v>
      </c>
      <c r="J2563" s="4" t="s">
        <v>3166</v>
      </c>
    </row>
    <row r="2564" spans="1:10" x14ac:dyDescent="0.35">
      <c r="A2564" s="7" t="s">
        <v>15</v>
      </c>
      <c r="B2564" s="7">
        <f t="shared" si="578"/>
        <v>2039</v>
      </c>
      <c r="C2564" s="4" t="s">
        <v>52</v>
      </c>
      <c r="D2564" s="5" t="s">
        <v>2003</v>
      </c>
      <c r="E2564" s="10" t="str">
        <f t="shared" si="574"/>
        <v>PNP'!</v>
      </c>
      <c r="F2564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64" s="7" t="s">
        <v>109</v>
      </c>
      <c r="H2564" s="4">
        <f t="shared" si="576"/>
        <v>52</v>
      </c>
      <c r="I2564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PNP'!$DN$52</v>
      </c>
      <c r="J2564" s="4" t="s">
        <v>3167</v>
      </c>
    </row>
    <row r="2565" spans="1:10" x14ac:dyDescent="0.35">
      <c r="A2565" s="7" t="s">
        <v>15</v>
      </c>
      <c r="B2565" s="7">
        <f t="shared" si="578"/>
        <v>2040</v>
      </c>
      <c r="C2565" s="4" t="s">
        <v>52</v>
      </c>
      <c r="D2565" s="5" t="s">
        <v>2003</v>
      </c>
      <c r="E2565" s="10" t="str">
        <f t="shared" si="574"/>
        <v>PNP'!</v>
      </c>
      <c r="F2565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65" s="7" t="s">
        <v>109</v>
      </c>
      <c r="H2565" s="4">
        <f t="shared" si="576"/>
        <v>53</v>
      </c>
      <c r="I2565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PNP'!$DN$53</v>
      </c>
      <c r="J2565" s="4" t="s">
        <v>3168</v>
      </c>
    </row>
    <row r="2566" spans="1:10" x14ac:dyDescent="0.35">
      <c r="A2566" s="7" t="s">
        <v>15</v>
      </c>
      <c r="B2566" s="7">
        <f>+B2565+1</f>
        <v>2041</v>
      </c>
      <c r="C2566" s="4" t="s">
        <v>52</v>
      </c>
      <c r="D2566" s="5" t="s">
        <v>2003</v>
      </c>
      <c r="E2566" s="10" t="str">
        <f t="shared" si="574"/>
        <v>PNP'!</v>
      </c>
      <c r="F2566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66" s="7" t="s">
        <v>109</v>
      </c>
      <c r="H2566" s="4">
        <f t="shared" si="576"/>
        <v>54</v>
      </c>
      <c r="I2566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PNP'!$DN$54</v>
      </c>
      <c r="J2566" s="4" t="s">
        <v>3169</v>
      </c>
    </row>
    <row r="2567" spans="1:10" x14ac:dyDescent="0.35">
      <c r="A2567" s="7" t="s">
        <v>15</v>
      </c>
      <c r="B2567" s="7">
        <f t="shared" ref="B2567:B2568" si="579">+B2566+1</f>
        <v>2042</v>
      </c>
      <c r="C2567" s="4" t="s">
        <v>52</v>
      </c>
      <c r="D2567" s="5" t="s">
        <v>2003</v>
      </c>
      <c r="E2567" s="10" t="str">
        <f t="shared" si="574"/>
        <v>PNP'!</v>
      </c>
      <c r="F2567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67" s="7" t="s">
        <v>109</v>
      </c>
      <c r="H2567" s="4">
        <f t="shared" si="576"/>
        <v>55</v>
      </c>
      <c r="I2567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PNP'!$DN$55</v>
      </c>
      <c r="J2567" s="4" t="s">
        <v>3170</v>
      </c>
    </row>
    <row r="2568" spans="1:10" x14ac:dyDescent="0.35">
      <c r="A2568" s="7" t="s">
        <v>15</v>
      </c>
      <c r="B2568" s="7">
        <f t="shared" si="579"/>
        <v>2043</v>
      </c>
      <c r="C2568" s="4" t="s">
        <v>52</v>
      </c>
      <c r="D2568" s="5" t="s">
        <v>2003</v>
      </c>
      <c r="E2568" s="10" t="str">
        <f t="shared" si="574"/>
        <v>PNP'!</v>
      </c>
      <c r="F2568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68" s="7" t="s">
        <v>109</v>
      </c>
      <c r="H2568" s="4">
        <f t="shared" si="576"/>
        <v>56</v>
      </c>
      <c r="I2568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PNP'!$DN$56</v>
      </c>
      <c r="J2568" s="4" t="s">
        <v>3171</v>
      </c>
    </row>
    <row r="2569" spans="1:10" x14ac:dyDescent="0.35">
      <c r="A2569" s="7" t="s">
        <v>15</v>
      </c>
      <c r="B2569" s="7">
        <f>+B2568+1</f>
        <v>2044</v>
      </c>
      <c r="C2569" s="4" t="s">
        <v>52</v>
      </c>
      <c r="D2569" s="5" t="s">
        <v>2003</v>
      </c>
      <c r="E2569" s="10" t="str">
        <f t="shared" ref="E2569:E2584" si="580">_xlfn.CONCAT(A2569,"'!")</f>
        <v>PNP'!</v>
      </c>
      <c r="F2569" s="5" t="str">
        <f t="shared" ref="F2569:F2584" si="581">_xlfn.CONCAT(D2569," ",E2569)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69" s="7" t="s">
        <v>109</v>
      </c>
      <c r="H2569" s="4">
        <f t="shared" ref="H2569:H2584" si="582">IF(A2569&lt;&gt;A2568,36,H2568+1)</f>
        <v>57</v>
      </c>
      <c r="I2569" s="4" t="str">
        <f t="shared" ref="I2569:I2584" si="583">_xlfn.CONCAT("='",F2569:H2569)</f>
        <v>='C:\Users\jaime.benazar\Quorum Business Solutions\Ecopetrol Prometeo - Documents\Planning Space Implementation\3. Analysis &amp; Design\Design\FC22\DRR Jaime\Por presentar a ECP\Cantagallo\Cristalina\[VRC_CRISTALINA_CF_SEC_20221231.xlsx]CF PNP'!$DN$57</v>
      </c>
      <c r="J2569" s="4" t="s">
        <v>3172</v>
      </c>
    </row>
    <row r="2570" spans="1:10" x14ac:dyDescent="0.35">
      <c r="A2570" s="7" t="s">
        <v>15</v>
      </c>
      <c r="B2570" s="7">
        <f t="shared" ref="B2570:B2584" si="584">+B2569+1</f>
        <v>2045</v>
      </c>
      <c r="C2570" s="4" t="s">
        <v>52</v>
      </c>
      <c r="D2570" s="5" t="s">
        <v>2003</v>
      </c>
      <c r="E2570" s="10" t="str">
        <f t="shared" si="580"/>
        <v>PNP'!</v>
      </c>
      <c r="F2570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70" s="7" t="s">
        <v>109</v>
      </c>
      <c r="H2570" s="4">
        <f t="shared" si="582"/>
        <v>58</v>
      </c>
      <c r="I2570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PNP'!$DN$58</v>
      </c>
      <c r="J2570" s="4" t="s">
        <v>3173</v>
      </c>
    </row>
    <row r="2571" spans="1:10" x14ac:dyDescent="0.35">
      <c r="A2571" s="7" t="s">
        <v>15</v>
      </c>
      <c r="B2571" s="7">
        <f t="shared" si="584"/>
        <v>2046</v>
      </c>
      <c r="C2571" s="4" t="s">
        <v>52</v>
      </c>
      <c r="D2571" s="5" t="s">
        <v>2003</v>
      </c>
      <c r="E2571" s="10" t="str">
        <f t="shared" si="580"/>
        <v>PNP'!</v>
      </c>
      <c r="F2571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71" s="7" t="s">
        <v>109</v>
      </c>
      <c r="H2571" s="4">
        <f t="shared" si="582"/>
        <v>59</v>
      </c>
      <c r="I2571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PNP'!$DN$59</v>
      </c>
      <c r="J2571" s="4" t="s">
        <v>3174</v>
      </c>
    </row>
    <row r="2572" spans="1:10" x14ac:dyDescent="0.35">
      <c r="A2572" s="7" t="s">
        <v>15</v>
      </c>
      <c r="B2572" s="7">
        <f t="shared" si="584"/>
        <v>2047</v>
      </c>
      <c r="C2572" s="4" t="s">
        <v>52</v>
      </c>
      <c r="D2572" s="5" t="s">
        <v>2003</v>
      </c>
      <c r="E2572" s="10" t="str">
        <f t="shared" si="580"/>
        <v>PNP'!</v>
      </c>
      <c r="F2572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72" s="7" t="s">
        <v>109</v>
      </c>
      <c r="H2572" s="4">
        <f t="shared" si="582"/>
        <v>60</v>
      </c>
      <c r="I2572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PNP'!$DN$60</v>
      </c>
      <c r="J2572" s="4" t="s">
        <v>3175</v>
      </c>
    </row>
    <row r="2573" spans="1:10" x14ac:dyDescent="0.35">
      <c r="A2573" s="7" t="s">
        <v>15</v>
      </c>
      <c r="B2573" s="7">
        <f t="shared" si="584"/>
        <v>2048</v>
      </c>
      <c r="C2573" s="4" t="s">
        <v>52</v>
      </c>
      <c r="D2573" s="5" t="s">
        <v>2003</v>
      </c>
      <c r="E2573" s="10" t="str">
        <f t="shared" si="580"/>
        <v>PNP'!</v>
      </c>
      <c r="F2573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73" s="7" t="s">
        <v>109</v>
      </c>
      <c r="H2573" s="4">
        <f t="shared" si="582"/>
        <v>61</v>
      </c>
      <c r="I2573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PNP'!$DN$61</v>
      </c>
      <c r="J2573" s="4" t="s">
        <v>3176</v>
      </c>
    </row>
    <row r="2574" spans="1:10" x14ac:dyDescent="0.35">
      <c r="A2574" s="7" t="s">
        <v>15</v>
      </c>
      <c r="B2574" s="7">
        <f t="shared" si="584"/>
        <v>2049</v>
      </c>
      <c r="C2574" s="4" t="s">
        <v>52</v>
      </c>
      <c r="D2574" s="5" t="s">
        <v>2003</v>
      </c>
      <c r="E2574" s="10" t="str">
        <f t="shared" si="580"/>
        <v>PNP'!</v>
      </c>
      <c r="F2574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74" s="7" t="s">
        <v>109</v>
      </c>
      <c r="H2574" s="4">
        <f t="shared" si="582"/>
        <v>62</v>
      </c>
      <c r="I2574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PNP'!$DN$62</v>
      </c>
      <c r="J2574" s="4" t="s">
        <v>3177</v>
      </c>
    </row>
    <row r="2575" spans="1:10" x14ac:dyDescent="0.35">
      <c r="A2575" s="7" t="s">
        <v>15</v>
      </c>
      <c r="B2575" s="7">
        <f t="shared" si="584"/>
        <v>2050</v>
      </c>
      <c r="C2575" s="4" t="s">
        <v>52</v>
      </c>
      <c r="D2575" s="5" t="s">
        <v>2003</v>
      </c>
      <c r="E2575" s="10" t="str">
        <f t="shared" si="580"/>
        <v>PNP'!</v>
      </c>
      <c r="F2575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75" s="7" t="s">
        <v>109</v>
      </c>
      <c r="H2575" s="4">
        <f t="shared" si="582"/>
        <v>63</v>
      </c>
      <c r="I2575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PNP'!$DN$63</v>
      </c>
      <c r="J2575" s="4" t="s">
        <v>3178</v>
      </c>
    </row>
    <row r="2576" spans="1:10" x14ac:dyDescent="0.35">
      <c r="A2576" s="7" t="s">
        <v>15</v>
      </c>
      <c r="B2576" s="7">
        <f t="shared" si="584"/>
        <v>2051</v>
      </c>
      <c r="C2576" s="4" t="s">
        <v>52</v>
      </c>
      <c r="D2576" s="5" t="s">
        <v>2003</v>
      </c>
      <c r="E2576" s="10" t="str">
        <f t="shared" si="580"/>
        <v>PNP'!</v>
      </c>
      <c r="F2576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76" s="7" t="s">
        <v>109</v>
      </c>
      <c r="H2576" s="4">
        <f t="shared" si="582"/>
        <v>64</v>
      </c>
      <c r="I2576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PNP'!$DN$64</v>
      </c>
      <c r="J2576" s="4" t="s">
        <v>3179</v>
      </c>
    </row>
    <row r="2577" spans="1:10" x14ac:dyDescent="0.35">
      <c r="A2577" s="7" t="s">
        <v>15</v>
      </c>
      <c r="B2577" s="7">
        <f t="shared" si="584"/>
        <v>2052</v>
      </c>
      <c r="C2577" s="4" t="s">
        <v>52</v>
      </c>
      <c r="D2577" s="5" t="s">
        <v>2003</v>
      </c>
      <c r="E2577" s="10" t="str">
        <f t="shared" si="580"/>
        <v>PNP'!</v>
      </c>
      <c r="F2577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77" s="7" t="s">
        <v>109</v>
      </c>
      <c r="H2577" s="4">
        <f t="shared" si="582"/>
        <v>65</v>
      </c>
      <c r="I2577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PNP'!$DN$65</v>
      </c>
      <c r="J2577" s="4" t="s">
        <v>3180</v>
      </c>
    </row>
    <row r="2578" spans="1:10" x14ac:dyDescent="0.35">
      <c r="A2578" s="7" t="s">
        <v>15</v>
      </c>
      <c r="B2578" s="7">
        <f t="shared" si="584"/>
        <v>2053</v>
      </c>
      <c r="C2578" s="4" t="s">
        <v>52</v>
      </c>
      <c r="D2578" s="5" t="s">
        <v>2003</v>
      </c>
      <c r="E2578" s="10" t="str">
        <f t="shared" si="580"/>
        <v>PNP'!</v>
      </c>
      <c r="F2578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78" s="7" t="s">
        <v>109</v>
      </c>
      <c r="H2578" s="4">
        <f t="shared" si="582"/>
        <v>66</v>
      </c>
      <c r="I2578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PNP'!$DN$66</v>
      </c>
      <c r="J2578" s="4" t="s">
        <v>3181</v>
      </c>
    </row>
    <row r="2579" spans="1:10" x14ac:dyDescent="0.35">
      <c r="A2579" s="7" t="s">
        <v>15</v>
      </c>
      <c r="B2579" s="7">
        <f t="shared" si="584"/>
        <v>2054</v>
      </c>
      <c r="C2579" s="4" t="s">
        <v>52</v>
      </c>
      <c r="D2579" s="5" t="s">
        <v>2003</v>
      </c>
      <c r="E2579" s="10" t="str">
        <f t="shared" si="580"/>
        <v>PNP'!</v>
      </c>
      <c r="F2579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79" s="7" t="s">
        <v>109</v>
      </c>
      <c r="H2579" s="4">
        <f t="shared" si="582"/>
        <v>67</v>
      </c>
      <c r="I2579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PNP'!$DN$67</v>
      </c>
      <c r="J2579" s="4" t="s">
        <v>3182</v>
      </c>
    </row>
    <row r="2580" spans="1:10" x14ac:dyDescent="0.35">
      <c r="A2580" s="7" t="s">
        <v>15</v>
      </c>
      <c r="B2580" s="7">
        <f t="shared" si="584"/>
        <v>2055</v>
      </c>
      <c r="C2580" s="4" t="s">
        <v>52</v>
      </c>
      <c r="D2580" s="5" t="s">
        <v>2003</v>
      </c>
      <c r="E2580" s="10" t="str">
        <f t="shared" si="580"/>
        <v>PNP'!</v>
      </c>
      <c r="F2580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80" s="7" t="s">
        <v>109</v>
      </c>
      <c r="H2580" s="4">
        <f t="shared" si="582"/>
        <v>68</v>
      </c>
      <c r="I2580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PNP'!$DN$68</v>
      </c>
      <c r="J2580" s="4" t="s">
        <v>3183</v>
      </c>
    </row>
    <row r="2581" spans="1:10" x14ac:dyDescent="0.35">
      <c r="A2581" s="7" t="s">
        <v>15</v>
      </c>
      <c r="B2581" s="7">
        <f t="shared" si="584"/>
        <v>2056</v>
      </c>
      <c r="C2581" s="4" t="s">
        <v>52</v>
      </c>
      <c r="D2581" s="5" t="s">
        <v>2003</v>
      </c>
      <c r="E2581" s="10" t="str">
        <f t="shared" si="580"/>
        <v>PNP'!</v>
      </c>
      <c r="F2581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81" s="7" t="s">
        <v>109</v>
      </c>
      <c r="H2581" s="4">
        <f t="shared" si="582"/>
        <v>69</v>
      </c>
      <c r="I2581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PNP'!$DN$69</v>
      </c>
      <c r="J2581" s="4" t="s">
        <v>3184</v>
      </c>
    </row>
    <row r="2582" spans="1:10" x14ac:dyDescent="0.35">
      <c r="A2582" s="7" t="s">
        <v>15</v>
      </c>
      <c r="B2582" s="7">
        <f t="shared" si="584"/>
        <v>2057</v>
      </c>
      <c r="C2582" s="4" t="s">
        <v>52</v>
      </c>
      <c r="D2582" s="5" t="s">
        <v>2003</v>
      </c>
      <c r="E2582" s="10" t="str">
        <f t="shared" si="580"/>
        <v>PNP'!</v>
      </c>
      <c r="F2582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82" s="7" t="s">
        <v>109</v>
      </c>
      <c r="H2582" s="4">
        <f t="shared" si="582"/>
        <v>70</v>
      </c>
      <c r="I2582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PNP'!$DN$70</v>
      </c>
      <c r="J2582" s="4" t="s">
        <v>3185</v>
      </c>
    </row>
    <row r="2583" spans="1:10" x14ac:dyDescent="0.35">
      <c r="A2583" s="7" t="s">
        <v>15</v>
      </c>
      <c r="B2583" s="7">
        <f t="shared" si="584"/>
        <v>2058</v>
      </c>
      <c r="C2583" s="4" t="s">
        <v>52</v>
      </c>
      <c r="D2583" s="5" t="s">
        <v>2003</v>
      </c>
      <c r="E2583" s="10" t="str">
        <f t="shared" si="580"/>
        <v>PNP'!</v>
      </c>
      <c r="F2583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83" s="7" t="s">
        <v>109</v>
      </c>
      <c r="H2583" s="4">
        <f t="shared" si="582"/>
        <v>71</v>
      </c>
      <c r="I2583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PNP'!$DN$71</v>
      </c>
      <c r="J2583" s="4" t="s">
        <v>3186</v>
      </c>
    </row>
    <row r="2584" spans="1:10" x14ac:dyDescent="0.35">
      <c r="A2584" s="7" t="s">
        <v>15</v>
      </c>
      <c r="B2584" s="7">
        <f t="shared" si="584"/>
        <v>2059</v>
      </c>
      <c r="C2584" s="4" t="s">
        <v>52</v>
      </c>
      <c r="D2584" s="5" t="s">
        <v>2003</v>
      </c>
      <c r="E2584" s="10" t="str">
        <f t="shared" si="580"/>
        <v>PNP'!</v>
      </c>
      <c r="F2584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84" s="7" t="s">
        <v>109</v>
      </c>
      <c r="H2584" s="4">
        <f t="shared" si="582"/>
        <v>72</v>
      </c>
      <c r="I2584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PNP'!$DN$72</v>
      </c>
      <c r="J2584" s="4" t="s">
        <v>3187</v>
      </c>
    </row>
    <row r="2585" spans="1:10" x14ac:dyDescent="0.35">
      <c r="A2585" s="7" t="s">
        <v>26</v>
      </c>
      <c r="B2585" s="7"/>
      <c r="C2585" s="4" t="s">
        <v>52</v>
      </c>
      <c r="D2585" s="5"/>
      <c r="E2585" s="10"/>
      <c r="F2585" s="5"/>
      <c r="G2585" s="7"/>
      <c r="H2585" s="4"/>
      <c r="I2585" s="4"/>
      <c r="J2585" s="4"/>
    </row>
    <row r="2586" spans="1:10" x14ac:dyDescent="0.35">
      <c r="A2586" s="7" t="s">
        <v>16</v>
      </c>
      <c r="B2586" s="7">
        <v>2023</v>
      </c>
      <c r="C2586" s="4" t="s">
        <v>52</v>
      </c>
      <c r="D2586" s="5" t="s">
        <v>2003</v>
      </c>
      <c r="E2586" s="10" t="str">
        <f t="shared" ref="E2586:E2604" si="585">_xlfn.CONCAT(A2586,"'!")</f>
        <v>PND'!</v>
      </c>
      <c r="F2586" s="5" t="str">
        <f t="shared" ref="F2586:F2644" si="586">_xlfn.CONCAT(D2586," ",E2586)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86" s="7" t="s">
        <v>109</v>
      </c>
      <c r="H2586" s="4">
        <f>IF(A2586&lt;&gt;A2456,36,H2456+1)</f>
        <v>36</v>
      </c>
      <c r="I2586" s="4" t="str">
        <f t="shared" ref="I2586:I2604" si="587">_xlfn.CONCAT("='",F2586:H2586)</f>
        <v>='C:\Users\jaime.benazar\Quorum Business Solutions\Ecopetrol Prometeo - Documents\Planning Space Implementation\3. Analysis &amp; Design\Design\FC22\DRR Jaime\Por presentar a ECP\Cantagallo\Cristalina\[VRC_CRISTALINA_CF_SEC_20221231.xlsx]CF PND'!$DN$36</v>
      </c>
      <c r="J2586" s="4" t="s">
        <v>3188</v>
      </c>
    </row>
    <row r="2587" spans="1:10" x14ac:dyDescent="0.35">
      <c r="A2587" s="7" t="s">
        <v>16</v>
      </c>
      <c r="B2587" s="7">
        <f>+B2586+1</f>
        <v>2024</v>
      </c>
      <c r="C2587" s="4" t="s">
        <v>52</v>
      </c>
      <c r="D2587" s="5" t="s">
        <v>2003</v>
      </c>
      <c r="E2587" s="10" t="str">
        <f t="shared" si="585"/>
        <v>PND'!</v>
      </c>
      <c r="F2587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87" s="7" t="s">
        <v>109</v>
      </c>
      <c r="H2587" s="4">
        <f t="shared" ref="H2587:H2605" si="588">IF(A2587&lt;&gt;A2586,36,H2586+1)</f>
        <v>37</v>
      </c>
      <c r="I2587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PND'!$DN$37</v>
      </c>
      <c r="J2587" s="4" t="s">
        <v>3189</v>
      </c>
    </row>
    <row r="2588" spans="1:10" x14ac:dyDescent="0.35">
      <c r="A2588" s="7" t="s">
        <v>16</v>
      </c>
      <c r="B2588" s="7">
        <f t="shared" ref="B2588:B2599" si="589">+B2587+1</f>
        <v>2025</v>
      </c>
      <c r="C2588" s="4" t="s">
        <v>52</v>
      </c>
      <c r="D2588" s="5" t="s">
        <v>2003</v>
      </c>
      <c r="E2588" s="10" t="str">
        <f t="shared" si="585"/>
        <v>PND'!</v>
      </c>
      <c r="F2588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88" s="7" t="s">
        <v>109</v>
      </c>
      <c r="H2588" s="4">
        <f t="shared" si="588"/>
        <v>38</v>
      </c>
      <c r="I2588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PND'!$DN$38</v>
      </c>
      <c r="J2588" s="4" t="s">
        <v>3190</v>
      </c>
    </row>
    <row r="2589" spans="1:10" x14ac:dyDescent="0.35">
      <c r="A2589" s="7" t="s">
        <v>16</v>
      </c>
      <c r="B2589" s="7">
        <f t="shared" si="589"/>
        <v>2026</v>
      </c>
      <c r="C2589" s="4" t="s">
        <v>52</v>
      </c>
      <c r="D2589" s="5" t="s">
        <v>2003</v>
      </c>
      <c r="E2589" s="10" t="str">
        <f t="shared" si="585"/>
        <v>PND'!</v>
      </c>
      <c r="F2589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89" s="7" t="s">
        <v>109</v>
      </c>
      <c r="H2589" s="4">
        <f t="shared" si="588"/>
        <v>39</v>
      </c>
      <c r="I2589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PND'!$DN$39</v>
      </c>
      <c r="J2589" s="4" t="s">
        <v>3191</v>
      </c>
    </row>
    <row r="2590" spans="1:10" x14ac:dyDescent="0.35">
      <c r="A2590" s="7" t="s">
        <v>16</v>
      </c>
      <c r="B2590" s="7">
        <f t="shared" si="589"/>
        <v>2027</v>
      </c>
      <c r="C2590" s="4" t="s">
        <v>52</v>
      </c>
      <c r="D2590" s="5" t="s">
        <v>2003</v>
      </c>
      <c r="E2590" s="10" t="str">
        <f t="shared" si="585"/>
        <v>PND'!</v>
      </c>
      <c r="F2590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90" s="7" t="s">
        <v>109</v>
      </c>
      <c r="H2590" s="4">
        <f t="shared" si="588"/>
        <v>40</v>
      </c>
      <c r="I2590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PND'!$DN$40</v>
      </c>
      <c r="J2590" s="4" t="s">
        <v>3192</v>
      </c>
    </row>
    <row r="2591" spans="1:10" x14ac:dyDescent="0.35">
      <c r="A2591" s="7" t="s">
        <v>16</v>
      </c>
      <c r="B2591" s="7">
        <f t="shared" si="589"/>
        <v>2028</v>
      </c>
      <c r="C2591" s="4" t="s">
        <v>52</v>
      </c>
      <c r="D2591" s="5" t="s">
        <v>2003</v>
      </c>
      <c r="E2591" s="10" t="str">
        <f t="shared" si="585"/>
        <v>PND'!</v>
      </c>
      <c r="F2591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91" s="7" t="s">
        <v>109</v>
      </c>
      <c r="H2591" s="4">
        <f t="shared" si="588"/>
        <v>41</v>
      </c>
      <c r="I2591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PND'!$DN$41</v>
      </c>
      <c r="J2591" s="4" t="s">
        <v>3193</v>
      </c>
    </row>
    <row r="2592" spans="1:10" x14ac:dyDescent="0.35">
      <c r="A2592" s="7" t="s">
        <v>16</v>
      </c>
      <c r="B2592" s="7">
        <f t="shared" si="589"/>
        <v>2029</v>
      </c>
      <c r="C2592" s="4" t="s">
        <v>52</v>
      </c>
      <c r="D2592" s="5" t="s">
        <v>2003</v>
      </c>
      <c r="E2592" s="10" t="str">
        <f t="shared" si="585"/>
        <v>PND'!</v>
      </c>
      <c r="F2592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92" s="7" t="s">
        <v>109</v>
      </c>
      <c r="H2592" s="4">
        <f t="shared" si="588"/>
        <v>42</v>
      </c>
      <c r="I2592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PND'!$DN$42</v>
      </c>
      <c r="J2592" s="4" t="s">
        <v>3194</v>
      </c>
    </row>
    <row r="2593" spans="1:10" x14ac:dyDescent="0.35">
      <c r="A2593" s="7" t="s">
        <v>16</v>
      </c>
      <c r="B2593" s="7">
        <f t="shared" si="589"/>
        <v>2030</v>
      </c>
      <c r="C2593" s="4" t="s">
        <v>52</v>
      </c>
      <c r="D2593" s="5" t="s">
        <v>2003</v>
      </c>
      <c r="E2593" s="10" t="str">
        <f t="shared" si="585"/>
        <v>PND'!</v>
      </c>
      <c r="F2593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93" s="7" t="s">
        <v>109</v>
      </c>
      <c r="H2593" s="4">
        <f t="shared" si="588"/>
        <v>43</v>
      </c>
      <c r="I2593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PND'!$DN$43</v>
      </c>
      <c r="J2593" s="4" t="s">
        <v>3195</v>
      </c>
    </row>
    <row r="2594" spans="1:10" x14ac:dyDescent="0.35">
      <c r="A2594" s="7" t="s">
        <v>16</v>
      </c>
      <c r="B2594" s="7">
        <f t="shared" si="589"/>
        <v>2031</v>
      </c>
      <c r="C2594" s="4" t="s">
        <v>52</v>
      </c>
      <c r="D2594" s="5" t="s">
        <v>2003</v>
      </c>
      <c r="E2594" s="10" t="str">
        <f t="shared" si="585"/>
        <v>PND'!</v>
      </c>
      <c r="F2594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94" s="7" t="s">
        <v>109</v>
      </c>
      <c r="H2594" s="4">
        <f t="shared" si="588"/>
        <v>44</v>
      </c>
      <c r="I2594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PND'!$DN$44</v>
      </c>
      <c r="J2594" s="4" t="s">
        <v>3196</v>
      </c>
    </row>
    <row r="2595" spans="1:10" x14ac:dyDescent="0.35">
      <c r="A2595" s="7" t="s">
        <v>16</v>
      </c>
      <c r="B2595" s="7">
        <f t="shared" si="589"/>
        <v>2032</v>
      </c>
      <c r="C2595" s="4" t="s">
        <v>52</v>
      </c>
      <c r="D2595" s="5" t="s">
        <v>2003</v>
      </c>
      <c r="E2595" s="10" t="str">
        <f t="shared" si="585"/>
        <v>PND'!</v>
      </c>
      <c r="F2595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95" s="7" t="s">
        <v>109</v>
      </c>
      <c r="H2595" s="4">
        <f t="shared" si="588"/>
        <v>45</v>
      </c>
      <c r="I2595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PND'!$DN$45</v>
      </c>
      <c r="J2595" s="4" t="s">
        <v>3197</v>
      </c>
    </row>
    <row r="2596" spans="1:10" x14ac:dyDescent="0.35">
      <c r="A2596" s="7" t="s">
        <v>16</v>
      </c>
      <c r="B2596" s="7">
        <f t="shared" si="589"/>
        <v>2033</v>
      </c>
      <c r="C2596" s="4" t="s">
        <v>52</v>
      </c>
      <c r="D2596" s="5" t="s">
        <v>2003</v>
      </c>
      <c r="E2596" s="10" t="str">
        <f t="shared" si="585"/>
        <v>PND'!</v>
      </c>
      <c r="F2596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96" s="7" t="s">
        <v>109</v>
      </c>
      <c r="H2596" s="4">
        <f t="shared" si="588"/>
        <v>46</v>
      </c>
      <c r="I2596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PND'!$DN$46</v>
      </c>
      <c r="J2596" s="4" t="s">
        <v>3198</v>
      </c>
    </row>
    <row r="2597" spans="1:10" x14ac:dyDescent="0.35">
      <c r="A2597" s="7" t="s">
        <v>16</v>
      </c>
      <c r="B2597" s="7">
        <f t="shared" si="589"/>
        <v>2034</v>
      </c>
      <c r="C2597" s="4" t="s">
        <v>52</v>
      </c>
      <c r="D2597" s="5" t="s">
        <v>2003</v>
      </c>
      <c r="E2597" s="10" t="str">
        <f t="shared" si="585"/>
        <v>PND'!</v>
      </c>
      <c r="F2597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97" s="7" t="s">
        <v>109</v>
      </c>
      <c r="H2597" s="4">
        <f t="shared" si="588"/>
        <v>47</v>
      </c>
      <c r="I2597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PND'!$DN$47</v>
      </c>
      <c r="J2597" s="4" t="s">
        <v>3199</v>
      </c>
    </row>
    <row r="2598" spans="1:10" x14ac:dyDescent="0.35">
      <c r="A2598" s="7" t="s">
        <v>16</v>
      </c>
      <c r="B2598" s="7">
        <f t="shared" si="589"/>
        <v>2035</v>
      </c>
      <c r="C2598" s="4" t="s">
        <v>52</v>
      </c>
      <c r="D2598" s="5" t="s">
        <v>2003</v>
      </c>
      <c r="E2598" s="10" t="str">
        <f t="shared" si="585"/>
        <v>PND'!</v>
      </c>
      <c r="F2598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98" s="7" t="s">
        <v>109</v>
      </c>
      <c r="H2598" s="4">
        <f t="shared" si="588"/>
        <v>48</v>
      </c>
      <c r="I2598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PND'!$DN$48</v>
      </c>
      <c r="J2598" s="4" t="s">
        <v>3200</v>
      </c>
    </row>
    <row r="2599" spans="1:10" x14ac:dyDescent="0.35">
      <c r="A2599" s="7" t="s">
        <v>16</v>
      </c>
      <c r="B2599" s="7">
        <f t="shared" si="589"/>
        <v>2036</v>
      </c>
      <c r="C2599" s="4" t="s">
        <v>52</v>
      </c>
      <c r="D2599" s="5" t="s">
        <v>2003</v>
      </c>
      <c r="E2599" s="10" t="str">
        <f t="shared" si="585"/>
        <v>PND'!</v>
      </c>
      <c r="F2599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99" s="7" t="s">
        <v>109</v>
      </c>
      <c r="H2599" s="4">
        <f t="shared" si="588"/>
        <v>49</v>
      </c>
      <c r="I2599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PND'!$DN$49</v>
      </c>
      <c r="J2599" s="4" t="s">
        <v>3201</v>
      </c>
    </row>
    <row r="2600" spans="1:10" x14ac:dyDescent="0.35">
      <c r="A2600" s="7" t="s">
        <v>16</v>
      </c>
      <c r="B2600" s="7">
        <f>+B2599+1</f>
        <v>2037</v>
      </c>
      <c r="C2600" s="4" t="s">
        <v>52</v>
      </c>
      <c r="D2600" s="5" t="s">
        <v>2003</v>
      </c>
      <c r="E2600" s="10" t="str">
        <f t="shared" si="585"/>
        <v>PND'!</v>
      </c>
      <c r="F2600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00" s="7" t="s">
        <v>109</v>
      </c>
      <c r="H2600" s="4">
        <f t="shared" si="588"/>
        <v>50</v>
      </c>
      <c r="I2600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PND'!$DN$50</v>
      </c>
      <c r="J2600" s="4" t="s">
        <v>3202</v>
      </c>
    </row>
    <row r="2601" spans="1:10" x14ac:dyDescent="0.35">
      <c r="A2601" s="7" t="s">
        <v>16</v>
      </c>
      <c r="B2601" s="7">
        <f t="shared" ref="B2601:B2603" si="590">+B2600+1</f>
        <v>2038</v>
      </c>
      <c r="C2601" s="4" t="s">
        <v>52</v>
      </c>
      <c r="D2601" s="5" t="s">
        <v>2003</v>
      </c>
      <c r="E2601" s="10" t="str">
        <f t="shared" si="585"/>
        <v>PND'!</v>
      </c>
      <c r="F2601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01" s="7" t="s">
        <v>109</v>
      </c>
      <c r="H2601" s="4">
        <f t="shared" si="588"/>
        <v>51</v>
      </c>
      <c r="I2601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PND'!$DN$51</v>
      </c>
      <c r="J2601" s="4" t="s">
        <v>3203</v>
      </c>
    </row>
    <row r="2602" spans="1:10" x14ac:dyDescent="0.35">
      <c r="A2602" s="7" t="s">
        <v>16</v>
      </c>
      <c r="B2602" s="7">
        <f t="shared" si="590"/>
        <v>2039</v>
      </c>
      <c r="C2602" s="4" t="s">
        <v>52</v>
      </c>
      <c r="D2602" s="5" t="s">
        <v>2003</v>
      </c>
      <c r="E2602" s="10" t="str">
        <f t="shared" si="585"/>
        <v>PND'!</v>
      </c>
      <c r="F2602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02" s="7" t="s">
        <v>109</v>
      </c>
      <c r="H2602" s="4">
        <f t="shared" si="588"/>
        <v>52</v>
      </c>
      <c r="I2602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PND'!$DN$52</v>
      </c>
      <c r="J2602" s="4" t="s">
        <v>3204</v>
      </c>
    </row>
    <row r="2603" spans="1:10" x14ac:dyDescent="0.35">
      <c r="A2603" s="7" t="s">
        <v>16</v>
      </c>
      <c r="B2603" s="7">
        <f t="shared" si="590"/>
        <v>2040</v>
      </c>
      <c r="C2603" s="4" t="s">
        <v>52</v>
      </c>
      <c r="D2603" s="5" t="s">
        <v>2003</v>
      </c>
      <c r="E2603" s="10" t="str">
        <f t="shared" si="585"/>
        <v>PND'!</v>
      </c>
      <c r="F2603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03" s="7" t="s">
        <v>109</v>
      </c>
      <c r="H2603" s="4">
        <f t="shared" si="588"/>
        <v>53</v>
      </c>
      <c r="I2603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PND'!$DN$53</v>
      </c>
      <c r="J2603" s="4" t="s">
        <v>3205</v>
      </c>
    </row>
    <row r="2604" spans="1:10" x14ac:dyDescent="0.35">
      <c r="A2604" s="7" t="s">
        <v>16</v>
      </c>
      <c r="B2604" s="7">
        <f>+B2603+1</f>
        <v>2041</v>
      </c>
      <c r="C2604" s="4" t="s">
        <v>52</v>
      </c>
      <c r="D2604" s="5" t="s">
        <v>2003</v>
      </c>
      <c r="E2604" s="10" t="str">
        <f t="shared" si="585"/>
        <v>PND'!</v>
      </c>
      <c r="F2604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04" s="7" t="s">
        <v>109</v>
      </c>
      <c r="H2604" s="4">
        <f t="shared" si="588"/>
        <v>54</v>
      </c>
      <c r="I2604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PND'!$DN$54</v>
      </c>
      <c r="J2604" s="4" t="s">
        <v>3206</v>
      </c>
    </row>
    <row r="2605" spans="1:10" x14ac:dyDescent="0.35">
      <c r="A2605" s="7" t="s">
        <v>16</v>
      </c>
      <c r="B2605" s="7">
        <f t="shared" ref="B2605:B2606" si="591">+B2604+1</f>
        <v>2042</v>
      </c>
      <c r="C2605" s="4" t="s">
        <v>52</v>
      </c>
      <c r="D2605" s="5" t="s">
        <v>2003</v>
      </c>
      <c r="E2605" s="10" t="str">
        <f t="shared" ref="E2605:E2910" si="592">_xlfn.CONCAT(A2605,"'!")</f>
        <v>PND'!</v>
      </c>
      <c r="F2605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05" s="7" t="s">
        <v>109</v>
      </c>
      <c r="H2605" s="4">
        <f t="shared" si="588"/>
        <v>55</v>
      </c>
      <c r="I2605" s="4" t="str">
        <f t="shared" ref="I2605:I2910" si="593">_xlfn.CONCAT("='",F2605:H2605)</f>
        <v>='C:\Users\jaime.benazar\Quorum Business Solutions\Ecopetrol Prometeo - Documents\Planning Space Implementation\3. Analysis &amp; Design\Design\FC22\DRR Jaime\Por presentar a ECP\Cantagallo\Cristalina\[VRC_CRISTALINA_CF_SEC_20221231.xlsx]CF PND'!$DN$55</v>
      </c>
      <c r="J2605" s="4" t="s">
        <v>3207</v>
      </c>
    </row>
    <row r="2606" spans="1:10" x14ac:dyDescent="0.35">
      <c r="A2606" s="7" t="s">
        <v>16</v>
      </c>
      <c r="B2606" s="7">
        <f t="shared" si="591"/>
        <v>2043</v>
      </c>
      <c r="C2606" s="4" t="s">
        <v>52</v>
      </c>
      <c r="D2606" s="5" t="s">
        <v>2003</v>
      </c>
      <c r="E2606" s="10" t="str">
        <f t="shared" si="592"/>
        <v>PND'!</v>
      </c>
      <c r="F2606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06" s="7" t="s">
        <v>109</v>
      </c>
      <c r="H2606" s="4">
        <f t="shared" ref="H2606:H2910" si="594">IF(A2606&lt;&gt;A2605,36,H2605+1)</f>
        <v>56</v>
      </c>
      <c r="I2606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PND'!$DN$56</v>
      </c>
      <c r="J2606" s="4" t="s">
        <v>3208</v>
      </c>
    </row>
    <row r="2607" spans="1:10" x14ac:dyDescent="0.35">
      <c r="A2607" s="7" t="s">
        <v>16</v>
      </c>
      <c r="B2607" s="7">
        <f>+B2606+1</f>
        <v>2044</v>
      </c>
      <c r="C2607" s="4" t="s">
        <v>52</v>
      </c>
      <c r="D2607" s="5" t="s">
        <v>2003</v>
      </c>
      <c r="E2607" s="10" t="str">
        <f t="shared" ref="E2607:E2622" si="595">_xlfn.CONCAT(A2607,"'!")</f>
        <v>PND'!</v>
      </c>
      <c r="F2607" s="5" t="str">
        <f t="shared" ref="F2607:F2622" si="596">_xlfn.CONCAT(D2607," ",E2607)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07" s="7" t="s">
        <v>109</v>
      </c>
      <c r="H2607" s="4">
        <f t="shared" ref="H2607:H2622" si="597">IF(A2607&lt;&gt;A2606,36,H2606+1)</f>
        <v>57</v>
      </c>
      <c r="I2607" s="4" t="str">
        <f t="shared" ref="I2607:I2622" si="598">_xlfn.CONCAT("='",F2607:H2607)</f>
        <v>='C:\Users\jaime.benazar\Quorum Business Solutions\Ecopetrol Prometeo - Documents\Planning Space Implementation\3. Analysis &amp; Design\Design\FC22\DRR Jaime\Por presentar a ECP\Cantagallo\Cristalina\[VRC_CRISTALINA_CF_SEC_20221231.xlsx]CF PND'!$DN$57</v>
      </c>
      <c r="J2607" s="4" t="s">
        <v>3209</v>
      </c>
    </row>
    <row r="2608" spans="1:10" x14ac:dyDescent="0.35">
      <c r="A2608" s="7" t="s">
        <v>16</v>
      </c>
      <c r="B2608" s="7">
        <f t="shared" ref="B2608:B2622" si="599">+B2607+1</f>
        <v>2045</v>
      </c>
      <c r="C2608" s="4" t="s">
        <v>52</v>
      </c>
      <c r="D2608" s="5" t="s">
        <v>2003</v>
      </c>
      <c r="E2608" s="10" t="str">
        <f t="shared" si="595"/>
        <v>PND'!</v>
      </c>
      <c r="F2608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08" s="7" t="s">
        <v>109</v>
      </c>
      <c r="H2608" s="4">
        <f t="shared" si="597"/>
        <v>58</v>
      </c>
      <c r="I2608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PND'!$DN$58</v>
      </c>
      <c r="J2608" s="4" t="s">
        <v>3210</v>
      </c>
    </row>
    <row r="2609" spans="1:10" x14ac:dyDescent="0.35">
      <c r="A2609" s="7" t="s">
        <v>16</v>
      </c>
      <c r="B2609" s="7">
        <f t="shared" si="599"/>
        <v>2046</v>
      </c>
      <c r="C2609" s="4" t="s">
        <v>52</v>
      </c>
      <c r="D2609" s="5" t="s">
        <v>2003</v>
      </c>
      <c r="E2609" s="10" t="str">
        <f t="shared" si="595"/>
        <v>PND'!</v>
      </c>
      <c r="F2609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09" s="7" t="s">
        <v>109</v>
      </c>
      <c r="H2609" s="4">
        <f t="shared" si="597"/>
        <v>59</v>
      </c>
      <c r="I2609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PND'!$DN$59</v>
      </c>
      <c r="J2609" s="4" t="s">
        <v>3211</v>
      </c>
    </row>
    <row r="2610" spans="1:10" x14ac:dyDescent="0.35">
      <c r="A2610" s="7" t="s">
        <v>16</v>
      </c>
      <c r="B2610" s="7">
        <f t="shared" si="599"/>
        <v>2047</v>
      </c>
      <c r="C2610" s="4" t="s">
        <v>52</v>
      </c>
      <c r="D2610" s="5" t="s">
        <v>2003</v>
      </c>
      <c r="E2610" s="10" t="str">
        <f t="shared" si="595"/>
        <v>PND'!</v>
      </c>
      <c r="F2610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10" s="7" t="s">
        <v>109</v>
      </c>
      <c r="H2610" s="4">
        <f t="shared" si="597"/>
        <v>60</v>
      </c>
      <c r="I2610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PND'!$DN$60</v>
      </c>
      <c r="J2610" s="4" t="s">
        <v>3212</v>
      </c>
    </row>
    <row r="2611" spans="1:10" x14ac:dyDescent="0.35">
      <c r="A2611" s="7" t="s">
        <v>16</v>
      </c>
      <c r="B2611" s="7">
        <f t="shared" si="599"/>
        <v>2048</v>
      </c>
      <c r="C2611" s="4" t="s">
        <v>52</v>
      </c>
      <c r="D2611" s="5" t="s">
        <v>2003</v>
      </c>
      <c r="E2611" s="10" t="str">
        <f t="shared" si="595"/>
        <v>PND'!</v>
      </c>
      <c r="F2611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11" s="7" t="s">
        <v>109</v>
      </c>
      <c r="H2611" s="4">
        <f t="shared" si="597"/>
        <v>61</v>
      </c>
      <c r="I2611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PND'!$DN$61</v>
      </c>
      <c r="J2611" s="4" t="s">
        <v>3213</v>
      </c>
    </row>
    <row r="2612" spans="1:10" x14ac:dyDescent="0.35">
      <c r="A2612" s="7" t="s">
        <v>16</v>
      </c>
      <c r="B2612" s="7">
        <f t="shared" si="599"/>
        <v>2049</v>
      </c>
      <c r="C2612" s="4" t="s">
        <v>52</v>
      </c>
      <c r="D2612" s="5" t="s">
        <v>2003</v>
      </c>
      <c r="E2612" s="10" t="str">
        <f t="shared" si="595"/>
        <v>PND'!</v>
      </c>
      <c r="F2612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12" s="7" t="s">
        <v>109</v>
      </c>
      <c r="H2612" s="4">
        <f t="shared" si="597"/>
        <v>62</v>
      </c>
      <c r="I2612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PND'!$DN$62</v>
      </c>
      <c r="J2612" s="4" t="s">
        <v>3214</v>
      </c>
    </row>
    <row r="2613" spans="1:10" x14ac:dyDescent="0.35">
      <c r="A2613" s="7" t="s">
        <v>16</v>
      </c>
      <c r="B2613" s="7">
        <f t="shared" si="599"/>
        <v>2050</v>
      </c>
      <c r="C2613" s="4" t="s">
        <v>52</v>
      </c>
      <c r="D2613" s="5" t="s">
        <v>2003</v>
      </c>
      <c r="E2613" s="10" t="str">
        <f t="shared" si="595"/>
        <v>PND'!</v>
      </c>
      <c r="F2613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13" s="7" t="s">
        <v>109</v>
      </c>
      <c r="H2613" s="4">
        <f t="shared" si="597"/>
        <v>63</v>
      </c>
      <c r="I2613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PND'!$DN$63</v>
      </c>
      <c r="J2613" s="4" t="s">
        <v>3215</v>
      </c>
    </row>
    <row r="2614" spans="1:10" x14ac:dyDescent="0.35">
      <c r="A2614" s="7" t="s">
        <v>16</v>
      </c>
      <c r="B2614" s="7">
        <f t="shared" si="599"/>
        <v>2051</v>
      </c>
      <c r="C2614" s="4" t="s">
        <v>52</v>
      </c>
      <c r="D2614" s="5" t="s">
        <v>2003</v>
      </c>
      <c r="E2614" s="10" t="str">
        <f t="shared" si="595"/>
        <v>PND'!</v>
      </c>
      <c r="F2614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14" s="7" t="s">
        <v>109</v>
      </c>
      <c r="H2614" s="4">
        <f t="shared" si="597"/>
        <v>64</v>
      </c>
      <c r="I2614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PND'!$DN$64</v>
      </c>
      <c r="J2614" s="4" t="s">
        <v>3216</v>
      </c>
    </row>
    <row r="2615" spans="1:10" x14ac:dyDescent="0.35">
      <c r="A2615" s="7" t="s">
        <v>16</v>
      </c>
      <c r="B2615" s="7">
        <f t="shared" si="599"/>
        <v>2052</v>
      </c>
      <c r="C2615" s="4" t="s">
        <v>52</v>
      </c>
      <c r="D2615" s="5" t="s">
        <v>2003</v>
      </c>
      <c r="E2615" s="10" t="str">
        <f t="shared" si="595"/>
        <v>PND'!</v>
      </c>
      <c r="F2615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15" s="7" t="s">
        <v>109</v>
      </c>
      <c r="H2615" s="4">
        <f t="shared" si="597"/>
        <v>65</v>
      </c>
      <c r="I2615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PND'!$DN$65</v>
      </c>
      <c r="J2615" s="4" t="s">
        <v>3217</v>
      </c>
    </row>
    <row r="2616" spans="1:10" x14ac:dyDescent="0.35">
      <c r="A2616" s="7" t="s">
        <v>16</v>
      </c>
      <c r="B2616" s="7">
        <f t="shared" si="599"/>
        <v>2053</v>
      </c>
      <c r="C2616" s="4" t="s">
        <v>52</v>
      </c>
      <c r="D2616" s="5" t="s">
        <v>2003</v>
      </c>
      <c r="E2616" s="10" t="str">
        <f t="shared" si="595"/>
        <v>PND'!</v>
      </c>
      <c r="F2616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16" s="7" t="s">
        <v>109</v>
      </c>
      <c r="H2616" s="4">
        <f t="shared" si="597"/>
        <v>66</v>
      </c>
      <c r="I2616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PND'!$DN$66</v>
      </c>
      <c r="J2616" s="4" t="s">
        <v>3218</v>
      </c>
    </row>
    <row r="2617" spans="1:10" x14ac:dyDescent="0.35">
      <c r="A2617" s="7" t="s">
        <v>16</v>
      </c>
      <c r="B2617" s="7">
        <f t="shared" si="599"/>
        <v>2054</v>
      </c>
      <c r="C2617" s="4" t="s">
        <v>52</v>
      </c>
      <c r="D2617" s="5" t="s">
        <v>2003</v>
      </c>
      <c r="E2617" s="10" t="str">
        <f t="shared" si="595"/>
        <v>PND'!</v>
      </c>
      <c r="F2617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17" s="7" t="s">
        <v>109</v>
      </c>
      <c r="H2617" s="4">
        <f t="shared" si="597"/>
        <v>67</v>
      </c>
      <c r="I2617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PND'!$DN$67</v>
      </c>
      <c r="J2617" s="4" t="s">
        <v>3219</v>
      </c>
    </row>
    <row r="2618" spans="1:10" x14ac:dyDescent="0.35">
      <c r="A2618" s="7" t="s">
        <v>16</v>
      </c>
      <c r="B2618" s="7">
        <f t="shared" si="599"/>
        <v>2055</v>
      </c>
      <c r="C2618" s="4" t="s">
        <v>52</v>
      </c>
      <c r="D2618" s="5" t="s">
        <v>2003</v>
      </c>
      <c r="E2618" s="10" t="str">
        <f t="shared" si="595"/>
        <v>PND'!</v>
      </c>
      <c r="F2618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18" s="7" t="s">
        <v>109</v>
      </c>
      <c r="H2618" s="4">
        <f t="shared" si="597"/>
        <v>68</v>
      </c>
      <c r="I2618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PND'!$DN$68</v>
      </c>
      <c r="J2618" s="4" t="s">
        <v>3220</v>
      </c>
    </row>
    <row r="2619" spans="1:10" x14ac:dyDescent="0.35">
      <c r="A2619" s="7" t="s">
        <v>16</v>
      </c>
      <c r="B2619" s="7">
        <f t="shared" si="599"/>
        <v>2056</v>
      </c>
      <c r="C2619" s="4" t="s">
        <v>52</v>
      </c>
      <c r="D2619" s="5" t="s">
        <v>2003</v>
      </c>
      <c r="E2619" s="10" t="str">
        <f t="shared" si="595"/>
        <v>PND'!</v>
      </c>
      <c r="F2619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19" s="7" t="s">
        <v>109</v>
      </c>
      <c r="H2619" s="4">
        <f t="shared" si="597"/>
        <v>69</v>
      </c>
      <c r="I2619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PND'!$DN$69</v>
      </c>
      <c r="J2619" s="4" t="s">
        <v>3221</v>
      </c>
    </row>
    <row r="2620" spans="1:10" x14ac:dyDescent="0.35">
      <c r="A2620" s="7" t="s">
        <v>16</v>
      </c>
      <c r="B2620" s="7">
        <f t="shared" si="599"/>
        <v>2057</v>
      </c>
      <c r="C2620" s="4" t="s">
        <v>52</v>
      </c>
      <c r="D2620" s="5" t="s">
        <v>2003</v>
      </c>
      <c r="E2620" s="10" t="str">
        <f t="shared" si="595"/>
        <v>PND'!</v>
      </c>
      <c r="F2620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20" s="7" t="s">
        <v>109</v>
      </c>
      <c r="H2620" s="4">
        <f t="shared" si="597"/>
        <v>70</v>
      </c>
      <c r="I2620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PND'!$DN$70</v>
      </c>
      <c r="J2620" s="4" t="s">
        <v>3222</v>
      </c>
    </row>
    <row r="2621" spans="1:10" x14ac:dyDescent="0.35">
      <c r="A2621" s="7" t="s">
        <v>16</v>
      </c>
      <c r="B2621" s="7">
        <f t="shared" si="599"/>
        <v>2058</v>
      </c>
      <c r="C2621" s="4" t="s">
        <v>52</v>
      </c>
      <c r="D2621" s="5" t="s">
        <v>2003</v>
      </c>
      <c r="E2621" s="10" t="str">
        <f t="shared" si="595"/>
        <v>PND'!</v>
      </c>
      <c r="F2621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21" s="7" t="s">
        <v>109</v>
      </c>
      <c r="H2621" s="4">
        <f t="shared" si="597"/>
        <v>71</v>
      </c>
      <c r="I2621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PND'!$DN$71</v>
      </c>
      <c r="J2621" s="4" t="s">
        <v>3223</v>
      </c>
    </row>
    <row r="2622" spans="1:10" x14ac:dyDescent="0.35">
      <c r="A2622" s="7" t="s">
        <v>16</v>
      </c>
      <c r="B2622" s="7">
        <f t="shared" si="599"/>
        <v>2059</v>
      </c>
      <c r="C2622" s="4" t="s">
        <v>52</v>
      </c>
      <c r="D2622" s="5" t="s">
        <v>2003</v>
      </c>
      <c r="E2622" s="10" t="str">
        <f t="shared" si="595"/>
        <v>PND'!</v>
      </c>
      <c r="F2622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22" s="7" t="s">
        <v>109</v>
      </c>
      <c r="H2622" s="4">
        <f t="shared" si="597"/>
        <v>72</v>
      </c>
      <c r="I2622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PND'!$DN$72</v>
      </c>
      <c r="J2622" s="4" t="s">
        <v>3224</v>
      </c>
    </row>
    <row r="2623" spans="1:10" x14ac:dyDescent="0.35">
      <c r="A2623" s="7" t="s">
        <v>26</v>
      </c>
      <c r="B2623" s="7"/>
      <c r="C2623" s="4" t="s">
        <v>52</v>
      </c>
      <c r="D2623" s="5"/>
      <c r="E2623" s="10"/>
      <c r="F2623" s="2"/>
      <c r="G2623" s="7"/>
      <c r="H2623" s="4"/>
      <c r="I2623" s="4"/>
      <c r="J2623" s="4"/>
    </row>
    <row r="2624" spans="1:10" x14ac:dyDescent="0.35">
      <c r="A2624" s="7" t="s">
        <v>17</v>
      </c>
      <c r="B2624" s="7">
        <v>2023</v>
      </c>
      <c r="C2624" s="4" t="s">
        <v>52</v>
      </c>
      <c r="D2624" s="5" t="s">
        <v>2003</v>
      </c>
      <c r="E2624" s="10" t="str">
        <f t="shared" ref="E2624:E2644" si="600">_xlfn.CONCAT(A2624,"'!")</f>
        <v>PRBDP'!</v>
      </c>
      <c r="F2624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24" s="7" t="s">
        <v>109</v>
      </c>
      <c r="H2624" s="4"/>
      <c r="I2624" s="4"/>
      <c r="J2624" s="4"/>
    </row>
    <row r="2625" spans="1:10" x14ac:dyDescent="0.35">
      <c r="A2625" s="7" t="s">
        <v>17</v>
      </c>
      <c r="B2625" s="7">
        <f>+B2624+1</f>
        <v>2024</v>
      </c>
      <c r="C2625" s="4" t="s">
        <v>52</v>
      </c>
      <c r="D2625" s="5" t="s">
        <v>2003</v>
      </c>
      <c r="E2625" s="10" t="str">
        <f t="shared" si="600"/>
        <v>PRBDP'!</v>
      </c>
      <c r="F2625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25" s="7" t="s">
        <v>109</v>
      </c>
      <c r="H2625" s="4"/>
      <c r="I2625" s="4"/>
      <c r="J2625" s="4"/>
    </row>
    <row r="2626" spans="1:10" x14ac:dyDescent="0.35">
      <c r="A2626" s="7" t="s">
        <v>17</v>
      </c>
      <c r="B2626" s="7">
        <f t="shared" ref="B2626:B2637" si="601">+B2625+1</f>
        <v>2025</v>
      </c>
      <c r="C2626" s="4" t="s">
        <v>52</v>
      </c>
      <c r="D2626" s="5" t="s">
        <v>2003</v>
      </c>
      <c r="E2626" s="10" t="str">
        <f t="shared" si="600"/>
        <v>PRBDP'!</v>
      </c>
      <c r="F2626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26" s="7" t="s">
        <v>109</v>
      </c>
      <c r="H2626" s="4"/>
      <c r="I2626" s="4"/>
      <c r="J2626" s="4"/>
    </row>
    <row r="2627" spans="1:10" x14ac:dyDescent="0.35">
      <c r="A2627" s="7" t="s">
        <v>17</v>
      </c>
      <c r="B2627" s="7">
        <f t="shared" si="601"/>
        <v>2026</v>
      </c>
      <c r="C2627" s="4" t="s">
        <v>52</v>
      </c>
      <c r="D2627" s="5" t="s">
        <v>2003</v>
      </c>
      <c r="E2627" s="10" t="str">
        <f t="shared" si="600"/>
        <v>PRBDP'!</v>
      </c>
      <c r="F2627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27" s="7" t="s">
        <v>109</v>
      </c>
      <c r="H2627" s="4"/>
      <c r="I2627" s="4"/>
      <c r="J2627" s="4"/>
    </row>
    <row r="2628" spans="1:10" x14ac:dyDescent="0.35">
      <c r="A2628" s="7" t="s">
        <v>17</v>
      </c>
      <c r="B2628" s="7">
        <f t="shared" si="601"/>
        <v>2027</v>
      </c>
      <c r="C2628" s="4" t="s">
        <v>52</v>
      </c>
      <c r="D2628" s="5" t="s">
        <v>2003</v>
      </c>
      <c r="E2628" s="10" t="str">
        <f t="shared" si="600"/>
        <v>PRBDP'!</v>
      </c>
      <c r="F2628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28" s="7" t="s">
        <v>109</v>
      </c>
      <c r="H2628" s="4"/>
      <c r="I2628" s="4"/>
      <c r="J2628" s="4"/>
    </row>
    <row r="2629" spans="1:10" x14ac:dyDescent="0.35">
      <c r="A2629" s="7" t="s">
        <v>17</v>
      </c>
      <c r="B2629" s="7">
        <f t="shared" si="601"/>
        <v>2028</v>
      </c>
      <c r="C2629" s="4" t="s">
        <v>52</v>
      </c>
      <c r="D2629" s="5" t="s">
        <v>2003</v>
      </c>
      <c r="E2629" s="10" t="str">
        <f t="shared" si="600"/>
        <v>PRBDP'!</v>
      </c>
      <c r="F2629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29" s="7" t="s">
        <v>109</v>
      </c>
      <c r="H2629" s="4"/>
      <c r="I2629" s="4"/>
      <c r="J2629" s="4"/>
    </row>
    <row r="2630" spans="1:10" x14ac:dyDescent="0.35">
      <c r="A2630" s="7" t="s">
        <v>17</v>
      </c>
      <c r="B2630" s="7">
        <f t="shared" si="601"/>
        <v>2029</v>
      </c>
      <c r="C2630" s="4" t="s">
        <v>52</v>
      </c>
      <c r="D2630" s="5" t="s">
        <v>2003</v>
      </c>
      <c r="E2630" s="10" t="str">
        <f t="shared" si="600"/>
        <v>PRBDP'!</v>
      </c>
      <c r="F2630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30" s="7" t="s">
        <v>109</v>
      </c>
      <c r="H2630" s="4"/>
      <c r="I2630" s="4"/>
      <c r="J2630" s="4"/>
    </row>
    <row r="2631" spans="1:10" x14ac:dyDescent="0.35">
      <c r="A2631" s="7" t="s">
        <v>17</v>
      </c>
      <c r="B2631" s="7">
        <f t="shared" si="601"/>
        <v>2030</v>
      </c>
      <c r="C2631" s="4" t="s">
        <v>52</v>
      </c>
      <c r="D2631" s="5" t="s">
        <v>2003</v>
      </c>
      <c r="E2631" s="10" t="str">
        <f t="shared" si="600"/>
        <v>PRBDP'!</v>
      </c>
      <c r="F2631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31" s="7" t="s">
        <v>109</v>
      </c>
      <c r="H2631" s="4"/>
      <c r="I2631" s="4"/>
      <c r="J2631" s="4"/>
    </row>
    <row r="2632" spans="1:10" x14ac:dyDescent="0.35">
      <c r="A2632" s="7" t="s">
        <v>17</v>
      </c>
      <c r="B2632" s="7">
        <f t="shared" si="601"/>
        <v>2031</v>
      </c>
      <c r="C2632" s="4" t="s">
        <v>52</v>
      </c>
      <c r="D2632" s="5" t="s">
        <v>2003</v>
      </c>
      <c r="E2632" s="10" t="str">
        <f t="shared" si="600"/>
        <v>PRBDP'!</v>
      </c>
      <c r="F2632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32" s="7" t="s">
        <v>109</v>
      </c>
      <c r="H2632" s="4"/>
      <c r="I2632" s="4"/>
      <c r="J2632" s="4"/>
    </row>
    <row r="2633" spans="1:10" x14ac:dyDescent="0.35">
      <c r="A2633" s="7" t="s">
        <v>17</v>
      </c>
      <c r="B2633" s="7">
        <f t="shared" si="601"/>
        <v>2032</v>
      </c>
      <c r="C2633" s="4" t="s">
        <v>52</v>
      </c>
      <c r="D2633" s="5" t="s">
        <v>2003</v>
      </c>
      <c r="E2633" s="10" t="str">
        <f t="shared" si="600"/>
        <v>PRBDP'!</v>
      </c>
      <c r="F2633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33" s="7" t="s">
        <v>109</v>
      </c>
      <c r="H2633" s="4"/>
      <c r="I2633" s="4"/>
      <c r="J2633" s="4"/>
    </row>
    <row r="2634" spans="1:10" x14ac:dyDescent="0.35">
      <c r="A2634" s="7" t="s">
        <v>17</v>
      </c>
      <c r="B2634" s="7">
        <f t="shared" si="601"/>
        <v>2033</v>
      </c>
      <c r="C2634" s="4" t="s">
        <v>52</v>
      </c>
      <c r="D2634" s="5" t="s">
        <v>2003</v>
      </c>
      <c r="E2634" s="10" t="str">
        <f t="shared" si="600"/>
        <v>PRBDP'!</v>
      </c>
      <c r="F2634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34" s="7" t="s">
        <v>109</v>
      </c>
      <c r="H2634" s="4"/>
      <c r="I2634" s="4"/>
      <c r="J2634" s="4"/>
    </row>
    <row r="2635" spans="1:10" x14ac:dyDescent="0.35">
      <c r="A2635" s="7" t="s">
        <v>17</v>
      </c>
      <c r="B2635" s="7">
        <f t="shared" si="601"/>
        <v>2034</v>
      </c>
      <c r="C2635" s="4" t="s">
        <v>52</v>
      </c>
      <c r="D2635" s="5" t="s">
        <v>2003</v>
      </c>
      <c r="E2635" s="10" t="str">
        <f t="shared" si="600"/>
        <v>PRBDP'!</v>
      </c>
      <c r="F2635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35" s="7" t="s">
        <v>109</v>
      </c>
      <c r="H2635" s="4"/>
      <c r="I2635" s="4"/>
      <c r="J2635" s="4"/>
    </row>
    <row r="2636" spans="1:10" x14ac:dyDescent="0.35">
      <c r="A2636" s="7" t="s">
        <v>17</v>
      </c>
      <c r="B2636" s="7">
        <f t="shared" si="601"/>
        <v>2035</v>
      </c>
      <c r="C2636" s="4" t="s">
        <v>52</v>
      </c>
      <c r="D2636" s="5" t="s">
        <v>2003</v>
      </c>
      <c r="E2636" s="10" t="str">
        <f t="shared" si="600"/>
        <v>PRBDP'!</v>
      </c>
      <c r="F2636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36" s="7" t="s">
        <v>109</v>
      </c>
      <c r="H2636" s="4"/>
      <c r="I2636" s="4"/>
      <c r="J2636" s="4"/>
    </row>
    <row r="2637" spans="1:10" x14ac:dyDescent="0.35">
      <c r="A2637" s="7" t="s">
        <v>17</v>
      </c>
      <c r="B2637" s="7">
        <f t="shared" si="601"/>
        <v>2036</v>
      </c>
      <c r="C2637" s="4" t="s">
        <v>52</v>
      </c>
      <c r="D2637" s="5" t="s">
        <v>2003</v>
      </c>
      <c r="E2637" s="10" t="str">
        <f t="shared" si="600"/>
        <v>PRBDP'!</v>
      </c>
      <c r="F2637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37" s="7" t="s">
        <v>109</v>
      </c>
      <c r="H2637" s="4"/>
      <c r="I2637" s="4"/>
      <c r="J2637" s="4"/>
    </row>
    <row r="2638" spans="1:10" x14ac:dyDescent="0.35">
      <c r="A2638" s="7" t="s">
        <v>17</v>
      </c>
      <c r="B2638" s="7">
        <f>+B2637+1</f>
        <v>2037</v>
      </c>
      <c r="C2638" s="4" t="s">
        <v>52</v>
      </c>
      <c r="D2638" s="5" t="s">
        <v>2003</v>
      </c>
      <c r="E2638" s="10" t="str">
        <f t="shared" si="600"/>
        <v>PRBDP'!</v>
      </c>
      <c r="F2638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38" s="7" t="s">
        <v>109</v>
      </c>
      <c r="H2638" s="4"/>
      <c r="I2638" s="4"/>
      <c r="J2638" s="4"/>
    </row>
    <row r="2639" spans="1:10" x14ac:dyDescent="0.35">
      <c r="A2639" s="7" t="s">
        <v>17</v>
      </c>
      <c r="B2639" s="7">
        <f t="shared" ref="B2639:B2641" si="602">+B2638+1</f>
        <v>2038</v>
      </c>
      <c r="C2639" s="4" t="s">
        <v>52</v>
      </c>
      <c r="D2639" s="5" t="s">
        <v>2003</v>
      </c>
      <c r="E2639" s="10" t="str">
        <f t="shared" si="600"/>
        <v>PRBDP'!</v>
      </c>
      <c r="F2639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39" s="7" t="s">
        <v>109</v>
      </c>
      <c r="H2639" s="4"/>
      <c r="I2639" s="4"/>
      <c r="J2639" s="4"/>
    </row>
    <row r="2640" spans="1:10" x14ac:dyDescent="0.35">
      <c r="A2640" s="7" t="s">
        <v>17</v>
      </c>
      <c r="B2640" s="7">
        <f t="shared" si="602"/>
        <v>2039</v>
      </c>
      <c r="C2640" s="4" t="s">
        <v>52</v>
      </c>
      <c r="D2640" s="5" t="s">
        <v>2003</v>
      </c>
      <c r="E2640" s="10" t="str">
        <f t="shared" si="600"/>
        <v>PRBDP'!</v>
      </c>
      <c r="F2640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40" s="7" t="s">
        <v>109</v>
      </c>
      <c r="H2640" s="4"/>
      <c r="I2640" s="4"/>
      <c r="J2640" s="4"/>
    </row>
    <row r="2641" spans="1:10" x14ac:dyDescent="0.35">
      <c r="A2641" s="7" t="s">
        <v>17</v>
      </c>
      <c r="B2641" s="7">
        <f t="shared" si="602"/>
        <v>2040</v>
      </c>
      <c r="C2641" s="4" t="s">
        <v>52</v>
      </c>
      <c r="D2641" s="5" t="s">
        <v>2003</v>
      </c>
      <c r="E2641" s="10" t="str">
        <f t="shared" si="600"/>
        <v>PRBDP'!</v>
      </c>
      <c r="F2641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41" s="7" t="s">
        <v>109</v>
      </c>
      <c r="H2641" s="4"/>
      <c r="I2641" s="4"/>
      <c r="J2641" s="4"/>
    </row>
    <row r="2642" spans="1:10" x14ac:dyDescent="0.35">
      <c r="A2642" s="7" t="s">
        <v>17</v>
      </c>
      <c r="B2642" s="7">
        <f>+B2641+1</f>
        <v>2041</v>
      </c>
      <c r="C2642" s="4" t="s">
        <v>52</v>
      </c>
      <c r="D2642" s="5" t="s">
        <v>2003</v>
      </c>
      <c r="E2642" s="10" t="str">
        <f t="shared" si="600"/>
        <v>PRBDP'!</v>
      </c>
      <c r="F2642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42" s="7" t="s">
        <v>109</v>
      </c>
      <c r="H2642" s="4"/>
      <c r="I2642" s="4"/>
      <c r="J2642" s="4"/>
    </row>
    <row r="2643" spans="1:10" x14ac:dyDescent="0.35">
      <c r="A2643" s="7" t="s">
        <v>17</v>
      </c>
      <c r="B2643" s="7">
        <f t="shared" ref="B2643:B2644" si="603">+B2642+1</f>
        <v>2042</v>
      </c>
      <c r="C2643" s="4" t="s">
        <v>52</v>
      </c>
      <c r="D2643" s="5" t="s">
        <v>2003</v>
      </c>
      <c r="E2643" s="10" t="str">
        <f t="shared" si="600"/>
        <v>PRBDP'!</v>
      </c>
      <c r="F2643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43" s="7" t="s">
        <v>109</v>
      </c>
      <c r="H2643" s="4"/>
      <c r="I2643" s="4"/>
      <c r="J2643" s="4"/>
    </row>
    <row r="2644" spans="1:10" x14ac:dyDescent="0.35">
      <c r="A2644" s="7" t="s">
        <v>17</v>
      </c>
      <c r="B2644" s="7">
        <f t="shared" si="603"/>
        <v>2043</v>
      </c>
      <c r="C2644" s="4" t="s">
        <v>52</v>
      </c>
      <c r="D2644" s="5" t="s">
        <v>2003</v>
      </c>
      <c r="E2644" s="10" t="str">
        <f t="shared" si="600"/>
        <v>PRBDP'!</v>
      </c>
      <c r="F2644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44" s="7" t="s">
        <v>109</v>
      </c>
      <c r="H2644" s="4"/>
      <c r="I2644" s="4"/>
      <c r="J2644" s="4"/>
    </row>
    <row r="2645" spans="1:10" x14ac:dyDescent="0.35">
      <c r="A2645" s="7" t="s">
        <v>17</v>
      </c>
      <c r="B2645" s="7">
        <f>+B2644+1</f>
        <v>2044</v>
      </c>
      <c r="C2645" s="4" t="s">
        <v>52</v>
      </c>
      <c r="D2645" s="5" t="s">
        <v>2003</v>
      </c>
      <c r="E2645" s="10" t="str">
        <f t="shared" ref="E2645:E2660" si="604">_xlfn.CONCAT(A2645,"'!")</f>
        <v>PRBDP'!</v>
      </c>
      <c r="F2645" s="5" t="str">
        <f t="shared" ref="F2645:F2660" si="605">_xlfn.CONCAT(D2645," ",E2645)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45" s="7" t="s">
        <v>109</v>
      </c>
      <c r="H2645" s="4"/>
      <c r="I2645" s="4"/>
      <c r="J2645" s="4"/>
    </row>
    <row r="2646" spans="1:10" x14ac:dyDescent="0.35">
      <c r="A2646" s="7" t="s">
        <v>17</v>
      </c>
      <c r="B2646" s="7">
        <f t="shared" ref="B2646:B2660" si="606">+B2645+1</f>
        <v>2045</v>
      </c>
      <c r="C2646" s="4" t="s">
        <v>52</v>
      </c>
      <c r="D2646" s="5" t="s">
        <v>2003</v>
      </c>
      <c r="E2646" s="10" t="str">
        <f t="shared" si="604"/>
        <v>PRBDP'!</v>
      </c>
      <c r="F2646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46" s="7" t="s">
        <v>109</v>
      </c>
      <c r="H2646" s="4"/>
      <c r="I2646" s="4"/>
      <c r="J2646" s="4"/>
    </row>
    <row r="2647" spans="1:10" x14ac:dyDescent="0.35">
      <c r="A2647" s="7" t="s">
        <v>17</v>
      </c>
      <c r="B2647" s="7">
        <f t="shared" si="606"/>
        <v>2046</v>
      </c>
      <c r="C2647" s="4" t="s">
        <v>52</v>
      </c>
      <c r="D2647" s="5" t="s">
        <v>2003</v>
      </c>
      <c r="E2647" s="10" t="str">
        <f t="shared" si="604"/>
        <v>PRBDP'!</v>
      </c>
      <c r="F2647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47" s="7" t="s">
        <v>109</v>
      </c>
      <c r="H2647" s="4"/>
      <c r="I2647" s="4"/>
      <c r="J2647" s="4"/>
    </row>
    <row r="2648" spans="1:10" x14ac:dyDescent="0.35">
      <c r="A2648" s="7" t="s">
        <v>17</v>
      </c>
      <c r="B2648" s="7">
        <f t="shared" si="606"/>
        <v>2047</v>
      </c>
      <c r="C2648" s="4" t="s">
        <v>52</v>
      </c>
      <c r="D2648" s="5" t="s">
        <v>2003</v>
      </c>
      <c r="E2648" s="10" t="str">
        <f t="shared" si="604"/>
        <v>PRBDP'!</v>
      </c>
      <c r="F2648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48" s="7" t="s">
        <v>109</v>
      </c>
      <c r="H2648" s="4"/>
      <c r="I2648" s="4"/>
      <c r="J2648" s="4"/>
    </row>
    <row r="2649" spans="1:10" x14ac:dyDescent="0.35">
      <c r="A2649" s="7" t="s">
        <v>17</v>
      </c>
      <c r="B2649" s="7">
        <f t="shared" si="606"/>
        <v>2048</v>
      </c>
      <c r="C2649" s="4" t="s">
        <v>52</v>
      </c>
      <c r="D2649" s="5" t="s">
        <v>2003</v>
      </c>
      <c r="E2649" s="10" t="str">
        <f t="shared" si="604"/>
        <v>PRBDP'!</v>
      </c>
      <c r="F2649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49" s="7" t="s">
        <v>109</v>
      </c>
      <c r="H2649" s="4"/>
      <c r="I2649" s="4"/>
      <c r="J2649" s="4"/>
    </row>
    <row r="2650" spans="1:10" x14ac:dyDescent="0.35">
      <c r="A2650" s="7" t="s">
        <v>17</v>
      </c>
      <c r="B2650" s="7">
        <f t="shared" si="606"/>
        <v>2049</v>
      </c>
      <c r="C2650" s="4" t="s">
        <v>52</v>
      </c>
      <c r="D2650" s="5" t="s">
        <v>2003</v>
      </c>
      <c r="E2650" s="10" t="str">
        <f t="shared" si="604"/>
        <v>PRBDP'!</v>
      </c>
      <c r="F2650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50" s="7" t="s">
        <v>109</v>
      </c>
      <c r="H2650" s="4"/>
      <c r="I2650" s="4"/>
      <c r="J2650" s="4"/>
    </row>
    <row r="2651" spans="1:10" x14ac:dyDescent="0.35">
      <c r="A2651" s="7" t="s">
        <v>17</v>
      </c>
      <c r="B2651" s="7">
        <f t="shared" si="606"/>
        <v>2050</v>
      </c>
      <c r="C2651" s="4" t="s">
        <v>52</v>
      </c>
      <c r="D2651" s="5" t="s">
        <v>2003</v>
      </c>
      <c r="E2651" s="10" t="str">
        <f t="shared" si="604"/>
        <v>PRBDP'!</v>
      </c>
      <c r="F2651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51" s="7" t="s">
        <v>109</v>
      </c>
      <c r="H2651" s="4"/>
      <c r="I2651" s="4"/>
      <c r="J2651" s="4"/>
    </row>
    <row r="2652" spans="1:10" x14ac:dyDescent="0.35">
      <c r="A2652" s="7" t="s">
        <v>17</v>
      </c>
      <c r="B2652" s="7">
        <f t="shared" si="606"/>
        <v>2051</v>
      </c>
      <c r="C2652" s="4" t="s">
        <v>52</v>
      </c>
      <c r="D2652" s="5" t="s">
        <v>2003</v>
      </c>
      <c r="E2652" s="10" t="str">
        <f t="shared" si="604"/>
        <v>PRBDP'!</v>
      </c>
      <c r="F2652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52" s="7" t="s">
        <v>109</v>
      </c>
      <c r="H2652" s="4"/>
      <c r="I2652" s="4"/>
      <c r="J2652" s="4"/>
    </row>
    <row r="2653" spans="1:10" x14ac:dyDescent="0.35">
      <c r="A2653" s="7" t="s">
        <v>17</v>
      </c>
      <c r="B2653" s="7">
        <f t="shared" si="606"/>
        <v>2052</v>
      </c>
      <c r="C2653" s="4" t="s">
        <v>52</v>
      </c>
      <c r="D2653" s="5" t="s">
        <v>2003</v>
      </c>
      <c r="E2653" s="10" t="str">
        <f t="shared" si="604"/>
        <v>PRBDP'!</v>
      </c>
      <c r="F2653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53" s="7" t="s">
        <v>109</v>
      </c>
      <c r="H2653" s="4"/>
      <c r="I2653" s="4"/>
      <c r="J2653" s="4"/>
    </row>
    <row r="2654" spans="1:10" x14ac:dyDescent="0.35">
      <c r="A2654" s="7" t="s">
        <v>17</v>
      </c>
      <c r="B2654" s="7">
        <f t="shared" si="606"/>
        <v>2053</v>
      </c>
      <c r="C2654" s="4" t="s">
        <v>52</v>
      </c>
      <c r="D2654" s="5" t="s">
        <v>2003</v>
      </c>
      <c r="E2654" s="10" t="str">
        <f t="shared" si="604"/>
        <v>PRBDP'!</v>
      </c>
      <c r="F2654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54" s="7" t="s">
        <v>109</v>
      </c>
      <c r="H2654" s="4"/>
      <c r="I2654" s="4"/>
      <c r="J2654" s="4"/>
    </row>
    <row r="2655" spans="1:10" x14ac:dyDescent="0.35">
      <c r="A2655" s="7" t="s">
        <v>17</v>
      </c>
      <c r="B2655" s="7">
        <f t="shared" si="606"/>
        <v>2054</v>
      </c>
      <c r="C2655" s="4" t="s">
        <v>52</v>
      </c>
      <c r="D2655" s="5" t="s">
        <v>2003</v>
      </c>
      <c r="E2655" s="10" t="str">
        <f t="shared" si="604"/>
        <v>PRBDP'!</v>
      </c>
      <c r="F2655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55" s="7" t="s">
        <v>109</v>
      </c>
      <c r="H2655" s="4"/>
      <c r="I2655" s="4"/>
      <c r="J2655" s="4"/>
    </row>
    <row r="2656" spans="1:10" x14ac:dyDescent="0.35">
      <c r="A2656" s="7" t="s">
        <v>17</v>
      </c>
      <c r="B2656" s="7">
        <f t="shared" si="606"/>
        <v>2055</v>
      </c>
      <c r="C2656" s="4" t="s">
        <v>52</v>
      </c>
      <c r="D2656" s="5" t="s">
        <v>2003</v>
      </c>
      <c r="E2656" s="10" t="str">
        <f t="shared" si="604"/>
        <v>PRBDP'!</v>
      </c>
      <c r="F2656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56" s="7" t="s">
        <v>109</v>
      </c>
      <c r="H2656" s="4"/>
      <c r="I2656" s="4"/>
      <c r="J2656" s="4"/>
    </row>
    <row r="2657" spans="1:10" x14ac:dyDescent="0.35">
      <c r="A2657" s="7" t="s">
        <v>17</v>
      </c>
      <c r="B2657" s="7">
        <f t="shared" si="606"/>
        <v>2056</v>
      </c>
      <c r="C2657" s="4" t="s">
        <v>52</v>
      </c>
      <c r="D2657" s="5" t="s">
        <v>2003</v>
      </c>
      <c r="E2657" s="10" t="str">
        <f t="shared" si="604"/>
        <v>PRBDP'!</v>
      </c>
      <c r="F2657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57" s="7" t="s">
        <v>109</v>
      </c>
      <c r="H2657" s="4"/>
      <c r="I2657" s="4"/>
      <c r="J2657" s="4"/>
    </row>
    <row r="2658" spans="1:10" x14ac:dyDescent="0.35">
      <c r="A2658" s="7" t="s">
        <v>17</v>
      </c>
      <c r="B2658" s="7">
        <f t="shared" si="606"/>
        <v>2057</v>
      </c>
      <c r="C2658" s="4" t="s">
        <v>52</v>
      </c>
      <c r="D2658" s="5" t="s">
        <v>2003</v>
      </c>
      <c r="E2658" s="10" t="str">
        <f t="shared" si="604"/>
        <v>PRBDP'!</v>
      </c>
      <c r="F2658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58" s="7" t="s">
        <v>109</v>
      </c>
      <c r="H2658" s="4"/>
      <c r="I2658" s="4"/>
      <c r="J2658" s="4"/>
    </row>
    <row r="2659" spans="1:10" x14ac:dyDescent="0.35">
      <c r="A2659" s="7" t="s">
        <v>17</v>
      </c>
      <c r="B2659" s="7">
        <f t="shared" si="606"/>
        <v>2058</v>
      </c>
      <c r="C2659" s="4" t="s">
        <v>52</v>
      </c>
      <c r="D2659" s="5" t="s">
        <v>2003</v>
      </c>
      <c r="E2659" s="10" t="str">
        <f t="shared" si="604"/>
        <v>PRBDP'!</v>
      </c>
      <c r="F2659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59" s="7" t="s">
        <v>109</v>
      </c>
      <c r="H2659" s="4"/>
      <c r="I2659" s="4"/>
      <c r="J2659" s="4"/>
    </row>
    <row r="2660" spans="1:10" x14ac:dyDescent="0.35">
      <c r="A2660" s="7" t="s">
        <v>17</v>
      </c>
      <c r="B2660" s="7">
        <f t="shared" si="606"/>
        <v>2059</v>
      </c>
      <c r="C2660" s="4" t="s">
        <v>52</v>
      </c>
      <c r="D2660" s="5" t="s">
        <v>2003</v>
      </c>
      <c r="E2660" s="10" t="str">
        <f t="shared" si="604"/>
        <v>PRBDP'!</v>
      </c>
      <c r="F2660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60" s="7" t="s">
        <v>109</v>
      </c>
      <c r="H2660" s="4"/>
      <c r="I2660" s="4"/>
      <c r="J2660" s="4"/>
    </row>
    <row r="2661" spans="1:10" x14ac:dyDescent="0.35">
      <c r="A2661" s="7" t="s">
        <v>26</v>
      </c>
      <c r="B2661" s="7"/>
      <c r="C2661" s="4" t="s">
        <v>52</v>
      </c>
      <c r="D2661" s="5"/>
      <c r="E2661" s="10"/>
      <c r="F2661" s="5"/>
      <c r="G2661" s="7"/>
      <c r="H2661" s="4"/>
      <c r="I2661" s="4"/>
      <c r="J2661" s="4"/>
    </row>
    <row r="2662" spans="1:10" x14ac:dyDescent="0.35">
      <c r="A2662" s="7" t="s">
        <v>18</v>
      </c>
      <c r="B2662" s="7">
        <v>2023</v>
      </c>
      <c r="C2662" s="4" t="s">
        <v>52</v>
      </c>
      <c r="D2662" s="5" t="s">
        <v>2003</v>
      </c>
      <c r="E2662" s="10" t="str">
        <f t="shared" ref="E2662:E2682" si="607">_xlfn.CONCAT(A2662,"'!")</f>
        <v>PRBNP'!</v>
      </c>
      <c r="F2662" s="5" t="str">
        <f t="shared" ref="F2662:F2682" si="608">_xlfn.CONCAT(D2662," ",E2662)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62" s="7" t="s">
        <v>109</v>
      </c>
      <c r="H2662" s="4"/>
      <c r="I2662" s="4"/>
      <c r="J2662" s="4"/>
    </row>
    <row r="2663" spans="1:10" x14ac:dyDescent="0.35">
      <c r="A2663" s="7" t="s">
        <v>18</v>
      </c>
      <c r="B2663" s="7">
        <f>+B2662+1</f>
        <v>2024</v>
      </c>
      <c r="C2663" s="4" t="s">
        <v>52</v>
      </c>
      <c r="D2663" s="5" t="s">
        <v>2003</v>
      </c>
      <c r="E2663" s="10" t="str">
        <f t="shared" si="607"/>
        <v>PRBNP'!</v>
      </c>
      <c r="F2663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63" s="7" t="s">
        <v>109</v>
      </c>
      <c r="H2663" s="4"/>
      <c r="I2663" s="4"/>
      <c r="J2663" s="4"/>
    </row>
    <row r="2664" spans="1:10" x14ac:dyDescent="0.35">
      <c r="A2664" s="7" t="s">
        <v>18</v>
      </c>
      <c r="B2664" s="7">
        <f t="shared" ref="B2664:B2675" si="609">+B2663+1</f>
        <v>2025</v>
      </c>
      <c r="C2664" s="4" t="s">
        <v>52</v>
      </c>
      <c r="D2664" s="5" t="s">
        <v>2003</v>
      </c>
      <c r="E2664" s="10" t="str">
        <f t="shared" si="607"/>
        <v>PRBNP'!</v>
      </c>
      <c r="F2664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64" s="7" t="s">
        <v>109</v>
      </c>
      <c r="H2664" s="4"/>
      <c r="I2664" s="4"/>
      <c r="J2664" s="4"/>
    </row>
    <row r="2665" spans="1:10" x14ac:dyDescent="0.35">
      <c r="A2665" s="7" t="s">
        <v>18</v>
      </c>
      <c r="B2665" s="7">
        <f t="shared" si="609"/>
        <v>2026</v>
      </c>
      <c r="C2665" s="4" t="s">
        <v>52</v>
      </c>
      <c r="D2665" s="5" t="s">
        <v>2003</v>
      </c>
      <c r="E2665" s="10" t="str">
        <f t="shared" si="607"/>
        <v>PRBNP'!</v>
      </c>
      <c r="F2665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65" s="7" t="s">
        <v>109</v>
      </c>
      <c r="H2665" s="4"/>
      <c r="I2665" s="4"/>
      <c r="J2665" s="4"/>
    </row>
    <row r="2666" spans="1:10" x14ac:dyDescent="0.35">
      <c r="A2666" s="7" t="s">
        <v>18</v>
      </c>
      <c r="B2666" s="7">
        <f t="shared" si="609"/>
        <v>2027</v>
      </c>
      <c r="C2666" s="4" t="s">
        <v>52</v>
      </c>
      <c r="D2666" s="5" t="s">
        <v>2003</v>
      </c>
      <c r="E2666" s="10" t="str">
        <f t="shared" si="607"/>
        <v>PRBNP'!</v>
      </c>
      <c r="F2666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66" s="7" t="s">
        <v>109</v>
      </c>
      <c r="H2666" s="4"/>
      <c r="I2666" s="4"/>
      <c r="J2666" s="4"/>
    </row>
    <row r="2667" spans="1:10" x14ac:dyDescent="0.35">
      <c r="A2667" s="7" t="s">
        <v>18</v>
      </c>
      <c r="B2667" s="7">
        <f t="shared" si="609"/>
        <v>2028</v>
      </c>
      <c r="C2667" s="4" t="s">
        <v>52</v>
      </c>
      <c r="D2667" s="5" t="s">
        <v>2003</v>
      </c>
      <c r="E2667" s="10" t="str">
        <f t="shared" si="607"/>
        <v>PRBNP'!</v>
      </c>
      <c r="F2667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67" s="7" t="s">
        <v>109</v>
      </c>
      <c r="H2667" s="4"/>
      <c r="I2667" s="4"/>
      <c r="J2667" s="4"/>
    </row>
    <row r="2668" spans="1:10" x14ac:dyDescent="0.35">
      <c r="A2668" s="7" t="s">
        <v>18</v>
      </c>
      <c r="B2668" s="7">
        <f t="shared" si="609"/>
        <v>2029</v>
      </c>
      <c r="C2668" s="4" t="s">
        <v>52</v>
      </c>
      <c r="D2668" s="5" t="s">
        <v>2003</v>
      </c>
      <c r="E2668" s="10" t="str">
        <f t="shared" si="607"/>
        <v>PRBNP'!</v>
      </c>
      <c r="F2668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68" s="7" t="s">
        <v>109</v>
      </c>
      <c r="H2668" s="4"/>
      <c r="I2668" s="4"/>
      <c r="J2668" s="4"/>
    </row>
    <row r="2669" spans="1:10" x14ac:dyDescent="0.35">
      <c r="A2669" s="7" t="s">
        <v>18</v>
      </c>
      <c r="B2669" s="7">
        <f t="shared" si="609"/>
        <v>2030</v>
      </c>
      <c r="C2669" s="4" t="s">
        <v>52</v>
      </c>
      <c r="D2669" s="5" t="s">
        <v>2003</v>
      </c>
      <c r="E2669" s="10" t="str">
        <f t="shared" si="607"/>
        <v>PRBNP'!</v>
      </c>
      <c r="F2669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69" s="7" t="s">
        <v>109</v>
      </c>
      <c r="H2669" s="4"/>
      <c r="I2669" s="4"/>
      <c r="J2669" s="4"/>
    </row>
    <row r="2670" spans="1:10" x14ac:dyDescent="0.35">
      <c r="A2670" s="7" t="s">
        <v>18</v>
      </c>
      <c r="B2670" s="7">
        <f t="shared" si="609"/>
        <v>2031</v>
      </c>
      <c r="C2670" s="4" t="s">
        <v>52</v>
      </c>
      <c r="D2670" s="5" t="s">
        <v>2003</v>
      </c>
      <c r="E2670" s="10" t="str">
        <f t="shared" si="607"/>
        <v>PRBNP'!</v>
      </c>
      <c r="F2670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70" s="7" t="s">
        <v>109</v>
      </c>
      <c r="H2670" s="4"/>
      <c r="I2670" s="4"/>
      <c r="J2670" s="4"/>
    </row>
    <row r="2671" spans="1:10" x14ac:dyDescent="0.35">
      <c r="A2671" s="7" t="s">
        <v>18</v>
      </c>
      <c r="B2671" s="7">
        <f t="shared" si="609"/>
        <v>2032</v>
      </c>
      <c r="C2671" s="4" t="s">
        <v>52</v>
      </c>
      <c r="D2671" s="5" t="s">
        <v>2003</v>
      </c>
      <c r="E2671" s="10" t="str">
        <f t="shared" si="607"/>
        <v>PRBNP'!</v>
      </c>
      <c r="F2671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71" s="7" t="s">
        <v>109</v>
      </c>
      <c r="H2671" s="4"/>
      <c r="I2671" s="4"/>
      <c r="J2671" s="4"/>
    </row>
    <row r="2672" spans="1:10" x14ac:dyDescent="0.35">
      <c r="A2672" s="7" t="s">
        <v>18</v>
      </c>
      <c r="B2672" s="7">
        <f t="shared" si="609"/>
        <v>2033</v>
      </c>
      <c r="C2672" s="4" t="s">
        <v>52</v>
      </c>
      <c r="D2672" s="5" t="s">
        <v>2003</v>
      </c>
      <c r="E2672" s="10" t="str">
        <f t="shared" si="607"/>
        <v>PRBNP'!</v>
      </c>
      <c r="F2672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72" s="7" t="s">
        <v>109</v>
      </c>
      <c r="H2672" s="4"/>
      <c r="I2672" s="4"/>
      <c r="J2672" s="4"/>
    </row>
    <row r="2673" spans="1:10" x14ac:dyDescent="0.35">
      <c r="A2673" s="7" t="s">
        <v>18</v>
      </c>
      <c r="B2673" s="7">
        <f t="shared" si="609"/>
        <v>2034</v>
      </c>
      <c r="C2673" s="4" t="s">
        <v>52</v>
      </c>
      <c r="D2673" s="5" t="s">
        <v>2003</v>
      </c>
      <c r="E2673" s="10" t="str">
        <f t="shared" si="607"/>
        <v>PRBNP'!</v>
      </c>
      <c r="F2673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73" s="7" t="s">
        <v>109</v>
      </c>
      <c r="H2673" s="4"/>
      <c r="I2673" s="4"/>
      <c r="J2673" s="4"/>
    </row>
    <row r="2674" spans="1:10" x14ac:dyDescent="0.35">
      <c r="A2674" s="7" t="s">
        <v>18</v>
      </c>
      <c r="B2674" s="7">
        <f t="shared" si="609"/>
        <v>2035</v>
      </c>
      <c r="C2674" s="4" t="s">
        <v>52</v>
      </c>
      <c r="D2674" s="5" t="s">
        <v>2003</v>
      </c>
      <c r="E2674" s="10" t="str">
        <f t="shared" si="607"/>
        <v>PRBNP'!</v>
      </c>
      <c r="F2674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74" s="7" t="s">
        <v>109</v>
      </c>
      <c r="H2674" s="4"/>
      <c r="I2674" s="4"/>
      <c r="J2674" s="4"/>
    </row>
    <row r="2675" spans="1:10" x14ac:dyDescent="0.35">
      <c r="A2675" s="7" t="s">
        <v>18</v>
      </c>
      <c r="B2675" s="7">
        <f t="shared" si="609"/>
        <v>2036</v>
      </c>
      <c r="C2675" s="4" t="s">
        <v>52</v>
      </c>
      <c r="D2675" s="5" t="s">
        <v>2003</v>
      </c>
      <c r="E2675" s="10" t="str">
        <f t="shared" si="607"/>
        <v>PRBNP'!</v>
      </c>
      <c r="F2675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75" s="7" t="s">
        <v>109</v>
      </c>
      <c r="H2675" s="4"/>
      <c r="I2675" s="4"/>
      <c r="J2675" s="4"/>
    </row>
    <row r="2676" spans="1:10" x14ac:dyDescent="0.35">
      <c r="A2676" s="7" t="s">
        <v>18</v>
      </c>
      <c r="B2676" s="7">
        <f>+B2675+1</f>
        <v>2037</v>
      </c>
      <c r="C2676" s="4" t="s">
        <v>52</v>
      </c>
      <c r="D2676" s="5" t="s">
        <v>2003</v>
      </c>
      <c r="E2676" s="10" t="str">
        <f t="shared" si="607"/>
        <v>PRBNP'!</v>
      </c>
      <c r="F2676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76" s="7" t="s">
        <v>109</v>
      </c>
      <c r="H2676" s="4"/>
      <c r="I2676" s="4"/>
      <c r="J2676" s="4"/>
    </row>
    <row r="2677" spans="1:10" x14ac:dyDescent="0.35">
      <c r="A2677" s="7" t="s">
        <v>18</v>
      </c>
      <c r="B2677" s="7">
        <f t="shared" ref="B2677:B2679" si="610">+B2676+1</f>
        <v>2038</v>
      </c>
      <c r="C2677" s="4" t="s">
        <v>52</v>
      </c>
      <c r="D2677" s="5" t="s">
        <v>2003</v>
      </c>
      <c r="E2677" s="10" t="str">
        <f t="shared" si="607"/>
        <v>PRBNP'!</v>
      </c>
      <c r="F2677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77" s="7" t="s">
        <v>109</v>
      </c>
      <c r="H2677" s="4"/>
      <c r="I2677" s="4"/>
      <c r="J2677" s="4"/>
    </row>
    <row r="2678" spans="1:10" x14ac:dyDescent="0.35">
      <c r="A2678" s="7" t="s">
        <v>18</v>
      </c>
      <c r="B2678" s="7">
        <f t="shared" si="610"/>
        <v>2039</v>
      </c>
      <c r="C2678" s="4" t="s">
        <v>52</v>
      </c>
      <c r="D2678" s="5" t="s">
        <v>2003</v>
      </c>
      <c r="E2678" s="10" t="str">
        <f t="shared" si="607"/>
        <v>PRBNP'!</v>
      </c>
      <c r="F2678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78" s="7" t="s">
        <v>109</v>
      </c>
      <c r="H2678" s="4"/>
      <c r="I2678" s="4"/>
      <c r="J2678" s="4"/>
    </row>
    <row r="2679" spans="1:10" x14ac:dyDescent="0.35">
      <c r="A2679" s="7" t="s">
        <v>18</v>
      </c>
      <c r="B2679" s="7">
        <f t="shared" si="610"/>
        <v>2040</v>
      </c>
      <c r="C2679" s="4" t="s">
        <v>52</v>
      </c>
      <c r="D2679" s="5" t="s">
        <v>2003</v>
      </c>
      <c r="E2679" s="10" t="str">
        <f t="shared" si="607"/>
        <v>PRBNP'!</v>
      </c>
      <c r="F2679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79" s="7" t="s">
        <v>109</v>
      </c>
      <c r="H2679" s="4"/>
      <c r="I2679" s="4"/>
      <c r="J2679" s="4"/>
    </row>
    <row r="2680" spans="1:10" x14ac:dyDescent="0.35">
      <c r="A2680" s="7" t="s">
        <v>18</v>
      </c>
      <c r="B2680" s="7">
        <f>+B2679+1</f>
        <v>2041</v>
      </c>
      <c r="C2680" s="4" t="s">
        <v>52</v>
      </c>
      <c r="D2680" s="5" t="s">
        <v>2003</v>
      </c>
      <c r="E2680" s="10" t="str">
        <f t="shared" si="607"/>
        <v>PRBNP'!</v>
      </c>
      <c r="F2680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80" s="7" t="s">
        <v>109</v>
      </c>
      <c r="H2680" s="4"/>
      <c r="I2680" s="4"/>
      <c r="J2680" s="4"/>
    </row>
    <row r="2681" spans="1:10" x14ac:dyDescent="0.35">
      <c r="A2681" s="7" t="s">
        <v>18</v>
      </c>
      <c r="B2681" s="7">
        <f t="shared" ref="B2681:B2682" si="611">+B2680+1</f>
        <v>2042</v>
      </c>
      <c r="C2681" s="4" t="s">
        <v>52</v>
      </c>
      <c r="D2681" s="5" t="s">
        <v>2003</v>
      </c>
      <c r="E2681" s="10" t="str">
        <f t="shared" si="607"/>
        <v>PRBNP'!</v>
      </c>
      <c r="F2681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81" s="7" t="s">
        <v>109</v>
      </c>
      <c r="H2681" s="4"/>
      <c r="I2681" s="4"/>
      <c r="J2681" s="4"/>
    </row>
    <row r="2682" spans="1:10" x14ac:dyDescent="0.35">
      <c r="A2682" s="7" t="s">
        <v>18</v>
      </c>
      <c r="B2682" s="7">
        <f t="shared" si="611"/>
        <v>2043</v>
      </c>
      <c r="C2682" s="4" t="s">
        <v>52</v>
      </c>
      <c r="D2682" s="5" t="s">
        <v>2003</v>
      </c>
      <c r="E2682" s="10" t="str">
        <f t="shared" si="607"/>
        <v>PRBNP'!</v>
      </c>
      <c r="F2682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82" s="7" t="s">
        <v>109</v>
      </c>
      <c r="H2682" s="4"/>
      <c r="I2682" s="4"/>
      <c r="J2682" s="4"/>
    </row>
    <row r="2683" spans="1:10" x14ac:dyDescent="0.35">
      <c r="A2683" s="7" t="s">
        <v>18</v>
      </c>
      <c r="B2683" s="7">
        <f>+B2682+1</f>
        <v>2044</v>
      </c>
      <c r="C2683" s="4" t="s">
        <v>52</v>
      </c>
      <c r="D2683" s="5" t="s">
        <v>2003</v>
      </c>
      <c r="E2683" s="10" t="str">
        <f t="shared" ref="E2683:E2698" si="612">_xlfn.CONCAT(A2683,"'!")</f>
        <v>PRBNP'!</v>
      </c>
      <c r="F2683" s="5" t="str">
        <f t="shared" ref="F2683:F2698" si="613">_xlfn.CONCAT(D2683," ",E2683)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83" s="7" t="s">
        <v>109</v>
      </c>
      <c r="H2683" s="4"/>
      <c r="I2683" s="4"/>
      <c r="J2683" s="4"/>
    </row>
    <row r="2684" spans="1:10" x14ac:dyDescent="0.35">
      <c r="A2684" s="7" t="s">
        <v>18</v>
      </c>
      <c r="B2684" s="7">
        <f t="shared" ref="B2684:B2698" si="614">+B2683+1</f>
        <v>2045</v>
      </c>
      <c r="C2684" s="4" t="s">
        <v>52</v>
      </c>
      <c r="D2684" s="5" t="s">
        <v>2003</v>
      </c>
      <c r="E2684" s="10" t="str">
        <f t="shared" si="612"/>
        <v>PRBNP'!</v>
      </c>
      <c r="F2684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84" s="7" t="s">
        <v>109</v>
      </c>
      <c r="H2684" s="4"/>
      <c r="I2684" s="4"/>
      <c r="J2684" s="4"/>
    </row>
    <row r="2685" spans="1:10" x14ac:dyDescent="0.35">
      <c r="A2685" s="7" t="s">
        <v>18</v>
      </c>
      <c r="B2685" s="7">
        <f t="shared" si="614"/>
        <v>2046</v>
      </c>
      <c r="C2685" s="4" t="s">
        <v>52</v>
      </c>
      <c r="D2685" s="5" t="s">
        <v>2003</v>
      </c>
      <c r="E2685" s="10" t="str">
        <f t="shared" si="612"/>
        <v>PRBNP'!</v>
      </c>
      <c r="F2685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85" s="7" t="s">
        <v>109</v>
      </c>
      <c r="H2685" s="4"/>
      <c r="I2685" s="4"/>
      <c r="J2685" s="4"/>
    </row>
    <row r="2686" spans="1:10" x14ac:dyDescent="0.35">
      <c r="A2686" s="7" t="s">
        <v>18</v>
      </c>
      <c r="B2686" s="7">
        <f t="shared" si="614"/>
        <v>2047</v>
      </c>
      <c r="C2686" s="4" t="s">
        <v>52</v>
      </c>
      <c r="D2686" s="5" t="s">
        <v>2003</v>
      </c>
      <c r="E2686" s="10" t="str">
        <f t="shared" si="612"/>
        <v>PRBNP'!</v>
      </c>
      <c r="F2686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86" s="7" t="s">
        <v>109</v>
      </c>
      <c r="H2686" s="4"/>
      <c r="I2686" s="4"/>
      <c r="J2686" s="4"/>
    </row>
    <row r="2687" spans="1:10" x14ac:dyDescent="0.35">
      <c r="A2687" s="7" t="s">
        <v>18</v>
      </c>
      <c r="B2687" s="7">
        <f t="shared" si="614"/>
        <v>2048</v>
      </c>
      <c r="C2687" s="4" t="s">
        <v>52</v>
      </c>
      <c r="D2687" s="5" t="s">
        <v>2003</v>
      </c>
      <c r="E2687" s="10" t="str">
        <f t="shared" si="612"/>
        <v>PRBNP'!</v>
      </c>
      <c r="F2687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87" s="7" t="s">
        <v>109</v>
      </c>
      <c r="H2687" s="4"/>
      <c r="I2687" s="4"/>
      <c r="J2687" s="4"/>
    </row>
    <row r="2688" spans="1:10" x14ac:dyDescent="0.35">
      <c r="A2688" s="7" t="s">
        <v>18</v>
      </c>
      <c r="B2688" s="7">
        <f t="shared" si="614"/>
        <v>2049</v>
      </c>
      <c r="C2688" s="4" t="s">
        <v>52</v>
      </c>
      <c r="D2688" s="5" t="s">
        <v>2003</v>
      </c>
      <c r="E2688" s="10" t="str">
        <f t="shared" si="612"/>
        <v>PRBNP'!</v>
      </c>
      <c r="F2688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88" s="7" t="s">
        <v>109</v>
      </c>
      <c r="H2688" s="4"/>
      <c r="I2688" s="4"/>
      <c r="J2688" s="4"/>
    </row>
    <row r="2689" spans="1:10" x14ac:dyDescent="0.35">
      <c r="A2689" s="7" t="s">
        <v>18</v>
      </c>
      <c r="B2689" s="7">
        <f t="shared" si="614"/>
        <v>2050</v>
      </c>
      <c r="C2689" s="4" t="s">
        <v>52</v>
      </c>
      <c r="D2689" s="5" t="s">
        <v>2003</v>
      </c>
      <c r="E2689" s="10" t="str">
        <f t="shared" si="612"/>
        <v>PRBNP'!</v>
      </c>
      <c r="F2689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89" s="7" t="s">
        <v>109</v>
      </c>
      <c r="H2689" s="4"/>
      <c r="I2689" s="4"/>
      <c r="J2689" s="4"/>
    </row>
    <row r="2690" spans="1:10" x14ac:dyDescent="0.35">
      <c r="A2690" s="7" t="s">
        <v>18</v>
      </c>
      <c r="B2690" s="7">
        <f t="shared" si="614"/>
        <v>2051</v>
      </c>
      <c r="C2690" s="4" t="s">
        <v>52</v>
      </c>
      <c r="D2690" s="5" t="s">
        <v>2003</v>
      </c>
      <c r="E2690" s="10" t="str">
        <f t="shared" si="612"/>
        <v>PRBNP'!</v>
      </c>
      <c r="F2690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90" s="7" t="s">
        <v>109</v>
      </c>
      <c r="H2690" s="4"/>
      <c r="I2690" s="4"/>
      <c r="J2690" s="4"/>
    </row>
    <row r="2691" spans="1:10" x14ac:dyDescent="0.35">
      <c r="A2691" s="7" t="s">
        <v>18</v>
      </c>
      <c r="B2691" s="7">
        <f t="shared" si="614"/>
        <v>2052</v>
      </c>
      <c r="C2691" s="4" t="s">
        <v>52</v>
      </c>
      <c r="D2691" s="5" t="s">
        <v>2003</v>
      </c>
      <c r="E2691" s="10" t="str">
        <f t="shared" si="612"/>
        <v>PRBNP'!</v>
      </c>
      <c r="F2691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91" s="7" t="s">
        <v>109</v>
      </c>
      <c r="H2691" s="4"/>
      <c r="I2691" s="4"/>
      <c r="J2691" s="4"/>
    </row>
    <row r="2692" spans="1:10" x14ac:dyDescent="0.35">
      <c r="A2692" s="7" t="s">
        <v>18</v>
      </c>
      <c r="B2692" s="7">
        <f t="shared" si="614"/>
        <v>2053</v>
      </c>
      <c r="C2692" s="4" t="s">
        <v>52</v>
      </c>
      <c r="D2692" s="5" t="s">
        <v>2003</v>
      </c>
      <c r="E2692" s="10" t="str">
        <f t="shared" si="612"/>
        <v>PRBNP'!</v>
      </c>
      <c r="F2692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92" s="7" t="s">
        <v>109</v>
      </c>
      <c r="H2692" s="4"/>
      <c r="I2692" s="4"/>
      <c r="J2692" s="4"/>
    </row>
    <row r="2693" spans="1:10" x14ac:dyDescent="0.35">
      <c r="A2693" s="7" t="s">
        <v>18</v>
      </c>
      <c r="B2693" s="7">
        <f t="shared" si="614"/>
        <v>2054</v>
      </c>
      <c r="C2693" s="4" t="s">
        <v>52</v>
      </c>
      <c r="D2693" s="5" t="s">
        <v>2003</v>
      </c>
      <c r="E2693" s="10" t="str">
        <f t="shared" si="612"/>
        <v>PRBNP'!</v>
      </c>
      <c r="F2693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93" s="7" t="s">
        <v>109</v>
      </c>
      <c r="H2693" s="4"/>
      <c r="I2693" s="4"/>
      <c r="J2693" s="4"/>
    </row>
    <row r="2694" spans="1:10" x14ac:dyDescent="0.35">
      <c r="A2694" s="7" t="s">
        <v>18</v>
      </c>
      <c r="B2694" s="7">
        <f t="shared" si="614"/>
        <v>2055</v>
      </c>
      <c r="C2694" s="4" t="s">
        <v>52</v>
      </c>
      <c r="D2694" s="5" t="s">
        <v>2003</v>
      </c>
      <c r="E2694" s="10" t="str">
        <f t="shared" si="612"/>
        <v>PRBNP'!</v>
      </c>
      <c r="F2694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94" s="7" t="s">
        <v>109</v>
      </c>
      <c r="H2694" s="4"/>
      <c r="I2694" s="4"/>
      <c r="J2694" s="4"/>
    </row>
    <row r="2695" spans="1:10" x14ac:dyDescent="0.35">
      <c r="A2695" s="7" t="s">
        <v>18</v>
      </c>
      <c r="B2695" s="7">
        <f t="shared" si="614"/>
        <v>2056</v>
      </c>
      <c r="C2695" s="4" t="s">
        <v>52</v>
      </c>
      <c r="D2695" s="5" t="s">
        <v>2003</v>
      </c>
      <c r="E2695" s="10" t="str">
        <f t="shared" si="612"/>
        <v>PRBNP'!</v>
      </c>
      <c r="F2695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95" s="7" t="s">
        <v>109</v>
      </c>
      <c r="H2695" s="4"/>
      <c r="I2695" s="4"/>
      <c r="J2695" s="4"/>
    </row>
    <row r="2696" spans="1:10" x14ac:dyDescent="0.35">
      <c r="A2696" s="7" t="s">
        <v>18</v>
      </c>
      <c r="B2696" s="7">
        <f t="shared" si="614"/>
        <v>2057</v>
      </c>
      <c r="C2696" s="4" t="s">
        <v>52</v>
      </c>
      <c r="D2696" s="5" t="s">
        <v>2003</v>
      </c>
      <c r="E2696" s="10" t="str">
        <f t="shared" si="612"/>
        <v>PRBNP'!</v>
      </c>
      <c r="F2696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96" s="7" t="s">
        <v>109</v>
      </c>
      <c r="H2696" s="4"/>
      <c r="I2696" s="4"/>
      <c r="J2696" s="4"/>
    </row>
    <row r="2697" spans="1:10" x14ac:dyDescent="0.35">
      <c r="A2697" s="7" t="s">
        <v>18</v>
      </c>
      <c r="B2697" s="7">
        <f t="shared" si="614"/>
        <v>2058</v>
      </c>
      <c r="C2697" s="4" t="s">
        <v>52</v>
      </c>
      <c r="D2697" s="5" t="s">
        <v>2003</v>
      </c>
      <c r="E2697" s="10" t="str">
        <f t="shared" si="612"/>
        <v>PRBNP'!</v>
      </c>
      <c r="F2697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97" s="7" t="s">
        <v>109</v>
      </c>
      <c r="H2697" s="4"/>
      <c r="I2697" s="4"/>
      <c r="J2697" s="4"/>
    </row>
    <row r="2698" spans="1:10" x14ac:dyDescent="0.35">
      <c r="A2698" s="7" t="s">
        <v>18</v>
      </c>
      <c r="B2698" s="7">
        <f t="shared" si="614"/>
        <v>2059</v>
      </c>
      <c r="C2698" s="4" t="s">
        <v>52</v>
      </c>
      <c r="D2698" s="5" t="s">
        <v>2003</v>
      </c>
      <c r="E2698" s="10" t="str">
        <f t="shared" si="612"/>
        <v>PRBNP'!</v>
      </c>
      <c r="F2698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98" s="7" t="s">
        <v>109</v>
      </c>
      <c r="H2698" s="4"/>
      <c r="I2698" s="4"/>
      <c r="J2698" s="4"/>
    </row>
    <row r="2699" spans="1:10" x14ac:dyDescent="0.35">
      <c r="A2699" s="7" t="s">
        <v>26</v>
      </c>
      <c r="B2699" s="7"/>
      <c r="C2699" s="4" t="s">
        <v>52</v>
      </c>
      <c r="D2699" s="5"/>
      <c r="E2699" s="10"/>
      <c r="F2699" s="2"/>
      <c r="G2699" s="7"/>
      <c r="H2699" s="4"/>
      <c r="I2699" s="4"/>
      <c r="J2699" s="4"/>
    </row>
    <row r="2700" spans="1:10" x14ac:dyDescent="0.35">
      <c r="A2700" s="7" t="s">
        <v>19</v>
      </c>
      <c r="B2700" s="7">
        <v>2023</v>
      </c>
      <c r="C2700" s="4" t="s">
        <v>52</v>
      </c>
      <c r="D2700" s="5" t="s">
        <v>2003</v>
      </c>
      <c r="E2700" s="10" t="str">
        <f t="shared" ref="E2700:E2720" si="615">_xlfn.CONCAT(A2700,"'!")</f>
        <v>PRBND'!</v>
      </c>
      <c r="F2700" s="5" t="str">
        <f t="shared" ref="F2700:F2720" si="616">_xlfn.CONCAT(D2700," ",E2700)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00" s="7" t="s">
        <v>109</v>
      </c>
      <c r="H2700" s="4"/>
      <c r="I2700" s="4"/>
      <c r="J2700" s="4"/>
    </row>
    <row r="2701" spans="1:10" x14ac:dyDescent="0.35">
      <c r="A2701" s="7" t="s">
        <v>19</v>
      </c>
      <c r="B2701" s="7">
        <f>+B2700+1</f>
        <v>2024</v>
      </c>
      <c r="C2701" s="4" t="s">
        <v>52</v>
      </c>
      <c r="D2701" s="5" t="s">
        <v>2003</v>
      </c>
      <c r="E2701" s="10" t="str">
        <f t="shared" si="615"/>
        <v>PRBND'!</v>
      </c>
      <c r="F2701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01" s="7" t="s">
        <v>109</v>
      </c>
      <c r="H2701" s="4"/>
      <c r="I2701" s="4"/>
      <c r="J2701" s="4"/>
    </row>
    <row r="2702" spans="1:10" x14ac:dyDescent="0.35">
      <c r="A2702" s="7" t="s">
        <v>19</v>
      </c>
      <c r="B2702" s="7">
        <f t="shared" ref="B2702:B2713" si="617">+B2701+1</f>
        <v>2025</v>
      </c>
      <c r="C2702" s="4" t="s">
        <v>52</v>
      </c>
      <c r="D2702" s="5" t="s">
        <v>2003</v>
      </c>
      <c r="E2702" s="10" t="str">
        <f t="shared" si="615"/>
        <v>PRBND'!</v>
      </c>
      <c r="F2702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02" s="7" t="s">
        <v>109</v>
      </c>
      <c r="H2702" s="4"/>
      <c r="I2702" s="4"/>
      <c r="J2702" s="4"/>
    </row>
    <row r="2703" spans="1:10" x14ac:dyDescent="0.35">
      <c r="A2703" s="7" t="s">
        <v>19</v>
      </c>
      <c r="B2703" s="7">
        <f t="shared" si="617"/>
        <v>2026</v>
      </c>
      <c r="C2703" s="4" t="s">
        <v>52</v>
      </c>
      <c r="D2703" s="5" t="s">
        <v>2003</v>
      </c>
      <c r="E2703" s="10" t="str">
        <f t="shared" si="615"/>
        <v>PRBND'!</v>
      </c>
      <c r="F2703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03" s="7" t="s">
        <v>109</v>
      </c>
      <c r="H2703" s="4"/>
      <c r="I2703" s="4"/>
      <c r="J2703" s="4"/>
    </row>
    <row r="2704" spans="1:10" x14ac:dyDescent="0.35">
      <c r="A2704" s="7" t="s">
        <v>19</v>
      </c>
      <c r="B2704" s="7">
        <f t="shared" si="617"/>
        <v>2027</v>
      </c>
      <c r="C2704" s="4" t="s">
        <v>52</v>
      </c>
      <c r="D2704" s="5" t="s">
        <v>2003</v>
      </c>
      <c r="E2704" s="10" t="str">
        <f t="shared" si="615"/>
        <v>PRBND'!</v>
      </c>
      <c r="F2704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04" s="7" t="s">
        <v>109</v>
      </c>
      <c r="H2704" s="4"/>
      <c r="I2704" s="4"/>
      <c r="J2704" s="4"/>
    </row>
    <row r="2705" spans="1:10" x14ac:dyDescent="0.35">
      <c r="A2705" s="7" t="s">
        <v>19</v>
      </c>
      <c r="B2705" s="7">
        <f t="shared" si="617"/>
        <v>2028</v>
      </c>
      <c r="C2705" s="4" t="s">
        <v>52</v>
      </c>
      <c r="D2705" s="5" t="s">
        <v>2003</v>
      </c>
      <c r="E2705" s="10" t="str">
        <f t="shared" si="615"/>
        <v>PRBND'!</v>
      </c>
      <c r="F2705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05" s="7" t="s">
        <v>109</v>
      </c>
      <c r="H2705" s="4"/>
      <c r="I2705" s="4"/>
      <c r="J2705" s="4"/>
    </row>
    <row r="2706" spans="1:10" x14ac:dyDescent="0.35">
      <c r="A2706" s="7" t="s">
        <v>19</v>
      </c>
      <c r="B2706" s="7">
        <f t="shared" si="617"/>
        <v>2029</v>
      </c>
      <c r="C2706" s="4" t="s">
        <v>52</v>
      </c>
      <c r="D2706" s="5" t="s">
        <v>2003</v>
      </c>
      <c r="E2706" s="10" t="str">
        <f t="shared" si="615"/>
        <v>PRBND'!</v>
      </c>
      <c r="F2706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06" s="7" t="s">
        <v>109</v>
      </c>
      <c r="H2706" s="4"/>
      <c r="I2706" s="4"/>
      <c r="J2706" s="4"/>
    </row>
    <row r="2707" spans="1:10" x14ac:dyDescent="0.35">
      <c r="A2707" s="7" t="s">
        <v>19</v>
      </c>
      <c r="B2707" s="7">
        <f t="shared" si="617"/>
        <v>2030</v>
      </c>
      <c r="C2707" s="4" t="s">
        <v>52</v>
      </c>
      <c r="D2707" s="5" t="s">
        <v>2003</v>
      </c>
      <c r="E2707" s="10" t="str">
        <f t="shared" si="615"/>
        <v>PRBND'!</v>
      </c>
      <c r="F2707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07" s="7" t="s">
        <v>109</v>
      </c>
      <c r="H2707" s="4"/>
      <c r="I2707" s="4"/>
      <c r="J2707" s="4"/>
    </row>
    <row r="2708" spans="1:10" x14ac:dyDescent="0.35">
      <c r="A2708" s="7" t="s">
        <v>19</v>
      </c>
      <c r="B2708" s="7">
        <f t="shared" si="617"/>
        <v>2031</v>
      </c>
      <c r="C2708" s="4" t="s">
        <v>52</v>
      </c>
      <c r="D2708" s="5" t="s">
        <v>2003</v>
      </c>
      <c r="E2708" s="10" t="str">
        <f t="shared" si="615"/>
        <v>PRBND'!</v>
      </c>
      <c r="F2708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08" s="7" t="s">
        <v>109</v>
      </c>
      <c r="H2708" s="4"/>
      <c r="I2708" s="4"/>
      <c r="J2708" s="4"/>
    </row>
    <row r="2709" spans="1:10" x14ac:dyDescent="0.35">
      <c r="A2709" s="7" t="s">
        <v>19</v>
      </c>
      <c r="B2709" s="7">
        <f t="shared" si="617"/>
        <v>2032</v>
      </c>
      <c r="C2709" s="4" t="s">
        <v>52</v>
      </c>
      <c r="D2709" s="5" t="s">
        <v>2003</v>
      </c>
      <c r="E2709" s="10" t="str">
        <f t="shared" si="615"/>
        <v>PRBND'!</v>
      </c>
      <c r="F2709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09" s="7" t="s">
        <v>109</v>
      </c>
      <c r="H2709" s="4"/>
      <c r="I2709" s="4"/>
      <c r="J2709" s="4"/>
    </row>
    <row r="2710" spans="1:10" x14ac:dyDescent="0.35">
      <c r="A2710" s="7" t="s">
        <v>19</v>
      </c>
      <c r="B2710" s="7">
        <f t="shared" si="617"/>
        <v>2033</v>
      </c>
      <c r="C2710" s="4" t="s">
        <v>52</v>
      </c>
      <c r="D2710" s="5" t="s">
        <v>2003</v>
      </c>
      <c r="E2710" s="10" t="str">
        <f t="shared" si="615"/>
        <v>PRBND'!</v>
      </c>
      <c r="F2710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10" s="7" t="s">
        <v>109</v>
      </c>
      <c r="H2710" s="4"/>
      <c r="I2710" s="4"/>
      <c r="J2710" s="4"/>
    </row>
    <row r="2711" spans="1:10" x14ac:dyDescent="0.35">
      <c r="A2711" s="7" t="s">
        <v>19</v>
      </c>
      <c r="B2711" s="7">
        <f t="shared" si="617"/>
        <v>2034</v>
      </c>
      <c r="C2711" s="4" t="s">
        <v>52</v>
      </c>
      <c r="D2711" s="5" t="s">
        <v>2003</v>
      </c>
      <c r="E2711" s="10" t="str">
        <f t="shared" si="615"/>
        <v>PRBND'!</v>
      </c>
      <c r="F2711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11" s="7" t="s">
        <v>109</v>
      </c>
      <c r="H2711" s="4"/>
      <c r="I2711" s="4"/>
      <c r="J2711" s="4"/>
    </row>
    <row r="2712" spans="1:10" x14ac:dyDescent="0.35">
      <c r="A2712" s="7" t="s">
        <v>19</v>
      </c>
      <c r="B2712" s="7">
        <f t="shared" si="617"/>
        <v>2035</v>
      </c>
      <c r="C2712" s="4" t="s">
        <v>52</v>
      </c>
      <c r="D2712" s="5" t="s">
        <v>2003</v>
      </c>
      <c r="E2712" s="10" t="str">
        <f t="shared" si="615"/>
        <v>PRBND'!</v>
      </c>
      <c r="F2712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12" s="7" t="s">
        <v>109</v>
      </c>
      <c r="H2712" s="4"/>
      <c r="I2712" s="4"/>
      <c r="J2712" s="4"/>
    </row>
    <row r="2713" spans="1:10" x14ac:dyDescent="0.35">
      <c r="A2713" s="7" t="s">
        <v>19</v>
      </c>
      <c r="B2713" s="7">
        <f t="shared" si="617"/>
        <v>2036</v>
      </c>
      <c r="C2713" s="4" t="s">
        <v>52</v>
      </c>
      <c r="D2713" s="5" t="s">
        <v>2003</v>
      </c>
      <c r="E2713" s="10" t="str">
        <f t="shared" si="615"/>
        <v>PRBND'!</v>
      </c>
      <c r="F2713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13" s="7" t="s">
        <v>109</v>
      </c>
      <c r="H2713" s="4"/>
      <c r="I2713" s="4"/>
      <c r="J2713" s="4"/>
    </row>
    <row r="2714" spans="1:10" x14ac:dyDescent="0.35">
      <c r="A2714" s="7" t="s">
        <v>19</v>
      </c>
      <c r="B2714" s="7">
        <f>+B2713+1</f>
        <v>2037</v>
      </c>
      <c r="C2714" s="4" t="s">
        <v>52</v>
      </c>
      <c r="D2714" s="5" t="s">
        <v>2003</v>
      </c>
      <c r="E2714" s="10" t="str">
        <f t="shared" si="615"/>
        <v>PRBND'!</v>
      </c>
      <c r="F2714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14" s="7" t="s">
        <v>109</v>
      </c>
      <c r="H2714" s="4"/>
      <c r="I2714" s="4"/>
      <c r="J2714" s="4"/>
    </row>
    <row r="2715" spans="1:10" x14ac:dyDescent="0.35">
      <c r="A2715" s="7" t="s">
        <v>19</v>
      </c>
      <c r="B2715" s="7">
        <f t="shared" ref="B2715:B2717" si="618">+B2714+1</f>
        <v>2038</v>
      </c>
      <c r="C2715" s="4" t="s">
        <v>52</v>
      </c>
      <c r="D2715" s="5" t="s">
        <v>2003</v>
      </c>
      <c r="E2715" s="10" t="str">
        <f t="shared" si="615"/>
        <v>PRBND'!</v>
      </c>
      <c r="F2715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15" s="7" t="s">
        <v>109</v>
      </c>
      <c r="H2715" s="4"/>
      <c r="I2715" s="4"/>
      <c r="J2715" s="4"/>
    </row>
    <row r="2716" spans="1:10" x14ac:dyDescent="0.35">
      <c r="A2716" s="7" t="s">
        <v>19</v>
      </c>
      <c r="B2716" s="7">
        <f t="shared" si="618"/>
        <v>2039</v>
      </c>
      <c r="C2716" s="4" t="s">
        <v>52</v>
      </c>
      <c r="D2716" s="5" t="s">
        <v>2003</v>
      </c>
      <c r="E2716" s="10" t="str">
        <f t="shared" si="615"/>
        <v>PRBND'!</v>
      </c>
      <c r="F2716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16" s="7" t="s">
        <v>109</v>
      </c>
      <c r="H2716" s="4"/>
      <c r="I2716" s="4"/>
      <c r="J2716" s="4"/>
    </row>
    <row r="2717" spans="1:10" x14ac:dyDescent="0.35">
      <c r="A2717" s="7" t="s">
        <v>19</v>
      </c>
      <c r="B2717" s="7">
        <f t="shared" si="618"/>
        <v>2040</v>
      </c>
      <c r="C2717" s="4" t="s">
        <v>52</v>
      </c>
      <c r="D2717" s="5" t="s">
        <v>2003</v>
      </c>
      <c r="E2717" s="10" t="str">
        <f t="shared" si="615"/>
        <v>PRBND'!</v>
      </c>
      <c r="F2717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17" s="7" t="s">
        <v>109</v>
      </c>
      <c r="H2717" s="4"/>
      <c r="I2717" s="4"/>
      <c r="J2717" s="4"/>
    </row>
    <row r="2718" spans="1:10" x14ac:dyDescent="0.35">
      <c r="A2718" s="7" t="s">
        <v>19</v>
      </c>
      <c r="B2718" s="7">
        <f>+B2717+1</f>
        <v>2041</v>
      </c>
      <c r="C2718" s="4" t="s">
        <v>52</v>
      </c>
      <c r="D2718" s="5" t="s">
        <v>2003</v>
      </c>
      <c r="E2718" s="10" t="str">
        <f t="shared" si="615"/>
        <v>PRBND'!</v>
      </c>
      <c r="F2718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18" s="7" t="s">
        <v>109</v>
      </c>
      <c r="H2718" s="4"/>
      <c r="I2718" s="4"/>
      <c r="J2718" s="4"/>
    </row>
    <row r="2719" spans="1:10" x14ac:dyDescent="0.35">
      <c r="A2719" s="7" t="s">
        <v>19</v>
      </c>
      <c r="B2719" s="7">
        <f t="shared" ref="B2719:B2720" si="619">+B2718+1</f>
        <v>2042</v>
      </c>
      <c r="C2719" s="4" t="s">
        <v>52</v>
      </c>
      <c r="D2719" s="5" t="s">
        <v>2003</v>
      </c>
      <c r="E2719" s="10" t="str">
        <f t="shared" si="615"/>
        <v>PRBND'!</v>
      </c>
      <c r="F2719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19" s="7" t="s">
        <v>109</v>
      </c>
      <c r="H2719" s="4"/>
      <c r="I2719" s="4"/>
      <c r="J2719" s="4"/>
    </row>
    <row r="2720" spans="1:10" x14ac:dyDescent="0.35">
      <c r="A2720" s="7" t="s">
        <v>19</v>
      </c>
      <c r="B2720" s="7">
        <f t="shared" si="619"/>
        <v>2043</v>
      </c>
      <c r="C2720" s="4" t="s">
        <v>52</v>
      </c>
      <c r="D2720" s="5" t="s">
        <v>2003</v>
      </c>
      <c r="E2720" s="10" t="str">
        <f t="shared" si="615"/>
        <v>PRBND'!</v>
      </c>
      <c r="F2720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20" s="7" t="s">
        <v>109</v>
      </c>
      <c r="H2720" s="4"/>
      <c r="I2720" s="4"/>
      <c r="J2720" s="4"/>
    </row>
    <row r="2721" spans="1:10" x14ac:dyDescent="0.35">
      <c r="A2721" s="7" t="s">
        <v>19</v>
      </c>
      <c r="B2721" s="7">
        <f>+B2720+1</f>
        <v>2044</v>
      </c>
      <c r="C2721" s="4" t="s">
        <v>52</v>
      </c>
      <c r="D2721" s="5" t="s">
        <v>2003</v>
      </c>
      <c r="E2721" s="10" t="str">
        <f t="shared" ref="E2721:E2736" si="620">_xlfn.CONCAT(A2721,"'!")</f>
        <v>PRBND'!</v>
      </c>
      <c r="F2721" s="5" t="str">
        <f t="shared" ref="F2721:F2736" si="621">_xlfn.CONCAT(D2721," ",E2721)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21" s="7" t="s">
        <v>109</v>
      </c>
      <c r="H2721" s="4"/>
      <c r="I2721" s="4"/>
      <c r="J2721" s="4"/>
    </row>
    <row r="2722" spans="1:10" x14ac:dyDescent="0.35">
      <c r="A2722" s="7" t="s">
        <v>19</v>
      </c>
      <c r="B2722" s="7">
        <f t="shared" ref="B2722:B2736" si="622">+B2721+1</f>
        <v>2045</v>
      </c>
      <c r="C2722" s="4" t="s">
        <v>52</v>
      </c>
      <c r="D2722" s="5" t="s">
        <v>2003</v>
      </c>
      <c r="E2722" s="10" t="str">
        <f t="shared" si="620"/>
        <v>PRBND'!</v>
      </c>
      <c r="F2722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22" s="7" t="s">
        <v>109</v>
      </c>
      <c r="H2722" s="4"/>
      <c r="I2722" s="4"/>
      <c r="J2722" s="4"/>
    </row>
    <row r="2723" spans="1:10" x14ac:dyDescent="0.35">
      <c r="A2723" s="7" t="s">
        <v>19</v>
      </c>
      <c r="B2723" s="7">
        <f t="shared" si="622"/>
        <v>2046</v>
      </c>
      <c r="C2723" s="4" t="s">
        <v>52</v>
      </c>
      <c r="D2723" s="5" t="s">
        <v>2003</v>
      </c>
      <c r="E2723" s="10" t="str">
        <f t="shared" si="620"/>
        <v>PRBND'!</v>
      </c>
      <c r="F2723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23" s="7" t="s">
        <v>109</v>
      </c>
      <c r="H2723" s="4"/>
      <c r="I2723" s="4"/>
      <c r="J2723" s="4"/>
    </row>
    <row r="2724" spans="1:10" x14ac:dyDescent="0.35">
      <c r="A2724" s="7" t="s">
        <v>19</v>
      </c>
      <c r="B2724" s="7">
        <f t="shared" si="622"/>
        <v>2047</v>
      </c>
      <c r="C2724" s="4" t="s">
        <v>52</v>
      </c>
      <c r="D2724" s="5" t="s">
        <v>2003</v>
      </c>
      <c r="E2724" s="10" t="str">
        <f t="shared" si="620"/>
        <v>PRBND'!</v>
      </c>
      <c r="F2724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24" s="7" t="s">
        <v>109</v>
      </c>
      <c r="H2724" s="4"/>
      <c r="I2724" s="4"/>
      <c r="J2724" s="4"/>
    </row>
    <row r="2725" spans="1:10" x14ac:dyDescent="0.35">
      <c r="A2725" s="7" t="s">
        <v>19</v>
      </c>
      <c r="B2725" s="7">
        <f t="shared" si="622"/>
        <v>2048</v>
      </c>
      <c r="C2725" s="4" t="s">
        <v>52</v>
      </c>
      <c r="D2725" s="5" t="s">
        <v>2003</v>
      </c>
      <c r="E2725" s="10" t="str">
        <f t="shared" si="620"/>
        <v>PRBND'!</v>
      </c>
      <c r="F2725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25" s="7" t="s">
        <v>109</v>
      </c>
      <c r="H2725" s="4"/>
      <c r="I2725" s="4"/>
      <c r="J2725" s="4"/>
    </row>
    <row r="2726" spans="1:10" x14ac:dyDescent="0.35">
      <c r="A2726" s="7" t="s">
        <v>19</v>
      </c>
      <c r="B2726" s="7">
        <f t="shared" si="622"/>
        <v>2049</v>
      </c>
      <c r="C2726" s="4" t="s">
        <v>52</v>
      </c>
      <c r="D2726" s="5" t="s">
        <v>2003</v>
      </c>
      <c r="E2726" s="10" t="str">
        <f t="shared" si="620"/>
        <v>PRBND'!</v>
      </c>
      <c r="F2726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26" s="7" t="s">
        <v>109</v>
      </c>
      <c r="H2726" s="4"/>
      <c r="I2726" s="4"/>
      <c r="J2726" s="4"/>
    </row>
    <row r="2727" spans="1:10" x14ac:dyDescent="0.35">
      <c r="A2727" s="7" t="s">
        <v>19</v>
      </c>
      <c r="B2727" s="7">
        <f t="shared" si="622"/>
        <v>2050</v>
      </c>
      <c r="C2727" s="4" t="s">
        <v>52</v>
      </c>
      <c r="D2727" s="5" t="s">
        <v>2003</v>
      </c>
      <c r="E2727" s="10" t="str">
        <f t="shared" si="620"/>
        <v>PRBND'!</v>
      </c>
      <c r="F2727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27" s="7" t="s">
        <v>109</v>
      </c>
      <c r="H2727" s="4"/>
      <c r="I2727" s="4"/>
      <c r="J2727" s="4"/>
    </row>
    <row r="2728" spans="1:10" x14ac:dyDescent="0.35">
      <c r="A2728" s="7" t="s">
        <v>19</v>
      </c>
      <c r="B2728" s="7">
        <f t="shared" si="622"/>
        <v>2051</v>
      </c>
      <c r="C2728" s="4" t="s">
        <v>52</v>
      </c>
      <c r="D2728" s="5" t="s">
        <v>2003</v>
      </c>
      <c r="E2728" s="10" t="str">
        <f t="shared" si="620"/>
        <v>PRBND'!</v>
      </c>
      <c r="F2728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28" s="7" t="s">
        <v>109</v>
      </c>
      <c r="H2728" s="4"/>
      <c r="I2728" s="4"/>
      <c r="J2728" s="4"/>
    </row>
    <row r="2729" spans="1:10" x14ac:dyDescent="0.35">
      <c r="A2729" s="7" t="s">
        <v>19</v>
      </c>
      <c r="B2729" s="7">
        <f t="shared" si="622"/>
        <v>2052</v>
      </c>
      <c r="C2729" s="4" t="s">
        <v>52</v>
      </c>
      <c r="D2729" s="5" t="s">
        <v>2003</v>
      </c>
      <c r="E2729" s="10" t="str">
        <f t="shared" si="620"/>
        <v>PRBND'!</v>
      </c>
      <c r="F2729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29" s="7" t="s">
        <v>109</v>
      </c>
      <c r="H2729" s="4"/>
      <c r="I2729" s="4"/>
      <c r="J2729" s="4"/>
    </row>
    <row r="2730" spans="1:10" x14ac:dyDescent="0.35">
      <c r="A2730" s="7" t="s">
        <v>19</v>
      </c>
      <c r="B2730" s="7">
        <f t="shared" si="622"/>
        <v>2053</v>
      </c>
      <c r="C2730" s="4" t="s">
        <v>52</v>
      </c>
      <c r="D2730" s="5" t="s">
        <v>2003</v>
      </c>
      <c r="E2730" s="10" t="str">
        <f t="shared" si="620"/>
        <v>PRBND'!</v>
      </c>
      <c r="F2730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30" s="7" t="s">
        <v>109</v>
      </c>
      <c r="H2730" s="4"/>
      <c r="I2730" s="4"/>
      <c r="J2730" s="4"/>
    </row>
    <row r="2731" spans="1:10" x14ac:dyDescent="0.35">
      <c r="A2731" s="7" t="s">
        <v>19</v>
      </c>
      <c r="B2731" s="7">
        <f t="shared" si="622"/>
        <v>2054</v>
      </c>
      <c r="C2731" s="4" t="s">
        <v>52</v>
      </c>
      <c r="D2731" s="5" t="s">
        <v>2003</v>
      </c>
      <c r="E2731" s="10" t="str">
        <f t="shared" si="620"/>
        <v>PRBND'!</v>
      </c>
      <c r="F2731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31" s="7" t="s">
        <v>109</v>
      </c>
      <c r="H2731" s="4"/>
      <c r="I2731" s="4"/>
      <c r="J2731" s="4"/>
    </row>
    <row r="2732" spans="1:10" x14ac:dyDescent="0.35">
      <c r="A2732" s="7" t="s">
        <v>19</v>
      </c>
      <c r="B2732" s="7">
        <f t="shared" si="622"/>
        <v>2055</v>
      </c>
      <c r="C2732" s="4" t="s">
        <v>52</v>
      </c>
      <c r="D2732" s="5" t="s">
        <v>2003</v>
      </c>
      <c r="E2732" s="10" t="str">
        <f t="shared" si="620"/>
        <v>PRBND'!</v>
      </c>
      <c r="F2732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32" s="7" t="s">
        <v>109</v>
      </c>
      <c r="H2732" s="4"/>
      <c r="I2732" s="4"/>
      <c r="J2732" s="4"/>
    </row>
    <row r="2733" spans="1:10" x14ac:dyDescent="0.35">
      <c r="A2733" s="7" t="s">
        <v>19</v>
      </c>
      <c r="B2733" s="7">
        <f t="shared" si="622"/>
        <v>2056</v>
      </c>
      <c r="C2733" s="4" t="s">
        <v>52</v>
      </c>
      <c r="D2733" s="5" t="s">
        <v>2003</v>
      </c>
      <c r="E2733" s="10" t="str">
        <f t="shared" si="620"/>
        <v>PRBND'!</v>
      </c>
      <c r="F2733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33" s="7" t="s">
        <v>109</v>
      </c>
      <c r="H2733" s="4"/>
      <c r="I2733" s="4"/>
      <c r="J2733" s="4"/>
    </row>
    <row r="2734" spans="1:10" x14ac:dyDescent="0.35">
      <c r="A2734" s="7" t="s">
        <v>19</v>
      </c>
      <c r="B2734" s="7">
        <f t="shared" si="622"/>
        <v>2057</v>
      </c>
      <c r="C2734" s="4" t="s">
        <v>52</v>
      </c>
      <c r="D2734" s="5" t="s">
        <v>2003</v>
      </c>
      <c r="E2734" s="10" t="str">
        <f t="shared" si="620"/>
        <v>PRBND'!</v>
      </c>
      <c r="F2734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34" s="7" t="s">
        <v>109</v>
      </c>
      <c r="H2734" s="4"/>
      <c r="I2734" s="4"/>
      <c r="J2734" s="4"/>
    </row>
    <row r="2735" spans="1:10" x14ac:dyDescent="0.35">
      <c r="A2735" s="7" t="s">
        <v>19</v>
      </c>
      <c r="B2735" s="7">
        <f t="shared" si="622"/>
        <v>2058</v>
      </c>
      <c r="C2735" s="4" t="s">
        <v>52</v>
      </c>
      <c r="D2735" s="5" t="s">
        <v>2003</v>
      </c>
      <c r="E2735" s="10" t="str">
        <f t="shared" si="620"/>
        <v>PRBND'!</v>
      </c>
      <c r="F2735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35" s="7" t="s">
        <v>109</v>
      </c>
      <c r="H2735" s="4"/>
      <c r="I2735" s="4"/>
      <c r="J2735" s="4"/>
    </row>
    <row r="2736" spans="1:10" x14ac:dyDescent="0.35">
      <c r="A2736" s="7" t="s">
        <v>19</v>
      </c>
      <c r="B2736" s="7">
        <f t="shared" si="622"/>
        <v>2059</v>
      </c>
      <c r="C2736" s="4" t="s">
        <v>52</v>
      </c>
      <c r="D2736" s="5" t="s">
        <v>2003</v>
      </c>
      <c r="E2736" s="10" t="str">
        <f t="shared" si="620"/>
        <v>PRBND'!</v>
      </c>
      <c r="F2736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36" s="7" t="s">
        <v>109</v>
      </c>
      <c r="H2736" s="4"/>
      <c r="I2736" s="4"/>
      <c r="J2736" s="4"/>
    </row>
    <row r="2737" spans="1:10" x14ac:dyDescent="0.35">
      <c r="A2737" s="7" t="s">
        <v>26</v>
      </c>
      <c r="B2737" s="7"/>
      <c r="C2737" s="4" t="s">
        <v>52</v>
      </c>
      <c r="D2737" s="5"/>
      <c r="E2737" s="10"/>
      <c r="F2737" s="2"/>
      <c r="G2737" s="7"/>
      <c r="H2737" s="4"/>
      <c r="I2737" s="4"/>
      <c r="J2737" s="4"/>
    </row>
    <row r="2738" spans="1:10" x14ac:dyDescent="0.35">
      <c r="A2738" s="7" t="s">
        <v>20</v>
      </c>
      <c r="B2738" s="7">
        <v>2023</v>
      </c>
      <c r="C2738" s="4" t="s">
        <v>52</v>
      </c>
      <c r="D2738" s="5" t="s">
        <v>2003</v>
      </c>
      <c r="E2738" s="10" t="str">
        <f t="shared" si="592"/>
        <v>PRB'!</v>
      </c>
      <c r="F2738" s="5" t="str">
        <f t="shared" ref="F2738:F2758" si="623">_xlfn.CONCAT(D2738," ",E2738)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38" s="7" t="s">
        <v>109</v>
      </c>
      <c r="H2738" s="4">
        <f>IF(A2738&lt;&gt;A2608,36,H2608+1)</f>
        <v>36</v>
      </c>
      <c r="I2738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PRB'!$DN$36</v>
      </c>
      <c r="J2738" s="4" t="s">
        <v>3225</v>
      </c>
    </row>
    <row r="2739" spans="1:10" x14ac:dyDescent="0.35">
      <c r="A2739" s="7" t="s">
        <v>20</v>
      </c>
      <c r="B2739" s="7">
        <f>+B2738+1</f>
        <v>2024</v>
      </c>
      <c r="C2739" s="4" t="s">
        <v>52</v>
      </c>
      <c r="D2739" s="5" t="s">
        <v>2003</v>
      </c>
      <c r="E2739" s="10" t="str">
        <f t="shared" si="592"/>
        <v>PRB'!</v>
      </c>
      <c r="F2739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39" s="7" t="s">
        <v>109</v>
      </c>
      <c r="H2739" s="4">
        <f t="shared" si="594"/>
        <v>37</v>
      </c>
      <c r="I2739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PRB'!$DN$37</v>
      </c>
      <c r="J2739" s="4" t="s">
        <v>3226</v>
      </c>
    </row>
    <row r="2740" spans="1:10" x14ac:dyDescent="0.35">
      <c r="A2740" s="7" t="s">
        <v>20</v>
      </c>
      <c r="B2740" s="7">
        <f t="shared" ref="B2740:B2751" si="624">+B2739+1</f>
        <v>2025</v>
      </c>
      <c r="C2740" s="4" t="s">
        <v>52</v>
      </c>
      <c r="D2740" s="5" t="s">
        <v>2003</v>
      </c>
      <c r="E2740" s="10" t="str">
        <f t="shared" si="592"/>
        <v>PRB'!</v>
      </c>
      <c r="F2740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40" s="7" t="s">
        <v>109</v>
      </c>
      <c r="H2740" s="4">
        <f t="shared" si="594"/>
        <v>38</v>
      </c>
      <c r="I2740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PRB'!$DN$38</v>
      </c>
      <c r="J2740" s="4" t="s">
        <v>3227</v>
      </c>
    </row>
    <row r="2741" spans="1:10" x14ac:dyDescent="0.35">
      <c r="A2741" s="7" t="s">
        <v>20</v>
      </c>
      <c r="B2741" s="7">
        <f t="shared" si="624"/>
        <v>2026</v>
      </c>
      <c r="C2741" s="4" t="s">
        <v>52</v>
      </c>
      <c r="D2741" s="5" t="s">
        <v>2003</v>
      </c>
      <c r="E2741" s="10" t="str">
        <f t="shared" si="592"/>
        <v>PRB'!</v>
      </c>
      <c r="F2741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41" s="7" t="s">
        <v>109</v>
      </c>
      <c r="H2741" s="4">
        <f t="shared" si="594"/>
        <v>39</v>
      </c>
      <c r="I2741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PRB'!$DN$39</v>
      </c>
      <c r="J2741" s="4" t="s">
        <v>3228</v>
      </c>
    </row>
    <row r="2742" spans="1:10" x14ac:dyDescent="0.35">
      <c r="A2742" s="7" t="s">
        <v>20</v>
      </c>
      <c r="B2742" s="7">
        <f t="shared" si="624"/>
        <v>2027</v>
      </c>
      <c r="C2742" s="4" t="s">
        <v>52</v>
      </c>
      <c r="D2742" s="5" t="s">
        <v>2003</v>
      </c>
      <c r="E2742" s="10" t="str">
        <f t="shared" si="592"/>
        <v>PRB'!</v>
      </c>
      <c r="F2742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42" s="7" t="s">
        <v>109</v>
      </c>
      <c r="H2742" s="4">
        <f t="shared" si="594"/>
        <v>40</v>
      </c>
      <c r="I2742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PRB'!$DN$40</v>
      </c>
      <c r="J2742" s="4" t="s">
        <v>3229</v>
      </c>
    </row>
    <row r="2743" spans="1:10" x14ac:dyDescent="0.35">
      <c r="A2743" s="7" t="s">
        <v>20</v>
      </c>
      <c r="B2743" s="7">
        <f t="shared" si="624"/>
        <v>2028</v>
      </c>
      <c r="C2743" s="4" t="s">
        <v>52</v>
      </c>
      <c r="D2743" s="5" t="s">
        <v>2003</v>
      </c>
      <c r="E2743" s="10" t="str">
        <f t="shared" si="592"/>
        <v>PRB'!</v>
      </c>
      <c r="F2743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43" s="7" t="s">
        <v>109</v>
      </c>
      <c r="H2743" s="4">
        <f t="shared" si="594"/>
        <v>41</v>
      </c>
      <c r="I2743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PRB'!$DN$41</v>
      </c>
      <c r="J2743" s="4" t="s">
        <v>3230</v>
      </c>
    </row>
    <row r="2744" spans="1:10" x14ac:dyDescent="0.35">
      <c r="A2744" s="7" t="s">
        <v>20</v>
      </c>
      <c r="B2744" s="7">
        <f t="shared" si="624"/>
        <v>2029</v>
      </c>
      <c r="C2744" s="4" t="s">
        <v>52</v>
      </c>
      <c r="D2744" s="5" t="s">
        <v>2003</v>
      </c>
      <c r="E2744" s="10" t="str">
        <f t="shared" si="592"/>
        <v>PRB'!</v>
      </c>
      <c r="F2744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44" s="7" t="s">
        <v>109</v>
      </c>
      <c r="H2744" s="4">
        <f t="shared" si="594"/>
        <v>42</v>
      </c>
      <c r="I2744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PRB'!$DN$42</v>
      </c>
      <c r="J2744" s="4" t="s">
        <v>3231</v>
      </c>
    </row>
    <row r="2745" spans="1:10" x14ac:dyDescent="0.35">
      <c r="A2745" s="7" t="s">
        <v>20</v>
      </c>
      <c r="B2745" s="7">
        <f t="shared" si="624"/>
        <v>2030</v>
      </c>
      <c r="C2745" s="4" t="s">
        <v>52</v>
      </c>
      <c r="D2745" s="5" t="s">
        <v>2003</v>
      </c>
      <c r="E2745" s="10" t="str">
        <f t="shared" si="592"/>
        <v>PRB'!</v>
      </c>
      <c r="F2745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45" s="7" t="s">
        <v>109</v>
      </c>
      <c r="H2745" s="4">
        <f t="shared" si="594"/>
        <v>43</v>
      </c>
      <c r="I2745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PRB'!$DN$43</v>
      </c>
      <c r="J2745" s="4" t="s">
        <v>3232</v>
      </c>
    </row>
    <row r="2746" spans="1:10" x14ac:dyDescent="0.35">
      <c r="A2746" s="7" t="s">
        <v>20</v>
      </c>
      <c r="B2746" s="7">
        <f t="shared" si="624"/>
        <v>2031</v>
      </c>
      <c r="C2746" s="4" t="s">
        <v>52</v>
      </c>
      <c r="D2746" s="5" t="s">
        <v>2003</v>
      </c>
      <c r="E2746" s="10" t="str">
        <f t="shared" si="592"/>
        <v>PRB'!</v>
      </c>
      <c r="F2746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46" s="7" t="s">
        <v>109</v>
      </c>
      <c r="H2746" s="4">
        <f t="shared" si="594"/>
        <v>44</v>
      </c>
      <c r="I2746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PRB'!$DN$44</v>
      </c>
      <c r="J2746" s="4" t="s">
        <v>3233</v>
      </c>
    </row>
    <row r="2747" spans="1:10" x14ac:dyDescent="0.35">
      <c r="A2747" s="7" t="s">
        <v>20</v>
      </c>
      <c r="B2747" s="7">
        <f t="shared" si="624"/>
        <v>2032</v>
      </c>
      <c r="C2747" s="4" t="s">
        <v>52</v>
      </c>
      <c r="D2747" s="5" t="s">
        <v>2003</v>
      </c>
      <c r="E2747" s="10" t="str">
        <f t="shared" si="592"/>
        <v>PRB'!</v>
      </c>
      <c r="F2747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47" s="7" t="s">
        <v>109</v>
      </c>
      <c r="H2747" s="4">
        <f t="shared" si="594"/>
        <v>45</v>
      </c>
      <c r="I2747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PRB'!$DN$45</v>
      </c>
      <c r="J2747" s="4" t="s">
        <v>3234</v>
      </c>
    </row>
    <row r="2748" spans="1:10" x14ac:dyDescent="0.35">
      <c r="A2748" s="7" t="s">
        <v>20</v>
      </c>
      <c r="B2748" s="7">
        <f t="shared" si="624"/>
        <v>2033</v>
      </c>
      <c r="C2748" s="4" t="s">
        <v>52</v>
      </c>
      <c r="D2748" s="5" t="s">
        <v>2003</v>
      </c>
      <c r="E2748" s="10" t="str">
        <f t="shared" si="592"/>
        <v>PRB'!</v>
      </c>
      <c r="F2748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48" s="7" t="s">
        <v>109</v>
      </c>
      <c r="H2748" s="4">
        <f t="shared" si="594"/>
        <v>46</v>
      </c>
      <c r="I2748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PRB'!$DN$46</v>
      </c>
      <c r="J2748" s="4" t="s">
        <v>3235</v>
      </c>
    </row>
    <row r="2749" spans="1:10" x14ac:dyDescent="0.35">
      <c r="A2749" s="7" t="s">
        <v>20</v>
      </c>
      <c r="B2749" s="7">
        <f t="shared" si="624"/>
        <v>2034</v>
      </c>
      <c r="C2749" s="4" t="s">
        <v>52</v>
      </c>
      <c r="D2749" s="5" t="s">
        <v>2003</v>
      </c>
      <c r="E2749" s="10" t="str">
        <f t="shared" si="592"/>
        <v>PRB'!</v>
      </c>
      <c r="F2749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49" s="7" t="s">
        <v>109</v>
      </c>
      <c r="H2749" s="4">
        <f t="shared" si="594"/>
        <v>47</v>
      </c>
      <c r="I2749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PRB'!$DN$47</v>
      </c>
      <c r="J2749" s="4" t="s">
        <v>3236</v>
      </c>
    </row>
    <row r="2750" spans="1:10" x14ac:dyDescent="0.35">
      <c r="A2750" s="7" t="s">
        <v>20</v>
      </c>
      <c r="B2750" s="7">
        <f t="shared" si="624"/>
        <v>2035</v>
      </c>
      <c r="C2750" s="4" t="s">
        <v>52</v>
      </c>
      <c r="D2750" s="5" t="s">
        <v>2003</v>
      </c>
      <c r="E2750" s="10" t="str">
        <f t="shared" si="592"/>
        <v>PRB'!</v>
      </c>
      <c r="F2750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50" s="7" t="s">
        <v>109</v>
      </c>
      <c r="H2750" s="4">
        <f t="shared" si="594"/>
        <v>48</v>
      </c>
      <c r="I2750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PRB'!$DN$48</v>
      </c>
      <c r="J2750" s="4" t="s">
        <v>3237</v>
      </c>
    </row>
    <row r="2751" spans="1:10" x14ac:dyDescent="0.35">
      <c r="A2751" s="7" t="s">
        <v>20</v>
      </c>
      <c r="B2751" s="7">
        <f t="shared" si="624"/>
        <v>2036</v>
      </c>
      <c r="C2751" s="4" t="s">
        <v>52</v>
      </c>
      <c r="D2751" s="5" t="s">
        <v>2003</v>
      </c>
      <c r="E2751" s="10" t="str">
        <f t="shared" si="592"/>
        <v>PRB'!</v>
      </c>
      <c r="F2751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51" s="7" t="s">
        <v>109</v>
      </c>
      <c r="H2751" s="4">
        <f t="shared" si="594"/>
        <v>49</v>
      </c>
      <c r="I2751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PRB'!$DN$49</v>
      </c>
      <c r="J2751" s="4" t="s">
        <v>3238</v>
      </c>
    </row>
    <row r="2752" spans="1:10" x14ac:dyDescent="0.35">
      <c r="A2752" s="7" t="s">
        <v>20</v>
      </c>
      <c r="B2752" s="7">
        <f>+B2751+1</f>
        <v>2037</v>
      </c>
      <c r="C2752" s="4" t="s">
        <v>52</v>
      </c>
      <c r="D2752" s="5" t="s">
        <v>2003</v>
      </c>
      <c r="E2752" s="10" t="str">
        <f t="shared" si="592"/>
        <v>PRB'!</v>
      </c>
      <c r="F2752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52" s="7" t="s">
        <v>109</v>
      </c>
      <c r="H2752" s="4">
        <f t="shared" si="594"/>
        <v>50</v>
      </c>
      <c r="I2752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PRB'!$DN$50</v>
      </c>
      <c r="J2752" s="4" t="s">
        <v>3239</v>
      </c>
    </row>
    <row r="2753" spans="1:10" x14ac:dyDescent="0.35">
      <c r="A2753" s="7" t="s">
        <v>20</v>
      </c>
      <c r="B2753" s="7">
        <f t="shared" ref="B2753:B2755" si="625">+B2752+1</f>
        <v>2038</v>
      </c>
      <c r="C2753" s="4" t="s">
        <v>52</v>
      </c>
      <c r="D2753" s="5" t="s">
        <v>2003</v>
      </c>
      <c r="E2753" s="10" t="str">
        <f t="shared" si="592"/>
        <v>PRB'!</v>
      </c>
      <c r="F2753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53" s="7" t="s">
        <v>109</v>
      </c>
      <c r="H2753" s="4">
        <f t="shared" si="594"/>
        <v>51</v>
      </c>
      <c r="I2753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PRB'!$DN$51</v>
      </c>
      <c r="J2753" s="4" t="s">
        <v>3240</v>
      </c>
    </row>
    <row r="2754" spans="1:10" x14ac:dyDescent="0.35">
      <c r="A2754" s="7" t="s">
        <v>20</v>
      </c>
      <c r="B2754" s="7">
        <f t="shared" si="625"/>
        <v>2039</v>
      </c>
      <c r="C2754" s="4" t="s">
        <v>52</v>
      </c>
      <c r="D2754" s="5" t="s">
        <v>2003</v>
      </c>
      <c r="E2754" s="10" t="str">
        <f t="shared" si="592"/>
        <v>PRB'!</v>
      </c>
      <c r="F2754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54" s="7" t="s">
        <v>109</v>
      </c>
      <c r="H2754" s="4">
        <f t="shared" si="594"/>
        <v>52</v>
      </c>
      <c r="I2754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PRB'!$DN$52</v>
      </c>
      <c r="J2754" s="4" t="s">
        <v>3241</v>
      </c>
    </row>
    <row r="2755" spans="1:10" x14ac:dyDescent="0.35">
      <c r="A2755" s="7" t="s">
        <v>20</v>
      </c>
      <c r="B2755" s="7">
        <f t="shared" si="625"/>
        <v>2040</v>
      </c>
      <c r="C2755" s="4" t="s">
        <v>52</v>
      </c>
      <c r="D2755" s="5" t="s">
        <v>2003</v>
      </c>
      <c r="E2755" s="10" t="str">
        <f t="shared" si="592"/>
        <v>PRB'!</v>
      </c>
      <c r="F2755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55" s="7" t="s">
        <v>109</v>
      </c>
      <c r="H2755" s="4">
        <f t="shared" si="594"/>
        <v>53</v>
      </c>
      <c r="I2755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PRB'!$DN$53</v>
      </c>
      <c r="J2755" s="4" t="s">
        <v>3242</v>
      </c>
    </row>
    <row r="2756" spans="1:10" x14ac:dyDescent="0.35">
      <c r="A2756" s="7" t="s">
        <v>20</v>
      </c>
      <c r="B2756" s="7">
        <f>+B2755+1</f>
        <v>2041</v>
      </c>
      <c r="C2756" s="4" t="s">
        <v>52</v>
      </c>
      <c r="D2756" s="5" t="s">
        <v>2003</v>
      </c>
      <c r="E2756" s="10" t="str">
        <f t="shared" si="592"/>
        <v>PRB'!</v>
      </c>
      <c r="F2756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56" s="7" t="s">
        <v>109</v>
      </c>
      <c r="H2756" s="4">
        <f t="shared" si="594"/>
        <v>54</v>
      </c>
      <c r="I2756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PRB'!$DN$54</v>
      </c>
      <c r="J2756" s="4" t="s">
        <v>3243</v>
      </c>
    </row>
    <row r="2757" spans="1:10" x14ac:dyDescent="0.35">
      <c r="A2757" s="7" t="s">
        <v>20</v>
      </c>
      <c r="B2757" s="7">
        <f t="shared" ref="B2757:B2758" si="626">+B2756+1</f>
        <v>2042</v>
      </c>
      <c r="C2757" s="4" t="s">
        <v>52</v>
      </c>
      <c r="D2757" s="5" t="s">
        <v>2003</v>
      </c>
      <c r="E2757" s="10" t="str">
        <f t="shared" si="592"/>
        <v>PRB'!</v>
      </c>
      <c r="F2757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57" s="7" t="s">
        <v>109</v>
      </c>
      <c r="H2757" s="4">
        <f t="shared" si="594"/>
        <v>55</v>
      </c>
      <c r="I2757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PRB'!$DN$55</v>
      </c>
      <c r="J2757" s="4" t="s">
        <v>3244</v>
      </c>
    </row>
    <row r="2758" spans="1:10" x14ac:dyDescent="0.35">
      <c r="A2758" s="7" t="s">
        <v>20</v>
      </c>
      <c r="B2758" s="7">
        <f t="shared" si="626"/>
        <v>2043</v>
      </c>
      <c r="C2758" s="4" t="s">
        <v>52</v>
      </c>
      <c r="D2758" s="5" t="s">
        <v>2003</v>
      </c>
      <c r="E2758" s="10" t="str">
        <f t="shared" si="592"/>
        <v>PRB'!</v>
      </c>
      <c r="F2758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58" s="7" t="s">
        <v>109</v>
      </c>
      <c r="H2758" s="4">
        <f t="shared" si="594"/>
        <v>56</v>
      </c>
      <c r="I2758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PRB'!$DN$56</v>
      </c>
      <c r="J2758" s="4" t="s">
        <v>3245</v>
      </c>
    </row>
    <row r="2759" spans="1:10" x14ac:dyDescent="0.35">
      <c r="A2759" s="7" t="s">
        <v>20</v>
      </c>
      <c r="B2759" s="7">
        <f>+B2758+1</f>
        <v>2044</v>
      </c>
      <c r="C2759" s="4" t="s">
        <v>52</v>
      </c>
      <c r="D2759" s="5" t="s">
        <v>2003</v>
      </c>
      <c r="E2759" s="10" t="str">
        <f t="shared" ref="E2759:E2774" si="627">_xlfn.CONCAT(A2759,"'!")</f>
        <v>PRB'!</v>
      </c>
      <c r="F2759" s="5" t="str">
        <f t="shared" ref="F2759:F2774" si="628">_xlfn.CONCAT(D2759," ",E2759)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59" s="7" t="s">
        <v>109</v>
      </c>
      <c r="H2759" s="4">
        <f t="shared" ref="H2759:H2774" si="629">IF(A2759&lt;&gt;A2758,36,H2758+1)</f>
        <v>57</v>
      </c>
      <c r="I2759" s="4" t="str">
        <f t="shared" ref="I2759:I2774" si="630">_xlfn.CONCAT("='",F2759:H2759)</f>
        <v>='C:\Users\jaime.benazar\Quorum Business Solutions\Ecopetrol Prometeo - Documents\Planning Space Implementation\3. Analysis &amp; Design\Design\FC22\DRR Jaime\Por presentar a ECP\Cantagallo\Cristalina\[VRC_CRISTALINA_CF_SEC_20221231.xlsx]CF PRB'!$DN$57</v>
      </c>
      <c r="J2759" s="4" t="s">
        <v>3246</v>
      </c>
    </row>
    <row r="2760" spans="1:10" x14ac:dyDescent="0.35">
      <c r="A2760" s="7" t="s">
        <v>20</v>
      </c>
      <c r="B2760" s="7">
        <f t="shared" ref="B2760:B2774" si="631">+B2759+1</f>
        <v>2045</v>
      </c>
      <c r="C2760" s="4" t="s">
        <v>52</v>
      </c>
      <c r="D2760" s="5" t="s">
        <v>2003</v>
      </c>
      <c r="E2760" s="10" t="str">
        <f t="shared" si="627"/>
        <v>PRB'!</v>
      </c>
      <c r="F2760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60" s="7" t="s">
        <v>109</v>
      </c>
      <c r="H2760" s="4">
        <f t="shared" si="629"/>
        <v>58</v>
      </c>
      <c r="I2760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PRB'!$DN$58</v>
      </c>
      <c r="J2760" s="4" t="s">
        <v>3247</v>
      </c>
    </row>
    <row r="2761" spans="1:10" x14ac:dyDescent="0.35">
      <c r="A2761" s="7" t="s">
        <v>20</v>
      </c>
      <c r="B2761" s="7">
        <f t="shared" si="631"/>
        <v>2046</v>
      </c>
      <c r="C2761" s="4" t="s">
        <v>52</v>
      </c>
      <c r="D2761" s="5" t="s">
        <v>2003</v>
      </c>
      <c r="E2761" s="10" t="str">
        <f t="shared" si="627"/>
        <v>PRB'!</v>
      </c>
      <c r="F2761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61" s="7" t="s">
        <v>109</v>
      </c>
      <c r="H2761" s="4">
        <f t="shared" si="629"/>
        <v>59</v>
      </c>
      <c r="I2761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PRB'!$DN$59</v>
      </c>
      <c r="J2761" s="4" t="s">
        <v>3248</v>
      </c>
    </row>
    <row r="2762" spans="1:10" x14ac:dyDescent="0.35">
      <c r="A2762" s="7" t="s">
        <v>20</v>
      </c>
      <c r="B2762" s="7">
        <f t="shared" si="631"/>
        <v>2047</v>
      </c>
      <c r="C2762" s="4" t="s">
        <v>52</v>
      </c>
      <c r="D2762" s="5" t="s">
        <v>2003</v>
      </c>
      <c r="E2762" s="10" t="str">
        <f t="shared" si="627"/>
        <v>PRB'!</v>
      </c>
      <c r="F2762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62" s="7" t="s">
        <v>109</v>
      </c>
      <c r="H2762" s="4">
        <f t="shared" si="629"/>
        <v>60</v>
      </c>
      <c r="I2762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PRB'!$DN$60</v>
      </c>
      <c r="J2762" s="4" t="s">
        <v>3249</v>
      </c>
    </row>
    <row r="2763" spans="1:10" x14ac:dyDescent="0.35">
      <c r="A2763" s="7" t="s">
        <v>20</v>
      </c>
      <c r="B2763" s="7">
        <f t="shared" si="631"/>
        <v>2048</v>
      </c>
      <c r="C2763" s="4" t="s">
        <v>52</v>
      </c>
      <c r="D2763" s="5" t="s">
        <v>2003</v>
      </c>
      <c r="E2763" s="10" t="str">
        <f t="shared" si="627"/>
        <v>PRB'!</v>
      </c>
      <c r="F2763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63" s="7" t="s">
        <v>109</v>
      </c>
      <c r="H2763" s="4">
        <f t="shared" si="629"/>
        <v>61</v>
      </c>
      <c r="I2763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PRB'!$DN$61</v>
      </c>
      <c r="J2763" s="4" t="s">
        <v>3250</v>
      </c>
    </row>
    <row r="2764" spans="1:10" x14ac:dyDescent="0.35">
      <c r="A2764" s="7" t="s">
        <v>20</v>
      </c>
      <c r="B2764" s="7">
        <f t="shared" si="631"/>
        <v>2049</v>
      </c>
      <c r="C2764" s="4" t="s">
        <v>52</v>
      </c>
      <c r="D2764" s="5" t="s">
        <v>2003</v>
      </c>
      <c r="E2764" s="10" t="str">
        <f t="shared" si="627"/>
        <v>PRB'!</v>
      </c>
      <c r="F2764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64" s="7" t="s">
        <v>109</v>
      </c>
      <c r="H2764" s="4">
        <f t="shared" si="629"/>
        <v>62</v>
      </c>
      <c r="I2764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PRB'!$DN$62</v>
      </c>
      <c r="J2764" s="4" t="s">
        <v>3251</v>
      </c>
    </row>
    <row r="2765" spans="1:10" x14ac:dyDescent="0.35">
      <c r="A2765" s="7" t="s">
        <v>20</v>
      </c>
      <c r="B2765" s="7">
        <f t="shared" si="631"/>
        <v>2050</v>
      </c>
      <c r="C2765" s="4" t="s">
        <v>52</v>
      </c>
      <c r="D2765" s="5" t="s">
        <v>2003</v>
      </c>
      <c r="E2765" s="10" t="str">
        <f t="shared" si="627"/>
        <v>PRB'!</v>
      </c>
      <c r="F2765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65" s="7" t="s">
        <v>109</v>
      </c>
      <c r="H2765" s="4">
        <f t="shared" si="629"/>
        <v>63</v>
      </c>
      <c r="I2765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PRB'!$DN$63</v>
      </c>
      <c r="J2765" s="4" t="s">
        <v>3252</v>
      </c>
    </row>
    <row r="2766" spans="1:10" x14ac:dyDescent="0.35">
      <c r="A2766" s="7" t="s">
        <v>20</v>
      </c>
      <c r="B2766" s="7">
        <f t="shared" si="631"/>
        <v>2051</v>
      </c>
      <c r="C2766" s="4" t="s">
        <v>52</v>
      </c>
      <c r="D2766" s="5" t="s">
        <v>2003</v>
      </c>
      <c r="E2766" s="10" t="str">
        <f t="shared" si="627"/>
        <v>PRB'!</v>
      </c>
      <c r="F2766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66" s="7" t="s">
        <v>109</v>
      </c>
      <c r="H2766" s="4">
        <f t="shared" si="629"/>
        <v>64</v>
      </c>
      <c r="I2766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PRB'!$DN$64</v>
      </c>
      <c r="J2766" s="4" t="s">
        <v>3253</v>
      </c>
    </row>
    <row r="2767" spans="1:10" x14ac:dyDescent="0.35">
      <c r="A2767" s="7" t="s">
        <v>20</v>
      </c>
      <c r="B2767" s="7">
        <f t="shared" si="631"/>
        <v>2052</v>
      </c>
      <c r="C2767" s="4" t="s">
        <v>52</v>
      </c>
      <c r="D2767" s="5" t="s">
        <v>2003</v>
      </c>
      <c r="E2767" s="10" t="str">
        <f t="shared" si="627"/>
        <v>PRB'!</v>
      </c>
      <c r="F2767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67" s="7" t="s">
        <v>109</v>
      </c>
      <c r="H2767" s="4">
        <f t="shared" si="629"/>
        <v>65</v>
      </c>
      <c r="I2767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PRB'!$DN$65</v>
      </c>
      <c r="J2767" s="4" t="s">
        <v>3254</v>
      </c>
    </row>
    <row r="2768" spans="1:10" x14ac:dyDescent="0.35">
      <c r="A2768" s="7" t="s">
        <v>20</v>
      </c>
      <c r="B2768" s="7">
        <f t="shared" si="631"/>
        <v>2053</v>
      </c>
      <c r="C2768" s="4" t="s">
        <v>52</v>
      </c>
      <c r="D2768" s="5" t="s">
        <v>2003</v>
      </c>
      <c r="E2768" s="10" t="str">
        <f t="shared" si="627"/>
        <v>PRB'!</v>
      </c>
      <c r="F2768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68" s="7" t="s">
        <v>109</v>
      </c>
      <c r="H2768" s="4">
        <f t="shared" si="629"/>
        <v>66</v>
      </c>
      <c r="I2768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PRB'!$DN$66</v>
      </c>
      <c r="J2768" s="4" t="s">
        <v>3255</v>
      </c>
    </row>
    <row r="2769" spans="1:10" x14ac:dyDescent="0.35">
      <c r="A2769" s="7" t="s">
        <v>20</v>
      </c>
      <c r="B2769" s="7">
        <f t="shared" si="631"/>
        <v>2054</v>
      </c>
      <c r="C2769" s="4" t="s">
        <v>52</v>
      </c>
      <c r="D2769" s="5" t="s">
        <v>2003</v>
      </c>
      <c r="E2769" s="10" t="str">
        <f t="shared" si="627"/>
        <v>PRB'!</v>
      </c>
      <c r="F2769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69" s="7" t="s">
        <v>109</v>
      </c>
      <c r="H2769" s="4">
        <f t="shared" si="629"/>
        <v>67</v>
      </c>
      <c r="I2769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PRB'!$DN$67</v>
      </c>
      <c r="J2769" s="4" t="s">
        <v>3256</v>
      </c>
    </row>
    <row r="2770" spans="1:10" x14ac:dyDescent="0.35">
      <c r="A2770" s="7" t="s">
        <v>20</v>
      </c>
      <c r="B2770" s="7">
        <f t="shared" si="631"/>
        <v>2055</v>
      </c>
      <c r="C2770" s="4" t="s">
        <v>52</v>
      </c>
      <c r="D2770" s="5" t="s">
        <v>2003</v>
      </c>
      <c r="E2770" s="10" t="str">
        <f t="shared" si="627"/>
        <v>PRB'!</v>
      </c>
      <c r="F2770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70" s="7" t="s">
        <v>109</v>
      </c>
      <c r="H2770" s="4">
        <f t="shared" si="629"/>
        <v>68</v>
      </c>
      <c r="I2770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PRB'!$DN$68</v>
      </c>
      <c r="J2770" s="4" t="s">
        <v>3257</v>
      </c>
    </row>
    <row r="2771" spans="1:10" x14ac:dyDescent="0.35">
      <c r="A2771" s="7" t="s">
        <v>20</v>
      </c>
      <c r="B2771" s="7">
        <f t="shared" si="631"/>
        <v>2056</v>
      </c>
      <c r="C2771" s="4" t="s">
        <v>52</v>
      </c>
      <c r="D2771" s="5" t="s">
        <v>2003</v>
      </c>
      <c r="E2771" s="10" t="str">
        <f t="shared" si="627"/>
        <v>PRB'!</v>
      </c>
      <c r="F2771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71" s="7" t="s">
        <v>109</v>
      </c>
      <c r="H2771" s="4">
        <f t="shared" si="629"/>
        <v>69</v>
      </c>
      <c r="I2771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PRB'!$DN$69</v>
      </c>
      <c r="J2771" s="4" t="s">
        <v>3258</v>
      </c>
    </row>
    <row r="2772" spans="1:10" x14ac:dyDescent="0.35">
      <c r="A2772" s="7" t="s">
        <v>20</v>
      </c>
      <c r="B2772" s="7">
        <f t="shared" si="631"/>
        <v>2057</v>
      </c>
      <c r="C2772" s="4" t="s">
        <v>52</v>
      </c>
      <c r="D2772" s="5" t="s">
        <v>2003</v>
      </c>
      <c r="E2772" s="10" t="str">
        <f t="shared" si="627"/>
        <v>PRB'!</v>
      </c>
      <c r="F2772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72" s="7" t="s">
        <v>109</v>
      </c>
      <c r="H2772" s="4">
        <f t="shared" si="629"/>
        <v>70</v>
      </c>
      <c r="I2772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PRB'!$DN$70</v>
      </c>
      <c r="J2772" s="4" t="s">
        <v>3259</v>
      </c>
    </row>
    <row r="2773" spans="1:10" x14ac:dyDescent="0.35">
      <c r="A2773" s="7" t="s">
        <v>20</v>
      </c>
      <c r="B2773" s="7">
        <f t="shared" si="631"/>
        <v>2058</v>
      </c>
      <c r="C2773" s="4" t="s">
        <v>52</v>
      </c>
      <c r="D2773" s="5" t="s">
        <v>2003</v>
      </c>
      <c r="E2773" s="10" t="str">
        <f t="shared" si="627"/>
        <v>PRB'!</v>
      </c>
      <c r="F2773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73" s="7" t="s">
        <v>109</v>
      </c>
      <c r="H2773" s="4">
        <f t="shared" si="629"/>
        <v>71</v>
      </c>
      <c r="I2773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PRB'!$DN$71</v>
      </c>
      <c r="J2773" s="4" t="s">
        <v>3260</v>
      </c>
    </row>
    <row r="2774" spans="1:10" x14ac:dyDescent="0.35">
      <c r="A2774" s="7" t="s">
        <v>20</v>
      </c>
      <c r="B2774" s="7">
        <f t="shared" si="631"/>
        <v>2059</v>
      </c>
      <c r="C2774" s="4" t="s">
        <v>52</v>
      </c>
      <c r="D2774" s="5" t="s">
        <v>2003</v>
      </c>
      <c r="E2774" s="10" t="str">
        <f t="shared" si="627"/>
        <v>PRB'!</v>
      </c>
      <c r="F2774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74" s="7" t="s">
        <v>109</v>
      </c>
      <c r="H2774" s="4">
        <f t="shared" si="629"/>
        <v>72</v>
      </c>
      <c r="I2774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PRB'!$DN$72</v>
      </c>
      <c r="J2774" s="4" t="s">
        <v>3261</v>
      </c>
    </row>
    <row r="2775" spans="1:10" x14ac:dyDescent="0.35">
      <c r="A2775" s="7" t="s">
        <v>26</v>
      </c>
      <c r="B2775" s="7"/>
      <c r="C2775" s="4" t="s">
        <v>52</v>
      </c>
      <c r="D2775" s="5"/>
      <c r="E2775" s="10"/>
      <c r="F2775" s="2"/>
      <c r="G2775" s="7"/>
      <c r="H2775" s="4"/>
      <c r="I2775" s="4"/>
      <c r="J2775" s="4"/>
    </row>
    <row r="2776" spans="1:10" x14ac:dyDescent="0.35">
      <c r="A2776" s="7" t="s">
        <v>21</v>
      </c>
      <c r="B2776" s="7">
        <v>2023</v>
      </c>
      <c r="C2776" s="4" t="s">
        <v>52</v>
      </c>
      <c r="D2776" s="5" t="s">
        <v>2003</v>
      </c>
      <c r="E2776" s="10" t="str">
        <f t="shared" ref="E2776:E2796" si="632">_xlfn.CONCAT(A2776,"'!")</f>
        <v>PSDP'!</v>
      </c>
      <c r="F2776" s="5" t="str">
        <f t="shared" ref="F2776:F2796" si="633">_xlfn.CONCAT(D2776," ",E2776)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76" s="7" t="s">
        <v>109</v>
      </c>
      <c r="H2776" s="4"/>
      <c r="I2776" s="4"/>
      <c r="J2776" s="4"/>
    </row>
    <row r="2777" spans="1:10" x14ac:dyDescent="0.35">
      <c r="A2777" s="7" t="s">
        <v>21</v>
      </c>
      <c r="B2777" s="7">
        <f>+B2776+1</f>
        <v>2024</v>
      </c>
      <c r="C2777" s="4" t="s">
        <v>52</v>
      </c>
      <c r="D2777" s="5" t="s">
        <v>2003</v>
      </c>
      <c r="E2777" s="10" t="str">
        <f t="shared" si="632"/>
        <v>PSDP'!</v>
      </c>
      <c r="F2777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77" s="7" t="s">
        <v>109</v>
      </c>
      <c r="H2777" s="4"/>
      <c r="I2777" s="4"/>
      <c r="J2777" s="4"/>
    </row>
    <row r="2778" spans="1:10" x14ac:dyDescent="0.35">
      <c r="A2778" s="7" t="s">
        <v>21</v>
      </c>
      <c r="B2778" s="7">
        <f t="shared" ref="B2778:B2789" si="634">+B2777+1</f>
        <v>2025</v>
      </c>
      <c r="C2778" s="4" t="s">
        <v>52</v>
      </c>
      <c r="D2778" s="5" t="s">
        <v>2003</v>
      </c>
      <c r="E2778" s="10" t="str">
        <f t="shared" si="632"/>
        <v>PSDP'!</v>
      </c>
      <c r="F2778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78" s="7" t="s">
        <v>109</v>
      </c>
      <c r="H2778" s="4"/>
      <c r="I2778" s="4"/>
      <c r="J2778" s="4"/>
    </row>
    <row r="2779" spans="1:10" x14ac:dyDescent="0.35">
      <c r="A2779" s="7" t="s">
        <v>21</v>
      </c>
      <c r="B2779" s="7">
        <f t="shared" si="634"/>
        <v>2026</v>
      </c>
      <c r="C2779" s="4" t="s">
        <v>52</v>
      </c>
      <c r="D2779" s="5" t="s">
        <v>2003</v>
      </c>
      <c r="E2779" s="10" t="str">
        <f t="shared" si="632"/>
        <v>PSDP'!</v>
      </c>
      <c r="F2779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79" s="7" t="s">
        <v>109</v>
      </c>
      <c r="H2779" s="4"/>
      <c r="I2779" s="4"/>
      <c r="J2779" s="4"/>
    </row>
    <row r="2780" spans="1:10" x14ac:dyDescent="0.35">
      <c r="A2780" s="7" t="s">
        <v>21</v>
      </c>
      <c r="B2780" s="7">
        <f t="shared" si="634"/>
        <v>2027</v>
      </c>
      <c r="C2780" s="4" t="s">
        <v>52</v>
      </c>
      <c r="D2780" s="5" t="s">
        <v>2003</v>
      </c>
      <c r="E2780" s="10" t="str">
        <f t="shared" si="632"/>
        <v>PSDP'!</v>
      </c>
      <c r="F2780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80" s="7" t="s">
        <v>109</v>
      </c>
      <c r="H2780" s="4"/>
      <c r="I2780" s="4"/>
      <c r="J2780" s="4"/>
    </row>
    <row r="2781" spans="1:10" x14ac:dyDescent="0.35">
      <c r="A2781" s="7" t="s">
        <v>21</v>
      </c>
      <c r="B2781" s="7">
        <f t="shared" si="634"/>
        <v>2028</v>
      </c>
      <c r="C2781" s="4" t="s">
        <v>52</v>
      </c>
      <c r="D2781" s="5" t="s">
        <v>2003</v>
      </c>
      <c r="E2781" s="10" t="str">
        <f t="shared" si="632"/>
        <v>PSDP'!</v>
      </c>
      <c r="F2781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81" s="7" t="s">
        <v>109</v>
      </c>
      <c r="H2781" s="4"/>
      <c r="I2781" s="4"/>
      <c r="J2781" s="4"/>
    </row>
    <row r="2782" spans="1:10" x14ac:dyDescent="0.35">
      <c r="A2782" s="7" t="s">
        <v>21</v>
      </c>
      <c r="B2782" s="7">
        <f t="shared" si="634"/>
        <v>2029</v>
      </c>
      <c r="C2782" s="4" t="s">
        <v>52</v>
      </c>
      <c r="D2782" s="5" t="s">
        <v>2003</v>
      </c>
      <c r="E2782" s="10" t="str">
        <f t="shared" si="632"/>
        <v>PSDP'!</v>
      </c>
      <c r="F2782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82" s="7" t="s">
        <v>109</v>
      </c>
      <c r="H2782" s="4"/>
      <c r="I2782" s="4"/>
      <c r="J2782" s="4"/>
    </row>
    <row r="2783" spans="1:10" x14ac:dyDescent="0.35">
      <c r="A2783" s="7" t="s">
        <v>21</v>
      </c>
      <c r="B2783" s="7">
        <f t="shared" si="634"/>
        <v>2030</v>
      </c>
      <c r="C2783" s="4" t="s">
        <v>52</v>
      </c>
      <c r="D2783" s="5" t="s">
        <v>2003</v>
      </c>
      <c r="E2783" s="10" t="str">
        <f t="shared" si="632"/>
        <v>PSDP'!</v>
      </c>
      <c r="F2783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83" s="7" t="s">
        <v>109</v>
      </c>
      <c r="H2783" s="4"/>
      <c r="I2783" s="4"/>
      <c r="J2783" s="4"/>
    </row>
    <row r="2784" spans="1:10" x14ac:dyDescent="0.35">
      <c r="A2784" s="7" t="s">
        <v>21</v>
      </c>
      <c r="B2784" s="7">
        <f t="shared" si="634"/>
        <v>2031</v>
      </c>
      <c r="C2784" s="4" t="s">
        <v>52</v>
      </c>
      <c r="D2784" s="5" t="s">
        <v>2003</v>
      </c>
      <c r="E2784" s="10" t="str">
        <f t="shared" si="632"/>
        <v>PSDP'!</v>
      </c>
      <c r="F2784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84" s="7" t="s">
        <v>109</v>
      </c>
      <c r="H2784" s="4"/>
      <c r="I2784" s="4"/>
      <c r="J2784" s="4"/>
    </row>
    <row r="2785" spans="1:10" x14ac:dyDescent="0.35">
      <c r="A2785" s="7" t="s">
        <v>21</v>
      </c>
      <c r="B2785" s="7">
        <f t="shared" si="634"/>
        <v>2032</v>
      </c>
      <c r="C2785" s="4" t="s">
        <v>52</v>
      </c>
      <c r="D2785" s="5" t="s">
        <v>2003</v>
      </c>
      <c r="E2785" s="10" t="str">
        <f t="shared" si="632"/>
        <v>PSDP'!</v>
      </c>
      <c r="F2785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85" s="7" t="s">
        <v>109</v>
      </c>
      <c r="H2785" s="4"/>
      <c r="I2785" s="4"/>
      <c r="J2785" s="4"/>
    </row>
    <row r="2786" spans="1:10" x14ac:dyDescent="0.35">
      <c r="A2786" s="7" t="s">
        <v>21</v>
      </c>
      <c r="B2786" s="7">
        <f t="shared" si="634"/>
        <v>2033</v>
      </c>
      <c r="C2786" s="4" t="s">
        <v>52</v>
      </c>
      <c r="D2786" s="5" t="s">
        <v>2003</v>
      </c>
      <c r="E2786" s="10" t="str">
        <f t="shared" si="632"/>
        <v>PSDP'!</v>
      </c>
      <c r="F2786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86" s="7" t="s">
        <v>109</v>
      </c>
      <c r="H2786" s="4"/>
      <c r="I2786" s="4"/>
      <c r="J2786" s="4"/>
    </row>
    <row r="2787" spans="1:10" x14ac:dyDescent="0.35">
      <c r="A2787" s="7" t="s">
        <v>21</v>
      </c>
      <c r="B2787" s="7">
        <f t="shared" si="634"/>
        <v>2034</v>
      </c>
      <c r="C2787" s="4" t="s">
        <v>52</v>
      </c>
      <c r="D2787" s="5" t="s">
        <v>2003</v>
      </c>
      <c r="E2787" s="10" t="str">
        <f t="shared" si="632"/>
        <v>PSDP'!</v>
      </c>
      <c r="F2787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87" s="7" t="s">
        <v>109</v>
      </c>
      <c r="H2787" s="4"/>
      <c r="I2787" s="4"/>
      <c r="J2787" s="4"/>
    </row>
    <row r="2788" spans="1:10" x14ac:dyDescent="0.35">
      <c r="A2788" s="7" t="s">
        <v>21</v>
      </c>
      <c r="B2788" s="7">
        <f t="shared" si="634"/>
        <v>2035</v>
      </c>
      <c r="C2788" s="4" t="s">
        <v>52</v>
      </c>
      <c r="D2788" s="5" t="s">
        <v>2003</v>
      </c>
      <c r="E2788" s="10" t="str">
        <f t="shared" si="632"/>
        <v>PSDP'!</v>
      </c>
      <c r="F2788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88" s="7" t="s">
        <v>109</v>
      </c>
      <c r="H2788" s="4"/>
      <c r="I2788" s="4"/>
      <c r="J2788" s="4"/>
    </row>
    <row r="2789" spans="1:10" x14ac:dyDescent="0.35">
      <c r="A2789" s="7" t="s">
        <v>21</v>
      </c>
      <c r="B2789" s="7">
        <f t="shared" si="634"/>
        <v>2036</v>
      </c>
      <c r="C2789" s="4" t="s">
        <v>52</v>
      </c>
      <c r="D2789" s="5" t="s">
        <v>2003</v>
      </c>
      <c r="E2789" s="10" t="str">
        <f t="shared" si="632"/>
        <v>PSDP'!</v>
      </c>
      <c r="F2789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89" s="7" t="s">
        <v>109</v>
      </c>
      <c r="H2789" s="4"/>
      <c r="I2789" s="4"/>
      <c r="J2789" s="4"/>
    </row>
    <row r="2790" spans="1:10" x14ac:dyDescent="0.35">
      <c r="A2790" s="7" t="s">
        <v>21</v>
      </c>
      <c r="B2790" s="7">
        <f>+B2789+1</f>
        <v>2037</v>
      </c>
      <c r="C2790" s="4" t="s">
        <v>52</v>
      </c>
      <c r="D2790" s="5" t="s">
        <v>2003</v>
      </c>
      <c r="E2790" s="10" t="str">
        <f t="shared" si="632"/>
        <v>PSDP'!</v>
      </c>
      <c r="F2790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90" s="7" t="s">
        <v>109</v>
      </c>
      <c r="H2790" s="4"/>
      <c r="I2790" s="4"/>
      <c r="J2790" s="4"/>
    </row>
    <row r="2791" spans="1:10" x14ac:dyDescent="0.35">
      <c r="A2791" s="7" t="s">
        <v>21</v>
      </c>
      <c r="B2791" s="7">
        <f t="shared" ref="B2791:B2793" si="635">+B2790+1</f>
        <v>2038</v>
      </c>
      <c r="C2791" s="4" t="s">
        <v>52</v>
      </c>
      <c r="D2791" s="5" t="s">
        <v>2003</v>
      </c>
      <c r="E2791" s="10" t="str">
        <f t="shared" si="632"/>
        <v>PSDP'!</v>
      </c>
      <c r="F2791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91" s="7" t="s">
        <v>109</v>
      </c>
      <c r="H2791" s="4"/>
      <c r="I2791" s="4"/>
      <c r="J2791" s="4"/>
    </row>
    <row r="2792" spans="1:10" x14ac:dyDescent="0.35">
      <c r="A2792" s="7" t="s">
        <v>21</v>
      </c>
      <c r="B2792" s="7">
        <f t="shared" si="635"/>
        <v>2039</v>
      </c>
      <c r="C2792" s="4" t="s">
        <v>52</v>
      </c>
      <c r="D2792" s="5" t="s">
        <v>2003</v>
      </c>
      <c r="E2792" s="10" t="str">
        <f t="shared" si="632"/>
        <v>PSDP'!</v>
      </c>
      <c r="F2792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92" s="7" t="s">
        <v>109</v>
      </c>
      <c r="H2792" s="4"/>
      <c r="I2792" s="4"/>
      <c r="J2792" s="4"/>
    </row>
    <row r="2793" spans="1:10" x14ac:dyDescent="0.35">
      <c r="A2793" s="7" t="s">
        <v>21</v>
      </c>
      <c r="B2793" s="7">
        <f t="shared" si="635"/>
        <v>2040</v>
      </c>
      <c r="C2793" s="4" t="s">
        <v>52</v>
      </c>
      <c r="D2793" s="5" t="s">
        <v>2003</v>
      </c>
      <c r="E2793" s="10" t="str">
        <f t="shared" si="632"/>
        <v>PSDP'!</v>
      </c>
      <c r="F2793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93" s="7" t="s">
        <v>109</v>
      </c>
      <c r="H2793" s="4"/>
      <c r="I2793" s="4"/>
      <c r="J2793" s="4"/>
    </row>
    <row r="2794" spans="1:10" x14ac:dyDescent="0.35">
      <c r="A2794" s="7" t="s">
        <v>21</v>
      </c>
      <c r="B2794" s="7">
        <f>+B2793+1</f>
        <v>2041</v>
      </c>
      <c r="C2794" s="4" t="s">
        <v>52</v>
      </c>
      <c r="D2794" s="5" t="s">
        <v>2003</v>
      </c>
      <c r="E2794" s="10" t="str">
        <f t="shared" si="632"/>
        <v>PSDP'!</v>
      </c>
      <c r="F2794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94" s="7" t="s">
        <v>109</v>
      </c>
      <c r="H2794" s="4"/>
      <c r="I2794" s="4"/>
      <c r="J2794" s="4"/>
    </row>
    <row r="2795" spans="1:10" x14ac:dyDescent="0.35">
      <c r="A2795" s="7" t="s">
        <v>21</v>
      </c>
      <c r="B2795" s="7">
        <f t="shared" ref="B2795:B2796" si="636">+B2794+1</f>
        <v>2042</v>
      </c>
      <c r="C2795" s="4" t="s">
        <v>52</v>
      </c>
      <c r="D2795" s="5" t="s">
        <v>2003</v>
      </c>
      <c r="E2795" s="10" t="str">
        <f t="shared" si="632"/>
        <v>PSDP'!</v>
      </c>
      <c r="F2795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95" s="7" t="s">
        <v>109</v>
      </c>
      <c r="H2795" s="4"/>
      <c r="I2795" s="4"/>
      <c r="J2795" s="4"/>
    </row>
    <row r="2796" spans="1:10" x14ac:dyDescent="0.35">
      <c r="A2796" s="7" t="s">
        <v>21</v>
      </c>
      <c r="B2796" s="7">
        <f t="shared" si="636"/>
        <v>2043</v>
      </c>
      <c r="C2796" s="4" t="s">
        <v>52</v>
      </c>
      <c r="D2796" s="5" t="s">
        <v>2003</v>
      </c>
      <c r="E2796" s="10" t="str">
        <f t="shared" si="632"/>
        <v>PSDP'!</v>
      </c>
      <c r="F2796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96" s="7" t="s">
        <v>109</v>
      </c>
      <c r="H2796" s="4"/>
      <c r="I2796" s="4"/>
      <c r="J2796" s="4"/>
    </row>
    <row r="2797" spans="1:10" x14ac:dyDescent="0.35">
      <c r="A2797" s="7" t="s">
        <v>21</v>
      </c>
      <c r="B2797" s="7">
        <f>+B2796+1</f>
        <v>2044</v>
      </c>
      <c r="C2797" s="4" t="s">
        <v>52</v>
      </c>
      <c r="D2797" s="5" t="s">
        <v>2003</v>
      </c>
      <c r="E2797" s="10" t="str">
        <f t="shared" ref="E2797:E2812" si="637">_xlfn.CONCAT(A2797,"'!")</f>
        <v>PSDP'!</v>
      </c>
      <c r="F2797" s="5" t="str">
        <f t="shared" ref="F2797:F2812" si="638">_xlfn.CONCAT(D2797," ",E2797)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97" s="7" t="s">
        <v>109</v>
      </c>
      <c r="H2797" s="4"/>
      <c r="I2797" s="4"/>
      <c r="J2797" s="4"/>
    </row>
    <row r="2798" spans="1:10" x14ac:dyDescent="0.35">
      <c r="A2798" s="7" t="s">
        <v>21</v>
      </c>
      <c r="B2798" s="7">
        <f t="shared" ref="B2798:B2812" si="639">+B2797+1</f>
        <v>2045</v>
      </c>
      <c r="C2798" s="4" t="s">
        <v>52</v>
      </c>
      <c r="D2798" s="5" t="s">
        <v>2003</v>
      </c>
      <c r="E2798" s="10" t="str">
        <f t="shared" si="637"/>
        <v>PSDP'!</v>
      </c>
      <c r="F2798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98" s="7" t="s">
        <v>109</v>
      </c>
      <c r="H2798" s="4"/>
      <c r="I2798" s="4"/>
      <c r="J2798" s="4"/>
    </row>
    <row r="2799" spans="1:10" x14ac:dyDescent="0.35">
      <c r="A2799" s="7" t="s">
        <v>21</v>
      </c>
      <c r="B2799" s="7">
        <f t="shared" si="639"/>
        <v>2046</v>
      </c>
      <c r="C2799" s="4" t="s">
        <v>52</v>
      </c>
      <c r="D2799" s="5" t="s">
        <v>2003</v>
      </c>
      <c r="E2799" s="10" t="str">
        <f t="shared" si="637"/>
        <v>PSDP'!</v>
      </c>
      <c r="F2799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99" s="7" t="s">
        <v>109</v>
      </c>
      <c r="H2799" s="4"/>
      <c r="I2799" s="4"/>
      <c r="J2799" s="4"/>
    </row>
    <row r="2800" spans="1:10" x14ac:dyDescent="0.35">
      <c r="A2800" s="7" t="s">
        <v>21</v>
      </c>
      <c r="B2800" s="7">
        <f t="shared" si="639"/>
        <v>2047</v>
      </c>
      <c r="C2800" s="4" t="s">
        <v>52</v>
      </c>
      <c r="D2800" s="5" t="s">
        <v>2003</v>
      </c>
      <c r="E2800" s="10" t="str">
        <f t="shared" si="637"/>
        <v>PSDP'!</v>
      </c>
      <c r="F2800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00" s="7" t="s">
        <v>109</v>
      </c>
      <c r="H2800" s="4"/>
      <c r="I2800" s="4"/>
      <c r="J2800" s="4"/>
    </row>
    <row r="2801" spans="1:10" x14ac:dyDescent="0.35">
      <c r="A2801" s="7" t="s">
        <v>21</v>
      </c>
      <c r="B2801" s="7">
        <f t="shared" si="639"/>
        <v>2048</v>
      </c>
      <c r="C2801" s="4" t="s">
        <v>52</v>
      </c>
      <c r="D2801" s="5" t="s">
        <v>2003</v>
      </c>
      <c r="E2801" s="10" t="str">
        <f t="shared" si="637"/>
        <v>PSDP'!</v>
      </c>
      <c r="F2801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01" s="7" t="s">
        <v>109</v>
      </c>
      <c r="H2801" s="4"/>
      <c r="I2801" s="4"/>
      <c r="J2801" s="4"/>
    </row>
    <row r="2802" spans="1:10" x14ac:dyDescent="0.35">
      <c r="A2802" s="7" t="s">
        <v>21</v>
      </c>
      <c r="B2802" s="7">
        <f t="shared" si="639"/>
        <v>2049</v>
      </c>
      <c r="C2802" s="4" t="s">
        <v>52</v>
      </c>
      <c r="D2802" s="5" t="s">
        <v>2003</v>
      </c>
      <c r="E2802" s="10" t="str">
        <f t="shared" si="637"/>
        <v>PSDP'!</v>
      </c>
      <c r="F2802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02" s="7" t="s">
        <v>109</v>
      </c>
      <c r="H2802" s="4"/>
      <c r="I2802" s="4"/>
      <c r="J2802" s="4"/>
    </row>
    <row r="2803" spans="1:10" x14ac:dyDescent="0.35">
      <c r="A2803" s="7" t="s">
        <v>21</v>
      </c>
      <c r="B2803" s="7">
        <f t="shared" si="639"/>
        <v>2050</v>
      </c>
      <c r="C2803" s="4" t="s">
        <v>52</v>
      </c>
      <c r="D2803" s="5" t="s">
        <v>2003</v>
      </c>
      <c r="E2803" s="10" t="str">
        <f t="shared" si="637"/>
        <v>PSDP'!</v>
      </c>
      <c r="F2803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03" s="7" t="s">
        <v>109</v>
      </c>
      <c r="H2803" s="4"/>
      <c r="I2803" s="4"/>
      <c r="J2803" s="4"/>
    </row>
    <row r="2804" spans="1:10" x14ac:dyDescent="0.35">
      <c r="A2804" s="7" t="s">
        <v>21</v>
      </c>
      <c r="B2804" s="7">
        <f t="shared" si="639"/>
        <v>2051</v>
      </c>
      <c r="C2804" s="4" t="s">
        <v>52</v>
      </c>
      <c r="D2804" s="5" t="s">
        <v>2003</v>
      </c>
      <c r="E2804" s="10" t="str">
        <f t="shared" si="637"/>
        <v>PSDP'!</v>
      </c>
      <c r="F2804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04" s="7" t="s">
        <v>109</v>
      </c>
      <c r="H2804" s="4"/>
      <c r="I2804" s="4"/>
      <c r="J2804" s="4"/>
    </row>
    <row r="2805" spans="1:10" x14ac:dyDescent="0.35">
      <c r="A2805" s="7" t="s">
        <v>21</v>
      </c>
      <c r="B2805" s="7">
        <f t="shared" si="639"/>
        <v>2052</v>
      </c>
      <c r="C2805" s="4" t="s">
        <v>52</v>
      </c>
      <c r="D2805" s="5" t="s">
        <v>2003</v>
      </c>
      <c r="E2805" s="10" t="str">
        <f t="shared" si="637"/>
        <v>PSDP'!</v>
      </c>
      <c r="F2805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05" s="7" t="s">
        <v>109</v>
      </c>
      <c r="H2805" s="4"/>
      <c r="I2805" s="4"/>
      <c r="J2805" s="4"/>
    </row>
    <row r="2806" spans="1:10" x14ac:dyDescent="0.35">
      <c r="A2806" s="7" t="s">
        <v>21</v>
      </c>
      <c r="B2806" s="7">
        <f t="shared" si="639"/>
        <v>2053</v>
      </c>
      <c r="C2806" s="4" t="s">
        <v>52</v>
      </c>
      <c r="D2806" s="5" t="s">
        <v>2003</v>
      </c>
      <c r="E2806" s="10" t="str">
        <f t="shared" si="637"/>
        <v>PSDP'!</v>
      </c>
      <c r="F2806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06" s="7" t="s">
        <v>109</v>
      </c>
      <c r="H2806" s="4"/>
      <c r="I2806" s="4"/>
      <c r="J2806" s="4"/>
    </row>
    <row r="2807" spans="1:10" x14ac:dyDescent="0.35">
      <c r="A2807" s="7" t="s">
        <v>21</v>
      </c>
      <c r="B2807" s="7">
        <f t="shared" si="639"/>
        <v>2054</v>
      </c>
      <c r="C2807" s="4" t="s">
        <v>52</v>
      </c>
      <c r="D2807" s="5" t="s">
        <v>2003</v>
      </c>
      <c r="E2807" s="10" t="str">
        <f t="shared" si="637"/>
        <v>PSDP'!</v>
      </c>
      <c r="F2807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07" s="7" t="s">
        <v>109</v>
      </c>
      <c r="H2807" s="4"/>
      <c r="I2807" s="4"/>
      <c r="J2807" s="4"/>
    </row>
    <row r="2808" spans="1:10" x14ac:dyDescent="0.35">
      <c r="A2808" s="7" t="s">
        <v>21</v>
      </c>
      <c r="B2808" s="7">
        <f t="shared" si="639"/>
        <v>2055</v>
      </c>
      <c r="C2808" s="4" t="s">
        <v>52</v>
      </c>
      <c r="D2808" s="5" t="s">
        <v>2003</v>
      </c>
      <c r="E2808" s="10" t="str">
        <f t="shared" si="637"/>
        <v>PSDP'!</v>
      </c>
      <c r="F2808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08" s="7" t="s">
        <v>109</v>
      </c>
      <c r="H2808" s="4"/>
      <c r="I2808" s="4"/>
      <c r="J2808" s="4"/>
    </row>
    <row r="2809" spans="1:10" x14ac:dyDescent="0.35">
      <c r="A2809" s="7" t="s">
        <v>21</v>
      </c>
      <c r="B2809" s="7">
        <f t="shared" si="639"/>
        <v>2056</v>
      </c>
      <c r="C2809" s="4" t="s">
        <v>52</v>
      </c>
      <c r="D2809" s="5" t="s">
        <v>2003</v>
      </c>
      <c r="E2809" s="10" t="str">
        <f t="shared" si="637"/>
        <v>PSDP'!</v>
      </c>
      <c r="F2809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09" s="7" t="s">
        <v>109</v>
      </c>
      <c r="H2809" s="4"/>
      <c r="I2809" s="4"/>
      <c r="J2809" s="4"/>
    </row>
    <row r="2810" spans="1:10" x14ac:dyDescent="0.35">
      <c r="A2810" s="7" t="s">
        <v>21</v>
      </c>
      <c r="B2810" s="7">
        <f t="shared" si="639"/>
        <v>2057</v>
      </c>
      <c r="C2810" s="4" t="s">
        <v>52</v>
      </c>
      <c r="D2810" s="5" t="s">
        <v>2003</v>
      </c>
      <c r="E2810" s="10" t="str">
        <f t="shared" si="637"/>
        <v>PSDP'!</v>
      </c>
      <c r="F2810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10" s="7" t="s">
        <v>109</v>
      </c>
      <c r="H2810" s="4"/>
      <c r="I2810" s="4"/>
      <c r="J2810" s="4"/>
    </row>
    <row r="2811" spans="1:10" x14ac:dyDescent="0.35">
      <c r="A2811" s="7" t="s">
        <v>21</v>
      </c>
      <c r="B2811" s="7">
        <f t="shared" si="639"/>
        <v>2058</v>
      </c>
      <c r="C2811" s="4" t="s">
        <v>52</v>
      </c>
      <c r="D2811" s="5" t="s">
        <v>2003</v>
      </c>
      <c r="E2811" s="10" t="str">
        <f t="shared" si="637"/>
        <v>PSDP'!</v>
      </c>
      <c r="F2811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11" s="7" t="s">
        <v>109</v>
      </c>
      <c r="H2811" s="4"/>
      <c r="I2811" s="4"/>
      <c r="J2811" s="4"/>
    </row>
    <row r="2812" spans="1:10" x14ac:dyDescent="0.35">
      <c r="A2812" s="7" t="s">
        <v>21</v>
      </c>
      <c r="B2812" s="7">
        <f t="shared" si="639"/>
        <v>2059</v>
      </c>
      <c r="C2812" s="4" t="s">
        <v>52</v>
      </c>
      <c r="D2812" s="5" t="s">
        <v>2003</v>
      </c>
      <c r="E2812" s="10" t="str">
        <f t="shared" si="637"/>
        <v>PSDP'!</v>
      </c>
      <c r="F2812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12" s="7" t="s">
        <v>109</v>
      </c>
      <c r="H2812" s="4"/>
      <c r="I2812" s="4"/>
      <c r="J2812" s="4"/>
    </row>
    <row r="2813" spans="1:10" x14ac:dyDescent="0.35">
      <c r="A2813" s="7" t="s">
        <v>26</v>
      </c>
      <c r="B2813" s="7"/>
      <c r="C2813" s="4" t="s">
        <v>52</v>
      </c>
      <c r="D2813" s="5"/>
      <c r="E2813" s="10"/>
      <c r="F2813" s="2"/>
      <c r="G2813" s="7"/>
      <c r="H2813" s="4"/>
      <c r="I2813" s="4"/>
      <c r="J2813" s="4"/>
    </row>
    <row r="2814" spans="1:10" x14ac:dyDescent="0.35">
      <c r="A2814" s="42" t="s">
        <v>22</v>
      </c>
      <c r="B2814" s="42">
        <v>2023</v>
      </c>
      <c r="C2814" s="43" t="s">
        <v>52</v>
      </c>
      <c r="D2814" s="5" t="s">
        <v>2003</v>
      </c>
      <c r="E2814" s="10" t="str">
        <f t="shared" ref="E2814:E2834" si="640">_xlfn.CONCAT(A2814,"'!")</f>
        <v>PSNP'!</v>
      </c>
      <c r="F2814" s="5" t="str">
        <f t="shared" ref="F2814:F2834" si="641">_xlfn.CONCAT(D2814," ",E2814)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14" s="7" t="s">
        <v>109</v>
      </c>
      <c r="H2814" s="4"/>
      <c r="I2814" s="4"/>
      <c r="J2814" s="4"/>
    </row>
    <row r="2815" spans="1:10" x14ac:dyDescent="0.35">
      <c r="A2815" s="7" t="s">
        <v>22</v>
      </c>
      <c r="B2815" s="7">
        <f>+B2814+1</f>
        <v>2024</v>
      </c>
      <c r="C2815" s="4" t="s">
        <v>52</v>
      </c>
      <c r="D2815" s="5" t="s">
        <v>2003</v>
      </c>
      <c r="E2815" s="10" t="str">
        <f t="shared" si="640"/>
        <v>PSNP'!</v>
      </c>
      <c r="F2815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15" s="7" t="s">
        <v>109</v>
      </c>
      <c r="H2815" s="4"/>
      <c r="I2815" s="4"/>
      <c r="J2815" s="4"/>
    </row>
    <row r="2816" spans="1:10" x14ac:dyDescent="0.35">
      <c r="A2816" s="7" t="s">
        <v>22</v>
      </c>
      <c r="B2816" s="7">
        <f t="shared" ref="B2816:B2827" si="642">+B2815+1</f>
        <v>2025</v>
      </c>
      <c r="C2816" s="4" t="s">
        <v>52</v>
      </c>
      <c r="D2816" s="5" t="s">
        <v>2003</v>
      </c>
      <c r="E2816" s="10" t="str">
        <f t="shared" si="640"/>
        <v>PSNP'!</v>
      </c>
      <c r="F2816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16" s="7" t="s">
        <v>109</v>
      </c>
      <c r="H2816" s="4"/>
      <c r="I2816" s="4"/>
      <c r="J2816" s="4"/>
    </row>
    <row r="2817" spans="1:10" x14ac:dyDescent="0.35">
      <c r="A2817" s="7" t="s">
        <v>22</v>
      </c>
      <c r="B2817" s="7">
        <f t="shared" si="642"/>
        <v>2026</v>
      </c>
      <c r="C2817" s="4" t="s">
        <v>52</v>
      </c>
      <c r="D2817" s="5" t="s">
        <v>2003</v>
      </c>
      <c r="E2817" s="10" t="str">
        <f t="shared" si="640"/>
        <v>PSNP'!</v>
      </c>
      <c r="F2817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17" s="7" t="s">
        <v>109</v>
      </c>
      <c r="H2817" s="4"/>
      <c r="I2817" s="4"/>
      <c r="J2817" s="4"/>
    </row>
    <row r="2818" spans="1:10" x14ac:dyDescent="0.35">
      <c r="A2818" s="7" t="s">
        <v>22</v>
      </c>
      <c r="B2818" s="7">
        <f t="shared" si="642"/>
        <v>2027</v>
      </c>
      <c r="C2818" s="4" t="s">
        <v>52</v>
      </c>
      <c r="D2818" s="5" t="s">
        <v>2003</v>
      </c>
      <c r="E2818" s="10" t="str">
        <f t="shared" si="640"/>
        <v>PSNP'!</v>
      </c>
      <c r="F2818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18" s="7" t="s">
        <v>109</v>
      </c>
      <c r="H2818" s="4"/>
      <c r="I2818" s="4"/>
      <c r="J2818" s="4"/>
    </row>
    <row r="2819" spans="1:10" x14ac:dyDescent="0.35">
      <c r="A2819" s="7" t="s">
        <v>22</v>
      </c>
      <c r="B2819" s="7">
        <f t="shared" si="642"/>
        <v>2028</v>
      </c>
      <c r="C2819" s="4" t="s">
        <v>52</v>
      </c>
      <c r="D2819" s="5" t="s">
        <v>2003</v>
      </c>
      <c r="E2819" s="10" t="str">
        <f t="shared" si="640"/>
        <v>PSNP'!</v>
      </c>
      <c r="F2819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19" s="7" t="s">
        <v>109</v>
      </c>
      <c r="H2819" s="4"/>
      <c r="I2819" s="4"/>
      <c r="J2819" s="4"/>
    </row>
    <row r="2820" spans="1:10" x14ac:dyDescent="0.35">
      <c r="A2820" s="7" t="s">
        <v>22</v>
      </c>
      <c r="B2820" s="7">
        <f t="shared" si="642"/>
        <v>2029</v>
      </c>
      <c r="C2820" s="4" t="s">
        <v>52</v>
      </c>
      <c r="D2820" s="5" t="s">
        <v>2003</v>
      </c>
      <c r="E2820" s="10" t="str">
        <f t="shared" si="640"/>
        <v>PSNP'!</v>
      </c>
      <c r="F2820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20" s="7" t="s">
        <v>109</v>
      </c>
      <c r="H2820" s="4"/>
      <c r="I2820" s="4"/>
      <c r="J2820" s="4"/>
    </row>
    <row r="2821" spans="1:10" x14ac:dyDescent="0.35">
      <c r="A2821" s="7" t="s">
        <v>22</v>
      </c>
      <c r="B2821" s="7">
        <f t="shared" si="642"/>
        <v>2030</v>
      </c>
      <c r="C2821" s="4" t="s">
        <v>52</v>
      </c>
      <c r="D2821" s="5" t="s">
        <v>2003</v>
      </c>
      <c r="E2821" s="10" t="str">
        <f t="shared" si="640"/>
        <v>PSNP'!</v>
      </c>
      <c r="F2821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21" s="7" t="s">
        <v>109</v>
      </c>
      <c r="H2821" s="4"/>
      <c r="I2821" s="4"/>
      <c r="J2821" s="4"/>
    </row>
    <row r="2822" spans="1:10" x14ac:dyDescent="0.35">
      <c r="A2822" s="7" t="s">
        <v>22</v>
      </c>
      <c r="B2822" s="7">
        <f t="shared" si="642"/>
        <v>2031</v>
      </c>
      <c r="C2822" s="4" t="s">
        <v>52</v>
      </c>
      <c r="D2822" s="5" t="s">
        <v>2003</v>
      </c>
      <c r="E2822" s="10" t="str">
        <f t="shared" si="640"/>
        <v>PSNP'!</v>
      </c>
      <c r="F2822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22" s="7" t="s">
        <v>109</v>
      </c>
      <c r="H2822" s="4"/>
      <c r="I2822" s="4"/>
      <c r="J2822" s="4"/>
    </row>
    <row r="2823" spans="1:10" x14ac:dyDescent="0.35">
      <c r="A2823" s="7" t="s">
        <v>22</v>
      </c>
      <c r="B2823" s="7">
        <f t="shared" si="642"/>
        <v>2032</v>
      </c>
      <c r="C2823" s="4" t="s">
        <v>52</v>
      </c>
      <c r="D2823" s="5" t="s">
        <v>2003</v>
      </c>
      <c r="E2823" s="10" t="str">
        <f t="shared" si="640"/>
        <v>PSNP'!</v>
      </c>
      <c r="F2823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23" s="7" t="s">
        <v>109</v>
      </c>
      <c r="H2823" s="4"/>
      <c r="I2823" s="4"/>
      <c r="J2823" s="4"/>
    </row>
    <row r="2824" spans="1:10" x14ac:dyDescent="0.35">
      <c r="A2824" s="7" t="s">
        <v>22</v>
      </c>
      <c r="B2824" s="7">
        <f t="shared" si="642"/>
        <v>2033</v>
      </c>
      <c r="C2824" s="4" t="s">
        <v>52</v>
      </c>
      <c r="D2824" s="5" t="s">
        <v>2003</v>
      </c>
      <c r="E2824" s="10" t="str">
        <f t="shared" si="640"/>
        <v>PSNP'!</v>
      </c>
      <c r="F2824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24" s="7" t="s">
        <v>109</v>
      </c>
      <c r="H2824" s="4"/>
      <c r="I2824" s="4"/>
      <c r="J2824" s="4"/>
    </row>
    <row r="2825" spans="1:10" x14ac:dyDescent="0.35">
      <c r="A2825" s="7" t="s">
        <v>22</v>
      </c>
      <c r="B2825" s="7">
        <f t="shared" si="642"/>
        <v>2034</v>
      </c>
      <c r="C2825" s="4" t="s">
        <v>52</v>
      </c>
      <c r="D2825" s="5" t="s">
        <v>2003</v>
      </c>
      <c r="E2825" s="10" t="str">
        <f t="shared" si="640"/>
        <v>PSNP'!</v>
      </c>
      <c r="F2825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25" s="7" t="s">
        <v>109</v>
      </c>
      <c r="H2825" s="4"/>
      <c r="I2825" s="4"/>
      <c r="J2825" s="4"/>
    </row>
    <row r="2826" spans="1:10" x14ac:dyDescent="0.35">
      <c r="A2826" s="7" t="s">
        <v>22</v>
      </c>
      <c r="B2826" s="7">
        <f t="shared" si="642"/>
        <v>2035</v>
      </c>
      <c r="C2826" s="4" t="s">
        <v>52</v>
      </c>
      <c r="D2826" s="5" t="s">
        <v>2003</v>
      </c>
      <c r="E2826" s="10" t="str">
        <f t="shared" si="640"/>
        <v>PSNP'!</v>
      </c>
      <c r="F2826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26" s="7" t="s">
        <v>109</v>
      </c>
      <c r="H2826" s="4"/>
      <c r="I2826" s="4"/>
      <c r="J2826" s="4"/>
    </row>
    <row r="2827" spans="1:10" x14ac:dyDescent="0.35">
      <c r="A2827" s="7" t="s">
        <v>22</v>
      </c>
      <c r="B2827" s="7">
        <f t="shared" si="642"/>
        <v>2036</v>
      </c>
      <c r="C2827" s="4" t="s">
        <v>52</v>
      </c>
      <c r="D2827" s="5" t="s">
        <v>2003</v>
      </c>
      <c r="E2827" s="10" t="str">
        <f t="shared" si="640"/>
        <v>PSNP'!</v>
      </c>
      <c r="F2827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27" s="7" t="s">
        <v>109</v>
      </c>
      <c r="H2827" s="4"/>
      <c r="I2827" s="4"/>
      <c r="J2827" s="4"/>
    </row>
    <row r="2828" spans="1:10" x14ac:dyDescent="0.35">
      <c r="A2828" s="7" t="s">
        <v>22</v>
      </c>
      <c r="B2828" s="7">
        <f>+B2827+1</f>
        <v>2037</v>
      </c>
      <c r="C2828" s="4" t="s">
        <v>52</v>
      </c>
      <c r="D2828" s="5" t="s">
        <v>2003</v>
      </c>
      <c r="E2828" s="10" t="str">
        <f t="shared" si="640"/>
        <v>PSNP'!</v>
      </c>
      <c r="F2828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28" s="7" t="s">
        <v>109</v>
      </c>
      <c r="H2828" s="4"/>
      <c r="I2828" s="4"/>
      <c r="J2828" s="4"/>
    </row>
    <row r="2829" spans="1:10" x14ac:dyDescent="0.35">
      <c r="A2829" s="7" t="s">
        <v>22</v>
      </c>
      <c r="B2829" s="7">
        <f t="shared" ref="B2829:B2831" si="643">+B2828+1</f>
        <v>2038</v>
      </c>
      <c r="C2829" s="4" t="s">
        <v>52</v>
      </c>
      <c r="D2829" s="5" t="s">
        <v>2003</v>
      </c>
      <c r="E2829" s="10" t="str">
        <f t="shared" si="640"/>
        <v>PSNP'!</v>
      </c>
      <c r="F2829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29" s="7" t="s">
        <v>109</v>
      </c>
      <c r="H2829" s="4"/>
      <c r="I2829" s="4"/>
      <c r="J2829" s="4"/>
    </row>
    <row r="2830" spans="1:10" x14ac:dyDescent="0.35">
      <c r="A2830" s="7" t="s">
        <v>22</v>
      </c>
      <c r="B2830" s="7">
        <f t="shared" si="643"/>
        <v>2039</v>
      </c>
      <c r="C2830" s="4" t="s">
        <v>52</v>
      </c>
      <c r="D2830" s="5" t="s">
        <v>2003</v>
      </c>
      <c r="E2830" s="10" t="str">
        <f t="shared" si="640"/>
        <v>PSNP'!</v>
      </c>
      <c r="F2830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30" s="7" t="s">
        <v>109</v>
      </c>
      <c r="H2830" s="4"/>
      <c r="I2830" s="4"/>
      <c r="J2830" s="4"/>
    </row>
    <row r="2831" spans="1:10" x14ac:dyDescent="0.35">
      <c r="A2831" s="7" t="s">
        <v>22</v>
      </c>
      <c r="B2831" s="7">
        <f t="shared" si="643"/>
        <v>2040</v>
      </c>
      <c r="C2831" s="4" t="s">
        <v>52</v>
      </c>
      <c r="D2831" s="5" t="s">
        <v>2003</v>
      </c>
      <c r="E2831" s="10" t="str">
        <f t="shared" si="640"/>
        <v>PSNP'!</v>
      </c>
      <c r="F2831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31" s="7" t="s">
        <v>109</v>
      </c>
      <c r="H2831" s="4"/>
      <c r="I2831" s="4"/>
      <c r="J2831" s="4"/>
    </row>
    <row r="2832" spans="1:10" x14ac:dyDescent="0.35">
      <c r="A2832" s="7" t="s">
        <v>22</v>
      </c>
      <c r="B2832" s="7">
        <f>+B2831+1</f>
        <v>2041</v>
      </c>
      <c r="C2832" s="4" t="s">
        <v>52</v>
      </c>
      <c r="D2832" s="5" t="s">
        <v>2003</v>
      </c>
      <c r="E2832" s="10" t="str">
        <f t="shared" si="640"/>
        <v>PSNP'!</v>
      </c>
      <c r="F2832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32" s="7" t="s">
        <v>109</v>
      </c>
      <c r="H2832" s="4"/>
      <c r="I2832" s="4"/>
      <c r="J2832" s="4"/>
    </row>
    <row r="2833" spans="1:10" x14ac:dyDescent="0.35">
      <c r="A2833" s="7" t="s">
        <v>22</v>
      </c>
      <c r="B2833" s="7">
        <f t="shared" ref="B2833:B2834" si="644">+B2832+1</f>
        <v>2042</v>
      </c>
      <c r="C2833" s="4" t="s">
        <v>52</v>
      </c>
      <c r="D2833" s="5" t="s">
        <v>2003</v>
      </c>
      <c r="E2833" s="10" t="str">
        <f t="shared" si="640"/>
        <v>PSNP'!</v>
      </c>
      <c r="F2833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33" s="7" t="s">
        <v>109</v>
      </c>
      <c r="H2833" s="4"/>
      <c r="I2833" s="4"/>
      <c r="J2833" s="4"/>
    </row>
    <row r="2834" spans="1:10" x14ac:dyDescent="0.35">
      <c r="A2834" s="7" t="s">
        <v>22</v>
      </c>
      <c r="B2834" s="7">
        <f t="shared" si="644"/>
        <v>2043</v>
      </c>
      <c r="C2834" s="4" t="s">
        <v>52</v>
      </c>
      <c r="D2834" s="5" t="s">
        <v>2003</v>
      </c>
      <c r="E2834" s="10" t="str">
        <f t="shared" si="640"/>
        <v>PSNP'!</v>
      </c>
      <c r="F2834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34" s="7" t="s">
        <v>109</v>
      </c>
      <c r="H2834" s="4"/>
      <c r="I2834" s="4"/>
      <c r="J2834" s="4"/>
    </row>
    <row r="2835" spans="1:10" x14ac:dyDescent="0.35">
      <c r="A2835" s="7" t="s">
        <v>22</v>
      </c>
      <c r="B2835" s="7">
        <f>+B2834+1</f>
        <v>2044</v>
      </c>
      <c r="C2835" s="4" t="s">
        <v>52</v>
      </c>
      <c r="D2835" s="5" t="s">
        <v>2003</v>
      </c>
      <c r="E2835" s="10" t="str">
        <f t="shared" ref="E2835:E2850" si="645">_xlfn.CONCAT(A2835,"'!")</f>
        <v>PSNP'!</v>
      </c>
      <c r="F2835" s="5" t="str">
        <f t="shared" ref="F2835:F2850" si="646">_xlfn.CONCAT(D2835," ",E2835)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35" s="7" t="s">
        <v>109</v>
      </c>
      <c r="H2835" s="4"/>
      <c r="I2835" s="4"/>
      <c r="J2835" s="4"/>
    </row>
    <row r="2836" spans="1:10" x14ac:dyDescent="0.35">
      <c r="A2836" s="7" t="s">
        <v>22</v>
      </c>
      <c r="B2836" s="7">
        <f t="shared" ref="B2836:B2850" si="647">+B2835+1</f>
        <v>2045</v>
      </c>
      <c r="C2836" s="4" t="s">
        <v>52</v>
      </c>
      <c r="D2836" s="5" t="s">
        <v>2003</v>
      </c>
      <c r="E2836" s="10" t="str">
        <f t="shared" si="645"/>
        <v>PSNP'!</v>
      </c>
      <c r="F2836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36" s="7" t="s">
        <v>109</v>
      </c>
      <c r="H2836" s="4"/>
      <c r="I2836" s="4"/>
      <c r="J2836" s="4"/>
    </row>
    <row r="2837" spans="1:10" x14ac:dyDescent="0.35">
      <c r="A2837" s="7" t="s">
        <v>22</v>
      </c>
      <c r="B2837" s="7">
        <f t="shared" si="647"/>
        <v>2046</v>
      </c>
      <c r="C2837" s="4" t="s">
        <v>52</v>
      </c>
      <c r="D2837" s="5" t="s">
        <v>2003</v>
      </c>
      <c r="E2837" s="10" t="str">
        <f t="shared" si="645"/>
        <v>PSNP'!</v>
      </c>
      <c r="F2837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37" s="7" t="s">
        <v>109</v>
      </c>
      <c r="H2837" s="4"/>
      <c r="I2837" s="4"/>
      <c r="J2837" s="4"/>
    </row>
    <row r="2838" spans="1:10" x14ac:dyDescent="0.35">
      <c r="A2838" s="7" t="s">
        <v>22</v>
      </c>
      <c r="B2838" s="7">
        <f t="shared" si="647"/>
        <v>2047</v>
      </c>
      <c r="C2838" s="4" t="s">
        <v>52</v>
      </c>
      <c r="D2838" s="5" t="s">
        <v>2003</v>
      </c>
      <c r="E2838" s="10" t="str">
        <f t="shared" si="645"/>
        <v>PSNP'!</v>
      </c>
      <c r="F2838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38" s="7" t="s">
        <v>109</v>
      </c>
      <c r="H2838" s="4"/>
      <c r="I2838" s="4"/>
      <c r="J2838" s="4"/>
    </row>
    <row r="2839" spans="1:10" x14ac:dyDescent="0.35">
      <c r="A2839" s="7" t="s">
        <v>22</v>
      </c>
      <c r="B2839" s="7">
        <f t="shared" si="647"/>
        <v>2048</v>
      </c>
      <c r="C2839" s="4" t="s">
        <v>52</v>
      </c>
      <c r="D2839" s="5" t="s">
        <v>2003</v>
      </c>
      <c r="E2839" s="10" t="str">
        <f t="shared" si="645"/>
        <v>PSNP'!</v>
      </c>
      <c r="F2839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39" s="7" t="s">
        <v>109</v>
      </c>
      <c r="H2839" s="4"/>
      <c r="I2839" s="4"/>
      <c r="J2839" s="4"/>
    </row>
    <row r="2840" spans="1:10" x14ac:dyDescent="0.35">
      <c r="A2840" s="7" t="s">
        <v>22</v>
      </c>
      <c r="B2840" s="7">
        <f t="shared" si="647"/>
        <v>2049</v>
      </c>
      <c r="C2840" s="4" t="s">
        <v>52</v>
      </c>
      <c r="D2840" s="5" t="s">
        <v>2003</v>
      </c>
      <c r="E2840" s="10" t="str">
        <f t="shared" si="645"/>
        <v>PSNP'!</v>
      </c>
      <c r="F2840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40" s="7" t="s">
        <v>109</v>
      </c>
      <c r="H2840" s="4"/>
      <c r="I2840" s="4"/>
      <c r="J2840" s="4"/>
    </row>
    <row r="2841" spans="1:10" x14ac:dyDescent="0.35">
      <c r="A2841" s="7" t="s">
        <v>22</v>
      </c>
      <c r="B2841" s="7">
        <f t="shared" si="647"/>
        <v>2050</v>
      </c>
      <c r="C2841" s="4" t="s">
        <v>52</v>
      </c>
      <c r="D2841" s="5" t="s">
        <v>2003</v>
      </c>
      <c r="E2841" s="10" t="str">
        <f t="shared" si="645"/>
        <v>PSNP'!</v>
      </c>
      <c r="F2841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41" s="7" t="s">
        <v>109</v>
      </c>
      <c r="H2841" s="4"/>
      <c r="I2841" s="4"/>
      <c r="J2841" s="4"/>
    </row>
    <row r="2842" spans="1:10" x14ac:dyDescent="0.35">
      <c r="A2842" s="7" t="s">
        <v>22</v>
      </c>
      <c r="B2842" s="7">
        <f t="shared" si="647"/>
        <v>2051</v>
      </c>
      <c r="C2842" s="4" t="s">
        <v>52</v>
      </c>
      <c r="D2842" s="5" t="s">
        <v>2003</v>
      </c>
      <c r="E2842" s="10" t="str">
        <f t="shared" si="645"/>
        <v>PSNP'!</v>
      </c>
      <c r="F2842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42" s="7" t="s">
        <v>109</v>
      </c>
      <c r="H2842" s="4"/>
      <c r="I2842" s="4"/>
      <c r="J2842" s="4"/>
    </row>
    <row r="2843" spans="1:10" x14ac:dyDescent="0.35">
      <c r="A2843" s="7" t="s">
        <v>22</v>
      </c>
      <c r="B2843" s="7">
        <f t="shared" si="647"/>
        <v>2052</v>
      </c>
      <c r="C2843" s="4" t="s">
        <v>52</v>
      </c>
      <c r="D2843" s="5" t="s">
        <v>2003</v>
      </c>
      <c r="E2843" s="10" t="str">
        <f t="shared" si="645"/>
        <v>PSNP'!</v>
      </c>
      <c r="F2843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43" s="7" t="s">
        <v>109</v>
      </c>
      <c r="H2843" s="4"/>
      <c r="I2843" s="4"/>
      <c r="J2843" s="4"/>
    </row>
    <row r="2844" spans="1:10" x14ac:dyDescent="0.35">
      <c r="A2844" s="7" t="s">
        <v>22</v>
      </c>
      <c r="B2844" s="7">
        <f t="shared" si="647"/>
        <v>2053</v>
      </c>
      <c r="C2844" s="4" t="s">
        <v>52</v>
      </c>
      <c r="D2844" s="5" t="s">
        <v>2003</v>
      </c>
      <c r="E2844" s="10" t="str">
        <f t="shared" si="645"/>
        <v>PSNP'!</v>
      </c>
      <c r="F2844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44" s="7" t="s">
        <v>109</v>
      </c>
      <c r="H2844" s="4"/>
      <c r="I2844" s="4"/>
      <c r="J2844" s="4"/>
    </row>
    <row r="2845" spans="1:10" x14ac:dyDescent="0.35">
      <c r="A2845" s="7" t="s">
        <v>22</v>
      </c>
      <c r="B2845" s="7">
        <f t="shared" si="647"/>
        <v>2054</v>
      </c>
      <c r="C2845" s="4" t="s">
        <v>52</v>
      </c>
      <c r="D2845" s="5" t="s">
        <v>2003</v>
      </c>
      <c r="E2845" s="10" t="str">
        <f t="shared" si="645"/>
        <v>PSNP'!</v>
      </c>
      <c r="F2845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45" s="7" t="s">
        <v>109</v>
      </c>
      <c r="H2845" s="4"/>
      <c r="I2845" s="4"/>
      <c r="J2845" s="4"/>
    </row>
    <row r="2846" spans="1:10" x14ac:dyDescent="0.35">
      <c r="A2846" s="7" t="s">
        <v>22</v>
      </c>
      <c r="B2846" s="7">
        <f t="shared" si="647"/>
        <v>2055</v>
      </c>
      <c r="C2846" s="4" t="s">
        <v>52</v>
      </c>
      <c r="D2846" s="5" t="s">
        <v>2003</v>
      </c>
      <c r="E2846" s="10" t="str">
        <f t="shared" si="645"/>
        <v>PSNP'!</v>
      </c>
      <c r="F2846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46" s="7" t="s">
        <v>109</v>
      </c>
      <c r="H2846" s="4"/>
      <c r="I2846" s="4"/>
      <c r="J2846" s="4"/>
    </row>
    <row r="2847" spans="1:10" x14ac:dyDescent="0.35">
      <c r="A2847" s="7" t="s">
        <v>22</v>
      </c>
      <c r="B2847" s="7">
        <f t="shared" si="647"/>
        <v>2056</v>
      </c>
      <c r="C2847" s="4" t="s">
        <v>52</v>
      </c>
      <c r="D2847" s="5" t="s">
        <v>2003</v>
      </c>
      <c r="E2847" s="10" t="str">
        <f t="shared" si="645"/>
        <v>PSNP'!</v>
      </c>
      <c r="F2847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47" s="7" t="s">
        <v>109</v>
      </c>
      <c r="H2847" s="4"/>
      <c r="I2847" s="4"/>
      <c r="J2847" s="4"/>
    </row>
    <row r="2848" spans="1:10" x14ac:dyDescent="0.35">
      <c r="A2848" s="7" t="s">
        <v>22</v>
      </c>
      <c r="B2848" s="7">
        <f t="shared" si="647"/>
        <v>2057</v>
      </c>
      <c r="C2848" s="4" t="s">
        <v>52</v>
      </c>
      <c r="D2848" s="5" t="s">
        <v>2003</v>
      </c>
      <c r="E2848" s="10" t="str">
        <f t="shared" si="645"/>
        <v>PSNP'!</v>
      </c>
      <c r="F2848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48" s="7" t="s">
        <v>109</v>
      </c>
      <c r="H2848" s="4"/>
      <c r="I2848" s="4"/>
      <c r="J2848" s="4"/>
    </row>
    <row r="2849" spans="1:10" x14ac:dyDescent="0.35">
      <c r="A2849" s="7" t="s">
        <v>22</v>
      </c>
      <c r="B2849" s="7">
        <f t="shared" si="647"/>
        <v>2058</v>
      </c>
      <c r="C2849" s="4" t="s">
        <v>52</v>
      </c>
      <c r="D2849" s="5" t="s">
        <v>2003</v>
      </c>
      <c r="E2849" s="10" t="str">
        <f t="shared" si="645"/>
        <v>PSNP'!</v>
      </c>
      <c r="F2849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49" s="7" t="s">
        <v>109</v>
      </c>
      <c r="H2849" s="4"/>
      <c r="I2849" s="4"/>
      <c r="J2849" s="4"/>
    </row>
    <row r="2850" spans="1:10" x14ac:dyDescent="0.35">
      <c r="A2850" s="7" t="s">
        <v>22</v>
      </c>
      <c r="B2850" s="7">
        <f t="shared" si="647"/>
        <v>2059</v>
      </c>
      <c r="C2850" s="4" t="s">
        <v>52</v>
      </c>
      <c r="D2850" s="5" t="s">
        <v>2003</v>
      </c>
      <c r="E2850" s="10" t="str">
        <f t="shared" si="645"/>
        <v>PSNP'!</v>
      </c>
      <c r="F2850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50" s="7" t="s">
        <v>109</v>
      </c>
      <c r="H2850" s="4"/>
      <c r="I2850" s="4"/>
      <c r="J2850" s="4"/>
    </row>
    <row r="2851" spans="1:10" x14ac:dyDescent="0.35">
      <c r="A2851" s="7" t="s">
        <v>26</v>
      </c>
      <c r="B2851" s="7"/>
      <c r="C2851" s="4" t="s">
        <v>52</v>
      </c>
      <c r="D2851" s="5"/>
      <c r="E2851" s="10"/>
      <c r="F2851" s="2"/>
      <c r="G2851" s="7"/>
      <c r="H2851" s="4"/>
      <c r="I2851" s="4"/>
      <c r="J2851" s="4"/>
    </row>
    <row r="2852" spans="1:10" x14ac:dyDescent="0.35">
      <c r="A2852" s="7" t="s">
        <v>23</v>
      </c>
      <c r="B2852" s="7">
        <v>2023</v>
      </c>
      <c r="C2852" s="4" t="s">
        <v>52</v>
      </c>
      <c r="D2852" s="5" t="s">
        <v>2003</v>
      </c>
      <c r="E2852" s="10" t="str">
        <f t="shared" ref="E2852:E2872" si="648">_xlfn.CONCAT(A2852,"'!")</f>
        <v>PSND'!</v>
      </c>
      <c r="F2852" s="5" t="str">
        <f t="shared" ref="F2852:F2872" si="649">_xlfn.CONCAT(D2852," ",E2852)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52" s="7" t="s">
        <v>109</v>
      </c>
      <c r="H2852" s="4"/>
      <c r="I2852" s="4"/>
      <c r="J2852" s="4"/>
    </row>
    <row r="2853" spans="1:10" x14ac:dyDescent="0.35">
      <c r="A2853" s="7" t="s">
        <v>23</v>
      </c>
      <c r="B2853" s="7">
        <f>+B2852+1</f>
        <v>2024</v>
      </c>
      <c r="C2853" s="4" t="s">
        <v>52</v>
      </c>
      <c r="D2853" s="5" t="s">
        <v>2003</v>
      </c>
      <c r="E2853" s="10" t="str">
        <f t="shared" si="648"/>
        <v>PSND'!</v>
      </c>
      <c r="F2853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53" s="7" t="s">
        <v>109</v>
      </c>
      <c r="H2853" s="4"/>
      <c r="I2853" s="4"/>
      <c r="J2853" s="4"/>
    </row>
    <row r="2854" spans="1:10" x14ac:dyDescent="0.35">
      <c r="A2854" s="7" t="s">
        <v>23</v>
      </c>
      <c r="B2854" s="7">
        <f t="shared" ref="B2854:B2865" si="650">+B2853+1</f>
        <v>2025</v>
      </c>
      <c r="C2854" s="4" t="s">
        <v>52</v>
      </c>
      <c r="D2854" s="5" t="s">
        <v>2003</v>
      </c>
      <c r="E2854" s="10" t="str">
        <f t="shared" si="648"/>
        <v>PSND'!</v>
      </c>
      <c r="F2854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54" s="7" t="s">
        <v>109</v>
      </c>
      <c r="H2854" s="4"/>
      <c r="I2854" s="4"/>
      <c r="J2854" s="4"/>
    </row>
    <row r="2855" spans="1:10" x14ac:dyDescent="0.35">
      <c r="A2855" s="7" t="s">
        <v>23</v>
      </c>
      <c r="B2855" s="7">
        <f t="shared" si="650"/>
        <v>2026</v>
      </c>
      <c r="C2855" s="4" t="s">
        <v>52</v>
      </c>
      <c r="D2855" s="5" t="s">
        <v>2003</v>
      </c>
      <c r="E2855" s="10" t="str">
        <f t="shared" si="648"/>
        <v>PSND'!</v>
      </c>
      <c r="F2855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55" s="7" t="s">
        <v>109</v>
      </c>
      <c r="H2855" s="4"/>
      <c r="I2855" s="4"/>
      <c r="J2855" s="4"/>
    </row>
    <row r="2856" spans="1:10" x14ac:dyDescent="0.35">
      <c r="A2856" s="7" t="s">
        <v>23</v>
      </c>
      <c r="B2856" s="7">
        <f t="shared" si="650"/>
        <v>2027</v>
      </c>
      <c r="C2856" s="4" t="s">
        <v>52</v>
      </c>
      <c r="D2856" s="5" t="s">
        <v>2003</v>
      </c>
      <c r="E2856" s="10" t="str">
        <f t="shared" si="648"/>
        <v>PSND'!</v>
      </c>
      <c r="F2856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56" s="7" t="s">
        <v>109</v>
      </c>
      <c r="H2856" s="4"/>
      <c r="I2856" s="4"/>
      <c r="J2856" s="4"/>
    </row>
    <row r="2857" spans="1:10" x14ac:dyDescent="0.35">
      <c r="A2857" s="7" t="s">
        <v>23</v>
      </c>
      <c r="B2857" s="7">
        <f t="shared" si="650"/>
        <v>2028</v>
      </c>
      <c r="C2857" s="4" t="s">
        <v>52</v>
      </c>
      <c r="D2857" s="5" t="s">
        <v>2003</v>
      </c>
      <c r="E2857" s="10" t="str">
        <f t="shared" si="648"/>
        <v>PSND'!</v>
      </c>
      <c r="F2857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57" s="7" t="s">
        <v>109</v>
      </c>
      <c r="H2857" s="4"/>
      <c r="I2857" s="4"/>
      <c r="J2857" s="4"/>
    </row>
    <row r="2858" spans="1:10" x14ac:dyDescent="0.35">
      <c r="A2858" s="7" t="s">
        <v>23</v>
      </c>
      <c r="B2858" s="7">
        <f t="shared" si="650"/>
        <v>2029</v>
      </c>
      <c r="C2858" s="4" t="s">
        <v>52</v>
      </c>
      <c r="D2858" s="5" t="s">
        <v>2003</v>
      </c>
      <c r="E2858" s="10" t="str">
        <f t="shared" si="648"/>
        <v>PSND'!</v>
      </c>
      <c r="F2858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58" s="7" t="s">
        <v>109</v>
      </c>
      <c r="H2858" s="4"/>
      <c r="I2858" s="4"/>
      <c r="J2858" s="4"/>
    </row>
    <row r="2859" spans="1:10" x14ac:dyDescent="0.35">
      <c r="A2859" s="7" t="s">
        <v>23</v>
      </c>
      <c r="B2859" s="7">
        <f t="shared" si="650"/>
        <v>2030</v>
      </c>
      <c r="C2859" s="4" t="s">
        <v>52</v>
      </c>
      <c r="D2859" s="5" t="s">
        <v>2003</v>
      </c>
      <c r="E2859" s="10" t="str">
        <f t="shared" si="648"/>
        <v>PSND'!</v>
      </c>
      <c r="F2859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59" s="7" t="s">
        <v>109</v>
      </c>
      <c r="H2859" s="4"/>
      <c r="I2859" s="4"/>
      <c r="J2859" s="4"/>
    </row>
    <row r="2860" spans="1:10" x14ac:dyDescent="0.35">
      <c r="A2860" s="7" t="s">
        <v>23</v>
      </c>
      <c r="B2860" s="7">
        <f t="shared" si="650"/>
        <v>2031</v>
      </c>
      <c r="C2860" s="4" t="s">
        <v>52</v>
      </c>
      <c r="D2860" s="5" t="s">
        <v>2003</v>
      </c>
      <c r="E2860" s="10" t="str">
        <f t="shared" si="648"/>
        <v>PSND'!</v>
      </c>
      <c r="F2860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60" s="7" t="s">
        <v>109</v>
      </c>
      <c r="H2860" s="4"/>
      <c r="I2860" s="4"/>
      <c r="J2860" s="4"/>
    </row>
    <row r="2861" spans="1:10" x14ac:dyDescent="0.35">
      <c r="A2861" s="7" t="s">
        <v>23</v>
      </c>
      <c r="B2861" s="7">
        <f t="shared" si="650"/>
        <v>2032</v>
      </c>
      <c r="C2861" s="4" t="s">
        <v>52</v>
      </c>
      <c r="D2861" s="5" t="s">
        <v>2003</v>
      </c>
      <c r="E2861" s="10" t="str">
        <f t="shared" si="648"/>
        <v>PSND'!</v>
      </c>
      <c r="F2861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61" s="7" t="s">
        <v>109</v>
      </c>
      <c r="H2861" s="4"/>
      <c r="I2861" s="4"/>
      <c r="J2861" s="4"/>
    </row>
    <row r="2862" spans="1:10" x14ac:dyDescent="0.35">
      <c r="A2862" s="7" t="s">
        <v>23</v>
      </c>
      <c r="B2862" s="7">
        <f t="shared" si="650"/>
        <v>2033</v>
      </c>
      <c r="C2862" s="4" t="s">
        <v>52</v>
      </c>
      <c r="D2862" s="5" t="s">
        <v>2003</v>
      </c>
      <c r="E2862" s="10" t="str">
        <f t="shared" si="648"/>
        <v>PSND'!</v>
      </c>
      <c r="F2862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62" s="7" t="s">
        <v>109</v>
      </c>
      <c r="H2862" s="4"/>
      <c r="I2862" s="4"/>
      <c r="J2862" s="4"/>
    </row>
    <row r="2863" spans="1:10" x14ac:dyDescent="0.35">
      <c r="A2863" s="7" t="s">
        <v>23</v>
      </c>
      <c r="B2863" s="7">
        <f t="shared" si="650"/>
        <v>2034</v>
      </c>
      <c r="C2863" s="4" t="s">
        <v>52</v>
      </c>
      <c r="D2863" s="5" t="s">
        <v>2003</v>
      </c>
      <c r="E2863" s="10" t="str">
        <f t="shared" si="648"/>
        <v>PSND'!</v>
      </c>
      <c r="F2863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63" s="7" t="s">
        <v>109</v>
      </c>
      <c r="H2863" s="4"/>
      <c r="I2863" s="4"/>
      <c r="J2863" s="4"/>
    </row>
    <row r="2864" spans="1:10" x14ac:dyDescent="0.35">
      <c r="A2864" s="7" t="s">
        <v>23</v>
      </c>
      <c r="B2864" s="7">
        <f t="shared" si="650"/>
        <v>2035</v>
      </c>
      <c r="C2864" s="4" t="s">
        <v>52</v>
      </c>
      <c r="D2864" s="5" t="s">
        <v>2003</v>
      </c>
      <c r="E2864" s="10" t="str">
        <f t="shared" si="648"/>
        <v>PSND'!</v>
      </c>
      <c r="F2864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64" s="7" t="s">
        <v>109</v>
      </c>
      <c r="H2864" s="4"/>
      <c r="I2864" s="4"/>
      <c r="J2864" s="4"/>
    </row>
    <row r="2865" spans="1:10" x14ac:dyDescent="0.35">
      <c r="A2865" s="7" t="s">
        <v>23</v>
      </c>
      <c r="B2865" s="7">
        <f t="shared" si="650"/>
        <v>2036</v>
      </c>
      <c r="C2865" s="4" t="s">
        <v>52</v>
      </c>
      <c r="D2865" s="5" t="s">
        <v>2003</v>
      </c>
      <c r="E2865" s="10" t="str">
        <f t="shared" si="648"/>
        <v>PSND'!</v>
      </c>
      <c r="F2865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65" s="7" t="s">
        <v>109</v>
      </c>
      <c r="H2865" s="4"/>
      <c r="I2865" s="4"/>
      <c r="J2865" s="4"/>
    </row>
    <row r="2866" spans="1:10" x14ac:dyDescent="0.35">
      <c r="A2866" s="7" t="s">
        <v>23</v>
      </c>
      <c r="B2866" s="7">
        <f>+B2865+1</f>
        <v>2037</v>
      </c>
      <c r="C2866" s="4" t="s">
        <v>52</v>
      </c>
      <c r="D2866" s="5" t="s">
        <v>2003</v>
      </c>
      <c r="E2866" s="10" t="str">
        <f t="shared" si="648"/>
        <v>PSND'!</v>
      </c>
      <c r="F2866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66" s="7" t="s">
        <v>109</v>
      </c>
      <c r="H2866" s="4"/>
      <c r="I2866" s="4"/>
      <c r="J2866" s="4"/>
    </row>
    <row r="2867" spans="1:10" x14ac:dyDescent="0.35">
      <c r="A2867" s="7" t="s">
        <v>23</v>
      </c>
      <c r="B2867" s="7">
        <f t="shared" ref="B2867:B2869" si="651">+B2866+1</f>
        <v>2038</v>
      </c>
      <c r="C2867" s="4" t="s">
        <v>52</v>
      </c>
      <c r="D2867" s="5" t="s">
        <v>2003</v>
      </c>
      <c r="E2867" s="10" t="str">
        <f t="shared" si="648"/>
        <v>PSND'!</v>
      </c>
      <c r="F2867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67" s="7" t="s">
        <v>109</v>
      </c>
      <c r="H2867" s="4"/>
      <c r="I2867" s="4"/>
      <c r="J2867" s="4"/>
    </row>
    <row r="2868" spans="1:10" x14ac:dyDescent="0.35">
      <c r="A2868" s="7" t="s">
        <v>23</v>
      </c>
      <c r="B2868" s="7">
        <f t="shared" si="651"/>
        <v>2039</v>
      </c>
      <c r="C2868" s="4" t="s">
        <v>52</v>
      </c>
      <c r="D2868" s="5" t="s">
        <v>2003</v>
      </c>
      <c r="E2868" s="10" t="str">
        <f t="shared" si="648"/>
        <v>PSND'!</v>
      </c>
      <c r="F2868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68" s="7" t="s">
        <v>109</v>
      </c>
      <c r="H2868" s="4"/>
      <c r="I2868" s="4"/>
      <c r="J2868" s="4"/>
    </row>
    <row r="2869" spans="1:10" x14ac:dyDescent="0.35">
      <c r="A2869" s="7" t="s">
        <v>23</v>
      </c>
      <c r="B2869" s="7">
        <f t="shared" si="651"/>
        <v>2040</v>
      </c>
      <c r="C2869" s="4" t="s">
        <v>52</v>
      </c>
      <c r="D2869" s="5" t="s">
        <v>2003</v>
      </c>
      <c r="E2869" s="10" t="str">
        <f t="shared" si="648"/>
        <v>PSND'!</v>
      </c>
      <c r="F2869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69" s="7" t="s">
        <v>109</v>
      </c>
      <c r="H2869" s="4"/>
      <c r="I2869" s="4"/>
      <c r="J2869" s="4"/>
    </row>
    <row r="2870" spans="1:10" x14ac:dyDescent="0.35">
      <c r="A2870" s="7" t="s">
        <v>23</v>
      </c>
      <c r="B2870" s="7">
        <f>+B2869+1</f>
        <v>2041</v>
      </c>
      <c r="C2870" s="4" t="s">
        <v>52</v>
      </c>
      <c r="D2870" s="5" t="s">
        <v>2003</v>
      </c>
      <c r="E2870" s="10" t="str">
        <f t="shared" si="648"/>
        <v>PSND'!</v>
      </c>
      <c r="F2870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70" s="7" t="s">
        <v>109</v>
      </c>
      <c r="H2870" s="4"/>
      <c r="I2870" s="4"/>
      <c r="J2870" s="4"/>
    </row>
    <row r="2871" spans="1:10" x14ac:dyDescent="0.35">
      <c r="A2871" s="7" t="s">
        <v>23</v>
      </c>
      <c r="B2871" s="7">
        <f t="shared" ref="B2871:B2872" si="652">+B2870+1</f>
        <v>2042</v>
      </c>
      <c r="C2871" s="4" t="s">
        <v>52</v>
      </c>
      <c r="D2871" s="5" t="s">
        <v>2003</v>
      </c>
      <c r="E2871" s="10" t="str">
        <f t="shared" si="648"/>
        <v>PSND'!</v>
      </c>
      <c r="F2871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71" s="7" t="s">
        <v>109</v>
      </c>
      <c r="H2871" s="4"/>
      <c r="I2871" s="4"/>
      <c r="J2871" s="4"/>
    </row>
    <row r="2872" spans="1:10" x14ac:dyDescent="0.35">
      <c r="A2872" s="7" t="s">
        <v>23</v>
      </c>
      <c r="B2872" s="7">
        <f t="shared" si="652"/>
        <v>2043</v>
      </c>
      <c r="C2872" s="4" t="s">
        <v>52</v>
      </c>
      <c r="D2872" s="5" t="s">
        <v>2003</v>
      </c>
      <c r="E2872" s="10" t="str">
        <f t="shared" si="648"/>
        <v>PSND'!</v>
      </c>
      <c r="F2872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72" s="7" t="s">
        <v>109</v>
      </c>
      <c r="H2872" s="4"/>
      <c r="I2872" s="4"/>
      <c r="J2872" s="4"/>
    </row>
    <row r="2873" spans="1:10" x14ac:dyDescent="0.35">
      <c r="A2873" s="7" t="s">
        <v>23</v>
      </c>
      <c r="B2873" s="7">
        <f>+B2872+1</f>
        <v>2044</v>
      </c>
      <c r="C2873" s="4" t="s">
        <v>52</v>
      </c>
      <c r="D2873" s="5" t="s">
        <v>2003</v>
      </c>
      <c r="E2873" s="10" t="str">
        <f t="shared" ref="E2873:E2888" si="653">_xlfn.CONCAT(A2873,"'!")</f>
        <v>PSND'!</v>
      </c>
      <c r="F2873" s="5" t="str">
        <f t="shared" ref="F2873:F2888" si="654">_xlfn.CONCAT(D2873," ",E2873)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73" s="7" t="s">
        <v>109</v>
      </c>
      <c r="H2873" s="4"/>
      <c r="I2873" s="4"/>
      <c r="J2873" s="4"/>
    </row>
    <row r="2874" spans="1:10" x14ac:dyDescent="0.35">
      <c r="A2874" s="7" t="s">
        <v>23</v>
      </c>
      <c r="B2874" s="7">
        <f t="shared" ref="B2874:B2888" si="655">+B2873+1</f>
        <v>2045</v>
      </c>
      <c r="C2874" s="4" t="s">
        <v>52</v>
      </c>
      <c r="D2874" s="5" t="s">
        <v>2003</v>
      </c>
      <c r="E2874" s="10" t="str">
        <f t="shared" si="653"/>
        <v>PSND'!</v>
      </c>
      <c r="F2874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74" s="7" t="s">
        <v>109</v>
      </c>
      <c r="H2874" s="4"/>
      <c r="I2874" s="4"/>
      <c r="J2874" s="4"/>
    </row>
    <row r="2875" spans="1:10" x14ac:dyDescent="0.35">
      <c r="A2875" s="7" t="s">
        <v>23</v>
      </c>
      <c r="B2875" s="7">
        <f t="shared" si="655"/>
        <v>2046</v>
      </c>
      <c r="C2875" s="4" t="s">
        <v>52</v>
      </c>
      <c r="D2875" s="5" t="s">
        <v>2003</v>
      </c>
      <c r="E2875" s="10" t="str">
        <f t="shared" si="653"/>
        <v>PSND'!</v>
      </c>
      <c r="F2875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75" s="7" t="s">
        <v>109</v>
      </c>
      <c r="H2875" s="4"/>
      <c r="I2875" s="4"/>
      <c r="J2875" s="4"/>
    </row>
    <row r="2876" spans="1:10" x14ac:dyDescent="0.35">
      <c r="A2876" s="7" t="s">
        <v>23</v>
      </c>
      <c r="B2876" s="7">
        <f t="shared" si="655"/>
        <v>2047</v>
      </c>
      <c r="C2876" s="4" t="s">
        <v>52</v>
      </c>
      <c r="D2876" s="5" t="s">
        <v>2003</v>
      </c>
      <c r="E2876" s="10" t="str">
        <f t="shared" si="653"/>
        <v>PSND'!</v>
      </c>
      <c r="F2876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76" s="7" t="s">
        <v>109</v>
      </c>
      <c r="H2876" s="4"/>
      <c r="I2876" s="4"/>
      <c r="J2876" s="4"/>
    </row>
    <row r="2877" spans="1:10" x14ac:dyDescent="0.35">
      <c r="A2877" s="7" t="s">
        <v>23</v>
      </c>
      <c r="B2877" s="7">
        <f t="shared" si="655"/>
        <v>2048</v>
      </c>
      <c r="C2877" s="4" t="s">
        <v>52</v>
      </c>
      <c r="D2877" s="5" t="s">
        <v>2003</v>
      </c>
      <c r="E2877" s="10" t="str">
        <f t="shared" si="653"/>
        <v>PSND'!</v>
      </c>
      <c r="F2877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77" s="7" t="s">
        <v>109</v>
      </c>
      <c r="H2877" s="4"/>
      <c r="I2877" s="4"/>
      <c r="J2877" s="4"/>
    </row>
    <row r="2878" spans="1:10" x14ac:dyDescent="0.35">
      <c r="A2878" s="7" t="s">
        <v>23</v>
      </c>
      <c r="B2878" s="7">
        <f t="shared" si="655"/>
        <v>2049</v>
      </c>
      <c r="C2878" s="4" t="s">
        <v>52</v>
      </c>
      <c r="D2878" s="5" t="s">
        <v>2003</v>
      </c>
      <c r="E2878" s="10" t="str">
        <f t="shared" si="653"/>
        <v>PSND'!</v>
      </c>
      <c r="F2878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78" s="7" t="s">
        <v>109</v>
      </c>
      <c r="H2878" s="4"/>
      <c r="I2878" s="4"/>
      <c r="J2878" s="4"/>
    </row>
    <row r="2879" spans="1:10" x14ac:dyDescent="0.35">
      <c r="A2879" s="7" t="s">
        <v>23</v>
      </c>
      <c r="B2879" s="7">
        <f t="shared" si="655"/>
        <v>2050</v>
      </c>
      <c r="C2879" s="4" t="s">
        <v>52</v>
      </c>
      <c r="D2879" s="5" t="s">
        <v>2003</v>
      </c>
      <c r="E2879" s="10" t="str">
        <f t="shared" si="653"/>
        <v>PSND'!</v>
      </c>
      <c r="F2879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79" s="7" t="s">
        <v>109</v>
      </c>
      <c r="H2879" s="4"/>
      <c r="I2879" s="4"/>
      <c r="J2879" s="4"/>
    </row>
    <row r="2880" spans="1:10" x14ac:dyDescent="0.35">
      <c r="A2880" s="7" t="s">
        <v>23</v>
      </c>
      <c r="B2880" s="7">
        <f t="shared" si="655"/>
        <v>2051</v>
      </c>
      <c r="C2880" s="4" t="s">
        <v>52</v>
      </c>
      <c r="D2880" s="5" t="s">
        <v>2003</v>
      </c>
      <c r="E2880" s="10" t="str">
        <f t="shared" si="653"/>
        <v>PSND'!</v>
      </c>
      <c r="F2880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80" s="7" t="s">
        <v>109</v>
      </c>
      <c r="H2880" s="4"/>
      <c r="I2880" s="4"/>
      <c r="J2880" s="4"/>
    </row>
    <row r="2881" spans="1:10" x14ac:dyDescent="0.35">
      <c r="A2881" s="7" t="s">
        <v>23</v>
      </c>
      <c r="B2881" s="7">
        <f t="shared" si="655"/>
        <v>2052</v>
      </c>
      <c r="C2881" s="4" t="s">
        <v>52</v>
      </c>
      <c r="D2881" s="5" t="s">
        <v>2003</v>
      </c>
      <c r="E2881" s="10" t="str">
        <f t="shared" si="653"/>
        <v>PSND'!</v>
      </c>
      <c r="F2881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81" s="7" t="s">
        <v>109</v>
      </c>
      <c r="H2881" s="4"/>
      <c r="I2881" s="4"/>
      <c r="J2881" s="4"/>
    </row>
    <row r="2882" spans="1:10" x14ac:dyDescent="0.35">
      <c r="A2882" s="7" t="s">
        <v>23</v>
      </c>
      <c r="B2882" s="7">
        <f t="shared" si="655"/>
        <v>2053</v>
      </c>
      <c r="C2882" s="4" t="s">
        <v>52</v>
      </c>
      <c r="D2882" s="5" t="s">
        <v>2003</v>
      </c>
      <c r="E2882" s="10" t="str">
        <f t="shared" si="653"/>
        <v>PSND'!</v>
      </c>
      <c r="F2882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82" s="7" t="s">
        <v>109</v>
      </c>
      <c r="H2882" s="4"/>
      <c r="I2882" s="4"/>
      <c r="J2882" s="4"/>
    </row>
    <row r="2883" spans="1:10" x14ac:dyDescent="0.35">
      <c r="A2883" s="7" t="s">
        <v>23</v>
      </c>
      <c r="B2883" s="7">
        <f t="shared" si="655"/>
        <v>2054</v>
      </c>
      <c r="C2883" s="4" t="s">
        <v>52</v>
      </c>
      <c r="D2883" s="5" t="s">
        <v>2003</v>
      </c>
      <c r="E2883" s="10" t="str">
        <f t="shared" si="653"/>
        <v>PSND'!</v>
      </c>
      <c r="F2883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83" s="7" t="s">
        <v>109</v>
      </c>
      <c r="H2883" s="4"/>
      <c r="I2883" s="4"/>
      <c r="J2883" s="4"/>
    </row>
    <row r="2884" spans="1:10" x14ac:dyDescent="0.35">
      <c r="A2884" s="7" t="s">
        <v>23</v>
      </c>
      <c r="B2884" s="7">
        <f t="shared" si="655"/>
        <v>2055</v>
      </c>
      <c r="C2884" s="4" t="s">
        <v>52</v>
      </c>
      <c r="D2884" s="5" t="s">
        <v>2003</v>
      </c>
      <c r="E2884" s="10" t="str">
        <f t="shared" si="653"/>
        <v>PSND'!</v>
      </c>
      <c r="F2884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84" s="7" t="s">
        <v>109</v>
      </c>
      <c r="H2884" s="4"/>
      <c r="I2884" s="4"/>
      <c r="J2884" s="4"/>
    </row>
    <row r="2885" spans="1:10" x14ac:dyDescent="0.35">
      <c r="A2885" s="7" t="s">
        <v>23</v>
      </c>
      <c r="B2885" s="7">
        <f t="shared" si="655"/>
        <v>2056</v>
      </c>
      <c r="C2885" s="4" t="s">
        <v>52</v>
      </c>
      <c r="D2885" s="5" t="s">
        <v>2003</v>
      </c>
      <c r="E2885" s="10" t="str">
        <f t="shared" si="653"/>
        <v>PSND'!</v>
      </c>
      <c r="F2885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85" s="7" t="s">
        <v>109</v>
      </c>
      <c r="H2885" s="4"/>
      <c r="I2885" s="4"/>
      <c r="J2885" s="4"/>
    </row>
    <row r="2886" spans="1:10" x14ac:dyDescent="0.35">
      <c r="A2886" s="7" t="s">
        <v>23</v>
      </c>
      <c r="B2886" s="7">
        <f t="shared" si="655"/>
        <v>2057</v>
      </c>
      <c r="C2886" s="4" t="s">
        <v>52</v>
      </c>
      <c r="D2886" s="5" t="s">
        <v>2003</v>
      </c>
      <c r="E2886" s="10" t="str">
        <f t="shared" si="653"/>
        <v>PSND'!</v>
      </c>
      <c r="F2886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86" s="7" t="s">
        <v>109</v>
      </c>
      <c r="H2886" s="4"/>
      <c r="I2886" s="4"/>
      <c r="J2886" s="4"/>
    </row>
    <row r="2887" spans="1:10" x14ac:dyDescent="0.35">
      <c r="A2887" s="7" t="s">
        <v>23</v>
      </c>
      <c r="B2887" s="7">
        <f t="shared" si="655"/>
        <v>2058</v>
      </c>
      <c r="C2887" s="4" t="s">
        <v>52</v>
      </c>
      <c r="D2887" s="5" t="s">
        <v>2003</v>
      </c>
      <c r="E2887" s="10" t="str">
        <f t="shared" si="653"/>
        <v>PSND'!</v>
      </c>
      <c r="F2887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87" s="7" t="s">
        <v>109</v>
      </c>
      <c r="H2887" s="4"/>
      <c r="I2887" s="4"/>
      <c r="J2887" s="4"/>
    </row>
    <row r="2888" spans="1:10" x14ac:dyDescent="0.35">
      <c r="A2888" s="7" t="s">
        <v>23</v>
      </c>
      <c r="B2888" s="7">
        <f t="shared" si="655"/>
        <v>2059</v>
      </c>
      <c r="C2888" s="4" t="s">
        <v>52</v>
      </c>
      <c r="D2888" s="5" t="s">
        <v>2003</v>
      </c>
      <c r="E2888" s="10" t="str">
        <f t="shared" si="653"/>
        <v>PSND'!</v>
      </c>
      <c r="F2888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88" s="7" t="s">
        <v>109</v>
      </c>
      <c r="H2888" s="4"/>
      <c r="I2888" s="4"/>
      <c r="J2888" s="4"/>
    </row>
    <row r="2889" spans="1:10" x14ac:dyDescent="0.35">
      <c r="A2889" s="7" t="s">
        <v>26</v>
      </c>
      <c r="B2889" s="7"/>
      <c r="C2889" s="4" t="s">
        <v>52</v>
      </c>
      <c r="D2889" s="5"/>
      <c r="E2889" s="10"/>
      <c r="F2889" s="5"/>
      <c r="G2889" s="7"/>
      <c r="H2889" s="4"/>
      <c r="I2889" s="4"/>
      <c r="J2889" s="4"/>
    </row>
    <row r="2890" spans="1:10" x14ac:dyDescent="0.35">
      <c r="A2890" s="7" t="s">
        <v>24</v>
      </c>
      <c r="B2890" s="7">
        <v>2023</v>
      </c>
      <c r="C2890" s="4" t="s">
        <v>52</v>
      </c>
      <c r="D2890" s="5" t="s">
        <v>2003</v>
      </c>
      <c r="E2890" s="10" t="str">
        <f t="shared" si="592"/>
        <v>PS'!</v>
      </c>
      <c r="F2890" s="5" t="str">
        <f t="shared" ref="F2890:F2910" si="656">_xlfn.CONCAT(D2890," ",E2890)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890" s="7" t="s">
        <v>109</v>
      </c>
      <c r="H2890" s="4">
        <f>IF(A2890&lt;&gt;A2760,36,H2760+1)</f>
        <v>36</v>
      </c>
      <c r="I2890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PS'!$DN$36</v>
      </c>
      <c r="J2890" s="4" t="s">
        <v>3262</v>
      </c>
    </row>
    <row r="2891" spans="1:10" x14ac:dyDescent="0.35">
      <c r="A2891" s="7" t="s">
        <v>24</v>
      </c>
      <c r="B2891" s="7">
        <f>+B2890+1</f>
        <v>2024</v>
      </c>
      <c r="C2891" s="4" t="s">
        <v>52</v>
      </c>
      <c r="D2891" s="5" t="s">
        <v>2003</v>
      </c>
      <c r="E2891" s="10" t="str">
        <f t="shared" si="592"/>
        <v>PS'!</v>
      </c>
      <c r="F2891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891" s="7" t="s">
        <v>109</v>
      </c>
      <c r="H2891" s="4">
        <f t="shared" si="594"/>
        <v>37</v>
      </c>
      <c r="I2891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PS'!$DN$37</v>
      </c>
      <c r="J2891" s="4" t="s">
        <v>3263</v>
      </c>
    </row>
    <row r="2892" spans="1:10" x14ac:dyDescent="0.35">
      <c r="A2892" s="7" t="s">
        <v>24</v>
      </c>
      <c r="B2892" s="7">
        <f t="shared" ref="B2892:B2903" si="657">+B2891+1</f>
        <v>2025</v>
      </c>
      <c r="C2892" s="4" t="s">
        <v>52</v>
      </c>
      <c r="D2892" s="5" t="s">
        <v>2003</v>
      </c>
      <c r="E2892" s="10" t="str">
        <f t="shared" si="592"/>
        <v>PS'!</v>
      </c>
      <c r="F2892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892" s="7" t="s">
        <v>109</v>
      </c>
      <c r="H2892" s="4">
        <f t="shared" si="594"/>
        <v>38</v>
      </c>
      <c r="I2892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PS'!$DN$38</v>
      </c>
      <c r="J2892" s="4" t="s">
        <v>3264</v>
      </c>
    </row>
    <row r="2893" spans="1:10" x14ac:dyDescent="0.35">
      <c r="A2893" s="7" t="s">
        <v>24</v>
      </c>
      <c r="B2893" s="7">
        <f t="shared" si="657"/>
        <v>2026</v>
      </c>
      <c r="C2893" s="4" t="s">
        <v>52</v>
      </c>
      <c r="D2893" s="5" t="s">
        <v>2003</v>
      </c>
      <c r="E2893" s="10" t="str">
        <f t="shared" si="592"/>
        <v>PS'!</v>
      </c>
      <c r="F2893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893" s="7" t="s">
        <v>109</v>
      </c>
      <c r="H2893" s="4">
        <f t="shared" si="594"/>
        <v>39</v>
      </c>
      <c r="I2893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PS'!$DN$39</v>
      </c>
      <c r="J2893" s="4" t="s">
        <v>3265</v>
      </c>
    </row>
    <row r="2894" spans="1:10" x14ac:dyDescent="0.35">
      <c r="A2894" s="7" t="s">
        <v>24</v>
      </c>
      <c r="B2894" s="7">
        <f t="shared" si="657"/>
        <v>2027</v>
      </c>
      <c r="C2894" s="4" t="s">
        <v>52</v>
      </c>
      <c r="D2894" s="5" t="s">
        <v>2003</v>
      </c>
      <c r="E2894" s="10" t="str">
        <f t="shared" si="592"/>
        <v>PS'!</v>
      </c>
      <c r="F2894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894" s="7" t="s">
        <v>109</v>
      </c>
      <c r="H2894" s="4">
        <f t="shared" si="594"/>
        <v>40</v>
      </c>
      <c r="I2894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PS'!$DN$40</v>
      </c>
      <c r="J2894" s="4" t="s">
        <v>3266</v>
      </c>
    </row>
    <row r="2895" spans="1:10" x14ac:dyDescent="0.35">
      <c r="A2895" s="7" t="s">
        <v>24</v>
      </c>
      <c r="B2895" s="7">
        <f t="shared" si="657"/>
        <v>2028</v>
      </c>
      <c r="C2895" s="4" t="s">
        <v>52</v>
      </c>
      <c r="D2895" s="5" t="s">
        <v>2003</v>
      </c>
      <c r="E2895" s="10" t="str">
        <f t="shared" si="592"/>
        <v>PS'!</v>
      </c>
      <c r="F2895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895" s="7" t="s">
        <v>109</v>
      </c>
      <c r="H2895" s="4">
        <f t="shared" si="594"/>
        <v>41</v>
      </c>
      <c r="I2895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PS'!$DN$41</v>
      </c>
      <c r="J2895" s="4" t="s">
        <v>3267</v>
      </c>
    </row>
    <row r="2896" spans="1:10" x14ac:dyDescent="0.35">
      <c r="A2896" s="7" t="s">
        <v>24</v>
      </c>
      <c r="B2896" s="7">
        <f t="shared" si="657"/>
        <v>2029</v>
      </c>
      <c r="C2896" s="4" t="s">
        <v>52</v>
      </c>
      <c r="D2896" s="5" t="s">
        <v>2003</v>
      </c>
      <c r="E2896" s="10" t="str">
        <f t="shared" si="592"/>
        <v>PS'!</v>
      </c>
      <c r="F2896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896" s="7" t="s">
        <v>109</v>
      </c>
      <c r="H2896" s="4">
        <f t="shared" si="594"/>
        <v>42</v>
      </c>
      <c r="I2896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PS'!$DN$42</v>
      </c>
      <c r="J2896" s="4" t="s">
        <v>3268</v>
      </c>
    </row>
    <row r="2897" spans="1:10" x14ac:dyDescent="0.35">
      <c r="A2897" s="7" t="s">
        <v>24</v>
      </c>
      <c r="B2897" s="7">
        <f t="shared" si="657"/>
        <v>2030</v>
      </c>
      <c r="C2897" s="4" t="s">
        <v>52</v>
      </c>
      <c r="D2897" s="5" t="s">
        <v>2003</v>
      </c>
      <c r="E2897" s="10" t="str">
        <f t="shared" si="592"/>
        <v>PS'!</v>
      </c>
      <c r="F2897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897" s="7" t="s">
        <v>109</v>
      </c>
      <c r="H2897" s="4">
        <f t="shared" si="594"/>
        <v>43</v>
      </c>
      <c r="I2897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PS'!$DN$43</v>
      </c>
      <c r="J2897" s="4" t="s">
        <v>3269</v>
      </c>
    </row>
    <row r="2898" spans="1:10" x14ac:dyDescent="0.35">
      <c r="A2898" s="7" t="s">
        <v>24</v>
      </c>
      <c r="B2898" s="7">
        <f t="shared" si="657"/>
        <v>2031</v>
      </c>
      <c r="C2898" s="4" t="s">
        <v>52</v>
      </c>
      <c r="D2898" s="5" t="s">
        <v>2003</v>
      </c>
      <c r="E2898" s="10" t="str">
        <f t="shared" si="592"/>
        <v>PS'!</v>
      </c>
      <c r="F2898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898" s="7" t="s">
        <v>109</v>
      </c>
      <c r="H2898" s="4">
        <f t="shared" si="594"/>
        <v>44</v>
      </c>
      <c r="I2898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PS'!$DN$44</v>
      </c>
      <c r="J2898" s="4" t="s">
        <v>3270</v>
      </c>
    </row>
    <row r="2899" spans="1:10" x14ac:dyDescent="0.35">
      <c r="A2899" s="7" t="s">
        <v>24</v>
      </c>
      <c r="B2899" s="7">
        <f t="shared" si="657"/>
        <v>2032</v>
      </c>
      <c r="C2899" s="4" t="s">
        <v>52</v>
      </c>
      <c r="D2899" s="5" t="s">
        <v>2003</v>
      </c>
      <c r="E2899" s="10" t="str">
        <f t="shared" si="592"/>
        <v>PS'!</v>
      </c>
      <c r="F2899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899" s="7" t="s">
        <v>109</v>
      </c>
      <c r="H2899" s="4">
        <f t="shared" si="594"/>
        <v>45</v>
      </c>
      <c r="I2899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PS'!$DN$45</v>
      </c>
      <c r="J2899" s="4" t="s">
        <v>3271</v>
      </c>
    </row>
    <row r="2900" spans="1:10" x14ac:dyDescent="0.35">
      <c r="A2900" s="7" t="s">
        <v>24</v>
      </c>
      <c r="B2900" s="7">
        <f t="shared" si="657"/>
        <v>2033</v>
      </c>
      <c r="C2900" s="4" t="s">
        <v>52</v>
      </c>
      <c r="D2900" s="5" t="s">
        <v>2003</v>
      </c>
      <c r="E2900" s="10" t="str">
        <f t="shared" si="592"/>
        <v>PS'!</v>
      </c>
      <c r="F2900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00" s="7" t="s">
        <v>109</v>
      </c>
      <c r="H2900" s="4">
        <f t="shared" si="594"/>
        <v>46</v>
      </c>
      <c r="I2900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PS'!$DN$46</v>
      </c>
      <c r="J2900" s="4" t="s">
        <v>3272</v>
      </c>
    </row>
    <row r="2901" spans="1:10" x14ac:dyDescent="0.35">
      <c r="A2901" s="7" t="s">
        <v>24</v>
      </c>
      <c r="B2901" s="7">
        <f t="shared" si="657"/>
        <v>2034</v>
      </c>
      <c r="C2901" s="4" t="s">
        <v>52</v>
      </c>
      <c r="D2901" s="5" t="s">
        <v>2003</v>
      </c>
      <c r="E2901" s="10" t="str">
        <f t="shared" si="592"/>
        <v>PS'!</v>
      </c>
      <c r="F2901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01" s="7" t="s">
        <v>109</v>
      </c>
      <c r="H2901" s="4">
        <f t="shared" si="594"/>
        <v>47</v>
      </c>
      <c r="I2901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PS'!$DN$47</v>
      </c>
      <c r="J2901" s="4" t="s">
        <v>3273</v>
      </c>
    </row>
    <row r="2902" spans="1:10" x14ac:dyDescent="0.35">
      <c r="A2902" s="7" t="s">
        <v>24</v>
      </c>
      <c r="B2902" s="7">
        <f t="shared" si="657"/>
        <v>2035</v>
      </c>
      <c r="C2902" s="4" t="s">
        <v>52</v>
      </c>
      <c r="D2902" s="5" t="s">
        <v>2003</v>
      </c>
      <c r="E2902" s="10" t="str">
        <f t="shared" si="592"/>
        <v>PS'!</v>
      </c>
      <c r="F2902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02" s="7" t="s">
        <v>109</v>
      </c>
      <c r="H2902" s="4">
        <f t="shared" si="594"/>
        <v>48</v>
      </c>
      <c r="I2902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PS'!$DN$48</v>
      </c>
      <c r="J2902" s="4" t="s">
        <v>3274</v>
      </c>
    </row>
    <row r="2903" spans="1:10" x14ac:dyDescent="0.35">
      <c r="A2903" s="7" t="s">
        <v>24</v>
      </c>
      <c r="B2903" s="7">
        <f t="shared" si="657"/>
        <v>2036</v>
      </c>
      <c r="C2903" s="4" t="s">
        <v>52</v>
      </c>
      <c r="D2903" s="5" t="s">
        <v>2003</v>
      </c>
      <c r="E2903" s="10" t="str">
        <f t="shared" si="592"/>
        <v>PS'!</v>
      </c>
      <c r="F2903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03" s="7" t="s">
        <v>109</v>
      </c>
      <c r="H2903" s="4">
        <f t="shared" si="594"/>
        <v>49</v>
      </c>
      <c r="I2903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PS'!$DN$49</v>
      </c>
      <c r="J2903" s="4" t="s">
        <v>3275</v>
      </c>
    </row>
    <row r="2904" spans="1:10" x14ac:dyDescent="0.35">
      <c r="A2904" s="7" t="s">
        <v>24</v>
      </c>
      <c r="B2904" s="7">
        <f>+B2903+1</f>
        <v>2037</v>
      </c>
      <c r="C2904" s="4" t="s">
        <v>52</v>
      </c>
      <c r="D2904" s="5" t="s">
        <v>2003</v>
      </c>
      <c r="E2904" s="10" t="str">
        <f t="shared" si="592"/>
        <v>PS'!</v>
      </c>
      <c r="F2904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04" s="7" t="s">
        <v>109</v>
      </c>
      <c r="H2904" s="4">
        <f t="shared" si="594"/>
        <v>50</v>
      </c>
      <c r="I2904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PS'!$DN$50</v>
      </c>
      <c r="J2904" s="4" t="s">
        <v>3276</v>
      </c>
    </row>
    <row r="2905" spans="1:10" x14ac:dyDescent="0.35">
      <c r="A2905" s="7" t="s">
        <v>24</v>
      </c>
      <c r="B2905" s="7">
        <f t="shared" ref="B2905:B2907" si="658">+B2904+1</f>
        <v>2038</v>
      </c>
      <c r="C2905" s="4" t="s">
        <v>52</v>
      </c>
      <c r="D2905" s="5" t="s">
        <v>2003</v>
      </c>
      <c r="E2905" s="10" t="str">
        <f t="shared" si="592"/>
        <v>PS'!</v>
      </c>
      <c r="F2905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05" s="7" t="s">
        <v>109</v>
      </c>
      <c r="H2905" s="4">
        <f t="shared" si="594"/>
        <v>51</v>
      </c>
      <c r="I2905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PS'!$DN$51</v>
      </c>
      <c r="J2905" s="4" t="s">
        <v>3277</v>
      </c>
    </row>
    <row r="2906" spans="1:10" x14ac:dyDescent="0.35">
      <c r="A2906" s="7" t="s">
        <v>24</v>
      </c>
      <c r="B2906" s="7">
        <f t="shared" si="658"/>
        <v>2039</v>
      </c>
      <c r="C2906" s="4" t="s">
        <v>52</v>
      </c>
      <c r="D2906" s="5" t="s">
        <v>2003</v>
      </c>
      <c r="E2906" s="10" t="str">
        <f t="shared" si="592"/>
        <v>PS'!</v>
      </c>
      <c r="F2906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06" s="7" t="s">
        <v>109</v>
      </c>
      <c r="H2906" s="4">
        <f t="shared" si="594"/>
        <v>52</v>
      </c>
      <c r="I2906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PS'!$DN$52</v>
      </c>
      <c r="J2906" s="4" t="s">
        <v>3278</v>
      </c>
    </row>
    <row r="2907" spans="1:10" x14ac:dyDescent="0.35">
      <c r="A2907" s="7" t="s">
        <v>24</v>
      </c>
      <c r="B2907" s="7">
        <f t="shared" si="658"/>
        <v>2040</v>
      </c>
      <c r="C2907" s="4" t="s">
        <v>52</v>
      </c>
      <c r="D2907" s="5" t="s">
        <v>2003</v>
      </c>
      <c r="E2907" s="10" t="str">
        <f t="shared" si="592"/>
        <v>PS'!</v>
      </c>
      <c r="F2907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07" s="7" t="s">
        <v>109</v>
      </c>
      <c r="H2907" s="4">
        <f t="shared" si="594"/>
        <v>53</v>
      </c>
      <c r="I2907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PS'!$DN$53</v>
      </c>
      <c r="J2907" s="4" t="s">
        <v>3279</v>
      </c>
    </row>
    <row r="2908" spans="1:10" x14ac:dyDescent="0.35">
      <c r="A2908" s="7" t="s">
        <v>24</v>
      </c>
      <c r="B2908" s="7">
        <f>+B2907+1</f>
        <v>2041</v>
      </c>
      <c r="C2908" s="4" t="s">
        <v>52</v>
      </c>
      <c r="D2908" s="5" t="s">
        <v>2003</v>
      </c>
      <c r="E2908" s="10" t="str">
        <f t="shared" si="592"/>
        <v>PS'!</v>
      </c>
      <c r="F2908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08" s="7" t="s">
        <v>109</v>
      </c>
      <c r="H2908" s="4">
        <f t="shared" si="594"/>
        <v>54</v>
      </c>
      <c r="I2908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PS'!$DN$54</v>
      </c>
      <c r="J2908" s="4" t="s">
        <v>3280</v>
      </c>
    </row>
    <row r="2909" spans="1:10" x14ac:dyDescent="0.35">
      <c r="A2909" s="7" t="s">
        <v>24</v>
      </c>
      <c r="B2909" s="7">
        <f t="shared" ref="B2909:B2910" si="659">+B2908+1</f>
        <v>2042</v>
      </c>
      <c r="C2909" s="4" t="s">
        <v>52</v>
      </c>
      <c r="D2909" s="5" t="s">
        <v>2003</v>
      </c>
      <c r="E2909" s="10" t="str">
        <f t="shared" si="592"/>
        <v>PS'!</v>
      </c>
      <c r="F2909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09" s="7" t="s">
        <v>109</v>
      </c>
      <c r="H2909" s="4">
        <f t="shared" si="594"/>
        <v>55</v>
      </c>
      <c r="I2909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PS'!$DN$55</v>
      </c>
      <c r="J2909" s="4" t="s">
        <v>3281</v>
      </c>
    </row>
    <row r="2910" spans="1:10" x14ac:dyDescent="0.35">
      <c r="A2910" s="7" t="s">
        <v>24</v>
      </c>
      <c r="B2910" s="7">
        <f t="shared" si="659"/>
        <v>2043</v>
      </c>
      <c r="C2910" s="4" t="s">
        <v>52</v>
      </c>
      <c r="D2910" s="5" t="s">
        <v>2003</v>
      </c>
      <c r="E2910" s="10" t="str">
        <f t="shared" si="592"/>
        <v>PS'!</v>
      </c>
      <c r="F2910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10" s="7" t="s">
        <v>109</v>
      </c>
      <c r="H2910" s="4">
        <f t="shared" si="594"/>
        <v>56</v>
      </c>
      <c r="I2910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PS'!$DN$56</v>
      </c>
      <c r="J2910" s="4" t="s">
        <v>3282</v>
      </c>
    </row>
    <row r="2911" spans="1:10" x14ac:dyDescent="0.35">
      <c r="A2911" s="7" t="s">
        <v>24</v>
      </c>
      <c r="B2911" s="7">
        <f>+B2910+1</f>
        <v>2044</v>
      </c>
      <c r="C2911" s="4" t="s">
        <v>52</v>
      </c>
      <c r="D2911" s="5" t="s">
        <v>2003</v>
      </c>
      <c r="E2911" s="10" t="str">
        <f t="shared" ref="E2911:E2926" si="660">_xlfn.CONCAT(A2911,"'!")</f>
        <v>PS'!</v>
      </c>
      <c r="F2911" s="5" t="str">
        <f t="shared" ref="F2911:F2926" si="661">_xlfn.CONCAT(D2911," ",E2911)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11" s="7" t="s">
        <v>109</v>
      </c>
      <c r="H2911" s="4">
        <f t="shared" ref="H2911:H2926" si="662">IF(A2911&lt;&gt;A2910,36,H2910+1)</f>
        <v>57</v>
      </c>
      <c r="I2911" s="4" t="str">
        <f t="shared" ref="I2911:I2926" si="663">_xlfn.CONCAT("='",F2911:H2911)</f>
        <v>='C:\Users\jaime.benazar\Quorum Business Solutions\Ecopetrol Prometeo - Documents\Planning Space Implementation\3. Analysis &amp; Design\Design\FC22\DRR Jaime\Por presentar a ECP\Cantagallo\Cristalina\[VRC_CRISTALINA_CF_SEC_20221231.xlsx]CF PS'!$DN$57</v>
      </c>
      <c r="J2911" s="4" t="s">
        <v>3283</v>
      </c>
    </row>
    <row r="2912" spans="1:10" x14ac:dyDescent="0.35">
      <c r="A2912" s="7" t="s">
        <v>24</v>
      </c>
      <c r="B2912" s="7">
        <f t="shared" ref="B2912:B2926" si="664">+B2911+1</f>
        <v>2045</v>
      </c>
      <c r="C2912" s="4" t="s">
        <v>52</v>
      </c>
      <c r="D2912" s="5" t="s">
        <v>2003</v>
      </c>
      <c r="E2912" s="10" t="str">
        <f t="shared" si="660"/>
        <v>PS'!</v>
      </c>
      <c r="F2912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12" s="7" t="s">
        <v>109</v>
      </c>
      <c r="H2912" s="4">
        <f t="shared" si="662"/>
        <v>58</v>
      </c>
      <c r="I2912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PS'!$DN$58</v>
      </c>
      <c r="J2912" s="4" t="s">
        <v>3284</v>
      </c>
    </row>
    <row r="2913" spans="1:10" x14ac:dyDescent="0.35">
      <c r="A2913" s="7" t="s">
        <v>24</v>
      </c>
      <c r="B2913" s="7">
        <f t="shared" si="664"/>
        <v>2046</v>
      </c>
      <c r="C2913" s="4" t="s">
        <v>52</v>
      </c>
      <c r="D2913" s="5" t="s">
        <v>2003</v>
      </c>
      <c r="E2913" s="10" t="str">
        <f t="shared" si="660"/>
        <v>PS'!</v>
      </c>
      <c r="F2913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13" s="7" t="s">
        <v>109</v>
      </c>
      <c r="H2913" s="4">
        <f t="shared" si="662"/>
        <v>59</v>
      </c>
      <c r="I2913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PS'!$DN$59</v>
      </c>
      <c r="J2913" s="4" t="s">
        <v>3285</v>
      </c>
    </row>
    <row r="2914" spans="1:10" x14ac:dyDescent="0.35">
      <c r="A2914" s="7" t="s">
        <v>24</v>
      </c>
      <c r="B2914" s="7">
        <f t="shared" si="664"/>
        <v>2047</v>
      </c>
      <c r="C2914" s="4" t="s">
        <v>52</v>
      </c>
      <c r="D2914" s="5" t="s">
        <v>2003</v>
      </c>
      <c r="E2914" s="10" t="str">
        <f t="shared" si="660"/>
        <v>PS'!</v>
      </c>
      <c r="F2914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14" s="7" t="s">
        <v>109</v>
      </c>
      <c r="H2914" s="4">
        <f t="shared" si="662"/>
        <v>60</v>
      </c>
      <c r="I2914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PS'!$DN$60</v>
      </c>
      <c r="J2914" s="4" t="s">
        <v>3286</v>
      </c>
    </row>
    <row r="2915" spans="1:10" x14ac:dyDescent="0.35">
      <c r="A2915" s="7" t="s">
        <v>24</v>
      </c>
      <c r="B2915" s="7">
        <f t="shared" si="664"/>
        <v>2048</v>
      </c>
      <c r="C2915" s="4" t="s">
        <v>52</v>
      </c>
      <c r="D2915" s="5" t="s">
        <v>2003</v>
      </c>
      <c r="E2915" s="10" t="str">
        <f t="shared" si="660"/>
        <v>PS'!</v>
      </c>
      <c r="F2915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15" s="7" t="s">
        <v>109</v>
      </c>
      <c r="H2915" s="4">
        <f t="shared" si="662"/>
        <v>61</v>
      </c>
      <c r="I2915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PS'!$DN$61</v>
      </c>
      <c r="J2915" s="4" t="s">
        <v>3287</v>
      </c>
    </row>
    <row r="2916" spans="1:10" x14ac:dyDescent="0.35">
      <c r="A2916" s="7" t="s">
        <v>24</v>
      </c>
      <c r="B2916" s="7">
        <f t="shared" si="664"/>
        <v>2049</v>
      </c>
      <c r="C2916" s="4" t="s">
        <v>52</v>
      </c>
      <c r="D2916" s="5" t="s">
        <v>2003</v>
      </c>
      <c r="E2916" s="10" t="str">
        <f t="shared" si="660"/>
        <v>PS'!</v>
      </c>
      <c r="F2916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16" s="7" t="s">
        <v>109</v>
      </c>
      <c r="H2916" s="4">
        <f t="shared" si="662"/>
        <v>62</v>
      </c>
      <c r="I2916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PS'!$DN$62</v>
      </c>
      <c r="J2916" s="4" t="s">
        <v>3288</v>
      </c>
    </row>
    <row r="2917" spans="1:10" x14ac:dyDescent="0.35">
      <c r="A2917" s="7" t="s">
        <v>24</v>
      </c>
      <c r="B2917" s="7">
        <f t="shared" si="664"/>
        <v>2050</v>
      </c>
      <c r="C2917" s="4" t="s">
        <v>52</v>
      </c>
      <c r="D2917" s="5" t="s">
        <v>2003</v>
      </c>
      <c r="E2917" s="10" t="str">
        <f t="shared" si="660"/>
        <v>PS'!</v>
      </c>
      <c r="F2917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17" s="7" t="s">
        <v>109</v>
      </c>
      <c r="H2917" s="4">
        <f t="shared" si="662"/>
        <v>63</v>
      </c>
      <c r="I2917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PS'!$DN$63</v>
      </c>
      <c r="J2917" s="4" t="s">
        <v>3289</v>
      </c>
    </row>
    <row r="2918" spans="1:10" x14ac:dyDescent="0.35">
      <c r="A2918" s="7" t="s">
        <v>24</v>
      </c>
      <c r="B2918" s="7">
        <f t="shared" si="664"/>
        <v>2051</v>
      </c>
      <c r="C2918" s="4" t="s">
        <v>52</v>
      </c>
      <c r="D2918" s="5" t="s">
        <v>2003</v>
      </c>
      <c r="E2918" s="10" t="str">
        <f t="shared" si="660"/>
        <v>PS'!</v>
      </c>
      <c r="F2918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18" s="7" t="s">
        <v>109</v>
      </c>
      <c r="H2918" s="4">
        <f t="shared" si="662"/>
        <v>64</v>
      </c>
      <c r="I2918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PS'!$DN$64</v>
      </c>
      <c r="J2918" s="4" t="s">
        <v>3290</v>
      </c>
    </row>
    <row r="2919" spans="1:10" x14ac:dyDescent="0.35">
      <c r="A2919" s="7" t="s">
        <v>24</v>
      </c>
      <c r="B2919" s="7">
        <f t="shared" si="664"/>
        <v>2052</v>
      </c>
      <c r="C2919" s="4" t="s">
        <v>52</v>
      </c>
      <c r="D2919" s="5" t="s">
        <v>2003</v>
      </c>
      <c r="E2919" s="10" t="str">
        <f t="shared" si="660"/>
        <v>PS'!</v>
      </c>
      <c r="F2919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19" s="7" t="s">
        <v>109</v>
      </c>
      <c r="H2919" s="4">
        <f t="shared" si="662"/>
        <v>65</v>
      </c>
      <c r="I2919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PS'!$DN$65</v>
      </c>
      <c r="J2919" s="4" t="s">
        <v>3291</v>
      </c>
    </row>
    <row r="2920" spans="1:10" x14ac:dyDescent="0.35">
      <c r="A2920" s="7" t="s">
        <v>24</v>
      </c>
      <c r="B2920" s="7">
        <f t="shared" si="664"/>
        <v>2053</v>
      </c>
      <c r="C2920" s="4" t="s">
        <v>52</v>
      </c>
      <c r="D2920" s="5" t="s">
        <v>2003</v>
      </c>
      <c r="E2920" s="10" t="str">
        <f t="shared" si="660"/>
        <v>PS'!</v>
      </c>
      <c r="F2920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20" s="7" t="s">
        <v>109</v>
      </c>
      <c r="H2920" s="4">
        <f t="shared" si="662"/>
        <v>66</v>
      </c>
      <c r="I2920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PS'!$DN$66</v>
      </c>
      <c r="J2920" s="4" t="s">
        <v>3292</v>
      </c>
    </row>
    <row r="2921" spans="1:10" x14ac:dyDescent="0.35">
      <c r="A2921" s="7" t="s">
        <v>24</v>
      </c>
      <c r="B2921" s="7">
        <f t="shared" si="664"/>
        <v>2054</v>
      </c>
      <c r="C2921" s="4" t="s">
        <v>52</v>
      </c>
      <c r="D2921" s="5" t="s">
        <v>2003</v>
      </c>
      <c r="E2921" s="10" t="str">
        <f t="shared" si="660"/>
        <v>PS'!</v>
      </c>
      <c r="F2921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21" s="7" t="s">
        <v>109</v>
      </c>
      <c r="H2921" s="4">
        <f t="shared" si="662"/>
        <v>67</v>
      </c>
      <c r="I2921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PS'!$DN$67</v>
      </c>
      <c r="J2921" s="4" t="s">
        <v>3293</v>
      </c>
    </row>
    <row r="2922" spans="1:10" x14ac:dyDescent="0.35">
      <c r="A2922" s="7" t="s">
        <v>24</v>
      </c>
      <c r="B2922" s="7">
        <f t="shared" si="664"/>
        <v>2055</v>
      </c>
      <c r="C2922" s="4" t="s">
        <v>52</v>
      </c>
      <c r="D2922" s="5" t="s">
        <v>2003</v>
      </c>
      <c r="E2922" s="10" t="str">
        <f t="shared" si="660"/>
        <v>PS'!</v>
      </c>
      <c r="F2922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22" s="7" t="s">
        <v>109</v>
      </c>
      <c r="H2922" s="4">
        <f t="shared" si="662"/>
        <v>68</v>
      </c>
      <c r="I2922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PS'!$DN$68</v>
      </c>
      <c r="J2922" s="4" t="s">
        <v>3294</v>
      </c>
    </row>
    <row r="2923" spans="1:10" x14ac:dyDescent="0.35">
      <c r="A2923" s="7" t="s">
        <v>24</v>
      </c>
      <c r="B2923" s="7">
        <f t="shared" si="664"/>
        <v>2056</v>
      </c>
      <c r="C2923" s="4" t="s">
        <v>52</v>
      </c>
      <c r="D2923" s="5" t="s">
        <v>2003</v>
      </c>
      <c r="E2923" s="10" t="str">
        <f t="shared" si="660"/>
        <v>PS'!</v>
      </c>
      <c r="F2923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23" s="7" t="s">
        <v>109</v>
      </c>
      <c r="H2923" s="4">
        <f t="shared" si="662"/>
        <v>69</v>
      </c>
      <c r="I2923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PS'!$DN$69</v>
      </c>
      <c r="J2923" s="4" t="s">
        <v>3295</v>
      </c>
    </row>
    <row r="2924" spans="1:10" x14ac:dyDescent="0.35">
      <c r="A2924" s="7" t="s">
        <v>24</v>
      </c>
      <c r="B2924" s="7">
        <f t="shared" si="664"/>
        <v>2057</v>
      </c>
      <c r="C2924" s="4" t="s">
        <v>52</v>
      </c>
      <c r="D2924" s="5" t="s">
        <v>2003</v>
      </c>
      <c r="E2924" s="10" t="str">
        <f t="shared" si="660"/>
        <v>PS'!</v>
      </c>
      <c r="F2924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24" s="7" t="s">
        <v>109</v>
      </c>
      <c r="H2924" s="4">
        <f t="shared" si="662"/>
        <v>70</v>
      </c>
      <c r="I2924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PS'!$DN$70</v>
      </c>
      <c r="J2924" s="4" t="s">
        <v>3296</v>
      </c>
    </row>
    <row r="2925" spans="1:10" x14ac:dyDescent="0.35">
      <c r="A2925" s="7" t="s">
        <v>24</v>
      </c>
      <c r="B2925" s="7">
        <f t="shared" si="664"/>
        <v>2058</v>
      </c>
      <c r="C2925" s="4" t="s">
        <v>52</v>
      </c>
      <c r="D2925" s="5" t="s">
        <v>2003</v>
      </c>
      <c r="E2925" s="10" t="str">
        <f t="shared" si="660"/>
        <v>PS'!</v>
      </c>
      <c r="F2925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25" s="7" t="s">
        <v>109</v>
      </c>
      <c r="H2925" s="4">
        <f t="shared" si="662"/>
        <v>71</v>
      </c>
      <c r="I2925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PS'!$DN$71</v>
      </c>
      <c r="J2925" s="4" t="s">
        <v>3297</v>
      </c>
    </row>
    <row r="2926" spans="1:10" x14ac:dyDescent="0.35">
      <c r="A2926" s="7" t="s">
        <v>24</v>
      </c>
      <c r="B2926" s="7">
        <f t="shared" si="664"/>
        <v>2059</v>
      </c>
      <c r="C2926" s="4" t="s">
        <v>52</v>
      </c>
      <c r="D2926" s="5" t="s">
        <v>2003</v>
      </c>
      <c r="E2926" s="10" t="str">
        <f t="shared" si="660"/>
        <v>PS'!</v>
      </c>
      <c r="F2926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26" s="7" t="s">
        <v>109</v>
      </c>
      <c r="H2926" s="4">
        <f t="shared" si="662"/>
        <v>72</v>
      </c>
      <c r="I2926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PS'!$DN$72</v>
      </c>
      <c r="J2926" s="4" t="s">
        <v>3298</v>
      </c>
    </row>
    <row r="2927" spans="1:10" x14ac:dyDescent="0.35">
      <c r="A2927" s="7" t="s">
        <v>26</v>
      </c>
      <c r="B2927" s="7"/>
      <c r="C2927" s="4" t="s">
        <v>52</v>
      </c>
      <c r="D2927" s="5"/>
      <c r="E2927" s="10"/>
      <c r="F2927" s="5"/>
      <c r="G2927" s="7"/>
      <c r="H2927" s="4"/>
      <c r="I2927" s="4"/>
      <c r="J2927" s="4"/>
    </row>
    <row r="2928" spans="1:10" x14ac:dyDescent="0.35">
      <c r="A2928" s="6" t="s">
        <v>14</v>
      </c>
      <c r="B2928" s="6">
        <v>2023</v>
      </c>
      <c r="C2928" s="1" t="s">
        <v>110</v>
      </c>
      <c r="D2928" s="2" t="s">
        <v>2003</v>
      </c>
      <c r="E2928" s="9" t="str">
        <f>_xlfn.CONCAT(A2928,"'!")</f>
        <v>PDP'!</v>
      </c>
      <c r="F2928" s="5" t="str">
        <f t="shared" ref="F2928:F2948" si="665">_xlfn.CONCAT(D2928," ",E2928)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28" s="6" t="s">
        <v>111</v>
      </c>
      <c r="H2928" s="1">
        <f>IF(A2928&lt;&gt;A2912,36,H2912+1)</f>
        <v>36</v>
      </c>
      <c r="I2928" s="1" t="str">
        <f>_xlfn.CONCAT("='",F2928:H2928)</f>
        <v>='C:\Users\jaime.benazar\Quorum Business Solutions\Ecopetrol Prometeo - Documents\Planning Space Implementation\3. Analysis &amp; Design\Design\FC22\DRR Jaime\Por presentar a ECP\Cantagallo\Cristalina\[VRC_CRISTALINA_CF_SEC_20221231.xlsx]CF PDP'!$DI$36</v>
      </c>
      <c r="J2928" t="s">
        <v>3299</v>
      </c>
    </row>
    <row r="2929" spans="1:10" x14ac:dyDescent="0.35">
      <c r="A2929" s="6" t="s">
        <v>14</v>
      </c>
      <c r="B2929" s="6">
        <f>+B2928+1</f>
        <v>2024</v>
      </c>
      <c r="C2929" s="1" t="s">
        <v>110</v>
      </c>
      <c r="D2929" s="2" t="s">
        <v>2003</v>
      </c>
      <c r="E2929" s="9" t="str">
        <f t="shared" ref="E2929:E3022" si="666">_xlfn.CONCAT(A2929,"'!")</f>
        <v>PDP'!</v>
      </c>
      <c r="F2929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29" s="6" t="s">
        <v>111</v>
      </c>
      <c r="H2929" s="1">
        <f>IF(A2929&lt;&gt;A2928,36,H2928+1)</f>
        <v>37</v>
      </c>
      <c r="I2929" s="1" t="str">
        <f t="shared" ref="I2929:I3022" si="667">_xlfn.CONCAT("='",F2929:H2929)</f>
        <v>='C:\Users\jaime.benazar\Quorum Business Solutions\Ecopetrol Prometeo - Documents\Planning Space Implementation\3. Analysis &amp; Design\Design\FC22\DRR Jaime\Por presentar a ECP\Cantagallo\Cristalina\[VRC_CRISTALINA_CF_SEC_20221231.xlsx]CF PDP'!$DI$37</v>
      </c>
      <c r="J2929" t="s">
        <v>3300</v>
      </c>
    </row>
    <row r="2930" spans="1:10" x14ac:dyDescent="0.35">
      <c r="A2930" s="6" t="s">
        <v>14</v>
      </c>
      <c r="B2930" s="6">
        <f t="shared" ref="B2930:B2941" si="668">+B2929+1</f>
        <v>2025</v>
      </c>
      <c r="C2930" s="1" t="s">
        <v>110</v>
      </c>
      <c r="D2930" s="2" t="s">
        <v>2003</v>
      </c>
      <c r="E2930" s="9" t="str">
        <f t="shared" si="666"/>
        <v>PDP'!</v>
      </c>
      <c r="F2930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30" s="6" t="s">
        <v>111</v>
      </c>
      <c r="H2930" s="1">
        <f t="shared" ref="H2930:H3023" si="669">IF(A2930&lt;&gt;A2929,36,H2929+1)</f>
        <v>38</v>
      </c>
      <c r="I2930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PDP'!$DI$38</v>
      </c>
      <c r="J2930" t="s">
        <v>3301</v>
      </c>
    </row>
    <row r="2931" spans="1:10" x14ac:dyDescent="0.35">
      <c r="A2931" s="6" t="s">
        <v>14</v>
      </c>
      <c r="B2931" s="6">
        <f t="shared" si="668"/>
        <v>2026</v>
      </c>
      <c r="C2931" s="1" t="s">
        <v>110</v>
      </c>
      <c r="D2931" s="2" t="s">
        <v>2003</v>
      </c>
      <c r="E2931" s="9" t="str">
        <f t="shared" si="666"/>
        <v>PDP'!</v>
      </c>
      <c r="F2931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31" s="6" t="s">
        <v>111</v>
      </c>
      <c r="H2931" s="1">
        <f t="shared" si="669"/>
        <v>39</v>
      </c>
      <c r="I2931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PDP'!$DI$39</v>
      </c>
      <c r="J2931" t="s">
        <v>3302</v>
      </c>
    </row>
    <row r="2932" spans="1:10" x14ac:dyDescent="0.35">
      <c r="A2932" s="6" t="s">
        <v>14</v>
      </c>
      <c r="B2932" s="6">
        <f t="shared" si="668"/>
        <v>2027</v>
      </c>
      <c r="C2932" s="1" t="s">
        <v>110</v>
      </c>
      <c r="D2932" s="2" t="s">
        <v>2003</v>
      </c>
      <c r="E2932" s="9" t="str">
        <f t="shared" si="666"/>
        <v>PDP'!</v>
      </c>
      <c r="F2932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32" s="6" t="s">
        <v>111</v>
      </c>
      <c r="H2932" s="1">
        <f t="shared" si="669"/>
        <v>40</v>
      </c>
      <c r="I2932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PDP'!$DI$40</v>
      </c>
      <c r="J2932" t="s">
        <v>3303</v>
      </c>
    </row>
    <row r="2933" spans="1:10" x14ac:dyDescent="0.35">
      <c r="A2933" s="6" t="s">
        <v>14</v>
      </c>
      <c r="B2933" s="6">
        <f t="shared" si="668"/>
        <v>2028</v>
      </c>
      <c r="C2933" s="1" t="s">
        <v>110</v>
      </c>
      <c r="D2933" s="2" t="s">
        <v>2003</v>
      </c>
      <c r="E2933" s="9" t="str">
        <f t="shared" si="666"/>
        <v>PDP'!</v>
      </c>
      <c r="F2933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33" s="6" t="s">
        <v>111</v>
      </c>
      <c r="H2933" s="1">
        <f t="shared" si="669"/>
        <v>41</v>
      </c>
      <c r="I2933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PDP'!$DI$41</v>
      </c>
      <c r="J2933" t="s">
        <v>3304</v>
      </c>
    </row>
    <row r="2934" spans="1:10" x14ac:dyDescent="0.35">
      <c r="A2934" s="6" t="s">
        <v>14</v>
      </c>
      <c r="B2934" s="6">
        <f t="shared" si="668"/>
        <v>2029</v>
      </c>
      <c r="C2934" s="1" t="s">
        <v>110</v>
      </c>
      <c r="D2934" s="2" t="s">
        <v>2003</v>
      </c>
      <c r="E2934" s="9" t="str">
        <f t="shared" si="666"/>
        <v>PDP'!</v>
      </c>
      <c r="F2934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34" s="6" t="s">
        <v>111</v>
      </c>
      <c r="H2934" s="1">
        <f t="shared" si="669"/>
        <v>42</v>
      </c>
      <c r="I2934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PDP'!$DI$42</v>
      </c>
      <c r="J2934" t="s">
        <v>3305</v>
      </c>
    </row>
    <row r="2935" spans="1:10" x14ac:dyDescent="0.35">
      <c r="A2935" s="6" t="s">
        <v>14</v>
      </c>
      <c r="B2935" s="6">
        <f t="shared" si="668"/>
        <v>2030</v>
      </c>
      <c r="C2935" s="1" t="s">
        <v>110</v>
      </c>
      <c r="D2935" s="2" t="s">
        <v>2003</v>
      </c>
      <c r="E2935" s="9" t="str">
        <f t="shared" si="666"/>
        <v>PDP'!</v>
      </c>
      <c r="F2935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35" s="6" t="s">
        <v>111</v>
      </c>
      <c r="H2935" s="1">
        <f t="shared" si="669"/>
        <v>43</v>
      </c>
      <c r="I2935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PDP'!$DI$43</v>
      </c>
      <c r="J2935" t="s">
        <v>3306</v>
      </c>
    </row>
    <row r="2936" spans="1:10" x14ac:dyDescent="0.35">
      <c r="A2936" s="6" t="s">
        <v>14</v>
      </c>
      <c r="B2936" s="6">
        <f t="shared" si="668"/>
        <v>2031</v>
      </c>
      <c r="C2936" s="1" t="s">
        <v>110</v>
      </c>
      <c r="D2936" s="2" t="s">
        <v>2003</v>
      </c>
      <c r="E2936" s="9" t="str">
        <f t="shared" si="666"/>
        <v>PDP'!</v>
      </c>
      <c r="F2936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36" s="6" t="s">
        <v>111</v>
      </c>
      <c r="H2936" s="1">
        <f t="shared" si="669"/>
        <v>44</v>
      </c>
      <c r="I2936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PDP'!$DI$44</v>
      </c>
      <c r="J2936" t="s">
        <v>3307</v>
      </c>
    </row>
    <row r="2937" spans="1:10" x14ac:dyDescent="0.35">
      <c r="A2937" s="6" t="s">
        <v>14</v>
      </c>
      <c r="B2937" s="6">
        <f t="shared" si="668"/>
        <v>2032</v>
      </c>
      <c r="C2937" s="1" t="s">
        <v>110</v>
      </c>
      <c r="D2937" s="2" t="s">
        <v>2003</v>
      </c>
      <c r="E2937" s="9" t="str">
        <f t="shared" si="666"/>
        <v>PDP'!</v>
      </c>
      <c r="F2937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37" s="6" t="s">
        <v>111</v>
      </c>
      <c r="H2937" s="1">
        <f t="shared" si="669"/>
        <v>45</v>
      </c>
      <c r="I2937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PDP'!$DI$45</v>
      </c>
      <c r="J2937" t="s">
        <v>3308</v>
      </c>
    </row>
    <row r="2938" spans="1:10" x14ac:dyDescent="0.35">
      <c r="A2938" s="6" t="s">
        <v>14</v>
      </c>
      <c r="B2938" s="6">
        <f t="shared" si="668"/>
        <v>2033</v>
      </c>
      <c r="C2938" s="1" t="s">
        <v>110</v>
      </c>
      <c r="D2938" s="2" t="s">
        <v>2003</v>
      </c>
      <c r="E2938" s="9" t="str">
        <f t="shared" si="666"/>
        <v>PDP'!</v>
      </c>
      <c r="F2938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38" s="6" t="s">
        <v>111</v>
      </c>
      <c r="H2938" s="1">
        <f t="shared" si="669"/>
        <v>46</v>
      </c>
      <c r="I2938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PDP'!$DI$46</v>
      </c>
      <c r="J2938" t="s">
        <v>3309</v>
      </c>
    </row>
    <row r="2939" spans="1:10" x14ac:dyDescent="0.35">
      <c r="A2939" s="6" t="s">
        <v>14</v>
      </c>
      <c r="B2939" s="6">
        <f t="shared" si="668"/>
        <v>2034</v>
      </c>
      <c r="C2939" s="1" t="s">
        <v>110</v>
      </c>
      <c r="D2939" s="2" t="s">
        <v>2003</v>
      </c>
      <c r="E2939" s="9" t="str">
        <f t="shared" si="666"/>
        <v>PDP'!</v>
      </c>
      <c r="F2939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39" s="6" t="s">
        <v>111</v>
      </c>
      <c r="H2939" s="1">
        <f t="shared" si="669"/>
        <v>47</v>
      </c>
      <c r="I2939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PDP'!$DI$47</v>
      </c>
      <c r="J2939" t="s">
        <v>3310</v>
      </c>
    </row>
    <row r="2940" spans="1:10" x14ac:dyDescent="0.35">
      <c r="A2940" s="6" t="s">
        <v>14</v>
      </c>
      <c r="B2940" s="6">
        <f t="shared" si="668"/>
        <v>2035</v>
      </c>
      <c r="C2940" s="1" t="s">
        <v>110</v>
      </c>
      <c r="D2940" s="2" t="s">
        <v>2003</v>
      </c>
      <c r="E2940" s="9" t="str">
        <f t="shared" si="666"/>
        <v>PDP'!</v>
      </c>
      <c r="F2940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40" s="6" t="s">
        <v>111</v>
      </c>
      <c r="H2940" s="1">
        <f t="shared" si="669"/>
        <v>48</v>
      </c>
      <c r="I2940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PDP'!$DI$48</v>
      </c>
      <c r="J2940" t="s">
        <v>3311</v>
      </c>
    </row>
    <row r="2941" spans="1:10" x14ac:dyDescent="0.35">
      <c r="A2941" s="6" t="s">
        <v>14</v>
      </c>
      <c r="B2941" s="6">
        <f t="shared" si="668"/>
        <v>2036</v>
      </c>
      <c r="C2941" s="1" t="s">
        <v>110</v>
      </c>
      <c r="D2941" s="2" t="s">
        <v>2003</v>
      </c>
      <c r="E2941" s="9" t="str">
        <f t="shared" si="666"/>
        <v>PDP'!</v>
      </c>
      <c r="F2941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41" s="6" t="s">
        <v>111</v>
      </c>
      <c r="H2941" s="1">
        <f t="shared" si="669"/>
        <v>49</v>
      </c>
      <c r="I2941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PDP'!$DI$49</v>
      </c>
      <c r="J2941" t="s">
        <v>3312</v>
      </c>
    </row>
    <row r="2942" spans="1:10" x14ac:dyDescent="0.35">
      <c r="A2942" s="6" t="s">
        <v>14</v>
      </c>
      <c r="B2942" s="6">
        <f>+B2941+1</f>
        <v>2037</v>
      </c>
      <c r="C2942" s="1" t="s">
        <v>110</v>
      </c>
      <c r="D2942" s="2" t="s">
        <v>2003</v>
      </c>
      <c r="E2942" s="9" t="str">
        <f t="shared" si="666"/>
        <v>PDP'!</v>
      </c>
      <c r="F2942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42" s="6" t="s">
        <v>111</v>
      </c>
      <c r="H2942" s="1">
        <f t="shared" si="669"/>
        <v>50</v>
      </c>
      <c r="I2942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PDP'!$DI$50</v>
      </c>
      <c r="J2942" t="s">
        <v>3313</v>
      </c>
    </row>
    <row r="2943" spans="1:10" x14ac:dyDescent="0.35">
      <c r="A2943" s="6" t="s">
        <v>14</v>
      </c>
      <c r="B2943" s="6">
        <f t="shared" ref="B2943:B2945" si="670">+B2942+1</f>
        <v>2038</v>
      </c>
      <c r="C2943" s="1" t="s">
        <v>110</v>
      </c>
      <c r="D2943" s="2" t="s">
        <v>2003</v>
      </c>
      <c r="E2943" s="9" t="str">
        <f t="shared" si="666"/>
        <v>PDP'!</v>
      </c>
      <c r="F2943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43" s="6" t="s">
        <v>111</v>
      </c>
      <c r="H2943" s="1">
        <f t="shared" si="669"/>
        <v>51</v>
      </c>
      <c r="I2943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PDP'!$DI$51</v>
      </c>
      <c r="J2943" t="s">
        <v>3314</v>
      </c>
    </row>
    <row r="2944" spans="1:10" x14ac:dyDescent="0.35">
      <c r="A2944" s="6" t="s">
        <v>14</v>
      </c>
      <c r="B2944" s="6">
        <f t="shared" si="670"/>
        <v>2039</v>
      </c>
      <c r="C2944" s="1" t="s">
        <v>110</v>
      </c>
      <c r="D2944" s="2" t="s">
        <v>2003</v>
      </c>
      <c r="E2944" s="9" t="str">
        <f t="shared" si="666"/>
        <v>PDP'!</v>
      </c>
      <c r="F2944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44" s="6" t="s">
        <v>111</v>
      </c>
      <c r="H2944" s="1">
        <f t="shared" si="669"/>
        <v>52</v>
      </c>
      <c r="I2944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PDP'!$DI$52</v>
      </c>
      <c r="J2944" t="s">
        <v>3315</v>
      </c>
    </row>
    <row r="2945" spans="1:10" x14ac:dyDescent="0.35">
      <c r="A2945" s="6" t="s">
        <v>14</v>
      </c>
      <c r="B2945" s="6">
        <f t="shared" si="670"/>
        <v>2040</v>
      </c>
      <c r="C2945" s="1" t="s">
        <v>110</v>
      </c>
      <c r="D2945" s="2" t="s">
        <v>2003</v>
      </c>
      <c r="E2945" s="9" t="str">
        <f t="shared" si="666"/>
        <v>PDP'!</v>
      </c>
      <c r="F2945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45" s="6" t="s">
        <v>111</v>
      </c>
      <c r="H2945" s="1">
        <f t="shared" si="669"/>
        <v>53</v>
      </c>
      <c r="I2945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PDP'!$DI$53</v>
      </c>
      <c r="J2945" t="s">
        <v>3316</v>
      </c>
    </row>
    <row r="2946" spans="1:10" x14ac:dyDescent="0.35">
      <c r="A2946" s="6" t="s">
        <v>14</v>
      </c>
      <c r="B2946" s="6">
        <f>+B2945+1</f>
        <v>2041</v>
      </c>
      <c r="C2946" s="1" t="s">
        <v>110</v>
      </c>
      <c r="D2946" s="2" t="s">
        <v>2003</v>
      </c>
      <c r="E2946" s="9" t="str">
        <f t="shared" si="666"/>
        <v>PDP'!</v>
      </c>
      <c r="F2946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46" s="6" t="s">
        <v>111</v>
      </c>
      <c r="H2946" s="1">
        <f t="shared" si="669"/>
        <v>54</v>
      </c>
      <c r="I2946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PDP'!$DI$54</v>
      </c>
      <c r="J2946" t="s">
        <v>3317</v>
      </c>
    </row>
    <row r="2947" spans="1:10" x14ac:dyDescent="0.35">
      <c r="A2947" s="6" t="s">
        <v>14</v>
      </c>
      <c r="B2947" s="6">
        <f t="shared" ref="B2947:B2948" si="671">+B2946+1</f>
        <v>2042</v>
      </c>
      <c r="C2947" s="1" t="s">
        <v>110</v>
      </c>
      <c r="D2947" s="2" t="s">
        <v>2003</v>
      </c>
      <c r="E2947" s="9" t="str">
        <f t="shared" si="666"/>
        <v>PDP'!</v>
      </c>
      <c r="F2947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47" s="6" t="s">
        <v>111</v>
      </c>
      <c r="H2947" s="1">
        <f t="shared" si="669"/>
        <v>55</v>
      </c>
      <c r="I2947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PDP'!$DI$55</v>
      </c>
      <c r="J2947" t="s">
        <v>3318</v>
      </c>
    </row>
    <row r="2948" spans="1:10" x14ac:dyDescent="0.35">
      <c r="A2948" s="6" t="s">
        <v>14</v>
      </c>
      <c r="B2948" s="6">
        <f t="shared" si="671"/>
        <v>2043</v>
      </c>
      <c r="C2948" s="1" t="s">
        <v>110</v>
      </c>
      <c r="D2948" s="2" t="s">
        <v>2003</v>
      </c>
      <c r="E2948" s="9" t="str">
        <f t="shared" si="666"/>
        <v>PDP'!</v>
      </c>
      <c r="F2948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48" s="6" t="s">
        <v>111</v>
      </c>
      <c r="H2948" s="1">
        <f t="shared" si="669"/>
        <v>56</v>
      </c>
      <c r="I2948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PDP'!$DI$56</v>
      </c>
      <c r="J2948" t="s">
        <v>3319</v>
      </c>
    </row>
    <row r="2949" spans="1:10" x14ac:dyDescent="0.35">
      <c r="A2949" s="6" t="s">
        <v>14</v>
      </c>
      <c r="B2949" s="6">
        <f>+B2948+1</f>
        <v>2044</v>
      </c>
      <c r="C2949" s="1" t="s">
        <v>110</v>
      </c>
      <c r="D2949" s="2" t="s">
        <v>2003</v>
      </c>
      <c r="E2949" s="9" t="str">
        <f t="shared" ref="E2949:E2964" si="672">_xlfn.CONCAT(A2949,"'!")</f>
        <v>PDP'!</v>
      </c>
      <c r="F2949" s="5" t="str">
        <f t="shared" ref="F2949:F2964" si="673">_xlfn.CONCAT(D2949," ",E2949)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49" s="6" t="s">
        <v>111</v>
      </c>
      <c r="H2949" s="1">
        <f t="shared" ref="H2949:H2964" si="674">IF(A2949&lt;&gt;A2948,36,H2948+1)</f>
        <v>57</v>
      </c>
      <c r="I2949" s="1" t="str">
        <f t="shared" ref="I2949:I2964" si="675">_xlfn.CONCAT("='",F2949:H2949)</f>
        <v>='C:\Users\jaime.benazar\Quorum Business Solutions\Ecopetrol Prometeo - Documents\Planning Space Implementation\3. Analysis &amp; Design\Design\FC22\DRR Jaime\Por presentar a ECP\Cantagallo\Cristalina\[VRC_CRISTALINA_CF_SEC_20221231.xlsx]CF PDP'!$DI$57</v>
      </c>
      <c r="J2949" t="s">
        <v>3320</v>
      </c>
    </row>
    <row r="2950" spans="1:10" x14ac:dyDescent="0.35">
      <c r="A2950" s="6" t="s">
        <v>14</v>
      </c>
      <c r="B2950" s="6">
        <f t="shared" ref="B2950:B2964" si="676">+B2949+1</f>
        <v>2045</v>
      </c>
      <c r="C2950" s="1" t="s">
        <v>110</v>
      </c>
      <c r="D2950" s="2" t="s">
        <v>2003</v>
      </c>
      <c r="E2950" s="9" t="str">
        <f t="shared" si="672"/>
        <v>PDP'!</v>
      </c>
      <c r="F2950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50" s="6" t="s">
        <v>111</v>
      </c>
      <c r="H2950" s="1">
        <f t="shared" si="674"/>
        <v>58</v>
      </c>
      <c r="I2950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PDP'!$DI$58</v>
      </c>
      <c r="J2950" t="s">
        <v>3321</v>
      </c>
    </row>
    <row r="2951" spans="1:10" x14ac:dyDescent="0.35">
      <c r="A2951" s="6" t="s">
        <v>14</v>
      </c>
      <c r="B2951" s="6">
        <f t="shared" si="676"/>
        <v>2046</v>
      </c>
      <c r="C2951" s="1" t="s">
        <v>110</v>
      </c>
      <c r="D2951" s="2" t="s">
        <v>2003</v>
      </c>
      <c r="E2951" s="9" t="str">
        <f t="shared" si="672"/>
        <v>PDP'!</v>
      </c>
      <c r="F2951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51" s="6" t="s">
        <v>111</v>
      </c>
      <c r="H2951" s="1">
        <f t="shared" si="674"/>
        <v>59</v>
      </c>
      <c r="I2951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PDP'!$DI$59</v>
      </c>
      <c r="J2951" t="s">
        <v>3322</v>
      </c>
    </row>
    <row r="2952" spans="1:10" x14ac:dyDescent="0.35">
      <c r="A2952" s="6" t="s">
        <v>14</v>
      </c>
      <c r="B2952" s="6">
        <f t="shared" si="676"/>
        <v>2047</v>
      </c>
      <c r="C2952" s="1" t="s">
        <v>110</v>
      </c>
      <c r="D2952" s="2" t="s">
        <v>2003</v>
      </c>
      <c r="E2952" s="9" t="str">
        <f t="shared" si="672"/>
        <v>PDP'!</v>
      </c>
      <c r="F2952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52" s="6" t="s">
        <v>111</v>
      </c>
      <c r="H2952" s="1">
        <f t="shared" si="674"/>
        <v>60</v>
      </c>
      <c r="I2952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PDP'!$DI$60</v>
      </c>
      <c r="J2952" t="s">
        <v>3323</v>
      </c>
    </row>
    <row r="2953" spans="1:10" x14ac:dyDescent="0.35">
      <c r="A2953" s="6" t="s">
        <v>14</v>
      </c>
      <c r="B2953" s="6">
        <f t="shared" si="676"/>
        <v>2048</v>
      </c>
      <c r="C2953" s="1" t="s">
        <v>110</v>
      </c>
      <c r="D2953" s="2" t="s">
        <v>2003</v>
      </c>
      <c r="E2953" s="9" t="str">
        <f t="shared" si="672"/>
        <v>PDP'!</v>
      </c>
      <c r="F2953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53" s="6" t="s">
        <v>111</v>
      </c>
      <c r="H2953" s="1">
        <f t="shared" si="674"/>
        <v>61</v>
      </c>
      <c r="I2953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PDP'!$DI$61</v>
      </c>
      <c r="J2953" t="s">
        <v>3324</v>
      </c>
    </row>
    <row r="2954" spans="1:10" x14ac:dyDescent="0.35">
      <c r="A2954" s="6" t="s">
        <v>14</v>
      </c>
      <c r="B2954" s="6">
        <f t="shared" si="676"/>
        <v>2049</v>
      </c>
      <c r="C2954" s="1" t="s">
        <v>110</v>
      </c>
      <c r="D2954" s="2" t="s">
        <v>2003</v>
      </c>
      <c r="E2954" s="9" t="str">
        <f t="shared" si="672"/>
        <v>PDP'!</v>
      </c>
      <c r="F2954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54" s="6" t="s">
        <v>111</v>
      </c>
      <c r="H2954" s="1">
        <f t="shared" si="674"/>
        <v>62</v>
      </c>
      <c r="I2954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PDP'!$DI$62</v>
      </c>
      <c r="J2954" t="s">
        <v>3325</v>
      </c>
    </row>
    <row r="2955" spans="1:10" x14ac:dyDescent="0.35">
      <c r="A2955" s="6" t="s">
        <v>14</v>
      </c>
      <c r="B2955" s="6">
        <f t="shared" si="676"/>
        <v>2050</v>
      </c>
      <c r="C2955" s="1" t="s">
        <v>110</v>
      </c>
      <c r="D2955" s="2" t="s">
        <v>2003</v>
      </c>
      <c r="E2955" s="9" t="str">
        <f t="shared" si="672"/>
        <v>PDP'!</v>
      </c>
      <c r="F2955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55" s="6" t="s">
        <v>111</v>
      </c>
      <c r="H2955" s="1">
        <f t="shared" si="674"/>
        <v>63</v>
      </c>
      <c r="I2955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PDP'!$DI$63</v>
      </c>
      <c r="J2955" t="s">
        <v>3326</v>
      </c>
    </row>
    <row r="2956" spans="1:10" x14ac:dyDescent="0.35">
      <c r="A2956" s="6" t="s">
        <v>14</v>
      </c>
      <c r="B2956" s="6">
        <f t="shared" si="676"/>
        <v>2051</v>
      </c>
      <c r="C2956" s="1" t="s">
        <v>110</v>
      </c>
      <c r="D2956" s="2" t="s">
        <v>2003</v>
      </c>
      <c r="E2956" s="9" t="str">
        <f t="shared" si="672"/>
        <v>PDP'!</v>
      </c>
      <c r="F2956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56" s="6" t="s">
        <v>111</v>
      </c>
      <c r="H2956" s="1">
        <f t="shared" si="674"/>
        <v>64</v>
      </c>
      <c r="I2956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PDP'!$DI$64</v>
      </c>
      <c r="J2956" t="s">
        <v>3327</v>
      </c>
    </row>
    <row r="2957" spans="1:10" x14ac:dyDescent="0.35">
      <c r="A2957" s="6" t="s">
        <v>14</v>
      </c>
      <c r="B2957" s="6">
        <f t="shared" si="676"/>
        <v>2052</v>
      </c>
      <c r="C2957" s="1" t="s">
        <v>110</v>
      </c>
      <c r="D2957" s="2" t="s">
        <v>2003</v>
      </c>
      <c r="E2957" s="9" t="str">
        <f t="shared" si="672"/>
        <v>PDP'!</v>
      </c>
      <c r="F2957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57" s="6" t="s">
        <v>111</v>
      </c>
      <c r="H2957" s="1">
        <f t="shared" si="674"/>
        <v>65</v>
      </c>
      <c r="I2957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PDP'!$DI$65</v>
      </c>
      <c r="J2957" t="s">
        <v>3328</v>
      </c>
    </row>
    <row r="2958" spans="1:10" x14ac:dyDescent="0.35">
      <c r="A2958" s="6" t="s">
        <v>14</v>
      </c>
      <c r="B2958" s="6">
        <f t="shared" si="676"/>
        <v>2053</v>
      </c>
      <c r="C2958" s="1" t="s">
        <v>110</v>
      </c>
      <c r="D2958" s="2" t="s">
        <v>2003</v>
      </c>
      <c r="E2958" s="9" t="str">
        <f t="shared" si="672"/>
        <v>PDP'!</v>
      </c>
      <c r="F2958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58" s="6" t="s">
        <v>111</v>
      </c>
      <c r="H2958" s="1">
        <f t="shared" si="674"/>
        <v>66</v>
      </c>
      <c r="I2958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PDP'!$DI$66</v>
      </c>
      <c r="J2958" t="s">
        <v>3329</v>
      </c>
    </row>
    <row r="2959" spans="1:10" x14ac:dyDescent="0.35">
      <c r="A2959" s="6" t="s">
        <v>14</v>
      </c>
      <c r="B2959" s="6">
        <f t="shared" si="676"/>
        <v>2054</v>
      </c>
      <c r="C2959" s="1" t="s">
        <v>110</v>
      </c>
      <c r="D2959" s="2" t="s">
        <v>2003</v>
      </c>
      <c r="E2959" s="9" t="str">
        <f t="shared" si="672"/>
        <v>PDP'!</v>
      </c>
      <c r="F2959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59" s="6" t="s">
        <v>111</v>
      </c>
      <c r="H2959" s="1">
        <f t="shared" si="674"/>
        <v>67</v>
      </c>
      <c r="I2959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PDP'!$DI$67</v>
      </c>
      <c r="J2959" t="s">
        <v>3330</v>
      </c>
    </row>
    <row r="2960" spans="1:10" x14ac:dyDescent="0.35">
      <c r="A2960" s="6" t="s">
        <v>14</v>
      </c>
      <c r="B2960" s="6">
        <f t="shared" si="676"/>
        <v>2055</v>
      </c>
      <c r="C2960" s="1" t="s">
        <v>110</v>
      </c>
      <c r="D2960" s="2" t="s">
        <v>2003</v>
      </c>
      <c r="E2960" s="9" t="str">
        <f t="shared" si="672"/>
        <v>PDP'!</v>
      </c>
      <c r="F2960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60" s="6" t="s">
        <v>111</v>
      </c>
      <c r="H2960" s="1">
        <f t="shared" si="674"/>
        <v>68</v>
      </c>
      <c r="I2960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PDP'!$DI$68</v>
      </c>
      <c r="J2960" t="s">
        <v>3331</v>
      </c>
    </row>
    <row r="2961" spans="1:10" x14ac:dyDescent="0.35">
      <c r="A2961" s="6" t="s">
        <v>14</v>
      </c>
      <c r="B2961" s="6">
        <f t="shared" si="676"/>
        <v>2056</v>
      </c>
      <c r="C2961" s="1" t="s">
        <v>110</v>
      </c>
      <c r="D2961" s="2" t="s">
        <v>2003</v>
      </c>
      <c r="E2961" s="9" t="str">
        <f t="shared" si="672"/>
        <v>PDP'!</v>
      </c>
      <c r="F2961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61" s="6" t="s">
        <v>111</v>
      </c>
      <c r="H2961" s="1">
        <f t="shared" si="674"/>
        <v>69</v>
      </c>
      <c r="I2961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PDP'!$DI$69</v>
      </c>
      <c r="J2961" t="s">
        <v>3332</v>
      </c>
    </row>
    <row r="2962" spans="1:10" x14ac:dyDescent="0.35">
      <c r="A2962" s="6" t="s">
        <v>14</v>
      </c>
      <c r="B2962" s="6">
        <f t="shared" si="676"/>
        <v>2057</v>
      </c>
      <c r="C2962" s="1" t="s">
        <v>110</v>
      </c>
      <c r="D2962" s="2" t="s">
        <v>2003</v>
      </c>
      <c r="E2962" s="9" t="str">
        <f t="shared" si="672"/>
        <v>PDP'!</v>
      </c>
      <c r="F2962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62" s="6" t="s">
        <v>111</v>
      </c>
      <c r="H2962" s="1">
        <f t="shared" si="674"/>
        <v>70</v>
      </c>
      <c r="I2962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PDP'!$DI$70</v>
      </c>
      <c r="J2962" t="s">
        <v>3333</v>
      </c>
    </row>
    <row r="2963" spans="1:10" x14ac:dyDescent="0.35">
      <c r="A2963" s="6" t="s">
        <v>14</v>
      </c>
      <c r="B2963" s="6">
        <f t="shared" si="676"/>
        <v>2058</v>
      </c>
      <c r="C2963" s="1" t="s">
        <v>110</v>
      </c>
      <c r="D2963" s="2" t="s">
        <v>2003</v>
      </c>
      <c r="E2963" s="9" t="str">
        <f t="shared" si="672"/>
        <v>PDP'!</v>
      </c>
      <c r="F2963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63" s="6" t="s">
        <v>111</v>
      </c>
      <c r="H2963" s="1">
        <f t="shared" si="674"/>
        <v>71</v>
      </c>
      <c r="I2963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PDP'!$DI$71</v>
      </c>
      <c r="J2963" t="s">
        <v>3334</v>
      </c>
    </row>
    <row r="2964" spans="1:10" x14ac:dyDescent="0.35">
      <c r="A2964" s="6" t="s">
        <v>14</v>
      </c>
      <c r="B2964" s="6">
        <f t="shared" si="676"/>
        <v>2059</v>
      </c>
      <c r="C2964" s="1" t="s">
        <v>110</v>
      </c>
      <c r="D2964" s="2" t="s">
        <v>2003</v>
      </c>
      <c r="E2964" s="9" t="str">
        <f t="shared" si="672"/>
        <v>PDP'!</v>
      </c>
      <c r="F2964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64" s="6" t="s">
        <v>111</v>
      </c>
      <c r="H2964" s="1">
        <f t="shared" si="674"/>
        <v>72</v>
      </c>
      <c r="I2964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PDP'!$DI$72</v>
      </c>
      <c r="J2964" t="s">
        <v>3335</v>
      </c>
    </row>
    <row r="2965" spans="1:10" x14ac:dyDescent="0.35">
      <c r="A2965" s="7" t="s">
        <v>26</v>
      </c>
      <c r="B2965" s="6"/>
      <c r="C2965" s="1" t="s">
        <v>110</v>
      </c>
      <c r="D2965" s="2"/>
      <c r="E2965" s="9"/>
      <c r="F2965" s="5"/>
      <c r="G2965" s="6"/>
      <c r="H2965" s="1"/>
      <c r="I2965" s="1"/>
      <c r="J2965" s="4"/>
    </row>
    <row r="2966" spans="1:10" x14ac:dyDescent="0.35">
      <c r="A2966" s="6" t="s">
        <v>15</v>
      </c>
      <c r="B2966" s="6">
        <v>2023</v>
      </c>
      <c r="C2966" s="1" t="s">
        <v>110</v>
      </c>
      <c r="D2966" s="2" t="s">
        <v>2003</v>
      </c>
      <c r="E2966" s="9" t="str">
        <f t="shared" si="666"/>
        <v>PNP'!</v>
      </c>
      <c r="F2966" s="5" t="str">
        <f t="shared" ref="F2966:F2986" si="677">_xlfn.CONCAT(D2966," ",E2966)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66" s="6" t="s">
        <v>111</v>
      </c>
      <c r="H2966" s="1">
        <f>IF(A2966&lt;&gt;A2950,36,H2950+1)</f>
        <v>36</v>
      </c>
      <c r="I2966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PNP'!$DI$36</v>
      </c>
      <c r="J2966" t="s">
        <v>3336</v>
      </c>
    </row>
    <row r="2967" spans="1:10" x14ac:dyDescent="0.35">
      <c r="A2967" s="6" t="s">
        <v>15</v>
      </c>
      <c r="B2967" s="6">
        <f>+B2966+1</f>
        <v>2024</v>
      </c>
      <c r="C2967" s="1" t="s">
        <v>110</v>
      </c>
      <c r="D2967" s="2" t="s">
        <v>2003</v>
      </c>
      <c r="E2967" s="9" t="str">
        <f t="shared" si="666"/>
        <v>PNP'!</v>
      </c>
      <c r="F2967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67" s="6" t="s">
        <v>111</v>
      </c>
      <c r="H2967" s="1">
        <f t="shared" si="669"/>
        <v>37</v>
      </c>
      <c r="I2967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PNP'!$DI$37</v>
      </c>
      <c r="J2967" t="s">
        <v>3337</v>
      </c>
    </row>
    <row r="2968" spans="1:10" x14ac:dyDescent="0.35">
      <c r="A2968" s="6" t="s">
        <v>15</v>
      </c>
      <c r="B2968" s="6">
        <f t="shared" ref="B2968:B2979" si="678">+B2967+1</f>
        <v>2025</v>
      </c>
      <c r="C2968" s="1" t="s">
        <v>110</v>
      </c>
      <c r="D2968" s="2" t="s">
        <v>2003</v>
      </c>
      <c r="E2968" s="9" t="str">
        <f t="shared" si="666"/>
        <v>PNP'!</v>
      </c>
      <c r="F2968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68" s="6" t="s">
        <v>111</v>
      </c>
      <c r="H2968" s="1">
        <f t="shared" si="669"/>
        <v>38</v>
      </c>
      <c r="I2968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PNP'!$DI$38</v>
      </c>
      <c r="J2968" t="s">
        <v>3338</v>
      </c>
    </row>
    <row r="2969" spans="1:10" x14ac:dyDescent="0.35">
      <c r="A2969" s="6" t="s">
        <v>15</v>
      </c>
      <c r="B2969" s="6">
        <f t="shared" si="678"/>
        <v>2026</v>
      </c>
      <c r="C2969" s="1" t="s">
        <v>110</v>
      </c>
      <c r="D2969" s="2" t="s">
        <v>2003</v>
      </c>
      <c r="E2969" s="9" t="str">
        <f t="shared" si="666"/>
        <v>PNP'!</v>
      </c>
      <c r="F2969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69" s="6" t="s">
        <v>111</v>
      </c>
      <c r="H2969" s="1">
        <f t="shared" si="669"/>
        <v>39</v>
      </c>
      <c r="I2969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PNP'!$DI$39</v>
      </c>
      <c r="J2969" t="s">
        <v>3339</v>
      </c>
    </row>
    <row r="2970" spans="1:10" x14ac:dyDescent="0.35">
      <c r="A2970" s="6" t="s">
        <v>15</v>
      </c>
      <c r="B2970" s="6">
        <f t="shared" si="678"/>
        <v>2027</v>
      </c>
      <c r="C2970" s="1" t="s">
        <v>110</v>
      </c>
      <c r="D2970" s="2" t="s">
        <v>2003</v>
      </c>
      <c r="E2970" s="9" t="str">
        <f t="shared" si="666"/>
        <v>PNP'!</v>
      </c>
      <c r="F2970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70" s="6" t="s">
        <v>111</v>
      </c>
      <c r="H2970" s="1">
        <f t="shared" si="669"/>
        <v>40</v>
      </c>
      <c r="I2970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PNP'!$DI$40</v>
      </c>
      <c r="J2970" t="s">
        <v>3340</v>
      </c>
    </row>
    <row r="2971" spans="1:10" x14ac:dyDescent="0.35">
      <c r="A2971" s="6" t="s">
        <v>15</v>
      </c>
      <c r="B2971" s="6">
        <f t="shared" si="678"/>
        <v>2028</v>
      </c>
      <c r="C2971" s="1" t="s">
        <v>110</v>
      </c>
      <c r="D2971" s="2" t="s">
        <v>2003</v>
      </c>
      <c r="E2971" s="9" t="str">
        <f t="shared" si="666"/>
        <v>PNP'!</v>
      </c>
      <c r="F2971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71" s="6" t="s">
        <v>111</v>
      </c>
      <c r="H2971" s="1">
        <f t="shared" si="669"/>
        <v>41</v>
      </c>
      <c r="I2971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PNP'!$DI$41</v>
      </c>
      <c r="J2971" t="s">
        <v>3341</v>
      </c>
    </row>
    <row r="2972" spans="1:10" x14ac:dyDescent="0.35">
      <c r="A2972" s="6" t="s">
        <v>15</v>
      </c>
      <c r="B2972" s="6">
        <f t="shared" si="678"/>
        <v>2029</v>
      </c>
      <c r="C2972" s="1" t="s">
        <v>110</v>
      </c>
      <c r="D2972" s="2" t="s">
        <v>2003</v>
      </c>
      <c r="E2972" s="9" t="str">
        <f t="shared" si="666"/>
        <v>PNP'!</v>
      </c>
      <c r="F2972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72" s="6" t="s">
        <v>111</v>
      </c>
      <c r="H2972" s="1">
        <f t="shared" si="669"/>
        <v>42</v>
      </c>
      <c r="I2972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PNP'!$DI$42</v>
      </c>
      <c r="J2972" t="s">
        <v>3342</v>
      </c>
    </row>
    <row r="2973" spans="1:10" x14ac:dyDescent="0.35">
      <c r="A2973" s="6" t="s">
        <v>15</v>
      </c>
      <c r="B2973" s="6">
        <f t="shared" si="678"/>
        <v>2030</v>
      </c>
      <c r="C2973" s="1" t="s">
        <v>110</v>
      </c>
      <c r="D2973" s="2" t="s">
        <v>2003</v>
      </c>
      <c r="E2973" s="9" t="str">
        <f t="shared" si="666"/>
        <v>PNP'!</v>
      </c>
      <c r="F2973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73" s="6" t="s">
        <v>111</v>
      </c>
      <c r="H2973" s="1">
        <f t="shared" si="669"/>
        <v>43</v>
      </c>
      <c r="I2973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PNP'!$DI$43</v>
      </c>
      <c r="J2973" t="s">
        <v>3343</v>
      </c>
    </row>
    <row r="2974" spans="1:10" x14ac:dyDescent="0.35">
      <c r="A2974" s="6" t="s">
        <v>15</v>
      </c>
      <c r="B2974" s="6">
        <f t="shared" si="678"/>
        <v>2031</v>
      </c>
      <c r="C2974" s="1" t="s">
        <v>110</v>
      </c>
      <c r="D2974" s="2" t="s">
        <v>2003</v>
      </c>
      <c r="E2974" s="9" t="str">
        <f t="shared" si="666"/>
        <v>PNP'!</v>
      </c>
      <c r="F2974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74" s="6" t="s">
        <v>111</v>
      </c>
      <c r="H2974" s="1">
        <f t="shared" si="669"/>
        <v>44</v>
      </c>
      <c r="I2974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PNP'!$DI$44</v>
      </c>
      <c r="J2974" t="s">
        <v>3344</v>
      </c>
    </row>
    <row r="2975" spans="1:10" x14ac:dyDescent="0.35">
      <c r="A2975" s="6" t="s">
        <v>15</v>
      </c>
      <c r="B2975" s="6">
        <f t="shared" si="678"/>
        <v>2032</v>
      </c>
      <c r="C2975" s="1" t="s">
        <v>110</v>
      </c>
      <c r="D2975" s="2" t="s">
        <v>2003</v>
      </c>
      <c r="E2975" s="9" t="str">
        <f t="shared" si="666"/>
        <v>PNP'!</v>
      </c>
      <c r="F2975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75" s="6" t="s">
        <v>111</v>
      </c>
      <c r="H2975" s="1">
        <f t="shared" si="669"/>
        <v>45</v>
      </c>
      <c r="I2975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PNP'!$DI$45</v>
      </c>
      <c r="J2975" t="s">
        <v>3345</v>
      </c>
    </row>
    <row r="2976" spans="1:10" x14ac:dyDescent="0.35">
      <c r="A2976" s="6" t="s">
        <v>15</v>
      </c>
      <c r="B2976" s="6">
        <f t="shared" si="678"/>
        <v>2033</v>
      </c>
      <c r="C2976" s="1" t="s">
        <v>110</v>
      </c>
      <c r="D2976" s="2" t="s">
        <v>2003</v>
      </c>
      <c r="E2976" s="9" t="str">
        <f t="shared" si="666"/>
        <v>PNP'!</v>
      </c>
      <c r="F2976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76" s="6" t="s">
        <v>111</v>
      </c>
      <c r="H2976" s="1">
        <f t="shared" si="669"/>
        <v>46</v>
      </c>
      <c r="I2976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PNP'!$DI$46</v>
      </c>
      <c r="J2976" t="s">
        <v>3346</v>
      </c>
    </row>
    <row r="2977" spans="1:10" x14ac:dyDescent="0.35">
      <c r="A2977" s="6" t="s">
        <v>15</v>
      </c>
      <c r="B2977" s="6">
        <f t="shared" si="678"/>
        <v>2034</v>
      </c>
      <c r="C2977" s="1" t="s">
        <v>110</v>
      </c>
      <c r="D2977" s="2" t="s">
        <v>2003</v>
      </c>
      <c r="E2977" s="9" t="str">
        <f t="shared" si="666"/>
        <v>PNP'!</v>
      </c>
      <c r="F2977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77" s="6" t="s">
        <v>111</v>
      </c>
      <c r="H2977" s="1">
        <f t="shared" si="669"/>
        <v>47</v>
      </c>
      <c r="I2977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PNP'!$DI$47</v>
      </c>
      <c r="J2977" t="s">
        <v>3347</v>
      </c>
    </row>
    <row r="2978" spans="1:10" x14ac:dyDescent="0.35">
      <c r="A2978" s="6" t="s">
        <v>15</v>
      </c>
      <c r="B2978" s="6">
        <f t="shared" si="678"/>
        <v>2035</v>
      </c>
      <c r="C2978" s="1" t="s">
        <v>110</v>
      </c>
      <c r="D2978" s="2" t="s">
        <v>2003</v>
      </c>
      <c r="E2978" s="9" t="str">
        <f t="shared" si="666"/>
        <v>PNP'!</v>
      </c>
      <c r="F2978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78" s="6" t="s">
        <v>111</v>
      </c>
      <c r="H2978" s="1">
        <f t="shared" si="669"/>
        <v>48</v>
      </c>
      <c r="I2978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PNP'!$DI$48</v>
      </c>
      <c r="J2978" t="s">
        <v>3348</v>
      </c>
    </row>
    <row r="2979" spans="1:10" x14ac:dyDescent="0.35">
      <c r="A2979" s="6" t="s">
        <v>15</v>
      </c>
      <c r="B2979" s="6">
        <f t="shared" si="678"/>
        <v>2036</v>
      </c>
      <c r="C2979" s="1" t="s">
        <v>110</v>
      </c>
      <c r="D2979" s="2" t="s">
        <v>2003</v>
      </c>
      <c r="E2979" s="9" t="str">
        <f t="shared" si="666"/>
        <v>PNP'!</v>
      </c>
      <c r="F2979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79" s="6" t="s">
        <v>111</v>
      </c>
      <c r="H2979" s="1">
        <f t="shared" si="669"/>
        <v>49</v>
      </c>
      <c r="I2979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PNP'!$DI$49</v>
      </c>
      <c r="J2979" t="s">
        <v>3349</v>
      </c>
    </row>
    <row r="2980" spans="1:10" x14ac:dyDescent="0.35">
      <c r="A2980" s="6" t="s">
        <v>15</v>
      </c>
      <c r="B2980" s="6">
        <f>+B2979+1</f>
        <v>2037</v>
      </c>
      <c r="C2980" s="1" t="s">
        <v>110</v>
      </c>
      <c r="D2980" s="2" t="s">
        <v>2003</v>
      </c>
      <c r="E2980" s="9" t="str">
        <f t="shared" si="666"/>
        <v>PNP'!</v>
      </c>
      <c r="F2980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80" s="6" t="s">
        <v>111</v>
      </c>
      <c r="H2980" s="1">
        <f t="shared" si="669"/>
        <v>50</v>
      </c>
      <c r="I2980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PNP'!$DI$50</v>
      </c>
      <c r="J2980" t="s">
        <v>3350</v>
      </c>
    </row>
    <row r="2981" spans="1:10" x14ac:dyDescent="0.35">
      <c r="A2981" s="6" t="s">
        <v>15</v>
      </c>
      <c r="B2981" s="6">
        <f t="shared" ref="B2981:B2983" si="679">+B2980+1</f>
        <v>2038</v>
      </c>
      <c r="C2981" s="1" t="s">
        <v>110</v>
      </c>
      <c r="D2981" s="2" t="s">
        <v>2003</v>
      </c>
      <c r="E2981" s="9" t="str">
        <f t="shared" si="666"/>
        <v>PNP'!</v>
      </c>
      <c r="F2981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81" s="6" t="s">
        <v>111</v>
      </c>
      <c r="H2981" s="1">
        <f t="shared" si="669"/>
        <v>51</v>
      </c>
      <c r="I2981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PNP'!$DI$51</v>
      </c>
      <c r="J2981" t="s">
        <v>3351</v>
      </c>
    </row>
    <row r="2982" spans="1:10" x14ac:dyDescent="0.35">
      <c r="A2982" s="6" t="s">
        <v>15</v>
      </c>
      <c r="B2982" s="6">
        <f t="shared" si="679"/>
        <v>2039</v>
      </c>
      <c r="C2982" s="1" t="s">
        <v>110</v>
      </c>
      <c r="D2982" s="2" t="s">
        <v>2003</v>
      </c>
      <c r="E2982" s="9" t="str">
        <f t="shared" si="666"/>
        <v>PNP'!</v>
      </c>
      <c r="F2982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82" s="6" t="s">
        <v>111</v>
      </c>
      <c r="H2982" s="1">
        <f t="shared" si="669"/>
        <v>52</v>
      </c>
      <c r="I2982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PNP'!$DI$52</v>
      </c>
      <c r="J2982" t="s">
        <v>3352</v>
      </c>
    </row>
    <row r="2983" spans="1:10" x14ac:dyDescent="0.35">
      <c r="A2983" s="6" t="s">
        <v>15</v>
      </c>
      <c r="B2983" s="6">
        <f t="shared" si="679"/>
        <v>2040</v>
      </c>
      <c r="C2983" s="1" t="s">
        <v>110</v>
      </c>
      <c r="D2983" s="2" t="s">
        <v>2003</v>
      </c>
      <c r="E2983" s="9" t="str">
        <f t="shared" si="666"/>
        <v>PNP'!</v>
      </c>
      <c r="F2983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83" s="6" t="s">
        <v>111</v>
      </c>
      <c r="H2983" s="1">
        <f t="shared" si="669"/>
        <v>53</v>
      </c>
      <c r="I2983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PNP'!$DI$53</v>
      </c>
      <c r="J2983" t="s">
        <v>3353</v>
      </c>
    </row>
    <row r="2984" spans="1:10" x14ac:dyDescent="0.35">
      <c r="A2984" s="6" t="s">
        <v>15</v>
      </c>
      <c r="B2984" s="6">
        <f>+B2983+1</f>
        <v>2041</v>
      </c>
      <c r="C2984" s="1" t="s">
        <v>110</v>
      </c>
      <c r="D2984" s="2" t="s">
        <v>2003</v>
      </c>
      <c r="E2984" s="9" t="str">
        <f t="shared" si="666"/>
        <v>PNP'!</v>
      </c>
      <c r="F2984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84" s="6" t="s">
        <v>111</v>
      </c>
      <c r="H2984" s="1">
        <f t="shared" si="669"/>
        <v>54</v>
      </c>
      <c r="I2984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PNP'!$DI$54</v>
      </c>
      <c r="J2984" t="s">
        <v>3354</v>
      </c>
    </row>
    <row r="2985" spans="1:10" x14ac:dyDescent="0.35">
      <c r="A2985" s="6" t="s">
        <v>15</v>
      </c>
      <c r="B2985" s="6">
        <f t="shared" ref="B2985:B2986" si="680">+B2984+1</f>
        <v>2042</v>
      </c>
      <c r="C2985" s="1" t="s">
        <v>110</v>
      </c>
      <c r="D2985" s="2" t="s">
        <v>2003</v>
      </c>
      <c r="E2985" s="9" t="str">
        <f t="shared" si="666"/>
        <v>PNP'!</v>
      </c>
      <c r="F2985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85" s="6" t="s">
        <v>111</v>
      </c>
      <c r="H2985" s="1">
        <f t="shared" si="669"/>
        <v>55</v>
      </c>
      <c r="I2985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PNP'!$DI$55</v>
      </c>
      <c r="J2985" t="s">
        <v>3355</v>
      </c>
    </row>
    <row r="2986" spans="1:10" x14ac:dyDescent="0.35">
      <c r="A2986" s="6" t="s">
        <v>15</v>
      </c>
      <c r="B2986" s="6">
        <f t="shared" si="680"/>
        <v>2043</v>
      </c>
      <c r="C2986" s="1" t="s">
        <v>110</v>
      </c>
      <c r="D2986" s="2" t="s">
        <v>2003</v>
      </c>
      <c r="E2986" s="9" t="str">
        <f t="shared" si="666"/>
        <v>PNP'!</v>
      </c>
      <c r="F2986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86" s="6" t="s">
        <v>111</v>
      </c>
      <c r="H2986" s="1">
        <f t="shared" si="669"/>
        <v>56</v>
      </c>
      <c r="I2986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PNP'!$DI$56</v>
      </c>
      <c r="J2986" t="s">
        <v>3356</v>
      </c>
    </row>
    <row r="2987" spans="1:10" x14ac:dyDescent="0.35">
      <c r="A2987" s="6" t="s">
        <v>15</v>
      </c>
      <c r="B2987" s="6">
        <f>+B2986+1</f>
        <v>2044</v>
      </c>
      <c r="C2987" s="1" t="s">
        <v>110</v>
      </c>
      <c r="D2987" s="2" t="s">
        <v>2003</v>
      </c>
      <c r="E2987" s="9" t="str">
        <f t="shared" ref="E2987:E3002" si="681">_xlfn.CONCAT(A2987,"'!")</f>
        <v>PNP'!</v>
      </c>
      <c r="F2987" s="5" t="str">
        <f t="shared" ref="F2987:F3002" si="682">_xlfn.CONCAT(D2987," ",E2987)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87" s="6" t="s">
        <v>111</v>
      </c>
      <c r="H2987" s="1">
        <f t="shared" ref="H2987:H3002" si="683">IF(A2987&lt;&gt;A2986,36,H2986+1)</f>
        <v>57</v>
      </c>
      <c r="I2987" s="1" t="str">
        <f t="shared" ref="I2987:I3002" si="684">_xlfn.CONCAT("='",F2987:H2987)</f>
        <v>='C:\Users\jaime.benazar\Quorum Business Solutions\Ecopetrol Prometeo - Documents\Planning Space Implementation\3. Analysis &amp; Design\Design\FC22\DRR Jaime\Por presentar a ECP\Cantagallo\Cristalina\[VRC_CRISTALINA_CF_SEC_20221231.xlsx]CF PNP'!$DI$57</v>
      </c>
      <c r="J2987" t="s">
        <v>3357</v>
      </c>
    </row>
    <row r="2988" spans="1:10" x14ac:dyDescent="0.35">
      <c r="A2988" s="6" t="s">
        <v>15</v>
      </c>
      <c r="B2988" s="6">
        <f t="shared" ref="B2988:B3002" si="685">+B2987+1</f>
        <v>2045</v>
      </c>
      <c r="C2988" s="1" t="s">
        <v>110</v>
      </c>
      <c r="D2988" s="2" t="s">
        <v>2003</v>
      </c>
      <c r="E2988" s="9" t="str">
        <f t="shared" si="681"/>
        <v>PNP'!</v>
      </c>
      <c r="F2988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88" s="6" t="s">
        <v>111</v>
      </c>
      <c r="H2988" s="1">
        <f t="shared" si="683"/>
        <v>58</v>
      </c>
      <c r="I2988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PNP'!$DI$58</v>
      </c>
      <c r="J2988" t="s">
        <v>3358</v>
      </c>
    </row>
    <row r="2989" spans="1:10" x14ac:dyDescent="0.35">
      <c r="A2989" s="6" t="s">
        <v>15</v>
      </c>
      <c r="B2989" s="6">
        <f t="shared" si="685"/>
        <v>2046</v>
      </c>
      <c r="C2989" s="1" t="s">
        <v>110</v>
      </c>
      <c r="D2989" s="2" t="s">
        <v>2003</v>
      </c>
      <c r="E2989" s="9" t="str">
        <f t="shared" si="681"/>
        <v>PNP'!</v>
      </c>
      <c r="F2989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89" s="6" t="s">
        <v>111</v>
      </c>
      <c r="H2989" s="1">
        <f t="shared" si="683"/>
        <v>59</v>
      </c>
      <c r="I2989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PNP'!$DI$59</v>
      </c>
      <c r="J2989" t="s">
        <v>3359</v>
      </c>
    </row>
    <row r="2990" spans="1:10" x14ac:dyDescent="0.35">
      <c r="A2990" s="6" t="s">
        <v>15</v>
      </c>
      <c r="B2990" s="6">
        <f t="shared" si="685"/>
        <v>2047</v>
      </c>
      <c r="C2990" s="1" t="s">
        <v>110</v>
      </c>
      <c r="D2990" s="2" t="s">
        <v>2003</v>
      </c>
      <c r="E2990" s="9" t="str">
        <f t="shared" si="681"/>
        <v>PNP'!</v>
      </c>
      <c r="F2990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90" s="6" t="s">
        <v>111</v>
      </c>
      <c r="H2990" s="1">
        <f t="shared" si="683"/>
        <v>60</v>
      </c>
      <c r="I2990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PNP'!$DI$60</v>
      </c>
      <c r="J2990" t="s">
        <v>3360</v>
      </c>
    </row>
    <row r="2991" spans="1:10" x14ac:dyDescent="0.35">
      <c r="A2991" s="6" t="s">
        <v>15</v>
      </c>
      <c r="B2991" s="6">
        <f t="shared" si="685"/>
        <v>2048</v>
      </c>
      <c r="C2991" s="1" t="s">
        <v>110</v>
      </c>
      <c r="D2991" s="2" t="s">
        <v>2003</v>
      </c>
      <c r="E2991" s="9" t="str">
        <f t="shared" si="681"/>
        <v>PNP'!</v>
      </c>
      <c r="F2991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91" s="6" t="s">
        <v>111</v>
      </c>
      <c r="H2991" s="1">
        <f t="shared" si="683"/>
        <v>61</v>
      </c>
      <c r="I2991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PNP'!$DI$61</v>
      </c>
      <c r="J2991" t="s">
        <v>3361</v>
      </c>
    </row>
    <row r="2992" spans="1:10" x14ac:dyDescent="0.35">
      <c r="A2992" s="6" t="s">
        <v>15</v>
      </c>
      <c r="B2992" s="6">
        <f t="shared" si="685"/>
        <v>2049</v>
      </c>
      <c r="C2992" s="1" t="s">
        <v>110</v>
      </c>
      <c r="D2992" s="2" t="s">
        <v>2003</v>
      </c>
      <c r="E2992" s="9" t="str">
        <f t="shared" si="681"/>
        <v>PNP'!</v>
      </c>
      <c r="F2992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92" s="6" t="s">
        <v>111</v>
      </c>
      <c r="H2992" s="1">
        <f t="shared" si="683"/>
        <v>62</v>
      </c>
      <c r="I2992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PNP'!$DI$62</v>
      </c>
      <c r="J2992" t="s">
        <v>3362</v>
      </c>
    </row>
    <row r="2993" spans="1:10" x14ac:dyDescent="0.35">
      <c r="A2993" s="6" t="s">
        <v>15</v>
      </c>
      <c r="B2993" s="6">
        <f t="shared" si="685"/>
        <v>2050</v>
      </c>
      <c r="C2993" s="1" t="s">
        <v>110</v>
      </c>
      <c r="D2993" s="2" t="s">
        <v>2003</v>
      </c>
      <c r="E2993" s="9" t="str">
        <f t="shared" si="681"/>
        <v>PNP'!</v>
      </c>
      <c r="F2993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93" s="6" t="s">
        <v>111</v>
      </c>
      <c r="H2993" s="1">
        <f t="shared" si="683"/>
        <v>63</v>
      </c>
      <c r="I2993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PNP'!$DI$63</v>
      </c>
      <c r="J2993" t="s">
        <v>3363</v>
      </c>
    </row>
    <row r="2994" spans="1:10" x14ac:dyDescent="0.35">
      <c r="A2994" s="6" t="s">
        <v>15</v>
      </c>
      <c r="B2994" s="6">
        <f t="shared" si="685"/>
        <v>2051</v>
      </c>
      <c r="C2994" s="1" t="s">
        <v>110</v>
      </c>
      <c r="D2994" s="2" t="s">
        <v>2003</v>
      </c>
      <c r="E2994" s="9" t="str">
        <f t="shared" si="681"/>
        <v>PNP'!</v>
      </c>
      <c r="F2994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94" s="6" t="s">
        <v>111</v>
      </c>
      <c r="H2994" s="1">
        <f t="shared" si="683"/>
        <v>64</v>
      </c>
      <c r="I2994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PNP'!$DI$64</v>
      </c>
      <c r="J2994" t="s">
        <v>3364</v>
      </c>
    </row>
    <row r="2995" spans="1:10" x14ac:dyDescent="0.35">
      <c r="A2995" s="6" t="s">
        <v>15</v>
      </c>
      <c r="B2995" s="6">
        <f t="shared" si="685"/>
        <v>2052</v>
      </c>
      <c r="C2995" s="1" t="s">
        <v>110</v>
      </c>
      <c r="D2995" s="2" t="s">
        <v>2003</v>
      </c>
      <c r="E2995" s="9" t="str">
        <f t="shared" si="681"/>
        <v>PNP'!</v>
      </c>
      <c r="F2995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95" s="6" t="s">
        <v>111</v>
      </c>
      <c r="H2995" s="1">
        <f t="shared" si="683"/>
        <v>65</v>
      </c>
      <c r="I2995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PNP'!$DI$65</v>
      </c>
      <c r="J2995" t="s">
        <v>3365</v>
      </c>
    </row>
    <row r="2996" spans="1:10" x14ac:dyDescent="0.35">
      <c r="A2996" s="6" t="s">
        <v>15</v>
      </c>
      <c r="B2996" s="6">
        <f t="shared" si="685"/>
        <v>2053</v>
      </c>
      <c r="C2996" s="1" t="s">
        <v>110</v>
      </c>
      <c r="D2996" s="2" t="s">
        <v>2003</v>
      </c>
      <c r="E2996" s="9" t="str">
        <f t="shared" si="681"/>
        <v>PNP'!</v>
      </c>
      <c r="F2996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96" s="6" t="s">
        <v>111</v>
      </c>
      <c r="H2996" s="1">
        <f t="shared" si="683"/>
        <v>66</v>
      </c>
      <c r="I2996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PNP'!$DI$66</v>
      </c>
      <c r="J2996" t="s">
        <v>3366</v>
      </c>
    </row>
    <row r="2997" spans="1:10" x14ac:dyDescent="0.35">
      <c r="A2997" s="6" t="s">
        <v>15</v>
      </c>
      <c r="B2997" s="6">
        <f t="shared" si="685"/>
        <v>2054</v>
      </c>
      <c r="C2997" s="1" t="s">
        <v>110</v>
      </c>
      <c r="D2997" s="2" t="s">
        <v>2003</v>
      </c>
      <c r="E2997" s="9" t="str">
        <f t="shared" si="681"/>
        <v>PNP'!</v>
      </c>
      <c r="F2997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97" s="6" t="s">
        <v>111</v>
      </c>
      <c r="H2997" s="1">
        <f t="shared" si="683"/>
        <v>67</v>
      </c>
      <c r="I2997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PNP'!$DI$67</v>
      </c>
      <c r="J2997" t="s">
        <v>3367</v>
      </c>
    </row>
    <row r="2998" spans="1:10" x14ac:dyDescent="0.35">
      <c r="A2998" s="6" t="s">
        <v>15</v>
      </c>
      <c r="B2998" s="6">
        <f t="shared" si="685"/>
        <v>2055</v>
      </c>
      <c r="C2998" s="1" t="s">
        <v>110</v>
      </c>
      <c r="D2998" s="2" t="s">
        <v>2003</v>
      </c>
      <c r="E2998" s="9" t="str">
        <f t="shared" si="681"/>
        <v>PNP'!</v>
      </c>
      <c r="F2998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98" s="6" t="s">
        <v>111</v>
      </c>
      <c r="H2998" s="1">
        <f t="shared" si="683"/>
        <v>68</v>
      </c>
      <c r="I2998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PNP'!$DI$68</v>
      </c>
      <c r="J2998" t="s">
        <v>3368</v>
      </c>
    </row>
    <row r="2999" spans="1:10" x14ac:dyDescent="0.35">
      <c r="A2999" s="6" t="s">
        <v>15</v>
      </c>
      <c r="B2999" s="6">
        <f t="shared" si="685"/>
        <v>2056</v>
      </c>
      <c r="C2999" s="1" t="s">
        <v>110</v>
      </c>
      <c r="D2999" s="2" t="s">
        <v>2003</v>
      </c>
      <c r="E2999" s="9" t="str">
        <f t="shared" si="681"/>
        <v>PNP'!</v>
      </c>
      <c r="F2999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99" s="6" t="s">
        <v>111</v>
      </c>
      <c r="H2999" s="1">
        <f t="shared" si="683"/>
        <v>69</v>
      </c>
      <c r="I2999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PNP'!$DI$69</v>
      </c>
      <c r="J2999" t="s">
        <v>3369</v>
      </c>
    </row>
    <row r="3000" spans="1:10" x14ac:dyDescent="0.35">
      <c r="A3000" s="6" t="s">
        <v>15</v>
      </c>
      <c r="B3000" s="6">
        <f t="shared" si="685"/>
        <v>2057</v>
      </c>
      <c r="C3000" s="1" t="s">
        <v>110</v>
      </c>
      <c r="D3000" s="2" t="s">
        <v>2003</v>
      </c>
      <c r="E3000" s="9" t="str">
        <f t="shared" si="681"/>
        <v>PNP'!</v>
      </c>
      <c r="F3000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000" s="6" t="s">
        <v>111</v>
      </c>
      <c r="H3000" s="1">
        <f t="shared" si="683"/>
        <v>70</v>
      </c>
      <c r="I3000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PNP'!$DI$70</v>
      </c>
      <c r="J3000" t="s">
        <v>3370</v>
      </c>
    </row>
    <row r="3001" spans="1:10" x14ac:dyDescent="0.35">
      <c r="A3001" s="6" t="s">
        <v>15</v>
      </c>
      <c r="B3001" s="6">
        <f t="shared" si="685"/>
        <v>2058</v>
      </c>
      <c r="C3001" s="1" t="s">
        <v>110</v>
      </c>
      <c r="D3001" s="2" t="s">
        <v>2003</v>
      </c>
      <c r="E3001" s="9" t="str">
        <f t="shared" si="681"/>
        <v>PNP'!</v>
      </c>
      <c r="F3001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001" s="6" t="s">
        <v>111</v>
      </c>
      <c r="H3001" s="1">
        <f t="shared" si="683"/>
        <v>71</v>
      </c>
      <c r="I3001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PNP'!$DI$71</v>
      </c>
      <c r="J3001" t="s">
        <v>3371</v>
      </c>
    </row>
    <row r="3002" spans="1:10" x14ac:dyDescent="0.35">
      <c r="A3002" s="6" t="s">
        <v>15</v>
      </c>
      <c r="B3002" s="6">
        <f t="shared" si="685"/>
        <v>2059</v>
      </c>
      <c r="C3002" s="1" t="s">
        <v>110</v>
      </c>
      <c r="D3002" s="2" t="s">
        <v>2003</v>
      </c>
      <c r="E3002" s="9" t="str">
        <f t="shared" si="681"/>
        <v>PNP'!</v>
      </c>
      <c r="F3002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002" s="6" t="s">
        <v>111</v>
      </c>
      <c r="H3002" s="1">
        <f t="shared" si="683"/>
        <v>72</v>
      </c>
      <c r="I3002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PNP'!$DI$72</v>
      </c>
      <c r="J3002" t="s">
        <v>3372</v>
      </c>
    </row>
    <row r="3003" spans="1:10" x14ac:dyDescent="0.35">
      <c r="A3003" s="7" t="s">
        <v>26</v>
      </c>
      <c r="B3003" s="6"/>
      <c r="C3003" s="1" t="s">
        <v>110</v>
      </c>
      <c r="D3003" s="2"/>
      <c r="E3003" s="9"/>
      <c r="F3003" s="5"/>
      <c r="G3003" s="6"/>
      <c r="H3003" s="1"/>
      <c r="I3003" s="1"/>
      <c r="J3003" s="4"/>
    </row>
    <row r="3004" spans="1:10" x14ac:dyDescent="0.35">
      <c r="A3004" s="6" t="s">
        <v>16</v>
      </c>
      <c r="B3004" s="6">
        <v>2023</v>
      </c>
      <c r="C3004" s="1" t="s">
        <v>110</v>
      </c>
      <c r="D3004" s="2" t="s">
        <v>2003</v>
      </c>
      <c r="E3004" s="9" t="str">
        <f t="shared" si="666"/>
        <v>PND'!</v>
      </c>
      <c r="F3004" s="5" t="str">
        <f t="shared" ref="F3004:F3024" si="686">_xlfn.CONCAT(D3004," ",E3004)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04" s="6" t="s">
        <v>111</v>
      </c>
      <c r="H3004" s="1">
        <f>IF(A3004&lt;&gt;A2988,36,H2988+1)</f>
        <v>36</v>
      </c>
      <c r="I3004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PND'!$DI$36</v>
      </c>
      <c r="J3004" t="s">
        <v>3373</v>
      </c>
    </row>
    <row r="3005" spans="1:10" x14ac:dyDescent="0.35">
      <c r="A3005" s="6" t="s">
        <v>16</v>
      </c>
      <c r="B3005" s="6">
        <f>+B3004+1</f>
        <v>2024</v>
      </c>
      <c r="C3005" s="1" t="s">
        <v>110</v>
      </c>
      <c r="D3005" s="2" t="s">
        <v>2003</v>
      </c>
      <c r="E3005" s="9" t="str">
        <f t="shared" si="666"/>
        <v>PND'!</v>
      </c>
      <c r="F3005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05" s="6" t="s">
        <v>111</v>
      </c>
      <c r="H3005" s="1">
        <f t="shared" si="669"/>
        <v>37</v>
      </c>
      <c r="I3005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PND'!$DI$37</v>
      </c>
      <c r="J3005" t="s">
        <v>3374</v>
      </c>
    </row>
    <row r="3006" spans="1:10" x14ac:dyDescent="0.35">
      <c r="A3006" s="6" t="s">
        <v>16</v>
      </c>
      <c r="B3006" s="6">
        <f t="shared" ref="B3006:B3017" si="687">+B3005+1</f>
        <v>2025</v>
      </c>
      <c r="C3006" s="1" t="s">
        <v>110</v>
      </c>
      <c r="D3006" s="2" t="s">
        <v>2003</v>
      </c>
      <c r="E3006" s="9" t="str">
        <f t="shared" si="666"/>
        <v>PND'!</v>
      </c>
      <c r="F3006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06" s="6" t="s">
        <v>111</v>
      </c>
      <c r="H3006" s="1">
        <f t="shared" si="669"/>
        <v>38</v>
      </c>
      <c r="I3006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PND'!$DI$38</v>
      </c>
      <c r="J3006" t="s">
        <v>3375</v>
      </c>
    </row>
    <row r="3007" spans="1:10" x14ac:dyDescent="0.35">
      <c r="A3007" s="6" t="s">
        <v>16</v>
      </c>
      <c r="B3007" s="6">
        <f t="shared" si="687"/>
        <v>2026</v>
      </c>
      <c r="C3007" s="1" t="s">
        <v>110</v>
      </c>
      <c r="D3007" s="2" t="s">
        <v>2003</v>
      </c>
      <c r="E3007" s="9" t="str">
        <f t="shared" si="666"/>
        <v>PND'!</v>
      </c>
      <c r="F3007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07" s="6" t="s">
        <v>111</v>
      </c>
      <c r="H3007" s="1">
        <f t="shared" si="669"/>
        <v>39</v>
      </c>
      <c r="I3007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PND'!$DI$39</v>
      </c>
      <c r="J3007" t="s">
        <v>3376</v>
      </c>
    </row>
    <row r="3008" spans="1:10" x14ac:dyDescent="0.35">
      <c r="A3008" s="6" t="s">
        <v>16</v>
      </c>
      <c r="B3008" s="6">
        <f t="shared" si="687"/>
        <v>2027</v>
      </c>
      <c r="C3008" s="1" t="s">
        <v>110</v>
      </c>
      <c r="D3008" s="2" t="s">
        <v>2003</v>
      </c>
      <c r="E3008" s="9" t="str">
        <f t="shared" si="666"/>
        <v>PND'!</v>
      </c>
      <c r="F3008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08" s="6" t="s">
        <v>111</v>
      </c>
      <c r="H3008" s="1">
        <f t="shared" si="669"/>
        <v>40</v>
      </c>
      <c r="I3008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PND'!$DI$40</v>
      </c>
      <c r="J3008" t="s">
        <v>3377</v>
      </c>
    </row>
    <row r="3009" spans="1:10" x14ac:dyDescent="0.35">
      <c r="A3009" s="6" t="s">
        <v>16</v>
      </c>
      <c r="B3009" s="6">
        <f t="shared" si="687"/>
        <v>2028</v>
      </c>
      <c r="C3009" s="1" t="s">
        <v>110</v>
      </c>
      <c r="D3009" s="2" t="s">
        <v>2003</v>
      </c>
      <c r="E3009" s="9" t="str">
        <f t="shared" si="666"/>
        <v>PND'!</v>
      </c>
      <c r="F3009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09" s="6" t="s">
        <v>111</v>
      </c>
      <c r="H3009" s="1">
        <f t="shared" si="669"/>
        <v>41</v>
      </c>
      <c r="I3009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PND'!$DI$41</v>
      </c>
      <c r="J3009" t="s">
        <v>3378</v>
      </c>
    </row>
    <row r="3010" spans="1:10" x14ac:dyDescent="0.35">
      <c r="A3010" s="6" t="s">
        <v>16</v>
      </c>
      <c r="B3010" s="6">
        <f t="shared" si="687"/>
        <v>2029</v>
      </c>
      <c r="C3010" s="1" t="s">
        <v>110</v>
      </c>
      <c r="D3010" s="2" t="s">
        <v>2003</v>
      </c>
      <c r="E3010" s="9" t="str">
        <f t="shared" si="666"/>
        <v>PND'!</v>
      </c>
      <c r="F3010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10" s="6" t="s">
        <v>111</v>
      </c>
      <c r="H3010" s="1">
        <f t="shared" si="669"/>
        <v>42</v>
      </c>
      <c r="I3010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PND'!$DI$42</v>
      </c>
      <c r="J3010" t="s">
        <v>3379</v>
      </c>
    </row>
    <row r="3011" spans="1:10" x14ac:dyDescent="0.35">
      <c r="A3011" s="6" t="s">
        <v>16</v>
      </c>
      <c r="B3011" s="6">
        <f t="shared" si="687"/>
        <v>2030</v>
      </c>
      <c r="C3011" s="1" t="s">
        <v>110</v>
      </c>
      <c r="D3011" s="2" t="s">
        <v>2003</v>
      </c>
      <c r="E3011" s="9" t="str">
        <f t="shared" si="666"/>
        <v>PND'!</v>
      </c>
      <c r="F3011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11" s="6" t="s">
        <v>111</v>
      </c>
      <c r="H3011" s="1">
        <f t="shared" si="669"/>
        <v>43</v>
      </c>
      <c r="I3011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PND'!$DI$43</v>
      </c>
      <c r="J3011" t="s">
        <v>3380</v>
      </c>
    </row>
    <row r="3012" spans="1:10" x14ac:dyDescent="0.35">
      <c r="A3012" s="6" t="s">
        <v>16</v>
      </c>
      <c r="B3012" s="6">
        <f t="shared" si="687"/>
        <v>2031</v>
      </c>
      <c r="C3012" s="1" t="s">
        <v>110</v>
      </c>
      <c r="D3012" s="2" t="s">
        <v>2003</v>
      </c>
      <c r="E3012" s="9" t="str">
        <f t="shared" si="666"/>
        <v>PND'!</v>
      </c>
      <c r="F3012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12" s="6" t="s">
        <v>111</v>
      </c>
      <c r="H3012" s="1">
        <f t="shared" si="669"/>
        <v>44</v>
      </c>
      <c r="I3012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PND'!$DI$44</v>
      </c>
      <c r="J3012" t="s">
        <v>3381</v>
      </c>
    </row>
    <row r="3013" spans="1:10" x14ac:dyDescent="0.35">
      <c r="A3013" s="6" t="s">
        <v>16</v>
      </c>
      <c r="B3013" s="6">
        <f t="shared" si="687"/>
        <v>2032</v>
      </c>
      <c r="C3013" s="1" t="s">
        <v>110</v>
      </c>
      <c r="D3013" s="2" t="s">
        <v>2003</v>
      </c>
      <c r="E3013" s="9" t="str">
        <f t="shared" si="666"/>
        <v>PND'!</v>
      </c>
      <c r="F3013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13" s="6" t="s">
        <v>111</v>
      </c>
      <c r="H3013" s="1">
        <f t="shared" si="669"/>
        <v>45</v>
      </c>
      <c r="I3013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PND'!$DI$45</v>
      </c>
      <c r="J3013" t="s">
        <v>3382</v>
      </c>
    </row>
    <row r="3014" spans="1:10" x14ac:dyDescent="0.35">
      <c r="A3014" s="6" t="s">
        <v>16</v>
      </c>
      <c r="B3014" s="6">
        <f t="shared" si="687"/>
        <v>2033</v>
      </c>
      <c r="C3014" s="1" t="s">
        <v>110</v>
      </c>
      <c r="D3014" s="2" t="s">
        <v>2003</v>
      </c>
      <c r="E3014" s="9" t="str">
        <f t="shared" si="666"/>
        <v>PND'!</v>
      </c>
      <c r="F3014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14" s="6" t="s">
        <v>111</v>
      </c>
      <c r="H3014" s="1">
        <f t="shared" si="669"/>
        <v>46</v>
      </c>
      <c r="I3014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PND'!$DI$46</v>
      </c>
      <c r="J3014" t="s">
        <v>3383</v>
      </c>
    </row>
    <row r="3015" spans="1:10" x14ac:dyDescent="0.35">
      <c r="A3015" s="6" t="s">
        <v>16</v>
      </c>
      <c r="B3015" s="6">
        <f t="shared" si="687"/>
        <v>2034</v>
      </c>
      <c r="C3015" s="1" t="s">
        <v>110</v>
      </c>
      <c r="D3015" s="2" t="s">
        <v>2003</v>
      </c>
      <c r="E3015" s="9" t="str">
        <f t="shared" si="666"/>
        <v>PND'!</v>
      </c>
      <c r="F3015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15" s="6" t="s">
        <v>111</v>
      </c>
      <c r="H3015" s="1">
        <f t="shared" si="669"/>
        <v>47</v>
      </c>
      <c r="I3015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PND'!$DI$47</v>
      </c>
      <c r="J3015" t="s">
        <v>3384</v>
      </c>
    </row>
    <row r="3016" spans="1:10" x14ac:dyDescent="0.35">
      <c r="A3016" s="6" t="s">
        <v>16</v>
      </c>
      <c r="B3016" s="6">
        <f t="shared" si="687"/>
        <v>2035</v>
      </c>
      <c r="C3016" s="1" t="s">
        <v>110</v>
      </c>
      <c r="D3016" s="2" t="s">
        <v>2003</v>
      </c>
      <c r="E3016" s="9" t="str">
        <f t="shared" si="666"/>
        <v>PND'!</v>
      </c>
      <c r="F3016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16" s="6" t="s">
        <v>111</v>
      </c>
      <c r="H3016" s="1">
        <f t="shared" si="669"/>
        <v>48</v>
      </c>
      <c r="I3016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PND'!$DI$48</v>
      </c>
      <c r="J3016" t="s">
        <v>3385</v>
      </c>
    </row>
    <row r="3017" spans="1:10" x14ac:dyDescent="0.35">
      <c r="A3017" s="6" t="s">
        <v>16</v>
      </c>
      <c r="B3017" s="6">
        <f t="shared" si="687"/>
        <v>2036</v>
      </c>
      <c r="C3017" s="1" t="s">
        <v>110</v>
      </c>
      <c r="D3017" s="2" t="s">
        <v>2003</v>
      </c>
      <c r="E3017" s="9" t="str">
        <f t="shared" si="666"/>
        <v>PND'!</v>
      </c>
      <c r="F3017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17" s="6" t="s">
        <v>111</v>
      </c>
      <c r="H3017" s="1">
        <f t="shared" si="669"/>
        <v>49</v>
      </c>
      <c r="I3017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PND'!$DI$49</v>
      </c>
      <c r="J3017" t="s">
        <v>3386</v>
      </c>
    </row>
    <row r="3018" spans="1:10" x14ac:dyDescent="0.35">
      <c r="A3018" s="6" t="s">
        <v>16</v>
      </c>
      <c r="B3018" s="6">
        <f>+B3017+1</f>
        <v>2037</v>
      </c>
      <c r="C3018" s="1" t="s">
        <v>110</v>
      </c>
      <c r="D3018" s="2" t="s">
        <v>2003</v>
      </c>
      <c r="E3018" s="9" t="str">
        <f t="shared" si="666"/>
        <v>PND'!</v>
      </c>
      <c r="F3018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18" s="6" t="s">
        <v>111</v>
      </c>
      <c r="H3018" s="1">
        <f t="shared" si="669"/>
        <v>50</v>
      </c>
      <c r="I3018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PND'!$DI$50</v>
      </c>
      <c r="J3018" t="s">
        <v>3387</v>
      </c>
    </row>
    <row r="3019" spans="1:10" x14ac:dyDescent="0.35">
      <c r="A3019" s="6" t="s">
        <v>16</v>
      </c>
      <c r="B3019" s="6">
        <f t="shared" ref="B3019:B3021" si="688">+B3018+1</f>
        <v>2038</v>
      </c>
      <c r="C3019" s="1" t="s">
        <v>110</v>
      </c>
      <c r="D3019" s="2" t="s">
        <v>2003</v>
      </c>
      <c r="E3019" s="9" t="str">
        <f t="shared" si="666"/>
        <v>PND'!</v>
      </c>
      <c r="F3019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19" s="6" t="s">
        <v>111</v>
      </c>
      <c r="H3019" s="1">
        <f t="shared" si="669"/>
        <v>51</v>
      </c>
      <c r="I3019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PND'!$DI$51</v>
      </c>
      <c r="J3019" t="s">
        <v>3388</v>
      </c>
    </row>
    <row r="3020" spans="1:10" x14ac:dyDescent="0.35">
      <c r="A3020" s="6" t="s">
        <v>16</v>
      </c>
      <c r="B3020" s="6">
        <f t="shared" si="688"/>
        <v>2039</v>
      </c>
      <c r="C3020" s="1" t="s">
        <v>110</v>
      </c>
      <c r="D3020" s="2" t="s">
        <v>2003</v>
      </c>
      <c r="E3020" s="9" t="str">
        <f t="shared" si="666"/>
        <v>PND'!</v>
      </c>
      <c r="F3020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20" s="6" t="s">
        <v>111</v>
      </c>
      <c r="H3020" s="1">
        <f t="shared" si="669"/>
        <v>52</v>
      </c>
      <c r="I3020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PND'!$DI$52</v>
      </c>
      <c r="J3020" t="s">
        <v>3389</v>
      </c>
    </row>
    <row r="3021" spans="1:10" x14ac:dyDescent="0.35">
      <c r="A3021" s="6" t="s">
        <v>16</v>
      </c>
      <c r="B3021" s="6">
        <f t="shared" si="688"/>
        <v>2040</v>
      </c>
      <c r="C3021" s="1" t="s">
        <v>110</v>
      </c>
      <c r="D3021" s="2" t="s">
        <v>2003</v>
      </c>
      <c r="E3021" s="9" t="str">
        <f t="shared" si="666"/>
        <v>PND'!</v>
      </c>
      <c r="F3021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21" s="6" t="s">
        <v>111</v>
      </c>
      <c r="H3021" s="1">
        <f t="shared" si="669"/>
        <v>53</v>
      </c>
      <c r="I3021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PND'!$DI$53</v>
      </c>
      <c r="J3021" t="s">
        <v>3390</v>
      </c>
    </row>
    <row r="3022" spans="1:10" x14ac:dyDescent="0.35">
      <c r="A3022" s="6" t="s">
        <v>16</v>
      </c>
      <c r="B3022" s="6">
        <f>+B3021+1</f>
        <v>2041</v>
      </c>
      <c r="C3022" s="1" t="s">
        <v>110</v>
      </c>
      <c r="D3022" s="2" t="s">
        <v>2003</v>
      </c>
      <c r="E3022" s="9" t="str">
        <f t="shared" si="666"/>
        <v>PND'!</v>
      </c>
      <c r="F3022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22" s="6" t="s">
        <v>111</v>
      </c>
      <c r="H3022" s="1">
        <f t="shared" si="669"/>
        <v>54</v>
      </c>
      <c r="I3022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PND'!$DI$54</v>
      </c>
      <c r="J3022" t="s">
        <v>3391</v>
      </c>
    </row>
    <row r="3023" spans="1:10" x14ac:dyDescent="0.35">
      <c r="A3023" s="6" t="s">
        <v>16</v>
      </c>
      <c r="B3023" s="6">
        <f t="shared" ref="B3023:B3024" si="689">+B3022+1</f>
        <v>2042</v>
      </c>
      <c r="C3023" s="1" t="s">
        <v>110</v>
      </c>
      <c r="D3023" s="2" t="s">
        <v>2003</v>
      </c>
      <c r="E3023" s="9" t="str">
        <f t="shared" ref="E3023:E3345" si="690">_xlfn.CONCAT(A3023,"'!")</f>
        <v>PND'!</v>
      </c>
      <c r="F3023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23" s="6" t="s">
        <v>111</v>
      </c>
      <c r="H3023" s="1">
        <f t="shared" si="669"/>
        <v>55</v>
      </c>
      <c r="I3023" s="1" t="str">
        <f t="shared" ref="I3023:I3328" si="691">_xlfn.CONCAT("='",F3023:H3023)</f>
        <v>='C:\Users\jaime.benazar\Quorum Business Solutions\Ecopetrol Prometeo - Documents\Planning Space Implementation\3. Analysis &amp; Design\Design\FC22\DRR Jaime\Por presentar a ECP\Cantagallo\Cristalina\[VRC_CRISTALINA_CF_SEC_20221231.xlsx]CF PND'!$DI$55</v>
      </c>
      <c r="J3023" t="s">
        <v>3392</v>
      </c>
    </row>
    <row r="3024" spans="1:10" x14ac:dyDescent="0.35">
      <c r="A3024" s="6" t="s">
        <v>16</v>
      </c>
      <c r="B3024" s="6">
        <f t="shared" si="689"/>
        <v>2043</v>
      </c>
      <c r="C3024" s="1" t="s">
        <v>110</v>
      </c>
      <c r="D3024" s="2" t="s">
        <v>2003</v>
      </c>
      <c r="E3024" s="9" t="str">
        <f t="shared" si="690"/>
        <v>PND'!</v>
      </c>
      <c r="F3024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24" s="6" t="s">
        <v>111</v>
      </c>
      <c r="H3024" s="1">
        <f t="shared" ref="H3024:H3328" si="692">IF(A3024&lt;&gt;A3023,36,H3023+1)</f>
        <v>56</v>
      </c>
      <c r="I3024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PND'!$DI$56</v>
      </c>
      <c r="J3024" t="s">
        <v>3393</v>
      </c>
    </row>
    <row r="3025" spans="1:10" x14ac:dyDescent="0.35">
      <c r="A3025" s="6" t="s">
        <v>16</v>
      </c>
      <c r="B3025" s="6">
        <f>+B3024+1</f>
        <v>2044</v>
      </c>
      <c r="C3025" s="1" t="s">
        <v>110</v>
      </c>
      <c r="D3025" s="2" t="s">
        <v>2003</v>
      </c>
      <c r="E3025" s="9" t="str">
        <f t="shared" ref="E3025:E3040" si="693">_xlfn.CONCAT(A3025,"'!")</f>
        <v>PND'!</v>
      </c>
      <c r="F3025" s="5" t="str">
        <f t="shared" ref="F3025:F3040" si="694">_xlfn.CONCAT(D3025," ",E3025)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25" s="6" t="s">
        <v>111</v>
      </c>
      <c r="H3025" s="1">
        <f t="shared" ref="H3025:H3040" si="695">IF(A3025&lt;&gt;A3024,36,H3024+1)</f>
        <v>57</v>
      </c>
      <c r="I3025" s="1" t="str">
        <f t="shared" ref="I3025:I3040" si="696">_xlfn.CONCAT("='",F3025:H3025)</f>
        <v>='C:\Users\jaime.benazar\Quorum Business Solutions\Ecopetrol Prometeo - Documents\Planning Space Implementation\3. Analysis &amp; Design\Design\FC22\DRR Jaime\Por presentar a ECP\Cantagallo\Cristalina\[VRC_CRISTALINA_CF_SEC_20221231.xlsx]CF PND'!$DI$57</v>
      </c>
      <c r="J3025" t="s">
        <v>3394</v>
      </c>
    </row>
    <row r="3026" spans="1:10" x14ac:dyDescent="0.35">
      <c r="A3026" s="6" t="s">
        <v>16</v>
      </c>
      <c r="B3026" s="6">
        <f t="shared" ref="B3026:B3040" si="697">+B3025+1</f>
        <v>2045</v>
      </c>
      <c r="C3026" s="1" t="s">
        <v>110</v>
      </c>
      <c r="D3026" s="2" t="s">
        <v>2003</v>
      </c>
      <c r="E3026" s="9" t="str">
        <f t="shared" si="693"/>
        <v>PND'!</v>
      </c>
      <c r="F3026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26" s="6" t="s">
        <v>111</v>
      </c>
      <c r="H3026" s="1">
        <f t="shared" si="695"/>
        <v>58</v>
      </c>
      <c r="I3026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PND'!$DI$58</v>
      </c>
      <c r="J3026" t="s">
        <v>3395</v>
      </c>
    </row>
    <row r="3027" spans="1:10" x14ac:dyDescent="0.35">
      <c r="A3027" s="6" t="s">
        <v>16</v>
      </c>
      <c r="B3027" s="6">
        <f t="shared" si="697"/>
        <v>2046</v>
      </c>
      <c r="C3027" s="1" t="s">
        <v>110</v>
      </c>
      <c r="D3027" s="2" t="s">
        <v>2003</v>
      </c>
      <c r="E3027" s="9" t="str">
        <f t="shared" si="693"/>
        <v>PND'!</v>
      </c>
      <c r="F3027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27" s="6" t="s">
        <v>111</v>
      </c>
      <c r="H3027" s="1">
        <f t="shared" si="695"/>
        <v>59</v>
      </c>
      <c r="I3027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PND'!$DI$59</v>
      </c>
      <c r="J3027" t="s">
        <v>3396</v>
      </c>
    </row>
    <row r="3028" spans="1:10" x14ac:dyDescent="0.35">
      <c r="A3028" s="6" t="s">
        <v>16</v>
      </c>
      <c r="B3028" s="6">
        <f t="shared" si="697"/>
        <v>2047</v>
      </c>
      <c r="C3028" s="1" t="s">
        <v>110</v>
      </c>
      <c r="D3028" s="2" t="s">
        <v>2003</v>
      </c>
      <c r="E3028" s="9" t="str">
        <f t="shared" si="693"/>
        <v>PND'!</v>
      </c>
      <c r="F3028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28" s="6" t="s">
        <v>111</v>
      </c>
      <c r="H3028" s="1">
        <f t="shared" si="695"/>
        <v>60</v>
      </c>
      <c r="I3028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PND'!$DI$60</v>
      </c>
      <c r="J3028" t="s">
        <v>3397</v>
      </c>
    </row>
    <row r="3029" spans="1:10" x14ac:dyDescent="0.35">
      <c r="A3029" s="6" t="s">
        <v>16</v>
      </c>
      <c r="B3029" s="6">
        <f t="shared" si="697"/>
        <v>2048</v>
      </c>
      <c r="C3029" s="1" t="s">
        <v>110</v>
      </c>
      <c r="D3029" s="2" t="s">
        <v>2003</v>
      </c>
      <c r="E3029" s="9" t="str">
        <f t="shared" si="693"/>
        <v>PND'!</v>
      </c>
      <c r="F3029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29" s="6" t="s">
        <v>111</v>
      </c>
      <c r="H3029" s="1">
        <f t="shared" si="695"/>
        <v>61</v>
      </c>
      <c r="I3029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PND'!$DI$61</v>
      </c>
      <c r="J3029" t="s">
        <v>3398</v>
      </c>
    </row>
    <row r="3030" spans="1:10" x14ac:dyDescent="0.35">
      <c r="A3030" s="6" t="s">
        <v>16</v>
      </c>
      <c r="B3030" s="6">
        <f t="shared" si="697"/>
        <v>2049</v>
      </c>
      <c r="C3030" s="1" t="s">
        <v>110</v>
      </c>
      <c r="D3030" s="2" t="s">
        <v>2003</v>
      </c>
      <c r="E3030" s="9" t="str">
        <f t="shared" si="693"/>
        <v>PND'!</v>
      </c>
      <c r="F3030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30" s="6" t="s">
        <v>111</v>
      </c>
      <c r="H3030" s="1">
        <f t="shared" si="695"/>
        <v>62</v>
      </c>
      <c r="I3030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PND'!$DI$62</v>
      </c>
      <c r="J3030" t="s">
        <v>3399</v>
      </c>
    </row>
    <row r="3031" spans="1:10" x14ac:dyDescent="0.35">
      <c r="A3031" s="6" t="s">
        <v>16</v>
      </c>
      <c r="B3031" s="6">
        <f t="shared" si="697"/>
        <v>2050</v>
      </c>
      <c r="C3031" s="1" t="s">
        <v>110</v>
      </c>
      <c r="D3031" s="2" t="s">
        <v>2003</v>
      </c>
      <c r="E3031" s="9" t="str">
        <f t="shared" si="693"/>
        <v>PND'!</v>
      </c>
      <c r="F3031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31" s="6" t="s">
        <v>111</v>
      </c>
      <c r="H3031" s="1">
        <f t="shared" si="695"/>
        <v>63</v>
      </c>
      <c r="I3031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PND'!$DI$63</v>
      </c>
      <c r="J3031" t="s">
        <v>3400</v>
      </c>
    </row>
    <row r="3032" spans="1:10" x14ac:dyDescent="0.35">
      <c r="A3032" s="6" t="s">
        <v>16</v>
      </c>
      <c r="B3032" s="6">
        <f t="shared" si="697"/>
        <v>2051</v>
      </c>
      <c r="C3032" s="1" t="s">
        <v>110</v>
      </c>
      <c r="D3032" s="2" t="s">
        <v>2003</v>
      </c>
      <c r="E3032" s="9" t="str">
        <f t="shared" si="693"/>
        <v>PND'!</v>
      </c>
      <c r="F3032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32" s="6" t="s">
        <v>111</v>
      </c>
      <c r="H3032" s="1">
        <f t="shared" si="695"/>
        <v>64</v>
      </c>
      <c r="I3032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PND'!$DI$64</v>
      </c>
      <c r="J3032" t="s">
        <v>3401</v>
      </c>
    </row>
    <row r="3033" spans="1:10" x14ac:dyDescent="0.35">
      <c r="A3033" s="6" t="s">
        <v>16</v>
      </c>
      <c r="B3033" s="6">
        <f t="shared" si="697"/>
        <v>2052</v>
      </c>
      <c r="C3033" s="1" t="s">
        <v>110</v>
      </c>
      <c r="D3033" s="2" t="s">
        <v>2003</v>
      </c>
      <c r="E3033" s="9" t="str">
        <f t="shared" si="693"/>
        <v>PND'!</v>
      </c>
      <c r="F3033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33" s="6" t="s">
        <v>111</v>
      </c>
      <c r="H3033" s="1">
        <f t="shared" si="695"/>
        <v>65</v>
      </c>
      <c r="I3033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PND'!$DI$65</v>
      </c>
      <c r="J3033" t="s">
        <v>3402</v>
      </c>
    </row>
    <row r="3034" spans="1:10" x14ac:dyDescent="0.35">
      <c r="A3034" s="6" t="s">
        <v>16</v>
      </c>
      <c r="B3034" s="6">
        <f t="shared" si="697"/>
        <v>2053</v>
      </c>
      <c r="C3034" s="1" t="s">
        <v>110</v>
      </c>
      <c r="D3034" s="2" t="s">
        <v>2003</v>
      </c>
      <c r="E3034" s="9" t="str">
        <f t="shared" si="693"/>
        <v>PND'!</v>
      </c>
      <c r="F3034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34" s="6" t="s">
        <v>111</v>
      </c>
      <c r="H3034" s="1">
        <f t="shared" si="695"/>
        <v>66</v>
      </c>
      <c r="I3034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PND'!$DI$66</v>
      </c>
      <c r="J3034" t="s">
        <v>3403</v>
      </c>
    </row>
    <row r="3035" spans="1:10" x14ac:dyDescent="0.35">
      <c r="A3035" s="6" t="s">
        <v>16</v>
      </c>
      <c r="B3035" s="6">
        <f t="shared" si="697"/>
        <v>2054</v>
      </c>
      <c r="C3035" s="1" t="s">
        <v>110</v>
      </c>
      <c r="D3035" s="2" t="s">
        <v>2003</v>
      </c>
      <c r="E3035" s="9" t="str">
        <f t="shared" si="693"/>
        <v>PND'!</v>
      </c>
      <c r="F3035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35" s="6" t="s">
        <v>111</v>
      </c>
      <c r="H3035" s="1">
        <f t="shared" si="695"/>
        <v>67</v>
      </c>
      <c r="I3035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PND'!$DI$67</v>
      </c>
      <c r="J3035" t="s">
        <v>3404</v>
      </c>
    </row>
    <row r="3036" spans="1:10" x14ac:dyDescent="0.35">
      <c r="A3036" s="6" t="s">
        <v>16</v>
      </c>
      <c r="B3036" s="6">
        <f t="shared" si="697"/>
        <v>2055</v>
      </c>
      <c r="C3036" s="1" t="s">
        <v>110</v>
      </c>
      <c r="D3036" s="2" t="s">
        <v>2003</v>
      </c>
      <c r="E3036" s="9" t="str">
        <f t="shared" si="693"/>
        <v>PND'!</v>
      </c>
      <c r="F3036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36" s="6" t="s">
        <v>111</v>
      </c>
      <c r="H3036" s="1">
        <f t="shared" si="695"/>
        <v>68</v>
      </c>
      <c r="I3036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PND'!$DI$68</v>
      </c>
      <c r="J3036" t="s">
        <v>3405</v>
      </c>
    </row>
    <row r="3037" spans="1:10" x14ac:dyDescent="0.35">
      <c r="A3037" s="6" t="s">
        <v>16</v>
      </c>
      <c r="B3037" s="6">
        <f t="shared" si="697"/>
        <v>2056</v>
      </c>
      <c r="C3037" s="1" t="s">
        <v>110</v>
      </c>
      <c r="D3037" s="2" t="s">
        <v>2003</v>
      </c>
      <c r="E3037" s="9" t="str">
        <f t="shared" si="693"/>
        <v>PND'!</v>
      </c>
      <c r="F3037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37" s="6" t="s">
        <v>111</v>
      </c>
      <c r="H3037" s="1">
        <f t="shared" si="695"/>
        <v>69</v>
      </c>
      <c r="I3037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PND'!$DI$69</v>
      </c>
      <c r="J3037" t="s">
        <v>3406</v>
      </c>
    </row>
    <row r="3038" spans="1:10" x14ac:dyDescent="0.35">
      <c r="A3038" s="6" t="s">
        <v>16</v>
      </c>
      <c r="B3038" s="6">
        <f t="shared" si="697"/>
        <v>2057</v>
      </c>
      <c r="C3038" s="1" t="s">
        <v>110</v>
      </c>
      <c r="D3038" s="2" t="s">
        <v>2003</v>
      </c>
      <c r="E3038" s="9" t="str">
        <f t="shared" si="693"/>
        <v>PND'!</v>
      </c>
      <c r="F3038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38" s="6" t="s">
        <v>111</v>
      </c>
      <c r="H3038" s="1">
        <f t="shared" si="695"/>
        <v>70</v>
      </c>
      <c r="I3038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PND'!$DI$70</v>
      </c>
      <c r="J3038" t="s">
        <v>3407</v>
      </c>
    </row>
    <row r="3039" spans="1:10" x14ac:dyDescent="0.35">
      <c r="A3039" s="6" t="s">
        <v>16</v>
      </c>
      <c r="B3039" s="6">
        <f t="shared" si="697"/>
        <v>2058</v>
      </c>
      <c r="C3039" s="1" t="s">
        <v>110</v>
      </c>
      <c r="D3039" s="2" t="s">
        <v>2003</v>
      </c>
      <c r="E3039" s="9" t="str">
        <f t="shared" si="693"/>
        <v>PND'!</v>
      </c>
      <c r="F3039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39" s="6" t="s">
        <v>111</v>
      </c>
      <c r="H3039" s="1">
        <f t="shared" si="695"/>
        <v>71</v>
      </c>
      <c r="I3039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PND'!$DI$71</v>
      </c>
      <c r="J3039" t="s">
        <v>3408</v>
      </c>
    </row>
    <row r="3040" spans="1:10" x14ac:dyDescent="0.35">
      <c r="A3040" s="6" t="s">
        <v>16</v>
      </c>
      <c r="B3040" s="6">
        <f t="shared" si="697"/>
        <v>2059</v>
      </c>
      <c r="C3040" s="1" t="s">
        <v>110</v>
      </c>
      <c r="D3040" s="2" t="s">
        <v>2003</v>
      </c>
      <c r="E3040" s="9" t="str">
        <f t="shared" si="693"/>
        <v>PND'!</v>
      </c>
      <c r="F3040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40" s="6" t="s">
        <v>111</v>
      </c>
      <c r="H3040" s="1">
        <f t="shared" si="695"/>
        <v>72</v>
      </c>
      <c r="I3040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PND'!$DI$72</v>
      </c>
      <c r="J3040" t="s">
        <v>3409</v>
      </c>
    </row>
    <row r="3041" spans="1:10" x14ac:dyDescent="0.35">
      <c r="A3041" s="7" t="s">
        <v>26</v>
      </c>
      <c r="B3041" s="6"/>
      <c r="C3041" s="1" t="s">
        <v>110</v>
      </c>
      <c r="D3041" s="2"/>
      <c r="E3041" s="9"/>
      <c r="F3041" s="5"/>
      <c r="G3041" s="6"/>
      <c r="H3041" s="1"/>
      <c r="I3041" s="1"/>
      <c r="J3041" s="4"/>
    </row>
    <row r="3042" spans="1:10" x14ac:dyDescent="0.35">
      <c r="A3042" s="6" t="s">
        <v>17</v>
      </c>
      <c r="B3042" s="6">
        <v>2023</v>
      </c>
      <c r="C3042" s="1" t="s">
        <v>110</v>
      </c>
      <c r="D3042" s="2" t="s">
        <v>2003</v>
      </c>
      <c r="E3042" s="9" t="str">
        <f t="shared" ref="E3042:E3062" si="698">_xlfn.CONCAT(A3042,"'!")</f>
        <v>PRBDP'!</v>
      </c>
      <c r="F3042" s="5" t="str">
        <f t="shared" ref="F3042:F3062" si="699">_xlfn.CONCAT(D3042," ",E3042)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42" s="6" t="s">
        <v>111</v>
      </c>
      <c r="H3042" s="1"/>
      <c r="I3042" s="1"/>
    </row>
    <row r="3043" spans="1:10" x14ac:dyDescent="0.35">
      <c r="A3043" s="6" t="s">
        <v>17</v>
      </c>
      <c r="B3043" s="6">
        <f>+B3042+1</f>
        <v>2024</v>
      </c>
      <c r="C3043" s="1" t="s">
        <v>110</v>
      </c>
      <c r="D3043" s="2" t="s">
        <v>2003</v>
      </c>
      <c r="E3043" s="9" t="str">
        <f t="shared" si="698"/>
        <v>PRBDP'!</v>
      </c>
      <c r="F3043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43" s="6" t="s">
        <v>111</v>
      </c>
      <c r="H3043" s="1"/>
      <c r="I3043" s="1"/>
    </row>
    <row r="3044" spans="1:10" x14ac:dyDescent="0.35">
      <c r="A3044" s="6" t="s">
        <v>17</v>
      </c>
      <c r="B3044" s="6">
        <f t="shared" ref="B3044:B3055" si="700">+B3043+1</f>
        <v>2025</v>
      </c>
      <c r="C3044" s="1" t="s">
        <v>110</v>
      </c>
      <c r="D3044" s="2" t="s">
        <v>2003</v>
      </c>
      <c r="E3044" s="9" t="str">
        <f t="shared" si="698"/>
        <v>PRBDP'!</v>
      </c>
      <c r="F3044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44" s="6" t="s">
        <v>111</v>
      </c>
      <c r="H3044" s="1"/>
      <c r="I3044" s="1"/>
    </row>
    <row r="3045" spans="1:10" x14ac:dyDescent="0.35">
      <c r="A3045" s="6" t="s">
        <v>17</v>
      </c>
      <c r="B3045" s="6">
        <f t="shared" si="700"/>
        <v>2026</v>
      </c>
      <c r="C3045" s="1" t="s">
        <v>110</v>
      </c>
      <c r="D3045" s="2" t="s">
        <v>2003</v>
      </c>
      <c r="E3045" s="9" t="str">
        <f t="shared" si="698"/>
        <v>PRBDP'!</v>
      </c>
      <c r="F3045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45" s="6" t="s">
        <v>111</v>
      </c>
      <c r="H3045" s="1"/>
      <c r="I3045" s="1"/>
    </row>
    <row r="3046" spans="1:10" x14ac:dyDescent="0.35">
      <c r="A3046" s="6" t="s">
        <v>17</v>
      </c>
      <c r="B3046" s="6">
        <f t="shared" si="700"/>
        <v>2027</v>
      </c>
      <c r="C3046" s="1" t="s">
        <v>110</v>
      </c>
      <c r="D3046" s="2" t="s">
        <v>2003</v>
      </c>
      <c r="E3046" s="9" t="str">
        <f t="shared" si="698"/>
        <v>PRBDP'!</v>
      </c>
      <c r="F3046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46" s="6" t="s">
        <v>111</v>
      </c>
      <c r="H3046" s="1"/>
      <c r="I3046" s="1"/>
    </row>
    <row r="3047" spans="1:10" x14ac:dyDescent="0.35">
      <c r="A3047" s="6" t="s">
        <v>17</v>
      </c>
      <c r="B3047" s="6">
        <f t="shared" si="700"/>
        <v>2028</v>
      </c>
      <c r="C3047" s="1" t="s">
        <v>110</v>
      </c>
      <c r="D3047" s="2" t="s">
        <v>2003</v>
      </c>
      <c r="E3047" s="9" t="str">
        <f t="shared" si="698"/>
        <v>PRBDP'!</v>
      </c>
      <c r="F3047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47" s="6" t="s">
        <v>111</v>
      </c>
      <c r="H3047" s="1"/>
      <c r="I3047" s="1"/>
    </row>
    <row r="3048" spans="1:10" x14ac:dyDescent="0.35">
      <c r="A3048" s="6" t="s">
        <v>17</v>
      </c>
      <c r="B3048" s="6">
        <f t="shared" si="700"/>
        <v>2029</v>
      </c>
      <c r="C3048" s="1" t="s">
        <v>110</v>
      </c>
      <c r="D3048" s="2" t="s">
        <v>2003</v>
      </c>
      <c r="E3048" s="9" t="str">
        <f t="shared" si="698"/>
        <v>PRBDP'!</v>
      </c>
      <c r="F3048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48" s="6" t="s">
        <v>111</v>
      </c>
      <c r="H3048" s="1"/>
      <c r="I3048" s="1"/>
    </row>
    <row r="3049" spans="1:10" x14ac:dyDescent="0.35">
      <c r="A3049" s="6" t="s">
        <v>17</v>
      </c>
      <c r="B3049" s="6">
        <f t="shared" si="700"/>
        <v>2030</v>
      </c>
      <c r="C3049" s="1" t="s">
        <v>110</v>
      </c>
      <c r="D3049" s="2" t="s">
        <v>2003</v>
      </c>
      <c r="E3049" s="9" t="str">
        <f t="shared" si="698"/>
        <v>PRBDP'!</v>
      </c>
      <c r="F3049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49" s="6" t="s">
        <v>111</v>
      </c>
      <c r="H3049" s="1"/>
      <c r="I3049" s="1"/>
    </row>
    <row r="3050" spans="1:10" x14ac:dyDescent="0.35">
      <c r="A3050" s="6" t="s">
        <v>17</v>
      </c>
      <c r="B3050" s="6">
        <f t="shared" si="700"/>
        <v>2031</v>
      </c>
      <c r="C3050" s="1" t="s">
        <v>110</v>
      </c>
      <c r="D3050" s="2" t="s">
        <v>2003</v>
      </c>
      <c r="E3050" s="9" t="str">
        <f t="shared" si="698"/>
        <v>PRBDP'!</v>
      </c>
      <c r="F3050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50" s="6" t="s">
        <v>111</v>
      </c>
      <c r="H3050" s="1"/>
      <c r="I3050" s="1"/>
    </row>
    <row r="3051" spans="1:10" x14ac:dyDescent="0.35">
      <c r="A3051" s="6" t="s">
        <v>17</v>
      </c>
      <c r="B3051" s="6">
        <f t="shared" si="700"/>
        <v>2032</v>
      </c>
      <c r="C3051" s="1" t="s">
        <v>110</v>
      </c>
      <c r="D3051" s="2" t="s">
        <v>2003</v>
      </c>
      <c r="E3051" s="9" t="str">
        <f t="shared" si="698"/>
        <v>PRBDP'!</v>
      </c>
      <c r="F3051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51" s="6" t="s">
        <v>111</v>
      </c>
      <c r="H3051" s="1"/>
      <c r="I3051" s="1"/>
    </row>
    <row r="3052" spans="1:10" x14ac:dyDescent="0.35">
      <c r="A3052" s="6" t="s">
        <v>17</v>
      </c>
      <c r="B3052" s="6">
        <f t="shared" si="700"/>
        <v>2033</v>
      </c>
      <c r="C3052" s="1" t="s">
        <v>110</v>
      </c>
      <c r="D3052" s="2" t="s">
        <v>2003</v>
      </c>
      <c r="E3052" s="9" t="str">
        <f t="shared" si="698"/>
        <v>PRBDP'!</v>
      </c>
      <c r="F3052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52" s="6" t="s">
        <v>111</v>
      </c>
      <c r="H3052" s="1"/>
      <c r="I3052" s="1"/>
    </row>
    <row r="3053" spans="1:10" x14ac:dyDescent="0.35">
      <c r="A3053" s="6" t="s">
        <v>17</v>
      </c>
      <c r="B3053" s="6">
        <f t="shared" si="700"/>
        <v>2034</v>
      </c>
      <c r="C3053" s="1" t="s">
        <v>110</v>
      </c>
      <c r="D3053" s="2" t="s">
        <v>2003</v>
      </c>
      <c r="E3053" s="9" t="str">
        <f t="shared" si="698"/>
        <v>PRBDP'!</v>
      </c>
      <c r="F3053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53" s="6" t="s">
        <v>111</v>
      </c>
      <c r="H3053" s="1"/>
      <c r="I3053" s="1"/>
    </row>
    <row r="3054" spans="1:10" x14ac:dyDescent="0.35">
      <c r="A3054" s="6" t="s">
        <v>17</v>
      </c>
      <c r="B3054" s="6">
        <f t="shared" si="700"/>
        <v>2035</v>
      </c>
      <c r="C3054" s="1" t="s">
        <v>110</v>
      </c>
      <c r="D3054" s="2" t="s">
        <v>2003</v>
      </c>
      <c r="E3054" s="9" t="str">
        <f t="shared" si="698"/>
        <v>PRBDP'!</v>
      </c>
      <c r="F3054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54" s="6" t="s">
        <v>111</v>
      </c>
      <c r="H3054" s="1"/>
      <c r="I3054" s="1"/>
    </row>
    <row r="3055" spans="1:10" x14ac:dyDescent="0.35">
      <c r="A3055" s="6" t="s">
        <v>17</v>
      </c>
      <c r="B3055" s="6">
        <f t="shared" si="700"/>
        <v>2036</v>
      </c>
      <c r="C3055" s="1" t="s">
        <v>110</v>
      </c>
      <c r="D3055" s="2" t="s">
        <v>2003</v>
      </c>
      <c r="E3055" s="9" t="str">
        <f t="shared" si="698"/>
        <v>PRBDP'!</v>
      </c>
      <c r="F3055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55" s="6" t="s">
        <v>111</v>
      </c>
      <c r="H3055" s="1"/>
      <c r="I3055" s="1"/>
    </row>
    <row r="3056" spans="1:10" x14ac:dyDescent="0.35">
      <c r="A3056" s="6" t="s">
        <v>17</v>
      </c>
      <c r="B3056" s="6">
        <f>+B3055+1</f>
        <v>2037</v>
      </c>
      <c r="C3056" s="1" t="s">
        <v>110</v>
      </c>
      <c r="D3056" s="2" t="s">
        <v>2003</v>
      </c>
      <c r="E3056" s="9" t="str">
        <f t="shared" si="698"/>
        <v>PRBDP'!</v>
      </c>
      <c r="F3056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56" s="6" t="s">
        <v>111</v>
      </c>
      <c r="H3056" s="1"/>
      <c r="I3056" s="1"/>
    </row>
    <row r="3057" spans="1:9" x14ac:dyDescent="0.35">
      <c r="A3057" s="6" t="s">
        <v>17</v>
      </c>
      <c r="B3057" s="6">
        <f t="shared" ref="B3057:B3059" si="701">+B3056+1</f>
        <v>2038</v>
      </c>
      <c r="C3057" s="1" t="s">
        <v>110</v>
      </c>
      <c r="D3057" s="2" t="s">
        <v>2003</v>
      </c>
      <c r="E3057" s="9" t="str">
        <f t="shared" si="698"/>
        <v>PRBDP'!</v>
      </c>
      <c r="F3057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57" s="6" t="s">
        <v>111</v>
      </c>
      <c r="H3057" s="1"/>
      <c r="I3057" s="1"/>
    </row>
    <row r="3058" spans="1:9" x14ac:dyDescent="0.35">
      <c r="A3058" s="6" t="s">
        <v>17</v>
      </c>
      <c r="B3058" s="6">
        <f t="shared" si="701"/>
        <v>2039</v>
      </c>
      <c r="C3058" s="1" t="s">
        <v>110</v>
      </c>
      <c r="D3058" s="2" t="s">
        <v>2003</v>
      </c>
      <c r="E3058" s="9" t="str">
        <f t="shared" si="698"/>
        <v>PRBDP'!</v>
      </c>
      <c r="F3058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58" s="6" t="s">
        <v>111</v>
      </c>
      <c r="H3058" s="1"/>
      <c r="I3058" s="1"/>
    </row>
    <row r="3059" spans="1:9" x14ac:dyDescent="0.35">
      <c r="A3059" s="6" t="s">
        <v>17</v>
      </c>
      <c r="B3059" s="6">
        <f t="shared" si="701"/>
        <v>2040</v>
      </c>
      <c r="C3059" s="1" t="s">
        <v>110</v>
      </c>
      <c r="D3059" s="2" t="s">
        <v>2003</v>
      </c>
      <c r="E3059" s="9" t="str">
        <f t="shared" si="698"/>
        <v>PRBDP'!</v>
      </c>
      <c r="F3059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59" s="6" t="s">
        <v>111</v>
      </c>
      <c r="H3059" s="1"/>
      <c r="I3059" s="1"/>
    </row>
    <row r="3060" spans="1:9" x14ac:dyDescent="0.35">
      <c r="A3060" s="6" t="s">
        <v>17</v>
      </c>
      <c r="B3060" s="6">
        <f>+B3059+1</f>
        <v>2041</v>
      </c>
      <c r="C3060" s="1" t="s">
        <v>110</v>
      </c>
      <c r="D3060" s="2" t="s">
        <v>2003</v>
      </c>
      <c r="E3060" s="9" t="str">
        <f t="shared" si="698"/>
        <v>PRBDP'!</v>
      </c>
      <c r="F3060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60" s="6" t="s">
        <v>111</v>
      </c>
      <c r="H3060" s="1"/>
      <c r="I3060" s="1"/>
    </row>
    <row r="3061" spans="1:9" x14ac:dyDescent="0.35">
      <c r="A3061" s="6" t="s">
        <v>17</v>
      </c>
      <c r="B3061" s="6">
        <f t="shared" ref="B3061:B3062" si="702">+B3060+1</f>
        <v>2042</v>
      </c>
      <c r="C3061" s="1" t="s">
        <v>110</v>
      </c>
      <c r="D3061" s="2" t="s">
        <v>2003</v>
      </c>
      <c r="E3061" s="9" t="str">
        <f t="shared" si="698"/>
        <v>PRBDP'!</v>
      </c>
      <c r="F3061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61" s="6" t="s">
        <v>111</v>
      </c>
      <c r="H3061" s="1"/>
      <c r="I3061" s="1"/>
    </row>
    <row r="3062" spans="1:9" x14ac:dyDescent="0.35">
      <c r="A3062" s="6" t="s">
        <v>17</v>
      </c>
      <c r="B3062" s="6">
        <f t="shared" si="702"/>
        <v>2043</v>
      </c>
      <c r="C3062" s="1" t="s">
        <v>110</v>
      </c>
      <c r="D3062" s="2" t="s">
        <v>2003</v>
      </c>
      <c r="E3062" s="9" t="str">
        <f t="shared" si="698"/>
        <v>PRBDP'!</v>
      </c>
      <c r="F3062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62" s="6" t="s">
        <v>111</v>
      </c>
      <c r="H3062" s="1"/>
      <c r="I3062" s="1"/>
    </row>
    <row r="3063" spans="1:9" x14ac:dyDescent="0.35">
      <c r="A3063" s="6" t="s">
        <v>17</v>
      </c>
      <c r="B3063" s="6">
        <f>+B3062+1</f>
        <v>2044</v>
      </c>
      <c r="C3063" s="1" t="s">
        <v>110</v>
      </c>
      <c r="D3063" s="2" t="s">
        <v>2003</v>
      </c>
      <c r="E3063" s="9" t="str">
        <f t="shared" ref="E3063:E3078" si="703">_xlfn.CONCAT(A3063,"'!")</f>
        <v>PRBDP'!</v>
      </c>
      <c r="F3063" s="5" t="str">
        <f t="shared" ref="F3063:F3078" si="704">_xlfn.CONCAT(D3063," ",E3063)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63" s="6" t="s">
        <v>111</v>
      </c>
      <c r="H3063" s="1"/>
      <c r="I3063" s="1"/>
    </row>
    <row r="3064" spans="1:9" x14ac:dyDescent="0.35">
      <c r="A3064" s="6" t="s">
        <v>17</v>
      </c>
      <c r="B3064" s="6">
        <f t="shared" ref="B3064:B3078" si="705">+B3063+1</f>
        <v>2045</v>
      </c>
      <c r="C3064" s="1" t="s">
        <v>110</v>
      </c>
      <c r="D3064" s="2" t="s">
        <v>2003</v>
      </c>
      <c r="E3064" s="9" t="str">
        <f t="shared" si="703"/>
        <v>PRBDP'!</v>
      </c>
      <c r="F3064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64" s="6" t="s">
        <v>111</v>
      </c>
      <c r="H3064" s="1"/>
      <c r="I3064" s="1"/>
    </row>
    <row r="3065" spans="1:9" x14ac:dyDescent="0.35">
      <c r="A3065" s="6" t="s">
        <v>17</v>
      </c>
      <c r="B3065" s="6">
        <f t="shared" si="705"/>
        <v>2046</v>
      </c>
      <c r="C3065" s="1" t="s">
        <v>110</v>
      </c>
      <c r="D3065" s="2" t="s">
        <v>2003</v>
      </c>
      <c r="E3065" s="9" t="str">
        <f t="shared" si="703"/>
        <v>PRBDP'!</v>
      </c>
      <c r="F3065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65" s="6" t="s">
        <v>111</v>
      </c>
      <c r="H3065" s="1"/>
      <c r="I3065" s="1"/>
    </row>
    <row r="3066" spans="1:9" x14ac:dyDescent="0.35">
      <c r="A3066" s="6" t="s">
        <v>17</v>
      </c>
      <c r="B3066" s="6">
        <f t="shared" si="705"/>
        <v>2047</v>
      </c>
      <c r="C3066" s="1" t="s">
        <v>110</v>
      </c>
      <c r="D3066" s="2" t="s">
        <v>2003</v>
      </c>
      <c r="E3066" s="9" t="str">
        <f t="shared" si="703"/>
        <v>PRBDP'!</v>
      </c>
      <c r="F3066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66" s="6" t="s">
        <v>111</v>
      </c>
      <c r="H3066" s="1"/>
      <c r="I3066" s="1"/>
    </row>
    <row r="3067" spans="1:9" x14ac:dyDescent="0.35">
      <c r="A3067" s="6" t="s">
        <v>17</v>
      </c>
      <c r="B3067" s="6">
        <f t="shared" si="705"/>
        <v>2048</v>
      </c>
      <c r="C3067" s="1" t="s">
        <v>110</v>
      </c>
      <c r="D3067" s="2" t="s">
        <v>2003</v>
      </c>
      <c r="E3067" s="9" t="str">
        <f t="shared" si="703"/>
        <v>PRBDP'!</v>
      </c>
      <c r="F3067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67" s="6" t="s">
        <v>111</v>
      </c>
      <c r="H3067" s="1"/>
      <c r="I3067" s="1"/>
    </row>
    <row r="3068" spans="1:9" x14ac:dyDescent="0.35">
      <c r="A3068" s="6" t="s">
        <v>17</v>
      </c>
      <c r="B3068" s="6">
        <f t="shared" si="705"/>
        <v>2049</v>
      </c>
      <c r="C3068" s="1" t="s">
        <v>110</v>
      </c>
      <c r="D3068" s="2" t="s">
        <v>2003</v>
      </c>
      <c r="E3068" s="9" t="str">
        <f t="shared" si="703"/>
        <v>PRBDP'!</v>
      </c>
      <c r="F3068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68" s="6" t="s">
        <v>111</v>
      </c>
      <c r="H3068" s="1"/>
      <c r="I3068" s="1"/>
    </row>
    <row r="3069" spans="1:9" x14ac:dyDescent="0.35">
      <c r="A3069" s="6" t="s">
        <v>17</v>
      </c>
      <c r="B3069" s="6">
        <f t="shared" si="705"/>
        <v>2050</v>
      </c>
      <c r="C3069" s="1" t="s">
        <v>110</v>
      </c>
      <c r="D3069" s="2" t="s">
        <v>2003</v>
      </c>
      <c r="E3069" s="9" t="str">
        <f t="shared" si="703"/>
        <v>PRBDP'!</v>
      </c>
      <c r="F3069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69" s="6" t="s">
        <v>111</v>
      </c>
      <c r="H3069" s="1"/>
      <c r="I3069" s="1"/>
    </row>
    <row r="3070" spans="1:9" x14ac:dyDescent="0.35">
      <c r="A3070" s="6" t="s">
        <v>17</v>
      </c>
      <c r="B3070" s="6">
        <f t="shared" si="705"/>
        <v>2051</v>
      </c>
      <c r="C3070" s="1" t="s">
        <v>110</v>
      </c>
      <c r="D3070" s="2" t="s">
        <v>2003</v>
      </c>
      <c r="E3070" s="9" t="str">
        <f t="shared" si="703"/>
        <v>PRBDP'!</v>
      </c>
      <c r="F3070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70" s="6" t="s">
        <v>111</v>
      </c>
      <c r="H3070" s="1"/>
      <c r="I3070" s="1"/>
    </row>
    <row r="3071" spans="1:9" x14ac:dyDescent="0.35">
      <c r="A3071" s="6" t="s">
        <v>17</v>
      </c>
      <c r="B3071" s="6">
        <f t="shared" si="705"/>
        <v>2052</v>
      </c>
      <c r="C3071" s="1" t="s">
        <v>110</v>
      </c>
      <c r="D3071" s="2" t="s">
        <v>2003</v>
      </c>
      <c r="E3071" s="9" t="str">
        <f t="shared" si="703"/>
        <v>PRBDP'!</v>
      </c>
      <c r="F3071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71" s="6" t="s">
        <v>111</v>
      </c>
      <c r="H3071" s="1"/>
      <c r="I3071" s="1"/>
    </row>
    <row r="3072" spans="1:9" x14ac:dyDescent="0.35">
      <c r="A3072" s="6" t="s">
        <v>17</v>
      </c>
      <c r="B3072" s="6">
        <f t="shared" si="705"/>
        <v>2053</v>
      </c>
      <c r="C3072" s="1" t="s">
        <v>110</v>
      </c>
      <c r="D3072" s="2" t="s">
        <v>2003</v>
      </c>
      <c r="E3072" s="9" t="str">
        <f t="shared" si="703"/>
        <v>PRBDP'!</v>
      </c>
      <c r="F3072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72" s="6" t="s">
        <v>111</v>
      </c>
      <c r="H3072" s="1"/>
      <c r="I3072" s="1"/>
    </row>
    <row r="3073" spans="1:9" x14ac:dyDescent="0.35">
      <c r="A3073" s="6" t="s">
        <v>17</v>
      </c>
      <c r="B3073" s="6">
        <f t="shared" si="705"/>
        <v>2054</v>
      </c>
      <c r="C3073" s="1" t="s">
        <v>110</v>
      </c>
      <c r="D3073" s="2" t="s">
        <v>2003</v>
      </c>
      <c r="E3073" s="9" t="str">
        <f t="shared" si="703"/>
        <v>PRBDP'!</v>
      </c>
      <c r="F3073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73" s="6" t="s">
        <v>111</v>
      </c>
      <c r="H3073" s="1"/>
      <c r="I3073" s="1"/>
    </row>
    <row r="3074" spans="1:9" x14ac:dyDescent="0.35">
      <c r="A3074" s="6" t="s">
        <v>17</v>
      </c>
      <c r="B3074" s="6">
        <f t="shared" si="705"/>
        <v>2055</v>
      </c>
      <c r="C3074" s="1" t="s">
        <v>110</v>
      </c>
      <c r="D3074" s="2" t="s">
        <v>2003</v>
      </c>
      <c r="E3074" s="9" t="str">
        <f t="shared" si="703"/>
        <v>PRBDP'!</v>
      </c>
      <c r="F3074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74" s="6" t="s">
        <v>111</v>
      </c>
      <c r="H3074" s="1"/>
      <c r="I3074" s="1"/>
    </row>
    <row r="3075" spans="1:9" x14ac:dyDescent="0.35">
      <c r="A3075" s="6" t="s">
        <v>17</v>
      </c>
      <c r="B3075" s="6">
        <f t="shared" si="705"/>
        <v>2056</v>
      </c>
      <c r="C3075" s="1" t="s">
        <v>110</v>
      </c>
      <c r="D3075" s="2" t="s">
        <v>2003</v>
      </c>
      <c r="E3075" s="9" t="str">
        <f t="shared" si="703"/>
        <v>PRBDP'!</v>
      </c>
      <c r="F3075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75" s="6" t="s">
        <v>111</v>
      </c>
      <c r="H3075" s="1"/>
      <c r="I3075" s="1"/>
    </row>
    <row r="3076" spans="1:9" x14ac:dyDescent="0.35">
      <c r="A3076" s="6" t="s">
        <v>17</v>
      </c>
      <c r="B3076" s="6">
        <f t="shared" si="705"/>
        <v>2057</v>
      </c>
      <c r="C3076" s="1" t="s">
        <v>110</v>
      </c>
      <c r="D3076" s="2" t="s">
        <v>2003</v>
      </c>
      <c r="E3076" s="9" t="str">
        <f t="shared" si="703"/>
        <v>PRBDP'!</v>
      </c>
      <c r="F3076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76" s="6" t="s">
        <v>111</v>
      </c>
      <c r="H3076" s="1"/>
      <c r="I3076" s="1"/>
    </row>
    <row r="3077" spans="1:9" x14ac:dyDescent="0.35">
      <c r="A3077" s="6" t="s">
        <v>17</v>
      </c>
      <c r="B3077" s="6">
        <f t="shared" si="705"/>
        <v>2058</v>
      </c>
      <c r="C3077" s="1" t="s">
        <v>110</v>
      </c>
      <c r="D3077" s="2" t="s">
        <v>2003</v>
      </c>
      <c r="E3077" s="9" t="str">
        <f t="shared" si="703"/>
        <v>PRBDP'!</v>
      </c>
      <c r="F3077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77" s="6" t="s">
        <v>111</v>
      </c>
      <c r="H3077" s="1"/>
      <c r="I3077" s="1"/>
    </row>
    <row r="3078" spans="1:9" x14ac:dyDescent="0.35">
      <c r="A3078" s="6" t="s">
        <v>17</v>
      </c>
      <c r="B3078" s="6">
        <f t="shared" si="705"/>
        <v>2059</v>
      </c>
      <c r="C3078" s="1" t="s">
        <v>110</v>
      </c>
      <c r="D3078" s="2" t="s">
        <v>2003</v>
      </c>
      <c r="E3078" s="9" t="str">
        <f t="shared" si="703"/>
        <v>PRBDP'!</v>
      </c>
      <c r="F3078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78" s="6" t="s">
        <v>111</v>
      </c>
      <c r="H3078" s="1"/>
      <c r="I3078" s="1"/>
    </row>
    <row r="3079" spans="1:9" x14ac:dyDescent="0.35">
      <c r="A3079" s="7" t="s">
        <v>26</v>
      </c>
      <c r="B3079" s="6"/>
      <c r="C3079" s="1" t="s">
        <v>110</v>
      </c>
      <c r="D3079" s="2"/>
      <c r="E3079" s="9"/>
      <c r="F3079" s="5"/>
      <c r="G3079" s="6"/>
      <c r="H3079" s="1"/>
      <c r="I3079" s="1"/>
    </row>
    <row r="3080" spans="1:9" x14ac:dyDescent="0.35">
      <c r="A3080" s="6" t="s">
        <v>18</v>
      </c>
      <c r="B3080" s="6">
        <v>2023</v>
      </c>
      <c r="C3080" s="1" t="s">
        <v>110</v>
      </c>
      <c r="D3080" s="2" t="s">
        <v>2003</v>
      </c>
      <c r="E3080" s="9" t="str">
        <f t="shared" ref="E3080:E3100" si="706">_xlfn.CONCAT(A3080,"'!")</f>
        <v>PRBNP'!</v>
      </c>
      <c r="F3080" s="5" t="str">
        <f t="shared" ref="F3080:F3100" si="707">_xlfn.CONCAT(D3080," ",E3080)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80" s="6" t="s">
        <v>111</v>
      </c>
      <c r="H3080" s="1"/>
      <c r="I3080" s="1"/>
    </row>
    <row r="3081" spans="1:9" x14ac:dyDescent="0.35">
      <c r="A3081" s="6" t="s">
        <v>18</v>
      </c>
      <c r="B3081" s="6">
        <f>+B3080+1</f>
        <v>2024</v>
      </c>
      <c r="C3081" s="1" t="s">
        <v>110</v>
      </c>
      <c r="D3081" s="2" t="s">
        <v>2003</v>
      </c>
      <c r="E3081" s="9" t="str">
        <f t="shared" si="706"/>
        <v>PRBNP'!</v>
      </c>
      <c r="F3081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81" s="6" t="s">
        <v>111</v>
      </c>
      <c r="H3081" s="1"/>
      <c r="I3081" s="1"/>
    </row>
    <row r="3082" spans="1:9" x14ac:dyDescent="0.35">
      <c r="A3082" s="6" t="s">
        <v>18</v>
      </c>
      <c r="B3082" s="6">
        <f t="shared" ref="B3082:B3093" si="708">+B3081+1</f>
        <v>2025</v>
      </c>
      <c r="C3082" s="1" t="s">
        <v>110</v>
      </c>
      <c r="D3082" s="2" t="s">
        <v>2003</v>
      </c>
      <c r="E3082" s="9" t="str">
        <f t="shared" si="706"/>
        <v>PRBNP'!</v>
      </c>
      <c r="F3082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82" s="6" t="s">
        <v>111</v>
      </c>
      <c r="H3082" s="1"/>
      <c r="I3082" s="1"/>
    </row>
    <row r="3083" spans="1:9" x14ac:dyDescent="0.35">
      <c r="A3083" s="6" t="s">
        <v>18</v>
      </c>
      <c r="B3083" s="6">
        <f t="shared" si="708"/>
        <v>2026</v>
      </c>
      <c r="C3083" s="1" t="s">
        <v>110</v>
      </c>
      <c r="D3083" s="2" t="s">
        <v>2003</v>
      </c>
      <c r="E3083" s="9" t="str">
        <f t="shared" si="706"/>
        <v>PRBNP'!</v>
      </c>
      <c r="F3083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83" s="6" t="s">
        <v>111</v>
      </c>
      <c r="H3083" s="1"/>
      <c r="I3083" s="1"/>
    </row>
    <row r="3084" spans="1:9" x14ac:dyDescent="0.35">
      <c r="A3084" s="6" t="s">
        <v>18</v>
      </c>
      <c r="B3084" s="6">
        <f t="shared" si="708"/>
        <v>2027</v>
      </c>
      <c r="C3084" s="1" t="s">
        <v>110</v>
      </c>
      <c r="D3084" s="2" t="s">
        <v>2003</v>
      </c>
      <c r="E3084" s="9" t="str">
        <f t="shared" si="706"/>
        <v>PRBNP'!</v>
      </c>
      <c r="F3084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84" s="6" t="s">
        <v>111</v>
      </c>
      <c r="H3084" s="1"/>
      <c r="I3084" s="1"/>
    </row>
    <row r="3085" spans="1:9" x14ac:dyDescent="0.35">
      <c r="A3085" s="6" t="s">
        <v>18</v>
      </c>
      <c r="B3085" s="6">
        <f t="shared" si="708"/>
        <v>2028</v>
      </c>
      <c r="C3085" s="1" t="s">
        <v>110</v>
      </c>
      <c r="D3085" s="2" t="s">
        <v>2003</v>
      </c>
      <c r="E3085" s="9" t="str">
        <f t="shared" si="706"/>
        <v>PRBNP'!</v>
      </c>
      <c r="F3085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85" s="6" t="s">
        <v>111</v>
      </c>
      <c r="H3085" s="1"/>
      <c r="I3085" s="1"/>
    </row>
    <row r="3086" spans="1:9" x14ac:dyDescent="0.35">
      <c r="A3086" s="6" t="s">
        <v>18</v>
      </c>
      <c r="B3086" s="6">
        <f t="shared" si="708"/>
        <v>2029</v>
      </c>
      <c r="C3086" s="1" t="s">
        <v>110</v>
      </c>
      <c r="D3086" s="2" t="s">
        <v>2003</v>
      </c>
      <c r="E3086" s="9" t="str">
        <f t="shared" si="706"/>
        <v>PRBNP'!</v>
      </c>
      <c r="F3086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86" s="6" t="s">
        <v>111</v>
      </c>
      <c r="H3086" s="1"/>
      <c r="I3086" s="1"/>
    </row>
    <row r="3087" spans="1:9" x14ac:dyDescent="0.35">
      <c r="A3087" s="6" t="s">
        <v>18</v>
      </c>
      <c r="B3087" s="6">
        <f t="shared" si="708"/>
        <v>2030</v>
      </c>
      <c r="C3087" s="1" t="s">
        <v>110</v>
      </c>
      <c r="D3087" s="2" t="s">
        <v>2003</v>
      </c>
      <c r="E3087" s="9" t="str">
        <f t="shared" si="706"/>
        <v>PRBNP'!</v>
      </c>
      <c r="F3087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87" s="6" t="s">
        <v>111</v>
      </c>
      <c r="H3087" s="1"/>
      <c r="I3087" s="1"/>
    </row>
    <row r="3088" spans="1:9" x14ac:dyDescent="0.35">
      <c r="A3088" s="6" t="s">
        <v>18</v>
      </c>
      <c r="B3088" s="6">
        <f t="shared" si="708"/>
        <v>2031</v>
      </c>
      <c r="C3088" s="1" t="s">
        <v>110</v>
      </c>
      <c r="D3088" s="2" t="s">
        <v>2003</v>
      </c>
      <c r="E3088" s="9" t="str">
        <f t="shared" si="706"/>
        <v>PRBNP'!</v>
      </c>
      <c r="F3088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88" s="6" t="s">
        <v>111</v>
      </c>
      <c r="H3088" s="1"/>
      <c r="I3088" s="1"/>
    </row>
    <row r="3089" spans="1:9" x14ac:dyDescent="0.35">
      <c r="A3089" s="6" t="s">
        <v>18</v>
      </c>
      <c r="B3089" s="6">
        <f t="shared" si="708"/>
        <v>2032</v>
      </c>
      <c r="C3089" s="1" t="s">
        <v>110</v>
      </c>
      <c r="D3089" s="2" t="s">
        <v>2003</v>
      </c>
      <c r="E3089" s="9" t="str">
        <f t="shared" si="706"/>
        <v>PRBNP'!</v>
      </c>
      <c r="F3089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89" s="6" t="s">
        <v>111</v>
      </c>
      <c r="H3089" s="1"/>
      <c r="I3089" s="1"/>
    </row>
    <row r="3090" spans="1:9" x14ac:dyDescent="0.35">
      <c r="A3090" s="6" t="s">
        <v>18</v>
      </c>
      <c r="B3090" s="6">
        <f t="shared" si="708"/>
        <v>2033</v>
      </c>
      <c r="C3090" s="1" t="s">
        <v>110</v>
      </c>
      <c r="D3090" s="2" t="s">
        <v>2003</v>
      </c>
      <c r="E3090" s="9" t="str">
        <f t="shared" si="706"/>
        <v>PRBNP'!</v>
      </c>
      <c r="F3090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90" s="6" t="s">
        <v>111</v>
      </c>
      <c r="H3090" s="1"/>
      <c r="I3090" s="1"/>
    </row>
    <row r="3091" spans="1:9" x14ac:dyDescent="0.35">
      <c r="A3091" s="6" t="s">
        <v>18</v>
      </c>
      <c r="B3091" s="6">
        <f t="shared" si="708"/>
        <v>2034</v>
      </c>
      <c r="C3091" s="1" t="s">
        <v>110</v>
      </c>
      <c r="D3091" s="2" t="s">
        <v>2003</v>
      </c>
      <c r="E3091" s="9" t="str">
        <f t="shared" si="706"/>
        <v>PRBNP'!</v>
      </c>
      <c r="F3091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91" s="6" t="s">
        <v>111</v>
      </c>
      <c r="H3091" s="1"/>
      <c r="I3091" s="1"/>
    </row>
    <row r="3092" spans="1:9" x14ac:dyDescent="0.35">
      <c r="A3092" s="6" t="s">
        <v>18</v>
      </c>
      <c r="B3092" s="6">
        <f t="shared" si="708"/>
        <v>2035</v>
      </c>
      <c r="C3092" s="1" t="s">
        <v>110</v>
      </c>
      <c r="D3092" s="2" t="s">
        <v>2003</v>
      </c>
      <c r="E3092" s="9" t="str">
        <f t="shared" si="706"/>
        <v>PRBNP'!</v>
      </c>
      <c r="F3092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92" s="6" t="s">
        <v>111</v>
      </c>
      <c r="H3092" s="1"/>
      <c r="I3092" s="1"/>
    </row>
    <row r="3093" spans="1:9" x14ac:dyDescent="0.35">
      <c r="A3093" s="6" t="s">
        <v>18</v>
      </c>
      <c r="B3093" s="6">
        <f t="shared" si="708"/>
        <v>2036</v>
      </c>
      <c r="C3093" s="1" t="s">
        <v>110</v>
      </c>
      <c r="D3093" s="2" t="s">
        <v>2003</v>
      </c>
      <c r="E3093" s="9" t="str">
        <f t="shared" si="706"/>
        <v>PRBNP'!</v>
      </c>
      <c r="F3093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93" s="6" t="s">
        <v>111</v>
      </c>
      <c r="H3093" s="1"/>
      <c r="I3093" s="1"/>
    </row>
    <row r="3094" spans="1:9" x14ac:dyDescent="0.35">
      <c r="A3094" s="6" t="s">
        <v>18</v>
      </c>
      <c r="B3094" s="6">
        <f>+B3093+1</f>
        <v>2037</v>
      </c>
      <c r="C3094" s="1" t="s">
        <v>110</v>
      </c>
      <c r="D3094" s="2" t="s">
        <v>2003</v>
      </c>
      <c r="E3094" s="9" t="str">
        <f t="shared" si="706"/>
        <v>PRBNP'!</v>
      </c>
      <c r="F3094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94" s="6" t="s">
        <v>111</v>
      </c>
      <c r="H3094" s="1"/>
      <c r="I3094" s="1"/>
    </row>
    <row r="3095" spans="1:9" x14ac:dyDescent="0.35">
      <c r="A3095" s="6" t="s">
        <v>18</v>
      </c>
      <c r="B3095" s="6">
        <f t="shared" ref="B3095:B3097" si="709">+B3094+1</f>
        <v>2038</v>
      </c>
      <c r="C3095" s="1" t="s">
        <v>110</v>
      </c>
      <c r="D3095" s="2" t="s">
        <v>2003</v>
      </c>
      <c r="E3095" s="9" t="str">
        <f t="shared" si="706"/>
        <v>PRBNP'!</v>
      </c>
      <c r="F3095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95" s="6" t="s">
        <v>111</v>
      </c>
      <c r="H3095" s="1"/>
      <c r="I3095" s="1"/>
    </row>
    <row r="3096" spans="1:9" x14ac:dyDescent="0.35">
      <c r="A3096" s="6" t="s">
        <v>18</v>
      </c>
      <c r="B3096" s="6">
        <f t="shared" si="709"/>
        <v>2039</v>
      </c>
      <c r="C3096" s="1" t="s">
        <v>110</v>
      </c>
      <c r="D3096" s="2" t="s">
        <v>2003</v>
      </c>
      <c r="E3096" s="9" t="str">
        <f t="shared" si="706"/>
        <v>PRBNP'!</v>
      </c>
      <c r="F3096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96" s="6" t="s">
        <v>111</v>
      </c>
      <c r="H3096" s="1"/>
      <c r="I3096" s="1"/>
    </row>
    <row r="3097" spans="1:9" x14ac:dyDescent="0.35">
      <c r="A3097" s="6" t="s">
        <v>18</v>
      </c>
      <c r="B3097" s="6">
        <f t="shared" si="709"/>
        <v>2040</v>
      </c>
      <c r="C3097" s="1" t="s">
        <v>110</v>
      </c>
      <c r="D3097" s="2" t="s">
        <v>2003</v>
      </c>
      <c r="E3097" s="9" t="str">
        <f t="shared" si="706"/>
        <v>PRBNP'!</v>
      </c>
      <c r="F3097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97" s="6" t="s">
        <v>111</v>
      </c>
      <c r="H3097" s="1"/>
      <c r="I3097" s="1"/>
    </row>
    <row r="3098" spans="1:9" x14ac:dyDescent="0.35">
      <c r="A3098" s="6" t="s">
        <v>18</v>
      </c>
      <c r="B3098" s="6">
        <f>+B3097+1</f>
        <v>2041</v>
      </c>
      <c r="C3098" s="1" t="s">
        <v>110</v>
      </c>
      <c r="D3098" s="2" t="s">
        <v>2003</v>
      </c>
      <c r="E3098" s="9" t="str">
        <f t="shared" si="706"/>
        <v>PRBNP'!</v>
      </c>
      <c r="F3098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98" s="6" t="s">
        <v>111</v>
      </c>
      <c r="H3098" s="1"/>
      <c r="I3098" s="1"/>
    </row>
    <row r="3099" spans="1:9" x14ac:dyDescent="0.35">
      <c r="A3099" s="6" t="s">
        <v>18</v>
      </c>
      <c r="B3099" s="6">
        <f t="shared" ref="B3099:B3100" si="710">+B3098+1</f>
        <v>2042</v>
      </c>
      <c r="C3099" s="1" t="s">
        <v>110</v>
      </c>
      <c r="D3099" s="2" t="s">
        <v>2003</v>
      </c>
      <c r="E3099" s="9" t="str">
        <f t="shared" si="706"/>
        <v>PRBNP'!</v>
      </c>
      <c r="F3099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99" s="6" t="s">
        <v>111</v>
      </c>
      <c r="H3099" s="1"/>
      <c r="I3099" s="1"/>
    </row>
    <row r="3100" spans="1:9" x14ac:dyDescent="0.35">
      <c r="A3100" s="6" t="s">
        <v>18</v>
      </c>
      <c r="B3100" s="6">
        <f t="shared" si="710"/>
        <v>2043</v>
      </c>
      <c r="C3100" s="1" t="s">
        <v>110</v>
      </c>
      <c r="D3100" s="2" t="s">
        <v>2003</v>
      </c>
      <c r="E3100" s="9" t="str">
        <f t="shared" si="706"/>
        <v>PRBNP'!</v>
      </c>
      <c r="F3100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00" s="6" t="s">
        <v>111</v>
      </c>
      <c r="H3100" s="1"/>
      <c r="I3100" s="1"/>
    </row>
    <row r="3101" spans="1:9" x14ac:dyDescent="0.35">
      <c r="A3101" s="6" t="s">
        <v>18</v>
      </c>
      <c r="B3101" s="6">
        <f>+B3100+1</f>
        <v>2044</v>
      </c>
      <c r="C3101" s="1" t="s">
        <v>110</v>
      </c>
      <c r="D3101" s="2" t="s">
        <v>2003</v>
      </c>
      <c r="E3101" s="9" t="str">
        <f t="shared" ref="E3101:E3116" si="711">_xlfn.CONCAT(A3101,"'!")</f>
        <v>PRBNP'!</v>
      </c>
      <c r="F3101" s="5" t="str">
        <f t="shared" ref="F3101:F3116" si="712">_xlfn.CONCAT(D3101," ",E3101)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01" s="6" t="s">
        <v>111</v>
      </c>
      <c r="H3101" s="1"/>
      <c r="I3101" s="1"/>
    </row>
    <row r="3102" spans="1:9" x14ac:dyDescent="0.35">
      <c r="A3102" s="6" t="s">
        <v>18</v>
      </c>
      <c r="B3102" s="6">
        <f t="shared" ref="B3102:B3116" si="713">+B3101+1</f>
        <v>2045</v>
      </c>
      <c r="C3102" s="1" t="s">
        <v>110</v>
      </c>
      <c r="D3102" s="2" t="s">
        <v>2003</v>
      </c>
      <c r="E3102" s="9" t="str">
        <f t="shared" si="711"/>
        <v>PRBNP'!</v>
      </c>
      <c r="F3102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02" s="6" t="s">
        <v>111</v>
      </c>
      <c r="H3102" s="1"/>
      <c r="I3102" s="1"/>
    </row>
    <row r="3103" spans="1:9" x14ac:dyDescent="0.35">
      <c r="A3103" s="6" t="s">
        <v>18</v>
      </c>
      <c r="B3103" s="6">
        <f t="shared" si="713"/>
        <v>2046</v>
      </c>
      <c r="C3103" s="1" t="s">
        <v>110</v>
      </c>
      <c r="D3103" s="2" t="s">
        <v>2003</v>
      </c>
      <c r="E3103" s="9" t="str">
        <f t="shared" si="711"/>
        <v>PRBNP'!</v>
      </c>
      <c r="F3103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03" s="6" t="s">
        <v>111</v>
      </c>
      <c r="H3103" s="1"/>
      <c r="I3103" s="1"/>
    </row>
    <row r="3104" spans="1:9" x14ac:dyDescent="0.35">
      <c r="A3104" s="6" t="s">
        <v>18</v>
      </c>
      <c r="B3104" s="6">
        <f t="shared" si="713"/>
        <v>2047</v>
      </c>
      <c r="C3104" s="1" t="s">
        <v>110</v>
      </c>
      <c r="D3104" s="2" t="s">
        <v>2003</v>
      </c>
      <c r="E3104" s="9" t="str">
        <f t="shared" si="711"/>
        <v>PRBNP'!</v>
      </c>
      <c r="F3104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04" s="6" t="s">
        <v>111</v>
      </c>
      <c r="H3104" s="1"/>
      <c r="I3104" s="1"/>
    </row>
    <row r="3105" spans="1:9" x14ac:dyDescent="0.35">
      <c r="A3105" s="6" t="s">
        <v>18</v>
      </c>
      <c r="B3105" s="6">
        <f t="shared" si="713"/>
        <v>2048</v>
      </c>
      <c r="C3105" s="1" t="s">
        <v>110</v>
      </c>
      <c r="D3105" s="2" t="s">
        <v>2003</v>
      </c>
      <c r="E3105" s="9" t="str">
        <f t="shared" si="711"/>
        <v>PRBNP'!</v>
      </c>
      <c r="F3105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05" s="6" t="s">
        <v>111</v>
      </c>
      <c r="H3105" s="1"/>
      <c r="I3105" s="1"/>
    </row>
    <row r="3106" spans="1:9" x14ac:dyDescent="0.35">
      <c r="A3106" s="6" t="s">
        <v>18</v>
      </c>
      <c r="B3106" s="6">
        <f t="shared" si="713"/>
        <v>2049</v>
      </c>
      <c r="C3106" s="1" t="s">
        <v>110</v>
      </c>
      <c r="D3106" s="2" t="s">
        <v>2003</v>
      </c>
      <c r="E3106" s="9" t="str">
        <f t="shared" si="711"/>
        <v>PRBNP'!</v>
      </c>
      <c r="F3106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06" s="6" t="s">
        <v>111</v>
      </c>
      <c r="H3106" s="1"/>
      <c r="I3106" s="1"/>
    </row>
    <row r="3107" spans="1:9" x14ac:dyDescent="0.35">
      <c r="A3107" s="6" t="s">
        <v>18</v>
      </c>
      <c r="B3107" s="6">
        <f t="shared" si="713"/>
        <v>2050</v>
      </c>
      <c r="C3107" s="1" t="s">
        <v>110</v>
      </c>
      <c r="D3107" s="2" t="s">
        <v>2003</v>
      </c>
      <c r="E3107" s="9" t="str">
        <f t="shared" si="711"/>
        <v>PRBNP'!</v>
      </c>
      <c r="F3107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07" s="6" t="s">
        <v>111</v>
      </c>
      <c r="H3107" s="1"/>
      <c r="I3107" s="1"/>
    </row>
    <row r="3108" spans="1:9" x14ac:dyDescent="0.35">
      <c r="A3108" s="6" t="s">
        <v>18</v>
      </c>
      <c r="B3108" s="6">
        <f t="shared" si="713"/>
        <v>2051</v>
      </c>
      <c r="C3108" s="1" t="s">
        <v>110</v>
      </c>
      <c r="D3108" s="2" t="s">
        <v>2003</v>
      </c>
      <c r="E3108" s="9" t="str">
        <f t="shared" si="711"/>
        <v>PRBNP'!</v>
      </c>
      <c r="F3108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08" s="6" t="s">
        <v>111</v>
      </c>
      <c r="H3108" s="1"/>
      <c r="I3108" s="1"/>
    </row>
    <row r="3109" spans="1:9" x14ac:dyDescent="0.35">
      <c r="A3109" s="6" t="s">
        <v>18</v>
      </c>
      <c r="B3109" s="6">
        <f t="shared" si="713"/>
        <v>2052</v>
      </c>
      <c r="C3109" s="1" t="s">
        <v>110</v>
      </c>
      <c r="D3109" s="2" t="s">
        <v>2003</v>
      </c>
      <c r="E3109" s="9" t="str">
        <f t="shared" si="711"/>
        <v>PRBNP'!</v>
      </c>
      <c r="F3109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09" s="6" t="s">
        <v>111</v>
      </c>
      <c r="H3109" s="1"/>
      <c r="I3109" s="1"/>
    </row>
    <row r="3110" spans="1:9" x14ac:dyDescent="0.35">
      <c r="A3110" s="6" t="s">
        <v>18</v>
      </c>
      <c r="B3110" s="6">
        <f t="shared" si="713"/>
        <v>2053</v>
      </c>
      <c r="C3110" s="1" t="s">
        <v>110</v>
      </c>
      <c r="D3110" s="2" t="s">
        <v>2003</v>
      </c>
      <c r="E3110" s="9" t="str">
        <f t="shared" si="711"/>
        <v>PRBNP'!</v>
      </c>
      <c r="F3110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10" s="6" t="s">
        <v>111</v>
      </c>
      <c r="H3110" s="1"/>
      <c r="I3110" s="1"/>
    </row>
    <row r="3111" spans="1:9" x14ac:dyDescent="0.35">
      <c r="A3111" s="6" t="s">
        <v>18</v>
      </c>
      <c r="B3111" s="6">
        <f t="shared" si="713"/>
        <v>2054</v>
      </c>
      <c r="C3111" s="1" t="s">
        <v>110</v>
      </c>
      <c r="D3111" s="2" t="s">
        <v>2003</v>
      </c>
      <c r="E3111" s="9" t="str">
        <f t="shared" si="711"/>
        <v>PRBNP'!</v>
      </c>
      <c r="F3111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11" s="6" t="s">
        <v>111</v>
      </c>
      <c r="H3111" s="1"/>
      <c r="I3111" s="1"/>
    </row>
    <row r="3112" spans="1:9" x14ac:dyDescent="0.35">
      <c r="A3112" s="6" t="s">
        <v>18</v>
      </c>
      <c r="B3112" s="6">
        <f t="shared" si="713"/>
        <v>2055</v>
      </c>
      <c r="C3112" s="1" t="s">
        <v>110</v>
      </c>
      <c r="D3112" s="2" t="s">
        <v>2003</v>
      </c>
      <c r="E3112" s="9" t="str">
        <f t="shared" si="711"/>
        <v>PRBNP'!</v>
      </c>
      <c r="F3112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12" s="6" t="s">
        <v>111</v>
      </c>
      <c r="H3112" s="1"/>
      <c r="I3112" s="1"/>
    </row>
    <row r="3113" spans="1:9" x14ac:dyDescent="0.35">
      <c r="A3113" s="6" t="s">
        <v>18</v>
      </c>
      <c r="B3113" s="6">
        <f t="shared" si="713"/>
        <v>2056</v>
      </c>
      <c r="C3113" s="1" t="s">
        <v>110</v>
      </c>
      <c r="D3113" s="2" t="s">
        <v>2003</v>
      </c>
      <c r="E3113" s="9" t="str">
        <f t="shared" si="711"/>
        <v>PRBNP'!</v>
      </c>
      <c r="F3113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13" s="6" t="s">
        <v>111</v>
      </c>
      <c r="H3113" s="1"/>
      <c r="I3113" s="1"/>
    </row>
    <row r="3114" spans="1:9" x14ac:dyDescent="0.35">
      <c r="A3114" s="6" t="s">
        <v>18</v>
      </c>
      <c r="B3114" s="6">
        <f t="shared" si="713"/>
        <v>2057</v>
      </c>
      <c r="C3114" s="1" t="s">
        <v>110</v>
      </c>
      <c r="D3114" s="2" t="s">
        <v>2003</v>
      </c>
      <c r="E3114" s="9" t="str">
        <f t="shared" si="711"/>
        <v>PRBNP'!</v>
      </c>
      <c r="F3114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14" s="6" t="s">
        <v>111</v>
      </c>
      <c r="H3114" s="1"/>
      <c r="I3114" s="1"/>
    </row>
    <row r="3115" spans="1:9" x14ac:dyDescent="0.35">
      <c r="A3115" s="6" t="s">
        <v>18</v>
      </c>
      <c r="B3115" s="6">
        <f t="shared" si="713"/>
        <v>2058</v>
      </c>
      <c r="C3115" s="1" t="s">
        <v>110</v>
      </c>
      <c r="D3115" s="2" t="s">
        <v>2003</v>
      </c>
      <c r="E3115" s="9" t="str">
        <f t="shared" si="711"/>
        <v>PRBNP'!</v>
      </c>
      <c r="F3115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15" s="6" t="s">
        <v>111</v>
      </c>
      <c r="H3115" s="1"/>
      <c r="I3115" s="1"/>
    </row>
    <row r="3116" spans="1:9" x14ac:dyDescent="0.35">
      <c r="A3116" s="6" t="s">
        <v>18</v>
      </c>
      <c r="B3116" s="6">
        <f t="shared" si="713"/>
        <v>2059</v>
      </c>
      <c r="C3116" s="1" t="s">
        <v>110</v>
      </c>
      <c r="D3116" s="2" t="s">
        <v>2003</v>
      </c>
      <c r="E3116" s="9" t="str">
        <f t="shared" si="711"/>
        <v>PRBNP'!</v>
      </c>
      <c r="F3116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16" s="6" t="s">
        <v>111</v>
      </c>
      <c r="H3116" s="1"/>
      <c r="I3116" s="1"/>
    </row>
    <row r="3117" spans="1:9" x14ac:dyDescent="0.35">
      <c r="A3117" s="7" t="s">
        <v>26</v>
      </c>
      <c r="B3117" s="6"/>
      <c r="C3117" s="1" t="s">
        <v>110</v>
      </c>
      <c r="D3117" s="2"/>
      <c r="E3117" s="9"/>
      <c r="F3117" s="5"/>
      <c r="G3117" s="6"/>
      <c r="H3117" s="1"/>
      <c r="I3117" s="1"/>
    </row>
    <row r="3118" spans="1:9" x14ac:dyDescent="0.35">
      <c r="A3118" s="6" t="s">
        <v>19</v>
      </c>
      <c r="B3118" s="6">
        <v>2023</v>
      </c>
      <c r="C3118" s="1" t="s">
        <v>110</v>
      </c>
      <c r="D3118" s="2" t="s">
        <v>2003</v>
      </c>
      <c r="E3118" s="9" t="str">
        <f t="shared" ref="E3118:E3138" si="714">_xlfn.CONCAT(A3118,"'!")</f>
        <v>PRBND'!</v>
      </c>
      <c r="F3118" s="5" t="str">
        <f t="shared" ref="F3118:F3138" si="715">_xlfn.CONCAT(D3118," ",E3118)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18" s="6" t="s">
        <v>111</v>
      </c>
      <c r="H3118" s="1"/>
      <c r="I3118" s="1"/>
    </row>
    <row r="3119" spans="1:9" x14ac:dyDescent="0.35">
      <c r="A3119" s="6" t="s">
        <v>19</v>
      </c>
      <c r="B3119" s="6">
        <f>+B3118+1</f>
        <v>2024</v>
      </c>
      <c r="C3119" s="1" t="s">
        <v>110</v>
      </c>
      <c r="D3119" s="2" t="s">
        <v>2003</v>
      </c>
      <c r="E3119" s="9" t="str">
        <f t="shared" si="714"/>
        <v>PRBND'!</v>
      </c>
      <c r="F3119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19" s="6" t="s">
        <v>111</v>
      </c>
      <c r="H3119" s="1"/>
      <c r="I3119" s="1"/>
    </row>
    <row r="3120" spans="1:9" x14ac:dyDescent="0.35">
      <c r="A3120" s="6" t="s">
        <v>19</v>
      </c>
      <c r="B3120" s="6">
        <f t="shared" ref="B3120:B3131" si="716">+B3119+1</f>
        <v>2025</v>
      </c>
      <c r="C3120" s="1" t="s">
        <v>110</v>
      </c>
      <c r="D3120" s="2" t="s">
        <v>2003</v>
      </c>
      <c r="E3120" s="9" t="str">
        <f t="shared" si="714"/>
        <v>PRBND'!</v>
      </c>
      <c r="F3120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20" s="6" t="s">
        <v>111</v>
      </c>
      <c r="H3120" s="1"/>
      <c r="I3120" s="1"/>
    </row>
    <row r="3121" spans="1:9" x14ac:dyDescent="0.35">
      <c r="A3121" s="6" t="s">
        <v>19</v>
      </c>
      <c r="B3121" s="6">
        <f t="shared" si="716"/>
        <v>2026</v>
      </c>
      <c r="C3121" s="1" t="s">
        <v>110</v>
      </c>
      <c r="D3121" s="2" t="s">
        <v>2003</v>
      </c>
      <c r="E3121" s="9" t="str">
        <f t="shared" si="714"/>
        <v>PRBND'!</v>
      </c>
      <c r="F3121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21" s="6" t="s">
        <v>111</v>
      </c>
      <c r="H3121" s="1"/>
      <c r="I3121" s="1"/>
    </row>
    <row r="3122" spans="1:9" x14ac:dyDescent="0.35">
      <c r="A3122" s="6" t="s">
        <v>19</v>
      </c>
      <c r="B3122" s="6">
        <f t="shared" si="716"/>
        <v>2027</v>
      </c>
      <c r="C3122" s="1" t="s">
        <v>110</v>
      </c>
      <c r="D3122" s="2" t="s">
        <v>2003</v>
      </c>
      <c r="E3122" s="9" t="str">
        <f t="shared" si="714"/>
        <v>PRBND'!</v>
      </c>
      <c r="F3122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22" s="6" t="s">
        <v>111</v>
      </c>
      <c r="H3122" s="1"/>
      <c r="I3122" s="1"/>
    </row>
    <row r="3123" spans="1:9" x14ac:dyDescent="0.35">
      <c r="A3123" s="6" t="s">
        <v>19</v>
      </c>
      <c r="B3123" s="6">
        <f t="shared" si="716"/>
        <v>2028</v>
      </c>
      <c r="C3123" s="1" t="s">
        <v>110</v>
      </c>
      <c r="D3123" s="2" t="s">
        <v>2003</v>
      </c>
      <c r="E3123" s="9" t="str">
        <f t="shared" si="714"/>
        <v>PRBND'!</v>
      </c>
      <c r="F3123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23" s="6" t="s">
        <v>111</v>
      </c>
      <c r="H3123" s="1"/>
      <c r="I3123" s="1"/>
    </row>
    <row r="3124" spans="1:9" x14ac:dyDescent="0.35">
      <c r="A3124" s="6" t="s">
        <v>19</v>
      </c>
      <c r="B3124" s="6">
        <f t="shared" si="716"/>
        <v>2029</v>
      </c>
      <c r="C3124" s="1" t="s">
        <v>110</v>
      </c>
      <c r="D3124" s="2" t="s">
        <v>2003</v>
      </c>
      <c r="E3124" s="9" t="str">
        <f t="shared" si="714"/>
        <v>PRBND'!</v>
      </c>
      <c r="F3124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24" s="6" t="s">
        <v>111</v>
      </c>
      <c r="H3124" s="1"/>
      <c r="I3124" s="1"/>
    </row>
    <row r="3125" spans="1:9" x14ac:dyDescent="0.35">
      <c r="A3125" s="6" t="s">
        <v>19</v>
      </c>
      <c r="B3125" s="6">
        <f t="shared" si="716"/>
        <v>2030</v>
      </c>
      <c r="C3125" s="1" t="s">
        <v>110</v>
      </c>
      <c r="D3125" s="2" t="s">
        <v>2003</v>
      </c>
      <c r="E3125" s="9" t="str">
        <f t="shared" si="714"/>
        <v>PRBND'!</v>
      </c>
      <c r="F3125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25" s="6" t="s">
        <v>111</v>
      </c>
      <c r="H3125" s="1"/>
      <c r="I3125" s="1"/>
    </row>
    <row r="3126" spans="1:9" x14ac:dyDescent="0.35">
      <c r="A3126" s="6" t="s">
        <v>19</v>
      </c>
      <c r="B3126" s="6">
        <f t="shared" si="716"/>
        <v>2031</v>
      </c>
      <c r="C3126" s="1" t="s">
        <v>110</v>
      </c>
      <c r="D3126" s="2" t="s">
        <v>2003</v>
      </c>
      <c r="E3126" s="9" t="str">
        <f t="shared" si="714"/>
        <v>PRBND'!</v>
      </c>
      <c r="F3126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26" s="6" t="s">
        <v>111</v>
      </c>
      <c r="H3126" s="1"/>
      <c r="I3126" s="1"/>
    </row>
    <row r="3127" spans="1:9" x14ac:dyDescent="0.35">
      <c r="A3127" s="6" t="s">
        <v>19</v>
      </c>
      <c r="B3127" s="6">
        <f t="shared" si="716"/>
        <v>2032</v>
      </c>
      <c r="C3127" s="1" t="s">
        <v>110</v>
      </c>
      <c r="D3127" s="2" t="s">
        <v>2003</v>
      </c>
      <c r="E3127" s="9" t="str">
        <f t="shared" si="714"/>
        <v>PRBND'!</v>
      </c>
      <c r="F3127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27" s="6" t="s">
        <v>111</v>
      </c>
      <c r="H3127" s="1"/>
      <c r="I3127" s="1"/>
    </row>
    <row r="3128" spans="1:9" x14ac:dyDescent="0.35">
      <c r="A3128" s="6" t="s">
        <v>19</v>
      </c>
      <c r="B3128" s="6">
        <f t="shared" si="716"/>
        <v>2033</v>
      </c>
      <c r="C3128" s="1" t="s">
        <v>110</v>
      </c>
      <c r="D3128" s="2" t="s">
        <v>2003</v>
      </c>
      <c r="E3128" s="9" t="str">
        <f t="shared" si="714"/>
        <v>PRBND'!</v>
      </c>
      <c r="F3128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28" s="6" t="s">
        <v>111</v>
      </c>
      <c r="H3128" s="1"/>
      <c r="I3128" s="1"/>
    </row>
    <row r="3129" spans="1:9" x14ac:dyDescent="0.35">
      <c r="A3129" s="6" t="s">
        <v>19</v>
      </c>
      <c r="B3129" s="6">
        <f t="shared" si="716"/>
        <v>2034</v>
      </c>
      <c r="C3129" s="1" t="s">
        <v>110</v>
      </c>
      <c r="D3129" s="2" t="s">
        <v>2003</v>
      </c>
      <c r="E3129" s="9" t="str">
        <f t="shared" si="714"/>
        <v>PRBND'!</v>
      </c>
      <c r="F3129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29" s="6" t="s">
        <v>111</v>
      </c>
      <c r="H3129" s="1"/>
      <c r="I3129" s="1"/>
    </row>
    <row r="3130" spans="1:9" x14ac:dyDescent="0.35">
      <c r="A3130" s="6" t="s">
        <v>19</v>
      </c>
      <c r="B3130" s="6">
        <f t="shared" si="716"/>
        <v>2035</v>
      </c>
      <c r="C3130" s="1" t="s">
        <v>110</v>
      </c>
      <c r="D3130" s="2" t="s">
        <v>2003</v>
      </c>
      <c r="E3130" s="9" t="str">
        <f t="shared" si="714"/>
        <v>PRBND'!</v>
      </c>
      <c r="F3130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30" s="6" t="s">
        <v>111</v>
      </c>
      <c r="H3130" s="1"/>
      <c r="I3130" s="1"/>
    </row>
    <row r="3131" spans="1:9" x14ac:dyDescent="0.35">
      <c r="A3131" s="6" t="s">
        <v>19</v>
      </c>
      <c r="B3131" s="6">
        <f t="shared" si="716"/>
        <v>2036</v>
      </c>
      <c r="C3131" s="1" t="s">
        <v>110</v>
      </c>
      <c r="D3131" s="2" t="s">
        <v>2003</v>
      </c>
      <c r="E3131" s="9" t="str">
        <f t="shared" si="714"/>
        <v>PRBND'!</v>
      </c>
      <c r="F3131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31" s="6" t="s">
        <v>111</v>
      </c>
      <c r="H3131" s="1"/>
      <c r="I3131" s="1"/>
    </row>
    <row r="3132" spans="1:9" x14ac:dyDescent="0.35">
      <c r="A3132" s="6" t="s">
        <v>19</v>
      </c>
      <c r="B3132" s="6">
        <f>+B3131+1</f>
        <v>2037</v>
      </c>
      <c r="C3132" s="1" t="s">
        <v>110</v>
      </c>
      <c r="D3132" s="2" t="s">
        <v>2003</v>
      </c>
      <c r="E3132" s="9" t="str">
        <f t="shared" si="714"/>
        <v>PRBND'!</v>
      </c>
      <c r="F3132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32" s="6" t="s">
        <v>111</v>
      </c>
      <c r="H3132" s="1"/>
      <c r="I3132" s="1"/>
    </row>
    <row r="3133" spans="1:9" x14ac:dyDescent="0.35">
      <c r="A3133" s="6" t="s">
        <v>19</v>
      </c>
      <c r="B3133" s="6">
        <f t="shared" ref="B3133:B3135" si="717">+B3132+1</f>
        <v>2038</v>
      </c>
      <c r="C3133" s="1" t="s">
        <v>110</v>
      </c>
      <c r="D3133" s="2" t="s">
        <v>2003</v>
      </c>
      <c r="E3133" s="9" t="str">
        <f t="shared" si="714"/>
        <v>PRBND'!</v>
      </c>
      <c r="F3133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33" s="6" t="s">
        <v>111</v>
      </c>
      <c r="H3133" s="1"/>
      <c r="I3133" s="1"/>
    </row>
    <row r="3134" spans="1:9" x14ac:dyDescent="0.35">
      <c r="A3134" s="6" t="s">
        <v>19</v>
      </c>
      <c r="B3134" s="6">
        <f t="shared" si="717"/>
        <v>2039</v>
      </c>
      <c r="C3134" s="1" t="s">
        <v>110</v>
      </c>
      <c r="D3134" s="2" t="s">
        <v>2003</v>
      </c>
      <c r="E3134" s="9" t="str">
        <f t="shared" si="714"/>
        <v>PRBND'!</v>
      </c>
      <c r="F3134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34" s="6" t="s">
        <v>111</v>
      </c>
      <c r="H3134" s="1"/>
      <c r="I3134" s="1"/>
    </row>
    <row r="3135" spans="1:9" x14ac:dyDescent="0.35">
      <c r="A3135" s="6" t="s">
        <v>19</v>
      </c>
      <c r="B3135" s="6">
        <f t="shared" si="717"/>
        <v>2040</v>
      </c>
      <c r="C3135" s="1" t="s">
        <v>110</v>
      </c>
      <c r="D3135" s="2" t="s">
        <v>2003</v>
      </c>
      <c r="E3135" s="9" t="str">
        <f t="shared" si="714"/>
        <v>PRBND'!</v>
      </c>
      <c r="F3135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35" s="6" t="s">
        <v>111</v>
      </c>
      <c r="H3135" s="1"/>
      <c r="I3135" s="1"/>
    </row>
    <row r="3136" spans="1:9" x14ac:dyDescent="0.35">
      <c r="A3136" s="6" t="s">
        <v>19</v>
      </c>
      <c r="B3136" s="6">
        <f>+B3135+1</f>
        <v>2041</v>
      </c>
      <c r="C3136" s="1" t="s">
        <v>110</v>
      </c>
      <c r="D3136" s="2" t="s">
        <v>2003</v>
      </c>
      <c r="E3136" s="9" t="str">
        <f t="shared" si="714"/>
        <v>PRBND'!</v>
      </c>
      <c r="F3136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36" s="6" t="s">
        <v>111</v>
      </c>
      <c r="H3136" s="1"/>
      <c r="I3136" s="1"/>
    </row>
    <row r="3137" spans="1:9" x14ac:dyDescent="0.35">
      <c r="A3137" s="6" t="s">
        <v>19</v>
      </c>
      <c r="B3137" s="6">
        <f t="shared" ref="B3137:B3138" si="718">+B3136+1</f>
        <v>2042</v>
      </c>
      <c r="C3137" s="1" t="s">
        <v>110</v>
      </c>
      <c r="D3137" s="2" t="s">
        <v>2003</v>
      </c>
      <c r="E3137" s="9" t="str">
        <f t="shared" si="714"/>
        <v>PRBND'!</v>
      </c>
      <c r="F3137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37" s="6" t="s">
        <v>111</v>
      </c>
      <c r="H3137" s="1"/>
      <c r="I3137" s="1"/>
    </row>
    <row r="3138" spans="1:9" x14ac:dyDescent="0.35">
      <c r="A3138" s="6" t="s">
        <v>19</v>
      </c>
      <c r="B3138" s="6">
        <f t="shared" si="718"/>
        <v>2043</v>
      </c>
      <c r="C3138" s="1" t="s">
        <v>110</v>
      </c>
      <c r="D3138" s="2" t="s">
        <v>2003</v>
      </c>
      <c r="E3138" s="9" t="str">
        <f t="shared" si="714"/>
        <v>PRBND'!</v>
      </c>
      <c r="F3138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38" s="6" t="s">
        <v>111</v>
      </c>
      <c r="H3138" s="1"/>
      <c r="I3138" s="1"/>
    </row>
    <row r="3139" spans="1:9" x14ac:dyDescent="0.35">
      <c r="A3139" s="6" t="s">
        <v>19</v>
      </c>
      <c r="B3139" s="6">
        <f>+B3138+1</f>
        <v>2044</v>
      </c>
      <c r="C3139" s="1" t="s">
        <v>110</v>
      </c>
      <c r="D3139" s="2" t="s">
        <v>2003</v>
      </c>
      <c r="E3139" s="9" t="str">
        <f t="shared" ref="E3139:E3154" si="719">_xlfn.CONCAT(A3139,"'!")</f>
        <v>PRBND'!</v>
      </c>
      <c r="F3139" s="5" t="str">
        <f t="shared" ref="F3139:F3154" si="720">_xlfn.CONCAT(D3139," ",E3139)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39" s="6" t="s">
        <v>111</v>
      </c>
      <c r="H3139" s="1"/>
      <c r="I3139" s="1"/>
    </row>
    <row r="3140" spans="1:9" x14ac:dyDescent="0.35">
      <c r="A3140" s="6" t="s">
        <v>19</v>
      </c>
      <c r="B3140" s="6">
        <f t="shared" ref="B3140:B3154" si="721">+B3139+1</f>
        <v>2045</v>
      </c>
      <c r="C3140" s="1" t="s">
        <v>110</v>
      </c>
      <c r="D3140" s="2" t="s">
        <v>2003</v>
      </c>
      <c r="E3140" s="9" t="str">
        <f t="shared" si="719"/>
        <v>PRBND'!</v>
      </c>
      <c r="F3140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40" s="6" t="s">
        <v>111</v>
      </c>
      <c r="H3140" s="1"/>
      <c r="I3140" s="1"/>
    </row>
    <row r="3141" spans="1:9" x14ac:dyDescent="0.35">
      <c r="A3141" s="6" t="s">
        <v>19</v>
      </c>
      <c r="B3141" s="6">
        <f t="shared" si="721"/>
        <v>2046</v>
      </c>
      <c r="C3141" s="1" t="s">
        <v>110</v>
      </c>
      <c r="D3141" s="2" t="s">
        <v>2003</v>
      </c>
      <c r="E3141" s="9" t="str">
        <f t="shared" si="719"/>
        <v>PRBND'!</v>
      </c>
      <c r="F3141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41" s="6" t="s">
        <v>111</v>
      </c>
      <c r="H3141" s="1"/>
      <c r="I3141" s="1"/>
    </row>
    <row r="3142" spans="1:9" x14ac:dyDescent="0.35">
      <c r="A3142" s="6" t="s">
        <v>19</v>
      </c>
      <c r="B3142" s="6">
        <f t="shared" si="721"/>
        <v>2047</v>
      </c>
      <c r="C3142" s="1" t="s">
        <v>110</v>
      </c>
      <c r="D3142" s="2" t="s">
        <v>2003</v>
      </c>
      <c r="E3142" s="9" t="str">
        <f t="shared" si="719"/>
        <v>PRBND'!</v>
      </c>
      <c r="F3142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42" s="6" t="s">
        <v>111</v>
      </c>
      <c r="H3142" s="1"/>
      <c r="I3142" s="1"/>
    </row>
    <row r="3143" spans="1:9" x14ac:dyDescent="0.35">
      <c r="A3143" s="6" t="s">
        <v>19</v>
      </c>
      <c r="B3143" s="6">
        <f t="shared" si="721"/>
        <v>2048</v>
      </c>
      <c r="C3143" s="1" t="s">
        <v>110</v>
      </c>
      <c r="D3143" s="2" t="s">
        <v>2003</v>
      </c>
      <c r="E3143" s="9" t="str">
        <f t="shared" si="719"/>
        <v>PRBND'!</v>
      </c>
      <c r="F3143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43" s="6" t="s">
        <v>111</v>
      </c>
      <c r="H3143" s="1"/>
      <c r="I3143" s="1"/>
    </row>
    <row r="3144" spans="1:9" x14ac:dyDescent="0.35">
      <c r="A3144" s="6" t="s">
        <v>19</v>
      </c>
      <c r="B3144" s="6">
        <f t="shared" si="721"/>
        <v>2049</v>
      </c>
      <c r="C3144" s="1" t="s">
        <v>110</v>
      </c>
      <c r="D3144" s="2" t="s">
        <v>2003</v>
      </c>
      <c r="E3144" s="9" t="str">
        <f t="shared" si="719"/>
        <v>PRBND'!</v>
      </c>
      <c r="F3144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44" s="6" t="s">
        <v>111</v>
      </c>
      <c r="H3144" s="1"/>
      <c r="I3144" s="1"/>
    </row>
    <row r="3145" spans="1:9" x14ac:dyDescent="0.35">
      <c r="A3145" s="6" t="s">
        <v>19</v>
      </c>
      <c r="B3145" s="6">
        <f t="shared" si="721"/>
        <v>2050</v>
      </c>
      <c r="C3145" s="1" t="s">
        <v>110</v>
      </c>
      <c r="D3145" s="2" t="s">
        <v>2003</v>
      </c>
      <c r="E3145" s="9" t="str">
        <f t="shared" si="719"/>
        <v>PRBND'!</v>
      </c>
      <c r="F3145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45" s="6" t="s">
        <v>111</v>
      </c>
      <c r="H3145" s="1"/>
      <c r="I3145" s="1"/>
    </row>
    <row r="3146" spans="1:9" x14ac:dyDescent="0.35">
      <c r="A3146" s="6" t="s">
        <v>19</v>
      </c>
      <c r="B3146" s="6">
        <f t="shared" si="721"/>
        <v>2051</v>
      </c>
      <c r="C3146" s="1" t="s">
        <v>110</v>
      </c>
      <c r="D3146" s="2" t="s">
        <v>2003</v>
      </c>
      <c r="E3146" s="9" t="str">
        <f t="shared" si="719"/>
        <v>PRBND'!</v>
      </c>
      <c r="F3146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46" s="6" t="s">
        <v>111</v>
      </c>
      <c r="H3146" s="1"/>
      <c r="I3146" s="1"/>
    </row>
    <row r="3147" spans="1:9" x14ac:dyDescent="0.35">
      <c r="A3147" s="6" t="s">
        <v>19</v>
      </c>
      <c r="B3147" s="6">
        <f t="shared" si="721"/>
        <v>2052</v>
      </c>
      <c r="C3147" s="1" t="s">
        <v>110</v>
      </c>
      <c r="D3147" s="2" t="s">
        <v>2003</v>
      </c>
      <c r="E3147" s="9" t="str">
        <f t="shared" si="719"/>
        <v>PRBND'!</v>
      </c>
      <c r="F3147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47" s="6" t="s">
        <v>111</v>
      </c>
      <c r="H3147" s="1"/>
      <c r="I3147" s="1"/>
    </row>
    <row r="3148" spans="1:9" x14ac:dyDescent="0.35">
      <c r="A3148" s="6" t="s">
        <v>19</v>
      </c>
      <c r="B3148" s="6">
        <f t="shared" si="721"/>
        <v>2053</v>
      </c>
      <c r="C3148" s="1" t="s">
        <v>110</v>
      </c>
      <c r="D3148" s="2" t="s">
        <v>2003</v>
      </c>
      <c r="E3148" s="9" t="str">
        <f t="shared" si="719"/>
        <v>PRBND'!</v>
      </c>
      <c r="F3148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48" s="6" t="s">
        <v>111</v>
      </c>
      <c r="H3148" s="1"/>
      <c r="I3148" s="1"/>
    </row>
    <row r="3149" spans="1:9" x14ac:dyDescent="0.35">
      <c r="A3149" s="6" t="s">
        <v>19</v>
      </c>
      <c r="B3149" s="6">
        <f t="shared" si="721"/>
        <v>2054</v>
      </c>
      <c r="C3149" s="1" t="s">
        <v>110</v>
      </c>
      <c r="D3149" s="2" t="s">
        <v>2003</v>
      </c>
      <c r="E3149" s="9" t="str">
        <f t="shared" si="719"/>
        <v>PRBND'!</v>
      </c>
      <c r="F3149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49" s="6" t="s">
        <v>111</v>
      </c>
      <c r="H3149" s="1"/>
      <c r="I3149" s="1"/>
    </row>
    <row r="3150" spans="1:9" x14ac:dyDescent="0.35">
      <c r="A3150" s="6" t="s">
        <v>19</v>
      </c>
      <c r="B3150" s="6">
        <f t="shared" si="721"/>
        <v>2055</v>
      </c>
      <c r="C3150" s="1" t="s">
        <v>110</v>
      </c>
      <c r="D3150" s="2" t="s">
        <v>2003</v>
      </c>
      <c r="E3150" s="9" t="str">
        <f t="shared" si="719"/>
        <v>PRBND'!</v>
      </c>
      <c r="F3150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50" s="6" t="s">
        <v>111</v>
      </c>
      <c r="H3150" s="1"/>
      <c r="I3150" s="1"/>
    </row>
    <row r="3151" spans="1:9" x14ac:dyDescent="0.35">
      <c r="A3151" s="6" t="s">
        <v>19</v>
      </c>
      <c r="B3151" s="6">
        <f t="shared" si="721"/>
        <v>2056</v>
      </c>
      <c r="C3151" s="1" t="s">
        <v>110</v>
      </c>
      <c r="D3151" s="2" t="s">
        <v>2003</v>
      </c>
      <c r="E3151" s="9" t="str">
        <f t="shared" si="719"/>
        <v>PRBND'!</v>
      </c>
      <c r="F3151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51" s="6" t="s">
        <v>111</v>
      </c>
      <c r="H3151" s="1"/>
      <c r="I3151" s="1"/>
    </row>
    <row r="3152" spans="1:9" x14ac:dyDescent="0.35">
      <c r="A3152" s="6" t="s">
        <v>19</v>
      </c>
      <c r="B3152" s="6">
        <f t="shared" si="721"/>
        <v>2057</v>
      </c>
      <c r="C3152" s="1" t="s">
        <v>110</v>
      </c>
      <c r="D3152" s="2" t="s">
        <v>2003</v>
      </c>
      <c r="E3152" s="9" t="str">
        <f t="shared" si="719"/>
        <v>PRBND'!</v>
      </c>
      <c r="F3152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52" s="6" t="s">
        <v>111</v>
      </c>
      <c r="H3152" s="1"/>
      <c r="I3152" s="1"/>
    </row>
    <row r="3153" spans="1:10" x14ac:dyDescent="0.35">
      <c r="A3153" s="6" t="s">
        <v>19</v>
      </c>
      <c r="B3153" s="6">
        <f t="shared" si="721"/>
        <v>2058</v>
      </c>
      <c r="C3153" s="1" t="s">
        <v>110</v>
      </c>
      <c r="D3153" s="2" t="s">
        <v>2003</v>
      </c>
      <c r="E3153" s="9" t="str">
        <f t="shared" si="719"/>
        <v>PRBND'!</v>
      </c>
      <c r="F3153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53" s="6" t="s">
        <v>111</v>
      </c>
      <c r="H3153" s="1"/>
      <c r="I3153" s="1"/>
    </row>
    <row r="3154" spans="1:10" x14ac:dyDescent="0.35">
      <c r="A3154" s="6" t="s">
        <v>19</v>
      </c>
      <c r="B3154" s="6">
        <f t="shared" si="721"/>
        <v>2059</v>
      </c>
      <c r="C3154" s="1" t="s">
        <v>110</v>
      </c>
      <c r="D3154" s="2" t="s">
        <v>2003</v>
      </c>
      <c r="E3154" s="9" t="str">
        <f t="shared" si="719"/>
        <v>PRBND'!</v>
      </c>
      <c r="F3154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54" s="6" t="s">
        <v>111</v>
      </c>
      <c r="H3154" s="1"/>
      <c r="I3154" s="1"/>
    </row>
    <row r="3155" spans="1:10" x14ac:dyDescent="0.35">
      <c r="A3155" s="7" t="s">
        <v>26</v>
      </c>
      <c r="B3155" s="6"/>
      <c r="C3155" s="1" t="s">
        <v>110</v>
      </c>
      <c r="D3155" s="2"/>
      <c r="E3155" s="9"/>
      <c r="F3155" s="5"/>
      <c r="G3155" s="6"/>
      <c r="H3155" s="1"/>
      <c r="I3155" s="1"/>
    </row>
    <row r="3156" spans="1:10" x14ac:dyDescent="0.35">
      <c r="A3156" s="6" t="s">
        <v>20</v>
      </c>
      <c r="B3156" s="6">
        <v>2023</v>
      </c>
      <c r="C3156" s="1" t="s">
        <v>110</v>
      </c>
      <c r="D3156" s="2" t="s">
        <v>2003</v>
      </c>
      <c r="E3156" s="9" t="str">
        <f t="shared" si="690"/>
        <v>PRB'!</v>
      </c>
      <c r="F3156" s="5" t="str">
        <f t="shared" ref="F3156:F3176" si="722">_xlfn.CONCAT(D3156," ",E3156)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56" s="6" t="s">
        <v>111</v>
      </c>
      <c r="H3156" s="1">
        <f>IF(A3156&lt;&gt;A3026,36,H3026+1)</f>
        <v>36</v>
      </c>
      <c r="I3156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PRB'!$DI$36</v>
      </c>
      <c r="J3156" t="s">
        <v>3410</v>
      </c>
    </row>
    <row r="3157" spans="1:10" x14ac:dyDescent="0.35">
      <c r="A3157" s="6" t="s">
        <v>20</v>
      </c>
      <c r="B3157" s="6">
        <f>+B3156+1</f>
        <v>2024</v>
      </c>
      <c r="C3157" s="1" t="s">
        <v>110</v>
      </c>
      <c r="D3157" s="2" t="s">
        <v>2003</v>
      </c>
      <c r="E3157" s="9" t="str">
        <f t="shared" si="690"/>
        <v>PRB'!</v>
      </c>
      <c r="F3157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57" s="6" t="s">
        <v>111</v>
      </c>
      <c r="H3157" s="1">
        <f t="shared" si="692"/>
        <v>37</v>
      </c>
      <c r="I3157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PRB'!$DI$37</v>
      </c>
      <c r="J3157" t="s">
        <v>3411</v>
      </c>
    </row>
    <row r="3158" spans="1:10" x14ac:dyDescent="0.35">
      <c r="A3158" s="6" t="s">
        <v>20</v>
      </c>
      <c r="B3158" s="6">
        <f t="shared" ref="B3158:B3169" si="723">+B3157+1</f>
        <v>2025</v>
      </c>
      <c r="C3158" s="1" t="s">
        <v>110</v>
      </c>
      <c r="D3158" s="2" t="s">
        <v>2003</v>
      </c>
      <c r="E3158" s="9" t="str">
        <f t="shared" si="690"/>
        <v>PRB'!</v>
      </c>
      <c r="F3158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58" s="6" t="s">
        <v>111</v>
      </c>
      <c r="H3158" s="1">
        <f t="shared" si="692"/>
        <v>38</v>
      </c>
      <c r="I3158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PRB'!$DI$38</v>
      </c>
      <c r="J3158" t="s">
        <v>3412</v>
      </c>
    </row>
    <row r="3159" spans="1:10" x14ac:dyDescent="0.35">
      <c r="A3159" s="6" t="s">
        <v>20</v>
      </c>
      <c r="B3159" s="6">
        <f t="shared" si="723"/>
        <v>2026</v>
      </c>
      <c r="C3159" s="1" t="s">
        <v>110</v>
      </c>
      <c r="D3159" s="2" t="s">
        <v>2003</v>
      </c>
      <c r="E3159" s="9" t="str">
        <f t="shared" si="690"/>
        <v>PRB'!</v>
      </c>
      <c r="F3159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59" s="6" t="s">
        <v>111</v>
      </c>
      <c r="H3159" s="1">
        <f t="shared" si="692"/>
        <v>39</v>
      </c>
      <c r="I3159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PRB'!$DI$39</v>
      </c>
      <c r="J3159" t="s">
        <v>3413</v>
      </c>
    </row>
    <row r="3160" spans="1:10" x14ac:dyDescent="0.35">
      <c r="A3160" s="6" t="s">
        <v>20</v>
      </c>
      <c r="B3160" s="6">
        <f t="shared" si="723"/>
        <v>2027</v>
      </c>
      <c r="C3160" s="1" t="s">
        <v>110</v>
      </c>
      <c r="D3160" s="2" t="s">
        <v>2003</v>
      </c>
      <c r="E3160" s="9" t="str">
        <f t="shared" si="690"/>
        <v>PRB'!</v>
      </c>
      <c r="F3160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60" s="6" t="s">
        <v>111</v>
      </c>
      <c r="H3160" s="1">
        <f t="shared" si="692"/>
        <v>40</v>
      </c>
      <c r="I3160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PRB'!$DI$40</v>
      </c>
      <c r="J3160" t="s">
        <v>3414</v>
      </c>
    </row>
    <row r="3161" spans="1:10" x14ac:dyDescent="0.35">
      <c r="A3161" s="6" t="s">
        <v>20</v>
      </c>
      <c r="B3161" s="6">
        <f t="shared" si="723"/>
        <v>2028</v>
      </c>
      <c r="C3161" s="1" t="s">
        <v>110</v>
      </c>
      <c r="D3161" s="2" t="s">
        <v>2003</v>
      </c>
      <c r="E3161" s="9" t="str">
        <f t="shared" si="690"/>
        <v>PRB'!</v>
      </c>
      <c r="F3161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61" s="6" t="s">
        <v>111</v>
      </c>
      <c r="H3161" s="1">
        <f t="shared" si="692"/>
        <v>41</v>
      </c>
      <c r="I3161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PRB'!$DI$41</v>
      </c>
      <c r="J3161" t="s">
        <v>3415</v>
      </c>
    </row>
    <row r="3162" spans="1:10" x14ac:dyDescent="0.35">
      <c r="A3162" s="6" t="s">
        <v>20</v>
      </c>
      <c r="B3162" s="6">
        <f t="shared" si="723"/>
        <v>2029</v>
      </c>
      <c r="C3162" s="1" t="s">
        <v>110</v>
      </c>
      <c r="D3162" s="2" t="s">
        <v>2003</v>
      </c>
      <c r="E3162" s="9" t="str">
        <f t="shared" si="690"/>
        <v>PRB'!</v>
      </c>
      <c r="F3162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62" s="6" t="s">
        <v>111</v>
      </c>
      <c r="H3162" s="1">
        <f t="shared" si="692"/>
        <v>42</v>
      </c>
      <c r="I3162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PRB'!$DI$42</v>
      </c>
      <c r="J3162" t="s">
        <v>3416</v>
      </c>
    </row>
    <row r="3163" spans="1:10" x14ac:dyDescent="0.35">
      <c r="A3163" s="6" t="s">
        <v>20</v>
      </c>
      <c r="B3163" s="6">
        <f t="shared" si="723"/>
        <v>2030</v>
      </c>
      <c r="C3163" s="1" t="s">
        <v>110</v>
      </c>
      <c r="D3163" s="2" t="s">
        <v>2003</v>
      </c>
      <c r="E3163" s="9" t="str">
        <f t="shared" si="690"/>
        <v>PRB'!</v>
      </c>
      <c r="F3163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63" s="6" t="s">
        <v>111</v>
      </c>
      <c r="H3163" s="1">
        <f t="shared" si="692"/>
        <v>43</v>
      </c>
      <c r="I3163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PRB'!$DI$43</v>
      </c>
      <c r="J3163" t="s">
        <v>3417</v>
      </c>
    </row>
    <row r="3164" spans="1:10" x14ac:dyDescent="0.35">
      <c r="A3164" s="6" t="s">
        <v>20</v>
      </c>
      <c r="B3164" s="6">
        <f t="shared" si="723"/>
        <v>2031</v>
      </c>
      <c r="C3164" s="1" t="s">
        <v>110</v>
      </c>
      <c r="D3164" s="2" t="s">
        <v>2003</v>
      </c>
      <c r="E3164" s="9" t="str">
        <f t="shared" si="690"/>
        <v>PRB'!</v>
      </c>
      <c r="F3164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64" s="6" t="s">
        <v>111</v>
      </c>
      <c r="H3164" s="1">
        <f t="shared" si="692"/>
        <v>44</v>
      </c>
      <c r="I3164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PRB'!$DI$44</v>
      </c>
      <c r="J3164" t="s">
        <v>3418</v>
      </c>
    </row>
    <row r="3165" spans="1:10" x14ac:dyDescent="0.35">
      <c r="A3165" s="6" t="s">
        <v>20</v>
      </c>
      <c r="B3165" s="6">
        <f t="shared" si="723"/>
        <v>2032</v>
      </c>
      <c r="C3165" s="1" t="s">
        <v>110</v>
      </c>
      <c r="D3165" s="2" t="s">
        <v>2003</v>
      </c>
      <c r="E3165" s="9" t="str">
        <f t="shared" si="690"/>
        <v>PRB'!</v>
      </c>
      <c r="F3165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65" s="6" t="s">
        <v>111</v>
      </c>
      <c r="H3165" s="1">
        <f t="shared" si="692"/>
        <v>45</v>
      </c>
      <c r="I3165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PRB'!$DI$45</v>
      </c>
      <c r="J3165" t="s">
        <v>3419</v>
      </c>
    </row>
    <row r="3166" spans="1:10" x14ac:dyDescent="0.35">
      <c r="A3166" s="6" t="s">
        <v>20</v>
      </c>
      <c r="B3166" s="6">
        <f t="shared" si="723"/>
        <v>2033</v>
      </c>
      <c r="C3166" s="1" t="s">
        <v>110</v>
      </c>
      <c r="D3166" s="2" t="s">
        <v>2003</v>
      </c>
      <c r="E3166" s="9" t="str">
        <f t="shared" si="690"/>
        <v>PRB'!</v>
      </c>
      <c r="F3166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66" s="6" t="s">
        <v>111</v>
      </c>
      <c r="H3166" s="1">
        <f t="shared" si="692"/>
        <v>46</v>
      </c>
      <c r="I3166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PRB'!$DI$46</v>
      </c>
      <c r="J3166" t="s">
        <v>3420</v>
      </c>
    </row>
    <row r="3167" spans="1:10" x14ac:dyDescent="0.35">
      <c r="A3167" s="6" t="s">
        <v>20</v>
      </c>
      <c r="B3167" s="6">
        <f t="shared" si="723"/>
        <v>2034</v>
      </c>
      <c r="C3167" s="1" t="s">
        <v>110</v>
      </c>
      <c r="D3167" s="2" t="s">
        <v>2003</v>
      </c>
      <c r="E3167" s="9" t="str">
        <f t="shared" si="690"/>
        <v>PRB'!</v>
      </c>
      <c r="F3167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67" s="6" t="s">
        <v>111</v>
      </c>
      <c r="H3167" s="1">
        <f t="shared" si="692"/>
        <v>47</v>
      </c>
      <c r="I3167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PRB'!$DI$47</v>
      </c>
      <c r="J3167" t="s">
        <v>3421</v>
      </c>
    </row>
    <row r="3168" spans="1:10" x14ac:dyDescent="0.35">
      <c r="A3168" s="6" t="s">
        <v>20</v>
      </c>
      <c r="B3168" s="6">
        <f t="shared" si="723"/>
        <v>2035</v>
      </c>
      <c r="C3168" s="1" t="s">
        <v>110</v>
      </c>
      <c r="D3168" s="2" t="s">
        <v>2003</v>
      </c>
      <c r="E3168" s="9" t="str">
        <f t="shared" si="690"/>
        <v>PRB'!</v>
      </c>
      <c r="F3168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68" s="6" t="s">
        <v>111</v>
      </c>
      <c r="H3168" s="1">
        <f t="shared" si="692"/>
        <v>48</v>
      </c>
      <c r="I3168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PRB'!$DI$48</v>
      </c>
      <c r="J3168" t="s">
        <v>3422</v>
      </c>
    </row>
    <row r="3169" spans="1:10" x14ac:dyDescent="0.35">
      <c r="A3169" s="6" t="s">
        <v>20</v>
      </c>
      <c r="B3169" s="6">
        <f t="shared" si="723"/>
        <v>2036</v>
      </c>
      <c r="C3169" s="1" t="s">
        <v>110</v>
      </c>
      <c r="D3169" s="2" t="s">
        <v>2003</v>
      </c>
      <c r="E3169" s="9" t="str">
        <f t="shared" si="690"/>
        <v>PRB'!</v>
      </c>
      <c r="F3169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69" s="6" t="s">
        <v>111</v>
      </c>
      <c r="H3169" s="1">
        <f t="shared" si="692"/>
        <v>49</v>
      </c>
      <c r="I3169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PRB'!$DI$49</v>
      </c>
      <c r="J3169" t="s">
        <v>3423</v>
      </c>
    </row>
    <row r="3170" spans="1:10" x14ac:dyDescent="0.35">
      <c r="A3170" s="6" t="s">
        <v>20</v>
      </c>
      <c r="B3170" s="6">
        <f>+B3169+1</f>
        <v>2037</v>
      </c>
      <c r="C3170" s="1" t="s">
        <v>110</v>
      </c>
      <c r="D3170" s="2" t="s">
        <v>2003</v>
      </c>
      <c r="E3170" s="9" t="str">
        <f t="shared" si="690"/>
        <v>PRB'!</v>
      </c>
      <c r="F3170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70" s="6" t="s">
        <v>111</v>
      </c>
      <c r="H3170" s="1">
        <f t="shared" si="692"/>
        <v>50</v>
      </c>
      <c r="I3170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PRB'!$DI$50</v>
      </c>
      <c r="J3170" t="s">
        <v>3424</v>
      </c>
    </row>
    <row r="3171" spans="1:10" x14ac:dyDescent="0.35">
      <c r="A3171" s="6" t="s">
        <v>20</v>
      </c>
      <c r="B3171" s="6">
        <f t="shared" ref="B3171:B3173" si="724">+B3170+1</f>
        <v>2038</v>
      </c>
      <c r="C3171" s="1" t="s">
        <v>110</v>
      </c>
      <c r="D3171" s="2" t="s">
        <v>2003</v>
      </c>
      <c r="E3171" s="9" t="str">
        <f t="shared" si="690"/>
        <v>PRB'!</v>
      </c>
      <c r="F3171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71" s="6" t="s">
        <v>111</v>
      </c>
      <c r="H3171" s="1">
        <f t="shared" si="692"/>
        <v>51</v>
      </c>
      <c r="I3171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PRB'!$DI$51</v>
      </c>
      <c r="J3171" t="s">
        <v>3425</v>
      </c>
    </row>
    <row r="3172" spans="1:10" x14ac:dyDescent="0.35">
      <c r="A3172" s="6" t="s">
        <v>20</v>
      </c>
      <c r="B3172" s="6">
        <f t="shared" si="724"/>
        <v>2039</v>
      </c>
      <c r="C3172" s="1" t="s">
        <v>110</v>
      </c>
      <c r="D3172" s="2" t="s">
        <v>2003</v>
      </c>
      <c r="E3172" s="9" t="str">
        <f t="shared" si="690"/>
        <v>PRB'!</v>
      </c>
      <c r="F3172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72" s="6" t="s">
        <v>111</v>
      </c>
      <c r="H3172" s="1">
        <f t="shared" si="692"/>
        <v>52</v>
      </c>
      <c r="I3172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PRB'!$DI$52</v>
      </c>
      <c r="J3172" t="s">
        <v>3426</v>
      </c>
    </row>
    <row r="3173" spans="1:10" x14ac:dyDescent="0.35">
      <c r="A3173" s="6" t="s">
        <v>20</v>
      </c>
      <c r="B3173" s="6">
        <f t="shared" si="724"/>
        <v>2040</v>
      </c>
      <c r="C3173" s="1" t="s">
        <v>110</v>
      </c>
      <c r="D3173" s="2" t="s">
        <v>2003</v>
      </c>
      <c r="E3173" s="9" t="str">
        <f t="shared" si="690"/>
        <v>PRB'!</v>
      </c>
      <c r="F3173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73" s="6" t="s">
        <v>111</v>
      </c>
      <c r="H3173" s="1">
        <f t="shared" si="692"/>
        <v>53</v>
      </c>
      <c r="I3173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PRB'!$DI$53</v>
      </c>
      <c r="J3173" t="s">
        <v>3427</v>
      </c>
    </row>
    <row r="3174" spans="1:10" x14ac:dyDescent="0.35">
      <c r="A3174" s="6" t="s">
        <v>20</v>
      </c>
      <c r="B3174" s="6">
        <f>+B3173+1</f>
        <v>2041</v>
      </c>
      <c r="C3174" s="1" t="s">
        <v>110</v>
      </c>
      <c r="D3174" s="2" t="s">
        <v>2003</v>
      </c>
      <c r="E3174" s="9" t="str">
        <f t="shared" si="690"/>
        <v>PRB'!</v>
      </c>
      <c r="F3174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74" s="6" t="s">
        <v>111</v>
      </c>
      <c r="H3174" s="1">
        <f t="shared" si="692"/>
        <v>54</v>
      </c>
      <c r="I3174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PRB'!$DI$54</v>
      </c>
      <c r="J3174" t="s">
        <v>3428</v>
      </c>
    </row>
    <row r="3175" spans="1:10" x14ac:dyDescent="0.35">
      <c r="A3175" s="6" t="s">
        <v>20</v>
      </c>
      <c r="B3175" s="6">
        <f t="shared" ref="B3175:B3176" si="725">+B3174+1</f>
        <v>2042</v>
      </c>
      <c r="C3175" s="1" t="s">
        <v>110</v>
      </c>
      <c r="D3175" s="2" t="s">
        <v>2003</v>
      </c>
      <c r="E3175" s="9" t="str">
        <f t="shared" si="690"/>
        <v>PRB'!</v>
      </c>
      <c r="F3175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75" s="6" t="s">
        <v>111</v>
      </c>
      <c r="H3175" s="1">
        <f t="shared" si="692"/>
        <v>55</v>
      </c>
      <c r="I3175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PRB'!$DI$55</v>
      </c>
      <c r="J3175" t="s">
        <v>3429</v>
      </c>
    </row>
    <row r="3176" spans="1:10" x14ac:dyDescent="0.35">
      <c r="A3176" s="6" t="s">
        <v>20</v>
      </c>
      <c r="B3176" s="6">
        <f t="shared" si="725"/>
        <v>2043</v>
      </c>
      <c r="C3176" s="1" t="s">
        <v>110</v>
      </c>
      <c r="D3176" s="2" t="s">
        <v>2003</v>
      </c>
      <c r="E3176" s="9" t="str">
        <f t="shared" si="690"/>
        <v>PRB'!</v>
      </c>
      <c r="F3176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76" s="6" t="s">
        <v>111</v>
      </c>
      <c r="H3176" s="1">
        <f t="shared" si="692"/>
        <v>56</v>
      </c>
      <c r="I3176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PRB'!$DI$56</v>
      </c>
      <c r="J3176" t="s">
        <v>3430</v>
      </c>
    </row>
    <row r="3177" spans="1:10" x14ac:dyDescent="0.35">
      <c r="A3177" s="6" t="s">
        <v>20</v>
      </c>
      <c r="B3177" s="6">
        <f>+B3176+1</f>
        <v>2044</v>
      </c>
      <c r="C3177" s="1" t="s">
        <v>110</v>
      </c>
      <c r="D3177" s="2" t="s">
        <v>2003</v>
      </c>
      <c r="E3177" s="9" t="str">
        <f t="shared" ref="E3177:E3192" si="726">_xlfn.CONCAT(A3177,"'!")</f>
        <v>PRB'!</v>
      </c>
      <c r="F3177" s="5" t="str">
        <f t="shared" ref="F3177:F3192" si="727">_xlfn.CONCAT(D3177," ",E3177)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77" s="6" t="s">
        <v>111</v>
      </c>
      <c r="H3177" s="1">
        <f t="shared" ref="H3177:H3192" si="728">IF(A3177&lt;&gt;A3176,36,H3176+1)</f>
        <v>57</v>
      </c>
      <c r="I3177" s="1" t="str">
        <f t="shared" ref="I3177:I3192" si="729">_xlfn.CONCAT("='",F3177:H3177)</f>
        <v>='C:\Users\jaime.benazar\Quorum Business Solutions\Ecopetrol Prometeo - Documents\Planning Space Implementation\3. Analysis &amp; Design\Design\FC22\DRR Jaime\Por presentar a ECP\Cantagallo\Cristalina\[VRC_CRISTALINA_CF_SEC_20221231.xlsx]CF PRB'!$DI$57</v>
      </c>
      <c r="J3177" t="s">
        <v>3431</v>
      </c>
    </row>
    <row r="3178" spans="1:10" x14ac:dyDescent="0.35">
      <c r="A3178" s="6" t="s">
        <v>20</v>
      </c>
      <c r="B3178" s="6">
        <f t="shared" ref="B3178:B3192" si="730">+B3177+1</f>
        <v>2045</v>
      </c>
      <c r="C3178" s="1" t="s">
        <v>110</v>
      </c>
      <c r="D3178" s="2" t="s">
        <v>2003</v>
      </c>
      <c r="E3178" s="9" t="str">
        <f t="shared" si="726"/>
        <v>PRB'!</v>
      </c>
      <c r="F3178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78" s="6" t="s">
        <v>111</v>
      </c>
      <c r="H3178" s="1">
        <f t="shared" si="728"/>
        <v>58</v>
      </c>
      <c r="I3178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PRB'!$DI$58</v>
      </c>
      <c r="J3178" t="s">
        <v>3432</v>
      </c>
    </row>
    <row r="3179" spans="1:10" x14ac:dyDescent="0.35">
      <c r="A3179" s="6" t="s">
        <v>20</v>
      </c>
      <c r="B3179" s="6">
        <f t="shared" si="730"/>
        <v>2046</v>
      </c>
      <c r="C3179" s="1" t="s">
        <v>110</v>
      </c>
      <c r="D3179" s="2" t="s">
        <v>2003</v>
      </c>
      <c r="E3179" s="9" t="str">
        <f t="shared" si="726"/>
        <v>PRB'!</v>
      </c>
      <c r="F3179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79" s="6" t="s">
        <v>111</v>
      </c>
      <c r="H3179" s="1">
        <f t="shared" si="728"/>
        <v>59</v>
      </c>
      <c r="I3179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PRB'!$DI$59</v>
      </c>
      <c r="J3179" t="s">
        <v>3433</v>
      </c>
    </row>
    <row r="3180" spans="1:10" x14ac:dyDescent="0.35">
      <c r="A3180" s="6" t="s">
        <v>20</v>
      </c>
      <c r="B3180" s="6">
        <f t="shared" si="730"/>
        <v>2047</v>
      </c>
      <c r="C3180" s="1" t="s">
        <v>110</v>
      </c>
      <c r="D3180" s="2" t="s">
        <v>2003</v>
      </c>
      <c r="E3180" s="9" t="str">
        <f t="shared" si="726"/>
        <v>PRB'!</v>
      </c>
      <c r="F3180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80" s="6" t="s">
        <v>111</v>
      </c>
      <c r="H3180" s="1">
        <f t="shared" si="728"/>
        <v>60</v>
      </c>
      <c r="I3180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PRB'!$DI$60</v>
      </c>
      <c r="J3180" t="s">
        <v>3434</v>
      </c>
    </row>
    <row r="3181" spans="1:10" x14ac:dyDescent="0.35">
      <c r="A3181" s="6" t="s">
        <v>20</v>
      </c>
      <c r="B3181" s="6">
        <f t="shared" si="730"/>
        <v>2048</v>
      </c>
      <c r="C3181" s="1" t="s">
        <v>110</v>
      </c>
      <c r="D3181" s="2" t="s">
        <v>2003</v>
      </c>
      <c r="E3181" s="9" t="str">
        <f t="shared" si="726"/>
        <v>PRB'!</v>
      </c>
      <c r="F3181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81" s="6" t="s">
        <v>111</v>
      </c>
      <c r="H3181" s="1">
        <f t="shared" si="728"/>
        <v>61</v>
      </c>
      <c r="I3181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PRB'!$DI$61</v>
      </c>
      <c r="J3181" t="s">
        <v>3435</v>
      </c>
    </row>
    <row r="3182" spans="1:10" x14ac:dyDescent="0.35">
      <c r="A3182" s="6" t="s">
        <v>20</v>
      </c>
      <c r="B3182" s="6">
        <f t="shared" si="730"/>
        <v>2049</v>
      </c>
      <c r="C3182" s="1" t="s">
        <v>110</v>
      </c>
      <c r="D3182" s="2" t="s">
        <v>2003</v>
      </c>
      <c r="E3182" s="9" t="str">
        <f t="shared" si="726"/>
        <v>PRB'!</v>
      </c>
      <c r="F3182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82" s="6" t="s">
        <v>111</v>
      </c>
      <c r="H3182" s="1">
        <f t="shared" si="728"/>
        <v>62</v>
      </c>
      <c r="I3182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PRB'!$DI$62</v>
      </c>
      <c r="J3182" t="s">
        <v>3436</v>
      </c>
    </row>
    <row r="3183" spans="1:10" x14ac:dyDescent="0.35">
      <c r="A3183" s="6" t="s">
        <v>20</v>
      </c>
      <c r="B3183" s="6">
        <f t="shared" si="730"/>
        <v>2050</v>
      </c>
      <c r="C3183" s="1" t="s">
        <v>110</v>
      </c>
      <c r="D3183" s="2" t="s">
        <v>2003</v>
      </c>
      <c r="E3183" s="9" t="str">
        <f t="shared" si="726"/>
        <v>PRB'!</v>
      </c>
      <c r="F3183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83" s="6" t="s">
        <v>111</v>
      </c>
      <c r="H3183" s="1">
        <f t="shared" si="728"/>
        <v>63</v>
      </c>
      <c r="I3183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PRB'!$DI$63</v>
      </c>
      <c r="J3183" t="s">
        <v>3437</v>
      </c>
    </row>
    <row r="3184" spans="1:10" x14ac:dyDescent="0.35">
      <c r="A3184" s="6" t="s">
        <v>20</v>
      </c>
      <c r="B3184" s="6">
        <f t="shared" si="730"/>
        <v>2051</v>
      </c>
      <c r="C3184" s="1" t="s">
        <v>110</v>
      </c>
      <c r="D3184" s="2" t="s">
        <v>2003</v>
      </c>
      <c r="E3184" s="9" t="str">
        <f t="shared" si="726"/>
        <v>PRB'!</v>
      </c>
      <c r="F3184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84" s="6" t="s">
        <v>111</v>
      </c>
      <c r="H3184" s="1">
        <f t="shared" si="728"/>
        <v>64</v>
      </c>
      <c r="I3184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PRB'!$DI$64</v>
      </c>
      <c r="J3184" t="s">
        <v>3438</v>
      </c>
    </row>
    <row r="3185" spans="1:10" x14ac:dyDescent="0.35">
      <c r="A3185" s="6" t="s">
        <v>20</v>
      </c>
      <c r="B3185" s="6">
        <f t="shared" si="730"/>
        <v>2052</v>
      </c>
      <c r="C3185" s="1" t="s">
        <v>110</v>
      </c>
      <c r="D3185" s="2" t="s">
        <v>2003</v>
      </c>
      <c r="E3185" s="9" t="str">
        <f t="shared" si="726"/>
        <v>PRB'!</v>
      </c>
      <c r="F3185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85" s="6" t="s">
        <v>111</v>
      </c>
      <c r="H3185" s="1">
        <f t="shared" si="728"/>
        <v>65</v>
      </c>
      <c r="I3185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PRB'!$DI$65</v>
      </c>
      <c r="J3185" t="s">
        <v>3439</v>
      </c>
    </row>
    <row r="3186" spans="1:10" x14ac:dyDescent="0.35">
      <c r="A3186" s="6" t="s">
        <v>20</v>
      </c>
      <c r="B3186" s="6">
        <f t="shared" si="730"/>
        <v>2053</v>
      </c>
      <c r="C3186" s="1" t="s">
        <v>110</v>
      </c>
      <c r="D3186" s="2" t="s">
        <v>2003</v>
      </c>
      <c r="E3186" s="9" t="str">
        <f t="shared" si="726"/>
        <v>PRB'!</v>
      </c>
      <c r="F3186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86" s="6" t="s">
        <v>111</v>
      </c>
      <c r="H3186" s="1">
        <f t="shared" si="728"/>
        <v>66</v>
      </c>
      <c r="I3186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PRB'!$DI$66</v>
      </c>
      <c r="J3186" t="s">
        <v>3440</v>
      </c>
    </row>
    <row r="3187" spans="1:10" x14ac:dyDescent="0.35">
      <c r="A3187" s="6" t="s">
        <v>20</v>
      </c>
      <c r="B3187" s="6">
        <f t="shared" si="730"/>
        <v>2054</v>
      </c>
      <c r="C3187" s="1" t="s">
        <v>110</v>
      </c>
      <c r="D3187" s="2" t="s">
        <v>2003</v>
      </c>
      <c r="E3187" s="9" t="str">
        <f t="shared" si="726"/>
        <v>PRB'!</v>
      </c>
      <c r="F3187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87" s="6" t="s">
        <v>111</v>
      </c>
      <c r="H3187" s="1">
        <f t="shared" si="728"/>
        <v>67</v>
      </c>
      <c r="I3187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PRB'!$DI$67</v>
      </c>
      <c r="J3187" t="s">
        <v>3441</v>
      </c>
    </row>
    <row r="3188" spans="1:10" x14ac:dyDescent="0.35">
      <c r="A3188" s="6" t="s">
        <v>20</v>
      </c>
      <c r="B3188" s="6">
        <f t="shared" si="730"/>
        <v>2055</v>
      </c>
      <c r="C3188" s="1" t="s">
        <v>110</v>
      </c>
      <c r="D3188" s="2" t="s">
        <v>2003</v>
      </c>
      <c r="E3188" s="9" t="str">
        <f t="shared" si="726"/>
        <v>PRB'!</v>
      </c>
      <c r="F3188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88" s="6" t="s">
        <v>111</v>
      </c>
      <c r="H3188" s="1">
        <f t="shared" si="728"/>
        <v>68</v>
      </c>
      <c r="I3188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PRB'!$DI$68</v>
      </c>
      <c r="J3188" t="s">
        <v>3442</v>
      </c>
    </row>
    <row r="3189" spans="1:10" x14ac:dyDescent="0.35">
      <c r="A3189" s="6" t="s">
        <v>20</v>
      </c>
      <c r="B3189" s="6">
        <f t="shared" si="730"/>
        <v>2056</v>
      </c>
      <c r="C3189" s="1" t="s">
        <v>110</v>
      </c>
      <c r="D3189" s="2" t="s">
        <v>2003</v>
      </c>
      <c r="E3189" s="9" t="str">
        <f t="shared" si="726"/>
        <v>PRB'!</v>
      </c>
      <c r="F3189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89" s="6" t="s">
        <v>111</v>
      </c>
      <c r="H3189" s="1">
        <f t="shared" si="728"/>
        <v>69</v>
      </c>
      <c r="I3189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PRB'!$DI$69</v>
      </c>
      <c r="J3189" t="s">
        <v>3443</v>
      </c>
    </row>
    <row r="3190" spans="1:10" x14ac:dyDescent="0.35">
      <c r="A3190" s="6" t="s">
        <v>20</v>
      </c>
      <c r="B3190" s="6">
        <f t="shared" si="730"/>
        <v>2057</v>
      </c>
      <c r="C3190" s="1" t="s">
        <v>110</v>
      </c>
      <c r="D3190" s="2" t="s">
        <v>2003</v>
      </c>
      <c r="E3190" s="9" t="str">
        <f t="shared" si="726"/>
        <v>PRB'!</v>
      </c>
      <c r="F3190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90" s="6" t="s">
        <v>111</v>
      </c>
      <c r="H3190" s="1">
        <f t="shared" si="728"/>
        <v>70</v>
      </c>
      <c r="I3190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PRB'!$DI$70</v>
      </c>
      <c r="J3190" t="s">
        <v>3444</v>
      </c>
    </row>
    <row r="3191" spans="1:10" x14ac:dyDescent="0.35">
      <c r="A3191" s="6" t="s">
        <v>20</v>
      </c>
      <c r="B3191" s="6">
        <f t="shared" si="730"/>
        <v>2058</v>
      </c>
      <c r="C3191" s="1" t="s">
        <v>110</v>
      </c>
      <c r="D3191" s="2" t="s">
        <v>2003</v>
      </c>
      <c r="E3191" s="9" t="str">
        <f t="shared" si="726"/>
        <v>PRB'!</v>
      </c>
      <c r="F3191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91" s="6" t="s">
        <v>111</v>
      </c>
      <c r="H3191" s="1">
        <f t="shared" si="728"/>
        <v>71</v>
      </c>
      <c r="I3191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PRB'!$DI$71</v>
      </c>
      <c r="J3191" t="s">
        <v>3445</v>
      </c>
    </row>
    <row r="3192" spans="1:10" x14ac:dyDescent="0.35">
      <c r="A3192" s="6" t="s">
        <v>20</v>
      </c>
      <c r="B3192" s="6">
        <f t="shared" si="730"/>
        <v>2059</v>
      </c>
      <c r="C3192" s="1" t="s">
        <v>110</v>
      </c>
      <c r="D3192" s="2" t="s">
        <v>2003</v>
      </c>
      <c r="E3192" s="9" t="str">
        <f t="shared" si="726"/>
        <v>PRB'!</v>
      </c>
      <c r="F3192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92" s="6" t="s">
        <v>111</v>
      </c>
      <c r="H3192" s="1">
        <f t="shared" si="728"/>
        <v>72</v>
      </c>
      <c r="I3192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PRB'!$DI$72</v>
      </c>
      <c r="J3192" t="s">
        <v>3446</v>
      </c>
    </row>
    <row r="3193" spans="1:10" x14ac:dyDescent="0.35">
      <c r="A3193" s="7" t="s">
        <v>26</v>
      </c>
      <c r="B3193" s="6"/>
      <c r="C3193" s="1" t="s">
        <v>110</v>
      </c>
      <c r="D3193" s="2"/>
      <c r="E3193" s="9"/>
      <c r="F3193" s="5"/>
      <c r="G3193" s="6"/>
      <c r="H3193" s="1"/>
      <c r="I3193" s="1"/>
      <c r="J3193" s="4"/>
    </row>
    <row r="3194" spans="1:10" x14ac:dyDescent="0.35">
      <c r="A3194" s="6" t="s">
        <v>21</v>
      </c>
      <c r="B3194" s="6">
        <v>2023</v>
      </c>
      <c r="C3194" s="1" t="s">
        <v>110</v>
      </c>
      <c r="D3194" s="2" t="s">
        <v>2003</v>
      </c>
      <c r="E3194" s="9" t="str">
        <f t="shared" ref="E3194:E3231" si="731">_xlfn.CONCAT(A3194,"'!")</f>
        <v>PSDP'!</v>
      </c>
      <c r="F3194" s="5" t="str">
        <f t="shared" ref="F3194:F3214" si="732">_xlfn.CONCAT(D3194," ",E3194)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194" s="6" t="s">
        <v>111</v>
      </c>
      <c r="H3194" s="1"/>
      <c r="I3194" s="1"/>
    </row>
    <row r="3195" spans="1:10" x14ac:dyDescent="0.35">
      <c r="A3195" s="6" t="s">
        <v>21</v>
      </c>
      <c r="B3195" s="6">
        <f>+B3194+1</f>
        <v>2024</v>
      </c>
      <c r="C3195" s="1" t="s">
        <v>110</v>
      </c>
      <c r="D3195" s="2" t="s">
        <v>2003</v>
      </c>
      <c r="E3195" s="9" t="str">
        <f t="shared" si="731"/>
        <v>PSDP'!</v>
      </c>
      <c r="F3195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195" s="6" t="s">
        <v>111</v>
      </c>
      <c r="H3195" s="1"/>
      <c r="I3195" s="1"/>
    </row>
    <row r="3196" spans="1:10" x14ac:dyDescent="0.35">
      <c r="A3196" s="6" t="s">
        <v>21</v>
      </c>
      <c r="B3196" s="6">
        <f t="shared" ref="B3196:B3207" si="733">+B3195+1</f>
        <v>2025</v>
      </c>
      <c r="C3196" s="1" t="s">
        <v>110</v>
      </c>
      <c r="D3196" s="2" t="s">
        <v>2003</v>
      </c>
      <c r="E3196" s="9" t="str">
        <f t="shared" si="731"/>
        <v>PSDP'!</v>
      </c>
      <c r="F3196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196" s="6" t="s">
        <v>111</v>
      </c>
      <c r="H3196" s="1"/>
      <c r="I3196" s="1"/>
    </row>
    <row r="3197" spans="1:10" x14ac:dyDescent="0.35">
      <c r="A3197" s="6" t="s">
        <v>21</v>
      </c>
      <c r="B3197" s="6">
        <f t="shared" si="733"/>
        <v>2026</v>
      </c>
      <c r="C3197" s="1" t="s">
        <v>110</v>
      </c>
      <c r="D3197" s="2" t="s">
        <v>2003</v>
      </c>
      <c r="E3197" s="9" t="str">
        <f t="shared" si="731"/>
        <v>PSDP'!</v>
      </c>
      <c r="F3197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197" s="6" t="s">
        <v>111</v>
      </c>
      <c r="H3197" s="1"/>
      <c r="I3197" s="1"/>
    </row>
    <row r="3198" spans="1:10" x14ac:dyDescent="0.35">
      <c r="A3198" s="6" t="s">
        <v>21</v>
      </c>
      <c r="B3198" s="6">
        <f t="shared" si="733"/>
        <v>2027</v>
      </c>
      <c r="C3198" s="1" t="s">
        <v>110</v>
      </c>
      <c r="D3198" s="2" t="s">
        <v>2003</v>
      </c>
      <c r="E3198" s="9" t="str">
        <f t="shared" si="731"/>
        <v>PSDP'!</v>
      </c>
      <c r="F3198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198" s="6" t="s">
        <v>111</v>
      </c>
      <c r="H3198" s="1"/>
      <c r="I3198" s="1"/>
    </row>
    <row r="3199" spans="1:10" x14ac:dyDescent="0.35">
      <c r="A3199" s="6" t="s">
        <v>21</v>
      </c>
      <c r="B3199" s="6">
        <f t="shared" si="733"/>
        <v>2028</v>
      </c>
      <c r="C3199" s="1" t="s">
        <v>110</v>
      </c>
      <c r="D3199" s="2" t="s">
        <v>2003</v>
      </c>
      <c r="E3199" s="9" t="str">
        <f t="shared" si="731"/>
        <v>PSDP'!</v>
      </c>
      <c r="F3199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199" s="6" t="s">
        <v>111</v>
      </c>
      <c r="H3199" s="1"/>
      <c r="I3199" s="1"/>
    </row>
    <row r="3200" spans="1:10" x14ac:dyDescent="0.35">
      <c r="A3200" s="6" t="s">
        <v>21</v>
      </c>
      <c r="B3200" s="6">
        <f t="shared" si="733"/>
        <v>2029</v>
      </c>
      <c r="C3200" s="1" t="s">
        <v>110</v>
      </c>
      <c r="D3200" s="2" t="s">
        <v>2003</v>
      </c>
      <c r="E3200" s="9" t="str">
        <f t="shared" si="731"/>
        <v>PSDP'!</v>
      </c>
      <c r="F3200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00" s="6" t="s">
        <v>111</v>
      </c>
      <c r="H3200" s="1"/>
      <c r="I3200" s="1"/>
    </row>
    <row r="3201" spans="1:9" x14ac:dyDescent="0.35">
      <c r="A3201" s="6" t="s">
        <v>21</v>
      </c>
      <c r="B3201" s="6">
        <f t="shared" si="733"/>
        <v>2030</v>
      </c>
      <c r="C3201" s="1" t="s">
        <v>110</v>
      </c>
      <c r="D3201" s="2" t="s">
        <v>2003</v>
      </c>
      <c r="E3201" s="9" t="str">
        <f t="shared" si="731"/>
        <v>PSDP'!</v>
      </c>
      <c r="F3201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01" s="6" t="s">
        <v>111</v>
      </c>
      <c r="H3201" s="1"/>
      <c r="I3201" s="1"/>
    </row>
    <row r="3202" spans="1:9" x14ac:dyDescent="0.35">
      <c r="A3202" s="6" t="s">
        <v>21</v>
      </c>
      <c r="B3202" s="6">
        <f t="shared" si="733"/>
        <v>2031</v>
      </c>
      <c r="C3202" s="1" t="s">
        <v>110</v>
      </c>
      <c r="D3202" s="2" t="s">
        <v>2003</v>
      </c>
      <c r="E3202" s="9" t="str">
        <f t="shared" si="731"/>
        <v>PSDP'!</v>
      </c>
      <c r="F3202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02" s="6" t="s">
        <v>111</v>
      </c>
      <c r="H3202" s="1"/>
      <c r="I3202" s="1"/>
    </row>
    <row r="3203" spans="1:9" x14ac:dyDescent="0.35">
      <c r="A3203" s="6" t="s">
        <v>21</v>
      </c>
      <c r="B3203" s="6">
        <f t="shared" si="733"/>
        <v>2032</v>
      </c>
      <c r="C3203" s="1" t="s">
        <v>110</v>
      </c>
      <c r="D3203" s="2" t="s">
        <v>2003</v>
      </c>
      <c r="E3203" s="9" t="str">
        <f t="shared" si="731"/>
        <v>PSDP'!</v>
      </c>
      <c r="F3203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03" s="6" t="s">
        <v>111</v>
      </c>
      <c r="H3203" s="1"/>
      <c r="I3203" s="1"/>
    </row>
    <row r="3204" spans="1:9" x14ac:dyDescent="0.35">
      <c r="A3204" s="6" t="s">
        <v>21</v>
      </c>
      <c r="B3204" s="6">
        <f t="shared" si="733"/>
        <v>2033</v>
      </c>
      <c r="C3204" s="1" t="s">
        <v>110</v>
      </c>
      <c r="D3204" s="2" t="s">
        <v>2003</v>
      </c>
      <c r="E3204" s="9" t="str">
        <f t="shared" si="731"/>
        <v>PSDP'!</v>
      </c>
      <c r="F3204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04" s="6" t="s">
        <v>111</v>
      </c>
      <c r="H3204" s="1"/>
      <c r="I3204" s="1"/>
    </row>
    <row r="3205" spans="1:9" x14ac:dyDescent="0.35">
      <c r="A3205" s="6" t="s">
        <v>21</v>
      </c>
      <c r="B3205" s="6">
        <f t="shared" si="733"/>
        <v>2034</v>
      </c>
      <c r="C3205" s="1" t="s">
        <v>110</v>
      </c>
      <c r="D3205" s="2" t="s">
        <v>2003</v>
      </c>
      <c r="E3205" s="9" t="str">
        <f t="shared" si="731"/>
        <v>PSDP'!</v>
      </c>
      <c r="F3205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05" s="6" t="s">
        <v>111</v>
      </c>
      <c r="H3205" s="1"/>
      <c r="I3205" s="1"/>
    </row>
    <row r="3206" spans="1:9" x14ac:dyDescent="0.35">
      <c r="A3206" s="6" t="s">
        <v>21</v>
      </c>
      <c r="B3206" s="6">
        <f t="shared" si="733"/>
        <v>2035</v>
      </c>
      <c r="C3206" s="1" t="s">
        <v>110</v>
      </c>
      <c r="D3206" s="2" t="s">
        <v>2003</v>
      </c>
      <c r="E3206" s="9" t="str">
        <f t="shared" si="731"/>
        <v>PSDP'!</v>
      </c>
      <c r="F3206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06" s="6" t="s">
        <v>111</v>
      </c>
      <c r="H3206" s="1"/>
      <c r="I3206" s="1"/>
    </row>
    <row r="3207" spans="1:9" x14ac:dyDescent="0.35">
      <c r="A3207" s="6" t="s">
        <v>21</v>
      </c>
      <c r="B3207" s="6">
        <f t="shared" si="733"/>
        <v>2036</v>
      </c>
      <c r="C3207" s="1" t="s">
        <v>110</v>
      </c>
      <c r="D3207" s="2" t="s">
        <v>2003</v>
      </c>
      <c r="E3207" s="9" t="str">
        <f t="shared" si="731"/>
        <v>PSDP'!</v>
      </c>
      <c r="F3207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07" s="6" t="s">
        <v>111</v>
      </c>
      <c r="H3207" s="1"/>
      <c r="I3207" s="1"/>
    </row>
    <row r="3208" spans="1:9" x14ac:dyDescent="0.35">
      <c r="A3208" s="6" t="s">
        <v>21</v>
      </c>
      <c r="B3208" s="6">
        <f>+B3207+1</f>
        <v>2037</v>
      </c>
      <c r="C3208" s="1" t="s">
        <v>110</v>
      </c>
      <c r="D3208" s="2" t="s">
        <v>2003</v>
      </c>
      <c r="E3208" s="9" t="str">
        <f t="shared" si="731"/>
        <v>PSDP'!</v>
      </c>
      <c r="F3208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08" s="6" t="s">
        <v>111</v>
      </c>
      <c r="H3208" s="1"/>
      <c r="I3208" s="1"/>
    </row>
    <row r="3209" spans="1:9" x14ac:dyDescent="0.35">
      <c r="A3209" s="6" t="s">
        <v>21</v>
      </c>
      <c r="B3209" s="6">
        <f t="shared" ref="B3209:B3211" si="734">+B3208+1</f>
        <v>2038</v>
      </c>
      <c r="C3209" s="1" t="s">
        <v>110</v>
      </c>
      <c r="D3209" s="2" t="s">
        <v>2003</v>
      </c>
      <c r="E3209" s="9" t="str">
        <f t="shared" si="731"/>
        <v>PSDP'!</v>
      </c>
      <c r="F3209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09" s="6" t="s">
        <v>111</v>
      </c>
      <c r="H3209" s="1"/>
      <c r="I3209" s="1"/>
    </row>
    <row r="3210" spans="1:9" x14ac:dyDescent="0.35">
      <c r="A3210" s="6" t="s">
        <v>21</v>
      </c>
      <c r="B3210" s="6">
        <f t="shared" si="734"/>
        <v>2039</v>
      </c>
      <c r="C3210" s="1" t="s">
        <v>110</v>
      </c>
      <c r="D3210" s="2" t="s">
        <v>2003</v>
      </c>
      <c r="E3210" s="9" t="str">
        <f t="shared" si="731"/>
        <v>PSDP'!</v>
      </c>
      <c r="F3210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10" s="6" t="s">
        <v>111</v>
      </c>
      <c r="H3210" s="1"/>
      <c r="I3210" s="1"/>
    </row>
    <row r="3211" spans="1:9" x14ac:dyDescent="0.35">
      <c r="A3211" s="6" t="s">
        <v>21</v>
      </c>
      <c r="B3211" s="6">
        <f t="shared" si="734"/>
        <v>2040</v>
      </c>
      <c r="C3211" s="1" t="s">
        <v>110</v>
      </c>
      <c r="D3211" s="2" t="s">
        <v>2003</v>
      </c>
      <c r="E3211" s="9" t="str">
        <f t="shared" si="731"/>
        <v>PSDP'!</v>
      </c>
      <c r="F3211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11" s="6" t="s">
        <v>111</v>
      </c>
      <c r="H3211" s="1"/>
      <c r="I3211" s="1"/>
    </row>
    <row r="3212" spans="1:9" x14ac:dyDescent="0.35">
      <c r="A3212" s="6" t="s">
        <v>21</v>
      </c>
      <c r="B3212" s="6">
        <f>+B3211+1</f>
        <v>2041</v>
      </c>
      <c r="C3212" s="1" t="s">
        <v>110</v>
      </c>
      <c r="D3212" s="2" t="s">
        <v>2003</v>
      </c>
      <c r="E3212" s="9" t="str">
        <f t="shared" si="731"/>
        <v>PSDP'!</v>
      </c>
      <c r="F3212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12" s="6" t="s">
        <v>111</v>
      </c>
      <c r="H3212" s="1"/>
      <c r="I3212" s="1"/>
    </row>
    <row r="3213" spans="1:9" x14ac:dyDescent="0.35">
      <c r="A3213" s="6" t="s">
        <v>21</v>
      </c>
      <c r="B3213" s="6">
        <f t="shared" ref="B3213:B3214" si="735">+B3212+1</f>
        <v>2042</v>
      </c>
      <c r="C3213" s="1" t="s">
        <v>110</v>
      </c>
      <c r="D3213" s="2" t="s">
        <v>2003</v>
      </c>
      <c r="E3213" s="9" t="str">
        <f t="shared" si="731"/>
        <v>PSDP'!</v>
      </c>
      <c r="F3213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13" s="6" t="s">
        <v>111</v>
      </c>
      <c r="H3213" s="1"/>
      <c r="I3213" s="1"/>
    </row>
    <row r="3214" spans="1:9" x14ac:dyDescent="0.35">
      <c r="A3214" s="6" t="s">
        <v>21</v>
      </c>
      <c r="B3214" s="6">
        <f t="shared" si="735"/>
        <v>2043</v>
      </c>
      <c r="C3214" s="1" t="s">
        <v>110</v>
      </c>
      <c r="D3214" s="2" t="s">
        <v>2003</v>
      </c>
      <c r="E3214" s="9" t="str">
        <f t="shared" si="731"/>
        <v>PSDP'!</v>
      </c>
      <c r="F3214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14" s="6" t="s">
        <v>111</v>
      </c>
      <c r="H3214" s="1"/>
      <c r="I3214" s="1"/>
    </row>
    <row r="3215" spans="1:9" x14ac:dyDescent="0.35">
      <c r="A3215" s="6" t="s">
        <v>21</v>
      </c>
      <c r="B3215" s="6">
        <f>+B3214+1</f>
        <v>2044</v>
      </c>
      <c r="C3215" s="1" t="s">
        <v>110</v>
      </c>
      <c r="D3215" s="2" t="s">
        <v>2003</v>
      </c>
      <c r="E3215" s="9" t="str">
        <f t="shared" ref="E3215:E3230" si="736">_xlfn.CONCAT(A3215,"'!")</f>
        <v>PSDP'!</v>
      </c>
      <c r="F3215" s="5" t="str">
        <f t="shared" ref="F3215:F3230" si="737">_xlfn.CONCAT(D3215," ",E3215)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15" s="6" t="s">
        <v>111</v>
      </c>
      <c r="H3215" s="1"/>
      <c r="I3215" s="1"/>
    </row>
    <row r="3216" spans="1:9" x14ac:dyDescent="0.35">
      <c r="A3216" s="6" t="s">
        <v>21</v>
      </c>
      <c r="B3216" s="6">
        <f t="shared" ref="B3216:B3230" si="738">+B3215+1</f>
        <v>2045</v>
      </c>
      <c r="C3216" s="1" t="s">
        <v>110</v>
      </c>
      <c r="D3216" s="2" t="s">
        <v>2003</v>
      </c>
      <c r="E3216" s="9" t="str">
        <f t="shared" si="736"/>
        <v>PSDP'!</v>
      </c>
      <c r="F3216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16" s="6" t="s">
        <v>111</v>
      </c>
      <c r="H3216" s="1"/>
      <c r="I3216" s="1"/>
    </row>
    <row r="3217" spans="1:9" x14ac:dyDescent="0.35">
      <c r="A3217" s="6" t="s">
        <v>21</v>
      </c>
      <c r="B3217" s="6">
        <f t="shared" si="738"/>
        <v>2046</v>
      </c>
      <c r="C3217" s="1" t="s">
        <v>110</v>
      </c>
      <c r="D3217" s="2" t="s">
        <v>2003</v>
      </c>
      <c r="E3217" s="9" t="str">
        <f t="shared" si="736"/>
        <v>PSDP'!</v>
      </c>
      <c r="F3217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17" s="6" t="s">
        <v>111</v>
      </c>
      <c r="H3217" s="1"/>
      <c r="I3217" s="1"/>
    </row>
    <row r="3218" spans="1:9" x14ac:dyDescent="0.35">
      <c r="A3218" s="6" t="s">
        <v>21</v>
      </c>
      <c r="B3218" s="6">
        <f t="shared" si="738"/>
        <v>2047</v>
      </c>
      <c r="C3218" s="1" t="s">
        <v>110</v>
      </c>
      <c r="D3218" s="2" t="s">
        <v>2003</v>
      </c>
      <c r="E3218" s="9" t="str">
        <f t="shared" si="736"/>
        <v>PSDP'!</v>
      </c>
      <c r="F3218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18" s="6" t="s">
        <v>111</v>
      </c>
      <c r="H3218" s="1"/>
      <c r="I3218" s="1"/>
    </row>
    <row r="3219" spans="1:9" x14ac:dyDescent="0.35">
      <c r="A3219" s="6" t="s">
        <v>21</v>
      </c>
      <c r="B3219" s="6">
        <f t="shared" si="738"/>
        <v>2048</v>
      </c>
      <c r="C3219" s="1" t="s">
        <v>110</v>
      </c>
      <c r="D3219" s="2" t="s">
        <v>2003</v>
      </c>
      <c r="E3219" s="9" t="str">
        <f t="shared" si="736"/>
        <v>PSDP'!</v>
      </c>
      <c r="F3219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19" s="6" t="s">
        <v>111</v>
      </c>
      <c r="H3219" s="1"/>
      <c r="I3219" s="1"/>
    </row>
    <row r="3220" spans="1:9" x14ac:dyDescent="0.35">
      <c r="A3220" s="6" t="s">
        <v>21</v>
      </c>
      <c r="B3220" s="6">
        <f t="shared" si="738"/>
        <v>2049</v>
      </c>
      <c r="C3220" s="1" t="s">
        <v>110</v>
      </c>
      <c r="D3220" s="2" t="s">
        <v>2003</v>
      </c>
      <c r="E3220" s="9" t="str">
        <f t="shared" si="736"/>
        <v>PSDP'!</v>
      </c>
      <c r="F3220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20" s="6" t="s">
        <v>111</v>
      </c>
      <c r="H3220" s="1"/>
      <c r="I3220" s="1"/>
    </row>
    <row r="3221" spans="1:9" x14ac:dyDescent="0.35">
      <c r="A3221" s="6" t="s">
        <v>21</v>
      </c>
      <c r="B3221" s="6">
        <f t="shared" si="738"/>
        <v>2050</v>
      </c>
      <c r="C3221" s="1" t="s">
        <v>110</v>
      </c>
      <c r="D3221" s="2" t="s">
        <v>2003</v>
      </c>
      <c r="E3221" s="9" t="str">
        <f t="shared" si="736"/>
        <v>PSDP'!</v>
      </c>
      <c r="F3221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21" s="6" t="s">
        <v>111</v>
      </c>
      <c r="H3221" s="1"/>
      <c r="I3221" s="1"/>
    </row>
    <row r="3222" spans="1:9" x14ac:dyDescent="0.35">
      <c r="A3222" s="6" t="s">
        <v>21</v>
      </c>
      <c r="B3222" s="6">
        <f t="shared" si="738"/>
        <v>2051</v>
      </c>
      <c r="C3222" s="1" t="s">
        <v>110</v>
      </c>
      <c r="D3222" s="2" t="s">
        <v>2003</v>
      </c>
      <c r="E3222" s="9" t="str">
        <f t="shared" si="736"/>
        <v>PSDP'!</v>
      </c>
      <c r="F3222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22" s="6" t="s">
        <v>111</v>
      </c>
      <c r="H3222" s="1"/>
      <c r="I3222" s="1"/>
    </row>
    <row r="3223" spans="1:9" x14ac:dyDescent="0.35">
      <c r="A3223" s="6" t="s">
        <v>21</v>
      </c>
      <c r="B3223" s="6">
        <f t="shared" si="738"/>
        <v>2052</v>
      </c>
      <c r="C3223" s="1" t="s">
        <v>110</v>
      </c>
      <c r="D3223" s="2" t="s">
        <v>2003</v>
      </c>
      <c r="E3223" s="9" t="str">
        <f t="shared" si="736"/>
        <v>PSDP'!</v>
      </c>
      <c r="F3223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23" s="6" t="s">
        <v>111</v>
      </c>
      <c r="H3223" s="1"/>
      <c r="I3223" s="1"/>
    </row>
    <row r="3224" spans="1:9" x14ac:dyDescent="0.35">
      <c r="A3224" s="6" t="s">
        <v>21</v>
      </c>
      <c r="B3224" s="6">
        <f t="shared" si="738"/>
        <v>2053</v>
      </c>
      <c r="C3224" s="1" t="s">
        <v>110</v>
      </c>
      <c r="D3224" s="2" t="s">
        <v>2003</v>
      </c>
      <c r="E3224" s="9" t="str">
        <f t="shared" si="736"/>
        <v>PSDP'!</v>
      </c>
      <c r="F3224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24" s="6" t="s">
        <v>111</v>
      </c>
      <c r="H3224" s="1"/>
      <c r="I3224" s="1"/>
    </row>
    <row r="3225" spans="1:9" x14ac:dyDescent="0.35">
      <c r="A3225" s="6" t="s">
        <v>21</v>
      </c>
      <c r="B3225" s="6">
        <f t="shared" si="738"/>
        <v>2054</v>
      </c>
      <c r="C3225" s="1" t="s">
        <v>110</v>
      </c>
      <c r="D3225" s="2" t="s">
        <v>2003</v>
      </c>
      <c r="E3225" s="9" t="str">
        <f t="shared" si="736"/>
        <v>PSDP'!</v>
      </c>
      <c r="F3225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25" s="6" t="s">
        <v>111</v>
      </c>
      <c r="H3225" s="1"/>
      <c r="I3225" s="1"/>
    </row>
    <row r="3226" spans="1:9" x14ac:dyDescent="0.35">
      <c r="A3226" s="6" t="s">
        <v>21</v>
      </c>
      <c r="B3226" s="6">
        <f t="shared" si="738"/>
        <v>2055</v>
      </c>
      <c r="C3226" s="1" t="s">
        <v>110</v>
      </c>
      <c r="D3226" s="2" t="s">
        <v>2003</v>
      </c>
      <c r="E3226" s="9" t="str">
        <f t="shared" si="736"/>
        <v>PSDP'!</v>
      </c>
      <c r="F3226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26" s="6" t="s">
        <v>111</v>
      </c>
      <c r="H3226" s="1"/>
      <c r="I3226" s="1"/>
    </row>
    <row r="3227" spans="1:9" x14ac:dyDescent="0.35">
      <c r="A3227" s="6" t="s">
        <v>21</v>
      </c>
      <c r="B3227" s="6">
        <f t="shared" si="738"/>
        <v>2056</v>
      </c>
      <c r="C3227" s="1" t="s">
        <v>110</v>
      </c>
      <c r="D3227" s="2" t="s">
        <v>2003</v>
      </c>
      <c r="E3227" s="9" t="str">
        <f t="shared" si="736"/>
        <v>PSDP'!</v>
      </c>
      <c r="F3227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27" s="6" t="s">
        <v>111</v>
      </c>
      <c r="H3227" s="1"/>
      <c r="I3227" s="1"/>
    </row>
    <row r="3228" spans="1:9" x14ac:dyDescent="0.35">
      <c r="A3228" s="6" t="s">
        <v>21</v>
      </c>
      <c r="B3228" s="6">
        <f t="shared" si="738"/>
        <v>2057</v>
      </c>
      <c r="C3228" s="1" t="s">
        <v>110</v>
      </c>
      <c r="D3228" s="2" t="s">
        <v>2003</v>
      </c>
      <c r="E3228" s="9" t="str">
        <f t="shared" si="736"/>
        <v>PSDP'!</v>
      </c>
      <c r="F3228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28" s="6" t="s">
        <v>111</v>
      </c>
      <c r="H3228" s="1"/>
      <c r="I3228" s="1"/>
    </row>
    <row r="3229" spans="1:9" x14ac:dyDescent="0.35">
      <c r="A3229" s="6" t="s">
        <v>21</v>
      </c>
      <c r="B3229" s="6">
        <f t="shared" si="738"/>
        <v>2058</v>
      </c>
      <c r="C3229" s="1" t="s">
        <v>110</v>
      </c>
      <c r="D3229" s="2" t="s">
        <v>2003</v>
      </c>
      <c r="E3229" s="9" t="str">
        <f t="shared" si="736"/>
        <v>PSDP'!</v>
      </c>
      <c r="F3229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29" s="6" t="s">
        <v>111</v>
      </c>
      <c r="H3229" s="1"/>
      <c r="I3229" s="1"/>
    </row>
    <row r="3230" spans="1:9" x14ac:dyDescent="0.35">
      <c r="A3230" s="6" t="s">
        <v>21</v>
      </c>
      <c r="B3230" s="6">
        <f t="shared" si="738"/>
        <v>2059</v>
      </c>
      <c r="C3230" s="1" t="s">
        <v>110</v>
      </c>
      <c r="D3230" s="2" t="s">
        <v>2003</v>
      </c>
      <c r="E3230" s="9" t="str">
        <f t="shared" si="736"/>
        <v>PSDP'!</v>
      </c>
      <c r="F3230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30" s="6" t="s">
        <v>111</v>
      </c>
      <c r="H3230" s="1"/>
      <c r="I3230" s="1"/>
    </row>
    <row r="3231" spans="1:9" x14ac:dyDescent="0.35">
      <c r="A3231" s="8" t="s">
        <v>26</v>
      </c>
      <c r="C3231" s="1" t="s">
        <v>110</v>
      </c>
      <c r="D3231" s="2"/>
      <c r="E3231" s="8" t="str">
        <f t="shared" si="731"/>
        <v>Total'!</v>
      </c>
      <c r="F3231" s="2"/>
    </row>
    <row r="3232" spans="1:9" x14ac:dyDescent="0.35">
      <c r="A3232" s="6" t="s">
        <v>22</v>
      </c>
      <c r="B3232" s="6">
        <v>2023</v>
      </c>
      <c r="C3232" s="1" t="s">
        <v>110</v>
      </c>
      <c r="D3232" s="2" t="s">
        <v>2003</v>
      </c>
      <c r="E3232" s="9" t="str">
        <f t="shared" ref="E3232:E3269" si="739">_xlfn.CONCAT(A3232,"'!")</f>
        <v>PSNP'!</v>
      </c>
      <c r="F3232" s="5" t="str">
        <f t="shared" ref="F3232:F3252" si="740">_xlfn.CONCAT(D3232," ",E3232)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32" s="6" t="s">
        <v>111</v>
      </c>
      <c r="H3232" s="1"/>
      <c r="I3232" s="1"/>
    </row>
    <row r="3233" spans="1:9" x14ac:dyDescent="0.35">
      <c r="A3233" s="6" t="s">
        <v>22</v>
      </c>
      <c r="B3233" s="6">
        <f>+B3232+1</f>
        <v>2024</v>
      </c>
      <c r="C3233" s="1" t="s">
        <v>110</v>
      </c>
      <c r="D3233" s="2" t="s">
        <v>2003</v>
      </c>
      <c r="E3233" s="9" t="str">
        <f t="shared" si="739"/>
        <v>PSNP'!</v>
      </c>
      <c r="F3233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33" s="6" t="s">
        <v>111</v>
      </c>
      <c r="H3233" s="1"/>
      <c r="I3233" s="1"/>
    </row>
    <row r="3234" spans="1:9" x14ac:dyDescent="0.35">
      <c r="A3234" s="6" t="s">
        <v>22</v>
      </c>
      <c r="B3234" s="6">
        <f t="shared" ref="B3234:B3245" si="741">+B3233+1</f>
        <v>2025</v>
      </c>
      <c r="C3234" s="1" t="s">
        <v>110</v>
      </c>
      <c r="D3234" s="2" t="s">
        <v>2003</v>
      </c>
      <c r="E3234" s="9" t="str">
        <f t="shared" si="739"/>
        <v>PSNP'!</v>
      </c>
      <c r="F3234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34" s="6" t="s">
        <v>111</v>
      </c>
      <c r="H3234" s="1"/>
      <c r="I3234" s="1"/>
    </row>
    <row r="3235" spans="1:9" x14ac:dyDescent="0.35">
      <c r="A3235" s="6" t="s">
        <v>22</v>
      </c>
      <c r="B3235" s="6">
        <f t="shared" si="741"/>
        <v>2026</v>
      </c>
      <c r="C3235" s="1" t="s">
        <v>110</v>
      </c>
      <c r="D3235" s="2" t="s">
        <v>2003</v>
      </c>
      <c r="E3235" s="9" t="str">
        <f t="shared" si="739"/>
        <v>PSNP'!</v>
      </c>
      <c r="F3235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35" s="6" t="s">
        <v>111</v>
      </c>
      <c r="H3235" s="1"/>
      <c r="I3235" s="1"/>
    </row>
    <row r="3236" spans="1:9" x14ac:dyDescent="0.35">
      <c r="A3236" s="6" t="s">
        <v>22</v>
      </c>
      <c r="B3236" s="6">
        <f t="shared" si="741"/>
        <v>2027</v>
      </c>
      <c r="C3236" s="1" t="s">
        <v>110</v>
      </c>
      <c r="D3236" s="2" t="s">
        <v>2003</v>
      </c>
      <c r="E3236" s="9" t="str">
        <f t="shared" si="739"/>
        <v>PSNP'!</v>
      </c>
      <c r="F3236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36" s="6" t="s">
        <v>111</v>
      </c>
      <c r="H3236" s="1"/>
      <c r="I3236" s="1"/>
    </row>
    <row r="3237" spans="1:9" x14ac:dyDescent="0.35">
      <c r="A3237" s="6" t="s">
        <v>22</v>
      </c>
      <c r="B3237" s="6">
        <f t="shared" si="741"/>
        <v>2028</v>
      </c>
      <c r="C3237" s="1" t="s">
        <v>110</v>
      </c>
      <c r="D3237" s="2" t="s">
        <v>2003</v>
      </c>
      <c r="E3237" s="9" t="str">
        <f t="shared" si="739"/>
        <v>PSNP'!</v>
      </c>
      <c r="F3237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37" s="6" t="s">
        <v>111</v>
      </c>
      <c r="H3237" s="1"/>
      <c r="I3237" s="1"/>
    </row>
    <row r="3238" spans="1:9" x14ac:dyDescent="0.35">
      <c r="A3238" s="6" t="s">
        <v>22</v>
      </c>
      <c r="B3238" s="6">
        <f t="shared" si="741"/>
        <v>2029</v>
      </c>
      <c r="C3238" s="1" t="s">
        <v>110</v>
      </c>
      <c r="D3238" s="2" t="s">
        <v>2003</v>
      </c>
      <c r="E3238" s="9" t="str">
        <f t="shared" si="739"/>
        <v>PSNP'!</v>
      </c>
      <c r="F3238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38" s="6" t="s">
        <v>111</v>
      </c>
      <c r="H3238" s="1"/>
      <c r="I3238" s="1"/>
    </row>
    <row r="3239" spans="1:9" x14ac:dyDescent="0.35">
      <c r="A3239" s="6" t="s">
        <v>22</v>
      </c>
      <c r="B3239" s="6">
        <f t="shared" si="741"/>
        <v>2030</v>
      </c>
      <c r="C3239" s="1" t="s">
        <v>110</v>
      </c>
      <c r="D3239" s="2" t="s">
        <v>2003</v>
      </c>
      <c r="E3239" s="9" t="str">
        <f t="shared" si="739"/>
        <v>PSNP'!</v>
      </c>
      <c r="F3239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39" s="6" t="s">
        <v>111</v>
      </c>
      <c r="H3239" s="1"/>
      <c r="I3239" s="1"/>
    </row>
    <row r="3240" spans="1:9" x14ac:dyDescent="0.35">
      <c r="A3240" s="6" t="s">
        <v>22</v>
      </c>
      <c r="B3240" s="6">
        <f t="shared" si="741"/>
        <v>2031</v>
      </c>
      <c r="C3240" s="1" t="s">
        <v>110</v>
      </c>
      <c r="D3240" s="2" t="s">
        <v>2003</v>
      </c>
      <c r="E3240" s="9" t="str">
        <f t="shared" si="739"/>
        <v>PSNP'!</v>
      </c>
      <c r="F3240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40" s="6" t="s">
        <v>111</v>
      </c>
      <c r="H3240" s="1"/>
      <c r="I3240" s="1"/>
    </row>
    <row r="3241" spans="1:9" x14ac:dyDescent="0.35">
      <c r="A3241" s="6" t="s">
        <v>22</v>
      </c>
      <c r="B3241" s="6">
        <f t="shared" si="741"/>
        <v>2032</v>
      </c>
      <c r="C3241" s="1" t="s">
        <v>110</v>
      </c>
      <c r="D3241" s="2" t="s">
        <v>2003</v>
      </c>
      <c r="E3241" s="9" t="str">
        <f t="shared" si="739"/>
        <v>PSNP'!</v>
      </c>
      <c r="F3241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41" s="6" t="s">
        <v>111</v>
      </c>
      <c r="H3241" s="1"/>
      <c r="I3241" s="1"/>
    </row>
    <row r="3242" spans="1:9" x14ac:dyDescent="0.35">
      <c r="A3242" s="6" t="s">
        <v>22</v>
      </c>
      <c r="B3242" s="6">
        <f t="shared" si="741"/>
        <v>2033</v>
      </c>
      <c r="C3242" s="1" t="s">
        <v>110</v>
      </c>
      <c r="D3242" s="2" t="s">
        <v>2003</v>
      </c>
      <c r="E3242" s="9" t="str">
        <f t="shared" si="739"/>
        <v>PSNP'!</v>
      </c>
      <c r="F3242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42" s="6" t="s">
        <v>111</v>
      </c>
      <c r="H3242" s="1"/>
      <c r="I3242" s="1"/>
    </row>
    <row r="3243" spans="1:9" x14ac:dyDescent="0.35">
      <c r="A3243" s="6" t="s">
        <v>22</v>
      </c>
      <c r="B3243" s="6">
        <f t="shared" si="741"/>
        <v>2034</v>
      </c>
      <c r="C3243" s="1" t="s">
        <v>110</v>
      </c>
      <c r="D3243" s="2" t="s">
        <v>2003</v>
      </c>
      <c r="E3243" s="9" t="str">
        <f t="shared" si="739"/>
        <v>PSNP'!</v>
      </c>
      <c r="F3243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43" s="6" t="s">
        <v>111</v>
      </c>
      <c r="H3243" s="1"/>
      <c r="I3243" s="1"/>
    </row>
    <row r="3244" spans="1:9" x14ac:dyDescent="0.35">
      <c r="A3244" s="6" t="s">
        <v>22</v>
      </c>
      <c r="B3244" s="6">
        <f t="shared" si="741"/>
        <v>2035</v>
      </c>
      <c r="C3244" s="1" t="s">
        <v>110</v>
      </c>
      <c r="D3244" s="2" t="s">
        <v>2003</v>
      </c>
      <c r="E3244" s="9" t="str">
        <f t="shared" si="739"/>
        <v>PSNP'!</v>
      </c>
      <c r="F3244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44" s="6" t="s">
        <v>111</v>
      </c>
      <c r="H3244" s="1"/>
      <c r="I3244" s="1"/>
    </row>
    <row r="3245" spans="1:9" x14ac:dyDescent="0.35">
      <c r="A3245" s="6" t="s">
        <v>22</v>
      </c>
      <c r="B3245" s="6">
        <f t="shared" si="741"/>
        <v>2036</v>
      </c>
      <c r="C3245" s="1" t="s">
        <v>110</v>
      </c>
      <c r="D3245" s="2" t="s">
        <v>2003</v>
      </c>
      <c r="E3245" s="9" t="str">
        <f t="shared" si="739"/>
        <v>PSNP'!</v>
      </c>
      <c r="F3245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45" s="6" t="s">
        <v>111</v>
      </c>
      <c r="H3245" s="1"/>
      <c r="I3245" s="1"/>
    </row>
    <row r="3246" spans="1:9" x14ac:dyDescent="0.35">
      <c r="A3246" s="6" t="s">
        <v>22</v>
      </c>
      <c r="B3246" s="6">
        <f>+B3245+1</f>
        <v>2037</v>
      </c>
      <c r="C3246" s="1" t="s">
        <v>110</v>
      </c>
      <c r="D3246" s="2" t="s">
        <v>2003</v>
      </c>
      <c r="E3246" s="9" t="str">
        <f t="shared" si="739"/>
        <v>PSNP'!</v>
      </c>
      <c r="F3246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46" s="6" t="s">
        <v>111</v>
      </c>
      <c r="H3246" s="1"/>
      <c r="I3246" s="1"/>
    </row>
    <row r="3247" spans="1:9" x14ac:dyDescent="0.35">
      <c r="A3247" s="6" t="s">
        <v>22</v>
      </c>
      <c r="B3247" s="6">
        <f t="shared" ref="B3247:B3249" si="742">+B3246+1</f>
        <v>2038</v>
      </c>
      <c r="C3247" s="1" t="s">
        <v>110</v>
      </c>
      <c r="D3247" s="2" t="s">
        <v>2003</v>
      </c>
      <c r="E3247" s="9" t="str">
        <f t="shared" si="739"/>
        <v>PSNP'!</v>
      </c>
      <c r="F3247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47" s="6" t="s">
        <v>111</v>
      </c>
      <c r="H3247" s="1"/>
      <c r="I3247" s="1"/>
    </row>
    <row r="3248" spans="1:9" x14ac:dyDescent="0.35">
      <c r="A3248" s="6" t="s">
        <v>22</v>
      </c>
      <c r="B3248" s="6">
        <f t="shared" si="742"/>
        <v>2039</v>
      </c>
      <c r="C3248" s="1" t="s">
        <v>110</v>
      </c>
      <c r="D3248" s="2" t="s">
        <v>2003</v>
      </c>
      <c r="E3248" s="9" t="str">
        <f t="shared" si="739"/>
        <v>PSNP'!</v>
      </c>
      <c r="F3248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48" s="6" t="s">
        <v>111</v>
      </c>
      <c r="H3248" s="1"/>
      <c r="I3248" s="1"/>
    </row>
    <row r="3249" spans="1:9" x14ac:dyDescent="0.35">
      <c r="A3249" s="6" t="s">
        <v>22</v>
      </c>
      <c r="B3249" s="6">
        <f t="shared" si="742"/>
        <v>2040</v>
      </c>
      <c r="C3249" s="1" t="s">
        <v>110</v>
      </c>
      <c r="D3249" s="2" t="s">
        <v>2003</v>
      </c>
      <c r="E3249" s="9" t="str">
        <f t="shared" si="739"/>
        <v>PSNP'!</v>
      </c>
      <c r="F3249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49" s="6" t="s">
        <v>111</v>
      </c>
      <c r="H3249" s="1"/>
      <c r="I3249" s="1"/>
    </row>
    <row r="3250" spans="1:9" x14ac:dyDescent="0.35">
      <c r="A3250" s="6" t="s">
        <v>22</v>
      </c>
      <c r="B3250" s="6">
        <f>+B3249+1</f>
        <v>2041</v>
      </c>
      <c r="C3250" s="1" t="s">
        <v>110</v>
      </c>
      <c r="D3250" s="2" t="s">
        <v>2003</v>
      </c>
      <c r="E3250" s="9" t="str">
        <f t="shared" si="739"/>
        <v>PSNP'!</v>
      </c>
      <c r="F3250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50" s="6" t="s">
        <v>111</v>
      </c>
      <c r="H3250" s="1"/>
      <c r="I3250" s="1"/>
    </row>
    <row r="3251" spans="1:9" x14ac:dyDescent="0.35">
      <c r="A3251" s="6" t="s">
        <v>22</v>
      </c>
      <c r="B3251" s="6">
        <f t="shared" ref="B3251:B3252" si="743">+B3250+1</f>
        <v>2042</v>
      </c>
      <c r="C3251" s="1" t="s">
        <v>110</v>
      </c>
      <c r="D3251" s="2" t="s">
        <v>2003</v>
      </c>
      <c r="E3251" s="9" t="str">
        <f t="shared" si="739"/>
        <v>PSNP'!</v>
      </c>
      <c r="F3251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51" s="6" t="s">
        <v>111</v>
      </c>
      <c r="H3251" s="1"/>
      <c r="I3251" s="1"/>
    </row>
    <row r="3252" spans="1:9" x14ac:dyDescent="0.35">
      <c r="A3252" s="6" t="s">
        <v>22</v>
      </c>
      <c r="B3252" s="6">
        <f t="shared" si="743"/>
        <v>2043</v>
      </c>
      <c r="C3252" s="1" t="s">
        <v>110</v>
      </c>
      <c r="D3252" s="2" t="s">
        <v>2003</v>
      </c>
      <c r="E3252" s="9" t="str">
        <f t="shared" si="739"/>
        <v>PSNP'!</v>
      </c>
      <c r="F3252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52" s="6" t="s">
        <v>111</v>
      </c>
      <c r="H3252" s="1"/>
      <c r="I3252" s="1"/>
    </row>
    <row r="3253" spans="1:9" x14ac:dyDescent="0.35">
      <c r="A3253" s="6" t="s">
        <v>22</v>
      </c>
      <c r="B3253" s="6">
        <f>+B3252+1</f>
        <v>2044</v>
      </c>
      <c r="C3253" s="1" t="s">
        <v>110</v>
      </c>
      <c r="D3253" s="2" t="s">
        <v>2003</v>
      </c>
      <c r="E3253" s="9" t="str">
        <f t="shared" ref="E3253:E3268" si="744">_xlfn.CONCAT(A3253,"'!")</f>
        <v>PSNP'!</v>
      </c>
      <c r="F3253" s="5" t="str">
        <f t="shared" ref="F3253:F3268" si="745">_xlfn.CONCAT(D3253," ",E3253)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53" s="6" t="s">
        <v>111</v>
      </c>
      <c r="H3253" s="1"/>
      <c r="I3253" s="1"/>
    </row>
    <row r="3254" spans="1:9" x14ac:dyDescent="0.35">
      <c r="A3254" s="6" t="s">
        <v>22</v>
      </c>
      <c r="B3254" s="6">
        <f t="shared" ref="B3254:B3268" si="746">+B3253+1</f>
        <v>2045</v>
      </c>
      <c r="C3254" s="1" t="s">
        <v>110</v>
      </c>
      <c r="D3254" s="2" t="s">
        <v>2003</v>
      </c>
      <c r="E3254" s="9" t="str">
        <f t="shared" si="744"/>
        <v>PSNP'!</v>
      </c>
      <c r="F3254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54" s="6" t="s">
        <v>111</v>
      </c>
      <c r="H3254" s="1"/>
      <c r="I3254" s="1"/>
    </row>
    <row r="3255" spans="1:9" x14ac:dyDescent="0.35">
      <c r="A3255" s="6" t="s">
        <v>22</v>
      </c>
      <c r="B3255" s="6">
        <f t="shared" si="746"/>
        <v>2046</v>
      </c>
      <c r="C3255" s="1" t="s">
        <v>110</v>
      </c>
      <c r="D3255" s="2" t="s">
        <v>2003</v>
      </c>
      <c r="E3255" s="9" t="str">
        <f t="shared" si="744"/>
        <v>PSNP'!</v>
      </c>
      <c r="F3255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55" s="6" t="s">
        <v>111</v>
      </c>
      <c r="H3255" s="1"/>
      <c r="I3255" s="1"/>
    </row>
    <row r="3256" spans="1:9" x14ac:dyDescent="0.35">
      <c r="A3256" s="6" t="s">
        <v>22</v>
      </c>
      <c r="B3256" s="6">
        <f t="shared" si="746"/>
        <v>2047</v>
      </c>
      <c r="C3256" s="1" t="s">
        <v>110</v>
      </c>
      <c r="D3256" s="2" t="s">
        <v>2003</v>
      </c>
      <c r="E3256" s="9" t="str">
        <f t="shared" si="744"/>
        <v>PSNP'!</v>
      </c>
      <c r="F3256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56" s="6" t="s">
        <v>111</v>
      </c>
      <c r="H3256" s="1"/>
      <c r="I3256" s="1"/>
    </row>
    <row r="3257" spans="1:9" x14ac:dyDescent="0.35">
      <c r="A3257" s="6" t="s">
        <v>22</v>
      </c>
      <c r="B3257" s="6">
        <f t="shared" si="746"/>
        <v>2048</v>
      </c>
      <c r="C3257" s="1" t="s">
        <v>110</v>
      </c>
      <c r="D3257" s="2" t="s">
        <v>2003</v>
      </c>
      <c r="E3257" s="9" t="str">
        <f t="shared" si="744"/>
        <v>PSNP'!</v>
      </c>
      <c r="F3257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57" s="6" t="s">
        <v>111</v>
      </c>
      <c r="H3257" s="1"/>
      <c r="I3257" s="1"/>
    </row>
    <row r="3258" spans="1:9" x14ac:dyDescent="0.35">
      <c r="A3258" s="6" t="s">
        <v>22</v>
      </c>
      <c r="B3258" s="6">
        <f t="shared" si="746"/>
        <v>2049</v>
      </c>
      <c r="C3258" s="1" t="s">
        <v>110</v>
      </c>
      <c r="D3258" s="2" t="s">
        <v>2003</v>
      </c>
      <c r="E3258" s="9" t="str">
        <f t="shared" si="744"/>
        <v>PSNP'!</v>
      </c>
      <c r="F3258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58" s="6" t="s">
        <v>111</v>
      </c>
      <c r="H3258" s="1"/>
      <c r="I3258" s="1"/>
    </row>
    <row r="3259" spans="1:9" x14ac:dyDescent="0.35">
      <c r="A3259" s="6" t="s">
        <v>22</v>
      </c>
      <c r="B3259" s="6">
        <f t="shared" si="746"/>
        <v>2050</v>
      </c>
      <c r="C3259" s="1" t="s">
        <v>110</v>
      </c>
      <c r="D3259" s="2" t="s">
        <v>2003</v>
      </c>
      <c r="E3259" s="9" t="str">
        <f t="shared" si="744"/>
        <v>PSNP'!</v>
      </c>
      <c r="F3259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59" s="6" t="s">
        <v>111</v>
      </c>
      <c r="H3259" s="1"/>
      <c r="I3259" s="1"/>
    </row>
    <row r="3260" spans="1:9" x14ac:dyDescent="0.35">
      <c r="A3260" s="6" t="s">
        <v>22</v>
      </c>
      <c r="B3260" s="6">
        <f t="shared" si="746"/>
        <v>2051</v>
      </c>
      <c r="C3260" s="1" t="s">
        <v>110</v>
      </c>
      <c r="D3260" s="2" t="s">
        <v>2003</v>
      </c>
      <c r="E3260" s="9" t="str">
        <f t="shared" si="744"/>
        <v>PSNP'!</v>
      </c>
      <c r="F3260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60" s="6" t="s">
        <v>111</v>
      </c>
      <c r="H3260" s="1"/>
      <c r="I3260" s="1"/>
    </row>
    <row r="3261" spans="1:9" x14ac:dyDescent="0.35">
      <c r="A3261" s="6" t="s">
        <v>22</v>
      </c>
      <c r="B3261" s="6">
        <f t="shared" si="746"/>
        <v>2052</v>
      </c>
      <c r="C3261" s="1" t="s">
        <v>110</v>
      </c>
      <c r="D3261" s="2" t="s">
        <v>2003</v>
      </c>
      <c r="E3261" s="9" t="str">
        <f t="shared" si="744"/>
        <v>PSNP'!</v>
      </c>
      <c r="F3261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61" s="6" t="s">
        <v>111</v>
      </c>
      <c r="H3261" s="1"/>
      <c r="I3261" s="1"/>
    </row>
    <row r="3262" spans="1:9" x14ac:dyDescent="0.35">
      <c r="A3262" s="6" t="s">
        <v>22</v>
      </c>
      <c r="B3262" s="6">
        <f t="shared" si="746"/>
        <v>2053</v>
      </c>
      <c r="C3262" s="1" t="s">
        <v>110</v>
      </c>
      <c r="D3262" s="2" t="s">
        <v>2003</v>
      </c>
      <c r="E3262" s="9" t="str">
        <f t="shared" si="744"/>
        <v>PSNP'!</v>
      </c>
      <c r="F3262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62" s="6" t="s">
        <v>111</v>
      </c>
      <c r="H3262" s="1"/>
      <c r="I3262" s="1"/>
    </row>
    <row r="3263" spans="1:9" x14ac:dyDescent="0.35">
      <c r="A3263" s="6" t="s">
        <v>22</v>
      </c>
      <c r="B3263" s="6">
        <f t="shared" si="746"/>
        <v>2054</v>
      </c>
      <c r="C3263" s="1" t="s">
        <v>110</v>
      </c>
      <c r="D3263" s="2" t="s">
        <v>2003</v>
      </c>
      <c r="E3263" s="9" t="str">
        <f t="shared" si="744"/>
        <v>PSNP'!</v>
      </c>
      <c r="F3263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63" s="6" t="s">
        <v>111</v>
      </c>
      <c r="H3263" s="1"/>
      <c r="I3263" s="1"/>
    </row>
    <row r="3264" spans="1:9" x14ac:dyDescent="0.35">
      <c r="A3264" s="6" t="s">
        <v>22</v>
      </c>
      <c r="B3264" s="6">
        <f t="shared" si="746"/>
        <v>2055</v>
      </c>
      <c r="C3264" s="1" t="s">
        <v>110</v>
      </c>
      <c r="D3264" s="2" t="s">
        <v>2003</v>
      </c>
      <c r="E3264" s="9" t="str">
        <f t="shared" si="744"/>
        <v>PSNP'!</v>
      </c>
      <c r="F3264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64" s="6" t="s">
        <v>111</v>
      </c>
      <c r="H3264" s="1"/>
      <c r="I3264" s="1"/>
    </row>
    <row r="3265" spans="1:9" x14ac:dyDescent="0.35">
      <c r="A3265" s="6" t="s">
        <v>22</v>
      </c>
      <c r="B3265" s="6">
        <f t="shared" si="746"/>
        <v>2056</v>
      </c>
      <c r="C3265" s="1" t="s">
        <v>110</v>
      </c>
      <c r="D3265" s="2" t="s">
        <v>2003</v>
      </c>
      <c r="E3265" s="9" t="str">
        <f t="shared" si="744"/>
        <v>PSNP'!</v>
      </c>
      <c r="F3265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65" s="6" t="s">
        <v>111</v>
      </c>
      <c r="H3265" s="1"/>
      <c r="I3265" s="1"/>
    </row>
    <row r="3266" spans="1:9" x14ac:dyDescent="0.35">
      <c r="A3266" s="6" t="s">
        <v>22</v>
      </c>
      <c r="B3266" s="6">
        <f t="shared" si="746"/>
        <v>2057</v>
      </c>
      <c r="C3266" s="1" t="s">
        <v>110</v>
      </c>
      <c r="D3266" s="2" t="s">
        <v>2003</v>
      </c>
      <c r="E3266" s="9" t="str">
        <f t="shared" si="744"/>
        <v>PSNP'!</v>
      </c>
      <c r="F3266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66" s="6" t="s">
        <v>111</v>
      </c>
      <c r="H3266" s="1"/>
      <c r="I3266" s="1"/>
    </row>
    <row r="3267" spans="1:9" x14ac:dyDescent="0.35">
      <c r="A3267" s="6" t="s">
        <v>22</v>
      </c>
      <c r="B3267" s="6">
        <f t="shared" si="746"/>
        <v>2058</v>
      </c>
      <c r="C3267" s="1" t="s">
        <v>110</v>
      </c>
      <c r="D3267" s="2" t="s">
        <v>2003</v>
      </c>
      <c r="E3267" s="9" t="str">
        <f t="shared" si="744"/>
        <v>PSNP'!</v>
      </c>
      <c r="F3267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67" s="6" t="s">
        <v>111</v>
      </c>
      <c r="H3267" s="1"/>
      <c r="I3267" s="1"/>
    </row>
    <row r="3268" spans="1:9" x14ac:dyDescent="0.35">
      <c r="A3268" s="6" t="s">
        <v>22</v>
      </c>
      <c r="B3268" s="6">
        <f t="shared" si="746"/>
        <v>2059</v>
      </c>
      <c r="C3268" s="1" t="s">
        <v>110</v>
      </c>
      <c r="D3268" s="2" t="s">
        <v>2003</v>
      </c>
      <c r="E3268" s="9" t="str">
        <f t="shared" si="744"/>
        <v>PSNP'!</v>
      </c>
      <c r="F3268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68" s="6" t="s">
        <v>111</v>
      </c>
      <c r="H3268" s="1"/>
      <c r="I3268" s="1"/>
    </row>
    <row r="3269" spans="1:9" x14ac:dyDescent="0.35">
      <c r="A3269" s="8" t="s">
        <v>26</v>
      </c>
      <c r="C3269" s="1" t="s">
        <v>110</v>
      </c>
      <c r="D3269" s="2"/>
      <c r="E3269" s="8" t="str">
        <f t="shared" si="739"/>
        <v>Total'!</v>
      </c>
      <c r="F3269" s="5"/>
    </row>
    <row r="3270" spans="1:9" x14ac:dyDescent="0.35">
      <c r="A3270" s="6" t="s">
        <v>23</v>
      </c>
      <c r="B3270" s="6">
        <v>2023</v>
      </c>
      <c r="C3270" s="1" t="s">
        <v>110</v>
      </c>
      <c r="D3270" s="2" t="s">
        <v>2003</v>
      </c>
      <c r="E3270" s="9" t="str">
        <f t="shared" ref="E3270:E3307" si="747">_xlfn.CONCAT(A3270,"'!")</f>
        <v>PSND'!</v>
      </c>
      <c r="F3270" s="5" t="str">
        <f t="shared" ref="F3270:F3290" si="748">_xlfn.CONCAT(D3270," ",E3270)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70" s="6" t="s">
        <v>111</v>
      </c>
      <c r="H3270" s="1"/>
      <c r="I3270" s="1"/>
    </row>
    <row r="3271" spans="1:9" x14ac:dyDescent="0.35">
      <c r="A3271" s="6" t="s">
        <v>23</v>
      </c>
      <c r="B3271" s="6">
        <f>+B3270+1</f>
        <v>2024</v>
      </c>
      <c r="C3271" s="1" t="s">
        <v>110</v>
      </c>
      <c r="D3271" s="2" t="s">
        <v>2003</v>
      </c>
      <c r="E3271" s="9" t="str">
        <f t="shared" si="747"/>
        <v>PSND'!</v>
      </c>
      <c r="F3271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71" s="6" t="s">
        <v>111</v>
      </c>
      <c r="H3271" s="1"/>
      <c r="I3271" s="1"/>
    </row>
    <row r="3272" spans="1:9" x14ac:dyDescent="0.35">
      <c r="A3272" s="6" t="s">
        <v>23</v>
      </c>
      <c r="B3272" s="6">
        <f t="shared" ref="B3272:B3283" si="749">+B3271+1</f>
        <v>2025</v>
      </c>
      <c r="C3272" s="1" t="s">
        <v>110</v>
      </c>
      <c r="D3272" s="2" t="s">
        <v>2003</v>
      </c>
      <c r="E3272" s="9" t="str">
        <f t="shared" si="747"/>
        <v>PSND'!</v>
      </c>
      <c r="F3272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72" s="6" t="s">
        <v>111</v>
      </c>
      <c r="H3272" s="1"/>
      <c r="I3272" s="1"/>
    </row>
    <row r="3273" spans="1:9" x14ac:dyDescent="0.35">
      <c r="A3273" s="6" t="s">
        <v>23</v>
      </c>
      <c r="B3273" s="6">
        <f t="shared" si="749"/>
        <v>2026</v>
      </c>
      <c r="C3273" s="1" t="s">
        <v>110</v>
      </c>
      <c r="D3273" s="2" t="s">
        <v>2003</v>
      </c>
      <c r="E3273" s="9" t="str">
        <f t="shared" si="747"/>
        <v>PSND'!</v>
      </c>
      <c r="F3273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73" s="6" t="s">
        <v>111</v>
      </c>
      <c r="H3273" s="1"/>
      <c r="I3273" s="1"/>
    </row>
    <row r="3274" spans="1:9" x14ac:dyDescent="0.35">
      <c r="A3274" s="6" t="s">
        <v>23</v>
      </c>
      <c r="B3274" s="6">
        <f t="shared" si="749"/>
        <v>2027</v>
      </c>
      <c r="C3274" s="1" t="s">
        <v>110</v>
      </c>
      <c r="D3274" s="2" t="s">
        <v>2003</v>
      </c>
      <c r="E3274" s="9" t="str">
        <f t="shared" si="747"/>
        <v>PSND'!</v>
      </c>
      <c r="F3274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74" s="6" t="s">
        <v>111</v>
      </c>
      <c r="H3274" s="1"/>
      <c r="I3274" s="1"/>
    </row>
    <row r="3275" spans="1:9" x14ac:dyDescent="0.35">
      <c r="A3275" s="6" t="s">
        <v>23</v>
      </c>
      <c r="B3275" s="6">
        <f t="shared" si="749"/>
        <v>2028</v>
      </c>
      <c r="C3275" s="1" t="s">
        <v>110</v>
      </c>
      <c r="D3275" s="2" t="s">
        <v>2003</v>
      </c>
      <c r="E3275" s="9" t="str">
        <f t="shared" si="747"/>
        <v>PSND'!</v>
      </c>
      <c r="F3275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75" s="6" t="s">
        <v>111</v>
      </c>
      <c r="H3275" s="1"/>
      <c r="I3275" s="1"/>
    </row>
    <row r="3276" spans="1:9" x14ac:dyDescent="0.35">
      <c r="A3276" s="6" t="s">
        <v>23</v>
      </c>
      <c r="B3276" s="6">
        <f t="shared" si="749"/>
        <v>2029</v>
      </c>
      <c r="C3276" s="1" t="s">
        <v>110</v>
      </c>
      <c r="D3276" s="2" t="s">
        <v>2003</v>
      </c>
      <c r="E3276" s="9" t="str">
        <f t="shared" si="747"/>
        <v>PSND'!</v>
      </c>
      <c r="F3276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76" s="6" t="s">
        <v>111</v>
      </c>
      <c r="H3276" s="1"/>
      <c r="I3276" s="1"/>
    </row>
    <row r="3277" spans="1:9" x14ac:dyDescent="0.35">
      <c r="A3277" s="6" t="s">
        <v>23</v>
      </c>
      <c r="B3277" s="6">
        <f t="shared" si="749"/>
        <v>2030</v>
      </c>
      <c r="C3277" s="1" t="s">
        <v>110</v>
      </c>
      <c r="D3277" s="2" t="s">
        <v>2003</v>
      </c>
      <c r="E3277" s="9" t="str">
        <f t="shared" si="747"/>
        <v>PSND'!</v>
      </c>
      <c r="F3277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77" s="6" t="s">
        <v>111</v>
      </c>
      <c r="H3277" s="1"/>
      <c r="I3277" s="1"/>
    </row>
    <row r="3278" spans="1:9" x14ac:dyDescent="0.35">
      <c r="A3278" s="6" t="s">
        <v>23</v>
      </c>
      <c r="B3278" s="6">
        <f t="shared" si="749"/>
        <v>2031</v>
      </c>
      <c r="C3278" s="1" t="s">
        <v>110</v>
      </c>
      <c r="D3278" s="2" t="s">
        <v>2003</v>
      </c>
      <c r="E3278" s="9" t="str">
        <f t="shared" si="747"/>
        <v>PSND'!</v>
      </c>
      <c r="F3278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78" s="6" t="s">
        <v>111</v>
      </c>
      <c r="H3278" s="1"/>
      <c r="I3278" s="1"/>
    </row>
    <row r="3279" spans="1:9" x14ac:dyDescent="0.35">
      <c r="A3279" s="6" t="s">
        <v>23</v>
      </c>
      <c r="B3279" s="6">
        <f t="shared" si="749"/>
        <v>2032</v>
      </c>
      <c r="C3279" s="1" t="s">
        <v>110</v>
      </c>
      <c r="D3279" s="2" t="s">
        <v>2003</v>
      </c>
      <c r="E3279" s="9" t="str">
        <f t="shared" si="747"/>
        <v>PSND'!</v>
      </c>
      <c r="F3279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79" s="6" t="s">
        <v>111</v>
      </c>
      <c r="H3279" s="1"/>
      <c r="I3279" s="1"/>
    </row>
    <row r="3280" spans="1:9" x14ac:dyDescent="0.35">
      <c r="A3280" s="6" t="s">
        <v>23</v>
      </c>
      <c r="B3280" s="6">
        <f t="shared" si="749"/>
        <v>2033</v>
      </c>
      <c r="C3280" s="1" t="s">
        <v>110</v>
      </c>
      <c r="D3280" s="2" t="s">
        <v>2003</v>
      </c>
      <c r="E3280" s="9" t="str">
        <f t="shared" si="747"/>
        <v>PSND'!</v>
      </c>
      <c r="F3280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80" s="6" t="s">
        <v>111</v>
      </c>
      <c r="H3280" s="1"/>
      <c r="I3280" s="1"/>
    </row>
    <row r="3281" spans="1:9" x14ac:dyDescent="0.35">
      <c r="A3281" s="6" t="s">
        <v>23</v>
      </c>
      <c r="B3281" s="6">
        <f t="shared" si="749"/>
        <v>2034</v>
      </c>
      <c r="C3281" s="1" t="s">
        <v>110</v>
      </c>
      <c r="D3281" s="2" t="s">
        <v>2003</v>
      </c>
      <c r="E3281" s="9" t="str">
        <f t="shared" si="747"/>
        <v>PSND'!</v>
      </c>
      <c r="F3281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81" s="6" t="s">
        <v>111</v>
      </c>
      <c r="H3281" s="1"/>
      <c r="I3281" s="1"/>
    </row>
    <row r="3282" spans="1:9" x14ac:dyDescent="0.35">
      <c r="A3282" s="6" t="s">
        <v>23</v>
      </c>
      <c r="B3282" s="6">
        <f t="shared" si="749"/>
        <v>2035</v>
      </c>
      <c r="C3282" s="1" t="s">
        <v>110</v>
      </c>
      <c r="D3282" s="2" t="s">
        <v>2003</v>
      </c>
      <c r="E3282" s="9" t="str">
        <f t="shared" si="747"/>
        <v>PSND'!</v>
      </c>
      <c r="F3282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82" s="6" t="s">
        <v>111</v>
      </c>
      <c r="H3282" s="1"/>
      <c r="I3282" s="1"/>
    </row>
    <row r="3283" spans="1:9" x14ac:dyDescent="0.35">
      <c r="A3283" s="6" t="s">
        <v>23</v>
      </c>
      <c r="B3283" s="6">
        <f t="shared" si="749"/>
        <v>2036</v>
      </c>
      <c r="C3283" s="1" t="s">
        <v>110</v>
      </c>
      <c r="D3283" s="2" t="s">
        <v>2003</v>
      </c>
      <c r="E3283" s="9" t="str">
        <f t="shared" si="747"/>
        <v>PSND'!</v>
      </c>
      <c r="F3283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83" s="6" t="s">
        <v>111</v>
      </c>
      <c r="H3283" s="1"/>
      <c r="I3283" s="1"/>
    </row>
    <row r="3284" spans="1:9" x14ac:dyDescent="0.35">
      <c r="A3284" s="6" t="s">
        <v>23</v>
      </c>
      <c r="B3284" s="6">
        <f>+B3283+1</f>
        <v>2037</v>
      </c>
      <c r="C3284" s="1" t="s">
        <v>110</v>
      </c>
      <c r="D3284" s="2" t="s">
        <v>2003</v>
      </c>
      <c r="E3284" s="9" t="str">
        <f t="shared" si="747"/>
        <v>PSND'!</v>
      </c>
      <c r="F3284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84" s="6" t="s">
        <v>111</v>
      </c>
      <c r="H3284" s="1"/>
      <c r="I3284" s="1"/>
    </row>
    <row r="3285" spans="1:9" x14ac:dyDescent="0.35">
      <c r="A3285" s="6" t="s">
        <v>23</v>
      </c>
      <c r="B3285" s="6">
        <f t="shared" ref="B3285:B3287" si="750">+B3284+1</f>
        <v>2038</v>
      </c>
      <c r="C3285" s="1" t="s">
        <v>110</v>
      </c>
      <c r="D3285" s="2" t="s">
        <v>2003</v>
      </c>
      <c r="E3285" s="9" t="str">
        <f t="shared" si="747"/>
        <v>PSND'!</v>
      </c>
      <c r="F3285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85" s="6" t="s">
        <v>111</v>
      </c>
      <c r="H3285" s="1"/>
      <c r="I3285" s="1"/>
    </row>
    <row r="3286" spans="1:9" x14ac:dyDescent="0.35">
      <c r="A3286" s="6" t="s">
        <v>23</v>
      </c>
      <c r="B3286" s="6">
        <f t="shared" si="750"/>
        <v>2039</v>
      </c>
      <c r="C3286" s="1" t="s">
        <v>110</v>
      </c>
      <c r="D3286" s="2" t="s">
        <v>2003</v>
      </c>
      <c r="E3286" s="9" t="str">
        <f t="shared" si="747"/>
        <v>PSND'!</v>
      </c>
      <c r="F3286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86" s="6" t="s">
        <v>111</v>
      </c>
      <c r="H3286" s="1"/>
      <c r="I3286" s="1"/>
    </row>
    <row r="3287" spans="1:9" x14ac:dyDescent="0.35">
      <c r="A3287" s="6" t="s">
        <v>23</v>
      </c>
      <c r="B3287" s="6">
        <f t="shared" si="750"/>
        <v>2040</v>
      </c>
      <c r="C3287" s="1" t="s">
        <v>110</v>
      </c>
      <c r="D3287" s="2" t="s">
        <v>2003</v>
      </c>
      <c r="E3287" s="9" t="str">
        <f t="shared" si="747"/>
        <v>PSND'!</v>
      </c>
      <c r="F3287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87" s="6" t="s">
        <v>111</v>
      </c>
      <c r="H3287" s="1"/>
      <c r="I3287" s="1"/>
    </row>
    <row r="3288" spans="1:9" x14ac:dyDescent="0.35">
      <c r="A3288" s="6" t="s">
        <v>23</v>
      </c>
      <c r="B3288" s="6">
        <f>+B3287+1</f>
        <v>2041</v>
      </c>
      <c r="C3288" s="1" t="s">
        <v>110</v>
      </c>
      <c r="D3288" s="2" t="s">
        <v>2003</v>
      </c>
      <c r="E3288" s="9" t="str">
        <f t="shared" si="747"/>
        <v>PSND'!</v>
      </c>
      <c r="F3288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88" s="6" t="s">
        <v>111</v>
      </c>
      <c r="H3288" s="1"/>
      <c r="I3288" s="1"/>
    </row>
    <row r="3289" spans="1:9" x14ac:dyDescent="0.35">
      <c r="A3289" s="6" t="s">
        <v>23</v>
      </c>
      <c r="B3289" s="6">
        <f t="shared" ref="B3289:B3290" si="751">+B3288+1</f>
        <v>2042</v>
      </c>
      <c r="C3289" s="1" t="s">
        <v>110</v>
      </c>
      <c r="D3289" s="2" t="s">
        <v>2003</v>
      </c>
      <c r="E3289" s="9" t="str">
        <f t="shared" si="747"/>
        <v>PSND'!</v>
      </c>
      <c r="F3289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89" s="6" t="s">
        <v>111</v>
      </c>
      <c r="H3289" s="1"/>
      <c r="I3289" s="1"/>
    </row>
    <row r="3290" spans="1:9" x14ac:dyDescent="0.35">
      <c r="A3290" s="6" t="s">
        <v>23</v>
      </c>
      <c r="B3290" s="6">
        <f t="shared" si="751"/>
        <v>2043</v>
      </c>
      <c r="C3290" s="1" t="s">
        <v>110</v>
      </c>
      <c r="D3290" s="2" t="s">
        <v>2003</v>
      </c>
      <c r="E3290" s="9" t="str">
        <f t="shared" si="747"/>
        <v>PSND'!</v>
      </c>
      <c r="F3290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90" s="6" t="s">
        <v>111</v>
      </c>
      <c r="H3290" s="1"/>
      <c r="I3290" s="1"/>
    </row>
    <row r="3291" spans="1:9" x14ac:dyDescent="0.35">
      <c r="A3291" s="6" t="s">
        <v>23</v>
      </c>
      <c r="B3291" s="6">
        <f>+B3290+1</f>
        <v>2044</v>
      </c>
      <c r="C3291" s="1" t="s">
        <v>110</v>
      </c>
      <c r="D3291" s="2" t="s">
        <v>2003</v>
      </c>
      <c r="E3291" s="9" t="str">
        <f t="shared" ref="E3291:E3306" si="752">_xlfn.CONCAT(A3291,"'!")</f>
        <v>PSND'!</v>
      </c>
      <c r="F3291" s="5" t="str">
        <f t="shared" ref="F3291:F3306" si="753">_xlfn.CONCAT(D3291," ",E3291)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91" s="6" t="s">
        <v>111</v>
      </c>
      <c r="H3291" s="1"/>
      <c r="I3291" s="1"/>
    </row>
    <row r="3292" spans="1:9" x14ac:dyDescent="0.35">
      <c r="A3292" s="6" t="s">
        <v>23</v>
      </c>
      <c r="B3292" s="6">
        <f t="shared" ref="B3292:B3306" si="754">+B3291+1</f>
        <v>2045</v>
      </c>
      <c r="C3292" s="1" t="s">
        <v>110</v>
      </c>
      <c r="D3292" s="2" t="s">
        <v>2003</v>
      </c>
      <c r="E3292" s="9" t="str">
        <f t="shared" si="752"/>
        <v>PSND'!</v>
      </c>
      <c r="F3292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92" s="6" t="s">
        <v>111</v>
      </c>
      <c r="H3292" s="1"/>
      <c r="I3292" s="1"/>
    </row>
    <row r="3293" spans="1:9" x14ac:dyDescent="0.35">
      <c r="A3293" s="6" t="s">
        <v>23</v>
      </c>
      <c r="B3293" s="6">
        <f t="shared" si="754"/>
        <v>2046</v>
      </c>
      <c r="C3293" s="1" t="s">
        <v>110</v>
      </c>
      <c r="D3293" s="2" t="s">
        <v>2003</v>
      </c>
      <c r="E3293" s="9" t="str">
        <f t="shared" si="752"/>
        <v>PSND'!</v>
      </c>
      <c r="F3293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93" s="6" t="s">
        <v>111</v>
      </c>
      <c r="H3293" s="1"/>
      <c r="I3293" s="1"/>
    </row>
    <row r="3294" spans="1:9" x14ac:dyDescent="0.35">
      <c r="A3294" s="6" t="s">
        <v>23</v>
      </c>
      <c r="B3294" s="6">
        <f t="shared" si="754"/>
        <v>2047</v>
      </c>
      <c r="C3294" s="1" t="s">
        <v>110</v>
      </c>
      <c r="D3294" s="2" t="s">
        <v>2003</v>
      </c>
      <c r="E3294" s="9" t="str">
        <f t="shared" si="752"/>
        <v>PSND'!</v>
      </c>
      <c r="F3294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94" s="6" t="s">
        <v>111</v>
      </c>
      <c r="H3294" s="1"/>
      <c r="I3294" s="1"/>
    </row>
    <row r="3295" spans="1:9" x14ac:dyDescent="0.35">
      <c r="A3295" s="6" t="s">
        <v>23</v>
      </c>
      <c r="B3295" s="6">
        <f t="shared" si="754"/>
        <v>2048</v>
      </c>
      <c r="C3295" s="1" t="s">
        <v>110</v>
      </c>
      <c r="D3295" s="2" t="s">
        <v>2003</v>
      </c>
      <c r="E3295" s="9" t="str">
        <f t="shared" si="752"/>
        <v>PSND'!</v>
      </c>
      <c r="F3295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95" s="6" t="s">
        <v>111</v>
      </c>
      <c r="H3295" s="1"/>
      <c r="I3295" s="1"/>
    </row>
    <row r="3296" spans="1:9" x14ac:dyDescent="0.35">
      <c r="A3296" s="6" t="s">
        <v>23</v>
      </c>
      <c r="B3296" s="6">
        <f t="shared" si="754"/>
        <v>2049</v>
      </c>
      <c r="C3296" s="1" t="s">
        <v>110</v>
      </c>
      <c r="D3296" s="2" t="s">
        <v>2003</v>
      </c>
      <c r="E3296" s="9" t="str">
        <f t="shared" si="752"/>
        <v>PSND'!</v>
      </c>
      <c r="F3296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96" s="6" t="s">
        <v>111</v>
      </c>
      <c r="H3296" s="1"/>
      <c r="I3296" s="1"/>
    </row>
    <row r="3297" spans="1:10" x14ac:dyDescent="0.35">
      <c r="A3297" s="6" t="s">
        <v>23</v>
      </c>
      <c r="B3297" s="6">
        <f t="shared" si="754"/>
        <v>2050</v>
      </c>
      <c r="C3297" s="1" t="s">
        <v>110</v>
      </c>
      <c r="D3297" s="2" t="s">
        <v>2003</v>
      </c>
      <c r="E3297" s="9" t="str">
        <f t="shared" si="752"/>
        <v>PSND'!</v>
      </c>
      <c r="F3297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97" s="6" t="s">
        <v>111</v>
      </c>
      <c r="H3297" s="1"/>
      <c r="I3297" s="1"/>
    </row>
    <row r="3298" spans="1:10" x14ac:dyDescent="0.35">
      <c r="A3298" s="6" t="s">
        <v>23</v>
      </c>
      <c r="B3298" s="6">
        <f t="shared" si="754"/>
        <v>2051</v>
      </c>
      <c r="C3298" s="1" t="s">
        <v>110</v>
      </c>
      <c r="D3298" s="2" t="s">
        <v>2003</v>
      </c>
      <c r="E3298" s="9" t="str">
        <f t="shared" si="752"/>
        <v>PSND'!</v>
      </c>
      <c r="F3298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98" s="6" t="s">
        <v>111</v>
      </c>
      <c r="H3298" s="1"/>
      <c r="I3298" s="1"/>
    </row>
    <row r="3299" spans="1:10" x14ac:dyDescent="0.35">
      <c r="A3299" s="6" t="s">
        <v>23</v>
      </c>
      <c r="B3299" s="6">
        <f t="shared" si="754"/>
        <v>2052</v>
      </c>
      <c r="C3299" s="1" t="s">
        <v>110</v>
      </c>
      <c r="D3299" s="2" t="s">
        <v>2003</v>
      </c>
      <c r="E3299" s="9" t="str">
        <f t="shared" si="752"/>
        <v>PSND'!</v>
      </c>
      <c r="F3299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99" s="6" t="s">
        <v>111</v>
      </c>
      <c r="H3299" s="1"/>
      <c r="I3299" s="1"/>
    </row>
    <row r="3300" spans="1:10" x14ac:dyDescent="0.35">
      <c r="A3300" s="6" t="s">
        <v>23</v>
      </c>
      <c r="B3300" s="6">
        <f t="shared" si="754"/>
        <v>2053</v>
      </c>
      <c r="C3300" s="1" t="s">
        <v>110</v>
      </c>
      <c r="D3300" s="2" t="s">
        <v>2003</v>
      </c>
      <c r="E3300" s="9" t="str">
        <f t="shared" si="752"/>
        <v>PSND'!</v>
      </c>
      <c r="F3300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300" s="6" t="s">
        <v>111</v>
      </c>
      <c r="H3300" s="1"/>
      <c r="I3300" s="1"/>
    </row>
    <row r="3301" spans="1:10" x14ac:dyDescent="0.35">
      <c r="A3301" s="6" t="s">
        <v>23</v>
      </c>
      <c r="B3301" s="6">
        <f t="shared" si="754"/>
        <v>2054</v>
      </c>
      <c r="C3301" s="1" t="s">
        <v>110</v>
      </c>
      <c r="D3301" s="2" t="s">
        <v>2003</v>
      </c>
      <c r="E3301" s="9" t="str">
        <f t="shared" si="752"/>
        <v>PSND'!</v>
      </c>
      <c r="F3301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301" s="6" t="s">
        <v>111</v>
      </c>
      <c r="H3301" s="1"/>
      <c r="I3301" s="1"/>
    </row>
    <row r="3302" spans="1:10" x14ac:dyDescent="0.35">
      <c r="A3302" s="6" t="s">
        <v>23</v>
      </c>
      <c r="B3302" s="6">
        <f t="shared" si="754"/>
        <v>2055</v>
      </c>
      <c r="C3302" s="1" t="s">
        <v>110</v>
      </c>
      <c r="D3302" s="2" t="s">
        <v>2003</v>
      </c>
      <c r="E3302" s="9" t="str">
        <f t="shared" si="752"/>
        <v>PSND'!</v>
      </c>
      <c r="F3302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302" s="6" t="s">
        <v>111</v>
      </c>
      <c r="H3302" s="1"/>
      <c r="I3302" s="1"/>
    </row>
    <row r="3303" spans="1:10" x14ac:dyDescent="0.35">
      <c r="A3303" s="6" t="s">
        <v>23</v>
      </c>
      <c r="B3303" s="6">
        <f t="shared" si="754"/>
        <v>2056</v>
      </c>
      <c r="C3303" s="1" t="s">
        <v>110</v>
      </c>
      <c r="D3303" s="2" t="s">
        <v>2003</v>
      </c>
      <c r="E3303" s="9" t="str">
        <f t="shared" si="752"/>
        <v>PSND'!</v>
      </c>
      <c r="F3303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303" s="6" t="s">
        <v>111</v>
      </c>
      <c r="H3303" s="1"/>
      <c r="I3303" s="1"/>
    </row>
    <row r="3304" spans="1:10" x14ac:dyDescent="0.35">
      <c r="A3304" s="6" t="s">
        <v>23</v>
      </c>
      <c r="B3304" s="6">
        <f t="shared" si="754"/>
        <v>2057</v>
      </c>
      <c r="C3304" s="1" t="s">
        <v>110</v>
      </c>
      <c r="D3304" s="2" t="s">
        <v>2003</v>
      </c>
      <c r="E3304" s="9" t="str">
        <f t="shared" si="752"/>
        <v>PSND'!</v>
      </c>
      <c r="F3304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304" s="6" t="s">
        <v>111</v>
      </c>
      <c r="H3304" s="1"/>
      <c r="I3304" s="1"/>
    </row>
    <row r="3305" spans="1:10" x14ac:dyDescent="0.35">
      <c r="A3305" s="6" t="s">
        <v>23</v>
      </c>
      <c r="B3305" s="6">
        <f t="shared" si="754"/>
        <v>2058</v>
      </c>
      <c r="C3305" s="1" t="s">
        <v>110</v>
      </c>
      <c r="D3305" s="2" t="s">
        <v>2003</v>
      </c>
      <c r="E3305" s="9" t="str">
        <f t="shared" si="752"/>
        <v>PSND'!</v>
      </c>
      <c r="F3305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305" s="6" t="s">
        <v>111</v>
      </c>
      <c r="H3305" s="1"/>
      <c r="I3305" s="1"/>
    </row>
    <row r="3306" spans="1:10" x14ac:dyDescent="0.35">
      <c r="A3306" s="6" t="s">
        <v>23</v>
      </c>
      <c r="B3306" s="6">
        <f t="shared" si="754"/>
        <v>2059</v>
      </c>
      <c r="C3306" s="1" t="s">
        <v>110</v>
      </c>
      <c r="D3306" s="2" t="s">
        <v>2003</v>
      </c>
      <c r="E3306" s="9" t="str">
        <f t="shared" si="752"/>
        <v>PSND'!</v>
      </c>
      <c r="F3306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306" s="6" t="s">
        <v>111</v>
      </c>
      <c r="H3306" s="1"/>
      <c r="I3306" s="1"/>
    </row>
    <row r="3307" spans="1:10" x14ac:dyDescent="0.35">
      <c r="A3307" s="8" t="s">
        <v>26</v>
      </c>
      <c r="C3307" s="1" t="s">
        <v>110</v>
      </c>
      <c r="D3307" s="2"/>
      <c r="E3307" s="8" t="str">
        <f t="shared" si="747"/>
        <v>Total'!</v>
      </c>
      <c r="F3307" s="2"/>
    </row>
    <row r="3308" spans="1:10" x14ac:dyDescent="0.35">
      <c r="A3308" s="6" t="s">
        <v>24</v>
      </c>
      <c r="B3308" s="6">
        <v>2023</v>
      </c>
      <c r="C3308" s="1" t="s">
        <v>110</v>
      </c>
      <c r="D3308" s="2" t="s">
        <v>2003</v>
      </c>
      <c r="E3308" s="9" t="str">
        <f t="shared" si="690"/>
        <v>PS'!</v>
      </c>
      <c r="F3308" s="5" t="str">
        <f t="shared" ref="F3308:F3328" si="755">_xlfn.CONCAT(D3308," ",E3308)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08" s="6" t="s">
        <v>111</v>
      </c>
      <c r="H3308" s="1">
        <f>IF(A3308&lt;&gt;A3178,36,H3178+1)</f>
        <v>36</v>
      </c>
      <c r="I3308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PS'!$DI$36</v>
      </c>
      <c r="J3308" t="s">
        <v>3447</v>
      </c>
    </row>
    <row r="3309" spans="1:10" x14ac:dyDescent="0.35">
      <c r="A3309" s="6" t="s">
        <v>24</v>
      </c>
      <c r="B3309" s="6">
        <f>+B3308+1</f>
        <v>2024</v>
      </c>
      <c r="C3309" s="1" t="s">
        <v>110</v>
      </c>
      <c r="D3309" s="2" t="s">
        <v>2003</v>
      </c>
      <c r="E3309" s="9" t="str">
        <f t="shared" si="690"/>
        <v>PS'!</v>
      </c>
      <c r="F3309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09" s="6" t="s">
        <v>111</v>
      </c>
      <c r="H3309" s="1">
        <f t="shared" si="692"/>
        <v>37</v>
      </c>
      <c r="I3309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PS'!$DI$37</v>
      </c>
      <c r="J3309" t="s">
        <v>3448</v>
      </c>
    </row>
    <row r="3310" spans="1:10" x14ac:dyDescent="0.35">
      <c r="A3310" s="6" t="s">
        <v>24</v>
      </c>
      <c r="B3310" s="6">
        <f t="shared" ref="B3310:B3321" si="756">+B3309+1</f>
        <v>2025</v>
      </c>
      <c r="C3310" s="1" t="s">
        <v>110</v>
      </c>
      <c r="D3310" s="2" t="s">
        <v>2003</v>
      </c>
      <c r="E3310" s="9" t="str">
        <f t="shared" si="690"/>
        <v>PS'!</v>
      </c>
      <c r="F3310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10" s="6" t="s">
        <v>111</v>
      </c>
      <c r="H3310" s="1">
        <f t="shared" si="692"/>
        <v>38</v>
      </c>
      <c r="I3310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PS'!$DI$38</v>
      </c>
      <c r="J3310" t="s">
        <v>3449</v>
      </c>
    </row>
    <row r="3311" spans="1:10" x14ac:dyDescent="0.35">
      <c r="A3311" s="6" t="s">
        <v>24</v>
      </c>
      <c r="B3311" s="6">
        <f t="shared" si="756"/>
        <v>2026</v>
      </c>
      <c r="C3311" s="1" t="s">
        <v>110</v>
      </c>
      <c r="D3311" s="2" t="s">
        <v>2003</v>
      </c>
      <c r="E3311" s="9" t="str">
        <f t="shared" si="690"/>
        <v>PS'!</v>
      </c>
      <c r="F3311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11" s="6" t="s">
        <v>111</v>
      </c>
      <c r="H3311" s="1">
        <f t="shared" si="692"/>
        <v>39</v>
      </c>
      <c r="I3311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PS'!$DI$39</v>
      </c>
      <c r="J3311" t="s">
        <v>3450</v>
      </c>
    </row>
    <row r="3312" spans="1:10" x14ac:dyDescent="0.35">
      <c r="A3312" s="6" t="s">
        <v>24</v>
      </c>
      <c r="B3312" s="6">
        <f t="shared" si="756"/>
        <v>2027</v>
      </c>
      <c r="C3312" s="1" t="s">
        <v>110</v>
      </c>
      <c r="D3312" s="2" t="s">
        <v>2003</v>
      </c>
      <c r="E3312" s="9" t="str">
        <f t="shared" si="690"/>
        <v>PS'!</v>
      </c>
      <c r="F3312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12" s="6" t="s">
        <v>111</v>
      </c>
      <c r="H3312" s="1">
        <f t="shared" si="692"/>
        <v>40</v>
      </c>
      <c r="I3312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PS'!$DI$40</v>
      </c>
      <c r="J3312" t="s">
        <v>3451</v>
      </c>
    </row>
    <row r="3313" spans="1:10" x14ac:dyDescent="0.35">
      <c r="A3313" s="6" t="s">
        <v>24</v>
      </c>
      <c r="B3313" s="6">
        <f t="shared" si="756"/>
        <v>2028</v>
      </c>
      <c r="C3313" s="1" t="s">
        <v>110</v>
      </c>
      <c r="D3313" s="2" t="s">
        <v>2003</v>
      </c>
      <c r="E3313" s="9" t="str">
        <f t="shared" si="690"/>
        <v>PS'!</v>
      </c>
      <c r="F3313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13" s="6" t="s">
        <v>111</v>
      </c>
      <c r="H3313" s="1">
        <f t="shared" si="692"/>
        <v>41</v>
      </c>
      <c r="I3313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PS'!$DI$41</v>
      </c>
      <c r="J3313" t="s">
        <v>3452</v>
      </c>
    </row>
    <row r="3314" spans="1:10" x14ac:dyDescent="0.35">
      <c r="A3314" s="6" t="s">
        <v>24</v>
      </c>
      <c r="B3314" s="6">
        <f t="shared" si="756"/>
        <v>2029</v>
      </c>
      <c r="C3314" s="1" t="s">
        <v>110</v>
      </c>
      <c r="D3314" s="2" t="s">
        <v>2003</v>
      </c>
      <c r="E3314" s="9" t="str">
        <f t="shared" si="690"/>
        <v>PS'!</v>
      </c>
      <c r="F3314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14" s="6" t="s">
        <v>111</v>
      </c>
      <c r="H3314" s="1">
        <f t="shared" si="692"/>
        <v>42</v>
      </c>
      <c r="I3314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PS'!$DI$42</v>
      </c>
      <c r="J3314" t="s">
        <v>3453</v>
      </c>
    </row>
    <row r="3315" spans="1:10" x14ac:dyDescent="0.35">
      <c r="A3315" s="6" t="s">
        <v>24</v>
      </c>
      <c r="B3315" s="6">
        <f t="shared" si="756"/>
        <v>2030</v>
      </c>
      <c r="C3315" s="1" t="s">
        <v>110</v>
      </c>
      <c r="D3315" s="2" t="s">
        <v>2003</v>
      </c>
      <c r="E3315" s="9" t="str">
        <f t="shared" si="690"/>
        <v>PS'!</v>
      </c>
      <c r="F3315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15" s="6" t="s">
        <v>111</v>
      </c>
      <c r="H3315" s="1">
        <f t="shared" si="692"/>
        <v>43</v>
      </c>
      <c r="I3315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PS'!$DI$43</v>
      </c>
      <c r="J3315" t="s">
        <v>3454</v>
      </c>
    </row>
    <row r="3316" spans="1:10" x14ac:dyDescent="0.35">
      <c r="A3316" s="6" t="s">
        <v>24</v>
      </c>
      <c r="B3316" s="6">
        <f t="shared" si="756"/>
        <v>2031</v>
      </c>
      <c r="C3316" s="1" t="s">
        <v>110</v>
      </c>
      <c r="D3316" s="2" t="s">
        <v>2003</v>
      </c>
      <c r="E3316" s="9" t="str">
        <f t="shared" si="690"/>
        <v>PS'!</v>
      </c>
      <c r="F3316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16" s="6" t="s">
        <v>111</v>
      </c>
      <c r="H3316" s="1">
        <f t="shared" si="692"/>
        <v>44</v>
      </c>
      <c r="I3316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PS'!$DI$44</v>
      </c>
      <c r="J3316" t="s">
        <v>3455</v>
      </c>
    </row>
    <row r="3317" spans="1:10" x14ac:dyDescent="0.35">
      <c r="A3317" s="6" t="s">
        <v>24</v>
      </c>
      <c r="B3317" s="6">
        <f t="shared" si="756"/>
        <v>2032</v>
      </c>
      <c r="C3317" s="1" t="s">
        <v>110</v>
      </c>
      <c r="D3317" s="2" t="s">
        <v>2003</v>
      </c>
      <c r="E3317" s="9" t="str">
        <f t="shared" si="690"/>
        <v>PS'!</v>
      </c>
      <c r="F3317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17" s="6" t="s">
        <v>111</v>
      </c>
      <c r="H3317" s="1">
        <f t="shared" si="692"/>
        <v>45</v>
      </c>
      <c r="I3317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PS'!$DI$45</v>
      </c>
      <c r="J3317" t="s">
        <v>3456</v>
      </c>
    </row>
    <row r="3318" spans="1:10" x14ac:dyDescent="0.35">
      <c r="A3318" s="6" t="s">
        <v>24</v>
      </c>
      <c r="B3318" s="6">
        <f t="shared" si="756"/>
        <v>2033</v>
      </c>
      <c r="C3318" s="1" t="s">
        <v>110</v>
      </c>
      <c r="D3318" s="2" t="s">
        <v>2003</v>
      </c>
      <c r="E3318" s="9" t="str">
        <f t="shared" si="690"/>
        <v>PS'!</v>
      </c>
      <c r="F3318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18" s="6" t="s">
        <v>111</v>
      </c>
      <c r="H3318" s="1">
        <f t="shared" si="692"/>
        <v>46</v>
      </c>
      <c r="I3318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PS'!$DI$46</v>
      </c>
      <c r="J3318" t="s">
        <v>3457</v>
      </c>
    </row>
    <row r="3319" spans="1:10" x14ac:dyDescent="0.35">
      <c r="A3319" s="6" t="s">
        <v>24</v>
      </c>
      <c r="B3319" s="6">
        <f t="shared" si="756"/>
        <v>2034</v>
      </c>
      <c r="C3319" s="1" t="s">
        <v>110</v>
      </c>
      <c r="D3319" s="2" t="s">
        <v>2003</v>
      </c>
      <c r="E3319" s="9" t="str">
        <f t="shared" si="690"/>
        <v>PS'!</v>
      </c>
      <c r="F3319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19" s="6" t="s">
        <v>111</v>
      </c>
      <c r="H3319" s="1">
        <f t="shared" si="692"/>
        <v>47</v>
      </c>
      <c r="I3319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PS'!$DI$47</v>
      </c>
      <c r="J3319" t="s">
        <v>3458</v>
      </c>
    </row>
    <row r="3320" spans="1:10" x14ac:dyDescent="0.35">
      <c r="A3320" s="6" t="s">
        <v>24</v>
      </c>
      <c r="B3320" s="6">
        <f t="shared" si="756"/>
        <v>2035</v>
      </c>
      <c r="C3320" s="1" t="s">
        <v>110</v>
      </c>
      <c r="D3320" s="2" t="s">
        <v>2003</v>
      </c>
      <c r="E3320" s="9" t="str">
        <f t="shared" si="690"/>
        <v>PS'!</v>
      </c>
      <c r="F3320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20" s="6" t="s">
        <v>111</v>
      </c>
      <c r="H3320" s="1">
        <f t="shared" si="692"/>
        <v>48</v>
      </c>
      <c r="I3320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PS'!$DI$48</v>
      </c>
      <c r="J3320" t="s">
        <v>3459</v>
      </c>
    </row>
    <row r="3321" spans="1:10" x14ac:dyDescent="0.35">
      <c r="A3321" s="6" t="s">
        <v>24</v>
      </c>
      <c r="B3321" s="6">
        <f t="shared" si="756"/>
        <v>2036</v>
      </c>
      <c r="C3321" s="1" t="s">
        <v>110</v>
      </c>
      <c r="D3321" s="2" t="s">
        <v>2003</v>
      </c>
      <c r="E3321" s="9" t="str">
        <f t="shared" si="690"/>
        <v>PS'!</v>
      </c>
      <c r="F3321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21" s="6" t="s">
        <v>111</v>
      </c>
      <c r="H3321" s="1">
        <f t="shared" si="692"/>
        <v>49</v>
      </c>
      <c r="I3321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PS'!$DI$49</v>
      </c>
      <c r="J3321" t="s">
        <v>3460</v>
      </c>
    </row>
    <row r="3322" spans="1:10" x14ac:dyDescent="0.35">
      <c r="A3322" s="6" t="s">
        <v>24</v>
      </c>
      <c r="B3322" s="6">
        <f>+B3321+1</f>
        <v>2037</v>
      </c>
      <c r="C3322" s="1" t="s">
        <v>110</v>
      </c>
      <c r="D3322" s="2" t="s">
        <v>2003</v>
      </c>
      <c r="E3322" s="9" t="str">
        <f t="shared" si="690"/>
        <v>PS'!</v>
      </c>
      <c r="F3322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22" s="6" t="s">
        <v>111</v>
      </c>
      <c r="H3322" s="1">
        <f t="shared" si="692"/>
        <v>50</v>
      </c>
      <c r="I3322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PS'!$DI$50</v>
      </c>
      <c r="J3322" t="s">
        <v>3461</v>
      </c>
    </row>
    <row r="3323" spans="1:10" x14ac:dyDescent="0.35">
      <c r="A3323" s="6" t="s">
        <v>24</v>
      </c>
      <c r="B3323" s="6">
        <f t="shared" ref="B3323:B3325" si="757">+B3322+1</f>
        <v>2038</v>
      </c>
      <c r="C3323" s="1" t="s">
        <v>110</v>
      </c>
      <c r="D3323" s="2" t="s">
        <v>2003</v>
      </c>
      <c r="E3323" s="9" t="str">
        <f t="shared" si="690"/>
        <v>PS'!</v>
      </c>
      <c r="F3323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23" s="6" t="s">
        <v>111</v>
      </c>
      <c r="H3323" s="1">
        <f t="shared" si="692"/>
        <v>51</v>
      </c>
      <c r="I3323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PS'!$DI$51</v>
      </c>
      <c r="J3323" t="s">
        <v>3462</v>
      </c>
    </row>
    <row r="3324" spans="1:10" x14ac:dyDescent="0.35">
      <c r="A3324" s="6" t="s">
        <v>24</v>
      </c>
      <c r="B3324" s="6">
        <f t="shared" si="757"/>
        <v>2039</v>
      </c>
      <c r="C3324" s="1" t="s">
        <v>110</v>
      </c>
      <c r="D3324" s="2" t="s">
        <v>2003</v>
      </c>
      <c r="E3324" s="9" t="str">
        <f t="shared" si="690"/>
        <v>PS'!</v>
      </c>
      <c r="F3324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24" s="6" t="s">
        <v>111</v>
      </c>
      <c r="H3324" s="1">
        <f t="shared" si="692"/>
        <v>52</v>
      </c>
      <c r="I3324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PS'!$DI$52</v>
      </c>
      <c r="J3324" t="s">
        <v>3463</v>
      </c>
    </row>
    <row r="3325" spans="1:10" x14ac:dyDescent="0.35">
      <c r="A3325" s="6" t="s">
        <v>24</v>
      </c>
      <c r="B3325" s="6">
        <f t="shared" si="757"/>
        <v>2040</v>
      </c>
      <c r="C3325" s="1" t="s">
        <v>110</v>
      </c>
      <c r="D3325" s="2" t="s">
        <v>2003</v>
      </c>
      <c r="E3325" s="9" t="str">
        <f t="shared" si="690"/>
        <v>PS'!</v>
      </c>
      <c r="F3325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25" s="6" t="s">
        <v>111</v>
      </c>
      <c r="H3325" s="1">
        <f t="shared" si="692"/>
        <v>53</v>
      </c>
      <c r="I3325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PS'!$DI$53</v>
      </c>
      <c r="J3325" t="s">
        <v>3464</v>
      </c>
    </row>
    <row r="3326" spans="1:10" x14ac:dyDescent="0.35">
      <c r="A3326" s="6" t="s">
        <v>24</v>
      </c>
      <c r="B3326" s="6">
        <f>+B3325+1</f>
        <v>2041</v>
      </c>
      <c r="C3326" s="1" t="s">
        <v>110</v>
      </c>
      <c r="D3326" s="2" t="s">
        <v>2003</v>
      </c>
      <c r="E3326" s="9" t="str">
        <f t="shared" si="690"/>
        <v>PS'!</v>
      </c>
      <c r="F3326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26" s="6" t="s">
        <v>111</v>
      </c>
      <c r="H3326" s="1">
        <f t="shared" si="692"/>
        <v>54</v>
      </c>
      <c r="I3326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PS'!$DI$54</v>
      </c>
      <c r="J3326" t="s">
        <v>3465</v>
      </c>
    </row>
    <row r="3327" spans="1:10" x14ac:dyDescent="0.35">
      <c r="A3327" s="6" t="s">
        <v>24</v>
      </c>
      <c r="B3327" s="6">
        <f t="shared" ref="B3327:B3328" si="758">+B3326+1</f>
        <v>2042</v>
      </c>
      <c r="C3327" s="1" t="s">
        <v>110</v>
      </c>
      <c r="D3327" s="2" t="s">
        <v>2003</v>
      </c>
      <c r="E3327" s="9" t="str">
        <f t="shared" si="690"/>
        <v>PS'!</v>
      </c>
      <c r="F3327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27" s="6" t="s">
        <v>111</v>
      </c>
      <c r="H3327" s="1">
        <f t="shared" si="692"/>
        <v>55</v>
      </c>
      <c r="I3327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PS'!$DI$55</v>
      </c>
      <c r="J3327" t="s">
        <v>3466</v>
      </c>
    </row>
    <row r="3328" spans="1:10" x14ac:dyDescent="0.35">
      <c r="A3328" s="6" t="s">
        <v>24</v>
      </c>
      <c r="B3328" s="6">
        <f t="shared" si="758"/>
        <v>2043</v>
      </c>
      <c r="C3328" s="1" t="s">
        <v>110</v>
      </c>
      <c r="D3328" s="2" t="s">
        <v>2003</v>
      </c>
      <c r="E3328" s="9" t="str">
        <f t="shared" si="690"/>
        <v>PS'!</v>
      </c>
      <c r="F3328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28" s="6" t="s">
        <v>111</v>
      </c>
      <c r="H3328" s="1">
        <f t="shared" si="692"/>
        <v>56</v>
      </c>
      <c r="I3328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PS'!$DI$56</v>
      </c>
      <c r="J3328" t="s">
        <v>3467</v>
      </c>
    </row>
    <row r="3329" spans="1:10" x14ac:dyDescent="0.35">
      <c r="A3329" s="6" t="s">
        <v>24</v>
      </c>
      <c r="B3329" s="6">
        <f>+B3328+1</f>
        <v>2044</v>
      </c>
      <c r="C3329" s="1" t="s">
        <v>110</v>
      </c>
      <c r="D3329" s="2" t="s">
        <v>2003</v>
      </c>
      <c r="E3329" s="9" t="str">
        <f t="shared" ref="E3329:E3344" si="759">_xlfn.CONCAT(A3329,"'!")</f>
        <v>PS'!</v>
      </c>
      <c r="F3329" s="5" t="str">
        <f t="shared" ref="F3329:F3344" si="760">_xlfn.CONCAT(D3329," ",E3329)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29" s="6" t="s">
        <v>111</v>
      </c>
      <c r="H3329" s="1">
        <f t="shared" ref="H3329:H3344" si="761">IF(A3329&lt;&gt;A3328,36,H3328+1)</f>
        <v>57</v>
      </c>
      <c r="I3329" s="1" t="str">
        <f t="shared" ref="I3329:I3344" si="762">_xlfn.CONCAT("='",F3329:H3329)</f>
        <v>='C:\Users\jaime.benazar\Quorum Business Solutions\Ecopetrol Prometeo - Documents\Planning Space Implementation\3. Analysis &amp; Design\Design\FC22\DRR Jaime\Por presentar a ECP\Cantagallo\Cristalina\[VRC_CRISTALINA_CF_SEC_20221231.xlsx]CF PS'!$DI$57</v>
      </c>
      <c r="J3329" t="s">
        <v>3468</v>
      </c>
    </row>
    <row r="3330" spans="1:10" x14ac:dyDescent="0.35">
      <c r="A3330" s="6" t="s">
        <v>24</v>
      </c>
      <c r="B3330" s="6">
        <f t="shared" ref="B3330:B3344" si="763">+B3329+1</f>
        <v>2045</v>
      </c>
      <c r="C3330" s="1" t="s">
        <v>110</v>
      </c>
      <c r="D3330" s="2" t="s">
        <v>2003</v>
      </c>
      <c r="E3330" s="9" t="str">
        <f t="shared" si="759"/>
        <v>PS'!</v>
      </c>
      <c r="F3330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30" s="6" t="s">
        <v>111</v>
      </c>
      <c r="H3330" s="1">
        <f t="shared" si="761"/>
        <v>58</v>
      </c>
      <c r="I3330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PS'!$DI$58</v>
      </c>
      <c r="J3330" t="s">
        <v>3469</v>
      </c>
    </row>
    <row r="3331" spans="1:10" x14ac:dyDescent="0.35">
      <c r="A3331" s="6" t="s">
        <v>24</v>
      </c>
      <c r="B3331" s="6">
        <f t="shared" si="763"/>
        <v>2046</v>
      </c>
      <c r="C3331" s="1" t="s">
        <v>110</v>
      </c>
      <c r="D3331" s="2" t="s">
        <v>2003</v>
      </c>
      <c r="E3331" s="9" t="str">
        <f t="shared" si="759"/>
        <v>PS'!</v>
      </c>
      <c r="F3331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31" s="6" t="s">
        <v>111</v>
      </c>
      <c r="H3331" s="1">
        <f t="shared" si="761"/>
        <v>59</v>
      </c>
      <c r="I3331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PS'!$DI$59</v>
      </c>
      <c r="J3331" t="s">
        <v>3470</v>
      </c>
    </row>
    <row r="3332" spans="1:10" x14ac:dyDescent="0.35">
      <c r="A3332" s="6" t="s">
        <v>24</v>
      </c>
      <c r="B3332" s="6">
        <f t="shared" si="763"/>
        <v>2047</v>
      </c>
      <c r="C3332" s="1" t="s">
        <v>110</v>
      </c>
      <c r="D3332" s="2" t="s">
        <v>2003</v>
      </c>
      <c r="E3332" s="9" t="str">
        <f t="shared" si="759"/>
        <v>PS'!</v>
      </c>
      <c r="F3332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32" s="6" t="s">
        <v>111</v>
      </c>
      <c r="H3332" s="1">
        <f t="shared" si="761"/>
        <v>60</v>
      </c>
      <c r="I3332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PS'!$DI$60</v>
      </c>
      <c r="J3332" t="s">
        <v>3471</v>
      </c>
    </row>
    <row r="3333" spans="1:10" x14ac:dyDescent="0.35">
      <c r="A3333" s="6" t="s">
        <v>24</v>
      </c>
      <c r="B3333" s="6">
        <f t="shared" si="763"/>
        <v>2048</v>
      </c>
      <c r="C3333" s="1" t="s">
        <v>110</v>
      </c>
      <c r="D3333" s="2" t="s">
        <v>2003</v>
      </c>
      <c r="E3333" s="9" t="str">
        <f t="shared" si="759"/>
        <v>PS'!</v>
      </c>
      <c r="F3333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33" s="6" t="s">
        <v>111</v>
      </c>
      <c r="H3333" s="1">
        <f t="shared" si="761"/>
        <v>61</v>
      </c>
      <c r="I3333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PS'!$DI$61</v>
      </c>
      <c r="J3333" t="s">
        <v>3472</v>
      </c>
    </row>
    <row r="3334" spans="1:10" x14ac:dyDescent="0.35">
      <c r="A3334" s="6" t="s">
        <v>24</v>
      </c>
      <c r="B3334" s="6">
        <f t="shared" si="763"/>
        <v>2049</v>
      </c>
      <c r="C3334" s="1" t="s">
        <v>110</v>
      </c>
      <c r="D3334" s="2" t="s">
        <v>2003</v>
      </c>
      <c r="E3334" s="9" t="str">
        <f t="shared" si="759"/>
        <v>PS'!</v>
      </c>
      <c r="F3334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34" s="6" t="s">
        <v>111</v>
      </c>
      <c r="H3334" s="1">
        <f t="shared" si="761"/>
        <v>62</v>
      </c>
      <c r="I3334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PS'!$DI$62</v>
      </c>
      <c r="J3334" t="s">
        <v>3473</v>
      </c>
    </row>
    <row r="3335" spans="1:10" x14ac:dyDescent="0.35">
      <c r="A3335" s="6" t="s">
        <v>24</v>
      </c>
      <c r="B3335" s="6">
        <f t="shared" si="763"/>
        <v>2050</v>
      </c>
      <c r="C3335" s="1" t="s">
        <v>110</v>
      </c>
      <c r="D3335" s="2" t="s">
        <v>2003</v>
      </c>
      <c r="E3335" s="9" t="str">
        <f t="shared" si="759"/>
        <v>PS'!</v>
      </c>
      <c r="F3335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35" s="6" t="s">
        <v>111</v>
      </c>
      <c r="H3335" s="1">
        <f t="shared" si="761"/>
        <v>63</v>
      </c>
      <c r="I3335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PS'!$DI$63</v>
      </c>
      <c r="J3335" t="s">
        <v>3474</v>
      </c>
    </row>
    <row r="3336" spans="1:10" x14ac:dyDescent="0.35">
      <c r="A3336" s="6" t="s">
        <v>24</v>
      </c>
      <c r="B3336" s="6">
        <f t="shared" si="763"/>
        <v>2051</v>
      </c>
      <c r="C3336" s="1" t="s">
        <v>110</v>
      </c>
      <c r="D3336" s="2" t="s">
        <v>2003</v>
      </c>
      <c r="E3336" s="9" t="str">
        <f t="shared" si="759"/>
        <v>PS'!</v>
      </c>
      <c r="F3336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36" s="6" t="s">
        <v>111</v>
      </c>
      <c r="H3336" s="1">
        <f t="shared" si="761"/>
        <v>64</v>
      </c>
      <c r="I3336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PS'!$DI$64</v>
      </c>
      <c r="J3336" t="s">
        <v>3475</v>
      </c>
    </row>
    <row r="3337" spans="1:10" x14ac:dyDescent="0.35">
      <c r="A3337" s="6" t="s">
        <v>24</v>
      </c>
      <c r="B3337" s="6">
        <f t="shared" si="763"/>
        <v>2052</v>
      </c>
      <c r="C3337" s="1" t="s">
        <v>110</v>
      </c>
      <c r="D3337" s="2" t="s">
        <v>2003</v>
      </c>
      <c r="E3337" s="9" t="str">
        <f t="shared" si="759"/>
        <v>PS'!</v>
      </c>
      <c r="F3337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37" s="6" t="s">
        <v>111</v>
      </c>
      <c r="H3337" s="1">
        <f t="shared" si="761"/>
        <v>65</v>
      </c>
      <c r="I3337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PS'!$DI$65</v>
      </c>
      <c r="J3337" t="s">
        <v>3476</v>
      </c>
    </row>
    <row r="3338" spans="1:10" x14ac:dyDescent="0.35">
      <c r="A3338" s="6" t="s">
        <v>24</v>
      </c>
      <c r="B3338" s="6">
        <f t="shared" si="763"/>
        <v>2053</v>
      </c>
      <c r="C3338" s="1" t="s">
        <v>110</v>
      </c>
      <c r="D3338" s="2" t="s">
        <v>2003</v>
      </c>
      <c r="E3338" s="9" t="str">
        <f t="shared" si="759"/>
        <v>PS'!</v>
      </c>
      <c r="F3338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38" s="6" t="s">
        <v>111</v>
      </c>
      <c r="H3338" s="1">
        <f t="shared" si="761"/>
        <v>66</v>
      </c>
      <c r="I3338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PS'!$DI$66</v>
      </c>
      <c r="J3338" t="s">
        <v>3477</v>
      </c>
    </row>
    <row r="3339" spans="1:10" x14ac:dyDescent="0.35">
      <c r="A3339" s="6" t="s">
        <v>24</v>
      </c>
      <c r="B3339" s="6">
        <f t="shared" si="763"/>
        <v>2054</v>
      </c>
      <c r="C3339" s="1" t="s">
        <v>110</v>
      </c>
      <c r="D3339" s="2" t="s">
        <v>2003</v>
      </c>
      <c r="E3339" s="9" t="str">
        <f t="shared" si="759"/>
        <v>PS'!</v>
      </c>
      <c r="F3339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39" s="6" t="s">
        <v>111</v>
      </c>
      <c r="H3339" s="1">
        <f t="shared" si="761"/>
        <v>67</v>
      </c>
      <c r="I3339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PS'!$DI$67</v>
      </c>
      <c r="J3339" t="s">
        <v>3478</v>
      </c>
    </row>
    <row r="3340" spans="1:10" x14ac:dyDescent="0.35">
      <c r="A3340" s="6" t="s">
        <v>24</v>
      </c>
      <c r="B3340" s="6">
        <f t="shared" si="763"/>
        <v>2055</v>
      </c>
      <c r="C3340" s="1" t="s">
        <v>110</v>
      </c>
      <c r="D3340" s="2" t="s">
        <v>2003</v>
      </c>
      <c r="E3340" s="9" t="str">
        <f t="shared" si="759"/>
        <v>PS'!</v>
      </c>
      <c r="F3340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40" s="6" t="s">
        <v>111</v>
      </c>
      <c r="H3340" s="1">
        <f t="shared" si="761"/>
        <v>68</v>
      </c>
      <c r="I3340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PS'!$DI$68</v>
      </c>
      <c r="J3340" t="s">
        <v>3479</v>
      </c>
    </row>
    <row r="3341" spans="1:10" x14ac:dyDescent="0.35">
      <c r="A3341" s="6" t="s">
        <v>24</v>
      </c>
      <c r="B3341" s="6">
        <f t="shared" si="763"/>
        <v>2056</v>
      </c>
      <c r="C3341" s="1" t="s">
        <v>110</v>
      </c>
      <c r="D3341" s="2" t="s">
        <v>2003</v>
      </c>
      <c r="E3341" s="9" t="str">
        <f t="shared" si="759"/>
        <v>PS'!</v>
      </c>
      <c r="F3341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41" s="6" t="s">
        <v>111</v>
      </c>
      <c r="H3341" s="1">
        <f t="shared" si="761"/>
        <v>69</v>
      </c>
      <c r="I3341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PS'!$DI$69</v>
      </c>
      <c r="J3341" t="s">
        <v>3480</v>
      </c>
    </row>
    <row r="3342" spans="1:10" x14ac:dyDescent="0.35">
      <c r="A3342" s="6" t="s">
        <v>24</v>
      </c>
      <c r="B3342" s="6">
        <f t="shared" si="763"/>
        <v>2057</v>
      </c>
      <c r="C3342" s="1" t="s">
        <v>110</v>
      </c>
      <c r="D3342" s="2" t="s">
        <v>2003</v>
      </c>
      <c r="E3342" s="9" t="str">
        <f t="shared" si="759"/>
        <v>PS'!</v>
      </c>
      <c r="F3342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42" s="6" t="s">
        <v>111</v>
      </c>
      <c r="H3342" s="1">
        <f t="shared" si="761"/>
        <v>70</v>
      </c>
      <c r="I3342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PS'!$DI$70</v>
      </c>
      <c r="J3342" t="s">
        <v>3481</v>
      </c>
    </row>
    <row r="3343" spans="1:10" x14ac:dyDescent="0.35">
      <c r="A3343" s="6" t="s">
        <v>24</v>
      </c>
      <c r="B3343" s="6">
        <f t="shared" si="763"/>
        <v>2058</v>
      </c>
      <c r="C3343" s="1" t="s">
        <v>110</v>
      </c>
      <c r="D3343" s="2" t="s">
        <v>2003</v>
      </c>
      <c r="E3343" s="9" t="str">
        <f t="shared" si="759"/>
        <v>PS'!</v>
      </c>
      <c r="F3343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43" s="6" t="s">
        <v>111</v>
      </c>
      <c r="H3343" s="1">
        <f t="shared" si="761"/>
        <v>71</v>
      </c>
      <c r="I3343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PS'!$DI$71</v>
      </c>
      <c r="J3343" t="s">
        <v>3482</v>
      </c>
    </row>
    <row r="3344" spans="1:10" x14ac:dyDescent="0.35">
      <c r="A3344" s="6" t="s">
        <v>24</v>
      </c>
      <c r="B3344" s="6">
        <f t="shared" si="763"/>
        <v>2059</v>
      </c>
      <c r="C3344" s="1" t="s">
        <v>110</v>
      </c>
      <c r="D3344" s="2" t="s">
        <v>2003</v>
      </c>
      <c r="E3344" s="9" t="str">
        <f t="shared" si="759"/>
        <v>PS'!</v>
      </c>
      <c r="F3344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44" s="6" t="s">
        <v>111</v>
      </c>
      <c r="H3344" s="1">
        <f t="shared" si="761"/>
        <v>72</v>
      </c>
      <c r="I3344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PS'!$DI$72</v>
      </c>
      <c r="J3344" t="s">
        <v>3483</v>
      </c>
    </row>
    <row r="3345" spans="1:10" x14ac:dyDescent="0.35">
      <c r="A3345" s="8" t="s">
        <v>26</v>
      </c>
      <c r="C3345" s="1" t="s">
        <v>110</v>
      </c>
      <c r="D3345" s="2"/>
      <c r="E3345" s="8" t="str">
        <f t="shared" si="690"/>
        <v>Total'!</v>
      </c>
      <c r="F3345" s="5"/>
      <c r="J3345" s="4"/>
    </row>
    <row r="3346" spans="1:10" x14ac:dyDescent="0.35">
      <c r="A3346" s="6" t="s">
        <v>14</v>
      </c>
      <c r="B3346" s="6">
        <v>2023</v>
      </c>
      <c r="C3346" s="1" t="s">
        <v>28</v>
      </c>
      <c r="D3346" s="2" t="s">
        <v>2003</v>
      </c>
      <c r="E3346" s="9" t="str">
        <f>_xlfn.CONCAT(A3346,"'!")</f>
        <v>PDP'!</v>
      </c>
      <c r="F3346" s="5" t="str">
        <f t="shared" ref="F3346:F3366" si="764">_xlfn.CONCAT(D3346," ",E3346)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46" s="6" t="s">
        <v>112</v>
      </c>
      <c r="H3346" s="1">
        <f>IF(A3346&lt;&gt;A3345,36,H3345+1)</f>
        <v>36</v>
      </c>
      <c r="I3346" s="1" t="str">
        <f>_xlfn.CONCAT("='",F3346:H3346)</f>
        <v>='C:\Users\jaime.benazar\Quorum Business Solutions\Ecopetrol Prometeo - Documents\Planning Space Implementation\3. Analysis &amp; Design\Design\FC22\DRR Jaime\Por presentar a ECP\Cantagallo\Cristalina\[VRC_CRISTALINA_CF_SEC_20221231.xlsx]CF PDP'!$BB$36</v>
      </c>
      <c r="J3346" s="12" t="s">
        <v>3484</v>
      </c>
    </row>
    <row r="3347" spans="1:10" x14ac:dyDescent="0.35">
      <c r="A3347" s="6" t="s">
        <v>14</v>
      </c>
      <c r="B3347" s="6">
        <f>+B3346+1</f>
        <v>2024</v>
      </c>
      <c r="C3347" s="1" t="s">
        <v>28</v>
      </c>
      <c r="D3347" s="2" t="s">
        <v>2003</v>
      </c>
      <c r="E3347" s="9" t="str">
        <f t="shared" ref="E3347:E3404" si="765">_xlfn.CONCAT(A3347,"'!")</f>
        <v>PDP'!</v>
      </c>
      <c r="F3347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47" s="6" t="s">
        <v>112</v>
      </c>
      <c r="H3347" s="1">
        <f>IF(A3347&lt;&gt;A3346,36,H3346+1)</f>
        <v>37</v>
      </c>
      <c r="I3347" s="1" t="str">
        <f t="shared" ref="I3347:I3366" si="766">_xlfn.CONCAT("='",F3347:H3347)</f>
        <v>='C:\Users\jaime.benazar\Quorum Business Solutions\Ecopetrol Prometeo - Documents\Planning Space Implementation\3. Analysis &amp; Design\Design\FC22\DRR Jaime\Por presentar a ECP\Cantagallo\Cristalina\[VRC_CRISTALINA_CF_SEC_20221231.xlsx]CF PDP'!$BB$37</v>
      </c>
      <c r="J3347" s="1" t="s">
        <v>3485</v>
      </c>
    </row>
    <row r="3348" spans="1:10" x14ac:dyDescent="0.35">
      <c r="A3348" s="6" t="s">
        <v>14</v>
      </c>
      <c r="B3348" s="6">
        <f t="shared" ref="B3348:B3382" si="767">+B3347+1</f>
        <v>2025</v>
      </c>
      <c r="C3348" s="1" t="s">
        <v>28</v>
      </c>
      <c r="D3348" s="2" t="s">
        <v>2003</v>
      </c>
      <c r="E3348" s="9" t="str">
        <f t="shared" si="765"/>
        <v>PDP'!</v>
      </c>
      <c r="F3348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48" s="6" t="s">
        <v>112</v>
      </c>
      <c r="H3348" s="1">
        <f t="shared" ref="H3348:H3366" si="768">IF(A3348&lt;&gt;A3347,36,H3347+1)</f>
        <v>38</v>
      </c>
      <c r="I3348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PDP'!$BB$38</v>
      </c>
      <c r="J3348" s="1" t="s">
        <v>3486</v>
      </c>
    </row>
    <row r="3349" spans="1:10" x14ac:dyDescent="0.35">
      <c r="A3349" s="6" t="s">
        <v>14</v>
      </c>
      <c r="B3349" s="6">
        <f t="shared" si="767"/>
        <v>2026</v>
      </c>
      <c r="C3349" s="1" t="s">
        <v>28</v>
      </c>
      <c r="D3349" s="2" t="s">
        <v>2003</v>
      </c>
      <c r="E3349" s="9" t="str">
        <f t="shared" si="765"/>
        <v>PDP'!</v>
      </c>
      <c r="F3349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49" s="6" t="s">
        <v>112</v>
      </c>
      <c r="H3349" s="1">
        <f t="shared" si="768"/>
        <v>39</v>
      </c>
      <c r="I3349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PDP'!$BB$39</v>
      </c>
      <c r="J3349" s="1" t="s">
        <v>3487</v>
      </c>
    </row>
    <row r="3350" spans="1:10" x14ac:dyDescent="0.35">
      <c r="A3350" s="6" t="s">
        <v>14</v>
      </c>
      <c r="B3350" s="6">
        <f t="shared" si="767"/>
        <v>2027</v>
      </c>
      <c r="C3350" s="1" t="s">
        <v>28</v>
      </c>
      <c r="D3350" s="2" t="s">
        <v>2003</v>
      </c>
      <c r="E3350" s="9" t="str">
        <f t="shared" si="765"/>
        <v>PDP'!</v>
      </c>
      <c r="F3350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50" s="6" t="s">
        <v>112</v>
      </c>
      <c r="H3350" s="1">
        <f t="shared" si="768"/>
        <v>40</v>
      </c>
      <c r="I3350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PDP'!$BB$40</v>
      </c>
      <c r="J3350" s="1" t="s">
        <v>3488</v>
      </c>
    </row>
    <row r="3351" spans="1:10" x14ac:dyDescent="0.35">
      <c r="A3351" s="6" t="s">
        <v>14</v>
      </c>
      <c r="B3351" s="6">
        <f t="shared" si="767"/>
        <v>2028</v>
      </c>
      <c r="C3351" s="1" t="s">
        <v>28</v>
      </c>
      <c r="D3351" s="2" t="s">
        <v>2003</v>
      </c>
      <c r="E3351" s="9" t="str">
        <f t="shared" si="765"/>
        <v>PDP'!</v>
      </c>
      <c r="F3351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51" s="6" t="s">
        <v>112</v>
      </c>
      <c r="H3351" s="1">
        <f t="shared" si="768"/>
        <v>41</v>
      </c>
      <c r="I3351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PDP'!$BB$41</v>
      </c>
      <c r="J3351" s="1" t="s">
        <v>3489</v>
      </c>
    </row>
    <row r="3352" spans="1:10" x14ac:dyDescent="0.35">
      <c r="A3352" s="6" t="s">
        <v>14</v>
      </c>
      <c r="B3352" s="6">
        <f t="shared" si="767"/>
        <v>2029</v>
      </c>
      <c r="C3352" s="1" t="s">
        <v>28</v>
      </c>
      <c r="D3352" s="2" t="s">
        <v>2003</v>
      </c>
      <c r="E3352" s="9" t="str">
        <f t="shared" si="765"/>
        <v>PDP'!</v>
      </c>
      <c r="F3352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52" s="6" t="s">
        <v>112</v>
      </c>
      <c r="H3352" s="1">
        <f t="shared" si="768"/>
        <v>42</v>
      </c>
      <c r="I3352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PDP'!$BB$42</v>
      </c>
      <c r="J3352" s="1" t="s">
        <v>3490</v>
      </c>
    </row>
    <row r="3353" spans="1:10" x14ac:dyDescent="0.35">
      <c r="A3353" s="6" t="s">
        <v>14</v>
      </c>
      <c r="B3353" s="6">
        <f t="shared" si="767"/>
        <v>2030</v>
      </c>
      <c r="C3353" s="1" t="s">
        <v>28</v>
      </c>
      <c r="D3353" s="2" t="s">
        <v>2003</v>
      </c>
      <c r="E3353" s="9" t="str">
        <f t="shared" si="765"/>
        <v>PDP'!</v>
      </c>
      <c r="F3353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53" s="6" t="s">
        <v>112</v>
      </c>
      <c r="H3353" s="1">
        <f t="shared" si="768"/>
        <v>43</v>
      </c>
      <c r="I3353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PDP'!$BB$43</v>
      </c>
      <c r="J3353" s="1" t="s">
        <v>3491</v>
      </c>
    </row>
    <row r="3354" spans="1:10" x14ac:dyDescent="0.35">
      <c r="A3354" s="6" t="s">
        <v>14</v>
      </c>
      <c r="B3354" s="6">
        <f t="shared" si="767"/>
        <v>2031</v>
      </c>
      <c r="C3354" s="1" t="s">
        <v>28</v>
      </c>
      <c r="D3354" s="2" t="s">
        <v>2003</v>
      </c>
      <c r="E3354" s="9" t="str">
        <f t="shared" si="765"/>
        <v>PDP'!</v>
      </c>
      <c r="F3354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54" s="6" t="s">
        <v>112</v>
      </c>
      <c r="H3354" s="1">
        <f t="shared" si="768"/>
        <v>44</v>
      </c>
      <c r="I3354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PDP'!$BB$44</v>
      </c>
      <c r="J3354" s="1" t="s">
        <v>3492</v>
      </c>
    </row>
    <row r="3355" spans="1:10" x14ac:dyDescent="0.35">
      <c r="A3355" s="6" t="s">
        <v>14</v>
      </c>
      <c r="B3355" s="6">
        <f t="shared" si="767"/>
        <v>2032</v>
      </c>
      <c r="C3355" s="1" t="s">
        <v>28</v>
      </c>
      <c r="D3355" s="2" t="s">
        <v>2003</v>
      </c>
      <c r="E3355" s="9" t="str">
        <f t="shared" si="765"/>
        <v>PDP'!</v>
      </c>
      <c r="F3355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55" s="6" t="s">
        <v>112</v>
      </c>
      <c r="H3355" s="1">
        <f t="shared" si="768"/>
        <v>45</v>
      </c>
      <c r="I3355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PDP'!$BB$45</v>
      </c>
      <c r="J3355" s="1" t="s">
        <v>3493</v>
      </c>
    </row>
    <row r="3356" spans="1:10" x14ac:dyDescent="0.35">
      <c r="A3356" s="6" t="s">
        <v>14</v>
      </c>
      <c r="B3356" s="6">
        <f t="shared" si="767"/>
        <v>2033</v>
      </c>
      <c r="C3356" s="1" t="s">
        <v>28</v>
      </c>
      <c r="D3356" s="2" t="s">
        <v>2003</v>
      </c>
      <c r="E3356" s="9" t="str">
        <f t="shared" si="765"/>
        <v>PDP'!</v>
      </c>
      <c r="F3356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56" s="6" t="s">
        <v>112</v>
      </c>
      <c r="H3356" s="1">
        <f t="shared" si="768"/>
        <v>46</v>
      </c>
      <c r="I3356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PDP'!$BB$46</v>
      </c>
      <c r="J3356" s="1" t="s">
        <v>3494</v>
      </c>
    </row>
    <row r="3357" spans="1:10" x14ac:dyDescent="0.35">
      <c r="A3357" s="6" t="s">
        <v>14</v>
      </c>
      <c r="B3357" s="6">
        <f t="shared" si="767"/>
        <v>2034</v>
      </c>
      <c r="C3357" s="1" t="s">
        <v>28</v>
      </c>
      <c r="D3357" s="2" t="s">
        <v>2003</v>
      </c>
      <c r="E3357" s="9" t="str">
        <f t="shared" si="765"/>
        <v>PDP'!</v>
      </c>
      <c r="F3357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57" s="6" t="s">
        <v>112</v>
      </c>
      <c r="H3357" s="1">
        <f t="shared" si="768"/>
        <v>47</v>
      </c>
      <c r="I3357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PDP'!$BB$47</v>
      </c>
      <c r="J3357" s="1" t="s">
        <v>3495</v>
      </c>
    </row>
    <row r="3358" spans="1:10" x14ac:dyDescent="0.35">
      <c r="A3358" s="6" t="s">
        <v>14</v>
      </c>
      <c r="B3358" s="6">
        <f t="shared" si="767"/>
        <v>2035</v>
      </c>
      <c r="C3358" s="1" t="s">
        <v>28</v>
      </c>
      <c r="D3358" s="2" t="s">
        <v>2003</v>
      </c>
      <c r="E3358" s="9" t="str">
        <f t="shared" si="765"/>
        <v>PDP'!</v>
      </c>
      <c r="F3358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58" s="6" t="s">
        <v>112</v>
      </c>
      <c r="H3358" s="1">
        <f t="shared" si="768"/>
        <v>48</v>
      </c>
      <c r="I3358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PDP'!$BB$48</v>
      </c>
      <c r="J3358" s="1" t="s">
        <v>3496</v>
      </c>
    </row>
    <row r="3359" spans="1:10" x14ac:dyDescent="0.35">
      <c r="A3359" s="6" t="s">
        <v>14</v>
      </c>
      <c r="B3359" s="6">
        <f t="shared" si="767"/>
        <v>2036</v>
      </c>
      <c r="C3359" s="1" t="s">
        <v>28</v>
      </c>
      <c r="D3359" s="2" t="s">
        <v>2003</v>
      </c>
      <c r="E3359" s="9" t="str">
        <f t="shared" si="765"/>
        <v>PDP'!</v>
      </c>
      <c r="F3359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59" s="6" t="s">
        <v>112</v>
      </c>
      <c r="H3359" s="1">
        <f t="shared" si="768"/>
        <v>49</v>
      </c>
      <c r="I3359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PDP'!$BB$49</v>
      </c>
      <c r="J3359" s="1" t="s">
        <v>3497</v>
      </c>
    </row>
    <row r="3360" spans="1:10" x14ac:dyDescent="0.35">
      <c r="A3360" s="6" t="s">
        <v>14</v>
      </c>
      <c r="B3360" s="6">
        <f>+B3359+1</f>
        <v>2037</v>
      </c>
      <c r="C3360" s="1" t="s">
        <v>28</v>
      </c>
      <c r="D3360" s="2" t="s">
        <v>2003</v>
      </c>
      <c r="E3360" s="9" t="str">
        <f t="shared" si="765"/>
        <v>PDP'!</v>
      </c>
      <c r="F3360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60" s="6" t="s">
        <v>112</v>
      </c>
      <c r="H3360" s="1">
        <f t="shared" si="768"/>
        <v>50</v>
      </c>
      <c r="I3360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PDP'!$BB$50</v>
      </c>
      <c r="J3360" s="1" t="s">
        <v>3498</v>
      </c>
    </row>
    <row r="3361" spans="1:10" x14ac:dyDescent="0.35">
      <c r="A3361" s="6" t="s">
        <v>14</v>
      </c>
      <c r="B3361" s="6">
        <f t="shared" si="767"/>
        <v>2038</v>
      </c>
      <c r="C3361" s="1" t="s">
        <v>28</v>
      </c>
      <c r="D3361" s="2" t="s">
        <v>2003</v>
      </c>
      <c r="E3361" s="9" t="str">
        <f t="shared" si="765"/>
        <v>PDP'!</v>
      </c>
      <c r="F3361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61" s="6" t="s">
        <v>112</v>
      </c>
      <c r="H3361" s="1">
        <f t="shared" si="768"/>
        <v>51</v>
      </c>
      <c r="I3361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PDP'!$BB$51</v>
      </c>
      <c r="J3361" s="1" t="s">
        <v>3499</v>
      </c>
    </row>
    <row r="3362" spans="1:10" x14ac:dyDescent="0.35">
      <c r="A3362" s="6" t="s">
        <v>14</v>
      </c>
      <c r="B3362" s="6">
        <f t="shared" si="767"/>
        <v>2039</v>
      </c>
      <c r="C3362" s="1" t="s">
        <v>28</v>
      </c>
      <c r="D3362" s="2" t="s">
        <v>2003</v>
      </c>
      <c r="E3362" s="9" t="str">
        <f t="shared" si="765"/>
        <v>PDP'!</v>
      </c>
      <c r="F3362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62" s="6" t="s">
        <v>112</v>
      </c>
      <c r="H3362" s="1">
        <f t="shared" si="768"/>
        <v>52</v>
      </c>
      <c r="I3362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PDP'!$BB$52</v>
      </c>
      <c r="J3362" s="1" t="s">
        <v>3500</v>
      </c>
    </row>
    <row r="3363" spans="1:10" x14ac:dyDescent="0.35">
      <c r="A3363" s="6" t="s">
        <v>14</v>
      </c>
      <c r="B3363" s="6">
        <f t="shared" si="767"/>
        <v>2040</v>
      </c>
      <c r="C3363" s="1" t="s">
        <v>28</v>
      </c>
      <c r="D3363" s="2" t="s">
        <v>2003</v>
      </c>
      <c r="E3363" s="9" t="str">
        <f t="shared" si="765"/>
        <v>PDP'!</v>
      </c>
      <c r="F3363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63" s="6" t="s">
        <v>112</v>
      </c>
      <c r="H3363" s="1">
        <f t="shared" si="768"/>
        <v>53</v>
      </c>
      <c r="I3363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PDP'!$BB$53</v>
      </c>
      <c r="J3363" s="1" t="s">
        <v>3501</v>
      </c>
    </row>
    <row r="3364" spans="1:10" x14ac:dyDescent="0.35">
      <c r="A3364" s="6" t="s">
        <v>14</v>
      </c>
      <c r="B3364" s="6">
        <f>+B3363+1</f>
        <v>2041</v>
      </c>
      <c r="C3364" s="1" t="s">
        <v>28</v>
      </c>
      <c r="D3364" s="2" t="s">
        <v>2003</v>
      </c>
      <c r="E3364" s="9" t="str">
        <f t="shared" si="765"/>
        <v>PDP'!</v>
      </c>
      <c r="F3364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64" s="6" t="s">
        <v>112</v>
      </c>
      <c r="H3364" s="1">
        <f t="shared" si="768"/>
        <v>54</v>
      </c>
      <c r="I3364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PDP'!$BB$54</v>
      </c>
      <c r="J3364" s="1" t="s">
        <v>3502</v>
      </c>
    </row>
    <row r="3365" spans="1:10" x14ac:dyDescent="0.35">
      <c r="A3365" s="6" t="s">
        <v>14</v>
      </c>
      <c r="B3365" s="6">
        <f t="shared" si="767"/>
        <v>2042</v>
      </c>
      <c r="C3365" s="1" t="s">
        <v>28</v>
      </c>
      <c r="D3365" s="2" t="s">
        <v>2003</v>
      </c>
      <c r="E3365" s="9" t="str">
        <f t="shared" si="765"/>
        <v>PDP'!</v>
      </c>
      <c r="F3365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65" s="6" t="s">
        <v>112</v>
      </c>
      <c r="H3365" s="1">
        <f t="shared" si="768"/>
        <v>55</v>
      </c>
      <c r="I3365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PDP'!$BB$55</v>
      </c>
      <c r="J3365" s="1" t="s">
        <v>3503</v>
      </c>
    </row>
    <row r="3366" spans="1:10" x14ac:dyDescent="0.35">
      <c r="A3366" s="6" t="s">
        <v>14</v>
      </c>
      <c r="B3366" s="6">
        <f t="shared" si="767"/>
        <v>2043</v>
      </c>
      <c r="C3366" s="1" t="s">
        <v>28</v>
      </c>
      <c r="D3366" s="2" t="s">
        <v>2003</v>
      </c>
      <c r="E3366" s="9" t="str">
        <f t="shared" si="765"/>
        <v>PDP'!</v>
      </c>
      <c r="F3366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66" s="6" t="s">
        <v>112</v>
      </c>
      <c r="H3366" s="1">
        <f t="shared" si="768"/>
        <v>56</v>
      </c>
      <c r="I3366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PDP'!$BB$56</v>
      </c>
      <c r="J3366" s="1" t="s">
        <v>3504</v>
      </c>
    </row>
    <row r="3367" spans="1:10" x14ac:dyDescent="0.35">
      <c r="A3367" s="6" t="s">
        <v>14</v>
      </c>
      <c r="B3367" s="6">
        <f>+B3366+1</f>
        <v>2044</v>
      </c>
      <c r="C3367" s="1" t="s">
        <v>28</v>
      </c>
      <c r="D3367" s="2" t="s">
        <v>2003</v>
      </c>
      <c r="E3367" s="9" t="str">
        <f t="shared" ref="E3367:E3382" si="769">_xlfn.CONCAT(A3367,"'!")</f>
        <v>PDP'!</v>
      </c>
      <c r="F3367" s="5" t="str">
        <f t="shared" ref="F3367:F3382" si="770">_xlfn.CONCAT(D3367," ",E3367)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67" s="6" t="s">
        <v>112</v>
      </c>
      <c r="H3367" s="1">
        <f t="shared" ref="H3367:H3382" si="771">IF(A3367&lt;&gt;A3366,36,H3366+1)</f>
        <v>57</v>
      </c>
      <c r="I3367" s="1" t="str">
        <f t="shared" ref="I3367:I3382" si="772">_xlfn.CONCAT("='",F3367:H3367)</f>
        <v>='C:\Users\jaime.benazar\Quorum Business Solutions\Ecopetrol Prometeo - Documents\Planning Space Implementation\3. Analysis &amp; Design\Design\FC22\DRR Jaime\Por presentar a ECP\Cantagallo\Cristalina\[VRC_CRISTALINA_CF_SEC_20221231.xlsx]CF PDP'!$BB$57</v>
      </c>
      <c r="J3367" s="1" t="s">
        <v>3505</v>
      </c>
    </row>
    <row r="3368" spans="1:10" x14ac:dyDescent="0.35">
      <c r="A3368" s="6" t="s">
        <v>14</v>
      </c>
      <c r="B3368" s="6">
        <f t="shared" si="767"/>
        <v>2045</v>
      </c>
      <c r="C3368" s="1" t="s">
        <v>28</v>
      </c>
      <c r="D3368" s="2" t="s">
        <v>2003</v>
      </c>
      <c r="E3368" s="9" t="str">
        <f t="shared" si="769"/>
        <v>PDP'!</v>
      </c>
      <c r="F3368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68" s="6" t="s">
        <v>112</v>
      </c>
      <c r="H3368" s="1">
        <f t="shared" si="771"/>
        <v>58</v>
      </c>
      <c r="I3368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PDP'!$BB$58</v>
      </c>
      <c r="J3368" s="1" t="s">
        <v>3506</v>
      </c>
    </row>
    <row r="3369" spans="1:10" x14ac:dyDescent="0.35">
      <c r="A3369" s="6" t="s">
        <v>14</v>
      </c>
      <c r="B3369" s="6">
        <f t="shared" si="767"/>
        <v>2046</v>
      </c>
      <c r="C3369" s="1" t="s">
        <v>28</v>
      </c>
      <c r="D3369" s="2" t="s">
        <v>2003</v>
      </c>
      <c r="E3369" s="9" t="str">
        <f t="shared" si="769"/>
        <v>PDP'!</v>
      </c>
      <c r="F3369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69" s="6" t="s">
        <v>112</v>
      </c>
      <c r="H3369" s="1">
        <f t="shared" si="771"/>
        <v>59</v>
      </c>
      <c r="I3369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PDP'!$BB$59</v>
      </c>
      <c r="J3369" s="1" t="s">
        <v>3507</v>
      </c>
    </row>
    <row r="3370" spans="1:10" x14ac:dyDescent="0.35">
      <c r="A3370" s="6" t="s">
        <v>14</v>
      </c>
      <c r="B3370" s="6">
        <f t="shared" si="767"/>
        <v>2047</v>
      </c>
      <c r="C3370" s="1" t="s">
        <v>28</v>
      </c>
      <c r="D3370" s="2" t="s">
        <v>2003</v>
      </c>
      <c r="E3370" s="9" t="str">
        <f t="shared" si="769"/>
        <v>PDP'!</v>
      </c>
      <c r="F3370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70" s="6" t="s">
        <v>112</v>
      </c>
      <c r="H3370" s="1">
        <f t="shared" si="771"/>
        <v>60</v>
      </c>
      <c r="I3370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PDP'!$BB$60</v>
      </c>
      <c r="J3370" s="1" t="s">
        <v>3508</v>
      </c>
    </row>
    <row r="3371" spans="1:10" x14ac:dyDescent="0.35">
      <c r="A3371" s="6" t="s">
        <v>14</v>
      </c>
      <c r="B3371" s="6">
        <f t="shared" si="767"/>
        <v>2048</v>
      </c>
      <c r="C3371" s="1" t="s">
        <v>28</v>
      </c>
      <c r="D3371" s="2" t="s">
        <v>2003</v>
      </c>
      <c r="E3371" s="9" t="str">
        <f t="shared" si="769"/>
        <v>PDP'!</v>
      </c>
      <c r="F3371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71" s="6" t="s">
        <v>112</v>
      </c>
      <c r="H3371" s="1">
        <f t="shared" si="771"/>
        <v>61</v>
      </c>
      <c r="I3371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PDP'!$BB$61</v>
      </c>
      <c r="J3371" s="1" t="s">
        <v>3509</v>
      </c>
    </row>
    <row r="3372" spans="1:10" x14ac:dyDescent="0.35">
      <c r="A3372" s="6" t="s">
        <v>14</v>
      </c>
      <c r="B3372" s="6">
        <f t="shared" si="767"/>
        <v>2049</v>
      </c>
      <c r="C3372" s="1" t="s">
        <v>28</v>
      </c>
      <c r="D3372" s="2" t="s">
        <v>2003</v>
      </c>
      <c r="E3372" s="9" t="str">
        <f t="shared" si="769"/>
        <v>PDP'!</v>
      </c>
      <c r="F3372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72" s="6" t="s">
        <v>112</v>
      </c>
      <c r="H3372" s="1">
        <f t="shared" si="771"/>
        <v>62</v>
      </c>
      <c r="I3372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PDP'!$BB$62</v>
      </c>
      <c r="J3372" s="1" t="s">
        <v>3510</v>
      </c>
    </row>
    <row r="3373" spans="1:10" x14ac:dyDescent="0.35">
      <c r="A3373" s="6" t="s">
        <v>14</v>
      </c>
      <c r="B3373" s="6">
        <f t="shared" si="767"/>
        <v>2050</v>
      </c>
      <c r="C3373" s="1" t="s">
        <v>28</v>
      </c>
      <c r="D3373" s="2" t="s">
        <v>2003</v>
      </c>
      <c r="E3373" s="9" t="str">
        <f t="shared" si="769"/>
        <v>PDP'!</v>
      </c>
      <c r="F3373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73" s="6" t="s">
        <v>112</v>
      </c>
      <c r="H3373" s="1">
        <f t="shared" si="771"/>
        <v>63</v>
      </c>
      <c r="I3373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PDP'!$BB$63</v>
      </c>
      <c r="J3373" s="1" t="s">
        <v>3511</v>
      </c>
    </row>
    <row r="3374" spans="1:10" x14ac:dyDescent="0.35">
      <c r="A3374" s="6" t="s">
        <v>14</v>
      </c>
      <c r="B3374" s="6">
        <f t="shared" si="767"/>
        <v>2051</v>
      </c>
      <c r="C3374" s="1" t="s">
        <v>28</v>
      </c>
      <c r="D3374" s="2" t="s">
        <v>2003</v>
      </c>
      <c r="E3374" s="9" t="str">
        <f t="shared" si="769"/>
        <v>PDP'!</v>
      </c>
      <c r="F3374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74" s="6" t="s">
        <v>112</v>
      </c>
      <c r="H3374" s="1">
        <f t="shared" si="771"/>
        <v>64</v>
      </c>
      <c r="I3374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PDP'!$BB$64</v>
      </c>
      <c r="J3374" s="1" t="s">
        <v>3512</v>
      </c>
    </row>
    <row r="3375" spans="1:10" x14ac:dyDescent="0.35">
      <c r="A3375" s="6" t="s">
        <v>14</v>
      </c>
      <c r="B3375" s="6">
        <f t="shared" si="767"/>
        <v>2052</v>
      </c>
      <c r="C3375" s="1" t="s">
        <v>28</v>
      </c>
      <c r="D3375" s="2" t="s">
        <v>2003</v>
      </c>
      <c r="E3375" s="9" t="str">
        <f t="shared" si="769"/>
        <v>PDP'!</v>
      </c>
      <c r="F3375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75" s="6" t="s">
        <v>112</v>
      </c>
      <c r="H3375" s="1">
        <f t="shared" si="771"/>
        <v>65</v>
      </c>
      <c r="I3375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PDP'!$BB$65</v>
      </c>
      <c r="J3375" s="1" t="s">
        <v>3513</v>
      </c>
    </row>
    <row r="3376" spans="1:10" x14ac:dyDescent="0.35">
      <c r="A3376" s="6" t="s">
        <v>14</v>
      </c>
      <c r="B3376" s="6">
        <f t="shared" si="767"/>
        <v>2053</v>
      </c>
      <c r="C3376" s="1" t="s">
        <v>28</v>
      </c>
      <c r="D3376" s="2" t="s">
        <v>2003</v>
      </c>
      <c r="E3376" s="9" t="str">
        <f t="shared" si="769"/>
        <v>PDP'!</v>
      </c>
      <c r="F3376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76" s="6" t="s">
        <v>112</v>
      </c>
      <c r="H3376" s="1">
        <f t="shared" si="771"/>
        <v>66</v>
      </c>
      <c r="I3376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PDP'!$BB$66</v>
      </c>
      <c r="J3376" s="1" t="s">
        <v>3514</v>
      </c>
    </row>
    <row r="3377" spans="1:10" x14ac:dyDescent="0.35">
      <c r="A3377" s="6" t="s">
        <v>14</v>
      </c>
      <c r="B3377" s="6">
        <f t="shared" si="767"/>
        <v>2054</v>
      </c>
      <c r="C3377" s="1" t="s">
        <v>28</v>
      </c>
      <c r="D3377" s="2" t="s">
        <v>2003</v>
      </c>
      <c r="E3377" s="9" t="str">
        <f t="shared" si="769"/>
        <v>PDP'!</v>
      </c>
      <c r="F3377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77" s="6" t="s">
        <v>112</v>
      </c>
      <c r="H3377" s="1">
        <f t="shared" si="771"/>
        <v>67</v>
      </c>
      <c r="I3377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PDP'!$BB$67</v>
      </c>
      <c r="J3377" s="1" t="s">
        <v>3515</v>
      </c>
    </row>
    <row r="3378" spans="1:10" x14ac:dyDescent="0.35">
      <c r="A3378" s="6" t="s">
        <v>14</v>
      </c>
      <c r="B3378" s="6">
        <f t="shared" si="767"/>
        <v>2055</v>
      </c>
      <c r="C3378" s="1" t="s">
        <v>28</v>
      </c>
      <c r="D3378" s="2" t="s">
        <v>2003</v>
      </c>
      <c r="E3378" s="9" t="str">
        <f t="shared" si="769"/>
        <v>PDP'!</v>
      </c>
      <c r="F3378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78" s="6" t="s">
        <v>112</v>
      </c>
      <c r="H3378" s="1">
        <f t="shared" si="771"/>
        <v>68</v>
      </c>
      <c r="I3378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PDP'!$BB$68</v>
      </c>
      <c r="J3378" s="1" t="s">
        <v>3516</v>
      </c>
    </row>
    <row r="3379" spans="1:10" x14ac:dyDescent="0.35">
      <c r="A3379" s="6" t="s">
        <v>14</v>
      </c>
      <c r="B3379" s="6">
        <f t="shared" si="767"/>
        <v>2056</v>
      </c>
      <c r="C3379" s="1" t="s">
        <v>28</v>
      </c>
      <c r="D3379" s="2" t="s">
        <v>2003</v>
      </c>
      <c r="E3379" s="9" t="str">
        <f t="shared" si="769"/>
        <v>PDP'!</v>
      </c>
      <c r="F3379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79" s="6" t="s">
        <v>112</v>
      </c>
      <c r="H3379" s="1">
        <f t="shared" si="771"/>
        <v>69</v>
      </c>
      <c r="I3379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PDP'!$BB$69</v>
      </c>
      <c r="J3379" s="1" t="s">
        <v>3517</v>
      </c>
    </row>
    <row r="3380" spans="1:10" x14ac:dyDescent="0.35">
      <c r="A3380" s="6" t="s">
        <v>14</v>
      </c>
      <c r="B3380" s="6">
        <f t="shared" si="767"/>
        <v>2057</v>
      </c>
      <c r="C3380" s="1" t="s">
        <v>28</v>
      </c>
      <c r="D3380" s="2" t="s">
        <v>2003</v>
      </c>
      <c r="E3380" s="9" t="str">
        <f t="shared" si="769"/>
        <v>PDP'!</v>
      </c>
      <c r="F3380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80" s="6" t="s">
        <v>112</v>
      </c>
      <c r="H3380" s="1">
        <f t="shared" si="771"/>
        <v>70</v>
      </c>
      <c r="I3380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PDP'!$BB$70</v>
      </c>
      <c r="J3380" s="1" t="s">
        <v>3518</v>
      </c>
    </row>
    <row r="3381" spans="1:10" x14ac:dyDescent="0.35">
      <c r="A3381" s="6" t="s">
        <v>14</v>
      </c>
      <c r="B3381" s="6">
        <f t="shared" si="767"/>
        <v>2058</v>
      </c>
      <c r="C3381" s="1" t="s">
        <v>28</v>
      </c>
      <c r="D3381" s="2" t="s">
        <v>2003</v>
      </c>
      <c r="E3381" s="9" t="str">
        <f t="shared" si="769"/>
        <v>PDP'!</v>
      </c>
      <c r="F3381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81" s="6" t="s">
        <v>112</v>
      </c>
      <c r="H3381" s="1">
        <f t="shared" si="771"/>
        <v>71</v>
      </c>
      <c r="I3381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PDP'!$BB$71</v>
      </c>
      <c r="J3381" s="1" t="s">
        <v>3519</v>
      </c>
    </row>
    <row r="3382" spans="1:10" x14ac:dyDescent="0.35">
      <c r="A3382" s="6" t="s">
        <v>14</v>
      </c>
      <c r="B3382" s="6">
        <f t="shared" si="767"/>
        <v>2059</v>
      </c>
      <c r="C3382" s="1" t="s">
        <v>28</v>
      </c>
      <c r="D3382" s="2" t="s">
        <v>2003</v>
      </c>
      <c r="E3382" s="9" t="str">
        <f t="shared" si="769"/>
        <v>PDP'!</v>
      </c>
      <c r="F3382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82" s="6" t="s">
        <v>112</v>
      </c>
      <c r="H3382" s="1">
        <f t="shared" si="771"/>
        <v>72</v>
      </c>
      <c r="I3382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PDP'!$BB$72</v>
      </c>
      <c r="J3382" s="1" t="s">
        <v>3520</v>
      </c>
    </row>
    <row r="3383" spans="1:10" x14ac:dyDescent="0.35">
      <c r="A3383" s="6" t="s">
        <v>26</v>
      </c>
      <c r="B3383" s="6"/>
      <c r="C3383" s="1" t="s">
        <v>28</v>
      </c>
      <c r="D3383" s="2"/>
      <c r="E3383" s="9" t="str">
        <f t="shared" si="765"/>
        <v>Total'!</v>
      </c>
      <c r="F3383" s="2"/>
      <c r="G3383" s="6"/>
      <c r="H3383" s="1"/>
      <c r="I3383" s="1"/>
      <c r="J3383" s="4"/>
    </row>
    <row r="3384" spans="1:10" x14ac:dyDescent="0.35">
      <c r="A3384" s="6" t="s">
        <v>15</v>
      </c>
      <c r="B3384" s="6">
        <v>2023</v>
      </c>
      <c r="C3384" s="1" t="s">
        <v>28</v>
      </c>
      <c r="D3384" s="2" t="s">
        <v>2003</v>
      </c>
      <c r="E3384" s="9" t="str">
        <f t="shared" si="765"/>
        <v>PNP'!</v>
      </c>
      <c r="F3384" s="5" t="str">
        <f t="shared" ref="F3384:F3404" si="773">_xlfn.CONCAT(D3384," ",E3384)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84" s="6" t="s">
        <v>112</v>
      </c>
      <c r="H3384" s="1">
        <f>IF(A3384&lt;&gt;A3368,36,H3368+1)</f>
        <v>36</v>
      </c>
      <c r="I3384" s="1" t="str">
        <f t="shared" ref="I3384:I3404" si="774">_xlfn.CONCAT("='",F3384:H3384)</f>
        <v>='C:\Users\jaime.benazar\Quorum Business Solutions\Ecopetrol Prometeo - Documents\Planning Space Implementation\3. Analysis &amp; Design\Design\FC22\DRR Jaime\Por presentar a ECP\Cantagallo\Cristalina\[VRC_CRISTALINA_CF_SEC_20221231.xlsx]CF PNP'!$BB$36</v>
      </c>
      <c r="J3384" s="1" t="s">
        <v>3521</v>
      </c>
    </row>
    <row r="3385" spans="1:10" x14ac:dyDescent="0.35">
      <c r="A3385" s="6" t="s">
        <v>15</v>
      </c>
      <c r="B3385" s="6">
        <f>+B3384+1</f>
        <v>2024</v>
      </c>
      <c r="C3385" s="1" t="s">
        <v>28</v>
      </c>
      <c r="D3385" s="2" t="s">
        <v>2003</v>
      </c>
      <c r="E3385" s="9" t="str">
        <f t="shared" si="765"/>
        <v>PNP'!</v>
      </c>
      <c r="F3385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85" s="6" t="s">
        <v>112</v>
      </c>
      <c r="H3385" s="1">
        <f t="shared" ref="H3385:H3404" si="775">IF(A3385&lt;&gt;A3384,36,H3384+1)</f>
        <v>37</v>
      </c>
      <c r="I3385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PNP'!$BB$37</v>
      </c>
      <c r="J3385" s="1" t="s">
        <v>3522</v>
      </c>
    </row>
    <row r="3386" spans="1:10" x14ac:dyDescent="0.35">
      <c r="A3386" s="6" t="s">
        <v>15</v>
      </c>
      <c r="B3386" s="6">
        <f t="shared" ref="B3386:B3397" si="776">+B3385+1</f>
        <v>2025</v>
      </c>
      <c r="C3386" s="1" t="s">
        <v>28</v>
      </c>
      <c r="D3386" s="2" t="s">
        <v>2003</v>
      </c>
      <c r="E3386" s="9" t="str">
        <f t="shared" si="765"/>
        <v>PNP'!</v>
      </c>
      <c r="F3386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86" s="6" t="s">
        <v>112</v>
      </c>
      <c r="H3386" s="1">
        <f t="shared" si="775"/>
        <v>38</v>
      </c>
      <c r="I3386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PNP'!$BB$38</v>
      </c>
      <c r="J3386" s="1" t="s">
        <v>3523</v>
      </c>
    </row>
    <row r="3387" spans="1:10" x14ac:dyDescent="0.35">
      <c r="A3387" s="6" t="s">
        <v>15</v>
      </c>
      <c r="B3387" s="6">
        <f t="shared" si="776"/>
        <v>2026</v>
      </c>
      <c r="C3387" s="1" t="s">
        <v>28</v>
      </c>
      <c r="D3387" s="2" t="s">
        <v>2003</v>
      </c>
      <c r="E3387" s="9" t="str">
        <f t="shared" si="765"/>
        <v>PNP'!</v>
      </c>
      <c r="F3387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87" s="6" t="s">
        <v>112</v>
      </c>
      <c r="H3387" s="1">
        <f t="shared" si="775"/>
        <v>39</v>
      </c>
      <c r="I3387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PNP'!$BB$39</v>
      </c>
      <c r="J3387" s="1" t="s">
        <v>3524</v>
      </c>
    </row>
    <row r="3388" spans="1:10" x14ac:dyDescent="0.35">
      <c r="A3388" s="6" t="s">
        <v>15</v>
      </c>
      <c r="B3388" s="6">
        <f t="shared" si="776"/>
        <v>2027</v>
      </c>
      <c r="C3388" s="1" t="s">
        <v>28</v>
      </c>
      <c r="D3388" s="2" t="s">
        <v>2003</v>
      </c>
      <c r="E3388" s="9" t="str">
        <f t="shared" si="765"/>
        <v>PNP'!</v>
      </c>
      <c r="F3388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88" s="6" t="s">
        <v>112</v>
      </c>
      <c r="H3388" s="1">
        <f t="shared" si="775"/>
        <v>40</v>
      </c>
      <c r="I3388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PNP'!$BB$40</v>
      </c>
      <c r="J3388" s="1" t="s">
        <v>3525</v>
      </c>
    </row>
    <row r="3389" spans="1:10" x14ac:dyDescent="0.35">
      <c r="A3389" s="6" t="s">
        <v>15</v>
      </c>
      <c r="B3389" s="6">
        <f t="shared" si="776"/>
        <v>2028</v>
      </c>
      <c r="C3389" s="1" t="s">
        <v>28</v>
      </c>
      <c r="D3389" s="2" t="s">
        <v>2003</v>
      </c>
      <c r="E3389" s="9" t="str">
        <f t="shared" si="765"/>
        <v>PNP'!</v>
      </c>
      <c r="F3389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89" s="6" t="s">
        <v>112</v>
      </c>
      <c r="H3389" s="1">
        <f t="shared" si="775"/>
        <v>41</v>
      </c>
      <c r="I3389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PNP'!$BB$41</v>
      </c>
      <c r="J3389" s="1" t="s">
        <v>3526</v>
      </c>
    </row>
    <row r="3390" spans="1:10" x14ac:dyDescent="0.35">
      <c r="A3390" s="6" t="s">
        <v>15</v>
      </c>
      <c r="B3390" s="6">
        <f t="shared" si="776"/>
        <v>2029</v>
      </c>
      <c r="C3390" s="1" t="s">
        <v>28</v>
      </c>
      <c r="D3390" s="2" t="s">
        <v>2003</v>
      </c>
      <c r="E3390" s="9" t="str">
        <f t="shared" si="765"/>
        <v>PNP'!</v>
      </c>
      <c r="F3390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90" s="6" t="s">
        <v>112</v>
      </c>
      <c r="H3390" s="1">
        <f t="shared" si="775"/>
        <v>42</v>
      </c>
      <c r="I3390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PNP'!$BB$42</v>
      </c>
      <c r="J3390" s="1" t="s">
        <v>3527</v>
      </c>
    </row>
    <row r="3391" spans="1:10" x14ac:dyDescent="0.35">
      <c r="A3391" s="6" t="s">
        <v>15</v>
      </c>
      <c r="B3391" s="6">
        <f t="shared" si="776"/>
        <v>2030</v>
      </c>
      <c r="C3391" s="1" t="s">
        <v>28</v>
      </c>
      <c r="D3391" s="2" t="s">
        <v>2003</v>
      </c>
      <c r="E3391" s="9" t="str">
        <f t="shared" si="765"/>
        <v>PNP'!</v>
      </c>
      <c r="F3391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91" s="6" t="s">
        <v>112</v>
      </c>
      <c r="H3391" s="1">
        <f t="shared" si="775"/>
        <v>43</v>
      </c>
      <c r="I3391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PNP'!$BB$43</v>
      </c>
      <c r="J3391" s="1" t="s">
        <v>3528</v>
      </c>
    </row>
    <row r="3392" spans="1:10" x14ac:dyDescent="0.35">
      <c r="A3392" s="6" t="s">
        <v>15</v>
      </c>
      <c r="B3392" s="6">
        <f t="shared" si="776"/>
        <v>2031</v>
      </c>
      <c r="C3392" s="1" t="s">
        <v>28</v>
      </c>
      <c r="D3392" s="2" t="s">
        <v>2003</v>
      </c>
      <c r="E3392" s="9" t="str">
        <f t="shared" si="765"/>
        <v>PNP'!</v>
      </c>
      <c r="F3392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92" s="6" t="s">
        <v>112</v>
      </c>
      <c r="H3392" s="1">
        <f t="shared" si="775"/>
        <v>44</v>
      </c>
      <c r="I3392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PNP'!$BB$44</v>
      </c>
      <c r="J3392" s="1" t="s">
        <v>3529</v>
      </c>
    </row>
    <row r="3393" spans="1:10" x14ac:dyDescent="0.35">
      <c r="A3393" s="6" t="s">
        <v>15</v>
      </c>
      <c r="B3393" s="6">
        <f t="shared" si="776"/>
        <v>2032</v>
      </c>
      <c r="C3393" s="1" t="s">
        <v>28</v>
      </c>
      <c r="D3393" s="2" t="s">
        <v>2003</v>
      </c>
      <c r="E3393" s="9" t="str">
        <f t="shared" si="765"/>
        <v>PNP'!</v>
      </c>
      <c r="F3393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93" s="6" t="s">
        <v>112</v>
      </c>
      <c r="H3393" s="1">
        <f t="shared" si="775"/>
        <v>45</v>
      </c>
      <c r="I3393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PNP'!$BB$45</v>
      </c>
      <c r="J3393" s="1" t="s">
        <v>3530</v>
      </c>
    </row>
    <row r="3394" spans="1:10" x14ac:dyDescent="0.35">
      <c r="A3394" s="6" t="s">
        <v>15</v>
      </c>
      <c r="B3394" s="6">
        <f t="shared" si="776"/>
        <v>2033</v>
      </c>
      <c r="C3394" s="1" t="s">
        <v>28</v>
      </c>
      <c r="D3394" s="2" t="s">
        <v>2003</v>
      </c>
      <c r="E3394" s="9" t="str">
        <f t="shared" si="765"/>
        <v>PNP'!</v>
      </c>
      <c r="F3394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94" s="6" t="s">
        <v>112</v>
      </c>
      <c r="H3394" s="1">
        <f t="shared" si="775"/>
        <v>46</v>
      </c>
      <c r="I3394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PNP'!$BB$46</v>
      </c>
      <c r="J3394" s="1" t="s">
        <v>3531</v>
      </c>
    </row>
    <row r="3395" spans="1:10" x14ac:dyDescent="0.35">
      <c r="A3395" s="6" t="s">
        <v>15</v>
      </c>
      <c r="B3395" s="6">
        <f t="shared" si="776"/>
        <v>2034</v>
      </c>
      <c r="C3395" s="1" t="s">
        <v>28</v>
      </c>
      <c r="D3395" s="2" t="s">
        <v>2003</v>
      </c>
      <c r="E3395" s="9" t="str">
        <f t="shared" si="765"/>
        <v>PNP'!</v>
      </c>
      <c r="F3395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95" s="6" t="s">
        <v>112</v>
      </c>
      <c r="H3395" s="1">
        <f t="shared" si="775"/>
        <v>47</v>
      </c>
      <c r="I3395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PNP'!$BB$47</v>
      </c>
      <c r="J3395" s="1" t="s">
        <v>3532</v>
      </c>
    </row>
    <row r="3396" spans="1:10" x14ac:dyDescent="0.35">
      <c r="A3396" s="6" t="s">
        <v>15</v>
      </c>
      <c r="B3396" s="6">
        <f t="shared" si="776"/>
        <v>2035</v>
      </c>
      <c r="C3396" s="1" t="s">
        <v>28</v>
      </c>
      <c r="D3396" s="2" t="s">
        <v>2003</v>
      </c>
      <c r="E3396" s="9" t="str">
        <f t="shared" si="765"/>
        <v>PNP'!</v>
      </c>
      <c r="F3396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96" s="6" t="s">
        <v>112</v>
      </c>
      <c r="H3396" s="1">
        <f t="shared" si="775"/>
        <v>48</v>
      </c>
      <c r="I3396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PNP'!$BB$48</v>
      </c>
      <c r="J3396" s="1" t="s">
        <v>3533</v>
      </c>
    </row>
    <row r="3397" spans="1:10" x14ac:dyDescent="0.35">
      <c r="A3397" s="6" t="s">
        <v>15</v>
      </c>
      <c r="B3397" s="6">
        <f t="shared" si="776"/>
        <v>2036</v>
      </c>
      <c r="C3397" s="1" t="s">
        <v>28</v>
      </c>
      <c r="D3397" s="2" t="s">
        <v>2003</v>
      </c>
      <c r="E3397" s="9" t="str">
        <f t="shared" si="765"/>
        <v>PNP'!</v>
      </c>
      <c r="F3397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97" s="6" t="s">
        <v>112</v>
      </c>
      <c r="H3397" s="1">
        <f t="shared" si="775"/>
        <v>49</v>
      </c>
      <c r="I3397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PNP'!$BB$49</v>
      </c>
      <c r="J3397" s="1" t="s">
        <v>3534</v>
      </c>
    </row>
    <row r="3398" spans="1:10" x14ac:dyDescent="0.35">
      <c r="A3398" s="6" t="s">
        <v>15</v>
      </c>
      <c r="B3398" s="6">
        <f>+B3397+1</f>
        <v>2037</v>
      </c>
      <c r="C3398" s="1" t="s">
        <v>28</v>
      </c>
      <c r="D3398" s="2" t="s">
        <v>2003</v>
      </c>
      <c r="E3398" s="9" t="str">
        <f t="shared" si="765"/>
        <v>PNP'!</v>
      </c>
      <c r="F3398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98" s="6" t="s">
        <v>112</v>
      </c>
      <c r="H3398" s="1">
        <f t="shared" si="775"/>
        <v>50</v>
      </c>
      <c r="I3398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PNP'!$BB$50</v>
      </c>
      <c r="J3398" s="1" t="s">
        <v>3535</v>
      </c>
    </row>
    <row r="3399" spans="1:10" x14ac:dyDescent="0.35">
      <c r="A3399" s="6" t="s">
        <v>15</v>
      </c>
      <c r="B3399" s="6">
        <f t="shared" ref="B3399:B3401" si="777">+B3398+1</f>
        <v>2038</v>
      </c>
      <c r="C3399" s="1" t="s">
        <v>28</v>
      </c>
      <c r="D3399" s="2" t="s">
        <v>2003</v>
      </c>
      <c r="E3399" s="9" t="str">
        <f t="shared" si="765"/>
        <v>PNP'!</v>
      </c>
      <c r="F3399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99" s="6" t="s">
        <v>112</v>
      </c>
      <c r="H3399" s="1">
        <f t="shared" si="775"/>
        <v>51</v>
      </c>
      <c r="I3399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PNP'!$BB$51</v>
      </c>
      <c r="J3399" s="1" t="s">
        <v>3536</v>
      </c>
    </row>
    <row r="3400" spans="1:10" x14ac:dyDescent="0.35">
      <c r="A3400" s="6" t="s">
        <v>15</v>
      </c>
      <c r="B3400" s="6">
        <f t="shared" si="777"/>
        <v>2039</v>
      </c>
      <c r="C3400" s="1" t="s">
        <v>28</v>
      </c>
      <c r="D3400" s="2" t="s">
        <v>2003</v>
      </c>
      <c r="E3400" s="9" t="str">
        <f t="shared" si="765"/>
        <v>PNP'!</v>
      </c>
      <c r="F3400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00" s="6" t="s">
        <v>112</v>
      </c>
      <c r="H3400" s="1">
        <f t="shared" si="775"/>
        <v>52</v>
      </c>
      <c r="I3400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PNP'!$BB$52</v>
      </c>
      <c r="J3400" s="1" t="s">
        <v>3537</v>
      </c>
    </row>
    <row r="3401" spans="1:10" x14ac:dyDescent="0.35">
      <c r="A3401" s="6" t="s">
        <v>15</v>
      </c>
      <c r="B3401" s="6">
        <f t="shared" si="777"/>
        <v>2040</v>
      </c>
      <c r="C3401" s="1" t="s">
        <v>28</v>
      </c>
      <c r="D3401" s="2" t="s">
        <v>2003</v>
      </c>
      <c r="E3401" s="9" t="str">
        <f t="shared" si="765"/>
        <v>PNP'!</v>
      </c>
      <c r="F3401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01" s="6" t="s">
        <v>112</v>
      </c>
      <c r="H3401" s="1">
        <f t="shared" si="775"/>
        <v>53</v>
      </c>
      <c r="I3401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PNP'!$BB$53</v>
      </c>
      <c r="J3401" s="1" t="s">
        <v>3538</v>
      </c>
    </row>
    <row r="3402" spans="1:10" x14ac:dyDescent="0.35">
      <c r="A3402" s="6" t="s">
        <v>15</v>
      </c>
      <c r="B3402" s="6">
        <f>+B3401+1</f>
        <v>2041</v>
      </c>
      <c r="C3402" s="1" t="s">
        <v>28</v>
      </c>
      <c r="D3402" s="2" t="s">
        <v>2003</v>
      </c>
      <c r="E3402" s="9" t="str">
        <f t="shared" si="765"/>
        <v>PNP'!</v>
      </c>
      <c r="F3402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02" s="6" t="s">
        <v>112</v>
      </c>
      <c r="H3402" s="1">
        <f t="shared" si="775"/>
        <v>54</v>
      </c>
      <c r="I3402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PNP'!$BB$54</v>
      </c>
      <c r="J3402" s="1" t="s">
        <v>3539</v>
      </c>
    </row>
    <row r="3403" spans="1:10" x14ac:dyDescent="0.35">
      <c r="A3403" s="6" t="s">
        <v>15</v>
      </c>
      <c r="B3403" s="6">
        <f t="shared" ref="B3403:B3404" si="778">+B3402+1</f>
        <v>2042</v>
      </c>
      <c r="C3403" s="1" t="s">
        <v>28</v>
      </c>
      <c r="D3403" s="2" t="s">
        <v>2003</v>
      </c>
      <c r="E3403" s="9" t="str">
        <f t="shared" si="765"/>
        <v>PNP'!</v>
      </c>
      <c r="F3403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03" s="6" t="s">
        <v>112</v>
      </c>
      <c r="H3403" s="1">
        <f t="shared" si="775"/>
        <v>55</v>
      </c>
      <c r="I3403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PNP'!$BB$55</v>
      </c>
      <c r="J3403" s="1" t="s">
        <v>3540</v>
      </c>
    </row>
    <row r="3404" spans="1:10" x14ac:dyDescent="0.35">
      <c r="A3404" s="6" t="s">
        <v>15</v>
      </c>
      <c r="B3404" s="6">
        <f t="shared" si="778"/>
        <v>2043</v>
      </c>
      <c r="C3404" s="1" t="s">
        <v>28</v>
      </c>
      <c r="D3404" s="2" t="s">
        <v>2003</v>
      </c>
      <c r="E3404" s="9" t="str">
        <f t="shared" si="765"/>
        <v>PNP'!</v>
      </c>
      <c r="F3404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04" s="6" t="s">
        <v>112</v>
      </c>
      <c r="H3404" s="1">
        <f t="shared" si="775"/>
        <v>56</v>
      </c>
      <c r="I3404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PNP'!$BB$56</v>
      </c>
      <c r="J3404" s="1" t="s">
        <v>3541</v>
      </c>
    </row>
    <row r="3405" spans="1:10" x14ac:dyDescent="0.35">
      <c r="A3405" s="6" t="s">
        <v>15</v>
      </c>
      <c r="B3405" s="6">
        <f>+B3404+1</f>
        <v>2044</v>
      </c>
      <c r="C3405" s="1" t="s">
        <v>28</v>
      </c>
      <c r="D3405" s="2" t="s">
        <v>2003</v>
      </c>
      <c r="E3405" s="9" t="str">
        <f t="shared" ref="E3405:E3420" si="779">_xlfn.CONCAT(A3405,"'!")</f>
        <v>PNP'!</v>
      </c>
      <c r="F3405" s="5" t="str">
        <f t="shared" ref="F3405:F3420" si="780">_xlfn.CONCAT(D3405," ",E3405)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05" s="6" t="s">
        <v>112</v>
      </c>
      <c r="H3405" s="1">
        <f t="shared" ref="H3405:H3420" si="781">IF(A3405&lt;&gt;A3404,36,H3404+1)</f>
        <v>57</v>
      </c>
      <c r="I3405" s="1" t="str">
        <f t="shared" ref="I3405:I3420" si="782">_xlfn.CONCAT("='",F3405:H3405)</f>
        <v>='C:\Users\jaime.benazar\Quorum Business Solutions\Ecopetrol Prometeo - Documents\Planning Space Implementation\3. Analysis &amp; Design\Design\FC22\DRR Jaime\Por presentar a ECP\Cantagallo\Cristalina\[VRC_CRISTALINA_CF_SEC_20221231.xlsx]CF PNP'!$BB$57</v>
      </c>
      <c r="J3405" s="1" t="s">
        <v>3542</v>
      </c>
    </row>
    <row r="3406" spans="1:10" x14ac:dyDescent="0.35">
      <c r="A3406" s="6" t="s">
        <v>15</v>
      </c>
      <c r="B3406" s="6">
        <f t="shared" ref="B3406:B3420" si="783">+B3405+1</f>
        <v>2045</v>
      </c>
      <c r="C3406" s="1" t="s">
        <v>28</v>
      </c>
      <c r="D3406" s="2" t="s">
        <v>2003</v>
      </c>
      <c r="E3406" s="9" t="str">
        <f t="shared" si="779"/>
        <v>PNP'!</v>
      </c>
      <c r="F3406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06" s="6" t="s">
        <v>112</v>
      </c>
      <c r="H3406" s="1">
        <f t="shared" si="781"/>
        <v>58</v>
      </c>
      <c r="I3406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PNP'!$BB$58</v>
      </c>
      <c r="J3406" s="1" t="s">
        <v>3543</v>
      </c>
    </row>
    <row r="3407" spans="1:10" x14ac:dyDescent="0.35">
      <c r="A3407" s="6" t="s">
        <v>15</v>
      </c>
      <c r="B3407" s="6">
        <f t="shared" si="783"/>
        <v>2046</v>
      </c>
      <c r="C3407" s="1" t="s">
        <v>28</v>
      </c>
      <c r="D3407" s="2" t="s">
        <v>2003</v>
      </c>
      <c r="E3407" s="9" t="str">
        <f t="shared" si="779"/>
        <v>PNP'!</v>
      </c>
      <c r="F3407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07" s="6" t="s">
        <v>112</v>
      </c>
      <c r="H3407" s="1">
        <f t="shared" si="781"/>
        <v>59</v>
      </c>
      <c r="I3407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PNP'!$BB$59</v>
      </c>
      <c r="J3407" s="1" t="s">
        <v>3544</v>
      </c>
    </row>
    <row r="3408" spans="1:10" x14ac:dyDescent="0.35">
      <c r="A3408" s="6" t="s">
        <v>15</v>
      </c>
      <c r="B3408" s="6">
        <f t="shared" si="783"/>
        <v>2047</v>
      </c>
      <c r="C3408" s="1" t="s">
        <v>28</v>
      </c>
      <c r="D3408" s="2" t="s">
        <v>2003</v>
      </c>
      <c r="E3408" s="9" t="str">
        <f t="shared" si="779"/>
        <v>PNP'!</v>
      </c>
      <c r="F3408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08" s="6" t="s">
        <v>112</v>
      </c>
      <c r="H3408" s="1">
        <f t="shared" si="781"/>
        <v>60</v>
      </c>
      <c r="I3408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PNP'!$BB$60</v>
      </c>
      <c r="J3408" s="1" t="s">
        <v>3545</v>
      </c>
    </row>
    <row r="3409" spans="1:10" x14ac:dyDescent="0.35">
      <c r="A3409" s="6" t="s">
        <v>15</v>
      </c>
      <c r="B3409" s="6">
        <f t="shared" si="783"/>
        <v>2048</v>
      </c>
      <c r="C3409" s="1" t="s">
        <v>28</v>
      </c>
      <c r="D3409" s="2" t="s">
        <v>2003</v>
      </c>
      <c r="E3409" s="9" t="str">
        <f t="shared" si="779"/>
        <v>PNP'!</v>
      </c>
      <c r="F3409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09" s="6" t="s">
        <v>112</v>
      </c>
      <c r="H3409" s="1">
        <f t="shared" si="781"/>
        <v>61</v>
      </c>
      <c r="I3409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PNP'!$BB$61</v>
      </c>
      <c r="J3409" s="1" t="s">
        <v>3546</v>
      </c>
    </row>
    <row r="3410" spans="1:10" x14ac:dyDescent="0.35">
      <c r="A3410" s="6" t="s">
        <v>15</v>
      </c>
      <c r="B3410" s="6">
        <f t="shared" si="783"/>
        <v>2049</v>
      </c>
      <c r="C3410" s="1" t="s">
        <v>28</v>
      </c>
      <c r="D3410" s="2" t="s">
        <v>2003</v>
      </c>
      <c r="E3410" s="9" t="str">
        <f t="shared" si="779"/>
        <v>PNP'!</v>
      </c>
      <c r="F3410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10" s="6" t="s">
        <v>112</v>
      </c>
      <c r="H3410" s="1">
        <f t="shared" si="781"/>
        <v>62</v>
      </c>
      <c r="I3410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PNP'!$BB$62</v>
      </c>
      <c r="J3410" s="1" t="s">
        <v>3547</v>
      </c>
    </row>
    <row r="3411" spans="1:10" x14ac:dyDescent="0.35">
      <c r="A3411" s="6" t="s">
        <v>15</v>
      </c>
      <c r="B3411" s="6">
        <f t="shared" si="783"/>
        <v>2050</v>
      </c>
      <c r="C3411" s="1" t="s">
        <v>28</v>
      </c>
      <c r="D3411" s="2" t="s">
        <v>2003</v>
      </c>
      <c r="E3411" s="9" t="str">
        <f t="shared" si="779"/>
        <v>PNP'!</v>
      </c>
      <c r="F3411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11" s="6" t="s">
        <v>112</v>
      </c>
      <c r="H3411" s="1">
        <f t="shared" si="781"/>
        <v>63</v>
      </c>
      <c r="I3411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PNP'!$BB$63</v>
      </c>
      <c r="J3411" s="1" t="s">
        <v>3548</v>
      </c>
    </row>
    <row r="3412" spans="1:10" x14ac:dyDescent="0.35">
      <c r="A3412" s="6" t="s">
        <v>15</v>
      </c>
      <c r="B3412" s="6">
        <f t="shared" si="783"/>
        <v>2051</v>
      </c>
      <c r="C3412" s="1" t="s">
        <v>28</v>
      </c>
      <c r="D3412" s="2" t="s">
        <v>2003</v>
      </c>
      <c r="E3412" s="9" t="str">
        <f t="shared" si="779"/>
        <v>PNP'!</v>
      </c>
      <c r="F3412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12" s="6" t="s">
        <v>112</v>
      </c>
      <c r="H3412" s="1">
        <f t="shared" si="781"/>
        <v>64</v>
      </c>
      <c r="I3412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PNP'!$BB$64</v>
      </c>
      <c r="J3412" s="1" t="s">
        <v>3549</v>
      </c>
    </row>
    <row r="3413" spans="1:10" x14ac:dyDescent="0.35">
      <c r="A3413" s="6" t="s">
        <v>15</v>
      </c>
      <c r="B3413" s="6">
        <f t="shared" si="783"/>
        <v>2052</v>
      </c>
      <c r="C3413" s="1" t="s">
        <v>28</v>
      </c>
      <c r="D3413" s="2" t="s">
        <v>2003</v>
      </c>
      <c r="E3413" s="9" t="str">
        <f t="shared" si="779"/>
        <v>PNP'!</v>
      </c>
      <c r="F3413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13" s="6" t="s">
        <v>112</v>
      </c>
      <c r="H3413" s="1">
        <f t="shared" si="781"/>
        <v>65</v>
      </c>
      <c r="I3413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PNP'!$BB$65</v>
      </c>
      <c r="J3413" s="1" t="s">
        <v>3550</v>
      </c>
    </row>
    <row r="3414" spans="1:10" x14ac:dyDescent="0.35">
      <c r="A3414" s="6" t="s">
        <v>15</v>
      </c>
      <c r="B3414" s="6">
        <f t="shared" si="783"/>
        <v>2053</v>
      </c>
      <c r="C3414" s="1" t="s">
        <v>28</v>
      </c>
      <c r="D3414" s="2" t="s">
        <v>2003</v>
      </c>
      <c r="E3414" s="9" t="str">
        <f t="shared" si="779"/>
        <v>PNP'!</v>
      </c>
      <c r="F3414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14" s="6" t="s">
        <v>112</v>
      </c>
      <c r="H3414" s="1">
        <f t="shared" si="781"/>
        <v>66</v>
      </c>
      <c r="I3414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PNP'!$BB$66</v>
      </c>
      <c r="J3414" s="1" t="s">
        <v>3551</v>
      </c>
    </row>
    <row r="3415" spans="1:10" x14ac:dyDescent="0.35">
      <c r="A3415" s="6" t="s">
        <v>15</v>
      </c>
      <c r="B3415" s="6">
        <f t="shared" si="783"/>
        <v>2054</v>
      </c>
      <c r="C3415" s="1" t="s">
        <v>28</v>
      </c>
      <c r="D3415" s="2" t="s">
        <v>2003</v>
      </c>
      <c r="E3415" s="9" t="str">
        <f t="shared" si="779"/>
        <v>PNP'!</v>
      </c>
      <c r="F3415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15" s="6" t="s">
        <v>112</v>
      </c>
      <c r="H3415" s="1">
        <f t="shared" si="781"/>
        <v>67</v>
      </c>
      <c r="I3415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PNP'!$BB$67</v>
      </c>
      <c r="J3415" s="1" t="s">
        <v>3552</v>
      </c>
    </row>
    <row r="3416" spans="1:10" x14ac:dyDescent="0.35">
      <c r="A3416" s="6" t="s">
        <v>15</v>
      </c>
      <c r="B3416" s="6">
        <f t="shared" si="783"/>
        <v>2055</v>
      </c>
      <c r="C3416" s="1" t="s">
        <v>28</v>
      </c>
      <c r="D3416" s="2" t="s">
        <v>2003</v>
      </c>
      <c r="E3416" s="9" t="str">
        <f t="shared" si="779"/>
        <v>PNP'!</v>
      </c>
      <c r="F3416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16" s="6" t="s">
        <v>112</v>
      </c>
      <c r="H3416" s="1">
        <f t="shared" si="781"/>
        <v>68</v>
      </c>
      <c r="I3416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PNP'!$BB$68</v>
      </c>
      <c r="J3416" s="1" t="s">
        <v>3553</v>
      </c>
    </row>
    <row r="3417" spans="1:10" x14ac:dyDescent="0.35">
      <c r="A3417" s="6" t="s">
        <v>15</v>
      </c>
      <c r="B3417" s="6">
        <f t="shared" si="783"/>
        <v>2056</v>
      </c>
      <c r="C3417" s="1" t="s">
        <v>28</v>
      </c>
      <c r="D3417" s="2" t="s">
        <v>2003</v>
      </c>
      <c r="E3417" s="9" t="str">
        <f t="shared" si="779"/>
        <v>PNP'!</v>
      </c>
      <c r="F3417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17" s="6" t="s">
        <v>112</v>
      </c>
      <c r="H3417" s="1">
        <f t="shared" si="781"/>
        <v>69</v>
      </c>
      <c r="I3417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PNP'!$BB$69</v>
      </c>
      <c r="J3417" s="1" t="s">
        <v>3554</v>
      </c>
    </row>
    <row r="3418" spans="1:10" x14ac:dyDescent="0.35">
      <c r="A3418" s="6" t="s">
        <v>15</v>
      </c>
      <c r="B3418" s="6">
        <f t="shared" si="783"/>
        <v>2057</v>
      </c>
      <c r="C3418" s="1" t="s">
        <v>28</v>
      </c>
      <c r="D3418" s="2" t="s">
        <v>2003</v>
      </c>
      <c r="E3418" s="9" t="str">
        <f t="shared" si="779"/>
        <v>PNP'!</v>
      </c>
      <c r="F3418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18" s="6" t="s">
        <v>112</v>
      </c>
      <c r="H3418" s="1">
        <f t="shared" si="781"/>
        <v>70</v>
      </c>
      <c r="I3418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PNP'!$BB$70</v>
      </c>
      <c r="J3418" s="1" t="s">
        <v>3555</v>
      </c>
    </row>
    <row r="3419" spans="1:10" x14ac:dyDescent="0.35">
      <c r="A3419" s="6" t="s">
        <v>15</v>
      </c>
      <c r="B3419" s="6">
        <f t="shared" si="783"/>
        <v>2058</v>
      </c>
      <c r="C3419" s="1" t="s">
        <v>28</v>
      </c>
      <c r="D3419" s="2" t="s">
        <v>2003</v>
      </c>
      <c r="E3419" s="9" t="str">
        <f t="shared" si="779"/>
        <v>PNP'!</v>
      </c>
      <c r="F3419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19" s="6" t="s">
        <v>112</v>
      </c>
      <c r="H3419" s="1">
        <f t="shared" si="781"/>
        <v>71</v>
      </c>
      <c r="I3419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PNP'!$BB$71</v>
      </c>
      <c r="J3419" s="1" t="s">
        <v>3556</v>
      </c>
    </row>
    <row r="3420" spans="1:10" x14ac:dyDescent="0.35">
      <c r="A3420" s="6" t="s">
        <v>15</v>
      </c>
      <c r="B3420" s="6">
        <f t="shared" si="783"/>
        <v>2059</v>
      </c>
      <c r="C3420" s="1" t="s">
        <v>28</v>
      </c>
      <c r="D3420" s="2" t="s">
        <v>2003</v>
      </c>
      <c r="E3420" s="9" t="str">
        <f t="shared" si="779"/>
        <v>PNP'!</v>
      </c>
      <c r="F3420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20" s="6" t="s">
        <v>112</v>
      </c>
      <c r="H3420" s="1">
        <f t="shared" si="781"/>
        <v>72</v>
      </c>
      <c r="I3420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PNP'!$BB$72</v>
      </c>
      <c r="J3420" s="1" t="s">
        <v>3557</v>
      </c>
    </row>
    <row r="3421" spans="1:10" x14ac:dyDescent="0.35">
      <c r="A3421" s="6" t="s">
        <v>26</v>
      </c>
      <c r="B3421" s="6"/>
      <c r="C3421" s="1" t="s">
        <v>28</v>
      </c>
      <c r="D3421" s="2"/>
      <c r="E3421" s="9"/>
      <c r="F3421" s="5"/>
      <c r="G3421" s="6"/>
      <c r="H3421" s="1"/>
      <c r="I3421" s="1"/>
      <c r="J3421" s="4"/>
    </row>
    <row r="3422" spans="1:10" x14ac:dyDescent="0.35">
      <c r="A3422" s="6" t="s">
        <v>16</v>
      </c>
      <c r="B3422" s="6">
        <v>2023</v>
      </c>
      <c r="C3422" s="1" t="s">
        <v>28</v>
      </c>
      <c r="D3422" s="2" t="s">
        <v>2003</v>
      </c>
      <c r="E3422" s="9" t="str">
        <f t="shared" ref="E3422:E3442" si="784">_xlfn.CONCAT(A3422,"'!")</f>
        <v>PND'!</v>
      </c>
      <c r="F3422" s="5" t="str">
        <f t="shared" ref="F3422:F3442" si="785">_xlfn.CONCAT(D3422," ",E3422)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22" s="6" t="s">
        <v>112</v>
      </c>
      <c r="H3422" s="1">
        <f>IF(A3422&lt;&gt;A3406,36,H3406+1)</f>
        <v>36</v>
      </c>
      <c r="I3422" s="1" t="str">
        <f t="shared" ref="I3422:I3442" si="786">_xlfn.CONCAT("='",F3422:H3422)</f>
        <v>='C:\Users\jaime.benazar\Quorum Business Solutions\Ecopetrol Prometeo - Documents\Planning Space Implementation\3. Analysis &amp; Design\Design\FC22\DRR Jaime\Por presentar a ECP\Cantagallo\Cristalina\[VRC_CRISTALINA_CF_SEC_20221231.xlsx]CF PND'!$BB$36</v>
      </c>
      <c r="J3422" s="1" t="s">
        <v>3558</v>
      </c>
    </row>
    <row r="3423" spans="1:10" x14ac:dyDescent="0.35">
      <c r="A3423" s="6" t="s">
        <v>16</v>
      </c>
      <c r="B3423" s="6">
        <f>+B3422+1</f>
        <v>2024</v>
      </c>
      <c r="C3423" s="1" t="s">
        <v>28</v>
      </c>
      <c r="D3423" s="2" t="s">
        <v>2003</v>
      </c>
      <c r="E3423" s="9" t="str">
        <f t="shared" si="784"/>
        <v>PND'!</v>
      </c>
      <c r="F3423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23" s="6" t="s">
        <v>112</v>
      </c>
      <c r="H3423" s="1">
        <f t="shared" ref="H3423:H3442" si="787">IF(A3423&lt;&gt;A3422,36,H3422+1)</f>
        <v>37</v>
      </c>
      <c r="I3423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PND'!$BB$37</v>
      </c>
      <c r="J3423" s="1" t="s">
        <v>3559</v>
      </c>
    </row>
    <row r="3424" spans="1:10" x14ac:dyDescent="0.35">
      <c r="A3424" s="6" t="s">
        <v>16</v>
      </c>
      <c r="B3424" s="6">
        <f t="shared" ref="B3424:B3435" si="788">+B3423+1</f>
        <v>2025</v>
      </c>
      <c r="C3424" s="1" t="s">
        <v>28</v>
      </c>
      <c r="D3424" s="2" t="s">
        <v>2003</v>
      </c>
      <c r="E3424" s="9" t="str">
        <f t="shared" si="784"/>
        <v>PND'!</v>
      </c>
      <c r="F3424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24" s="6" t="s">
        <v>112</v>
      </c>
      <c r="H3424" s="1">
        <f t="shared" si="787"/>
        <v>38</v>
      </c>
      <c r="I3424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PND'!$BB$38</v>
      </c>
      <c r="J3424" s="1" t="s">
        <v>3560</v>
      </c>
    </row>
    <row r="3425" spans="1:10" x14ac:dyDescent="0.35">
      <c r="A3425" s="6" t="s">
        <v>16</v>
      </c>
      <c r="B3425" s="6">
        <f t="shared" si="788"/>
        <v>2026</v>
      </c>
      <c r="C3425" s="1" t="s">
        <v>28</v>
      </c>
      <c r="D3425" s="2" t="s">
        <v>2003</v>
      </c>
      <c r="E3425" s="9" t="str">
        <f t="shared" si="784"/>
        <v>PND'!</v>
      </c>
      <c r="F3425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25" s="6" t="s">
        <v>112</v>
      </c>
      <c r="H3425" s="1">
        <f t="shared" si="787"/>
        <v>39</v>
      </c>
      <c r="I3425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PND'!$BB$39</v>
      </c>
      <c r="J3425" s="1" t="s">
        <v>3561</v>
      </c>
    </row>
    <row r="3426" spans="1:10" x14ac:dyDescent="0.35">
      <c r="A3426" s="6" t="s">
        <v>16</v>
      </c>
      <c r="B3426" s="6">
        <f t="shared" si="788"/>
        <v>2027</v>
      </c>
      <c r="C3426" s="1" t="s">
        <v>28</v>
      </c>
      <c r="D3426" s="2" t="s">
        <v>2003</v>
      </c>
      <c r="E3426" s="9" t="str">
        <f t="shared" si="784"/>
        <v>PND'!</v>
      </c>
      <c r="F3426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26" s="6" t="s">
        <v>112</v>
      </c>
      <c r="H3426" s="1">
        <f t="shared" si="787"/>
        <v>40</v>
      </c>
      <c r="I3426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PND'!$BB$40</v>
      </c>
      <c r="J3426" s="1" t="s">
        <v>3562</v>
      </c>
    </row>
    <row r="3427" spans="1:10" x14ac:dyDescent="0.35">
      <c r="A3427" s="6" t="s">
        <v>16</v>
      </c>
      <c r="B3427" s="6">
        <f t="shared" si="788"/>
        <v>2028</v>
      </c>
      <c r="C3427" s="1" t="s">
        <v>28</v>
      </c>
      <c r="D3427" s="2" t="s">
        <v>2003</v>
      </c>
      <c r="E3427" s="9" t="str">
        <f t="shared" si="784"/>
        <v>PND'!</v>
      </c>
      <c r="F3427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27" s="6" t="s">
        <v>112</v>
      </c>
      <c r="H3427" s="1">
        <f t="shared" si="787"/>
        <v>41</v>
      </c>
      <c r="I3427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PND'!$BB$41</v>
      </c>
      <c r="J3427" s="1" t="s">
        <v>3563</v>
      </c>
    </row>
    <row r="3428" spans="1:10" x14ac:dyDescent="0.35">
      <c r="A3428" s="6" t="s">
        <v>16</v>
      </c>
      <c r="B3428" s="6">
        <f t="shared" si="788"/>
        <v>2029</v>
      </c>
      <c r="C3428" s="1" t="s">
        <v>28</v>
      </c>
      <c r="D3428" s="2" t="s">
        <v>2003</v>
      </c>
      <c r="E3428" s="9" t="str">
        <f t="shared" si="784"/>
        <v>PND'!</v>
      </c>
      <c r="F3428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28" s="6" t="s">
        <v>112</v>
      </c>
      <c r="H3428" s="1">
        <f t="shared" si="787"/>
        <v>42</v>
      </c>
      <c r="I3428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PND'!$BB$42</v>
      </c>
      <c r="J3428" s="1" t="s">
        <v>3564</v>
      </c>
    </row>
    <row r="3429" spans="1:10" x14ac:dyDescent="0.35">
      <c r="A3429" s="6" t="s">
        <v>16</v>
      </c>
      <c r="B3429" s="6">
        <f t="shared" si="788"/>
        <v>2030</v>
      </c>
      <c r="C3429" s="1" t="s">
        <v>28</v>
      </c>
      <c r="D3429" s="2" t="s">
        <v>2003</v>
      </c>
      <c r="E3429" s="9" t="str">
        <f t="shared" si="784"/>
        <v>PND'!</v>
      </c>
      <c r="F3429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29" s="6" t="s">
        <v>112</v>
      </c>
      <c r="H3429" s="1">
        <f t="shared" si="787"/>
        <v>43</v>
      </c>
      <c r="I3429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PND'!$BB$43</v>
      </c>
      <c r="J3429" s="1" t="s">
        <v>3565</v>
      </c>
    </row>
    <row r="3430" spans="1:10" x14ac:dyDescent="0.35">
      <c r="A3430" s="6" t="s">
        <v>16</v>
      </c>
      <c r="B3430" s="6">
        <f t="shared" si="788"/>
        <v>2031</v>
      </c>
      <c r="C3430" s="1" t="s">
        <v>28</v>
      </c>
      <c r="D3430" s="2" t="s">
        <v>2003</v>
      </c>
      <c r="E3430" s="9" t="str">
        <f t="shared" si="784"/>
        <v>PND'!</v>
      </c>
      <c r="F3430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30" s="6" t="s">
        <v>112</v>
      </c>
      <c r="H3430" s="1">
        <f t="shared" si="787"/>
        <v>44</v>
      </c>
      <c r="I3430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PND'!$BB$44</v>
      </c>
      <c r="J3430" s="1" t="s">
        <v>3566</v>
      </c>
    </row>
    <row r="3431" spans="1:10" x14ac:dyDescent="0.35">
      <c r="A3431" s="6" t="s">
        <v>16</v>
      </c>
      <c r="B3431" s="6">
        <f t="shared" si="788"/>
        <v>2032</v>
      </c>
      <c r="C3431" s="1" t="s">
        <v>28</v>
      </c>
      <c r="D3431" s="2" t="s">
        <v>2003</v>
      </c>
      <c r="E3431" s="9" t="str">
        <f t="shared" si="784"/>
        <v>PND'!</v>
      </c>
      <c r="F3431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31" s="6" t="s">
        <v>112</v>
      </c>
      <c r="H3431" s="1">
        <f t="shared" si="787"/>
        <v>45</v>
      </c>
      <c r="I3431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PND'!$BB$45</v>
      </c>
      <c r="J3431" s="1" t="s">
        <v>3567</v>
      </c>
    </row>
    <row r="3432" spans="1:10" x14ac:dyDescent="0.35">
      <c r="A3432" s="6" t="s">
        <v>16</v>
      </c>
      <c r="B3432" s="6">
        <f t="shared" si="788"/>
        <v>2033</v>
      </c>
      <c r="C3432" s="1" t="s">
        <v>28</v>
      </c>
      <c r="D3432" s="2" t="s">
        <v>2003</v>
      </c>
      <c r="E3432" s="9" t="str">
        <f t="shared" si="784"/>
        <v>PND'!</v>
      </c>
      <c r="F3432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32" s="6" t="s">
        <v>112</v>
      </c>
      <c r="H3432" s="1">
        <f t="shared" si="787"/>
        <v>46</v>
      </c>
      <c r="I3432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PND'!$BB$46</v>
      </c>
      <c r="J3432" s="1" t="s">
        <v>3568</v>
      </c>
    </row>
    <row r="3433" spans="1:10" x14ac:dyDescent="0.35">
      <c r="A3433" s="6" t="s">
        <v>16</v>
      </c>
      <c r="B3433" s="6">
        <f t="shared" si="788"/>
        <v>2034</v>
      </c>
      <c r="C3433" s="1" t="s">
        <v>28</v>
      </c>
      <c r="D3433" s="2" t="s">
        <v>2003</v>
      </c>
      <c r="E3433" s="9" t="str">
        <f t="shared" si="784"/>
        <v>PND'!</v>
      </c>
      <c r="F3433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33" s="6" t="s">
        <v>112</v>
      </c>
      <c r="H3433" s="1">
        <f t="shared" si="787"/>
        <v>47</v>
      </c>
      <c r="I3433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PND'!$BB$47</v>
      </c>
      <c r="J3433" s="1" t="s">
        <v>3569</v>
      </c>
    </row>
    <row r="3434" spans="1:10" x14ac:dyDescent="0.35">
      <c r="A3434" s="6" t="s">
        <v>16</v>
      </c>
      <c r="B3434" s="6">
        <f t="shared" si="788"/>
        <v>2035</v>
      </c>
      <c r="C3434" s="1" t="s">
        <v>28</v>
      </c>
      <c r="D3434" s="2" t="s">
        <v>2003</v>
      </c>
      <c r="E3434" s="9" t="str">
        <f t="shared" si="784"/>
        <v>PND'!</v>
      </c>
      <c r="F3434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34" s="6" t="s">
        <v>112</v>
      </c>
      <c r="H3434" s="1">
        <f t="shared" si="787"/>
        <v>48</v>
      </c>
      <c r="I3434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PND'!$BB$48</v>
      </c>
      <c r="J3434" s="1" t="s">
        <v>3570</v>
      </c>
    </row>
    <row r="3435" spans="1:10" x14ac:dyDescent="0.35">
      <c r="A3435" s="6" t="s">
        <v>16</v>
      </c>
      <c r="B3435" s="6">
        <f t="shared" si="788"/>
        <v>2036</v>
      </c>
      <c r="C3435" s="1" t="s">
        <v>28</v>
      </c>
      <c r="D3435" s="2" t="s">
        <v>2003</v>
      </c>
      <c r="E3435" s="9" t="str">
        <f t="shared" si="784"/>
        <v>PND'!</v>
      </c>
      <c r="F3435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35" s="6" t="s">
        <v>112</v>
      </c>
      <c r="H3435" s="1">
        <f t="shared" si="787"/>
        <v>49</v>
      </c>
      <c r="I3435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PND'!$BB$49</v>
      </c>
      <c r="J3435" s="1" t="s">
        <v>3571</v>
      </c>
    </row>
    <row r="3436" spans="1:10" x14ac:dyDescent="0.35">
      <c r="A3436" s="6" t="s">
        <v>16</v>
      </c>
      <c r="B3436" s="6">
        <f>+B3435+1</f>
        <v>2037</v>
      </c>
      <c r="C3436" s="1" t="s">
        <v>28</v>
      </c>
      <c r="D3436" s="2" t="s">
        <v>2003</v>
      </c>
      <c r="E3436" s="9" t="str">
        <f t="shared" si="784"/>
        <v>PND'!</v>
      </c>
      <c r="F3436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36" s="6" t="s">
        <v>112</v>
      </c>
      <c r="H3436" s="1">
        <f t="shared" si="787"/>
        <v>50</v>
      </c>
      <c r="I3436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PND'!$BB$50</v>
      </c>
      <c r="J3436" s="1" t="s">
        <v>3572</v>
      </c>
    </row>
    <row r="3437" spans="1:10" x14ac:dyDescent="0.35">
      <c r="A3437" s="6" t="s">
        <v>16</v>
      </c>
      <c r="B3437" s="6">
        <f t="shared" ref="B3437:B3439" si="789">+B3436+1</f>
        <v>2038</v>
      </c>
      <c r="C3437" s="1" t="s">
        <v>28</v>
      </c>
      <c r="D3437" s="2" t="s">
        <v>2003</v>
      </c>
      <c r="E3437" s="9" t="str">
        <f t="shared" si="784"/>
        <v>PND'!</v>
      </c>
      <c r="F3437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37" s="6" t="s">
        <v>112</v>
      </c>
      <c r="H3437" s="1">
        <f t="shared" si="787"/>
        <v>51</v>
      </c>
      <c r="I3437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PND'!$BB$51</v>
      </c>
      <c r="J3437" s="1" t="s">
        <v>3573</v>
      </c>
    </row>
    <row r="3438" spans="1:10" x14ac:dyDescent="0.35">
      <c r="A3438" s="6" t="s">
        <v>16</v>
      </c>
      <c r="B3438" s="6">
        <f t="shared" si="789"/>
        <v>2039</v>
      </c>
      <c r="C3438" s="1" t="s">
        <v>28</v>
      </c>
      <c r="D3438" s="2" t="s">
        <v>2003</v>
      </c>
      <c r="E3438" s="9" t="str">
        <f t="shared" si="784"/>
        <v>PND'!</v>
      </c>
      <c r="F3438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38" s="6" t="s">
        <v>112</v>
      </c>
      <c r="H3438" s="1">
        <f t="shared" si="787"/>
        <v>52</v>
      </c>
      <c r="I3438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PND'!$BB$52</v>
      </c>
      <c r="J3438" s="1" t="s">
        <v>3574</v>
      </c>
    </row>
    <row r="3439" spans="1:10" x14ac:dyDescent="0.35">
      <c r="A3439" s="6" t="s">
        <v>16</v>
      </c>
      <c r="B3439" s="6">
        <f t="shared" si="789"/>
        <v>2040</v>
      </c>
      <c r="C3439" s="1" t="s">
        <v>28</v>
      </c>
      <c r="D3439" s="2" t="s">
        <v>2003</v>
      </c>
      <c r="E3439" s="9" t="str">
        <f t="shared" si="784"/>
        <v>PND'!</v>
      </c>
      <c r="F3439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39" s="6" t="s">
        <v>112</v>
      </c>
      <c r="H3439" s="1">
        <f t="shared" si="787"/>
        <v>53</v>
      </c>
      <c r="I3439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PND'!$BB$53</v>
      </c>
      <c r="J3439" s="1" t="s">
        <v>3575</v>
      </c>
    </row>
    <row r="3440" spans="1:10" x14ac:dyDescent="0.35">
      <c r="A3440" s="6" t="s">
        <v>16</v>
      </c>
      <c r="B3440" s="6">
        <f>+B3439+1</f>
        <v>2041</v>
      </c>
      <c r="C3440" s="1" t="s">
        <v>28</v>
      </c>
      <c r="D3440" s="2" t="s">
        <v>2003</v>
      </c>
      <c r="E3440" s="9" t="str">
        <f t="shared" si="784"/>
        <v>PND'!</v>
      </c>
      <c r="F3440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40" s="6" t="s">
        <v>112</v>
      </c>
      <c r="H3440" s="1">
        <f t="shared" si="787"/>
        <v>54</v>
      </c>
      <c r="I3440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PND'!$BB$54</v>
      </c>
      <c r="J3440" s="1" t="s">
        <v>3576</v>
      </c>
    </row>
    <row r="3441" spans="1:10" x14ac:dyDescent="0.35">
      <c r="A3441" s="6" t="s">
        <v>16</v>
      </c>
      <c r="B3441" s="6">
        <f t="shared" ref="B3441:B3442" si="790">+B3440+1</f>
        <v>2042</v>
      </c>
      <c r="C3441" s="1" t="s">
        <v>28</v>
      </c>
      <c r="D3441" s="2" t="s">
        <v>2003</v>
      </c>
      <c r="E3441" s="9" t="str">
        <f t="shared" si="784"/>
        <v>PND'!</v>
      </c>
      <c r="F3441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41" s="6" t="s">
        <v>112</v>
      </c>
      <c r="H3441" s="1">
        <f t="shared" si="787"/>
        <v>55</v>
      </c>
      <c r="I3441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PND'!$BB$55</v>
      </c>
      <c r="J3441" s="1" t="s">
        <v>3577</v>
      </c>
    </row>
    <row r="3442" spans="1:10" x14ac:dyDescent="0.35">
      <c r="A3442" s="6" t="s">
        <v>16</v>
      </c>
      <c r="B3442" s="6">
        <f t="shared" si="790"/>
        <v>2043</v>
      </c>
      <c r="C3442" s="1" t="s">
        <v>28</v>
      </c>
      <c r="D3442" s="2" t="s">
        <v>2003</v>
      </c>
      <c r="E3442" s="9" t="str">
        <f t="shared" si="784"/>
        <v>PND'!</v>
      </c>
      <c r="F3442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42" s="6" t="s">
        <v>112</v>
      </c>
      <c r="H3442" s="1">
        <f t="shared" si="787"/>
        <v>56</v>
      </c>
      <c r="I3442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PND'!$BB$56</v>
      </c>
      <c r="J3442" s="1" t="s">
        <v>3578</v>
      </c>
    </row>
    <row r="3443" spans="1:10" x14ac:dyDescent="0.35">
      <c r="A3443" s="6" t="s">
        <v>16</v>
      </c>
      <c r="B3443" s="6">
        <f>+B3442+1</f>
        <v>2044</v>
      </c>
      <c r="C3443" s="1" t="s">
        <v>28</v>
      </c>
      <c r="D3443" s="2" t="s">
        <v>2003</v>
      </c>
      <c r="E3443" s="9" t="str">
        <f t="shared" ref="E3443:E3458" si="791">_xlfn.CONCAT(A3443,"'!")</f>
        <v>PND'!</v>
      </c>
      <c r="F3443" s="5" t="str">
        <f t="shared" ref="F3443:F3458" si="792">_xlfn.CONCAT(D3443," ",E3443)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43" s="6" t="s">
        <v>112</v>
      </c>
      <c r="H3443" s="1">
        <f t="shared" ref="H3443:H3458" si="793">IF(A3443&lt;&gt;A3442,36,H3442+1)</f>
        <v>57</v>
      </c>
      <c r="I3443" s="1" t="str">
        <f t="shared" ref="I3443:I3458" si="794">_xlfn.CONCAT("='",F3443:H3443)</f>
        <v>='C:\Users\jaime.benazar\Quorum Business Solutions\Ecopetrol Prometeo - Documents\Planning Space Implementation\3. Analysis &amp; Design\Design\FC22\DRR Jaime\Por presentar a ECP\Cantagallo\Cristalina\[VRC_CRISTALINA_CF_SEC_20221231.xlsx]CF PND'!$BB$57</v>
      </c>
      <c r="J3443" s="1" t="s">
        <v>3579</v>
      </c>
    </row>
    <row r="3444" spans="1:10" x14ac:dyDescent="0.35">
      <c r="A3444" s="6" t="s">
        <v>16</v>
      </c>
      <c r="B3444" s="6">
        <f t="shared" ref="B3444:B3458" si="795">+B3443+1</f>
        <v>2045</v>
      </c>
      <c r="C3444" s="1" t="s">
        <v>28</v>
      </c>
      <c r="D3444" s="2" t="s">
        <v>2003</v>
      </c>
      <c r="E3444" s="9" t="str">
        <f t="shared" si="791"/>
        <v>PND'!</v>
      </c>
      <c r="F3444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44" s="6" t="s">
        <v>112</v>
      </c>
      <c r="H3444" s="1">
        <f t="shared" si="793"/>
        <v>58</v>
      </c>
      <c r="I3444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PND'!$BB$58</v>
      </c>
      <c r="J3444" s="1" t="s">
        <v>3580</v>
      </c>
    </row>
    <row r="3445" spans="1:10" x14ac:dyDescent="0.35">
      <c r="A3445" s="6" t="s">
        <v>16</v>
      </c>
      <c r="B3445" s="6">
        <f t="shared" si="795"/>
        <v>2046</v>
      </c>
      <c r="C3445" s="1" t="s">
        <v>28</v>
      </c>
      <c r="D3445" s="2" t="s">
        <v>2003</v>
      </c>
      <c r="E3445" s="9" t="str">
        <f t="shared" si="791"/>
        <v>PND'!</v>
      </c>
      <c r="F3445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45" s="6" t="s">
        <v>112</v>
      </c>
      <c r="H3445" s="1">
        <f t="shared" si="793"/>
        <v>59</v>
      </c>
      <c r="I3445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PND'!$BB$59</v>
      </c>
      <c r="J3445" s="1" t="s">
        <v>3581</v>
      </c>
    </row>
    <row r="3446" spans="1:10" x14ac:dyDescent="0.35">
      <c r="A3446" s="6" t="s">
        <v>16</v>
      </c>
      <c r="B3446" s="6">
        <f t="shared" si="795"/>
        <v>2047</v>
      </c>
      <c r="C3446" s="1" t="s">
        <v>28</v>
      </c>
      <c r="D3446" s="2" t="s">
        <v>2003</v>
      </c>
      <c r="E3446" s="9" t="str">
        <f t="shared" si="791"/>
        <v>PND'!</v>
      </c>
      <c r="F3446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46" s="6" t="s">
        <v>112</v>
      </c>
      <c r="H3446" s="1">
        <f t="shared" si="793"/>
        <v>60</v>
      </c>
      <c r="I3446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PND'!$BB$60</v>
      </c>
      <c r="J3446" s="1" t="s">
        <v>3582</v>
      </c>
    </row>
    <row r="3447" spans="1:10" x14ac:dyDescent="0.35">
      <c r="A3447" s="6" t="s">
        <v>16</v>
      </c>
      <c r="B3447" s="6">
        <f t="shared" si="795"/>
        <v>2048</v>
      </c>
      <c r="C3447" s="1" t="s">
        <v>28</v>
      </c>
      <c r="D3447" s="2" t="s">
        <v>2003</v>
      </c>
      <c r="E3447" s="9" t="str">
        <f t="shared" si="791"/>
        <v>PND'!</v>
      </c>
      <c r="F3447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47" s="6" t="s">
        <v>112</v>
      </c>
      <c r="H3447" s="1">
        <f t="shared" si="793"/>
        <v>61</v>
      </c>
      <c r="I3447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PND'!$BB$61</v>
      </c>
      <c r="J3447" s="1" t="s">
        <v>3583</v>
      </c>
    </row>
    <row r="3448" spans="1:10" x14ac:dyDescent="0.35">
      <c r="A3448" s="6" t="s">
        <v>16</v>
      </c>
      <c r="B3448" s="6">
        <f t="shared" si="795"/>
        <v>2049</v>
      </c>
      <c r="C3448" s="1" t="s">
        <v>28</v>
      </c>
      <c r="D3448" s="2" t="s">
        <v>2003</v>
      </c>
      <c r="E3448" s="9" t="str">
        <f t="shared" si="791"/>
        <v>PND'!</v>
      </c>
      <c r="F3448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48" s="6" t="s">
        <v>112</v>
      </c>
      <c r="H3448" s="1">
        <f t="shared" si="793"/>
        <v>62</v>
      </c>
      <c r="I3448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PND'!$BB$62</v>
      </c>
      <c r="J3448" s="1" t="s">
        <v>3584</v>
      </c>
    </row>
    <row r="3449" spans="1:10" x14ac:dyDescent="0.35">
      <c r="A3449" s="6" t="s">
        <v>16</v>
      </c>
      <c r="B3449" s="6">
        <f t="shared" si="795"/>
        <v>2050</v>
      </c>
      <c r="C3449" s="1" t="s">
        <v>28</v>
      </c>
      <c r="D3449" s="2" t="s">
        <v>2003</v>
      </c>
      <c r="E3449" s="9" t="str">
        <f t="shared" si="791"/>
        <v>PND'!</v>
      </c>
      <c r="F3449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49" s="6" t="s">
        <v>112</v>
      </c>
      <c r="H3449" s="1">
        <f t="shared" si="793"/>
        <v>63</v>
      </c>
      <c r="I3449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PND'!$BB$63</v>
      </c>
      <c r="J3449" s="1" t="s">
        <v>3585</v>
      </c>
    </row>
    <row r="3450" spans="1:10" x14ac:dyDescent="0.35">
      <c r="A3450" s="6" t="s">
        <v>16</v>
      </c>
      <c r="B3450" s="6">
        <f t="shared" si="795"/>
        <v>2051</v>
      </c>
      <c r="C3450" s="1" t="s">
        <v>28</v>
      </c>
      <c r="D3450" s="2" t="s">
        <v>2003</v>
      </c>
      <c r="E3450" s="9" t="str">
        <f t="shared" si="791"/>
        <v>PND'!</v>
      </c>
      <c r="F3450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50" s="6" t="s">
        <v>112</v>
      </c>
      <c r="H3450" s="1">
        <f t="shared" si="793"/>
        <v>64</v>
      </c>
      <c r="I3450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PND'!$BB$64</v>
      </c>
      <c r="J3450" s="1" t="s">
        <v>3586</v>
      </c>
    </row>
    <row r="3451" spans="1:10" x14ac:dyDescent="0.35">
      <c r="A3451" s="6" t="s">
        <v>16</v>
      </c>
      <c r="B3451" s="6">
        <f t="shared" si="795"/>
        <v>2052</v>
      </c>
      <c r="C3451" s="1" t="s">
        <v>28</v>
      </c>
      <c r="D3451" s="2" t="s">
        <v>2003</v>
      </c>
      <c r="E3451" s="9" t="str">
        <f t="shared" si="791"/>
        <v>PND'!</v>
      </c>
      <c r="F3451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51" s="6" t="s">
        <v>112</v>
      </c>
      <c r="H3451" s="1">
        <f t="shared" si="793"/>
        <v>65</v>
      </c>
      <c r="I3451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PND'!$BB$65</v>
      </c>
      <c r="J3451" s="1" t="s">
        <v>3587</v>
      </c>
    </row>
    <row r="3452" spans="1:10" x14ac:dyDescent="0.35">
      <c r="A3452" s="6" t="s">
        <v>16</v>
      </c>
      <c r="B3452" s="6">
        <f t="shared" si="795"/>
        <v>2053</v>
      </c>
      <c r="C3452" s="1" t="s">
        <v>28</v>
      </c>
      <c r="D3452" s="2" t="s">
        <v>2003</v>
      </c>
      <c r="E3452" s="9" t="str">
        <f t="shared" si="791"/>
        <v>PND'!</v>
      </c>
      <c r="F3452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52" s="6" t="s">
        <v>112</v>
      </c>
      <c r="H3452" s="1">
        <f t="shared" si="793"/>
        <v>66</v>
      </c>
      <c r="I3452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PND'!$BB$66</v>
      </c>
      <c r="J3452" s="1" t="s">
        <v>3588</v>
      </c>
    </row>
    <row r="3453" spans="1:10" x14ac:dyDescent="0.35">
      <c r="A3453" s="6" t="s">
        <v>16</v>
      </c>
      <c r="B3453" s="6">
        <f t="shared" si="795"/>
        <v>2054</v>
      </c>
      <c r="C3453" s="1" t="s">
        <v>28</v>
      </c>
      <c r="D3453" s="2" t="s">
        <v>2003</v>
      </c>
      <c r="E3453" s="9" t="str">
        <f t="shared" si="791"/>
        <v>PND'!</v>
      </c>
      <c r="F3453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53" s="6" t="s">
        <v>112</v>
      </c>
      <c r="H3453" s="1">
        <f t="shared" si="793"/>
        <v>67</v>
      </c>
      <c r="I3453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PND'!$BB$67</v>
      </c>
      <c r="J3453" s="1" t="s">
        <v>3589</v>
      </c>
    </row>
    <row r="3454" spans="1:10" x14ac:dyDescent="0.35">
      <c r="A3454" s="6" t="s">
        <v>16</v>
      </c>
      <c r="B3454" s="6">
        <f t="shared" si="795"/>
        <v>2055</v>
      </c>
      <c r="C3454" s="1" t="s">
        <v>28</v>
      </c>
      <c r="D3454" s="2" t="s">
        <v>2003</v>
      </c>
      <c r="E3454" s="9" t="str">
        <f t="shared" si="791"/>
        <v>PND'!</v>
      </c>
      <c r="F3454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54" s="6" t="s">
        <v>112</v>
      </c>
      <c r="H3454" s="1">
        <f t="shared" si="793"/>
        <v>68</v>
      </c>
      <c r="I3454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PND'!$BB$68</v>
      </c>
      <c r="J3454" s="1" t="s">
        <v>3590</v>
      </c>
    </row>
    <row r="3455" spans="1:10" x14ac:dyDescent="0.35">
      <c r="A3455" s="6" t="s">
        <v>16</v>
      </c>
      <c r="B3455" s="6">
        <f t="shared" si="795"/>
        <v>2056</v>
      </c>
      <c r="C3455" s="1" t="s">
        <v>28</v>
      </c>
      <c r="D3455" s="2" t="s">
        <v>2003</v>
      </c>
      <c r="E3455" s="9" t="str">
        <f t="shared" si="791"/>
        <v>PND'!</v>
      </c>
      <c r="F3455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55" s="6" t="s">
        <v>112</v>
      </c>
      <c r="H3455" s="1">
        <f t="shared" si="793"/>
        <v>69</v>
      </c>
      <c r="I3455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PND'!$BB$69</v>
      </c>
      <c r="J3455" s="1" t="s">
        <v>3591</v>
      </c>
    </row>
    <row r="3456" spans="1:10" x14ac:dyDescent="0.35">
      <c r="A3456" s="6" t="s">
        <v>16</v>
      </c>
      <c r="B3456" s="6">
        <f t="shared" si="795"/>
        <v>2057</v>
      </c>
      <c r="C3456" s="1" t="s">
        <v>28</v>
      </c>
      <c r="D3456" s="2" t="s">
        <v>2003</v>
      </c>
      <c r="E3456" s="9" t="str">
        <f t="shared" si="791"/>
        <v>PND'!</v>
      </c>
      <c r="F3456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56" s="6" t="s">
        <v>112</v>
      </c>
      <c r="H3456" s="1">
        <f t="shared" si="793"/>
        <v>70</v>
      </c>
      <c r="I3456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PND'!$BB$70</v>
      </c>
      <c r="J3456" s="1" t="s">
        <v>3592</v>
      </c>
    </row>
    <row r="3457" spans="1:10" x14ac:dyDescent="0.35">
      <c r="A3457" s="6" t="s">
        <v>16</v>
      </c>
      <c r="B3457" s="6">
        <f t="shared" si="795"/>
        <v>2058</v>
      </c>
      <c r="C3457" s="1" t="s">
        <v>28</v>
      </c>
      <c r="D3457" s="2" t="s">
        <v>2003</v>
      </c>
      <c r="E3457" s="9" t="str">
        <f t="shared" si="791"/>
        <v>PND'!</v>
      </c>
      <c r="F3457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57" s="6" t="s">
        <v>112</v>
      </c>
      <c r="H3457" s="1">
        <f t="shared" si="793"/>
        <v>71</v>
      </c>
      <c r="I3457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PND'!$BB$71</v>
      </c>
      <c r="J3457" s="1" t="s">
        <v>3593</v>
      </c>
    </row>
    <row r="3458" spans="1:10" x14ac:dyDescent="0.35">
      <c r="A3458" s="6" t="s">
        <v>16</v>
      </c>
      <c r="B3458" s="6">
        <f t="shared" si="795"/>
        <v>2059</v>
      </c>
      <c r="C3458" s="1" t="s">
        <v>28</v>
      </c>
      <c r="D3458" s="2" t="s">
        <v>2003</v>
      </c>
      <c r="E3458" s="9" t="str">
        <f t="shared" si="791"/>
        <v>PND'!</v>
      </c>
      <c r="F3458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58" s="6" t="s">
        <v>112</v>
      </c>
      <c r="H3458" s="1">
        <f t="shared" si="793"/>
        <v>72</v>
      </c>
      <c r="I3458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PND'!$BB$72</v>
      </c>
      <c r="J3458" s="1" t="s">
        <v>3594</v>
      </c>
    </row>
    <row r="3459" spans="1:10" x14ac:dyDescent="0.35">
      <c r="A3459" s="6" t="s">
        <v>26</v>
      </c>
      <c r="B3459" s="6"/>
      <c r="C3459" s="1" t="s">
        <v>28</v>
      </c>
      <c r="D3459" s="2"/>
      <c r="E3459" s="9"/>
      <c r="F3459" s="2"/>
      <c r="G3459" s="6"/>
      <c r="H3459" s="1"/>
      <c r="I3459" s="1"/>
      <c r="J3459" s="4"/>
    </row>
    <row r="3460" spans="1:10" x14ac:dyDescent="0.35">
      <c r="A3460" s="42" t="s">
        <v>17</v>
      </c>
      <c r="B3460" s="42">
        <v>2023</v>
      </c>
      <c r="C3460" s="43" t="s">
        <v>28</v>
      </c>
      <c r="D3460" s="2" t="s">
        <v>2003</v>
      </c>
      <c r="E3460" s="9" t="str">
        <f t="shared" ref="E3460:E3480" si="796">_xlfn.CONCAT(A3460,"'!")</f>
        <v>PRBDP'!</v>
      </c>
      <c r="F3460" s="5" t="str">
        <f t="shared" ref="F3460:F3480" si="797">_xlfn.CONCAT(D3460," ",E3460)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60" s="6" t="s">
        <v>112</v>
      </c>
      <c r="H3460" s="1"/>
      <c r="I3460" s="1"/>
      <c r="J3460" s="1"/>
    </row>
    <row r="3461" spans="1:10" x14ac:dyDescent="0.35">
      <c r="A3461" s="6" t="s">
        <v>17</v>
      </c>
      <c r="B3461" s="6">
        <f>+B3460+1</f>
        <v>2024</v>
      </c>
      <c r="C3461" s="1" t="s">
        <v>28</v>
      </c>
      <c r="D3461" s="2" t="s">
        <v>2003</v>
      </c>
      <c r="E3461" s="9" t="str">
        <f t="shared" si="796"/>
        <v>PRBDP'!</v>
      </c>
      <c r="F3461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61" s="6" t="s">
        <v>112</v>
      </c>
      <c r="H3461" s="1"/>
      <c r="I3461" s="1"/>
      <c r="J3461" s="1"/>
    </row>
    <row r="3462" spans="1:10" x14ac:dyDescent="0.35">
      <c r="A3462" s="6" t="s">
        <v>17</v>
      </c>
      <c r="B3462" s="6">
        <f t="shared" ref="B3462:B3473" si="798">+B3461+1</f>
        <v>2025</v>
      </c>
      <c r="C3462" s="1" t="s">
        <v>28</v>
      </c>
      <c r="D3462" s="2" t="s">
        <v>2003</v>
      </c>
      <c r="E3462" s="9" t="str">
        <f t="shared" si="796"/>
        <v>PRBDP'!</v>
      </c>
      <c r="F3462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62" s="6" t="s">
        <v>112</v>
      </c>
      <c r="H3462" s="1"/>
      <c r="I3462" s="1"/>
      <c r="J3462" s="1"/>
    </row>
    <row r="3463" spans="1:10" x14ac:dyDescent="0.35">
      <c r="A3463" s="6" t="s">
        <v>17</v>
      </c>
      <c r="B3463" s="6">
        <f t="shared" si="798"/>
        <v>2026</v>
      </c>
      <c r="C3463" s="1" t="s">
        <v>28</v>
      </c>
      <c r="D3463" s="2" t="s">
        <v>2003</v>
      </c>
      <c r="E3463" s="9" t="str">
        <f t="shared" si="796"/>
        <v>PRBDP'!</v>
      </c>
      <c r="F3463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63" s="6" t="s">
        <v>112</v>
      </c>
      <c r="H3463" s="1"/>
      <c r="I3463" s="1"/>
      <c r="J3463" s="1"/>
    </row>
    <row r="3464" spans="1:10" x14ac:dyDescent="0.35">
      <c r="A3464" s="6" t="s">
        <v>17</v>
      </c>
      <c r="B3464" s="6">
        <f t="shared" si="798"/>
        <v>2027</v>
      </c>
      <c r="C3464" s="1" t="s">
        <v>28</v>
      </c>
      <c r="D3464" s="2" t="s">
        <v>2003</v>
      </c>
      <c r="E3464" s="9" t="str">
        <f t="shared" si="796"/>
        <v>PRBDP'!</v>
      </c>
      <c r="F3464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64" s="6" t="s">
        <v>112</v>
      </c>
      <c r="H3464" s="1"/>
      <c r="I3464" s="1"/>
      <c r="J3464" s="1"/>
    </row>
    <row r="3465" spans="1:10" x14ac:dyDescent="0.35">
      <c r="A3465" s="6" t="s">
        <v>17</v>
      </c>
      <c r="B3465" s="6">
        <f t="shared" si="798"/>
        <v>2028</v>
      </c>
      <c r="C3465" s="1" t="s">
        <v>28</v>
      </c>
      <c r="D3465" s="2" t="s">
        <v>2003</v>
      </c>
      <c r="E3465" s="9" t="str">
        <f t="shared" si="796"/>
        <v>PRBDP'!</v>
      </c>
      <c r="F3465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65" s="6" t="s">
        <v>112</v>
      </c>
      <c r="H3465" s="1"/>
      <c r="I3465" s="1"/>
      <c r="J3465" s="1"/>
    </row>
    <row r="3466" spans="1:10" x14ac:dyDescent="0.35">
      <c r="A3466" s="6" t="s">
        <v>17</v>
      </c>
      <c r="B3466" s="6">
        <f t="shared" si="798"/>
        <v>2029</v>
      </c>
      <c r="C3466" s="1" t="s">
        <v>28</v>
      </c>
      <c r="D3466" s="2" t="s">
        <v>2003</v>
      </c>
      <c r="E3466" s="9" t="str">
        <f t="shared" si="796"/>
        <v>PRBDP'!</v>
      </c>
      <c r="F3466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66" s="6" t="s">
        <v>112</v>
      </c>
      <c r="H3466" s="1"/>
      <c r="I3466" s="1"/>
      <c r="J3466" s="1"/>
    </row>
    <row r="3467" spans="1:10" x14ac:dyDescent="0.35">
      <c r="A3467" s="6" t="s">
        <v>17</v>
      </c>
      <c r="B3467" s="6">
        <f t="shared" si="798"/>
        <v>2030</v>
      </c>
      <c r="C3467" s="1" t="s">
        <v>28</v>
      </c>
      <c r="D3467" s="2" t="s">
        <v>2003</v>
      </c>
      <c r="E3467" s="9" t="str">
        <f t="shared" si="796"/>
        <v>PRBDP'!</v>
      </c>
      <c r="F3467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67" s="6" t="s">
        <v>112</v>
      </c>
      <c r="H3467" s="1"/>
      <c r="I3467" s="1"/>
      <c r="J3467" s="1"/>
    </row>
    <row r="3468" spans="1:10" x14ac:dyDescent="0.35">
      <c r="A3468" s="6" t="s">
        <v>17</v>
      </c>
      <c r="B3468" s="6">
        <f t="shared" si="798"/>
        <v>2031</v>
      </c>
      <c r="C3468" s="1" t="s">
        <v>28</v>
      </c>
      <c r="D3468" s="2" t="s">
        <v>2003</v>
      </c>
      <c r="E3468" s="9" t="str">
        <f t="shared" si="796"/>
        <v>PRBDP'!</v>
      </c>
      <c r="F3468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68" s="6" t="s">
        <v>112</v>
      </c>
      <c r="H3468" s="1"/>
      <c r="I3468" s="1"/>
      <c r="J3468" s="1"/>
    </row>
    <row r="3469" spans="1:10" x14ac:dyDescent="0.35">
      <c r="A3469" s="6" t="s">
        <v>17</v>
      </c>
      <c r="B3469" s="6">
        <f t="shared" si="798"/>
        <v>2032</v>
      </c>
      <c r="C3469" s="1" t="s">
        <v>28</v>
      </c>
      <c r="D3469" s="2" t="s">
        <v>2003</v>
      </c>
      <c r="E3469" s="9" t="str">
        <f t="shared" si="796"/>
        <v>PRBDP'!</v>
      </c>
      <c r="F3469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69" s="6" t="s">
        <v>112</v>
      </c>
      <c r="H3469" s="1"/>
      <c r="I3469" s="1"/>
      <c r="J3469" s="1"/>
    </row>
    <row r="3470" spans="1:10" x14ac:dyDescent="0.35">
      <c r="A3470" s="6" t="s">
        <v>17</v>
      </c>
      <c r="B3470" s="6">
        <f t="shared" si="798"/>
        <v>2033</v>
      </c>
      <c r="C3470" s="1" t="s">
        <v>28</v>
      </c>
      <c r="D3470" s="2" t="s">
        <v>2003</v>
      </c>
      <c r="E3470" s="9" t="str">
        <f t="shared" si="796"/>
        <v>PRBDP'!</v>
      </c>
      <c r="F3470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70" s="6" t="s">
        <v>112</v>
      </c>
      <c r="H3470" s="1"/>
      <c r="I3470" s="1"/>
      <c r="J3470" s="1"/>
    </row>
    <row r="3471" spans="1:10" x14ac:dyDescent="0.35">
      <c r="A3471" s="6" t="s">
        <v>17</v>
      </c>
      <c r="B3471" s="6">
        <f t="shared" si="798"/>
        <v>2034</v>
      </c>
      <c r="C3471" s="1" t="s">
        <v>28</v>
      </c>
      <c r="D3471" s="2" t="s">
        <v>2003</v>
      </c>
      <c r="E3471" s="9" t="str">
        <f t="shared" si="796"/>
        <v>PRBDP'!</v>
      </c>
      <c r="F3471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71" s="6" t="s">
        <v>112</v>
      </c>
      <c r="H3471" s="1"/>
      <c r="I3471" s="1"/>
      <c r="J3471" s="1"/>
    </row>
    <row r="3472" spans="1:10" x14ac:dyDescent="0.35">
      <c r="A3472" s="6" t="s">
        <v>17</v>
      </c>
      <c r="B3472" s="6">
        <f t="shared" si="798"/>
        <v>2035</v>
      </c>
      <c r="C3472" s="1" t="s">
        <v>28</v>
      </c>
      <c r="D3472" s="2" t="s">
        <v>2003</v>
      </c>
      <c r="E3472" s="9" t="str">
        <f t="shared" si="796"/>
        <v>PRBDP'!</v>
      </c>
      <c r="F3472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72" s="6" t="s">
        <v>112</v>
      </c>
      <c r="H3472" s="1"/>
      <c r="I3472" s="1"/>
      <c r="J3472" s="1"/>
    </row>
    <row r="3473" spans="1:10" x14ac:dyDescent="0.35">
      <c r="A3473" s="6" t="s">
        <v>17</v>
      </c>
      <c r="B3473" s="6">
        <f t="shared" si="798"/>
        <v>2036</v>
      </c>
      <c r="C3473" s="1" t="s">
        <v>28</v>
      </c>
      <c r="D3473" s="2" t="s">
        <v>2003</v>
      </c>
      <c r="E3473" s="9" t="str">
        <f t="shared" si="796"/>
        <v>PRBDP'!</v>
      </c>
      <c r="F3473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73" s="6" t="s">
        <v>112</v>
      </c>
      <c r="H3473" s="1"/>
      <c r="I3473" s="1"/>
      <c r="J3473" s="1"/>
    </row>
    <row r="3474" spans="1:10" x14ac:dyDescent="0.35">
      <c r="A3474" s="6" t="s">
        <v>17</v>
      </c>
      <c r="B3474" s="6">
        <f>+B3473+1</f>
        <v>2037</v>
      </c>
      <c r="C3474" s="1" t="s">
        <v>28</v>
      </c>
      <c r="D3474" s="2" t="s">
        <v>2003</v>
      </c>
      <c r="E3474" s="9" t="str">
        <f t="shared" si="796"/>
        <v>PRBDP'!</v>
      </c>
      <c r="F3474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74" s="6" t="s">
        <v>112</v>
      </c>
      <c r="H3474" s="1"/>
      <c r="I3474" s="1"/>
      <c r="J3474" s="1"/>
    </row>
    <row r="3475" spans="1:10" x14ac:dyDescent="0.35">
      <c r="A3475" s="6" t="s">
        <v>17</v>
      </c>
      <c r="B3475" s="6">
        <f t="shared" ref="B3475:B3477" si="799">+B3474+1</f>
        <v>2038</v>
      </c>
      <c r="C3475" s="1" t="s">
        <v>28</v>
      </c>
      <c r="D3475" s="2" t="s">
        <v>2003</v>
      </c>
      <c r="E3475" s="9" t="str">
        <f t="shared" si="796"/>
        <v>PRBDP'!</v>
      </c>
      <c r="F3475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75" s="6" t="s">
        <v>112</v>
      </c>
      <c r="H3475" s="1"/>
      <c r="I3475" s="1"/>
      <c r="J3475" s="1"/>
    </row>
    <row r="3476" spans="1:10" x14ac:dyDescent="0.35">
      <c r="A3476" s="6" t="s">
        <v>17</v>
      </c>
      <c r="B3476" s="6">
        <f t="shared" si="799"/>
        <v>2039</v>
      </c>
      <c r="C3476" s="1" t="s">
        <v>28</v>
      </c>
      <c r="D3476" s="2" t="s">
        <v>2003</v>
      </c>
      <c r="E3476" s="9" t="str">
        <f t="shared" si="796"/>
        <v>PRBDP'!</v>
      </c>
      <c r="F3476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76" s="6" t="s">
        <v>112</v>
      </c>
      <c r="H3476" s="1"/>
      <c r="I3476" s="1"/>
      <c r="J3476" s="1"/>
    </row>
    <row r="3477" spans="1:10" x14ac:dyDescent="0.35">
      <c r="A3477" s="6" t="s">
        <v>17</v>
      </c>
      <c r="B3477" s="6">
        <f t="shared" si="799"/>
        <v>2040</v>
      </c>
      <c r="C3477" s="1" t="s">
        <v>28</v>
      </c>
      <c r="D3477" s="2" t="s">
        <v>2003</v>
      </c>
      <c r="E3477" s="9" t="str">
        <f t="shared" si="796"/>
        <v>PRBDP'!</v>
      </c>
      <c r="F3477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77" s="6" t="s">
        <v>112</v>
      </c>
      <c r="H3477" s="1"/>
      <c r="I3477" s="1"/>
      <c r="J3477" s="1"/>
    </row>
    <row r="3478" spans="1:10" x14ac:dyDescent="0.35">
      <c r="A3478" s="6" t="s">
        <v>17</v>
      </c>
      <c r="B3478" s="6">
        <f>+B3477+1</f>
        <v>2041</v>
      </c>
      <c r="C3478" s="1" t="s">
        <v>28</v>
      </c>
      <c r="D3478" s="2" t="s">
        <v>2003</v>
      </c>
      <c r="E3478" s="9" t="str">
        <f t="shared" si="796"/>
        <v>PRBDP'!</v>
      </c>
      <c r="F3478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78" s="6" t="s">
        <v>112</v>
      </c>
      <c r="H3478" s="1"/>
      <c r="I3478" s="1"/>
      <c r="J3478" s="1"/>
    </row>
    <row r="3479" spans="1:10" x14ac:dyDescent="0.35">
      <c r="A3479" s="6" t="s">
        <v>17</v>
      </c>
      <c r="B3479" s="6">
        <f t="shared" ref="B3479:B3480" si="800">+B3478+1</f>
        <v>2042</v>
      </c>
      <c r="C3479" s="1" t="s">
        <v>28</v>
      </c>
      <c r="D3479" s="2" t="s">
        <v>2003</v>
      </c>
      <c r="E3479" s="9" t="str">
        <f t="shared" si="796"/>
        <v>PRBDP'!</v>
      </c>
      <c r="F3479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79" s="6" t="s">
        <v>112</v>
      </c>
      <c r="H3479" s="1"/>
      <c r="I3479" s="1"/>
      <c r="J3479" s="1"/>
    </row>
    <row r="3480" spans="1:10" x14ac:dyDescent="0.35">
      <c r="A3480" s="6" t="s">
        <v>17</v>
      </c>
      <c r="B3480" s="6">
        <f t="shared" si="800"/>
        <v>2043</v>
      </c>
      <c r="C3480" s="1" t="s">
        <v>28</v>
      </c>
      <c r="D3480" s="2" t="s">
        <v>2003</v>
      </c>
      <c r="E3480" s="9" t="str">
        <f t="shared" si="796"/>
        <v>PRBDP'!</v>
      </c>
      <c r="F3480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80" s="6" t="s">
        <v>112</v>
      </c>
      <c r="H3480" s="1"/>
      <c r="I3480" s="1"/>
      <c r="J3480" s="1"/>
    </row>
    <row r="3481" spans="1:10" x14ac:dyDescent="0.35">
      <c r="A3481" s="6" t="s">
        <v>17</v>
      </c>
      <c r="B3481" s="6">
        <f>+B3480+1</f>
        <v>2044</v>
      </c>
      <c r="C3481" s="1" t="s">
        <v>28</v>
      </c>
      <c r="D3481" s="2" t="s">
        <v>2003</v>
      </c>
      <c r="E3481" s="9" t="str">
        <f t="shared" ref="E3481:E3496" si="801">_xlfn.CONCAT(A3481,"'!")</f>
        <v>PRBDP'!</v>
      </c>
      <c r="F3481" s="5" t="str">
        <f t="shared" ref="F3481:F3496" si="802">_xlfn.CONCAT(D3481," ",E3481)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81" s="6" t="s">
        <v>112</v>
      </c>
      <c r="H3481" s="1"/>
      <c r="I3481" s="1"/>
      <c r="J3481" s="1"/>
    </row>
    <row r="3482" spans="1:10" x14ac:dyDescent="0.35">
      <c r="A3482" s="6" t="s">
        <v>17</v>
      </c>
      <c r="B3482" s="6">
        <f t="shared" ref="B3482:B3496" si="803">+B3481+1</f>
        <v>2045</v>
      </c>
      <c r="C3482" s="1" t="s">
        <v>28</v>
      </c>
      <c r="D3482" s="2" t="s">
        <v>2003</v>
      </c>
      <c r="E3482" s="9" t="str">
        <f t="shared" si="801"/>
        <v>PRBDP'!</v>
      </c>
      <c r="F3482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82" s="6" t="s">
        <v>112</v>
      </c>
      <c r="H3482" s="1"/>
      <c r="I3482" s="1"/>
      <c r="J3482" s="1"/>
    </row>
    <row r="3483" spans="1:10" x14ac:dyDescent="0.35">
      <c r="A3483" s="6" t="s">
        <v>17</v>
      </c>
      <c r="B3483" s="6">
        <f t="shared" si="803"/>
        <v>2046</v>
      </c>
      <c r="C3483" s="1" t="s">
        <v>28</v>
      </c>
      <c r="D3483" s="2" t="s">
        <v>2003</v>
      </c>
      <c r="E3483" s="9" t="str">
        <f t="shared" si="801"/>
        <v>PRBDP'!</v>
      </c>
      <c r="F3483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83" s="6" t="s">
        <v>112</v>
      </c>
      <c r="H3483" s="1"/>
      <c r="I3483" s="1"/>
      <c r="J3483" s="1"/>
    </row>
    <row r="3484" spans="1:10" x14ac:dyDescent="0.35">
      <c r="A3484" s="6" t="s">
        <v>17</v>
      </c>
      <c r="B3484" s="6">
        <f t="shared" si="803"/>
        <v>2047</v>
      </c>
      <c r="C3484" s="1" t="s">
        <v>28</v>
      </c>
      <c r="D3484" s="2" t="s">
        <v>2003</v>
      </c>
      <c r="E3484" s="9" t="str">
        <f t="shared" si="801"/>
        <v>PRBDP'!</v>
      </c>
      <c r="F3484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84" s="6" t="s">
        <v>112</v>
      </c>
      <c r="H3484" s="1"/>
      <c r="I3484" s="1"/>
      <c r="J3484" s="1"/>
    </row>
    <row r="3485" spans="1:10" x14ac:dyDescent="0.35">
      <c r="A3485" s="6" t="s">
        <v>17</v>
      </c>
      <c r="B3485" s="6">
        <f t="shared" si="803"/>
        <v>2048</v>
      </c>
      <c r="C3485" s="1" t="s">
        <v>28</v>
      </c>
      <c r="D3485" s="2" t="s">
        <v>2003</v>
      </c>
      <c r="E3485" s="9" t="str">
        <f t="shared" si="801"/>
        <v>PRBDP'!</v>
      </c>
      <c r="F3485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85" s="6" t="s">
        <v>112</v>
      </c>
      <c r="H3485" s="1"/>
      <c r="I3485" s="1"/>
      <c r="J3485" s="1"/>
    </row>
    <row r="3486" spans="1:10" x14ac:dyDescent="0.35">
      <c r="A3486" s="6" t="s">
        <v>17</v>
      </c>
      <c r="B3486" s="6">
        <f t="shared" si="803"/>
        <v>2049</v>
      </c>
      <c r="C3486" s="1" t="s">
        <v>28</v>
      </c>
      <c r="D3486" s="2" t="s">
        <v>2003</v>
      </c>
      <c r="E3486" s="9" t="str">
        <f t="shared" si="801"/>
        <v>PRBDP'!</v>
      </c>
      <c r="F3486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86" s="6" t="s">
        <v>112</v>
      </c>
      <c r="H3486" s="1"/>
      <c r="I3486" s="1"/>
      <c r="J3486" s="1"/>
    </row>
    <row r="3487" spans="1:10" x14ac:dyDescent="0.35">
      <c r="A3487" s="6" t="s">
        <v>17</v>
      </c>
      <c r="B3487" s="6">
        <f t="shared" si="803"/>
        <v>2050</v>
      </c>
      <c r="C3487" s="1" t="s">
        <v>28</v>
      </c>
      <c r="D3487" s="2" t="s">
        <v>2003</v>
      </c>
      <c r="E3487" s="9" t="str">
        <f t="shared" si="801"/>
        <v>PRBDP'!</v>
      </c>
      <c r="F3487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87" s="6" t="s">
        <v>112</v>
      </c>
      <c r="H3487" s="1"/>
      <c r="I3487" s="1"/>
      <c r="J3487" s="1"/>
    </row>
    <row r="3488" spans="1:10" x14ac:dyDescent="0.35">
      <c r="A3488" s="6" t="s">
        <v>17</v>
      </c>
      <c r="B3488" s="6">
        <f t="shared" si="803"/>
        <v>2051</v>
      </c>
      <c r="C3488" s="1" t="s">
        <v>28</v>
      </c>
      <c r="D3488" s="2" t="s">
        <v>2003</v>
      </c>
      <c r="E3488" s="9" t="str">
        <f t="shared" si="801"/>
        <v>PRBDP'!</v>
      </c>
      <c r="F3488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88" s="6" t="s">
        <v>112</v>
      </c>
      <c r="H3488" s="1"/>
      <c r="I3488" s="1"/>
      <c r="J3488" s="1"/>
    </row>
    <row r="3489" spans="1:10" x14ac:dyDescent="0.35">
      <c r="A3489" s="6" t="s">
        <v>17</v>
      </c>
      <c r="B3489" s="6">
        <f t="shared" si="803"/>
        <v>2052</v>
      </c>
      <c r="C3489" s="1" t="s">
        <v>28</v>
      </c>
      <c r="D3489" s="2" t="s">
        <v>2003</v>
      </c>
      <c r="E3489" s="9" t="str">
        <f t="shared" si="801"/>
        <v>PRBDP'!</v>
      </c>
      <c r="F3489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89" s="6" t="s">
        <v>112</v>
      </c>
      <c r="H3489" s="1"/>
      <c r="I3489" s="1"/>
      <c r="J3489" s="1"/>
    </row>
    <row r="3490" spans="1:10" x14ac:dyDescent="0.35">
      <c r="A3490" s="6" t="s">
        <v>17</v>
      </c>
      <c r="B3490" s="6">
        <f t="shared" si="803"/>
        <v>2053</v>
      </c>
      <c r="C3490" s="1" t="s">
        <v>28</v>
      </c>
      <c r="D3490" s="2" t="s">
        <v>2003</v>
      </c>
      <c r="E3490" s="9" t="str">
        <f t="shared" si="801"/>
        <v>PRBDP'!</v>
      </c>
      <c r="F3490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90" s="6" t="s">
        <v>112</v>
      </c>
      <c r="H3490" s="1"/>
      <c r="I3490" s="1"/>
      <c r="J3490" s="1"/>
    </row>
    <row r="3491" spans="1:10" x14ac:dyDescent="0.35">
      <c r="A3491" s="6" t="s">
        <v>17</v>
      </c>
      <c r="B3491" s="6">
        <f t="shared" si="803"/>
        <v>2054</v>
      </c>
      <c r="C3491" s="1" t="s">
        <v>28</v>
      </c>
      <c r="D3491" s="2" t="s">
        <v>2003</v>
      </c>
      <c r="E3491" s="9" t="str">
        <f t="shared" si="801"/>
        <v>PRBDP'!</v>
      </c>
      <c r="F3491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91" s="6" t="s">
        <v>112</v>
      </c>
      <c r="H3491" s="1"/>
      <c r="I3491" s="1"/>
      <c r="J3491" s="1"/>
    </row>
    <row r="3492" spans="1:10" x14ac:dyDescent="0.35">
      <c r="A3492" s="6" t="s">
        <v>17</v>
      </c>
      <c r="B3492" s="6">
        <f t="shared" si="803"/>
        <v>2055</v>
      </c>
      <c r="C3492" s="1" t="s">
        <v>28</v>
      </c>
      <c r="D3492" s="2" t="s">
        <v>2003</v>
      </c>
      <c r="E3492" s="9" t="str">
        <f t="shared" si="801"/>
        <v>PRBDP'!</v>
      </c>
      <c r="F3492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92" s="6" t="s">
        <v>112</v>
      </c>
      <c r="H3492" s="1"/>
      <c r="I3492" s="1"/>
      <c r="J3492" s="1"/>
    </row>
    <row r="3493" spans="1:10" x14ac:dyDescent="0.35">
      <c r="A3493" s="6" t="s">
        <v>17</v>
      </c>
      <c r="B3493" s="6">
        <f t="shared" si="803"/>
        <v>2056</v>
      </c>
      <c r="C3493" s="1" t="s">
        <v>28</v>
      </c>
      <c r="D3493" s="2" t="s">
        <v>2003</v>
      </c>
      <c r="E3493" s="9" t="str">
        <f t="shared" si="801"/>
        <v>PRBDP'!</v>
      </c>
      <c r="F3493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93" s="6" t="s">
        <v>112</v>
      </c>
      <c r="H3493" s="1"/>
      <c r="I3493" s="1"/>
      <c r="J3493" s="1"/>
    </row>
    <row r="3494" spans="1:10" x14ac:dyDescent="0.35">
      <c r="A3494" s="6" t="s">
        <v>17</v>
      </c>
      <c r="B3494" s="6">
        <f t="shared" si="803"/>
        <v>2057</v>
      </c>
      <c r="C3494" s="1" t="s">
        <v>28</v>
      </c>
      <c r="D3494" s="2" t="s">
        <v>2003</v>
      </c>
      <c r="E3494" s="9" t="str">
        <f t="shared" si="801"/>
        <v>PRBDP'!</v>
      </c>
      <c r="F3494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94" s="6" t="s">
        <v>112</v>
      </c>
      <c r="H3494" s="1"/>
      <c r="I3494" s="1"/>
      <c r="J3494" s="1"/>
    </row>
    <row r="3495" spans="1:10" x14ac:dyDescent="0.35">
      <c r="A3495" s="6" t="s">
        <v>17</v>
      </c>
      <c r="B3495" s="6">
        <f t="shared" si="803"/>
        <v>2058</v>
      </c>
      <c r="C3495" s="1" t="s">
        <v>28</v>
      </c>
      <c r="D3495" s="2" t="s">
        <v>2003</v>
      </c>
      <c r="E3495" s="9" t="str">
        <f t="shared" si="801"/>
        <v>PRBDP'!</v>
      </c>
      <c r="F3495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95" s="6" t="s">
        <v>112</v>
      </c>
      <c r="H3495" s="1"/>
      <c r="I3495" s="1"/>
      <c r="J3495" s="1"/>
    </row>
    <row r="3496" spans="1:10" x14ac:dyDescent="0.35">
      <c r="A3496" s="6" t="s">
        <v>17</v>
      </c>
      <c r="B3496" s="6">
        <f t="shared" si="803"/>
        <v>2059</v>
      </c>
      <c r="C3496" s="1" t="s">
        <v>28</v>
      </c>
      <c r="D3496" s="2" t="s">
        <v>2003</v>
      </c>
      <c r="E3496" s="9" t="str">
        <f t="shared" si="801"/>
        <v>PRBDP'!</v>
      </c>
      <c r="F3496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96" s="6" t="s">
        <v>112</v>
      </c>
      <c r="H3496" s="1"/>
      <c r="I3496" s="1"/>
      <c r="J3496" s="1"/>
    </row>
    <row r="3497" spans="1:10" x14ac:dyDescent="0.35">
      <c r="A3497" s="6" t="s">
        <v>26</v>
      </c>
      <c r="B3497" s="6"/>
      <c r="C3497" s="1" t="s">
        <v>28</v>
      </c>
      <c r="D3497" s="2"/>
      <c r="E3497" s="9"/>
      <c r="F3497" s="5"/>
      <c r="G3497" s="6"/>
      <c r="H3497" s="1"/>
      <c r="I3497" s="1"/>
      <c r="J3497" s="12"/>
    </row>
    <row r="3498" spans="1:10" x14ac:dyDescent="0.35">
      <c r="A3498" s="6" t="s">
        <v>18</v>
      </c>
      <c r="B3498" s="6">
        <v>2023</v>
      </c>
      <c r="C3498" s="1" t="s">
        <v>28</v>
      </c>
      <c r="D3498" s="2" t="s">
        <v>2003</v>
      </c>
      <c r="E3498" s="9" t="str">
        <f t="shared" ref="E3498:E3518" si="804">_xlfn.CONCAT(A3498,"'!")</f>
        <v>PRBNP'!</v>
      </c>
      <c r="F3498" s="5" t="str">
        <f t="shared" ref="F3498:F3589" si="805">_xlfn.CONCAT(D3498," ",E3498)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498" s="6" t="s">
        <v>112</v>
      </c>
      <c r="H3498" s="1"/>
      <c r="I3498" s="1"/>
      <c r="J3498" s="1"/>
    </row>
    <row r="3499" spans="1:10" x14ac:dyDescent="0.35">
      <c r="A3499" s="6" t="s">
        <v>18</v>
      </c>
      <c r="B3499" s="6">
        <f>+B3498+1</f>
        <v>2024</v>
      </c>
      <c r="C3499" s="1" t="s">
        <v>28</v>
      </c>
      <c r="D3499" s="2" t="s">
        <v>2003</v>
      </c>
      <c r="E3499" s="9" t="str">
        <f t="shared" si="804"/>
        <v>PRBNP'!</v>
      </c>
      <c r="F3499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499" s="6" t="s">
        <v>112</v>
      </c>
      <c r="H3499" s="1"/>
      <c r="I3499" s="1"/>
      <c r="J3499" s="1"/>
    </row>
    <row r="3500" spans="1:10" x14ac:dyDescent="0.35">
      <c r="A3500" s="6" t="s">
        <v>18</v>
      </c>
      <c r="B3500" s="6">
        <f t="shared" ref="B3500:B3511" si="806">+B3499+1</f>
        <v>2025</v>
      </c>
      <c r="C3500" s="1" t="s">
        <v>28</v>
      </c>
      <c r="D3500" s="2" t="s">
        <v>2003</v>
      </c>
      <c r="E3500" s="9" t="str">
        <f t="shared" si="804"/>
        <v>PRBNP'!</v>
      </c>
      <c r="F3500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00" s="6" t="s">
        <v>112</v>
      </c>
      <c r="H3500" s="1"/>
      <c r="I3500" s="1"/>
      <c r="J3500" s="1"/>
    </row>
    <row r="3501" spans="1:10" x14ac:dyDescent="0.35">
      <c r="A3501" s="6" t="s">
        <v>18</v>
      </c>
      <c r="B3501" s="6">
        <f t="shared" si="806"/>
        <v>2026</v>
      </c>
      <c r="C3501" s="1" t="s">
        <v>28</v>
      </c>
      <c r="D3501" s="2" t="s">
        <v>2003</v>
      </c>
      <c r="E3501" s="9" t="str">
        <f t="shared" si="804"/>
        <v>PRBNP'!</v>
      </c>
      <c r="F3501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01" s="6" t="s">
        <v>112</v>
      </c>
      <c r="H3501" s="1"/>
      <c r="I3501" s="1"/>
      <c r="J3501" s="1"/>
    </row>
    <row r="3502" spans="1:10" x14ac:dyDescent="0.35">
      <c r="A3502" s="6" t="s">
        <v>18</v>
      </c>
      <c r="B3502" s="6">
        <f t="shared" si="806"/>
        <v>2027</v>
      </c>
      <c r="C3502" s="1" t="s">
        <v>28</v>
      </c>
      <c r="D3502" s="2" t="s">
        <v>2003</v>
      </c>
      <c r="E3502" s="9" t="str">
        <f t="shared" si="804"/>
        <v>PRBNP'!</v>
      </c>
      <c r="F3502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02" s="6" t="s">
        <v>112</v>
      </c>
      <c r="H3502" s="1"/>
      <c r="I3502" s="1"/>
      <c r="J3502" s="1"/>
    </row>
    <row r="3503" spans="1:10" x14ac:dyDescent="0.35">
      <c r="A3503" s="6" t="s">
        <v>18</v>
      </c>
      <c r="B3503" s="6">
        <f t="shared" si="806"/>
        <v>2028</v>
      </c>
      <c r="C3503" s="1" t="s">
        <v>28</v>
      </c>
      <c r="D3503" s="2" t="s">
        <v>2003</v>
      </c>
      <c r="E3503" s="9" t="str">
        <f t="shared" si="804"/>
        <v>PRBNP'!</v>
      </c>
      <c r="F3503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03" s="6" t="s">
        <v>112</v>
      </c>
      <c r="H3503" s="1"/>
      <c r="I3503" s="1"/>
      <c r="J3503" s="1"/>
    </row>
    <row r="3504" spans="1:10" x14ac:dyDescent="0.35">
      <c r="A3504" s="6" t="s">
        <v>18</v>
      </c>
      <c r="B3504" s="6">
        <f t="shared" si="806"/>
        <v>2029</v>
      </c>
      <c r="C3504" s="1" t="s">
        <v>28</v>
      </c>
      <c r="D3504" s="2" t="s">
        <v>2003</v>
      </c>
      <c r="E3504" s="9" t="str">
        <f t="shared" si="804"/>
        <v>PRBNP'!</v>
      </c>
      <c r="F3504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04" s="6" t="s">
        <v>112</v>
      </c>
      <c r="H3504" s="1"/>
      <c r="I3504" s="1"/>
      <c r="J3504" s="1"/>
    </row>
    <row r="3505" spans="1:10" x14ac:dyDescent="0.35">
      <c r="A3505" s="6" t="s">
        <v>18</v>
      </c>
      <c r="B3505" s="6">
        <f t="shared" si="806"/>
        <v>2030</v>
      </c>
      <c r="C3505" s="1" t="s">
        <v>28</v>
      </c>
      <c r="D3505" s="2" t="s">
        <v>2003</v>
      </c>
      <c r="E3505" s="9" t="str">
        <f t="shared" si="804"/>
        <v>PRBNP'!</v>
      </c>
      <c r="F3505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05" s="6" t="s">
        <v>112</v>
      </c>
      <c r="H3505" s="1"/>
      <c r="I3505" s="1"/>
      <c r="J3505" s="1"/>
    </row>
    <row r="3506" spans="1:10" x14ac:dyDescent="0.35">
      <c r="A3506" s="6" t="s">
        <v>18</v>
      </c>
      <c r="B3506" s="6">
        <f t="shared" si="806"/>
        <v>2031</v>
      </c>
      <c r="C3506" s="1" t="s">
        <v>28</v>
      </c>
      <c r="D3506" s="2" t="s">
        <v>2003</v>
      </c>
      <c r="E3506" s="9" t="str">
        <f t="shared" si="804"/>
        <v>PRBNP'!</v>
      </c>
      <c r="F3506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06" s="6" t="s">
        <v>112</v>
      </c>
      <c r="H3506" s="1"/>
      <c r="I3506" s="1"/>
      <c r="J3506" s="1"/>
    </row>
    <row r="3507" spans="1:10" x14ac:dyDescent="0.35">
      <c r="A3507" s="6" t="s">
        <v>18</v>
      </c>
      <c r="B3507" s="6">
        <f t="shared" si="806"/>
        <v>2032</v>
      </c>
      <c r="C3507" s="1" t="s">
        <v>28</v>
      </c>
      <c r="D3507" s="2" t="s">
        <v>2003</v>
      </c>
      <c r="E3507" s="9" t="str">
        <f t="shared" si="804"/>
        <v>PRBNP'!</v>
      </c>
      <c r="F3507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07" s="6" t="s">
        <v>112</v>
      </c>
      <c r="H3507" s="1"/>
      <c r="I3507" s="1"/>
      <c r="J3507" s="1"/>
    </row>
    <row r="3508" spans="1:10" x14ac:dyDescent="0.35">
      <c r="A3508" s="6" t="s">
        <v>18</v>
      </c>
      <c r="B3508" s="6">
        <f t="shared" si="806"/>
        <v>2033</v>
      </c>
      <c r="C3508" s="1" t="s">
        <v>28</v>
      </c>
      <c r="D3508" s="2" t="s">
        <v>2003</v>
      </c>
      <c r="E3508" s="9" t="str">
        <f t="shared" si="804"/>
        <v>PRBNP'!</v>
      </c>
      <c r="F3508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08" s="6" t="s">
        <v>112</v>
      </c>
      <c r="H3508" s="1"/>
      <c r="I3508" s="1"/>
      <c r="J3508" s="1"/>
    </row>
    <row r="3509" spans="1:10" x14ac:dyDescent="0.35">
      <c r="A3509" s="6" t="s">
        <v>18</v>
      </c>
      <c r="B3509" s="6">
        <f t="shared" si="806"/>
        <v>2034</v>
      </c>
      <c r="C3509" s="1" t="s">
        <v>28</v>
      </c>
      <c r="D3509" s="2" t="s">
        <v>2003</v>
      </c>
      <c r="E3509" s="9" t="str">
        <f t="shared" si="804"/>
        <v>PRBNP'!</v>
      </c>
      <c r="F3509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09" s="6" t="s">
        <v>112</v>
      </c>
      <c r="H3509" s="1"/>
      <c r="I3509" s="1"/>
      <c r="J3509" s="1"/>
    </row>
    <row r="3510" spans="1:10" x14ac:dyDescent="0.35">
      <c r="A3510" s="6" t="s">
        <v>18</v>
      </c>
      <c r="B3510" s="6">
        <f t="shared" si="806"/>
        <v>2035</v>
      </c>
      <c r="C3510" s="1" t="s">
        <v>28</v>
      </c>
      <c r="D3510" s="2" t="s">
        <v>2003</v>
      </c>
      <c r="E3510" s="9" t="str">
        <f t="shared" si="804"/>
        <v>PRBNP'!</v>
      </c>
      <c r="F3510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10" s="6" t="s">
        <v>112</v>
      </c>
      <c r="H3510" s="1"/>
      <c r="I3510" s="1"/>
      <c r="J3510" s="1"/>
    </row>
    <row r="3511" spans="1:10" x14ac:dyDescent="0.35">
      <c r="A3511" s="6" t="s">
        <v>18</v>
      </c>
      <c r="B3511" s="6">
        <f t="shared" si="806"/>
        <v>2036</v>
      </c>
      <c r="C3511" s="1" t="s">
        <v>28</v>
      </c>
      <c r="D3511" s="2" t="s">
        <v>2003</v>
      </c>
      <c r="E3511" s="9" t="str">
        <f t="shared" si="804"/>
        <v>PRBNP'!</v>
      </c>
      <c r="F3511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11" s="6" t="s">
        <v>112</v>
      </c>
      <c r="H3511" s="1"/>
      <c r="I3511" s="1"/>
      <c r="J3511" s="1"/>
    </row>
    <row r="3512" spans="1:10" x14ac:dyDescent="0.35">
      <c r="A3512" s="6" t="s">
        <v>18</v>
      </c>
      <c r="B3512" s="6">
        <f>+B3511+1</f>
        <v>2037</v>
      </c>
      <c r="C3512" s="1" t="s">
        <v>28</v>
      </c>
      <c r="D3512" s="2" t="s">
        <v>2003</v>
      </c>
      <c r="E3512" s="9" t="str">
        <f t="shared" si="804"/>
        <v>PRBNP'!</v>
      </c>
      <c r="F3512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12" s="6" t="s">
        <v>112</v>
      </c>
      <c r="H3512" s="1"/>
      <c r="I3512" s="1"/>
      <c r="J3512" s="1"/>
    </row>
    <row r="3513" spans="1:10" x14ac:dyDescent="0.35">
      <c r="A3513" s="6" t="s">
        <v>18</v>
      </c>
      <c r="B3513" s="6">
        <f t="shared" ref="B3513:B3515" si="807">+B3512+1</f>
        <v>2038</v>
      </c>
      <c r="C3513" s="1" t="s">
        <v>28</v>
      </c>
      <c r="D3513" s="2" t="s">
        <v>2003</v>
      </c>
      <c r="E3513" s="9" t="str">
        <f t="shared" si="804"/>
        <v>PRBNP'!</v>
      </c>
      <c r="F3513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13" s="6" t="s">
        <v>112</v>
      </c>
      <c r="H3513" s="1"/>
      <c r="I3513" s="1"/>
      <c r="J3513" s="1"/>
    </row>
    <row r="3514" spans="1:10" x14ac:dyDescent="0.35">
      <c r="A3514" s="6" t="s">
        <v>18</v>
      </c>
      <c r="B3514" s="6">
        <f t="shared" si="807"/>
        <v>2039</v>
      </c>
      <c r="C3514" s="1" t="s">
        <v>28</v>
      </c>
      <c r="D3514" s="2" t="s">
        <v>2003</v>
      </c>
      <c r="E3514" s="9" t="str">
        <f t="shared" si="804"/>
        <v>PRBNP'!</v>
      </c>
      <c r="F3514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14" s="6" t="s">
        <v>112</v>
      </c>
      <c r="H3514" s="1"/>
      <c r="I3514" s="1"/>
      <c r="J3514" s="1"/>
    </row>
    <row r="3515" spans="1:10" x14ac:dyDescent="0.35">
      <c r="A3515" s="6" t="s">
        <v>18</v>
      </c>
      <c r="B3515" s="6">
        <f t="shared" si="807"/>
        <v>2040</v>
      </c>
      <c r="C3515" s="1" t="s">
        <v>28</v>
      </c>
      <c r="D3515" s="2" t="s">
        <v>2003</v>
      </c>
      <c r="E3515" s="9" t="str">
        <f t="shared" si="804"/>
        <v>PRBNP'!</v>
      </c>
      <c r="F3515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15" s="6" t="s">
        <v>112</v>
      </c>
      <c r="H3515" s="1"/>
      <c r="I3515" s="1"/>
      <c r="J3515" s="1"/>
    </row>
    <row r="3516" spans="1:10" x14ac:dyDescent="0.35">
      <c r="A3516" s="6" t="s">
        <v>18</v>
      </c>
      <c r="B3516" s="6">
        <f>+B3515+1</f>
        <v>2041</v>
      </c>
      <c r="C3516" s="1" t="s">
        <v>28</v>
      </c>
      <c r="D3516" s="2" t="s">
        <v>2003</v>
      </c>
      <c r="E3516" s="9" t="str">
        <f t="shared" si="804"/>
        <v>PRBNP'!</v>
      </c>
      <c r="F3516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16" s="6" t="s">
        <v>112</v>
      </c>
      <c r="H3516" s="1"/>
      <c r="I3516" s="1"/>
      <c r="J3516" s="1"/>
    </row>
    <row r="3517" spans="1:10" x14ac:dyDescent="0.35">
      <c r="A3517" s="6" t="s">
        <v>18</v>
      </c>
      <c r="B3517" s="6">
        <f t="shared" ref="B3517:B3518" si="808">+B3516+1</f>
        <v>2042</v>
      </c>
      <c r="C3517" s="1" t="s">
        <v>28</v>
      </c>
      <c r="D3517" s="2" t="s">
        <v>2003</v>
      </c>
      <c r="E3517" s="9" t="str">
        <f t="shared" si="804"/>
        <v>PRBNP'!</v>
      </c>
      <c r="F3517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17" s="6" t="s">
        <v>112</v>
      </c>
      <c r="H3517" s="1"/>
      <c r="I3517" s="1"/>
      <c r="J3517" s="1"/>
    </row>
    <row r="3518" spans="1:10" x14ac:dyDescent="0.35">
      <c r="A3518" s="6" t="s">
        <v>18</v>
      </c>
      <c r="B3518" s="6">
        <f t="shared" si="808"/>
        <v>2043</v>
      </c>
      <c r="C3518" s="1" t="s">
        <v>28</v>
      </c>
      <c r="D3518" s="2" t="s">
        <v>2003</v>
      </c>
      <c r="E3518" s="9" t="str">
        <f t="shared" si="804"/>
        <v>PRBNP'!</v>
      </c>
      <c r="F3518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18" s="6" t="s">
        <v>112</v>
      </c>
      <c r="H3518" s="1"/>
      <c r="I3518" s="1"/>
      <c r="J3518" s="1"/>
    </row>
    <row r="3519" spans="1:10" x14ac:dyDescent="0.35">
      <c r="A3519" s="6" t="s">
        <v>18</v>
      </c>
      <c r="B3519" s="6">
        <f>+B3518+1</f>
        <v>2044</v>
      </c>
      <c r="C3519" s="1" t="s">
        <v>28</v>
      </c>
      <c r="D3519" s="2" t="s">
        <v>2003</v>
      </c>
      <c r="E3519" s="9" t="str">
        <f t="shared" ref="E3519:E3534" si="809">_xlfn.CONCAT(A3519,"'!")</f>
        <v>PRBNP'!</v>
      </c>
      <c r="F3519" s="5" t="str">
        <f t="shared" ref="F3519:F3534" si="810">_xlfn.CONCAT(D3519," ",E3519)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19" s="6" t="s">
        <v>112</v>
      </c>
      <c r="H3519" s="1"/>
      <c r="I3519" s="1"/>
      <c r="J3519" s="1"/>
    </row>
    <row r="3520" spans="1:10" x14ac:dyDescent="0.35">
      <c r="A3520" s="6" t="s">
        <v>18</v>
      </c>
      <c r="B3520" s="6">
        <f t="shared" ref="B3520:B3534" si="811">+B3519+1</f>
        <v>2045</v>
      </c>
      <c r="C3520" s="1" t="s">
        <v>28</v>
      </c>
      <c r="D3520" s="2" t="s">
        <v>2003</v>
      </c>
      <c r="E3520" s="9" t="str">
        <f t="shared" si="809"/>
        <v>PRBNP'!</v>
      </c>
      <c r="F3520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20" s="6" t="s">
        <v>112</v>
      </c>
      <c r="H3520" s="1"/>
      <c r="I3520" s="1"/>
      <c r="J3520" s="1"/>
    </row>
    <row r="3521" spans="1:10" x14ac:dyDescent="0.35">
      <c r="A3521" s="6" t="s">
        <v>18</v>
      </c>
      <c r="B3521" s="6">
        <f t="shared" si="811"/>
        <v>2046</v>
      </c>
      <c r="C3521" s="1" t="s">
        <v>28</v>
      </c>
      <c r="D3521" s="2" t="s">
        <v>2003</v>
      </c>
      <c r="E3521" s="9" t="str">
        <f t="shared" si="809"/>
        <v>PRBNP'!</v>
      </c>
      <c r="F3521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21" s="6" t="s">
        <v>112</v>
      </c>
      <c r="H3521" s="1"/>
      <c r="I3521" s="1"/>
      <c r="J3521" s="1"/>
    </row>
    <row r="3522" spans="1:10" x14ac:dyDescent="0.35">
      <c r="A3522" s="6" t="s">
        <v>18</v>
      </c>
      <c r="B3522" s="6">
        <f t="shared" si="811"/>
        <v>2047</v>
      </c>
      <c r="C3522" s="1" t="s">
        <v>28</v>
      </c>
      <c r="D3522" s="2" t="s">
        <v>2003</v>
      </c>
      <c r="E3522" s="9" t="str">
        <f t="shared" si="809"/>
        <v>PRBNP'!</v>
      </c>
      <c r="F3522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22" s="6" t="s">
        <v>112</v>
      </c>
      <c r="H3522" s="1"/>
      <c r="I3522" s="1"/>
      <c r="J3522" s="1"/>
    </row>
    <row r="3523" spans="1:10" x14ac:dyDescent="0.35">
      <c r="A3523" s="6" t="s">
        <v>18</v>
      </c>
      <c r="B3523" s="6">
        <f t="shared" si="811"/>
        <v>2048</v>
      </c>
      <c r="C3523" s="1" t="s">
        <v>28</v>
      </c>
      <c r="D3523" s="2" t="s">
        <v>2003</v>
      </c>
      <c r="E3523" s="9" t="str">
        <f t="shared" si="809"/>
        <v>PRBNP'!</v>
      </c>
      <c r="F3523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23" s="6" t="s">
        <v>112</v>
      </c>
      <c r="H3523" s="1"/>
      <c r="I3523" s="1"/>
      <c r="J3523" s="1"/>
    </row>
    <row r="3524" spans="1:10" x14ac:dyDescent="0.35">
      <c r="A3524" s="6" t="s">
        <v>18</v>
      </c>
      <c r="B3524" s="6">
        <f t="shared" si="811"/>
        <v>2049</v>
      </c>
      <c r="C3524" s="1" t="s">
        <v>28</v>
      </c>
      <c r="D3524" s="2" t="s">
        <v>2003</v>
      </c>
      <c r="E3524" s="9" t="str">
        <f t="shared" si="809"/>
        <v>PRBNP'!</v>
      </c>
      <c r="F3524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24" s="6" t="s">
        <v>112</v>
      </c>
      <c r="H3524" s="1"/>
      <c r="I3524" s="1"/>
      <c r="J3524" s="1"/>
    </row>
    <row r="3525" spans="1:10" x14ac:dyDescent="0.35">
      <c r="A3525" s="6" t="s">
        <v>18</v>
      </c>
      <c r="B3525" s="6">
        <f t="shared" si="811"/>
        <v>2050</v>
      </c>
      <c r="C3525" s="1" t="s">
        <v>28</v>
      </c>
      <c r="D3525" s="2" t="s">
        <v>2003</v>
      </c>
      <c r="E3525" s="9" t="str">
        <f t="shared" si="809"/>
        <v>PRBNP'!</v>
      </c>
      <c r="F3525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25" s="6" t="s">
        <v>112</v>
      </c>
      <c r="H3525" s="1"/>
      <c r="I3525" s="1"/>
      <c r="J3525" s="1"/>
    </row>
    <row r="3526" spans="1:10" x14ac:dyDescent="0.35">
      <c r="A3526" s="6" t="s">
        <v>18</v>
      </c>
      <c r="B3526" s="6">
        <f t="shared" si="811"/>
        <v>2051</v>
      </c>
      <c r="C3526" s="1" t="s">
        <v>28</v>
      </c>
      <c r="D3526" s="2" t="s">
        <v>2003</v>
      </c>
      <c r="E3526" s="9" t="str">
        <f t="shared" si="809"/>
        <v>PRBNP'!</v>
      </c>
      <c r="F3526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26" s="6" t="s">
        <v>112</v>
      </c>
      <c r="H3526" s="1"/>
      <c r="I3526" s="1"/>
      <c r="J3526" s="1"/>
    </row>
    <row r="3527" spans="1:10" x14ac:dyDescent="0.35">
      <c r="A3527" s="6" t="s">
        <v>18</v>
      </c>
      <c r="B3527" s="6">
        <f t="shared" si="811"/>
        <v>2052</v>
      </c>
      <c r="C3527" s="1" t="s">
        <v>28</v>
      </c>
      <c r="D3527" s="2" t="s">
        <v>2003</v>
      </c>
      <c r="E3527" s="9" t="str">
        <f t="shared" si="809"/>
        <v>PRBNP'!</v>
      </c>
      <c r="F3527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27" s="6" t="s">
        <v>112</v>
      </c>
      <c r="H3527" s="1"/>
      <c r="I3527" s="1"/>
      <c r="J3527" s="1"/>
    </row>
    <row r="3528" spans="1:10" x14ac:dyDescent="0.35">
      <c r="A3528" s="6" t="s">
        <v>18</v>
      </c>
      <c r="B3528" s="6">
        <f t="shared" si="811"/>
        <v>2053</v>
      </c>
      <c r="C3528" s="1" t="s">
        <v>28</v>
      </c>
      <c r="D3528" s="2" t="s">
        <v>2003</v>
      </c>
      <c r="E3528" s="9" t="str">
        <f t="shared" si="809"/>
        <v>PRBNP'!</v>
      </c>
      <c r="F3528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28" s="6" t="s">
        <v>112</v>
      </c>
      <c r="H3528" s="1"/>
      <c r="I3528" s="1"/>
      <c r="J3528" s="1"/>
    </row>
    <row r="3529" spans="1:10" x14ac:dyDescent="0.35">
      <c r="A3529" s="6" t="s">
        <v>18</v>
      </c>
      <c r="B3529" s="6">
        <f t="shared" si="811"/>
        <v>2054</v>
      </c>
      <c r="C3529" s="1" t="s">
        <v>28</v>
      </c>
      <c r="D3529" s="2" t="s">
        <v>2003</v>
      </c>
      <c r="E3529" s="9" t="str">
        <f t="shared" si="809"/>
        <v>PRBNP'!</v>
      </c>
      <c r="F3529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29" s="6" t="s">
        <v>112</v>
      </c>
      <c r="H3529" s="1"/>
      <c r="I3529" s="1"/>
      <c r="J3529" s="1"/>
    </row>
    <row r="3530" spans="1:10" x14ac:dyDescent="0.35">
      <c r="A3530" s="6" t="s">
        <v>18</v>
      </c>
      <c r="B3530" s="6">
        <f t="shared" si="811"/>
        <v>2055</v>
      </c>
      <c r="C3530" s="1" t="s">
        <v>28</v>
      </c>
      <c r="D3530" s="2" t="s">
        <v>2003</v>
      </c>
      <c r="E3530" s="9" t="str">
        <f t="shared" si="809"/>
        <v>PRBNP'!</v>
      </c>
      <c r="F3530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30" s="6" t="s">
        <v>112</v>
      </c>
      <c r="H3530" s="1"/>
      <c r="I3530" s="1"/>
      <c r="J3530" s="1"/>
    </row>
    <row r="3531" spans="1:10" x14ac:dyDescent="0.35">
      <c r="A3531" s="6" t="s">
        <v>18</v>
      </c>
      <c r="B3531" s="6">
        <f t="shared" si="811"/>
        <v>2056</v>
      </c>
      <c r="C3531" s="1" t="s">
        <v>28</v>
      </c>
      <c r="D3531" s="2" t="s">
        <v>2003</v>
      </c>
      <c r="E3531" s="9" t="str">
        <f t="shared" si="809"/>
        <v>PRBNP'!</v>
      </c>
      <c r="F3531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31" s="6" t="s">
        <v>112</v>
      </c>
      <c r="H3531" s="1"/>
      <c r="I3531" s="1"/>
      <c r="J3531" s="1"/>
    </row>
    <row r="3532" spans="1:10" x14ac:dyDescent="0.35">
      <c r="A3532" s="6" t="s">
        <v>18</v>
      </c>
      <c r="B3532" s="6">
        <f t="shared" si="811"/>
        <v>2057</v>
      </c>
      <c r="C3532" s="1" t="s">
        <v>28</v>
      </c>
      <c r="D3532" s="2" t="s">
        <v>2003</v>
      </c>
      <c r="E3532" s="9" t="str">
        <f t="shared" si="809"/>
        <v>PRBNP'!</v>
      </c>
      <c r="F3532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32" s="6" t="s">
        <v>112</v>
      </c>
      <c r="H3532" s="1"/>
      <c r="I3532" s="1"/>
      <c r="J3532" s="1"/>
    </row>
    <row r="3533" spans="1:10" x14ac:dyDescent="0.35">
      <c r="A3533" s="6" t="s">
        <v>18</v>
      </c>
      <c r="B3533" s="6">
        <f t="shared" si="811"/>
        <v>2058</v>
      </c>
      <c r="C3533" s="1" t="s">
        <v>28</v>
      </c>
      <c r="D3533" s="2" t="s">
        <v>2003</v>
      </c>
      <c r="E3533" s="9" t="str">
        <f t="shared" si="809"/>
        <v>PRBNP'!</v>
      </c>
      <c r="F3533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33" s="6" t="s">
        <v>112</v>
      </c>
      <c r="H3533" s="1"/>
      <c r="I3533" s="1"/>
      <c r="J3533" s="1"/>
    </row>
    <row r="3534" spans="1:10" x14ac:dyDescent="0.35">
      <c r="A3534" s="6" t="s">
        <v>18</v>
      </c>
      <c r="B3534" s="6">
        <f t="shared" si="811"/>
        <v>2059</v>
      </c>
      <c r="C3534" s="1" t="s">
        <v>28</v>
      </c>
      <c r="D3534" s="2" t="s">
        <v>2003</v>
      </c>
      <c r="E3534" s="9" t="str">
        <f t="shared" si="809"/>
        <v>PRBNP'!</v>
      </c>
      <c r="F3534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34" s="6" t="s">
        <v>112</v>
      </c>
      <c r="H3534" s="1"/>
      <c r="I3534" s="1"/>
      <c r="J3534" s="1"/>
    </row>
    <row r="3535" spans="1:10" x14ac:dyDescent="0.35">
      <c r="A3535" s="6" t="s">
        <v>26</v>
      </c>
      <c r="B3535" s="6"/>
      <c r="C3535" s="1" t="s">
        <v>28</v>
      </c>
      <c r="D3535" s="2"/>
      <c r="E3535" s="9"/>
      <c r="F3535" s="2"/>
      <c r="G3535" s="6"/>
      <c r="H3535" s="1"/>
      <c r="I3535" s="1"/>
      <c r="J3535" s="12"/>
    </row>
    <row r="3536" spans="1:10" x14ac:dyDescent="0.35">
      <c r="A3536" s="6" t="s">
        <v>19</v>
      </c>
      <c r="B3536" s="6">
        <v>2023</v>
      </c>
      <c r="C3536" s="1" t="s">
        <v>28</v>
      </c>
      <c r="D3536" s="2" t="s">
        <v>2003</v>
      </c>
      <c r="E3536" s="9" t="str">
        <f t="shared" ref="E3536:E3556" si="812">_xlfn.CONCAT(A3536,"'!")</f>
        <v>PRBND'!</v>
      </c>
      <c r="F3536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36" s="6" t="s">
        <v>112</v>
      </c>
      <c r="H3536" s="1"/>
      <c r="I3536" s="1"/>
      <c r="J3536" s="1"/>
    </row>
    <row r="3537" spans="1:10" x14ac:dyDescent="0.35">
      <c r="A3537" s="6" t="s">
        <v>19</v>
      </c>
      <c r="B3537" s="6">
        <f>+B3536+1</f>
        <v>2024</v>
      </c>
      <c r="C3537" s="1" t="s">
        <v>28</v>
      </c>
      <c r="D3537" s="2" t="s">
        <v>2003</v>
      </c>
      <c r="E3537" s="9" t="str">
        <f t="shared" si="812"/>
        <v>PRBND'!</v>
      </c>
      <c r="F3537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37" s="6" t="s">
        <v>112</v>
      </c>
      <c r="H3537" s="1"/>
      <c r="I3537" s="1"/>
      <c r="J3537" s="1"/>
    </row>
    <row r="3538" spans="1:10" x14ac:dyDescent="0.35">
      <c r="A3538" s="6" t="s">
        <v>19</v>
      </c>
      <c r="B3538" s="6">
        <f t="shared" ref="B3538:B3549" si="813">+B3537+1</f>
        <v>2025</v>
      </c>
      <c r="C3538" s="1" t="s">
        <v>28</v>
      </c>
      <c r="D3538" s="2" t="s">
        <v>2003</v>
      </c>
      <c r="E3538" s="9" t="str">
        <f t="shared" si="812"/>
        <v>PRBND'!</v>
      </c>
      <c r="F3538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38" s="6" t="s">
        <v>112</v>
      </c>
      <c r="H3538" s="1"/>
      <c r="I3538" s="1"/>
      <c r="J3538" s="1"/>
    </row>
    <row r="3539" spans="1:10" x14ac:dyDescent="0.35">
      <c r="A3539" s="6" t="s">
        <v>19</v>
      </c>
      <c r="B3539" s="6">
        <f t="shared" si="813"/>
        <v>2026</v>
      </c>
      <c r="C3539" s="1" t="s">
        <v>28</v>
      </c>
      <c r="D3539" s="2" t="s">
        <v>2003</v>
      </c>
      <c r="E3539" s="9" t="str">
        <f t="shared" si="812"/>
        <v>PRBND'!</v>
      </c>
      <c r="F3539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39" s="6" t="s">
        <v>112</v>
      </c>
      <c r="H3539" s="1"/>
      <c r="I3539" s="1"/>
      <c r="J3539" s="1"/>
    </row>
    <row r="3540" spans="1:10" x14ac:dyDescent="0.35">
      <c r="A3540" s="6" t="s">
        <v>19</v>
      </c>
      <c r="B3540" s="6">
        <f t="shared" si="813"/>
        <v>2027</v>
      </c>
      <c r="C3540" s="1" t="s">
        <v>28</v>
      </c>
      <c r="D3540" s="2" t="s">
        <v>2003</v>
      </c>
      <c r="E3540" s="9" t="str">
        <f t="shared" si="812"/>
        <v>PRBND'!</v>
      </c>
      <c r="F3540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40" s="6" t="s">
        <v>112</v>
      </c>
      <c r="H3540" s="1"/>
      <c r="I3540" s="1"/>
      <c r="J3540" s="1"/>
    </row>
    <row r="3541" spans="1:10" x14ac:dyDescent="0.35">
      <c r="A3541" s="6" t="s">
        <v>19</v>
      </c>
      <c r="B3541" s="6">
        <f t="shared" si="813"/>
        <v>2028</v>
      </c>
      <c r="C3541" s="1" t="s">
        <v>28</v>
      </c>
      <c r="D3541" s="2" t="s">
        <v>2003</v>
      </c>
      <c r="E3541" s="9" t="str">
        <f t="shared" si="812"/>
        <v>PRBND'!</v>
      </c>
      <c r="F3541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41" s="6" t="s">
        <v>112</v>
      </c>
      <c r="H3541" s="1"/>
      <c r="I3541" s="1"/>
      <c r="J3541" s="1"/>
    </row>
    <row r="3542" spans="1:10" x14ac:dyDescent="0.35">
      <c r="A3542" s="6" t="s">
        <v>19</v>
      </c>
      <c r="B3542" s="6">
        <f t="shared" si="813"/>
        <v>2029</v>
      </c>
      <c r="C3542" s="1" t="s">
        <v>28</v>
      </c>
      <c r="D3542" s="2" t="s">
        <v>2003</v>
      </c>
      <c r="E3542" s="9" t="str">
        <f t="shared" si="812"/>
        <v>PRBND'!</v>
      </c>
      <c r="F3542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42" s="6" t="s">
        <v>112</v>
      </c>
      <c r="H3542" s="1"/>
      <c r="I3542" s="1"/>
      <c r="J3542" s="1"/>
    </row>
    <row r="3543" spans="1:10" x14ac:dyDescent="0.35">
      <c r="A3543" s="6" t="s">
        <v>19</v>
      </c>
      <c r="B3543" s="6">
        <f t="shared" si="813"/>
        <v>2030</v>
      </c>
      <c r="C3543" s="1" t="s">
        <v>28</v>
      </c>
      <c r="D3543" s="2" t="s">
        <v>2003</v>
      </c>
      <c r="E3543" s="9" t="str">
        <f t="shared" si="812"/>
        <v>PRBND'!</v>
      </c>
      <c r="F3543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43" s="6" t="s">
        <v>112</v>
      </c>
      <c r="H3543" s="1"/>
      <c r="I3543" s="1"/>
      <c r="J3543" s="1"/>
    </row>
    <row r="3544" spans="1:10" x14ac:dyDescent="0.35">
      <c r="A3544" s="6" t="s">
        <v>19</v>
      </c>
      <c r="B3544" s="6">
        <f t="shared" si="813"/>
        <v>2031</v>
      </c>
      <c r="C3544" s="1" t="s">
        <v>28</v>
      </c>
      <c r="D3544" s="2" t="s">
        <v>2003</v>
      </c>
      <c r="E3544" s="9" t="str">
        <f t="shared" si="812"/>
        <v>PRBND'!</v>
      </c>
      <c r="F3544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44" s="6" t="s">
        <v>112</v>
      </c>
      <c r="H3544" s="1"/>
      <c r="I3544" s="1"/>
      <c r="J3544" s="1"/>
    </row>
    <row r="3545" spans="1:10" x14ac:dyDescent="0.35">
      <c r="A3545" s="6" t="s">
        <v>19</v>
      </c>
      <c r="B3545" s="6">
        <f t="shared" si="813"/>
        <v>2032</v>
      </c>
      <c r="C3545" s="1" t="s">
        <v>28</v>
      </c>
      <c r="D3545" s="2" t="s">
        <v>2003</v>
      </c>
      <c r="E3545" s="9" t="str">
        <f t="shared" si="812"/>
        <v>PRBND'!</v>
      </c>
      <c r="F3545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45" s="6" t="s">
        <v>112</v>
      </c>
      <c r="H3545" s="1"/>
      <c r="I3545" s="1"/>
      <c r="J3545" s="1"/>
    </row>
    <row r="3546" spans="1:10" x14ac:dyDescent="0.35">
      <c r="A3546" s="6" t="s">
        <v>19</v>
      </c>
      <c r="B3546" s="6">
        <f t="shared" si="813"/>
        <v>2033</v>
      </c>
      <c r="C3546" s="1" t="s">
        <v>28</v>
      </c>
      <c r="D3546" s="2" t="s">
        <v>2003</v>
      </c>
      <c r="E3546" s="9" t="str">
        <f t="shared" si="812"/>
        <v>PRBND'!</v>
      </c>
      <c r="F3546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46" s="6" t="s">
        <v>112</v>
      </c>
      <c r="H3546" s="1"/>
      <c r="I3546" s="1"/>
      <c r="J3546" s="1"/>
    </row>
    <row r="3547" spans="1:10" x14ac:dyDescent="0.35">
      <c r="A3547" s="6" t="s">
        <v>19</v>
      </c>
      <c r="B3547" s="6">
        <f t="shared" si="813"/>
        <v>2034</v>
      </c>
      <c r="C3547" s="1" t="s">
        <v>28</v>
      </c>
      <c r="D3547" s="2" t="s">
        <v>2003</v>
      </c>
      <c r="E3547" s="9" t="str">
        <f t="shared" si="812"/>
        <v>PRBND'!</v>
      </c>
      <c r="F3547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47" s="6" t="s">
        <v>112</v>
      </c>
      <c r="H3547" s="1"/>
      <c r="I3547" s="1"/>
      <c r="J3547" s="1"/>
    </row>
    <row r="3548" spans="1:10" x14ac:dyDescent="0.35">
      <c r="A3548" s="6" t="s">
        <v>19</v>
      </c>
      <c r="B3548" s="6">
        <f t="shared" si="813"/>
        <v>2035</v>
      </c>
      <c r="C3548" s="1" t="s">
        <v>28</v>
      </c>
      <c r="D3548" s="2" t="s">
        <v>2003</v>
      </c>
      <c r="E3548" s="9" t="str">
        <f t="shared" si="812"/>
        <v>PRBND'!</v>
      </c>
      <c r="F3548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48" s="6" t="s">
        <v>112</v>
      </c>
      <c r="H3548" s="1"/>
      <c r="I3548" s="1"/>
      <c r="J3548" s="1"/>
    </row>
    <row r="3549" spans="1:10" x14ac:dyDescent="0.35">
      <c r="A3549" s="6" t="s">
        <v>19</v>
      </c>
      <c r="B3549" s="6">
        <f t="shared" si="813"/>
        <v>2036</v>
      </c>
      <c r="C3549" s="1" t="s">
        <v>28</v>
      </c>
      <c r="D3549" s="2" t="s">
        <v>2003</v>
      </c>
      <c r="E3549" s="9" t="str">
        <f t="shared" si="812"/>
        <v>PRBND'!</v>
      </c>
      <c r="F3549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49" s="6" t="s">
        <v>112</v>
      </c>
      <c r="H3549" s="1"/>
      <c r="I3549" s="1"/>
      <c r="J3549" s="1"/>
    </row>
    <row r="3550" spans="1:10" x14ac:dyDescent="0.35">
      <c r="A3550" s="6" t="s">
        <v>19</v>
      </c>
      <c r="B3550" s="6">
        <f>+B3549+1</f>
        <v>2037</v>
      </c>
      <c r="C3550" s="1" t="s">
        <v>28</v>
      </c>
      <c r="D3550" s="2" t="s">
        <v>2003</v>
      </c>
      <c r="E3550" s="9" t="str">
        <f t="shared" si="812"/>
        <v>PRBND'!</v>
      </c>
      <c r="F3550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50" s="6" t="s">
        <v>112</v>
      </c>
      <c r="H3550" s="1"/>
      <c r="I3550" s="1"/>
      <c r="J3550" s="1"/>
    </row>
    <row r="3551" spans="1:10" x14ac:dyDescent="0.35">
      <c r="A3551" s="6" t="s">
        <v>19</v>
      </c>
      <c r="B3551" s="6">
        <f t="shared" ref="B3551:B3553" si="814">+B3550+1</f>
        <v>2038</v>
      </c>
      <c r="C3551" s="1" t="s">
        <v>28</v>
      </c>
      <c r="D3551" s="2" t="s">
        <v>2003</v>
      </c>
      <c r="E3551" s="9" t="str">
        <f t="shared" si="812"/>
        <v>PRBND'!</v>
      </c>
      <c r="F3551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51" s="6" t="s">
        <v>112</v>
      </c>
      <c r="H3551" s="1"/>
      <c r="I3551" s="1"/>
      <c r="J3551" s="1"/>
    </row>
    <row r="3552" spans="1:10" x14ac:dyDescent="0.35">
      <c r="A3552" s="6" t="s">
        <v>19</v>
      </c>
      <c r="B3552" s="6">
        <f t="shared" si="814"/>
        <v>2039</v>
      </c>
      <c r="C3552" s="1" t="s">
        <v>28</v>
      </c>
      <c r="D3552" s="2" t="s">
        <v>2003</v>
      </c>
      <c r="E3552" s="9" t="str">
        <f t="shared" si="812"/>
        <v>PRBND'!</v>
      </c>
      <c r="F3552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52" s="6" t="s">
        <v>112</v>
      </c>
      <c r="H3552" s="1"/>
      <c r="I3552" s="1"/>
      <c r="J3552" s="1"/>
    </row>
    <row r="3553" spans="1:10" x14ac:dyDescent="0.35">
      <c r="A3553" s="6" t="s">
        <v>19</v>
      </c>
      <c r="B3553" s="6">
        <f t="shared" si="814"/>
        <v>2040</v>
      </c>
      <c r="C3553" s="1" t="s">
        <v>28</v>
      </c>
      <c r="D3553" s="2" t="s">
        <v>2003</v>
      </c>
      <c r="E3553" s="9" t="str">
        <f t="shared" si="812"/>
        <v>PRBND'!</v>
      </c>
      <c r="F3553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53" s="6" t="s">
        <v>112</v>
      </c>
      <c r="H3553" s="1"/>
      <c r="I3553" s="1"/>
      <c r="J3553" s="1"/>
    </row>
    <row r="3554" spans="1:10" x14ac:dyDescent="0.35">
      <c r="A3554" s="6" t="s">
        <v>19</v>
      </c>
      <c r="B3554" s="6">
        <f>+B3553+1</f>
        <v>2041</v>
      </c>
      <c r="C3554" s="1" t="s">
        <v>28</v>
      </c>
      <c r="D3554" s="2" t="s">
        <v>2003</v>
      </c>
      <c r="E3554" s="9" t="str">
        <f t="shared" si="812"/>
        <v>PRBND'!</v>
      </c>
      <c r="F3554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54" s="6" t="s">
        <v>112</v>
      </c>
      <c r="H3554" s="1"/>
      <c r="I3554" s="1"/>
      <c r="J3554" s="1"/>
    </row>
    <row r="3555" spans="1:10" x14ac:dyDescent="0.35">
      <c r="A3555" s="6" t="s">
        <v>19</v>
      </c>
      <c r="B3555" s="6">
        <f t="shared" ref="B3555:B3556" si="815">+B3554+1</f>
        <v>2042</v>
      </c>
      <c r="C3555" s="1" t="s">
        <v>28</v>
      </c>
      <c r="D3555" s="2" t="s">
        <v>2003</v>
      </c>
      <c r="E3555" s="9" t="str">
        <f t="shared" si="812"/>
        <v>PRBND'!</v>
      </c>
      <c r="F3555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55" s="6" t="s">
        <v>112</v>
      </c>
      <c r="H3555" s="1"/>
      <c r="I3555" s="1"/>
      <c r="J3555" s="1"/>
    </row>
    <row r="3556" spans="1:10" x14ac:dyDescent="0.35">
      <c r="A3556" s="6" t="s">
        <v>19</v>
      </c>
      <c r="B3556" s="6">
        <f t="shared" si="815"/>
        <v>2043</v>
      </c>
      <c r="C3556" s="1" t="s">
        <v>28</v>
      </c>
      <c r="D3556" s="2" t="s">
        <v>2003</v>
      </c>
      <c r="E3556" s="9" t="str">
        <f t="shared" si="812"/>
        <v>PRBND'!</v>
      </c>
      <c r="F3556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56" s="6" t="s">
        <v>112</v>
      </c>
      <c r="H3556" s="1"/>
      <c r="I3556" s="1"/>
      <c r="J3556" s="1"/>
    </row>
    <row r="3557" spans="1:10" x14ac:dyDescent="0.35">
      <c r="A3557" s="6" t="s">
        <v>19</v>
      </c>
      <c r="B3557" s="6">
        <f>+B3556+1</f>
        <v>2044</v>
      </c>
      <c r="C3557" s="1" t="s">
        <v>28</v>
      </c>
      <c r="D3557" s="2" t="s">
        <v>2003</v>
      </c>
      <c r="E3557" s="9" t="str">
        <f t="shared" ref="E3557:E3572" si="816">_xlfn.CONCAT(A3557,"'!")</f>
        <v>PRBND'!</v>
      </c>
      <c r="F3557" s="5" t="str">
        <f t="shared" ref="F3557:F3572" si="817">_xlfn.CONCAT(D3557," ",E3557)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57" s="6" t="s">
        <v>112</v>
      </c>
      <c r="H3557" s="1"/>
      <c r="I3557" s="1"/>
      <c r="J3557" s="1"/>
    </row>
    <row r="3558" spans="1:10" x14ac:dyDescent="0.35">
      <c r="A3558" s="6" t="s">
        <v>19</v>
      </c>
      <c r="B3558" s="6">
        <f t="shared" ref="B3558:B3572" si="818">+B3557+1</f>
        <v>2045</v>
      </c>
      <c r="C3558" s="1" t="s">
        <v>28</v>
      </c>
      <c r="D3558" s="2" t="s">
        <v>2003</v>
      </c>
      <c r="E3558" s="9" t="str">
        <f t="shared" si="816"/>
        <v>PRBND'!</v>
      </c>
      <c r="F3558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58" s="6" t="s">
        <v>112</v>
      </c>
      <c r="H3558" s="1"/>
      <c r="I3558" s="1"/>
      <c r="J3558" s="1"/>
    </row>
    <row r="3559" spans="1:10" x14ac:dyDescent="0.35">
      <c r="A3559" s="6" t="s">
        <v>19</v>
      </c>
      <c r="B3559" s="6">
        <f t="shared" si="818"/>
        <v>2046</v>
      </c>
      <c r="C3559" s="1" t="s">
        <v>28</v>
      </c>
      <c r="D3559" s="2" t="s">
        <v>2003</v>
      </c>
      <c r="E3559" s="9" t="str">
        <f t="shared" si="816"/>
        <v>PRBND'!</v>
      </c>
      <c r="F3559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59" s="6" t="s">
        <v>112</v>
      </c>
      <c r="H3559" s="1"/>
      <c r="I3559" s="1"/>
      <c r="J3559" s="1"/>
    </row>
    <row r="3560" spans="1:10" x14ac:dyDescent="0.35">
      <c r="A3560" s="6" t="s">
        <v>19</v>
      </c>
      <c r="B3560" s="6">
        <f t="shared" si="818"/>
        <v>2047</v>
      </c>
      <c r="C3560" s="1" t="s">
        <v>28</v>
      </c>
      <c r="D3560" s="2" t="s">
        <v>2003</v>
      </c>
      <c r="E3560" s="9" t="str">
        <f t="shared" si="816"/>
        <v>PRBND'!</v>
      </c>
      <c r="F3560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60" s="6" t="s">
        <v>112</v>
      </c>
      <c r="H3560" s="1"/>
      <c r="I3560" s="1"/>
      <c r="J3560" s="1"/>
    </row>
    <row r="3561" spans="1:10" x14ac:dyDescent="0.35">
      <c r="A3561" s="6" t="s">
        <v>19</v>
      </c>
      <c r="B3561" s="6">
        <f t="shared" si="818"/>
        <v>2048</v>
      </c>
      <c r="C3561" s="1" t="s">
        <v>28</v>
      </c>
      <c r="D3561" s="2" t="s">
        <v>2003</v>
      </c>
      <c r="E3561" s="9" t="str">
        <f t="shared" si="816"/>
        <v>PRBND'!</v>
      </c>
      <c r="F3561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61" s="6" t="s">
        <v>112</v>
      </c>
      <c r="H3561" s="1"/>
      <c r="I3561" s="1"/>
      <c r="J3561" s="1"/>
    </row>
    <row r="3562" spans="1:10" x14ac:dyDescent="0.35">
      <c r="A3562" s="6" t="s">
        <v>19</v>
      </c>
      <c r="B3562" s="6">
        <f t="shared" si="818"/>
        <v>2049</v>
      </c>
      <c r="C3562" s="1" t="s">
        <v>28</v>
      </c>
      <c r="D3562" s="2" t="s">
        <v>2003</v>
      </c>
      <c r="E3562" s="9" t="str">
        <f t="shared" si="816"/>
        <v>PRBND'!</v>
      </c>
      <c r="F3562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62" s="6" t="s">
        <v>112</v>
      </c>
      <c r="H3562" s="1"/>
      <c r="I3562" s="1"/>
      <c r="J3562" s="1"/>
    </row>
    <row r="3563" spans="1:10" x14ac:dyDescent="0.35">
      <c r="A3563" s="6" t="s">
        <v>19</v>
      </c>
      <c r="B3563" s="6">
        <f t="shared" si="818"/>
        <v>2050</v>
      </c>
      <c r="C3563" s="1" t="s">
        <v>28</v>
      </c>
      <c r="D3563" s="2" t="s">
        <v>2003</v>
      </c>
      <c r="E3563" s="9" t="str">
        <f t="shared" si="816"/>
        <v>PRBND'!</v>
      </c>
      <c r="F3563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63" s="6" t="s">
        <v>112</v>
      </c>
      <c r="H3563" s="1"/>
      <c r="I3563" s="1"/>
      <c r="J3563" s="1"/>
    </row>
    <row r="3564" spans="1:10" x14ac:dyDescent="0.35">
      <c r="A3564" s="6" t="s">
        <v>19</v>
      </c>
      <c r="B3564" s="6">
        <f t="shared" si="818"/>
        <v>2051</v>
      </c>
      <c r="C3564" s="1" t="s">
        <v>28</v>
      </c>
      <c r="D3564" s="2" t="s">
        <v>2003</v>
      </c>
      <c r="E3564" s="9" t="str">
        <f t="shared" si="816"/>
        <v>PRBND'!</v>
      </c>
      <c r="F3564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64" s="6" t="s">
        <v>112</v>
      </c>
      <c r="H3564" s="1"/>
      <c r="I3564" s="1"/>
      <c r="J3564" s="1"/>
    </row>
    <row r="3565" spans="1:10" x14ac:dyDescent="0.35">
      <c r="A3565" s="6" t="s">
        <v>19</v>
      </c>
      <c r="B3565" s="6">
        <f t="shared" si="818"/>
        <v>2052</v>
      </c>
      <c r="C3565" s="1" t="s">
        <v>28</v>
      </c>
      <c r="D3565" s="2" t="s">
        <v>2003</v>
      </c>
      <c r="E3565" s="9" t="str">
        <f t="shared" si="816"/>
        <v>PRBND'!</v>
      </c>
      <c r="F3565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65" s="6" t="s">
        <v>112</v>
      </c>
      <c r="H3565" s="1"/>
      <c r="I3565" s="1"/>
      <c r="J3565" s="1"/>
    </row>
    <row r="3566" spans="1:10" x14ac:dyDescent="0.35">
      <c r="A3566" s="6" t="s">
        <v>19</v>
      </c>
      <c r="B3566" s="6">
        <f t="shared" si="818"/>
        <v>2053</v>
      </c>
      <c r="C3566" s="1" t="s">
        <v>28</v>
      </c>
      <c r="D3566" s="2" t="s">
        <v>2003</v>
      </c>
      <c r="E3566" s="9" t="str">
        <f t="shared" si="816"/>
        <v>PRBND'!</v>
      </c>
      <c r="F3566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66" s="6" t="s">
        <v>112</v>
      </c>
      <c r="H3566" s="1"/>
      <c r="I3566" s="1"/>
      <c r="J3566" s="1"/>
    </row>
    <row r="3567" spans="1:10" x14ac:dyDescent="0.35">
      <c r="A3567" s="6" t="s">
        <v>19</v>
      </c>
      <c r="B3567" s="6">
        <f t="shared" si="818"/>
        <v>2054</v>
      </c>
      <c r="C3567" s="1" t="s">
        <v>28</v>
      </c>
      <c r="D3567" s="2" t="s">
        <v>2003</v>
      </c>
      <c r="E3567" s="9" t="str">
        <f t="shared" si="816"/>
        <v>PRBND'!</v>
      </c>
      <c r="F3567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67" s="6" t="s">
        <v>112</v>
      </c>
      <c r="H3567" s="1"/>
      <c r="I3567" s="1"/>
      <c r="J3567" s="1"/>
    </row>
    <row r="3568" spans="1:10" x14ac:dyDescent="0.35">
      <c r="A3568" s="6" t="s">
        <v>19</v>
      </c>
      <c r="B3568" s="6">
        <f t="shared" si="818"/>
        <v>2055</v>
      </c>
      <c r="C3568" s="1" t="s">
        <v>28</v>
      </c>
      <c r="D3568" s="2" t="s">
        <v>2003</v>
      </c>
      <c r="E3568" s="9" t="str">
        <f t="shared" si="816"/>
        <v>PRBND'!</v>
      </c>
      <c r="F3568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68" s="6" t="s">
        <v>112</v>
      </c>
      <c r="H3568" s="1"/>
      <c r="I3568" s="1"/>
      <c r="J3568" s="1"/>
    </row>
    <row r="3569" spans="1:10" x14ac:dyDescent="0.35">
      <c r="A3569" s="6" t="s">
        <v>19</v>
      </c>
      <c r="B3569" s="6">
        <f t="shared" si="818"/>
        <v>2056</v>
      </c>
      <c r="C3569" s="1" t="s">
        <v>28</v>
      </c>
      <c r="D3569" s="2" t="s">
        <v>2003</v>
      </c>
      <c r="E3569" s="9" t="str">
        <f t="shared" si="816"/>
        <v>PRBND'!</v>
      </c>
      <c r="F3569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69" s="6" t="s">
        <v>112</v>
      </c>
      <c r="H3569" s="1"/>
      <c r="I3569" s="1"/>
      <c r="J3569" s="1"/>
    </row>
    <row r="3570" spans="1:10" x14ac:dyDescent="0.35">
      <c r="A3570" s="6" t="s">
        <v>19</v>
      </c>
      <c r="B3570" s="6">
        <f t="shared" si="818"/>
        <v>2057</v>
      </c>
      <c r="C3570" s="1" t="s">
        <v>28</v>
      </c>
      <c r="D3570" s="2" t="s">
        <v>2003</v>
      </c>
      <c r="E3570" s="9" t="str">
        <f t="shared" si="816"/>
        <v>PRBND'!</v>
      </c>
      <c r="F3570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70" s="6" t="s">
        <v>112</v>
      </c>
      <c r="H3570" s="1"/>
      <c r="I3570" s="1"/>
      <c r="J3570" s="1"/>
    </row>
    <row r="3571" spans="1:10" x14ac:dyDescent="0.35">
      <c r="A3571" s="6" t="s">
        <v>19</v>
      </c>
      <c r="B3571" s="6">
        <f t="shared" si="818"/>
        <v>2058</v>
      </c>
      <c r="C3571" s="1" t="s">
        <v>28</v>
      </c>
      <c r="D3571" s="2" t="s">
        <v>2003</v>
      </c>
      <c r="E3571" s="9" t="str">
        <f t="shared" si="816"/>
        <v>PRBND'!</v>
      </c>
      <c r="F3571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71" s="6" t="s">
        <v>112</v>
      </c>
      <c r="H3571" s="1"/>
      <c r="I3571" s="1"/>
      <c r="J3571" s="1"/>
    </row>
    <row r="3572" spans="1:10" x14ac:dyDescent="0.35">
      <c r="A3572" s="6" t="s">
        <v>19</v>
      </c>
      <c r="B3572" s="6">
        <f t="shared" si="818"/>
        <v>2059</v>
      </c>
      <c r="C3572" s="1" t="s">
        <v>28</v>
      </c>
      <c r="D3572" s="2" t="s">
        <v>2003</v>
      </c>
      <c r="E3572" s="9" t="str">
        <f t="shared" si="816"/>
        <v>PRBND'!</v>
      </c>
      <c r="F3572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72" s="6" t="s">
        <v>112</v>
      </c>
      <c r="H3572" s="1"/>
      <c r="I3572" s="1"/>
      <c r="J3572" s="1"/>
    </row>
    <row r="3573" spans="1:10" x14ac:dyDescent="0.35">
      <c r="A3573" s="6" t="s">
        <v>26</v>
      </c>
      <c r="B3573" s="6"/>
      <c r="C3573" s="1" t="s">
        <v>28</v>
      </c>
      <c r="D3573" s="2"/>
      <c r="E3573" s="9"/>
      <c r="F3573" s="2"/>
      <c r="G3573" s="6"/>
      <c r="H3573" s="1"/>
      <c r="I3573" s="1"/>
      <c r="J3573" s="12"/>
    </row>
    <row r="3574" spans="1:10" x14ac:dyDescent="0.35">
      <c r="A3574" s="6" t="s">
        <v>20</v>
      </c>
      <c r="B3574" s="6">
        <v>2023</v>
      </c>
      <c r="C3574" s="1" t="s">
        <v>28</v>
      </c>
      <c r="D3574" s="2" t="s">
        <v>2003</v>
      </c>
      <c r="E3574" s="9" t="str">
        <f t="shared" ref="E3574:E3594" si="819">_xlfn.CONCAT(A3574,"'!")</f>
        <v>PRB'!</v>
      </c>
      <c r="F3574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74" s="6" t="s">
        <v>112</v>
      </c>
      <c r="H3574" s="1">
        <f>IF(A3574&lt;&gt;A3444,36,H3444+1)</f>
        <v>36</v>
      </c>
      <c r="I3574" s="1" t="str">
        <f t="shared" ref="I3574:I3594" si="820">_xlfn.CONCAT("='",F3574:H3574)</f>
        <v>='C:\Users\jaime.benazar\Quorum Business Solutions\Ecopetrol Prometeo - Documents\Planning Space Implementation\3. Analysis &amp; Design\Design\FC22\DRR Jaime\Por presentar a ECP\Cantagallo\Cristalina\[VRC_CRISTALINA_CF_SEC_20221231.xlsx]CF PRB'!$BB$36</v>
      </c>
      <c r="J3574" s="1" t="s">
        <v>3595</v>
      </c>
    </row>
    <row r="3575" spans="1:10" x14ac:dyDescent="0.35">
      <c r="A3575" s="6" t="s">
        <v>20</v>
      </c>
      <c r="B3575" s="6">
        <f>+B3574+1</f>
        <v>2024</v>
      </c>
      <c r="C3575" s="1" t="s">
        <v>28</v>
      </c>
      <c r="D3575" s="2" t="s">
        <v>2003</v>
      </c>
      <c r="E3575" s="9" t="str">
        <f t="shared" si="819"/>
        <v>PRB'!</v>
      </c>
      <c r="F3575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75" s="6" t="s">
        <v>112</v>
      </c>
      <c r="H3575" s="1">
        <f t="shared" ref="H3575:H3594" si="821">IF(A3575&lt;&gt;A3574,36,H3574+1)</f>
        <v>37</v>
      </c>
      <c r="I3575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PRB'!$BB$37</v>
      </c>
      <c r="J3575" s="1" t="s">
        <v>3596</v>
      </c>
    </row>
    <row r="3576" spans="1:10" x14ac:dyDescent="0.35">
      <c r="A3576" s="6" t="s">
        <v>20</v>
      </c>
      <c r="B3576" s="6">
        <f t="shared" ref="B3576:B3587" si="822">+B3575+1</f>
        <v>2025</v>
      </c>
      <c r="C3576" s="1" t="s">
        <v>28</v>
      </c>
      <c r="D3576" s="2" t="s">
        <v>2003</v>
      </c>
      <c r="E3576" s="9" t="str">
        <f t="shared" si="819"/>
        <v>PRB'!</v>
      </c>
      <c r="F3576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76" s="6" t="s">
        <v>112</v>
      </c>
      <c r="H3576" s="1">
        <f t="shared" si="821"/>
        <v>38</v>
      </c>
      <c r="I3576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PRB'!$BB$38</v>
      </c>
      <c r="J3576" s="1" t="s">
        <v>3597</v>
      </c>
    </row>
    <row r="3577" spans="1:10" x14ac:dyDescent="0.35">
      <c r="A3577" s="6" t="s">
        <v>20</v>
      </c>
      <c r="B3577" s="6">
        <f t="shared" si="822"/>
        <v>2026</v>
      </c>
      <c r="C3577" s="1" t="s">
        <v>28</v>
      </c>
      <c r="D3577" s="2" t="s">
        <v>2003</v>
      </c>
      <c r="E3577" s="9" t="str">
        <f t="shared" si="819"/>
        <v>PRB'!</v>
      </c>
      <c r="F3577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77" s="6" t="s">
        <v>112</v>
      </c>
      <c r="H3577" s="1">
        <f t="shared" si="821"/>
        <v>39</v>
      </c>
      <c r="I3577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PRB'!$BB$39</v>
      </c>
      <c r="J3577" s="1" t="s">
        <v>3598</v>
      </c>
    </row>
    <row r="3578" spans="1:10" x14ac:dyDescent="0.35">
      <c r="A3578" s="6" t="s">
        <v>20</v>
      </c>
      <c r="B3578" s="6">
        <f t="shared" si="822"/>
        <v>2027</v>
      </c>
      <c r="C3578" s="1" t="s">
        <v>28</v>
      </c>
      <c r="D3578" s="2" t="s">
        <v>2003</v>
      </c>
      <c r="E3578" s="9" t="str">
        <f t="shared" si="819"/>
        <v>PRB'!</v>
      </c>
      <c r="F3578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78" s="6" t="s">
        <v>112</v>
      </c>
      <c r="H3578" s="1">
        <f t="shared" si="821"/>
        <v>40</v>
      </c>
      <c r="I3578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PRB'!$BB$40</v>
      </c>
      <c r="J3578" s="1" t="s">
        <v>3599</v>
      </c>
    </row>
    <row r="3579" spans="1:10" x14ac:dyDescent="0.35">
      <c r="A3579" s="6" t="s">
        <v>20</v>
      </c>
      <c r="B3579" s="6">
        <f t="shared" si="822"/>
        <v>2028</v>
      </c>
      <c r="C3579" s="1" t="s">
        <v>28</v>
      </c>
      <c r="D3579" s="2" t="s">
        <v>2003</v>
      </c>
      <c r="E3579" s="9" t="str">
        <f t="shared" si="819"/>
        <v>PRB'!</v>
      </c>
      <c r="F3579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79" s="6" t="s">
        <v>112</v>
      </c>
      <c r="H3579" s="1">
        <f t="shared" si="821"/>
        <v>41</v>
      </c>
      <c r="I3579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PRB'!$BB$41</v>
      </c>
      <c r="J3579" s="1" t="s">
        <v>3600</v>
      </c>
    </row>
    <row r="3580" spans="1:10" x14ac:dyDescent="0.35">
      <c r="A3580" s="6" t="s">
        <v>20</v>
      </c>
      <c r="B3580" s="6">
        <f t="shared" si="822"/>
        <v>2029</v>
      </c>
      <c r="C3580" s="1" t="s">
        <v>28</v>
      </c>
      <c r="D3580" s="2" t="s">
        <v>2003</v>
      </c>
      <c r="E3580" s="9" t="str">
        <f t="shared" si="819"/>
        <v>PRB'!</v>
      </c>
      <c r="F3580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80" s="6" t="s">
        <v>112</v>
      </c>
      <c r="H3580" s="1">
        <f t="shared" si="821"/>
        <v>42</v>
      </c>
      <c r="I3580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PRB'!$BB$42</v>
      </c>
      <c r="J3580" s="1" t="s">
        <v>3601</v>
      </c>
    </row>
    <row r="3581" spans="1:10" x14ac:dyDescent="0.35">
      <c r="A3581" s="6" t="s">
        <v>20</v>
      </c>
      <c r="B3581" s="6">
        <f t="shared" si="822"/>
        <v>2030</v>
      </c>
      <c r="C3581" s="1" t="s">
        <v>28</v>
      </c>
      <c r="D3581" s="2" t="s">
        <v>2003</v>
      </c>
      <c r="E3581" s="9" t="str">
        <f t="shared" si="819"/>
        <v>PRB'!</v>
      </c>
      <c r="F3581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81" s="6" t="s">
        <v>112</v>
      </c>
      <c r="H3581" s="1">
        <f t="shared" si="821"/>
        <v>43</v>
      </c>
      <c r="I3581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PRB'!$BB$43</v>
      </c>
      <c r="J3581" s="1" t="s">
        <v>3602</v>
      </c>
    </row>
    <row r="3582" spans="1:10" x14ac:dyDescent="0.35">
      <c r="A3582" s="6" t="s">
        <v>20</v>
      </c>
      <c r="B3582" s="6">
        <f t="shared" si="822"/>
        <v>2031</v>
      </c>
      <c r="C3582" s="1" t="s">
        <v>28</v>
      </c>
      <c r="D3582" s="2" t="s">
        <v>2003</v>
      </c>
      <c r="E3582" s="9" t="str">
        <f t="shared" si="819"/>
        <v>PRB'!</v>
      </c>
      <c r="F3582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82" s="6" t="s">
        <v>112</v>
      </c>
      <c r="H3582" s="1">
        <f t="shared" si="821"/>
        <v>44</v>
      </c>
      <c r="I3582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PRB'!$BB$44</v>
      </c>
      <c r="J3582" s="1" t="s">
        <v>3603</v>
      </c>
    </row>
    <row r="3583" spans="1:10" x14ac:dyDescent="0.35">
      <c r="A3583" s="6" t="s">
        <v>20</v>
      </c>
      <c r="B3583" s="6">
        <f t="shared" si="822"/>
        <v>2032</v>
      </c>
      <c r="C3583" s="1" t="s">
        <v>28</v>
      </c>
      <c r="D3583" s="2" t="s">
        <v>2003</v>
      </c>
      <c r="E3583" s="9" t="str">
        <f t="shared" si="819"/>
        <v>PRB'!</v>
      </c>
      <c r="F3583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83" s="6" t="s">
        <v>112</v>
      </c>
      <c r="H3583" s="1">
        <f t="shared" si="821"/>
        <v>45</v>
      </c>
      <c r="I3583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PRB'!$BB$45</v>
      </c>
      <c r="J3583" s="1" t="s">
        <v>3604</v>
      </c>
    </row>
    <row r="3584" spans="1:10" x14ac:dyDescent="0.35">
      <c r="A3584" s="6" t="s">
        <v>20</v>
      </c>
      <c r="B3584" s="6">
        <f t="shared" si="822"/>
        <v>2033</v>
      </c>
      <c r="C3584" s="1" t="s">
        <v>28</v>
      </c>
      <c r="D3584" s="2" t="s">
        <v>2003</v>
      </c>
      <c r="E3584" s="9" t="str">
        <f t="shared" si="819"/>
        <v>PRB'!</v>
      </c>
      <c r="F3584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84" s="6" t="s">
        <v>112</v>
      </c>
      <c r="H3584" s="1">
        <f t="shared" si="821"/>
        <v>46</v>
      </c>
      <c r="I3584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PRB'!$BB$46</v>
      </c>
      <c r="J3584" s="1" t="s">
        <v>3605</v>
      </c>
    </row>
    <row r="3585" spans="1:10" x14ac:dyDescent="0.35">
      <c r="A3585" s="6" t="s">
        <v>20</v>
      </c>
      <c r="B3585" s="6">
        <f t="shared" si="822"/>
        <v>2034</v>
      </c>
      <c r="C3585" s="1" t="s">
        <v>28</v>
      </c>
      <c r="D3585" s="2" t="s">
        <v>2003</v>
      </c>
      <c r="E3585" s="9" t="str">
        <f t="shared" si="819"/>
        <v>PRB'!</v>
      </c>
      <c r="F3585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85" s="6" t="s">
        <v>112</v>
      </c>
      <c r="H3585" s="1">
        <f t="shared" si="821"/>
        <v>47</v>
      </c>
      <c r="I3585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PRB'!$BB$47</v>
      </c>
      <c r="J3585" s="1" t="s">
        <v>3606</v>
      </c>
    </row>
    <row r="3586" spans="1:10" x14ac:dyDescent="0.35">
      <c r="A3586" s="6" t="s">
        <v>20</v>
      </c>
      <c r="B3586" s="6">
        <f t="shared" si="822"/>
        <v>2035</v>
      </c>
      <c r="C3586" s="1" t="s">
        <v>28</v>
      </c>
      <c r="D3586" s="2" t="s">
        <v>2003</v>
      </c>
      <c r="E3586" s="9" t="str">
        <f t="shared" si="819"/>
        <v>PRB'!</v>
      </c>
      <c r="F3586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86" s="6" t="s">
        <v>112</v>
      </c>
      <c r="H3586" s="1">
        <f t="shared" si="821"/>
        <v>48</v>
      </c>
      <c r="I3586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PRB'!$BB$48</v>
      </c>
      <c r="J3586" s="1" t="s">
        <v>3607</v>
      </c>
    </row>
    <row r="3587" spans="1:10" x14ac:dyDescent="0.35">
      <c r="A3587" s="6" t="s">
        <v>20</v>
      </c>
      <c r="B3587" s="6">
        <f t="shared" si="822"/>
        <v>2036</v>
      </c>
      <c r="C3587" s="1" t="s">
        <v>28</v>
      </c>
      <c r="D3587" s="2" t="s">
        <v>2003</v>
      </c>
      <c r="E3587" s="9" t="str">
        <f t="shared" si="819"/>
        <v>PRB'!</v>
      </c>
      <c r="F3587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87" s="6" t="s">
        <v>112</v>
      </c>
      <c r="H3587" s="1">
        <f t="shared" si="821"/>
        <v>49</v>
      </c>
      <c r="I3587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PRB'!$BB$49</v>
      </c>
      <c r="J3587" s="1" t="s">
        <v>3608</v>
      </c>
    </row>
    <row r="3588" spans="1:10" x14ac:dyDescent="0.35">
      <c r="A3588" s="6" t="s">
        <v>20</v>
      </c>
      <c r="B3588" s="6">
        <f>+B3587+1</f>
        <v>2037</v>
      </c>
      <c r="C3588" s="1" t="s">
        <v>28</v>
      </c>
      <c r="D3588" s="2" t="s">
        <v>2003</v>
      </c>
      <c r="E3588" s="9" t="str">
        <f t="shared" si="819"/>
        <v>PRB'!</v>
      </c>
      <c r="F3588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88" s="6" t="s">
        <v>112</v>
      </c>
      <c r="H3588" s="1">
        <f t="shared" si="821"/>
        <v>50</v>
      </c>
      <c r="I3588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PRB'!$BB$50</v>
      </c>
      <c r="J3588" s="1" t="s">
        <v>3609</v>
      </c>
    </row>
    <row r="3589" spans="1:10" x14ac:dyDescent="0.35">
      <c r="A3589" s="6" t="s">
        <v>20</v>
      </c>
      <c r="B3589" s="6">
        <f t="shared" ref="B3589:B3591" si="823">+B3588+1</f>
        <v>2038</v>
      </c>
      <c r="C3589" s="1" t="s">
        <v>28</v>
      </c>
      <c r="D3589" s="2" t="s">
        <v>2003</v>
      </c>
      <c r="E3589" s="9" t="str">
        <f t="shared" si="819"/>
        <v>PRB'!</v>
      </c>
      <c r="F3589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89" s="6" t="s">
        <v>112</v>
      </c>
      <c r="H3589" s="1">
        <f t="shared" si="821"/>
        <v>51</v>
      </c>
      <c r="I3589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PRB'!$BB$51</v>
      </c>
      <c r="J3589" s="1" t="s">
        <v>3610</v>
      </c>
    </row>
    <row r="3590" spans="1:10" x14ac:dyDescent="0.35">
      <c r="A3590" s="6" t="s">
        <v>20</v>
      </c>
      <c r="B3590" s="6">
        <f t="shared" si="823"/>
        <v>2039</v>
      </c>
      <c r="C3590" s="1" t="s">
        <v>28</v>
      </c>
      <c r="D3590" s="2" t="s">
        <v>2003</v>
      </c>
      <c r="E3590" s="9" t="str">
        <f t="shared" si="819"/>
        <v>PRB'!</v>
      </c>
      <c r="F3590" s="5" t="str">
        <f t="shared" ref="F3590:F3594" si="824">_xlfn.CONCAT(D3590," ",E3590)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90" s="6" t="s">
        <v>112</v>
      </c>
      <c r="H3590" s="1">
        <f t="shared" si="821"/>
        <v>52</v>
      </c>
      <c r="I3590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PRB'!$BB$52</v>
      </c>
      <c r="J3590" s="1" t="s">
        <v>3611</v>
      </c>
    </row>
    <row r="3591" spans="1:10" x14ac:dyDescent="0.35">
      <c r="A3591" s="6" t="s">
        <v>20</v>
      </c>
      <c r="B3591" s="6">
        <f t="shared" si="823"/>
        <v>2040</v>
      </c>
      <c r="C3591" s="1" t="s">
        <v>28</v>
      </c>
      <c r="D3591" s="2" t="s">
        <v>2003</v>
      </c>
      <c r="E3591" s="9" t="str">
        <f t="shared" si="819"/>
        <v>PRB'!</v>
      </c>
      <c r="F3591" s="5" t="str">
        <f t="shared" si="82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91" s="6" t="s">
        <v>112</v>
      </c>
      <c r="H3591" s="1">
        <f t="shared" si="821"/>
        <v>53</v>
      </c>
      <c r="I3591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PRB'!$BB$53</v>
      </c>
      <c r="J3591" s="1" t="s">
        <v>3612</v>
      </c>
    </row>
    <row r="3592" spans="1:10" x14ac:dyDescent="0.35">
      <c r="A3592" s="6" t="s">
        <v>20</v>
      </c>
      <c r="B3592" s="6">
        <f>+B3591+1</f>
        <v>2041</v>
      </c>
      <c r="C3592" s="1" t="s">
        <v>28</v>
      </c>
      <c r="D3592" s="2" t="s">
        <v>2003</v>
      </c>
      <c r="E3592" s="9" t="str">
        <f t="shared" si="819"/>
        <v>PRB'!</v>
      </c>
      <c r="F3592" s="5" t="str">
        <f t="shared" si="82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92" s="6" t="s">
        <v>112</v>
      </c>
      <c r="H3592" s="1">
        <f t="shared" si="821"/>
        <v>54</v>
      </c>
      <c r="I3592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PRB'!$BB$54</v>
      </c>
      <c r="J3592" s="1" t="s">
        <v>3613</v>
      </c>
    </row>
    <row r="3593" spans="1:10" x14ac:dyDescent="0.35">
      <c r="A3593" s="6" t="s">
        <v>20</v>
      </c>
      <c r="B3593" s="6">
        <f t="shared" ref="B3593:B3594" si="825">+B3592+1</f>
        <v>2042</v>
      </c>
      <c r="C3593" s="1" t="s">
        <v>28</v>
      </c>
      <c r="D3593" s="2" t="s">
        <v>2003</v>
      </c>
      <c r="E3593" s="9" t="str">
        <f t="shared" si="819"/>
        <v>PRB'!</v>
      </c>
      <c r="F3593" s="5" t="str">
        <f t="shared" si="82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93" s="6" t="s">
        <v>112</v>
      </c>
      <c r="H3593" s="1">
        <f t="shared" si="821"/>
        <v>55</v>
      </c>
      <c r="I3593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PRB'!$BB$55</v>
      </c>
      <c r="J3593" s="1" t="s">
        <v>3614</v>
      </c>
    </row>
    <row r="3594" spans="1:10" x14ac:dyDescent="0.35">
      <c r="A3594" s="6" t="s">
        <v>20</v>
      </c>
      <c r="B3594" s="6">
        <f t="shared" si="825"/>
        <v>2043</v>
      </c>
      <c r="C3594" s="1" t="s">
        <v>28</v>
      </c>
      <c r="D3594" s="2" t="s">
        <v>2003</v>
      </c>
      <c r="E3594" s="9" t="str">
        <f t="shared" si="819"/>
        <v>PRB'!</v>
      </c>
      <c r="F3594" s="5" t="str">
        <f t="shared" si="82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94" s="6" t="s">
        <v>112</v>
      </c>
      <c r="H3594" s="1">
        <f t="shared" si="821"/>
        <v>56</v>
      </c>
      <c r="I3594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PRB'!$BB$56</v>
      </c>
      <c r="J3594" s="1" t="s">
        <v>3615</v>
      </c>
    </row>
    <row r="3595" spans="1:10" x14ac:dyDescent="0.35">
      <c r="A3595" s="6" t="s">
        <v>20</v>
      </c>
      <c r="B3595" s="6">
        <f>+B3594+1</f>
        <v>2044</v>
      </c>
      <c r="C3595" s="1" t="s">
        <v>28</v>
      </c>
      <c r="D3595" s="2" t="s">
        <v>2003</v>
      </c>
      <c r="E3595" s="9" t="str">
        <f t="shared" ref="E3595:E3610" si="826">_xlfn.CONCAT(A3595,"'!")</f>
        <v>PRB'!</v>
      </c>
      <c r="F3595" s="5" t="str">
        <f t="shared" ref="F3595:F3610" si="827">_xlfn.CONCAT(D3595," ",E3595)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95" s="6" t="s">
        <v>112</v>
      </c>
      <c r="H3595" s="1">
        <f t="shared" ref="H3595:H3610" si="828">IF(A3595&lt;&gt;A3594,36,H3594+1)</f>
        <v>57</v>
      </c>
      <c r="I3595" s="1" t="str">
        <f t="shared" ref="I3595:I3610" si="829">_xlfn.CONCAT("='",F3595:H3595)</f>
        <v>='C:\Users\jaime.benazar\Quorum Business Solutions\Ecopetrol Prometeo - Documents\Planning Space Implementation\3. Analysis &amp; Design\Design\FC22\DRR Jaime\Por presentar a ECP\Cantagallo\Cristalina\[VRC_CRISTALINA_CF_SEC_20221231.xlsx]CF PRB'!$BB$57</v>
      </c>
      <c r="J3595" s="1" t="s">
        <v>3616</v>
      </c>
    </row>
    <row r="3596" spans="1:10" x14ac:dyDescent="0.35">
      <c r="A3596" s="6" t="s">
        <v>20</v>
      </c>
      <c r="B3596" s="6">
        <f t="shared" ref="B3596:B3610" si="830">+B3595+1</f>
        <v>2045</v>
      </c>
      <c r="C3596" s="1" t="s">
        <v>28</v>
      </c>
      <c r="D3596" s="2" t="s">
        <v>2003</v>
      </c>
      <c r="E3596" s="9" t="str">
        <f t="shared" si="826"/>
        <v>PRB'!</v>
      </c>
      <c r="F3596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96" s="6" t="s">
        <v>112</v>
      </c>
      <c r="H3596" s="1">
        <f t="shared" si="828"/>
        <v>58</v>
      </c>
      <c r="I3596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PRB'!$BB$58</v>
      </c>
      <c r="J3596" s="1" t="s">
        <v>3617</v>
      </c>
    </row>
    <row r="3597" spans="1:10" x14ac:dyDescent="0.35">
      <c r="A3597" s="6" t="s">
        <v>20</v>
      </c>
      <c r="B3597" s="6">
        <f t="shared" si="830"/>
        <v>2046</v>
      </c>
      <c r="C3597" s="1" t="s">
        <v>28</v>
      </c>
      <c r="D3597" s="2" t="s">
        <v>2003</v>
      </c>
      <c r="E3597" s="9" t="str">
        <f t="shared" si="826"/>
        <v>PRB'!</v>
      </c>
      <c r="F3597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97" s="6" t="s">
        <v>112</v>
      </c>
      <c r="H3597" s="1">
        <f t="shared" si="828"/>
        <v>59</v>
      </c>
      <c r="I3597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PRB'!$BB$59</v>
      </c>
      <c r="J3597" s="1" t="s">
        <v>3618</v>
      </c>
    </row>
    <row r="3598" spans="1:10" x14ac:dyDescent="0.35">
      <c r="A3598" s="6" t="s">
        <v>20</v>
      </c>
      <c r="B3598" s="6">
        <f t="shared" si="830"/>
        <v>2047</v>
      </c>
      <c r="C3598" s="1" t="s">
        <v>28</v>
      </c>
      <c r="D3598" s="2" t="s">
        <v>2003</v>
      </c>
      <c r="E3598" s="9" t="str">
        <f t="shared" si="826"/>
        <v>PRB'!</v>
      </c>
      <c r="F3598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98" s="6" t="s">
        <v>112</v>
      </c>
      <c r="H3598" s="1">
        <f t="shared" si="828"/>
        <v>60</v>
      </c>
      <c r="I3598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PRB'!$BB$60</v>
      </c>
      <c r="J3598" s="1" t="s">
        <v>3619</v>
      </c>
    </row>
    <row r="3599" spans="1:10" x14ac:dyDescent="0.35">
      <c r="A3599" s="6" t="s">
        <v>20</v>
      </c>
      <c r="B3599" s="6">
        <f t="shared" si="830"/>
        <v>2048</v>
      </c>
      <c r="C3599" s="1" t="s">
        <v>28</v>
      </c>
      <c r="D3599" s="2" t="s">
        <v>2003</v>
      </c>
      <c r="E3599" s="9" t="str">
        <f t="shared" si="826"/>
        <v>PRB'!</v>
      </c>
      <c r="F3599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99" s="6" t="s">
        <v>112</v>
      </c>
      <c r="H3599" s="1">
        <f t="shared" si="828"/>
        <v>61</v>
      </c>
      <c r="I3599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PRB'!$BB$61</v>
      </c>
      <c r="J3599" s="1" t="s">
        <v>3620</v>
      </c>
    </row>
    <row r="3600" spans="1:10" x14ac:dyDescent="0.35">
      <c r="A3600" s="6" t="s">
        <v>20</v>
      </c>
      <c r="B3600" s="6">
        <f t="shared" si="830"/>
        <v>2049</v>
      </c>
      <c r="C3600" s="1" t="s">
        <v>28</v>
      </c>
      <c r="D3600" s="2" t="s">
        <v>2003</v>
      </c>
      <c r="E3600" s="9" t="str">
        <f t="shared" si="826"/>
        <v>PRB'!</v>
      </c>
      <c r="F3600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600" s="6" t="s">
        <v>112</v>
      </c>
      <c r="H3600" s="1">
        <f t="shared" si="828"/>
        <v>62</v>
      </c>
      <c r="I3600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PRB'!$BB$62</v>
      </c>
      <c r="J3600" s="1" t="s">
        <v>3621</v>
      </c>
    </row>
    <row r="3601" spans="1:10" x14ac:dyDescent="0.35">
      <c r="A3601" s="6" t="s">
        <v>20</v>
      </c>
      <c r="B3601" s="6">
        <f t="shared" si="830"/>
        <v>2050</v>
      </c>
      <c r="C3601" s="1" t="s">
        <v>28</v>
      </c>
      <c r="D3601" s="2" t="s">
        <v>2003</v>
      </c>
      <c r="E3601" s="9" t="str">
        <f t="shared" si="826"/>
        <v>PRB'!</v>
      </c>
      <c r="F3601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601" s="6" t="s">
        <v>112</v>
      </c>
      <c r="H3601" s="1">
        <f t="shared" si="828"/>
        <v>63</v>
      </c>
      <c r="I3601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PRB'!$BB$63</v>
      </c>
      <c r="J3601" s="1" t="s">
        <v>3622</v>
      </c>
    </row>
    <row r="3602" spans="1:10" x14ac:dyDescent="0.35">
      <c r="A3602" s="6" t="s">
        <v>20</v>
      </c>
      <c r="B3602" s="6">
        <f t="shared" si="830"/>
        <v>2051</v>
      </c>
      <c r="C3602" s="1" t="s">
        <v>28</v>
      </c>
      <c r="D3602" s="2" t="s">
        <v>2003</v>
      </c>
      <c r="E3602" s="9" t="str">
        <f t="shared" si="826"/>
        <v>PRB'!</v>
      </c>
      <c r="F3602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602" s="6" t="s">
        <v>112</v>
      </c>
      <c r="H3602" s="1">
        <f t="shared" si="828"/>
        <v>64</v>
      </c>
      <c r="I3602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PRB'!$BB$64</v>
      </c>
      <c r="J3602" s="1" t="s">
        <v>3623</v>
      </c>
    </row>
    <row r="3603" spans="1:10" x14ac:dyDescent="0.35">
      <c r="A3603" s="6" t="s">
        <v>20</v>
      </c>
      <c r="B3603" s="6">
        <f t="shared" si="830"/>
        <v>2052</v>
      </c>
      <c r="C3603" s="1" t="s">
        <v>28</v>
      </c>
      <c r="D3603" s="2" t="s">
        <v>2003</v>
      </c>
      <c r="E3603" s="9" t="str">
        <f t="shared" si="826"/>
        <v>PRB'!</v>
      </c>
      <c r="F3603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603" s="6" t="s">
        <v>112</v>
      </c>
      <c r="H3603" s="1">
        <f t="shared" si="828"/>
        <v>65</v>
      </c>
      <c r="I3603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PRB'!$BB$65</v>
      </c>
      <c r="J3603" s="1" t="s">
        <v>3624</v>
      </c>
    </row>
    <row r="3604" spans="1:10" x14ac:dyDescent="0.35">
      <c r="A3604" s="6" t="s">
        <v>20</v>
      </c>
      <c r="B3604" s="6">
        <f t="shared" si="830"/>
        <v>2053</v>
      </c>
      <c r="C3604" s="1" t="s">
        <v>28</v>
      </c>
      <c r="D3604" s="2" t="s">
        <v>2003</v>
      </c>
      <c r="E3604" s="9" t="str">
        <f t="shared" si="826"/>
        <v>PRB'!</v>
      </c>
      <c r="F3604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604" s="6" t="s">
        <v>112</v>
      </c>
      <c r="H3604" s="1">
        <f t="shared" si="828"/>
        <v>66</v>
      </c>
      <c r="I3604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PRB'!$BB$66</v>
      </c>
      <c r="J3604" s="1" t="s">
        <v>3625</v>
      </c>
    </row>
    <row r="3605" spans="1:10" x14ac:dyDescent="0.35">
      <c r="A3605" s="6" t="s">
        <v>20</v>
      </c>
      <c r="B3605" s="6">
        <f t="shared" si="830"/>
        <v>2054</v>
      </c>
      <c r="C3605" s="1" t="s">
        <v>28</v>
      </c>
      <c r="D3605" s="2" t="s">
        <v>2003</v>
      </c>
      <c r="E3605" s="9" t="str">
        <f t="shared" si="826"/>
        <v>PRB'!</v>
      </c>
      <c r="F3605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605" s="6" t="s">
        <v>112</v>
      </c>
      <c r="H3605" s="1">
        <f t="shared" si="828"/>
        <v>67</v>
      </c>
      <c r="I3605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PRB'!$BB$67</v>
      </c>
      <c r="J3605" s="1" t="s">
        <v>3626</v>
      </c>
    </row>
    <row r="3606" spans="1:10" x14ac:dyDescent="0.35">
      <c r="A3606" s="6" t="s">
        <v>20</v>
      </c>
      <c r="B3606" s="6">
        <f t="shared" si="830"/>
        <v>2055</v>
      </c>
      <c r="C3606" s="1" t="s">
        <v>28</v>
      </c>
      <c r="D3606" s="2" t="s">
        <v>2003</v>
      </c>
      <c r="E3606" s="9" t="str">
        <f t="shared" si="826"/>
        <v>PRB'!</v>
      </c>
      <c r="F3606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606" s="6" t="s">
        <v>112</v>
      </c>
      <c r="H3606" s="1">
        <f t="shared" si="828"/>
        <v>68</v>
      </c>
      <c r="I3606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PRB'!$BB$68</v>
      </c>
      <c r="J3606" s="1" t="s">
        <v>3627</v>
      </c>
    </row>
    <row r="3607" spans="1:10" x14ac:dyDescent="0.35">
      <c r="A3607" s="6" t="s">
        <v>20</v>
      </c>
      <c r="B3607" s="6">
        <f t="shared" si="830"/>
        <v>2056</v>
      </c>
      <c r="C3607" s="1" t="s">
        <v>28</v>
      </c>
      <c r="D3607" s="2" t="s">
        <v>2003</v>
      </c>
      <c r="E3607" s="9" t="str">
        <f t="shared" si="826"/>
        <v>PRB'!</v>
      </c>
      <c r="F3607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607" s="6" t="s">
        <v>112</v>
      </c>
      <c r="H3607" s="1">
        <f t="shared" si="828"/>
        <v>69</v>
      </c>
      <c r="I3607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PRB'!$BB$69</v>
      </c>
      <c r="J3607" s="1" t="s">
        <v>3628</v>
      </c>
    </row>
    <row r="3608" spans="1:10" x14ac:dyDescent="0.35">
      <c r="A3608" s="6" t="s">
        <v>20</v>
      </c>
      <c r="B3608" s="6">
        <f t="shared" si="830"/>
        <v>2057</v>
      </c>
      <c r="C3608" s="1" t="s">
        <v>28</v>
      </c>
      <c r="D3608" s="2" t="s">
        <v>2003</v>
      </c>
      <c r="E3608" s="9" t="str">
        <f t="shared" si="826"/>
        <v>PRB'!</v>
      </c>
      <c r="F3608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608" s="6" t="s">
        <v>112</v>
      </c>
      <c r="H3608" s="1">
        <f t="shared" si="828"/>
        <v>70</v>
      </c>
      <c r="I3608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PRB'!$BB$70</v>
      </c>
      <c r="J3608" s="1" t="s">
        <v>3629</v>
      </c>
    </row>
    <row r="3609" spans="1:10" x14ac:dyDescent="0.35">
      <c r="A3609" s="6" t="s">
        <v>20</v>
      </c>
      <c r="B3609" s="6">
        <f t="shared" si="830"/>
        <v>2058</v>
      </c>
      <c r="C3609" s="1" t="s">
        <v>28</v>
      </c>
      <c r="D3609" s="2" t="s">
        <v>2003</v>
      </c>
      <c r="E3609" s="9" t="str">
        <f t="shared" si="826"/>
        <v>PRB'!</v>
      </c>
      <c r="F3609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609" s="6" t="s">
        <v>112</v>
      </c>
      <c r="H3609" s="1">
        <f t="shared" si="828"/>
        <v>71</v>
      </c>
      <c r="I3609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PRB'!$BB$71</v>
      </c>
      <c r="J3609" s="1" t="s">
        <v>3630</v>
      </c>
    </row>
    <row r="3610" spans="1:10" x14ac:dyDescent="0.35">
      <c r="A3610" s="6" t="s">
        <v>20</v>
      </c>
      <c r="B3610" s="6">
        <f t="shared" si="830"/>
        <v>2059</v>
      </c>
      <c r="C3610" s="1" t="s">
        <v>28</v>
      </c>
      <c r="D3610" s="2" t="s">
        <v>2003</v>
      </c>
      <c r="E3610" s="9" t="str">
        <f t="shared" si="826"/>
        <v>PRB'!</v>
      </c>
      <c r="F3610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610" s="6" t="s">
        <v>112</v>
      </c>
      <c r="H3610" s="1">
        <f t="shared" si="828"/>
        <v>72</v>
      </c>
      <c r="I3610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PRB'!$BB$72</v>
      </c>
      <c r="J3610" s="1" t="s">
        <v>3631</v>
      </c>
    </row>
    <row r="3611" spans="1:10" x14ac:dyDescent="0.35">
      <c r="A3611" s="6" t="s">
        <v>26</v>
      </c>
      <c r="B3611" s="6"/>
      <c r="C3611" s="1" t="s">
        <v>28</v>
      </c>
      <c r="D3611" s="2"/>
      <c r="E3611" s="9"/>
      <c r="F3611" s="2"/>
      <c r="G3611" s="6"/>
      <c r="H3611" s="1"/>
      <c r="I3611" s="1"/>
      <c r="J3611" s="4"/>
    </row>
    <row r="3612" spans="1:10" x14ac:dyDescent="0.35">
      <c r="A3612" s="6" t="s">
        <v>21</v>
      </c>
      <c r="B3612" s="6">
        <v>2023</v>
      </c>
      <c r="C3612" s="1" t="s">
        <v>28</v>
      </c>
      <c r="D3612" s="2" t="s">
        <v>2003</v>
      </c>
      <c r="E3612" s="9" t="str">
        <f t="shared" ref="E3612:E3632" si="831">_xlfn.CONCAT(A3612,"'!")</f>
        <v>PSDP'!</v>
      </c>
      <c r="F3612" s="5" t="str">
        <f t="shared" ref="F3612:F3670" si="832">_xlfn.CONCAT(D3612," ",E3612)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12" s="6" t="s">
        <v>112</v>
      </c>
      <c r="H3612" s="1"/>
      <c r="I3612" s="1"/>
      <c r="J3612" s="1"/>
    </row>
    <row r="3613" spans="1:10" x14ac:dyDescent="0.35">
      <c r="A3613" s="6" t="s">
        <v>21</v>
      </c>
      <c r="B3613" s="6">
        <f>+B3612+1</f>
        <v>2024</v>
      </c>
      <c r="C3613" s="1" t="s">
        <v>28</v>
      </c>
      <c r="D3613" s="2" t="s">
        <v>2003</v>
      </c>
      <c r="E3613" s="9" t="str">
        <f t="shared" si="831"/>
        <v>PSDP'!</v>
      </c>
      <c r="F3613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13" s="6" t="s">
        <v>112</v>
      </c>
      <c r="H3613" s="1"/>
      <c r="I3613" s="1"/>
      <c r="J3613" s="1"/>
    </row>
    <row r="3614" spans="1:10" x14ac:dyDescent="0.35">
      <c r="A3614" s="6" t="s">
        <v>21</v>
      </c>
      <c r="B3614" s="6">
        <f t="shared" ref="B3614:B3625" si="833">+B3613+1</f>
        <v>2025</v>
      </c>
      <c r="C3614" s="1" t="s">
        <v>28</v>
      </c>
      <c r="D3614" s="2" t="s">
        <v>2003</v>
      </c>
      <c r="E3614" s="9" t="str">
        <f t="shared" si="831"/>
        <v>PSDP'!</v>
      </c>
      <c r="F3614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14" s="6" t="s">
        <v>112</v>
      </c>
      <c r="H3614" s="1"/>
      <c r="I3614" s="1"/>
      <c r="J3614" s="1"/>
    </row>
    <row r="3615" spans="1:10" x14ac:dyDescent="0.35">
      <c r="A3615" s="6" t="s">
        <v>21</v>
      </c>
      <c r="B3615" s="6">
        <f t="shared" si="833"/>
        <v>2026</v>
      </c>
      <c r="C3615" s="1" t="s">
        <v>28</v>
      </c>
      <c r="D3615" s="2" t="s">
        <v>2003</v>
      </c>
      <c r="E3615" s="9" t="str">
        <f t="shared" si="831"/>
        <v>PSDP'!</v>
      </c>
      <c r="F3615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15" s="6" t="s">
        <v>112</v>
      </c>
      <c r="H3615" s="1"/>
      <c r="I3615" s="1"/>
      <c r="J3615" s="1"/>
    </row>
    <row r="3616" spans="1:10" x14ac:dyDescent="0.35">
      <c r="A3616" s="6" t="s">
        <v>21</v>
      </c>
      <c r="B3616" s="6">
        <f t="shared" si="833"/>
        <v>2027</v>
      </c>
      <c r="C3616" s="1" t="s">
        <v>28</v>
      </c>
      <c r="D3616" s="2" t="s">
        <v>2003</v>
      </c>
      <c r="E3616" s="9" t="str">
        <f t="shared" si="831"/>
        <v>PSDP'!</v>
      </c>
      <c r="F3616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16" s="6" t="s">
        <v>112</v>
      </c>
      <c r="H3616" s="1"/>
      <c r="I3616" s="1"/>
      <c r="J3616" s="1"/>
    </row>
    <row r="3617" spans="1:10" x14ac:dyDescent="0.35">
      <c r="A3617" s="6" t="s">
        <v>21</v>
      </c>
      <c r="B3617" s="6">
        <f t="shared" si="833"/>
        <v>2028</v>
      </c>
      <c r="C3617" s="1" t="s">
        <v>28</v>
      </c>
      <c r="D3617" s="2" t="s">
        <v>2003</v>
      </c>
      <c r="E3617" s="9" t="str">
        <f t="shared" si="831"/>
        <v>PSDP'!</v>
      </c>
      <c r="F3617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17" s="6" t="s">
        <v>112</v>
      </c>
      <c r="H3617" s="1"/>
      <c r="I3617" s="1"/>
      <c r="J3617" s="1"/>
    </row>
    <row r="3618" spans="1:10" x14ac:dyDescent="0.35">
      <c r="A3618" s="6" t="s">
        <v>21</v>
      </c>
      <c r="B3618" s="6">
        <f t="shared" si="833"/>
        <v>2029</v>
      </c>
      <c r="C3618" s="1" t="s">
        <v>28</v>
      </c>
      <c r="D3618" s="2" t="s">
        <v>2003</v>
      </c>
      <c r="E3618" s="9" t="str">
        <f t="shared" si="831"/>
        <v>PSDP'!</v>
      </c>
      <c r="F3618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18" s="6" t="s">
        <v>112</v>
      </c>
      <c r="H3618" s="1"/>
      <c r="I3618" s="1"/>
      <c r="J3618" s="1"/>
    </row>
    <row r="3619" spans="1:10" x14ac:dyDescent="0.35">
      <c r="A3619" s="6" t="s">
        <v>21</v>
      </c>
      <c r="B3619" s="6">
        <f t="shared" si="833"/>
        <v>2030</v>
      </c>
      <c r="C3619" s="1" t="s">
        <v>28</v>
      </c>
      <c r="D3619" s="2" t="s">
        <v>2003</v>
      </c>
      <c r="E3619" s="9" t="str">
        <f t="shared" si="831"/>
        <v>PSDP'!</v>
      </c>
      <c r="F3619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19" s="6" t="s">
        <v>112</v>
      </c>
      <c r="H3619" s="1"/>
      <c r="I3619" s="1"/>
      <c r="J3619" s="1"/>
    </row>
    <row r="3620" spans="1:10" x14ac:dyDescent="0.35">
      <c r="A3620" s="6" t="s">
        <v>21</v>
      </c>
      <c r="B3620" s="6">
        <f t="shared" si="833"/>
        <v>2031</v>
      </c>
      <c r="C3620" s="1" t="s">
        <v>28</v>
      </c>
      <c r="D3620" s="2" t="s">
        <v>2003</v>
      </c>
      <c r="E3620" s="9" t="str">
        <f t="shared" si="831"/>
        <v>PSDP'!</v>
      </c>
      <c r="F3620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20" s="6" t="s">
        <v>112</v>
      </c>
      <c r="H3620" s="1"/>
      <c r="I3620" s="1"/>
      <c r="J3620" s="1"/>
    </row>
    <row r="3621" spans="1:10" x14ac:dyDescent="0.35">
      <c r="A3621" s="6" t="s">
        <v>21</v>
      </c>
      <c r="B3621" s="6">
        <f t="shared" si="833"/>
        <v>2032</v>
      </c>
      <c r="C3621" s="1" t="s">
        <v>28</v>
      </c>
      <c r="D3621" s="2" t="s">
        <v>2003</v>
      </c>
      <c r="E3621" s="9" t="str">
        <f t="shared" si="831"/>
        <v>PSDP'!</v>
      </c>
      <c r="F3621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21" s="6" t="s">
        <v>112</v>
      </c>
      <c r="H3621" s="1"/>
      <c r="I3621" s="1"/>
      <c r="J3621" s="1"/>
    </row>
    <row r="3622" spans="1:10" x14ac:dyDescent="0.35">
      <c r="A3622" s="6" t="s">
        <v>21</v>
      </c>
      <c r="B3622" s="6">
        <f t="shared" si="833"/>
        <v>2033</v>
      </c>
      <c r="C3622" s="1" t="s">
        <v>28</v>
      </c>
      <c r="D3622" s="2" t="s">
        <v>2003</v>
      </c>
      <c r="E3622" s="9" t="str">
        <f t="shared" si="831"/>
        <v>PSDP'!</v>
      </c>
      <c r="F3622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22" s="6" t="s">
        <v>112</v>
      </c>
      <c r="H3622" s="1"/>
      <c r="I3622" s="1"/>
      <c r="J3622" s="1"/>
    </row>
    <row r="3623" spans="1:10" x14ac:dyDescent="0.35">
      <c r="A3623" s="6" t="s">
        <v>21</v>
      </c>
      <c r="B3623" s="6">
        <f t="shared" si="833"/>
        <v>2034</v>
      </c>
      <c r="C3623" s="1" t="s">
        <v>28</v>
      </c>
      <c r="D3623" s="2" t="s">
        <v>2003</v>
      </c>
      <c r="E3623" s="9" t="str">
        <f t="shared" si="831"/>
        <v>PSDP'!</v>
      </c>
      <c r="F3623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23" s="6" t="s">
        <v>112</v>
      </c>
      <c r="H3623" s="1"/>
      <c r="I3623" s="1"/>
      <c r="J3623" s="1"/>
    </row>
    <row r="3624" spans="1:10" x14ac:dyDescent="0.35">
      <c r="A3624" s="6" t="s">
        <v>21</v>
      </c>
      <c r="B3624" s="6">
        <f t="shared" si="833"/>
        <v>2035</v>
      </c>
      <c r="C3624" s="1" t="s">
        <v>28</v>
      </c>
      <c r="D3624" s="2" t="s">
        <v>2003</v>
      </c>
      <c r="E3624" s="9" t="str">
        <f t="shared" si="831"/>
        <v>PSDP'!</v>
      </c>
      <c r="F3624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24" s="6" t="s">
        <v>112</v>
      </c>
      <c r="H3624" s="1"/>
      <c r="I3624" s="1"/>
      <c r="J3624" s="1"/>
    </row>
    <row r="3625" spans="1:10" x14ac:dyDescent="0.35">
      <c r="A3625" s="6" t="s">
        <v>21</v>
      </c>
      <c r="B3625" s="6">
        <f t="shared" si="833"/>
        <v>2036</v>
      </c>
      <c r="C3625" s="1" t="s">
        <v>28</v>
      </c>
      <c r="D3625" s="2" t="s">
        <v>2003</v>
      </c>
      <c r="E3625" s="9" t="str">
        <f t="shared" si="831"/>
        <v>PSDP'!</v>
      </c>
      <c r="F3625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25" s="6" t="s">
        <v>112</v>
      </c>
      <c r="H3625" s="1"/>
      <c r="I3625" s="1"/>
      <c r="J3625" s="1"/>
    </row>
    <row r="3626" spans="1:10" x14ac:dyDescent="0.35">
      <c r="A3626" s="6" t="s">
        <v>21</v>
      </c>
      <c r="B3626" s="6">
        <f>+B3625+1</f>
        <v>2037</v>
      </c>
      <c r="C3626" s="1" t="s">
        <v>28</v>
      </c>
      <c r="D3626" s="2" t="s">
        <v>2003</v>
      </c>
      <c r="E3626" s="9" t="str">
        <f t="shared" si="831"/>
        <v>PSDP'!</v>
      </c>
      <c r="F3626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26" s="6" t="s">
        <v>112</v>
      </c>
      <c r="H3626" s="1"/>
      <c r="I3626" s="1"/>
      <c r="J3626" s="1"/>
    </row>
    <row r="3627" spans="1:10" x14ac:dyDescent="0.35">
      <c r="A3627" s="6" t="s">
        <v>21</v>
      </c>
      <c r="B3627" s="6">
        <f t="shared" ref="B3627:B3629" si="834">+B3626+1</f>
        <v>2038</v>
      </c>
      <c r="C3627" s="1" t="s">
        <v>28</v>
      </c>
      <c r="D3627" s="2" t="s">
        <v>2003</v>
      </c>
      <c r="E3627" s="9" t="str">
        <f t="shared" si="831"/>
        <v>PSDP'!</v>
      </c>
      <c r="F3627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27" s="6" t="s">
        <v>112</v>
      </c>
      <c r="H3627" s="1"/>
      <c r="I3627" s="1"/>
      <c r="J3627" s="1"/>
    </row>
    <row r="3628" spans="1:10" x14ac:dyDescent="0.35">
      <c r="A3628" s="6" t="s">
        <v>21</v>
      </c>
      <c r="B3628" s="6">
        <f t="shared" si="834"/>
        <v>2039</v>
      </c>
      <c r="C3628" s="1" t="s">
        <v>28</v>
      </c>
      <c r="D3628" s="2" t="s">
        <v>2003</v>
      </c>
      <c r="E3628" s="9" t="str">
        <f t="shared" si="831"/>
        <v>PSDP'!</v>
      </c>
      <c r="F3628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28" s="6" t="s">
        <v>112</v>
      </c>
      <c r="H3628" s="1"/>
      <c r="I3628" s="1"/>
      <c r="J3628" s="1"/>
    </row>
    <row r="3629" spans="1:10" x14ac:dyDescent="0.35">
      <c r="A3629" s="6" t="s">
        <v>21</v>
      </c>
      <c r="B3629" s="6">
        <f t="shared" si="834"/>
        <v>2040</v>
      </c>
      <c r="C3629" s="1" t="s">
        <v>28</v>
      </c>
      <c r="D3629" s="2" t="s">
        <v>2003</v>
      </c>
      <c r="E3629" s="9" t="str">
        <f t="shared" si="831"/>
        <v>PSDP'!</v>
      </c>
      <c r="F3629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29" s="6" t="s">
        <v>112</v>
      </c>
      <c r="H3629" s="1"/>
      <c r="I3629" s="1"/>
      <c r="J3629" s="1"/>
    </row>
    <row r="3630" spans="1:10" x14ac:dyDescent="0.35">
      <c r="A3630" s="6" t="s">
        <v>21</v>
      </c>
      <c r="B3630" s="6">
        <f>+B3629+1</f>
        <v>2041</v>
      </c>
      <c r="C3630" s="1" t="s">
        <v>28</v>
      </c>
      <c r="D3630" s="2" t="s">
        <v>2003</v>
      </c>
      <c r="E3630" s="9" t="str">
        <f t="shared" si="831"/>
        <v>PSDP'!</v>
      </c>
      <c r="F3630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30" s="6" t="s">
        <v>112</v>
      </c>
      <c r="H3630" s="1"/>
      <c r="I3630" s="1"/>
      <c r="J3630" s="1"/>
    </row>
    <row r="3631" spans="1:10" x14ac:dyDescent="0.35">
      <c r="A3631" s="6" t="s">
        <v>21</v>
      </c>
      <c r="B3631" s="6">
        <f t="shared" ref="B3631:B3632" si="835">+B3630+1</f>
        <v>2042</v>
      </c>
      <c r="C3631" s="1" t="s">
        <v>28</v>
      </c>
      <c r="D3631" s="2" t="s">
        <v>2003</v>
      </c>
      <c r="E3631" s="9" t="str">
        <f t="shared" si="831"/>
        <v>PSDP'!</v>
      </c>
      <c r="F3631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31" s="6" t="s">
        <v>112</v>
      </c>
      <c r="H3631" s="1"/>
      <c r="I3631" s="1"/>
      <c r="J3631" s="1"/>
    </row>
    <row r="3632" spans="1:10" x14ac:dyDescent="0.35">
      <c r="A3632" s="6" t="s">
        <v>21</v>
      </c>
      <c r="B3632" s="6">
        <f t="shared" si="835"/>
        <v>2043</v>
      </c>
      <c r="C3632" s="1" t="s">
        <v>28</v>
      </c>
      <c r="D3632" s="2" t="s">
        <v>2003</v>
      </c>
      <c r="E3632" s="9" t="str">
        <f t="shared" si="831"/>
        <v>PSDP'!</v>
      </c>
      <c r="F3632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32" s="6" t="s">
        <v>112</v>
      </c>
      <c r="H3632" s="1"/>
      <c r="I3632" s="1"/>
      <c r="J3632" s="1"/>
    </row>
    <row r="3633" spans="1:10" x14ac:dyDescent="0.35">
      <c r="A3633" s="6" t="s">
        <v>21</v>
      </c>
      <c r="B3633" s="6">
        <f>+B3632+1</f>
        <v>2044</v>
      </c>
      <c r="C3633" s="1" t="s">
        <v>28</v>
      </c>
      <c r="D3633" s="2" t="s">
        <v>2003</v>
      </c>
      <c r="E3633" s="9" t="str">
        <f t="shared" ref="E3633:E3648" si="836">_xlfn.CONCAT(A3633,"'!")</f>
        <v>PSDP'!</v>
      </c>
      <c r="F3633" s="5" t="str">
        <f t="shared" ref="F3633:F3648" si="837">_xlfn.CONCAT(D3633," ",E3633)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33" s="6" t="s">
        <v>112</v>
      </c>
      <c r="H3633" s="1"/>
      <c r="I3633" s="1"/>
      <c r="J3633" s="1"/>
    </row>
    <row r="3634" spans="1:10" x14ac:dyDescent="0.35">
      <c r="A3634" s="6" t="s">
        <v>21</v>
      </c>
      <c r="B3634" s="6">
        <f t="shared" ref="B3634:B3648" si="838">+B3633+1</f>
        <v>2045</v>
      </c>
      <c r="C3634" s="1" t="s">
        <v>28</v>
      </c>
      <c r="D3634" s="2" t="s">
        <v>2003</v>
      </c>
      <c r="E3634" s="9" t="str">
        <f t="shared" si="836"/>
        <v>PSDP'!</v>
      </c>
      <c r="F3634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34" s="6" t="s">
        <v>112</v>
      </c>
      <c r="H3634" s="1"/>
      <c r="I3634" s="1"/>
      <c r="J3634" s="1"/>
    </row>
    <row r="3635" spans="1:10" x14ac:dyDescent="0.35">
      <c r="A3635" s="6" t="s">
        <v>21</v>
      </c>
      <c r="B3635" s="6">
        <f t="shared" si="838"/>
        <v>2046</v>
      </c>
      <c r="C3635" s="1" t="s">
        <v>28</v>
      </c>
      <c r="D3635" s="2" t="s">
        <v>2003</v>
      </c>
      <c r="E3635" s="9" t="str">
        <f t="shared" si="836"/>
        <v>PSDP'!</v>
      </c>
      <c r="F3635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35" s="6" t="s">
        <v>112</v>
      </c>
      <c r="H3635" s="1"/>
      <c r="I3635" s="1"/>
      <c r="J3635" s="1"/>
    </row>
    <row r="3636" spans="1:10" x14ac:dyDescent="0.35">
      <c r="A3636" s="6" t="s">
        <v>21</v>
      </c>
      <c r="B3636" s="6">
        <f t="shared" si="838"/>
        <v>2047</v>
      </c>
      <c r="C3636" s="1" t="s">
        <v>28</v>
      </c>
      <c r="D3636" s="2" t="s">
        <v>2003</v>
      </c>
      <c r="E3636" s="9" t="str">
        <f t="shared" si="836"/>
        <v>PSDP'!</v>
      </c>
      <c r="F3636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36" s="6" t="s">
        <v>112</v>
      </c>
      <c r="H3636" s="1"/>
      <c r="I3636" s="1"/>
      <c r="J3636" s="1"/>
    </row>
    <row r="3637" spans="1:10" x14ac:dyDescent="0.35">
      <c r="A3637" s="6" t="s">
        <v>21</v>
      </c>
      <c r="B3637" s="6">
        <f t="shared" si="838"/>
        <v>2048</v>
      </c>
      <c r="C3637" s="1" t="s">
        <v>28</v>
      </c>
      <c r="D3637" s="2" t="s">
        <v>2003</v>
      </c>
      <c r="E3637" s="9" t="str">
        <f t="shared" si="836"/>
        <v>PSDP'!</v>
      </c>
      <c r="F3637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37" s="6" t="s">
        <v>112</v>
      </c>
      <c r="H3637" s="1"/>
      <c r="I3637" s="1"/>
      <c r="J3637" s="1"/>
    </row>
    <row r="3638" spans="1:10" x14ac:dyDescent="0.35">
      <c r="A3638" s="6" t="s">
        <v>21</v>
      </c>
      <c r="B3638" s="6">
        <f t="shared" si="838"/>
        <v>2049</v>
      </c>
      <c r="C3638" s="1" t="s">
        <v>28</v>
      </c>
      <c r="D3638" s="2" t="s">
        <v>2003</v>
      </c>
      <c r="E3638" s="9" t="str">
        <f t="shared" si="836"/>
        <v>PSDP'!</v>
      </c>
      <c r="F3638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38" s="6" t="s">
        <v>112</v>
      </c>
      <c r="H3638" s="1"/>
      <c r="I3638" s="1"/>
      <c r="J3638" s="1"/>
    </row>
    <row r="3639" spans="1:10" x14ac:dyDescent="0.35">
      <c r="A3639" s="6" t="s">
        <v>21</v>
      </c>
      <c r="B3639" s="6">
        <f t="shared" si="838"/>
        <v>2050</v>
      </c>
      <c r="C3639" s="1" t="s">
        <v>28</v>
      </c>
      <c r="D3639" s="2" t="s">
        <v>2003</v>
      </c>
      <c r="E3639" s="9" t="str">
        <f t="shared" si="836"/>
        <v>PSDP'!</v>
      </c>
      <c r="F3639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39" s="6" t="s">
        <v>112</v>
      </c>
      <c r="H3639" s="1"/>
      <c r="I3639" s="1"/>
      <c r="J3639" s="1"/>
    </row>
    <row r="3640" spans="1:10" x14ac:dyDescent="0.35">
      <c r="A3640" s="6" t="s">
        <v>21</v>
      </c>
      <c r="B3640" s="6">
        <f t="shared" si="838"/>
        <v>2051</v>
      </c>
      <c r="C3640" s="1" t="s">
        <v>28</v>
      </c>
      <c r="D3640" s="2" t="s">
        <v>2003</v>
      </c>
      <c r="E3640" s="9" t="str">
        <f t="shared" si="836"/>
        <v>PSDP'!</v>
      </c>
      <c r="F3640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40" s="6" t="s">
        <v>112</v>
      </c>
      <c r="H3640" s="1"/>
      <c r="I3640" s="1"/>
      <c r="J3640" s="1"/>
    </row>
    <row r="3641" spans="1:10" x14ac:dyDescent="0.35">
      <c r="A3641" s="6" t="s">
        <v>21</v>
      </c>
      <c r="B3641" s="6">
        <f t="shared" si="838"/>
        <v>2052</v>
      </c>
      <c r="C3641" s="1" t="s">
        <v>28</v>
      </c>
      <c r="D3641" s="2" t="s">
        <v>2003</v>
      </c>
      <c r="E3641" s="9" t="str">
        <f t="shared" si="836"/>
        <v>PSDP'!</v>
      </c>
      <c r="F3641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41" s="6" t="s">
        <v>112</v>
      </c>
      <c r="H3641" s="1"/>
      <c r="I3641" s="1"/>
      <c r="J3641" s="1"/>
    </row>
    <row r="3642" spans="1:10" x14ac:dyDescent="0.35">
      <c r="A3642" s="6" t="s">
        <v>21</v>
      </c>
      <c r="B3642" s="6">
        <f t="shared" si="838"/>
        <v>2053</v>
      </c>
      <c r="C3642" s="1" t="s">
        <v>28</v>
      </c>
      <c r="D3642" s="2" t="s">
        <v>2003</v>
      </c>
      <c r="E3642" s="9" t="str">
        <f t="shared" si="836"/>
        <v>PSDP'!</v>
      </c>
      <c r="F3642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42" s="6" t="s">
        <v>112</v>
      </c>
      <c r="H3642" s="1"/>
      <c r="I3642" s="1"/>
      <c r="J3642" s="1"/>
    </row>
    <row r="3643" spans="1:10" x14ac:dyDescent="0.35">
      <c r="A3643" s="6" t="s">
        <v>21</v>
      </c>
      <c r="B3643" s="6">
        <f t="shared" si="838"/>
        <v>2054</v>
      </c>
      <c r="C3643" s="1" t="s">
        <v>28</v>
      </c>
      <c r="D3643" s="2" t="s">
        <v>2003</v>
      </c>
      <c r="E3643" s="9" t="str">
        <f t="shared" si="836"/>
        <v>PSDP'!</v>
      </c>
      <c r="F3643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43" s="6" t="s">
        <v>112</v>
      </c>
      <c r="H3643" s="1"/>
      <c r="I3643" s="1"/>
      <c r="J3643" s="1"/>
    </row>
    <row r="3644" spans="1:10" x14ac:dyDescent="0.35">
      <c r="A3644" s="6" t="s">
        <v>21</v>
      </c>
      <c r="B3644" s="6">
        <f t="shared" si="838"/>
        <v>2055</v>
      </c>
      <c r="C3644" s="1" t="s">
        <v>28</v>
      </c>
      <c r="D3644" s="2" t="s">
        <v>2003</v>
      </c>
      <c r="E3644" s="9" t="str">
        <f t="shared" si="836"/>
        <v>PSDP'!</v>
      </c>
      <c r="F3644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44" s="6" t="s">
        <v>112</v>
      </c>
      <c r="H3644" s="1"/>
      <c r="I3644" s="1"/>
      <c r="J3644" s="1"/>
    </row>
    <row r="3645" spans="1:10" x14ac:dyDescent="0.35">
      <c r="A3645" s="6" t="s">
        <v>21</v>
      </c>
      <c r="B3645" s="6">
        <f t="shared" si="838"/>
        <v>2056</v>
      </c>
      <c r="C3645" s="1" t="s">
        <v>28</v>
      </c>
      <c r="D3645" s="2" t="s">
        <v>2003</v>
      </c>
      <c r="E3645" s="9" t="str">
        <f t="shared" si="836"/>
        <v>PSDP'!</v>
      </c>
      <c r="F3645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45" s="6" t="s">
        <v>112</v>
      </c>
      <c r="H3645" s="1"/>
      <c r="I3645" s="1"/>
      <c r="J3645" s="1"/>
    </row>
    <row r="3646" spans="1:10" x14ac:dyDescent="0.35">
      <c r="A3646" s="6" t="s">
        <v>21</v>
      </c>
      <c r="B3646" s="6">
        <f t="shared" si="838"/>
        <v>2057</v>
      </c>
      <c r="C3646" s="1" t="s">
        <v>28</v>
      </c>
      <c r="D3646" s="2" t="s">
        <v>2003</v>
      </c>
      <c r="E3646" s="9" t="str">
        <f t="shared" si="836"/>
        <v>PSDP'!</v>
      </c>
      <c r="F3646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46" s="6" t="s">
        <v>112</v>
      </c>
      <c r="H3646" s="1"/>
      <c r="I3646" s="1"/>
      <c r="J3646" s="1"/>
    </row>
    <row r="3647" spans="1:10" x14ac:dyDescent="0.35">
      <c r="A3647" s="6" t="s">
        <v>21</v>
      </c>
      <c r="B3647" s="6">
        <f t="shared" si="838"/>
        <v>2058</v>
      </c>
      <c r="C3647" s="1" t="s">
        <v>28</v>
      </c>
      <c r="D3647" s="2" t="s">
        <v>2003</v>
      </c>
      <c r="E3647" s="9" t="str">
        <f t="shared" si="836"/>
        <v>PSDP'!</v>
      </c>
      <c r="F3647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47" s="6" t="s">
        <v>112</v>
      </c>
      <c r="H3647" s="1"/>
      <c r="I3647" s="1"/>
      <c r="J3647" s="1"/>
    </row>
    <row r="3648" spans="1:10" x14ac:dyDescent="0.35">
      <c r="A3648" s="6" t="s">
        <v>21</v>
      </c>
      <c r="B3648" s="6">
        <f t="shared" si="838"/>
        <v>2059</v>
      </c>
      <c r="C3648" s="1" t="s">
        <v>28</v>
      </c>
      <c r="D3648" s="2" t="s">
        <v>2003</v>
      </c>
      <c r="E3648" s="9" t="str">
        <f t="shared" si="836"/>
        <v>PSDP'!</v>
      </c>
      <c r="F3648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48" s="6" t="s">
        <v>112</v>
      </c>
      <c r="H3648" s="1"/>
      <c r="I3648" s="1"/>
      <c r="J3648" s="1"/>
    </row>
    <row r="3649" spans="1:10" x14ac:dyDescent="0.35">
      <c r="A3649" s="6" t="s">
        <v>26</v>
      </c>
      <c r="B3649" s="6"/>
      <c r="C3649" s="1" t="s">
        <v>28</v>
      </c>
      <c r="D3649" s="2"/>
      <c r="E3649" s="9"/>
      <c r="F3649" s="2"/>
      <c r="G3649" s="6"/>
      <c r="H3649" s="1"/>
      <c r="I3649" s="1"/>
      <c r="J3649" s="12"/>
    </row>
    <row r="3650" spans="1:10" x14ac:dyDescent="0.35">
      <c r="A3650" s="6" t="s">
        <v>22</v>
      </c>
      <c r="B3650" s="6">
        <v>2023</v>
      </c>
      <c r="C3650" s="1" t="s">
        <v>28</v>
      </c>
      <c r="D3650" s="2" t="s">
        <v>2003</v>
      </c>
      <c r="E3650" s="9" t="str">
        <f t="shared" ref="E3650:E3670" si="839">_xlfn.CONCAT(A3650,"'!")</f>
        <v>PSNP'!</v>
      </c>
      <c r="F3650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50" s="6" t="s">
        <v>112</v>
      </c>
      <c r="H3650" s="1"/>
      <c r="I3650" s="1"/>
      <c r="J3650" s="1"/>
    </row>
    <row r="3651" spans="1:10" x14ac:dyDescent="0.35">
      <c r="A3651" s="6" t="s">
        <v>22</v>
      </c>
      <c r="B3651" s="6">
        <f>+B3650+1</f>
        <v>2024</v>
      </c>
      <c r="C3651" s="1" t="s">
        <v>28</v>
      </c>
      <c r="D3651" s="2" t="s">
        <v>2003</v>
      </c>
      <c r="E3651" s="9" t="str">
        <f t="shared" si="839"/>
        <v>PSNP'!</v>
      </c>
      <c r="F3651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51" s="6" t="s">
        <v>112</v>
      </c>
      <c r="H3651" s="1"/>
      <c r="I3651" s="1"/>
      <c r="J3651" s="1"/>
    </row>
    <row r="3652" spans="1:10" x14ac:dyDescent="0.35">
      <c r="A3652" s="6" t="s">
        <v>22</v>
      </c>
      <c r="B3652" s="6">
        <f t="shared" ref="B3652:B3663" si="840">+B3651+1</f>
        <v>2025</v>
      </c>
      <c r="C3652" s="1" t="s">
        <v>28</v>
      </c>
      <c r="D3652" s="2" t="s">
        <v>2003</v>
      </c>
      <c r="E3652" s="9" t="str">
        <f t="shared" si="839"/>
        <v>PSNP'!</v>
      </c>
      <c r="F3652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52" s="6" t="s">
        <v>112</v>
      </c>
      <c r="H3652" s="1"/>
      <c r="I3652" s="1"/>
      <c r="J3652" s="1"/>
    </row>
    <row r="3653" spans="1:10" x14ac:dyDescent="0.35">
      <c r="A3653" s="6" t="s">
        <v>22</v>
      </c>
      <c r="B3653" s="6">
        <f t="shared" si="840"/>
        <v>2026</v>
      </c>
      <c r="C3653" s="1" t="s">
        <v>28</v>
      </c>
      <c r="D3653" s="2" t="s">
        <v>2003</v>
      </c>
      <c r="E3653" s="9" t="str">
        <f t="shared" si="839"/>
        <v>PSNP'!</v>
      </c>
      <c r="F3653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53" s="6" t="s">
        <v>112</v>
      </c>
      <c r="H3653" s="1"/>
      <c r="I3653" s="1"/>
      <c r="J3653" s="1"/>
    </row>
    <row r="3654" spans="1:10" x14ac:dyDescent="0.35">
      <c r="A3654" s="6" t="s">
        <v>22</v>
      </c>
      <c r="B3654" s="6">
        <f t="shared" si="840"/>
        <v>2027</v>
      </c>
      <c r="C3654" s="1" t="s">
        <v>28</v>
      </c>
      <c r="D3654" s="2" t="s">
        <v>2003</v>
      </c>
      <c r="E3654" s="9" t="str">
        <f t="shared" si="839"/>
        <v>PSNP'!</v>
      </c>
      <c r="F3654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54" s="6" t="s">
        <v>112</v>
      </c>
      <c r="H3654" s="1"/>
      <c r="I3654" s="1"/>
      <c r="J3654" s="1"/>
    </row>
    <row r="3655" spans="1:10" x14ac:dyDescent="0.35">
      <c r="A3655" s="6" t="s">
        <v>22</v>
      </c>
      <c r="B3655" s="6">
        <f t="shared" si="840"/>
        <v>2028</v>
      </c>
      <c r="C3655" s="1" t="s">
        <v>28</v>
      </c>
      <c r="D3655" s="2" t="s">
        <v>2003</v>
      </c>
      <c r="E3655" s="9" t="str">
        <f t="shared" si="839"/>
        <v>PSNP'!</v>
      </c>
      <c r="F3655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55" s="6" t="s">
        <v>112</v>
      </c>
      <c r="H3655" s="1"/>
      <c r="I3655" s="1"/>
      <c r="J3655" s="1"/>
    </row>
    <row r="3656" spans="1:10" x14ac:dyDescent="0.35">
      <c r="A3656" s="6" t="s">
        <v>22</v>
      </c>
      <c r="B3656" s="6">
        <f t="shared" si="840"/>
        <v>2029</v>
      </c>
      <c r="C3656" s="1" t="s">
        <v>28</v>
      </c>
      <c r="D3656" s="2" t="s">
        <v>2003</v>
      </c>
      <c r="E3656" s="9" t="str">
        <f t="shared" si="839"/>
        <v>PSNP'!</v>
      </c>
      <c r="F3656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56" s="6" t="s">
        <v>112</v>
      </c>
      <c r="H3656" s="1"/>
      <c r="I3656" s="1"/>
      <c r="J3656" s="1"/>
    </row>
    <row r="3657" spans="1:10" x14ac:dyDescent="0.35">
      <c r="A3657" s="6" t="s">
        <v>22</v>
      </c>
      <c r="B3657" s="6">
        <f t="shared" si="840"/>
        <v>2030</v>
      </c>
      <c r="C3657" s="1" t="s">
        <v>28</v>
      </c>
      <c r="D3657" s="2" t="s">
        <v>2003</v>
      </c>
      <c r="E3657" s="9" t="str">
        <f t="shared" si="839"/>
        <v>PSNP'!</v>
      </c>
      <c r="F3657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57" s="6" t="s">
        <v>112</v>
      </c>
      <c r="H3657" s="1"/>
      <c r="I3657" s="1"/>
      <c r="J3657" s="1"/>
    </row>
    <row r="3658" spans="1:10" x14ac:dyDescent="0.35">
      <c r="A3658" s="6" t="s">
        <v>22</v>
      </c>
      <c r="B3658" s="6">
        <f t="shared" si="840"/>
        <v>2031</v>
      </c>
      <c r="C3658" s="1" t="s">
        <v>28</v>
      </c>
      <c r="D3658" s="2" t="s">
        <v>2003</v>
      </c>
      <c r="E3658" s="9" t="str">
        <f t="shared" si="839"/>
        <v>PSNP'!</v>
      </c>
      <c r="F3658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58" s="6" t="s">
        <v>112</v>
      </c>
      <c r="H3658" s="1"/>
      <c r="I3658" s="1"/>
      <c r="J3658" s="1"/>
    </row>
    <row r="3659" spans="1:10" x14ac:dyDescent="0.35">
      <c r="A3659" s="6" t="s">
        <v>22</v>
      </c>
      <c r="B3659" s="6">
        <f t="shared" si="840"/>
        <v>2032</v>
      </c>
      <c r="C3659" s="1" t="s">
        <v>28</v>
      </c>
      <c r="D3659" s="2" t="s">
        <v>2003</v>
      </c>
      <c r="E3659" s="9" t="str">
        <f t="shared" si="839"/>
        <v>PSNP'!</v>
      </c>
      <c r="F3659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59" s="6" t="s">
        <v>112</v>
      </c>
      <c r="H3659" s="1"/>
      <c r="I3659" s="1"/>
      <c r="J3659" s="1"/>
    </row>
    <row r="3660" spans="1:10" x14ac:dyDescent="0.35">
      <c r="A3660" s="6" t="s">
        <v>22</v>
      </c>
      <c r="B3660" s="6">
        <f t="shared" si="840"/>
        <v>2033</v>
      </c>
      <c r="C3660" s="1" t="s">
        <v>28</v>
      </c>
      <c r="D3660" s="2" t="s">
        <v>2003</v>
      </c>
      <c r="E3660" s="9" t="str">
        <f t="shared" si="839"/>
        <v>PSNP'!</v>
      </c>
      <c r="F3660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60" s="6" t="s">
        <v>112</v>
      </c>
      <c r="H3660" s="1"/>
      <c r="I3660" s="1"/>
      <c r="J3660" s="1"/>
    </row>
    <row r="3661" spans="1:10" x14ac:dyDescent="0.35">
      <c r="A3661" s="6" t="s">
        <v>22</v>
      </c>
      <c r="B3661" s="6">
        <f t="shared" si="840"/>
        <v>2034</v>
      </c>
      <c r="C3661" s="1" t="s">
        <v>28</v>
      </c>
      <c r="D3661" s="2" t="s">
        <v>2003</v>
      </c>
      <c r="E3661" s="9" t="str">
        <f t="shared" si="839"/>
        <v>PSNP'!</v>
      </c>
      <c r="F3661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61" s="6" t="s">
        <v>112</v>
      </c>
      <c r="H3661" s="1"/>
      <c r="I3661" s="1"/>
      <c r="J3661" s="1"/>
    </row>
    <row r="3662" spans="1:10" x14ac:dyDescent="0.35">
      <c r="A3662" s="6" t="s">
        <v>22</v>
      </c>
      <c r="B3662" s="6">
        <f t="shared" si="840"/>
        <v>2035</v>
      </c>
      <c r="C3662" s="1" t="s">
        <v>28</v>
      </c>
      <c r="D3662" s="2" t="s">
        <v>2003</v>
      </c>
      <c r="E3662" s="9" t="str">
        <f t="shared" si="839"/>
        <v>PSNP'!</v>
      </c>
      <c r="F3662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62" s="6" t="s">
        <v>112</v>
      </c>
      <c r="H3662" s="1"/>
      <c r="I3662" s="1"/>
      <c r="J3662" s="1"/>
    </row>
    <row r="3663" spans="1:10" x14ac:dyDescent="0.35">
      <c r="A3663" s="6" t="s">
        <v>22</v>
      </c>
      <c r="B3663" s="6">
        <f t="shared" si="840"/>
        <v>2036</v>
      </c>
      <c r="C3663" s="1" t="s">
        <v>28</v>
      </c>
      <c r="D3663" s="2" t="s">
        <v>2003</v>
      </c>
      <c r="E3663" s="9" t="str">
        <f t="shared" si="839"/>
        <v>PSNP'!</v>
      </c>
      <c r="F3663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63" s="6" t="s">
        <v>112</v>
      </c>
      <c r="H3663" s="1"/>
      <c r="I3663" s="1"/>
      <c r="J3663" s="1"/>
    </row>
    <row r="3664" spans="1:10" x14ac:dyDescent="0.35">
      <c r="A3664" s="6" t="s">
        <v>22</v>
      </c>
      <c r="B3664" s="6">
        <f>+B3663+1</f>
        <v>2037</v>
      </c>
      <c r="C3664" s="1" t="s">
        <v>28</v>
      </c>
      <c r="D3664" s="2" t="s">
        <v>2003</v>
      </c>
      <c r="E3664" s="9" t="str">
        <f t="shared" si="839"/>
        <v>PSNP'!</v>
      </c>
      <c r="F3664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64" s="6" t="s">
        <v>112</v>
      </c>
      <c r="H3664" s="1"/>
      <c r="I3664" s="1"/>
      <c r="J3664" s="1"/>
    </row>
    <row r="3665" spans="1:10" x14ac:dyDescent="0.35">
      <c r="A3665" s="6" t="s">
        <v>22</v>
      </c>
      <c r="B3665" s="6">
        <f t="shared" ref="B3665:B3667" si="841">+B3664+1</f>
        <v>2038</v>
      </c>
      <c r="C3665" s="1" t="s">
        <v>28</v>
      </c>
      <c r="D3665" s="2" t="s">
        <v>2003</v>
      </c>
      <c r="E3665" s="9" t="str">
        <f t="shared" si="839"/>
        <v>PSNP'!</v>
      </c>
      <c r="F3665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65" s="6" t="s">
        <v>112</v>
      </c>
      <c r="H3665" s="1"/>
      <c r="I3665" s="1"/>
      <c r="J3665" s="1"/>
    </row>
    <row r="3666" spans="1:10" x14ac:dyDescent="0.35">
      <c r="A3666" s="6" t="s">
        <v>22</v>
      </c>
      <c r="B3666" s="6">
        <f t="shared" si="841"/>
        <v>2039</v>
      </c>
      <c r="C3666" s="1" t="s">
        <v>28</v>
      </c>
      <c r="D3666" s="2" t="s">
        <v>2003</v>
      </c>
      <c r="E3666" s="9" t="str">
        <f t="shared" si="839"/>
        <v>PSNP'!</v>
      </c>
      <c r="F3666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66" s="6" t="s">
        <v>112</v>
      </c>
      <c r="H3666" s="1"/>
      <c r="I3666" s="1"/>
      <c r="J3666" s="1"/>
    </row>
    <row r="3667" spans="1:10" x14ac:dyDescent="0.35">
      <c r="A3667" s="6" t="s">
        <v>22</v>
      </c>
      <c r="B3667" s="6">
        <f t="shared" si="841"/>
        <v>2040</v>
      </c>
      <c r="C3667" s="1" t="s">
        <v>28</v>
      </c>
      <c r="D3667" s="2" t="s">
        <v>2003</v>
      </c>
      <c r="E3667" s="9" t="str">
        <f t="shared" si="839"/>
        <v>PSNP'!</v>
      </c>
      <c r="F3667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67" s="6" t="s">
        <v>112</v>
      </c>
      <c r="H3667" s="1"/>
      <c r="I3667" s="1"/>
      <c r="J3667" s="1"/>
    </row>
    <row r="3668" spans="1:10" x14ac:dyDescent="0.35">
      <c r="A3668" s="6" t="s">
        <v>22</v>
      </c>
      <c r="B3668" s="6">
        <f>+B3667+1</f>
        <v>2041</v>
      </c>
      <c r="C3668" s="1" t="s">
        <v>28</v>
      </c>
      <c r="D3668" s="2" t="s">
        <v>2003</v>
      </c>
      <c r="E3668" s="9" t="str">
        <f t="shared" si="839"/>
        <v>PSNP'!</v>
      </c>
      <c r="F3668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68" s="6" t="s">
        <v>112</v>
      </c>
      <c r="H3668" s="1"/>
      <c r="I3668" s="1"/>
      <c r="J3668" s="1"/>
    </row>
    <row r="3669" spans="1:10" x14ac:dyDescent="0.35">
      <c r="A3669" s="6" t="s">
        <v>22</v>
      </c>
      <c r="B3669" s="6">
        <f t="shared" ref="B3669:B3670" si="842">+B3668+1</f>
        <v>2042</v>
      </c>
      <c r="C3669" s="1" t="s">
        <v>28</v>
      </c>
      <c r="D3669" s="2" t="s">
        <v>2003</v>
      </c>
      <c r="E3669" s="9" t="str">
        <f t="shared" si="839"/>
        <v>PSNP'!</v>
      </c>
      <c r="F3669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69" s="6" t="s">
        <v>112</v>
      </c>
      <c r="H3669" s="1"/>
      <c r="I3669" s="1"/>
      <c r="J3669" s="1"/>
    </row>
    <row r="3670" spans="1:10" x14ac:dyDescent="0.35">
      <c r="A3670" s="6" t="s">
        <v>22</v>
      </c>
      <c r="B3670" s="6">
        <f t="shared" si="842"/>
        <v>2043</v>
      </c>
      <c r="C3670" s="1" t="s">
        <v>28</v>
      </c>
      <c r="D3670" s="2" t="s">
        <v>2003</v>
      </c>
      <c r="E3670" s="9" t="str">
        <f t="shared" si="839"/>
        <v>PSNP'!</v>
      </c>
      <c r="F3670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70" s="6" t="s">
        <v>112</v>
      </c>
      <c r="H3670" s="1"/>
      <c r="I3670" s="1"/>
      <c r="J3670" s="1"/>
    </row>
    <row r="3671" spans="1:10" x14ac:dyDescent="0.35">
      <c r="A3671" s="6" t="s">
        <v>22</v>
      </c>
      <c r="B3671" s="6">
        <f>+B3670+1</f>
        <v>2044</v>
      </c>
      <c r="C3671" s="1" t="s">
        <v>28</v>
      </c>
      <c r="D3671" s="2" t="s">
        <v>2003</v>
      </c>
      <c r="E3671" s="9" t="str">
        <f t="shared" ref="E3671:E3686" si="843">_xlfn.CONCAT(A3671,"'!")</f>
        <v>PSNP'!</v>
      </c>
      <c r="F3671" s="5" t="str">
        <f t="shared" ref="F3671:F3686" si="844">_xlfn.CONCAT(D3671," ",E3671)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71" s="6" t="s">
        <v>112</v>
      </c>
      <c r="H3671" s="1"/>
      <c r="I3671" s="1"/>
      <c r="J3671" s="1"/>
    </row>
    <row r="3672" spans="1:10" x14ac:dyDescent="0.35">
      <c r="A3672" s="6" t="s">
        <v>22</v>
      </c>
      <c r="B3672" s="6">
        <f t="shared" ref="B3672:B3686" si="845">+B3671+1</f>
        <v>2045</v>
      </c>
      <c r="C3672" s="1" t="s">
        <v>28</v>
      </c>
      <c r="D3672" s="2" t="s">
        <v>2003</v>
      </c>
      <c r="E3672" s="9" t="str">
        <f t="shared" si="843"/>
        <v>PSNP'!</v>
      </c>
      <c r="F3672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72" s="6" t="s">
        <v>112</v>
      </c>
      <c r="H3672" s="1"/>
      <c r="I3672" s="1"/>
      <c r="J3672" s="1"/>
    </row>
    <row r="3673" spans="1:10" x14ac:dyDescent="0.35">
      <c r="A3673" s="6" t="s">
        <v>22</v>
      </c>
      <c r="B3673" s="6">
        <f t="shared" si="845"/>
        <v>2046</v>
      </c>
      <c r="C3673" s="1" t="s">
        <v>28</v>
      </c>
      <c r="D3673" s="2" t="s">
        <v>2003</v>
      </c>
      <c r="E3673" s="9" t="str">
        <f t="shared" si="843"/>
        <v>PSNP'!</v>
      </c>
      <c r="F3673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73" s="6" t="s">
        <v>112</v>
      </c>
      <c r="H3673" s="1"/>
      <c r="I3673" s="1"/>
      <c r="J3673" s="1"/>
    </row>
    <row r="3674" spans="1:10" x14ac:dyDescent="0.35">
      <c r="A3674" s="6" t="s">
        <v>22</v>
      </c>
      <c r="B3674" s="6">
        <f t="shared" si="845"/>
        <v>2047</v>
      </c>
      <c r="C3674" s="1" t="s">
        <v>28</v>
      </c>
      <c r="D3674" s="2" t="s">
        <v>2003</v>
      </c>
      <c r="E3674" s="9" t="str">
        <f t="shared" si="843"/>
        <v>PSNP'!</v>
      </c>
      <c r="F3674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74" s="6" t="s">
        <v>112</v>
      </c>
      <c r="H3674" s="1"/>
      <c r="I3674" s="1"/>
      <c r="J3674" s="1"/>
    </row>
    <row r="3675" spans="1:10" x14ac:dyDescent="0.35">
      <c r="A3675" s="6" t="s">
        <v>22</v>
      </c>
      <c r="B3675" s="6">
        <f t="shared" si="845"/>
        <v>2048</v>
      </c>
      <c r="C3675" s="1" t="s">
        <v>28</v>
      </c>
      <c r="D3675" s="2" t="s">
        <v>2003</v>
      </c>
      <c r="E3675" s="9" t="str">
        <f t="shared" si="843"/>
        <v>PSNP'!</v>
      </c>
      <c r="F3675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75" s="6" t="s">
        <v>112</v>
      </c>
      <c r="H3675" s="1"/>
      <c r="I3675" s="1"/>
      <c r="J3675" s="1"/>
    </row>
    <row r="3676" spans="1:10" x14ac:dyDescent="0.35">
      <c r="A3676" s="6" t="s">
        <v>22</v>
      </c>
      <c r="B3676" s="6">
        <f t="shared" si="845"/>
        <v>2049</v>
      </c>
      <c r="C3676" s="1" t="s">
        <v>28</v>
      </c>
      <c r="D3676" s="2" t="s">
        <v>2003</v>
      </c>
      <c r="E3676" s="9" t="str">
        <f t="shared" si="843"/>
        <v>PSNP'!</v>
      </c>
      <c r="F3676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76" s="6" t="s">
        <v>112</v>
      </c>
      <c r="H3676" s="1"/>
      <c r="I3676" s="1"/>
      <c r="J3676" s="1"/>
    </row>
    <row r="3677" spans="1:10" x14ac:dyDescent="0.35">
      <c r="A3677" s="6" t="s">
        <v>22</v>
      </c>
      <c r="B3677" s="6">
        <f t="shared" si="845"/>
        <v>2050</v>
      </c>
      <c r="C3677" s="1" t="s">
        <v>28</v>
      </c>
      <c r="D3677" s="2" t="s">
        <v>2003</v>
      </c>
      <c r="E3677" s="9" t="str">
        <f t="shared" si="843"/>
        <v>PSNP'!</v>
      </c>
      <c r="F3677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77" s="6" t="s">
        <v>112</v>
      </c>
      <c r="H3677" s="1"/>
      <c r="I3677" s="1"/>
      <c r="J3677" s="1"/>
    </row>
    <row r="3678" spans="1:10" x14ac:dyDescent="0.35">
      <c r="A3678" s="6" t="s">
        <v>22</v>
      </c>
      <c r="B3678" s="6">
        <f t="shared" si="845"/>
        <v>2051</v>
      </c>
      <c r="C3678" s="1" t="s">
        <v>28</v>
      </c>
      <c r="D3678" s="2" t="s">
        <v>2003</v>
      </c>
      <c r="E3678" s="9" t="str">
        <f t="shared" si="843"/>
        <v>PSNP'!</v>
      </c>
      <c r="F3678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78" s="6" t="s">
        <v>112</v>
      </c>
      <c r="H3678" s="1"/>
      <c r="I3678" s="1"/>
      <c r="J3678" s="1"/>
    </row>
    <row r="3679" spans="1:10" x14ac:dyDescent="0.35">
      <c r="A3679" s="6" t="s">
        <v>22</v>
      </c>
      <c r="B3679" s="6">
        <f t="shared" si="845"/>
        <v>2052</v>
      </c>
      <c r="C3679" s="1" t="s">
        <v>28</v>
      </c>
      <c r="D3679" s="2" t="s">
        <v>2003</v>
      </c>
      <c r="E3679" s="9" t="str">
        <f t="shared" si="843"/>
        <v>PSNP'!</v>
      </c>
      <c r="F3679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79" s="6" t="s">
        <v>112</v>
      </c>
      <c r="H3679" s="1"/>
      <c r="I3679" s="1"/>
      <c r="J3679" s="1"/>
    </row>
    <row r="3680" spans="1:10" x14ac:dyDescent="0.35">
      <c r="A3680" s="6" t="s">
        <v>22</v>
      </c>
      <c r="B3680" s="6">
        <f t="shared" si="845"/>
        <v>2053</v>
      </c>
      <c r="C3680" s="1" t="s">
        <v>28</v>
      </c>
      <c r="D3680" s="2" t="s">
        <v>2003</v>
      </c>
      <c r="E3680" s="9" t="str">
        <f t="shared" si="843"/>
        <v>PSNP'!</v>
      </c>
      <c r="F3680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80" s="6" t="s">
        <v>112</v>
      </c>
      <c r="H3680" s="1"/>
      <c r="I3680" s="1"/>
      <c r="J3680" s="1"/>
    </row>
    <row r="3681" spans="1:10" x14ac:dyDescent="0.35">
      <c r="A3681" s="6" t="s">
        <v>22</v>
      </c>
      <c r="B3681" s="6">
        <f t="shared" si="845"/>
        <v>2054</v>
      </c>
      <c r="C3681" s="1" t="s">
        <v>28</v>
      </c>
      <c r="D3681" s="2" t="s">
        <v>2003</v>
      </c>
      <c r="E3681" s="9" t="str">
        <f t="shared" si="843"/>
        <v>PSNP'!</v>
      </c>
      <c r="F3681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81" s="6" t="s">
        <v>112</v>
      </c>
      <c r="H3681" s="1"/>
      <c r="I3681" s="1"/>
      <c r="J3681" s="1"/>
    </row>
    <row r="3682" spans="1:10" x14ac:dyDescent="0.35">
      <c r="A3682" s="6" t="s">
        <v>22</v>
      </c>
      <c r="B3682" s="6">
        <f t="shared" si="845"/>
        <v>2055</v>
      </c>
      <c r="C3682" s="1" t="s">
        <v>28</v>
      </c>
      <c r="D3682" s="2" t="s">
        <v>2003</v>
      </c>
      <c r="E3682" s="9" t="str">
        <f t="shared" si="843"/>
        <v>PSNP'!</v>
      </c>
      <c r="F3682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82" s="6" t="s">
        <v>112</v>
      </c>
      <c r="H3682" s="1"/>
      <c r="I3682" s="1"/>
      <c r="J3682" s="1"/>
    </row>
    <row r="3683" spans="1:10" x14ac:dyDescent="0.35">
      <c r="A3683" s="6" t="s">
        <v>22</v>
      </c>
      <c r="B3683" s="6">
        <f t="shared" si="845"/>
        <v>2056</v>
      </c>
      <c r="C3683" s="1" t="s">
        <v>28</v>
      </c>
      <c r="D3683" s="2" t="s">
        <v>2003</v>
      </c>
      <c r="E3683" s="9" t="str">
        <f t="shared" si="843"/>
        <v>PSNP'!</v>
      </c>
      <c r="F3683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83" s="6" t="s">
        <v>112</v>
      </c>
      <c r="H3683" s="1"/>
      <c r="I3683" s="1"/>
      <c r="J3683" s="1"/>
    </row>
    <row r="3684" spans="1:10" x14ac:dyDescent="0.35">
      <c r="A3684" s="6" t="s">
        <v>22</v>
      </c>
      <c r="B3684" s="6">
        <f t="shared" si="845"/>
        <v>2057</v>
      </c>
      <c r="C3684" s="1" t="s">
        <v>28</v>
      </c>
      <c r="D3684" s="2" t="s">
        <v>2003</v>
      </c>
      <c r="E3684" s="9" t="str">
        <f t="shared" si="843"/>
        <v>PSNP'!</v>
      </c>
      <c r="F3684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84" s="6" t="s">
        <v>112</v>
      </c>
      <c r="H3684" s="1"/>
      <c r="I3684" s="1"/>
      <c r="J3684" s="1"/>
    </row>
    <row r="3685" spans="1:10" x14ac:dyDescent="0.35">
      <c r="A3685" s="6" t="s">
        <v>22</v>
      </c>
      <c r="B3685" s="6">
        <f t="shared" si="845"/>
        <v>2058</v>
      </c>
      <c r="C3685" s="1" t="s">
        <v>28</v>
      </c>
      <c r="D3685" s="2" t="s">
        <v>2003</v>
      </c>
      <c r="E3685" s="9" t="str">
        <f t="shared" si="843"/>
        <v>PSNP'!</v>
      </c>
      <c r="F3685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85" s="6" t="s">
        <v>112</v>
      </c>
      <c r="H3685" s="1"/>
      <c r="I3685" s="1"/>
      <c r="J3685" s="1"/>
    </row>
    <row r="3686" spans="1:10" x14ac:dyDescent="0.35">
      <c r="A3686" s="6" t="s">
        <v>22</v>
      </c>
      <c r="B3686" s="6">
        <f t="shared" si="845"/>
        <v>2059</v>
      </c>
      <c r="C3686" s="1" t="s">
        <v>28</v>
      </c>
      <c r="D3686" s="2" t="s">
        <v>2003</v>
      </c>
      <c r="E3686" s="9" t="str">
        <f t="shared" si="843"/>
        <v>PSNP'!</v>
      </c>
      <c r="F3686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86" s="6" t="s">
        <v>112</v>
      </c>
      <c r="H3686" s="1"/>
      <c r="I3686" s="1"/>
      <c r="J3686" s="1"/>
    </row>
    <row r="3687" spans="1:10" x14ac:dyDescent="0.35">
      <c r="A3687" s="6" t="s">
        <v>26</v>
      </c>
      <c r="B3687" s="6"/>
      <c r="C3687" s="1" t="s">
        <v>28</v>
      </c>
      <c r="D3687" s="2"/>
      <c r="E3687" s="9"/>
      <c r="F3687" s="5"/>
      <c r="G3687" s="6"/>
      <c r="H3687" s="1"/>
      <c r="I3687" s="1"/>
      <c r="J3687" s="12"/>
    </row>
    <row r="3688" spans="1:10" x14ac:dyDescent="0.35">
      <c r="A3688" s="6" t="s">
        <v>23</v>
      </c>
      <c r="B3688" s="6">
        <v>2023</v>
      </c>
      <c r="C3688" s="1" t="s">
        <v>28</v>
      </c>
      <c r="D3688" s="2" t="s">
        <v>2003</v>
      </c>
      <c r="E3688" s="9" t="str">
        <f t="shared" ref="E3688:E3708" si="846">_xlfn.CONCAT(A3688,"'!")</f>
        <v>PSND'!</v>
      </c>
      <c r="F3688" s="5" t="str">
        <f t="shared" ref="F3688:F3746" si="847">_xlfn.CONCAT(D3688," ",E3688)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88" s="6" t="s">
        <v>112</v>
      </c>
      <c r="H3688" s="1"/>
      <c r="I3688" s="1"/>
      <c r="J3688" s="1"/>
    </row>
    <row r="3689" spans="1:10" x14ac:dyDescent="0.35">
      <c r="A3689" s="6" t="s">
        <v>23</v>
      </c>
      <c r="B3689" s="6">
        <f>+B3688+1</f>
        <v>2024</v>
      </c>
      <c r="C3689" s="1" t="s">
        <v>28</v>
      </c>
      <c r="D3689" s="2" t="s">
        <v>2003</v>
      </c>
      <c r="E3689" s="9" t="str">
        <f t="shared" si="846"/>
        <v>PSND'!</v>
      </c>
      <c r="F3689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89" s="6" t="s">
        <v>112</v>
      </c>
      <c r="H3689" s="1"/>
      <c r="I3689" s="1"/>
      <c r="J3689" s="1"/>
    </row>
    <row r="3690" spans="1:10" x14ac:dyDescent="0.35">
      <c r="A3690" s="6" t="s">
        <v>23</v>
      </c>
      <c r="B3690" s="6">
        <f t="shared" ref="B3690:B3701" si="848">+B3689+1</f>
        <v>2025</v>
      </c>
      <c r="C3690" s="1" t="s">
        <v>28</v>
      </c>
      <c r="D3690" s="2" t="s">
        <v>2003</v>
      </c>
      <c r="E3690" s="9" t="str">
        <f t="shared" si="846"/>
        <v>PSND'!</v>
      </c>
      <c r="F3690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90" s="6" t="s">
        <v>112</v>
      </c>
      <c r="H3690" s="1"/>
      <c r="I3690" s="1"/>
      <c r="J3690" s="1"/>
    </row>
    <row r="3691" spans="1:10" x14ac:dyDescent="0.35">
      <c r="A3691" s="6" t="s">
        <v>23</v>
      </c>
      <c r="B3691" s="6">
        <f t="shared" si="848"/>
        <v>2026</v>
      </c>
      <c r="C3691" s="1" t="s">
        <v>28</v>
      </c>
      <c r="D3691" s="2" t="s">
        <v>2003</v>
      </c>
      <c r="E3691" s="9" t="str">
        <f t="shared" si="846"/>
        <v>PSND'!</v>
      </c>
      <c r="F3691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91" s="6" t="s">
        <v>112</v>
      </c>
      <c r="H3691" s="1"/>
      <c r="I3691" s="1"/>
      <c r="J3691" s="1"/>
    </row>
    <row r="3692" spans="1:10" x14ac:dyDescent="0.35">
      <c r="A3692" s="6" t="s">
        <v>23</v>
      </c>
      <c r="B3692" s="6">
        <f t="shared" si="848"/>
        <v>2027</v>
      </c>
      <c r="C3692" s="1" t="s">
        <v>28</v>
      </c>
      <c r="D3692" s="2" t="s">
        <v>2003</v>
      </c>
      <c r="E3692" s="9" t="str">
        <f t="shared" si="846"/>
        <v>PSND'!</v>
      </c>
      <c r="F3692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92" s="6" t="s">
        <v>112</v>
      </c>
      <c r="H3692" s="1"/>
      <c r="I3692" s="1"/>
      <c r="J3692" s="1"/>
    </row>
    <row r="3693" spans="1:10" x14ac:dyDescent="0.35">
      <c r="A3693" s="6" t="s">
        <v>23</v>
      </c>
      <c r="B3693" s="6">
        <f t="shared" si="848"/>
        <v>2028</v>
      </c>
      <c r="C3693" s="1" t="s">
        <v>28</v>
      </c>
      <c r="D3693" s="2" t="s">
        <v>2003</v>
      </c>
      <c r="E3693" s="9" t="str">
        <f t="shared" si="846"/>
        <v>PSND'!</v>
      </c>
      <c r="F3693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93" s="6" t="s">
        <v>112</v>
      </c>
      <c r="H3693" s="1"/>
      <c r="I3693" s="1"/>
      <c r="J3693" s="1"/>
    </row>
    <row r="3694" spans="1:10" x14ac:dyDescent="0.35">
      <c r="A3694" s="6" t="s">
        <v>23</v>
      </c>
      <c r="B3694" s="6">
        <f t="shared" si="848"/>
        <v>2029</v>
      </c>
      <c r="C3694" s="1" t="s">
        <v>28</v>
      </c>
      <c r="D3694" s="2" t="s">
        <v>2003</v>
      </c>
      <c r="E3694" s="9" t="str">
        <f t="shared" si="846"/>
        <v>PSND'!</v>
      </c>
      <c r="F3694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94" s="6" t="s">
        <v>112</v>
      </c>
      <c r="H3694" s="1"/>
      <c r="I3694" s="1"/>
      <c r="J3694" s="1"/>
    </row>
    <row r="3695" spans="1:10" x14ac:dyDescent="0.35">
      <c r="A3695" s="6" t="s">
        <v>23</v>
      </c>
      <c r="B3695" s="6">
        <f t="shared" si="848"/>
        <v>2030</v>
      </c>
      <c r="C3695" s="1" t="s">
        <v>28</v>
      </c>
      <c r="D3695" s="2" t="s">
        <v>2003</v>
      </c>
      <c r="E3695" s="9" t="str">
        <f t="shared" si="846"/>
        <v>PSND'!</v>
      </c>
      <c r="F3695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95" s="6" t="s">
        <v>112</v>
      </c>
      <c r="H3695" s="1"/>
      <c r="I3695" s="1"/>
      <c r="J3695" s="1"/>
    </row>
    <row r="3696" spans="1:10" x14ac:dyDescent="0.35">
      <c r="A3696" s="6" t="s">
        <v>23</v>
      </c>
      <c r="B3696" s="6">
        <f t="shared" si="848"/>
        <v>2031</v>
      </c>
      <c r="C3696" s="1" t="s">
        <v>28</v>
      </c>
      <c r="D3696" s="2" t="s">
        <v>2003</v>
      </c>
      <c r="E3696" s="9" t="str">
        <f t="shared" si="846"/>
        <v>PSND'!</v>
      </c>
      <c r="F3696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96" s="6" t="s">
        <v>112</v>
      </c>
      <c r="H3696" s="1"/>
      <c r="I3696" s="1"/>
      <c r="J3696" s="1"/>
    </row>
    <row r="3697" spans="1:10" x14ac:dyDescent="0.35">
      <c r="A3697" s="6" t="s">
        <v>23</v>
      </c>
      <c r="B3697" s="6">
        <f t="shared" si="848"/>
        <v>2032</v>
      </c>
      <c r="C3697" s="1" t="s">
        <v>28</v>
      </c>
      <c r="D3697" s="2" t="s">
        <v>2003</v>
      </c>
      <c r="E3697" s="9" t="str">
        <f t="shared" si="846"/>
        <v>PSND'!</v>
      </c>
      <c r="F3697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97" s="6" t="s">
        <v>112</v>
      </c>
      <c r="H3697" s="1"/>
      <c r="I3697" s="1"/>
      <c r="J3697" s="1"/>
    </row>
    <row r="3698" spans="1:10" x14ac:dyDescent="0.35">
      <c r="A3698" s="6" t="s">
        <v>23</v>
      </c>
      <c r="B3698" s="6">
        <f t="shared" si="848"/>
        <v>2033</v>
      </c>
      <c r="C3698" s="1" t="s">
        <v>28</v>
      </c>
      <c r="D3698" s="2" t="s">
        <v>2003</v>
      </c>
      <c r="E3698" s="9" t="str">
        <f t="shared" si="846"/>
        <v>PSND'!</v>
      </c>
      <c r="F3698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98" s="6" t="s">
        <v>112</v>
      </c>
      <c r="H3698" s="1"/>
      <c r="I3698" s="1"/>
      <c r="J3698" s="1"/>
    </row>
    <row r="3699" spans="1:10" x14ac:dyDescent="0.35">
      <c r="A3699" s="6" t="s">
        <v>23</v>
      </c>
      <c r="B3699" s="6">
        <f t="shared" si="848"/>
        <v>2034</v>
      </c>
      <c r="C3699" s="1" t="s">
        <v>28</v>
      </c>
      <c r="D3699" s="2" t="s">
        <v>2003</v>
      </c>
      <c r="E3699" s="9" t="str">
        <f t="shared" si="846"/>
        <v>PSND'!</v>
      </c>
      <c r="F3699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99" s="6" t="s">
        <v>112</v>
      </c>
      <c r="H3699" s="1"/>
      <c r="I3699" s="1"/>
      <c r="J3699" s="1"/>
    </row>
    <row r="3700" spans="1:10" x14ac:dyDescent="0.35">
      <c r="A3700" s="6" t="s">
        <v>23</v>
      </c>
      <c r="B3700" s="6">
        <f t="shared" si="848"/>
        <v>2035</v>
      </c>
      <c r="C3700" s="1" t="s">
        <v>28</v>
      </c>
      <c r="D3700" s="2" t="s">
        <v>2003</v>
      </c>
      <c r="E3700" s="9" t="str">
        <f t="shared" si="846"/>
        <v>PSND'!</v>
      </c>
      <c r="F3700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00" s="6" t="s">
        <v>112</v>
      </c>
      <c r="H3700" s="1"/>
      <c r="I3700" s="1"/>
      <c r="J3700" s="1"/>
    </row>
    <row r="3701" spans="1:10" x14ac:dyDescent="0.35">
      <c r="A3701" s="6" t="s">
        <v>23</v>
      </c>
      <c r="B3701" s="6">
        <f t="shared" si="848"/>
        <v>2036</v>
      </c>
      <c r="C3701" s="1" t="s">
        <v>28</v>
      </c>
      <c r="D3701" s="2" t="s">
        <v>2003</v>
      </c>
      <c r="E3701" s="9" t="str">
        <f t="shared" si="846"/>
        <v>PSND'!</v>
      </c>
      <c r="F3701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01" s="6" t="s">
        <v>112</v>
      </c>
      <c r="H3701" s="1"/>
      <c r="I3701" s="1"/>
      <c r="J3701" s="1"/>
    </row>
    <row r="3702" spans="1:10" x14ac:dyDescent="0.35">
      <c r="A3702" s="6" t="s">
        <v>23</v>
      </c>
      <c r="B3702" s="6">
        <f>+B3701+1</f>
        <v>2037</v>
      </c>
      <c r="C3702" s="1" t="s">
        <v>28</v>
      </c>
      <c r="D3702" s="2" t="s">
        <v>2003</v>
      </c>
      <c r="E3702" s="9" t="str">
        <f t="shared" si="846"/>
        <v>PSND'!</v>
      </c>
      <c r="F3702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02" s="6" t="s">
        <v>112</v>
      </c>
      <c r="H3702" s="1"/>
      <c r="I3702" s="1"/>
      <c r="J3702" s="1"/>
    </row>
    <row r="3703" spans="1:10" x14ac:dyDescent="0.35">
      <c r="A3703" s="6" t="s">
        <v>23</v>
      </c>
      <c r="B3703" s="6">
        <f t="shared" ref="B3703:B3705" si="849">+B3702+1</f>
        <v>2038</v>
      </c>
      <c r="C3703" s="1" t="s">
        <v>28</v>
      </c>
      <c r="D3703" s="2" t="s">
        <v>2003</v>
      </c>
      <c r="E3703" s="9" t="str">
        <f t="shared" si="846"/>
        <v>PSND'!</v>
      </c>
      <c r="F3703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03" s="6" t="s">
        <v>112</v>
      </c>
      <c r="H3703" s="1"/>
      <c r="I3703" s="1"/>
      <c r="J3703" s="1"/>
    </row>
    <row r="3704" spans="1:10" x14ac:dyDescent="0.35">
      <c r="A3704" s="6" t="s">
        <v>23</v>
      </c>
      <c r="B3704" s="6">
        <f t="shared" si="849"/>
        <v>2039</v>
      </c>
      <c r="C3704" s="1" t="s">
        <v>28</v>
      </c>
      <c r="D3704" s="2" t="s">
        <v>2003</v>
      </c>
      <c r="E3704" s="9" t="str">
        <f t="shared" si="846"/>
        <v>PSND'!</v>
      </c>
      <c r="F3704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04" s="6" t="s">
        <v>112</v>
      </c>
      <c r="H3704" s="1"/>
      <c r="I3704" s="1"/>
      <c r="J3704" s="1"/>
    </row>
    <row r="3705" spans="1:10" x14ac:dyDescent="0.35">
      <c r="A3705" s="6" t="s">
        <v>23</v>
      </c>
      <c r="B3705" s="6">
        <f t="shared" si="849"/>
        <v>2040</v>
      </c>
      <c r="C3705" s="1" t="s">
        <v>28</v>
      </c>
      <c r="D3705" s="2" t="s">
        <v>2003</v>
      </c>
      <c r="E3705" s="9" t="str">
        <f t="shared" si="846"/>
        <v>PSND'!</v>
      </c>
      <c r="F3705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05" s="6" t="s">
        <v>112</v>
      </c>
      <c r="H3705" s="1"/>
      <c r="I3705" s="1"/>
      <c r="J3705" s="1"/>
    </row>
    <row r="3706" spans="1:10" x14ac:dyDescent="0.35">
      <c r="A3706" s="6" t="s">
        <v>23</v>
      </c>
      <c r="B3706" s="6">
        <f>+B3705+1</f>
        <v>2041</v>
      </c>
      <c r="C3706" s="1" t="s">
        <v>28</v>
      </c>
      <c r="D3706" s="2" t="s">
        <v>2003</v>
      </c>
      <c r="E3706" s="9" t="str">
        <f t="shared" si="846"/>
        <v>PSND'!</v>
      </c>
      <c r="F3706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06" s="6" t="s">
        <v>112</v>
      </c>
      <c r="H3706" s="1"/>
      <c r="I3706" s="1"/>
      <c r="J3706" s="1"/>
    </row>
    <row r="3707" spans="1:10" x14ac:dyDescent="0.35">
      <c r="A3707" s="6" t="s">
        <v>23</v>
      </c>
      <c r="B3707" s="6">
        <f t="shared" ref="B3707:B3708" si="850">+B3706+1</f>
        <v>2042</v>
      </c>
      <c r="C3707" s="1" t="s">
        <v>28</v>
      </c>
      <c r="D3707" s="2" t="s">
        <v>2003</v>
      </c>
      <c r="E3707" s="9" t="str">
        <f t="shared" si="846"/>
        <v>PSND'!</v>
      </c>
      <c r="F3707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07" s="6" t="s">
        <v>112</v>
      </c>
      <c r="H3707" s="1"/>
      <c r="I3707" s="1"/>
      <c r="J3707" s="1"/>
    </row>
    <row r="3708" spans="1:10" x14ac:dyDescent="0.35">
      <c r="A3708" s="6" t="s">
        <v>23</v>
      </c>
      <c r="B3708" s="6">
        <f t="shared" si="850"/>
        <v>2043</v>
      </c>
      <c r="C3708" s="1" t="s">
        <v>28</v>
      </c>
      <c r="D3708" s="2" t="s">
        <v>2003</v>
      </c>
      <c r="E3708" s="9" t="str">
        <f t="shared" si="846"/>
        <v>PSND'!</v>
      </c>
      <c r="F3708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08" s="6" t="s">
        <v>112</v>
      </c>
      <c r="H3708" s="1"/>
      <c r="I3708" s="1"/>
      <c r="J3708" s="1"/>
    </row>
    <row r="3709" spans="1:10" x14ac:dyDescent="0.35">
      <c r="A3709" s="6" t="s">
        <v>23</v>
      </c>
      <c r="B3709" s="6">
        <f>+B3708+1</f>
        <v>2044</v>
      </c>
      <c r="C3709" s="1" t="s">
        <v>28</v>
      </c>
      <c r="D3709" s="2" t="s">
        <v>2003</v>
      </c>
      <c r="E3709" s="9" t="str">
        <f t="shared" ref="E3709:E3724" si="851">_xlfn.CONCAT(A3709,"'!")</f>
        <v>PSND'!</v>
      </c>
      <c r="F3709" s="5" t="str">
        <f t="shared" ref="F3709:F3724" si="852">_xlfn.CONCAT(D3709," ",E3709)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09" s="6" t="s">
        <v>112</v>
      </c>
      <c r="H3709" s="1"/>
      <c r="I3709" s="1"/>
      <c r="J3709" s="1"/>
    </row>
    <row r="3710" spans="1:10" x14ac:dyDescent="0.35">
      <c r="A3710" s="6" t="s">
        <v>23</v>
      </c>
      <c r="B3710" s="6">
        <f t="shared" ref="B3710:B3724" si="853">+B3709+1</f>
        <v>2045</v>
      </c>
      <c r="C3710" s="1" t="s">
        <v>28</v>
      </c>
      <c r="D3710" s="2" t="s">
        <v>2003</v>
      </c>
      <c r="E3710" s="9" t="str">
        <f t="shared" si="851"/>
        <v>PSND'!</v>
      </c>
      <c r="F3710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10" s="6" t="s">
        <v>112</v>
      </c>
      <c r="H3710" s="1"/>
      <c r="I3710" s="1"/>
      <c r="J3710" s="1"/>
    </row>
    <row r="3711" spans="1:10" x14ac:dyDescent="0.35">
      <c r="A3711" s="6" t="s">
        <v>23</v>
      </c>
      <c r="B3711" s="6">
        <f t="shared" si="853"/>
        <v>2046</v>
      </c>
      <c r="C3711" s="1" t="s">
        <v>28</v>
      </c>
      <c r="D3711" s="2" t="s">
        <v>2003</v>
      </c>
      <c r="E3711" s="9" t="str">
        <f t="shared" si="851"/>
        <v>PSND'!</v>
      </c>
      <c r="F3711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11" s="6" t="s">
        <v>112</v>
      </c>
      <c r="H3711" s="1"/>
      <c r="I3711" s="1"/>
      <c r="J3711" s="1"/>
    </row>
    <row r="3712" spans="1:10" x14ac:dyDescent="0.35">
      <c r="A3712" s="6" t="s">
        <v>23</v>
      </c>
      <c r="B3712" s="6">
        <f t="shared" si="853"/>
        <v>2047</v>
      </c>
      <c r="C3712" s="1" t="s">
        <v>28</v>
      </c>
      <c r="D3712" s="2" t="s">
        <v>2003</v>
      </c>
      <c r="E3712" s="9" t="str">
        <f t="shared" si="851"/>
        <v>PSND'!</v>
      </c>
      <c r="F3712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12" s="6" t="s">
        <v>112</v>
      </c>
      <c r="H3712" s="1"/>
      <c r="I3712" s="1"/>
      <c r="J3712" s="1"/>
    </row>
    <row r="3713" spans="1:10" x14ac:dyDescent="0.35">
      <c r="A3713" s="6" t="s">
        <v>23</v>
      </c>
      <c r="B3713" s="6">
        <f t="shared" si="853"/>
        <v>2048</v>
      </c>
      <c r="C3713" s="1" t="s">
        <v>28</v>
      </c>
      <c r="D3713" s="2" t="s">
        <v>2003</v>
      </c>
      <c r="E3713" s="9" t="str">
        <f t="shared" si="851"/>
        <v>PSND'!</v>
      </c>
      <c r="F3713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13" s="6" t="s">
        <v>112</v>
      </c>
      <c r="H3713" s="1"/>
      <c r="I3713" s="1"/>
      <c r="J3713" s="1"/>
    </row>
    <row r="3714" spans="1:10" x14ac:dyDescent="0.35">
      <c r="A3714" s="6" t="s">
        <v>23</v>
      </c>
      <c r="B3714" s="6">
        <f t="shared" si="853"/>
        <v>2049</v>
      </c>
      <c r="C3714" s="1" t="s">
        <v>28</v>
      </c>
      <c r="D3714" s="2" t="s">
        <v>2003</v>
      </c>
      <c r="E3714" s="9" t="str">
        <f t="shared" si="851"/>
        <v>PSND'!</v>
      </c>
      <c r="F3714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14" s="6" t="s">
        <v>112</v>
      </c>
      <c r="H3714" s="1"/>
      <c r="I3714" s="1"/>
      <c r="J3714" s="1"/>
    </row>
    <row r="3715" spans="1:10" x14ac:dyDescent="0.35">
      <c r="A3715" s="6" t="s">
        <v>23</v>
      </c>
      <c r="B3715" s="6">
        <f t="shared" si="853"/>
        <v>2050</v>
      </c>
      <c r="C3715" s="1" t="s">
        <v>28</v>
      </c>
      <c r="D3715" s="2" t="s">
        <v>2003</v>
      </c>
      <c r="E3715" s="9" t="str">
        <f t="shared" si="851"/>
        <v>PSND'!</v>
      </c>
      <c r="F3715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15" s="6" t="s">
        <v>112</v>
      </c>
      <c r="H3715" s="1"/>
      <c r="I3715" s="1"/>
      <c r="J3715" s="1"/>
    </row>
    <row r="3716" spans="1:10" x14ac:dyDescent="0.35">
      <c r="A3716" s="6" t="s">
        <v>23</v>
      </c>
      <c r="B3716" s="6">
        <f t="shared" si="853"/>
        <v>2051</v>
      </c>
      <c r="C3716" s="1" t="s">
        <v>28</v>
      </c>
      <c r="D3716" s="2" t="s">
        <v>2003</v>
      </c>
      <c r="E3716" s="9" t="str">
        <f t="shared" si="851"/>
        <v>PSND'!</v>
      </c>
      <c r="F3716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16" s="6" t="s">
        <v>112</v>
      </c>
      <c r="H3716" s="1"/>
      <c r="I3716" s="1"/>
      <c r="J3716" s="1"/>
    </row>
    <row r="3717" spans="1:10" x14ac:dyDescent="0.35">
      <c r="A3717" s="6" t="s">
        <v>23</v>
      </c>
      <c r="B3717" s="6">
        <f t="shared" si="853"/>
        <v>2052</v>
      </c>
      <c r="C3717" s="1" t="s">
        <v>28</v>
      </c>
      <c r="D3717" s="2" t="s">
        <v>2003</v>
      </c>
      <c r="E3717" s="9" t="str">
        <f t="shared" si="851"/>
        <v>PSND'!</v>
      </c>
      <c r="F3717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17" s="6" t="s">
        <v>112</v>
      </c>
      <c r="H3717" s="1"/>
      <c r="I3717" s="1"/>
      <c r="J3717" s="1"/>
    </row>
    <row r="3718" spans="1:10" x14ac:dyDescent="0.35">
      <c r="A3718" s="6" t="s">
        <v>23</v>
      </c>
      <c r="B3718" s="6">
        <f t="shared" si="853"/>
        <v>2053</v>
      </c>
      <c r="C3718" s="1" t="s">
        <v>28</v>
      </c>
      <c r="D3718" s="2" t="s">
        <v>2003</v>
      </c>
      <c r="E3718" s="9" t="str">
        <f t="shared" si="851"/>
        <v>PSND'!</v>
      </c>
      <c r="F3718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18" s="6" t="s">
        <v>112</v>
      </c>
      <c r="H3718" s="1"/>
      <c r="I3718" s="1"/>
      <c r="J3718" s="1"/>
    </row>
    <row r="3719" spans="1:10" x14ac:dyDescent="0.35">
      <c r="A3719" s="6" t="s">
        <v>23</v>
      </c>
      <c r="B3719" s="6">
        <f t="shared" si="853"/>
        <v>2054</v>
      </c>
      <c r="C3719" s="1" t="s">
        <v>28</v>
      </c>
      <c r="D3719" s="2" t="s">
        <v>2003</v>
      </c>
      <c r="E3719" s="9" t="str">
        <f t="shared" si="851"/>
        <v>PSND'!</v>
      </c>
      <c r="F3719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19" s="6" t="s">
        <v>112</v>
      </c>
      <c r="H3719" s="1"/>
      <c r="I3719" s="1"/>
      <c r="J3719" s="1"/>
    </row>
    <row r="3720" spans="1:10" x14ac:dyDescent="0.35">
      <c r="A3720" s="6" t="s">
        <v>23</v>
      </c>
      <c r="B3720" s="6">
        <f t="shared" si="853"/>
        <v>2055</v>
      </c>
      <c r="C3720" s="1" t="s">
        <v>28</v>
      </c>
      <c r="D3720" s="2" t="s">
        <v>2003</v>
      </c>
      <c r="E3720" s="9" t="str">
        <f t="shared" si="851"/>
        <v>PSND'!</v>
      </c>
      <c r="F3720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20" s="6" t="s">
        <v>112</v>
      </c>
      <c r="H3720" s="1"/>
      <c r="I3720" s="1"/>
      <c r="J3720" s="1"/>
    </row>
    <row r="3721" spans="1:10" x14ac:dyDescent="0.35">
      <c r="A3721" s="6" t="s">
        <v>23</v>
      </c>
      <c r="B3721" s="6">
        <f t="shared" si="853"/>
        <v>2056</v>
      </c>
      <c r="C3721" s="1" t="s">
        <v>28</v>
      </c>
      <c r="D3721" s="2" t="s">
        <v>2003</v>
      </c>
      <c r="E3721" s="9" t="str">
        <f t="shared" si="851"/>
        <v>PSND'!</v>
      </c>
      <c r="F3721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21" s="6" t="s">
        <v>112</v>
      </c>
      <c r="H3721" s="1"/>
      <c r="I3721" s="1"/>
      <c r="J3721" s="1"/>
    </row>
    <row r="3722" spans="1:10" x14ac:dyDescent="0.35">
      <c r="A3722" s="6" t="s">
        <v>23</v>
      </c>
      <c r="B3722" s="6">
        <f t="shared" si="853"/>
        <v>2057</v>
      </c>
      <c r="C3722" s="1" t="s">
        <v>28</v>
      </c>
      <c r="D3722" s="2" t="s">
        <v>2003</v>
      </c>
      <c r="E3722" s="9" t="str">
        <f t="shared" si="851"/>
        <v>PSND'!</v>
      </c>
      <c r="F3722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22" s="6" t="s">
        <v>112</v>
      </c>
      <c r="H3722" s="1"/>
      <c r="I3722" s="1"/>
      <c r="J3722" s="1"/>
    </row>
    <row r="3723" spans="1:10" x14ac:dyDescent="0.35">
      <c r="A3723" s="6" t="s">
        <v>23</v>
      </c>
      <c r="B3723" s="6">
        <f t="shared" si="853"/>
        <v>2058</v>
      </c>
      <c r="C3723" s="1" t="s">
        <v>28</v>
      </c>
      <c r="D3723" s="2" t="s">
        <v>2003</v>
      </c>
      <c r="E3723" s="9" t="str">
        <f t="shared" si="851"/>
        <v>PSND'!</v>
      </c>
      <c r="F3723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23" s="6" t="s">
        <v>112</v>
      </c>
      <c r="H3723" s="1"/>
      <c r="I3723" s="1"/>
      <c r="J3723" s="1"/>
    </row>
    <row r="3724" spans="1:10" x14ac:dyDescent="0.35">
      <c r="A3724" s="6" t="s">
        <v>23</v>
      </c>
      <c r="B3724" s="6">
        <f t="shared" si="853"/>
        <v>2059</v>
      </c>
      <c r="C3724" s="1" t="s">
        <v>28</v>
      </c>
      <c r="D3724" s="2" t="s">
        <v>2003</v>
      </c>
      <c r="E3724" s="9" t="str">
        <f t="shared" si="851"/>
        <v>PSND'!</v>
      </c>
      <c r="F3724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24" s="6" t="s">
        <v>112</v>
      </c>
      <c r="H3724" s="1"/>
      <c r="I3724" s="1"/>
      <c r="J3724" s="1"/>
    </row>
    <row r="3725" spans="1:10" x14ac:dyDescent="0.35">
      <c r="A3725" s="6" t="s">
        <v>26</v>
      </c>
      <c r="B3725" s="6"/>
      <c r="C3725" s="1" t="s">
        <v>28</v>
      </c>
      <c r="D3725" s="2"/>
      <c r="E3725" s="9"/>
      <c r="F3725" s="2"/>
      <c r="G3725" s="6"/>
      <c r="H3725" s="1"/>
      <c r="I3725" s="1"/>
      <c r="J3725" s="12"/>
    </row>
    <row r="3726" spans="1:10" x14ac:dyDescent="0.35">
      <c r="A3726" s="6" t="s">
        <v>24</v>
      </c>
      <c r="B3726" s="6">
        <v>2023</v>
      </c>
      <c r="C3726" s="1" t="s">
        <v>28</v>
      </c>
      <c r="D3726" s="2" t="s">
        <v>2003</v>
      </c>
      <c r="E3726" s="9" t="str">
        <f t="shared" ref="E3726:E3746" si="854">_xlfn.CONCAT(A3726,"'!")</f>
        <v>PS'!</v>
      </c>
      <c r="F3726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26" s="6" t="s">
        <v>112</v>
      </c>
      <c r="H3726" s="1">
        <f>IF(A3726&lt;&gt;A3596,36,H3596+1)</f>
        <v>36</v>
      </c>
      <c r="I3726" s="1" t="str">
        <f t="shared" ref="I3726:I3746" si="855">_xlfn.CONCAT("='",F3726:H3726)</f>
        <v>='C:\Users\jaime.benazar\Quorum Business Solutions\Ecopetrol Prometeo - Documents\Planning Space Implementation\3. Analysis &amp; Design\Design\FC22\DRR Jaime\Por presentar a ECP\Cantagallo\Cristalina\[VRC_CRISTALINA_CF_SEC_20221231.xlsx]CF PS'!$BB$36</v>
      </c>
      <c r="J3726" s="1" t="s">
        <v>3632</v>
      </c>
    </row>
    <row r="3727" spans="1:10" x14ac:dyDescent="0.35">
      <c r="A3727" s="6" t="s">
        <v>24</v>
      </c>
      <c r="B3727" s="6">
        <f>+B3726+1</f>
        <v>2024</v>
      </c>
      <c r="C3727" s="1" t="s">
        <v>28</v>
      </c>
      <c r="D3727" s="2" t="s">
        <v>2003</v>
      </c>
      <c r="E3727" s="9" t="str">
        <f t="shared" si="854"/>
        <v>PS'!</v>
      </c>
      <c r="F3727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27" s="6" t="s">
        <v>112</v>
      </c>
      <c r="H3727" s="1">
        <f t="shared" ref="H3727:H3746" si="856">IF(A3727&lt;&gt;A3726,36,H3726+1)</f>
        <v>37</v>
      </c>
      <c r="I3727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PS'!$BB$37</v>
      </c>
      <c r="J3727" s="1" t="s">
        <v>3633</v>
      </c>
    </row>
    <row r="3728" spans="1:10" x14ac:dyDescent="0.35">
      <c r="A3728" s="6" t="s">
        <v>24</v>
      </c>
      <c r="B3728" s="6">
        <f t="shared" ref="B3728:B3739" si="857">+B3727+1</f>
        <v>2025</v>
      </c>
      <c r="C3728" s="1" t="s">
        <v>28</v>
      </c>
      <c r="D3728" s="2" t="s">
        <v>2003</v>
      </c>
      <c r="E3728" s="9" t="str">
        <f t="shared" si="854"/>
        <v>PS'!</v>
      </c>
      <c r="F3728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28" s="6" t="s">
        <v>112</v>
      </c>
      <c r="H3728" s="1">
        <f t="shared" si="856"/>
        <v>38</v>
      </c>
      <c r="I3728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PS'!$BB$38</v>
      </c>
      <c r="J3728" s="1" t="s">
        <v>3634</v>
      </c>
    </row>
    <row r="3729" spans="1:10" x14ac:dyDescent="0.35">
      <c r="A3729" s="6" t="s">
        <v>24</v>
      </c>
      <c r="B3729" s="6">
        <f t="shared" si="857"/>
        <v>2026</v>
      </c>
      <c r="C3729" s="1" t="s">
        <v>28</v>
      </c>
      <c r="D3729" s="2" t="s">
        <v>2003</v>
      </c>
      <c r="E3729" s="9" t="str">
        <f t="shared" si="854"/>
        <v>PS'!</v>
      </c>
      <c r="F3729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29" s="6" t="s">
        <v>112</v>
      </c>
      <c r="H3729" s="1">
        <f t="shared" si="856"/>
        <v>39</v>
      </c>
      <c r="I3729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PS'!$BB$39</v>
      </c>
      <c r="J3729" s="1" t="s">
        <v>3635</v>
      </c>
    </row>
    <row r="3730" spans="1:10" x14ac:dyDescent="0.35">
      <c r="A3730" s="6" t="s">
        <v>24</v>
      </c>
      <c r="B3730" s="6">
        <f t="shared" si="857"/>
        <v>2027</v>
      </c>
      <c r="C3730" s="1" t="s">
        <v>28</v>
      </c>
      <c r="D3730" s="2" t="s">
        <v>2003</v>
      </c>
      <c r="E3730" s="9" t="str">
        <f t="shared" si="854"/>
        <v>PS'!</v>
      </c>
      <c r="F3730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30" s="6" t="s">
        <v>112</v>
      </c>
      <c r="H3730" s="1">
        <f t="shared" si="856"/>
        <v>40</v>
      </c>
      <c r="I3730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PS'!$BB$40</v>
      </c>
      <c r="J3730" s="1" t="s">
        <v>3636</v>
      </c>
    </row>
    <row r="3731" spans="1:10" x14ac:dyDescent="0.35">
      <c r="A3731" s="6" t="s">
        <v>24</v>
      </c>
      <c r="B3731" s="6">
        <f t="shared" si="857"/>
        <v>2028</v>
      </c>
      <c r="C3731" s="1" t="s">
        <v>28</v>
      </c>
      <c r="D3731" s="2" t="s">
        <v>2003</v>
      </c>
      <c r="E3731" s="9" t="str">
        <f t="shared" si="854"/>
        <v>PS'!</v>
      </c>
      <c r="F3731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31" s="6" t="s">
        <v>112</v>
      </c>
      <c r="H3731" s="1">
        <f t="shared" si="856"/>
        <v>41</v>
      </c>
      <c r="I3731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PS'!$BB$41</v>
      </c>
      <c r="J3731" s="1" t="s">
        <v>3637</v>
      </c>
    </row>
    <row r="3732" spans="1:10" x14ac:dyDescent="0.35">
      <c r="A3732" s="6" t="s">
        <v>24</v>
      </c>
      <c r="B3732" s="6">
        <f t="shared" si="857"/>
        <v>2029</v>
      </c>
      <c r="C3732" s="1" t="s">
        <v>28</v>
      </c>
      <c r="D3732" s="2" t="s">
        <v>2003</v>
      </c>
      <c r="E3732" s="9" t="str">
        <f t="shared" si="854"/>
        <v>PS'!</v>
      </c>
      <c r="F3732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32" s="6" t="s">
        <v>112</v>
      </c>
      <c r="H3732" s="1">
        <f t="shared" si="856"/>
        <v>42</v>
      </c>
      <c r="I3732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PS'!$BB$42</v>
      </c>
      <c r="J3732" s="1" t="s">
        <v>3638</v>
      </c>
    </row>
    <row r="3733" spans="1:10" x14ac:dyDescent="0.35">
      <c r="A3733" s="6" t="s">
        <v>24</v>
      </c>
      <c r="B3733" s="6">
        <f t="shared" si="857"/>
        <v>2030</v>
      </c>
      <c r="C3733" s="1" t="s">
        <v>28</v>
      </c>
      <c r="D3733" s="2" t="s">
        <v>2003</v>
      </c>
      <c r="E3733" s="9" t="str">
        <f t="shared" si="854"/>
        <v>PS'!</v>
      </c>
      <c r="F3733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33" s="6" t="s">
        <v>112</v>
      </c>
      <c r="H3733" s="1">
        <f t="shared" si="856"/>
        <v>43</v>
      </c>
      <c r="I3733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PS'!$BB$43</v>
      </c>
      <c r="J3733" s="1" t="s">
        <v>3639</v>
      </c>
    </row>
    <row r="3734" spans="1:10" x14ac:dyDescent="0.35">
      <c r="A3734" s="6" t="s">
        <v>24</v>
      </c>
      <c r="B3734" s="6">
        <f t="shared" si="857"/>
        <v>2031</v>
      </c>
      <c r="C3734" s="1" t="s">
        <v>28</v>
      </c>
      <c r="D3734" s="2" t="s">
        <v>2003</v>
      </c>
      <c r="E3734" s="9" t="str">
        <f t="shared" si="854"/>
        <v>PS'!</v>
      </c>
      <c r="F3734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34" s="6" t="s">
        <v>112</v>
      </c>
      <c r="H3734" s="1">
        <f t="shared" si="856"/>
        <v>44</v>
      </c>
      <c r="I3734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PS'!$BB$44</v>
      </c>
      <c r="J3734" s="1" t="s">
        <v>3640</v>
      </c>
    </row>
    <row r="3735" spans="1:10" x14ac:dyDescent="0.35">
      <c r="A3735" s="6" t="s">
        <v>24</v>
      </c>
      <c r="B3735" s="6">
        <f t="shared" si="857"/>
        <v>2032</v>
      </c>
      <c r="C3735" s="1" t="s">
        <v>28</v>
      </c>
      <c r="D3735" s="2" t="s">
        <v>2003</v>
      </c>
      <c r="E3735" s="9" t="str">
        <f t="shared" si="854"/>
        <v>PS'!</v>
      </c>
      <c r="F3735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35" s="6" t="s">
        <v>112</v>
      </c>
      <c r="H3735" s="1">
        <f t="shared" si="856"/>
        <v>45</v>
      </c>
      <c r="I3735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PS'!$BB$45</v>
      </c>
      <c r="J3735" s="1" t="s">
        <v>3641</v>
      </c>
    </row>
    <row r="3736" spans="1:10" x14ac:dyDescent="0.35">
      <c r="A3736" s="6" t="s">
        <v>24</v>
      </c>
      <c r="B3736" s="6">
        <f t="shared" si="857"/>
        <v>2033</v>
      </c>
      <c r="C3736" s="1" t="s">
        <v>28</v>
      </c>
      <c r="D3736" s="2" t="s">
        <v>2003</v>
      </c>
      <c r="E3736" s="9" t="str">
        <f t="shared" si="854"/>
        <v>PS'!</v>
      </c>
      <c r="F3736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36" s="6" t="s">
        <v>112</v>
      </c>
      <c r="H3736" s="1">
        <f t="shared" si="856"/>
        <v>46</v>
      </c>
      <c r="I3736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PS'!$BB$46</v>
      </c>
      <c r="J3736" s="1" t="s">
        <v>3642</v>
      </c>
    </row>
    <row r="3737" spans="1:10" x14ac:dyDescent="0.35">
      <c r="A3737" s="6" t="s">
        <v>24</v>
      </c>
      <c r="B3737" s="6">
        <f t="shared" si="857"/>
        <v>2034</v>
      </c>
      <c r="C3737" s="1" t="s">
        <v>28</v>
      </c>
      <c r="D3737" s="2" t="s">
        <v>2003</v>
      </c>
      <c r="E3737" s="9" t="str">
        <f t="shared" si="854"/>
        <v>PS'!</v>
      </c>
      <c r="F3737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37" s="6" t="s">
        <v>112</v>
      </c>
      <c r="H3737" s="1">
        <f t="shared" si="856"/>
        <v>47</v>
      </c>
      <c r="I3737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PS'!$BB$47</v>
      </c>
      <c r="J3737" s="1" t="s">
        <v>3643</v>
      </c>
    </row>
    <row r="3738" spans="1:10" x14ac:dyDescent="0.35">
      <c r="A3738" s="6" t="s">
        <v>24</v>
      </c>
      <c r="B3738" s="6">
        <f t="shared" si="857"/>
        <v>2035</v>
      </c>
      <c r="C3738" s="1" t="s">
        <v>28</v>
      </c>
      <c r="D3738" s="2" t="s">
        <v>2003</v>
      </c>
      <c r="E3738" s="9" t="str">
        <f t="shared" si="854"/>
        <v>PS'!</v>
      </c>
      <c r="F3738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38" s="6" t="s">
        <v>112</v>
      </c>
      <c r="H3738" s="1">
        <f t="shared" si="856"/>
        <v>48</v>
      </c>
      <c r="I3738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PS'!$BB$48</v>
      </c>
      <c r="J3738" s="1" t="s">
        <v>3644</v>
      </c>
    </row>
    <row r="3739" spans="1:10" x14ac:dyDescent="0.35">
      <c r="A3739" s="6" t="s">
        <v>24</v>
      </c>
      <c r="B3739" s="6">
        <f t="shared" si="857"/>
        <v>2036</v>
      </c>
      <c r="C3739" s="1" t="s">
        <v>28</v>
      </c>
      <c r="D3739" s="2" t="s">
        <v>2003</v>
      </c>
      <c r="E3739" s="9" t="str">
        <f t="shared" si="854"/>
        <v>PS'!</v>
      </c>
      <c r="F3739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39" s="6" t="s">
        <v>112</v>
      </c>
      <c r="H3739" s="1">
        <f t="shared" si="856"/>
        <v>49</v>
      </c>
      <c r="I3739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PS'!$BB$49</v>
      </c>
      <c r="J3739" s="1" t="s">
        <v>3645</v>
      </c>
    </row>
    <row r="3740" spans="1:10" x14ac:dyDescent="0.35">
      <c r="A3740" s="6" t="s">
        <v>24</v>
      </c>
      <c r="B3740" s="6">
        <f>+B3739+1</f>
        <v>2037</v>
      </c>
      <c r="C3740" s="1" t="s">
        <v>28</v>
      </c>
      <c r="D3740" s="2" t="s">
        <v>2003</v>
      </c>
      <c r="E3740" s="9" t="str">
        <f t="shared" si="854"/>
        <v>PS'!</v>
      </c>
      <c r="F3740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40" s="6" t="s">
        <v>112</v>
      </c>
      <c r="H3740" s="1">
        <f t="shared" si="856"/>
        <v>50</v>
      </c>
      <c r="I3740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PS'!$BB$50</v>
      </c>
      <c r="J3740" s="1" t="s">
        <v>3646</v>
      </c>
    </row>
    <row r="3741" spans="1:10" x14ac:dyDescent="0.35">
      <c r="A3741" s="6" t="s">
        <v>24</v>
      </c>
      <c r="B3741" s="6">
        <f t="shared" ref="B3741:B3743" si="858">+B3740+1</f>
        <v>2038</v>
      </c>
      <c r="C3741" s="1" t="s">
        <v>28</v>
      </c>
      <c r="D3741" s="2" t="s">
        <v>2003</v>
      </c>
      <c r="E3741" s="9" t="str">
        <f t="shared" si="854"/>
        <v>PS'!</v>
      </c>
      <c r="F3741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41" s="6" t="s">
        <v>112</v>
      </c>
      <c r="H3741" s="1">
        <f t="shared" si="856"/>
        <v>51</v>
      </c>
      <c r="I3741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PS'!$BB$51</v>
      </c>
      <c r="J3741" s="1" t="s">
        <v>3647</v>
      </c>
    </row>
    <row r="3742" spans="1:10" x14ac:dyDescent="0.35">
      <c r="A3742" s="6" t="s">
        <v>24</v>
      </c>
      <c r="B3742" s="6">
        <f t="shared" si="858"/>
        <v>2039</v>
      </c>
      <c r="C3742" s="1" t="s">
        <v>28</v>
      </c>
      <c r="D3742" s="2" t="s">
        <v>2003</v>
      </c>
      <c r="E3742" s="9" t="str">
        <f t="shared" si="854"/>
        <v>PS'!</v>
      </c>
      <c r="F3742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42" s="6" t="s">
        <v>112</v>
      </c>
      <c r="H3742" s="1">
        <f t="shared" si="856"/>
        <v>52</v>
      </c>
      <c r="I3742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PS'!$BB$52</v>
      </c>
      <c r="J3742" s="1" t="s">
        <v>3648</v>
      </c>
    </row>
    <row r="3743" spans="1:10" x14ac:dyDescent="0.35">
      <c r="A3743" s="6" t="s">
        <v>24</v>
      </c>
      <c r="B3743" s="6">
        <f t="shared" si="858"/>
        <v>2040</v>
      </c>
      <c r="C3743" s="1" t="s">
        <v>28</v>
      </c>
      <c r="D3743" s="2" t="s">
        <v>2003</v>
      </c>
      <c r="E3743" s="9" t="str">
        <f t="shared" si="854"/>
        <v>PS'!</v>
      </c>
      <c r="F3743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43" s="6" t="s">
        <v>112</v>
      </c>
      <c r="H3743" s="1">
        <f t="shared" si="856"/>
        <v>53</v>
      </c>
      <c r="I3743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PS'!$BB$53</v>
      </c>
      <c r="J3743" s="1" t="s">
        <v>3649</v>
      </c>
    </row>
    <row r="3744" spans="1:10" x14ac:dyDescent="0.35">
      <c r="A3744" s="6" t="s">
        <v>24</v>
      </c>
      <c r="B3744" s="6">
        <f>+B3743+1</f>
        <v>2041</v>
      </c>
      <c r="C3744" s="1" t="s">
        <v>28</v>
      </c>
      <c r="D3744" s="2" t="s">
        <v>2003</v>
      </c>
      <c r="E3744" s="9" t="str">
        <f t="shared" si="854"/>
        <v>PS'!</v>
      </c>
      <c r="F3744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44" s="6" t="s">
        <v>112</v>
      </c>
      <c r="H3744" s="1">
        <f t="shared" si="856"/>
        <v>54</v>
      </c>
      <c r="I3744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PS'!$BB$54</v>
      </c>
      <c r="J3744" s="1" t="s">
        <v>3650</v>
      </c>
    </row>
    <row r="3745" spans="1:10" x14ac:dyDescent="0.35">
      <c r="A3745" s="6" t="s">
        <v>24</v>
      </c>
      <c r="B3745" s="6">
        <f t="shared" ref="B3745:B3746" si="859">+B3744+1</f>
        <v>2042</v>
      </c>
      <c r="C3745" s="1" t="s">
        <v>28</v>
      </c>
      <c r="D3745" s="2" t="s">
        <v>2003</v>
      </c>
      <c r="E3745" s="9" t="str">
        <f t="shared" si="854"/>
        <v>PS'!</v>
      </c>
      <c r="F3745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45" s="6" t="s">
        <v>112</v>
      </c>
      <c r="H3745" s="1">
        <f t="shared" si="856"/>
        <v>55</v>
      </c>
      <c r="I3745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PS'!$BB$55</v>
      </c>
      <c r="J3745" s="1" t="s">
        <v>3651</v>
      </c>
    </row>
    <row r="3746" spans="1:10" x14ac:dyDescent="0.35">
      <c r="A3746" s="6" t="s">
        <v>24</v>
      </c>
      <c r="B3746" s="6">
        <f t="shared" si="859"/>
        <v>2043</v>
      </c>
      <c r="C3746" s="1" t="s">
        <v>28</v>
      </c>
      <c r="D3746" s="2" t="s">
        <v>2003</v>
      </c>
      <c r="E3746" s="9" t="str">
        <f t="shared" si="854"/>
        <v>PS'!</v>
      </c>
      <c r="F3746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46" s="6" t="s">
        <v>112</v>
      </c>
      <c r="H3746" s="1">
        <f t="shared" si="856"/>
        <v>56</v>
      </c>
      <c r="I3746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PS'!$BB$56</v>
      </c>
      <c r="J3746" s="1" t="s">
        <v>3652</v>
      </c>
    </row>
    <row r="3747" spans="1:10" x14ac:dyDescent="0.35">
      <c r="A3747" s="6" t="s">
        <v>24</v>
      </c>
      <c r="B3747" s="6">
        <f>+B3746+1</f>
        <v>2044</v>
      </c>
      <c r="C3747" s="1" t="s">
        <v>28</v>
      </c>
      <c r="D3747" s="2" t="s">
        <v>2003</v>
      </c>
      <c r="E3747" s="9" t="str">
        <f t="shared" ref="E3747:E3762" si="860">_xlfn.CONCAT(A3747,"'!")</f>
        <v>PS'!</v>
      </c>
      <c r="F3747" s="5" t="str">
        <f t="shared" ref="F3747:F3762" si="861">_xlfn.CONCAT(D3747," ",E3747)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47" s="6" t="s">
        <v>112</v>
      </c>
      <c r="H3747" s="1">
        <f t="shared" ref="H3747:H3762" si="862">IF(A3747&lt;&gt;A3746,36,H3746+1)</f>
        <v>57</v>
      </c>
      <c r="I3747" s="1" t="str">
        <f t="shared" ref="I3747:I3762" si="863">_xlfn.CONCAT("='",F3747:H3747)</f>
        <v>='C:\Users\jaime.benazar\Quorum Business Solutions\Ecopetrol Prometeo - Documents\Planning Space Implementation\3. Analysis &amp; Design\Design\FC22\DRR Jaime\Por presentar a ECP\Cantagallo\Cristalina\[VRC_CRISTALINA_CF_SEC_20221231.xlsx]CF PS'!$BB$57</v>
      </c>
      <c r="J3747" s="1" t="s">
        <v>3653</v>
      </c>
    </row>
    <row r="3748" spans="1:10" x14ac:dyDescent="0.35">
      <c r="A3748" s="6" t="s">
        <v>24</v>
      </c>
      <c r="B3748" s="6">
        <f t="shared" ref="B3748:B3762" si="864">+B3747+1</f>
        <v>2045</v>
      </c>
      <c r="C3748" s="1" t="s">
        <v>28</v>
      </c>
      <c r="D3748" s="2" t="s">
        <v>2003</v>
      </c>
      <c r="E3748" s="9" t="str">
        <f t="shared" si="860"/>
        <v>PS'!</v>
      </c>
      <c r="F3748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48" s="6" t="s">
        <v>112</v>
      </c>
      <c r="H3748" s="1">
        <f t="shared" si="862"/>
        <v>58</v>
      </c>
      <c r="I3748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PS'!$BB$58</v>
      </c>
      <c r="J3748" s="1" t="s">
        <v>3654</v>
      </c>
    </row>
    <row r="3749" spans="1:10" x14ac:dyDescent="0.35">
      <c r="A3749" s="6" t="s">
        <v>24</v>
      </c>
      <c r="B3749" s="6">
        <f t="shared" si="864"/>
        <v>2046</v>
      </c>
      <c r="C3749" s="1" t="s">
        <v>28</v>
      </c>
      <c r="D3749" s="2" t="s">
        <v>2003</v>
      </c>
      <c r="E3749" s="9" t="str">
        <f t="shared" si="860"/>
        <v>PS'!</v>
      </c>
      <c r="F3749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49" s="6" t="s">
        <v>112</v>
      </c>
      <c r="H3749" s="1">
        <f t="shared" si="862"/>
        <v>59</v>
      </c>
      <c r="I3749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PS'!$BB$59</v>
      </c>
      <c r="J3749" s="1" t="s">
        <v>3655</v>
      </c>
    </row>
    <row r="3750" spans="1:10" x14ac:dyDescent="0.35">
      <c r="A3750" s="6" t="s">
        <v>24</v>
      </c>
      <c r="B3750" s="6">
        <f t="shared" si="864"/>
        <v>2047</v>
      </c>
      <c r="C3750" s="1" t="s">
        <v>28</v>
      </c>
      <c r="D3750" s="2" t="s">
        <v>2003</v>
      </c>
      <c r="E3750" s="9" t="str">
        <f t="shared" si="860"/>
        <v>PS'!</v>
      </c>
      <c r="F3750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50" s="6" t="s">
        <v>112</v>
      </c>
      <c r="H3750" s="1">
        <f t="shared" si="862"/>
        <v>60</v>
      </c>
      <c r="I3750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PS'!$BB$60</v>
      </c>
      <c r="J3750" s="1" t="s">
        <v>3656</v>
      </c>
    </row>
    <row r="3751" spans="1:10" x14ac:dyDescent="0.35">
      <c r="A3751" s="6" t="s">
        <v>24</v>
      </c>
      <c r="B3751" s="6">
        <f t="shared" si="864"/>
        <v>2048</v>
      </c>
      <c r="C3751" s="1" t="s">
        <v>28</v>
      </c>
      <c r="D3751" s="2" t="s">
        <v>2003</v>
      </c>
      <c r="E3751" s="9" t="str">
        <f t="shared" si="860"/>
        <v>PS'!</v>
      </c>
      <c r="F3751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51" s="6" t="s">
        <v>112</v>
      </c>
      <c r="H3751" s="1">
        <f t="shared" si="862"/>
        <v>61</v>
      </c>
      <c r="I3751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PS'!$BB$61</v>
      </c>
      <c r="J3751" s="1" t="s">
        <v>3657</v>
      </c>
    </row>
    <row r="3752" spans="1:10" x14ac:dyDescent="0.35">
      <c r="A3752" s="6" t="s">
        <v>24</v>
      </c>
      <c r="B3752" s="6">
        <f t="shared" si="864"/>
        <v>2049</v>
      </c>
      <c r="C3752" s="1" t="s">
        <v>28</v>
      </c>
      <c r="D3752" s="2" t="s">
        <v>2003</v>
      </c>
      <c r="E3752" s="9" t="str">
        <f t="shared" si="860"/>
        <v>PS'!</v>
      </c>
      <c r="F3752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52" s="6" t="s">
        <v>112</v>
      </c>
      <c r="H3752" s="1">
        <f t="shared" si="862"/>
        <v>62</v>
      </c>
      <c r="I3752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PS'!$BB$62</v>
      </c>
      <c r="J3752" s="1" t="s">
        <v>3658</v>
      </c>
    </row>
    <row r="3753" spans="1:10" x14ac:dyDescent="0.35">
      <c r="A3753" s="6" t="s">
        <v>24</v>
      </c>
      <c r="B3753" s="6">
        <f t="shared" si="864"/>
        <v>2050</v>
      </c>
      <c r="C3753" s="1" t="s">
        <v>28</v>
      </c>
      <c r="D3753" s="2" t="s">
        <v>2003</v>
      </c>
      <c r="E3753" s="9" t="str">
        <f t="shared" si="860"/>
        <v>PS'!</v>
      </c>
      <c r="F3753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53" s="6" t="s">
        <v>112</v>
      </c>
      <c r="H3753" s="1">
        <f t="shared" si="862"/>
        <v>63</v>
      </c>
      <c r="I3753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PS'!$BB$63</v>
      </c>
      <c r="J3753" s="1" t="s">
        <v>3659</v>
      </c>
    </row>
    <row r="3754" spans="1:10" x14ac:dyDescent="0.35">
      <c r="A3754" s="6" t="s">
        <v>24</v>
      </c>
      <c r="B3754" s="6">
        <f t="shared" si="864"/>
        <v>2051</v>
      </c>
      <c r="C3754" s="1" t="s">
        <v>28</v>
      </c>
      <c r="D3754" s="2" t="s">
        <v>2003</v>
      </c>
      <c r="E3754" s="9" t="str">
        <f t="shared" si="860"/>
        <v>PS'!</v>
      </c>
      <c r="F3754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54" s="6" t="s">
        <v>112</v>
      </c>
      <c r="H3754" s="1">
        <f t="shared" si="862"/>
        <v>64</v>
      </c>
      <c r="I3754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PS'!$BB$64</v>
      </c>
      <c r="J3754" s="1" t="s">
        <v>3660</v>
      </c>
    </row>
    <row r="3755" spans="1:10" x14ac:dyDescent="0.35">
      <c r="A3755" s="6" t="s">
        <v>24</v>
      </c>
      <c r="B3755" s="6">
        <f t="shared" si="864"/>
        <v>2052</v>
      </c>
      <c r="C3755" s="1" t="s">
        <v>28</v>
      </c>
      <c r="D3755" s="2" t="s">
        <v>2003</v>
      </c>
      <c r="E3755" s="9" t="str">
        <f t="shared" si="860"/>
        <v>PS'!</v>
      </c>
      <c r="F3755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55" s="6" t="s">
        <v>112</v>
      </c>
      <c r="H3755" s="1">
        <f t="shared" si="862"/>
        <v>65</v>
      </c>
      <c r="I3755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PS'!$BB$65</v>
      </c>
      <c r="J3755" s="1" t="s">
        <v>3661</v>
      </c>
    </row>
    <row r="3756" spans="1:10" x14ac:dyDescent="0.35">
      <c r="A3756" s="6" t="s">
        <v>24</v>
      </c>
      <c r="B3756" s="6">
        <f t="shared" si="864"/>
        <v>2053</v>
      </c>
      <c r="C3756" s="1" t="s">
        <v>28</v>
      </c>
      <c r="D3756" s="2" t="s">
        <v>2003</v>
      </c>
      <c r="E3756" s="9" t="str">
        <f t="shared" si="860"/>
        <v>PS'!</v>
      </c>
      <c r="F3756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56" s="6" t="s">
        <v>112</v>
      </c>
      <c r="H3756" s="1">
        <f t="shared" si="862"/>
        <v>66</v>
      </c>
      <c r="I3756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PS'!$BB$66</v>
      </c>
      <c r="J3756" s="1" t="s">
        <v>3662</v>
      </c>
    </row>
    <row r="3757" spans="1:10" x14ac:dyDescent="0.35">
      <c r="A3757" s="6" t="s">
        <v>24</v>
      </c>
      <c r="B3757" s="6">
        <f t="shared" si="864"/>
        <v>2054</v>
      </c>
      <c r="C3757" s="1" t="s">
        <v>28</v>
      </c>
      <c r="D3757" s="2" t="s">
        <v>2003</v>
      </c>
      <c r="E3757" s="9" t="str">
        <f t="shared" si="860"/>
        <v>PS'!</v>
      </c>
      <c r="F3757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57" s="6" t="s">
        <v>112</v>
      </c>
      <c r="H3757" s="1">
        <f t="shared" si="862"/>
        <v>67</v>
      </c>
      <c r="I3757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PS'!$BB$67</v>
      </c>
      <c r="J3757" s="1" t="s">
        <v>3663</v>
      </c>
    </row>
    <row r="3758" spans="1:10" x14ac:dyDescent="0.35">
      <c r="A3758" s="6" t="s">
        <v>24</v>
      </c>
      <c r="B3758" s="6">
        <f t="shared" si="864"/>
        <v>2055</v>
      </c>
      <c r="C3758" s="1" t="s">
        <v>28</v>
      </c>
      <c r="D3758" s="2" t="s">
        <v>2003</v>
      </c>
      <c r="E3758" s="9" t="str">
        <f t="shared" si="860"/>
        <v>PS'!</v>
      </c>
      <c r="F3758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58" s="6" t="s">
        <v>112</v>
      </c>
      <c r="H3758" s="1">
        <f t="shared" si="862"/>
        <v>68</v>
      </c>
      <c r="I3758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PS'!$BB$68</v>
      </c>
      <c r="J3758" s="1" t="s">
        <v>3664</v>
      </c>
    </row>
    <row r="3759" spans="1:10" x14ac:dyDescent="0.35">
      <c r="A3759" s="6" t="s">
        <v>24</v>
      </c>
      <c r="B3759" s="6">
        <f t="shared" si="864"/>
        <v>2056</v>
      </c>
      <c r="C3759" s="1" t="s">
        <v>28</v>
      </c>
      <c r="D3759" s="2" t="s">
        <v>2003</v>
      </c>
      <c r="E3759" s="9" t="str">
        <f t="shared" si="860"/>
        <v>PS'!</v>
      </c>
      <c r="F3759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59" s="6" t="s">
        <v>112</v>
      </c>
      <c r="H3759" s="1">
        <f t="shared" si="862"/>
        <v>69</v>
      </c>
      <c r="I3759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PS'!$BB$69</v>
      </c>
      <c r="J3759" s="1" t="s">
        <v>3665</v>
      </c>
    </row>
    <row r="3760" spans="1:10" x14ac:dyDescent="0.35">
      <c r="A3760" s="6" t="s">
        <v>24</v>
      </c>
      <c r="B3760" s="6">
        <f t="shared" si="864"/>
        <v>2057</v>
      </c>
      <c r="C3760" s="1" t="s">
        <v>28</v>
      </c>
      <c r="D3760" s="2" t="s">
        <v>2003</v>
      </c>
      <c r="E3760" s="9" t="str">
        <f t="shared" si="860"/>
        <v>PS'!</v>
      </c>
      <c r="F3760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60" s="6" t="s">
        <v>112</v>
      </c>
      <c r="H3760" s="1">
        <f t="shared" si="862"/>
        <v>70</v>
      </c>
      <c r="I3760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PS'!$BB$70</v>
      </c>
      <c r="J3760" s="1" t="s">
        <v>3666</v>
      </c>
    </row>
    <row r="3761" spans="1:10" x14ac:dyDescent="0.35">
      <c r="A3761" s="6" t="s">
        <v>24</v>
      </c>
      <c r="B3761" s="6">
        <f t="shared" si="864"/>
        <v>2058</v>
      </c>
      <c r="C3761" s="1" t="s">
        <v>28</v>
      </c>
      <c r="D3761" s="2" t="s">
        <v>2003</v>
      </c>
      <c r="E3761" s="9" t="str">
        <f t="shared" si="860"/>
        <v>PS'!</v>
      </c>
      <c r="F3761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61" s="6" t="s">
        <v>112</v>
      </c>
      <c r="H3761" s="1">
        <f t="shared" si="862"/>
        <v>71</v>
      </c>
      <c r="I3761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PS'!$BB$71</v>
      </c>
      <c r="J3761" s="1" t="s">
        <v>3667</v>
      </c>
    </row>
    <row r="3762" spans="1:10" x14ac:dyDescent="0.35">
      <c r="A3762" s="6" t="s">
        <v>24</v>
      </c>
      <c r="B3762" s="6">
        <f t="shared" si="864"/>
        <v>2059</v>
      </c>
      <c r="C3762" s="1" t="s">
        <v>28</v>
      </c>
      <c r="D3762" s="2" t="s">
        <v>2003</v>
      </c>
      <c r="E3762" s="9" t="str">
        <f t="shared" si="860"/>
        <v>PS'!</v>
      </c>
      <c r="F3762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62" s="6" t="s">
        <v>112</v>
      </c>
      <c r="H3762" s="1">
        <f t="shared" si="862"/>
        <v>72</v>
      </c>
      <c r="I3762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PS'!$BB$72</v>
      </c>
      <c r="J3762" s="1" t="s">
        <v>3668</v>
      </c>
    </row>
    <row r="3763" spans="1:10" x14ac:dyDescent="0.35">
      <c r="A3763" s="6" t="s">
        <v>26</v>
      </c>
      <c r="B3763" s="6"/>
      <c r="C3763" s="1" t="s">
        <v>28</v>
      </c>
      <c r="D3763" s="2"/>
      <c r="E3763" s="9"/>
      <c r="F3763" s="2"/>
      <c r="G3763" s="6"/>
      <c r="H3763" s="1"/>
      <c r="I3763" s="1"/>
      <c r="J3763" s="4"/>
    </row>
    <row r="3764" spans="1:10" x14ac:dyDescent="0.35">
      <c r="A3764" s="6" t="s">
        <v>14</v>
      </c>
      <c r="B3764" s="6">
        <v>2023</v>
      </c>
      <c r="C3764" s="1" t="s">
        <v>43</v>
      </c>
      <c r="D3764" s="2" t="s">
        <v>2003</v>
      </c>
      <c r="E3764" s="9" t="str">
        <f>_xlfn.CONCAT(A3764,"'!")</f>
        <v>PDP'!</v>
      </c>
      <c r="F3764" s="5" t="str">
        <f t="shared" ref="F3764:F3784" si="865">_xlfn.CONCAT(D3764," ",E3764)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64" s="6" t="s">
        <v>113</v>
      </c>
      <c r="H3764" s="1">
        <f>IF(A3764&lt;&gt;A3763,36,H3763+1)</f>
        <v>36</v>
      </c>
      <c r="I3764" s="1" t="str">
        <f>_xlfn.CONCAT("='",F3764:H3764)</f>
        <v>='C:\Users\jaime.benazar\Quorum Business Solutions\Ecopetrol Prometeo - Documents\Planning Space Implementation\3. Analysis &amp; Design\Design\FC22\DRR Jaime\Por presentar a ECP\Cantagallo\Cristalina\[VRC_CRISTALINA_CF_SEC_20221231.xlsx]CF PDP'!$BY$36</v>
      </c>
      <c r="J3764" s="12" t="s">
        <v>3669</v>
      </c>
    </row>
    <row r="3765" spans="1:10" x14ac:dyDescent="0.35">
      <c r="A3765" s="6" t="s">
        <v>14</v>
      </c>
      <c r="B3765" s="6">
        <f>+B3764+1</f>
        <v>2024</v>
      </c>
      <c r="C3765" s="1" t="s">
        <v>43</v>
      </c>
      <c r="D3765" s="2" t="s">
        <v>2003</v>
      </c>
      <c r="E3765" s="9" t="str">
        <f t="shared" ref="E3765:E3822" si="866">_xlfn.CONCAT(A3765,"'!")</f>
        <v>PDP'!</v>
      </c>
      <c r="F3765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65" s="6" t="s">
        <v>113</v>
      </c>
      <c r="H3765" s="1">
        <f>IF(A3765&lt;&gt;A3764,36,H3764+1)</f>
        <v>37</v>
      </c>
      <c r="I3765" s="1" t="str">
        <f t="shared" ref="I3765:I3784" si="867">_xlfn.CONCAT("='",F3765:H3765)</f>
        <v>='C:\Users\jaime.benazar\Quorum Business Solutions\Ecopetrol Prometeo - Documents\Planning Space Implementation\3. Analysis &amp; Design\Design\FC22\DRR Jaime\Por presentar a ECP\Cantagallo\Cristalina\[VRC_CRISTALINA_CF_SEC_20221231.xlsx]CF PDP'!$BY$37</v>
      </c>
      <c r="J3765" s="1" t="s">
        <v>3670</v>
      </c>
    </row>
    <row r="3766" spans="1:10" x14ac:dyDescent="0.35">
      <c r="A3766" s="6" t="s">
        <v>14</v>
      </c>
      <c r="B3766" s="6">
        <f t="shared" ref="B3766:B3800" si="868">+B3765+1</f>
        <v>2025</v>
      </c>
      <c r="C3766" s="1" t="s">
        <v>43</v>
      </c>
      <c r="D3766" s="2" t="s">
        <v>2003</v>
      </c>
      <c r="E3766" s="9" t="str">
        <f t="shared" si="866"/>
        <v>PDP'!</v>
      </c>
      <c r="F3766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66" s="6" t="s">
        <v>113</v>
      </c>
      <c r="H3766" s="1">
        <f t="shared" ref="H3766:H3784" si="869">IF(A3766&lt;&gt;A3765,36,H3765+1)</f>
        <v>38</v>
      </c>
      <c r="I3766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PDP'!$BY$38</v>
      </c>
      <c r="J3766" s="1" t="s">
        <v>3671</v>
      </c>
    </row>
    <row r="3767" spans="1:10" x14ac:dyDescent="0.35">
      <c r="A3767" s="6" t="s">
        <v>14</v>
      </c>
      <c r="B3767" s="6">
        <f t="shared" si="868"/>
        <v>2026</v>
      </c>
      <c r="C3767" s="1" t="s">
        <v>43</v>
      </c>
      <c r="D3767" s="2" t="s">
        <v>2003</v>
      </c>
      <c r="E3767" s="9" t="str">
        <f t="shared" si="866"/>
        <v>PDP'!</v>
      </c>
      <c r="F3767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67" s="6" t="s">
        <v>113</v>
      </c>
      <c r="H3767" s="1">
        <f t="shared" si="869"/>
        <v>39</v>
      </c>
      <c r="I3767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PDP'!$BY$39</v>
      </c>
      <c r="J3767" s="1" t="s">
        <v>3672</v>
      </c>
    </row>
    <row r="3768" spans="1:10" x14ac:dyDescent="0.35">
      <c r="A3768" s="6" t="s">
        <v>14</v>
      </c>
      <c r="B3768" s="6">
        <f t="shared" si="868"/>
        <v>2027</v>
      </c>
      <c r="C3768" s="1" t="s">
        <v>43</v>
      </c>
      <c r="D3768" s="2" t="s">
        <v>2003</v>
      </c>
      <c r="E3768" s="9" t="str">
        <f t="shared" si="866"/>
        <v>PDP'!</v>
      </c>
      <c r="F3768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68" s="6" t="s">
        <v>113</v>
      </c>
      <c r="H3768" s="1">
        <f t="shared" si="869"/>
        <v>40</v>
      </c>
      <c r="I3768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PDP'!$BY$40</v>
      </c>
      <c r="J3768" s="1" t="s">
        <v>3673</v>
      </c>
    </row>
    <row r="3769" spans="1:10" x14ac:dyDescent="0.35">
      <c r="A3769" s="6" t="s">
        <v>14</v>
      </c>
      <c r="B3769" s="6">
        <f t="shared" si="868"/>
        <v>2028</v>
      </c>
      <c r="C3769" s="1" t="s">
        <v>43</v>
      </c>
      <c r="D3769" s="2" t="s">
        <v>2003</v>
      </c>
      <c r="E3769" s="9" t="str">
        <f t="shared" si="866"/>
        <v>PDP'!</v>
      </c>
      <c r="F3769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69" s="6" t="s">
        <v>113</v>
      </c>
      <c r="H3769" s="1">
        <f t="shared" si="869"/>
        <v>41</v>
      </c>
      <c r="I3769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PDP'!$BY$41</v>
      </c>
      <c r="J3769" s="1" t="s">
        <v>3674</v>
      </c>
    </row>
    <row r="3770" spans="1:10" x14ac:dyDescent="0.35">
      <c r="A3770" s="6" t="s">
        <v>14</v>
      </c>
      <c r="B3770" s="6">
        <f t="shared" si="868"/>
        <v>2029</v>
      </c>
      <c r="C3770" s="1" t="s">
        <v>43</v>
      </c>
      <c r="D3770" s="2" t="s">
        <v>2003</v>
      </c>
      <c r="E3770" s="9" t="str">
        <f t="shared" si="866"/>
        <v>PDP'!</v>
      </c>
      <c r="F3770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70" s="6" t="s">
        <v>113</v>
      </c>
      <c r="H3770" s="1">
        <f t="shared" si="869"/>
        <v>42</v>
      </c>
      <c r="I3770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PDP'!$BY$42</v>
      </c>
      <c r="J3770" s="1" t="s">
        <v>3675</v>
      </c>
    </row>
    <row r="3771" spans="1:10" x14ac:dyDescent="0.35">
      <c r="A3771" s="6" t="s">
        <v>14</v>
      </c>
      <c r="B3771" s="6">
        <f t="shared" si="868"/>
        <v>2030</v>
      </c>
      <c r="C3771" s="1" t="s">
        <v>43</v>
      </c>
      <c r="D3771" s="2" t="s">
        <v>2003</v>
      </c>
      <c r="E3771" s="9" t="str">
        <f t="shared" si="866"/>
        <v>PDP'!</v>
      </c>
      <c r="F3771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71" s="6" t="s">
        <v>113</v>
      </c>
      <c r="H3771" s="1">
        <f t="shared" si="869"/>
        <v>43</v>
      </c>
      <c r="I3771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PDP'!$BY$43</v>
      </c>
      <c r="J3771" s="1" t="s">
        <v>3676</v>
      </c>
    </row>
    <row r="3772" spans="1:10" x14ac:dyDescent="0.35">
      <c r="A3772" s="6" t="s">
        <v>14</v>
      </c>
      <c r="B3772" s="6">
        <f t="shared" si="868"/>
        <v>2031</v>
      </c>
      <c r="C3772" s="1" t="s">
        <v>43</v>
      </c>
      <c r="D3772" s="2" t="s">
        <v>2003</v>
      </c>
      <c r="E3772" s="9" t="str">
        <f t="shared" si="866"/>
        <v>PDP'!</v>
      </c>
      <c r="F3772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72" s="6" t="s">
        <v>113</v>
      </c>
      <c r="H3772" s="1">
        <f t="shared" si="869"/>
        <v>44</v>
      </c>
      <c r="I3772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PDP'!$BY$44</v>
      </c>
      <c r="J3772" s="1" t="s">
        <v>3677</v>
      </c>
    </row>
    <row r="3773" spans="1:10" x14ac:dyDescent="0.35">
      <c r="A3773" s="6" t="s">
        <v>14</v>
      </c>
      <c r="B3773" s="6">
        <f t="shared" si="868"/>
        <v>2032</v>
      </c>
      <c r="C3773" s="1" t="s">
        <v>43</v>
      </c>
      <c r="D3773" s="2" t="s">
        <v>2003</v>
      </c>
      <c r="E3773" s="9" t="str">
        <f t="shared" si="866"/>
        <v>PDP'!</v>
      </c>
      <c r="F3773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73" s="6" t="s">
        <v>113</v>
      </c>
      <c r="H3773" s="1">
        <f t="shared" si="869"/>
        <v>45</v>
      </c>
      <c r="I3773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PDP'!$BY$45</v>
      </c>
      <c r="J3773" s="1" t="s">
        <v>3678</v>
      </c>
    </row>
    <row r="3774" spans="1:10" x14ac:dyDescent="0.35">
      <c r="A3774" s="6" t="s">
        <v>14</v>
      </c>
      <c r="B3774" s="6">
        <f t="shared" si="868"/>
        <v>2033</v>
      </c>
      <c r="C3774" s="1" t="s">
        <v>43</v>
      </c>
      <c r="D3774" s="2" t="s">
        <v>2003</v>
      </c>
      <c r="E3774" s="9" t="str">
        <f t="shared" si="866"/>
        <v>PDP'!</v>
      </c>
      <c r="F3774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74" s="6" t="s">
        <v>113</v>
      </c>
      <c r="H3774" s="1">
        <f t="shared" si="869"/>
        <v>46</v>
      </c>
      <c r="I3774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PDP'!$BY$46</v>
      </c>
      <c r="J3774" s="1" t="s">
        <v>3679</v>
      </c>
    </row>
    <row r="3775" spans="1:10" x14ac:dyDescent="0.35">
      <c r="A3775" s="6" t="s">
        <v>14</v>
      </c>
      <c r="B3775" s="6">
        <f t="shared" si="868"/>
        <v>2034</v>
      </c>
      <c r="C3775" s="1" t="s">
        <v>43</v>
      </c>
      <c r="D3775" s="2" t="s">
        <v>2003</v>
      </c>
      <c r="E3775" s="9" t="str">
        <f t="shared" si="866"/>
        <v>PDP'!</v>
      </c>
      <c r="F3775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75" s="6" t="s">
        <v>113</v>
      </c>
      <c r="H3775" s="1">
        <f t="shared" si="869"/>
        <v>47</v>
      </c>
      <c r="I3775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PDP'!$BY$47</v>
      </c>
      <c r="J3775" s="1" t="s">
        <v>3680</v>
      </c>
    </row>
    <row r="3776" spans="1:10" x14ac:dyDescent="0.35">
      <c r="A3776" s="6" t="s">
        <v>14</v>
      </c>
      <c r="B3776" s="6">
        <f t="shared" si="868"/>
        <v>2035</v>
      </c>
      <c r="C3776" s="1" t="s">
        <v>43</v>
      </c>
      <c r="D3776" s="2" t="s">
        <v>2003</v>
      </c>
      <c r="E3776" s="9" t="str">
        <f t="shared" si="866"/>
        <v>PDP'!</v>
      </c>
      <c r="F3776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76" s="6" t="s">
        <v>113</v>
      </c>
      <c r="H3776" s="1">
        <f t="shared" si="869"/>
        <v>48</v>
      </c>
      <c r="I3776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PDP'!$BY$48</v>
      </c>
      <c r="J3776" s="1" t="s">
        <v>3681</v>
      </c>
    </row>
    <row r="3777" spans="1:10" x14ac:dyDescent="0.35">
      <c r="A3777" s="6" t="s">
        <v>14</v>
      </c>
      <c r="B3777" s="6">
        <f t="shared" si="868"/>
        <v>2036</v>
      </c>
      <c r="C3777" s="1" t="s">
        <v>43</v>
      </c>
      <c r="D3777" s="2" t="s">
        <v>2003</v>
      </c>
      <c r="E3777" s="9" t="str">
        <f t="shared" si="866"/>
        <v>PDP'!</v>
      </c>
      <c r="F3777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77" s="6" t="s">
        <v>113</v>
      </c>
      <c r="H3777" s="1">
        <f t="shared" si="869"/>
        <v>49</v>
      </c>
      <c r="I3777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PDP'!$BY$49</v>
      </c>
      <c r="J3777" s="1" t="s">
        <v>3682</v>
      </c>
    </row>
    <row r="3778" spans="1:10" x14ac:dyDescent="0.35">
      <c r="A3778" s="6" t="s">
        <v>14</v>
      </c>
      <c r="B3778" s="6">
        <f>+B3777+1</f>
        <v>2037</v>
      </c>
      <c r="C3778" s="1" t="s">
        <v>43</v>
      </c>
      <c r="D3778" s="2" t="s">
        <v>2003</v>
      </c>
      <c r="E3778" s="9" t="str">
        <f t="shared" si="866"/>
        <v>PDP'!</v>
      </c>
      <c r="F3778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78" s="6" t="s">
        <v>113</v>
      </c>
      <c r="H3778" s="1">
        <f t="shared" si="869"/>
        <v>50</v>
      </c>
      <c r="I3778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PDP'!$BY$50</v>
      </c>
      <c r="J3778" s="1" t="s">
        <v>3683</v>
      </c>
    </row>
    <row r="3779" spans="1:10" x14ac:dyDescent="0.35">
      <c r="A3779" s="6" t="s">
        <v>14</v>
      </c>
      <c r="B3779" s="6">
        <f t="shared" si="868"/>
        <v>2038</v>
      </c>
      <c r="C3779" s="1" t="s">
        <v>43</v>
      </c>
      <c r="D3779" s="2" t="s">
        <v>2003</v>
      </c>
      <c r="E3779" s="9" t="str">
        <f t="shared" si="866"/>
        <v>PDP'!</v>
      </c>
      <c r="F3779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79" s="6" t="s">
        <v>113</v>
      </c>
      <c r="H3779" s="1">
        <f t="shared" si="869"/>
        <v>51</v>
      </c>
      <c r="I3779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PDP'!$BY$51</v>
      </c>
      <c r="J3779" s="1" t="s">
        <v>3684</v>
      </c>
    </row>
    <row r="3780" spans="1:10" x14ac:dyDescent="0.35">
      <c r="A3780" s="6" t="s">
        <v>14</v>
      </c>
      <c r="B3780" s="6">
        <f t="shared" si="868"/>
        <v>2039</v>
      </c>
      <c r="C3780" s="1" t="s">
        <v>43</v>
      </c>
      <c r="D3780" s="2" t="s">
        <v>2003</v>
      </c>
      <c r="E3780" s="9" t="str">
        <f t="shared" si="866"/>
        <v>PDP'!</v>
      </c>
      <c r="F3780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80" s="6" t="s">
        <v>113</v>
      </c>
      <c r="H3780" s="1">
        <f t="shared" si="869"/>
        <v>52</v>
      </c>
      <c r="I3780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PDP'!$BY$52</v>
      </c>
      <c r="J3780" s="1" t="s">
        <v>3685</v>
      </c>
    </row>
    <row r="3781" spans="1:10" x14ac:dyDescent="0.35">
      <c r="A3781" s="6" t="s">
        <v>14</v>
      </c>
      <c r="B3781" s="6">
        <f t="shared" si="868"/>
        <v>2040</v>
      </c>
      <c r="C3781" s="1" t="s">
        <v>43</v>
      </c>
      <c r="D3781" s="2" t="s">
        <v>2003</v>
      </c>
      <c r="E3781" s="9" t="str">
        <f t="shared" si="866"/>
        <v>PDP'!</v>
      </c>
      <c r="F3781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81" s="6" t="s">
        <v>113</v>
      </c>
      <c r="H3781" s="1">
        <f t="shared" si="869"/>
        <v>53</v>
      </c>
      <c r="I3781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PDP'!$BY$53</v>
      </c>
      <c r="J3781" s="1" t="s">
        <v>3686</v>
      </c>
    </row>
    <row r="3782" spans="1:10" x14ac:dyDescent="0.35">
      <c r="A3782" s="6" t="s">
        <v>14</v>
      </c>
      <c r="B3782" s="6">
        <f>+B3781+1</f>
        <v>2041</v>
      </c>
      <c r="C3782" s="1" t="s">
        <v>43</v>
      </c>
      <c r="D3782" s="2" t="s">
        <v>2003</v>
      </c>
      <c r="E3782" s="9" t="str">
        <f t="shared" si="866"/>
        <v>PDP'!</v>
      </c>
      <c r="F3782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82" s="6" t="s">
        <v>113</v>
      </c>
      <c r="H3782" s="1">
        <f t="shared" si="869"/>
        <v>54</v>
      </c>
      <c r="I3782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PDP'!$BY$54</v>
      </c>
      <c r="J3782" s="1" t="s">
        <v>3687</v>
      </c>
    </row>
    <row r="3783" spans="1:10" x14ac:dyDescent="0.35">
      <c r="A3783" s="6" t="s">
        <v>14</v>
      </c>
      <c r="B3783" s="6">
        <f t="shared" si="868"/>
        <v>2042</v>
      </c>
      <c r="C3783" s="1" t="s">
        <v>43</v>
      </c>
      <c r="D3783" s="2" t="s">
        <v>2003</v>
      </c>
      <c r="E3783" s="9" t="str">
        <f t="shared" si="866"/>
        <v>PDP'!</v>
      </c>
      <c r="F3783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83" s="6" t="s">
        <v>113</v>
      </c>
      <c r="H3783" s="1">
        <f t="shared" si="869"/>
        <v>55</v>
      </c>
      <c r="I3783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PDP'!$BY$55</v>
      </c>
      <c r="J3783" s="1" t="s">
        <v>3688</v>
      </c>
    </row>
    <row r="3784" spans="1:10" x14ac:dyDescent="0.35">
      <c r="A3784" s="6" t="s">
        <v>14</v>
      </c>
      <c r="B3784" s="6">
        <f t="shared" si="868"/>
        <v>2043</v>
      </c>
      <c r="C3784" s="1" t="s">
        <v>43</v>
      </c>
      <c r="D3784" s="2" t="s">
        <v>2003</v>
      </c>
      <c r="E3784" s="9" t="str">
        <f t="shared" si="866"/>
        <v>PDP'!</v>
      </c>
      <c r="F3784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84" s="6" t="s">
        <v>113</v>
      </c>
      <c r="H3784" s="1">
        <f t="shared" si="869"/>
        <v>56</v>
      </c>
      <c r="I3784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PDP'!$BY$56</v>
      </c>
      <c r="J3784" s="1" t="s">
        <v>3689</v>
      </c>
    </row>
    <row r="3785" spans="1:10" x14ac:dyDescent="0.35">
      <c r="A3785" s="6" t="s">
        <v>14</v>
      </c>
      <c r="B3785" s="6">
        <f>+B3784+1</f>
        <v>2044</v>
      </c>
      <c r="C3785" s="1" t="s">
        <v>43</v>
      </c>
      <c r="D3785" s="2" t="s">
        <v>2003</v>
      </c>
      <c r="E3785" s="9" t="str">
        <f t="shared" ref="E3785:E3800" si="870">_xlfn.CONCAT(A3785,"'!")</f>
        <v>PDP'!</v>
      </c>
      <c r="F3785" s="5" t="str">
        <f t="shared" ref="F3785:F3800" si="871">_xlfn.CONCAT(D3785," ",E3785)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85" s="6" t="s">
        <v>113</v>
      </c>
      <c r="H3785" s="1">
        <f t="shared" ref="H3785:H3800" si="872">IF(A3785&lt;&gt;A3784,36,H3784+1)</f>
        <v>57</v>
      </c>
      <c r="I3785" s="1" t="str">
        <f t="shared" ref="I3785:I3800" si="873">_xlfn.CONCAT("='",F3785:H3785)</f>
        <v>='C:\Users\jaime.benazar\Quorum Business Solutions\Ecopetrol Prometeo - Documents\Planning Space Implementation\3. Analysis &amp; Design\Design\FC22\DRR Jaime\Por presentar a ECP\Cantagallo\Cristalina\[VRC_CRISTALINA_CF_SEC_20221231.xlsx]CF PDP'!$BY$57</v>
      </c>
      <c r="J3785" s="1" t="s">
        <v>3690</v>
      </c>
    </row>
    <row r="3786" spans="1:10" x14ac:dyDescent="0.35">
      <c r="A3786" s="6" t="s">
        <v>14</v>
      </c>
      <c r="B3786" s="6">
        <f t="shared" si="868"/>
        <v>2045</v>
      </c>
      <c r="C3786" s="1" t="s">
        <v>43</v>
      </c>
      <c r="D3786" s="2" t="s">
        <v>2003</v>
      </c>
      <c r="E3786" s="9" t="str">
        <f t="shared" si="870"/>
        <v>PDP'!</v>
      </c>
      <c r="F3786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86" s="6" t="s">
        <v>113</v>
      </c>
      <c r="H3786" s="1">
        <f t="shared" si="872"/>
        <v>58</v>
      </c>
      <c r="I3786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PDP'!$BY$58</v>
      </c>
      <c r="J3786" s="1" t="s">
        <v>3691</v>
      </c>
    </row>
    <row r="3787" spans="1:10" x14ac:dyDescent="0.35">
      <c r="A3787" s="6" t="s">
        <v>14</v>
      </c>
      <c r="B3787" s="6">
        <f t="shared" si="868"/>
        <v>2046</v>
      </c>
      <c r="C3787" s="1" t="s">
        <v>43</v>
      </c>
      <c r="D3787" s="2" t="s">
        <v>2003</v>
      </c>
      <c r="E3787" s="9" t="str">
        <f t="shared" si="870"/>
        <v>PDP'!</v>
      </c>
      <c r="F3787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87" s="6" t="s">
        <v>113</v>
      </c>
      <c r="H3787" s="1">
        <f t="shared" si="872"/>
        <v>59</v>
      </c>
      <c r="I3787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PDP'!$BY$59</v>
      </c>
      <c r="J3787" s="1" t="s">
        <v>3692</v>
      </c>
    </row>
    <row r="3788" spans="1:10" x14ac:dyDescent="0.35">
      <c r="A3788" s="6" t="s">
        <v>14</v>
      </c>
      <c r="B3788" s="6">
        <f t="shared" si="868"/>
        <v>2047</v>
      </c>
      <c r="C3788" s="1" t="s">
        <v>43</v>
      </c>
      <c r="D3788" s="2" t="s">
        <v>2003</v>
      </c>
      <c r="E3788" s="9" t="str">
        <f t="shared" si="870"/>
        <v>PDP'!</v>
      </c>
      <c r="F3788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88" s="6" t="s">
        <v>113</v>
      </c>
      <c r="H3788" s="1">
        <f t="shared" si="872"/>
        <v>60</v>
      </c>
      <c r="I3788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PDP'!$BY$60</v>
      </c>
      <c r="J3788" s="1" t="s">
        <v>3693</v>
      </c>
    </row>
    <row r="3789" spans="1:10" x14ac:dyDescent="0.35">
      <c r="A3789" s="6" t="s">
        <v>14</v>
      </c>
      <c r="B3789" s="6">
        <f t="shared" si="868"/>
        <v>2048</v>
      </c>
      <c r="C3789" s="1" t="s">
        <v>43</v>
      </c>
      <c r="D3789" s="2" t="s">
        <v>2003</v>
      </c>
      <c r="E3789" s="9" t="str">
        <f t="shared" si="870"/>
        <v>PDP'!</v>
      </c>
      <c r="F3789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89" s="6" t="s">
        <v>113</v>
      </c>
      <c r="H3789" s="1">
        <f t="shared" si="872"/>
        <v>61</v>
      </c>
      <c r="I3789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PDP'!$BY$61</v>
      </c>
      <c r="J3789" s="1" t="s">
        <v>3694</v>
      </c>
    </row>
    <row r="3790" spans="1:10" x14ac:dyDescent="0.35">
      <c r="A3790" s="6" t="s">
        <v>14</v>
      </c>
      <c r="B3790" s="6">
        <f t="shared" si="868"/>
        <v>2049</v>
      </c>
      <c r="C3790" s="1" t="s">
        <v>43</v>
      </c>
      <c r="D3790" s="2" t="s">
        <v>2003</v>
      </c>
      <c r="E3790" s="9" t="str">
        <f t="shared" si="870"/>
        <v>PDP'!</v>
      </c>
      <c r="F3790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90" s="6" t="s">
        <v>113</v>
      </c>
      <c r="H3790" s="1">
        <f t="shared" si="872"/>
        <v>62</v>
      </c>
      <c r="I3790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PDP'!$BY$62</v>
      </c>
      <c r="J3790" s="1" t="s">
        <v>3695</v>
      </c>
    </row>
    <row r="3791" spans="1:10" x14ac:dyDescent="0.35">
      <c r="A3791" s="6" t="s">
        <v>14</v>
      </c>
      <c r="B3791" s="6">
        <f t="shared" si="868"/>
        <v>2050</v>
      </c>
      <c r="C3791" s="1" t="s">
        <v>43</v>
      </c>
      <c r="D3791" s="2" t="s">
        <v>2003</v>
      </c>
      <c r="E3791" s="9" t="str">
        <f t="shared" si="870"/>
        <v>PDP'!</v>
      </c>
      <c r="F3791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91" s="6" t="s">
        <v>113</v>
      </c>
      <c r="H3791" s="1">
        <f t="shared" si="872"/>
        <v>63</v>
      </c>
      <c r="I3791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PDP'!$BY$63</v>
      </c>
      <c r="J3791" s="1" t="s">
        <v>3696</v>
      </c>
    </row>
    <row r="3792" spans="1:10" x14ac:dyDescent="0.35">
      <c r="A3792" s="6" t="s">
        <v>14</v>
      </c>
      <c r="B3792" s="6">
        <f t="shared" si="868"/>
        <v>2051</v>
      </c>
      <c r="C3792" s="1" t="s">
        <v>43</v>
      </c>
      <c r="D3792" s="2" t="s">
        <v>2003</v>
      </c>
      <c r="E3792" s="9" t="str">
        <f t="shared" si="870"/>
        <v>PDP'!</v>
      </c>
      <c r="F3792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92" s="6" t="s">
        <v>113</v>
      </c>
      <c r="H3792" s="1">
        <f t="shared" si="872"/>
        <v>64</v>
      </c>
      <c r="I3792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PDP'!$BY$64</v>
      </c>
      <c r="J3792" s="1" t="s">
        <v>3697</v>
      </c>
    </row>
    <row r="3793" spans="1:10" x14ac:dyDescent="0.35">
      <c r="A3793" s="6" t="s">
        <v>14</v>
      </c>
      <c r="B3793" s="6">
        <f t="shared" si="868"/>
        <v>2052</v>
      </c>
      <c r="C3793" s="1" t="s">
        <v>43</v>
      </c>
      <c r="D3793" s="2" t="s">
        <v>2003</v>
      </c>
      <c r="E3793" s="9" t="str">
        <f t="shared" si="870"/>
        <v>PDP'!</v>
      </c>
      <c r="F3793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93" s="6" t="s">
        <v>113</v>
      </c>
      <c r="H3793" s="1">
        <f t="shared" si="872"/>
        <v>65</v>
      </c>
      <c r="I3793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PDP'!$BY$65</v>
      </c>
      <c r="J3793" s="1" t="s">
        <v>3698</v>
      </c>
    </row>
    <row r="3794" spans="1:10" x14ac:dyDescent="0.35">
      <c r="A3794" s="6" t="s">
        <v>14</v>
      </c>
      <c r="B3794" s="6">
        <f t="shared" si="868"/>
        <v>2053</v>
      </c>
      <c r="C3794" s="1" t="s">
        <v>43</v>
      </c>
      <c r="D3794" s="2" t="s">
        <v>2003</v>
      </c>
      <c r="E3794" s="9" t="str">
        <f t="shared" si="870"/>
        <v>PDP'!</v>
      </c>
      <c r="F3794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94" s="6" t="s">
        <v>113</v>
      </c>
      <c r="H3794" s="1">
        <f t="shared" si="872"/>
        <v>66</v>
      </c>
      <c r="I3794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PDP'!$BY$66</v>
      </c>
      <c r="J3794" s="1" t="s">
        <v>3699</v>
      </c>
    </row>
    <row r="3795" spans="1:10" x14ac:dyDescent="0.35">
      <c r="A3795" s="6" t="s">
        <v>14</v>
      </c>
      <c r="B3795" s="6">
        <f t="shared" si="868"/>
        <v>2054</v>
      </c>
      <c r="C3795" s="1" t="s">
        <v>43</v>
      </c>
      <c r="D3795" s="2" t="s">
        <v>2003</v>
      </c>
      <c r="E3795" s="9" t="str">
        <f t="shared" si="870"/>
        <v>PDP'!</v>
      </c>
      <c r="F3795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95" s="6" t="s">
        <v>113</v>
      </c>
      <c r="H3795" s="1">
        <f t="shared" si="872"/>
        <v>67</v>
      </c>
      <c r="I3795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PDP'!$BY$67</v>
      </c>
      <c r="J3795" s="1" t="s">
        <v>3700</v>
      </c>
    </row>
    <row r="3796" spans="1:10" x14ac:dyDescent="0.35">
      <c r="A3796" s="6" t="s">
        <v>14</v>
      </c>
      <c r="B3796" s="6">
        <f t="shared" si="868"/>
        <v>2055</v>
      </c>
      <c r="C3796" s="1" t="s">
        <v>43</v>
      </c>
      <c r="D3796" s="2" t="s">
        <v>2003</v>
      </c>
      <c r="E3796" s="9" t="str">
        <f t="shared" si="870"/>
        <v>PDP'!</v>
      </c>
      <c r="F3796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96" s="6" t="s">
        <v>113</v>
      </c>
      <c r="H3796" s="1">
        <f t="shared" si="872"/>
        <v>68</v>
      </c>
      <c r="I3796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PDP'!$BY$68</v>
      </c>
      <c r="J3796" s="1" t="s">
        <v>3701</v>
      </c>
    </row>
    <row r="3797" spans="1:10" x14ac:dyDescent="0.35">
      <c r="A3797" s="6" t="s">
        <v>14</v>
      </c>
      <c r="B3797" s="6">
        <f t="shared" si="868"/>
        <v>2056</v>
      </c>
      <c r="C3797" s="1" t="s">
        <v>43</v>
      </c>
      <c r="D3797" s="2" t="s">
        <v>2003</v>
      </c>
      <c r="E3797" s="9" t="str">
        <f t="shared" si="870"/>
        <v>PDP'!</v>
      </c>
      <c r="F3797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97" s="6" t="s">
        <v>113</v>
      </c>
      <c r="H3797" s="1">
        <f t="shared" si="872"/>
        <v>69</v>
      </c>
      <c r="I3797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PDP'!$BY$69</v>
      </c>
      <c r="J3797" s="1" t="s">
        <v>3702</v>
      </c>
    </row>
    <row r="3798" spans="1:10" x14ac:dyDescent="0.35">
      <c r="A3798" s="6" t="s">
        <v>14</v>
      </c>
      <c r="B3798" s="6">
        <f t="shared" si="868"/>
        <v>2057</v>
      </c>
      <c r="C3798" s="1" t="s">
        <v>43</v>
      </c>
      <c r="D3798" s="2" t="s">
        <v>2003</v>
      </c>
      <c r="E3798" s="9" t="str">
        <f t="shared" si="870"/>
        <v>PDP'!</v>
      </c>
      <c r="F3798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98" s="6" t="s">
        <v>113</v>
      </c>
      <c r="H3798" s="1">
        <f t="shared" si="872"/>
        <v>70</v>
      </c>
      <c r="I3798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PDP'!$BY$70</v>
      </c>
      <c r="J3798" s="1" t="s">
        <v>3703</v>
      </c>
    </row>
    <row r="3799" spans="1:10" x14ac:dyDescent="0.35">
      <c r="A3799" s="6" t="s">
        <v>14</v>
      </c>
      <c r="B3799" s="6">
        <f t="shared" si="868"/>
        <v>2058</v>
      </c>
      <c r="C3799" s="1" t="s">
        <v>43</v>
      </c>
      <c r="D3799" s="2" t="s">
        <v>2003</v>
      </c>
      <c r="E3799" s="9" t="str">
        <f t="shared" si="870"/>
        <v>PDP'!</v>
      </c>
      <c r="F3799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99" s="6" t="s">
        <v>113</v>
      </c>
      <c r="H3799" s="1">
        <f t="shared" si="872"/>
        <v>71</v>
      </c>
      <c r="I3799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PDP'!$BY$71</v>
      </c>
      <c r="J3799" s="1" t="s">
        <v>3704</v>
      </c>
    </row>
    <row r="3800" spans="1:10" x14ac:dyDescent="0.35">
      <c r="A3800" s="6" t="s">
        <v>14</v>
      </c>
      <c r="B3800" s="6">
        <f t="shared" si="868"/>
        <v>2059</v>
      </c>
      <c r="C3800" s="1" t="s">
        <v>43</v>
      </c>
      <c r="D3800" s="2" t="s">
        <v>2003</v>
      </c>
      <c r="E3800" s="9" t="str">
        <f t="shared" si="870"/>
        <v>PDP'!</v>
      </c>
      <c r="F3800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800" s="6" t="s">
        <v>113</v>
      </c>
      <c r="H3800" s="1">
        <f t="shared" si="872"/>
        <v>72</v>
      </c>
      <c r="I3800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PDP'!$BY$72</v>
      </c>
      <c r="J3800" s="1" t="s">
        <v>3705</v>
      </c>
    </row>
    <row r="3801" spans="1:10" x14ac:dyDescent="0.35">
      <c r="A3801" s="6" t="s">
        <v>26</v>
      </c>
      <c r="B3801" s="6"/>
      <c r="C3801" s="1" t="s">
        <v>43</v>
      </c>
      <c r="D3801" s="2"/>
      <c r="E3801" s="9" t="str">
        <f t="shared" si="866"/>
        <v>Total'!</v>
      </c>
      <c r="F3801" s="2"/>
      <c r="G3801" s="6"/>
      <c r="H3801" s="1"/>
      <c r="I3801" s="1"/>
      <c r="J3801" s="4"/>
    </row>
    <row r="3802" spans="1:10" x14ac:dyDescent="0.35">
      <c r="A3802" s="6" t="s">
        <v>15</v>
      </c>
      <c r="B3802" s="6">
        <v>2023</v>
      </c>
      <c r="C3802" s="1" t="s">
        <v>43</v>
      </c>
      <c r="D3802" s="2" t="s">
        <v>2003</v>
      </c>
      <c r="E3802" s="9" t="str">
        <f t="shared" si="866"/>
        <v>PNP'!</v>
      </c>
      <c r="F3802" s="5" t="str">
        <f t="shared" ref="F3802:F3822" si="874">_xlfn.CONCAT(D3802," ",E3802)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02" s="6" t="s">
        <v>113</v>
      </c>
      <c r="H3802" s="1">
        <f>IF(A3802&lt;&gt;A3786,36,H3786+1)</f>
        <v>36</v>
      </c>
      <c r="I3802" s="1" t="str">
        <f t="shared" ref="I3802:I3822" si="875">_xlfn.CONCAT("='",F3802:H3802)</f>
        <v>='C:\Users\jaime.benazar\Quorum Business Solutions\Ecopetrol Prometeo - Documents\Planning Space Implementation\3. Analysis &amp; Design\Design\FC22\DRR Jaime\Por presentar a ECP\Cantagallo\Cristalina\[VRC_CRISTALINA_CF_SEC_20221231.xlsx]CF PNP'!$BY$36</v>
      </c>
      <c r="J3802" s="1" t="s">
        <v>3706</v>
      </c>
    </row>
    <row r="3803" spans="1:10" x14ac:dyDescent="0.35">
      <c r="A3803" s="6" t="s">
        <v>15</v>
      </c>
      <c r="B3803" s="6">
        <f>+B3802+1</f>
        <v>2024</v>
      </c>
      <c r="C3803" s="1" t="s">
        <v>43</v>
      </c>
      <c r="D3803" s="2" t="s">
        <v>2003</v>
      </c>
      <c r="E3803" s="9" t="str">
        <f t="shared" si="866"/>
        <v>PNP'!</v>
      </c>
      <c r="F3803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03" s="6" t="s">
        <v>113</v>
      </c>
      <c r="H3803" s="1">
        <f t="shared" ref="H3803:H3822" si="876">IF(A3803&lt;&gt;A3802,36,H3802+1)</f>
        <v>37</v>
      </c>
      <c r="I3803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PNP'!$BY$37</v>
      </c>
      <c r="J3803" s="1" t="s">
        <v>3707</v>
      </c>
    </row>
    <row r="3804" spans="1:10" x14ac:dyDescent="0.35">
      <c r="A3804" s="6" t="s">
        <v>15</v>
      </c>
      <c r="B3804" s="6">
        <f t="shared" ref="B3804:B3815" si="877">+B3803+1</f>
        <v>2025</v>
      </c>
      <c r="C3804" s="1" t="s">
        <v>43</v>
      </c>
      <c r="D3804" s="2" t="s">
        <v>2003</v>
      </c>
      <c r="E3804" s="9" t="str">
        <f t="shared" si="866"/>
        <v>PNP'!</v>
      </c>
      <c r="F3804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04" s="6" t="s">
        <v>113</v>
      </c>
      <c r="H3804" s="1">
        <f t="shared" si="876"/>
        <v>38</v>
      </c>
      <c r="I3804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PNP'!$BY$38</v>
      </c>
      <c r="J3804" s="1" t="s">
        <v>3708</v>
      </c>
    </row>
    <row r="3805" spans="1:10" x14ac:dyDescent="0.35">
      <c r="A3805" s="6" t="s">
        <v>15</v>
      </c>
      <c r="B3805" s="6">
        <f t="shared" si="877"/>
        <v>2026</v>
      </c>
      <c r="C3805" s="1" t="s">
        <v>43</v>
      </c>
      <c r="D3805" s="2" t="s">
        <v>2003</v>
      </c>
      <c r="E3805" s="9" t="str">
        <f t="shared" si="866"/>
        <v>PNP'!</v>
      </c>
      <c r="F3805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05" s="6" t="s">
        <v>113</v>
      </c>
      <c r="H3805" s="1">
        <f t="shared" si="876"/>
        <v>39</v>
      </c>
      <c r="I3805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PNP'!$BY$39</v>
      </c>
      <c r="J3805" s="1" t="s">
        <v>3709</v>
      </c>
    </row>
    <row r="3806" spans="1:10" x14ac:dyDescent="0.35">
      <c r="A3806" s="6" t="s">
        <v>15</v>
      </c>
      <c r="B3806" s="6">
        <f t="shared" si="877"/>
        <v>2027</v>
      </c>
      <c r="C3806" s="1" t="s">
        <v>43</v>
      </c>
      <c r="D3806" s="2" t="s">
        <v>2003</v>
      </c>
      <c r="E3806" s="9" t="str">
        <f t="shared" si="866"/>
        <v>PNP'!</v>
      </c>
      <c r="F3806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06" s="6" t="s">
        <v>113</v>
      </c>
      <c r="H3806" s="1">
        <f t="shared" si="876"/>
        <v>40</v>
      </c>
      <c r="I3806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PNP'!$BY$40</v>
      </c>
      <c r="J3806" s="1" t="s">
        <v>3710</v>
      </c>
    </row>
    <row r="3807" spans="1:10" x14ac:dyDescent="0.35">
      <c r="A3807" s="6" t="s">
        <v>15</v>
      </c>
      <c r="B3807" s="6">
        <f t="shared" si="877"/>
        <v>2028</v>
      </c>
      <c r="C3807" s="1" t="s">
        <v>43</v>
      </c>
      <c r="D3807" s="2" t="s">
        <v>2003</v>
      </c>
      <c r="E3807" s="9" t="str">
        <f t="shared" si="866"/>
        <v>PNP'!</v>
      </c>
      <c r="F3807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07" s="6" t="s">
        <v>113</v>
      </c>
      <c r="H3807" s="1">
        <f t="shared" si="876"/>
        <v>41</v>
      </c>
      <c r="I3807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PNP'!$BY$41</v>
      </c>
      <c r="J3807" s="1" t="s">
        <v>3711</v>
      </c>
    </row>
    <row r="3808" spans="1:10" x14ac:dyDescent="0.35">
      <c r="A3808" s="6" t="s">
        <v>15</v>
      </c>
      <c r="B3808" s="6">
        <f t="shared" si="877"/>
        <v>2029</v>
      </c>
      <c r="C3808" s="1" t="s">
        <v>43</v>
      </c>
      <c r="D3808" s="2" t="s">
        <v>2003</v>
      </c>
      <c r="E3808" s="9" t="str">
        <f t="shared" si="866"/>
        <v>PNP'!</v>
      </c>
      <c r="F3808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08" s="6" t="s">
        <v>113</v>
      </c>
      <c r="H3808" s="1">
        <f t="shared" si="876"/>
        <v>42</v>
      </c>
      <c r="I3808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PNP'!$BY$42</v>
      </c>
      <c r="J3808" s="1" t="s">
        <v>3712</v>
      </c>
    </row>
    <row r="3809" spans="1:10" x14ac:dyDescent="0.35">
      <c r="A3809" s="6" t="s">
        <v>15</v>
      </c>
      <c r="B3809" s="6">
        <f t="shared" si="877"/>
        <v>2030</v>
      </c>
      <c r="C3809" s="1" t="s">
        <v>43</v>
      </c>
      <c r="D3809" s="2" t="s">
        <v>2003</v>
      </c>
      <c r="E3809" s="9" t="str">
        <f t="shared" si="866"/>
        <v>PNP'!</v>
      </c>
      <c r="F3809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09" s="6" t="s">
        <v>113</v>
      </c>
      <c r="H3809" s="1">
        <f t="shared" si="876"/>
        <v>43</v>
      </c>
      <c r="I3809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PNP'!$BY$43</v>
      </c>
      <c r="J3809" s="1" t="s">
        <v>3713</v>
      </c>
    </row>
    <row r="3810" spans="1:10" x14ac:dyDescent="0.35">
      <c r="A3810" s="6" t="s">
        <v>15</v>
      </c>
      <c r="B3810" s="6">
        <f t="shared" si="877"/>
        <v>2031</v>
      </c>
      <c r="C3810" s="1" t="s">
        <v>43</v>
      </c>
      <c r="D3810" s="2" t="s">
        <v>2003</v>
      </c>
      <c r="E3810" s="9" t="str">
        <f t="shared" si="866"/>
        <v>PNP'!</v>
      </c>
      <c r="F3810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10" s="6" t="s">
        <v>113</v>
      </c>
      <c r="H3810" s="1">
        <f t="shared" si="876"/>
        <v>44</v>
      </c>
      <c r="I3810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PNP'!$BY$44</v>
      </c>
      <c r="J3810" s="1" t="s">
        <v>3714</v>
      </c>
    </row>
    <row r="3811" spans="1:10" x14ac:dyDescent="0.35">
      <c r="A3811" s="6" t="s">
        <v>15</v>
      </c>
      <c r="B3811" s="6">
        <f t="shared" si="877"/>
        <v>2032</v>
      </c>
      <c r="C3811" s="1" t="s">
        <v>43</v>
      </c>
      <c r="D3811" s="2" t="s">
        <v>2003</v>
      </c>
      <c r="E3811" s="9" t="str">
        <f t="shared" si="866"/>
        <v>PNP'!</v>
      </c>
      <c r="F3811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11" s="6" t="s">
        <v>113</v>
      </c>
      <c r="H3811" s="1">
        <f t="shared" si="876"/>
        <v>45</v>
      </c>
      <c r="I3811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PNP'!$BY$45</v>
      </c>
      <c r="J3811" s="1" t="s">
        <v>3715</v>
      </c>
    </row>
    <row r="3812" spans="1:10" x14ac:dyDescent="0.35">
      <c r="A3812" s="6" t="s">
        <v>15</v>
      </c>
      <c r="B3812" s="6">
        <f t="shared" si="877"/>
        <v>2033</v>
      </c>
      <c r="C3812" s="1" t="s">
        <v>43</v>
      </c>
      <c r="D3812" s="2" t="s">
        <v>2003</v>
      </c>
      <c r="E3812" s="9" t="str">
        <f t="shared" si="866"/>
        <v>PNP'!</v>
      </c>
      <c r="F3812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12" s="6" t="s">
        <v>113</v>
      </c>
      <c r="H3812" s="1">
        <f t="shared" si="876"/>
        <v>46</v>
      </c>
      <c r="I3812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PNP'!$BY$46</v>
      </c>
      <c r="J3812" s="1" t="s">
        <v>3716</v>
      </c>
    </row>
    <row r="3813" spans="1:10" x14ac:dyDescent="0.35">
      <c r="A3813" s="6" t="s">
        <v>15</v>
      </c>
      <c r="B3813" s="6">
        <f t="shared" si="877"/>
        <v>2034</v>
      </c>
      <c r="C3813" s="1" t="s">
        <v>43</v>
      </c>
      <c r="D3813" s="2" t="s">
        <v>2003</v>
      </c>
      <c r="E3813" s="9" t="str">
        <f t="shared" si="866"/>
        <v>PNP'!</v>
      </c>
      <c r="F3813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13" s="6" t="s">
        <v>113</v>
      </c>
      <c r="H3813" s="1">
        <f t="shared" si="876"/>
        <v>47</v>
      </c>
      <c r="I3813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PNP'!$BY$47</v>
      </c>
      <c r="J3813" s="1" t="s">
        <v>3717</v>
      </c>
    </row>
    <row r="3814" spans="1:10" x14ac:dyDescent="0.35">
      <c r="A3814" s="6" t="s">
        <v>15</v>
      </c>
      <c r="B3814" s="6">
        <f t="shared" si="877"/>
        <v>2035</v>
      </c>
      <c r="C3814" s="1" t="s">
        <v>43</v>
      </c>
      <c r="D3814" s="2" t="s">
        <v>2003</v>
      </c>
      <c r="E3814" s="9" t="str">
        <f t="shared" si="866"/>
        <v>PNP'!</v>
      </c>
      <c r="F3814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14" s="6" t="s">
        <v>113</v>
      </c>
      <c r="H3814" s="1">
        <f t="shared" si="876"/>
        <v>48</v>
      </c>
      <c r="I3814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PNP'!$BY$48</v>
      </c>
      <c r="J3814" s="1" t="s">
        <v>3718</v>
      </c>
    </row>
    <row r="3815" spans="1:10" x14ac:dyDescent="0.35">
      <c r="A3815" s="6" t="s">
        <v>15</v>
      </c>
      <c r="B3815" s="6">
        <f t="shared" si="877"/>
        <v>2036</v>
      </c>
      <c r="C3815" s="1" t="s">
        <v>43</v>
      </c>
      <c r="D3815" s="2" t="s">
        <v>2003</v>
      </c>
      <c r="E3815" s="9" t="str">
        <f t="shared" si="866"/>
        <v>PNP'!</v>
      </c>
      <c r="F3815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15" s="6" t="s">
        <v>113</v>
      </c>
      <c r="H3815" s="1">
        <f t="shared" si="876"/>
        <v>49</v>
      </c>
      <c r="I3815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PNP'!$BY$49</v>
      </c>
      <c r="J3815" s="1" t="s">
        <v>3719</v>
      </c>
    </row>
    <row r="3816" spans="1:10" x14ac:dyDescent="0.35">
      <c r="A3816" s="6" t="s">
        <v>15</v>
      </c>
      <c r="B3816" s="6">
        <f>+B3815+1</f>
        <v>2037</v>
      </c>
      <c r="C3816" s="1" t="s">
        <v>43</v>
      </c>
      <c r="D3816" s="2" t="s">
        <v>2003</v>
      </c>
      <c r="E3816" s="9" t="str">
        <f t="shared" si="866"/>
        <v>PNP'!</v>
      </c>
      <c r="F3816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16" s="6" t="s">
        <v>113</v>
      </c>
      <c r="H3816" s="1">
        <f t="shared" si="876"/>
        <v>50</v>
      </c>
      <c r="I3816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PNP'!$BY$50</v>
      </c>
      <c r="J3816" s="1" t="s">
        <v>3720</v>
      </c>
    </row>
    <row r="3817" spans="1:10" x14ac:dyDescent="0.35">
      <c r="A3817" s="6" t="s">
        <v>15</v>
      </c>
      <c r="B3817" s="6">
        <f t="shared" ref="B3817:B3819" si="878">+B3816+1</f>
        <v>2038</v>
      </c>
      <c r="C3817" s="1" t="s">
        <v>43</v>
      </c>
      <c r="D3817" s="2" t="s">
        <v>2003</v>
      </c>
      <c r="E3817" s="9" t="str">
        <f t="shared" si="866"/>
        <v>PNP'!</v>
      </c>
      <c r="F3817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17" s="6" t="s">
        <v>113</v>
      </c>
      <c r="H3817" s="1">
        <f t="shared" si="876"/>
        <v>51</v>
      </c>
      <c r="I3817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PNP'!$BY$51</v>
      </c>
      <c r="J3817" s="1" t="s">
        <v>3721</v>
      </c>
    </row>
    <row r="3818" spans="1:10" x14ac:dyDescent="0.35">
      <c r="A3818" s="6" t="s">
        <v>15</v>
      </c>
      <c r="B3818" s="6">
        <f t="shared" si="878"/>
        <v>2039</v>
      </c>
      <c r="C3818" s="1" t="s">
        <v>43</v>
      </c>
      <c r="D3818" s="2" t="s">
        <v>2003</v>
      </c>
      <c r="E3818" s="9" t="str">
        <f t="shared" si="866"/>
        <v>PNP'!</v>
      </c>
      <c r="F3818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18" s="6" t="s">
        <v>113</v>
      </c>
      <c r="H3818" s="1">
        <f t="shared" si="876"/>
        <v>52</v>
      </c>
      <c r="I3818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PNP'!$BY$52</v>
      </c>
      <c r="J3818" s="1" t="s">
        <v>3722</v>
      </c>
    </row>
    <row r="3819" spans="1:10" x14ac:dyDescent="0.35">
      <c r="A3819" s="6" t="s">
        <v>15</v>
      </c>
      <c r="B3819" s="6">
        <f t="shared" si="878"/>
        <v>2040</v>
      </c>
      <c r="C3819" s="1" t="s">
        <v>43</v>
      </c>
      <c r="D3819" s="2" t="s">
        <v>2003</v>
      </c>
      <c r="E3819" s="9" t="str">
        <f t="shared" si="866"/>
        <v>PNP'!</v>
      </c>
      <c r="F3819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19" s="6" t="s">
        <v>113</v>
      </c>
      <c r="H3819" s="1">
        <f t="shared" si="876"/>
        <v>53</v>
      </c>
      <c r="I3819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PNP'!$BY$53</v>
      </c>
      <c r="J3819" s="1" t="s">
        <v>3723</v>
      </c>
    </row>
    <row r="3820" spans="1:10" x14ac:dyDescent="0.35">
      <c r="A3820" s="6" t="s">
        <v>15</v>
      </c>
      <c r="B3820" s="6">
        <f>+B3819+1</f>
        <v>2041</v>
      </c>
      <c r="C3820" s="1" t="s">
        <v>43</v>
      </c>
      <c r="D3820" s="2" t="s">
        <v>2003</v>
      </c>
      <c r="E3820" s="9" t="str">
        <f t="shared" si="866"/>
        <v>PNP'!</v>
      </c>
      <c r="F3820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20" s="6" t="s">
        <v>113</v>
      </c>
      <c r="H3820" s="1">
        <f t="shared" si="876"/>
        <v>54</v>
      </c>
      <c r="I3820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PNP'!$BY$54</v>
      </c>
      <c r="J3820" s="1" t="s">
        <v>3724</v>
      </c>
    </row>
    <row r="3821" spans="1:10" x14ac:dyDescent="0.35">
      <c r="A3821" s="6" t="s">
        <v>15</v>
      </c>
      <c r="B3821" s="6">
        <f t="shared" ref="B3821:B3822" si="879">+B3820+1</f>
        <v>2042</v>
      </c>
      <c r="C3821" s="1" t="s">
        <v>43</v>
      </c>
      <c r="D3821" s="2" t="s">
        <v>2003</v>
      </c>
      <c r="E3821" s="9" t="str">
        <f t="shared" si="866"/>
        <v>PNP'!</v>
      </c>
      <c r="F3821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21" s="6" t="s">
        <v>113</v>
      </c>
      <c r="H3821" s="1">
        <f t="shared" si="876"/>
        <v>55</v>
      </c>
      <c r="I3821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PNP'!$BY$55</v>
      </c>
      <c r="J3821" s="1" t="s">
        <v>3725</v>
      </c>
    </row>
    <row r="3822" spans="1:10" x14ac:dyDescent="0.35">
      <c r="A3822" s="6" t="s">
        <v>15</v>
      </c>
      <c r="B3822" s="6">
        <f t="shared" si="879"/>
        <v>2043</v>
      </c>
      <c r="C3822" s="1" t="s">
        <v>43</v>
      </c>
      <c r="D3822" s="2" t="s">
        <v>2003</v>
      </c>
      <c r="E3822" s="9" t="str">
        <f t="shared" si="866"/>
        <v>PNP'!</v>
      </c>
      <c r="F3822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22" s="6" t="s">
        <v>113</v>
      </c>
      <c r="H3822" s="1">
        <f t="shared" si="876"/>
        <v>56</v>
      </c>
      <c r="I3822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PNP'!$BY$56</v>
      </c>
      <c r="J3822" s="1" t="s">
        <v>3726</v>
      </c>
    </row>
    <row r="3823" spans="1:10" x14ac:dyDescent="0.35">
      <c r="A3823" s="6" t="s">
        <v>15</v>
      </c>
      <c r="B3823" s="6">
        <f>+B3822+1</f>
        <v>2044</v>
      </c>
      <c r="C3823" s="1" t="s">
        <v>43</v>
      </c>
      <c r="D3823" s="2" t="s">
        <v>2003</v>
      </c>
      <c r="E3823" s="9" t="str">
        <f t="shared" ref="E3823:E3838" si="880">_xlfn.CONCAT(A3823,"'!")</f>
        <v>PNP'!</v>
      </c>
      <c r="F3823" s="5" t="str">
        <f t="shared" ref="F3823:F3838" si="881">_xlfn.CONCAT(D3823," ",E3823)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23" s="6" t="s">
        <v>113</v>
      </c>
      <c r="H3823" s="1">
        <f t="shared" ref="H3823:H3838" si="882">IF(A3823&lt;&gt;A3822,36,H3822+1)</f>
        <v>57</v>
      </c>
      <c r="I3823" s="1" t="str">
        <f t="shared" ref="I3823:I3838" si="883">_xlfn.CONCAT("='",F3823:H3823)</f>
        <v>='C:\Users\jaime.benazar\Quorum Business Solutions\Ecopetrol Prometeo - Documents\Planning Space Implementation\3. Analysis &amp; Design\Design\FC22\DRR Jaime\Por presentar a ECP\Cantagallo\Cristalina\[VRC_CRISTALINA_CF_SEC_20221231.xlsx]CF PNP'!$BY$57</v>
      </c>
      <c r="J3823" s="1" t="s">
        <v>3727</v>
      </c>
    </row>
    <row r="3824" spans="1:10" x14ac:dyDescent="0.35">
      <c r="A3824" s="6" t="s">
        <v>15</v>
      </c>
      <c r="B3824" s="6">
        <f t="shared" ref="B3824:B3838" si="884">+B3823+1</f>
        <v>2045</v>
      </c>
      <c r="C3824" s="1" t="s">
        <v>43</v>
      </c>
      <c r="D3824" s="2" t="s">
        <v>2003</v>
      </c>
      <c r="E3824" s="9" t="str">
        <f t="shared" si="880"/>
        <v>PNP'!</v>
      </c>
      <c r="F3824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24" s="6" t="s">
        <v>113</v>
      </c>
      <c r="H3824" s="1">
        <f t="shared" si="882"/>
        <v>58</v>
      </c>
      <c r="I3824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PNP'!$BY$58</v>
      </c>
      <c r="J3824" s="1" t="s">
        <v>3728</v>
      </c>
    </row>
    <row r="3825" spans="1:10" x14ac:dyDescent="0.35">
      <c r="A3825" s="6" t="s">
        <v>15</v>
      </c>
      <c r="B3825" s="6">
        <f t="shared" si="884"/>
        <v>2046</v>
      </c>
      <c r="C3825" s="1" t="s">
        <v>43</v>
      </c>
      <c r="D3825" s="2" t="s">
        <v>2003</v>
      </c>
      <c r="E3825" s="9" t="str">
        <f t="shared" si="880"/>
        <v>PNP'!</v>
      </c>
      <c r="F3825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25" s="6" t="s">
        <v>113</v>
      </c>
      <c r="H3825" s="1">
        <f t="shared" si="882"/>
        <v>59</v>
      </c>
      <c r="I3825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PNP'!$BY$59</v>
      </c>
      <c r="J3825" s="1" t="s">
        <v>3729</v>
      </c>
    </row>
    <row r="3826" spans="1:10" x14ac:dyDescent="0.35">
      <c r="A3826" s="6" t="s">
        <v>15</v>
      </c>
      <c r="B3826" s="6">
        <f t="shared" si="884"/>
        <v>2047</v>
      </c>
      <c r="C3826" s="1" t="s">
        <v>43</v>
      </c>
      <c r="D3826" s="2" t="s">
        <v>2003</v>
      </c>
      <c r="E3826" s="9" t="str">
        <f t="shared" si="880"/>
        <v>PNP'!</v>
      </c>
      <c r="F3826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26" s="6" t="s">
        <v>113</v>
      </c>
      <c r="H3826" s="1">
        <f t="shared" si="882"/>
        <v>60</v>
      </c>
      <c r="I3826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PNP'!$BY$60</v>
      </c>
      <c r="J3826" s="1" t="s">
        <v>3730</v>
      </c>
    </row>
    <row r="3827" spans="1:10" x14ac:dyDescent="0.35">
      <c r="A3827" s="6" t="s">
        <v>15</v>
      </c>
      <c r="B3827" s="6">
        <f t="shared" si="884"/>
        <v>2048</v>
      </c>
      <c r="C3827" s="1" t="s">
        <v>43</v>
      </c>
      <c r="D3827" s="2" t="s">
        <v>2003</v>
      </c>
      <c r="E3827" s="9" t="str">
        <f t="shared" si="880"/>
        <v>PNP'!</v>
      </c>
      <c r="F3827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27" s="6" t="s">
        <v>113</v>
      </c>
      <c r="H3827" s="1">
        <f t="shared" si="882"/>
        <v>61</v>
      </c>
      <c r="I3827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PNP'!$BY$61</v>
      </c>
      <c r="J3827" s="1" t="s">
        <v>3731</v>
      </c>
    </row>
    <row r="3828" spans="1:10" x14ac:dyDescent="0.35">
      <c r="A3828" s="6" t="s">
        <v>15</v>
      </c>
      <c r="B3828" s="6">
        <f t="shared" si="884"/>
        <v>2049</v>
      </c>
      <c r="C3828" s="1" t="s">
        <v>43</v>
      </c>
      <c r="D3828" s="2" t="s">
        <v>2003</v>
      </c>
      <c r="E3828" s="9" t="str">
        <f t="shared" si="880"/>
        <v>PNP'!</v>
      </c>
      <c r="F3828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28" s="6" t="s">
        <v>113</v>
      </c>
      <c r="H3828" s="1">
        <f t="shared" si="882"/>
        <v>62</v>
      </c>
      <c r="I3828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PNP'!$BY$62</v>
      </c>
      <c r="J3828" s="1" t="s">
        <v>3732</v>
      </c>
    </row>
    <row r="3829" spans="1:10" x14ac:dyDescent="0.35">
      <c r="A3829" s="6" t="s">
        <v>15</v>
      </c>
      <c r="B3829" s="6">
        <f t="shared" si="884"/>
        <v>2050</v>
      </c>
      <c r="C3829" s="1" t="s">
        <v>43</v>
      </c>
      <c r="D3829" s="2" t="s">
        <v>2003</v>
      </c>
      <c r="E3829" s="9" t="str">
        <f t="shared" si="880"/>
        <v>PNP'!</v>
      </c>
      <c r="F3829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29" s="6" t="s">
        <v>113</v>
      </c>
      <c r="H3829" s="1">
        <f t="shared" si="882"/>
        <v>63</v>
      </c>
      <c r="I3829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PNP'!$BY$63</v>
      </c>
      <c r="J3829" s="1" t="s">
        <v>3733</v>
      </c>
    </row>
    <row r="3830" spans="1:10" x14ac:dyDescent="0.35">
      <c r="A3830" s="6" t="s">
        <v>15</v>
      </c>
      <c r="B3830" s="6">
        <f t="shared" si="884"/>
        <v>2051</v>
      </c>
      <c r="C3830" s="1" t="s">
        <v>43</v>
      </c>
      <c r="D3830" s="2" t="s">
        <v>2003</v>
      </c>
      <c r="E3830" s="9" t="str">
        <f t="shared" si="880"/>
        <v>PNP'!</v>
      </c>
      <c r="F3830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30" s="6" t="s">
        <v>113</v>
      </c>
      <c r="H3830" s="1">
        <f t="shared" si="882"/>
        <v>64</v>
      </c>
      <c r="I3830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PNP'!$BY$64</v>
      </c>
      <c r="J3830" s="1" t="s">
        <v>3734</v>
      </c>
    </row>
    <row r="3831" spans="1:10" x14ac:dyDescent="0.35">
      <c r="A3831" s="6" t="s">
        <v>15</v>
      </c>
      <c r="B3831" s="6">
        <f t="shared" si="884"/>
        <v>2052</v>
      </c>
      <c r="C3831" s="1" t="s">
        <v>43</v>
      </c>
      <c r="D3831" s="2" t="s">
        <v>2003</v>
      </c>
      <c r="E3831" s="9" t="str">
        <f t="shared" si="880"/>
        <v>PNP'!</v>
      </c>
      <c r="F3831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31" s="6" t="s">
        <v>113</v>
      </c>
      <c r="H3831" s="1">
        <f t="shared" si="882"/>
        <v>65</v>
      </c>
      <c r="I3831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PNP'!$BY$65</v>
      </c>
      <c r="J3831" s="1" t="s">
        <v>3735</v>
      </c>
    </row>
    <row r="3832" spans="1:10" x14ac:dyDescent="0.35">
      <c r="A3832" s="6" t="s">
        <v>15</v>
      </c>
      <c r="B3832" s="6">
        <f t="shared" si="884"/>
        <v>2053</v>
      </c>
      <c r="C3832" s="1" t="s">
        <v>43</v>
      </c>
      <c r="D3832" s="2" t="s">
        <v>2003</v>
      </c>
      <c r="E3832" s="9" t="str">
        <f t="shared" si="880"/>
        <v>PNP'!</v>
      </c>
      <c r="F3832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32" s="6" t="s">
        <v>113</v>
      </c>
      <c r="H3832" s="1">
        <f t="shared" si="882"/>
        <v>66</v>
      </c>
      <c r="I3832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PNP'!$BY$66</v>
      </c>
      <c r="J3832" s="1" t="s">
        <v>3736</v>
      </c>
    </row>
    <row r="3833" spans="1:10" x14ac:dyDescent="0.35">
      <c r="A3833" s="6" t="s">
        <v>15</v>
      </c>
      <c r="B3833" s="6">
        <f t="shared" si="884"/>
        <v>2054</v>
      </c>
      <c r="C3833" s="1" t="s">
        <v>43</v>
      </c>
      <c r="D3833" s="2" t="s">
        <v>2003</v>
      </c>
      <c r="E3833" s="9" t="str">
        <f t="shared" si="880"/>
        <v>PNP'!</v>
      </c>
      <c r="F3833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33" s="6" t="s">
        <v>113</v>
      </c>
      <c r="H3833" s="1">
        <f t="shared" si="882"/>
        <v>67</v>
      </c>
      <c r="I3833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PNP'!$BY$67</v>
      </c>
      <c r="J3833" s="1" t="s">
        <v>3737</v>
      </c>
    </row>
    <row r="3834" spans="1:10" x14ac:dyDescent="0.35">
      <c r="A3834" s="6" t="s">
        <v>15</v>
      </c>
      <c r="B3834" s="6">
        <f t="shared" si="884"/>
        <v>2055</v>
      </c>
      <c r="C3834" s="1" t="s">
        <v>43</v>
      </c>
      <c r="D3834" s="2" t="s">
        <v>2003</v>
      </c>
      <c r="E3834" s="9" t="str">
        <f t="shared" si="880"/>
        <v>PNP'!</v>
      </c>
      <c r="F3834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34" s="6" t="s">
        <v>113</v>
      </c>
      <c r="H3834" s="1">
        <f t="shared" si="882"/>
        <v>68</v>
      </c>
      <c r="I3834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PNP'!$BY$68</v>
      </c>
      <c r="J3834" s="1" t="s">
        <v>3738</v>
      </c>
    </row>
    <row r="3835" spans="1:10" x14ac:dyDescent="0.35">
      <c r="A3835" s="6" t="s">
        <v>15</v>
      </c>
      <c r="B3835" s="6">
        <f t="shared" si="884"/>
        <v>2056</v>
      </c>
      <c r="C3835" s="1" t="s">
        <v>43</v>
      </c>
      <c r="D3835" s="2" t="s">
        <v>2003</v>
      </c>
      <c r="E3835" s="9" t="str">
        <f t="shared" si="880"/>
        <v>PNP'!</v>
      </c>
      <c r="F3835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35" s="6" t="s">
        <v>113</v>
      </c>
      <c r="H3835" s="1">
        <f t="shared" si="882"/>
        <v>69</v>
      </c>
      <c r="I3835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PNP'!$BY$69</v>
      </c>
      <c r="J3835" s="1" t="s">
        <v>3739</v>
      </c>
    </row>
    <row r="3836" spans="1:10" x14ac:dyDescent="0.35">
      <c r="A3836" s="6" t="s">
        <v>15</v>
      </c>
      <c r="B3836" s="6">
        <f t="shared" si="884"/>
        <v>2057</v>
      </c>
      <c r="C3836" s="1" t="s">
        <v>43</v>
      </c>
      <c r="D3836" s="2" t="s">
        <v>2003</v>
      </c>
      <c r="E3836" s="9" t="str">
        <f t="shared" si="880"/>
        <v>PNP'!</v>
      </c>
      <c r="F3836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36" s="6" t="s">
        <v>113</v>
      </c>
      <c r="H3836" s="1">
        <f t="shared" si="882"/>
        <v>70</v>
      </c>
      <c r="I3836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PNP'!$BY$70</v>
      </c>
      <c r="J3836" s="1" t="s">
        <v>3740</v>
      </c>
    </row>
    <row r="3837" spans="1:10" x14ac:dyDescent="0.35">
      <c r="A3837" s="6" t="s">
        <v>15</v>
      </c>
      <c r="B3837" s="6">
        <f t="shared" si="884"/>
        <v>2058</v>
      </c>
      <c r="C3837" s="1" t="s">
        <v>43</v>
      </c>
      <c r="D3837" s="2" t="s">
        <v>2003</v>
      </c>
      <c r="E3837" s="9" t="str">
        <f t="shared" si="880"/>
        <v>PNP'!</v>
      </c>
      <c r="F3837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37" s="6" t="s">
        <v>113</v>
      </c>
      <c r="H3837" s="1">
        <f t="shared" si="882"/>
        <v>71</v>
      </c>
      <c r="I3837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PNP'!$BY$71</v>
      </c>
      <c r="J3837" s="1" t="s">
        <v>3741</v>
      </c>
    </row>
    <row r="3838" spans="1:10" x14ac:dyDescent="0.35">
      <c r="A3838" s="6" t="s">
        <v>15</v>
      </c>
      <c r="B3838" s="6">
        <f t="shared" si="884"/>
        <v>2059</v>
      </c>
      <c r="C3838" s="1" t="s">
        <v>43</v>
      </c>
      <c r="D3838" s="2" t="s">
        <v>2003</v>
      </c>
      <c r="E3838" s="9" t="str">
        <f t="shared" si="880"/>
        <v>PNP'!</v>
      </c>
      <c r="F3838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38" s="6" t="s">
        <v>113</v>
      </c>
      <c r="H3838" s="1">
        <f t="shared" si="882"/>
        <v>72</v>
      </c>
      <c r="I3838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PNP'!$BY$72</v>
      </c>
      <c r="J3838" s="1" t="s">
        <v>3742</v>
      </c>
    </row>
    <row r="3839" spans="1:10" x14ac:dyDescent="0.35">
      <c r="A3839" s="6" t="s">
        <v>26</v>
      </c>
      <c r="B3839" s="6"/>
      <c r="C3839" s="1" t="s">
        <v>43</v>
      </c>
      <c r="D3839" s="2"/>
      <c r="E3839" s="9"/>
      <c r="F3839" s="2"/>
      <c r="G3839" s="6"/>
      <c r="H3839" s="1"/>
      <c r="I3839" s="1"/>
      <c r="J3839" s="4"/>
    </row>
    <row r="3840" spans="1:10" x14ac:dyDescent="0.35">
      <c r="A3840" s="6" t="s">
        <v>16</v>
      </c>
      <c r="B3840" s="6">
        <v>2023</v>
      </c>
      <c r="C3840" s="1" t="s">
        <v>43</v>
      </c>
      <c r="D3840" s="2" t="s">
        <v>2003</v>
      </c>
      <c r="E3840" s="9" t="str">
        <f t="shared" ref="E3840:E3860" si="885">_xlfn.CONCAT(A3840,"'!")</f>
        <v>PND'!</v>
      </c>
      <c r="F3840" s="5" t="str">
        <f t="shared" ref="F3840:F3860" si="886">_xlfn.CONCAT(D3840," ",E3840)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40" s="6" t="s">
        <v>113</v>
      </c>
      <c r="H3840" s="1">
        <f>IF(A3840&lt;&gt;A3824,36,H3824+1)</f>
        <v>36</v>
      </c>
      <c r="I3840" s="1" t="str">
        <f t="shared" ref="I3840:I3860" si="887">_xlfn.CONCAT("='",F3840:H3840)</f>
        <v>='C:\Users\jaime.benazar\Quorum Business Solutions\Ecopetrol Prometeo - Documents\Planning Space Implementation\3. Analysis &amp; Design\Design\FC22\DRR Jaime\Por presentar a ECP\Cantagallo\Cristalina\[VRC_CRISTALINA_CF_SEC_20221231.xlsx]CF PND'!$BY$36</v>
      </c>
      <c r="J3840" s="1" t="s">
        <v>3743</v>
      </c>
    </row>
    <row r="3841" spans="1:10" x14ac:dyDescent="0.35">
      <c r="A3841" s="6" t="s">
        <v>16</v>
      </c>
      <c r="B3841" s="6">
        <f>+B3840+1</f>
        <v>2024</v>
      </c>
      <c r="C3841" s="1" t="s">
        <v>43</v>
      </c>
      <c r="D3841" s="2" t="s">
        <v>2003</v>
      </c>
      <c r="E3841" s="9" t="str">
        <f t="shared" si="885"/>
        <v>PND'!</v>
      </c>
      <c r="F3841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41" s="6" t="s">
        <v>113</v>
      </c>
      <c r="H3841" s="1">
        <f t="shared" ref="H3841:H3860" si="888">IF(A3841&lt;&gt;A3840,36,H3840+1)</f>
        <v>37</v>
      </c>
      <c r="I3841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PND'!$BY$37</v>
      </c>
      <c r="J3841" s="1" t="s">
        <v>3744</v>
      </c>
    </row>
    <row r="3842" spans="1:10" x14ac:dyDescent="0.35">
      <c r="A3842" s="6" t="s">
        <v>16</v>
      </c>
      <c r="B3842" s="6">
        <f t="shared" ref="B3842:B3853" si="889">+B3841+1</f>
        <v>2025</v>
      </c>
      <c r="C3842" s="1" t="s">
        <v>43</v>
      </c>
      <c r="D3842" s="2" t="s">
        <v>2003</v>
      </c>
      <c r="E3842" s="9" t="str">
        <f t="shared" si="885"/>
        <v>PND'!</v>
      </c>
      <c r="F3842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42" s="6" t="s">
        <v>113</v>
      </c>
      <c r="H3842" s="1">
        <f t="shared" si="888"/>
        <v>38</v>
      </c>
      <c r="I3842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PND'!$BY$38</v>
      </c>
      <c r="J3842" s="1" t="s">
        <v>3745</v>
      </c>
    </row>
    <row r="3843" spans="1:10" x14ac:dyDescent="0.35">
      <c r="A3843" s="6" t="s">
        <v>16</v>
      </c>
      <c r="B3843" s="6">
        <f t="shared" si="889"/>
        <v>2026</v>
      </c>
      <c r="C3843" s="1" t="s">
        <v>43</v>
      </c>
      <c r="D3843" s="2" t="s">
        <v>2003</v>
      </c>
      <c r="E3843" s="9" t="str">
        <f t="shared" si="885"/>
        <v>PND'!</v>
      </c>
      <c r="F3843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43" s="6" t="s">
        <v>113</v>
      </c>
      <c r="H3843" s="1">
        <f t="shared" si="888"/>
        <v>39</v>
      </c>
      <c r="I3843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PND'!$BY$39</v>
      </c>
      <c r="J3843" s="1" t="s">
        <v>3746</v>
      </c>
    </row>
    <row r="3844" spans="1:10" x14ac:dyDescent="0.35">
      <c r="A3844" s="6" t="s">
        <v>16</v>
      </c>
      <c r="B3844" s="6">
        <f t="shared" si="889"/>
        <v>2027</v>
      </c>
      <c r="C3844" s="1" t="s">
        <v>43</v>
      </c>
      <c r="D3844" s="2" t="s">
        <v>2003</v>
      </c>
      <c r="E3844" s="9" t="str">
        <f t="shared" si="885"/>
        <v>PND'!</v>
      </c>
      <c r="F3844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44" s="6" t="s">
        <v>113</v>
      </c>
      <c r="H3844" s="1">
        <f t="shared" si="888"/>
        <v>40</v>
      </c>
      <c r="I3844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PND'!$BY$40</v>
      </c>
      <c r="J3844" s="1" t="s">
        <v>3747</v>
      </c>
    </row>
    <row r="3845" spans="1:10" x14ac:dyDescent="0.35">
      <c r="A3845" s="6" t="s">
        <v>16</v>
      </c>
      <c r="B3845" s="6">
        <f t="shared" si="889"/>
        <v>2028</v>
      </c>
      <c r="C3845" s="1" t="s">
        <v>43</v>
      </c>
      <c r="D3845" s="2" t="s">
        <v>2003</v>
      </c>
      <c r="E3845" s="9" t="str">
        <f t="shared" si="885"/>
        <v>PND'!</v>
      </c>
      <c r="F3845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45" s="6" t="s">
        <v>113</v>
      </c>
      <c r="H3845" s="1">
        <f t="shared" si="888"/>
        <v>41</v>
      </c>
      <c r="I3845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PND'!$BY$41</v>
      </c>
      <c r="J3845" s="1" t="s">
        <v>3748</v>
      </c>
    </row>
    <row r="3846" spans="1:10" x14ac:dyDescent="0.35">
      <c r="A3846" s="6" t="s">
        <v>16</v>
      </c>
      <c r="B3846" s="6">
        <f t="shared" si="889"/>
        <v>2029</v>
      </c>
      <c r="C3846" s="1" t="s">
        <v>43</v>
      </c>
      <c r="D3846" s="2" t="s">
        <v>2003</v>
      </c>
      <c r="E3846" s="9" t="str">
        <f t="shared" si="885"/>
        <v>PND'!</v>
      </c>
      <c r="F3846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46" s="6" t="s">
        <v>113</v>
      </c>
      <c r="H3846" s="1">
        <f t="shared" si="888"/>
        <v>42</v>
      </c>
      <c r="I3846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PND'!$BY$42</v>
      </c>
      <c r="J3846" s="1" t="s">
        <v>3749</v>
      </c>
    </row>
    <row r="3847" spans="1:10" x14ac:dyDescent="0.35">
      <c r="A3847" s="6" t="s">
        <v>16</v>
      </c>
      <c r="B3847" s="6">
        <f t="shared" si="889"/>
        <v>2030</v>
      </c>
      <c r="C3847" s="1" t="s">
        <v>43</v>
      </c>
      <c r="D3847" s="2" t="s">
        <v>2003</v>
      </c>
      <c r="E3847" s="9" t="str">
        <f t="shared" si="885"/>
        <v>PND'!</v>
      </c>
      <c r="F3847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47" s="6" t="s">
        <v>113</v>
      </c>
      <c r="H3847" s="1">
        <f t="shared" si="888"/>
        <v>43</v>
      </c>
      <c r="I3847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PND'!$BY$43</v>
      </c>
      <c r="J3847" s="1" t="s">
        <v>3750</v>
      </c>
    </row>
    <row r="3848" spans="1:10" x14ac:dyDescent="0.35">
      <c r="A3848" s="6" t="s">
        <v>16</v>
      </c>
      <c r="B3848" s="6">
        <f t="shared" si="889"/>
        <v>2031</v>
      </c>
      <c r="C3848" s="1" t="s">
        <v>43</v>
      </c>
      <c r="D3848" s="2" t="s">
        <v>2003</v>
      </c>
      <c r="E3848" s="9" t="str">
        <f t="shared" si="885"/>
        <v>PND'!</v>
      </c>
      <c r="F3848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48" s="6" t="s">
        <v>113</v>
      </c>
      <c r="H3848" s="1">
        <f t="shared" si="888"/>
        <v>44</v>
      </c>
      <c r="I3848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PND'!$BY$44</v>
      </c>
      <c r="J3848" s="1" t="s">
        <v>3751</v>
      </c>
    </row>
    <row r="3849" spans="1:10" x14ac:dyDescent="0.35">
      <c r="A3849" s="6" t="s">
        <v>16</v>
      </c>
      <c r="B3849" s="6">
        <f t="shared" si="889"/>
        <v>2032</v>
      </c>
      <c r="C3849" s="1" t="s">
        <v>43</v>
      </c>
      <c r="D3849" s="2" t="s">
        <v>2003</v>
      </c>
      <c r="E3849" s="9" t="str">
        <f t="shared" si="885"/>
        <v>PND'!</v>
      </c>
      <c r="F3849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49" s="6" t="s">
        <v>113</v>
      </c>
      <c r="H3849" s="1">
        <f t="shared" si="888"/>
        <v>45</v>
      </c>
      <c r="I3849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PND'!$BY$45</v>
      </c>
      <c r="J3849" s="1" t="s">
        <v>3752</v>
      </c>
    </row>
    <row r="3850" spans="1:10" x14ac:dyDescent="0.35">
      <c r="A3850" s="6" t="s">
        <v>16</v>
      </c>
      <c r="B3850" s="6">
        <f t="shared" si="889"/>
        <v>2033</v>
      </c>
      <c r="C3850" s="1" t="s">
        <v>43</v>
      </c>
      <c r="D3850" s="2" t="s">
        <v>2003</v>
      </c>
      <c r="E3850" s="9" t="str">
        <f t="shared" si="885"/>
        <v>PND'!</v>
      </c>
      <c r="F3850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50" s="6" t="s">
        <v>113</v>
      </c>
      <c r="H3850" s="1">
        <f t="shared" si="888"/>
        <v>46</v>
      </c>
      <c r="I3850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PND'!$BY$46</v>
      </c>
      <c r="J3850" s="1" t="s">
        <v>3753</v>
      </c>
    </row>
    <row r="3851" spans="1:10" x14ac:dyDescent="0.35">
      <c r="A3851" s="6" t="s">
        <v>16</v>
      </c>
      <c r="B3851" s="6">
        <f t="shared" si="889"/>
        <v>2034</v>
      </c>
      <c r="C3851" s="1" t="s">
        <v>43</v>
      </c>
      <c r="D3851" s="2" t="s">
        <v>2003</v>
      </c>
      <c r="E3851" s="9" t="str">
        <f t="shared" si="885"/>
        <v>PND'!</v>
      </c>
      <c r="F3851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51" s="6" t="s">
        <v>113</v>
      </c>
      <c r="H3851" s="1">
        <f t="shared" si="888"/>
        <v>47</v>
      </c>
      <c r="I3851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PND'!$BY$47</v>
      </c>
      <c r="J3851" s="1" t="s">
        <v>3754</v>
      </c>
    </row>
    <row r="3852" spans="1:10" x14ac:dyDescent="0.35">
      <c r="A3852" s="6" t="s">
        <v>16</v>
      </c>
      <c r="B3852" s="6">
        <f t="shared" si="889"/>
        <v>2035</v>
      </c>
      <c r="C3852" s="1" t="s">
        <v>43</v>
      </c>
      <c r="D3852" s="2" t="s">
        <v>2003</v>
      </c>
      <c r="E3852" s="9" t="str">
        <f t="shared" si="885"/>
        <v>PND'!</v>
      </c>
      <c r="F3852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52" s="6" t="s">
        <v>113</v>
      </c>
      <c r="H3852" s="1">
        <f t="shared" si="888"/>
        <v>48</v>
      </c>
      <c r="I3852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PND'!$BY$48</v>
      </c>
      <c r="J3852" s="1" t="s">
        <v>3755</v>
      </c>
    </row>
    <row r="3853" spans="1:10" x14ac:dyDescent="0.35">
      <c r="A3853" s="6" t="s">
        <v>16</v>
      </c>
      <c r="B3853" s="6">
        <f t="shared" si="889"/>
        <v>2036</v>
      </c>
      <c r="C3853" s="1" t="s">
        <v>43</v>
      </c>
      <c r="D3853" s="2" t="s">
        <v>2003</v>
      </c>
      <c r="E3853" s="9" t="str">
        <f t="shared" si="885"/>
        <v>PND'!</v>
      </c>
      <c r="F3853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53" s="6" t="s">
        <v>113</v>
      </c>
      <c r="H3853" s="1">
        <f t="shared" si="888"/>
        <v>49</v>
      </c>
      <c r="I3853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PND'!$BY$49</v>
      </c>
      <c r="J3853" s="1" t="s">
        <v>3756</v>
      </c>
    </row>
    <row r="3854" spans="1:10" x14ac:dyDescent="0.35">
      <c r="A3854" s="6" t="s">
        <v>16</v>
      </c>
      <c r="B3854" s="6">
        <f>+B3853+1</f>
        <v>2037</v>
      </c>
      <c r="C3854" s="1" t="s">
        <v>43</v>
      </c>
      <c r="D3854" s="2" t="s">
        <v>2003</v>
      </c>
      <c r="E3854" s="9" t="str">
        <f t="shared" si="885"/>
        <v>PND'!</v>
      </c>
      <c r="F3854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54" s="6" t="s">
        <v>113</v>
      </c>
      <c r="H3854" s="1">
        <f t="shared" si="888"/>
        <v>50</v>
      </c>
      <c r="I3854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PND'!$BY$50</v>
      </c>
      <c r="J3854" s="1" t="s">
        <v>3757</v>
      </c>
    </row>
    <row r="3855" spans="1:10" x14ac:dyDescent="0.35">
      <c r="A3855" s="6" t="s">
        <v>16</v>
      </c>
      <c r="B3855" s="6">
        <f t="shared" ref="B3855:B3857" si="890">+B3854+1</f>
        <v>2038</v>
      </c>
      <c r="C3855" s="1" t="s">
        <v>43</v>
      </c>
      <c r="D3855" s="2" t="s">
        <v>2003</v>
      </c>
      <c r="E3855" s="9" t="str">
        <f t="shared" si="885"/>
        <v>PND'!</v>
      </c>
      <c r="F3855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55" s="6" t="s">
        <v>113</v>
      </c>
      <c r="H3855" s="1">
        <f t="shared" si="888"/>
        <v>51</v>
      </c>
      <c r="I3855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PND'!$BY$51</v>
      </c>
      <c r="J3855" s="1" t="s">
        <v>3758</v>
      </c>
    </row>
    <row r="3856" spans="1:10" x14ac:dyDescent="0.35">
      <c r="A3856" s="6" t="s">
        <v>16</v>
      </c>
      <c r="B3856" s="6">
        <f t="shared" si="890"/>
        <v>2039</v>
      </c>
      <c r="C3856" s="1" t="s">
        <v>43</v>
      </c>
      <c r="D3856" s="2" t="s">
        <v>2003</v>
      </c>
      <c r="E3856" s="9" t="str">
        <f t="shared" si="885"/>
        <v>PND'!</v>
      </c>
      <c r="F3856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56" s="6" t="s">
        <v>113</v>
      </c>
      <c r="H3856" s="1">
        <f t="shared" si="888"/>
        <v>52</v>
      </c>
      <c r="I3856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PND'!$BY$52</v>
      </c>
      <c r="J3856" s="1" t="s">
        <v>3759</v>
      </c>
    </row>
    <row r="3857" spans="1:10" x14ac:dyDescent="0.35">
      <c r="A3857" s="6" t="s">
        <v>16</v>
      </c>
      <c r="B3857" s="6">
        <f t="shared" si="890"/>
        <v>2040</v>
      </c>
      <c r="C3857" s="1" t="s">
        <v>43</v>
      </c>
      <c r="D3857" s="2" t="s">
        <v>2003</v>
      </c>
      <c r="E3857" s="9" t="str">
        <f t="shared" si="885"/>
        <v>PND'!</v>
      </c>
      <c r="F3857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57" s="6" t="s">
        <v>113</v>
      </c>
      <c r="H3857" s="1">
        <f t="shared" si="888"/>
        <v>53</v>
      </c>
      <c r="I3857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PND'!$BY$53</v>
      </c>
      <c r="J3857" s="1" t="s">
        <v>3760</v>
      </c>
    </row>
    <row r="3858" spans="1:10" x14ac:dyDescent="0.35">
      <c r="A3858" s="6" t="s">
        <v>16</v>
      </c>
      <c r="B3858" s="6">
        <f>+B3857+1</f>
        <v>2041</v>
      </c>
      <c r="C3858" s="1" t="s">
        <v>43</v>
      </c>
      <c r="D3858" s="2" t="s">
        <v>2003</v>
      </c>
      <c r="E3858" s="9" t="str">
        <f t="shared" si="885"/>
        <v>PND'!</v>
      </c>
      <c r="F3858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58" s="6" t="s">
        <v>113</v>
      </c>
      <c r="H3858" s="1">
        <f t="shared" si="888"/>
        <v>54</v>
      </c>
      <c r="I3858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PND'!$BY$54</v>
      </c>
      <c r="J3858" s="1" t="s">
        <v>3761</v>
      </c>
    </row>
    <row r="3859" spans="1:10" x14ac:dyDescent="0.35">
      <c r="A3859" s="6" t="s">
        <v>16</v>
      </c>
      <c r="B3859" s="6">
        <f t="shared" ref="B3859:B3860" si="891">+B3858+1</f>
        <v>2042</v>
      </c>
      <c r="C3859" s="1" t="s">
        <v>43</v>
      </c>
      <c r="D3859" s="2" t="s">
        <v>2003</v>
      </c>
      <c r="E3859" s="9" t="str">
        <f t="shared" si="885"/>
        <v>PND'!</v>
      </c>
      <c r="F3859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59" s="6" t="s">
        <v>113</v>
      </c>
      <c r="H3859" s="1">
        <f t="shared" si="888"/>
        <v>55</v>
      </c>
      <c r="I3859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PND'!$BY$55</v>
      </c>
      <c r="J3859" s="1" t="s">
        <v>3762</v>
      </c>
    </row>
    <row r="3860" spans="1:10" x14ac:dyDescent="0.35">
      <c r="A3860" s="6" t="s">
        <v>16</v>
      </c>
      <c r="B3860" s="6">
        <f t="shared" si="891"/>
        <v>2043</v>
      </c>
      <c r="C3860" s="1" t="s">
        <v>43</v>
      </c>
      <c r="D3860" s="2" t="s">
        <v>2003</v>
      </c>
      <c r="E3860" s="9" t="str">
        <f t="shared" si="885"/>
        <v>PND'!</v>
      </c>
      <c r="F3860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60" s="6" t="s">
        <v>113</v>
      </c>
      <c r="H3860" s="1">
        <f t="shared" si="888"/>
        <v>56</v>
      </c>
      <c r="I3860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PND'!$BY$56</v>
      </c>
      <c r="J3860" s="1" t="s">
        <v>3763</v>
      </c>
    </row>
    <row r="3861" spans="1:10" x14ac:dyDescent="0.35">
      <c r="A3861" s="6" t="s">
        <v>16</v>
      </c>
      <c r="B3861" s="6">
        <f>+B3860+1</f>
        <v>2044</v>
      </c>
      <c r="C3861" s="1" t="s">
        <v>43</v>
      </c>
      <c r="D3861" s="2" t="s">
        <v>2003</v>
      </c>
      <c r="E3861" s="9" t="str">
        <f t="shared" ref="E3861:E3876" si="892">_xlfn.CONCAT(A3861,"'!")</f>
        <v>PND'!</v>
      </c>
      <c r="F3861" s="5" t="str">
        <f t="shared" ref="F3861:F3876" si="893">_xlfn.CONCAT(D3861," ",E3861)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61" s="6" t="s">
        <v>113</v>
      </c>
      <c r="H3861" s="1">
        <f t="shared" ref="H3861:H3876" si="894">IF(A3861&lt;&gt;A3860,36,H3860+1)</f>
        <v>57</v>
      </c>
      <c r="I3861" s="1" t="str">
        <f t="shared" ref="I3861:I3876" si="895">_xlfn.CONCAT("='",F3861:H3861)</f>
        <v>='C:\Users\jaime.benazar\Quorum Business Solutions\Ecopetrol Prometeo - Documents\Planning Space Implementation\3. Analysis &amp; Design\Design\FC22\DRR Jaime\Por presentar a ECP\Cantagallo\Cristalina\[VRC_CRISTALINA_CF_SEC_20221231.xlsx]CF PND'!$BY$57</v>
      </c>
      <c r="J3861" s="1" t="s">
        <v>3764</v>
      </c>
    </row>
    <row r="3862" spans="1:10" x14ac:dyDescent="0.35">
      <c r="A3862" s="6" t="s">
        <v>16</v>
      </c>
      <c r="B3862" s="6">
        <f t="shared" ref="B3862:B3876" si="896">+B3861+1</f>
        <v>2045</v>
      </c>
      <c r="C3862" s="1" t="s">
        <v>43</v>
      </c>
      <c r="D3862" s="2" t="s">
        <v>2003</v>
      </c>
      <c r="E3862" s="9" t="str">
        <f t="shared" si="892"/>
        <v>PND'!</v>
      </c>
      <c r="F3862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62" s="6" t="s">
        <v>113</v>
      </c>
      <c r="H3862" s="1">
        <f t="shared" si="894"/>
        <v>58</v>
      </c>
      <c r="I3862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PND'!$BY$58</v>
      </c>
      <c r="J3862" s="1" t="s">
        <v>3765</v>
      </c>
    </row>
    <row r="3863" spans="1:10" x14ac:dyDescent="0.35">
      <c r="A3863" s="6" t="s">
        <v>16</v>
      </c>
      <c r="B3863" s="6">
        <f t="shared" si="896"/>
        <v>2046</v>
      </c>
      <c r="C3863" s="1" t="s">
        <v>43</v>
      </c>
      <c r="D3863" s="2" t="s">
        <v>2003</v>
      </c>
      <c r="E3863" s="9" t="str">
        <f t="shared" si="892"/>
        <v>PND'!</v>
      </c>
      <c r="F3863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63" s="6" t="s">
        <v>113</v>
      </c>
      <c r="H3863" s="1">
        <f t="shared" si="894"/>
        <v>59</v>
      </c>
      <c r="I3863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PND'!$BY$59</v>
      </c>
      <c r="J3863" s="1" t="s">
        <v>3766</v>
      </c>
    </row>
    <row r="3864" spans="1:10" x14ac:dyDescent="0.35">
      <c r="A3864" s="6" t="s">
        <v>16</v>
      </c>
      <c r="B3864" s="6">
        <f t="shared" si="896"/>
        <v>2047</v>
      </c>
      <c r="C3864" s="1" t="s">
        <v>43</v>
      </c>
      <c r="D3864" s="2" t="s">
        <v>2003</v>
      </c>
      <c r="E3864" s="9" t="str">
        <f t="shared" si="892"/>
        <v>PND'!</v>
      </c>
      <c r="F3864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64" s="6" t="s">
        <v>113</v>
      </c>
      <c r="H3864" s="1">
        <f t="shared" si="894"/>
        <v>60</v>
      </c>
      <c r="I3864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PND'!$BY$60</v>
      </c>
      <c r="J3864" s="1" t="s">
        <v>3767</v>
      </c>
    </row>
    <row r="3865" spans="1:10" x14ac:dyDescent="0.35">
      <c r="A3865" s="6" t="s">
        <v>16</v>
      </c>
      <c r="B3865" s="6">
        <f t="shared" si="896"/>
        <v>2048</v>
      </c>
      <c r="C3865" s="1" t="s">
        <v>43</v>
      </c>
      <c r="D3865" s="2" t="s">
        <v>2003</v>
      </c>
      <c r="E3865" s="9" t="str">
        <f t="shared" si="892"/>
        <v>PND'!</v>
      </c>
      <c r="F3865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65" s="6" t="s">
        <v>113</v>
      </c>
      <c r="H3865" s="1">
        <f t="shared" si="894"/>
        <v>61</v>
      </c>
      <c r="I3865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PND'!$BY$61</v>
      </c>
      <c r="J3865" s="1" t="s">
        <v>3768</v>
      </c>
    </row>
    <row r="3866" spans="1:10" x14ac:dyDescent="0.35">
      <c r="A3866" s="6" t="s">
        <v>16</v>
      </c>
      <c r="B3866" s="6">
        <f t="shared" si="896"/>
        <v>2049</v>
      </c>
      <c r="C3866" s="1" t="s">
        <v>43</v>
      </c>
      <c r="D3866" s="2" t="s">
        <v>2003</v>
      </c>
      <c r="E3866" s="9" t="str">
        <f t="shared" si="892"/>
        <v>PND'!</v>
      </c>
      <c r="F3866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66" s="6" t="s">
        <v>113</v>
      </c>
      <c r="H3866" s="1">
        <f t="shared" si="894"/>
        <v>62</v>
      </c>
      <c r="I3866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PND'!$BY$62</v>
      </c>
      <c r="J3866" s="1" t="s">
        <v>3769</v>
      </c>
    </row>
    <row r="3867" spans="1:10" x14ac:dyDescent="0.35">
      <c r="A3867" s="6" t="s">
        <v>16</v>
      </c>
      <c r="B3867" s="6">
        <f t="shared" si="896"/>
        <v>2050</v>
      </c>
      <c r="C3867" s="1" t="s">
        <v>43</v>
      </c>
      <c r="D3867" s="2" t="s">
        <v>2003</v>
      </c>
      <c r="E3867" s="9" t="str">
        <f t="shared" si="892"/>
        <v>PND'!</v>
      </c>
      <c r="F3867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67" s="6" t="s">
        <v>113</v>
      </c>
      <c r="H3867" s="1">
        <f t="shared" si="894"/>
        <v>63</v>
      </c>
      <c r="I3867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PND'!$BY$63</v>
      </c>
      <c r="J3867" s="1" t="s">
        <v>3770</v>
      </c>
    </row>
    <row r="3868" spans="1:10" x14ac:dyDescent="0.35">
      <c r="A3868" s="6" t="s">
        <v>16</v>
      </c>
      <c r="B3868" s="6">
        <f t="shared" si="896"/>
        <v>2051</v>
      </c>
      <c r="C3868" s="1" t="s">
        <v>43</v>
      </c>
      <c r="D3868" s="2" t="s">
        <v>2003</v>
      </c>
      <c r="E3868" s="9" t="str">
        <f t="shared" si="892"/>
        <v>PND'!</v>
      </c>
      <c r="F3868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68" s="6" t="s">
        <v>113</v>
      </c>
      <c r="H3868" s="1">
        <f t="shared" si="894"/>
        <v>64</v>
      </c>
      <c r="I3868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PND'!$BY$64</v>
      </c>
      <c r="J3868" s="1" t="s">
        <v>3771</v>
      </c>
    </row>
    <row r="3869" spans="1:10" x14ac:dyDescent="0.35">
      <c r="A3869" s="6" t="s">
        <v>16</v>
      </c>
      <c r="B3869" s="6">
        <f t="shared" si="896"/>
        <v>2052</v>
      </c>
      <c r="C3869" s="1" t="s">
        <v>43</v>
      </c>
      <c r="D3869" s="2" t="s">
        <v>2003</v>
      </c>
      <c r="E3869" s="9" t="str">
        <f t="shared" si="892"/>
        <v>PND'!</v>
      </c>
      <c r="F3869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69" s="6" t="s">
        <v>113</v>
      </c>
      <c r="H3869" s="1">
        <f t="shared" si="894"/>
        <v>65</v>
      </c>
      <c r="I3869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PND'!$BY$65</v>
      </c>
      <c r="J3869" s="1" t="s">
        <v>3772</v>
      </c>
    </row>
    <row r="3870" spans="1:10" x14ac:dyDescent="0.35">
      <c r="A3870" s="6" t="s">
        <v>16</v>
      </c>
      <c r="B3870" s="6">
        <f t="shared" si="896"/>
        <v>2053</v>
      </c>
      <c r="C3870" s="1" t="s">
        <v>43</v>
      </c>
      <c r="D3870" s="2" t="s">
        <v>2003</v>
      </c>
      <c r="E3870" s="9" t="str">
        <f t="shared" si="892"/>
        <v>PND'!</v>
      </c>
      <c r="F3870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70" s="6" t="s">
        <v>113</v>
      </c>
      <c r="H3870" s="1">
        <f t="shared" si="894"/>
        <v>66</v>
      </c>
      <c r="I3870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PND'!$BY$66</v>
      </c>
      <c r="J3870" s="1" t="s">
        <v>3773</v>
      </c>
    </row>
    <row r="3871" spans="1:10" x14ac:dyDescent="0.35">
      <c r="A3871" s="6" t="s">
        <v>16</v>
      </c>
      <c r="B3871" s="6">
        <f t="shared" si="896"/>
        <v>2054</v>
      </c>
      <c r="C3871" s="1" t="s">
        <v>43</v>
      </c>
      <c r="D3871" s="2" t="s">
        <v>2003</v>
      </c>
      <c r="E3871" s="9" t="str">
        <f t="shared" si="892"/>
        <v>PND'!</v>
      </c>
      <c r="F3871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71" s="6" t="s">
        <v>113</v>
      </c>
      <c r="H3871" s="1">
        <f t="shared" si="894"/>
        <v>67</v>
      </c>
      <c r="I3871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PND'!$BY$67</v>
      </c>
      <c r="J3871" s="1" t="s">
        <v>3774</v>
      </c>
    </row>
    <row r="3872" spans="1:10" x14ac:dyDescent="0.35">
      <c r="A3872" s="6" t="s">
        <v>16</v>
      </c>
      <c r="B3872" s="6">
        <f t="shared" si="896"/>
        <v>2055</v>
      </c>
      <c r="C3872" s="1" t="s">
        <v>43</v>
      </c>
      <c r="D3872" s="2" t="s">
        <v>2003</v>
      </c>
      <c r="E3872" s="9" t="str">
        <f t="shared" si="892"/>
        <v>PND'!</v>
      </c>
      <c r="F3872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72" s="6" t="s">
        <v>113</v>
      </c>
      <c r="H3872" s="1">
        <f t="shared" si="894"/>
        <v>68</v>
      </c>
      <c r="I3872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PND'!$BY$68</v>
      </c>
      <c r="J3872" s="1" t="s">
        <v>3775</v>
      </c>
    </row>
    <row r="3873" spans="1:10" x14ac:dyDescent="0.35">
      <c r="A3873" s="6" t="s">
        <v>16</v>
      </c>
      <c r="B3873" s="6">
        <f t="shared" si="896"/>
        <v>2056</v>
      </c>
      <c r="C3873" s="1" t="s">
        <v>43</v>
      </c>
      <c r="D3873" s="2" t="s">
        <v>2003</v>
      </c>
      <c r="E3873" s="9" t="str">
        <f t="shared" si="892"/>
        <v>PND'!</v>
      </c>
      <c r="F3873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73" s="6" t="s">
        <v>113</v>
      </c>
      <c r="H3873" s="1">
        <f t="shared" si="894"/>
        <v>69</v>
      </c>
      <c r="I3873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PND'!$BY$69</v>
      </c>
      <c r="J3873" s="1" t="s">
        <v>3776</v>
      </c>
    </row>
    <row r="3874" spans="1:10" x14ac:dyDescent="0.35">
      <c r="A3874" s="6" t="s">
        <v>16</v>
      </c>
      <c r="B3874" s="6">
        <f t="shared" si="896"/>
        <v>2057</v>
      </c>
      <c r="C3874" s="1" t="s">
        <v>43</v>
      </c>
      <c r="D3874" s="2" t="s">
        <v>2003</v>
      </c>
      <c r="E3874" s="9" t="str">
        <f t="shared" si="892"/>
        <v>PND'!</v>
      </c>
      <c r="F3874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74" s="6" t="s">
        <v>113</v>
      </c>
      <c r="H3874" s="1">
        <f t="shared" si="894"/>
        <v>70</v>
      </c>
      <c r="I3874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PND'!$BY$70</v>
      </c>
      <c r="J3874" s="1" t="s">
        <v>3777</v>
      </c>
    </row>
    <row r="3875" spans="1:10" x14ac:dyDescent="0.35">
      <c r="A3875" s="6" t="s">
        <v>16</v>
      </c>
      <c r="B3875" s="6">
        <f t="shared" si="896"/>
        <v>2058</v>
      </c>
      <c r="C3875" s="1" t="s">
        <v>43</v>
      </c>
      <c r="D3875" s="2" t="s">
        <v>2003</v>
      </c>
      <c r="E3875" s="9" t="str">
        <f t="shared" si="892"/>
        <v>PND'!</v>
      </c>
      <c r="F3875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75" s="6" t="s">
        <v>113</v>
      </c>
      <c r="H3875" s="1">
        <f t="shared" si="894"/>
        <v>71</v>
      </c>
      <c r="I3875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PND'!$BY$71</v>
      </c>
      <c r="J3875" s="1" t="s">
        <v>3778</v>
      </c>
    </row>
    <row r="3876" spans="1:10" x14ac:dyDescent="0.35">
      <c r="A3876" s="6" t="s">
        <v>16</v>
      </c>
      <c r="B3876" s="6">
        <f t="shared" si="896"/>
        <v>2059</v>
      </c>
      <c r="C3876" s="1" t="s">
        <v>43</v>
      </c>
      <c r="D3876" s="2" t="s">
        <v>2003</v>
      </c>
      <c r="E3876" s="9" t="str">
        <f t="shared" si="892"/>
        <v>PND'!</v>
      </c>
      <c r="F3876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76" s="6" t="s">
        <v>113</v>
      </c>
      <c r="H3876" s="1">
        <f t="shared" si="894"/>
        <v>72</v>
      </c>
      <c r="I3876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PND'!$BY$72</v>
      </c>
      <c r="J3876" s="1" t="s">
        <v>3779</v>
      </c>
    </row>
    <row r="3877" spans="1:10" x14ac:dyDescent="0.35">
      <c r="A3877" s="6" t="s">
        <v>26</v>
      </c>
      <c r="B3877" s="6"/>
      <c r="C3877" s="1" t="s">
        <v>43</v>
      </c>
      <c r="D3877" s="2"/>
      <c r="E3877" s="9"/>
      <c r="F3877" s="2"/>
      <c r="G3877" s="6"/>
      <c r="H3877" s="1"/>
      <c r="I3877" s="1"/>
      <c r="J3877" s="4"/>
    </row>
    <row r="3878" spans="1:10" x14ac:dyDescent="0.35">
      <c r="A3878" s="6" t="s">
        <v>17</v>
      </c>
      <c r="B3878" s="6">
        <v>2023</v>
      </c>
      <c r="C3878" s="1" t="s">
        <v>43</v>
      </c>
      <c r="D3878" s="2" t="s">
        <v>2003</v>
      </c>
      <c r="E3878" s="9" t="str">
        <f t="shared" ref="E3878:E3898" si="897">_xlfn.CONCAT(A3878,"'!")</f>
        <v>PRBDP'!</v>
      </c>
      <c r="F3878" s="5" t="str">
        <f t="shared" ref="F3878:F3898" si="898">_xlfn.CONCAT(D3878," ",E3878)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78" s="6" t="s">
        <v>113</v>
      </c>
      <c r="H3878" s="1"/>
      <c r="I3878" s="1"/>
      <c r="J3878" s="1"/>
    </row>
    <row r="3879" spans="1:10" x14ac:dyDescent="0.35">
      <c r="A3879" s="6" t="s">
        <v>17</v>
      </c>
      <c r="B3879" s="6">
        <f>+B3878+1</f>
        <v>2024</v>
      </c>
      <c r="C3879" s="1" t="s">
        <v>43</v>
      </c>
      <c r="D3879" s="2" t="s">
        <v>2003</v>
      </c>
      <c r="E3879" s="9" t="str">
        <f t="shared" si="897"/>
        <v>PRBDP'!</v>
      </c>
      <c r="F3879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79" s="6" t="s">
        <v>113</v>
      </c>
      <c r="H3879" s="1"/>
      <c r="I3879" s="1"/>
      <c r="J3879" s="1"/>
    </row>
    <row r="3880" spans="1:10" x14ac:dyDescent="0.35">
      <c r="A3880" s="6" t="s">
        <v>17</v>
      </c>
      <c r="B3880" s="6">
        <f t="shared" ref="B3880:B3891" si="899">+B3879+1</f>
        <v>2025</v>
      </c>
      <c r="C3880" s="1" t="s">
        <v>43</v>
      </c>
      <c r="D3880" s="2" t="s">
        <v>2003</v>
      </c>
      <c r="E3880" s="9" t="str">
        <f t="shared" si="897"/>
        <v>PRBDP'!</v>
      </c>
      <c r="F3880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80" s="6" t="s">
        <v>113</v>
      </c>
      <c r="H3880" s="1"/>
      <c r="I3880" s="1"/>
      <c r="J3880" s="1"/>
    </row>
    <row r="3881" spans="1:10" x14ac:dyDescent="0.35">
      <c r="A3881" s="6" t="s">
        <v>17</v>
      </c>
      <c r="B3881" s="6">
        <f t="shared" si="899"/>
        <v>2026</v>
      </c>
      <c r="C3881" s="1" t="s">
        <v>43</v>
      </c>
      <c r="D3881" s="2" t="s">
        <v>2003</v>
      </c>
      <c r="E3881" s="9" t="str">
        <f t="shared" si="897"/>
        <v>PRBDP'!</v>
      </c>
      <c r="F3881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81" s="6" t="s">
        <v>113</v>
      </c>
      <c r="H3881" s="1"/>
      <c r="I3881" s="1"/>
      <c r="J3881" s="1"/>
    </row>
    <row r="3882" spans="1:10" x14ac:dyDescent="0.35">
      <c r="A3882" s="6" t="s">
        <v>17</v>
      </c>
      <c r="B3882" s="6">
        <f t="shared" si="899"/>
        <v>2027</v>
      </c>
      <c r="C3882" s="1" t="s">
        <v>43</v>
      </c>
      <c r="D3882" s="2" t="s">
        <v>2003</v>
      </c>
      <c r="E3882" s="9" t="str">
        <f t="shared" si="897"/>
        <v>PRBDP'!</v>
      </c>
      <c r="F3882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82" s="6" t="s">
        <v>113</v>
      </c>
      <c r="H3882" s="1"/>
      <c r="I3882" s="1"/>
      <c r="J3882" s="1"/>
    </row>
    <row r="3883" spans="1:10" x14ac:dyDescent="0.35">
      <c r="A3883" s="6" t="s">
        <v>17</v>
      </c>
      <c r="B3883" s="6">
        <f t="shared" si="899"/>
        <v>2028</v>
      </c>
      <c r="C3883" s="1" t="s">
        <v>43</v>
      </c>
      <c r="D3883" s="2" t="s">
        <v>2003</v>
      </c>
      <c r="E3883" s="9" t="str">
        <f t="shared" si="897"/>
        <v>PRBDP'!</v>
      </c>
      <c r="F3883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83" s="6" t="s">
        <v>113</v>
      </c>
      <c r="H3883" s="1"/>
      <c r="I3883" s="1"/>
      <c r="J3883" s="1"/>
    </row>
    <row r="3884" spans="1:10" x14ac:dyDescent="0.35">
      <c r="A3884" s="6" t="s">
        <v>17</v>
      </c>
      <c r="B3884" s="6">
        <f t="shared" si="899"/>
        <v>2029</v>
      </c>
      <c r="C3884" s="1" t="s">
        <v>43</v>
      </c>
      <c r="D3884" s="2" t="s">
        <v>2003</v>
      </c>
      <c r="E3884" s="9" t="str">
        <f t="shared" si="897"/>
        <v>PRBDP'!</v>
      </c>
      <c r="F3884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84" s="6" t="s">
        <v>113</v>
      </c>
      <c r="H3884" s="1"/>
      <c r="I3884" s="1"/>
      <c r="J3884" s="1"/>
    </row>
    <row r="3885" spans="1:10" x14ac:dyDescent="0.35">
      <c r="A3885" s="6" t="s">
        <v>17</v>
      </c>
      <c r="B3885" s="6">
        <f t="shared" si="899"/>
        <v>2030</v>
      </c>
      <c r="C3885" s="1" t="s">
        <v>43</v>
      </c>
      <c r="D3885" s="2" t="s">
        <v>2003</v>
      </c>
      <c r="E3885" s="9" t="str">
        <f t="shared" si="897"/>
        <v>PRBDP'!</v>
      </c>
      <c r="F3885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85" s="6" t="s">
        <v>113</v>
      </c>
      <c r="H3885" s="1"/>
      <c r="I3885" s="1"/>
      <c r="J3885" s="1"/>
    </row>
    <row r="3886" spans="1:10" x14ac:dyDescent="0.35">
      <c r="A3886" s="6" t="s">
        <v>17</v>
      </c>
      <c r="B3886" s="6">
        <f t="shared" si="899"/>
        <v>2031</v>
      </c>
      <c r="C3886" s="1" t="s">
        <v>43</v>
      </c>
      <c r="D3886" s="2" t="s">
        <v>2003</v>
      </c>
      <c r="E3886" s="9" t="str">
        <f t="shared" si="897"/>
        <v>PRBDP'!</v>
      </c>
      <c r="F3886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86" s="6" t="s">
        <v>113</v>
      </c>
      <c r="H3886" s="1"/>
      <c r="I3886" s="1"/>
      <c r="J3886" s="1"/>
    </row>
    <row r="3887" spans="1:10" x14ac:dyDescent="0.35">
      <c r="A3887" s="6" t="s">
        <v>17</v>
      </c>
      <c r="B3887" s="6">
        <f t="shared" si="899"/>
        <v>2032</v>
      </c>
      <c r="C3887" s="1" t="s">
        <v>43</v>
      </c>
      <c r="D3887" s="2" t="s">
        <v>2003</v>
      </c>
      <c r="E3887" s="9" t="str">
        <f t="shared" si="897"/>
        <v>PRBDP'!</v>
      </c>
      <c r="F3887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87" s="6" t="s">
        <v>113</v>
      </c>
      <c r="H3887" s="1"/>
      <c r="I3887" s="1"/>
      <c r="J3887" s="1"/>
    </row>
    <row r="3888" spans="1:10" x14ac:dyDescent="0.35">
      <c r="A3888" s="6" t="s">
        <v>17</v>
      </c>
      <c r="B3888" s="6">
        <f t="shared" si="899"/>
        <v>2033</v>
      </c>
      <c r="C3888" s="1" t="s">
        <v>43</v>
      </c>
      <c r="D3888" s="2" t="s">
        <v>2003</v>
      </c>
      <c r="E3888" s="9" t="str">
        <f t="shared" si="897"/>
        <v>PRBDP'!</v>
      </c>
      <c r="F3888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88" s="6" t="s">
        <v>113</v>
      </c>
      <c r="H3888" s="1"/>
      <c r="I3888" s="1"/>
      <c r="J3888" s="1"/>
    </row>
    <row r="3889" spans="1:10" x14ac:dyDescent="0.35">
      <c r="A3889" s="6" t="s">
        <v>17</v>
      </c>
      <c r="B3889" s="6">
        <f t="shared" si="899"/>
        <v>2034</v>
      </c>
      <c r="C3889" s="1" t="s">
        <v>43</v>
      </c>
      <c r="D3889" s="2" t="s">
        <v>2003</v>
      </c>
      <c r="E3889" s="9" t="str">
        <f t="shared" si="897"/>
        <v>PRBDP'!</v>
      </c>
      <c r="F3889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89" s="6" t="s">
        <v>113</v>
      </c>
      <c r="H3889" s="1"/>
      <c r="I3889" s="1"/>
      <c r="J3889" s="1"/>
    </row>
    <row r="3890" spans="1:10" x14ac:dyDescent="0.35">
      <c r="A3890" s="6" t="s">
        <v>17</v>
      </c>
      <c r="B3890" s="6">
        <f t="shared" si="899"/>
        <v>2035</v>
      </c>
      <c r="C3890" s="1" t="s">
        <v>43</v>
      </c>
      <c r="D3890" s="2" t="s">
        <v>2003</v>
      </c>
      <c r="E3890" s="9" t="str">
        <f t="shared" si="897"/>
        <v>PRBDP'!</v>
      </c>
      <c r="F3890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90" s="6" t="s">
        <v>113</v>
      </c>
      <c r="H3890" s="1"/>
      <c r="I3890" s="1"/>
      <c r="J3890" s="1"/>
    </row>
    <row r="3891" spans="1:10" x14ac:dyDescent="0.35">
      <c r="A3891" s="6" t="s">
        <v>17</v>
      </c>
      <c r="B3891" s="6">
        <f t="shared" si="899"/>
        <v>2036</v>
      </c>
      <c r="C3891" s="1" t="s">
        <v>43</v>
      </c>
      <c r="D3891" s="2" t="s">
        <v>2003</v>
      </c>
      <c r="E3891" s="9" t="str">
        <f t="shared" si="897"/>
        <v>PRBDP'!</v>
      </c>
      <c r="F3891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91" s="6" t="s">
        <v>113</v>
      </c>
      <c r="H3891" s="1"/>
      <c r="I3891" s="1"/>
      <c r="J3891" s="1"/>
    </row>
    <row r="3892" spans="1:10" x14ac:dyDescent="0.35">
      <c r="A3892" s="6" t="s">
        <v>17</v>
      </c>
      <c r="B3892" s="6">
        <f>+B3891+1</f>
        <v>2037</v>
      </c>
      <c r="C3892" s="1" t="s">
        <v>43</v>
      </c>
      <c r="D3892" s="2" t="s">
        <v>2003</v>
      </c>
      <c r="E3892" s="9" t="str">
        <f t="shared" si="897"/>
        <v>PRBDP'!</v>
      </c>
      <c r="F3892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92" s="6" t="s">
        <v>113</v>
      </c>
      <c r="H3892" s="1"/>
      <c r="I3892" s="1"/>
      <c r="J3892" s="1"/>
    </row>
    <row r="3893" spans="1:10" x14ac:dyDescent="0.35">
      <c r="A3893" s="6" t="s">
        <v>17</v>
      </c>
      <c r="B3893" s="6">
        <f t="shared" ref="B3893:B3895" si="900">+B3892+1</f>
        <v>2038</v>
      </c>
      <c r="C3893" s="1" t="s">
        <v>43</v>
      </c>
      <c r="D3893" s="2" t="s">
        <v>2003</v>
      </c>
      <c r="E3893" s="9" t="str">
        <f t="shared" si="897"/>
        <v>PRBDP'!</v>
      </c>
      <c r="F3893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93" s="6" t="s">
        <v>113</v>
      </c>
      <c r="H3893" s="1"/>
      <c r="I3893" s="1"/>
      <c r="J3893" s="1"/>
    </row>
    <row r="3894" spans="1:10" x14ac:dyDescent="0.35">
      <c r="A3894" s="6" t="s">
        <v>17</v>
      </c>
      <c r="B3894" s="6">
        <f t="shared" si="900"/>
        <v>2039</v>
      </c>
      <c r="C3894" s="1" t="s">
        <v>43</v>
      </c>
      <c r="D3894" s="2" t="s">
        <v>2003</v>
      </c>
      <c r="E3894" s="9" t="str">
        <f t="shared" si="897"/>
        <v>PRBDP'!</v>
      </c>
      <c r="F3894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94" s="6" t="s">
        <v>113</v>
      </c>
      <c r="H3894" s="1"/>
      <c r="I3894" s="1"/>
      <c r="J3894" s="1"/>
    </row>
    <row r="3895" spans="1:10" x14ac:dyDescent="0.35">
      <c r="A3895" s="6" t="s">
        <v>17</v>
      </c>
      <c r="B3895" s="6">
        <f t="shared" si="900"/>
        <v>2040</v>
      </c>
      <c r="C3895" s="1" t="s">
        <v>43</v>
      </c>
      <c r="D3895" s="2" t="s">
        <v>2003</v>
      </c>
      <c r="E3895" s="9" t="str">
        <f t="shared" si="897"/>
        <v>PRBDP'!</v>
      </c>
      <c r="F3895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95" s="6" t="s">
        <v>113</v>
      </c>
      <c r="H3895" s="1"/>
      <c r="I3895" s="1"/>
      <c r="J3895" s="1"/>
    </row>
    <row r="3896" spans="1:10" x14ac:dyDescent="0.35">
      <c r="A3896" s="6" t="s">
        <v>17</v>
      </c>
      <c r="B3896" s="6">
        <f>+B3895+1</f>
        <v>2041</v>
      </c>
      <c r="C3896" s="1" t="s">
        <v>43</v>
      </c>
      <c r="D3896" s="2" t="s">
        <v>2003</v>
      </c>
      <c r="E3896" s="9" t="str">
        <f t="shared" si="897"/>
        <v>PRBDP'!</v>
      </c>
      <c r="F3896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96" s="6" t="s">
        <v>113</v>
      </c>
      <c r="H3896" s="1"/>
      <c r="I3896" s="1"/>
      <c r="J3896" s="1"/>
    </row>
    <row r="3897" spans="1:10" x14ac:dyDescent="0.35">
      <c r="A3897" s="6" t="s">
        <v>17</v>
      </c>
      <c r="B3897" s="6">
        <f t="shared" ref="B3897:B3898" si="901">+B3896+1</f>
        <v>2042</v>
      </c>
      <c r="C3897" s="1" t="s">
        <v>43</v>
      </c>
      <c r="D3897" s="2" t="s">
        <v>2003</v>
      </c>
      <c r="E3897" s="9" t="str">
        <f t="shared" si="897"/>
        <v>PRBDP'!</v>
      </c>
      <c r="F3897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97" s="6" t="s">
        <v>113</v>
      </c>
      <c r="H3897" s="1"/>
      <c r="I3897" s="1"/>
      <c r="J3897" s="1"/>
    </row>
    <row r="3898" spans="1:10" x14ac:dyDescent="0.35">
      <c r="A3898" s="6" t="s">
        <v>17</v>
      </c>
      <c r="B3898" s="6">
        <f t="shared" si="901"/>
        <v>2043</v>
      </c>
      <c r="C3898" s="1" t="s">
        <v>43</v>
      </c>
      <c r="D3898" s="2" t="s">
        <v>2003</v>
      </c>
      <c r="E3898" s="9" t="str">
        <f t="shared" si="897"/>
        <v>PRBDP'!</v>
      </c>
      <c r="F3898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98" s="6" t="s">
        <v>113</v>
      </c>
      <c r="H3898" s="1"/>
      <c r="I3898" s="1"/>
      <c r="J3898" s="1"/>
    </row>
    <row r="3899" spans="1:10" x14ac:dyDescent="0.35">
      <c r="A3899" s="6" t="s">
        <v>17</v>
      </c>
      <c r="B3899" s="6">
        <f>+B3898+1</f>
        <v>2044</v>
      </c>
      <c r="C3899" s="1" t="s">
        <v>43</v>
      </c>
      <c r="D3899" s="2" t="s">
        <v>2003</v>
      </c>
      <c r="E3899" s="9" t="str">
        <f t="shared" ref="E3899:E3914" si="902">_xlfn.CONCAT(A3899,"'!")</f>
        <v>PRBDP'!</v>
      </c>
      <c r="F3899" s="5" t="str">
        <f t="shared" ref="F3899:F3914" si="903">_xlfn.CONCAT(D3899," ",E3899)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99" s="6" t="s">
        <v>113</v>
      </c>
      <c r="H3899" s="1"/>
      <c r="I3899" s="1"/>
      <c r="J3899" s="1"/>
    </row>
    <row r="3900" spans="1:10" x14ac:dyDescent="0.35">
      <c r="A3900" s="6" t="s">
        <v>17</v>
      </c>
      <c r="B3900" s="6">
        <f t="shared" ref="B3900:B3914" si="904">+B3899+1</f>
        <v>2045</v>
      </c>
      <c r="C3900" s="1" t="s">
        <v>43</v>
      </c>
      <c r="D3900" s="2" t="s">
        <v>2003</v>
      </c>
      <c r="E3900" s="9" t="str">
        <f t="shared" si="902"/>
        <v>PRBDP'!</v>
      </c>
      <c r="F3900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00" s="6" t="s">
        <v>113</v>
      </c>
      <c r="H3900" s="1"/>
      <c r="I3900" s="1"/>
      <c r="J3900" s="1"/>
    </row>
    <row r="3901" spans="1:10" x14ac:dyDescent="0.35">
      <c r="A3901" s="6" t="s">
        <v>17</v>
      </c>
      <c r="B3901" s="6">
        <f t="shared" si="904"/>
        <v>2046</v>
      </c>
      <c r="C3901" s="1" t="s">
        <v>43</v>
      </c>
      <c r="D3901" s="2" t="s">
        <v>2003</v>
      </c>
      <c r="E3901" s="9" t="str">
        <f t="shared" si="902"/>
        <v>PRBDP'!</v>
      </c>
      <c r="F3901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01" s="6" t="s">
        <v>113</v>
      </c>
      <c r="H3901" s="1"/>
      <c r="I3901" s="1"/>
      <c r="J3901" s="1"/>
    </row>
    <row r="3902" spans="1:10" x14ac:dyDescent="0.35">
      <c r="A3902" s="6" t="s">
        <v>17</v>
      </c>
      <c r="B3902" s="6">
        <f t="shared" si="904"/>
        <v>2047</v>
      </c>
      <c r="C3902" s="1" t="s">
        <v>43</v>
      </c>
      <c r="D3902" s="2" t="s">
        <v>2003</v>
      </c>
      <c r="E3902" s="9" t="str">
        <f t="shared" si="902"/>
        <v>PRBDP'!</v>
      </c>
      <c r="F3902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02" s="6" t="s">
        <v>113</v>
      </c>
      <c r="H3902" s="1"/>
      <c r="I3902" s="1"/>
      <c r="J3902" s="1"/>
    </row>
    <row r="3903" spans="1:10" x14ac:dyDescent="0.35">
      <c r="A3903" s="6" t="s">
        <v>17</v>
      </c>
      <c r="B3903" s="6">
        <f t="shared" si="904"/>
        <v>2048</v>
      </c>
      <c r="C3903" s="1" t="s">
        <v>43</v>
      </c>
      <c r="D3903" s="2" t="s">
        <v>2003</v>
      </c>
      <c r="E3903" s="9" t="str">
        <f t="shared" si="902"/>
        <v>PRBDP'!</v>
      </c>
      <c r="F3903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03" s="6" t="s">
        <v>113</v>
      </c>
      <c r="H3903" s="1"/>
      <c r="I3903" s="1"/>
      <c r="J3903" s="1"/>
    </row>
    <row r="3904" spans="1:10" x14ac:dyDescent="0.35">
      <c r="A3904" s="6" t="s">
        <v>17</v>
      </c>
      <c r="B3904" s="6">
        <f t="shared" si="904"/>
        <v>2049</v>
      </c>
      <c r="C3904" s="1" t="s">
        <v>43</v>
      </c>
      <c r="D3904" s="2" t="s">
        <v>2003</v>
      </c>
      <c r="E3904" s="9" t="str">
        <f t="shared" si="902"/>
        <v>PRBDP'!</v>
      </c>
      <c r="F3904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04" s="6" t="s">
        <v>113</v>
      </c>
      <c r="H3904" s="1"/>
      <c r="I3904" s="1"/>
      <c r="J3904" s="1"/>
    </row>
    <row r="3905" spans="1:10" x14ac:dyDescent="0.35">
      <c r="A3905" s="6" t="s">
        <v>17</v>
      </c>
      <c r="B3905" s="6">
        <f t="shared" si="904"/>
        <v>2050</v>
      </c>
      <c r="C3905" s="1" t="s">
        <v>43</v>
      </c>
      <c r="D3905" s="2" t="s">
        <v>2003</v>
      </c>
      <c r="E3905" s="9" t="str">
        <f t="shared" si="902"/>
        <v>PRBDP'!</v>
      </c>
      <c r="F3905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05" s="6" t="s">
        <v>113</v>
      </c>
      <c r="H3905" s="1"/>
      <c r="I3905" s="1"/>
      <c r="J3905" s="1"/>
    </row>
    <row r="3906" spans="1:10" x14ac:dyDescent="0.35">
      <c r="A3906" s="6" t="s">
        <v>17</v>
      </c>
      <c r="B3906" s="6">
        <f t="shared" si="904"/>
        <v>2051</v>
      </c>
      <c r="C3906" s="1" t="s">
        <v>43</v>
      </c>
      <c r="D3906" s="2" t="s">
        <v>2003</v>
      </c>
      <c r="E3906" s="9" t="str">
        <f t="shared" si="902"/>
        <v>PRBDP'!</v>
      </c>
      <c r="F3906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06" s="6" t="s">
        <v>113</v>
      </c>
      <c r="H3906" s="1"/>
      <c r="I3906" s="1"/>
      <c r="J3906" s="1"/>
    </row>
    <row r="3907" spans="1:10" x14ac:dyDescent="0.35">
      <c r="A3907" s="6" t="s">
        <v>17</v>
      </c>
      <c r="B3907" s="6">
        <f t="shared" si="904"/>
        <v>2052</v>
      </c>
      <c r="C3907" s="1" t="s">
        <v>43</v>
      </c>
      <c r="D3907" s="2" t="s">
        <v>2003</v>
      </c>
      <c r="E3907" s="9" t="str">
        <f t="shared" si="902"/>
        <v>PRBDP'!</v>
      </c>
      <c r="F3907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07" s="6" t="s">
        <v>113</v>
      </c>
      <c r="H3907" s="1"/>
      <c r="I3907" s="1"/>
      <c r="J3907" s="1"/>
    </row>
    <row r="3908" spans="1:10" x14ac:dyDescent="0.35">
      <c r="A3908" s="6" t="s">
        <v>17</v>
      </c>
      <c r="B3908" s="6">
        <f t="shared" si="904"/>
        <v>2053</v>
      </c>
      <c r="C3908" s="1" t="s">
        <v>43</v>
      </c>
      <c r="D3908" s="2" t="s">
        <v>2003</v>
      </c>
      <c r="E3908" s="9" t="str">
        <f t="shared" si="902"/>
        <v>PRBDP'!</v>
      </c>
      <c r="F3908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08" s="6" t="s">
        <v>113</v>
      </c>
      <c r="H3908" s="1"/>
      <c r="I3908" s="1"/>
      <c r="J3908" s="1"/>
    </row>
    <row r="3909" spans="1:10" x14ac:dyDescent="0.35">
      <c r="A3909" s="6" t="s">
        <v>17</v>
      </c>
      <c r="B3909" s="6">
        <f t="shared" si="904"/>
        <v>2054</v>
      </c>
      <c r="C3909" s="1" t="s">
        <v>43</v>
      </c>
      <c r="D3909" s="2" t="s">
        <v>2003</v>
      </c>
      <c r="E3909" s="9" t="str">
        <f t="shared" si="902"/>
        <v>PRBDP'!</v>
      </c>
      <c r="F3909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09" s="6" t="s">
        <v>113</v>
      </c>
      <c r="H3909" s="1"/>
      <c r="I3909" s="1"/>
      <c r="J3909" s="1"/>
    </row>
    <row r="3910" spans="1:10" x14ac:dyDescent="0.35">
      <c r="A3910" s="6" t="s">
        <v>17</v>
      </c>
      <c r="B3910" s="6">
        <f t="shared" si="904"/>
        <v>2055</v>
      </c>
      <c r="C3910" s="1" t="s">
        <v>43</v>
      </c>
      <c r="D3910" s="2" t="s">
        <v>2003</v>
      </c>
      <c r="E3910" s="9" t="str">
        <f t="shared" si="902"/>
        <v>PRBDP'!</v>
      </c>
      <c r="F3910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10" s="6" t="s">
        <v>113</v>
      </c>
      <c r="H3910" s="1"/>
      <c r="I3910" s="1"/>
      <c r="J3910" s="1"/>
    </row>
    <row r="3911" spans="1:10" x14ac:dyDescent="0.35">
      <c r="A3911" s="6" t="s">
        <v>17</v>
      </c>
      <c r="B3911" s="6">
        <f t="shared" si="904"/>
        <v>2056</v>
      </c>
      <c r="C3911" s="1" t="s">
        <v>43</v>
      </c>
      <c r="D3911" s="2" t="s">
        <v>2003</v>
      </c>
      <c r="E3911" s="9" t="str">
        <f t="shared" si="902"/>
        <v>PRBDP'!</v>
      </c>
      <c r="F3911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11" s="6" t="s">
        <v>113</v>
      </c>
      <c r="H3911" s="1"/>
      <c r="I3911" s="1"/>
      <c r="J3911" s="1"/>
    </row>
    <row r="3912" spans="1:10" x14ac:dyDescent="0.35">
      <c r="A3912" s="6" t="s">
        <v>17</v>
      </c>
      <c r="B3912" s="6">
        <f t="shared" si="904"/>
        <v>2057</v>
      </c>
      <c r="C3912" s="1" t="s">
        <v>43</v>
      </c>
      <c r="D3912" s="2" t="s">
        <v>2003</v>
      </c>
      <c r="E3912" s="9" t="str">
        <f t="shared" si="902"/>
        <v>PRBDP'!</v>
      </c>
      <c r="F3912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12" s="6" t="s">
        <v>113</v>
      </c>
      <c r="H3912" s="1"/>
      <c r="I3912" s="1"/>
      <c r="J3912" s="1"/>
    </row>
    <row r="3913" spans="1:10" x14ac:dyDescent="0.35">
      <c r="A3913" s="6" t="s">
        <v>17</v>
      </c>
      <c r="B3913" s="6">
        <f t="shared" si="904"/>
        <v>2058</v>
      </c>
      <c r="C3913" s="1" t="s">
        <v>43</v>
      </c>
      <c r="D3913" s="2" t="s">
        <v>2003</v>
      </c>
      <c r="E3913" s="9" t="str">
        <f t="shared" si="902"/>
        <v>PRBDP'!</v>
      </c>
      <c r="F3913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13" s="6" t="s">
        <v>113</v>
      </c>
      <c r="H3913" s="1"/>
      <c r="I3913" s="1"/>
      <c r="J3913" s="1"/>
    </row>
    <row r="3914" spans="1:10" x14ac:dyDescent="0.35">
      <c r="A3914" s="6" t="s">
        <v>17</v>
      </c>
      <c r="B3914" s="6">
        <f t="shared" si="904"/>
        <v>2059</v>
      </c>
      <c r="C3914" s="1" t="s">
        <v>43</v>
      </c>
      <c r="D3914" s="2" t="s">
        <v>2003</v>
      </c>
      <c r="E3914" s="9" t="str">
        <f t="shared" si="902"/>
        <v>PRBDP'!</v>
      </c>
      <c r="F3914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14" s="6" t="s">
        <v>113</v>
      </c>
      <c r="H3914" s="1"/>
      <c r="I3914" s="1"/>
      <c r="J3914" s="1"/>
    </row>
    <row r="3915" spans="1:10" x14ac:dyDescent="0.35">
      <c r="A3915" s="6" t="s">
        <v>26</v>
      </c>
      <c r="B3915" s="6"/>
      <c r="C3915" s="1" t="s">
        <v>43</v>
      </c>
      <c r="D3915" s="2"/>
      <c r="E3915" s="9"/>
      <c r="F3915" s="2"/>
      <c r="G3915" s="6"/>
      <c r="H3915" s="1"/>
      <c r="I3915" s="1"/>
      <c r="J3915" s="12"/>
    </row>
    <row r="3916" spans="1:10" x14ac:dyDescent="0.35">
      <c r="A3916" s="6" t="s">
        <v>18</v>
      </c>
      <c r="B3916" s="6">
        <v>2023</v>
      </c>
      <c r="C3916" s="1" t="s">
        <v>43</v>
      </c>
      <c r="D3916" s="2" t="s">
        <v>2003</v>
      </c>
      <c r="E3916" s="9" t="str">
        <f t="shared" ref="E3916:E3936" si="905">_xlfn.CONCAT(A3916,"'!")</f>
        <v>PRBNP'!</v>
      </c>
      <c r="F3916" s="5" t="str">
        <f t="shared" ref="F3916:F3936" si="906">_xlfn.CONCAT(D3916," ",E3916)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16" s="6" t="s">
        <v>113</v>
      </c>
      <c r="H3916" s="1"/>
      <c r="I3916" s="1"/>
      <c r="J3916" s="1"/>
    </row>
    <row r="3917" spans="1:10" x14ac:dyDescent="0.35">
      <c r="A3917" s="6" t="s">
        <v>18</v>
      </c>
      <c r="B3917" s="6">
        <f>+B3916+1</f>
        <v>2024</v>
      </c>
      <c r="C3917" s="1" t="s">
        <v>43</v>
      </c>
      <c r="D3917" s="2" t="s">
        <v>2003</v>
      </c>
      <c r="E3917" s="9" t="str">
        <f t="shared" si="905"/>
        <v>PRBNP'!</v>
      </c>
      <c r="F3917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17" s="6" t="s">
        <v>113</v>
      </c>
      <c r="H3917" s="1"/>
      <c r="I3917" s="1"/>
      <c r="J3917" s="1"/>
    </row>
    <row r="3918" spans="1:10" x14ac:dyDescent="0.35">
      <c r="A3918" s="6" t="s">
        <v>18</v>
      </c>
      <c r="B3918" s="6">
        <f t="shared" ref="B3918:B3929" si="907">+B3917+1</f>
        <v>2025</v>
      </c>
      <c r="C3918" s="1" t="s">
        <v>43</v>
      </c>
      <c r="D3918" s="2" t="s">
        <v>2003</v>
      </c>
      <c r="E3918" s="9" t="str">
        <f t="shared" si="905"/>
        <v>PRBNP'!</v>
      </c>
      <c r="F3918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18" s="6" t="s">
        <v>113</v>
      </c>
      <c r="H3918" s="1"/>
      <c r="I3918" s="1"/>
      <c r="J3918" s="1"/>
    </row>
    <row r="3919" spans="1:10" x14ac:dyDescent="0.35">
      <c r="A3919" s="6" t="s">
        <v>18</v>
      </c>
      <c r="B3919" s="6">
        <f t="shared" si="907"/>
        <v>2026</v>
      </c>
      <c r="C3919" s="1" t="s">
        <v>43</v>
      </c>
      <c r="D3919" s="2" t="s">
        <v>2003</v>
      </c>
      <c r="E3919" s="9" t="str">
        <f t="shared" si="905"/>
        <v>PRBNP'!</v>
      </c>
      <c r="F3919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19" s="6" t="s">
        <v>113</v>
      </c>
      <c r="H3919" s="1"/>
      <c r="I3919" s="1"/>
      <c r="J3919" s="1"/>
    </row>
    <row r="3920" spans="1:10" x14ac:dyDescent="0.35">
      <c r="A3920" s="6" t="s">
        <v>18</v>
      </c>
      <c r="B3920" s="6">
        <f t="shared" si="907"/>
        <v>2027</v>
      </c>
      <c r="C3920" s="1" t="s">
        <v>43</v>
      </c>
      <c r="D3920" s="2" t="s">
        <v>2003</v>
      </c>
      <c r="E3920" s="9" t="str">
        <f t="shared" si="905"/>
        <v>PRBNP'!</v>
      </c>
      <c r="F3920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20" s="6" t="s">
        <v>113</v>
      </c>
      <c r="H3920" s="1"/>
      <c r="I3920" s="1"/>
      <c r="J3920" s="1"/>
    </row>
    <row r="3921" spans="1:10" x14ac:dyDescent="0.35">
      <c r="A3921" s="6" t="s">
        <v>18</v>
      </c>
      <c r="B3921" s="6">
        <f t="shared" si="907"/>
        <v>2028</v>
      </c>
      <c r="C3921" s="1" t="s">
        <v>43</v>
      </c>
      <c r="D3921" s="2" t="s">
        <v>2003</v>
      </c>
      <c r="E3921" s="9" t="str">
        <f t="shared" si="905"/>
        <v>PRBNP'!</v>
      </c>
      <c r="F3921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21" s="6" t="s">
        <v>113</v>
      </c>
      <c r="H3921" s="1"/>
      <c r="I3921" s="1"/>
      <c r="J3921" s="1"/>
    </row>
    <row r="3922" spans="1:10" x14ac:dyDescent="0.35">
      <c r="A3922" s="6" t="s">
        <v>18</v>
      </c>
      <c r="B3922" s="6">
        <f t="shared" si="907"/>
        <v>2029</v>
      </c>
      <c r="C3922" s="1" t="s">
        <v>43</v>
      </c>
      <c r="D3922" s="2" t="s">
        <v>2003</v>
      </c>
      <c r="E3922" s="9" t="str">
        <f t="shared" si="905"/>
        <v>PRBNP'!</v>
      </c>
      <c r="F3922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22" s="6" t="s">
        <v>113</v>
      </c>
      <c r="H3922" s="1"/>
      <c r="I3922" s="1"/>
      <c r="J3922" s="1"/>
    </row>
    <row r="3923" spans="1:10" x14ac:dyDescent="0.35">
      <c r="A3923" s="6" t="s">
        <v>18</v>
      </c>
      <c r="B3923" s="6">
        <f t="shared" si="907"/>
        <v>2030</v>
      </c>
      <c r="C3923" s="1" t="s">
        <v>43</v>
      </c>
      <c r="D3923" s="2" t="s">
        <v>2003</v>
      </c>
      <c r="E3923" s="9" t="str">
        <f t="shared" si="905"/>
        <v>PRBNP'!</v>
      </c>
      <c r="F3923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23" s="6" t="s">
        <v>113</v>
      </c>
      <c r="H3923" s="1"/>
      <c r="I3923" s="1"/>
      <c r="J3923" s="1"/>
    </row>
    <row r="3924" spans="1:10" x14ac:dyDescent="0.35">
      <c r="A3924" s="6" t="s">
        <v>18</v>
      </c>
      <c r="B3924" s="6">
        <f t="shared" si="907"/>
        <v>2031</v>
      </c>
      <c r="C3924" s="1" t="s">
        <v>43</v>
      </c>
      <c r="D3924" s="2" t="s">
        <v>2003</v>
      </c>
      <c r="E3924" s="9" t="str">
        <f t="shared" si="905"/>
        <v>PRBNP'!</v>
      </c>
      <c r="F3924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24" s="6" t="s">
        <v>113</v>
      </c>
      <c r="H3924" s="1"/>
      <c r="I3924" s="1"/>
      <c r="J3924" s="1"/>
    </row>
    <row r="3925" spans="1:10" x14ac:dyDescent="0.35">
      <c r="A3925" s="6" t="s">
        <v>18</v>
      </c>
      <c r="B3925" s="6">
        <f t="shared" si="907"/>
        <v>2032</v>
      </c>
      <c r="C3925" s="1" t="s">
        <v>43</v>
      </c>
      <c r="D3925" s="2" t="s">
        <v>2003</v>
      </c>
      <c r="E3925" s="9" t="str">
        <f t="shared" si="905"/>
        <v>PRBNP'!</v>
      </c>
      <c r="F3925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25" s="6" t="s">
        <v>113</v>
      </c>
      <c r="H3925" s="1"/>
      <c r="I3925" s="1"/>
      <c r="J3925" s="1"/>
    </row>
    <row r="3926" spans="1:10" x14ac:dyDescent="0.35">
      <c r="A3926" s="6" t="s">
        <v>18</v>
      </c>
      <c r="B3926" s="6">
        <f t="shared" si="907"/>
        <v>2033</v>
      </c>
      <c r="C3926" s="1" t="s">
        <v>43</v>
      </c>
      <c r="D3926" s="2" t="s">
        <v>2003</v>
      </c>
      <c r="E3926" s="9" t="str">
        <f t="shared" si="905"/>
        <v>PRBNP'!</v>
      </c>
      <c r="F3926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26" s="6" t="s">
        <v>113</v>
      </c>
      <c r="H3926" s="1"/>
      <c r="I3926" s="1"/>
      <c r="J3926" s="1"/>
    </row>
    <row r="3927" spans="1:10" x14ac:dyDescent="0.35">
      <c r="A3927" s="6" t="s">
        <v>18</v>
      </c>
      <c r="B3927" s="6">
        <f t="shared" si="907"/>
        <v>2034</v>
      </c>
      <c r="C3927" s="1" t="s">
        <v>43</v>
      </c>
      <c r="D3927" s="2" t="s">
        <v>2003</v>
      </c>
      <c r="E3927" s="9" t="str">
        <f t="shared" si="905"/>
        <v>PRBNP'!</v>
      </c>
      <c r="F3927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27" s="6" t="s">
        <v>113</v>
      </c>
      <c r="H3927" s="1"/>
      <c r="I3927" s="1"/>
      <c r="J3927" s="1"/>
    </row>
    <row r="3928" spans="1:10" x14ac:dyDescent="0.35">
      <c r="A3928" s="6" t="s">
        <v>18</v>
      </c>
      <c r="B3928" s="6">
        <f t="shared" si="907"/>
        <v>2035</v>
      </c>
      <c r="C3928" s="1" t="s">
        <v>43</v>
      </c>
      <c r="D3928" s="2" t="s">
        <v>2003</v>
      </c>
      <c r="E3928" s="9" t="str">
        <f t="shared" si="905"/>
        <v>PRBNP'!</v>
      </c>
      <c r="F3928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28" s="6" t="s">
        <v>113</v>
      </c>
      <c r="H3928" s="1"/>
      <c r="I3928" s="1"/>
      <c r="J3928" s="1"/>
    </row>
    <row r="3929" spans="1:10" x14ac:dyDescent="0.35">
      <c r="A3929" s="6" t="s">
        <v>18</v>
      </c>
      <c r="B3929" s="6">
        <f t="shared" si="907"/>
        <v>2036</v>
      </c>
      <c r="C3929" s="1" t="s">
        <v>43</v>
      </c>
      <c r="D3929" s="2" t="s">
        <v>2003</v>
      </c>
      <c r="E3929" s="9" t="str">
        <f t="shared" si="905"/>
        <v>PRBNP'!</v>
      </c>
      <c r="F3929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29" s="6" t="s">
        <v>113</v>
      </c>
      <c r="H3929" s="1"/>
      <c r="I3929" s="1"/>
      <c r="J3929" s="1"/>
    </row>
    <row r="3930" spans="1:10" x14ac:dyDescent="0.35">
      <c r="A3930" s="6" t="s">
        <v>18</v>
      </c>
      <c r="B3930" s="6">
        <f>+B3929+1</f>
        <v>2037</v>
      </c>
      <c r="C3930" s="1" t="s">
        <v>43</v>
      </c>
      <c r="D3930" s="2" t="s">
        <v>2003</v>
      </c>
      <c r="E3930" s="9" t="str">
        <f t="shared" si="905"/>
        <v>PRBNP'!</v>
      </c>
      <c r="F3930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30" s="6" t="s">
        <v>113</v>
      </c>
      <c r="H3930" s="1"/>
      <c r="I3930" s="1"/>
      <c r="J3930" s="1"/>
    </row>
    <row r="3931" spans="1:10" x14ac:dyDescent="0.35">
      <c r="A3931" s="6" t="s">
        <v>18</v>
      </c>
      <c r="B3931" s="6">
        <f t="shared" ref="B3931:B3933" si="908">+B3930+1</f>
        <v>2038</v>
      </c>
      <c r="C3931" s="1" t="s">
        <v>43</v>
      </c>
      <c r="D3931" s="2" t="s">
        <v>2003</v>
      </c>
      <c r="E3931" s="9" t="str">
        <f t="shared" si="905"/>
        <v>PRBNP'!</v>
      </c>
      <c r="F3931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31" s="6" t="s">
        <v>113</v>
      </c>
      <c r="H3931" s="1"/>
      <c r="I3931" s="1"/>
      <c r="J3931" s="1"/>
    </row>
    <row r="3932" spans="1:10" x14ac:dyDescent="0.35">
      <c r="A3932" s="6" t="s">
        <v>18</v>
      </c>
      <c r="B3932" s="6">
        <f t="shared" si="908"/>
        <v>2039</v>
      </c>
      <c r="C3932" s="1" t="s">
        <v>43</v>
      </c>
      <c r="D3932" s="2" t="s">
        <v>2003</v>
      </c>
      <c r="E3932" s="9" t="str">
        <f t="shared" si="905"/>
        <v>PRBNP'!</v>
      </c>
      <c r="F3932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32" s="6" t="s">
        <v>113</v>
      </c>
      <c r="H3932" s="1"/>
      <c r="I3932" s="1"/>
      <c r="J3932" s="1"/>
    </row>
    <row r="3933" spans="1:10" x14ac:dyDescent="0.35">
      <c r="A3933" s="6" t="s">
        <v>18</v>
      </c>
      <c r="B3933" s="6">
        <f t="shared" si="908"/>
        <v>2040</v>
      </c>
      <c r="C3933" s="1" t="s">
        <v>43</v>
      </c>
      <c r="D3933" s="2" t="s">
        <v>2003</v>
      </c>
      <c r="E3933" s="9" t="str">
        <f t="shared" si="905"/>
        <v>PRBNP'!</v>
      </c>
      <c r="F3933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33" s="6" t="s">
        <v>113</v>
      </c>
      <c r="H3933" s="1"/>
      <c r="I3933" s="1"/>
      <c r="J3933" s="1"/>
    </row>
    <row r="3934" spans="1:10" x14ac:dyDescent="0.35">
      <c r="A3934" s="6" t="s">
        <v>18</v>
      </c>
      <c r="B3934" s="6">
        <f>+B3933+1</f>
        <v>2041</v>
      </c>
      <c r="C3934" s="1" t="s">
        <v>43</v>
      </c>
      <c r="D3934" s="2" t="s">
        <v>2003</v>
      </c>
      <c r="E3934" s="9" t="str">
        <f t="shared" si="905"/>
        <v>PRBNP'!</v>
      </c>
      <c r="F3934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34" s="6" t="s">
        <v>113</v>
      </c>
      <c r="H3934" s="1"/>
      <c r="I3934" s="1"/>
      <c r="J3934" s="1"/>
    </row>
    <row r="3935" spans="1:10" x14ac:dyDescent="0.35">
      <c r="A3935" s="6" t="s">
        <v>18</v>
      </c>
      <c r="B3935" s="6">
        <f t="shared" ref="B3935:B3936" si="909">+B3934+1</f>
        <v>2042</v>
      </c>
      <c r="C3935" s="1" t="s">
        <v>43</v>
      </c>
      <c r="D3935" s="2" t="s">
        <v>2003</v>
      </c>
      <c r="E3935" s="9" t="str">
        <f t="shared" si="905"/>
        <v>PRBNP'!</v>
      </c>
      <c r="F3935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35" s="6" t="s">
        <v>113</v>
      </c>
      <c r="H3935" s="1"/>
      <c r="I3935" s="1"/>
      <c r="J3935" s="1"/>
    </row>
    <row r="3936" spans="1:10" x14ac:dyDescent="0.35">
      <c r="A3936" s="6" t="s">
        <v>18</v>
      </c>
      <c r="B3936" s="6">
        <f t="shared" si="909"/>
        <v>2043</v>
      </c>
      <c r="C3936" s="1" t="s">
        <v>43</v>
      </c>
      <c r="D3936" s="2" t="s">
        <v>2003</v>
      </c>
      <c r="E3936" s="9" t="str">
        <f t="shared" si="905"/>
        <v>PRBNP'!</v>
      </c>
      <c r="F3936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36" s="6" t="s">
        <v>113</v>
      </c>
      <c r="H3936" s="1"/>
      <c r="I3936" s="1"/>
      <c r="J3936" s="1"/>
    </row>
    <row r="3937" spans="1:10" x14ac:dyDescent="0.35">
      <c r="A3937" s="6" t="s">
        <v>18</v>
      </c>
      <c r="B3937" s="6">
        <f>+B3936+1</f>
        <v>2044</v>
      </c>
      <c r="C3937" s="1" t="s">
        <v>43</v>
      </c>
      <c r="D3937" s="2" t="s">
        <v>2003</v>
      </c>
      <c r="E3937" s="9" t="str">
        <f t="shared" ref="E3937:E3952" si="910">_xlfn.CONCAT(A3937,"'!")</f>
        <v>PRBNP'!</v>
      </c>
      <c r="F3937" s="5" t="str">
        <f t="shared" ref="F3937:F3952" si="911">_xlfn.CONCAT(D3937," ",E3937)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37" s="6" t="s">
        <v>113</v>
      </c>
      <c r="H3937" s="1"/>
      <c r="I3937" s="1"/>
      <c r="J3937" s="1"/>
    </row>
    <row r="3938" spans="1:10" x14ac:dyDescent="0.35">
      <c r="A3938" s="6" t="s">
        <v>18</v>
      </c>
      <c r="B3938" s="6">
        <f t="shared" ref="B3938:B3952" si="912">+B3937+1</f>
        <v>2045</v>
      </c>
      <c r="C3938" s="1" t="s">
        <v>43</v>
      </c>
      <c r="D3938" s="2" t="s">
        <v>2003</v>
      </c>
      <c r="E3938" s="9" t="str">
        <f t="shared" si="910"/>
        <v>PRBNP'!</v>
      </c>
      <c r="F3938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38" s="6" t="s">
        <v>113</v>
      </c>
      <c r="H3938" s="1"/>
      <c r="I3938" s="1"/>
      <c r="J3938" s="1"/>
    </row>
    <row r="3939" spans="1:10" x14ac:dyDescent="0.35">
      <c r="A3939" s="6" t="s">
        <v>18</v>
      </c>
      <c r="B3939" s="6">
        <f t="shared" si="912"/>
        <v>2046</v>
      </c>
      <c r="C3939" s="1" t="s">
        <v>43</v>
      </c>
      <c r="D3939" s="2" t="s">
        <v>2003</v>
      </c>
      <c r="E3939" s="9" t="str">
        <f t="shared" si="910"/>
        <v>PRBNP'!</v>
      </c>
      <c r="F3939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39" s="6" t="s">
        <v>113</v>
      </c>
      <c r="H3939" s="1"/>
      <c r="I3939" s="1"/>
      <c r="J3939" s="1"/>
    </row>
    <row r="3940" spans="1:10" x14ac:dyDescent="0.35">
      <c r="A3940" s="6" t="s">
        <v>18</v>
      </c>
      <c r="B3940" s="6">
        <f t="shared" si="912"/>
        <v>2047</v>
      </c>
      <c r="C3940" s="1" t="s">
        <v>43</v>
      </c>
      <c r="D3940" s="2" t="s">
        <v>2003</v>
      </c>
      <c r="E3940" s="9" t="str">
        <f t="shared" si="910"/>
        <v>PRBNP'!</v>
      </c>
      <c r="F3940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40" s="6" t="s">
        <v>113</v>
      </c>
      <c r="H3940" s="1"/>
      <c r="I3940" s="1"/>
      <c r="J3940" s="1"/>
    </row>
    <row r="3941" spans="1:10" x14ac:dyDescent="0.35">
      <c r="A3941" s="6" t="s">
        <v>18</v>
      </c>
      <c r="B3941" s="6">
        <f t="shared" si="912"/>
        <v>2048</v>
      </c>
      <c r="C3941" s="1" t="s">
        <v>43</v>
      </c>
      <c r="D3941" s="2" t="s">
        <v>2003</v>
      </c>
      <c r="E3941" s="9" t="str">
        <f t="shared" si="910"/>
        <v>PRBNP'!</v>
      </c>
      <c r="F3941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41" s="6" t="s">
        <v>113</v>
      </c>
      <c r="H3941" s="1"/>
      <c r="I3941" s="1"/>
      <c r="J3941" s="1"/>
    </row>
    <row r="3942" spans="1:10" x14ac:dyDescent="0.35">
      <c r="A3942" s="6" t="s">
        <v>18</v>
      </c>
      <c r="B3942" s="6">
        <f t="shared" si="912"/>
        <v>2049</v>
      </c>
      <c r="C3942" s="1" t="s">
        <v>43</v>
      </c>
      <c r="D3942" s="2" t="s">
        <v>2003</v>
      </c>
      <c r="E3942" s="9" t="str">
        <f t="shared" si="910"/>
        <v>PRBNP'!</v>
      </c>
      <c r="F3942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42" s="6" t="s">
        <v>113</v>
      </c>
      <c r="H3942" s="1"/>
      <c r="I3942" s="1"/>
      <c r="J3942" s="1"/>
    </row>
    <row r="3943" spans="1:10" x14ac:dyDescent="0.35">
      <c r="A3943" s="6" t="s">
        <v>18</v>
      </c>
      <c r="B3943" s="6">
        <f t="shared" si="912"/>
        <v>2050</v>
      </c>
      <c r="C3943" s="1" t="s">
        <v>43</v>
      </c>
      <c r="D3943" s="2" t="s">
        <v>2003</v>
      </c>
      <c r="E3943" s="9" t="str">
        <f t="shared" si="910"/>
        <v>PRBNP'!</v>
      </c>
      <c r="F3943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43" s="6" t="s">
        <v>113</v>
      </c>
      <c r="H3943" s="1"/>
      <c r="I3943" s="1"/>
      <c r="J3943" s="1"/>
    </row>
    <row r="3944" spans="1:10" x14ac:dyDescent="0.35">
      <c r="A3944" s="6" t="s">
        <v>18</v>
      </c>
      <c r="B3944" s="6">
        <f t="shared" si="912"/>
        <v>2051</v>
      </c>
      <c r="C3944" s="1" t="s">
        <v>43</v>
      </c>
      <c r="D3944" s="2" t="s">
        <v>2003</v>
      </c>
      <c r="E3944" s="9" t="str">
        <f t="shared" si="910"/>
        <v>PRBNP'!</v>
      </c>
      <c r="F3944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44" s="6" t="s">
        <v>113</v>
      </c>
      <c r="H3944" s="1"/>
      <c r="I3944" s="1"/>
      <c r="J3944" s="1"/>
    </row>
    <row r="3945" spans="1:10" x14ac:dyDescent="0.35">
      <c r="A3945" s="6" t="s">
        <v>18</v>
      </c>
      <c r="B3945" s="6">
        <f t="shared" si="912"/>
        <v>2052</v>
      </c>
      <c r="C3945" s="1" t="s">
        <v>43</v>
      </c>
      <c r="D3945" s="2" t="s">
        <v>2003</v>
      </c>
      <c r="E3945" s="9" t="str">
        <f t="shared" si="910"/>
        <v>PRBNP'!</v>
      </c>
      <c r="F3945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45" s="6" t="s">
        <v>113</v>
      </c>
      <c r="H3945" s="1"/>
      <c r="I3945" s="1"/>
      <c r="J3945" s="1"/>
    </row>
    <row r="3946" spans="1:10" x14ac:dyDescent="0.35">
      <c r="A3946" s="6" t="s">
        <v>18</v>
      </c>
      <c r="B3946" s="6">
        <f t="shared" si="912"/>
        <v>2053</v>
      </c>
      <c r="C3946" s="1" t="s">
        <v>43</v>
      </c>
      <c r="D3946" s="2" t="s">
        <v>2003</v>
      </c>
      <c r="E3946" s="9" t="str">
        <f t="shared" si="910"/>
        <v>PRBNP'!</v>
      </c>
      <c r="F3946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46" s="6" t="s">
        <v>113</v>
      </c>
      <c r="H3946" s="1"/>
      <c r="I3946" s="1"/>
      <c r="J3946" s="1"/>
    </row>
    <row r="3947" spans="1:10" x14ac:dyDescent="0.35">
      <c r="A3947" s="6" t="s">
        <v>18</v>
      </c>
      <c r="B3947" s="6">
        <f t="shared" si="912"/>
        <v>2054</v>
      </c>
      <c r="C3947" s="1" t="s">
        <v>43</v>
      </c>
      <c r="D3947" s="2" t="s">
        <v>2003</v>
      </c>
      <c r="E3947" s="9" t="str">
        <f t="shared" si="910"/>
        <v>PRBNP'!</v>
      </c>
      <c r="F3947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47" s="6" t="s">
        <v>113</v>
      </c>
      <c r="H3947" s="1"/>
      <c r="I3947" s="1"/>
      <c r="J3947" s="1"/>
    </row>
    <row r="3948" spans="1:10" x14ac:dyDescent="0.35">
      <c r="A3948" s="6" t="s">
        <v>18</v>
      </c>
      <c r="B3948" s="6">
        <f t="shared" si="912"/>
        <v>2055</v>
      </c>
      <c r="C3948" s="1" t="s">
        <v>43</v>
      </c>
      <c r="D3948" s="2" t="s">
        <v>2003</v>
      </c>
      <c r="E3948" s="9" t="str">
        <f t="shared" si="910"/>
        <v>PRBNP'!</v>
      </c>
      <c r="F3948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48" s="6" t="s">
        <v>113</v>
      </c>
      <c r="H3948" s="1"/>
      <c r="I3948" s="1"/>
      <c r="J3948" s="1"/>
    </row>
    <row r="3949" spans="1:10" x14ac:dyDescent="0.35">
      <c r="A3949" s="6" t="s">
        <v>18</v>
      </c>
      <c r="B3949" s="6">
        <f t="shared" si="912"/>
        <v>2056</v>
      </c>
      <c r="C3949" s="1" t="s">
        <v>43</v>
      </c>
      <c r="D3949" s="2" t="s">
        <v>2003</v>
      </c>
      <c r="E3949" s="9" t="str">
        <f t="shared" si="910"/>
        <v>PRBNP'!</v>
      </c>
      <c r="F3949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49" s="6" t="s">
        <v>113</v>
      </c>
      <c r="H3949" s="1"/>
      <c r="I3949" s="1"/>
      <c r="J3949" s="1"/>
    </row>
    <row r="3950" spans="1:10" x14ac:dyDescent="0.35">
      <c r="A3950" s="6" t="s">
        <v>18</v>
      </c>
      <c r="B3950" s="6">
        <f t="shared" si="912"/>
        <v>2057</v>
      </c>
      <c r="C3950" s="1" t="s">
        <v>43</v>
      </c>
      <c r="D3950" s="2" t="s">
        <v>2003</v>
      </c>
      <c r="E3950" s="9" t="str">
        <f t="shared" si="910"/>
        <v>PRBNP'!</v>
      </c>
      <c r="F3950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50" s="6" t="s">
        <v>113</v>
      </c>
      <c r="H3950" s="1"/>
      <c r="I3950" s="1"/>
      <c r="J3950" s="1"/>
    </row>
    <row r="3951" spans="1:10" x14ac:dyDescent="0.35">
      <c r="A3951" s="6" t="s">
        <v>18</v>
      </c>
      <c r="B3951" s="6">
        <f t="shared" si="912"/>
        <v>2058</v>
      </c>
      <c r="C3951" s="1" t="s">
        <v>43</v>
      </c>
      <c r="D3951" s="2" t="s">
        <v>2003</v>
      </c>
      <c r="E3951" s="9" t="str">
        <f t="shared" si="910"/>
        <v>PRBNP'!</v>
      </c>
      <c r="F3951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51" s="6" t="s">
        <v>113</v>
      </c>
      <c r="H3951" s="1"/>
      <c r="I3951" s="1"/>
      <c r="J3951" s="1"/>
    </row>
    <row r="3952" spans="1:10" x14ac:dyDescent="0.35">
      <c r="A3952" s="6" t="s">
        <v>18</v>
      </c>
      <c r="B3952" s="6">
        <f t="shared" si="912"/>
        <v>2059</v>
      </c>
      <c r="C3952" s="1" t="s">
        <v>43</v>
      </c>
      <c r="D3952" s="2" t="s">
        <v>2003</v>
      </c>
      <c r="E3952" s="9" t="str">
        <f t="shared" si="910"/>
        <v>PRBNP'!</v>
      </c>
      <c r="F3952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52" s="6" t="s">
        <v>113</v>
      </c>
      <c r="H3952" s="1"/>
      <c r="I3952" s="1"/>
      <c r="J3952" s="1"/>
    </row>
    <row r="3953" spans="1:10" x14ac:dyDescent="0.35">
      <c r="A3953" s="6" t="s">
        <v>26</v>
      </c>
      <c r="B3953" s="6"/>
      <c r="C3953" s="1" t="s">
        <v>43</v>
      </c>
      <c r="D3953" s="2"/>
      <c r="E3953" s="9"/>
      <c r="F3953" s="2"/>
      <c r="G3953" s="6"/>
      <c r="H3953" s="1"/>
      <c r="I3953" s="1"/>
      <c r="J3953" s="12"/>
    </row>
    <row r="3954" spans="1:10" x14ac:dyDescent="0.35">
      <c r="A3954" s="6" t="s">
        <v>19</v>
      </c>
      <c r="B3954" s="6">
        <v>2023</v>
      </c>
      <c r="C3954" s="1" t="s">
        <v>43</v>
      </c>
      <c r="D3954" s="2" t="s">
        <v>2003</v>
      </c>
      <c r="E3954" s="9" t="str">
        <f t="shared" ref="E3954:E3974" si="913">_xlfn.CONCAT(A3954,"'!")</f>
        <v>PRBND'!</v>
      </c>
      <c r="F3954" s="5" t="str">
        <f t="shared" ref="F3954:F3974" si="914">_xlfn.CONCAT(D3954," ",E3954)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54" s="6" t="s">
        <v>113</v>
      </c>
      <c r="H3954" s="1"/>
      <c r="I3954" s="1"/>
      <c r="J3954" s="1"/>
    </row>
    <row r="3955" spans="1:10" x14ac:dyDescent="0.35">
      <c r="A3955" s="6" t="s">
        <v>19</v>
      </c>
      <c r="B3955" s="6">
        <f>+B3954+1</f>
        <v>2024</v>
      </c>
      <c r="C3955" s="1" t="s">
        <v>43</v>
      </c>
      <c r="D3955" s="2" t="s">
        <v>2003</v>
      </c>
      <c r="E3955" s="9" t="str">
        <f t="shared" si="913"/>
        <v>PRBND'!</v>
      </c>
      <c r="F3955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55" s="6" t="s">
        <v>113</v>
      </c>
      <c r="H3955" s="1"/>
      <c r="I3955" s="1"/>
      <c r="J3955" s="1"/>
    </row>
    <row r="3956" spans="1:10" x14ac:dyDescent="0.35">
      <c r="A3956" s="6" t="s">
        <v>19</v>
      </c>
      <c r="B3956" s="6">
        <f t="shared" ref="B3956:B3967" si="915">+B3955+1</f>
        <v>2025</v>
      </c>
      <c r="C3956" s="1" t="s">
        <v>43</v>
      </c>
      <c r="D3956" s="2" t="s">
        <v>2003</v>
      </c>
      <c r="E3956" s="9" t="str">
        <f t="shared" si="913"/>
        <v>PRBND'!</v>
      </c>
      <c r="F3956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56" s="6" t="s">
        <v>113</v>
      </c>
      <c r="H3956" s="1"/>
      <c r="I3956" s="1"/>
      <c r="J3956" s="1"/>
    </row>
    <row r="3957" spans="1:10" x14ac:dyDescent="0.35">
      <c r="A3957" s="6" t="s">
        <v>19</v>
      </c>
      <c r="B3957" s="6">
        <f t="shared" si="915"/>
        <v>2026</v>
      </c>
      <c r="C3957" s="1" t="s">
        <v>43</v>
      </c>
      <c r="D3957" s="2" t="s">
        <v>2003</v>
      </c>
      <c r="E3957" s="9" t="str">
        <f t="shared" si="913"/>
        <v>PRBND'!</v>
      </c>
      <c r="F3957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57" s="6" t="s">
        <v>113</v>
      </c>
      <c r="H3957" s="1"/>
      <c r="I3957" s="1"/>
      <c r="J3957" s="1"/>
    </row>
    <row r="3958" spans="1:10" x14ac:dyDescent="0.35">
      <c r="A3958" s="6" t="s">
        <v>19</v>
      </c>
      <c r="B3958" s="6">
        <f t="shared" si="915"/>
        <v>2027</v>
      </c>
      <c r="C3958" s="1" t="s">
        <v>43</v>
      </c>
      <c r="D3958" s="2" t="s">
        <v>2003</v>
      </c>
      <c r="E3958" s="9" t="str">
        <f t="shared" si="913"/>
        <v>PRBND'!</v>
      </c>
      <c r="F3958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58" s="6" t="s">
        <v>113</v>
      </c>
      <c r="H3958" s="1"/>
      <c r="I3958" s="1"/>
      <c r="J3958" s="1"/>
    </row>
    <row r="3959" spans="1:10" x14ac:dyDescent="0.35">
      <c r="A3959" s="6" t="s">
        <v>19</v>
      </c>
      <c r="B3959" s="6">
        <f t="shared" si="915"/>
        <v>2028</v>
      </c>
      <c r="C3959" s="1" t="s">
        <v>43</v>
      </c>
      <c r="D3959" s="2" t="s">
        <v>2003</v>
      </c>
      <c r="E3959" s="9" t="str">
        <f t="shared" si="913"/>
        <v>PRBND'!</v>
      </c>
      <c r="F3959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59" s="6" t="s">
        <v>113</v>
      </c>
      <c r="H3959" s="1"/>
      <c r="I3959" s="1"/>
      <c r="J3959" s="1"/>
    </row>
    <row r="3960" spans="1:10" x14ac:dyDescent="0.35">
      <c r="A3960" s="6" t="s">
        <v>19</v>
      </c>
      <c r="B3960" s="6">
        <f t="shared" si="915"/>
        <v>2029</v>
      </c>
      <c r="C3960" s="1" t="s">
        <v>43</v>
      </c>
      <c r="D3960" s="2" t="s">
        <v>2003</v>
      </c>
      <c r="E3960" s="9" t="str">
        <f t="shared" si="913"/>
        <v>PRBND'!</v>
      </c>
      <c r="F3960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60" s="6" t="s">
        <v>113</v>
      </c>
      <c r="H3960" s="1"/>
      <c r="I3960" s="1"/>
      <c r="J3960" s="1"/>
    </row>
    <row r="3961" spans="1:10" x14ac:dyDescent="0.35">
      <c r="A3961" s="6" t="s">
        <v>19</v>
      </c>
      <c r="B3961" s="6">
        <f t="shared" si="915"/>
        <v>2030</v>
      </c>
      <c r="C3961" s="1" t="s">
        <v>43</v>
      </c>
      <c r="D3961" s="2" t="s">
        <v>2003</v>
      </c>
      <c r="E3961" s="9" t="str">
        <f t="shared" si="913"/>
        <v>PRBND'!</v>
      </c>
      <c r="F3961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61" s="6" t="s">
        <v>113</v>
      </c>
      <c r="H3961" s="1"/>
      <c r="I3961" s="1"/>
      <c r="J3961" s="1"/>
    </row>
    <row r="3962" spans="1:10" x14ac:dyDescent="0.35">
      <c r="A3962" s="6" t="s">
        <v>19</v>
      </c>
      <c r="B3962" s="6">
        <f t="shared" si="915"/>
        <v>2031</v>
      </c>
      <c r="C3962" s="1" t="s">
        <v>43</v>
      </c>
      <c r="D3962" s="2" t="s">
        <v>2003</v>
      </c>
      <c r="E3962" s="9" t="str">
        <f t="shared" si="913"/>
        <v>PRBND'!</v>
      </c>
      <c r="F3962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62" s="6" t="s">
        <v>113</v>
      </c>
      <c r="H3962" s="1"/>
      <c r="I3962" s="1"/>
      <c r="J3962" s="1"/>
    </row>
    <row r="3963" spans="1:10" x14ac:dyDescent="0.35">
      <c r="A3963" s="6" t="s">
        <v>19</v>
      </c>
      <c r="B3963" s="6">
        <f t="shared" si="915"/>
        <v>2032</v>
      </c>
      <c r="C3963" s="1" t="s">
        <v>43</v>
      </c>
      <c r="D3963" s="2" t="s">
        <v>2003</v>
      </c>
      <c r="E3963" s="9" t="str">
        <f t="shared" si="913"/>
        <v>PRBND'!</v>
      </c>
      <c r="F3963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63" s="6" t="s">
        <v>113</v>
      </c>
      <c r="H3963" s="1"/>
      <c r="I3963" s="1"/>
      <c r="J3963" s="1"/>
    </row>
    <row r="3964" spans="1:10" x14ac:dyDescent="0.35">
      <c r="A3964" s="6" t="s">
        <v>19</v>
      </c>
      <c r="B3964" s="6">
        <f t="shared" si="915"/>
        <v>2033</v>
      </c>
      <c r="C3964" s="1" t="s">
        <v>43</v>
      </c>
      <c r="D3964" s="2" t="s">
        <v>2003</v>
      </c>
      <c r="E3964" s="9" t="str">
        <f t="shared" si="913"/>
        <v>PRBND'!</v>
      </c>
      <c r="F3964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64" s="6" t="s">
        <v>113</v>
      </c>
      <c r="H3964" s="1"/>
      <c r="I3964" s="1"/>
      <c r="J3964" s="1"/>
    </row>
    <row r="3965" spans="1:10" x14ac:dyDescent="0.35">
      <c r="A3965" s="6" t="s">
        <v>19</v>
      </c>
      <c r="B3965" s="6">
        <f t="shared" si="915"/>
        <v>2034</v>
      </c>
      <c r="C3965" s="1" t="s">
        <v>43</v>
      </c>
      <c r="D3965" s="2" t="s">
        <v>2003</v>
      </c>
      <c r="E3965" s="9" t="str">
        <f t="shared" si="913"/>
        <v>PRBND'!</v>
      </c>
      <c r="F3965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65" s="6" t="s">
        <v>113</v>
      </c>
      <c r="H3965" s="1"/>
      <c r="I3965" s="1"/>
      <c r="J3965" s="1"/>
    </row>
    <row r="3966" spans="1:10" x14ac:dyDescent="0.35">
      <c r="A3966" s="6" t="s">
        <v>19</v>
      </c>
      <c r="B3966" s="6">
        <f t="shared" si="915"/>
        <v>2035</v>
      </c>
      <c r="C3966" s="1" t="s">
        <v>43</v>
      </c>
      <c r="D3966" s="2" t="s">
        <v>2003</v>
      </c>
      <c r="E3966" s="9" t="str">
        <f t="shared" si="913"/>
        <v>PRBND'!</v>
      </c>
      <c r="F3966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66" s="6" t="s">
        <v>113</v>
      </c>
      <c r="H3966" s="1"/>
      <c r="I3966" s="1"/>
      <c r="J3966" s="1"/>
    </row>
    <row r="3967" spans="1:10" x14ac:dyDescent="0.35">
      <c r="A3967" s="6" t="s">
        <v>19</v>
      </c>
      <c r="B3967" s="6">
        <f t="shared" si="915"/>
        <v>2036</v>
      </c>
      <c r="C3967" s="1" t="s">
        <v>43</v>
      </c>
      <c r="D3967" s="2" t="s">
        <v>2003</v>
      </c>
      <c r="E3967" s="9" t="str">
        <f t="shared" si="913"/>
        <v>PRBND'!</v>
      </c>
      <c r="F3967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67" s="6" t="s">
        <v>113</v>
      </c>
      <c r="H3967" s="1"/>
      <c r="I3967" s="1"/>
      <c r="J3967" s="1"/>
    </row>
    <row r="3968" spans="1:10" x14ac:dyDescent="0.35">
      <c r="A3968" s="6" t="s">
        <v>19</v>
      </c>
      <c r="B3968" s="6">
        <f>+B3967+1</f>
        <v>2037</v>
      </c>
      <c r="C3968" s="1" t="s">
        <v>43</v>
      </c>
      <c r="D3968" s="2" t="s">
        <v>2003</v>
      </c>
      <c r="E3968" s="9" t="str">
        <f t="shared" si="913"/>
        <v>PRBND'!</v>
      </c>
      <c r="F3968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68" s="6" t="s">
        <v>113</v>
      </c>
      <c r="H3968" s="1"/>
      <c r="I3968" s="1"/>
      <c r="J3968" s="1"/>
    </row>
    <row r="3969" spans="1:10" x14ac:dyDescent="0.35">
      <c r="A3969" s="6" t="s">
        <v>19</v>
      </c>
      <c r="B3969" s="6">
        <f t="shared" ref="B3969:B3971" si="916">+B3968+1</f>
        <v>2038</v>
      </c>
      <c r="C3969" s="1" t="s">
        <v>43</v>
      </c>
      <c r="D3969" s="2" t="s">
        <v>2003</v>
      </c>
      <c r="E3969" s="9" t="str">
        <f t="shared" si="913"/>
        <v>PRBND'!</v>
      </c>
      <c r="F3969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69" s="6" t="s">
        <v>113</v>
      </c>
      <c r="H3969" s="1"/>
      <c r="I3969" s="1"/>
      <c r="J3969" s="1"/>
    </row>
    <row r="3970" spans="1:10" x14ac:dyDescent="0.35">
      <c r="A3970" s="6" t="s">
        <v>19</v>
      </c>
      <c r="B3970" s="6">
        <f t="shared" si="916"/>
        <v>2039</v>
      </c>
      <c r="C3970" s="1" t="s">
        <v>43</v>
      </c>
      <c r="D3970" s="2" t="s">
        <v>2003</v>
      </c>
      <c r="E3970" s="9" t="str">
        <f t="shared" si="913"/>
        <v>PRBND'!</v>
      </c>
      <c r="F3970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70" s="6" t="s">
        <v>113</v>
      </c>
      <c r="H3970" s="1"/>
      <c r="I3970" s="1"/>
      <c r="J3970" s="1"/>
    </row>
    <row r="3971" spans="1:10" x14ac:dyDescent="0.35">
      <c r="A3971" s="6" t="s">
        <v>19</v>
      </c>
      <c r="B3971" s="6">
        <f t="shared" si="916"/>
        <v>2040</v>
      </c>
      <c r="C3971" s="1" t="s">
        <v>43</v>
      </c>
      <c r="D3971" s="2" t="s">
        <v>2003</v>
      </c>
      <c r="E3971" s="9" t="str">
        <f t="shared" si="913"/>
        <v>PRBND'!</v>
      </c>
      <c r="F3971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71" s="6" t="s">
        <v>113</v>
      </c>
      <c r="H3971" s="1"/>
      <c r="I3971" s="1"/>
      <c r="J3971" s="1"/>
    </row>
    <row r="3972" spans="1:10" x14ac:dyDescent="0.35">
      <c r="A3972" s="6" t="s">
        <v>19</v>
      </c>
      <c r="B3972" s="6">
        <f>+B3971+1</f>
        <v>2041</v>
      </c>
      <c r="C3972" s="1" t="s">
        <v>43</v>
      </c>
      <c r="D3972" s="2" t="s">
        <v>2003</v>
      </c>
      <c r="E3972" s="9" t="str">
        <f t="shared" si="913"/>
        <v>PRBND'!</v>
      </c>
      <c r="F3972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72" s="6" t="s">
        <v>113</v>
      </c>
      <c r="H3972" s="1"/>
      <c r="I3972" s="1"/>
      <c r="J3972" s="1"/>
    </row>
    <row r="3973" spans="1:10" x14ac:dyDescent="0.35">
      <c r="A3973" s="6" t="s">
        <v>19</v>
      </c>
      <c r="B3973" s="6">
        <f t="shared" ref="B3973:B3974" si="917">+B3972+1</f>
        <v>2042</v>
      </c>
      <c r="C3973" s="1" t="s">
        <v>43</v>
      </c>
      <c r="D3973" s="2" t="s">
        <v>2003</v>
      </c>
      <c r="E3973" s="9" t="str">
        <f t="shared" si="913"/>
        <v>PRBND'!</v>
      </c>
      <c r="F3973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73" s="6" t="s">
        <v>113</v>
      </c>
      <c r="H3973" s="1"/>
      <c r="I3973" s="1"/>
      <c r="J3973" s="1"/>
    </row>
    <row r="3974" spans="1:10" x14ac:dyDescent="0.35">
      <c r="A3974" s="6" t="s">
        <v>19</v>
      </c>
      <c r="B3974" s="6">
        <f t="shared" si="917"/>
        <v>2043</v>
      </c>
      <c r="C3974" s="1" t="s">
        <v>43</v>
      </c>
      <c r="D3974" s="2" t="s">
        <v>2003</v>
      </c>
      <c r="E3974" s="9" t="str">
        <f t="shared" si="913"/>
        <v>PRBND'!</v>
      </c>
      <c r="F3974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74" s="6" t="s">
        <v>113</v>
      </c>
      <c r="H3974" s="1"/>
      <c r="I3974" s="1"/>
      <c r="J3974" s="1"/>
    </row>
    <row r="3975" spans="1:10" x14ac:dyDescent="0.35">
      <c r="A3975" s="6" t="s">
        <v>19</v>
      </c>
      <c r="B3975" s="6">
        <f>+B3974+1</f>
        <v>2044</v>
      </c>
      <c r="C3975" s="1" t="s">
        <v>43</v>
      </c>
      <c r="D3975" s="2" t="s">
        <v>2003</v>
      </c>
      <c r="E3975" s="9" t="str">
        <f t="shared" ref="E3975:E3990" si="918">_xlfn.CONCAT(A3975,"'!")</f>
        <v>PRBND'!</v>
      </c>
      <c r="F3975" s="5" t="str">
        <f t="shared" ref="F3975:F3990" si="919">_xlfn.CONCAT(D3975," ",E3975)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75" s="6" t="s">
        <v>113</v>
      </c>
      <c r="H3975" s="1"/>
      <c r="I3975" s="1"/>
      <c r="J3975" s="1"/>
    </row>
    <row r="3976" spans="1:10" x14ac:dyDescent="0.35">
      <c r="A3976" s="6" t="s">
        <v>19</v>
      </c>
      <c r="B3976" s="6">
        <f t="shared" ref="B3976:B3990" si="920">+B3975+1</f>
        <v>2045</v>
      </c>
      <c r="C3976" s="1" t="s">
        <v>43</v>
      </c>
      <c r="D3976" s="2" t="s">
        <v>2003</v>
      </c>
      <c r="E3976" s="9" t="str">
        <f t="shared" si="918"/>
        <v>PRBND'!</v>
      </c>
      <c r="F3976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76" s="6" t="s">
        <v>113</v>
      </c>
      <c r="H3976" s="1"/>
      <c r="I3976" s="1"/>
      <c r="J3976" s="1"/>
    </row>
    <row r="3977" spans="1:10" x14ac:dyDescent="0.35">
      <c r="A3977" s="6" t="s">
        <v>19</v>
      </c>
      <c r="B3977" s="6">
        <f t="shared" si="920"/>
        <v>2046</v>
      </c>
      <c r="C3977" s="1" t="s">
        <v>43</v>
      </c>
      <c r="D3977" s="2" t="s">
        <v>2003</v>
      </c>
      <c r="E3977" s="9" t="str">
        <f t="shared" si="918"/>
        <v>PRBND'!</v>
      </c>
      <c r="F3977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77" s="6" t="s">
        <v>113</v>
      </c>
      <c r="H3977" s="1"/>
      <c r="I3977" s="1"/>
      <c r="J3977" s="1"/>
    </row>
    <row r="3978" spans="1:10" x14ac:dyDescent="0.35">
      <c r="A3978" s="6" t="s">
        <v>19</v>
      </c>
      <c r="B3978" s="6">
        <f t="shared" si="920"/>
        <v>2047</v>
      </c>
      <c r="C3978" s="1" t="s">
        <v>43</v>
      </c>
      <c r="D3978" s="2" t="s">
        <v>2003</v>
      </c>
      <c r="E3978" s="9" t="str">
        <f t="shared" si="918"/>
        <v>PRBND'!</v>
      </c>
      <c r="F3978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78" s="6" t="s">
        <v>113</v>
      </c>
      <c r="H3978" s="1"/>
      <c r="I3978" s="1"/>
      <c r="J3978" s="1"/>
    </row>
    <row r="3979" spans="1:10" x14ac:dyDescent="0.35">
      <c r="A3979" s="6" t="s">
        <v>19</v>
      </c>
      <c r="B3979" s="6">
        <f t="shared" si="920"/>
        <v>2048</v>
      </c>
      <c r="C3979" s="1" t="s">
        <v>43</v>
      </c>
      <c r="D3979" s="2" t="s">
        <v>2003</v>
      </c>
      <c r="E3979" s="9" t="str">
        <f t="shared" si="918"/>
        <v>PRBND'!</v>
      </c>
      <c r="F3979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79" s="6" t="s">
        <v>113</v>
      </c>
      <c r="H3979" s="1"/>
      <c r="I3979" s="1"/>
      <c r="J3979" s="1"/>
    </row>
    <row r="3980" spans="1:10" x14ac:dyDescent="0.35">
      <c r="A3980" s="6" t="s">
        <v>19</v>
      </c>
      <c r="B3980" s="6">
        <f t="shared" si="920"/>
        <v>2049</v>
      </c>
      <c r="C3980" s="1" t="s">
        <v>43</v>
      </c>
      <c r="D3980" s="2" t="s">
        <v>2003</v>
      </c>
      <c r="E3980" s="9" t="str">
        <f t="shared" si="918"/>
        <v>PRBND'!</v>
      </c>
      <c r="F3980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80" s="6" t="s">
        <v>113</v>
      </c>
      <c r="H3980" s="1"/>
      <c r="I3980" s="1"/>
      <c r="J3980" s="1"/>
    </row>
    <row r="3981" spans="1:10" x14ac:dyDescent="0.35">
      <c r="A3981" s="6" t="s">
        <v>19</v>
      </c>
      <c r="B3981" s="6">
        <f t="shared" si="920"/>
        <v>2050</v>
      </c>
      <c r="C3981" s="1" t="s">
        <v>43</v>
      </c>
      <c r="D3981" s="2" t="s">
        <v>2003</v>
      </c>
      <c r="E3981" s="9" t="str">
        <f t="shared" si="918"/>
        <v>PRBND'!</v>
      </c>
      <c r="F3981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81" s="6" t="s">
        <v>113</v>
      </c>
      <c r="H3981" s="1"/>
      <c r="I3981" s="1"/>
      <c r="J3981" s="1"/>
    </row>
    <row r="3982" spans="1:10" x14ac:dyDescent="0.35">
      <c r="A3982" s="6" t="s">
        <v>19</v>
      </c>
      <c r="B3982" s="6">
        <f t="shared" si="920"/>
        <v>2051</v>
      </c>
      <c r="C3982" s="1" t="s">
        <v>43</v>
      </c>
      <c r="D3982" s="2" t="s">
        <v>2003</v>
      </c>
      <c r="E3982" s="9" t="str">
        <f t="shared" si="918"/>
        <v>PRBND'!</v>
      </c>
      <c r="F3982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82" s="6" t="s">
        <v>113</v>
      </c>
      <c r="H3982" s="1"/>
      <c r="I3982" s="1"/>
      <c r="J3982" s="1"/>
    </row>
    <row r="3983" spans="1:10" x14ac:dyDescent="0.35">
      <c r="A3983" s="6" t="s">
        <v>19</v>
      </c>
      <c r="B3983" s="6">
        <f t="shared" si="920"/>
        <v>2052</v>
      </c>
      <c r="C3983" s="1" t="s">
        <v>43</v>
      </c>
      <c r="D3983" s="2" t="s">
        <v>2003</v>
      </c>
      <c r="E3983" s="9" t="str">
        <f t="shared" si="918"/>
        <v>PRBND'!</v>
      </c>
      <c r="F3983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83" s="6" t="s">
        <v>113</v>
      </c>
      <c r="H3983" s="1"/>
      <c r="I3983" s="1"/>
      <c r="J3983" s="1"/>
    </row>
    <row r="3984" spans="1:10" x14ac:dyDescent="0.35">
      <c r="A3984" s="6" t="s">
        <v>19</v>
      </c>
      <c r="B3984" s="6">
        <f t="shared" si="920"/>
        <v>2053</v>
      </c>
      <c r="C3984" s="1" t="s">
        <v>43</v>
      </c>
      <c r="D3984" s="2" t="s">
        <v>2003</v>
      </c>
      <c r="E3984" s="9" t="str">
        <f t="shared" si="918"/>
        <v>PRBND'!</v>
      </c>
      <c r="F3984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84" s="6" t="s">
        <v>113</v>
      </c>
      <c r="H3984" s="1"/>
      <c r="I3984" s="1"/>
      <c r="J3984" s="1"/>
    </row>
    <row r="3985" spans="1:10" x14ac:dyDescent="0.35">
      <c r="A3985" s="6" t="s">
        <v>19</v>
      </c>
      <c r="B3985" s="6">
        <f t="shared" si="920"/>
        <v>2054</v>
      </c>
      <c r="C3985" s="1" t="s">
        <v>43</v>
      </c>
      <c r="D3985" s="2" t="s">
        <v>2003</v>
      </c>
      <c r="E3985" s="9" t="str">
        <f t="shared" si="918"/>
        <v>PRBND'!</v>
      </c>
      <c r="F3985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85" s="6" t="s">
        <v>113</v>
      </c>
      <c r="H3985" s="1"/>
      <c r="I3985" s="1"/>
      <c r="J3985" s="1"/>
    </row>
    <row r="3986" spans="1:10" x14ac:dyDescent="0.35">
      <c r="A3986" s="6" t="s">
        <v>19</v>
      </c>
      <c r="B3986" s="6">
        <f t="shared" si="920"/>
        <v>2055</v>
      </c>
      <c r="C3986" s="1" t="s">
        <v>43</v>
      </c>
      <c r="D3986" s="2" t="s">
        <v>2003</v>
      </c>
      <c r="E3986" s="9" t="str">
        <f t="shared" si="918"/>
        <v>PRBND'!</v>
      </c>
      <c r="F3986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86" s="6" t="s">
        <v>113</v>
      </c>
      <c r="H3986" s="1"/>
      <c r="I3986" s="1"/>
      <c r="J3986" s="1"/>
    </row>
    <row r="3987" spans="1:10" x14ac:dyDescent="0.35">
      <c r="A3987" s="6" t="s">
        <v>19</v>
      </c>
      <c r="B3987" s="6">
        <f t="shared" si="920"/>
        <v>2056</v>
      </c>
      <c r="C3987" s="1" t="s">
        <v>43</v>
      </c>
      <c r="D3987" s="2" t="s">
        <v>2003</v>
      </c>
      <c r="E3987" s="9" t="str">
        <f t="shared" si="918"/>
        <v>PRBND'!</v>
      </c>
      <c r="F3987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87" s="6" t="s">
        <v>113</v>
      </c>
      <c r="H3987" s="1"/>
      <c r="I3987" s="1"/>
      <c r="J3987" s="1"/>
    </row>
    <row r="3988" spans="1:10" x14ac:dyDescent="0.35">
      <c r="A3988" s="6" t="s">
        <v>19</v>
      </c>
      <c r="B3988" s="6">
        <f t="shared" si="920"/>
        <v>2057</v>
      </c>
      <c r="C3988" s="1" t="s">
        <v>43</v>
      </c>
      <c r="D3988" s="2" t="s">
        <v>2003</v>
      </c>
      <c r="E3988" s="9" t="str">
        <f t="shared" si="918"/>
        <v>PRBND'!</v>
      </c>
      <c r="F3988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88" s="6" t="s">
        <v>113</v>
      </c>
      <c r="H3988" s="1"/>
      <c r="I3988" s="1"/>
      <c r="J3988" s="1"/>
    </row>
    <row r="3989" spans="1:10" x14ac:dyDescent="0.35">
      <c r="A3989" s="6" t="s">
        <v>19</v>
      </c>
      <c r="B3989" s="6">
        <f t="shared" si="920"/>
        <v>2058</v>
      </c>
      <c r="C3989" s="1" t="s">
        <v>43</v>
      </c>
      <c r="D3989" s="2" t="s">
        <v>2003</v>
      </c>
      <c r="E3989" s="9" t="str">
        <f t="shared" si="918"/>
        <v>PRBND'!</v>
      </c>
      <c r="F3989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89" s="6" t="s">
        <v>113</v>
      </c>
      <c r="H3989" s="1"/>
      <c r="I3989" s="1"/>
      <c r="J3989" s="1"/>
    </row>
    <row r="3990" spans="1:10" x14ac:dyDescent="0.35">
      <c r="A3990" s="6" t="s">
        <v>19</v>
      </c>
      <c r="B3990" s="6">
        <f t="shared" si="920"/>
        <v>2059</v>
      </c>
      <c r="C3990" s="1" t="s">
        <v>43</v>
      </c>
      <c r="D3990" s="2" t="s">
        <v>2003</v>
      </c>
      <c r="E3990" s="9" t="str">
        <f t="shared" si="918"/>
        <v>PRBND'!</v>
      </c>
      <c r="F3990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90" s="6" t="s">
        <v>113</v>
      </c>
      <c r="H3990" s="1"/>
      <c r="I3990" s="1"/>
      <c r="J3990" s="1"/>
    </row>
    <row r="3991" spans="1:10" x14ac:dyDescent="0.35">
      <c r="A3991" s="6" t="s">
        <v>26</v>
      </c>
      <c r="B3991" s="6"/>
      <c r="C3991" s="1" t="s">
        <v>43</v>
      </c>
      <c r="D3991" s="2"/>
      <c r="E3991" s="9"/>
      <c r="F3991" s="5"/>
      <c r="G3991" s="6"/>
      <c r="H3991" s="1"/>
      <c r="I3991" s="1"/>
      <c r="J3991" s="12"/>
    </row>
    <row r="3992" spans="1:10" x14ac:dyDescent="0.35">
      <c r="A3992" s="6" t="s">
        <v>20</v>
      </c>
      <c r="B3992" s="6">
        <v>2023</v>
      </c>
      <c r="C3992" s="1" t="s">
        <v>43</v>
      </c>
      <c r="D3992" s="2" t="s">
        <v>2003</v>
      </c>
      <c r="E3992" s="9" t="str">
        <f t="shared" ref="E3992:E4012" si="921">_xlfn.CONCAT(A3992,"'!")</f>
        <v>PRB'!</v>
      </c>
      <c r="F3992" s="5" t="str">
        <f t="shared" ref="F3992:F4012" si="922">_xlfn.CONCAT(D3992," ",E3992)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992" s="6" t="s">
        <v>113</v>
      </c>
      <c r="H3992" s="1">
        <f>IF(A3992&lt;&gt;A3862,36,H3862+1)</f>
        <v>36</v>
      </c>
      <c r="I3992" s="1" t="str">
        <f t="shared" ref="I3992:I4012" si="923">_xlfn.CONCAT("='",F3992:H3992)</f>
        <v>='C:\Users\jaime.benazar\Quorum Business Solutions\Ecopetrol Prometeo - Documents\Planning Space Implementation\3. Analysis &amp; Design\Design\FC22\DRR Jaime\Por presentar a ECP\Cantagallo\Cristalina\[VRC_CRISTALINA_CF_SEC_20221231.xlsx]CF PRB'!$BY$36</v>
      </c>
      <c r="J3992" s="1" t="s">
        <v>3780</v>
      </c>
    </row>
    <row r="3993" spans="1:10" x14ac:dyDescent="0.35">
      <c r="A3993" s="6" t="s">
        <v>20</v>
      </c>
      <c r="B3993" s="6">
        <f>+B3992+1</f>
        <v>2024</v>
      </c>
      <c r="C3993" s="1" t="s">
        <v>43</v>
      </c>
      <c r="D3993" s="2" t="s">
        <v>2003</v>
      </c>
      <c r="E3993" s="9" t="str">
        <f t="shared" si="921"/>
        <v>PRB'!</v>
      </c>
      <c r="F3993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993" s="6" t="s">
        <v>113</v>
      </c>
      <c r="H3993" s="1">
        <f t="shared" ref="H3993:H4012" si="924">IF(A3993&lt;&gt;A3992,36,H3992+1)</f>
        <v>37</v>
      </c>
      <c r="I3993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PRB'!$BY$37</v>
      </c>
      <c r="J3993" s="1" t="s">
        <v>3781</v>
      </c>
    </row>
    <row r="3994" spans="1:10" x14ac:dyDescent="0.35">
      <c r="A3994" s="6" t="s">
        <v>20</v>
      </c>
      <c r="B3994" s="6">
        <f t="shared" ref="B3994:B4005" si="925">+B3993+1</f>
        <v>2025</v>
      </c>
      <c r="C3994" s="1" t="s">
        <v>43</v>
      </c>
      <c r="D3994" s="2" t="s">
        <v>2003</v>
      </c>
      <c r="E3994" s="9" t="str">
        <f t="shared" si="921"/>
        <v>PRB'!</v>
      </c>
      <c r="F3994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994" s="6" t="s">
        <v>113</v>
      </c>
      <c r="H3994" s="1">
        <f t="shared" si="924"/>
        <v>38</v>
      </c>
      <c r="I3994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PRB'!$BY$38</v>
      </c>
      <c r="J3994" s="1" t="s">
        <v>3782</v>
      </c>
    </row>
    <row r="3995" spans="1:10" x14ac:dyDescent="0.35">
      <c r="A3995" s="6" t="s">
        <v>20</v>
      </c>
      <c r="B3995" s="6">
        <f t="shared" si="925"/>
        <v>2026</v>
      </c>
      <c r="C3995" s="1" t="s">
        <v>43</v>
      </c>
      <c r="D3995" s="2" t="s">
        <v>2003</v>
      </c>
      <c r="E3995" s="9" t="str">
        <f t="shared" si="921"/>
        <v>PRB'!</v>
      </c>
      <c r="F3995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995" s="6" t="s">
        <v>113</v>
      </c>
      <c r="H3995" s="1">
        <f t="shared" si="924"/>
        <v>39</v>
      </c>
      <c r="I3995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PRB'!$BY$39</v>
      </c>
      <c r="J3995" s="1" t="s">
        <v>3783</v>
      </c>
    </row>
    <row r="3996" spans="1:10" x14ac:dyDescent="0.35">
      <c r="A3996" s="6" t="s">
        <v>20</v>
      </c>
      <c r="B3996" s="6">
        <f t="shared" si="925"/>
        <v>2027</v>
      </c>
      <c r="C3996" s="1" t="s">
        <v>43</v>
      </c>
      <c r="D3996" s="2" t="s">
        <v>2003</v>
      </c>
      <c r="E3996" s="9" t="str">
        <f t="shared" si="921"/>
        <v>PRB'!</v>
      </c>
      <c r="F3996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996" s="6" t="s">
        <v>113</v>
      </c>
      <c r="H3996" s="1">
        <f t="shared" si="924"/>
        <v>40</v>
      </c>
      <c r="I3996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PRB'!$BY$40</v>
      </c>
      <c r="J3996" s="1" t="s">
        <v>3784</v>
      </c>
    </row>
    <row r="3997" spans="1:10" x14ac:dyDescent="0.35">
      <c r="A3997" s="6" t="s">
        <v>20</v>
      </c>
      <c r="B3997" s="6">
        <f t="shared" si="925"/>
        <v>2028</v>
      </c>
      <c r="C3997" s="1" t="s">
        <v>43</v>
      </c>
      <c r="D3997" s="2" t="s">
        <v>2003</v>
      </c>
      <c r="E3997" s="9" t="str">
        <f t="shared" si="921"/>
        <v>PRB'!</v>
      </c>
      <c r="F3997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997" s="6" t="s">
        <v>113</v>
      </c>
      <c r="H3997" s="1">
        <f t="shared" si="924"/>
        <v>41</v>
      </c>
      <c r="I3997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PRB'!$BY$41</v>
      </c>
      <c r="J3997" s="1" t="s">
        <v>3785</v>
      </c>
    </row>
    <row r="3998" spans="1:10" x14ac:dyDescent="0.35">
      <c r="A3998" s="6" t="s">
        <v>20</v>
      </c>
      <c r="B3998" s="6">
        <f t="shared" si="925"/>
        <v>2029</v>
      </c>
      <c r="C3998" s="1" t="s">
        <v>43</v>
      </c>
      <c r="D3998" s="2" t="s">
        <v>2003</v>
      </c>
      <c r="E3998" s="9" t="str">
        <f t="shared" si="921"/>
        <v>PRB'!</v>
      </c>
      <c r="F3998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998" s="6" t="s">
        <v>113</v>
      </c>
      <c r="H3998" s="1">
        <f t="shared" si="924"/>
        <v>42</v>
      </c>
      <c r="I3998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PRB'!$BY$42</v>
      </c>
      <c r="J3998" s="1" t="s">
        <v>3786</v>
      </c>
    </row>
    <row r="3999" spans="1:10" x14ac:dyDescent="0.35">
      <c r="A3999" s="6" t="s">
        <v>20</v>
      </c>
      <c r="B3999" s="6">
        <f t="shared" si="925"/>
        <v>2030</v>
      </c>
      <c r="C3999" s="1" t="s">
        <v>43</v>
      </c>
      <c r="D3999" s="2" t="s">
        <v>2003</v>
      </c>
      <c r="E3999" s="9" t="str">
        <f t="shared" si="921"/>
        <v>PRB'!</v>
      </c>
      <c r="F3999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999" s="6" t="s">
        <v>113</v>
      </c>
      <c r="H3999" s="1">
        <f t="shared" si="924"/>
        <v>43</v>
      </c>
      <c r="I3999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PRB'!$BY$43</v>
      </c>
      <c r="J3999" s="1" t="s">
        <v>3787</v>
      </c>
    </row>
    <row r="4000" spans="1:10" x14ac:dyDescent="0.35">
      <c r="A4000" s="6" t="s">
        <v>20</v>
      </c>
      <c r="B4000" s="6">
        <f t="shared" si="925"/>
        <v>2031</v>
      </c>
      <c r="C4000" s="1" t="s">
        <v>43</v>
      </c>
      <c r="D4000" s="2" t="s">
        <v>2003</v>
      </c>
      <c r="E4000" s="9" t="str">
        <f t="shared" si="921"/>
        <v>PRB'!</v>
      </c>
      <c r="F4000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00" s="6" t="s">
        <v>113</v>
      </c>
      <c r="H4000" s="1">
        <f t="shared" si="924"/>
        <v>44</v>
      </c>
      <c r="I4000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PRB'!$BY$44</v>
      </c>
      <c r="J4000" s="1" t="s">
        <v>3788</v>
      </c>
    </row>
    <row r="4001" spans="1:10" x14ac:dyDescent="0.35">
      <c r="A4001" s="6" t="s">
        <v>20</v>
      </c>
      <c r="B4001" s="6">
        <f t="shared" si="925"/>
        <v>2032</v>
      </c>
      <c r="C4001" s="1" t="s">
        <v>43</v>
      </c>
      <c r="D4001" s="2" t="s">
        <v>2003</v>
      </c>
      <c r="E4001" s="9" t="str">
        <f t="shared" si="921"/>
        <v>PRB'!</v>
      </c>
      <c r="F4001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01" s="6" t="s">
        <v>113</v>
      </c>
      <c r="H4001" s="1">
        <f t="shared" si="924"/>
        <v>45</v>
      </c>
      <c r="I4001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PRB'!$BY$45</v>
      </c>
      <c r="J4001" s="1" t="s">
        <v>3789</v>
      </c>
    </row>
    <row r="4002" spans="1:10" x14ac:dyDescent="0.35">
      <c r="A4002" s="6" t="s">
        <v>20</v>
      </c>
      <c r="B4002" s="6">
        <f t="shared" si="925"/>
        <v>2033</v>
      </c>
      <c r="C4002" s="1" t="s">
        <v>43</v>
      </c>
      <c r="D4002" s="2" t="s">
        <v>2003</v>
      </c>
      <c r="E4002" s="9" t="str">
        <f t="shared" si="921"/>
        <v>PRB'!</v>
      </c>
      <c r="F4002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02" s="6" t="s">
        <v>113</v>
      </c>
      <c r="H4002" s="1">
        <f t="shared" si="924"/>
        <v>46</v>
      </c>
      <c r="I4002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PRB'!$BY$46</v>
      </c>
      <c r="J4002" s="1" t="s">
        <v>3790</v>
      </c>
    </row>
    <row r="4003" spans="1:10" x14ac:dyDescent="0.35">
      <c r="A4003" s="6" t="s">
        <v>20</v>
      </c>
      <c r="B4003" s="6">
        <f t="shared" si="925"/>
        <v>2034</v>
      </c>
      <c r="C4003" s="1" t="s">
        <v>43</v>
      </c>
      <c r="D4003" s="2" t="s">
        <v>2003</v>
      </c>
      <c r="E4003" s="9" t="str">
        <f t="shared" si="921"/>
        <v>PRB'!</v>
      </c>
      <c r="F4003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03" s="6" t="s">
        <v>113</v>
      </c>
      <c r="H4003" s="1">
        <f t="shared" si="924"/>
        <v>47</v>
      </c>
      <c r="I4003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PRB'!$BY$47</v>
      </c>
      <c r="J4003" s="1" t="s">
        <v>3791</v>
      </c>
    </row>
    <row r="4004" spans="1:10" x14ac:dyDescent="0.35">
      <c r="A4004" s="6" t="s">
        <v>20</v>
      </c>
      <c r="B4004" s="6">
        <f t="shared" si="925"/>
        <v>2035</v>
      </c>
      <c r="C4004" s="1" t="s">
        <v>43</v>
      </c>
      <c r="D4004" s="2" t="s">
        <v>2003</v>
      </c>
      <c r="E4004" s="9" t="str">
        <f t="shared" si="921"/>
        <v>PRB'!</v>
      </c>
      <c r="F4004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04" s="6" t="s">
        <v>113</v>
      </c>
      <c r="H4004" s="1">
        <f t="shared" si="924"/>
        <v>48</v>
      </c>
      <c r="I4004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PRB'!$BY$48</v>
      </c>
      <c r="J4004" s="1" t="s">
        <v>3792</v>
      </c>
    </row>
    <row r="4005" spans="1:10" x14ac:dyDescent="0.35">
      <c r="A4005" s="6" t="s">
        <v>20</v>
      </c>
      <c r="B4005" s="6">
        <f t="shared" si="925"/>
        <v>2036</v>
      </c>
      <c r="C4005" s="1" t="s">
        <v>43</v>
      </c>
      <c r="D4005" s="2" t="s">
        <v>2003</v>
      </c>
      <c r="E4005" s="9" t="str">
        <f t="shared" si="921"/>
        <v>PRB'!</v>
      </c>
      <c r="F4005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05" s="6" t="s">
        <v>113</v>
      </c>
      <c r="H4005" s="1">
        <f t="shared" si="924"/>
        <v>49</v>
      </c>
      <c r="I4005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PRB'!$BY$49</v>
      </c>
      <c r="J4005" s="1" t="s">
        <v>3793</v>
      </c>
    </row>
    <row r="4006" spans="1:10" x14ac:dyDescent="0.35">
      <c r="A4006" s="6" t="s">
        <v>20</v>
      </c>
      <c r="B4006" s="6">
        <f>+B4005+1</f>
        <v>2037</v>
      </c>
      <c r="C4006" s="1" t="s">
        <v>43</v>
      </c>
      <c r="D4006" s="2" t="s">
        <v>2003</v>
      </c>
      <c r="E4006" s="9" t="str">
        <f t="shared" si="921"/>
        <v>PRB'!</v>
      </c>
      <c r="F4006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06" s="6" t="s">
        <v>113</v>
      </c>
      <c r="H4006" s="1">
        <f t="shared" si="924"/>
        <v>50</v>
      </c>
      <c r="I4006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PRB'!$BY$50</v>
      </c>
      <c r="J4006" s="1" t="s">
        <v>3794</v>
      </c>
    </row>
    <row r="4007" spans="1:10" x14ac:dyDescent="0.35">
      <c r="A4007" s="6" t="s">
        <v>20</v>
      </c>
      <c r="B4007" s="6">
        <f t="shared" ref="B4007:B4009" si="926">+B4006+1</f>
        <v>2038</v>
      </c>
      <c r="C4007" s="1" t="s">
        <v>43</v>
      </c>
      <c r="D4007" s="2" t="s">
        <v>2003</v>
      </c>
      <c r="E4007" s="9" t="str">
        <f t="shared" si="921"/>
        <v>PRB'!</v>
      </c>
      <c r="F4007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07" s="6" t="s">
        <v>113</v>
      </c>
      <c r="H4007" s="1">
        <f t="shared" si="924"/>
        <v>51</v>
      </c>
      <c r="I4007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PRB'!$BY$51</v>
      </c>
      <c r="J4007" s="1" t="s">
        <v>3795</v>
      </c>
    </row>
    <row r="4008" spans="1:10" x14ac:dyDescent="0.35">
      <c r="A4008" s="6" t="s">
        <v>20</v>
      </c>
      <c r="B4008" s="6">
        <f t="shared" si="926"/>
        <v>2039</v>
      </c>
      <c r="C4008" s="1" t="s">
        <v>43</v>
      </c>
      <c r="D4008" s="2" t="s">
        <v>2003</v>
      </c>
      <c r="E4008" s="9" t="str">
        <f t="shared" si="921"/>
        <v>PRB'!</v>
      </c>
      <c r="F4008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08" s="6" t="s">
        <v>113</v>
      </c>
      <c r="H4008" s="1">
        <f t="shared" si="924"/>
        <v>52</v>
      </c>
      <c r="I4008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PRB'!$BY$52</v>
      </c>
      <c r="J4008" s="1" t="s">
        <v>3796</v>
      </c>
    </row>
    <row r="4009" spans="1:10" x14ac:dyDescent="0.35">
      <c r="A4009" s="6" t="s">
        <v>20</v>
      </c>
      <c r="B4009" s="6">
        <f t="shared" si="926"/>
        <v>2040</v>
      </c>
      <c r="C4009" s="1" t="s">
        <v>43</v>
      </c>
      <c r="D4009" s="2" t="s">
        <v>2003</v>
      </c>
      <c r="E4009" s="9" t="str">
        <f t="shared" si="921"/>
        <v>PRB'!</v>
      </c>
      <c r="F4009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09" s="6" t="s">
        <v>113</v>
      </c>
      <c r="H4009" s="1">
        <f t="shared" si="924"/>
        <v>53</v>
      </c>
      <c r="I4009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PRB'!$BY$53</v>
      </c>
      <c r="J4009" s="1" t="s">
        <v>3797</v>
      </c>
    </row>
    <row r="4010" spans="1:10" x14ac:dyDescent="0.35">
      <c r="A4010" s="6" t="s">
        <v>20</v>
      </c>
      <c r="B4010" s="6">
        <f>+B4009+1</f>
        <v>2041</v>
      </c>
      <c r="C4010" s="1" t="s">
        <v>43</v>
      </c>
      <c r="D4010" s="2" t="s">
        <v>2003</v>
      </c>
      <c r="E4010" s="9" t="str">
        <f t="shared" si="921"/>
        <v>PRB'!</v>
      </c>
      <c r="F4010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10" s="6" t="s">
        <v>113</v>
      </c>
      <c r="H4010" s="1">
        <f t="shared" si="924"/>
        <v>54</v>
      </c>
      <c r="I4010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PRB'!$BY$54</v>
      </c>
      <c r="J4010" s="1" t="s">
        <v>3798</v>
      </c>
    </row>
    <row r="4011" spans="1:10" x14ac:dyDescent="0.35">
      <c r="A4011" s="6" t="s">
        <v>20</v>
      </c>
      <c r="B4011" s="6">
        <f t="shared" ref="B4011:B4012" si="927">+B4010+1</f>
        <v>2042</v>
      </c>
      <c r="C4011" s="1" t="s">
        <v>43</v>
      </c>
      <c r="D4011" s="2" t="s">
        <v>2003</v>
      </c>
      <c r="E4011" s="9" t="str">
        <f t="shared" si="921"/>
        <v>PRB'!</v>
      </c>
      <c r="F4011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11" s="6" t="s">
        <v>113</v>
      </c>
      <c r="H4011" s="1">
        <f t="shared" si="924"/>
        <v>55</v>
      </c>
      <c r="I4011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PRB'!$BY$55</v>
      </c>
      <c r="J4011" s="1" t="s">
        <v>3799</v>
      </c>
    </row>
    <row r="4012" spans="1:10" x14ac:dyDescent="0.35">
      <c r="A4012" s="6" t="s">
        <v>20</v>
      </c>
      <c r="B4012" s="6">
        <f t="shared" si="927"/>
        <v>2043</v>
      </c>
      <c r="C4012" s="1" t="s">
        <v>43</v>
      </c>
      <c r="D4012" s="2" t="s">
        <v>2003</v>
      </c>
      <c r="E4012" s="9" t="str">
        <f t="shared" si="921"/>
        <v>PRB'!</v>
      </c>
      <c r="F4012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12" s="6" t="s">
        <v>113</v>
      </c>
      <c r="H4012" s="1">
        <f t="shared" si="924"/>
        <v>56</v>
      </c>
      <c r="I4012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PRB'!$BY$56</v>
      </c>
      <c r="J4012" s="1" t="s">
        <v>3800</v>
      </c>
    </row>
    <row r="4013" spans="1:10" x14ac:dyDescent="0.35">
      <c r="A4013" s="6" t="s">
        <v>20</v>
      </c>
      <c r="B4013" s="6">
        <f>+B4012+1</f>
        <v>2044</v>
      </c>
      <c r="C4013" s="1" t="s">
        <v>43</v>
      </c>
      <c r="D4013" s="2" t="s">
        <v>2003</v>
      </c>
      <c r="E4013" s="9" t="str">
        <f t="shared" ref="E4013:E4028" si="928">_xlfn.CONCAT(A4013,"'!")</f>
        <v>PRB'!</v>
      </c>
      <c r="F4013" s="5" t="str">
        <f t="shared" ref="F4013:F4028" si="929">_xlfn.CONCAT(D4013," ",E4013)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13" s="6" t="s">
        <v>113</v>
      </c>
      <c r="H4013" s="1">
        <f t="shared" ref="H4013:H4028" si="930">IF(A4013&lt;&gt;A4012,36,H4012+1)</f>
        <v>57</v>
      </c>
      <c r="I4013" s="1" t="str">
        <f t="shared" ref="I4013:I4028" si="931">_xlfn.CONCAT("='",F4013:H4013)</f>
        <v>='C:\Users\jaime.benazar\Quorum Business Solutions\Ecopetrol Prometeo - Documents\Planning Space Implementation\3. Analysis &amp; Design\Design\FC22\DRR Jaime\Por presentar a ECP\Cantagallo\Cristalina\[VRC_CRISTALINA_CF_SEC_20221231.xlsx]CF PRB'!$BY$57</v>
      </c>
      <c r="J4013" s="1" t="s">
        <v>3801</v>
      </c>
    </row>
    <row r="4014" spans="1:10" x14ac:dyDescent="0.35">
      <c r="A4014" s="6" t="s">
        <v>20</v>
      </c>
      <c r="B4014" s="6">
        <f t="shared" ref="B4014:B4028" si="932">+B4013+1</f>
        <v>2045</v>
      </c>
      <c r="C4014" s="1" t="s">
        <v>43</v>
      </c>
      <c r="D4014" s="2" t="s">
        <v>2003</v>
      </c>
      <c r="E4014" s="9" t="str">
        <f t="shared" si="928"/>
        <v>PRB'!</v>
      </c>
      <c r="F4014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14" s="6" t="s">
        <v>113</v>
      </c>
      <c r="H4014" s="1">
        <f t="shared" si="930"/>
        <v>58</v>
      </c>
      <c r="I4014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PRB'!$BY$58</v>
      </c>
      <c r="J4014" s="1" t="s">
        <v>3802</v>
      </c>
    </row>
    <row r="4015" spans="1:10" x14ac:dyDescent="0.35">
      <c r="A4015" s="6" t="s">
        <v>20</v>
      </c>
      <c r="B4015" s="6">
        <f t="shared" si="932"/>
        <v>2046</v>
      </c>
      <c r="C4015" s="1" t="s">
        <v>43</v>
      </c>
      <c r="D4015" s="2" t="s">
        <v>2003</v>
      </c>
      <c r="E4015" s="9" t="str">
        <f t="shared" si="928"/>
        <v>PRB'!</v>
      </c>
      <c r="F4015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15" s="6" t="s">
        <v>113</v>
      </c>
      <c r="H4015" s="1">
        <f t="shared" si="930"/>
        <v>59</v>
      </c>
      <c r="I4015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PRB'!$BY$59</v>
      </c>
      <c r="J4015" s="1" t="s">
        <v>3803</v>
      </c>
    </row>
    <row r="4016" spans="1:10" x14ac:dyDescent="0.35">
      <c r="A4016" s="6" t="s">
        <v>20</v>
      </c>
      <c r="B4016" s="6">
        <f t="shared" si="932"/>
        <v>2047</v>
      </c>
      <c r="C4016" s="1" t="s">
        <v>43</v>
      </c>
      <c r="D4016" s="2" t="s">
        <v>2003</v>
      </c>
      <c r="E4016" s="9" t="str">
        <f t="shared" si="928"/>
        <v>PRB'!</v>
      </c>
      <c r="F4016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16" s="6" t="s">
        <v>113</v>
      </c>
      <c r="H4016" s="1">
        <f t="shared" si="930"/>
        <v>60</v>
      </c>
      <c r="I4016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PRB'!$BY$60</v>
      </c>
      <c r="J4016" s="1" t="s">
        <v>3804</v>
      </c>
    </row>
    <row r="4017" spans="1:10" x14ac:dyDescent="0.35">
      <c r="A4017" s="6" t="s">
        <v>20</v>
      </c>
      <c r="B4017" s="6">
        <f t="shared" si="932"/>
        <v>2048</v>
      </c>
      <c r="C4017" s="1" t="s">
        <v>43</v>
      </c>
      <c r="D4017" s="2" t="s">
        <v>2003</v>
      </c>
      <c r="E4017" s="9" t="str">
        <f t="shared" si="928"/>
        <v>PRB'!</v>
      </c>
      <c r="F4017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17" s="6" t="s">
        <v>113</v>
      </c>
      <c r="H4017" s="1">
        <f t="shared" si="930"/>
        <v>61</v>
      </c>
      <c r="I4017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PRB'!$BY$61</v>
      </c>
      <c r="J4017" s="1" t="s">
        <v>3805</v>
      </c>
    </row>
    <row r="4018" spans="1:10" x14ac:dyDescent="0.35">
      <c r="A4018" s="6" t="s">
        <v>20</v>
      </c>
      <c r="B4018" s="6">
        <f t="shared" si="932"/>
        <v>2049</v>
      </c>
      <c r="C4018" s="1" t="s">
        <v>43</v>
      </c>
      <c r="D4018" s="2" t="s">
        <v>2003</v>
      </c>
      <c r="E4018" s="9" t="str">
        <f t="shared" si="928"/>
        <v>PRB'!</v>
      </c>
      <c r="F4018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18" s="6" t="s">
        <v>113</v>
      </c>
      <c r="H4018" s="1">
        <f t="shared" si="930"/>
        <v>62</v>
      </c>
      <c r="I4018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PRB'!$BY$62</v>
      </c>
      <c r="J4018" s="1" t="s">
        <v>3806</v>
      </c>
    </row>
    <row r="4019" spans="1:10" x14ac:dyDescent="0.35">
      <c r="A4019" s="6" t="s">
        <v>20</v>
      </c>
      <c r="B4019" s="6">
        <f t="shared" si="932"/>
        <v>2050</v>
      </c>
      <c r="C4019" s="1" t="s">
        <v>43</v>
      </c>
      <c r="D4019" s="2" t="s">
        <v>2003</v>
      </c>
      <c r="E4019" s="9" t="str">
        <f t="shared" si="928"/>
        <v>PRB'!</v>
      </c>
      <c r="F4019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19" s="6" t="s">
        <v>113</v>
      </c>
      <c r="H4019" s="1">
        <f t="shared" si="930"/>
        <v>63</v>
      </c>
      <c r="I4019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PRB'!$BY$63</v>
      </c>
      <c r="J4019" s="1" t="s">
        <v>3807</v>
      </c>
    </row>
    <row r="4020" spans="1:10" x14ac:dyDescent="0.35">
      <c r="A4020" s="6" t="s">
        <v>20</v>
      </c>
      <c r="B4020" s="6">
        <f t="shared" si="932"/>
        <v>2051</v>
      </c>
      <c r="C4020" s="1" t="s">
        <v>43</v>
      </c>
      <c r="D4020" s="2" t="s">
        <v>2003</v>
      </c>
      <c r="E4020" s="9" t="str">
        <f t="shared" si="928"/>
        <v>PRB'!</v>
      </c>
      <c r="F4020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20" s="6" t="s">
        <v>113</v>
      </c>
      <c r="H4020" s="1">
        <f t="shared" si="930"/>
        <v>64</v>
      </c>
      <c r="I4020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PRB'!$BY$64</v>
      </c>
      <c r="J4020" s="1" t="s">
        <v>3808</v>
      </c>
    </row>
    <row r="4021" spans="1:10" x14ac:dyDescent="0.35">
      <c r="A4021" s="6" t="s">
        <v>20</v>
      </c>
      <c r="B4021" s="6">
        <f t="shared" si="932"/>
        <v>2052</v>
      </c>
      <c r="C4021" s="1" t="s">
        <v>43</v>
      </c>
      <c r="D4021" s="2" t="s">
        <v>2003</v>
      </c>
      <c r="E4021" s="9" t="str">
        <f t="shared" si="928"/>
        <v>PRB'!</v>
      </c>
      <c r="F4021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21" s="6" t="s">
        <v>113</v>
      </c>
      <c r="H4021" s="1">
        <f t="shared" si="930"/>
        <v>65</v>
      </c>
      <c r="I4021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PRB'!$BY$65</v>
      </c>
      <c r="J4021" s="1" t="s">
        <v>3809</v>
      </c>
    </row>
    <row r="4022" spans="1:10" x14ac:dyDescent="0.35">
      <c r="A4022" s="6" t="s">
        <v>20</v>
      </c>
      <c r="B4022" s="6">
        <f t="shared" si="932"/>
        <v>2053</v>
      </c>
      <c r="C4022" s="1" t="s">
        <v>43</v>
      </c>
      <c r="D4022" s="2" t="s">
        <v>2003</v>
      </c>
      <c r="E4022" s="9" t="str">
        <f t="shared" si="928"/>
        <v>PRB'!</v>
      </c>
      <c r="F4022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22" s="6" t="s">
        <v>113</v>
      </c>
      <c r="H4022" s="1">
        <f t="shared" si="930"/>
        <v>66</v>
      </c>
      <c r="I4022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PRB'!$BY$66</v>
      </c>
      <c r="J4022" s="1" t="s">
        <v>3810</v>
      </c>
    </row>
    <row r="4023" spans="1:10" x14ac:dyDescent="0.35">
      <c r="A4023" s="6" t="s">
        <v>20</v>
      </c>
      <c r="B4023" s="6">
        <f t="shared" si="932"/>
        <v>2054</v>
      </c>
      <c r="C4023" s="1" t="s">
        <v>43</v>
      </c>
      <c r="D4023" s="2" t="s">
        <v>2003</v>
      </c>
      <c r="E4023" s="9" t="str">
        <f t="shared" si="928"/>
        <v>PRB'!</v>
      </c>
      <c r="F4023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23" s="6" t="s">
        <v>113</v>
      </c>
      <c r="H4023" s="1">
        <f t="shared" si="930"/>
        <v>67</v>
      </c>
      <c r="I4023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PRB'!$BY$67</v>
      </c>
      <c r="J4023" s="1" t="s">
        <v>3811</v>
      </c>
    </row>
    <row r="4024" spans="1:10" x14ac:dyDescent="0.35">
      <c r="A4024" s="6" t="s">
        <v>20</v>
      </c>
      <c r="B4024" s="6">
        <f t="shared" si="932"/>
        <v>2055</v>
      </c>
      <c r="C4024" s="1" t="s">
        <v>43</v>
      </c>
      <c r="D4024" s="2" t="s">
        <v>2003</v>
      </c>
      <c r="E4024" s="9" t="str">
        <f t="shared" si="928"/>
        <v>PRB'!</v>
      </c>
      <c r="F4024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24" s="6" t="s">
        <v>113</v>
      </c>
      <c r="H4024" s="1">
        <f t="shared" si="930"/>
        <v>68</v>
      </c>
      <c r="I4024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PRB'!$BY$68</v>
      </c>
      <c r="J4024" s="1" t="s">
        <v>3812</v>
      </c>
    </row>
    <row r="4025" spans="1:10" x14ac:dyDescent="0.35">
      <c r="A4025" s="6" t="s">
        <v>20</v>
      </c>
      <c r="B4025" s="6">
        <f t="shared" si="932"/>
        <v>2056</v>
      </c>
      <c r="C4025" s="1" t="s">
        <v>43</v>
      </c>
      <c r="D4025" s="2" t="s">
        <v>2003</v>
      </c>
      <c r="E4025" s="9" t="str">
        <f t="shared" si="928"/>
        <v>PRB'!</v>
      </c>
      <c r="F4025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25" s="6" t="s">
        <v>113</v>
      </c>
      <c r="H4025" s="1">
        <f t="shared" si="930"/>
        <v>69</v>
      </c>
      <c r="I4025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PRB'!$BY$69</v>
      </c>
      <c r="J4025" s="1" t="s">
        <v>3813</v>
      </c>
    </row>
    <row r="4026" spans="1:10" x14ac:dyDescent="0.35">
      <c r="A4026" s="6" t="s">
        <v>20</v>
      </c>
      <c r="B4026" s="6">
        <f t="shared" si="932"/>
        <v>2057</v>
      </c>
      <c r="C4026" s="1" t="s">
        <v>43</v>
      </c>
      <c r="D4026" s="2" t="s">
        <v>2003</v>
      </c>
      <c r="E4026" s="9" t="str">
        <f t="shared" si="928"/>
        <v>PRB'!</v>
      </c>
      <c r="F4026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26" s="6" t="s">
        <v>113</v>
      </c>
      <c r="H4026" s="1">
        <f t="shared" si="930"/>
        <v>70</v>
      </c>
      <c r="I4026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PRB'!$BY$70</v>
      </c>
      <c r="J4026" s="1" t="s">
        <v>3814</v>
      </c>
    </row>
    <row r="4027" spans="1:10" x14ac:dyDescent="0.35">
      <c r="A4027" s="6" t="s">
        <v>20</v>
      </c>
      <c r="B4027" s="6">
        <f t="shared" si="932"/>
        <v>2058</v>
      </c>
      <c r="C4027" s="1" t="s">
        <v>43</v>
      </c>
      <c r="D4027" s="2" t="s">
        <v>2003</v>
      </c>
      <c r="E4027" s="9" t="str">
        <f t="shared" si="928"/>
        <v>PRB'!</v>
      </c>
      <c r="F4027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27" s="6" t="s">
        <v>113</v>
      </c>
      <c r="H4027" s="1">
        <f t="shared" si="930"/>
        <v>71</v>
      </c>
      <c r="I4027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PRB'!$BY$71</v>
      </c>
      <c r="J4027" s="1" t="s">
        <v>3815</v>
      </c>
    </row>
    <row r="4028" spans="1:10" x14ac:dyDescent="0.35">
      <c r="A4028" s="6" t="s">
        <v>20</v>
      </c>
      <c r="B4028" s="6">
        <f t="shared" si="932"/>
        <v>2059</v>
      </c>
      <c r="C4028" s="1" t="s">
        <v>43</v>
      </c>
      <c r="D4028" s="2" t="s">
        <v>2003</v>
      </c>
      <c r="E4028" s="9" t="str">
        <f t="shared" si="928"/>
        <v>PRB'!</v>
      </c>
      <c r="F4028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28" s="6" t="s">
        <v>113</v>
      </c>
      <c r="H4028" s="1">
        <f t="shared" si="930"/>
        <v>72</v>
      </c>
      <c r="I4028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PRB'!$BY$72</v>
      </c>
      <c r="J4028" s="1" t="s">
        <v>3816</v>
      </c>
    </row>
    <row r="4029" spans="1:10" x14ac:dyDescent="0.35">
      <c r="A4029" s="6" t="s">
        <v>26</v>
      </c>
      <c r="B4029" s="6"/>
      <c r="C4029" s="1" t="s">
        <v>43</v>
      </c>
      <c r="D4029" s="2"/>
      <c r="E4029" s="9"/>
      <c r="F4029" s="5"/>
      <c r="G4029" s="6"/>
      <c r="H4029" s="1"/>
      <c r="I4029" s="1"/>
      <c r="J4029" s="4"/>
    </row>
    <row r="4030" spans="1:10" x14ac:dyDescent="0.35">
      <c r="A4030" s="6" t="s">
        <v>21</v>
      </c>
      <c r="B4030" s="6">
        <v>2023</v>
      </c>
      <c r="C4030" s="1" t="s">
        <v>43</v>
      </c>
      <c r="D4030" s="2" t="s">
        <v>2003</v>
      </c>
      <c r="E4030" s="9" t="str">
        <f t="shared" ref="E4030:E4050" si="933">_xlfn.CONCAT(A4030,"'!")</f>
        <v>PSDP'!</v>
      </c>
      <c r="F4030" s="5" t="str">
        <f t="shared" ref="F4030:F4050" si="934">_xlfn.CONCAT(D4030," ",E4030)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30" s="6" t="s">
        <v>113</v>
      </c>
      <c r="H4030" s="1"/>
      <c r="I4030" s="1"/>
      <c r="J4030" s="1"/>
    </row>
    <row r="4031" spans="1:10" x14ac:dyDescent="0.35">
      <c r="A4031" s="6" t="s">
        <v>21</v>
      </c>
      <c r="B4031" s="6">
        <f>+B4030+1</f>
        <v>2024</v>
      </c>
      <c r="C4031" s="1" t="s">
        <v>43</v>
      </c>
      <c r="D4031" s="2" t="s">
        <v>2003</v>
      </c>
      <c r="E4031" s="9" t="str">
        <f t="shared" si="933"/>
        <v>PSDP'!</v>
      </c>
      <c r="F4031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31" s="6" t="s">
        <v>113</v>
      </c>
      <c r="H4031" s="1"/>
      <c r="I4031" s="1"/>
      <c r="J4031" s="1"/>
    </row>
    <row r="4032" spans="1:10" x14ac:dyDescent="0.35">
      <c r="A4032" s="6" t="s">
        <v>21</v>
      </c>
      <c r="B4032" s="6">
        <f t="shared" ref="B4032:B4043" si="935">+B4031+1</f>
        <v>2025</v>
      </c>
      <c r="C4032" s="1" t="s">
        <v>43</v>
      </c>
      <c r="D4032" s="2" t="s">
        <v>2003</v>
      </c>
      <c r="E4032" s="9" t="str">
        <f t="shared" si="933"/>
        <v>PSDP'!</v>
      </c>
      <c r="F4032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32" s="6" t="s">
        <v>113</v>
      </c>
      <c r="H4032" s="1"/>
      <c r="I4032" s="1"/>
      <c r="J4032" s="1"/>
    </row>
    <row r="4033" spans="1:10" x14ac:dyDescent="0.35">
      <c r="A4033" s="6" t="s">
        <v>21</v>
      </c>
      <c r="B4033" s="6">
        <f t="shared" si="935"/>
        <v>2026</v>
      </c>
      <c r="C4033" s="1" t="s">
        <v>43</v>
      </c>
      <c r="D4033" s="2" t="s">
        <v>2003</v>
      </c>
      <c r="E4033" s="9" t="str">
        <f t="shared" si="933"/>
        <v>PSDP'!</v>
      </c>
      <c r="F4033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33" s="6" t="s">
        <v>113</v>
      </c>
      <c r="H4033" s="1"/>
      <c r="I4033" s="1"/>
      <c r="J4033" s="1"/>
    </row>
    <row r="4034" spans="1:10" x14ac:dyDescent="0.35">
      <c r="A4034" s="6" t="s">
        <v>21</v>
      </c>
      <c r="B4034" s="6">
        <f t="shared" si="935"/>
        <v>2027</v>
      </c>
      <c r="C4034" s="1" t="s">
        <v>43</v>
      </c>
      <c r="D4034" s="2" t="s">
        <v>2003</v>
      </c>
      <c r="E4034" s="9" t="str">
        <f t="shared" si="933"/>
        <v>PSDP'!</v>
      </c>
      <c r="F4034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34" s="6" t="s">
        <v>113</v>
      </c>
      <c r="H4034" s="1"/>
      <c r="I4034" s="1"/>
      <c r="J4034" s="1"/>
    </row>
    <row r="4035" spans="1:10" x14ac:dyDescent="0.35">
      <c r="A4035" s="6" t="s">
        <v>21</v>
      </c>
      <c r="B4035" s="6">
        <f t="shared" si="935"/>
        <v>2028</v>
      </c>
      <c r="C4035" s="1" t="s">
        <v>43</v>
      </c>
      <c r="D4035" s="2" t="s">
        <v>2003</v>
      </c>
      <c r="E4035" s="9" t="str">
        <f t="shared" si="933"/>
        <v>PSDP'!</v>
      </c>
      <c r="F4035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35" s="6" t="s">
        <v>113</v>
      </c>
      <c r="H4035" s="1"/>
      <c r="I4035" s="1"/>
      <c r="J4035" s="1"/>
    </row>
    <row r="4036" spans="1:10" x14ac:dyDescent="0.35">
      <c r="A4036" s="6" t="s">
        <v>21</v>
      </c>
      <c r="B4036" s="6">
        <f t="shared" si="935"/>
        <v>2029</v>
      </c>
      <c r="C4036" s="1" t="s">
        <v>43</v>
      </c>
      <c r="D4036" s="2" t="s">
        <v>2003</v>
      </c>
      <c r="E4036" s="9" t="str">
        <f t="shared" si="933"/>
        <v>PSDP'!</v>
      </c>
      <c r="F4036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36" s="6" t="s">
        <v>113</v>
      </c>
      <c r="H4036" s="1"/>
      <c r="I4036" s="1"/>
      <c r="J4036" s="1"/>
    </row>
    <row r="4037" spans="1:10" x14ac:dyDescent="0.35">
      <c r="A4037" s="6" t="s">
        <v>21</v>
      </c>
      <c r="B4037" s="6">
        <f t="shared" si="935"/>
        <v>2030</v>
      </c>
      <c r="C4037" s="1" t="s">
        <v>43</v>
      </c>
      <c r="D4037" s="2" t="s">
        <v>2003</v>
      </c>
      <c r="E4037" s="9" t="str">
        <f t="shared" si="933"/>
        <v>PSDP'!</v>
      </c>
      <c r="F4037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37" s="6" t="s">
        <v>113</v>
      </c>
      <c r="H4037" s="1"/>
      <c r="I4037" s="1"/>
      <c r="J4037" s="1"/>
    </row>
    <row r="4038" spans="1:10" x14ac:dyDescent="0.35">
      <c r="A4038" s="6" t="s">
        <v>21</v>
      </c>
      <c r="B4038" s="6">
        <f t="shared" si="935"/>
        <v>2031</v>
      </c>
      <c r="C4038" s="1" t="s">
        <v>43</v>
      </c>
      <c r="D4038" s="2" t="s">
        <v>2003</v>
      </c>
      <c r="E4038" s="9" t="str">
        <f t="shared" si="933"/>
        <v>PSDP'!</v>
      </c>
      <c r="F4038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38" s="6" t="s">
        <v>113</v>
      </c>
      <c r="H4038" s="1"/>
      <c r="I4038" s="1"/>
      <c r="J4038" s="1"/>
    </row>
    <row r="4039" spans="1:10" x14ac:dyDescent="0.35">
      <c r="A4039" s="6" t="s">
        <v>21</v>
      </c>
      <c r="B4039" s="6">
        <f t="shared" si="935"/>
        <v>2032</v>
      </c>
      <c r="C4039" s="1" t="s">
        <v>43</v>
      </c>
      <c r="D4039" s="2" t="s">
        <v>2003</v>
      </c>
      <c r="E4039" s="9" t="str">
        <f t="shared" si="933"/>
        <v>PSDP'!</v>
      </c>
      <c r="F4039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39" s="6" t="s">
        <v>113</v>
      </c>
      <c r="H4039" s="1"/>
      <c r="I4039" s="1"/>
      <c r="J4039" s="1"/>
    </row>
    <row r="4040" spans="1:10" x14ac:dyDescent="0.35">
      <c r="A4040" s="6" t="s">
        <v>21</v>
      </c>
      <c r="B4040" s="6">
        <f t="shared" si="935"/>
        <v>2033</v>
      </c>
      <c r="C4040" s="1" t="s">
        <v>43</v>
      </c>
      <c r="D4040" s="2" t="s">
        <v>2003</v>
      </c>
      <c r="E4040" s="9" t="str">
        <f t="shared" si="933"/>
        <v>PSDP'!</v>
      </c>
      <c r="F4040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40" s="6" t="s">
        <v>113</v>
      </c>
      <c r="H4040" s="1"/>
      <c r="I4040" s="1"/>
      <c r="J4040" s="1"/>
    </row>
    <row r="4041" spans="1:10" x14ac:dyDescent="0.35">
      <c r="A4041" s="6" t="s">
        <v>21</v>
      </c>
      <c r="B4041" s="6">
        <f t="shared" si="935"/>
        <v>2034</v>
      </c>
      <c r="C4041" s="1" t="s">
        <v>43</v>
      </c>
      <c r="D4041" s="2" t="s">
        <v>2003</v>
      </c>
      <c r="E4041" s="9" t="str">
        <f t="shared" si="933"/>
        <v>PSDP'!</v>
      </c>
      <c r="F4041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41" s="6" t="s">
        <v>113</v>
      </c>
      <c r="H4041" s="1"/>
      <c r="I4041" s="1"/>
      <c r="J4041" s="1"/>
    </row>
    <row r="4042" spans="1:10" x14ac:dyDescent="0.35">
      <c r="A4042" s="6" t="s">
        <v>21</v>
      </c>
      <c r="B4042" s="6">
        <f t="shared" si="935"/>
        <v>2035</v>
      </c>
      <c r="C4042" s="1" t="s">
        <v>43</v>
      </c>
      <c r="D4042" s="2" t="s">
        <v>2003</v>
      </c>
      <c r="E4042" s="9" t="str">
        <f t="shared" si="933"/>
        <v>PSDP'!</v>
      </c>
      <c r="F4042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42" s="6" t="s">
        <v>113</v>
      </c>
      <c r="H4042" s="1"/>
      <c r="I4042" s="1"/>
      <c r="J4042" s="1"/>
    </row>
    <row r="4043" spans="1:10" x14ac:dyDescent="0.35">
      <c r="A4043" s="6" t="s">
        <v>21</v>
      </c>
      <c r="B4043" s="6">
        <f t="shared" si="935"/>
        <v>2036</v>
      </c>
      <c r="C4043" s="1" t="s">
        <v>43</v>
      </c>
      <c r="D4043" s="2" t="s">
        <v>2003</v>
      </c>
      <c r="E4043" s="9" t="str">
        <f t="shared" si="933"/>
        <v>PSDP'!</v>
      </c>
      <c r="F4043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43" s="6" t="s">
        <v>113</v>
      </c>
      <c r="H4043" s="1"/>
      <c r="I4043" s="1"/>
      <c r="J4043" s="1"/>
    </row>
    <row r="4044" spans="1:10" x14ac:dyDescent="0.35">
      <c r="A4044" s="6" t="s">
        <v>21</v>
      </c>
      <c r="B4044" s="6">
        <f>+B4043+1</f>
        <v>2037</v>
      </c>
      <c r="C4044" s="1" t="s">
        <v>43</v>
      </c>
      <c r="D4044" s="2" t="s">
        <v>2003</v>
      </c>
      <c r="E4044" s="9" t="str">
        <f t="shared" si="933"/>
        <v>PSDP'!</v>
      </c>
      <c r="F4044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44" s="6" t="s">
        <v>113</v>
      </c>
      <c r="H4044" s="1"/>
      <c r="I4044" s="1"/>
      <c r="J4044" s="1"/>
    </row>
    <row r="4045" spans="1:10" x14ac:dyDescent="0.35">
      <c r="A4045" s="6" t="s">
        <v>21</v>
      </c>
      <c r="B4045" s="6">
        <f t="shared" ref="B4045:B4047" si="936">+B4044+1</f>
        <v>2038</v>
      </c>
      <c r="C4045" s="1" t="s">
        <v>43</v>
      </c>
      <c r="D4045" s="2" t="s">
        <v>2003</v>
      </c>
      <c r="E4045" s="9" t="str">
        <f t="shared" si="933"/>
        <v>PSDP'!</v>
      </c>
      <c r="F4045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45" s="6" t="s">
        <v>113</v>
      </c>
      <c r="H4045" s="1"/>
      <c r="I4045" s="1"/>
      <c r="J4045" s="1"/>
    </row>
    <row r="4046" spans="1:10" x14ac:dyDescent="0.35">
      <c r="A4046" s="6" t="s">
        <v>21</v>
      </c>
      <c r="B4046" s="6">
        <f t="shared" si="936"/>
        <v>2039</v>
      </c>
      <c r="C4046" s="1" t="s">
        <v>43</v>
      </c>
      <c r="D4046" s="2" t="s">
        <v>2003</v>
      </c>
      <c r="E4046" s="9" t="str">
        <f t="shared" si="933"/>
        <v>PSDP'!</v>
      </c>
      <c r="F4046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46" s="6" t="s">
        <v>113</v>
      </c>
      <c r="H4046" s="1"/>
      <c r="I4046" s="1"/>
      <c r="J4046" s="1"/>
    </row>
    <row r="4047" spans="1:10" x14ac:dyDescent="0.35">
      <c r="A4047" s="6" t="s">
        <v>21</v>
      </c>
      <c r="B4047" s="6">
        <f t="shared" si="936"/>
        <v>2040</v>
      </c>
      <c r="C4047" s="1" t="s">
        <v>43</v>
      </c>
      <c r="D4047" s="2" t="s">
        <v>2003</v>
      </c>
      <c r="E4047" s="9" t="str">
        <f t="shared" si="933"/>
        <v>PSDP'!</v>
      </c>
      <c r="F4047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47" s="6" t="s">
        <v>113</v>
      </c>
      <c r="H4047" s="1"/>
      <c r="I4047" s="1"/>
      <c r="J4047" s="1"/>
    </row>
    <row r="4048" spans="1:10" x14ac:dyDescent="0.35">
      <c r="A4048" s="6" t="s">
        <v>21</v>
      </c>
      <c r="B4048" s="6">
        <f>+B4047+1</f>
        <v>2041</v>
      </c>
      <c r="C4048" s="1" t="s">
        <v>43</v>
      </c>
      <c r="D4048" s="2" t="s">
        <v>2003</v>
      </c>
      <c r="E4048" s="9" t="str">
        <f t="shared" si="933"/>
        <v>PSDP'!</v>
      </c>
      <c r="F4048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48" s="6" t="s">
        <v>113</v>
      </c>
      <c r="H4048" s="1"/>
      <c r="I4048" s="1"/>
      <c r="J4048" s="1"/>
    </row>
    <row r="4049" spans="1:10" x14ac:dyDescent="0.35">
      <c r="A4049" s="6" t="s">
        <v>21</v>
      </c>
      <c r="B4049" s="6">
        <f t="shared" ref="B4049:B4050" si="937">+B4048+1</f>
        <v>2042</v>
      </c>
      <c r="C4049" s="1" t="s">
        <v>43</v>
      </c>
      <c r="D4049" s="2" t="s">
        <v>2003</v>
      </c>
      <c r="E4049" s="9" t="str">
        <f t="shared" si="933"/>
        <v>PSDP'!</v>
      </c>
      <c r="F4049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49" s="6" t="s">
        <v>113</v>
      </c>
      <c r="H4049" s="1"/>
      <c r="I4049" s="1"/>
      <c r="J4049" s="1"/>
    </row>
    <row r="4050" spans="1:10" x14ac:dyDescent="0.35">
      <c r="A4050" s="6" t="s">
        <v>21</v>
      </c>
      <c r="B4050" s="6">
        <f t="shared" si="937"/>
        <v>2043</v>
      </c>
      <c r="C4050" s="1" t="s">
        <v>43</v>
      </c>
      <c r="D4050" s="2" t="s">
        <v>2003</v>
      </c>
      <c r="E4050" s="9" t="str">
        <f t="shared" si="933"/>
        <v>PSDP'!</v>
      </c>
      <c r="F4050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50" s="6" t="s">
        <v>113</v>
      </c>
      <c r="H4050" s="1"/>
      <c r="I4050" s="1"/>
      <c r="J4050" s="1"/>
    </row>
    <row r="4051" spans="1:10" x14ac:dyDescent="0.35">
      <c r="A4051" s="6" t="s">
        <v>21</v>
      </c>
      <c r="B4051" s="6">
        <f>+B4050+1</f>
        <v>2044</v>
      </c>
      <c r="C4051" s="1" t="s">
        <v>43</v>
      </c>
      <c r="D4051" s="2" t="s">
        <v>2003</v>
      </c>
      <c r="E4051" s="9" t="str">
        <f t="shared" ref="E4051:E4066" si="938">_xlfn.CONCAT(A4051,"'!")</f>
        <v>PSDP'!</v>
      </c>
      <c r="F4051" s="5" t="str">
        <f t="shared" ref="F4051:F4066" si="939">_xlfn.CONCAT(D4051," ",E4051)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51" s="6" t="s">
        <v>113</v>
      </c>
      <c r="H4051" s="1"/>
      <c r="I4051" s="1"/>
      <c r="J4051" s="1"/>
    </row>
    <row r="4052" spans="1:10" x14ac:dyDescent="0.35">
      <c r="A4052" s="6" t="s">
        <v>21</v>
      </c>
      <c r="B4052" s="6">
        <f t="shared" ref="B4052:B4066" si="940">+B4051+1</f>
        <v>2045</v>
      </c>
      <c r="C4052" s="1" t="s">
        <v>43</v>
      </c>
      <c r="D4052" s="2" t="s">
        <v>2003</v>
      </c>
      <c r="E4052" s="9" t="str">
        <f t="shared" si="938"/>
        <v>PSDP'!</v>
      </c>
      <c r="F4052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52" s="6" t="s">
        <v>113</v>
      </c>
      <c r="H4052" s="1"/>
      <c r="I4052" s="1"/>
      <c r="J4052" s="1"/>
    </row>
    <row r="4053" spans="1:10" x14ac:dyDescent="0.35">
      <c r="A4053" s="6" t="s">
        <v>21</v>
      </c>
      <c r="B4053" s="6">
        <f t="shared" si="940"/>
        <v>2046</v>
      </c>
      <c r="C4053" s="1" t="s">
        <v>43</v>
      </c>
      <c r="D4053" s="2" t="s">
        <v>2003</v>
      </c>
      <c r="E4053" s="9" t="str">
        <f t="shared" si="938"/>
        <v>PSDP'!</v>
      </c>
      <c r="F4053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53" s="6" t="s">
        <v>113</v>
      </c>
      <c r="H4053" s="1"/>
      <c r="I4053" s="1"/>
      <c r="J4053" s="1"/>
    </row>
    <row r="4054" spans="1:10" x14ac:dyDescent="0.35">
      <c r="A4054" s="6" t="s">
        <v>21</v>
      </c>
      <c r="B4054" s="6">
        <f t="shared" si="940"/>
        <v>2047</v>
      </c>
      <c r="C4054" s="1" t="s">
        <v>43</v>
      </c>
      <c r="D4054" s="2" t="s">
        <v>2003</v>
      </c>
      <c r="E4054" s="9" t="str">
        <f t="shared" si="938"/>
        <v>PSDP'!</v>
      </c>
      <c r="F4054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54" s="6" t="s">
        <v>113</v>
      </c>
      <c r="H4054" s="1"/>
      <c r="I4054" s="1"/>
      <c r="J4054" s="1"/>
    </row>
    <row r="4055" spans="1:10" x14ac:dyDescent="0.35">
      <c r="A4055" s="6" t="s">
        <v>21</v>
      </c>
      <c r="B4055" s="6">
        <f t="shared" si="940"/>
        <v>2048</v>
      </c>
      <c r="C4055" s="1" t="s">
        <v>43</v>
      </c>
      <c r="D4055" s="2" t="s">
        <v>2003</v>
      </c>
      <c r="E4055" s="9" t="str">
        <f t="shared" si="938"/>
        <v>PSDP'!</v>
      </c>
      <c r="F4055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55" s="6" t="s">
        <v>113</v>
      </c>
      <c r="H4055" s="1"/>
      <c r="I4055" s="1"/>
      <c r="J4055" s="1"/>
    </row>
    <row r="4056" spans="1:10" x14ac:dyDescent="0.35">
      <c r="A4056" s="6" t="s">
        <v>21</v>
      </c>
      <c r="B4056" s="6">
        <f t="shared" si="940"/>
        <v>2049</v>
      </c>
      <c r="C4056" s="1" t="s">
        <v>43</v>
      </c>
      <c r="D4056" s="2" t="s">
        <v>2003</v>
      </c>
      <c r="E4056" s="9" t="str">
        <f t="shared" si="938"/>
        <v>PSDP'!</v>
      </c>
      <c r="F4056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56" s="6" t="s">
        <v>113</v>
      </c>
      <c r="H4056" s="1"/>
      <c r="I4056" s="1"/>
      <c r="J4056" s="1"/>
    </row>
    <row r="4057" spans="1:10" x14ac:dyDescent="0.35">
      <c r="A4057" s="6" t="s">
        <v>21</v>
      </c>
      <c r="B4057" s="6">
        <f t="shared" si="940"/>
        <v>2050</v>
      </c>
      <c r="C4057" s="1" t="s">
        <v>43</v>
      </c>
      <c r="D4057" s="2" t="s">
        <v>2003</v>
      </c>
      <c r="E4057" s="9" t="str">
        <f t="shared" si="938"/>
        <v>PSDP'!</v>
      </c>
      <c r="F4057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57" s="6" t="s">
        <v>113</v>
      </c>
      <c r="H4057" s="1"/>
      <c r="I4057" s="1"/>
      <c r="J4057" s="1"/>
    </row>
    <row r="4058" spans="1:10" x14ac:dyDescent="0.35">
      <c r="A4058" s="6" t="s">
        <v>21</v>
      </c>
      <c r="B4058" s="6">
        <f t="shared" si="940"/>
        <v>2051</v>
      </c>
      <c r="C4058" s="1" t="s">
        <v>43</v>
      </c>
      <c r="D4058" s="2" t="s">
        <v>2003</v>
      </c>
      <c r="E4058" s="9" t="str">
        <f t="shared" si="938"/>
        <v>PSDP'!</v>
      </c>
      <c r="F4058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58" s="6" t="s">
        <v>113</v>
      </c>
      <c r="H4058" s="1"/>
      <c r="I4058" s="1"/>
      <c r="J4058" s="1"/>
    </row>
    <row r="4059" spans="1:10" x14ac:dyDescent="0.35">
      <c r="A4059" s="6" t="s">
        <v>21</v>
      </c>
      <c r="B4059" s="6">
        <f t="shared" si="940"/>
        <v>2052</v>
      </c>
      <c r="C4059" s="1" t="s">
        <v>43</v>
      </c>
      <c r="D4059" s="2" t="s">
        <v>2003</v>
      </c>
      <c r="E4059" s="9" t="str">
        <f t="shared" si="938"/>
        <v>PSDP'!</v>
      </c>
      <c r="F4059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59" s="6" t="s">
        <v>113</v>
      </c>
      <c r="H4059" s="1"/>
      <c r="I4059" s="1"/>
      <c r="J4059" s="1"/>
    </row>
    <row r="4060" spans="1:10" x14ac:dyDescent="0.35">
      <c r="A4060" s="6" t="s">
        <v>21</v>
      </c>
      <c r="B4060" s="6">
        <f t="shared" si="940"/>
        <v>2053</v>
      </c>
      <c r="C4060" s="1" t="s">
        <v>43</v>
      </c>
      <c r="D4060" s="2" t="s">
        <v>2003</v>
      </c>
      <c r="E4060" s="9" t="str">
        <f t="shared" si="938"/>
        <v>PSDP'!</v>
      </c>
      <c r="F4060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60" s="6" t="s">
        <v>113</v>
      </c>
      <c r="H4060" s="1"/>
      <c r="I4060" s="1"/>
      <c r="J4060" s="1"/>
    </row>
    <row r="4061" spans="1:10" x14ac:dyDescent="0.35">
      <c r="A4061" s="6" t="s">
        <v>21</v>
      </c>
      <c r="B4061" s="6">
        <f t="shared" si="940"/>
        <v>2054</v>
      </c>
      <c r="C4061" s="1" t="s">
        <v>43</v>
      </c>
      <c r="D4061" s="2" t="s">
        <v>2003</v>
      </c>
      <c r="E4061" s="9" t="str">
        <f t="shared" si="938"/>
        <v>PSDP'!</v>
      </c>
      <c r="F4061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61" s="6" t="s">
        <v>113</v>
      </c>
      <c r="H4061" s="1"/>
      <c r="I4061" s="1"/>
      <c r="J4061" s="1"/>
    </row>
    <row r="4062" spans="1:10" x14ac:dyDescent="0.35">
      <c r="A4062" s="6" t="s">
        <v>21</v>
      </c>
      <c r="B4062" s="6">
        <f t="shared" si="940"/>
        <v>2055</v>
      </c>
      <c r="C4062" s="1" t="s">
        <v>43</v>
      </c>
      <c r="D4062" s="2" t="s">
        <v>2003</v>
      </c>
      <c r="E4062" s="9" t="str">
        <f t="shared" si="938"/>
        <v>PSDP'!</v>
      </c>
      <c r="F4062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62" s="6" t="s">
        <v>113</v>
      </c>
      <c r="H4062" s="1"/>
      <c r="I4062" s="1"/>
      <c r="J4062" s="1"/>
    </row>
    <row r="4063" spans="1:10" x14ac:dyDescent="0.35">
      <c r="A4063" s="6" t="s">
        <v>21</v>
      </c>
      <c r="B4063" s="6">
        <f t="shared" si="940"/>
        <v>2056</v>
      </c>
      <c r="C4063" s="1" t="s">
        <v>43</v>
      </c>
      <c r="D4063" s="2" t="s">
        <v>2003</v>
      </c>
      <c r="E4063" s="9" t="str">
        <f t="shared" si="938"/>
        <v>PSDP'!</v>
      </c>
      <c r="F4063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63" s="6" t="s">
        <v>113</v>
      </c>
      <c r="H4063" s="1"/>
      <c r="I4063" s="1"/>
      <c r="J4063" s="1"/>
    </row>
    <row r="4064" spans="1:10" x14ac:dyDescent="0.35">
      <c r="A4064" s="6" t="s">
        <v>21</v>
      </c>
      <c r="B4064" s="6">
        <f t="shared" si="940"/>
        <v>2057</v>
      </c>
      <c r="C4064" s="1" t="s">
        <v>43</v>
      </c>
      <c r="D4064" s="2" t="s">
        <v>2003</v>
      </c>
      <c r="E4064" s="9" t="str">
        <f t="shared" si="938"/>
        <v>PSDP'!</v>
      </c>
      <c r="F4064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64" s="6" t="s">
        <v>113</v>
      </c>
      <c r="H4064" s="1"/>
      <c r="I4064" s="1"/>
      <c r="J4064" s="1"/>
    </row>
    <row r="4065" spans="1:10" x14ac:dyDescent="0.35">
      <c r="A4065" s="6" t="s">
        <v>21</v>
      </c>
      <c r="B4065" s="6">
        <f t="shared" si="940"/>
        <v>2058</v>
      </c>
      <c r="C4065" s="1" t="s">
        <v>43</v>
      </c>
      <c r="D4065" s="2" t="s">
        <v>2003</v>
      </c>
      <c r="E4065" s="9" t="str">
        <f t="shared" si="938"/>
        <v>PSDP'!</v>
      </c>
      <c r="F4065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65" s="6" t="s">
        <v>113</v>
      </c>
      <c r="H4065" s="1"/>
      <c r="I4065" s="1"/>
      <c r="J4065" s="1"/>
    </row>
    <row r="4066" spans="1:10" x14ac:dyDescent="0.35">
      <c r="A4066" s="6" t="s">
        <v>21</v>
      </c>
      <c r="B4066" s="6">
        <f t="shared" si="940"/>
        <v>2059</v>
      </c>
      <c r="C4066" s="1" t="s">
        <v>43</v>
      </c>
      <c r="D4066" s="2" t="s">
        <v>2003</v>
      </c>
      <c r="E4066" s="9" t="str">
        <f t="shared" si="938"/>
        <v>PSDP'!</v>
      </c>
      <c r="F4066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66" s="6" t="s">
        <v>113</v>
      </c>
      <c r="H4066" s="1"/>
      <c r="I4066" s="1"/>
      <c r="J4066" s="1"/>
    </row>
    <row r="4067" spans="1:10" x14ac:dyDescent="0.35">
      <c r="A4067" s="6" t="s">
        <v>26</v>
      </c>
      <c r="B4067" s="6"/>
      <c r="C4067" s="1" t="s">
        <v>43</v>
      </c>
      <c r="D4067" s="2"/>
      <c r="E4067" s="9"/>
      <c r="F4067" s="5"/>
      <c r="G4067" s="6"/>
      <c r="H4067" s="1"/>
      <c r="I4067" s="1"/>
      <c r="J4067" s="12"/>
    </row>
    <row r="4068" spans="1:10" x14ac:dyDescent="0.35">
      <c r="A4068" s="6" t="s">
        <v>22</v>
      </c>
      <c r="B4068" s="6">
        <v>2023</v>
      </c>
      <c r="C4068" s="1" t="s">
        <v>43</v>
      </c>
      <c r="D4068" s="2" t="s">
        <v>2003</v>
      </c>
      <c r="E4068" s="9" t="str">
        <f t="shared" ref="E4068:E4088" si="941">_xlfn.CONCAT(A4068,"'!")</f>
        <v>PSNP'!</v>
      </c>
      <c r="F4068" s="5" t="str">
        <f t="shared" ref="F4068:F4088" si="942">_xlfn.CONCAT(D4068," ",E4068)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68" s="6" t="s">
        <v>113</v>
      </c>
      <c r="H4068" s="1"/>
      <c r="I4068" s="1"/>
      <c r="J4068" s="1"/>
    </row>
    <row r="4069" spans="1:10" x14ac:dyDescent="0.35">
      <c r="A4069" s="6" t="s">
        <v>22</v>
      </c>
      <c r="B4069" s="6">
        <f>+B4068+1</f>
        <v>2024</v>
      </c>
      <c r="C4069" s="1" t="s">
        <v>43</v>
      </c>
      <c r="D4069" s="2" t="s">
        <v>2003</v>
      </c>
      <c r="E4069" s="9" t="str">
        <f t="shared" si="941"/>
        <v>PSNP'!</v>
      </c>
      <c r="F4069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69" s="6" t="s">
        <v>113</v>
      </c>
      <c r="H4069" s="1"/>
      <c r="I4069" s="1"/>
      <c r="J4069" s="1"/>
    </row>
    <row r="4070" spans="1:10" x14ac:dyDescent="0.35">
      <c r="A4070" s="6" t="s">
        <v>22</v>
      </c>
      <c r="B4070" s="6">
        <f t="shared" ref="B4070:B4081" si="943">+B4069+1</f>
        <v>2025</v>
      </c>
      <c r="C4070" s="1" t="s">
        <v>43</v>
      </c>
      <c r="D4070" s="2" t="s">
        <v>2003</v>
      </c>
      <c r="E4070" s="9" t="str">
        <f t="shared" si="941"/>
        <v>PSNP'!</v>
      </c>
      <c r="F4070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70" s="6" t="s">
        <v>113</v>
      </c>
      <c r="H4070" s="1"/>
      <c r="I4070" s="1"/>
      <c r="J4070" s="1"/>
    </row>
    <row r="4071" spans="1:10" x14ac:dyDescent="0.35">
      <c r="A4071" s="6" t="s">
        <v>22</v>
      </c>
      <c r="B4071" s="6">
        <f t="shared" si="943"/>
        <v>2026</v>
      </c>
      <c r="C4071" s="1" t="s">
        <v>43</v>
      </c>
      <c r="D4071" s="2" t="s">
        <v>2003</v>
      </c>
      <c r="E4071" s="9" t="str">
        <f t="shared" si="941"/>
        <v>PSNP'!</v>
      </c>
      <c r="F4071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71" s="6" t="s">
        <v>113</v>
      </c>
      <c r="H4071" s="1"/>
      <c r="I4071" s="1"/>
      <c r="J4071" s="1"/>
    </row>
    <row r="4072" spans="1:10" x14ac:dyDescent="0.35">
      <c r="A4072" s="6" t="s">
        <v>22</v>
      </c>
      <c r="B4072" s="6">
        <f t="shared" si="943"/>
        <v>2027</v>
      </c>
      <c r="C4072" s="1" t="s">
        <v>43</v>
      </c>
      <c r="D4072" s="2" t="s">
        <v>2003</v>
      </c>
      <c r="E4072" s="9" t="str">
        <f t="shared" si="941"/>
        <v>PSNP'!</v>
      </c>
      <c r="F4072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72" s="6" t="s">
        <v>113</v>
      </c>
      <c r="H4072" s="1"/>
      <c r="I4072" s="1"/>
      <c r="J4072" s="1"/>
    </row>
    <row r="4073" spans="1:10" x14ac:dyDescent="0.35">
      <c r="A4073" s="6" t="s">
        <v>22</v>
      </c>
      <c r="B4073" s="6">
        <f t="shared" si="943"/>
        <v>2028</v>
      </c>
      <c r="C4073" s="1" t="s">
        <v>43</v>
      </c>
      <c r="D4073" s="2" t="s">
        <v>2003</v>
      </c>
      <c r="E4073" s="9" t="str">
        <f t="shared" si="941"/>
        <v>PSNP'!</v>
      </c>
      <c r="F4073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73" s="6" t="s">
        <v>113</v>
      </c>
      <c r="H4073" s="1"/>
      <c r="I4073" s="1"/>
      <c r="J4073" s="1"/>
    </row>
    <row r="4074" spans="1:10" x14ac:dyDescent="0.35">
      <c r="A4074" s="6" t="s">
        <v>22</v>
      </c>
      <c r="B4074" s="6">
        <f t="shared" si="943"/>
        <v>2029</v>
      </c>
      <c r="C4074" s="1" t="s">
        <v>43</v>
      </c>
      <c r="D4074" s="2" t="s">
        <v>2003</v>
      </c>
      <c r="E4074" s="9" t="str">
        <f t="shared" si="941"/>
        <v>PSNP'!</v>
      </c>
      <c r="F4074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74" s="6" t="s">
        <v>113</v>
      </c>
      <c r="H4074" s="1"/>
      <c r="I4074" s="1"/>
      <c r="J4074" s="1"/>
    </row>
    <row r="4075" spans="1:10" x14ac:dyDescent="0.35">
      <c r="A4075" s="6" t="s">
        <v>22</v>
      </c>
      <c r="B4075" s="6">
        <f t="shared" si="943"/>
        <v>2030</v>
      </c>
      <c r="C4075" s="1" t="s">
        <v>43</v>
      </c>
      <c r="D4075" s="2" t="s">
        <v>2003</v>
      </c>
      <c r="E4075" s="9" t="str">
        <f t="shared" si="941"/>
        <v>PSNP'!</v>
      </c>
      <c r="F4075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75" s="6" t="s">
        <v>113</v>
      </c>
      <c r="H4075" s="1"/>
      <c r="I4075" s="1"/>
      <c r="J4075" s="1"/>
    </row>
    <row r="4076" spans="1:10" x14ac:dyDescent="0.35">
      <c r="A4076" s="6" t="s">
        <v>22</v>
      </c>
      <c r="B4076" s="6">
        <f t="shared" si="943"/>
        <v>2031</v>
      </c>
      <c r="C4076" s="1" t="s">
        <v>43</v>
      </c>
      <c r="D4076" s="2" t="s">
        <v>2003</v>
      </c>
      <c r="E4076" s="9" t="str">
        <f t="shared" si="941"/>
        <v>PSNP'!</v>
      </c>
      <c r="F4076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76" s="6" t="s">
        <v>113</v>
      </c>
      <c r="H4076" s="1"/>
      <c r="I4076" s="1"/>
      <c r="J4076" s="1"/>
    </row>
    <row r="4077" spans="1:10" x14ac:dyDescent="0.35">
      <c r="A4077" s="6" t="s">
        <v>22</v>
      </c>
      <c r="B4077" s="6">
        <f t="shared" si="943"/>
        <v>2032</v>
      </c>
      <c r="C4077" s="1" t="s">
        <v>43</v>
      </c>
      <c r="D4077" s="2" t="s">
        <v>2003</v>
      </c>
      <c r="E4077" s="9" t="str">
        <f t="shared" si="941"/>
        <v>PSNP'!</v>
      </c>
      <c r="F4077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77" s="6" t="s">
        <v>113</v>
      </c>
      <c r="H4077" s="1"/>
      <c r="I4077" s="1"/>
      <c r="J4077" s="1"/>
    </row>
    <row r="4078" spans="1:10" x14ac:dyDescent="0.35">
      <c r="A4078" s="6" t="s">
        <v>22</v>
      </c>
      <c r="B4078" s="6">
        <f t="shared" si="943"/>
        <v>2033</v>
      </c>
      <c r="C4078" s="1" t="s">
        <v>43</v>
      </c>
      <c r="D4078" s="2" t="s">
        <v>2003</v>
      </c>
      <c r="E4078" s="9" t="str">
        <f t="shared" si="941"/>
        <v>PSNP'!</v>
      </c>
      <c r="F4078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78" s="6" t="s">
        <v>113</v>
      </c>
      <c r="H4078" s="1"/>
      <c r="I4078" s="1"/>
      <c r="J4078" s="1"/>
    </row>
    <row r="4079" spans="1:10" x14ac:dyDescent="0.35">
      <c r="A4079" s="6" t="s">
        <v>22</v>
      </c>
      <c r="B4079" s="6">
        <f t="shared" si="943"/>
        <v>2034</v>
      </c>
      <c r="C4079" s="1" t="s">
        <v>43</v>
      </c>
      <c r="D4079" s="2" t="s">
        <v>2003</v>
      </c>
      <c r="E4079" s="9" t="str">
        <f t="shared" si="941"/>
        <v>PSNP'!</v>
      </c>
      <c r="F4079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79" s="6" t="s">
        <v>113</v>
      </c>
      <c r="H4079" s="1"/>
      <c r="I4079" s="1"/>
      <c r="J4079" s="1"/>
    </row>
    <row r="4080" spans="1:10" x14ac:dyDescent="0.35">
      <c r="A4080" s="6" t="s">
        <v>22</v>
      </c>
      <c r="B4080" s="6">
        <f t="shared" si="943"/>
        <v>2035</v>
      </c>
      <c r="C4080" s="1" t="s">
        <v>43</v>
      </c>
      <c r="D4080" s="2" t="s">
        <v>2003</v>
      </c>
      <c r="E4080" s="9" t="str">
        <f t="shared" si="941"/>
        <v>PSNP'!</v>
      </c>
      <c r="F4080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80" s="6" t="s">
        <v>113</v>
      </c>
      <c r="H4080" s="1"/>
      <c r="I4080" s="1"/>
      <c r="J4080" s="1"/>
    </row>
    <row r="4081" spans="1:10" x14ac:dyDescent="0.35">
      <c r="A4081" s="6" t="s">
        <v>22</v>
      </c>
      <c r="B4081" s="6">
        <f t="shared" si="943"/>
        <v>2036</v>
      </c>
      <c r="C4081" s="1" t="s">
        <v>43</v>
      </c>
      <c r="D4081" s="2" t="s">
        <v>2003</v>
      </c>
      <c r="E4081" s="9" t="str">
        <f t="shared" si="941"/>
        <v>PSNP'!</v>
      </c>
      <c r="F4081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81" s="6" t="s">
        <v>113</v>
      </c>
      <c r="H4081" s="1"/>
      <c r="I4081" s="1"/>
      <c r="J4081" s="1"/>
    </row>
    <row r="4082" spans="1:10" x14ac:dyDescent="0.35">
      <c r="A4082" s="6" t="s">
        <v>22</v>
      </c>
      <c r="B4082" s="6">
        <f>+B4081+1</f>
        <v>2037</v>
      </c>
      <c r="C4082" s="1" t="s">
        <v>43</v>
      </c>
      <c r="D4082" s="2" t="s">
        <v>2003</v>
      </c>
      <c r="E4082" s="9" t="str">
        <f t="shared" si="941"/>
        <v>PSNP'!</v>
      </c>
      <c r="F4082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82" s="6" t="s">
        <v>113</v>
      </c>
      <c r="H4082" s="1"/>
      <c r="I4082" s="1"/>
      <c r="J4082" s="1"/>
    </row>
    <row r="4083" spans="1:10" x14ac:dyDescent="0.35">
      <c r="A4083" s="6" t="s">
        <v>22</v>
      </c>
      <c r="B4083" s="6">
        <f t="shared" ref="B4083:B4085" si="944">+B4082+1</f>
        <v>2038</v>
      </c>
      <c r="C4083" s="1" t="s">
        <v>43</v>
      </c>
      <c r="D4083" s="2" t="s">
        <v>2003</v>
      </c>
      <c r="E4083" s="9" t="str">
        <f t="shared" si="941"/>
        <v>PSNP'!</v>
      </c>
      <c r="F4083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83" s="6" t="s">
        <v>113</v>
      </c>
      <c r="H4083" s="1"/>
      <c r="I4083" s="1"/>
      <c r="J4083" s="1"/>
    </row>
    <row r="4084" spans="1:10" x14ac:dyDescent="0.35">
      <c r="A4084" s="6" t="s">
        <v>22</v>
      </c>
      <c r="B4084" s="6">
        <f t="shared" si="944"/>
        <v>2039</v>
      </c>
      <c r="C4084" s="1" t="s">
        <v>43</v>
      </c>
      <c r="D4084" s="2" t="s">
        <v>2003</v>
      </c>
      <c r="E4084" s="9" t="str">
        <f t="shared" si="941"/>
        <v>PSNP'!</v>
      </c>
      <c r="F4084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84" s="6" t="s">
        <v>113</v>
      </c>
      <c r="H4084" s="1"/>
      <c r="I4084" s="1"/>
      <c r="J4084" s="1"/>
    </row>
    <row r="4085" spans="1:10" x14ac:dyDescent="0.35">
      <c r="A4085" s="6" t="s">
        <v>22</v>
      </c>
      <c r="B4085" s="6">
        <f t="shared" si="944"/>
        <v>2040</v>
      </c>
      <c r="C4085" s="1" t="s">
        <v>43</v>
      </c>
      <c r="D4085" s="2" t="s">
        <v>2003</v>
      </c>
      <c r="E4085" s="9" t="str">
        <f t="shared" si="941"/>
        <v>PSNP'!</v>
      </c>
      <c r="F4085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85" s="6" t="s">
        <v>113</v>
      </c>
      <c r="H4085" s="1"/>
      <c r="I4085" s="1"/>
      <c r="J4085" s="1"/>
    </row>
    <row r="4086" spans="1:10" x14ac:dyDescent="0.35">
      <c r="A4086" s="6" t="s">
        <v>22</v>
      </c>
      <c r="B4086" s="6">
        <f>+B4085+1</f>
        <v>2041</v>
      </c>
      <c r="C4086" s="1" t="s">
        <v>43</v>
      </c>
      <c r="D4086" s="2" t="s">
        <v>2003</v>
      </c>
      <c r="E4086" s="9" t="str">
        <f t="shared" si="941"/>
        <v>PSNP'!</v>
      </c>
      <c r="F4086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86" s="6" t="s">
        <v>113</v>
      </c>
      <c r="H4086" s="1"/>
      <c r="I4086" s="1"/>
      <c r="J4086" s="1"/>
    </row>
    <row r="4087" spans="1:10" x14ac:dyDescent="0.35">
      <c r="A4087" s="6" t="s">
        <v>22</v>
      </c>
      <c r="B4087" s="6">
        <f t="shared" ref="B4087:B4088" si="945">+B4086+1</f>
        <v>2042</v>
      </c>
      <c r="C4087" s="1" t="s">
        <v>43</v>
      </c>
      <c r="D4087" s="2" t="s">
        <v>2003</v>
      </c>
      <c r="E4087" s="9" t="str">
        <f t="shared" si="941"/>
        <v>PSNP'!</v>
      </c>
      <c r="F4087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87" s="6" t="s">
        <v>113</v>
      </c>
      <c r="H4087" s="1"/>
      <c r="I4087" s="1"/>
      <c r="J4087" s="1"/>
    </row>
    <row r="4088" spans="1:10" x14ac:dyDescent="0.35">
      <c r="A4088" s="6" t="s">
        <v>22</v>
      </c>
      <c r="B4088" s="6">
        <f t="shared" si="945"/>
        <v>2043</v>
      </c>
      <c r="C4088" s="1" t="s">
        <v>43</v>
      </c>
      <c r="D4088" s="2" t="s">
        <v>2003</v>
      </c>
      <c r="E4088" s="9" t="str">
        <f t="shared" si="941"/>
        <v>PSNP'!</v>
      </c>
      <c r="F4088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88" s="6" t="s">
        <v>113</v>
      </c>
      <c r="H4088" s="1"/>
      <c r="I4088" s="1"/>
      <c r="J4088" s="1"/>
    </row>
    <row r="4089" spans="1:10" x14ac:dyDescent="0.35">
      <c r="A4089" s="6" t="s">
        <v>22</v>
      </c>
      <c r="B4089" s="6">
        <f>+B4088+1</f>
        <v>2044</v>
      </c>
      <c r="C4089" s="1" t="s">
        <v>43</v>
      </c>
      <c r="D4089" s="2" t="s">
        <v>2003</v>
      </c>
      <c r="E4089" s="9" t="str">
        <f t="shared" ref="E4089:E4104" si="946">_xlfn.CONCAT(A4089,"'!")</f>
        <v>PSNP'!</v>
      </c>
      <c r="F4089" s="5" t="str">
        <f t="shared" ref="F4089:F4104" si="947">_xlfn.CONCAT(D4089," ",E4089)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89" s="6" t="s">
        <v>113</v>
      </c>
      <c r="H4089" s="1"/>
      <c r="I4089" s="1"/>
      <c r="J4089" s="1"/>
    </row>
    <row r="4090" spans="1:10" x14ac:dyDescent="0.35">
      <c r="A4090" s="6" t="s">
        <v>22</v>
      </c>
      <c r="B4090" s="6">
        <f t="shared" ref="B4090:B4104" si="948">+B4089+1</f>
        <v>2045</v>
      </c>
      <c r="C4090" s="1" t="s">
        <v>43</v>
      </c>
      <c r="D4090" s="2" t="s">
        <v>2003</v>
      </c>
      <c r="E4090" s="9" t="str">
        <f t="shared" si="946"/>
        <v>PSNP'!</v>
      </c>
      <c r="F4090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90" s="6" t="s">
        <v>113</v>
      </c>
      <c r="H4090" s="1"/>
      <c r="I4090" s="1"/>
      <c r="J4090" s="1"/>
    </row>
    <row r="4091" spans="1:10" x14ac:dyDescent="0.35">
      <c r="A4091" s="6" t="s">
        <v>22</v>
      </c>
      <c r="B4091" s="6">
        <f t="shared" si="948"/>
        <v>2046</v>
      </c>
      <c r="C4091" s="1" t="s">
        <v>43</v>
      </c>
      <c r="D4091" s="2" t="s">
        <v>2003</v>
      </c>
      <c r="E4091" s="9" t="str">
        <f t="shared" si="946"/>
        <v>PSNP'!</v>
      </c>
      <c r="F4091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91" s="6" t="s">
        <v>113</v>
      </c>
      <c r="H4091" s="1"/>
      <c r="I4091" s="1"/>
      <c r="J4091" s="1"/>
    </row>
    <row r="4092" spans="1:10" x14ac:dyDescent="0.35">
      <c r="A4092" s="6" t="s">
        <v>22</v>
      </c>
      <c r="B4092" s="6">
        <f t="shared" si="948"/>
        <v>2047</v>
      </c>
      <c r="C4092" s="1" t="s">
        <v>43</v>
      </c>
      <c r="D4092" s="2" t="s">
        <v>2003</v>
      </c>
      <c r="E4092" s="9" t="str">
        <f t="shared" si="946"/>
        <v>PSNP'!</v>
      </c>
      <c r="F4092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92" s="6" t="s">
        <v>113</v>
      </c>
      <c r="H4092" s="1"/>
      <c r="I4092" s="1"/>
      <c r="J4092" s="1"/>
    </row>
    <row r="4093" spans="1:10" x14ac:dyDescent="0.35">
      <c r="A4093" s="6" t="s">
        <v>22</v>
      </c>
      <c r="B4093" s="6">
        <f t="shared" si="948"/>
        <v>2048</v>
      </c>
      <c r="C4093" s="1" t="s">
        <v>43</v>
      </c>
      <c r="D4093" s="2" t="s">
        <v>2003</v>
      </c>
      <c r="E4093" s="9" t="str">
        <f t="shared" si="946"/>
        <v>PSNP'!</v>
      </c>
      <c r="F4093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93" s="6" t="s">
        <v>113</v>
      </c>
      <c r="H4093" s="1"/>
      <c r="I4093" s="1"/>
      <c r="J4093" s="1"/>
    </row>
    <row r="4094" spans="1:10" x14ac:dyDescent="0.35">
      <c r="A4094" s="6" t="s">
        <v>22</v>
      </c>
      <c r="B4094" s="6">
        <f t="shared" si="948"/>
        <v>2049</v>
      </c>
      <c r="C4094" s="1" t="s">
        <v>43</v>
      </c>
      <c r="D4094" s="2" t="s">
        <v>2003</v>
      </c>
      <c r="E4094" s="9" t="str">
        <f t="shared" si="946"/>
        <v>PSNP'!</v>
      </c>
      <c r="F4094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94" s="6" t="s">
        <v>113</v>
      </c>
      <c r="H4094" s="1"/>
      <c r="I4094" s="1"/>
      <c r="J4094" s="1"/>
    </row>
    <row r="4095" spans="1:10" x14ac:dyDescent="0.35">
      <c r="A4095" s="6" t="s">
        <v>22</v>
      </c>
      <c r="B4095" s="6">
        <f t="shared" si="948"/>
        <v>2050</v>
      </c>
      <c r="C4095" s="1" t="s">
        <v>43</v>
      </c>
      <c r="D4095" s="2" t="s">
        <v>2003</v>
      </c>
      <c r="E4095" s="9" t="str">
        <f t="shared" si="946"/>
        <v>PSNP'!</v>
      </c>
      <c r="F4095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95" s="6" t="s">
        <v>113</v>
      </c>
      <c r="H4095" s="1"/>
      <c r="I4095" s="1"/>
      <c r="J4095" s="1"/>
    </row>
    <row r="4096" spans="1:10" x14ac:dyDescent="0.35">
      <c r="A4096" s="6" t="s">
        <v>22</v>
      </c>
      <c r="B4096" s="6">
        <f t="shared" si="948"/>
        <v>2051</v>
      </c>
      <c r="C4096" s="1" t="s">
        <v>43</v>
      </c>
      <c r="D4096" s="2" t="s">
        <v>2003</v>
      </c>
      <c r="E4096" s="9" t="str">
        <f t="shared" si="946"/>
        <v>PSNP'!</v>
      </c>
      <c r="F4096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96" s="6" t="s">
        <v>113</v>
      </c>
      <c r="H4096" s="1"/>
      <c r="I4096" s="1"/>
      <c r="J4096" s="1"/>
    </row>
    <row r="4097" spans="1:10" x14ac:dyDescent="0.35">
      <c r="A4097" s="6" t="s">
        <v>22</v>
      </c>
      <c r="B4097" s="6">
        <f t="shared" si="948"/>
        <v>2052</v>
      </c>
      <c r="C4097" s="1" t="s">
        <v>43</v>
      </c>
      <c r="D4097" s="2" t="s">
        <v>2003</v>
      </c>
      <c r="E4097" s="9" t="str">
        <f t="shared" si="946"/>
        <v>PSNP'!</v>
      </c>
      <c r="F4097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97" s="6" t="s">
        <v>113</v>
      </c>
      <c r="H4097" s="1"/>
      <c r="I4097" s="1"/>
      <c r="J4097" s="1"/>
    </row>
    <row r="4098" spans="1:10" x14ac:dyDescent="0.35">
      <c r="A4098" s="6" t="s">
        <v>22</v>
      </c>
      <c r="B4098" s="6">
        <f t="shared" si="948"/>
        <v>2053</v>
      </c>
      <c r="C4098" s="1" t="s">
        <v>43</v>
      </c>
      <c r="D4098" s="2" t="s">
        <v>2003</v>
      </c>
      <c r="E4098" s="9" t="str">
        <f t="shared" si="946"/>
        <v>PSNP'!</v>
      </c>
      <c r="F4098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98" s="6" t="s">
        <v>113</v>
      </c>
      <c r="H4098" s="1"/>
      <c r="I4098" s="1"/>
      <c r="J4098" s="1"/>
    </row>
    <row r="4099" spans="1:10" x14ac:dyDescent="0.35">
      <c r="A4099" s="6" t="s">
        <v>22</v>
      </c>
      <c r="B4099" s="6">
        <f t="shared" si="948"/>
        <v>2054</v>
      </c>
      <c r="C4099" s="1" t="s">
        <v>43</v>
      </c>
      <c r="D4099" s="2" t="s">
        <v>2003</v>
      </c>
      <c r="E4099" s="9" t="str">
        <f t="shared" si="946"/>
        <v>PSNP'!</v>
      </c>
      <c r="F4099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99" s="6" t="s">
        <v>113</v>
      </c>
      <c r="H4099" s="1"/>
      <c r="I4099" s="1"/>
      <c r="J4099" s="1"/>
    </row>
    <row r="4100" spans="1:10" x14ac:dyDescent="0.35">
      <c r="A4100" s="6" t="s">
        <v>22</v>
      </c>
      <c r="B4100" s="6">
        <f t="shared" si="948"/>
        <v>2055</v>
      </c>
      <c r="C4100" s="1" t="s">
        <v>43</v>
      </c>
      <c r="D4100" s="2" t="s">
        <v>2003</v>
      </c>
      <c r="E4100" s="9" t="str">
        <f t="shared" si="946"/>
        <v>PSNP'!</v>
      </c>
      <c r="F4100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100" s="6" t="s">
        <v>113</v>
      </c>
      <c r="H4100" s="1"/>
      <c r="I4100" s="1"/>
      <c r="J4100" s="1"/>
    </row>
    <row r="4101" spans="1:10" x14ac:dyDescent="0.35">
      <c r="A4101" s="6" t="s">
        <v>22</v>
      </c>
      <c r="B4101" s="6">
        <f t="shared" si="948"/>
        <v>2056</v>
      </c>
      <c r="C4101" s="1" t="s">
        <v>43</v>
      </c>
      <c r="D4101" s="2" t="s">
        <v>2003</v>
      </c>
      <c r="E4101" s="9" t="str">
        <f t="shared" si="946"/>
        <v>PSNP'!</v>
      </c>
      <c r="F4101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101" s="6" t="s">
        <v>113</v>
      </c>
      <c r="H4101" s="1"/>
      <c r="I4101" s="1"/>
      <c r="J4101" s="1"/>
    </row>
    <row r="4102" spans="1:10" x14ac:dyDescent="0.35">
      <c r="A4102" s="6" t="s">
        <v>22</v>
      </c>
      <c r="B4102" s="6">
        <f t="shared" si="948"/>
        <v>2057</v>
      </c>
      <c r="C4102" s="1" t="s">
        <v>43</v>
      </c>
      <c r="D4102" s="2" t="s">
        <v>2003</v>
      </c>
      <c r="E4102" s="9" t="str">
        <f t="shared" si="946"/>
        <v>PSNP'!</v>
      </c>
      <c r="F4102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102" s="6" t="s">
        <v>113</v>
      </c>
      <c r="H4102" s="1"/>
      <c r="I4102" s="1"/>
      <c r="J4102" s="1"/>
    </row>
    <row r="4103" spans="1:10" x14ac:dyDescent="0.35">
      <c r="A4103" s="6" t="s">
        <v>22</v>
      </c>
      <c r="B4103" s="6">
        <f t="shared" si="948"/>
        <v>2058</v>
      </c>
      <c r="C4103" s="1" t="s">
        <v>43</v>
      </c>
      <c r="D4103" s="2" t="s">
        <v>2003</v>
      </c>
      <c r="E4103" s="9" t="str">
        <f t="shared" si="946"/>
        <v>PSNP'!</v>
      </c>
      <c r="F4103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103" s="6" t="s">
        <v>113</v>
      </c>
      <c r="H4103" s="1"/>
      <c r="I4103" s="1"/>
      <c r="J4103" s="1"/>
    </row>
    <row r="4104" spans="1:10" x14ac:dyDescent="0.35">
      <c r="A4104" s="6" t="s">
        <v>22</v>
      </c>
      <c r="B4104" s="6">
        <f t="shared" si="948"/>
        <v>2059</v>
      </c>
      <c r="C4104" s="1" t="s">
        <v>43</v>
      </c>
      <c r="D4104" s="2" t="s">
        <v>2003</v>
      </c>
      <c r="E4104" s="9" t="str">
        <f t="shared" si="946"/>
        <v>PSNP'!</v>
      </c>
      <c r="F4104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104" s="6" t="s">
        <v>113</v>
      </c>
      <c r="H4104" s="1"/>
      <c r="I4104" s="1"/>
      <c r="J4104" s="1"/>
    </row>
    <row r="4105" spans="1:10" x14ac:dyDescent="0.35">
      <c r="A4105" s="6" t="s">
        <v>26</v>
      </c>
      <c r="B4105" s="6"/>
      <c r="C4105" s="1" t="s">
        <v>43</v>
      </c>
      <c r="D4105" s="2"/>
      <c r="E4105" s="9"/>
      <c r="F4105" s="5"/>
      <c r="G4105" s="6"/>
      <c r="H4105" s="1"/>
      <c r="I4105" s="1"/>
      <c r="J4105" s="12"/>
    </row>
    <row r="4106" spans="1:10" x14ac:dyDescent="0.35">
      <c r="A4106" s="6" t="s">
        <v>23</v>
      </c>
      <c r="B4106" s="6">
        <v>2023</v>
      </c>
      <c r="C4106" s="1" t="s">
        <v>43</v>
      </c>
      <c r="D4106" s="2" t="s">
        <v>2003</v>
      </c>
      <c r="E4106" s="9" t="str">
        <f t="shared" ref="E4106:E4126" si="949">_xlfn.CONCAT(A4106,"'!")</f>
        <v>PSND'!</v>
      </c>
      <c r="F4106" s="5" t="str">
        <f t="shared" ref="F4106:F4126" si="950">_xlfn.CONCAT(D4106," ",E4106)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06" s="6" t="s">
        <v>113</v>
      </c>
      <c r="H4106" s="1"/>
      <c r="I4106" s="1"/>
      <c r="J4106" s="1"/>
    </row>
    <row r="4107" spans="1:10" x14ac:dyDescent="0.35">
      <c r="A4107" s="6" t="s">
        <v>23</v>
      </c>
      <c r="B4107" s="6">
        <f>+B4106+1</f>
        <v>2024</v>
      </c>
      <c r="C4107" s="1" t="s">
        <v>43</v>
      </c>
      <c r="D4107" s="2" t="s">
        <v>2003</v>
      </c>
      <c r="E4107" s="9" t="str">
        <f t="shared" si="949"/>
        <v>PSND'!</v>
      </c>
      <c r="F4107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07" s="6" t="s">
        <v>113</v>
      </c>
      <c r="H4107" s="1"/>
      <c r="I4107" s="1"/>
      <c r="J4107" s="1"/>
    </row>
    <row r="4108" spans="1:10" x14ac:dyDescent="0.35">
      <c r="A4108" s="6" t="s">
        <v>23</v>
      </c>
      <c r="B4108" s="6">
        <f t="shared" ref="B4108:B4119" si="951">+B4107+1</f>
        <v>2025</v>
      </c>
      <c r="C4108" s="1" t="s">
        <v>43</v>
      </c>
      <c r="D4108" s="2" t="s">
        <v>2003</v>
      </c>
      <c r="E4108" s="9" t="str">
        <f t="shared" si="949"/>
        <v>PSND'!</v>
      </c>
      <c r="F4108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08" s="6" t="s">
        <v>113</v>
      </c>
      <c r="H4108" s="1"/>
      <c r="I4108" s="1"/>
      <c r="J4108" s="1"/>
    </row>
    <row r="4109" spans="1:10" x14ac:dyDescent="0.35">
      <c r="A4109" s="6" t="s">
        <v>23</v>
      </c>
      <c r="B4109" s="6">
        <f t="shared" si="951"/>
        <v>2026</v>
      </c>
      <c r="C4109" s="1" t="s">
        <v>43</v>
      </c>
      <c r="D4109" s="2" t="s">
        <v>2003</v>
      </c>
      <c r="E4109" s="9" t="str">
        <f t="shared" si="949"/>
        <v>PSND'!</v>
      </c>
      <c r="F4109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09" s="6" t="s">
        <v>113</v>
      </c>
      <c r="H4109" s="1"/>
      <c r="I4109" s="1"/>
      <c r="J4109" s="1"/>
    </row>
    <row r="4110" spans="1:10" x14ac:dyDescent="0.35">
      <c r="A4110" s="6" t="s">
        <v>23</v>
      </c>
      <c r="B4110" s="6">
        <f t="shared" si="951"/>
        <v>2027</v>
      </c>
      <c r="C4110" s="1" t="s">
        <v>43</v>
      </c>
      <c r="D4110" s="2" t="s">
        <v>2003</v>
      </c>
      <c r="E4110" s="9" t="str">
        <f t="shared" si="949"/>
        <v>PSND'!</v>
      </c>
      <c r="F4110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10" s="6" t="s">
        <v>113</v>
      </c>
      <c r="H4110" s="1"/>
      <c r="I4110" s="1"/>
      <c r="J4110" s="1"/>
    </row>
    <row r="4111" spans="1:10" x14ac:dyDescent="0.35">
      <c r="A4111" s="6" t="s">
        <v>23</v>
      </c>
      <c r="B4111" s="6">
        <f t="shared" si="951"/>
        <v>2028</v>
      </c>
      <c r="C4111" s="1" t="s">
        <v>43</v>
      </c>
      <c r="D4111" s="2" t="s">
        <v>2003</v>
      </c>
      <c r="E4111" s="9" t="str">
        <f t="shared" si="949"/>
        <v>PSND'!</v>
      </c>
      <c r="F4111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11" s="6" t="s">
        <v>113</v>
      </c>
      <c r="H4111" s="1"/>
      <c r="I4111" s="1"/>
      <c r="J4111" s="1"/>
    </row>
    <row r="4112" spans="1:10" x14ac:dyDescent="0.35">
      <c r="A4112" s="6" t="s">
        <v>23</v>
      </c>
      <c r="B4112" s="6">
        <f t="shared" si="951"/>
        <v>2029</v>
      </c>
      <c r="C4112" s="1" t="s">
        <v>43</v>
      </c>
      <c r="D4112" s="2" t="s">
        <v>2003</v>
      </c>
      <c r="E4112" s="9" t="str">
        <f t="shared" si="949"/>
        <v>PSND'!</v>
      </c>
      <c r="F4112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12" s="6" t="s">
        <v>113</v>
      </c>
      <c r="H4112" s="1"/>
      <c r="I4112" s="1"/>
      <c r="J4112" s="1"/>
    </row>
    <row r="4113" spans="1:10" x14ac:dyDescent="0.35">
      <c r="A4113" s="6" t="s">
        <v>23</v>
      </c>
      <c r="B4113" s="6">
        <f t="shared" si="951"/>
        <v>2030</v>
      </c>
      <c r="C4113" s="1" t="s">
        <v>43</v>
      </c>
      <c r="D4113" s="2" t="s">
        <v>2003</v>
      </c>
      <c r="E4113" s="9" t="str">
        <f t="shared" si="949"/>
        <v>PSND'!</v>
      </c>
      <c r="F4113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13" s="6" t="s">
        <v>113</v>
      </c>
      <c r="H4113" s="1"/>
      <c r="I4113" s="1"/>
      <c r="J4113" s="1"/>
    </row>
    <row r="4114" spans="1:10" x14ac:dyDescent="0.35">
      <c r="A4114" s="6" t="s">
        <v>23</v>
      </c>
      <c r="B4114" s="6">
        <f t="shared" si="951"/>
        <v>2031</v>
      </c>
      <c r="C4114" s="1" t="s">
        <v>43</v>
      </c>
      <c r="D4114" s="2" t="s">
        <v>2003</v>
      </c>
      <c r="E4114" s="9" t="str">
        <f t="shared" si="949"/>
        <v>PSND'!</v>
      </c>
      <c r="F4114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14" s="6" t="s">
        <v>113</v>
      </c>
      <c r="H4114" s="1"/>
      <c r="I4114" s="1"/>
      <c r="J4114" s="1"/>
    </row>
    <row r="4115" spans="1:10" x14ac:dyDescent="0.35">
      <c r="A4115" s="6" t="s">
        <v>23</v>
      </c>
      <c r="B4115" s="6">
        <f t="shared" si="951"/>
        <v>2032</v>
      </c>
      <c r="C4115" s="1" t="s">
        <v>43</v>
      </c>
      <c r="D4115" s="2" t="s">
        <v>2003</v>
      </c>
      <c r="E4115" s="9" t="str">
        <f t="shared" si="949"/>
        <v>PSND'!</v>
      </c>
      <c r="F4115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15" s="6" t="s">
        <v>113</v>
      </c>
      <c r="H4115" s="1"/>
      <c r="I4115" s="1"/>
      <c r="J4115" s="1"/>
    </row>
    <row r="4116" spans="1:10" x14ac:dyDescent="0.35">
      <c r="A4116" s="6" t="s">
        <v>23</v>
      </c>
      <c r="B4116" s="6">
        <f t="shared" si="951"/>
        <v>2033</v>
      </c>
      <c r="C4116" s="1" t="s">
        <v>43</v>
      </c>
      <c r="D4116" s="2" t="s">
        <v>2003</v>
      </c>
      <c r="E4116" s="9" t="str">
        <f t="shared" si="949"/>
        <v>PSND'!</v>
      </c>
      <c r="F4116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16" s="6" t="s">
        <v>113</v>
      </c>
      <c r="H4116" s="1"/>
      <c r="I4116" s="1"/>
      <c r="J4116" s="1"/>
    </row>
    <row r="4117" spans="1:10" x14ac:dyDescent="0.35">
      <c r="A4117" s="6" t="s">
        <v>23</v>
      </c>
      <c r="B4117" s="6">
        <f t="shared" si="951"/>
        <v>2034</v>
      </c>
      <c r="C4117" s="1" t="s">
        <v>43</v>
      </c>
      <c r="D4117" s="2" t="s">
        <v>2003</v>
      </c>
      <c r="E4117" s="9" t="str">
        <f t="shared" si="949"/>
        <v>PSND'!</v>
      </c>
      <c r="F4117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17" s="6" t="s">
        <v>113</v>
      </c>
      <c r="H4117" s="1"/>
      <c r="I4117" s="1"/>
      <c r="J4117" s="1"/>
    </row>
    <row r="4118" spans="1:10" x14ac:dyDescent="0.35">
      <c r="A4118" s="6" t="s">
        <v>23</v>
      </c>
      <c r="B4118" s="6">
        <f t="shared" si="951"/>
        <v>2035</v>
      </c>
      <c r="C4118" s="1" t="s">
        <v>43</v>
      </c>
      <c r="D4118" s="2" t="s">
        <v>2003</v>
      </c>
      <c r="E4118" s="9" t="str">
        <f t="shared" si="949"/>
        <v>PSND'!</v>
      </c>
      <c r="F4118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18" s="6" t="s">
        <v>113</v>
      </c>
      <c r="H4118" s="1"/>
      <c r="I4118" s="1"/>
      <c r="J4118" s="1"/>
    </row>
    <row r="4119" spans="1:10" x14ac:dyDescent="0.35">
      <c r="A4119" s="6" t="s">
        <v>23</v>
      </c>
      <c r="B4119" s="6">
        <f t="shared" si="951"/>
        <v>2036</v>
      </c>
      <c r="C4119" s="1" t="s">
        <v>43</v>
      </c>
      <c r="D4119" s="2" t="s">
        <v>2003</v>
      </c>
      <c r="E4119" s="9" t="str">
        <f t="shared" si="949"/>
        <v>PSND'!</v>
      </c>
      <c r="F4119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19" s="6" t="s">
        <v>113</v>
      </c>
      <c r="H4119" s="1"/>
      <c r="I4119" s="1"/>
      <c r="J4119" s="1"/>
    </row>
    <row r="4120" spans="1:10" x14ac:dyDescent="0.35">
      <c r="A4120" s="6" t="s">
        <v>23</v>
      </c>
      <c r="B4120" s="6">
        <f>+B4119+1</f>
        <v>2037</v>
      </c>
      <c r="C4120" s="1" t="s">
        <v>43</v>
      </c>
      <c r="D4120" s="2" t="s">
        <v>2003</v>
      </c>
      <c r="E4120" s="9" t="str">
        <f t="shared" si="949"/>
        <v>PSND'!</v>
      </c>
      <c r="F4120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20" s="6" t="s">
        <v>113</v>
      </c>
      <c r="H4120" s="1"/>
      <c r="I4120" s="1"/>
      <c r="J4120" s="1"/>
    </row>
    <row r="4121" spans="1:10" x14ac:dyDescent="0.35">
      <c r="A4121" s="6" t="s">
        <v>23</v>
      </c>
      <c r="B4121" s="6">
        <f t="shared" ref="B4121:B4123" si="952">+B4120+1</f>
        <v>2038</v>
      </c>
      <c r="C4121" s="1" t="s">
        <v>43</v>
      </c>
      <c r="D4121" s="2" t="s">
        <v>2003</v>
      </c>
      <c r="E4121" s="9" t="str">
        <f t="shared" si="949"/>
        <v>PSND'!</v>
      </c>
      <c r="F4121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21" s="6" t="s">
        <v>113</v>
      </c>
      <c r="H4121" s="1"/>
      <c r="I4121" s="1"/>
      <c r="J4121" s="1"/>
    </row>
    <row r="4122" spans="1:10" x14ac:dyDescent="0.35">
      <c r="A4122" s="6" t="s">
        <v>23</v>
      </c>
      <c r="B4122" s="6">
        <f t="shared" si="952"/>
        <v>2039</v>
      </c>
      <c r="C4122" s="1" t="s">
        <v>43</v>
      </c>
      <c r="D4122" s="2" t="s">
        <v>2003</v>
      </c>
      <c r="E4122" s="9" t="str">
        <f t="shared" si="949"/>
        <v>PSND'!</v>
      </c>
      <c r="F4122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22" s="6" t="s">
        <v>113</v>
      </c>
      <c r="H4122" s="1"/>
      <c r="I4122" s="1"/>
      <c r="J4122" s="1"/>
    </row>
    <row r="4123" spans="1:10" x14ac:dyDescent="0.35">
      <c r="A4123" s="6" t="s">
        <v>23</v>
      </c>
      <c r="B4123" s="6">
        <f t="shared" si="952"/>
        <v>2040</v>
      </c>
      <c r="C4123" s="1" t="s">
        <v>43</v>
      </c>
      <c r="D4123" s="2" t="s">
        <v>2003</v>
      </c>
      <c r="E4123" s="9" t="str">
        <f t="shared" si="949"/>
        <v>PSND'!</v>
      </c>
      <c r="F4123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23" s="6" t="s">
        <v>113</v>
      </c>
      <c r="H4123" s="1"/>
      <c r="I4123" s="1"/>
      <c r="J4123" s="1"/>
    </row>
    <row r="4124" spans="1:10" x14ac:dyDescent="0.35">
      <c r="A4124" s="6" t="s">
        <v>23</v>
      </c>
      <c r="B4124" s="6">
        <f>+B4123+1</f>
        <v>2041</v>
      </c>
      <c r="C4124" s="1" t="s">
        <v>43</v>
      </c>
      <c r="D4124" s="2" t="s">
        <v>2003</v>
      </c>
      <c r="E4124" s="9" t="str">
        <f t="shared" si="949"/>
        <v>PSND'!</v>
      </c>
      <c r="F4124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24" s="6" t="s">
        <v>113</v>
      </c>
      <c r="H4124" s="1"/>
      <c r="I4124" s="1"/>
      <c r="J4124" s="1"/>
    </row>
    <row r="4125" spans="1:10" x14ac:dyDescent="0.35">
      <c r="A4125" s="6" t="s">
        <v>23</v>
      </c>
      <c r="B4125" s="6">
        <f t="shared" ref="B4125:B4126" si="953">+B4124+1</f>
        <v>2042</v>
      </c>
      <c r="C4125" s="1" t="s">
        <v>43</v>
      </c>
      <c r="D4125" s="2" t="s">
        <v>2003</v>
      </c>
      <c r="E4125" s="9" t="str">
        <f t="shared" si="949"/>
        <v>PSND'!</v>
      </c>
      <c r="F4125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25" s="6" t="s">
        <v>113</v>
      </c>
      <c r="H4125" s="1"/>
      <c r="I4125" s="1"/>
      <c r="J4125" s="1"/>
    </row>
    <row r="4126" spans="1:10" x14ac:dyDescent="0.35">
      <c r="A4126" s="6" t="s">
        <v>23</v>
      </c>
      <c r="B4126" s="6">
        <f t="shared" si="953"/>
        <v>2043</v>
      </c>
      <c r="C4126" s="1" t="s">
        <v>43</v>
      </c>
      <c r="D4126" s="2" t="s">
        <v>2003</v>
      </c>
      <c r="E4126" s="9" t="str">
        <f t="shared" si="949"/>
        <v>PSND'!</v>
      </c>
      <c r="F4126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26" s="6" t="s">
        <v>113</v>
      </c>
      <c r="H4126" s="1"/>
      <c r="I4126" s="1"/>
      <c r="J4126" s="1"/>
    </row>
    <row r="4127" spans="1:10" x14ac:dyDescent="0.35">
      <c r="A4127" s="6" t="s">
        <v>23</v>
      </c>
      <c r="B4127" s="6">
        <f>+B4126+1</f>
        <v>2044</v>
      </c>
      <c r="C4127" s="1" t="s">
        <v>43</v>
      </c>
      <c r="D4127" s="2" t="s">
        <v>2003</v>
      </c>
      <c r="E4127" s="9" t="str">
        <f t="shared" ref="E4127:E4142" si="954">_xlfn.CONCAT(A4127,"'!")</f>
        <v>PSND'!</v>
      </c>
      <c r="F4127" s="5" t="str">
        <f t="shared" ref="F4127:F4142" si="955">_xlfn.CONCAT(D4127," ",E4127)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27" s="6" t="s">
        <v>113</v>
      </c>
      <c r="H4127" s="1"/>
      <c r="I4127" s="1"/>
      <c r="J4127" s="1"/>
    </row>
    <row r="4128" spans="1:10" x14ac:dyDescent="0.35">
      <c r="A4128" s="6" t="s">
        <v>23</v>
      </c>
      <c r="B4128" s="6">
        <f t="shared" ref="B4128:B4142" si="956">+B4127+1</f>
        <v>2045</v>
      </c>
      <c r="C4128" s="1" t="s">
        <v>43</v>
      </c>
      <c r="D4128" s="2" t="s">
        <v>2003</v>
      </c>
      <c r="E4128" s="9" t="str">
        <f t="shared" si="954"/>
        <v>PSND'!</v>
      </c>
      <c r="F4128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28" s="6" t="s">
        <v>113</v>
      </c>
      <c r="H4128" s="1"/>
      <c r="I4128" s="1"/>
      <c r="J4128" s="1"/>
    </row>
    <row r="4129" spans="1:10" x14ac:dyDescent="0.35">
      <c r="A4129" s="6" t="s">
        <v>23</v>
      </c>
      <c r="B4129" s="6">
        <f t="shared" si="956"/>
        <v>2046</v>
      </c>
      <c r="C4129" s="1" t="s">
        <v>43</v>
      </c>
      <c r="D4129" s="2" t="s">
        <v>2003</v>
      </c>
      <c r="E4129" s="9" t="str">
        <f t="shared" si="954"/>
        <v>PSND'!</v>
      </c>
      <c r="F4129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29" s="6" t="s">
        <v>113</v>
      </c>
      <c r="H4129" s="1"/>
      <c r="I4129" s="1"/>
      <c r="J4129" s="1"/>
    </row>
    <row r="4130" spans="1:10" x14ac:dyDescent="0.35">
      <c r="A4130" s="6" t="s">
        <v>23</v>
      </c>
      <c r="B4130" s="6">
        <f t="shared" si="956"/>
        <v>2047</v>
      </c>
      <c r="C4130" s="1" t="s">
        <v>43</v>
      </c>
      <c r="D4130" s="2" t="s">
        <v>2003</v>
      </c>
      <c r="E4130" s="9" t="str">
        <f t="shared" si="954"/>
        <v>PSND'!</v>
      </c>
      <c r="F4130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30" s="6" t="s">
        <v>113</v>
      </c>
      <c r="H4130" s="1"/>
      <c r="I4130" s="1"/>
      <c r="J4130" s="1"/>
    </row>
    <row r="4131" spans="1:10" x14ac:dyDescent="0.35">
      <c r="A4131" s="6" t="s">
        <v>23</v>
      </c>
      <c r="B4131" s="6">
        <f t="shared" si="956"/>
        <v>2048</v>
      </c>
      <c r="C4131" s="1" t="s">
        <v>43</v>
      </c>
      <c r="D4131" s="2" t="s">
        <v>2003</v>
      </c>
      <c r="E4131" s="9" t="str">
        <f t="shared" si="954"/>
        <v>PSND'!</v>
      </c>
      <c r="F4131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31" s="6" t="s">
        <v>113</v>
      </c>
      <c r="H4131" s="1"/>
      <c r="I4131" s="1"/>
      <c r="J4131" s="1"/>
    </row>
    <row r="4132" spans="1:10" x14ac:dyDescent="0.35">
      <c r="A4132" s="6" t="s">
        <v>23</v>
      </c>
      <c r="B4132" s="6">
        <f t="shared" si="956"/>
        <v>2049</v>
      </c>
      <c r="C4132" s="1" t="s">
        <v>43</v>
      </c>
      <c r="D4132" s="2" t="s">
        <v>2003</v>
      </c>
      <c r="E4132" s="9" t="str">
        <f t="shared" si="954"/>
        <v>PSND'!</v>
      </c>
      <c r="F4132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32" s="6" t="s">
        <v>113</v>
      </c>
      <c r="H4132" s="1"/>
      <c r="I4132" s="1"/>
      <c r="J4132" s="1"/>
    </row>
    <row r="4133" spans="1:10" x14ac:dyDescent="0.35">
      <c r="A4133" s="6" t="s">
        <v>23</v>
      </c>
      <c r="B4133" s="6">
        <f t="shared" si="956"/>
        <v>2050</v>
      </c>
      <c r="C4133" s="1" t="s">
        <v>43</v>
      </c>
      <c r="D4133" s="2" t="s">
        <v>2003</v>
      </c>
      <c r="E4133" s="9" t="str">
        <f t="shared" si="954"/>
        <v>PSND'!</v>
      </c>
      <c r="F4133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33" s="6" t="s">
        <v>113</v>
      </c>
      <c r="H4133" s="1"/>
      <c r="I4133" s="1"/>
      <c r="J4133" s="1"/>
    </row>
    <row r="4134" spans="1:10" x14ac:dyDescent="0.35">
      <c r="A4134" s="6" t="s">
        <v>23</v>
      </c>
      <c r="B4134" s="6">
        <f t="shared" si="956"/>
        <v>2051</v>
      </c>
      <c r="C4134" s="1" t="s">
        <v>43</v>
      </c>
      <c r="D4134" s="2" t="s">
        <v>2003</v>
      </c>
      <c r="E4134" s="9" t="str">
        <f t="shared" si="954"/>
        <v>PSND'!</v>
      </c>
      <c r="F4134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34" s="6" t="s">
        <v>113</v>
      </c>
      <c r="H4134" s="1"/>
      <c r="I4134" s="1"/>
      <c r="J4134" s="1"/>
    </row>
    <row r="4135" spans="1:10" x14ac:dyDescent="0.35">
      <c r="A4135" s="6" t="s">
        <v>23</v>
      </c>
      <c r="B4135" s="6">
        <f t="shared" si="956"/>
        <v>2052</v>
      </c>
      <c r="C4135" s="1" t="s">
        <v>43</v>
      </c>
      <c r="D4135" s="2" t="s">
        <v>2003</v>
      </c>
      <c r="E4135" s="9" t="str">
        <f t="shared" si="954"/>
        <v>PSND'!</v>
      </c>
      <c r="F4135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35" s="6" t="s">
        <v>113</v>
      </c>
      <c r="H4135" s="1"/>
      <c r="I4135" s="1"/>
      <c r="J4135" s="1"/>
    </row>
    <row r="4136" spans="1:10" x14ac:dyDescent="0.35">
      <c r="A4136" s="6" t="s">
        <v>23</v>
      </c>
      <c r="B4136" s="6">
        <f t="shared" si="956"/>
        <v>2053</v>
      </c>
      <c r="C4136" s="1" t="s">
        <v>43</v>
      </c>
      <c r="D4136" s="2" t="s">
        <v>2003</v>
      </c>
      <c r="E4136" s="9" t="str">
        <f t="shared" si="954"/>
        <v>PSND'!</v>
      </c>
      <c r="F4136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36" s="6" t="s">
        <v>113</v>
      </c>
      <c r="H4136" s="1"/>
      <c r="I4136" s="1"/>
      <c r="J4136" s="1"/>
    </row>
    <row r="4137" spans="1:10" x14ac:dyDescent="0.35">
      <c r="A4137" s="6" t="s">
        <v>23</v>
      </c>
      <c r="B4137" s="6">
        <f t="shared" si="956"/>
        <v>2054</v>
      </c>
      <c r="C4137" s="1" t="s">
        <v>43</v>
      </c>
      <c r="D4137" s="2" t="s">
        <v>2003</v>
      </c>
      <c r="E4137" s="9" t="str">
        <f t="shared" si="954"/>
        <v>PSND'!</v>
      </c>
      <c r="F4137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37" s="6" t="s">
        <v>113</v>
      </c>
      <c r="H4137" s="1"/>
      <c r="I4137" s="1"/>
      <c r="J4137" s="1"/>
    </row>
    <row r="4138" spans="1:10" x14ac:dyDescent="0.35">
      <c r="A4138" s="6" t="s">
        <v>23</v>
      </c>
      <c r="B4138" s="6">
        <f t="shared" si="956"/>
        <v>2055</v>
      </c>
      <c r="C4138" s="1" t="s">
        <v>43</v>
      </c>
      <c r="D4138" s="2" t="s">
        <v>2003</v>
      </c>
      <c r="E4138" s="9" t="str">
        <f t="shared" si="954"/>
        <v>PSND'!</v>
      </c>
      <c r="F4138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38" s="6" t="s">
        <v>113</v>
      </c>
      <c r="H4138" s="1"/>
      <c r="I4138" s="1"/>
      <c r="J4138" s="1"/>
    </row>
    <row r="4139" spans="1:10" x14ac:dyDescent="0.35">
      <c r="A4139" s="6" t="s">
        <v>23</v>
      </c>
      <c r="B4139" s="6">
        <f t="shared" si="956"/>
        <v>2056</v>
      </c>
      <c r="C4139" s="1" t="s">
        <v>43</v>
      </c>
      <c r="D4139" s="2" t="s">
        <v>2003</v>
      </c>
      <c r="E4139" s="9" t="str">
        <f t="shared" si="954"/>
        <v>PSND'!</v>
      </c>
      <c r="F4139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39" s="6" t="s">
        <v>113</v>
      </c>
      <c r="H4139" s="1"/>
      <c r="I4139" s="1"/>
      <c r="J4139" s="1"/>
    </row>
    <row r="4140" spans="1:10" x14ac:dyDescent="0.35">
      <c r="A4140" s="6" t="s">
        <v>23</v>
      </c>
      <c r="B4140" s="6">
        <f t="shared" si="956"/>
        <v>2057</v>
      </c>
      <c r="C4140" s="1" t="s">
        <v>43</v>
      </c>
      <c r="D4140" s="2" t="s">
        <v>2003</v>
      </c>
      <c r="E4140" s="9" t="str">
        <f t="shared" si="954"/>
        <v>PSND'!</v>
      </c>
      <c r="F4140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40" s="6" t="s">
        <v>113</v>
      </c>
      <c r="H4140" s="1"/>
      <c r="I4140" s="1"/>
      <c r="J4140" s="1"/>
    </row>
    <row r="4141" spans="1:10" x14ac:dyDescent="0.35">
      <c r="A4141" s="6" t="s">
        <v>23</v>
      </c>
      <c r="B4141" s="6">
        <f t="shared" si="956"/>
        <v>2058</v>
      </c>
      <c r="C4141" s="1" t="s">
        <v>43</v>
      </c>
      <c r="D4141" s="2" t="s">
        <v>2003</v>
      </c>
      <c r="E4141" s="9" t="str">
        <f t="shared" si="954"/>
        <v>PSND'!</v>
      </c>
      <c r="F4141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41" s="6" t="s">
        <v>113</v>
      </c>
      <c r="H4141" s="1"/>
      <c r="I4141" s="1"/>
      <c r="J4141" s="1"/>
    </row>
    <row r="4142" spans="1:10" x14ac:dyDescent="0.35">
      <c r="A4142" s="6" t="s">
        <v>23</v>
      </c>
      <c r="B4142" s="6">
        <f t="shared" si="956"/>
        <v>2059</v>
      </c>
      <c r="C4142" s="1" t="s">
        <v>43</v>
      </c>
      <c r="D4142" s="2" t="s">
        <v>2003</v>
      </c>
      <c r="E4142" s="9" t="str">
        <f t="shared" si="954"/>
        <v>PSND'!</v>
      </c>
      <c r="F4142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42" s="6" t="s">
        <v>113</v>
      </c>
      <c r="H4142" s="1"/>
      <c r="I4142" s="1"/>
      <c r="J4142" s="1"/>
    </row>
    <row r="4143" spans="1:10" x14ac:dyDescent="0.35">
      <c r="A4143" s="6" t="s">
        <v>26</v>
      </c>
      <c r="B4143" s="6"/>
      <c r="C4143" s="1" t="s">
        <v>43</v>
      </c>
      <c r="D4143" s="2"/>
      <c r="E4143" s="9"/>
      <c r="F4143" s="5"/>
      <c r="G4143" s="6"/>
      <c r="H4143" s="1"/>
      <c r="I4143" s="1"/>
      <c r="J4143" s="12"/>
    </row>
    <row r="4144" spans="1:10" x14ac:dyDescent="0.35">
      <c r="A4144" s="6" t="s">
        <v>24</v>
      </c>
      <c r="B4144" s="6">
        <v>2023</v>
      </c>
      <c r="C4144" s="1" t="s">
        <v>43</v>
      </c>
      <c r="D4144" s="2" t="s">
        <v>2003</v>
      </c>
      <c r="E4144" s="9" t="str">
        <f t="shared" ref="E4144:E4164" si="957">_xlfn.CONCAT(A4144,"'!")</f>
        <v>PS'!</v>
      </c>
      <c r="F4144" s="5" t="str">
        <f t="shared" ref="F4144:F4164" si="958">_xlfn.CONCAT(D4144," ",E4144)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44" s="6" t="s">
        <v>113</v>
      </c>
      <c r="H4144" s="1">
        <f>IF(A4144&lt;&gt;A4014,36,H4014+1)</f>
        <v>36</v>
      </c>
      <c r="I4144" s="1" t="str">
        <f t="shared" ref="I4144:I4164" si="959">_xlfn.CONCAT("='",F4144:H4144)</f>
        <v>='C:\Users\jaime.benazar\Quorum Business Solutions\Ecopetrol Prometeo - Documents\Planning Space Implementation\3. Analysis &amp; Design\Design\FC22\DRR Jaime\Por presentar a ECP\Cantagallo\Cristalina\[VRC_CRISTALINA_CF_SEC_20221231.xlsx]CF PS'!$BY$36</v>
      </c>
      <c r="J4144" s="1" t="s">
        <v>3817</v>
      </c>
    </row>
    <row r="4145" spans="1:10" x14ac:dyDescent="0.35">
      <c r="A4145" s="6" t="s">
        <v>24</v>
      </c>
      <c r="B4145" s="6">
        <f>+B4144+1</f>
        <v>2024</v>
      </c>
      <c r="C4145" s="1" t="s">
        <v>43</v>
      </c>
      <c r="D4145" s="2" t="s">
        <v>2003</v>
      </c>
      <c r="E4145" s="9" t="str">
        <f t="shared" si="957"/>
        <v>PS'!</v>
      </c>
      <c r="F4145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45" s="6" t="s">
        <v>113</v>
      </c>
      <c r="H4145" s="1">
        <f t="shared" ref="H4145:H4164" si="960">IF(A4145&lt;&gt;A4144,36,H4144+1)</f>
        <v>37</v>
      </c>
      <c r="I4145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PS'!$BY$37</v>
      </c>
      <c r="J4145" s="1" t="s">
        <v>3818</v>
      </c>
    </row>
    <row r="4146" spans="1:10" x14ac:dyDescent="0.35">
      <c r="A4146" s="6" t="s">
        <v>24</v>
      </c>
      <c r="B4146" s="6">
        <f t="shared" ref="B4146:B4157" si="961">+B4145+1</f>
        <v>2025</v>
      </c>
      <c r="C4146" s="1" t="s">
        <v>43</v>
      </c>
      <c r="D4146" s="2" t="s">
        <v>2003</v>
      </c>
      <c r="E4146" s="9" t="str">
        <f t="shared" si="957"/>
        <v>PS'!</v>
      </c>
      <c r="F4146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46" s="6" t="s">
        <v>113</v>
      </c>
      <c r="H4146" s="1">
        <f t="shared" si="960"/>
        <v>38</v>
      </c>
      <c r="I4146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PS'!$BY$38</v>
      </c>
      <c r="J4146" s="1" t="s">
        <v>3819</v>
      </c>
    </row>
    <row r="4147" spans="1:10" x14ac:dyDescent="0.35">
      <c r="A4147" s="6" t="s">
        <v>24</v>
      </c>
      <c r="B4147" s="6">
        <f t="shared" si="961"/>
        <v>2026</v>
      </c>
      <c r="C4147" s="1" t="s">
        <v>43</v>
      </c>
      <c r="D4147" s="2" t="s">
        <v>2003</v>
      </c>
      <c r="E4147" s="9" t="str">
        <f t="shared" si="957"/>
        <v>PS'!</v>
      </c>
      <c r="F4147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47" s="6" t="s">
        <v>113</v>
      </c>
      <c r="H4147" s="1">
        <f t="shared" si="960"/>
        <v>39</v>
      </c>
      <c r="I4147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PS'!$BY$39</v>
      </c>
      <c r="J4147" s="1" t="s">
        <v>3820</v>
      </c>
    </row>
    <row r="4148" spans="1:10" x14ac:dyDescent="0.35">
      <c r="A4148" s="6" t="s">
        <v>24</v>
      </c>
      <c r="B4148" s="6">
        <f t="shared" si="961"/>
        <v>2027</v>
      </c>
      <c r="C4148" s="1" t="s">
        <v>43</v>
      </c>
      <c r="D4148" s="2" t="s">
        <v>2003</v>
      </c>
      <c r="E4148" s="9" t="str">
        <f t="shared" si="957"/>
        <v>PS'!</v>
      </c>
      <c r="F4148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48" s="6" t="s">
        <v>113</v>
      </c>
      <c r="H4148" s="1">
        <f t="shared" si="960"/>
        <v>40</v>
      </c>
      <c r="I4148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PS'!$BY$40</v>
      </c>
      <c r="J4148" s="1" t="s">
        <v>3821</v>
      </c>
    </row>
    <row r="4149" spans="1:10" x14ac:dyDescent="0.35">
      <c r="A4149" s="6" t="s">
        <v>24</v>
      </c>
      <c r="B4149" s="6">
        <f t="shared" si="961"/>
        <v>2028</v>
      </c>
      <c r="C4149" s="1" t="s">
        <v>43</v>
      </c>
      <c r="D4149" s="2" t="s">
        <v>2003</v>
      </c>
      <c r="E4149" s="9" t="str">
        <f t="shared" si="957"/>
        <v>PS'!</v>
      </c>
      <c r="F4149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49" s="6" t="s">
        <v>113</v>
      </c>
      <c r="H4149" s="1">
        <f t="shared" si="960"/>
        <v>41</v>
      </c>
      <c r="I4149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PS'!$BY$41</v>
      </c>
      <c r="J4149" s="1" t="s">
        <v>3822</v>
      </c>
    </row>
    <row r="4150" spans="1:10" x14ac:dyDescent="0.35">
      <c r="A4150" s="6" t="s">
        <v>24</v>
      </c>
      <c r="B4150" s="6">
        <f t="shared" si="961"/>
        <v>2029</v>
      </c>
      <c r="C4150" s="1" t="s">
        <v>43</v>
      </c>
      <c r="D4150" s="2" t="s">
        <v>2003</v>
      </c>
      <c r="E4150" s="9" t="str">
        <f t="shared" si="957"/>
        <v>PS'!</v>
      </c>
      <c r="F4150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50" s="6" t="s">
        <v>113</v>
      </c>
      <c r="H4150" s="1">
        <f t="shared" si="960"/>
        <v>42</v>
      </c>
      <c r="I4150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PS'!$BY$42</v>
      </c>
      <c r="J4150" s="1" t="s">
        <v>3823</v>
      </c>
    </row>
    <row r="4151" spans="1:10" x14ac:dyDescent="0.35">
      <c r="A4151" s="6" t="s">
        <v>24</v>
      </c>
      <c r="B4151" s="6">
        <f t="shared" si="961"/>
        <v>2030</v>
      </c>
      <c r="C4151" s="1" t="s">
        <v>43</v>
      </c>
      <c r="D4151" s="2" t="s">
        <v>2003</v>
      </c>
      <c r="E4151" s="9" t="str">
        <f t="shared" si="957"/>
        <v>PS'!</v>
      </c>
      <c r="F4151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51" s="6" t="s">
        <v>113</v>
      </c>
      <c r="H4151" s="1">
        <f t="shared" si="960"/>
        <v>43</v>
      </c>
      <c r="I4151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PS'!$BY$43</v>
      </c>
      <c r="J4151" s="1" t="s">
        <v>3824</v>
      </c>
    </row>
    <row r="4152" spans="1:10" x14ac:dyDescent="0.35">
      <c r="A4152" s="6" t="s">
        <v>24</v>
      </c>
      <c r="B4152" s="6">
        <f t="shared" si="961"/>
        <v>2031</v>
      </c>
      <c r="C4152" s="1" t="s">
        <v>43</v>
      </c>
      <c r="D4152" s="2" t="s">
        <v>2003</v>
      </c>
      <c r="E4152" s="9" t="str">
        <f t="shared" si="957"/>
        <v>PS'!</v>
      </c>
      <c r="F4152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52" s="6" t="s">
        <v>113</v>
      </c>
      <c r="H4152" s="1">
        <f t="shared" si="960"/>
        <v>44</v>
      </c>
      <c r="I4152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PS'!$BY$44</v>
      </c>
      <c r="J4152" s="1" t="s">
        <v>3825</v>
      </c>
    </row>
    <row r="4153" spans="1:10" x14ac:dyDescent="0.35">
      <c r="A4153" s="6" t="s">
        <v>24</v>
      </c>
      <c r="B4153" s="6">
        <f t="shared" si="961"/>
        <v>2032</v>
      </c>
      <c r="C4153" s="1" t="s">
        <v>43</v>
      </c>
      <c r="D4153" s="2" t="s">
        <v>2003</v>
      </c>
      <c r="E4153" s="9" t="str">
        <f t="shared" si="957"/>
        <v>PS'!</v>
      </c>
      <c r="F4153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53" s="6" t="s">
        <v>113</v>
      </c>
      <c r="H4153" s="1">
        <f t="shared" si="960"/>
        <v>45</v>
      </c>
      <c r="I4153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PS'!$BY$45</v>
      </c>
      <c r="J4153" s="1" t="s">
        <v>3826</v>
      </c>
    </row>
    <row r="4154" spans="1:10" x14ac:dyDescent="0.35">
      <c r="A4154" s="6" t="s">
        <v>24</v>
      </c>
      <c r="B4154" s="6">
        <f t="shared" si="961"/>
        <v>2033</v>
      </c>
      <c r="C4154" s="1" t="s">
        <v>43</v>
      </c>
      <c r="D4154" s="2" t="s">
        <v>2003</v>
      </c>
      <c r="E4154" s="9" t="str">
        <f t="shared" si="957"/>
        <v>PS'!</v>
      </c>
      <c r="F4154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54" s="6" t="s">
        <v>113</v>
      </c>
      <c r="H4154" s="1">
        <f t="shared" si="960"/>
        <v>46</v>
      </c>
      <c r="I4154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PS'!$BY$46</v>
      </c>
      <c r="J4154" s="1" t="s">
        <v>3827</v>
      </c>
    </row>
    <row r="4155" spans="1:10" x14ac:dyDescent="0.35">
      <c r="A4155" s="6" t="s">
        <v>24</v>
      </c>
      <c r="B4155" s="6">
        <f t="shared" si="961"/>
        <v>2034</v>
      </c>
      <c r="C4155" s="1" t="s">
        <v>43</v>
      </c>
      <c r="D4155" s="2" t="s">
        <v>2003</v>
      </c>
      <c r="E4155" s="9" t="str">
        <f t="shared" si="957"/>
        <v>PS'!</v>
      </c>
      <c r="F4155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55" s="6" t="s">
        <v>113</v>
      </c>
      <c r="H4155" s="1">
        <f t="shared" si="960"/>
        <v>47</v>
      </c>
      <c r="I4155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PS'!$BY$47</v>
      </c>
      <c r="J4155" s="1" t="s">
        <v>3828</v>
      </c>
    </row>
    <row r="4156" spans="1:10" x14ac:dyDescent="0.35">
      <c r="A4156" s="6" t="s">
        <v>24</v>
      </c>
      <c r="B4156" s="6">
        <f t="shared" si="961"/>
        <v>2035</v>
      </c>
      <c r="C4156" s="1" t="s">
        <v>43</v>
      </c>
      <c r="D4156" s="2" t="s">
        <v>2003</v>
      </c>
      <c r="E4156" s="9" t="str">
        <f t="shared" si="957"/>
        <v>PS'!</v>
      </c>
      <c r="F4156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56" s="6" t="s">
        <v>113</v>
      </c>
      <c r="H4156" s="1">
        <f t="shared" si="960"/>
        <v>48</v>
      </c>
      <c r="I4156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PS'!$BY$48</v>
      </c>
      <c r="J4156" s="1" t="s">
        <v>3829</v>
      </c>
    </row>
    <row r="4157" spans="1:10" x14ac:dyDescent="0.35">
      <c r="A4157" s="6" t="s">
        <v>24</v>
      </c>
      <c r="B4157" s="6">
        <f t="shared" si="961"/>
        <v>2036</v>
      </c>
      <c r="C4157" s="1" t="s">
        <v>43</v>
      </c>
      <c r="D4157" s="2" t="s">
        <v>2003</v>
      </c>
      <c r="E4157" s="9" t="str">
        <f t="shared" si="957"/>
        <v>PS'!</v>
      </c>
      <c r="F4157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57" s="6" t="s">
        <v>113</v>
      </c>
      <c r="H4157" s="1">
        <f t="shared" si="960"/>
        <v>49</v>
      </c>
      <c r="I4157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PS'!$BY$49</v>
      </c>
      <c r="J4157" s="1" t="s">
        <v>3830</v>
      </c>
    </row>
    <row r="4158" spans="1:10" x14ac:dyDescent="0.35">
      <c r="A4158" s="6" t="s">
        <v>24</v>
      </c>
      <c r="B4158" s="6">
        <f>+B4157+1</f>
        <v>2037</v>
      </c>
      <c r="C4158" s="1" t="s">
        <v>43</v>
      </c>
      <c r="D4158" s="2" t="s">
        <v>2003</v>
      </c>
      <c r="E4158" s="9" t="str">
        <f t="shared" si="957"/>
        <v>PS'!</v>
      </c>
      <c r="F4158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58" s="6" t="s">
        <v>113</v>
      </c>
      <c r="H4158" s="1">
        <f t="shared" si="960"/>
        <v>50</v>
      </c>
      <c r="I4158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PS'!$BY$50</v>
      </c>
      <c r="J4158" s="1" t="s">
        <v>3831</v>
      </c>
    </row>
    <row r="4159" spans="1:10" x14ac:dyDescent="0.35">
      <c r="A4159" s="6" t="s">
        <v>24</v>
      </c>
      <c r="B4159" s="6">
        <f t="shared" ref="B4159:B4161" si="962">+B4158+1</f>
        <v>2038</v>
      </c>
      <c r="C4159" s="1" t="s">
        <v>43</v>
      </c>
      <c r="D4159" s="2" t="s">
        <v>2003</v>
      </c>
      <c r="E4159" s="9" t="str">
        <f t="shared" si="957"/>
        <v>PS'!</v>
      </c>
      <c r="F4159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59" s="6" t="s">
        <v>113</v>
      </c>
      <c r="H4159" s="1">
        <f t="shared" si="960"/>
        <v>51</v>
      </c>
      <c r="I4159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PS'!$BY$51</v>
      </c>
      <c r="J4159" s="1" t="s">
        <v>3832</v>
      </c>
    </row>
    <row r="4160" spans="1:10" x14ac:dyDescent="0.35">
      <c r="A4160" s="6" t="s">
        <v>24</v>
      </c>
      <c r="B4160" s="6">
        <f t="shared" si="962"/>
        <v>2039</v>
      </c>
      <c r="C4160" s="1" t="s">
        <v>43</v>
      </c>
      <c r="D4160" s="2" t="s">
        <v>2003</v>
      </c>
      <c r="E4160" s="9" t="str">
        <f t="shared" si="957"/>
        <v>PS'!</v>
      </c>
      <c r="F4160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60" s="6" t="s">
        <v>113</v>
      </c>
      <c r="H4160" s="1">
        <f t="shared" si="960"/>
        <v>52</v>
      </c>
      <c r="I4160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PS'!$BY$52</v>
      </c>
      <c r="J4160" s="1" t="s">
        <v>3833</v>
      </c>
    </row>
    <row r="4161" spans="1:10" x14ac:dyDescent="0.35">
      <c r="A4161" s="6" t="s">
        <v>24</v>
      </c>
      <c r="B4161" s="6">
        <f t="shared" si="962"/>
        <v>2040</v>
      </c>
      <c r="C4161" s="1" t="s">
        <v>43</v>
      </c>
      <c r="D4161" s="2" t="s">
        <v>2003</v>
      </c>
      <c r="E4161" s="9" t="str">
        <f t="shared" si="957"/>
        <v>PS'!</v>
      </c>
      <c r="F4161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61" s="6" t="s">
        <v>113</v>
      </c>
      <c r="H4161" s="1">
        <f t="shared" si="960"/>
        <v>53</v>
      </c>
      <c r="I4161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PS'!$BY$53</v>
      </c>
      <c r="J4161" s="1" t="s">
        <v>3834</v>
      </c>
    </row>
    <row r="4162" spans="1:10" x14ac:dyDescent="0.35">
      <c r="A4162" s="6" t="s">
        <v>24</v>
      </c>
      <c r="B4162" s="6">
        <f>+B4161+1</f>
        <v>2041</v>
      </c>
      <c r="C4162" s="1" t="s">
        <v>43</v>
      </c>
      <c r="D4162" s="2" t="s">
        <v>2003</v>
      </c>
      <c r="E4162" s="9" t="str">
        <f t="shared" si="957"/>
        <v>PS'!</v>
      </c>
      <c r="F4162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62" s="6" t="s">
        <v>113</v>
      </c>
      <c r="H4162" s="1">
        <f t="shared" si="960"/>
        <v>54</v>
      </c>
      <c r="I4162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PS'!$BY$54</v>
      </c>
      <c r="J4162" s="1" t="s">
        <v>3835</v>
      </c>
    </row>
    <row r="4163" spans="1:10" x14ac:dyDescent="0.35">
      <c r="A4163" s="6" t="s">
        <v>24</v>
      </c>
      <c r="B4163" s="6">
        <f t="shared" ref="B4163:B4164" si="963">+B4162+1</f>
        <v>2042</v>
      </c>
      <c r="C4163" s="1" t="s">
        <v>43</v>
      </c>
      <c r="D4163" s="2" t="s">
        <v>2003</v>
      </c>
      <c r="E4163" s="9" t="str">
        <f t="shared" si="957"/>
        <v>PS'!</v>
      </c>
      <c r="F4163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63" s="6" t="s">
        <v>113</v>
      </c>
      <c r="H4163" s="1">
        <f t="shared" si="960"/>
        <v>55</v>
      </c>
      <c r="I4163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PS'!$BY$55</v>
      </c>
      <c r="J4163" s="1" t="s">
        <v>3836</v>
      </c>
    </row>
    <row r="4164" spans="1:10" x14ac:dyDescent="0.35">
      <c r="A4164" s="6" t="s">
        <v>24</v>
      </c>
      <c r="B4164" s="6">
        <f t="shared" si="963"/>
        <v>2043</v>
      </c>
      <c r="C4164" s="1" t="s">
        <v>43</v>
      </c>
      <c r="D4164" s="2" t="s">
        <v>2003</v>
      </c>
      <c r="E4164" s="9" t="str">
        <f t="shared" si="957"/>
        <v>PS'!</v>
      </c>
      <c r="F4164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64" s="6" t="s">
        <v>113</v>
      </c>
      <c r="H4164" s="1">
        <f t="shared" si="960"/>
        <v>56</v>
      </c>
      <c r="I4164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PS'!$BY$56</v>
      </c>
      <c r="J4164" s="1" t="s">
        <v>3837</v>
      </c>
    </row>
    <row r="4165" spans="1:10" x14ac:dyDescent="0.35">
      <c r="A4165" s="6" t="s">
        <v>24</v>
      </c>
      <c r="B4165" s="6">
        <f>+B4164+1</f>
        <v>2044</v>
      </c>
      <c r="C4165" s="1" t="s">
        <v>43</v>
      </c>
      <c r="D4165" s="2" t="s">
        <v>2003</v>
      </c>
      <c r="E4165" s="9" t="str">
        <f t="shared" ref="E4165:E4180" si="964">_xlfn.CONCAT(A4165,"'!")</f>
        <v>PS'!</v>
      </c>
      <c r="F4165" s="5" t="str">
        <f t="shared" ref="F4165:F4180" si="965">_xlfn.CONCAT(D4165," ",E4165)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65" s="6" t="s">
        <v>113</v>
      </c>
      <c r="H4165" s="1">
        <f t="shared" ref="H4165:H4180" si="966">IF(A4165&lt;&gt;A4164,36,H4164+1)</f>
        <v>57</v>
      </c>
      <c r="I4165" s="1" t="str">
        <f t="shared" ref="I4165:I4180" si="967">_xlfn.CONCAT("='",F4165:H4165)</f>
        <v>='C:\Users\jaime.benazar\Quorum Business Solutions\Ecopetrol Prometeo - Documents\Planning Space Implementation\3. Analysis &amp; Design\Design\FC22\DRR Jaime\Por presentar a ECP\Cantagallo\Cristalina\[VRC_CRISTALINA_CF_SEC_20221231.xlsx]CF PS'!$BY$57</v>
      </c>
      <c r="J4165" s="1" t="s">
        <v>3838</v>
      </c>
    </row>
    <row r="4166" spans="1:10" x14ac:dyDescent="0.35">
      <c r="A4166" s="6" t="s">
        <v>24</v>
      </c>
      <c r="B4166" s="6">
        <f t="shared" ref="B4166:B4180" si="968">+B4165+1</f>
        <v>2045</v>
      </c>
      <c r="C4166" s="1" t="s">
        <v>43</v>
      </c>
      <c r="D4166" s="2" t="s">
        <v>2003</v>
      </c>
      <c r="E4166" s="9" t="str">
        <f t="shared" si="964"/>
        <v>PS'!</v>
      </c>
      <c r="F4166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66" s="6" t="s">
        <v>113</v>
      </c>
      <c r="H4166" s="1">
        <f t="shared" si="966"/>
        <v>58</v>
      </c>
      <c r="I4166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PS'!$BY$58</v>
      </c>
      <c r="J4166" s="1" t="s">
        <v>3839</v>
      </c>
    </row>
    <row r="4167" spans="1:10" x14ac:dyDescent="0.35">
      <c r="A4167" s="6" t="s">
        <v>24</v>
      </c>
      <c r="B4167" s="6">
        <f t="shared" si="968"/>
        <v>2046</v>
      </c>
      <c r="C4167" s="1" t="s">
        <v>43</v>
      </c>
      <c r="D4167" s="2" t="s">
        <v>2003</v>
      </c>
      <c r="E4167" s="9" t="str">
        <f t="shared" si="964"/>
        <v>PS'!</v>
      </c>
      <c r="F4167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67" s="6" t="s">
        <v>113</v>
      </c>
      <c r="H4167" s="1">
        <f t="shared" si="966"/>
        <v>59</v>
      </c>
      <c r="I4167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PS'!$BY$59</v>
      </c>
      <c r="J4167" s="1" t="s">
        <v>3840</v>
      </c>
    </row>
    <row r="4168" spans="1:10" x14ac:dyDescent="0.35">
      <c r="A4168" s="6" t="s">
        <v>24</v>
      </c>
      <c r="B4168" s="6">
        <f t="shared" si="968"/>
        <v>2047</v>
      </c>
      <c r="C4168" s="1" t="s">
        <v>43</v>
      </c>
      <c r="D4168" s="2" t="s">
        <v>2003</v>
      </c>
      <c r="E4168" s="9" t="str">
        <f t="shared" si="964"/>
        <v>PS'!</v>
      </c>
      <c r="F4168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68" s="6" t="s">
        <v>113</v>
      </c>
      <c r="H4168" s="1">
        <f t="shared" si="966"/>
        <v>60</v>
      </c>
      <c r="I4168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PS'!$BY$60</v>
      </c>
      <c r="J4168" s="1" t="s">
        <v>3841</v>
      </c>
    </row>
    <row r="4169" spans="1:10" x14ac:dyDescent="0.35">
      <c r="A4169" s="6" t="s">
        <v>24</v>
      </c>
      <c r="B4169" s="6">
        <f t="shared" si="968"/>
        <v>2048</v>
      </c>
      <c r="C4169" s="1" t="s">
        <v>43</v>
      </c>
      <c r="D4169" s="2" t="s">
        <v>2003</v>
      </c>
      <c r="E4169" s="9" t="str">
        <f t="shared" si="964"/>
        <v>PS'!</v>
      </c>
      <c r="F4169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69" s="6" t="s">
        <v>113</v>
      </c>
      <c r="H4169" s="1">
        <f t="shared" si="966"/>
        <v>61</v>
      </c>
      <c r="I4169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PS'!$BY$61</v>
      </c>
      <c r="J4169" s="1" t="s">
        <v>3842</v>
      </c>
    </row>
    <row r="4170" spans="1:10" x14ac:dyDescent="0.35">
      <c r="A4170" s="6" t="s">
        <v>24</v>
      </c>
      <c r="B4170" s="6">
        <f t="shared" si="968"/>
        <v>2049</v>
      </c>
      <c r="C4170" s="1" t="s">
        <v>43</v>
      </c>
      <c r="D4170" s="2" t="s">
        <v>2003</v>
      </c>
      <c r="E4170" s="9" t="str">
        <f t="shared" si="964"/>
        <v>PS'!</v>
      </c>
      <c r="F4170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70" s="6" t="s">
        <v>113</v>
      </c>
      <c r="H4170" s="1">
        <f t="shared" si="966"/>
        <v>62</v>
      </c>
      <c r="I4170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PS'!$BY$62</v>
      </c>
      <c r="J4170" s="1" t="s">
        <v>3843</v>
      </c>
    </row>
    <row r="4171" spans="1:10" x14ac:dyDescent="0.35">
      <c r="A4171" s="6" t="s">
        <v>24</v>
      </c>
      <c r="B4171" s="6">
        <f t="shared" si="968"/>
        <v>2050</v>
      </c>
      <c r="C4171" s="1" t="s">
        <v>43</v>
      </c>
      <c r="D4171" s="2" t="s">
        <v>2003</v>
      </c>
      <c r="E4171" s="9" t="str">
        <f t="shared" si="964"/>
        <v>PS'!</v>
      </c>
      <c r="F4171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71" s="6" t="s">
        <v>113</v>
      </c>
      <c r="H4171" s="1">
        <f t="shared" si="966"/>
        <v>63</v>
      </c>
      <c r="I4171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PS'!$BY$63</v>
      </c>
      <c r="J4171" s="1" t="s">
        <v>3844</v>
      </c>
    </row>
    <row r="4172" spans="1:10" x14ac:dyDescent="0.35">
      <c r="A4172" s="6" t="s">
        <v>24</v>
      </c>
      <c r="B4172" s="6">
        <f t="shared" si="968"/>
        <v>2051</v>
      </c>
      <c r="C4172" s="1" t="s">
        <v>43</v>
      </c>
      <c r="D4172" s="2" t="s">
        <v>2003</v>
      </c>
      <c r="E4172" s="9" t="str">
        <f t="shared" si="964"/>
        <v>PS'!</v>
      </c>
      <c r="F4172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72" s="6" t="s">
        <v>113</v>
      </c>
      <c r="H4172" s="1">
        <f t="shared" si="966"/>
        <v>64</v>
      </c>
      <c r="I4172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PS'!$BY$64</v>
      </c>
      <c r="J4172" s="1" t="s">
        <v>3845</v>
      </c>
    </row>
    <row r="4173" spans="1:10" x14ac:dyDescent="0.35">
      <c r="A4173" s="6" t="s">
        <v>24</v>
      </c>
      <c r="B4173" s="6">
        <f t="shared" si="968"/>
        <v>2052</v>
      </c>
      <c r="C4173" s="1" t="s">
        <v>43</v>
      </c>
      <c r="D4173" s="2" t="s">
        <v>2003</v>
      </c>
      <c r="E4173" s="9" t="str">
        <f t="shared" si="964"/>
        <v>PS'!</v>
      </c>
      <c r="F4173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73" s="6" t="s">
        <v>113</v>
      </c>
      <c r="H4173" s="1">
        <f t="shared" si="966"/>
        <v>65</v>
      </c>
      <c r="I4173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PS'!$BY$65</v>
      </c>
      <c r="J4173" s="1" t="s">
        <v>3846</v>
      </c>
    </row>
    <row r="4174" spans="1:10" x14ac:dyDescent="0.35">
      <c r="A4174" s="6" t="s">
        <v>24</v>
      </c>
      <c r="B4174" s="6">
        <f t="shared" si="968"/>
        <v>2053</v>
      </c>
      <c r="C4174" s="1" t="s">
        <v>43</v>
      </c>
      <c r="D4174" s="2" t="s">
        <v>2003</v>
      </c>
      <c r="E4174" s="9" t="str">
        <f t="shared" si="964"/>
        <v>PS'!</v>
      </c>
      <c r="F4174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74" s="6" t="s">
        <v>113</v>
      </c>
      <c r="H4174" s="1">
        <f t="shared" si="966"/>
        <v>66</v>
      </c>
      <c r="I4174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PS'!$BY$66</v>
      </c>
      <c r="J4174" s="1" t="s">
        <v>3847</v>
      </c>
    </row>
    <row r="4175" spans="1:10" x14ac:dyDescent="0.35">
      <c r="A4175" s="6" t="s">
        <v>24</v>
      </c>
      <c r="B4175" s="6">
        <f t="shared" si="968"/>
        <v>2054</v>
      </c>
      <c r="C4175" s="1" t="s">
        <v>43</v>
      </c>
      <c r="D4175" s="2" t="s">
        <v>2003</v>
      </c>
      <c r="E4175" s="9" t="str">
        <f t="shared" si="964"/>
        <v>PS'!</v>
      </c>
      <c r="F4175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75" s="6" t="s">
        <v>113</v>
      </c>
      <c r="H4175" s="1">
        <f t="shared" si="966"/>
        <v>67</v>
      </c>
      <c r="I4175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PS'!$BY$67</v>
      </c>
      <c r="J4175" s="1" t="s">
        <v>3848</v>
      </c>
    </row>
    <row r="4176" spans="1:10" x14ac:dyDescent="0.35">
      <c r="A4176" s="6" t="s">
        <v>24</v>
      </c>
      <c r="B4176" s="6">
        <f t="shared" si="968"/>
        <v>2055</v>
      </c>
      <c r="C4176" s="1" t="s">
        <v>43</v>
      </c>
      <c r="D4176" s="2" t="s">
        <v>2003</v>
      </c>
      <c r="E4176" s="9" t="str">
        <f t="shared" si="964"/>
        <v>PS'!</v>
      </c>
      <c r="F4176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76" s="6" t="s">
        <v>113</v>
      </c>
      <c r="H4176" s="1">
        <f t="shared" si="966"/>
        <v>68</v>
      </c>
      <c r="I4176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PS'!$BY$68</v>
      </c>
      <c r="J4176" s="1" t="s">
        <v>3849</v>
      </c>
    </row>
    <row r="4177" spans="1:10" x14ac:dyDescent="0.35">
      <c r="A4177" s="6" t="s">
        <v>24</v>
      </c>
      <c r="B4177" s="6">
        <f t="shared" si="968"/>
        <v>2056</v>
      </c>
      <c r="C4177" s="1" t="s">
        <v>43</v>
      </c>
      <c r="D4177" s="2" t="s">
        <v>2003</v>
      </c>
      <c r="E4177" s="9" t="str">
        <f t="shared" si="964"/>
        <v>PS'!</v>
      </c>
      <c r="F4177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77" s="6" t="s">
        <v>113</v>
      </c>
      <c r="H4177" s="1">
        <f t="shared" si="966"/>
        <v>69</v>
      </c>
      <c r="I4177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PS'!$BY$69</v>
      </c>
      <c r="J4177" s="1" t="s">
        <v>3850</v>
      </c>
    </row>
    <row r="4178" spans="1:10" x14ac:dyDescent="0.35">
      <c r="A4178" s="6" t="s">
        <v>24</v>
      </c>
      <c r="B4178" s="6">
        <f t="shared" si="968"/>
        <v>2057</v>
      </c>
      <c r="C4178" s="1" t="s">
        <v>43</v>
      </c>
      <c r="D4178" s="2" t="s">
        <v>2003</v>
      </c>
      <c r="E4178" s="9" t="str">
        <f t="shared" si="964"/>
        <v>PS'!</v>
      </c>
      <c r="F4178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78" s="6" t="s">
        <v>113</v>
      </c>
      <c r="H4178" s="1">
        <f t="shared" si="966"/>
        <v>70</v>
      </c>
      <c r="I4178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PS'!$BY$70</v>
      </c>
      <c r="J4178" s="1" t="s">
        <v>3851</v>
      </c>
    </row>
    <row r="4179" spans="1:10" x14ac:dyDescent="0.35">
      <c r="A4179" s="6" t="s">
        <v>24</v>
      </c>
      <c r="B4179" s="6">
        <f t="shared" si="968"/>
        <v>2058</v>
      </c>
      <c r="C4179" s="1" t="s">
        <v>43</v>
      </c>
      <c r="D4179" s="2" t="s">
        <v>2003</v>
      </c>
      <c r="E4179" s="9" t="str">
        <f t="shared" si="964"/>
        <v>PS'!</v>
      </c>
      <c r="F4179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79" s="6" t="s">
        <v>113</v>
      </c>
      <c r="H4179" s="1">
        <f t="shared" si="966"/>
        <v>71</v>
      </c>
      <c r="I4179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PS'!$BY$71</v>
      </c>
      <c r="J4179" s="1" t="s">
        <v>3852</v>
      </c>
    </row>
    <row r="4180" spans="1:10" x14ac:dyDescent="0.35">
      <c r="A4180" s="6" t="s">
        <v>24</v>
      </c>
      <c r="B4180" s="6">
        <f t="shared" si="968"/>
        <v>2059</v>
      </c>
      <c r="C4180" s="1" t="s">
        <v>43</v>
      </c>
      <c r="D4180" s="2" t="s">
        <v>2003</v>
      </c>
      <c r="E4180" s="9" t="str">
        <f t="shared" si="964"/>
        <v>PS'!</v>
      </c>
      <c r="F4180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80" s="6" t="s">
        <v>113</v>
      </c>
      <c r="H4180" s="1">
        <f t="shared" si="966"/>
        <v>72</v>
      </c>
      <c r="I4180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PS'!$BY$72</v>
      </c>
      <c r="J4180" s="1" t="s">
        <v>3853</v>
      </c>
    </row>
    <row r="4181" spans="1:10" x14ac:dyDescent="0.35">
      <c r="A4181" s="6" t="s">
        <v>26</v>
      </c>
      <c r="B4181" s="6"/>
      <c r="C4181" s="1" t="s">
        <v>43</v>
      </c>
      <c r="D4181" s="2"/>
      <c r="E4181" s="9"/>
      <c r="F4181" s="5"/>
      <c r="G4181" s="6"/>
      <c r="H4181" s="1"/>
      <c r="I4181" s="1"/>
      <c r="J4181" s="4"/>
    </row>
    <row r="4182" spans="1:10" x14ac:dyDescent="0.35">
      <c r="A4182" s="32" t="s">
        <v>114</v>
      </c>
      <c r="B4182" s="32" t="s">
        <v>14</v>
      </c>
      <c r="C4182" s="33" t="s">
        <v>115</v>
      </c>
      <c r="D4182" s="34" t="s">
        <v>2002</v>
      </c>
      <c r="E4182" s="35" t="str">
        <f t="shared" ref="E4182:E4203" si="969">_xlfn.CONCAT(A4182,"'!")</f>
        <v>Consolidado'!</v>
      </c>
      <c r="F4182" s="34" t="str">
        <f>_xlfn.CONCAT(D4182:E4182)</f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82" s="32" t="s">
        <v>116</v>
      </c>
      <c r="H4182" s="33">
        <v>12</v>
      </c>
      <c r="I4182" s="33" t="str">
        <f t="shared" ref="I4182:I4203" si="970">_xlfn.CONCAT("='",F4182:H4182)</f>
        <v>='C:\Users\jaime.benazar\Quorum Business Solutions\Ecopetrol Prometeo - Documents\Planning Space Implementation\3. Analysis &amp; Design\Design\FC22\DRR Jaime\Por presentar a ECP\Cantagallo\Cristalina\[VRC_CRISTALINA_CF_SEC_20221231.xlsx]Consolidado'!$J$12</v>
      </c>
      <c r="J4182" t="s">
        <v>3854</v>
      </c>
    </row>
    <row r="4183" spans="1:10" x14ac:dyDescent="0.35">
      <c r="A4183" s="32" t="s">
        <v>114</v>
      </c>
      <c r="B4183" s="32" t="s">
        <v>15</v>
      </c>
      <c r="C4183" s="33" t="s">
        <v>115</v>
      </c>
      <c r="D4183" s="34" t="s">
        <v>2002</v>
      </c>
      <c r="E4183" s="35" t="str">
        <f t="shared" si="969"/>
        <v>Consolidado'!</v>
      </c>
      <c r="F4183" s="34" t="str">
        <f t="shared" ref="F4183:F4203" si="971">_xlfn.CONCAT(D4183:E4183)</f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83" s="32" t="s">
        <v>116</v>
      </c>
      <c r="H4183" s="33">
        <v>13</v>
      </c>
      <c r="I4183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ECP\Cantagallo\Cristalina\[VRC_CRISTALINA_CF_SEC_20221231.xlsx]Consolidado'!$J$13</v>
      </c>
      <c r="J4183" t="s">
        <v>3855</v>
      </c>
    </row>
    <row r="4184" spans="1:10" x14ac:dyDescent="0.35">
      <c r="A4184" s="32" t="s">
        <v>114</v>
      </c>
      <c r="B4184" s="32" t="s">
        <v>16</v>
      </c>
      <c r="C4184" s="33" t="s">
        <v>115</v>
      </c>
      <c r="D4184" s="34" t="s">
        <v>2002</v>
      </c>
      <c r="E4184" s="35" t="str">
        <f t="shared" si="969"/>
        <v>Consolidado'!</v>
      </c>
      <c r="F4184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84" s="32" t="s">
        <v>116</v>
      </c>
      <c r="H4184" s="33">
        <v>14</v>
      </c>
      <c r="I4184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ECP\Cantagallo\Cristalina\[VRC_CRISTALINA_CF_SEC_20221231.xlsx]Consolidado'!$J$14</v>
      </c>
      <c r="J4184" t="s">
        <v>3856</v>
      </c>
    </row>
    <row r="4185" spans="1:10" x14ac:dyDescent="0.35">
      <c r="A4185" s="32" t="s">
        <v>114</v>
      </c>
      <c r="B4185" s="32" t="s">
        <v>17</v>
      </c>
      <c r="C4185" s="33" t="s">
        <v>115</v>
      </c>
      <c r="D4185" s="34" t="s">
        <v>2002</v>
      </c>
      <c r="E4185" s="35" t="str">
        <f t="shared" si="969"/>
        <v>Consolidado'!</v>
      </c>
      <c r="F4185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85" s="32" t="s">
        <v>116</v>
      </c>
      <c r="H4185" s="33">
        <v>17</v>
      </c>
      <c r="I4185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ECP\Cantagallo\Cristalina\[VRC_CRISTALINA_CF_SEC_20221231.xlsx]Consolidado'!$J$17</v>
      </c>
      <c r="J4185" t="s">
        <v>3857</v>
      </c>
    </row>
    <row r="4186" spans="1:10" x14ac:dyDescent="0.35">
      <c r="A4186" s="32" t="s">
        <v>114</v>
      </c>
      <c r="B4186" s="32" t="s">
        <v>18</v>
      </c>
      <c r="C4186" s="33" t="s">
        <v>115</v>
      </c>
      <c r="D4186" s="34" t="s">
        <v>2002</v>
      </c>
      <c r="E4186" s="35" t="str">
        <f t="shared" si="969"/>
        <v>Consolidado'!</v>
      </c>
      <c r="F4186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86" s="32" t="s">
        <v>116</v>
      </c>
      <c r="H4186" s="33">
        <v>18</v>
      </c>
      <c r="I4186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ECP\Cantagallo\Cristalina\[VRC_CRISTALINA_CF_SEC_20221231.xlsx]Consolidado'!$J$18</v>
      </c>
      <c r="J4186" t="s">
        <v>3858</v>
      </c>
    </row>
    <row r="4187" spans="1:10" x14ac:dyDescent="0.35">
      <c r="A4187" s="32" t="s">
        <v>114</v>
      </c>
      <c r="B4187" s="32" t="s">
        <v>19</v>
      </c>
      <c r="C4187" s="33" t="s">
        <v>115</v>
      </c>
      <c r="D4187" s="34" t="s">
        <v>2002</v>
      </c>
      <c r="E4187" s="35" t="str">
        <f t="shared" si="969"/>
        <v>Consolidado'!</v>
      </c>
      <c r="F4187" s="34"/>
      <c r="G4187" s="32"/>
      <c r="H4187" s="33"/>
      <c r="I4187" s="33"/>
    </row>
    <row r="4188" spans="1:10" x14ac:dyDescent="0.35">
      <c r="A4188" s="32" t="s">
        <v>114</v>
      </c>
      <c r="B4188" s="32" t="s">
        <v>20</v>
      </c>
      <c r="C4188" s="33" t="s">
        <v>115</v>
      </c>
      <c r="D4188" s="34" t="s">
        <v>2002</v>
      </c>
      <c r="E4188" s="35" t="str">
        <f t="shared" si="969"/>
        <v>Consolidado'!</v>
      </c>
      <c r="F4188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88" s="32" t="s">
        <v>116</v>
      </c>
      <c r="H4188" s="33">
        <v>19</v>
      </c>
      <c r="I4188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ECP\Cantagallo\Cristalina\[VRC_CRISTALINA_CF_SEC_20221231.xlsx]Consolidado'!$J$19</v>
      </c>
      <c r="J4188" t="s">
        <v>3859</v>
      </c>
    </row>
    <row r="4189" spans="1:10" x14ac:dyDescent="0.35">
      <c r="A4189" s="32" t="s">
        <v>114</v>
      </c>
      <c r="B4189" s="32" t="s">
        <v>21</v>
      </c>
      <c r="C4189" s="33" t="s">
        <v>115</v>
      </c>
      <c r="D4189" s="34" t="s">
        <v>2002</v>
      </c>
      <c r="E4189" s="35" t="str">
        <f t="shared" si="969"/>
        <v>Consolidado'!</v>
      </c>
      <c r="F4189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89" s="32" t="s">
        <v>116</v>
      </c>
      <c r="H4189" s="33">
        <v>21</v>
      </c>
      <c r="I4189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ECP\Cantagallo\Cristalina\[VRC_CRISTALINA_CF_SEC_20221231.xlsx]Consolidado'!$J$21</v>
      </c>
      <c r="J4189" t="s">
        <v>3860</v>
      </c>
    </row>
    <row r="4190" spans="1:10" x14ac:dyDescent="0.35">
      <c r="A4190" s="32" t="s">
        <v>114</v>
      </c>
      <c r="B4190" s="32" t="s">
        <v>22</v>
      </c>
      <c r="C4190" s="33" t="s">
        <v>115</v>
      </c>
      <c r="D4190" s="34" t="s">
        <v>2002</v>
      </c>
      <c r="E4190" s="35" t="str">
        <f t="shared" si="969"/>
        <v>Consolidado'!</v>
      </c>
      <c r="F4190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90" s="32" t="s">
        <v>116</v>
      </c>
      <c r="H4190" s="33">
        <v>22</v>
      </c>
      <c r="I4190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ECP\Cantagallo\Cristalina\[VRC_CRISTALINA_CF_SEC_20221231.xlsx]Consolidado'!$J$22</v>
      </c>
      <c r="J4190" t="s">
        <v>3861</v>
      </c>
    </row>
    <row r="4191" spans="1:10" x14ac:dyDescent="0.35">
      <c r="A4191" s="32" t="s">
        <v>114</v>
      </c>
      <c r="B4191" s="32" t="s">
        <v>23</v>
      </c>
      <c r="C4191" s="33" t="s">
        <v>115</v>
      </c>
      <c r="D4191" s="34" t="s">
        <v>2002</v>
      </c>
      <c r="E4191" s="35" t="str">
        <f t="shared" si="969"/>
        <v>Consolidado'!</v>
      </c>
      <c r="F4191" s="34"/>
      <c r="G4191" s="32"/>
      <c r="H4191" s="33"/>
      <c r="I4191" s="33"/>
    </row>
    <row r="4192" spans="1:10" x14ac:dyDescent="0.35">
      <c r="A4192" s="32" t="s">
        <v>114</v>
      </c>
      <c r="B4192" s="32" t="s">
        <v>24</v>
      </c>
      <c r="C4192" s="33" t="s">
        <v>115</v>
      </c>
      <c r="D4192" s="34" t="s">
        <v>2002</v>
      </c>
      <c r="E4192" s="35" t="str">
        <f t="shared" si="969"/>
        <v>Consolidado'!</v>
      </c>
      <c r="F4192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92" s="32" t="s">
        <v>116</v>
      </c>
      <c r="H4192" s="33">
        <v>23</v>
      </c>
      <c r="I4192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ECP\Cantagallo\Cristalina\[VRC_CRISTALINA_CF_SEC_20221231.xlsx]Consolidado'!$J$23</v>
      </c>
      <c r="J4192" t="s">
        <v>3862</v>
      </c>
    </row>
    <row r="4193" spans="1:10" x14ac:dyDescent="0.35">
      <c r="A4193" s="32" t="s">
        <v>114</v>
      </c>
      <c r="B4193" s="32" t="s">
        <v>14</v>
      </c>
      <c r="C4193" s="33" t="s">
        <v>117</v>
      </c>
      <c r="D4193" s="34" t="s">
        <v>2002</v>
      </c>
      <c r="E4193" s="35" t="str">
        <f t="shared" si="969"/>
        <v>Consolidado'!</v>
      </c>
      <c r="F4193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93" s="32" t="s">
        <v>118</v>
      </c>
      <c r="H4193" s="33">
        <v>12</v>
      </c>
      <c r="I4193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ECP\Cantagallo\Cristalina\[VRC_CRISTALINA_CF_SEC_20221231.xlsx]Consolidado'!$L$12</v>
      </c>
      <c r="J4193" t="s">
        <v>3863</v>
      </c>
    </row>
    <row r="4194" spans="1:10" x14ac:dyDescent="0.35">
      <c r="A4194" s="32" t="s">
        <v>114</v>
      </c>
      <c r="B4194" s="32" t="s">
        <v>15</v>
      </c>
      <c r="C4194" s="33" t="s">
        <v>117</v>
      </c>
      <c r="D4194" s="34" t="s">
        <v>2002</v>
      </c>
      <c r="E4194" s="35" t="str">
        <f t="shared" si="969"/>
        <v>Consolidado'!</v>
      </c>
      <c r="F4194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94" s="32" t="s">
        <v>118</v>
      </c>
      <c r="H4194" s="33">
        <v>13</v>
      </c>
      <c r="I4194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ECP\Cantagallo\Cristalina\[VRC_CRISTALINA_CF_SEC_20221231.xlsx]Consolidado'!$L$13</v>
      </c>
      <c r="J4194" t="s">
        <v>3864</v>
      </c>
    </row>
    <row r="4195" spans="1:10" x14ac:dyDescent="0.35">
      <c r="A4195" s="32" t="s">
        <v>114</v>
      </c>
      <c r="B4195" s="32" t="s">
        <v>16</v>
      </c>
      <c r="C4195" s="33" t="s">
        <v>117</v>
      </c>
      <c r="D4195" s="34" t="s">
        <v>2002</v>
      </c>
      <c r="E4195" s="35" t="str">
        <f t="shared" si="969"/>
        <v>Consolidado'!</v>
      </c>
      <c r="F4195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95" s="32" t="s">
        <v>118</v>
      </c>
      <c r="H4195" s="33">
        <v>14</v>
      </c>
      <c r="I4195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ECP\Cantagallo\Cristalina\[VRC_CRISTALINA_CF_SEC_20221231.xlsx]Consolidado'!$L$14</v>
      </c>
      <c r="J4195" t="s">
        <v>3865</v>
      </c>
    </row>
    <row r="4196" spans="1:10" x14ac:dyDescent="0.35">
      <c r="A4196" s="32" t="s">
        <v>114</v>
      </c>
      <c r="B4196" s="32" t="s">
        <v>17</v>
      </c>
      <c r="C4196" s="33" t="s">
        <v>117</v>
      </c>
      <c r="D4196" s="34" t="s">
        <v>2002</v>
      </c>
      <c r="E4196" s="35" t="str">
        <f t="shared" si="969"/>
        <v>Consolidado'!</v>
      </c>
      <c r="F4196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96" s="32" t="s">
        <v>118</v>
      </c>
      <c r="H4196" s="33">
        <v>17</v>
      </c>
      <c r="I4196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ECP\Cantagallo\Cristalina\[VRC_CRISTALINA_CF_SEC_20221231.xlsx]Consolidado'!$L$17</v>
      </c>
      <c r="J4196" t="s">
        <v>3866</v>
      </c>
    </row>
    <row r="4197" spans="1:10" x14ac:dyDescent="0.35">
      <c r="A4197" s="32" t="s">
        <v>114</v>
      </c>
      <c r="B4197" s="32" t="s">
        <v>18</v>
      </c>
      <c r="C4197" s="33" t="s">
        <v>117</v>
      </c>
      <c r="D4197" s="34" t="s">
        <v>2002</v>
      </c>
      <c r="E4197" s="35" t="str">
        <f t="shared" si="969"/>
        <v>Consolidado'!</v>
      </c>
      <c r="F4197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97" s="32" t="s">
        <v>118</v>
      </c>
      <c r="H4197" s="33">
        <v>18</v>
      </c>
      <c r="I4197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ECP\Cantagallo\Cristalina\[VRC_CRISTALINA_CF_SEC_20221231.xlsx]Consolidado'!$L$18</v>
      </c>
      <c r="J4197" t="s">
        <v>3867</v>
      </c>
    </row>
    <row r="4198" spans="1:10" x14ac:dyDescent="0.35">
      <c r="A4198" s="32" t="s">
        <v>114</v>
      </c>
      <c r="B4198" s="32" t="s">
        <v>19</v>
      </c>
      <c r="C4198" s="33" t="s">
        <v>117</v>
      </c>
      <c r="D4198" s="34" t="s">
        <v>2002</v>
      </c>
      <c r="E4198" s="35" t="str">
        <f t="shared" si="969"/>
        <v>Consolidado'!</v>
      </c>
      <c r="F4198" s="34"/>
      <c r="G4198" s="32"/>
      <c r="H4198" s="33"/>
      <c r="I4198" s="33"/>
    </row>
    <row r="4199" spans="1:10" x14ac:dyDescent="0.35">
      <c r="A4199" s="32" t="s">
        <v>114</v>
      </c>
      <c r="B4199" s="32" t="s">
        <v>20</v>
      </c>
      <c r="C4199" s="33" t="s">
        <v>117</v>
      </c>
      <c r="D4199" s="34" t="s">
        <v>2002</v>
      </c>
      <c r="E4199" s="35" t="str">
        <f t="shared" si="969"/>
        <v>Consolidado'!</v>
      </c>
      <c r="F4199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99" s="32" t="s">
        <v>118</v>
      </c>
      <c r="H4199" s="33">
        <v>19</v>
      </c>
      <c r="I4199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ECP\Cantagallo\Cristalina\[VRC_CRISTALINA_CF_SEC_20221231.xlsx]Consolidado'!$L$19</v>
      </c>
      <c r="J4199" t="s">
        <v>3868</v>
      </c>
    </row>
    <row r="4200" spans="1:10" x14ac:dyDescent="0.35">
      <c r="A4200" s="32" t="s">
        <v>114</v>
      </c>
      <c r="B4200" s="32" t="s">
        <v>21</v>
      </c>
      <c r="C4200" s="33" t="s">
        <v>117</v>
      </c>
      <c r="D4200" s="34" t="s">
        <v>2002</v>
      </c>
      <c r="E4200" s="35" t="str">
        <f t="shared" si="969"/>
        <v>Consolidado'!</v>
      </c>
      <c r="F4200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200" s="32" t="s">
        <v>118</v>
      </c>
      <c r="H4200" s="33">
        <v>21</v>
      </c>
      <c r="I4200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ECP\Cantagallo\Cristalina\[VRC_CRISTALINA_CF_SEC_20221231.xlsx]Consolidado'!$L$21</v>
      </c>
      <c r="J4200" t="s">
        <v>3869</v>
      </c>
    </row>
    <row r="4201" spans="1:10" x14ac:dyDescent="0.35">
      <c r="A4201" s="32" t="s">
        <v>114</v>
      </c>
      <c r="B4201" s="32" t="s">
        <v>22</v>
      </c>
      <c r="C4201" s="33" t="s">
        <v>117</v>
      </c>
      <c r="D4201" s="34" t="s">
        <v>2002</v>
      </c>
      <c r="E4201" s="35" t="str">
        <f t="shared" si="969"/>
        <v>Consolidado'!</v>
      </c>
      <c r="F4201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201" s="32" t="s">
        <v>118</v>
      </c>
      <c r="H4201" s="33">
        <v>22</v>
      </c>
      <c r="I4201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ECP\Cantagallo\Cristalina\[VRC_CRISTALINA_CF_SEC_20221231.xlsx]Consolidado'!$L$22</v>
      </c>
      <c r="J4201" t="s">
        <v>3870</v>
      </c>
    </row>
    <row r="4202" spans="1:10" x14ac:dyDescent="0.35">
      <c r="A4202" s="32" t="s">
        <v>114</v>
      </c>
      <c r="B4202" s="32" t="s">
        <v>23</v>
      </c>
      <c r="C4202" s="33" t="s">
        <v>117</v>
      </c>
      <c r="D4202" s="34" t="s">
        <v>2002</v>
      </c>
      <c r="E4202" s="35" t="str">
        <f t="shared" si="969"/>
        <v>Consolidado'!</v>
      </c>
      <c r="F4202" s="34"/>
      <c r="G4202" s="32"/>
      <c r="H4202" s="33"/>
      <c r="I4202" s="33"/>
    </row>
    <row r="4203" spans="1:10" x14ac:dyDescent="0.35">
      <c r="A4203" s="32" t="s">
        <v>114</v>
      </c>
      <c r="B4203" s="32" t="s">
        <v>24</v>
      </c>
      <c r="C4203" s="33" t="s">
        <v>117</v>
      </c>
      <c r="D4203" s="34" t="s">
        <v>2002</v>
      </c>
      <c r="E4203" s="35" t="str">
        <f t="shared" si="969"/>
        <v>Consolidado'!</v>
      </c>
      <c r="F4203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203" s="32" t="s">
        <v>118</v>
      </c>
      <c r="H4203" s="33">
        <v>23</v>
      </c>
      <c r="I4203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ECP\Cantagallo\Cristalina\[VRC_CRISTALINA_CF_SEC_20221231.xlsx]Consolidado'!$L$23</v>
      </c>
      <c r="J4203" t="s">
        <v>3871</v>
      </c>
    </row>
    <row r="4204" spans="1:10" x14ac:dyDescent="0.35">
      <c r="F4204" s="5"/>
    </row>
    <row r="4205" spans="1:10" x14ac:dyDescent="0.35">
      <c r="F4205" s="5"/>
    </row>
    <row r="4206" spans="1:10" x14ac:dyDescent="0.35">
      <c r="F4206" s="5"/>
    </row>
    <row r="4207" spans="1:10" x14ac:dyDescent="0.35">
      <c r="F4207" s="5"/>
    </row>
    <row r="4208" spans="1:10" x14ac:dyDescent="0.35">
      <c r="F4208" s="5"/>
    </row>
    <row r="4209" spans="6:6" x14ac:dyDescent="0.35">
      <c r="F4209" s="5"/>
    </row>
    <row r="4210" spans="6:6" x14ac:dyDescent="0.35">
      <c r="F4210" s="5"/>
    </row>
    <row r="4211" spans="6:6" x14ac:dyDescent="0.35">
      <c r="F4211" s="5"/>
    </row>
    <row r="4212" spans="6:6" x14ac:dyDescent="0.35">
      <c r="F4212" s="5"/>
    </row>
    <row r="4213" spans="6:6" x14ac:dyDescent="0.35">
      <c r="F4213" s="5"/>
    </row>
    <row r="4214" spans="6:6" x14ac:dyDescent="0.35">
      <c r="F4214" s="5"/>
    </row>
    <row r="4215" spans="6:6" x14ac:dyDescent="0.35">
      <c r="F4215" s="5"/>
    </row>
    <row r="4216" spans="6:6" x14ac:dyDescent="0.35">
      <c r="F4216" s="5"/>
    </row>
    <row r="4217" spans="6:6" x14ac:dyDescent="0.35">
      <c r="F4217" s="5"/>
    </row>
    <row r="4218" spans="6:6" x14ac:dyDescent="0.35">
      <c r="F4218" s="5"/>
    </row>
    <row r="4219" spans="6:6" x14ac:dyDescent="0.35">
      <c r="F4219" s="5"/>
    </row>
    <row r="4220" spans="6:6" x14ac:dyDescent="0.35">
      <c r="F4220" s="5"/>
    </row>
    <row r="4221" spans="6:6" x14ac:dyDescent="0.35">
      <c r="F4221" s="5"/>
    </row>
    <row r="4222" spans="6:6" x14ac:dyDescent="0.35">
      <c r="F4222" s="5"/>
    </row>
    <row r="4223" spans="6:6" x14ac:dyDescent="0.35">
      <c r="F4223" s="5"/>
    </row>
    <row r="4224" spans="6:6" x14ac:dyDescent="0.35">
      <c r="F4224" s="5"/>
    </row>
    <row r="4225" spans="6:6" x14ac:dyDescent="0.35">
      <c r="F4225" s="5"/>
    </row>
    <row r="4226" spans="6:6" x14ac:dyDescent="0.35">
      <c r="F4226" s="5"/>
    </row>
    <row r="4227" spans="6:6" x14ac:dyDescent="0.35">
      <c r="F4227" s="5"/>
    </row>
    <row r="4228" spans="6:6" x14ac:dyDescent="0.35">
      <c r="F4228" s="5"/>
    </row>
    <row r="4229" spans="6:6" x14ac:dyDescent="0.35">
      <c r="F4229" s="5"/>
    </row>
    <row r="4230" spans="6:6" x14ac:dyDescent="0.35">
      <c r="F4230" s="5"/>
    </row>
    <row r="4231" spans="6:6" x14ac:dyDescent="0.35">
      <c r="F4231" s="5"/>
    </row>
    <row r="4232" spans="6:6" x14ac:dyDescent="0.35">
      <c r="F4232" s="5"/>
    </row>
    <row r="4233" spans="6:6" x14ac:dyDescent="0.35">
      <c r="F4233" s="5"/>
    </row>
    <row r="4234" spans="6:6" x14ac:dyDescent="0.35">
      <c r="F4234" s="5"/>
    </row>
    <row r="4235" spans="6:6" x14ac:dyDescent="0.35">
      <c r="F4235" s="5"/>
    </row>
    <row r="4236" spans="6:6" x14ac:dyDescent="0.35">
      <c r="F4236" s="5"/>
    </row>
    <row r="4237" spans="6:6" x14ac:dyDescent="0.35">
      <c r="F4237" s="5"/>
    </row>
    <row r="4238" spans="6:6" x14ac:dyDescent="0.35">
      <c r="F4238" s="5"/>
    </row>
    <row r="4239" spans="6:6" x14ac:dyDescent="0.35">
      <c r="F4239" s="5"/>
    </row>
    <row r="4240" spans="6:6" x14ac:dyDescent="0.35">
      <c r="F4240" s="5"/>
    </row>
    <row r="4241" spans="6:6" x14ac:dyDescent="0.35">
      <c r="F4241" s="5"/>
    </row>
    <row r="4242" spans="6:6" x14ac:dyDescent="0.35">
      <c r="F4242" s="5"/>
    </row>
    <row r="4243" spans="6:6" x14ac:dyDescent="0.35">
      <c r="F4243" s="5"/>
    </row>
    <row r="4244" spans="6:6" x14ac:dyDescent="0.35">
      <c r="F4244" s="5"/>
    </row>
    <row r="4245" spans="6:6" x14ac:dyDescent="0.35">
      <c r="F4245" s="5"/>
    </row>
    <row r="4246" spans="6:6" x14ac:dyDescent="0.35">
      <c r="F4246" s="5"/>
    </row>
    <row r="4247" spans="6:6" x14ac:dyDescent="0.35">
      <c r="F4247" s="5"/>
    </row>
    <row r="4248" spans="6:6" x14ac:dyDescent="0.35">
      <c r="F4248" s="5"/>
    </row>
    <row r="4249" spans="6:6" x14ac:dyDescent="0.35">
      <c r="F4249" s="5"/>
    </row>
    <row r="4250" spans="6:6" x14ac:dyDescent="0.35">
      <c r="F4250" s="5"/>
    </row>
    <row r="4251" spans="6:6" x14ac:dyDescent="0.35">
      <c r="F4251" s="5"/>
    </row>
    <row r="4252" spans="6:6" x14ac:dyDescent="0.35">
      <c r="F4252" s="5"/>
    </row>
    <row r="4253" spans="6:6" x14ac:dyDescent="0.35">
      <c r="F4253" s="5"/>
    </row>
    <row r="4254" spans="6:6" x14ac:dyDescent="0.35">
      <c r="F4254" s="5"/>
    </row>
    <row r="4255" spans="6:6" x14ac:dyDescent="0.35">
      <c r="F4255" s="5"/>
    </row>
    <row r="4256" spans="6:6" x14ac:dyDescent="0.35">
      <c r="F4256" s="5"/>
    </row>
    <row r="4257" spans="6:6" x14ac:dyDescent="0.35">
      <c r="F4257" s="5"/>
    </row>
    <row r="4258" spans="6:6" x14ac:dyDescent="0.35">
      <c r="F4258" s="5"/>
    </row>
    <row r="4259" spans="6:6" x14ac:dyDescent="0.35">
      <c r="F4259" s="5"/>
    </row>
    <row r="4260" spans="6:6" x14ac:dyDescent="0.35">
      <c r="F4260" s="5"/>
    </row>
    <row r="4261" spans="6:6" x14ac:dyDescent="0.35">
      <c r="F4261" s="5"/>
    </row>
    <row r="4262" spans="6:6" x14ac:dyDescent="0.35">
      <c r="F4262" s="5"/>
    </row>
    <row r="4263" spans="6:6" x14ac:dyDescent="0.35">
      <c r="F4263" s="5"/>
    </row>
    <row r="4264" spans="6:6" x14ac:dyDescent="0.35">
      <c r="F4264" s="5"/>
    </row>
    <row r="4265" spans="6:6" x14ac:dyDescent="0.35">
      <c r="F4265" s="5"/>
    </row>
    <row r="4266" spans="6:6" x14ac:dyDescent="0.35">
      <c r="F4266" s="5"/>
    </row>
    <row r="4267" spans="6:6" x14ac:dyDescent="0.35">
      <c r="F4267" s="5"/>
    </row>
    <row r="4268" spans="6:6" x14ac:dyDescent="0.35">
      <c r="F4268" s="5"/>
    </row>
    <row r="4269" spans="6:6" x14ac:dyDescent="0.35">
      <c r="F4269" s="5"/>
    </row>
    <row r="4270" spans="6:6" x14ac:dyDescent="0.35">
      <c r="F4270" s="5"/>
    </row>
    <row r="4271" spans="6:6" x14ac:dyDescent="0.35">
      <c r="F4271" s="5"/>
    </row>
    <row r="4272" spans="6:6" x14ac:dyDescent="0.35">
      <c r="F4272" s="5"/>
    </row>
    <row r="4273" spans="6:6" x14ac:dyDescent="0.35">
      <c r="F4273" s="5"/>
    </row>
    <row r="4274" spans="6:6" x14ac:dyDescent="0.35">
      <c r="F4274" s="5"/>
    </row>
    <row r="4275" spans="6:6" x14ac:dyDescent="0.35">
      <c r="F4275" s="5"/>
    </row>
    <row r="4276" spans="6:6" x14ac:dyDescent="0.35">
      <c r="F4276" s="5"/>
    </row>
    <row r="4277" spans="6:6" x14ac:dyDescent="0.35">
      <c r="F4277" s="2"/>
    </row>
    <row r="4278" spans="6:6" x14ac:dyDescent="0.35">
      <c r="F4278" s="5"/>
    </row>
    <row r="4279" spans="6:6" x14ac:dyDescent="0.35">
      <c r="F4279" s="5"/>
    </row>
    <row r="4280" spans="6:6" x14ac:dyDescent="0.35">
      <c r="F4280" s="5"/>
    </row>
    <row r="4281" spans="6:6" x14ac:dyDescent="0.35">
      <c r="F4281" s="5"/>
    </row>
    <row r="4282" spans="6:6" x14ac:dyDescent="0.35">
      <c r="F4282" s="5"/>
    </row>
    <row r="4283" spans="6:6" x14ac:dyDescent="0.35">
      <c r="F4283" s="5"/>
    </row>
    <row r="4284" spans="6:6" x14ac:dyDescent="0.35">
      <c r="F4284" s="5"/>
    </row>
    <row r="4285" spans="6:6" x14ac:dyDescent="0.35">
      <c r="F4285" s="5"/>
    </row>
    <row r="4286" spans="6:6" x14ac:dyDescent="0.35">
      <c r="F4286" s="5"/>
    </row>
    <row r="4287" spans="6:6" x14ac:dyDescent="0.35">
      <c r="F4287" s="5"/>
    </row>
    <row r="4288" spans="6:6" x14ac:dyDescent="0.35">
      <c r="F4288" s="5"/>
    </row>
    <row r="4289" spans="6:6" x14ac:dyDescent="0.35">
      <c r="F4289" s="5"/>
    </row>
    <row r="4290" spans="6:6" x14ac:dyDescent="0.35">
      <c r="F4290" s="5"/>
    </row>
    <row r="4291" spans="6:6" x14ac:dyDescent="0.35">
      <c r="F4291" s="5"/>
    </row>
    <row r="4292" spans="6:6" x14ac:dyDescent="0.35">
      <c r="F4292" s="5"/>
    </row>
    <row r="4293" spans="6:6" x14ac:dyDescent="0.35">
      <c r="F4293" s="5"/>
    </row>
    <row r="4294" spans="6:6" x14ac:dyDescent="0.35">
      <c r="F4294" s="5"/>
    </row>
    <row r="4295" spans="6:6" x14ac:dyDescent="0.35">
      <c r="F4295" s="5"/>
    </row>
    <row r="4296" spans="6:6" x14ac:dyDescent="0.35">
      <c r="F4296" s="5"/>
    </row>
    <row r="4297" spans="6:6" x14ac:dyDescent="0.35">
      <c r="F4297" s="5"/>
    </row>
    <row r="4298" spans="6:6" x14ac:dyDescent="0.35">
      <c r="F4298" s="5"/>
    </row>
    <row r="4299" spans="6:6" x14ac:dyDescent="0.35">
      <c r="F4299" s="5"/>
    </row>
    <row r="4300" spans="6:6" x14ac:dyDescent="0.35">
      <c r="F4300" s="5"/>
    </row>
    <row r="4301" spans="6:6" x14ac:dyDescent="0.35">
      <c r="F4301" s="5"/>
    </row>
    <row r="4302" spans="6:6" x14ac:dyDescent="0.35">
      <c r="F4302" s="5"/>
    </row>
    <row r="4303" spans="6:6" x14ac:dyDescent="0.35">
      <c r="F4303" s="5"/>
    </row>
    <row r="4304" spans="6:6" x14ac:dyDescent="0.35">
      <c r="F4304" s="5"/>
    </row>
    <row r="4305" spans="6:6" x14ac:dyDescent="0.35">
      <c r="F4305" s="5"/>
    </row>
    <row r="4306" spans="6:6" x14ac:dyDescent="0.35">
      <c r="F4306" s="5"/>
    </row>
    <row r="4307" spans="6:6" x14ac:dyDescent="0.35">
      <c r="F4307" s="5"/>
    </row>
    <row r="4308" spans="6:6" x14ac:dyDescent="0.35">
      <c r="F4308" s="5"/>
    </row>
    <row r="4309" spans="6:6" x14ac:dyDescent="0.35">
      <c r="F4309" s="5"/>
    </row>
    <row r="4310" spans="6:6" x14ac:dyDescent="0.35">
      <c r="F4310" s="5"/>
    </row>
    <row r="4311" spans="6:6" x14ac:dyDescent="0.35">
      <c r="F4311" s="5"/>
    </row>
    <row r="4312" spans="6:6" x14ac:dyDescent="0.35">
      <c r="F4312" s="5"/>
    </row>
    <row r="4313" spans="6:6" x14ac:dyDescent="0.35">
      <c r="F4313" s="5"/>
    </row>
    <row r="4314" spans="6:6" x14ac:dyDescent="0.35">
      <c r="F4314" s="5"/>
    </row>
    <row r="4315" spans="6:6" x14ac:dyDescent="0.35">
      <c r="F4315" s="5"/>
    </row>
    <row r="4316" spans="6:6" x14ac:dyDescent="0.35">
      <c r="F4316" s="5"/>
    </row>
    <row r="4317" spans="6:6" x14ac:dyDescent="0.35">
      <c r="F4317" s="5"/>
    </row>
    <row r="4318" spans="6:6" x14ac:dyDescent="0.35">
      <c r="F4318" s="5"/>
    </row>
    <row r="4319" spans="6:6" x14ac:dyDescent="0.35">
      <c r="F4319" s="5"/>
    </row>
    <row r="4320" spans="6:6" x14ac:dyDescent="0.35">
      <c r="F4320" s="5"/>
    </row>
    <row r="4321" spans="6:6" x14ac:dyDescent="0.35">
      <c r="F4321" s="5"/>
    </row>
    <row r="4322" spans="6:6" x14ac:dyDescent="0.35">
      <c r="F4322" s="5"/>
    </row>
    <row r="4323" spans="6:6" x14ac:dyDescent="0.35">
      <c r="F4323" s="5"/>
    </row>
    <row r="4324" spans="6:6" x14ac:dyDescent="0.35">
      <c r="F4324" s="5"/>
    </row>
    <row r="4325" spans="6:6" x14ac:dyDescent="0.35">
      <c r="F4325" s="2"/>
    </row>
    <row r="4326" spans="6:6" x14ac:dyDescent="0.35">
      <c r="F4326" s="5"/>
    </row>
    <row r="4327" spans="6:6" x14ac:dyDescent="0.35">
      <c r="F4327" s="5"/>
    </row>
    <row r="4328" spans="6:6" x14ac:dyDescent="0.35">
      <c r="F4328" s="5"/>
    </row>
    <row r="4329" spans="6:6" x14ac:dyDescent="0.35">
      <c r="F4329" s="5"/>
    </row>
    <row r="4330" spans="6:6" x14ac:dyDescent="0.35">
      <c r="F4330" s="5"/>
    </row>
    <row r="4331" spans="6:6" x14ac:dyDescent="0.35">
      <c r="F4331" s="5"/>
    </row>
    <row r="4332" spans="6:6" x14ac:dyDescent="0.35">
      <c r="F4332" s="5"/>
    </row>
    <row r="4333" spans="6:6" x14ac:dyDescent="0.35">
      <c r="F4333" s="5"/>
    </row>
    <row r="4334" spans="6:6" x14ac:dyDescent="0.35">
      <c r="F4334" s="5"/>
    </row>
    <row r="4335" spans="6:6" x14ac:dyDescent="0.35">
      <c r="F4335" s="5"/>
    </row>
    <row r="4336" spans="6:6" x14ac:dyDescent="0.35">
      <c r="F4336" s="5"/>
    </row>
    <row r="4337" spans="6:6" x14ac:dyDescent="0.35">
      <c r="F4337" s="5"/>
    </row>
    <row r="4338" spans="6:6" x14ac:dyDescent="0.35">
      <c r="F4338" s="5"/>
    </row>
    <row r="4339" spans="6:6" x14ac:dyDescent="0.35">
      <c r="F4339" s="5"/>
    </row>
    <row r="4340" spans="6:6" x14ac:dyDescent="0.35">
      <c r="F4340" s="5"/>
    </row>
    <row r="4341" spans="6:6" x14ac:dyDescent="0.35">
      <c r="F4341" s="5"/>
    </row>
    <row r="4342" spans="6:6" x14ac:dyDescent="0.35">
      <c r="F4342" s="5"/>
    </row>
    <row r="4343" spans="6:6" x14ac:dyDescent="0.35">
      <c r="F4343" s="5"/>
    </row>
    <row r="4344" spans="6:6" x14ac:dyDescent="0.35">
      <c r="F4344" s="5"/>
    </row>
    <row r="4345" spans="6:6" x14ac:dyDescent="0.35">
      <c r="F4345" s="5"/>
    </row>
    <row r="4346" spans="6:6" x14ac:dyDescent="0.35">
      <c r="F4346" s="5"/>
    </row>
    <row r="4347" spans="6:6" x14ac:dyDescent="0.35">
      <c r="F4347" s="5"/>
    </row>
    <row r="4348" spans="6:6" x14ac:dyDescent="0.35">
      <c r="F4348" s="5"/>
    </row>
    <row r="4349" spans="6:6" x14ac:dyDescent="0.35">
      <c r="F4349" s="5"/>
    </row>
    <row r="4350" spans="6:6" x14ac:dyDescent="0.35">
      <c r="F4350" s="5"/>
    </row>
    <row r="4351" spans="6:6" x14ac:dyDescent="0.35">
      <c r="F4351" s="5"/>
    </row>
    <row r="4352" spans="6:6" x14ac:dyDescent="0.35">
      <c r="F4352" s="5"/>
    </row>
    <row r="4353" spans="6:6" x14ac:dyDescent="0.35">
      <c r="F4353" s="5"/>
    </row>
    <row r="4354" spans="6:6" x14ac:dyDescent="0.35">
      <c r="F4354" s="5"/>
    </row>
    <row r="4355" spans="6:6" x14ac:dyDescent="0.35">
      <c r="F4355" s="5"/>
    </row>
    <row r="4356" spans="6:6" x14ac:dyDescent="0.35">
      <c r="F4356" s="5"/>
    </row>
    <row r="4357" spans="6:6" x14ac:dyDescent="0.35">
      <c r="F4357" s="5"/>
    </row>
    <row r="4358" spans="6:6" x14ac:dyDescent="0.35">
      <c r="F4358" s="5"/>
    </row>
    <row r="4359" spans="6:6" x14ac:dyDescent="0.35">
      <c r="F4359" s="5"/>
    </row>
    <row r="4360" spans="6:6" x14ac:dyDescent="0.35">
      <c r="F4360" s="5"/>
    </row>
    <row r="4361" spans="6:6" x14ac:dyDescent="0.35">
      <c r="F4361" s="5"/>
    </row>
    <row r="4362" spans="6:6" x14ac:dyDescent="0.35">
      <c r="F4362" s="5"/>
    </row>
    <row r="4363" spans="6:6" x14ac:dyDescent="0.35">
      <c r="F4363" s="5"/>
    </row>
    <row r="4364" spans="6:6" x14ac:dyDescent="0.35">
      <c r="F4364" s="5"/>
    </row>
    <row r="4365" spans="6:6" x14ac:dyDescent="0.35">
      <c r="F4365" s="5"/>
    </row>
    <row r="4366" spans="6:6" x14ac:dyDescent="0.35">
      <c r="F4366" s="5"/>
    </row>
    <row r="4367" spans="6:6" x14ac:dyDescent="0.35">
      <c r="F4367" s="5"/>
    </row>
    <row r="4368" spans="6:6" x14ac:dyDescent="0.35">
      <c r="F4368" s="5"/>
    </row>
    <row r="4369" spans="6:6" x14ac:dyDescent="0.35">
      <c r="F4369" s="5"/>
    </row>
    <row r="4370" spans="6:6" x14ac:dyDescent="0.35">
      <c r="F4370" s="5"/>
    </row>
    <row r="4371" spans="6:6" x14ac:dyDescent="0.35">
      <c r="F4371" s="5"/>
    </row>
    <row r="4372" spans="6:6" x14ac:dyDescent="0.35">
      <c r="F4372" s="5"/>
    </row>
    <row r="4373" spans="6:6" x14ac:dyDescent="0.35">
      <c r="F4373" s="2"/>
    </row>
    <row r="4374" spans="6:6" x14ac:dyDescent="0.35">
      <c r="F4374" s="5"/>
    </row>
    <row r="4375" spans="6:6" x14ac:dyDescent="0.35">
      <c r="F4375" s="5"/>
    </row>
    <row r="4376" spans="6:6" x14ac:dyDescent="0.35">
      <c r="F4376" s="5"/>
    </row>
    <row r="4377" spans="6:6" x14ac:dyDescent="0.35">
      <c r="F4377" s="5"/>
    </row>
    <row r="4378" spans="6:6" x14ac:dyDescent="0.35">
      <c r="F4378" s="5"/>
    </row>
    <row r="4379" spans="6:6" x14ac:dyDescent="0.35">
      <c r="F4379" s="5"/>
    </row>
    <row r="4380" spans="6:6" x14ac:dyDescent="0.35">
      <c r="F4380" s="5"/>
    </row>
    <row r="4381" spans="6:6" x14ac:dyDescent="0.35">
      <c r="F4381" s="5"/>
    </row>
    <row r="4382" spans="6:6" x14ac:dyDescent="0.35">
      <c r="F4382" s="5"/>
    </row>
    <row r="4383" spans="6:6" x14ac:dyDescent="0.35">
      <c r="F4383" s="5"/>
    </row>
    <row r="4384" spans="6:6" x14ac:dyDescent="0.35">
      <c r="F4384" s="5"/>
    </row>
    <row r="4385" spans="6:6" x14ac:dyDescent="0.35">
      <c r="F4385" s="5"/>
    </row>
    <row r="4386" spans="6:6" x14ac:dyDescent="0.35">
      <c r="F4386" s="5"/>
    </row>
    <row r="4387" spans="6:6" x14ac:dyDescent="0.35">
      <c r="F4387" s="5"/>
    </row>
    <row r="4388" spans="6:6" x14ac:dyDescent="0.35">
      <c r="F4388" s="5"/>
    </row>
    <row r="4389" spans="6:6" x14ac:dyDescent="0.35">
      <c r="F4389" s="5"/>
    </row>
    <row r="4390" spans="6:6" x14ac:dyDescent="0.35">
      <c r="F4390" s="5"/>
    </row>
    <row r="4391" spans="6:6" x14ac:dyDescent="0.35">
      <c r="F4391" s="5"/>
    </row>
    <row r="4392" spans="6:6" x14ac:dyDescent="0.35">
      <c r="F4392" s="5"/>
    </row>
    <row r="4393" spans="6:6" x14ac:dyDescent="0.35">
      <c r="F4393" s="5"/>
    </row>
    <row r="4394" spans="6:6" x14ac:dyDescent="0.35">
      <c r="F4394" s="5"/>
    </row>
    <row r="4395" spans="6:6" x14ac:dyDescent="0.35">
      <c r="F4395" s="5"/>
    </row>
    <row r="4396" spans="6:6" x14ac:dyDescent="0.35">
      <c r="F4396" s="5"/>
    </row>
    <row r="4397" spans="6:6" x14ac:dyDescent="0.35">
      <c r="F4397" s="5"/>
    </row>
    <row r="4398" spans="6:6" x14ac:dyDescent="0.35">
      <c r="F4398" s="5"/>
    </row>
    <row r="4399" spans="6:6" x14ac:dyDescent="0.35">
      <c r="F4399" s="5"/>
    </row>
    <row r="4400" spans="6:6" x14ac:dyDescent="0.35">
      <c r="F4400" s="5"/>
    </row>
    <row r="4401" spans="6:6" x14ac:dyDescent="0.35">
      <c r="F4401" s="5"/>
    </row>
    <row r="4402" spans="6:6" x14ac:dyDescent="0.35">
      <c r="F4402" s="5"/>
    </row>
    <row r="4403" spans="6:6" x14ac:dyDescent="0.35">
      <c r="F4403" s="5"/>
    </row>
    <row r="4404" spans="6:6" x14ac:dyDescent="0.35">
      <c r="F4404" s="5"/>
    </row>
    <row r="4405" spans="6:6" x14ac:dyDescent="0.35">
      <c r="F4405" s="5"/>
    </row>
    <row r="4406" spans="6:6" x14ac:dyDescent="0.35">
      <c r="F4406" s="5"/>
    </row>
    <row r="4407" spans="6:6" x14ac:dyDescent="0.35">
      <c r="F4407" s="5"/>
    </row>
    <row r="4408" spans="6:6" x14ac:dyDescent="0.35">
      <c r="F4408" s="5"/>
    </row>
    <row r="4409" spans="6:6" x14ac:dyDescent="0.35">
      <c r="F4409" s="5"/>
    </row>
    <row r="4410" spans="6:6" x14ac:dyDescent="0.35">
      <c r="F4410" s="5"/>
    </row>
    <row r="4411" spans="6:6" x14ac:dyDescent="0.35">
      <c r="F4411" s="5"/>
    </row>
    <row r="4412" spans="6:6" x14ac:dyDescent="0.35">
      <c r="F4412" s="5"/>
    </row>
    <row r="4413" spans="6:6" x14ac:dyDescent="0.35">
      <c r="F4413" s="5"/>
    </row>
    <row r="4414" spans="6:6" x14ac:dyDescent="0.35">
      <c r="F4414" s="5"/>
    </row>
    <row r="4415" spans="6:6" x14ac:dyDescent="0.35">
      <c r="F4415" s="5"/>
    </row>
    <row r="4416" spans="6:6" x14ac:dyDescent="0.35">
      <c r="F4416" s="5"/>
    </row>
    <row r="4417" spans="6:6" x14ac:dyDescent="0.35">
      <c r="F4417" s="5"/>
    </row>
    <row r="4418" spans="6:6" x14ac:dyDescent="0.35">
      <c r="F4418" s="5"/>
    </row>
    <row r="4419" spans="6:6" x14ac:dyDescent="0.35">
      <c r="F4419" s="5"/>
    </row>
    <row r="4420" spans="6:6" x14ac:dyDescent="0.35">
      <c r="F4420" s="5"/>
    </row>
    <row r="4421" spans="6:6" x14ac:dyDescent="0.35">
      <c r="F4421" s="2"/>
    </row>
    <row r="4422" spans="6:6" x14ac:dyDescent="0.35">
      <c r="F4422" s="5"/>
    </row>
    <row r="4423" spans="6:6" x14ac:dyDescent="0.35">
      <c r="F4423" s="5"/>
    </row>
    <row r="4424" spans="6:6" x14ac:dyDescent="0.35">
      <c r="F4424" s="5"/>
    </row>
    <row r="4425" spans="6:6" x14ac:dyDescent="0.35">
      <c r="F4425" s="5"/>
    </row>
    <row r="4426" spans="6:6" x14ac:dyDescent="0.35">
      <c r="F4426" s="5"/>
    </row>
    <row r="4427" spans="6:6" x14ac:dyDescent="0.35">
      <c r="F4427" s="5"/>
    </row>
    <row r="4428" spans="6:6" x14ac:dyDescent="0.35">
      <c r="F4428" s="5"/>
    </row>
    <row r="4429" spans="6:6" x14ac:dyDescent="0.35">
      <c r="F4429" s="5"/>
    </row>
    <row r="4430" spans="6:6" x14ac:dyDescent="0.35">
      <c r="F4430" s="5"/>
    </row>
    <row r="4431" spans="6:6" x14ac:dyDescent="0.35">
      <c r="F4431" s="5"/>
    </row>
    <row r="4432" spans="6:6" x14ac:dyDescent="0.35">
      <c r="F4432" s="5"/>
    </row>
    <row r="4433" spans="6:6" x14ac:dyDescent="0.35">
      <c r="F4433" s="5"/>
    </row>
    <row r="4434" spans="6:6" x14ac:dyDescent="0.35">
      <c r="F4434" s="5"/>
    </row>
    <row r="4435" spans="6:6" x14ac:dyDescent="0.35">
      <c r="F4435" s="5"/>
    </row>
    <row r="4436" spans="6:6" x14ac:dyDescent="0.35">
      <c r="F4436" s="5"/>
    </row>
    <row r="4437" spans="6:6" x14ac:dyDescent="0.35">
      <c r="F4437" s="5"/>
    </row>
    <row r="4438" spans="6:6" x14ac:dyDescent="0.35">
      <c r="F4438" s="5"/>
    </row>
    <row r="4439" spans="6:6" x14ac:dyDescent="0.35">
      <c r="F4439" s="5"/>
    </row>
    <row r="4440" spans="6:6" x14ac:dyDescent="0.35">
      <c r="F4440" s="5"/>
    </row>
    <row r="4441" spans="6:6" x14ac:dyDescent="0.35">
      <c r="F4441" s="5"/>
    </row>
    <row r="4442" spans="6:6" x14ac:dyDescent="0.35">
      <c r="F4442" s="5"/>
    </row>
    <row r="4443" spans="6:6" x14ac:dyDescent="0.35">
      <c r="F4443" s="5"/>
    </row>
    <row r="4444" spans="6:6" x14ac:dyDescent="0.35">
      <c r="F4444" s="5"/>
    </row>
    <row r="4445" spans="6:6" x14ac:dyDescent="0.35">
      <c r="F4445" s="5"/>
    </row>
    <row r="4446" spans="6:6" x14ac:dyDescent="0.35">
      <c r="F4446" s="5"/>
    </row>
    <row r="4447" spans="6:6" x14ac:dyDescent="0.35">
      <c r="F4447" s="5"/>
    </row>
    <row r="4448" spans="6:6" x14ac:dyDescent="0.35">
      <c r="F4448" s="5"/>
    </row>
    <row r="4449" spans="6:6" x14ac:dyDescent="0.35">
      <c r="F4449" s="5"/>
    </row>
    <row r="4450" spans="6:6" x14ac:dyDescent="0.35">
      <c r="F4450" s="5"/>
    </row>
    <row r="4451" spans="6:6" x14ac:dyDescent="0.35">
      <c r="F4451" s="5"/>
    </row>
    <row r="4452" spans="6:6" x14ac:dyDescent="0.35">
      <c r="F4452" s="5"/>
    </row>
    <row r="4453" spans="6:6" x14ac:dyDescent="0.35">
      <c r="F4453" s="5"/>
    </row>
    <row r="4454" spans="6:6" x14ac:dyDescent="0.35">
      <c r="F4454" s="5"/>
    </row>
    <row r="4455" spans="6:6" x14ac:dyDescent="0.35">
      <c r="F4455" s="5"/>
    </row>
    <row r="4456" spans="6:6" x14ac:dyDescent="0.35">
      <c r="F4456" s="5"/>
    </row>
    <row r="4457" spans="6:6" x14ac:dyDescent="0.35">
      <c r="F4457" s="5"/>
    </row>
    <row r="4458" spans="6:6" x14ac:dyDescent="0.35">
      <c r="F4458" s="5"/>
    </row>
    <row r="4459" spans="6:6" x14ac:dyDescent="0.35">
      <c r="F4459" s="5"/>
    </row>
    <row r="4460" spans="6:6" x14ac:dyDescent="0.35">
      <c r="F4460" s="5"/>
    </row>
    <row r="4461" spans="6:6" x14ac:dyDescent="0.35">
      <c r="F4461" s="5"/>
    </row>
    <row r="4462" spans="6:6" x14ac:dyDescent="0.35">
      <c r="F4462" s="5"/>
    </row>
    <row r="4463" spans="6:6" x14ac:dyDescent="0.35">
      <c r="F4463" s="5"/>
    </row>
    <row r="4464" spans="6:6" x14ac:dyDescent="0.35">
      <c r="F4464" s="5"/>
    </row>
    <row r="4465" spans="6:6" x14ac:dyDescent="0.35">
      <c r="F4465" s="5"/>
    </row>
    <row r="4466" spans="6:6" x14ac:dyDescent="0.35">
      <c r="F4466" s="5"/>
    </row>
    <row r="4467" spans="6:6" x14ac:dyDescent="0.35">
      <c r="F4467" s="5"/>
    </row>
    <row r="4468" spans="6:6" x14ac:dyDescent="0.35">
      <c r="F4468" s="5"/>
    </row>
    <row r="4469" spans="6:6" x14ac:dyDescent="0.35">
      <c r="F4469" s="2"/>
    </row>
    <row r="4470" spans="6:6" x14ac:dyDescent="0.35">
      <c r="F4470" s="5"/>
    </row>
    <row r="4471" spans="6:6" x14ac:dyDescent="0.35">
      <c r="F4471" s="5"/>
    </row>
    <row r="4472" spans="6:6" x14ac:dyDescent="0.35">
      <c r="F4472" s="5"/>
    </row>
    <row r="4473" spans="6:6" x14ac:dyDescent="0.35">
      <c r="F4473" s="5"/>
    </row>
    <row r="4474" spans="6:6" x14ac:dyDescent="0.35">
      <c r="F4474" s="5"/>
    </row>
    <row r="4475" spans="6:6" x14ac:dyDescent="0.35">
      <c r="F4475" s="5"/>
    </row>
    <row r="4476" spans="6:6" x14ac:dyDescent="0.35">
      <c r="F4476" s="5"/>
    </row>
    <row r="4477" spans="6:6" x14ac:dyDescent="0.35">
      <c r="F4477" s="5"/>
    </row>
    <row r="4478" spans="6:6" x14ac:dyDescent="0.35">
      <c r="F4478" s="5"/>
    </row>
    <row r="4479" spans="6:6" x14ac:dyDescent="0.35">
      <c r="F4479" s="5"/>
    </row>
    <row r="4480" spans="6:6" x14ac:dyDescent="0.35">
      <c r="F4480" s="5"/>
    </row>
    <row r="4481" spans="6:6" x14ac:dyDescent="0.35">
      <c r="F4481" s="5"/>
    </row>
    <row r="4482" spans="6:6" x14ac:dyDescent="0.35">
      <c r="F4482" s="5"/>
    </row>
    <row r="4483" spans="6:6" x14ac:dyDescent="0.35">
      <c r="F4483" s="5"/>
    </row>
    <row r="4484" spans="6:6" x14ac:dyDescent="0.35">
      <c r="F4484" s="5"/>
    </row>
    <row r="4485" spans="6:6" x14ac:dyDescent="0.35">
      <c r="F4485" s="5"/>
    </row>
    <row r="4486" spans="6:6" x14ac:dyDescent="0.35">
      <c r="F4486" s="5"/>
    </row>
    <row r="4487" spans="6:6" x14ac:dyDescent="0.35">
      <c r="F4487" s="5"/>
    </row>
    <row r="4488" spans="6:6" x14ac:dyDescent="0.35">
      <c r="F4488" s="5"/>
    </row>
    <row r="4489" spans="6:6" x14ac:dyDescent="0.35">
      <c r="F4489" s="5"/>
    </row>
    <row r="4490" spans="6:6" x14ac:dyDescent="0.35">
      <c r="F4490" s="5"/>
    </row>
    <row r="4491" spans="6:6" x14ac:dyDescent="0.35">
      <c r="F4491" s="5"/>
    </row>
    <row r="4492" spans="6:6" x14ac:dyDescent="0.35">
      <c r="F4492" s="5"/>
    </row>
    <row r="4493" spans="6:6" x14ac:dyDescent="0.35">
      <c r="F4493" s="2"/>
    </row>
    <row r="4494" spans="6:6" x14ac:dyDescent="0.35">
      <c r="F4494" s="5"/>
    </row>
    <row r="4495" spans="6:6" x14ac:dyDescent="0.35">
      <c r="F4495" s="5"/>
    </row>
    <row r="4496" spans="6:6" x14ac:dyDescent="0.35">
      <c r="F4496" s="5"/>
    </row>
    <row r="4497" spans="6:6" x14ac:dyDescent="0.35">
      <c r="F4497" s="5"/>
    </row>
    <row r="4498" spans="6:6" x14ac:dyDescent="0.35">
      <c r="F4498" s="5"/>
    </row>
    <row r="4499" spans="6:6" x14ac:dyDescent="0.35">
      <c r="F4499" s="5"/>
    </row>
    <row r="4500" spans="6:6" x14ac:dyDescent="0.35">
      <c r="F4500" s="5"/>
    </row>
    <row r="4501" spans="6:6" x14ac:dyDescent="0.35">
      <c r="F4501" s="5"/>
    </row>
    <row r="4502" spans="6:6" x14ac:dyDescent="0.35">
      <c r="F4502" s="5"/>
    </row>
    <row r="4503" spans="6:6" x14ac:dyDescent="0.35">
      <c r="F4503" s="5"/>
    </row>
    <row r="4504" spans="6:6" x14ac:dyDescent="0.35">
      <c r="F4504" s="5"/>
    </row>
    <row r="4505" spans="6:6" x14ac:dyDescent="0.35">
      <c r="F4505" s="5"/>
    </row>
    <row r="4506" spans="6:6" x14ac:dyDescent="0.35">
      <c r="F4506" s="5"/>
    </row>
    <row r="4507" spans="6:6" x14ac:dyDescent="0.35">
      <c r="F4507" s="5"/>
    </row>
    <row r="4508" spans="6:6" x14ac:dyDescent="0.35">
      <c r="F4508" s="5"/>
    </row>
    <row r="4509" spans="6:6" x14ac:dyDescent="0.35">
      <c r="F4509" s="5"/>
    </row>
    <row r="4510" spans="6:6" x14ac:dyDescent="0.35">
      <c r="F4510" s="5"/>
    </row>
    <row r="4511" spans="6:6" x14ac:dyDescent="0.35">
      <c r="F4511" s="5"/>
    </row>
    <row r="4512" spans="6:6" x14ac:dyDescent="0.35">
      <c r="F4512" s="5"/>
    </row>
    <row r="4513" spans="6:6" x14ac:dyDescent="0.35">
      <c r="F4513" s="5"/>
    </row>
    <row r="4514" spans="6:6" x14ac:dyDescent="0.35">
      <c r="F4514" s="5"/>
    </row>
    <row r="4515" spans="6:6" x14ac:dyDescent="0.35">
      <c r="F4515" s="5"/>
    </row>
    <row r="4516" spans="6:6" x14ac:dyDescent="0.35">
      <c r="F4516" s="5"/>
    </row>
    <row r="4517" spans="6:6" x14ac:dyDescent="0.35">
      <c r="F4517" s="2"/>
    </row>
    <row r="4518" spans="6:6" x14ac:dyDescent="0.35">
      <c r="F4518" s="5"/>
    </row>
    <row r="4519" spans="6:6" x14ac:dyDescent="0.35">
      <c r="F4519" s="5"/>
    </row>
    <row r="4520" spans="6:6" x14ac:dyDescent="0.35">
      <c r="F4520" s="5"/>
    </row>
    <row r="4521" spans="6:6" x14ac:dyDescent="0.35">
      <c r="F4521" s="5"/>
    </row>
    <row r="4522" spans="6:6" x14ac:dyDescent="0.35">
      <c r="F4522" s="5"/>
    </row>
    <row r="4523" spans="6:6" x14ac:dyDescent="0.35">
      <c r="F4523" s="5"/>
    </row>
    <row r="4524" spans="6:6" x14ac:dyDescent="0.35">
      <c r="F4524" s="5"/>
    </row>
    <row r="4525" spans="6:6" x14ac:dyDescent="0.35">
      <c r="F4525" s="5"/>
    </row>
    <row r="4526" spans="6:6" x14ac:dyDescent="0.35">
      <c r="F4526" s="5"/>
    </row>
    <row r="4527" spans="6:6" x14ac:dyDescent="0.35">
      <c r="F4527" s="5"/>
    </row>
    <row r="4528" spans="6:6" x14ac:dyDescent="0.35">
      <c r="F4528" s="5"/>
    </row>
    <row r="4529" spans="6:6" x14ac:dyDescent="0.35">
      <c r="F4529" s="5"/>
    </row>
    <row r="4530" spans="6:6" x14ac:dyDescent="0.35">
      <c r="F4530" s="5"/>
    </row>
    <row r="4531" spans="6:6" x14ac:dyDescent="0.35">
      <c r="F4531" s="5"/>
    </row>
    <row r="4532" spans="6:6" x14ac:dyDescent="0.35">
      <c r="F4532" s="5"/>
    </row>
    <row r="4533" spans="6:6" x14ac:dyDescent="0.35">
      <c r="F4533" s="5"/>
    </row>
    <row r="4534" spans="6:6" x14ac:dyDescent="0.35">
      <c r="F4534" s="5"/>
    </row>
    <row r="4535" spans="6:6" x14ac:dyDescent="0.35">
      <c r="F4535" s="5"/>
    </row>
    <row r="4536" spans="6:6" x14ac:dyDescent="0.35">
      <c r="F4536" s="5"/>
    </row>
    <row r="4537" spans="6:6" x14ac:dyDescent="0.35">
      <c r="F4537" s="5"/>
    </row>
    <row r="4538" spans="6:6" x14ac:dyDescent="0.35">
      <c r="F4538" s="5"/>
    </row>
    <row r="4539" spans="6:6" x14ac:dyDescent="0.35">
      <c r="F4539" s="5"/>
    </row>
    <row r="4540" spans="6:6" x14ac:dyDescent="0.35">
      <c r="F4540" s="5"/>
    </row>
    <row r="4541" spans="6:6" x14ac:dyDescent="0.35">
      <c r="F4541" s="2"/>
    </row>
    <row r="4542" spans="6:6" x14ac:dyDescent="0.35">
      <c r="F4542" s="5"/>
    </row>
    <row r="4543" spans="6:6" x14ac:dyDescent="0.35">
      <c r="F4543" s="5"/>
    </row>
    <row r="4544" spans="6:6" x14ac:dyDescent="0.35">
      <c r="F4544" s="5"/>
    </row>
    <row r="4545" spans="6:6" x14ac:dyDescent="0.35">
      <c r="F4545" s="5"/>
    </row>
    <row r="4546" spans="6:6" x14ac:dyDescent="0.35">
      <c r="F4546" s="5"/>
    </row>
    <row r="4547" spans="6:6" x14ac:dyDescent="0.35">
      <c r="F4547" s="5"/>
    </row>
    <row r="4548" spans="6:6" x14ac:dyDescent="0.35">
      <c r="F4548" s="5"/>
    </row>
    <row r="4549" spans="6:6" x14ac:dyDescent="0.35">
      <c r="F4549" s="5"/>
    </row>
    <row r="4550" spans="6:6" x14ac:dyDescent="0.35">
      <c r="F4550" s="5"/>
    </row>
    <row r="4551" spans="6:6" x14ac:dyDescent="0.35">
      <c r="F4551" s="5"/>
    </row>
    <row r="4552" spans="6:6" x14ac:dyDescent="0.35">
      <c r="F4552" s="5"/>
    </row>
    <row r="4553" spans="6:6" x14ac:dyDescent="0.35">
      <c r="F4553" s="5"/>
    </row>
    <row r="4554" spans="6:6" x14ac:dyDescent="0.35">
      <c r="F4554" s="5"/>
    </row>
    <row r="4555" spans="6:6" x14ac:dyDescent="0.35">
      <c r="F4555" s="5"/>
    </row>
    <row r="4556" spans="6:6" x14ac:dyDescent="0.35">
      <c r="F4556" s="5"/>
    </row>
    <row r="4557" spans="6:6" x14ac:dyDescent="0.35">
      <c r="F4557" s="5"/>
    </row>
    <row r="4558" spans="6:6" x14ac:dyDescent="0.35">
      <c r="F4558" s="5"/>
    </row>
    <row r="4559" spans="6:6" x14ac:dyDescent="0.35">
      <c r="F4559" s="5"/>
    </row>
    <row r="4560" spans="6:6" x14ac:dyDescent="0.35">
      <c r="F4560" s="5"/>
    </row>
    <row r="4561" spans="6:6" x14ac:dyDescent="0.35">
      <c r="F4561" s="5"/>
    </row>
    <row r="4562" spans="6:6" x14ac:dyDescent="0.35">
      <c r="F4562" s="5"/>
    </row>
    <row r="4563" spans="6:6" x14ac:dyDescent="0.35">
      <c r="F4563" s="5"/>
    </row>
    <row r="4564" spans="6:6" x14ac:dyDescent="0.35">
      <c r="F4564" s="5"/>
    </row>
    <row r="4565" spans="6:6" x14ac:dyDescent="0.35">
      <c r="F4565" s="5"/>
    </row>
    <row r="4566" spans="6:6" x14ac:dyDescent="0.35">
      <c r="F4566" s="5"/>
    </row>
    <row r="4567" spans="6:6" x14ac:dyDescent="0.35">
      <c r="F4567" s="5"/>
    </row>
    <row r="4568" spans="6:6" x14ac:dyDescent="0.35">
      <c r="F4568" s="5"/>
    </row>
    <row r="4569" spans="6:6" x14ac:dyDescent="0.35">
      <c r="F4569" s="5"/>
    </row>
    <row r="4570" spans="6:6" x14ac:dyDescent="0.35">
      <c r="F4570" s="5"/>
    </row>
    <row r="4571" spans="6:6" x14ac:dyDescent="0.35">
      <c r="F4571" s="5"/>
    </row>
    <row r="4572" spans="6:6" x14ac:dyDescent="0.35">
      <c r="F4572" s="5"/>
    </row>
    <row r="4573" spans="6:6" x14ac:dyDescent="0.35">
      <c r="F4573" s="5"/>
    </row>
    <row r="4574" spans="6:6" x14ac:dyDescent="0.35">
      <c r="F4574" s="5"/>
    </row>
    <row r="4575" spans="6:6" x14ac:dyDescent="0.35">
      <c r="F4575" s="5"/>
    </row>
    <row r="4576" spans="6:6" x14ac:dyDescent="0.35">
      <c r="F4576" s="5"/>
    </row>
    <row r="4577" spans="6:6" x14ac:dyDescent="0.35">
      <c r="F4577" s="5"/>
    </row>
    <row r="4578" spans="6:6" x14ac:dyDescent="0.35">
      <c r="F4578" s="5"/>
    </row>
    <row r="4579" spans="6:6" x14ac:dyDescent="0.35">
      <c r="F4579" s="5"/>
    </row>
    <row r="4580" spans="6:6" x14ac:dyDescent="0.35">
      <c r="F4580" s="5"/>
    </row>
    <row r="4581" spans="6:6" x14ac:dyDescent="0.35">
      <c r="F4581" s="5"/>
    </row>
    <row r="4582" spans="6:6" x14ac:dyDescent="0.35">
      <c r="F4582" s="5"/>
    </row>
    <row r="4583" spans="6:6" x14ac:dyDescent="0.35">
      <c r="F4583" s="5"/>
    </row>
    <row r="4584" spans="6:6" x14ac:dyDescent="0.35">
      <c r="F4584" s="5"/>
    </row>
    <row r="4585" spans="6:6" x14ac:dyDescent="0.35">
      <c r="F4585" s="5"/>
    </row>
    <row r="4586" spans="6:6" x14ac:dyDescent="0.35">
      <c r="F4586" s="5"/>
    </row>
    <row r="4587" spans="6:6" x14ac:dyDescent="0.35">
      <c r="F4587" s="5"/>
    </row>
    <row r="4588" spans="6:6" x14ac:dyDescent="0.35">
      <c r="F4588" s="5"/>
    </row>
    <row r="4589" spans="6:6" x14ac:dyDescent="0.35">
      <c r="F4589" s="2"/>
    </row>
    <row r="4590" spans="6:6" x14ac:dyDescent="0.35">
      <c r="F4590" s="5"/>
    </row>
    <row r="4591" spans="6:6" x14ac:dyDescent="0.35">
      <c r="F4591" s="5"/>
    </row>
    <row r="4592" spans="6:6" x14ac:dyDescent="0.35">
      <c r="F4592" s="5"/>
    </row>
    <row r="4593" spans="6:6" x14ac:dyDescent="0.35">
      <c r="F4593" s="5"/>
    </row>
    <row r="4594" spans="6:6" x14ac:dyDescent="0.35">
      <c r="F4594" s="5"/>
    </row>
    <row r="4595" spans="6:6" x14ac:dyDescent="0.35">
      <c r="F4595" s="5"/>
    </row>
    <row r="4596" spans="6:6" x14ac:dyDescent="0.35">
      <c r="F4596" s="5"/>
    </row>
    <row r="4597" spans="6:6" x14ac:dyDescent="0.35">
      <c r="F4597" s="5"/>
    </row>
    <row r="4598" spans="6:6" x14ac:dyDescent="0.35">
      <c r="F4598" s="5"/>
    </row>
    <row r="4599" spans="6:6" x14ac:dyDescent="0.35">
      <c r="F4599" s="5"/>
    </row>
    <row r="4600" spans="6:6" x14ac:dyDescent="0.35">
      <c r="F4600" s="5"/>
    </row>
    <row r="4601" spans="6:6" x14ac:dyDescent="0.35">
      <c r="F4601" s="5"/>
    </row>
    <row r="4602" spans="6:6" x14ac:dyDescent="0.35">
      <c r="F4602" s="5"/>
    </row>
    <row r="4603" spans="6:6" x14ac:dyDescent="0.35">
      <c r="F4603" s="5"/>
    </row>
    <row r="4604" spans="6:6" x14ac:dyDescent="0.35">
      <c r="F4604" s="5"/>
    </row>
    <row r="4605" spans="6:6" x14ac:dyDescent="0.35">
      <c r="F4605" s="5"/>
    </row>
    <row r="4606" spans="6:6" x14ac:dyDescent="0.35">
      <c r="F4606" s="5"/>
    </row>
    <row r="4607" spans="6:6" x14ac:dyDescent="0.35">
      <c r="F4607" s="5"/>
    </row>
    <row r="4608" spans="6:6" x14ac:dyDescent="0.35">
      <c r="F4608" s="5"/>
    </row>
    <row r="4609" spans="6:6" x14ac:dyDescent="0.35">
      <c r="F4609" s="5"/>
    </row>
    <row r="4610" spans="6:6" x14ac:dyDescent="0.35">
      <c r="F4610" s="5"/>
    </row>
    <row r="4611" spans="6:6" x14ac:dyDescent="0.35">
      <c r="F4611" s="5"/>
    </row>
    <row r="4612" spans="6:6" x14ac:dyDescent="0.35">
      <c r="F4612" s="5"/>
    </row>
  </sheetData>
  <autoFilter ref="A1:J4203" xr:uid="{48305698-2E7B-4571-838E-115510612712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5B3BD-A827-4405-B70F-408D37189D33}">
  <sheetPr codeName="Hoja4"/>
  <dimension ref="A1:Y4203"/>
  <sheetViews>
    <sheetView zoomScale="90" zoomScaleNormal="90" workbookViewId="0">
      <selection activeCell="J1" sqref="J1:J1048576"/>
    </sheetView>
  </sheetViews>
  <sheetFormatPr defaultColWidth="11.453125" defaultRowHeight="14.5" x14ac:dyDescent="0.35"/>
  <cols>
    <col min="1" max="1" width="10.54296875" style="8" customWidth="1"/>
    <col min="2" max="2" width="7.81640625" style="8" customWidth="1"/>
    <col min="3" max="3" width="31.26953125" customWidth="1"/>
    <col min="4" max="4" width="58.81640625" customWidth="1"/>
    <col min="5" max="5" width="16.453125" style="8" customWidth="1"/>
    <col min="6" max="6" width="28.1796875" customWidth="1"/>
    <col min="7" max="7" width="8.54296875" style="8" customWidth="1"/>
    <col min="8" max="8" width="6.453125" customWidth="1"/>
    <col min="9" max="9" width="40.453125" customWidth="1"/>
    <col min="10" max="10" width="50.7265625" customWidth="1"/>
  </cols>
  <sheetData>
    <row r="1" spans="1:10" s="3" customFormat="1" x14ac:dyDescent="0.35">
      <c r="A1" s="3" t="s">
        <v>94</v>
      </c>
      <c r="B1" s="3" t="s">
        <v>25</v>
      </c>
      <c r="C1" s="3" t="s">
        <v>13</v>
      </c>
      <c r="D1" s="3" t="s">
        <v>95</v>
      </c>
      <c r="E1" s="3" t="s">
        <v>94</v>
      </c>
      <c r="F1" s="3" t="s">
        <v>96</v>
      </c>
      <c r="G1" s="3" t="s">
        <v>97</v>
      </c>
      <c r="H1" s="3" t="s">
        <v>98</v>
      </c>
      <c r="I1" s="3" t="s">
        <v>99</v>
      </c>
      <c r="J1" s="3" t="s">
        <v>99</v>
      </c>
    </row>
    <row r="2" spans="1:10" x14ac:dyDescent="0.35">
      <c r="A2" s="32" t="s">
        <v>14</v>
      </c>
      <c r="B2" s="32">
        <v>2023</v>
      </c>
      <c r="C2" s="33" t="s">
        <v>31</v>
      </c>
      <c r="D2" s="34" t="s">
        <v>128</v>
      </c>
      <c r="E2" s="35" t="str">
        <f>_xlfn.CONCAT(A2,"'!")</f>
        <v>PDP'!</v>
      </c>
      <c r="F2" s="34" t="str">
        <f>_xlfn.CONCAT(D2:E2)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" s="32" t="s">
        <v>112</v>
      </c>
      <c r="H2" s="33">
        <v>12</v>
      </c>
      <c r="I2" s="33" t="str">
        <f>_xlfn.CONCAT("='",F2:H2)</f>
        <v>='C:\Users\jaime.benazar\Quorum Business Solutions\Ecopetrol Prometeo - Documents\Planning Space Implementation\3. Analysis &amp; Design\Design\FC22\DRR Jaime\Por presentar a ECP\Cantagallo\Cristalina\[CRISTALINA_CF_SEC_New_09-Feb-2024.xlsx]D-PDP'!$BB$12</v>
      </c>
      <c r="J2" s="37" t="s">
        <v>129</v>
      </c>
    </row>
    <row r="3" spans="1:10" x14ac:dyDescent="0.35">
      <c r="A3" s="32" t="s">
        <v>14</v>
      </c>
      <c r="B3" s="32">
        <f>+B2+1</f>
        <v>2024</v>
      </c>
      <c r="C3" s="33" t="s">
        <v>31</v>
      </c>
      <c r="D3" s="34" t="s">
        <v>128</v>
      </c>
      <c r="E3" s="35" t="str">
        <f t="shared" ref="E3:E96" si="0">_xlfn.CONCAT(A3,"'!")</f>
        <v>PDP'!</v>
      </c>
      <c r="F3" s="34" t="str">
        <f t="shared" ref="F3:F96" si="1">_xlfn.CONCAT(D3:E3)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" s="32" t="s">
        <v>112</v>
      </c>
      <c r="H3" s="33">
        <f>IF(A3&lt;&gt;A2,12,H2+1)</f>
        <v>13</v>
      </c>
      <c r="I3" s="33" t="str">
        <f t="shared" ref="I3:I96" si="2">_xlfn.CONCAT("='",F3:H3)</f>
        <v>='C:\Users\jaime.benazar\Quorum Business Solutions\Ecopetrol Prometeo - Documents\Planning Space Implementation\3. Analysis &amp; Design\Design\FC22\DRR Jaime\Por presentar a ECP\Cantagallo\Cristalina\[CRISTALINA_CF_SEC_New_09-Feb-2024.xlsx]D-PDP'!$BB$13</v>
      </c>
      <c r="J3" s="37" t="s">
        <v>130</v>
      </c>
    </row>
    <row r="4" spans="1:10" x14ac:dyDescent="0.35">
      <c r="A4" s="32" t="s">
        <v>14</v>
      </c>
      <c r="B4" s="32">
        <f t="shared" ref="B4:B15" si="3">+B3+1</f>
        <v>2025</v>
      </c>
      <c r="C4" s="33" t="s">
        <v>31</v>
      </c>
      <c r="D4" s="34" t="s">
        <v>128</v>
      </c>
      <c r="E4" s="35" t="str">
        <f t="shared" si="0"/>
        <v>PDP'!</v>
      </c>
      <c r="F4" s="34" t="str">
        <f>_xlfn.CONCAT(D4:E4)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" s="32" t="s">
        <v>112</v>
      </c>
      <c r="H4" s="33">
        <f t="shared" ref="H4:H22" si="4">IF(A4&lt;&gt;A3,12,H3+1)</f>
        <v>14</v>
      </c>
      <c r="I4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ECP\Cantagallo\Cristalina\[CRISTALINA_CF_SEC_New_09-Feb-2024.xlsx]D-PDP'!$BB$14</v>
      </c>
      <c r="J4" s="37" t="s">
        <v>131</v>
      </c>
    </row>
    <row r="5" spans="1:10" x14ac:dyDescent="0.35">
      <c r="A5" s="32" t="s">
        <v>14</v>
      </c>
      <c r="B5" s="32">
        <f t="shared" si="3"/>
        <v>2026</v>
      </c>
      <c r="C5" s="33" t="s">
        <v>31</v>
      </c>
      <c r="D5" s="34" t="s">
        <v>128</v>
      </c>
      <c r="E5" s="35" t="str">
        <f t="shared" si="0"/>
        <v>PDP'!</v>
      </c>
      <c r="F5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5" s="32" t="s">
        <v>112</v>
      </c>
      <c r="H5" s="33">
        <f t="shared" si="4"/>
        <v>15</v>
      </c>
      <c r="I5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ECP\Cantagallo\Cristalina\[CRISTALINA_CF_SEC_New_09-Feb-2024.xlsx]D-PDP'!$BB$15</v>
      </c>
      <c r="J5" s="37" t="s">
        <v>132</v>
      </c>
    </row>
    <row r="6" spans="1:10" x14ac:dyDescent="0.35">
      <c r="A6" s="32" t="s">
        <v>14</v>
      </c>
      <c r="B6" s="32">
        <f t="shared" si="3"/>
        <v>2027</v>
      </c>
      <c r="C6" s="33" t="s">
        <v>31</v>
      </c>
      <c r="D6" s="34" t="s">
        <v>128</v>
      </c>
      <c r="E6" s="35" t="str">
        <f t="shared" si="0"/>
        <v>PDP'!</v>
      </c>
      <c r="F6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6" s="32" t="s">
        <v>112</v>
      </c>
      <c r="H6" s="33">
        <f t="shared" si="4"/>
        <v>16</v>
      </c>
      <c r="I6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ECP\Cantagallo\Cristalina\[CRISTALINA_CF_SEC_New_09-Feb-2024.xlsx]D-PDP'!$BB$16</v>
      </c>
      <c r="J6" s="37" t="s">
        <v>133</v>
      </c>
    </row>
    <row r="7" spans="1:10" x14ac:dyDescent="0.35">
      <c r="A7" s="32" t="s">
        <v>14</v>
      </c>
      <c r="B7" s="32">
        <f t="shared" si="3"/>
        <v>2028</v>
      </c>
      <c r="C7" s="33" t="s">
        <v>31</v>
      </c>
      <c r="D7" s="34" t="s">
        <v>128</v>
      </c>
      <c r="E7" s="35" t="str">
        <f t="shared" si="0"/>
        <v>PDP'!</v>
      </c>
      <c r="F7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7" s="32" t="s">
        <v>112</v>
      </c>
      <c r="H7" s="33">
        <f t="shared" si="4"/>
        <v>17</v>
      </c>
      <c r="I7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ECP\Cantagallo\Cristalina\[CRISTALINA_CF_SEC_New_09-Feb-2024.xlsx]D-PDP'!$BB$17</v>
      </c>
      <c r="J7" s="37" t="s">
        <v>134</v>
      </c>
    </row>
    <row r="8" spans="1:10" x14ac:dyDescent="0.35">
      <c r="A8" s="32" t="s">
        <v>14</v>
      </c>
      <c r="B8" s="32">
        <f t="shared" si="3"/>
        <v>2029</v>
      </c>
      <c r="C8" s="33" t="s">
        <v>31</v>
      </c>
      <c r="D8" s="34" t="s">
        <v>128</v>
      </c>
      <c r="E8" s="35" t="str">
        <f t="shared" si="0"/>
        <v>PDP'!</v>
      </c>
      <c r="F8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" s="32" t="s">
        <v>112</v>
      </c>
      <c r="H8" s="33">
        <f t="shared" si="4"/>
        <v>18</v>
      </c>
      <c r="I8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ECP\Cantagallo\Cristalina\[CRISTALINA_CF_SEC_New_09-Feb-2024.xlsx]D-PDP'!$BB$18</v>
      </c>
      <c r="J8" s="37" t="s">
        <v>135</v>
      </c>
    </row>
    <row r="9" spans="1:10" x14ac:dyDescent="0.35">
      <c r="A9" s="32" t="s">
        <v>14</v>
      </c>
      <c r="B9" s="32">
        <f t="shared" si="3"/>
        <v>2030</v>
      </c>
      <c r="C9" s="33" t="s">
        <v>31</v>
      </c>
      <c r="D9" s="34" t="s">
        <v>128</v>
      </c>
      <c r="E9" s="35" t="str">
        <f t="shared" si="0"/>
        <v>PDP'!</v>
      </c>
      <c r="F9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9" s="32" t="s">
        <v>112</v>
      </c>
      <c r="H9" s="33">
        <f t="shared" si="4"/>
        <v>19</v>
      </c>
      <c r="I9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ECP\Cantagallo\Cristalina\[CRISTALINA_CF_SEC_New_09-Feb-2024.xlsx]D-PDP'!$BB$19</v>
      </c>
      <c r="J9" s="37" t="s">
        <v>136</v>
      </c>
    </row>
    <row r="10" spans="1:10" x14ac:dyDescent="0.35">
      <c r="A10" s="32" t="s">
        <v>14</v>
      </c>
      <c r="B10" s="32">
        <f t="shared" si="3"/>
        <v>2031</v>
      </c>
      <c r="C10" s="33" t="s">
        <v>31</v>
      </c>
      <c r="D10" s="34" t="s">
        <v>128</v>
      </c>
      <c r="E10" s="35" t="str">
        <f t="shared" si="0"/>
        <v>PDP'!</v>
      </c>
      <c r="F10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0" s="32" t="s">
        <v>112</v>
      </c>
      <c r="H10" s="33">
        <f t="shared" si="4"/>
        <v>20</v>
      </c>
      <c r="I10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ECP\Cantagallo\Cristalina\[CRISTALINA_CF_SEC_New_09-Feb-2024.xlsx]D-PDP'!$BB$20</v>
      </c>
      <c r="J10" s="37" t="s">
        <v>137</v>
      </c>
    </row>
    <row r="11" spans="1:10" x14ac:dyDescent="0.35">
      <c r="A11" s="32" t="s">
        <v>14</v>
      </c>
      <c r="B11" s="32">
        <f t="shared" si="3"/>
        <v>2032</v>
      </c>
      <c r="C11" s="33" t="s">
        <v>31</v>
      </c>
      <c r="D11" s="34" t="s">
        <v>128</v>
      </c>
      <c r="E11" s="35" t="str">
        <f t="shared" si="0"/>
        <v>PDP'!</v>
      </c>
      <c r="F11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1" s="32" t="s">
        <v>112</v>
      </c>
      <c r="H11" s="33">
        <f t="shared" si="4"/>
        <v>21</v>
      </c>
      <c r="I11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ECP\Cantagallo\Cristalina\[CRISTALINA_CF_SEC_New_09-Feb-2024.xlsx]D-PDP'!$BB$21</v>
      </c>
      <c r="J11" s="37" t="s">
        <v>138</v>
      </c>
    </row>
    <row r="12" spans="1:10" x14ac:dyDescent="0.35">
      <c r="A12" s="32" t="s">
        <v>14</v>
      </c>
      <c r="B12" s="32">
        <f t="shared" si="3"/>
        <v>2033</v>
      </c>
      <c r="C12" s="33" t="s">
        <v>31</v>
      </c>
      <c r="D12" s="34" t="s">
        <v>128</v>
      </c>
      <c r="E12" s="35" t="str">
        <f t="shared" si="0"/>
        <v>PDP'!</v>
      </c>
      <c r="F12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" s="32" t="s">
        <v>112</v>
      </c>
      <c r="H12" s="33">
        <f t="shared" si="4"/>
        <v>22</v>
      </c>
      <c r="I12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ECP\Cantagallo\Cristalina\[CRISTALINA_CF_SEC_New_09-Feb-2024.xlsx]D-PDP'!$BB$22</v>
      </c>
      <c r="J12" s="37" t="s">
        <v>139</v>
      </c>
    </row>
    <row r="13" spans="1:10" x14ac:dyDescent="0.35">
      <c r="A13" s="32" t="s">
        <v>14</v>
      </c>
      <c r="B13" s="32">
        <f t="shared" si="3"/>
        <v>2034</v>
      </c>
      <c r="C13" s="33" t="s">
        <v>31</v>
      </c>
      <c r="D13" s="34" t="s">
        <v>128</v>
      </c>
      <c r="E13" s="35" t="str">
        <f t="shared" si="0"/>
        <v>PDP'!</v>
      </c>
      <c r="F13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3" s="32" t="s">
        <v>112</v>
      </c>
      <c r="H13" s="33">
        <f t="shared" si="4"/>
        <v>23</v>
      </c>
      <c r="I13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ECP\Cantagallo\Cristalina\[CRISTALINA_CF_SEC_New_09-Feb-2024.xlsx]D-PDP'!$BB$23</v>
      </c>
      <c r="J13" s="37" t="s">
        <v>140</v>
      </c>
    </row>
    <row r="14" spans="1:10" x14ac:dyDescent="0.35">
      <c r="A14" s="32" t="s">
        <v>14</v>
      </c>
      <c r="B14" s="32">
        <f t="shared" si="3"/>
        <v>2035</v>
      </c>
      <c r="C14" s="33" t="s">
        <v>31</v>
      </c>
      <c r="D14" s="34" t="s">
        <v>128</v>
      </c>
      <c r="E14" s="35" t="str">
        <f t="shared" si="0"/>
        <v>PDP'!</v>
      </c>
      <c r="F14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4" s="32" t="s">
        <v>112</v>
      </c>
      <c r="H14" s="33">
        <f t="shared" si="4"/>
        <v>24</v>
      </c>
      <c r="I14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ECP\Cantagallo\Cristalina\[CRISTALINA_CF_SEC_New_09-Feb-2024.xlsx]D-PDP'!$BB$24</v>
      </c>
      <c r="J14" s="37" t="s">
        <v>141</v>
      </c>
    </row>
    <row r="15" spans="1:10" x14ac:dyDescent="0.35">
      <c r="A15" s="32" t="s">
        <v>14</v>
      </c>
      <c r="B15" s="32">
        <f t="shared" si="3"/>
        <v>2036</v>
      </c>
      <c r="C15" s="33" t="s">
        <v>31</v>
      </c>
      <c r="D15" s="34" t="s">
        <v>128</v>
      </c>
      <c r="E15" s="35" t="str">
        <f t="shared" si="0"/>
        <v>PDP'!</v>
      </c>
      <c r="F15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5" s="32" t="s">
        <v>112</v>
      </c>
      <c r="H15" s="33">
        <f t="shared" si="4"/>
        <v>25</v>
      </c>
      <c r="I15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ECP\Cantagallo\Cristalina\[CRISTALINA_CF_SEC_New_09-Feb-2024.xlsx]D-PDP'!$BB$25</v>
      </c>
      <c r="J15" s="37" t="s">
        <v>142</v>
      </c>
    </row>
    <row r="16" spans="1:10" x14ac:dyDescent="0.35">
      <c r="A16" s="32" t="s">
        <v>14</v>
      </c>
      <c r="B16" s="32">
        <f>+B15+1</f>
        <v>2037</v>
      </c>
      <c r="C16" s="33" t="s">
        <v>31</v>
      </c>
      <c r="D16" s="34" t="s">
        <v>128</v>
      </c>
      <c r="E16" s="35" t="str">
        <f t="shared" si="0"/>
        <v>PDP'!</v>
      </c>
      <c r="F16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" s="32" t="s">
        <v>112</v>
      </c>
      <c r="H16" s="33">
        <f t="shared" si="4"/>
        <v>26</v>
      </c>
      <c r="I16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ECP\Cantagallo\Cristalina\[CRISTALINA_CF_SEC_New_09-Feb-2024.xlsx]D-PDP'!$BB$26</v>
      </c>
      <c r="J16" s="37" t="s">
        <v>143</v>
      </c>
    </row>
    <row r="17" spans="1:10" x14ac:dyDescent="0.35">
      <c r="A17" s="32" t="s">
        <v>14</v>
      </c>
      <c r="B17" s="32">
        <f t="shared" ref="B17:B19" si="5">+B16+1</f>
        <v>2038</v>
      </c>
      <c r="C17" s="33" t="s">
        <v>31</v>
      </c>
      <c r="D17" s="34" t="s">
        <v>128</v>
      </c>
      <c r="E17" s="35" t="str">
        <f t="shared" si="0"/>
        <v>PDP'!</v>
      </c>
      <c r="F17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7" s="32" t="s">
        <v>112</v>
      </c>
      <c r="H17" s="33">
        <f t="shared" si="4"/>
        <v>27</v>
      </c>
      <c r="I17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ECP\Cantagallo\Cristalina\[CRISTALINA_CF_SEC_New_09-Feb-2024.xlsx]D-PDP'!$BB$27</v>
      </c>
      <c r="J17" s="37" t="s">
        <v>144</v>
      </c>
    </row>
    <row r="18" spans="1:10" x14ac:dyDescent="0.35">
      <c r="A18" s="32" t="s">
        <v>14</v>
      </c>
      <c r="B18" s="32">
        <f t="shared" si="5"/>
        <v>2039</v>
      </c>
      <c r="C18" s="33" t="s">
        <v>31</v>
      </c>
      <c r="D18" s="34" t="s">
        <v>128</v>
      </c>
      <c r="E18" s="35" t="str">
        <f t="shared" si="0"/>
        <v>PDP'!</v>
      </c>
      <c r="F18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8" s="32" t="s">
        <v>112</v>
      </c>
      <c r="H18" s="33">
        <f t="shared" si="4"/>
        <v>28</v>
      </c>
      <c r="I18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ECP\Cantagallo\Cristalina\[CRISTALINA_CF_SEC_New_09-Feb-2024.xlsx]D-PDP'!$BB$28</v>
      </c>
      <c r="J18" s="37" t="s">
        <v>145</v>
      </c>
    </row>
    <row r="19" spans="1:10" x14ac:dyDescent="0.35">
      <c r="A19" s="32" t="s">
        <v>14</v>
      </c>
      <c r="B19" s="32">
        <f t="shared" si="5"/>
        <v>2040</v>
      </c>
      <c r="C19" s="33" t="s">
        <v>31</v>
      </c>
      <c r="D19" s="34" t="s">
        <v>128</v>
      </c>
      <c r="E19" s="35" t="str">
        <f t="shared" si="0"/>
        <v>PDP'!</v>
      </c>
      <c r="F19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9" s="32" t="s">
        <v>112</v>
      </c>
      <c r="H19" s="33">
        <f t="shared" si="4"/>
        <v>29</v>
      </c>
      <c r="I19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ECP\Cantagallo\Cristalina\[CRISTALINA_CF_SEC_New_09-Feb-2024.xlsx]D-PDP'!$BB$29</v>
      </c>
      <c r="J19" s="37" t="s">
        <v>146</v>
      </c>
    </row>
    <row r="20" spans="1:10" x14ac:dyDescent="0.35">
      <c r="A20" s="32" t="s">
        <v>14</v>
      </c>
      <c r="B20" s="32">
        <f>+B19+1</f>
        <v>2041</v>
      </c>
      <c r="C20" s="33" t="s">
        <v>31</v>
      </c>
      <c r="D20" s="34" t="s">
        <v>128</v>
      </c>
      <c r="E20" s="35" t="str">
        <f t="shared" si="0"/>
        <v>PDP'!</v>
      </c>
      <c r="F20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0" s="32" t="s">
        <v>112</v>
      </c>
      <c r="H20" s="33">
        <f t="shared" si="4"/>
        <v>30</v>
      </c>
      <c r="I20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ECP\Cantagallo\Cristalina\[CRISTALINA_CF_SEC_New_09-Feb-2024.xlsx]D-PDP'!$BB$30</v>
      </c>
      <c r="J20" s="37" t="s">
        <v>147</v>
      </c>
    </row>
    <row r="21" spans="1:10" x14ac:dyDescent="0.35">
      <c r="A21" s="32" t="s">
        <v>14</v>
      </c>
      <c r="B21" s="32">
        <f t="shared" ref="B21:B22" si="6">+B20+1</f>
        <v>2042</v>
      </c>
      <c r="C21" s="33" t="s">
        <v>31</v>
      </c>
      <c r="D21" s="34" t="s">
        <v>128</v>
      </c>
      <c r="E21" s="35" t="str">
        <f t="shared" si="0"/>
        <v>PDP'!</v>
      </c>
      <c r="F21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" s="32" t="s">
        <v>112</v>
      </c>
      <c r="H21" s="33">
        <f t="shared" si="4"/>
        <v>31</v>
      </c>
      <c r="I21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ECP\Cantagallo\Cristalina\[CRISTALINA_CF_SEC_New_09-Feb-2024.xlsx]D-PDP'!$BB$31</v>
      </c>
      <c r="J21" s="37" t="s">
        <v>148</v>
      </c>
    </row>
    <row r="22" spans="1:10" x14ac:dyDescent="0.35">
      <c r="A22" s="32" t="s">
        <v>14</v>
      </c>
      <c r="B22" s="32">
        <f t="shared" si="6"/>
        <v>2043</v>
      </c>
      <c r="C22" s="33" t="s">
        <v>31</v>
      </c>
      <c r="D22" s="34" t="s">
        <v>128</v>
      </c>
      <c r="E22" s="35" t="str">
        <f t="shared" si="0"/>
        <v>PDP'!</v>
      </c>
      <c r="F22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2" s="32" t="s">
        <v>112</v>
      </c>
      <c r="H22" s="33">
        <f t="shared" si="4"/>
        <v>32</v>
      </c>
      <c r="I22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ECP\Cantagallo\Cristalina\[CRISTALINA_CF_SEC_New_09-Feb-2024.xlsx]D-PDP'!$BB$32</v>
      </c>
      <c r="J22" s="37" t="s">
        <v>149</v>
      </c>
    </row>
    <row r="23" spans="1:10" x14ac:dyDescent="0.35">
      <c r="A23" s="32" t="s">
        <v>14</v>
      </c>
      <c r="B23" s="32">
        <f>+B22+1</f>
        <v>2044</v>
      </c>
      <c r="C23" s="33" t="s">
        <v>31</v>
      </c>
      <c r="D23" s="34" t="s">
        <v>128</v>
      </c>
      <c r="E23" s="35" t="str">
        <f t="shared" ref="E23:E38" si="7">_xlfn.CONCAT(A23,"'!")</f>
        <v>PDP'!</v>
      </c>
      <c r="F23" s="34" t="str">
        <f t="shared" ref="F23:F38" si="8">_xlfn.CONCAT(D23:E23)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3" s="32" t="s">
        <v>112</v>
      </c>
      <c r="H23" s="33">
        <f t="shared" ref="H23:H38" si="9">IF(A23&lt;&gt;A22,12,H22+1)</f>
        <v>33</v>
      </c>
      <c r="I23" s="33" t="str">
        <f t="shared" ref="I23:I38" si="10">_xlfn.CONCAT("='",F23:H23)</f>
        <v>='C:\Users\jaime.benazar\Quorum Business Solutions\Ecopetrol Prometeo - Documents\Planning Space Implementation\3. Analysis &amp; Design\Design\FC22\DRR Jaime\Por presentar a ECP\Cantagallo\Cristalina\[CRISTALINA_CF_SEC_New_09-Feb-2024.xlsx]D-PDP'!$BB$33</v>
      </c>
      <c r="J23" s="37" t="s">
        <v>150</v>
      </c>
    </row>
    <row r="24" spans="1:10" x14ac:dyDescent="0.35">
      <c r="A24" s="32" t="s">
        <v>14</v>
      </c>
      <c r="B24" s="32">
        <f t="shared" ref="B24:B38" si="11">+B23+1</f>
        <v>2045</v>
      </c>
      <c r="C24" s="33" t="s">
        <v>31</v>
      </c>
      <c r="D24" s="34" t="s">
        <v>128</v>
      </c>
      <c r="E24" s="35" t="str">
        <f t="shared" si="7"/>
        <v>PDP'!</v>
      </c>
      <c r="F24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4" s="32" t="s">
        <v>112</v>
      </c>
      <c r="H24" s="33">
        <f t="shared" si="9"/>
        <v>34</v>
      </c>
      <c r="I24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ECP\Cantagallo\Cristalina\[CRISTALINA_CF_SEC_New_09-Feb-2024.xlsx]D-PDP'!$BB$34</v>
      </c>
      <c r="J24" s="37" t="s">
        <v>151</v>
      </c>
    </row>
    <row r="25" spans="1:10" x14ac:dyDescent="0.35">
      <c r="A25" s="32" t="s">
        <v>14</v>
      </c>
      <c r="B25" s="32">
        <f t="shared" si="11"/>
        <v>2046</v>
      </c>
      <c r="C25" s="33" t="s">
        <v>31</v>
      </c>
      <c r="D25" s="34" t="s">
        <v>128</v>
      </c>
      <c r="E25" s="35" t="str">
        <f t="shared" si="7"/>
        <v>PDP'!</v>
      </c>
      <c r="F25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" s="32" t="s">
        <v>112</v>
      </c>
      <c r="H25" s="33">
        <f t="shared" si="9"/>
        <v>35</v>
      </c>
      <c r="I25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ECP\Cantagallo\Cristalina\[CRISTALINA_CF_SEC_New_09-Feb-2024.xlsx]D-PDP'!$BB$35</v>
      </c>
      <c r="J25" s="37" t="s">
        <v>152</v>
      </c>
    </row>
    <row r="26" spans="1:10" x14ac:dyDescent="0.35">
      <c r="A26" s="32" t="s">
        <v>14</v>
      </c>
      <c r="B26" s="32">
        <f t="shared" si="11"/>
        <v>2047</v>
      </c>
      <c r="C26" s="33" t="s">
        <v>31</v>
      </c>
      <c r="D26" s="34" t="s">
        <v>128</v>
      </c>
      <c r="E26" s="35" t="str">
        <f t="shared" si="7"/>
        <v>PDP'!</v>
      </c>
      <c r="F26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6" s="32" t="s">
        <v>112</v>
      </c>
      <c r="H26" s="33">
        <f t="shared" si="9"/>
        <v>36</v>
      </c>
      <c r="I26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ECP\Cantagallo\Cristalina\[CRISTALINA_CF_SEC_New_09-Feb-2024.xlsx]D-PDP'!$BB$36</v>
      </c>
      <c r="J26" s="37" t="s">
        <v>153</v>
      </c>
    </row>
    <row r="27" spans="1:10" x14ac:dyDescent="0.35">
      <c r="A27" s="32" t="s">
        <v>14</v>
      </c>
      <c r="B27" s="32">
        <f t="shared" si="11"/>
        <v>2048</v>
      </c>
      <c r="C27" s="33" t="s">
        <v>31</v>
      </c>
      <c r="D27" s="34" t="s">
        <v>128</v>
      </c>
      <c r="E27" s="35" t="str">
        <f t="shared" si="7"/>
        <v>PDP'!</v>
      </c>
      <c r="F27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7" s="32" t="s">
        <v>112</v>
      </c>
      <c r="H27" s="33">
        <f t="shared" si="9"/>
        <v>37</v>
      </c>
      <c r="I27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ECP\Cantagallo\Cristalina\[CRISTALINA_CF_SEC_New_09-Feb-2024.xlsx]D-PDP'!$BB$37</v>
      </c>
      <c r="J27" s="37" t="s">
        <v>154</v>
      </c>
    </row>
    <row r="28" spans="1:10" x14ac:dyDescent="0.35">
      <c r="A28" s="32" t="s">
        <v>14</v>
      </c>
      <c r="B28" s="32">
        <f t="shared" si="11"/>
        <v>2049</v>
      </c>
      <c r="C28" s="33" t="s">
        <v>31</v>
      </c>
      <c r="D28" s="34" t="s">
        <v>128</v>
      </c>
      <c r="E28" s="35" t="str">
        <f t="shared" si="7"/>
        <v>PDP'!</v>
      </c>
      <c r="F28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8" s="32" t="s">
        <v>112</v>
      </c>
      <c r="H28" s="33">
        <f t="shared" si="9"/>
        <v>38</v>
      </c>
      <c r="I28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ECP\Cantagallo\Cristalina\[CRISTALINA_CF_SEC_New_09-Feb-2024.xlsx]D-PDP'!$BB$38</v>
      </c>
      <c r="J28" s="37" t="s">
        <v>155</v>
      </c>
    </row>
    <row r="29" spans="1:10" x14ac:dyDescent="0.35">
      <c r="A29" s="32" t="s">
        <v>14</v>
      </c>
      <c r="B29" s="32">
        <f t="shared" si="11"/>
        <v>2050</v>
      </c>
      <c r="C29" s="33" t="s">
        <v>31</v>
      </c>
      <c r="D29" s="34" t="s">
        <v>128</v>
      </c>
      <c r="E29" s="35" t="str">
        <f t="shared" si="7"/>
        <v>PDP'!</v>
      </c>
      <c r="F29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" s="32" t="s">
        <v>112</v>
      </c>
      <c r="H29" s="33">
        <f t="shared" si="9"/>
        <v>39</v>
      </c>
      <c r="I29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ECP\Cantagallo\Cristalina\[CRISTALINA_CF_SEC_New_09-Feb-2024.xlsx]D-PDP'!$BB$39</v>
      </c>
      <c r="J29" s="37" t="s">
        <v>156</v>
      </c>
    </row>
    <row r="30" spans="1:10" x14ac:dyDescent="0.35">
      <c r="A30" s="32" t="s">
        <v>14</v>
      </c>
      <c r="B30" s="32">
        <f t="shared" si="11"/>
        <v>2051</v>
      </c>
      <c r="C30" s="33" t="s">
        <v>31</v>
      </c>
      <c r="D30" s="34" t="s">
        <v>128</v>
      </c>
      <c r="E30" s="35" t="str">
        <f t="shared" si="7"/>
        <v>PDP'!</v>
      </c>
      <c r="F30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0" s="32" t="s">
        <v>112</v>
      </c>
      <c r="H30" s="33">
        <f t="shared" si="9"/>
        <v>40</v>
      </c>
      <c r="I30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ECP\Cantagallo\Cristalina\[CRISTALINA_CF_SEC_New_09-Feb-2024.xlsx]D-PDP'!$BB$40</v>
      </c>
      <c r="J30" s="37" t="s">
        <v>157</v>
      </c>
    </row>
    <row r="31" spans="1:10" x14ac:dyDescent="0.35">
      <c r="A31" s="32" t="s">
        <v>14</v>
      </c>
      <c r="B31" s="32">
        <f t="shared" si="11"/>
        <v>2052</v>
      </c>
      <c r="C31" s="33" t="s">
        <v>31</v>
      </c>
      <c r="D31" s="34" t="s">
        <v>128</v>
      </c>
      <c r="E31" s="35" t="str">
        <f t="shared" si="7"/>
        <v>PDP'!</v>
      </c>
      <c r="F31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1" s="32" t="s">
        <v>112</v>
      </c>
      <c r="H31" s="33">
        <f t="shared" si="9"/>
        <v>41</v>
      </c>
      <c r="I31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ECP\Cantagallo\Cristalina\[CRISTALINA_CF_SEC_New_09-Feb-2024.xlsx]D-PDP'!$BB$41</v>
      </c>
      <c r="J31" s="37" t="s">
        <v>158</v>
      </c>
    </row>
    <row r="32" spans="1:10" x14ac:dyDescent="0.35">
      <c r="A32" s="32" t="s">
        <v>14</v>
      </c>
      <c r="B32" s="32">
        <f t="shared" si="11"/>
        <v>2053</v>
      </c>
      <c r="C32" s="33" t="s">
        <v>31</v>
      </c>
      <c r="D32" s="34" t="s">
        <v>128</v>
      </c>
      <c r="E32" s="35" t="str">
        <f t="shared" si="7"/>
        <v>PDP'!</v>
      </c>
      <c r="F32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2" s="32" t="s">
        <v>112</v>
      </c>
      <c r="H32" s="33">
        <f t="shared" si="9"/>
        <v>42</v>
      </c>
      <c r="I32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ECP\Cantagallo\Cristalina\[CRISTALINA_CF_SEC_New_09-Feb-2024.xlsx]D-PDP'!$BB$42</v>
      </c>
      <c r="J32" s="37" t="s">
        <v>159</v>
      </c>
    </row>
    <row r="33" spans="1:25" x14ac:dyDescent="0.35">
      <c r="A33" s="32" t="s">
        <v>14</v>
      </c>
      <c r="B33" s="32">
        <f t="shared" si="11"/>
        <v>2054</v>
      </c>
      <c r="C33" s="33" t="s">
        <v>31</v>
      </c>
      <c r="D33" s="34" t="s">
        <v>128</v>
      </c>
      <c r="E33" s="35" t="str">
        <f t="shared" si="7"/>
        <v>PDP'!</v>
      </c>
      <c r="F33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" s="32" t="s">
        <v>112</v>
      </c>
      <c r="H33" s="33">
        <f t="shared" si="9"/>
        <v>43</v>
      </c>
      <c r="I33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ECP\Cantagallo\Cristalina\[CRISTALINA_CF_SEC_New_09-Feb-2024.xlsx]D-PDP'!$BB$43</v>
      </c>
      <c r="J33" s="37" t="s">
        <v>160</v>
      </c>
    </row>
    <row r="34" spans="1:25" x14ac:dyDescent="0.35">
      <c r="A34" s="32" t="s">
        <v>14</v>
      </c>
      <c r="B34" s="32">
        <f t="shared" si="11"/>
        <v>2055</v>
      </c>
      <c r="C34" s="33" t="s">
        <v>31</v>
      </c>
      <c r="D34" s="34" t="s">
        <v>128</v>
      </c>
      <c r="E34" s="35" t="str">
        <f t="shared" si="7"/>
        <v>PDP'!</v>
      </c>
      <c r="F34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4" s="32" t="s">
        <v>112</v>
      </c>
      <c r="H34" s="33">
        <f t="shared" si="9"/>
        <v>44</v>
      </c>
      <c r="I34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ECP\Cantagallo\Cristalina\[CRISTALINA_CF_SEC_New_09-Feb-2024.xlsx]D-PDP'!$BB$44</v>
      </c>
      <c r="J34" s="37" t="s">
        <v>161</v>
      </c>
    </row>
    <row r="35" spans="1:25" x14ac:dyDescent="0.35">
      <c r="A35" s="32" t="s">
        <v>14</v>
      </c>
      <c r="B35" s="32">
        <f t="shared" si="11"/>
        <v>2056</v>
      </c>
      <c r="C35" s="33" t="s">
        <v>31</v>
      </c>
      <c r="D35" s="34" t="s">
        <v>128</v>
      </c>
      <c r="E35" s="35" t="str">
        <f t="shared" si="7"/>
        <v>PDP'!</v>
      </c>
      <c r="F35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5" s="32" t="s">
        <v>112</v>
      </c>
      <c r="H35" s="33">
        <f t="shared" si="9"/>
        <v>45</v>
      </c>
      <c r="I35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ECP\Cantagallo\Cristalina\[CRISTALINA_CF_SEC_New_09-Feb-2024.xlsx]D-PDP'!$BB$45</v>
      </c>
      <c r="J35" s="37" t="s">
        <v>162</v>
      </c>
    </row>
    <row r="36" spans="1:25" x14ac:dyDescent="0.35">
      <c r="A36" s="32" t="s">
        <v>14</v>
      </c>
      <c r="B36" s="32">
        <f t="shared" si="11"/>
        <v>2057</v>
      </c>
      <c r="C36" s="33" t="s">
        <v>31</v>
      </c>
      <c r="D36" s="34" t="s">
        <v>128</v>
      </c>
      <c r="E36" s="35" t="str">
        <f t="shared" si="7"/>
        <v>PDP'!</v>
      </c>
      <c r="F36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6" s="32" t="s">
        <v>112</v>
      </c>
      <c r="H36" s="33">
        <f t="shared" si="9"/>
        <v>46</v>
      </c>
      <c r="I36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ECP\Cantagallo\Cristalina\[CRISTALINA_CF_SEC_New_09-Feb-2024.xlsx]D-PDP'!$BB$46</v>
      </c>
      <c r="J36" s="37" t="s">
        <v>163</v>
      </c>
    </row>
    <row r="37" spans="1:25" x14ac:dyDescent="0.35">
      <c r="A37" s="32" t="s">
        <v>14</v>
      </c>
      <c r="B37" s="32">
        <f t="shared" si="11"/>
        <v>2058</v>
      </c>
      <c r="C37" s="33" t="s">
        <v>31</v>
      </c>
      <c r="D37" s="34" t="s">
        <v>128</v>
      </c>
      <c r="E37" s="35" t="str">
        <f t="shared" si="7"/>
        <v>PDP'!</v>
      </c>
      <c r="F37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" s="32" t="s">
        <v>112</v>
      </c>
      <c r="H37" s="33">
        <f t="shared" si="9"/>
        <v>47</v>
      </c>
      <c r="I37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ECP\Cantagallo\Cristalina\[CRISTALINA_CF_SEC_New_09-Feb-2024.xlsx]D-PDP'!$BB$47</v>
      </c>
      <c r="J37" s="37" t="s">
        <v>164</v>
      </c>
    </row>
    <row r="38" spans="1:25" x14ac:dyDescent="0.35">
      <c r="A38" s="32" t="s">
        <v>14</v>
      </c>
      <c r="B38" s="32">
        <f t="shared" si="11"/>
        <v>2059</v>
      </c>
      <c r="C38" s="33" t="s">
        <v>31</v>
      </c>
      <c r="D38" s="34" t="s">
        <v>128</v>
      </c>
      <c r="E38" s="35" t="str">
        <f t="shared" si="7"/>
        <v>PDP'!</v>
      </c>
      <c r="F38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8" s="32" t="s">
        <v>112</v>
      </c>
      <c r="H38" s="33">
        <f t="shared" si="9"/>
        <v>48</v>
      </c>
      <c r="I38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ECP\Cantagallo\Cristalina\[CRISTALINA_CF_SEC_New_09-Feb-2024.xlsx]D-PDP'!$BB$48</v>
      </c>
      <c r="J38" s="37" t="s">
        <v>165</v>
      </c>
    </row>
    <row r="39" spans="1:25" x14ac:dyDescent="0.35">
      <c r="A39" s="32" t="s">
        <v>26</v>
      </c>
      <c r="B39" s="32"/>
      <c r="C39" s="33" t="s">
        <v>31</v>
      </c>
      <c r="D39" s="34"/>
      <c r="E39" s="35"/>
      <c r="F39" s="34"/>
      <c r="G39" s="32"/>
      <c r="H39" s="33"/>
      <c r="I39" s="33"/>
      <c r="J39" s="33"/>
    </row>
    <row r="40" spans="1:25" x14ac:dyDescent="0.35">
      <c r="A40" s="32" t="s">
        <v>15</v>
      </c>
      <c r="B40" s="32">
        <v>2023</v>
      </c>
      <c r="C40" s="33" t="s">
        <v>31</v>
      </c>
      <c r="D40" s="34" t="s">
        <v>128</v>
      </c>
      <c r="E40" s="35" t="str">
        <f t="shared" si="0"/>
        <v>PNP'!</v>
      </c>
      <c r="F40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0" s="32" t="s">
        <v>112</v>
      </c>
      <c r="H40" s="33">
        <v>12</v>
      </c>
      <c r="I40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ECP\Cantagallo\Cristalina\[CRISTALINA_CF_SEC_New_09-Feb-2024.xlsx]D-PNP'!$BB$12</v>
      </c>
      <c r="J40" s="37" t="s">
        <v>166</v>
      </c>
    </row>
    <row r="41" spans="1:25" x14ac:dyDescent="0.35">
      <c r="A41" s="32" t="s">
        <v>15</v>
      </c>
      <c r="B41" s="32">
        <f>+B40+1</f>
        <v>2024</v>
      </c>
      <c r="C41" s="33" t="s">
        <v>31</v>
      </c>
      <c r="D41" s="34" t="s">
        <v>128</v>
      </c>
      <c r="E41" s="35" t="str">
        <f t="shared" si="0"/>
        <v>PNP'!</v>
      </c>
      <c r="F41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1" s="32" t="s">
        <v>112</v>
      </c>
      <c r="H41" s="33">
        <f>IF(A41&lt;&gt;A40,12,H40+1)</f>
        <v>13</v>
      </c>
      <c r="I41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ECP\Cantagallo\Cristalina\[CRISTALINA_CF_SEC_New_09-Feb-2024.xlsx]D-PNP'!$BB$13</v>
      </c>
      <c r="J41" s="37" t="s">
        <v>167</v>
      </c>
    </row>
    <row r="42" spans="1:25" x14ac:dyDescent="0.35">
      <c r="A42" s="32" t="s">
        <v>15</v>
      </c>
      <c r="B42" s="32">
        <f t="shared" ref="B42:B53" si="12">+B41+1</f>
        <v>2025</v>
      </c>
      <c r="C42" s="33" t="s">
        <v>31</v>
      </c>
      <c r="D42" s="34" t="s">
        <v>128</v>
      </c>
      <c r="E42" s="35" t="str">
        <f t="shared" si="0"/>
        <v>PNP'!</v>
      </c>
      <c r="F42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2" s="32" t="s">
        <v>112</v>
      </c>
      <c r="H42" s="33">
        <f t="shared" ref="H42:H60" si="13">IF(A42&lt;&gt;A41,12,H41+1)</f>
        <v>14</v>
      </c>
      <c r="I42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ECP\Cantagallo\Cristalina\[CRISTALINA_CF_SEC_New_09-Feb-2024.xlsx]D-PNP'!$BB$14</v>
      </c>
      <c r="J42" s="37" t="s">
        <v>168</v>
      </c>
    </row>
    <row r="43" spans="1:25" x14ac:dyDescent="0.35">
      <c r="A43" s="32" t="s">
        <v>15</v>
      </c>
      <c r="B43" s="32">
        <f t="shared" si="12"/>
        <v>2026</v>
      </c>
      <c r="C43" s="33" t="s">
        <v>31</v>
      </c>
      <c r="D43" s="34" t="s">
        <v>128</v>
      </c>
      <c r="E43" s="35" t="str">
        <f t="shared" si="0"/>
        <v>PNP'!</v>
      </c>
      <c r="F43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3" s="32" t="s">
        <v>112</v>
      </c>
      <c r="H43" s="33">
        <f t="shared" si="13"/>
        <v>15</v>
      </c>
      <c r="I43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ECP\Cantagallo\Cristalina\[CRISTALINA_CF_SEC_New_09-Feb-2024.xlsx]D-PNP'!$BB$15</v>
      </c>
      <c r="J43" s="37" t="s">
        <v>169</v>
      </c>
    </row>
    <row r="44" spans="1:25" x14ac:dyDescent="0.35">
      <c r="A44" s="32" t="s">
        <v>15</v>
      </c>
      <c r="B44" s="32">
        <f t="shared" si="12"/>
        <v>2027</v>
      </c>
      <c r="C44" s="33" t="s">
        <v>31</v>
      </c>
      <c r="D44" s="34" t="s">
        <v>128</v>
      </c>
      <c r="E44" s="35" t="str">
        <f t="shared" si="0"/>
        <v>PNP'!</v>
      </c>
      <c r="F44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4" s="32" t="s">
        <v>112</v>
      </c>
      <c r="H44" s="33">
        <f t="shared" si="13"/>
        <v>16</v>
      </c>
      <c r="I44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ECP\Cantagallo\Cristalina\[CRISTALINA_CF_SEC_New_09-Feb-2024.xlsx]D-PNP'!$BB$16</v>
      </c>
      <c r="J44" s="37" t="s">
        <v>170</v>
      </c>
    </row>
    <row r="45" spans="1:25" x14ac:dyDescent="0.35">
      <c r="A45" s="32" t="s">
        <v>15</v>
      </c>
      <c r="B45" s="32">
        <f t="shared" si="12"/>
        <v>2028</v>
      </c>
      <c r="C45" s="33" t="s">
        <v>31</v>
      </c>
      <c r="D45" s="34" t="s">
        <v>128</v>
      </c>
      <c r="E45" s="35" t="str">
        <f t="shared" si="0"/>
        <v>PNP'!</v>
      </c>
      <c r="F45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5" s="32" t="s">
        <v>112</v>
      </c>
      <c r="H45" s="33">
        <f t="shared" si="13"/>
        <v>17</v>
      </c>
      <c r="I45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ECP\Cantagallo\Cristalina\[CRISTALINA_CF_SEC_New_09-Feb-2024.xlsx]D-PNP'!$BB$17</v>
      </c>
      <c r="J45" s="37" t="s">
        <v>171</v>
      </c>
    </row>
    <row r="46" spans="1:25" x14ac:dyDescent="0.35">
      <c r="A46" s="32" t="s">
        <v>15</v>
      </c>
      <c r="B46" s="32">
        <f t="shared" si="12"/>
        <v>2029</v>
      </c>
      <c r="C46" s="33" t="s">
        <v>31</v>
      </c>
      <c r="D46" s="34" t="s">
        <v>128</v>
      </c>
      <c r="E46" s="35" t="str">
        <f t="shared" si="0"/>
        <v>PNP'!</v>
      </c>
      <c r="F46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6" s="32" t="s">
        <v>112</v>
      </c>
      <c r="H46" s="33">
        <f t="shared" si="13"/>
        <v>18</v>
      </c>
      <c r="I46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ECP\Cantagallo\Cristalina\[CRISTALINA_CF_SEC_New_09-Feb-2024.xlsx]D-PNP'!$BB$18</v>
      </c>
      <c r="J46" s="37" t="s">
        <v>172</v>
      </c>
    </row>
    <row r="47" spans="1:25" x14ac:dyDescent="0.35">
      <c r="A47" s="32" t="s">
        <v>15</v>
      </c>
      <c r="B47" s="33">
        <f t="shared" si="12"/>
        <v>2030</v>
      </c>
      <c r="C47" s="33" t="s">
        <v>31</v>
      </c>
      <c r="D47" s="34" t="s">
        <v>128</v>
      </c>
      <c r="E47" s="35" t="str">
        <f t="shared" ref="E47" si="14">_xlfn.CONCAT(A47,"'!")</f>
        <v>PNP'!</v>
      </c>
      <c r="F47" s="34" t="str">
        <f t="shared" ref="F47" si="15">_xlfn.CONCAT(D47:E47)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7" s="32" t="s">
        <v>112</v>
      </c>
      <c r="H47" s="33">
        <f t="shared" ref="H47" si="16">IF(A47&lt;&gt;A46,12,H46+1)</f>
        <v>19</v>
      </c>
      <c r="I47" s="33" t="str">
        <f t="shared" ref="I47" si="17">_xlfn.CONCAT("='",F47:H47)</f>
        <v>='C:\Users\jaime.benazar\Quorum Business Solutions\Ecopetrol Prometeo - Documents\Planning Space Implementation\3. Analysis &amp; Design\Design\FC22\DRR Jaime\Por presentar a ECP\Cantagallo\Cristalina\[CRISTALINA_CF_SEC_New_09-Feb-2024.xlsx]D-PNP'!$BB$19</v>
      </c>
      <c r="J47" s="37" t="s">
        <v>173</v>
      </c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</row>
    <row r="48" spans="1:25" x14ac:dyDescent="0.35">
      <c r="A48" s="32" t="s">
        <v>15</v>
      </c>
      <c r="B48" s="32">
        <f t="shared" si="12"/>
        <v>2031</v>
      </c>
      <c r="C48" s="33" t="s">
        <v>31</v>
      </c>
      <c r="D48" s="34" t="s">
        <v>128</v>
      </c>
      <c r="E48" s="35" t="str">
        <f t="shared" si="0"/>
        <v>PNP'!</v>
      </c>
      <c r="F48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8" s="32" t="s">
        <v>112</v>
      </c>
      <c r="H48" s="33">
        <f t="shared" si="13"/>
        <v>20</v>
      </c>
      <c r="I48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ECP\Cantagallo\Cristalina\[CRISTALINA_CF_SEC_New_09-Feb-2024.xlsx]D-PNP'!$BB$20</v>
      </c>
      <c r="J48" s="37" t="s">
        <v>174</v>
      </c>
    </row>
    <row r="49" spans="1:10" x14ac:dyDescent="0.35">
      <c r="A49" s="32" t="s">
        <v>15</v>
      </c>
      <c r="B49" s="32">
        <f t="shared" si="12"/>
        <v>2032</v>
      </c>
      <c r="C49" s="33" t="s">
        <v>31</v>
      </c>
      <c r="D49" s="34" t="s">
        <v>128</v>
      </c>
      <c r="E49" s="35" t="str">
        <f t="shared" si="0"/>
        <v>PNP'!</v>
      </c>
      <c r="F49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9" s="32" t="s">
        <v>112</v>
      </c>
      <c r="H49" s="33">
        <f t="shared" si="13"/>
        <v>21</v>
      </c>
      <c r="I49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ECP\Cantagallo\Cristalina\[CRISTALINA_CF_SEC_New_09-Feb-2024.xlsx]D-PNP'!$BB$21</v>
      </c>
      <c r="J49" s="37" t="s">
        <v>175</v>
      </c>
    </row>
    <row r="50" spans="1:10" x14ac:dyDescent="0.35">
      <c r="A50" s="32" t="s">
        <v>15</v>
      </c>
      <c r="B50" s="32">
        <f t="shared" si="12"/>
        <v>2033</v>
      </c>
      <c r="C50" s="33" t="s">
        <v>31</v>
      </c>
      <c r="D50" s="34" t="s">
        <v>128</v>
      </c>
      <c r="E50" s="35" t="str">
        <f t="shared" si="0"/>
        <v>PNP'!</v>
      </c>
      <c r="F50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50" s="32" t="s">
        <v>112</v>
      </c>
      <c r="H50" s="33">
        <f t="shared" si="13"/>
        <v>22</v>
      </c>
      <c r="I50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ECP\Cantagallo\Cristalina\[CRISTALINA_CF_SEC_New_09-Feb-2024.xlsx]D-PNP'!$BB$22</v>
      </c>
      <c r="J50" s="37" t="s">
        <v>176</v>
      </c>
    </row>
    <row r="51" spans="1:10" x14ac:dyDescent="0.35">
      <c r="A51" s="32" t="s">
        <v>15</v>
      </c>
      <c r="B51" s="32">
        <f t="shared" si="12"/>
        <v>2034</v>
      </c>
      <c r="C51" s="33" t="s">
        <v>31</v>
      </c>
      <c r="D51" s="34" t="s">
        <v>128</v>
      </c>
      <c r="E51" s="35" t="str">
        <f t="shared" si="0"/>
        <v>PNP'!</v>
      </c>
      <c r="F51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51" s="32" t="s">
        <v>112</v>
      </c>
      <c r="H51" s="33">
        <f t="shared" si="13"/>
        <v>23</v>
      </c>
      <c r="I51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ECP\Cantagallo\Cristalina\[CRISTALINA_CF_SEC_New_09-Feb-2024.xlsx]D-PNP'!$BB$23</v>
      </c>
      <c r="J51" s="37" t="s">
        <v>177</v>
      </c>
    </row>
    <row r="52" spans="1:10" x14ac:dyDescent="0.35">
      <c r="A52" s="32" t="s">
        <v>15</v>
      </c>
      <c r="B52" s="32">
        <f t="shared" si="12"/>
        <v>2035</v>
      </c>
      <c r="C52" s="33" t="s">
        <v>31</v>
      </c>
      <c r="D52" s="34" t="s">
        <v>128</v>
      </c>
      <c r="E52" s="35" t="str">
        <f t="shared" si="0"/>
        <v>PNP'!</v>
      </c>
      <c r="F52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52" s="32" t="s">
        <v>112</v>
      </c>
      <c r="H52" s="33">
        <f t="shared" si="13"/>
        <v>24</v>
      </c>
      <c r="I52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ECP\Cantagallo\Cristalina\[CRISTALINA_CF_SEC_New_09-Feb-2024.xlsx]D-PNP'!$BB$24</v>
      </c>
      <c r="J52" s="37" t="s">
        <v>178</v>
      </c>
    </row>
    <row r="53" spans="1:10" x14ac:dyDescent="0.35">
      <c r="A53" s="32" t="s">
        <v>15</v>
      </c>
      <c r="B53" s="32">
        <f t="shared" si="12"/>
        <v>2036</v>
      </c>
      <c r="C53" s="33" t="s">
        <v>31</v>
      </c>
      <c r="D53" s="34" t="s">
        <v>128</v>
      </c>
      <c r="E53" s="35" t="str">
        <f t="shared" si="0"/>
        <v>PNP'!</v>
      </c>
      <c r="F53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53" s="32" t="s">
        <v>112</v>
      </c>
      <c r="H53" s="33">
        <f t="shared" si="13"/>
        <v>25</v>
      </c>
      <c r="I53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ECP\Cantagallo\Cristalina\[CRISTALINA_CF_SEC_New_09-Feb-2024.xlsx]D-PNP'!$BB$25</v>
      </c>
      <c r="J53" s="37" t="s">
        <v>179</v>
      </c>
    </row>
    <row r="54" spans="1:10" x14ac:dyDescent="0.35">
      <c r="A54" s="32" t="s">
        <v>15</v>
      </c>
      <c r="B54" s="32">
        <f>+B53+1</f>
        <v>2037</v>
      </c>
      <c r="C54" s="33" t="s">
        <v>31</v>
      </c>
      <c r="D54" s="34" t="s">
        <v>128</v>
      </c>
      <c r="E54" s="35" t="str">
        <f t="shared" si="0"/>
        <v>PNP'!</v>
      </c>
      <c r="F54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54" s="32" t="s">
        <v>112</v>
      </c>
      <c r="H54" s="33">
        <f t="shared" si="13"/>
        <v>26</v>
      </c>
      <c r="I54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ECP\Cantagallo\Cristalina\[CRISTALINA_CF_SEC_New_09-Feb-2024.xlsx]D-PNP'!$BB$26</v>
      </c>
      <c r="J54" s="37" t="s">
        <v>180</v>
      </c>
    </row>
    <row r="55" spans="1:10" x14ac:dyDescent="0.35">
      <c r="A55" s="32" t="s">
        <v>15</v>
      </c>
      <c r="B55" s="32">
        <f t="shared" ref="B55:B57" si="18">+B54+1</f>
        <v>2038</v>
      </c>
      <c r="C55" s="33" t="s">
        <v>31</v>
      </c>
      <c r="D55" s="34" t="s">
        <v>128</v>
      </c>
      <c r="E55" s="35" t="str">
        <f t="shared" si="0"/>
        <v>PNP'!</v>
      </c>
      <c r="F55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55" s="32" t="s">
        <v>112</v>
      </c>
      <c r="H55" s="33">
        <f t="shared" si="13"/>
        <v>27</v>
      </c>
      <c r="I55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ECP\Cantagallo\Cristalina\[CRISTALINA_CF_SEC_New_09-Feb-2024.xlsx]D-PNP'!$BB$27</v>
      </c>
      <c r="J55" s="37" t="s">
        <v>181</v>
      </c>
    </row>
    <row r="56" spans="1:10" x14ac:dyDescent="0.35">
      <c r="A56" s="32" t="s">
        <v>15</v>
      </c>
      <c r="B56" s="32">
        <f t="shared" si="18"/>
        <v>2039</v>
      </c>
      <c r="C56" s="33" t="s">
        <v>31</v>
      </c>
      <c r="D56" s="34" t="s">
        <v>128</v>
      </c>
      <c r="E56" s="35" t="str">
        <f t="shared" si="0"/>
        <v>PNP'!</v>
      </c>
      <c r="F56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56" s="32" t="s">
        <v>112</v>
      </c>
      <c r="H56" s="33">
        <f t="shared" si="13"/>
        <v>28</v>
      </c>
      <c r="I56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ECP\Cantagallo\Cristalina\[CRISTALINA_CF_SEC_New_09-Feb-2024.xlsx]D-PNP'!$BB$28</v>
      </c>
      <c r="J56" s="37" t="s">
        <v>182</v>
      </c>
    </row>
    <row r="57" spans="1:10" x14ac:dyDescent="0.35">
      <c r="A57" s="32" t="s">
        <v>15</v>
      </c>
      <c r="B57" s="32">
        <f t="shared" si="18"/>
        <v>2040</v>
      </c>
      <c r="C57" s="33" t="s">
        <v>31</v>
      </c>
      <c r="D57" s="34" t="s">
        <v>128</v>
      </c>
      <c r="E57" s="35" t="str">
        <f t="shared" si="0"/>
        <v>PNP'!</v>
      </c>
      <c r="F57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57" s="32" t="s">
        <v>112</v>
      </c>
      <c r="H57" s="33">
        <f t="shared" si="13"/>
        <v>29</v>
      </c>
      <c r="I57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ECP\Cantagallo\Cristalina\[CRISTALINA_CF_SEC_New_09-Feb-2024.xlsx]D-PNP'!$BB$29</v>
      </c>
      <c r="J57" s="37" t="s">
        <v>183</v>
      </c>
    </row>
    <row r="58" spans="1:10" x14ac:dyDescent="0.35">
      <c r="A58" s="32" t="s">
        <v>15</v>
      </c>
      <c r="B58" s="32">
        <f>+B57+1</f>
        <v>2041</v>
      </c>
      <c r="C58" s="33" t="s">
        <v>31</v>
      </c>
      <c r="D58" s="34" t="s">
        <v>128</v>
      </c>
      <c r="E58" s="35" t="str">
        <f t="shared" si="0"/>
        <v>PNP'!</v>
      </c>
      <c r="F58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58" s="32" t="s">
        <v>112</v>
      </c>
      <c r="H58" s="33">
        <f t="shared" si="13"/>
        <v>30</v>
      </c>
      <c r="I58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ECP\Cantagallo\Cristalina\[CRISTALINA_CF_SEC_New_09-Feb-2024.xlsx]D-PNP'!$BB$30</v>
      </c>
      <c r="J58" s="37" t="s">
        <v>184</v>
      </c>
    </row>
    <row r="59" spans="1:10" x14ac:dyDescent="0.35">
      <c r="A59" s="32" t="s">
        <v>15</v>
      </c>
      <c r="B59" s="32">
        <f t="shared" ref="B59:B60" si="19">+B58+1</f>
        <v>2042</v>
      </c>
      <c r="C59" s="33" t="s">
        <v>31</v>
      </c>
      <c r="D59" s="34" t="s">
        <v>128</v>
      </c>
      <c r="E59" s="35" t="str">
        <f t="shared" si="0"/>
        <v>PNP'!</v>
      </c>
      <c r="F59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59" s="32" t="s">
        <v>112</v>
      </c>
      <c r="H59" s="33">
        <f t="shared" si="13"/>
        <v>31</v>
      </c>
      <c r="I59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ECP\Cantagallo\Cristalina\[CRISTALINA_CF_SEC_New_09-Feb-2024.xlsx]D-PNP'!$BB$31</v>
      </c>
      <c r="J59" s="37" t="s">
        <v>185</v>
      </c>
    </row>
    <row r="60" spans="1:10" x14ac:dyDescent="0.35">
      <c r="A60" s="32" t="s">
        <v>15</v>
      </c>
      <c r="B60" s="32">
        <f t="shared" si="19"/>
        <v>2043</v>
      </c>
      <c r="C60" s="33" t="s">
        <v>31</v>
      </c>
      <c r="D60" s="34" t="s">
        <v>128</v>
      </c>
      <c r="E60" s="35" t="str">
        <f t="shared" si="0"/>
        <v>PNP'!</v>
      </c>
      <c r="F60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60" s="32" t="s">
        <v>112</v>
      </c>
      <c r="H60" s="33">
        <f t="shared" si="13"/>
        <v>32</v>
      </c>
      <c r="I60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ECP\Cantagallo\Cristalina\[CRISTALINA_CF_SEC_New_09-Feb-2024.xlsx]D-PNP'!$BB$32</v>
      </c>
      <c r="J60" s="37" t="s">
        <v>186</v>
      </c>
    </row>
    <row r="61" spans="1:10" x14ac:dyDescent="0.35">
      <c r="A61" s="32" t="s">
        <v>15</v>
      </c>
      <c r="B61" s="32">
        <f>+B60+1</f>
        <v>2044</v>
      </c>
      <c r="C61" s="33" t="s">
        <v>31</v>
      </c>
      <c r="D61" s="34" t="s">
        <v>128</v>
      </c>
      <c r="E61" s="35" t="str">
        <f t="shared" ref="E61:E76" si="20">_xlfn.CONCAT(A61,"'!")</f>
        <v>PNP'!</v>
      </c>
      <c r="F61" s="34" t="str">
        <f t="shared" ref="F61:F76" si="21">_xlfn.CONCAT(D61:E61)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61" s="32" t="s">
        <v>112</v>
      </c>
      <c r="H61" s="33">
        <f t="shared" ref="H61:H76" si="22">IF(A61&lt;&gt;A60,12,H60+1)</f>
        <v>33</v>
      </c>
      <c r="I61" s="33" t="str">
        <f t="shared" ref="I61:I76" si="23">_xlfn.CONCAT("='",F61:H61)</f>
        <v>='C:\Users\jaime.benazar\Quorum Business Solutions\Ecopetrol Prometeo - Documents\Planning Space Implementation\3. Analysis &amp; Design\Design\FC22\DRR Jaime\Por presentar a ECP\Cantagallo\Cristalina\[CRISTALINA_CF_SEC_New_09-Feb-2024.xlsx]D-PNP'!$BB$33</v>
      </c>
      <c r="J61" s="37" t="s">
        <v>187</v>
      </c>
    </row>
    <row r="62" spans="1:10" x14ac:dyDescent="0.35">
      <c r="A62" s="32" t="s">
        <v>15</v>
      </c>
      <c r="B62" s="32">
        <f t="shared" ref="B62:B76" si="24">+B61+1</f>
        <v>2045</v>
      </c>
      <c r="C62" s="33" t="s">
        <v>31</v>
      </c>
      <c r="D62" s="34" t="s">
        <v>128</v>
      </c>
      <c r="E62" s="35" t="str">
        <f t="shared" si="20"/>
        <v>PNP'!</v>
      </c>
      <c r="F62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62" s="32" t="s">
        <v>112</v>
      </c>
      <c r="H62" s="33">
        <f t="shared" si="22"/>
        <v>34</v>
      </c>
      <c r="I62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ECP\Cantagallo\Cristalina\[CRISTALINA_CF_SEC_New_09-Feb-2024.xlsx]D-PNP'!$BB$34</v>
      </c>
      <c r="J62" s="37" t="s">
        <v>188</v>
      </c>
    </row>
    <row r="63" spans="1:10" x14ac:dyDescent="0.35">
      <c r="A63" s="32" t="s">
        <v>15</v>
      </c>
      <c r="B63" s="32">
        <f t="shared" si="24"/>
        <v>2046</v>
      </c>
      <c r="C63" s="33" t="s">
        <v>31</v>
      </c>
      <c r="D63" s="34" t="s">
        <v>128</v>
      </c>
      <c r="E63" s="35" t="str">
        <f t="shared" si="20"/>
        <v>PNP'!</v>
      </c>
      <c r="F63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63" s="32" t="s">
        <v>112</v>
      </c>
      <c r="H63" s="33">
        <f t="shared" si="22"/>
        <v>35</v>
      </c>
      <c r="I63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ECP\Cantagallo\Cristalina\[CRISTALINA_CF_SEC_New_09-Feb-2024.xlsx]D-PNP'!$BB$35</v>
      </c>
      <c r="J63" s="37" t="s">
        <v>189</v>
      </c>
    </row>
    <row r="64" spans="1:10" x14ac:dyDescent="0.35">
      <c r="A64" s="32" t="s">
        <v>15</v>
      </c>
      <c r="B64" s="32">
        <f t="shared" si="24"/>
        <v>2047</v>
      </c>
      <c r="C64" s="33" t="s">
        <v>31</v>
      </c>
      <c r="D64" s="34" t="s">
        <v>128</v>
      </c>
      <c r="E64" s="35" t="str">
        <f t="shared" si="20"/>
        <v>PNP'!</v>
      </c>
      <c r="F64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64" s="32" t="s">
        <v>112</v>
      </c>
      <c r="H64" s="33">
        <f t="shared" si="22"/>
        <v>36</v>
      </c>
      <c r="I64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ECP\Cantagallo\Cristalina\[CRISTALINA_CF_SEC_New_09-Feb-2024.xlsx]D-PNP'!$BB$36</v>
      </c>
      <c r="J64" s="37" t="s">
        <v>190</v>
      </c>
    </row>
    <row r="65" spans="1:10" x14ac:dyDescent="0.35">
      <c r="A65" s="32" t="s">
        <v>15</v>
      </c>
      <c r="B65" s="32">
        <f t="shared" si="24"/>
        <v>2048</v>
      </c>
      <c r="C65" s="33" t="s">
        <v>31</v>
      </c>
      <c r="D65" s="34" t="s">
        <v>128</v>
      </c>
      <c r="E65" s="35" t="str">
        <f t="shared" si="20"/>
        <v>PNP'!</v>
      </c>
      <c r="F65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65" s="32" t="s">
        <v>112</v>
      </c>
      <c r="H65" s="33">
        <f t="shared" si="22"/>
        <v>37</v>
      </c>
      <c r="I65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ECP\Cantagallo\Cristalina\[CRISTALINA_CF_SEC_New_09-Feb-2024.xlsx]D-PNP'!$BB$37</v>
      </c>
      <c r="J65" s="37" t="s">
        <v>191</v>
      </c>
    </row>
    <row r="66" spans="1:10" x14ac:dyDescent="0.35">
      <c r="A66" s="32" t="s">
        <v>15</v>
      </c>
      <c r="B66" s="32">
        <f t="shared" si="24"/>
        <v>2049</v>
      </c>
      <c r="C66" s="33" t="s">
        <v>31</v>
      </c>
      <c r="D66" s="34" t="s">
        <v>128</v>
      </c>
      <c r="E66" s="35" t="str">
        <f t="shared" si="20"/>
        <v>PNP'!</v>
      </c>
      <c r="F66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66" s="32" t="s">
        <v>112</v>
      </c>
      <c r="H66" s="33">
        <f t="shared" si="22"/>
        <v>38</v>
      </c>
      <c r="I66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ECP\Cantagallo\Cristalina\[CRISTALINA_CF_SEC_New_09-Feb-2024.xlsx]D-PNP'!$BB$38</v>
      </c>
      <c r="J66" s="37" t="s">
        <v>192</v>
      </c>
    </row>
    <row r="67" spans="1:10" x14ac:dyDescent="0.35">
      <c r="A67" s="32" t="s">
        <v>15</v>
      </c>
      <c r="B67" s="32">
        <f t="shared" si="24"/>
        <v>2050</v>
      </c>
      <c r="C67" s="33" t="s">
        <v>31</v>
      </c>
      <c r="D67" s="34" t="s">
        <v>128</v>
      </c>
      <c r="E67" s="35" t="str">
        <f t="shared" si="20"/>
        <v>PNP'!</v>
      </c>
      <c r="F67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67" s="32" t="s">
        <v>112</v>
      </c>
      <c r="H67" s="33">
        <f t="shared" si="22"/>
        <v>39</v>
      </c>
      <c r="I67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ECP\Cantagallo\Cristalina\[CRISTALINA_CF_SEC_New_09-Feb-2024.xlsx]D-PNP'!$BB$39</v>
      </c>
      <c r="J67" s="37" t="s">
        <v>193</v>
      </c>
    </row>
    <row r="68" spans="1:10" x14ac:dyDescent="0.35">
      <c r="A68" s="32" t="s">
        <v>15</v>
      </c>
      <c r="B68" s="32">
        <f t="shared" si="24"/>
        <v>2051</v>
      </c>
      <c r="C68" s="33" t="s">
        <v>31</v>
      </c>
      <c r="D68" s="34" t="s">
        <v>128</v>
      </c>
      <c r="E68" s="35" t="str">
        <f t="shared" si="20"/>
        <v>PNP'!</v>
      </c>
      <c r="F68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68" s="32" t="s">
        <v>112</v>
      </c>
      <c r="H68" s="33">
        <f t="shared" si="22"/>
        <v>40</v>
      </c>
      <c r="I68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ECP\Cantagallo\Cristalina\[CRISTALINA_CF_SEC_New_09-Feb-2024.xlsx]D-PNP'!$BB$40</v>
      </c>
      <c r="J68" s="37" t="s">
        <v>194</v>
      </c>
    </row>
    <row r="69" spans="1:10" x14ac:dyDescent="0.35">
      <c r="A69" s="32" t="s">
        <v>15</v>
      </c>
      <c r="B69" s="32">
        <f t="shared" si="24"/>
        <v>2052</v>
      </c>
      <c r="C69" s="33" t="s">
        <v>31</v>
      </c>
      <c r="D69" s="34" t="s">
        <v>128</v>
      </c>
      <c r="E69" s="35" t="str">
        <f t="shared" si="20"/>
        <v>PNP'!</v>
      </c>
      <c r="F69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69" s="32" t="s">
        <v>112</v>
      </c>
      <c r="H69" s="33">
        <f t="shared" si="22"/>
        <v>41</v>
      </c>
      <c r="I69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ECP\Cantagallo\Cristalina\[CRISTALINA_CF_SEC_New_09-Feb-2024.xlsx]D-PNP'!$BB$41</v>
      </c>
      <c r="J69" s="37" t="s">
        <v>195</v>
      </c>
    </row>
    <row r="70" spans="1:10" x14ac:dyDescent="0.35">
      <c r="A70" s="32" t="s">
        <v>15</v>
      </c>
      <c r="B70" s="32">
        <f t="shared" si="24"/>
        <v>2053</v>
      </c>
      <c r="C70" s="33" t="s">
        <v>31</v>
      </c>
      <c r="D70" s="34" t="s">
        <v>128</v>
      </c>
      <c r="E70" s="35" t="str">
        <f t="shared" si="20"/>
        <v>PNP'!</v>
      </c>
      <c r="F70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70" s="32" t="s">
        <v>112</v>
      </c>
      <c r="H70" s="33">
        <f t="shared" si="22"/>
        <v>42</v>
      </c>
      <c r="I70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ECP\Cantagallo\Cristalina\[CRISTALINA_CF_SEC_New_09-Feb-2024.xlsx]D-PNP'!$BB$42</v>
      </c>
      <c r="J70" s="37" t="s">
        <v>196</v>
      </c>
    </row>
    <row r="71" spans="1:10" x14ac:dyDescent="0.35">
      <c r="A71" s="32" t="s">
        <v>15</v>
      </c>
      <c r="B71" s="32">
        <f t="shared" si="24"/>
        <v>2054</v>
      </c>
      <c r="C71" s="33" t="s">
        <v>31</v>
      </c>
      <c r="D71" s="34" t="s">
        <v>128</v>
      </c>
      <c r="E71" s="35" t="str">
        <f t="shared" si="20"/>
        <v>PNP'!</v>
      </c>
      <c r="F71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71" s="32" t="s">
        <v>112</v>
      </c>
      <c r="H71" s="33">
        <f t="shared" si="22"/>
        <v>43</v>
      </c>
      <c r="I71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ECP\Cantagallo\Cristalina\[CRISTALINA_CF_SEC_New_09-Feb-2024.xlsx]D-PNP'!$BB$43</v>
      </c>
      <c r="J71" s="37" t="s">
        <v>197</v>
      </c>
    </row>
    <row r="72" spans="1:10" x14ac:dyDescent="0.35">
      <c r="A72" s="32" t="s">
        <v>15</v>
      </c>
      <c r="B72" s="32">
        <f t="shared" si="24"/>
        <v>2055</v>
      </c>
      <c r="C72" s="33" t="s">
        <v>31</v>
      </c>
      <c r="D72" s="34" t="s">
        <v>128</v>
      </c>
      <c r="E72" s="35" t="str">
        <f t="shared" si="20"/>
        <v>PNP'!</v>
      </c>
      <c r="F72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72" s="32" t="s">
        <v>112</v>
      </c>
      <c r="H72" s="33">
        <f t="shared" si="22"/>
        <v>44</v>
      </c>
      <c r="I72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ECP\Cantagallo\Cristalina\[CRISTALINA_CF_SEC_New_09-Feb-2024.xlsx]D-PNP'!$BB$44</v>
      </c>
      <c r="J72" s="37" t="s">
        <v>198</v>
      </c>
    </row>
    <row r="73" spans="1:10" x14ac:dyDescent="0.35">
      <c r="A73" s="32" t="s">
        <v>15</v>
      </c>
      <c r="B73" s="32">
        <f t="shared" si="24"/>
        <v>2056</v>
      </c>
      <c r="C73" s="33" t="s">
        <v>31</v>
      </c>
      <c r="D73" s="34" t="s">
        <v>128</v>
      </c>
      <c r="E73" s="35" t="str">
        <f t="shared" si="20"/>
        <v>PNP'!</v>
      </c>
      <c r="F73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73" s="32" t="s">
        <v>112</v>
      </c>
      <c r="H73" s="33">
        <f t="shared" si="22"/>
        <v>45</v>
      </c>
      <c r="I73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ECP\Cantagallo\Cristalina\[CRISTALINA_CF_SEC_New_09-Feb-2024.xlsx]D-PNP'!$BB$45</v>
      </c>
      <c r="J73" s="37" t="s">
        <v>199</v>
      </c>
    </row>
    <row r="74" spans="1:10" x14ac:dyDescent="0.35">
      <c r="A74" s="32" t="s">
        <v>15</v>
      </c>
      <c r="B74" s="32">
        <f t="shared" si="24"/>
        <v>2057</v>
      </c>
      <c r="C74" s="33" t="s">
        <v>31</v>
      </c>
      <c r="D74" s="34" t="s">
        <v>128</v>
      </c>
      <c r="E74" s="35" t="str">
        <f t="shared" si="20"/>
        <v>PNP'!</v>
      </c>
      <c r="F74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74" s="32" t="s">
        <v>112</v>
      </c>
      <c r="H74" s="33">
        <f t="shared" si="22"/>
        <v>46</v>
      </c>
      <c r="I74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ECP\Cantagallo\Cristalina\[CRISTALINA_CF_SEC_New_09-Feb-2024.xlsx]D-PNP'!$BB$46</v>
      </c>
      <c r="J74" s="37" t="s">
        <v>200</v>
      </c>
    </row>
    <row r="75" spans="1:10" x14ac:dyDescent="0.35">
      <c r="A75" s="32" t="s">
        <v>15</v>
      </c>
      <c r="B75" s="32">
        <f t="shared" si="24"/>
        <v>2058</v>
      </c>
      <c r="C75" s="33" t="s">
        <v>31</v>
      </c>
      <c r="D75" s="34" t="s">
        <v>128</v>
      </c>
      <c r="E75" s="35" t="str">
        <f t="shared" si="20"/>
        <v>PNP'!</v>
      </c>
      <c r="F75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75" s="32" t="s">
        <v>112</v>
      </c>
      <c r="H75" s="33">
        <f t="shared" si="22"/>
        <v>47</v>
      </c>
      <c r="I75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ECP\Cantagallo\Cristalina\[CRISTALINA_CF_SEC_New_09-Feb-2024.xlsx]D-PNP'!$BB$47</v>
      </c>
      <c r="J75" s="37" t="s">
        <v>201</v>
      </c>
    </row>
    <row r="76" spans="1:10" x14ac:dyDescent="0.35">
      <c r="A76" s="32" t="s">
        <v>15</v>
      </c>
      <c r="B76" s="32">
        <f t="shared" si="24"/>
        <v>2059</v>
      </c>
      <c r="C76" s="33" t="s">
        <v>31</v>
      </c>
      <c r="D76" s="34" t="s">
        <v>128</v>
      </c>
      <c r="E76" s="35" t="str">
        <f t="shared" si="20"/>
        <v>PNP'!</v>
      </c>
      <c r="F76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76" s="32" t="s">
        <v>112</v>
      </c>
      <c r="H76" s="33">
        <f t="shared" si="22"/>
        <v>48</v>
      </c>
      <c r="I76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ECP\Cantagallo\Cristalina\[CRISTALINA_CF_SEC_New_09-Feb-2024.xlsx]D-PNP'!$BB$48</v>
      </c>
      <c r="J76" s="37" t="s">
        <v>202</v>
      </c>
    </row>
    <row r="77" spans="1:10" x14ac:dyDescent="0.35">
      <c r="A77" s="32" t="s">
        <v>26</v>
      </c>
      <c r="B77" s="32"/>
      <c r="C77" s="33" t="s">
        <v>31</v>
      </c>
      <c r="D77" s="34"/>
      <c r="E77" s="35"/>
      <c r="F77" s="34"/>
      <c r="G77" s="32"/>
      <c r="H77" s="33"/>
      <c r="I77" s="33"/>
      <c r="J77" s="33"/>
    </row>
    <row r="78" spans="1:10" x14ac:dyDescent="0.35">
      <c r="A78" s="32" t="s">
        <v>16</v>
      </c>
      <c r="B78" s="32">
        <v>2023</v>
      </c>
      <c r="C78" s="33" t="s">
        <v>31</v>
      </c>
      <c r="D78" s="34" t="s">
        <v>128</v>
      </c>
      <c r="E78" s="35" t="str">
        <f t="shared" si="0"/>
        <v>PND'!</v>
      </c>
      <c r="F78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78" s="32" t="s">
        <v>112</v>
      </c>
      <c r="H78" s="33">
        <v>12</v>
      </c>
      <c r="I78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ECP\Cantagallo\Cristalina\[CRISTALINA_CF_SEC_New_09-Feb-2024.xlsx]D-PND'!$BB$12</v>
      </c>
      <c r="J78" s="37" t="s">
        <v>203</v>
      </c>
    </row>
    <row r="79" spans="1:10" x14ac:dyDescent="0.35">
      <c r="A79" s="32" t="s">
        <v>16</v>
      </c>
      <c r="B79" s="32">
        <f>+B78+1</f>
        <v>2024</v>
      </c>
      <c r="C79" s="33" t="s">
        <v>31</v>
      </c>
      <c r="D79" s="34" t="s">
        <v>128</v>
      </c>
      <c r="E79" s="35" t="str">
        <f t="shared" si="0"/>
        <v>PND'!</v>
      </c>
      <c r="F79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79" s="32" t="s">
        <v>112</v>
      </c>
      <c r="H79" s="33">
        <f>IF(A79&lt;&gt;A78,12,H78+1)</f>
        <v>13</v>
      </c>
      <c r="I79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ECP\Cantagallo\Cristalina\[CRISTALINA_CF_SEC_New_09-Feb-2024.xlsx]D-PND'!$BB$13</v>
      </c>
      <c r="J79" s="37" t="s">
        <v>204</v>
      </c>
    </row>
    <row r="80" spans="1:10" x14ac:dyDescent="0.35">
      <c r="A80" s="32" t="s">
        <v>16</v>
      </c>
      <c r="B80" s="32">
        <f t="shared" ref="B80:B91" si="25">+B79+1</f>
        <v>2025</v>
      </c>
      <c r="C80" s="33" t="s">
        <v>31</v>
      </c>
      <c r="D80" s="34" t="s">
        <v>128</v>
      </c>
      <c r="E80" s="35" t="str">
        <f t="shared" si="0"/>
        <v>PND'!</v>
      </c>
      <c r="F80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80" s="32" t="s">
        <v>112</v>
      </c>
      <c r="H80" s="33">
        <f t="shared" ref="H80:H98" si="26">IF(A80&lt;&gt;A79,12,H79+1)</f>
        <v>14</v>
      </c>
      <c r="I80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ECP\Cantagallo\Cristalina\[CRISTALINA_CF_SEC_New_09-Feb-2024.xlsx]D-PND'!$BB$14</v>
      </c>
      <c r="J80" s="37" t="s">
        <v>205</v>
      </c>
    </row>
    <row r="81" spans="1:10" x14ac:dyDescent="0.35">
      <c r="A81" s="32" t="s">
        <v>16</v>
      </c>
      <c r="B81" s="32">
        <f t="shared" si="25"/>
        <v>2026</v>
      </c>
      <c r="C81" s="33" t="s">
        <v>31</v>
      </c>
      <c r="D81" s="34" t="s">
        <v>128</v>
      </c>
      <c r="E81" s="35" t="str">
        <f t="shared" si="0"/>
        <v>PND'!</v>
      </c>
      <c r="F81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81" s="32" t="s">
        <v>112</v>
      </c>
      <c r="H81" s="33">
        <f t="shared" si="26"/>
        <v>15</v>
      </c>
      <c r="I81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ECP\Cantagallo\Cristalina\[CRISTALINA_CF_SEC_New_09-Feb-2024.xlsx]D-PND'!$BB$15</v>
      </c>
      <c r="J81" s="37" t="s">
        <v>206</v>
      </c>
    </row>
    <row r="82" spans="1:10" x14ac:dyDescent="0.35">
      <c r="A82" s="32" t="s">
        <v>16</v>
      </c>
      <c r="B82" s="32">
        <f t="shared" si="25"/>
        <v>2027</v>
      </c>
      <c r="C82" s="33" t="s">
        <v>31</v>
      </c>
      <c r="D82" s="34" t="s">
        <v>128</v>
      </c>
      <c r="E82" s="35" t="str">
        <f t="shared" si="0"/>
        <v>PND'!</v>
      </c>
      <c r="F82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82" s="32" t="s">
        <v>112</v>
      </c>
      <c r="H82" s="33">
        <f t="shared" si="26"/>
        <v>16</v>
      </c>
      <c r="I82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ECP\Cantagallo\Cristalina\[CRISTALINA_CF_SEC_New_09-Feb-2024.xlsx]D-PND'!$BB$16</v>
      </c>
      <c r="J82" s="37" t="s">
        <v>207</v>
      </c>
    </row>
    <row r="83" spans="1:10" x14ac:dyDescent="0.35">
      <c r="A83" s="32" t="s">
        <v>16</v>
      </c>
      <c r="B83" s="32">
        <f t="shared" si="25"/>
        <v>2028</v>
      </c>
      <c r="C83" s="33" t="s">
        <v>31</v>
      </c>
      <c r="D83" s="34" t="s">
        <v>128</v>
      </c>
      <c r="E83" s="35" t="str">
        <f t="shared" si="0"/>
        <v>PND'!</v>
      </c>
      <c r="F83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83" s="32" t="s">
        <v>112</v>
      </c>
      <c r="H83" s="33">
        <f t="shared" si="26"/>
        <v>17</v>
      </c>
      <c r="I83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ECP\Cantagallo\Cristalina\[CRISTALINA_CF_SEC_New_09-Feb-2024.xlsx]D-PND'!$BB$17</v>
      </c>
      <c r="J83" s="37" t="s">
        <v>208</v>
      </c>
    </row>
    <row r="84" spans="1:10" x14ac:dyDescent="0.35">
      <c r="A84" s="32" t="s">
        <v>16</v>
      </c>
      <c r="B84" s="32">
        <f t="shared" si="25"/>
        <v>2029</v>
      </c>
      <c r="C84" s="33" t="s">
        <v>31</v>
      </c>
      <c r="D84" s="34" t="s">
        <v>128</v>
      </c>
      <c r="E84" s="35" t="str">
        <f t="shared" si="0"/>
        <v>PND'!</v>
      </c>
      <c r="F84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84" s="32" t="s">
        <v>112</v>
      </c>
      <c r="H84" s="33">
        <f t="shared" si="26"/>
        <v>18</v>
      </c>
      <c r="I84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ECP\Cantagallo\Cristalina\[CRISTALINA_CF_SEC_New_09-Feb-2024.xlsx]D-PND'!$BB$18</v>
      </c>
      <c r="J84" s="37" t="s">
        <v>209</v>
      </c>
    </row>
    <row r="85" spans="1:10" x14ac:dyDescent="0.35">
      <c r="A85" s="32" t="s">
        <v>16</v>
      </c>
      <c r="B85" s="32">
        <f t="shared" si="25"/>
        <v>2030</v>
      </c>
      <c r="C85" s="33" t="s">
        <v>31</v>
      </c>
      <c r="D85" s="34" t="s">
        <v>128</v>
      </c>
      <c r="E85" s="35" t="str">
        <f t="shared" si="0"/>
        <v>PND'!</v>
      </c>
      <c r="F85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85" s="32" t="s">
        <v>112</v>
      </c>
      <c r="H85" s="33">
        <f t="shared" si="26"/>
        <v>19</v>
      </c>
      <c r="I85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ECP\Cantagallo\Cristalina\[CRISTALINA_CF_SEC_New_09-Feb-2024.xlsx]D-PND'!$BB$19</v>
      </c>
      <c r="J85" s="37" t="s">
        <v>210</v>
      </c>
    </row>
    <row r="86" spans="1:10" x14ac:dyDescent="0.35">
      <c r="A86" s="32" t="s">
        <v>16</v>
      </c>
      <c r="B86" s="32">
        <f t="shared" si="25"/>
        <v>2031</v>
      </c>
      <c r="C86" s="33" t="s">
        <v>31</v>
      </c>
      <c r="D86" s="34" t="s">
        <v>128</v>
      </c>
      <c r="E86" s="35" t="str">
        <f t="shared" si="0"/>
        <v>PND'!</v>
      </c>
      <c r="F86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86" s="32" t="s">
        <v>112</v>
      </c>
      <c r="H86" s="33">
        <f t="shared" si="26"/>
        <v>20</v>
      </c>
      <c r="I86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ECP\Cantagallo\Cristalina\[CRISTALINA_CF_SEC_New_09-Feb-2024.xlsx]D-PND'!$BB$20</v>
      </c>
      <c r="J86" s="37" t="s">
        <v>211</v>
      </c>
    </row>
    <row r="87" spans="1:10" x14ac:dyDescent="0.35">
      <c r="A87" s="32" t="s">
        <v>16</v>
      </c>
      <c r="B87" s="32">
        <f t="shared" si="25"/>
        <v>2032</v>
      </c>
      <c r="C87" s="33" t="s">
        <v>31</v>
      </c>
      <c r="D87" s="34" t="s">
        <v>128</v>
      </c>
      <c r="E87" s="35" t="str">
        <f t="shared" si="0"/>
        <v>PND'!</v>
      </c>
      <c r="F87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87" s="32" t="s">
        <v>112</v>
      </c>
      <c r="H87" s="33">
        <f t="shared" si="26"/>
        <v>21</v>
      </c>
      <c r="I87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ECP\Cantagallo\Cristalina\[CRISTALINA_CF_SEC_New_09-Feb-2024.xlsx]D-PND'!$BB$21</v>
      </c>
      <c r="J87" s="37" t="s">
        <v>212</v>
      </c>
    </row>
    <row r="88" spans="1:10" x14ac:dyDescent="0.35">
      <c r="A88" s="32" t="s">
        <v>16</v>
      </c>
      <c r="B88" s="32">
        <f t="shared" si="25"/>
        <v>2033</v>
      </c>
      <c r="C88" s="33" t="s">
        <v>31</v>
      </c>
      <c r="D88" s="34" t="s">
        <v>128</v>
      </c>
      <c r="E88" s="35" t="str">
        <f t="shared" si="0"/>
        <v>PND'!</v>
      </c>
      <c r="F88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88" s="32" t="s">
        <v>112</v>
      </c>
      <c r="H88" s="33">
        <f t="shared" si="26"/>
        <v>22</v>
      </c>
      <c r="I88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ECP\Cantagallo\Cristalina\[CRISTALINA_CF_SEC_New_09-Feb-2024.xlsx]D-PND'!$BB$22</v>
      </c>
      <c r="J88" s="37" t="s">
        <v>213</v>
      </c>
    </row>
    <row r="89" spans="1:10" x14ac:dyDescent="0.35">
      <c r="A89" s="32" t="s">
        <v>16</v>
      </c>
      <c r="B89" s="32">
        <f t="shared" si="25"/>
        <v>2034</v>
      </c>
      <c r="C89" s="33" t="s">
        <v>31</v>
      </c>
      <c r="D89" s="34" t="s">
        <v>128</v>
      </c>
      <c r="E89" s="35" t="str">
        <f t="shared" si="0"/>
        <v>PND'!</v>
      </c>
      <c r="F89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89" s="32" t="s">
        <v>112</v>
      </c>
      <c r="H89" s="33">
        <f t="shared" si="26"/>
        <v>23</v>
      </c>
      <c r="I89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ECP\Cantagallo\Cristalina\[CRISTALINA_CF_SEC_New_09-Feb-2024.xlsx]D-PND'!$BB$23</v>
      </c>
      <c r="J89" s="37" t="s">
        <v>214</v>
      </c>
    </row>
    <row r="90" spans="1:10" x14ac:dyDescent="0.35">
      <c r="A90" s="32" t="s">
        <v>16</v>
      </c>
      <c r="B90" s="32">
        <f t="shared" si="25"/>
        <v>2035</v>
      </c>
      <c r="C90" s="33" t="s">
        <v>31</v>
      </c>
      <c r="D90" s="34" t="s">
        <v>128</v>
      </c>
      <c r="E90" s="35" t="str">
        <f t="shared" si="0"/>
        <v>PND'!</v>
      </c>
      <c r="F90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0" s="32" t="s">
        <v>112</v>
      </c>
      <c r="H90" s="33">
        <f t="shared" si="26"/>
        <v>24</v>
      </c>
      <c r="I90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ECP\Cantagallo\Cristalina\[CRISTALINA_CF_SEC_New_09-Feb-2024.xlsx]D-PND'!$BB$24</v>
      </c>
      <c r="J90" s="37" t="s">
        <v>215</v>
      </c>
    </row>
    <row r="91" spans="1:10" x14ac:dyDescent="0.35">
      <c r="A91" s="32" t="s">
        <v>16</v>
      </c>
      <c r="B91" s="32">
        <f t="shared" si="25"/>
        <v>2036</v>
      </c>
      <c r="C91" s="33" t="s">
        <v>31</v>
      </c>
      <c r="D91" s="34" t="s">
        <v>128</v>
      </c>
      <c r="E91" s="35" t="str">
        <f t="shared" si="0"/>
        <v>PND'!</v>
      </c>
      <c r="F91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1" s="32" t="s">
        <v>112</v>
      </c>
      <c r="H91" s="33">
        <f t="shared" si="26"/>
        <v>25</v>
      </c>
      <c r="I91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ECP\Cantagallo\Cristalina\[CRISTALINA_CF_SEC_New_09-Feb-2024.xlsx]D-PND'!$BB$25</v>
      </c>
      <c r="J91" s="37" t="s">
        <v>216</v>
      </c>
    </row>
    <row r="92" spans="1:10" x14ac:dyDescent="0.35">
      <c r="A92" s="32" t="s">
        <v>16</v>
      </c>
      <c r="B92" s="32">
        <f>+B91+1</f>
        <v>2037</v>
      </c>
      <c r="C92" s="33" t="s">
        <v>31</v>
      </c>
      <c r="D92" s="34" t="s">
        <v>128</v>
      </c>
      <c r="E92" s="35" t="str">
        <f t="shared" si="0"/>
        <v>PND'!</v>
      </c>
      <c r="F92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2" s="32" t="s">
        <v>112</v>
      </c>
      <c r="H92" s="33">
        <f t="shared" si="26"/>
        <v>26</v>
      </c>
      <c r="I92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ECP\Cantagallo\Cristalina\[CRISTALINA_CF_SEC_New_09-Feb-2024.xlsx]D-PND'!$BB$26</v>
      </c>
      <c r="J92" s="37" t="s">
        <v>217</v>
      </c>
    </row>
    <row r="93" spans="1:10" x14ac:dyDescent="0.35">
      <c r="A93" s="32" t="s">
        <v>16</v>
      </c>
      <c r="B93" s="32">
        <f t="shared" ref="B93:B95" si="27">+B92+1</f>
        <v>2038</v>
      </c>
      <c r="C93" s="33" t="s">
        <v>31</v>
      </c>
      <c r="D93" s="34" t="s">
        <v>128</v>
      </c>
      <c r="E93" s="35" t="str">
        <f t="shared" si="0"/>
        <v>PND'!</v>
      </c>
      <c r="F93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3" s="32" t="s">
        <v>112</v>
      </c>
      <c r="H93" s="33">
        <f t="shared" si="26"/>
        <v>27</v>
      </c>
      <c r="I93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ECP\Cantagallo\Cristalina\[CRISTALINA_CF_SEC_New_09-Feb-2024.xlsx]D-PND'!$BB$27</v>
      </c>
      <c r="J93" s="37" t="s">
        <v>218</v>
      </c>
    </row>
    <row r="94" spans="1:10" x14ac:dyDescent="0.35">
      <c r="A94" s="32" t="s">
        <v>16</v>
      </c>
      <c r="B94" s="32">
        <f t="shared" si="27"/>
        <v>2039</v>
      </c>
      <c r="C94" s="33" t="s">
        <v>31</v>
      </c>
      <c r="D94" s="34" t="s">
        <v>128</v>
      </c>
      <c r="E94" s="35" t="str">
        <f t="shared" si="0"/>
        <v>PND'!</v>
      </c>
      <c r="F94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4" s="32" t="s">
        <v>112</v>
      </c>
      <c r="H94" s="33">
        <f t="shared" si="26"/>
        <v>28</v>
      </c>
      <c r="I94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ECP\Cantagallo\Cristalina\[CRISTALINA_CF_SEC_New_09-Feb-2024.xlsx]D-PND'!$BB$28</v>
      </c>
      <c r="J94" s="37" t="s">
        <v>219</v>
      </c>
    </row>
    <row r="95" spans="1:10" x14ac:dyDescent="0.35">
      <c r="A95" s="32" t="s">
        <v>16</v>
      </c>
      <c r="B95" s="32">
        <f t="shared" si="27"/>
        <v>2040</v>
      </c>
      <c r="C95" s="33" t="s">
        <v>31</v>
      </c>
      <c r="D95" s="34" t="s">
        <v>128</v>
      </c>
      <c r="E95" s="35" t="str">
        <f t="shared" si="0"/>
        <v>PND'!</v>
      </c>
      <c r="F95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5" s="32" t="s">
        <v>112</v>
      </c>
      <c r="H95" s="33">
        <f t="shared" si="26"/>
        <v>29</v>
      </c>
      <c r="I95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ECP\Cantagallo\Cristalina\[CRISTALINA_CF_SEC_New_09-Feb-2024.xlsx]D-PND'!$BB$29</v>
      </c>
      <c r="J95" s="37" t="s">
        <v>220</v>
      </c>
    </row>
    <row r="96" spans="1:10" x14ac:dyDescent="0.35">
      <c r="A96" s="32" t="s">
        <v>16</v>
      </c>
      <c r="B96" s="32">
        <f>+B95+1</f>
        <v>2041</v>
      </c>
      <c r="C96" s="33" t="s">
        <v>31</v>
      </c>
      <c r="D96" s="34" t="s">
        <v>128</v>
      </c>
      <c r="E96" s="35" t="str">
        <f t="shared" si="0"/>
        <v>PND'!</v>
      </c>
      <c r="F96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6" s="32" t="s">
        <v>112</v>
      </c>
      <c r="H96" s="33">
        <f t="shared" si="26"/>
        <v>30</v>
      </c>
      <c r="I96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ECP\Cantagallo\Cristalina\[CRISTALINA_CF_SEC_New_09-Feb-2024.xlsx]D-PND'!$BB$30</v>
      </c>
      <c r="J96" s="37" t="s">
        <v>221</v>
      </c>
    </row>
    <row r="97" spans="1:10" x14ac:dyDescent="0.35">
      <c r="A97" s="32" t="s">
        <v>16</v>
      </c>
      <c r="B97" s="32">
        <f t="shared" ref="B97:B98" si="28">+B96+1</f>
        <v>2042</v>
      </c>
      <c r="C97" s="33" t="s">
        <v>31</v>
      </c>
      <c r="D97" s="34" t="s">
        <v>128</v>
      </c>
      <c r="E97" s="35" t="str">
        <f t="shared" ref="E97:E402" si="29">_xlfn.CONCAT(A97,"'!")</f>
        <v>PND'!</v>
      </c>
      <c r="F97" s="34" t="str">
        <f t="shared" ref="F97:F402" si="30">_xlfn.CONCAT(D97:E97)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7" s="32" t="s">
        <v>112</v>
      </c>
      <c r="H97" s="33">
        <f t="shared" si="26"/>
        <v>31</v>
      </c>
      <c r="I97" s="33" t="str">
        <f t="shared" ref="I97:I402" si="31">_xlfn.CONCAT("='",F97:H97)</f>
        <v>='C:\Users\jaime.benazar\Quorum Business Solutions\Ecopetrol Prometeo - Documents\Planning Space Implementation\3. Analysis &amp; Design\Design\FC22\DRR Jaime\Por presentar a ECP\Cantagallo\Cristalina\[CRISTALINA_CF_SEC_New_09-Feb-2024.xlsx]D-PND'!$BB$31</v>
      </c>
      <c r="J97" s="37" t="s">
        <v>222</v>
      </c>
    </row>
    <row r="98" spans="1:10" x14ac:dyDescent="0.35">
      <c r="A98" s="32" t="s">
        <v>16</v>
      </c>
      <c r="B98" s="32">
        <f t="shared" si="28"/>
        <v>2043</v>
      </c>
      <c r="C98" s="33" t="s">
        <v>31</v>
      </c>
      <c r="D98" s="34" t="s">
        <v>128</v>
      </c>
      <c r="E98" s="35" t="str">
        <f t="shared" si="29"/>
        <v>PND'!</v>
      </c>
      <c r="F98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8" s="32" t="s">
        <v>112</v>
      </c>
      <c r="H98" s="33">
        <f t="shared" si="26"/>
        <v>32</v>
      </c>
      <c r="I98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ECP\Cantagallo\Cristalina\[CRISTALINA_CF_SEC_New_09-Feb-2024.xlsx]D-PND'!$BB$32</v>
      </c>
      <c r="J98" s="37" t="s">
        <v>223</v>
      </c>
    </row>
    <row r="99" spans="1:10" x14ac:dyDescent="0.35">
      <c r="A99" s="32" t="s">
        <v>16</v>
      </c>
      <c r="B99" s="32">
        <f>+B98+1</f>
        <v>2044</v>
      </c>
      <c r="C99" s="33" t="s">
        <v>31</v>
      </c>
      <c r="D99" s="34" t="s">
        <v>128</v>
      </c>
      <c r="E99" s="35" t="str">
        <f t="shared" ref="E99:E114" si="32">_xlfn.CONCAT(A99,"'!")</f>
        <v>PND'!</v>
      </c>
      <c r="F99" s="34" t="str">
        <f t="shared" ref="F99:F114" si="33">_xlfn.CONCAT(D99:E99)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9" s="32" t="s">
        <v>112</v>
      </c>
      <c r="H99" s="33">
        <f t="shared" ref="H99:H114" si="34">IF(A99&lt;&gt;A98,12,H98+1)</f>
        <v>33</v>
      </c>
      <c r="I99" s="33" t="str">
        <f t="shared" ref="I99:I114" si="35">_xlfn.CONCAT("='",F99:H99)</f>
        <v>='C:\Users\jaime.benazar\Quorum Business Solutions\Ecopetrol Prometeo - Documents\Planning Space Implementation\3. Analysis &amp; Design\Design\FC22\DRR Jaime\Por presentar a ECP\Cantagallo\Cristalina\[CRISTALINA_CF_SEC_New_09-Feb-2024.xlsx]D-PND'!$BB$33</v>
      </c>
      <c r="J99" s="37" t="s">
        <v>224</v>
      </c>
    </row>
    <row r="100" spans="1:10" x14ac:dyDescent="0.35">
      <c r="A100" s="32" t="s">
        <v>16</v>
      </c>
      <c r="B100" s="32">
        <f t="shared" ref="B100:B114" si="36">+B99+1</f>
        <v>2045</v>
      </c>
      <c r="C100" s="33" t="s">
        <v>31</v>
      </c>
      <c r="D100" s="34" t="s">
        <v>128</v>
      </c>
      <c r="E100" s="35" t="str">
        <f t="shared" si="32"/>
        <v>PND'!</v>
      </c>
      <c r="F100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00" s="32" t="s">
        <v>112</v>
      </c>
      <c r="H100" s="33">
        <f t="shared" si="34"/>
        <v>34</v>
      </c>
      <c r="I100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ECP\Cantagallo\Cristalina\[CRISTALINA_CF_SEC_New_09-Feb-2024.xlsx]D-PND'!$BB$34</v>
      </c>
      <c r="J100" s="37" t="s">
        <v>225</v>
      </c>
    </row>
    <row r="101" spans="1:10" x14ac:dyDescent="0.35">
      <c r="A101" s="32" t="s">
        <v>16</v>
      </c>
      <c r="B101" s="32">
        <f t="shared" si="36"/>
        <v>2046</v>
      </c>
      <c r="C101" s="33" t="s">
        <v>31</v>
      </c>
      <c r="D101" s="34" t="s">
        <v>128</v>
      </c>
      <c r="E101" s="35" t="str">
        <f t="shared" si="32"/>
        <v>PND'!</v>
      </c>
      <c r="F101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01" s="32" t="s">
        <v>112</v>
      </c>
      <c r="H101" s="33">
        <f t="shared" si="34"/>
        <v>35</v>
      </c>
      <c r="I101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ECP\Cantagallo\Cristalina\[CRISTALINA_CF_SEC_New_09-Feb-2024.xlsx]D-PND'!$BB$35</v>
      </c>
      <c r="J101" s="37" t="s">
        <v>226</v>
      </c>
    </row>
    <row r="102" spans="1:10" x14ac:dyDescent="0.35">
      <c r="A102" s="32" t="s">
        <v>16</v>
      </c>
      <c r="B102" s="32">
        <f t="shared" si="36"/>
        <v>2047</v>
      </c>
      <c r="C102" s="33" t="s">
        <v>31</v>
      </c>
      <c r="D102" s="34" t="s">
        <v>128</v>
      </c>
      <c r="E102" s="35" t="str">
        <f t="shared" si="32"/>
        <v>PND'!</v>
      </c>
      <c r="F102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02" s="32" t="s">
        <v>112</v>
      </c>
      <c r="H102" s="33">
        <f t="shared" si="34"/>
        <v>36</v>
      </c>
      <c r="I102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ECP\Cantagallo\Cristalina\[CRISTALINA_CF_SEC_New_09-Feb-2024.xlsx]D-PND'!$BB$36</v>
      </c>
      <c r="J102" s="37" t="s">
        <v>227</v>
      </c>
    </row>
    <row r="103" spans="1:10" x14ac:dyDescent="0.35">
      <c r="A103" s="32" t="s">
        <v>16</v>
      </c>
      <c r="B103" s="32">
        <f t="shared" si="36"/>
        <v>2048</v>
      </c>
      <c r="C103" s="33" t="s">
        <v>31</v>
      </c>
      <c r="D103" s="34" t="s">
        <v>128</v>
      </c>
      <c r="E103" s="35" t="str">
        <f t="shared" si="32"/>
        <v>PND'!</v>
      </c>
      <c r="F103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03" s="32" t="s">
        <v>112</v>
      </c>
      <c r="H103" s="33">
        <f t="shared" si="34"/>
        <v>37</v>
      </c>
      <c r="I103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ECP\Cantagallo\Cristalina\[CRISTALINA_CF_SEC_New_09-Feb-2024.xlsx]D-PND'!$BB$37</v>
      </c>
      <c r="J103" s="37" t="s">
        <v>228</v>
      </c>
    </row>
    <row r="104" spans="1:10" x14ac:dyDescent="0.35">
      <c r="A104" s="32" t="s">
        <v>16</v>
      </c>
      <c r="B104" s="32">
        <f t="shared" si="36"/>
        <v>2049</v>
      </c>
      <c r="C104" s="33" t="s">
        <v>31</v>
      </c>
      <c r="D104" s="34" t="s">
        <v>128</v>
      </c>
      <c r="E104" s="35" t="str">
        <f t="shared" si="32"/>
        <v>PND'!</v>
      </c>
      <c r="F104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04" s="32" t="s">
        <v>112</v>
      </c>
      <c r="H104" s="33">
        <f t="shared" si="34"/>
        <v>38</v>
      </c>
      <c r="I104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ECP\Cantagallo\Cristalina\[CRISTALINA_CF_SEC_New_09-Feb-2024.xlsx]D-PND'!$BB$38</v>
      </c>
      <c r="J104" s="37" t="s">
        <v>229</v>
      </c>
    </row>
    <row r="105" spans="1:10" x14ac:dyDescent="0.35">
      <c r="A105" s="32" t="s">
        <v>16</v>
      </c>
      <c r="B105" s="32">
        <f t="shared" si="36"/>
        <v>2050</v>
      </c>
      <c r="C105" s="33" t="s">
        <v>31</v>
      </c>
      <c r="D105" s="34" t="s">
        <v>128</v>
      </c>
      <c r="E105" s="35" t="str">
        <f t="shared" si="32"/>
        <v>PND'!</v>
      </c>
      <c r="F105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05" s="32" t="s">
        <v>112</v>
      </c>
      <c r="H105" s="33">
        <f t="shared" si="34"/>
        <v>39</v>
      </c>
      <c r="I105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ECP\Cantagallo\Cristalina\[CRISTALINA_CF_SEC_New_09-Feb-2024.xlsx]D-PND'!$BB$39</v>
      </c>
      <c r="J105" s="37" t="s">
        <v>230</v>
      </c>
    </row>
    <row r="106" spans="1:10" x14ac:dyDescent="0.35">
      <c r="A106" s="32" t="s">
        <v>16</v>
      </c>
      <c r="B106" s="32">
        <f t="shared" si="36"/>
        <v>2051</v>
      </c>
      <c r="C106" s="33" t="s">
        <v>31</v>
      </c>
      <c r="D106" s="34" t="s">
        <v>128</v>
      </c>
      <c r="E106" s="35" t="str">
        <f t="shared" si="32"/>
        <v>PND'!</v>
      </c>
      <c r="F106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06" s="32" t="s">
        <v>112</v>
      </c>
      <c r="H106" s="33">
        <f t="shared" si="34"/>
        <v>40</v>
      </c>
      <c r="I106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ECP\Cantagallo\Cristalina\[CRISTALINA_CF_SEC_New_09-Feb-2024.xlsx]D-PND'!$BB$40</v>
      </c>
      <c r="J106" s="37" t="s">
        <v>231</v>
      </c>
    </row>
    <row r="107" spans="1:10" x14ac:dyDescent="0.35">
      <c r="A107" s="32" t="s">
        <v>16</v>
      </c>
      <c r="B107" s="32">
        <f t="shared" si="36"/>
        <v>2052</v>
      </c>
      <c r="C107" s="33" t="s">
        <v>31</v>
      </c>
      <c r="D107" s="34" t="s">
        <v>128</v>
      </c>
      <c r="E107" s="35" t="str">
        <f t="shared" si="32"/>
        <v>PND'!</v>
      </c>
      <c r="F107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07" s="32" t="s">
        <v>112</v>
      </c>
      <c r="H107" s="33">
        <f t="shared" si="34"/>
        <v>41</v>
      </c>
      <c r="I107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ECP\Cantagallo\Cristalina\[CRISTALINA_CF_SEC_New_09-Feb-2024.xlsx]D-PND'!$BB$41</v>
      </c>
      <c r="J107" s="37" t="s">
        <v>232</v>
      </c>
    </row>
    <row r="108" spans="1:10" x14ac:dyDescent="0.35">
      <c r="A108" s="32" t="s">
        <v>16</v>
      </c>
      <c r="B108" s="32">
        <f t="shared" si="36"/>
        <v>2053</v>
      </c>
      <c r="C108" s="33" t="s">
        <v>31</v>
      </c>
      <c r="D108" s="34" t="s">
        <v>128</v>
      </c>
      <c r="E108" s="35" t="str">
        <f t="shared" si="32"/>
        <v>PND'!</v>
      </c>
      <c r="F108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08" s="32" t="s">
        <v>112</v>
      </c>
      <c r="H108" s="33">
        <f t="shared" si="34"/>
        <v>42</v>
      </c>
      <c r="I108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ECP\Cantagallo\Cristalina\[CRISTALINA_CF_SEC_New_09-Feb-2024.xlsx]D-PND'!$BB$42</v>
      </c>
      <c r="J108" s="37" t="s">
        <v>233</v>
      </c>
    </row>
    <row r="109" spans="1:10" x14ac:dyDescent="0.35">
      <c r="A109" s="32" t="s">
        <v>16</v>
      </c>
      <c r="B109" s="32">
        <f t="shared" si="36"/>
        <v>2054</v>
      </c>
      <c r="C109" s="33" t="s">
        <v>31</v>
      </c>
      <c r="D109" s="34" t="s">
        <v>128</v>
      </c>
      <c r="E109" s="35" t="str">
        <f t="shared" si="32"/>
        <v>PND'!</v>
      </c>
      <c r="F109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09" s="32" t="s">
        <v>112</v>
      </c>
      <c r="H109" s="33">
        <f t="shared" si="34"/>
        <v>43</v>
      </c>
      <c r="I109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ECP\Cantagallo\Cristalina\[CRISTALINA_CF_SEC_New_09-Feb-2024.xlsx]D-PND'!$BB$43</v>
      </c>
      <c r="J109" s="37" t="s">
        <v>234</v>
      </c>
    </row>
    <row r="110" spans="1:10" x14ac:dyDescent="0.35">
      <c r="A110" s="32" t="s">
        <v>16</v>
      </c>
      <c r="B110" s="32">
        <f t="shared" si="36"/>
        <v>2055</v>
      </c>
      <c r="C110" s="33" t="s">
        <v>31</v>
      </c>
      <c r="D110" s="34" t="s">
        <v>128</v>
      </c>
      <c r="E110" s="35" t="str">
        <f t="shared" si="32"/>
        <v>PND'!</v>
      </c>
      <c r="F110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10" s="32" t="s">
        <v>112</v>
      </c>
      <c r="H110" s="33">
        <f t="shared" si="34"/>
        <v>44</v>
      </c>
      <c r="I110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ECP\Cantagallo\Cristalina\[CRISTALINA_CF_SEC_New_09-Feb-2024.xlsx]D-PND'!$BB$44</v>
      </c>
      <c r="J110" s="37" t="s">
        <v>235</v>
      </c>
    </row>
    <row r="111" spans="1:10" x14ac:dyDescent="0.35">
      <c r="A111" s="32" t="s">
        <v>16</v>
      </c>
      <c r="B111" s="32">
        <f t="shared" si="36"/>
        <v>2056</v>
      </c>
      <c r="C111" s="33" t="s">
        <v>31</v>
      </c>
      <c r="D111" s="34" t="s">
        <v>128</v>
      </c>
      <c r="E111" s="35" t="str">
        <f t="shared" si="32"/>
        <v>PND'!</v>
      </c>
      <c r="F111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11" s="32" t="s">
        <v>112</v>
      </c>
      <c r="H111" s="33">
        <f t="shared" si="34"/>
        <v>45</v>
      </c>
      <c r="I111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ECP\Cantagallo\Cristalina\[CRISTALINA_CF_SEC_New_09-Feb-2024.xlsx]D-PND'!$BB$45</v>
      </c>
      <c r="J111" s="37" t="s">
        <v>236</v>
      </c>
    </row>
    <row r="112" spans="1:10" x14ac:dyDescent="0.35">
      <c r="A112" s="32" t="s">
        <v>16</v>
      </c>
      <c r="B112" s="32">
        <f t="shared" si="36"/>
        <v>2057</v>
      </c>
      <c r="C112" s="33" t="s">
        <v>31</v>
      </c>
      <c r="D112" s="34" t="s">
        <v>128</v>
      </c>
      <c r="E112" s="35" t="str">
        <f t="shared" si="32"/>
        <v>PND'!</v>
      </c>
      <c r="F112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12" s="32" t="s">
        <v>112</v>
      </c>
      <c r="H112" s="33">
        <f t="shared" si="34"/>
        <v>46</v>
      </c>
      <c r="I112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ECP\Cantagallo\Cristalina\[CRISTALINA_CF_SEC_New_09-Feb-2024.xlsx]D-PND'!$BB$46</v>
      </c>
      <c r="J112" s="37" t="s">
        <v>237</v>
      </c>
    </row>
    <row r="113" spans="1:10" x14ac:dyDescent="0.35">
      <c r="A113" s="32" t="s">
        <v>16</v>
      </c>
      <c r="B113" s="32">
        <f t="shared" si="36"/>
        <v>2058</v>
      </c>
      <c r="C113" s="33" t="s">
        <v>31</v>
      </c>
      <c r="D113" s="34" t="s">
        <v>128</v>
      </c>
      <c r="E113" s="35" t="str">
        <f t="shared" si="32"/>
        <v>PND'!</v>
      </c>
      <c r="F113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13" s="32" t="s">
        <v>112</v>
      </c>
      <c r="H113" s="33">
        <f t="shared" si="34"/>
        <v>47</v>
      </c>
      <c r="I113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ECP\Cantagallo\Cristalina\[CRISTALINA_CF_SEC_New_09-Feb-2024.xlsx]D-PND'!$BB$47</v>
      </c>
      <c r="J113" s="37" t="s">
        <v>238</v>
      </c>
    </row>
    <row r="114" spans="1:10" x14ac:dyDescent="0.35">
      <c r="A114" s="32" t="s">
        <v>16</v>
      </c>
      <c r="B114" s="32">
        <f t="shared" si="36"/>
        <v>2059</v>
      </c>
      <c r="C114" s="33" t="s">
        <v>31</v>
      </c>
      <c r="D114" s="34" t="s">
        <v>128</v>
      </c>
      <c r="E114" s="35" t="str">
        <f t="shared" si="32"/>
        <v>PND'!</v>
      </c>
      <c r="F114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14" s="32" t="s">
        <v>112</v>
      </c>
      <c r="H114" s="33">
        <f t="shared" si="34"/>
        <v>48</v>
      </c>
      <c r="I114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ECP\Cantagallo\Cristalina\[CRISTALINA_CF_SEC_New_09-Feb-2024.xlsx]D-PND'!$BB$48</v>
      </c>
      <c r="J114" s="37" t="s">
        <v>239</v>
      </c>
    </row>
    <row r="115" spans="1:10" x14ac:dyDescent="0.35">
      <c r="A115" s="32" t="s">
        <v>26</v>
      </c>
      <c r="B115" s="32"/>
      <c r="C115" s="33" t="s">
        <v>31</v>
      </c>
      <c r="D115" s="34"/>
      <c r="E115" s="35"/>
      <c r="F115" s="34"/>
      <c r="G115" s="32"/>
      <c r="H115" s="33"/>
      <c r="I115" s="33"/>
      <c r="J115" s="33"/>
    </row>
    <row r="116" spans="1:10" x14ac:dyDescent="0.35">
      <c r="A116" s="32" t="s">
        <v>17</v>
      </c>
      <c r="B116" s="32">
        <v>2023</v>
      </c>
      <c r="C116" s="33" t="s">
        <v>31</v>
      </c>
      <c r="D116" s="34" t="s">
        <v>128</v>
      </c>
      <c r="E116" s="35" t="str">
        <f t="shared" ref="E116:E136" si="37">_xlfn.CONCAT(A116,"'!")</f>
        <v>PRBDP'!</v>
      </c>
      <c r="F116" s="34" t="str">
        <f t="shared" ref="F116:F136" si="38">_xlfn.CONCAT(D116:E116)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16" s="32" t="s">
        <v>112</v>
      </c>
      <c r="H116" s="33"/>
      <c r="I116" s="33"/>
      <c r="J116" s="37"/>
    </row>
    <row r="117" spans="1:10" x14ac:dyDescent="0.35">
      <c r="A117" s="32" t="s">
        <v>17</v>
      </c>
      <c r="B117" s="32">
        <f>+B116+1</f>
        <v>2024</v>
      </c>
      <c r="C117" s="33" t="s">
        <v>31</v>
      </c>
      <c r="D117" s="34" t="s">
        <v>128</v>
      </c>
      <c r="E117" s="35" t="str">
        <f t="shared" si="37"/>
        <v>PRBDP'!</v>
      </c>
      <c r="F117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17" s="32" t="s">
        <v>112</v>
      </c>
      <c r="H117" s="33"/>
      <c r="I117" s="33"/>
      <c r="J117" s="37"/>
    </row>
    <row r="118" spans="1:10" x14ac:dyDescent="0.35">
      <c r="A118" s="32" t="s">
        <v>17</v>
      </c>
      <c r="B118" s="32">
        <f t="shared" ref="B118:B129" si="39">+B117+1</f>
        <v>2025</v>
      </c>
      <c r="C118" s="33" t="s">
        <v>31</v>
      </c>
      <c r="D118" s="34" t="s">
        <v>128</v>
      </c>
      <c r="E118" s="35" t="str">
        <f t="shared" si="37"/>
        <v>PRBDP'!</v>
      </c>
      <c r="F118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18" s="32" t="s">
        <v>112</v>
      </c>
      <c r="H118" s="33"/>
      <c r="I118" s="33"/>
      <c r="J118" s="37"/>
    </row>
    <row r="119" spans="1:10" x14ac:dyDescent="0.35">
      <c r="A119" s="32" t="s">
        <v>17</v>
      </c>
      <c r="B119" s="32">
        <f t="shared" si="39"/>
        <v>2026</v>
      </c>
      <c r="C119" s="33" t="s">
        <v>31</v>
      </c>
      <c r="D119" s="34" t="s">
        <v>128</v>
      </c>
      <c r="E119" s="35" t="str">
        <f t="shared" si="37"/>
        <v>PRBDP'!</v>
      </c>
      <c r="F119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19" s="32" t="s">
        <v>112</v>
      </c>
      <c r="H119" s="33"/>
      <c r="I119" s="33"/>
      <c r="J119" s="37"/>
    </row>
    <row r="120" spans="1:10" x14ac:dyDescent="0.35">
      <c r="A120" s="32" t="s">
        <v>17</v>
      </c>
      <c r="B120" s="32">
        <f t="shared" si="39"/>
        <v>2027</v>
      </c>
      <c r="C120" s="33" t="s">
        <v>31</v>
      </c>
      <c r="D120" s="34" t="s">
        <v>128</v>
      </c>
      <c r="E120" s="35" t="str">
        <f t="shared" si="37"/>
        <v>PRBDP'!</v>
      </c>
      <c r="F120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20" s="32" t="s">
        <v>112</v>
      </c>
      <c r="H120" s="33"/>
      <c r="I120" s="33"/>
      <c r="J120" s="37"/>
    </row>
    <row r="121" spans="1:10" x14ac:dyDescent="0.35">
      <c r="A121" s="32" t="s">
        <v>17</v>
      </c>
      <c r="B121" s="32">
        <f t="shared" si="39"/>
        <v>2028</v>
      </c>
      <c r="C121" s="33" t="s">
        <v>31</v>
      </c>
      <c r="D121" s="34" t="s">
        <v>128</v>
      </c>
      <c r="E121" s="35" t="str">
        <f t="shared" si="37"/>
        <v>PRBDP'!</v>
      </c>
      <c r="F121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21" s="32" t="s">
        <v>112</v>
      </c>
      <c r="H121" s="33"/>
      <c r="I121" s="33"/>
      <c r="J121" s="37"/>
    </row>
    <row r="122" spans="1:10" x14ac:dyDescent="0.35">
      <c r="A122" s="32" t="s">
        <v>17</v>
      </c>
      <c r="B122" s="32">
        <f t="shared" si="39"/>
        <v>2029</v>
      </c>
      <c r="C122" s="33" t="s">
        <v>31</v>
      </c>
      <c r="D122" s="34" t="s">
        <v>128</v>
      </c>
      <c r="E122" s="35" t="str">
        <f t="shared" si="37"/>
        <v>PRBDP'!</v>
      </c>
      <c r="F122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22" s="32" t="s">
        <v>112</v>
      </c>
      <c r="H122" s="33"/>
      <c r="I122" s="33"/>
      <c r="J122" s="37"/>
    </row>
    <row r="123" spans="1:10" x14ac:dyDescent="0.35">
      <c r="A123" s="32" t="s">
        <v>17</v>
      </c>
      <c r="B123" s="32">
        <f t="shared" si="39"/>
        <v>2030</v>
      </c>
      <c r="C123" s="33" t="s">
        <v>31</v>
      </c>
      <c r="D123" s="34" t="s">
        <v>128</v>
      </c>
      <c r="E123" s="35" t="str">
        <f t="shared" si="37"/>
        <v>PRBDP'!</v>
      </c>
      <c r="F123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23" s="32" t="s">
        <v>112</v>
      </c>
      <c r="H123" s="33"/>
      <c r="I123" s="33"/>
      <c r="J123" s="37"/>
    </row>
    <row r="124" spans="1:10" x14ac:dyDescent="0.35">
      <c r="A124" s="32" t="s">
        <v>17</v>
      </c>
      <c r="B124" s="32">
        <f t="shared" si="39"/>
        <v>2031</v>
      </c>
      <c r="C124" s="33" t="s">
        <v>31</v>
      </c>
      <c r="D124" s="34" t="s">
        <v>128</v>
      </c>
      <c r="E124" s="35" t="str">
        <f t="shared" si="37"/>
        <v>PRBDP'!</v>
      </c>
      <c r="F124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24" s="32" t="s">
        <v>112</v>
      </c>
      <c r="H124" s="33"/>
      <c r="I124" s="33"/>
      <c r="J124" s="37"/>
    </row>
    <row r="125" spans="1:10" x14ac:dyDescent="0.35">
      <c r="A125" s="32" t="s">
        <v>17</v>
      </c>
      <c r="B125" s="32">
        <f t="shared" si="39"/>
        <v>2032</v>
      </c>
      <c r="C125" s="33" t="s">
        <v>31</v>
      </c>
      <c r="D125" s="34" t="s">
        <v>128</v>
      </c>
      <c r="E125" s="35" t="str">
        <f t="shared" si="37"/>
        <v>PRBDP'!</v>
      </c>
      <c r="F125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25" s="32" t="s">
        <v>112</v>
      </c>
      <c r="H125" s="33"/>
      <c r="I125" s="33"/>
      <c r="J125" s="37"/>
    </row>
    <row r="126" spans="1:10" x14ac:dyDescent="0.35">
      <c r="A126" s="32" t="s">
        <v>17</v>
      </c>
      <c r="B126" s="32">
        <f t="shared" si="39"/>
        <v>2033</v>
      </c>
      <c r="C126" s="33" t="s">
        <v>31</v>
      </c>
      <c r="D126" s="34" t="s">
        <v>128</v>
      </c>
      <c r="E126" s="35" t="str">
        <f t="shared" si="37"/>
        <v>PRBDP'!</v>
      </c>
      <c r="F126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26" s="32" t="s">
        <v>112</v>
      </c>
      <c r="H126" s="33"/>
      <c r="I126" s="33"/>
      <c r="J126" s="37"/>
    </row>
    <row r="127" spans="1:10" x14ac:dyDescent="0.35">
      <c r="A127" s="32" t="s">
        <v>17</v>
      </c>
      <c r="B127" s="32">
        <f t="shared" si="39"/>
        <v>2034</v>
      </c>
      <c r="C127" s="33" t="s">
        <v>31</v>
      </c>
      <c r="D127" s="34" t="s">
        <v>128</v>
      </c>
      <c r="E127" s="35" t="str">
        <f t="shared" si="37"/>
        <v>PRBDP'!</v>
      </c>
      <c r="F127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27" s="32" t="s">
        <v>112</v>
      </c>
      <c r="H127" s="33"/>
      <c r="I127" s="33"/>
      <c r="J127" s="37"/>
    </row>
    <row r="128" spans="1:10" x14ac:dyDescent="0.35">
      <c r="A128" s="32" t="s">
        <v>17</v>
      </c>
      <c r="B128" s="32">
        <f t="shared" si="39"/>
        <v>2035</v>
      </c>
      <c r="C128" s="33" t="s">
        <v>31</v>
      </c>
      <c r="D128" s="34" t="s">
        <v>128</v>
      </c>
      <c r="E128" s="35" t="str">
        <f t="shared" si="37"/>
        <v>PRBDP'!</v>
      </c>
      <c r="F128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28" s="32" t="s">
        <v>112</v>
      </c>
      <c r="H128" s="33"/>
      <c r="I128" s="33"/>
      <c r="J128" s="37"/>
    </row>
    <row r="129" spans="1:10" x14ac:dyDescent="0.35">
      <c r="A129" s="32" t="s">
        <v>17</v>
      </c>
      <c r="B129" s="32">
        <f t="shared" si="39"/>
        <v>2036</v>
      </c>
      <c r="C129" s="33" t="s">
        <v>31</v>
      </c>
      <c r="D129" s="34" t="s">
        <v>128</v>
      </c>
      <c r="E129" s="35" t="str">
        <f t="shared" si="37"/>
        <v>PRBDP'!</v>
      </c>
      <c r="F129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29" s="32" t="s">
        <v>112</v>
      </c>
      <c r="H129" s="33"/>
      <c r="I129" s="33"/>
      <c r="J129" s="37"/>
    </row>
    <row r="130" spans="1:10" x14ac:dyDescent="0.35">
      <c r="A130" s="32" t="s">
        <v>17</v>
      </c>
      <c r="B130" s="32">
        <f>+B129+1</f>
        <v>2037</v>
      </c>
      <c r="C130" s="33" t="s">
        <v>31</v>
      </c>
      <c r="D130" s="34" t="s">
        <v>128</v>
      </c>
      <c r="E130" s="35" t="str">
        <f t="shared" si="37"/>
        <v>PRBDP'!</v>
      </c>
      <c r="F130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0" s="32" t="s">
        <v>112</v>
      </c>
      <c r="H130" s="33"/>
      <c r="I130" s="33"/>
      <c r="J130" s="37"/>
    </row>
    <row r="131" spans="1:10" x14ac:dyDescent="0.35">
      <c r="A131" s="32" t="s">
        <v>17</v>
      </c>
      <c r="B131" s="32">
        <f t="shared" ref="B131:B133" si="40">+B130+1</f>
        <v>2038</v>
      </c>
      <c r="C131" s="33" t="s">
        <v>31</v>
      </c>
      <c r="D131" s="34" t="s">
        <v>128</v>
      </c>
      <c r="E131" s="35" t="str">
        <f t="shared" si="37"/>
        <v>PRBDP'!</v>
      </c>
      <c r="F131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1" s="32" t="s">
        <v>112</v>
      </c>
      <c r="H131" s="33"/>
      <c r="I131" s="33"/>
      <c r="J131" s="37"/>
    </row>
    <row r="132" spans="1:10" x14ac:dyDescent="0.35">
      <c r="A132" s="32" t="s">
        <v>17</v>
      </c>
      <c r="B132" s="32">
        <f t="shared" si="40"/>
        <v>2039</v>
      </c>
      <c r="C132" s="33" t="s">
        <v>31</v>
      </c>
      <c r="D132" s="34" t="s">
        <v>128</v>
      </c>
      <c r="E132" s="35" t="str">
        <f t="shared" si="37"/>
        <v>PRBDP'!</v>
      </c>
      <c r="F132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2" s="32" t="s">
        <v>112</v>
      </c>
      <c r="H132" s="33"/>
      <c r="I132" s="33"/>
      <c r="J132" s="37"/>
    </row>
    <row r="133" spans="1:10" x14ac:dyDescent="0.35">
      <c r="A133" s="32" t="s">
        <v>17</v>
      </c>
      <c r="B133" s="32">
        <f t="shared" si="40"/>
        <v>2040</v>
      </c>
      <c r="C133" s="33" t="s">
        <v>31</v>
      </c>
      <c r="D133" s="34" t="s">
        <v>128</v>
      </c>
      <c r="E133" s="35" t="str">
        <f t="shared" si="37"/>
        <v>PRBDP'!</v>
      </c>
      <c r="F133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3" s="32" t="s">
        <v>112</v>
      </c>
      <c r="H133" s="33"/>
      <c r="I133" s="33"/>
      <c r="J133" s="37"/>
    </row>
    <row r="134" spans="1:10" x14ac:dyDescent="0.35">
      <c r="A134" s="32" t="s">
        <v>17</v>
      </c>
      <c r="B134" s="32">
        <f>+B133+1</f>
        <v>2041</v>
      </c>
      <c r="C134" s="33" t="s">
        <v>31</v>
      </c>
      <c r="D134" s="34" t="s">
        <v>128</v>
      </c>
      <c r="E134" s="35" t="str">
        <f t="shared" si="37"/>
        <v>PRBDP'!</v>
      </c>
      <c r="F134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4" s="32" t="s">
        <v>112</v>
      </c>
      <c r="H134" s="33"/>
      <c r="I134" s="33"/>
      <c r="J134" s="37"/>
    </row>
    <row r="135" spans="1:10" x14ac:dyDescent="0.35">
      <c r="A135" s="32" t="s">
        <v>17</v>
      </c>
      <c r="B135" s="32">
        <f t="shared" ref="B135:B136" si="41">+B134+1</f>
        <v>2042</v>
      </c>
      <c r="C135" s="33" t="s">
        <v>31</v>
      </c>
      <c r="D135" s="34" t="s">
        <v>128</v>
      </c>
      <c r="E135" s="35" t="str">
        <f t="shared" si="37"/>
        <v>PRBDP'!</v>
      </c>
      <c r="F135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5" s="32" t="s">
        <v>112</v>
      </c>
      <c r="H135" s="33"/>
      <c r="I135" s="33"/>
      <c r="J135" s="37"/>
    </row>
    <row r="136" spans="1:10" x14ac:dyDescent="0.35">
      <c r="A136" s="32" t="s">
        <v>17</v>
      </c>
      <c r="B136" s="32">
        <f t="shared" si="41"/>
        <v>2043</v>
      </c>
      <c r="C136" s="33" t="s">
        <v>31</v>
      </c>
      <c r="D136" s="34" t="s">
        <v>128</v>
      </c>
      <c r="E136" s="35" t="str">
        <f t="shared" si="37"/>
        <v>PRBDP'!</v>
      </c>
      <c r="F136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6" s="32" t="s">
        <v>112</v>
      </c>
      <c r="H136" s="33"/>
      <c r="I136" s="33"/>
      <c r="J136" s="37"/>
    </row>
    <row r="137" spans="1:10" x14ac:dyDescent="0.35">
      <c r="A137" s="32" t="s">
        <v>17</v>
      </c>
      <c r="B137" s="32">
        <f>+B136+1</f>
        <v>2044</v>
      </c>
      <c r="C137" s="33" t="s">
        <v>31</v>
      </c>
      <c r="D137" s="34" t="s">
        <v>128</v>
      </c>
      <c r="E137" s="35" t="str">
        <f t="shared" ref="E137:E152" si="42">_xlfn.CONCAT(A137,"'!")</f>
        <v>PRBDP'!</v>
      </c>
      <c r="F137" s="34" t="str">
        <f t="shared" ref="F137:F152" si="43">_xlfn.CONCAT(D137:E137)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7" s="32" t="s">
        <v>112</v>
      </c>
      <c r="H137" s="33"/>
      <c r="I137" s="33"/>
      <c r="J137" s="37"/>
    </row>
    <row r="138" spans="1:10" x14ac:dyDescent="0.35">
      <c r="A138" s="32" t="s">
        <v>17</v>
      </c>
      <c r="B138" s="32">
        <f t="shared" ref="B138:B152" si="44">+B137+1</f>
        <v>2045</v>
      </c>
      <c r="C138" s="33" t="s">
        <v>31</v>
      </c>
      <c r="D138" s="34" t="s">
        <v>128</v>
      </c>
      <c r="E138" s="35" t="str">
        <f t="shared" si="42"/>
        <v>PRBDP'!</v>
      </c>
      <c r="F138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8" s="32" t="s">
        <v>112</v>
      </c>
      <c r="H138" s="33"/>
      <c r="I138" s="33"/>
      <c r="J138" s="37"/>
    </row>
    <row r="139" spans="1:10" x14ac:dyDescent="0.35">
      <c r="A139" s="32" t="s">
        <v>17</v>
      </c>
      <c r="B139" s="32">
        <f t="shared" si="44"/>
        <v>2046</v>
      </c>
      <c r="C139" s="33" t="s">
        <v>31</v>
      </c>
      <c r="D139" s="34" t="s">
        <v>128</v>
      </c>
      <c r="E139" s="35" t="str">
        <f t="shared" si="42"/>
        <v>PRBDP'!</v>
      </c>
      <c r="F139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9" s="32" t="s">
        <v>112</v>
      </c>
      <c r="H139" s="33"/>
      <c r="I139" s="33"/>
      <c r="J139" s="37"/>
    </row>
    <row r="140" spans="1:10" x14ac:dyDescent="0.35">
      <c r="A140" s="32" t="s">
        <v>17</v>
      </c>
      <c r="B140" s="32">
        <f t="shared" si="44"/>
        <v>2047</v>
      </c>
      <c r="C140" s="33" t="s">
        <v>31</v>
      </c>
      <c r="D140" s="34" t="s">
        <v>128</v>
      </c>
      <c r="E140" s="35" t="str">
        <f t="shared" si="42"/>
        <v>PRBDP'!</v>
      </c>
      <c r="F140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0" s="32" t="s">
        <v>112</v>
      </c>
      <c r="H140" s="33"/>
      <c r="I140" s="33"/>
      <c r="J140" s="37"/>
    </row>
    <row r="141" spans="1:10" x14ac:dyDescent="0.35">
      <c r="A141" s="32" t="s">
        <v>17</v>
      </c>
      <c r="B141" s="32">
        <f t="shared" si="44"/>
        <v>2048</v>
      </c>
      <c r="C141" s="33" t="s">
        <v>31</v>
      </c>
      <c r="D141" s="34" t="s">
        <v>128</v>
      </c>
      <c r="E141" s="35" t="str">
        <f t="shared" si="42"/>
        <v>PRBDP'!</v>
      </c>
      <c r="F141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1" s="32" t="s">
        <v>112</v>
      </c>
      <c r="H141" s="33"/>
      <c r="I141" s="33"/>
      <c r="J141" s="37"/>
    </row>
    <row r="142" spans="1:10" x14ac:dyDescent="0.35">
      <c r="A142" s="32" t="s">
        <v>17</v>
      </c>
      <c r="B142" s="32">
        <f t="shared" si="44"/>
        <v>2049</v>
      </c>
      <c r="C142" s="33" t="s">
        <v>31</v>
      </c>
      <c r="D142" s="34" t="s">
        <v>128</v>
      </c>
      <c r="E142" s="35" t="str">
        <f t="shared" si="42"/>
        <v>PRBDP'!</v>
      </c>
      <c r="F142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2" s="32" t="s">
        <v>112</v>
      </c>
      <c r="H142" s="33"/>
      <c r="I142" s="33"/>
      <c r="J142" s="37"/>
    </row>
    <row r="143" spans="1:10" x14ac:dyDescent="0.35">
      <c r="A143" s="32" t="s">
        <v>17</v>
      </c>
      <c r="B143" s="32">
        <f t="shared" si="44"/>
        <v>2050</v>
      </c>
      <c r="C143" s="33" t="s">
        <v>31</v>
      </c>
      <c r="D143" s="34" t="s">
        <v>128</v>
      </c>
      <c r="E143" s="35" t="str">
        <f t="shared" si="42"/>
        <v>PRBDP'!</v>
      </c>
      <c r="F143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3" s="32" t="s">
        <v>112</v>
      </c>
      <c r="H143" s="33"/>
      <c r="I143" s="33"/>
      <c r="J143" s="37"/>
    </row>
    <row r="144" spans="1:10" x14ac:dyDescent="0.35">
      <c r="A144" s="32" t="s">
        <v>17</v>
      </c>
      <c r="B144" s="32">
        <f t="shared" si="44"/>
        <v>2051</v>
      </c>
      <c r="C144" s="33" t="s">
        <v>31</v>
      </c>
      <c r="D144" s="34" t="s">
        <v>128</v>
      </c>
      <c r="E144" s="35" t="str">
        <f t="shared" si="42"/>
        <v>PRBDP'!</v>
      </c>
      <c r="F144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4" s="32" t="s">
        <v>112</v>
      </c>
      <c r="H144" s="33"/>
      <c r="I144" s="33"/>
      <c r="J144" s="37"/>
    </row>
    <row r="145" spans="1:10" x14ac:dyDescent="0.35">
      <c r="A145" s="32" t="s">
        <v>17</v>
      </c>
      <c r="B145" s="32">
        <f t="shared" si="44"/>
        <v>2052</v>
      </c>
      <c r="C145" s="33" t="s">
        <v>31</v>
      </c>
      <c r="D145" s="34" t="s">
        <v>128</v>
      </c>
      <c r="E145" s="35" t="str">
        <f t="shared" si="42"/>
        <v>PRBDP'!</v>
      </c>
      <c r="F145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5" s="32" t="s">
        <v>112</v>
      </c>
      <c r="H145" s="33"/>
      <c r="I145" s="33"/>
      <c r="J145" s="37"/>
    </row>
    <row r="146" spans="1:10" x14ac:dyDescent="0.35">
      <c r="A146" s="32" t="s">
        <v>17</v>
      </c>
      <c r="B146" s="32">
        <f t="shared" si="44"/>
        <v>2053</v>
      </c>
      <c r="C146" s="33" t="s">
        <v>31</v>
      </c>
      <c r="D146" s="34" t="s">
        <v>128</v>
      </c>
      <c r="E146" s="35" t="str">
        <f t="shared" si="42"/>
        <v>PRBDP'!</v>
      </c>
      <c r="F146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6" s="32" t="s">
        <v>112</v>
      </c>
      <c r="H146" s="33"/>
      <c r="I146" s="33"/>
      <c r="J146" s="37"/>
    </row>
    <row r="147" spans="1:10" x14ac:dyDescent="0.35">
      <c r="A147" s="32" t="s">
        <v>17</v>
      </c>
      <c r="B147" s="32">
        <f t="shared" si="44"/>
        <v>2054</v>
      </c>
      <c r="C147" s="33" t="s">
        <v>31</v>
      </c>
      <c r="D147" s="34" t="s">
        <v>128</v>
      </c>
      <c r="E147" s="35" t="str">
        <f t="shared" si="42"/>
        <v>PRBDP'!</v>
      </c>
      <c r="F147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7" s="32" t="s">
        <v>112</v>
      </c>
      <c r="H147" s="33"/>
      <c r="I147" s="33"/>
      <c r="J147" s="37"/>
    </row>
    <row r="148" spans="1:10" x14ac:dyDescent="0.35">
      <c r="A148" s="32" t="s">
        <v>17</v>
      </c>
      <c r="B148" s="32">
        <f t="shared" si="44"/>
        <v>2055</v>
      </c>
      <c r="C148" s="33" t="s">
        <v>31</v>
      </c>
      <c r="D148" s="34" t="s">
        <v>128</v>
      </c>
      <c r="E148" s="35" t="str">
        <f t="shared" si="42"/>
        <v>PRBDP'!</v>
      </c>
      <c r="F148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8" s="32" t="s">
        <v>112</v>
      </c>
      <c r="H148" s="33"/>
      <c r="I148" s="33"/>
      <c r="J148" s="37"/>
    </row>
    <row r="149" spans="1:10" x14ac:dyDescent="0.35">
      <c r="A149" s="32" t="s">
        <v>17</v>
      </c>
      <c r="B149" s="32">
        <f t="shared" si="44"/>
        <v>2056</v>
      </c>
      <c r="C149" s="33" t="s">
        <v>31</v>
      </c>
      <c r="D149" s="34" t="s">
        <v>128</v>
      </c>
      <c r="E149" s="35" t="str">
        <f t="shared" si="42"/>
        <v>PRBDP'!</v>
      </c>
      <c r="F149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9" s="32" t="s">
        <v>112</v>
      </c>
      <c r="H149" s="33"/>
      <c r="I149" s="33"/>
      <c r="J149" s="37"/>
    </row>
    <row r="150" spans="1:10" x14ac:dyDescent="0.35">
      <c r="A150" s="32" t="s">
        <v>17</v>
      </c>
      <c r="B150" s="32">
        <f t="shared" si="44"/>
        <v>2057</v>
      </c>
      <c r="C150" s="33" t="s">
        <v>31</v>
      </c>
      <c r="D150" s="34" t="s">
        <v>128</v>
      </c>
      <c r="E150" s="35" t="str">
        <f t="shared" si="42"/>
        <v>PRBDP'!</v>
      </c>
      <c r="F150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50" s="32" t="s">
        <v>112</v>
      </c>
      <c r="H150" s="33"/>
      <c r="I150" s="33"/>
      <c r="J150" s="37"/>
    </row>
    <row r="151" spans="1:10" x14ac:dyDescent="0.35">
      <c r="A151" s="32" t="s">
        <v>17</v>
      </c>
      <c r="B151" s="32">
        <f t="shared" si="44"/>
        <v>2058</v>
      </c>
      <c r="C151" s="33" t="s">
        <v>31</v>
      </c>
      <c r="D151" s="34" t="s">
        <v>128</v>
      </c>
      <c r="E151" s="35" t="str">
        <f t="shared" si="42"/>
        <v>PRBDP'!</v>
      </c>
      <c r="F151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51" s="32" t="s">
        <v>112</v>
      </c>
      <c r="H151" s="33"/>
      <c r="I151" s="33"/>
      <c r="J151" s="37"/>
    </row>
    <row r="152" spans="1:10" x14ac:dyDescent="0.35">
      <c r="A152" s="32" t="s">
        <v>17</v>
      </c>
      <c r="B152" s="32">
        <f t="shared" si="44"/>
        <v>2059</v>
      </c>
      <c r="C152" s="33" t="s">
        <v>31</v>
      </c>
      <c r="D152" s="34" t="s">
        <v>128</v>
      </c>
      <c r="E152" s="35" t="str">
        <f t="shared" si="42"/>
        <v>PRBDP'!</v>
      </c>
      <c r="F152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52" s="32" t="s">
        <v>112</v>
      </c>
      <c r="H152" s="33"/>
      <c r="I152" s="33"/>
      <c r="J152" s="37"/>
    </row>
    <row r="153" spans="1:10" x14ac:dyDescent="0.35">
      <c r="A153" s="32" t="s">
        <v>26</v>
      </c>
      <c r="B153" s="32"/>
      <c r="C153" s="33" t="s">
        <v>31</v>
      </c>
      <c r="D153" s="34"/>
      <c r="E153" s="35"/>
      <c r="F153" s="34"/>
      <c r="G153" s="32"/>
      <c r="H153" s="33"/>
      <c r="I153" s="33"/>
      <c r="J153" s="33"/>
    </row>
    <row r="154" spans="1:10" x14ac:dyDescent="0.35">
      <c r="A154" s="32" t="s">
        <v>18</v>
      </c>
      <c r="B154" s="32">
        <v>2023</v>
      </c>
      <c r="C154" s="33" t="s">
        <v>31</v>
      </c>
      <c r="D154" s="34" t="s">
        <v>128</v>
      </c>
      <c r="E154" s="35" t="str">
        <f t="shared" ref="E154:E174" si="45">_xlfn.CONCAT(A154,"'!")</f>
        <v>PRBNP'!</v>
      </c>
      <c r="F154" s="34" t="str">
        <f t="shared" ref="F154:F174" si="46">_xlfn.CONCAT(D154:E154)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54" s="32" t="s">
        <v>112</v>
      </c>
      <c r="H154" s="33"/>
      <c r="I154" s="33"/>
      <c r="J154" s="37"/>
    </row>
    <row r="155" spans="1:10" x14ac:dyDescent="0.35">
      <c r="A155" s="32" t="s">
        <v>18</v>
      </c>
      <c r="B155" s="32">
        <f>+B154+1</f>
        <v>2024</v>
      </c>
      <c r="C155" s="33" t="s">
        <v>31</v>
      </c>
      <c r="D155" s="34" t="s">
        <v>128</v>
      </c>
      <c r="E155" s="35" t="str">
        <f t="shared" si="45"/>
        <v>PRBNP'!</v>
      </c>
      <c r="F155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55" s="32" t="s">
        <v>112</v>
      </c>
      <c r="H155" s="33"/>
      <c r="I155" s="33"/>
      <c r="J155" s="37"/>
    </row>
    <row r="156" spans="1:10" x14ac:dyDescent="0.35">
      <c r="A156" s="32" t="s">
        <v>18</v>
      </c>
      <c r="B156" s="32">
        <f t="shared" ref="B156:B167" si="47">+B155+1</f>
        <v>2025</v>
      </c>
      <c r="C156" s="33" t="s">
        <v>31</v>
      </c>
      <c r="D156" s="34" t="s">
        <v>128</v>
      </c>
      <c r="E156" s="35" t="str">
        <f t="shared" si="45"/>
        <v>PRBNP'!</v>
      </c>
      <c r="F156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56" s="32" t="s">
        <v>112</v>
      </c>
      <c r="H156" s="33"/>
      <c r="I156" s="33"/>
      <c r="J156" s="37"/>
    </row>
    <row r="157" spans="1:10" x14ac:dyDescent="0.35">
      <c r="A157" s="32" t="s">
        <v>18</v>
      </c>
      <c r="B157" s="32">
        <f t="shared" si="47"/>
        <v>2026</v>
      </c>
      <c r="C157" s="33" t="s">
        <v>31</v>
      </c>
      <c r="D157" s="34" t="s">
        <v>128</v>
      </c>
      <c r="E157" s="35" t="str">
        <f t="shared" si="45"/>
        <v>PRBNP'!</v>
      </c>
      <c r="F157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57" s="32" t="s">
        <v>112</v>
      </c>
      <c r="H157" s="33"/>
      <c r="I157" s="33"/>
      <c r="J157" s="37"/>
    </row>
    <row r="158" spans="1:10" x14ac:dyDescent="0.35">
      <c r="A158" s="32" t="s">
        <v>18</v>
      </c>
      <c r="B158" s="32">
        <f t="shared" si="47"/>
        <v>2027</v>
      </c>
      <c r="C158" s="33" t="s">
        <v>31</v>
      </c>
      <c r="D158" s="34" t="s">
        <v>128</v>
      </c>
      <c r="E158" s="35" t="str">
        <f t="shared" si="45"/>
        <v>PRBNP'!</v>
      </c>
      <c r="F158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58" s="32" t="s">
        <v>112</v>
      </c>
      <c r="H158" s="33"/>
      <c r="I158" s="33"/>
      <c r="J158" s="37"/>
    </row>
    <row r="159" spans="1:10" x14ac:dyDescent="0.35">
      <c r="A159" s="32" t="s">
        <v>18</v>
      </c>
      <c r="B159" s="32">
        <f t="shared" si="47"/>
        <v>2028</v>
      </c>
      <c r="C159" s="33" t="s">
        <v>31</v>
      </c>
      <c r="D159" s="34" t="s">
        <v>128</v>
      </c>
      <c r="E159" s="35" t="str">
        <f t="shared" si="45"/>
        <v>PRBNP'!</v>
      </c>
      <c r="F159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59" s="32" t="s">
        <v>112</v>
      </c>
      <c r="H159" s="33"/>
      <c r="I159" s="33"/>
      <c r="J159" s="37"/>
    </row>
    <row r="160" spans="1:10" x14ac:dyDescent="0.35">
      <c r="A160" s="32" t="s">
        <v>18</v>
      </c>
      <c r="B160" s="32">
        <f t="shared" si="47"/>
        <v>2029</v>
      </c>
      <c r="C160" s="33" t="s">
        <v>31</v>
      </c>
      <c r="D160" s="34" t="s">
        <v>128</v>
      </c>
      <c r="E160" s="35" t="str">
        <f t="shared" si="45"/>
        <v>PRBNP'!</v>
      </c>
      <c r="F160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60" s="32" t="s">
        <v>112</v>
      </c>
      <c r="H160" s="33"/>
      <c r="I160" s="33"/>
      <c r="J160" s="37"/>
    </row>
    <row r="161" spans="1:10" x14ac:dyDescent="0.35">
      <c r="A161" s="32" t="s">
        <v>18</v>
      </c>
      <c r="B161" s="32">
        <f t="shared" si="47"/>
        <v>2030</v>
      </c>
      <c r="C161" s="33" t="s">
        <v>31</v>
      </c>
      <c r="D161" s="34" t="s">
        <v>128</v>
      </c>
      <c r="E161" s="35" t="str">
        <f t="shared" si="45"/>
        <v>PRBNP'!</v>
      </c>
      <c r="F161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61" s="32" t="s">
        <v>112</v>
      </c>
      <c r="H161" s="33"/>
      <c r="I161" s="33"/>
      <c r="J161" s="37"/>
    </row>
    <row r="162" spans="1:10" x14ac:dyDescent="0.35">
      <c r="A162" s="32" t="s">
        <v>18</v>
      </c>
      <c r="B162" s="32">
        <f t="shared" si="47"/>
        <v>2031</v>
      </c>
      <c r="C162" s="33" t="s">
        <v>31</v>
      </c>
      <c r="D162" s="34" t="s">
        <v>128</v>
      </c>
      <c r="E162" s="35" t="str">
        <f t="shared" si="45"/>
        <v>PRBNP'!</v>
      </c>
      <c r="F162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62" s="32" t="s">
        <v>112</v>
      </c>
      <c r="H162" s="33"/>
      <c r="I162" s="33"/>
      <c r="J162" s="37"/>
    </row>
    <row r="163" spans="1:10" x14ac:dyDescent="0.35">
      <c r="A163" s="32" t="s">
        <v>18</v>
      </c>
      <c r="B163" s="32">
        <f t="shared" si="47"/>
        <v>2032</v>
      </c>
      <c r="C163" s="33" t="s">
        <v>31</v>
      </c>
      <c r="D163" s="34" t="s">
        <v>128</v>
      </c>
      <c r="E163" s="35" t="str">
        <f t="shared" si="45"/>
        <v>PRBNP'!</v>
      </c>
      <c r="F163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63" s="32" t="s">
        <v>112</v>
      </c>
      <c r="H163" s="33"/>
      <c r="I163" s="33"/>
      <c r="J163" s="37"/>
    </row>
    <row r="164" spans="1:10" x14ac:dyDescent="0.35">
      <c r="A164" s="32" t="s">
        <v>18</v>
      </c>
      <c r="B164" s="32">
        <f t="shared" si="47"/>
        <v>2033</v>
      </c>
      <c r="C164" s="33" t="s">
        <v>31</v>
      </c>
      <c r="D164" s="34" t="s">
        <v>128</v>
      </c>
      <c r="E164" s="35" t="str">
        <f t="shared" si="45"/>
        <v>PRBNP'!</v>
      </c>
      <c r="F164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64" s="32" t="s">
        <v>112</v>
      </c>
      <c r="H164" s="33"/>
      <c r="I164" s="33"/>
      <c r="J164" s="37"/>
    </row>
    <row r="165" spans="1:10" x14ac:dyDescent="0.35">
      <c r="A165" s="32" t="s">
        <v>18</v>
      </c>
      <c r="B165" s="32">
        <f t="shared" si="47"/>
        <v>2034</v>
      </c>
      <c r="C165" s="33" t="s">
        <v>31</v>
      </c>
      <c r="D165" s="34" t="s">
        <v>128</v>
      </c>
      <c r="E165" s="35" t="str">
        <f t="shared" si="45"/>
        <v>PRBNP'!</v>
      </c>
      <c r="F165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65" s="32" t="s">
        <v>112</v>
      </c>
      <c r="H165" s="33"/>
      <c r="I165" s="33"/>
      <c r="J165" s="37"/>
    </row>
    <row r="166" spans="1:10" x14ac:dyDescent="0.35">
      <c r="A166" s="32" t="s">
        <v>18</v>
      </c>
      <c r="B166" s="32">
        <f t="shared" si="47"/>
        <v>2035</v>
      </c>
      <c r="C166" s="33" t="s">
        <v>31</v>
      </c>
      <c r="D166" s="34" t="s">
        <v>128</v>
      </c>
      <c r="E166" s="35" t="str">
        <f t="shared" si="45"/>
        <v>PRBNP'!</v>
      </c>
      <c r="F166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66" s="32" t="s">
        <v>112</v>
      </c>
      <c r="H166" s="33"/>
      <c r="I166" s="33"/>
      <c r="J166" s="37"/>
    </row>
    <row r="167" spans="1:10" x14ac:dyDescent="0.35">
      <c r="A167" s="32" t="s">
        <v>18</v>
      </c>
      <c r="B167" s="32">
        <f t="shared" si="47"/>
        <v>2036</v>
      </c>
      <c r="C167" s="33" t="s">
        <v>31</v>
      </c>
      <c r="D167" s="34" t="s">
        <v>128</v>
      </c>
      <c r="E167" s="35" t="str">
        <f t="shared" si="45"/>
        <v>PRBNP'!</v>
      </c>
      <c r="F167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67" s="32" t="s">
        <v>112</v>
      </c>
      <c r="H167" s="33"/>
      <c r="I167" s="33"/>
      <c r="J167" s="37"/>
    </row>
    <row r="168" spans="1:10" x14ac:dyDescent="0.35">
      <c r="A168" s="32" t="s">
        <v>18</v>
      </c>
      <c r="B168" s="32">
        <f>+B167+1</f>
        <v>2037</v>
      </c>
      <c r="C168" s="33" t="s">
        <v>31</v>
      </c>
      <c r="D168" s="34" t="s">
        <v>128</v>
      </c>
      <c r="E168" s="35" t="str">
        <f t="shared" si="45"/>
        <v>PRBNP'!</v>
      </c>
      <c r="F168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68" s="32" t="s">
        <v>112</v>
      </c>
      <c r="H168" s="33"/>
      <c r="I168" s="33"/>
      <c r="J168" s="37"/>
    </row>
    <row r="169" spans="1:10" x14ac:dyDescent="0.35">
      <c r="A169" s="32" t="s">
        <v>18</v>
      </c>
      <c r="B169" s="32">
        <f t="shared" ref="B169:B171" si="48">+B168+1</f>
        <v>2038</v>
      </c>
      <c r="C169" s="33" t="s">
        <v>31</v>
      </c>
      <c r="D169" s="34" t="s">
        <v>128</v>
      </c>
      <c r="E169" s="35" t="str">
        <f t="shared" si="45"/>
        <v>PRBNP'!</v>
      </c>
      <c r="F169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69" s="32" t="s">
        <v>112</v>
      </c>
      <c r="H169" s="33"/>
      <c r="I169" s="33"/>
      <c r="J169" s="37"/>
    </row>
    <row r="170" spans="1:10" x14ac:dyDescent="0.35">
      <c r="A170" s="32" t="s">
        <v>18</v>
      </c>
      <c r="B170" s="32">
        <f t="shared" si="48"/>
        <v>2039</v>
      </c>
      <c r="C170" s="33" t="s">
        <v>31</v>
      </c>
      <c r="D170" s="34" t="s">
        <v>128</v>
      </c>
      <c r="E170" s="35" t="str">
        <f t="shared" si="45"/>
        <v>PRBNP'!</v>
      </c>
      <c r="F170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70" s="32" t="s">
        <v>112</v>
      </c>
      <c r="H170" s="33"/>
      <c r="I170" s="33"/>
      <c r="J170" s="37"/>
    </row>
    <row r="171" spans="1:10" x14ac:dyDescent="0.35">
      <c r="A171" s="32" t="s">
        <v>18</v>
      </c>
      <c r="B171" s="32">
        <f t="shared" si="48"/>
        <v>2040</v>
      </c>
      <c r="C171" s="33" t="s">
        <v>31</v>
      </c>
      <c r="D171" s="34" t="s">
        <v>128</v>
      </c>
      <c r="E171" s="35" t="str">
        <f t="shared" si="45"/>
        <v>PRBNP'!</v>
      </c>
      <c r="F171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71" s="32" t="s">
        <v>112</v>
      </c>
      <c r="H171" s="33"/>
      <c r="I171" s="33"/>
      <c r="J171" s="37"/>
    </row>
    <row r="172" spans="1:10" x14ac:dyDescent="0.35">
      <c r="A172" s="32" t="s">
        <v>18</v>
      </c>
      <c r="B172" s="32">
        <f>+B171+1</f>
        <v>2041</v>
      </c>
      <c r="C172" s="33" t="s">
        <v>31</v>
      </c>
      <c r="D172" s="34" t="s">
        <v>128</v>
      </c>
      <c r="E172" s="35" t="str">
        <f t="shared" si="45"/>
        <v>PRBNP'!</v>
      </c>
      <c r="F172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72" s="32" t="s">
        <v>112</v>
      </c>
      <c r="H172" s="33"/>
      <c r="I172" s="33"/>
      <c r="J172" s="37"/>
    </row>
    <row r="173" spans="1:10" x14ac:dyDescent="0.35">
      <c r="A173" s="32" t="s">
        <v>18</v>
      </c>
      <c r="B173" s="32">
        <f t="shared" ref="B173:B174" si="49">+B172+1</f>
        <v>2042</v>
      </c>
      <c r="C173" s="33" t="s">
        <v>31</v>
      </c>
      <c r="D173" s="34" t="s">
        <v>128</v>
      </c>
      <c r="E173" s="35" t="str">
        <f t="shared" si="45"/>
        <v>PRBNP'!</v>
      </c>
      <c r="F173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73" s="32" t="s">
        <v>112</v>
      </c>
      <c r="H173" s="33"/>
      <c r="I173" s="33"/>
      <c r="J173" s="37"/>
    </row>
    <row r="174" spans="1:10" x14ac:dyDescent="0.35">
      <c r="A174" s="32" t="s">
        <v>18</v>
      </c>
      <c r="B174" s="32">
        <f t="shared" si="49"/>
        <v>2043</v>
      </c>
      <c r="C174" s="33" t="s">
        <v>31</v>
      </c>
      <c r="D174" s="34" t="s">
        <v>128</v>
      </c>
      <c r="E174" s="35" t="str">
        <f t="shared" si="45"/>
        <v>PRBNP'!</v>
      </c>
      <c r="F174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74" s="32" t="s">
        <v>112</v>
      </c>
      <c r="H174" s="33"/>
      <c r="I174" s="33"/>
      <c r="J174" s="37"/>
    </row>
    <row r="175" spans="1:10" x14ac:dyDescent="0.35">
      <c r="A175" s="32" t="s">
        <v>18</v>
      </c>
      <c r="B175" s="32">
        <f>+B174+1</f>
        <v>2044</v>
      </c>
      <c r="C175" s="33" t="s">
        <v>31</v>
      </c>
      <c r="D175" s="34" t="s">
        <v>128</v>
      </c>
      <c r="E175" s="35" t="str">
        <f t="shared" ref="E175:E190" si="50">_xlfn.CONCAT(A175,"'!")</f>
        <v>PRBNP'!</v>
      </c>
      <c r="F175" s="34" t="str">
        <f t="shared" ref="F175:F190" si="51">_xlfn.CONCAT(D175:E175)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75" s="32" t="s">
        <v>112</v>
      </c>
      <c r="H175" s="33"/>
      <c r="I175" s="33"/>
      <c r="J175" s="37"/>
    </row>
    <row r="176" spans="1:10" x14ac:dyDescent="0.35">
      <c r="A176" s="32" t="s">
        <v>18</v>
      </c>
      <c r="B176" s="32">
        <f t="shared" ref="B176:B190" si="52">+B175+1</f>
        <v>2045</v>
      </c>
      <c r="C176" s="33" t="s">
        <v>31</v>
      </c>
      <c r="D176" s="34" t="s">
        <v>128</v>
      </c>
      <c r="E176" s="35" t="str">
        <f t="shared" si="50"/>
        <v>PRBNP'!</v>
      </c>
      <c r="F176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76" s="32" t="s">
        <v>112</v>
      </c>
      <c r="H176" s="33"/>
      <c r="I176" s="33"/>
      <c r="J176" s="37"/>
    </row>
    <row r="177" spans="1:10" x14ac:dyDescent="0.35">
      <c r="A177" s="32" t="s">
        <v>18</v>
      </c>
      <c r="B177" s="32">
        <f t="shared" si="52"/>
        <v>2046</v>
      </c>
      <c r="C177" s="33" t="s">
        <v>31</v>
      </c>
      <c r="D177" s="34" t="s">
        <v>128</v>
      </c>
      <c r="E177" s="35" t="str">
        <f t="shared" si="50"/>
        <v>PRBNP'!</v>
      </c>
      <c r="F177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77" s="32" t="s">
        <v>112</v>
      </c>
      <c r="H177" s="33"/>
      <c r="I177" s="33"/>
      <c r="J177" s="37"/>
    </row>
    <row r="178" spans="1:10" x14ac:dyDescent="0.35">
      <c r="A178" s="32" t="s">
        <v>18</v>
      </c>
      <c r="B178" s="32">
        <f t="shared" si="52"/>
        <v>2047</v>
      </c>
      <c r="C178" s="33" t="s">
        <v>31</v>
      </c>
      <c r="D178" s="34" t="s">
        <v>128</v>
      </c>
      <c r="E178" s="35" t="str">
        <f t="shared" si="50"/>
        <v>PRBNP'!</v>
      </c>
      <c r="F178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78" s="32" t="s">
        <v>112</v>
      </c>
      <c r="H178" s="33"/>
      <c r="I178" s="33"/>
      <c r="J178" s="37"/>
    </row>
    <row r="179" spans="1:10" x14ac:dyDescent="0.35">
      <c r="A179" s="32" t="s">
        <v>18</v>
      </c>
      <c r="B179" s="32">
        <f t="shared" si="52"/>
        <v>2048</v>
      </c>
      <c r="C179" s="33" t="s">
        <v>31</v>
      </c>
      <c r="D179" s="34" t="s">
        <v>128</v>
      </c>
      <c r="E179" s="35" t="str">
        <f t="shared" si="50"/>
        <v>PRBNP'!</v>
      </c>
      <c r="F179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79" s="32" t="s">
        <v>112</v>
      </c>
      <c r="H179" s="33"/>
      <c r="I179" s="33"/>
      <c r="J179" s="37"/>
    </row>
    <row r="180" spans="1:10" x14ac:dyDescent="0.35">
      <c r="A180" s="32" t="s">
        <v>18</v>
      </c>
      <c r="B180" s="32">
        <f t="shared" si="52"/>
        <v>2049</v>
      </c>
      <c r="C180" s="33" t="s">
        <v>31</v>
      </c>
      <c r="D180" s="34" t="s">
        <v>128</v>
      </c>
      <c r="E180" s="35" t="str">
        <f t="shared" si="50"/>
        <v>PRBNP'!</v>
      </c>
      <c r="F180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0" s="32" t="s">
        <v>112</v>
      </c>
      <c r="H180" s="33"/>
      <c r="I180" s="33"/>
      <c r="J180" s="37"/>
    </row>
    <row r="181" spans="1:10" x14ac:dyDescent="0.35">
      <c r="A181" s="32" t="s">
        <v>18</v>
      </c>
      <c r="B181" s="32">
        <f t="shared" si="52"/>
        <v>2050</v>
      </c>
      <c r="C181" s="33" t="s">
        <v>31</v>
      </c>
      <c r="D181" s="34" t="s">
        <v>128</v>
      </c>
      <c r="E181" s="35" t="str">
        <f t="shared" si="50"/>
        <v>PRBNP'!</v>
      </c>
      <c r="F181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1" s="32" t="s">
        <v>112</v>
      </c>
      <c r="H181" s="33"/>
      <c r="I181" s="33"/>
      <c r="J181" s="37"/>
    </row>
    <row r="182" spans="1:10" x14ac:dyDescent="0.35">
      <c r="A182" s="32" t="s">
        <v>18</v>
      </c>
      <c r="B182" s="32">
        <f t="shared" si="52"/>
        <v>2051</v>
      </c>
      <c r="C182" s="33" t="s">
        <v>31</v>
      </c>
      <c r="D182" s="34" t="s">
        <v>128</v>
      </c>
      <c r="E182" s="35" t="str">
        <f t="shared" si="50"/>
        <v>PRBNP'!</v>
      </c>
      <c r="F182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2" s="32" t="s">
        <v>112</v>
      </c>
      <c r="H182" s="33"/>
      <c r="I182" s="33"/>
      <c r="J182" s="37"/>
    </row>
    <row r="183" spans="1:10" x14ac:dyDescent="0.35">
      <c r="A183" s="32" t="s">
        <v>18</v>
      </c>
      <c r="B183" s="32">
        <f t="shared" si="52"/>
        <v>2052</v>
      </c>
      <c r="C183" s="33" t="s">
        <v>31</v>
      </c>
      <c r="D183" s="34" t="s">
        <v>128</v>
      </c>
      <c r="E183" s="35" t="str">
        <f t="shared" si="50"/>
        <v>PRBNP'!</v>
      </c>
      <c r="F183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3" s="32" t="s">
        <v>112</v>
      </c>
      <c r="H183" s="33"/>
      <c r="I183" s="33"/>
      <c r="J183" s="37"/>
    </row>
    <row r="184" spans="1:10" x14ac:dyDescent="0.35">
      <c r="A184" s="32" t="s">
        <v>18</v>
      </c>
      <c r="B184" s="32">
        <f t="shared" si="52"/>
        <v>2053</v>
      </c>
      <c r="C184" s="33" t="s">
        <v>31</v>
      </c>
      <c r="D184" s="34" t="s">
        <v>128</v>
      </c>
      <c r="E184" s="35" t="str">
        <f t="shared" si="50"/>
        <v>PRBNP'!</v>
      </c>
      <c r="F184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4" s="32" t="s">
        <v>112</v>
      </c>
      <c r="H184" s="33"/>
      <c r="I184" s="33"/>
      <c r="J184" s="37"/>
    </row>
    <row r="185" spans="1:10" x14ac:dyDescent="0.35">
      <c r="A185" s="32" t="s">
        <v>18</v>
      </c>
      <c r="B185" s="32">
        <f t="shared" si="52"/>
        <v>2054</v>
      </c>
      <c r="C185" s="33" t="s">
        <v>31</v>
      </c>
      <c r="D185" s="34" t="s">
        <v>128</v>
      </c>
      <c r="E185" s="35" t="str">
        <f t="shared" si="50"/>
        <v>PRBNP'!</v>
      </c>
      <c r="F185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5" s="32" t="s">
        <v>112</v>
      </c>
      <c r="H185" s="33"/>
      <c r="I185" s="33"/>
      <c r="J185" s="37"/>
    </row>
    <row r="186" spans="1:10" x14ac:dyDescent="0.35">
      <c r="A186" s="32" t="s">
        <v>18</v>
      </c>
      <c r="B186" s="32">
        <f t="shared" si="52"/>
        <v>2055</v>
      </c>
      <c r="C186" s="33" t="s">
        <v>31</v>
      </c>
      <c r="D186" s="34" t="s">
        <v>128</v>
      </c>
      <c r="E186" s="35" t="str">
        <f t="shared" si="50"/>
        <v>PRBNP'!</v>
      </c>
      <c r="F186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6" s="32" t="s">
        <v>112</v>
      </c>
      <c r="H186" s="33"/>
      <c r="I186" s="33"/>
      <c r="J186" s="37"/>
    </row>
    <row r="187" spans="1:10" x14ac:dyDescent="0.35">
      <c r="A187" s="32" t="s">
        <v>18</v>
      </c>
      <c r="B187" s="32">
        <f t="shared" si="52"/>
        <v>2056</v>
      </c>
      <c r="C187" s="33" t="s">
        <v>31</v>
      </c>
      <c r="D187" s="34" t="s">
        <v>128</v>
      </c>
      <c r="E187" s="35" t="str">
        <f t="shared" si="50"/>
        <v>PRBNP'!</v>
      </c>
      <c r="F187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7" s="32" t="s">
        <v>112</v>
      </c>
      <c r="H187" s="33"/>
      <c r="I187" s="33"/>
      <c r="J187" s="37"/>
    </row>
    <row r="188" spans="1:10" x14ac:dyDescent="0.35">
      <c r="A188" s="32" t="s">
        <v>18</v>
      </c>
      <c r="B188" s="32">
        <f t="shared" si="52"/>
        <v>2057</v>
      </c>
      <c r="C188" s="33" t="s">
        <v>31</v>
      </c>
      <c r="D188" s="34" t="s">
        <v>128</v>
      </c>
      <c r="E188" s="35" t="str">
        <f t="shared" si="50"/>
        <v>PRBNP'!</v>
      </c>
      <c r="F188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8" s="32" t="s">
        <v>112</v>
      </c>
      <c r="H188" s="33"/>
      <c r="I188" s="33"/>
      <c r="J188" s="37"/>
    </row>
    <row r="189" spans="1:10" x14ac:dyDescent="0.35">
      <c r="A189" s="32" t="s">
        <v>18</v>
      </c>
      <c r="B189" s="32">
        <f t="shared" si="52"/>
        <v>2058</v>
      </c>
      <c r="C189" s="33" t="s">
        <v>31</v>
      </c>
      <c r="D189" s="34" t="s">
        <v>128</v>
      </c>
      <c r="E189" s="35" t="str">
        <f t="shared" si="50"/>
        <v>PRBNP'!</v>
      </c>
      <c r="F189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9" s="32" t="s">
        <v>112</v>
      </c>
      <c r="H189" s="33"/>
      <c r="I189" s="33"/>
      <c r="J189" s="37"/>
    </row>
    <row r="190" spans="1:10" x14ac:dyDescent="0.35">
      <c r="A190" s="32" t="s">
        <v>18</v>
      </c>
      <c r="B190" s="32">
        <f t="shared" si="52"/>
        <v>2059</v>
      </c>
      <c r="C190" s="33" t="s">
        <v>31</v>
      </c>
      <c r="D190" s="34" t="s">
        <v>128</v>
      </c>
      <c r="E190" s="35" t="str">
        <f t="shared" si="50"/>
        <v>PRBNP'!</v>
      </c>
      <c r="F190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90" s="32" t="s">
        <v>112</v>
      </c>
      <c r="H190" s="33"/>
      <c r="I190" s="33"/>
      <c r="J190" s="37"/>
    </row>
    <row r="191" spans="1:10" x14ac:dyDescent="0.35">
      <c r="A191" s="32" t="s">
        <v>26</v>
      </c>
      <c r="B191" s="32"/>
      <c r="C191" s="33" t="s">
        <v>31</v>
      </c>
      <c r="D191" s="34"/>
      <c r="E191" s="35"/>
      <c r="F191" s="34"/>
      <c r="G191" s="32"/>
      <c r="H191" s="33"/>
      <c r="I191" s="33"/>
      <c r="J191" s="33"/>
    </row>
    <row r="192" spans="1:10" x14ac:dyDescent="0.35">
      <c r="A192" s="32" t="s">
        <v>19</v>
      </c>
      <c r="B192" s="32">
        <v>2023</v>
      </c>
      <c r="C192" s="33" t="s">
        <v>31</v>
      </c>
      <c r="D192" s="34" t="s">
        <v>128</v>
      </c>
      <c r="E192" s="35" t="str">
        <f t="shared" ref="E192:E212" si="53">_xlfn.CONCAT(A192,"'!")</f>
        <v>PRBND'!</v>
      </c>
      <c r="F192" s="34" t="str">
        <f t="shared" ref="F192:F212" si="54">_xlfn.CONCAT(D192:E192)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92" s="32" t="s">
        <v>112</v>
      </c>
      <c r="H192" s="33"/>
      <c r="I192" s="33"/>
      <c r="J192" s="37"/>
    </row>
    <row r="193" spans="1:10" x14ac:dyDescent="0.35">
      <c r="A193" s="32" t="s">
        <v>19</v>
      </c>
      <c r="B193" s="32">
        <f>+B192+1</f>
        <v>2024</v>
      </c>
      <c r="C193" s="33" t="s">
        <v>31</v>
      </c>
      <c r="D193" s="34" t="s">
        <v>128</v>
      </c>
      <c r="E193" s="35" t="str">
        <f t="shared" si="53"/>
        <v>PRBND'!</v>
      </c>
      <c r="F193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93" s="32" t="s">
        <v>112</v>
      </c>
      <c r="H193" s="33"/>
      <c r="I193" s="33"/>
      <c r="J193" s="37"/>
    </row>
    <row r="194" spans="1:10" x14ac:dyDescent="0.35">
      <c r="A194" s="32" t="s">
        <v>19</v>
      </c>
      <c r="B194" s="32">
        <f t="shared" ref="B194:B205" si="55">+B193+1</f>
        <v>2025</v>
      </c>
      <c r="C194" s="33" t="s">
        <v>31</v>
      </c>
      <c r="D194" s="34" t="s">
        <v>128</v>
      </c>
      <c r="E194" s="35" t="str">
        <f t="shared" si="53"/>
        <v>PRBND'!</v>
      </c>
      <c r="F194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94" s="32" t="s">
        <v>112</v>
      </c>
      <c r="H194" s="33"/>
      <c r="I194" s="33"/>
      <c r="J194" s="37"/>
    </row>
    <row r="195" spans="1:10" x14ac:dyDescent="0.35">
      <c r="A195" s="32" t="s">
        <v>19</v>
      </c>
      <c r="B195" s="32">
        <f t="shared" si="55"/>
        <v>2026</v>
      </c>
      <c r="C195" s="33" t="s">
        <v>31</v>
      </c>
      <c r="D195" s="34" t="s">
        <v>128</v>
      </c>
      <c r="E195" s="35" t="str">
        <f t="shared" si="53"/>
        <v>PRBND'!</v>
      </c>
      <c r="F195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95" s="32" t="s">
        <v>112</v>
      </c>
      <c r="H195" s="33"/>
      <c r="I195" s="33"/>
      <c r="J195" s="37"/>
    </row>
    <row r="196" spans="1:10" x14ac:dyDescent="0.35">
      <c r="A196" s="32" t="s">
        <v>19</v>
      </c>
      <c r="B196" s="32">
        <f t="shared" si="55"/>
        <v>2027</v>
      </c>
      <c r="C196" s="33" t="s">
        <v>31</v>
      </c>
      <c r="D196" s="34" t="s">
        <v>128</v>
      </c>
      <c r="E196" s="35" t="str">
        <f t="shared" si="53"/>
        <v>PRBND'!</v>
      </c>
      <c r="F196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96" s="32" t="s">
        <v>112</v>
      </c>
      <c r="H196" s="33"/>
      <c r="I196" s="33"/>
      <c r="J196" s="37"/>
    </row>
    <row r="197" spans="1:10" x14ac:dyDescent="0.35">
      <c r="A197" s="32" t="s">
        <v>19</v>
      </c>
      <c r="B197" s="32">
        <f t="shared" si="55"/>
        <v>2028</v>
      </c>
      <c r="C197" s="33" t="s">
        <v>31</v>
      </c>
      <c r="D197" s="34" t="s">
        <v>128</v>
      </c>
      <c r="E197" s="35" t="str">
        <f t="shared" si="53"/>
        <v>PRBND'!</v>
      </c>
      <c r="F197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97" s="32" t="s">
        <v>112</v>
      </c>
      <c r="H197" s="33"/>
      <c r="I197" s="33"/>
      <c r="J197" s="37"/>
    </row>
    <row r="198" spans="1:10" x14ac:dyDescent="0.35">
      <c r="A198" s="32" t="s">
        <v>19</v>
      </c>
      <c r="B198" s="32">
        <f t="shared" si="55"/>
        <v>2029</v>
      </c>
      <c r="C198" s="33" t="s">
        <v>31</v>
      </c>
      <c r="D198" s="34" t="s">
        <v>128</v>
      </c>
      <c r="E198" s="35" t="str">
        <f t="shared" si="53"/>
        <v>PRBND'!</v>
      </c>
      <c r="F198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98" s="32" t="s">
        <v>112</v>
      </c>
      <c r="H198" s="33"/>
      <c r="I198" s="33"/>
      <c r="J198" s="37"/>
    </row>
    <row r="199" spans="1:10" x14ac:dyDescent="0.35">
      <c r="A199" s="32" t="s">
        <v>19</v>
      </c>
      <c r="B199" s="32">
        <f t="shared" si="55"/>
        <v>2030</v>
      </c>
      <c r="C199" s="33" t="s">
        <v>31</v>
      </c>
      <c r="D199" s="34" t="s">
        <v>128</v>
      </c>
      <c r="E199" s="35" t="str">
        <f t="shared" si="53"/>
        <v>PRBND'!</v>
      </c>
      <c r="F199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99" s="32" t="s">
        <v>112</v>
      </c>
      <c r="H199" s="33"/>
      <c r="I199" s="33"/>
      <c r="J199" s="37"/>
    </row>
    <row r="200" spans="1:10" x14ac:dyDescent="0.35">
      <c r="A200" s="32" t="s">
        <v>19</v>
      </c>
      <c r="B200" s="32">
        <f t="shared" si="55"/>
        <v>2031</v>
      </c>
      <c r="C200" s="33" t="s">
        <v>31</v>
      </c>
      <c r="D200" s="34" t="s">
        <v>128</v>
      </c>
      <c r="E200" s="35" t="str">
        <f t="shared" si="53"/>
        <v>PRBND'!</v>
      </c>
      <c r="F200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00" s="32" t="s">
        <v>112</v>
      </c>
      <c r="H200" s="33"/>
      <c r="I200" s="33"/>
      <c r="J200" s="37"/>
    </row>
    <row r="201" spans="1:10" x14ac:dyDescent="0.35">
      <c r="A201" s="32" t="s">
        <v>19</v>
      </c>
      <c r="B201" s="32">
        <f t="shared" si="55"/>
        <v>2032</v>
      </c>
      <c r="C201" s="33" t="s">
        <v>31</v>
      </c>
      <c r="D201" s="34" t="s">
        <v>128</v>
      </c>
      <c r="E201" s="35" t="str">
        <f t="shared" si="53"/>
        <v>PRBND'!</v>
      </c>
      <c r="F201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01" s="32" t="s">
        <v>112</v>
      </c>
      <c r="H201" s="33"/>
      <c r="I201" s="33"/>
      <c r="J201" s="37"/>
    </row>
    <row r="202" spans="1:10" x14ac:dyDescent="0.35">
      <c r="A202" s="32" t="s">
        <v>19</v>
      </c>
      <c r="B202" s="32">
        <f t="shared" si="55"/>
        <v>2033</v>
      </c>
      <c r="C202" s="33" t="s">
        <v>31</v>
      </c>
      <c r="D202" s="34" t="s">
        <v>128</v>
      </c>
      <c r="E202" s="35" t="str">
        <f t="shared" si="53"/>
        <v>PRBND'!</v>
      </c>
      <c r="F202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02" s="32" t="s">
        <v>112</v>
      </c>
      <c r="H202" s="33"/>
      <c r="I202" s="33"/>
      <c r="J202" s="37"/>
    </row>
    <row r="203" spans="1:10" x14ac:dyDescent="0.35">
      <c r="A203" s="32" t="s">
        <v>19</v>
      </c>
      <c r="B203" s="32">
        <f t="shared" si="55"/>
        <v>2034</v>
      </c>
      <c r="C203" s="33" t="s">
        <v>31</v>
      </c>
      <c r="D203" s="34" t="s">
        <v>128</v>
      </c>
      <c r="E203" s="35" t="str">
        <f t="shared" si="53"/>
        <v>PRBND'!</v>
      </c>
      <c r="F203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03" s="32" t="s">
        <v>112</v>
      </c>
      <c r="H203" s="33"/>
      <c r="I203" s="33"/>
      <c r="J203" s="37"/>
    </row>
    <row r="204" spans="1:10" x14ac:dyDescent="0.35">
      <c r="A204" s="32" t="s">
        <v>19</v>
      </c>
      <c r="B204" s="32">
        <f t="shared" si="55"/>
        <v>2035</v>
      </c>
      <c r="C204" s="33" t="s">
        <v>31</v>
      </c>
      <c r="D204" s="34" t="s">
        <v>128</v>
      </c>
      <c r="E204" s="35" t="str">
        <f t="shared" si="53"/>
        <v>PRBND'!</v>
      </c>
      <c r="F204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04" s="32" t="s">
        <v>112</v>
      </c>
      <c r="H204" s="33"/>
      <c r="I204" s="33"/>
      <c r="J204" s="37"/>
    </row>
    <row r="205" spans="1:10" x14ac:dyDescent="0.35">
      <c r="A205" s="32" t="s">
        <v>19</v>
      </c>
      <c r="B205" s="32">
        <f t="shared" si="55"/>
        <v>2036</v>
      </c>
      <c r="C205" s="33" t="s">
        <v>31</v>
      </c>
      <c r="D205" s="34" t="s">
        <v>128</v>
      </c>
      <c r="E205" s="35" t="str">
        <f t="shared" si="53"/>
        <v>PRBND'!</v>
      </c>
      <c r="F205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05" s="32" t="s">
        <v>112</v>
      </c>
      <c r="H205" s="33"/>
      <c r="I205" s="33"/>
      <c r="J205" s="37"/>
    </row>
    <row r="206" spans="1:10" x14ac:dyDescent="0.35">
      <c r="A206" s="32" t="s">
        <v>19</v>
      </c>
      <c r="B206" s="32">
        <f>+B205+1</f>
        <v>2037</v>
      </c>
      <c r="C206" s="33" t="s">
        <v>31</v>
      </c>
      <c r="D206" s="34" t="s">
        <v>128</v>
      </c>
      <c r="E206" s="35" t="str">
        <f t="shared" si="53"/>
        <v>PRBND'!</v>
      </c>
      <c r="F206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06" s="32" t="s">
        <v>112</v>
      </c>
      <c r="H206" s="33"/>
      <c r="I206" s="33"/>
      <c r="J206" s="37"/>
    </row>
    <row r="207" spans="1:10" x14ac:dyDescent="0.35">
      <c r="A207" s="32" t="s">
        <v>19</v>
      </c>
      <c r="B207" s="32">
        <f t="shared" ref="B207:B209" si="56">+B206+1</f>
        <v>2038</v>
      </c>
      <c r="C207" s="33" t="s">
        <v>31</v>
      </c>
      <c r="D207" s="34" t="s">
        <v>128</v>
      </c>
      <c r="E207" s="35" t="str">
        <f t="shared" si="53"/>
        <v>PRBND'!</v>
      </c>
      <c r="F207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07" s="32" t="s">
        <v>112</v>
      </c>
      <c r="H207" s="33"/>
      <c r="I207" s="33"/>
      <c r="J207" s="37"/>
    </row>
    <row r="208" spans="1:10" x14ac:dyDescent="0.35">
      <c r="A208" s="32" t="s">
        <v>19</v>
      </c>
      <c r="B208" s="32">
        <f t="shared" si="56"/>
        <v>2039</v>
      </c>
      <c r="C208" s="33" t="s">
        <v>31</v>
      </c>
      <c r="D208" s="34" t="s">
        <v>128</v>
      </c>
      <c r="E208" s="35" t="str">
        <f t="shared" si="53"/>
        <v>PRBND'!</v>
      </c>
      <c r="F208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08" s="32" t="s">
        <v>112</v>
      </c>
      <c r="H208" s="33"/>
      <c r="I208" s="33"/>
      <c r="J208" s="37"/>
    </row>
    <row r="209" spans="1:10" x14ac:dyDescent="0.35">
      <c r="A209" s="32" t="s">
        <v>19</v>
      </c>
      <c r="B209" s="32">
        <f t="shared" si="56"/>
        <v>2040</v>
      </c>
      <c r="C209" s="33" t="s">
        <v>31</v>
      </c>
      <c r="D209" s="34" t="s">
        <v>128</v>
      </c>
      <c r="E209" s="35" t="str">
        <f t="shared" si="53"/>
        <v>PRBND'!</v>
      </c>
      <c r="F209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09" s="32" t="s">
        <v>112</v>
      </c>
      <c r="H209" s="33"/>
      <c r="I209" s="33"/>
      <c r="J209" s="37"/>
    </row>
    <row r="210" spans="1:10" x14ac:dyDescent="0.35">
      <c r="A210" s="32" t="s">
        <v>19</v>
      </c>
      <c r="B210" s="32">
        <f>+B209+1</f>
        <v>2041</v>
      </c>
      <c r="C210" s="33" t="s">
        <v>31</v>
      </c>
      <c r="D210" s="34" t="s">
        <v>128</v>
      </c>
      <c r="E210" s="35" t="str">
        <f t="shared" si="53"/>
        <v>PRBND'!</v>
      </c>
      <c r="F210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10" s="32" t="s">
        <v>112</v>
      </c>
      <c r="H210" s="33"/>
      <c r="I210" s="33"/>
      <c r="J210" s="37"/>
    </row>
    <row r="211" spans="1:10" x14ac:dyDescent="0.35">
      <c r="A211" s="32" t="s">
        <v>19</v>
      </c>
      <c r="B211" s="32">
        <f t="shared" ref="B211:B212" si="57">+B210+1</f>
        <v>2042</v>
      </c>
      <c r="C211" s="33" t="s">
        <v>31</v>
      </c>
      <c r="D211" s="34" t="s">
        <v>128</v>
      </c>
      <c r="E211" s="35" t="str">
        <f t="shared" si="53"/>
        <v>PRBND'!</v>
      </c>
      <c r="F211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11" s="32" t="s">
        <v>112</v>
      </c>
      <c r="H211" s="33"/>
      <c r="I211" s="33"/>
      <c r="J211" s="37"/>
    </row>
    <row r="212" spans="1:10" x14ac:dyDescent="0.35">
      <c r="A212" s="32" t="s">
        <v>19</v>
      </c>
      <c r="B212" s="32">
        <f t="shared" si="57"/>
        <v>2043</v>
      </c>
      <c r="C212" s="33" t="s">
        <v>31</v>
      </c>
      <c r="D212" s="34" t="s">
        <v>128</v>
      </c>
      <c r="E212" s="35" t="str">
        <f t="shared" si="53"/>
        <v>PRBND'!</v>
      </c>
      <c r="F212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12" s="32" t="s">
        <v>112</v>
      </c>
      <c r="H212" s="33"/>
      <c r="I212" s="33"/>
      <c r="J212" s="37"/>
    </row>
    <row r="213" spans="1:10" x14ac:dyDescent="0.35">
      <c r="A213" s="32" t="s">
        <v>19</v>
      </c>
      <c r="B213" s="32">
        <f>+B212+1</f>
        <v>2044</v>
      </c>
      <c r="C213" s="33" t="s">
        <v>31</v>
      </c>
      <c r="D213" s="34" t="s">
        <v>128</v>
      </c>
      <c r="E213" s="35" t="str">
        <f t="shared" ref="E213:E228" si="58">_xlfn.CONCAT(A213,"'!")</f>
        <v>PRBND'!</v>
      </c>
      <c r="F213" s="34" t="str">
        <f t="shared" ref="F213:F228" si="59">_xlfn.CONCAT(D213:E213)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13" s="32" t="s">
        <v>112</v>
      </c>
      <c r="H213" s="33"/>
      <c r="I213" s="33"/>
      <c r="J213" s="37"/>
    </row>
    <row r="214" spans="1:10" x14ac:dyDescent="0.35">
      <c r="A214" s="32" t="s">
        <v>19</v>
      </c>
      <c r="B214" s="32">
        <f t="shared" ref="B214:B228" si="60">+B213+1</f>
        <v>2045</v>
      </c>
      <c r="C214" s="33" t="s">
        <v>31</v>
      </c>
      <c r="D214" s="34" t="s">
        <v>128</v>
      </c>
      <c r="E214" s="35" t="str">
        <f t="shared" si="58"/>
        <v>PRBND'!</v>
      </c>
      <c r="F214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14" s="32" t="s">
        <v>112</v>
      </c>
      <c r="H214" s="33"/>
      <c r="I214" s="33"/>
      <c r="J214" s="37"/>
    </row>
    <row r="215" spans="1:10" x14ac:dyDescent="0.35">
      <c r="A215" s="32" t="s">
        <v>19</v>
      </c>
      <c r="B215" s="32">
        <f t="shared" si="60"/>
        <v>2046</v>
      </c>
      <c r="C215" s="33" t="s">
        <v>31</v>
      </c>
      <c r="D215" s="34" t="s">
        <v>128</v>
      </c>
      <c r="E215" s="35" t="str">
        <f t="shared" si="58"/>
        <v>PRBND'!</v>
      </c>
      <c r="F215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15" s="32" t="s">
        <v>112</v>
      </c>
      <c r="H215" s="33"/>
      <c r="I215" s="33"/>
      <c r="J215" s="37"/>
    </row>
    <row r="216" spans="1:10" x14ac:dyDescent="0.35">
      <c r="A216" s="32" t="s">
        <v>19</v>
      </c>
      <c r="B216" s="32">
        <f t="shared" si="60"/>
        <v>2047</v>
      </c>
      <c r="C216" s="33" t="s">
        <v>31</v>
      </c>
      <c r="D216" s="34" t="s">
        <v>128</v>
      </c>
      <c r="E216" s="35" t="str">
        <f t="shared" si="58"/>
        <v>PRBND'!</v>
      </c>
      <c r="F216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16" s="32" t="s">
        <v>112</v>
      </c>
      <c r="H216" s="33"/>
      <c r="I216" s="33"/>
      <c r="J216" s="37"/>
    </row>
    <row r="217" spans="1:10" x14ac:dyDescent="0.35">
      <c r="A217" s="32" t="s">
        <v>19</v>
      </c>
      <c r="B217" s="32">
        <f t="shared" si="60"/>
        <v>2048</v>
      </c>
      <c r="C217" s="33" t="s">
        <v>31</v>
      </c>
      <c r="D217" s="34" t="s">
        <v>128</v>
      </c>
      <c r="E217" s="35" t="str">
        <f t="shared" si="58"/>
        <v>PRBND'!</v>
      </c>
      <c r="F217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17" s="32" t="s">
        <v>112</v>
      </c>
      <c r="H217" s="33"/>
      <c r="I217" s="33"/>
      <c r="J217" s="37"/>
    </row>
    <row r="218" spans="1:10" x14ac:dyDescent="0.35">
      <c r="A218" s="32" t="s">
        <v>19</v>
      </c>
      <c r="B218" s="32">
        <f t="shared" si="60"/>
        <v>2049</v>
      </c>
      <c r="C218" s="33" t="s">
        <v>31</v>
      </c>
      <c r="D218" s="34" t="s">
        <v>128</v>
      </c>
      <c r="E218" s="35" t="str">
        <f t="shared" si="58"/>
        <v>PRBND'!</v>
      </c>
      <c r="F218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18" s="32" t="s">
        <v>112</v>
      </c>
      <c r="H218" s="33"/>
      <c r="I218" s="33"/>
      <c r="J218" s="37"/>
    </row>
    <row r="219" spans="1:10" x14ac:dyDescent="0.35">
      <c r="A219" s="32" t="s">
        <v>19</v>
      </c>
      <c r="B219" s="32">
        <f t="shared" si="60"/>
        <v>2050</v>
      </c>
      <c r="C219" s="33" t="s">
        <v>31</v>
      </c>
      <c r="D219" s="34" t="s">
        <v>128</v>
      </c>
      <c r="E219" s="35" t="str">
        <f t="shared" si="58"/>
        <v>PRBND'!</v>
      </c>
      <c r="F219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19" s="32" t="s">
        <v>112</v>
      </c>
      <c r="H219" s="33"/>
      <c r="I219" s="33"/>
      <c r="J219" s="37"/>
    </row>
    <row r="220" spans="1:10" x14ac:dyDescent="0.35">
      <c r="A220" s="32" t="s">
        <v>19</v>
      </c>
      <c r="B220" s="32">
        <f t="shared" si="60"/>
        <v>2051</v>
      </c>
      <c r="C220" s="33" t="s">
        <v>31</v>
      </c>
      <c r="D220" s="34" t="s">
        <v>128</v>
      </c>
      <c r="E220" s="35" t="str">
        <f t="shared" si="58"/>
        <v>PRBND'!</v>
      </c>
      <c r="F220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0" s="32" t="s">
        <v>112</v>
      </c>
      <c r="H220" s="33"/>
      <c r="I220" s="33"/>
      <c r="J220" s="37"/>
    </row>
    <row r="221" spans="1:10" x14ac:dyDescent="0.35">
      <c r="A221" s="32" t="s">
        <v>19</v>
      </c>
      <c r="B221" s="32">
        <f t="shared" si="60"/>
        <v>2052</v>
      </c>
      <c r="C221" s="33" t="s">
        <v>31</v>
      </c>
      <c r="D221" s="34" t="s">
        <v>128</v>
      </c>
      <c r="E221" s="35" t="str">
        <f t="shared" si="58"/>
        <v>PRBND'!</v>
      </c>
      <c r="F221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1" s="32" t="s">
        <v>112</v>
      </c>
      <c r="H221" s="33"/>
      <c r="I221" s="33"/>
      <c r="J221" s="37"/>
    </row>
    <row r="222" spans="1:10" x14ac:dyDescent="0.35">
      <c r="A222" s="32" t="s">
        <v>19</v>
      </c>
      <c r="B222" s="32">
        <f t="shared" si="60"/>
        <v>2053</v>
      </c>
      <c r="C222" s="33" t="s">
        <v>31</v>
      </c>
      <c r="D222" s="34" t="s">
        <v>128</v>
      </c>
      <c r="E222" s="35" t="str">
        <f t="shared" si="58"/>
        <v>PRBND'!</v>
      </c>
      <c r="F222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2" s="32" t="s">
        <v>112</v>
      </c>
      <c r="H222" s="33"/>
      <c r="I222" s="33"/>
      <c r="J222" s="37"/>
    </row>
    <row r="223" spans="1:10" x14ac:dyDescent="0.35">
      <c r="A223" s="32" t="s">
        <v>19</v>
      </c>
      <c r="B223" s="32">
        <f t="shared" si="60"/>
        <v>2054</v>
      </c>
      <c r="C223" s="33" t="s">
        <v>31</v>
      </c>
      <c r="D223" s="34" t="s">
        <v>128</v>
      </c>
      <c r="E223" s="35" t="str">
        <f t="shared" si="58"/>
        <v>PRBND'!</v>
      </c>
      <c r="F223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3" s="32" t="s">
        <v>112</v>
      </c>
      <c r="H223" s="33"/>
      <c r="I223" s="33"/>
      <c r="J223" s="37"/>
    </row>
    <row r="224" spans="1:10" x14ac:dyDescent="0.35">
      <c r="A224" s="32" t="s">
        <v>19</v>
      </c>
      <c r="B224" s="32">
        <f t="shared" si="60"/>
        <v>2055</v>
      </c>
      <c r="C224" s="33" t="s">
        <v>31</v>
      </c>
      <c r="D224" s="34" t="s">
        <v>128</v>
      </c>
      <c r="E224" s="35" t="str">
        <f t="shared" si="58"/>
        <v>PRBND'!</v>
      </c>
      <c r="F224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4" s="32" t="s">
        <v>112</v>
      </c>
      <c r="H224" s="33"/>
      <c r="I224" s="33"/>
      <c r="J224" s="37"/>
    </row>
    <row r="225" spans="1:10" x14ac:dyDescent="0.35">
      <c r="A225" s="32" t="s">
        <v>19</v>
      </c>
      <c r="B225" s="32">
        <f t="shared" si="60"/>
        <v>2056</v>
      </c>
      <c r="C225" s="33" t="s">
        <v>31</v>
      </c>
      <c r="D225" s="34" t="s">
        <v>128</v>
      </c>
      <c r="E225" s="35" t="str">
        <f t="shared" si="58"/>
        <v>PRBND'!</v>
      </c>
      <c r="F225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5" s="32" t="s">
        <v>112</v>
      </c>
      <c r="H225" s="33"/>
      <c r="I225" s="33"/>
      <c r="J225" s="37"/>
    </row>
    <row r="226" spans="1:10" x14ac:dyDescent="0.35">
      <c r="A226" s="32" t="s">
        <v>19</v>
      </c>
      <c r="B226" s="32">
        <f t="shared" si="60"/>
        <v>2057</v>
      </c>
      <c r="C226" s="33" t="s">
        <v>31</v>
      </c>
      <c r="D226" s="34" t="s">
        <v>128</v>
      </c>
      <c r="E226" s="35" t="str">
        <f t="shared" si="58"/>
        <v>PRBND'!</v>
      </c>
      <c r="F226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6" s="32" t="s">
        <v>112</v>
      </c>
      <c r="H226" s="33"/>
      <c r="I226" s="33"/>
      <c r="J226" s="37"/>
    </row>
    <row r="227" spans="1:10" x14ac:dyDescent="0.35">
      <c r="A227" s="32" t="s">
        <v>19</v>
      </c>
      <c r="B227" s="32">
        <f t="shared" si="60"/>
        <v>2058</v>
      </c>
      <c r="C227" s="33" t="s">
        <v>31</v>
      </c>
      <c r="D227" s="34" t="s">
        <v>128</v>
      </c>
      <c r="E227" s="35" t="str">
        <f t="shared" si="58"/>
        <v>PRBND'!</v>
      </c>
      <c r="F227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7" s="32" t="s">
        <v>112</v>
      </c>
      <c r="H227" s="33"/>
      <c r="I227" s="33"/>
      <c r="J227" s="37"/>
    </row>
    <row r="228" spans="1:10" x14ac:dyDescent="0.35">
      <c r="A228" s="32" t="s">
        <v>19</v>
      </c>
      <c r="B228" s="32">
        <f t="shared" si="60"/>
        <v>2059</v>
      </c>
      <c r="C228" s="33" t="s">
        <v>31</v>
      </c>
      <c r="D228" s="34" t="s">
        <v>128</v>
      </c>
      <c r="E228" s="35" t="str">
        <f t="shared" si="58"/>
        <v>PRBND'!</v>
      </c>
      <c r="F228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8" s="32" t="s">
        <v>112</v>
      </c>
      <c r="H228" s="33"/>
      <c r="I228" s="33"/>
      <c r="J228" s="37"/>
    </row>
    <row r="229" spans="1:10" x14ac:dyDescent="0.35">
      <c r="A229" s="32" t="s">
        <v>26</v>
      </c>
      <c r="B229" s="32"/>
      <c r="C229" s="33" t="s">
        <v>31</v>
      </c>
      <c r="D229" s="34"/>
      <c r="E229" s="35"/>
      <c r="F229" s="34"/>
      <c r="G229" s="32"/>
      <c r="H229" s="33"/>
      <c r="I229" s="33"/>
      <c r="J229" s="33"/>
    </row>
    <row r="230" spans="1:10" x14ac:dyDescent="0.35">
      <c r="A230" s="32" t="s">
        <v>20</v>
      </c>
      <c r="B230" s="32">
        <v>2023</v>
      </c>
      <c r="C230" s="33" t="s">
        <v>31</v>
      </c>
      <c r="D230" s="34" t="s">
        <v>128</v>
      </c>
      <c r="E230" s="35" t="str">
        <f t="shared" si="29"/>
        <v>PRB'!</v>
      </c>
      <c r="F230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0" s="32" t="s">
        <v>112</v>
      </c>
      <c r="H230" s="33">
        <v>12</v>
      </c>
      <c r="I230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ECP\Cantagallo\Cristalina\[CRISTALINA_CF_SEC_New_09-Feb-2024.xlsx]D-PRB'!$BB$12</v>
      </c>
      <c r="J230" s="37" t="s">
        <v>240</v>
      </c>
    </row>
    <row r="231" spans="1:10" x14ac:dyDescent="0.35">
      <c r="A231" s="32" t="s">
        <v>20</v>
      </c>
      <c r="B231" s="32">
        <f>+B230+1</f>
        <v>2024</v>
      </c>
      <c r="C231" s="33" t="s">
        <v>31</v>
      </c>
      <c r="D231" s="34" t="s">
        <v>128</v>
      </c>
      <c r="E231" s="35" t="str">
        <f t="shared" si="29"/>
        <v>PRB'!</v>
      </c>
      <c r="F231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1" s="32" t="s">
        <v>112</v>
      </c>
      <c r="H231" s="33">
        <f t="shared" ref="H231:H250" si="61">IF(A231&lt;&gt;A230,12,H230+1)</f>
        <v>13</v>
      </c>
      <c r="I231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ECP\Cantagallo\Cristalina\[CRISTALINA_CF_SEC_New_09-Feb-2024.xlsx]D-PRB'!$BB$13</v>
      </c>
      <c r="J231" s="37" t="s">
        <v>241</v>
      </c>
    </row>
    <row r="232" spans="1:10" x14ac:dyDescent="0.35">
      <c r="A232" s="32" t="s">
        <v>20</v>
      </c>
      <c r="B232" s="32">
        <f t="shared" ref="B232:B243" si="62">+B231+1</f>
        <v>2025</v>
      </c>
      <c r="C232" s="33" t="s">
        <v>31</v>
      </c>
      <c r="D232" s="34" t="s">
        <v>128</v>
      </c>
      <c r="E232" s="35" t="str">
        <f t="shared" si="29"/>
        <v>PRB'!</v>
      </c>
      <c r="F232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2" s="32" t="s">
        <v>112</v>
      </c>
      <c r="H232" s="33">
        <f t="shared" si="61"/>
        <v>14</v>
      </c>
      <c r="I232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ECP\Cantagallo\Cristalina\[CRISTALINA_CF_SEC_New_09-Feb-2024.xlsx]D-PRB'!$BB$14</v>
      </c>
      <c r="J232" s="37" t="s">
        <v>242</v>
      </c>
    </row>
    <row r="233" spans="1:10" x14ac:dyDescent="0.35">
      <c r="A233" s="32" t="s">
        <v>20</v>
      </c>
      <c r="B233" s="32">
        <f t="shared" si="62"/>
        <v>2026</v>
      </c>
      <c r="C233" s="33" t="s">
        <v>31</v>
      </c>
      <c r="D233" s="34" t="s">
        <v>128</v>
      </c>
      <c r="E233" s="35" t="str">
        <f t="shared" si="29"/>
        <v>PRB'!</v>
      </c>
      <c r="F233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3" s="32" t="s">
        <v>112</v>
      </c>
      <c r="H233" s="33">
        <f t="shared" si="61"/>
        <v>15</v>
      </c>
      <c r="I233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ECP\Cantagallo\Cristalina\[CRISTALINA_CF_SEC_New_09-Feb-2024.xlsx]D-PRB'!$BB$15</v>
      </c>
      <c r="J233" s="37" t="s">
        <v>243</v>
      </c>
    </row>
    <row r="234" spans="1:10" x14ac:dyDescent="0.35">
      <c r="A234" s="32" t="s">
        <v>20</v>
      </c>
      <c r="B234" s="32">
        <f t="shared" si="62"/>
        <v>2027</v>
      </c>
      <c r="C234" s="33" t="s">
        <v>31</v>
      </c>
      <c r="D234" s="34" t="s">
        <v>128</v>
      </c>
      <c r="E234" s="35" t="str">
        <f t="shared" si="29"/>
        <v>PRB'!</v>
      </c>
      <c r="F234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4" s="32" t="s">
        <v>112</v>
      </c>
      <c r="H234" s="33">
        <f t="shared" si="61"/>
        <v>16</v>
      </c>
      <c r="I234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ECP\Cantagallo\Cristalina\[CRISTALINA_CF_SEC_New_09-Feb-2024.xlsx]D-PRB'!$BB$16</v>
      </c>
      <c r="J234" s="37" t="s">
        <v>244</v>
      </c>
    </row>
    <row r="235" spans="1:10" x14ac:dyDescent="0.35">
      <c r="A235" s="32" t="s">
        <v>20</v>
      </c>
      <c r="B235" s="32">
        <f t="shared" si="62"/>
        <v>2028</v>
      </c>
      <c r="C235" s="33" t="s">
        <v>31</v>
      </c>
      <c r="D235" s="34" t="s">
        <v>128</v>
      </c>
      <c r="E235" s="35" t="str">
        <f t="shared" si="29"/>
        <v>PRB'!</v>
      </c>
      <c r="F235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5" s="32" t="s">
        <v>112</v>
      </c>
      <c r="H235" s="33">
        <f t="shared" si="61"/>
        <v>17</v>
      </c>
      <c r="I235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ECP\Cantagallo\Cristalina\[CRISTALINA_CF_SEC_New_09-Feb-2024.xlsx]D-PRB'!$BB$17</v>
      </c>
      <c r="J235" s="37" t="s">
        <v>245</v>
      </c>
    </row>
    <row r="236" spans="1:10" x14ac:dyDescent="0.35">
      <c r="A236" s="32" t="s">
        <v>20</v>
      </c>
      <c r="B236" s="32">
        <f t="shared" si="62"/>
        <v>2029</v>
      </c>
      <c r="C236" s="33" t="s">
        <v>31</v>
      </c>
      <c r="D236" s="34" t="s">
        <v>128</v>
      </c>
      <c r="E236" s="35" t="str">
        <f t="shared" si="29"/>
        <v>PRB'!</v>
      </c>
      <c r="F236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6" s="32" t="s">
        <v>112</v>
      </c>
      <c r="H236" s="33">
        <f t="shared" si="61"/>
        <v>18</v>
      </c>
      <c r="I236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ECP\Cantagallo\Cristalina\[CRISTALINA_CF_SEC_New_09-Feb-2024.xlsx]D-PRB'!$BB$18</v>
      </c>
      <c r="J236" s="37" t="s">
        <v>246</v>
      </c>
    </row>
    <row r="237" spans="1:10" x14ac:dyDescent="0.35">
      <c r="A237" s="32" t="s">
        <v>20</v>
      </c>
      <c r="B237" s="32">
        <f t="shared" si="62"/>
        <v>2030</v>
      </c>
      <c r="C237" s="33" t="s">
        <v>31</v>
      </c>
      <c r="D237" s="34" t="s">
        <v>128</v>
      </c>
      <c r="E237" s="35" t="str">
        <f t="shared" si="29"/>
        <v>PRB'!</v>
      </c>
      <c r="F237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7" s="32" t="s">
        <v>112</v>
      </c>
      <c r="H237" s="33">
        <f t="shared" si="61"/>
        <v>19</v>
      </c>
      <c r="I237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ECP\Cantagallo\Cristalina\[CRISTALINA_CF_SEC_New_09-Feb-2024.xlsx]D-PRB'!$BB$19</v>
      </c>
      <c r="J237" s="37" t="s">
        <v>247</v>
      </c>
    </row>
    <row r="238" spans="1:10" x14ac:dyDescent="0.35">
      <c r="A238" s="32" t="s">
        <v>20</v>
      </c>
      <c r="B238" s="32">
        <f t="shared" si="62"/>
        <v>2031</v>
      </c>
      <c r="C238" s="33" t="s">
        <v>31</v>
      </c>
      <c r="D238" s="34" t="s">
        <v>128</v>
      </c>
      <c r="E238" s="35" t="str">
        <f t="shared" si="29"/>
        <v>PRB'!</v>
      </c>
      <c r="F238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8" s="32" t="s">
        <v>112</v>
      </c>
      <c r="H238" s="33">
        <f t="shared" si="61"/>
        <v>20</v>
      </c>
      <c r="I238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ECP\Cantagallo\Cristalina\[CRISTALINA_CF_SEC_New_09-Feb-2024.xlsx]D-PRB'!$BB$20</v>
      </c>
      <c r="J238" s="37" t="s">
        <v>248</v>
      </c>
    </row>
    <row r="239" spans="1:10" x14ac:dyDescent="0.35">
      <c r="A239" s="32" t="s">
        <v>20</v>
      </c>
      <c r="B239" s="32">
        <f t="shared" si="62"/>
        <v>2032</v>
      </c>
      <c r="C239" s="33" t="s">
        <v>31</v>
      </c>
      <c r="D239" s="34" t="s">
        <v>128</v>
      </c>
      <c r="E239" s="35" t="str">
        <f t="shared" si="29"/>
        <v>PRB'!</v>
      </c>
      <c r="F239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9" s="32" t="s">
        <v>112</v>
      </c>
      <c r="H239" s="33">
        <f t="shared" si="61"/>
        <v>21</v>
      </c>
      <c r="I239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ECP\Cantagallo\Cristalina\[CRISTALINA_CF_SEC_New_09-Feb-2024.xlsx]D-PRB'!$BB$21</v>
      </c>
      <c r="J239" s="37" t="s">
        <v>249</v>
      </c>
    </row>
    <row r="240" spans="1:10" x14ac:dyDescent="0.35">
      <c r="A240" s="32" t="s">
        <v>20</v>
      </c>
      <c r="B240" s="32">
        <f t="shared" si="62"/>
        <v>2033</v>
      </c>
      <c r="C240" s="33" t="s">
        <v>31</v>
      </c>
      <c r="D240" s="34" t="s">
        <v>128</v>
      </c>
      <c r="E240" s="35" t="str">
        <f t="shared" si="29"/>
        <v>PRB'!</v>
      </c>
      <c r="F240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40" s="32" t="s">
        <v>112</v>
      </c>
      <c r="H240" s="33">
        <f t="shared" si="61"/>
        <v>22</v>
      </c>
      <c r="I240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ECP\Cantagallo\Cristalina\[CRISTALINA_CF_SEC_New_09-Feb-2024.xlsx]D-PRB'!$BB$22</v>
      </c>
      <c r="J240" s="37" t="s">
        <v>250</v>
      </c>
    </row>
    <row r="241" spans="1:10" x14ac:dyDescent="0.35">
      <c r="A241" s="32" t="s">
        <v>20</v>
      </c>
      <c r="B241" s="32">
        <f t="shared" si="62"/>
        <v>2034</v>
      </c>
      <c r="C241" s="33" t="s">
        <v>31</v>
      </c>
      <c r="D241" s="34" t="s">
        <v>128</v>
      </c>
      <c r="E241" s="35" t="str">
        <f t="shared" si="29"/>
        <v>PRB'!</v>
      </c>
      <c r="F241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41" s="32" t="s">
        <v>112</v>
      </c>
      <c r="H241" s="33">
        <f t="shared" si="61"/>
        <v>23</v>
      </c>
      <c r="I241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ECP\Cantagallo\Cristalina\[CRISTALINA_CF_SEC_New_09-Feb-2024.xlsx]D-PRB'!$BB$23</v>
      </c>
      <c r="J241" s="37" t="s">
        <v>251</v>
      </c>
    </row>
    <row r="242" spans="1:10" x14ac:dyDescent="0.35">
      <c r="A242" s="32" t="s">
        <v>20</v>
      </c>
      <c r="B242" s="32">
        <f t="shared" si="62"/>
        <v>2035</v>
      </c>
      <c r="C242" s="33" t="s">
        <v>31</v>
      </c>
      <c r="D242" s="34" t="s">
        <v>128</v>
      </c>
      <c r="E242" s="35" t="str">
        <f t="shared" si="29"/>
        <v>PRB'!</v>
      </c>
      <c r="F242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42" s="32" t="s">
        <v>112</v>
      </c>
      <c r="H242" s="33">
        <f t="shared" si="61"/>
        <v>24</v>
      </c>
      <c r="I242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ECP\Cantagallo\Cristalina\[CRISTALINA_CF_SEC_New_09-Feb-2024.xlsx]D-PRB'!$BB$24</v>
      </c>
      <c r="J242" s="37" t="s">
        <v>252</v>
      </c>
    </row>
    <row r="243" spans="1:10" x14ac:dyDescent="0.35">
      <c r="A243" s="32" t="s">
        <v>20</v>
      </c>
      <c r="B243" s="32">
        <f t="shared" si="62"/>
        <v>2036</v>
      </c>
      <c r="C243" s="33" t="s">
        <v>31</v>
      </c>
      <c r="D243" s="34" t="s">
        <v>128</v>
      </c>
      <c r="E243" s="35" t="str">
        <f t="shared" si="29"/>
        <v>PRB'!</v>
      </c>
      <c r="F243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43" s="32" t="s">
        <v>112</v>
      </c>
      <c r="H243" s="33">
        <f t="shared" si="61"/>
        <v>25</v>
      </c>
      <c r="I243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ECP\Cantagallo\Cristalina\[CRISTALINA_CF_SEC_New_09-Feb-2024.xlsx]D-PRB'!$BB$25</v>
      </c>
      <c r="J243" s="37" t="s">
        <v>253</v>
      </c>
    </row>
    <row r="244" spans="1:10" x14ac:dyDescent="0.35">
      <c r="A244" s="32" t="s">
        <v>20</v>
      </c>
      <c r="B244" s="32">
        <f>+B243+1</f>
        <v>2037</v>
      </c>
      <c r="C244" s="33" t="s">
        <v>31</v>
      </c>
      <c r="D244" s="34" t="s">
        <v>128</v>
      </c>
      <c r="E244" s="35" t="str">
        <f t="shared" si="29"/>
        <v>PRB'!</v>
      </c>
      <c r="F244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44" s="32" t="s">
        <v>112</v>
      </c>
      <c r="H244" s="33">
        <f t="shared" si="61"/>
        <v>26</v>
      </c>
      <c r="I244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ECP\Cantagallo\Cristalina\[CRISTALINA_CF_SEC_New_09-Feb-2024.xlsx]D-PRB'!$BB$26</v>
      </c>
      <c r="J244" s="37" t="s">
        <v>254</v>
      </c>
    </row>
    <row r="245" spans="1:10" x14ac:dyDescent="0.35">
      <c r="A245" s="32" t="s">
        <v>20</v>
      </c>
      <c r="B245" s="32">
        <f t="shared" ref="B245:B247" si="63">+B244+1</f>
        <v>2038</v>
      </c>
      <c r="C245" s="33" t="s">
        <v>31</v>
      </c>
      <c r="D245" s="34" t="s">
        <v>128</v>
      </c>
      <c r="E245" s="35" t="str">
        <f t="shared" si="29"/>
        <v>PRB'!</v>
      </c>
      <c r="F245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45" s="32" t="s">
        <v>112</v>
      </c>
      <c r="H245" s="33">
        <f t="shared" si="61"/>
        <v>27</v>
      </c>
      <c r="I245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ECP\Cantagallo\Cristalina\[CRISTALINA_CF_SEC_New_09-Feb-2024.xlsx]D-PRB'!$BB$27</v>
      </c>
      <c r="J245" s="37" t="s">
        <v>255</v>
      </c>
    </row>
    <row r="246" spans="1:10" x14ac:dyDescent="0.35">
      <c r="A246" s="32" t="s">
        <v>20</v>
      </c>
      <c r="B246" s="32">
        <f t="shared" si="63"/>
        <v>2039</v>
      </c>
      <c r="C246" s="33" t="s">
        <v>31</v>
      </c>
      <c r="D246" s="34" t="s">
        <v>128</v>
      </c>
      <c r="E246" s="35" t="str">
        <f t="shared" si="29"/>
        <v>PRB'!</v>
      </c>
      <c r="F246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46" s="32" t="s">
        <v>112</v>
      </c>
      <c r="H246" s="33">
        <f t="shared" si="61"/>
        <v>28</v>
      </c>
      <c r="I246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ECP\Cantagallo\Cristalina\[CRISTALINA_CF_SEC_New_09-Feb-2024.xlsx]D-PRB'!$BB$28</v>
      </c>
      <c r="J246" s="37" t="s">
        <v>256</v>
      </c>
    </row>
    <row r="247" spans="1:10" x14ac:dyDescent="0.35">
      <c r="A247" s="32" t="s">
        <v>20</v>
      </c>
      <c r="B247" s="32">
        <f t="shared" si="63"/>
        <v>2040</v>
      </c>
      <c r="C247" s="33" t="s">
        <v>31</v>
      </c>
      <c r="D247" s="34" t="s">
        <v>128</v>
      </c>
      <c r="E247" s="35" t="str">
        <f t="shared" si="29"/>
        <v>PRB'!</v>
      </c>
      <c r="F247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47" s="32" t="s">
        <v>112</v>
      </c>
      <c r="H247" s="33">
        <f t="shared" si="61"/>
        <v>29</v>
      </c>
      <c r="I247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ECP\Cantagallo\Cristalina\[CRISTALINA_CF_SEC_New_09-Feb-2024.xlsx]D-PRB'!$BB$29</v>
      </c>
      <c r="J247" s="37" t="s">
        <v>257</v>
      </c>
    </row>
    <row r="248" spans="1:10" x14ac:dyDescent="0.35">
      <c r="A248" s="32" t="s">
        <v>20</v>
      </c>
      <c r="B248" s="32">
        <f>+B247+1</f>
        <v>2041</v>
      </c>
      <c r="C248" s="33" t="s">
        <v>31</v>
      </c>
      <c r="D248" s="34" t="s">
        <v>128</v>
      </c>
      <c r="E248" s="35" t="str">
        <f t="shared" si="29"/>
        <v>PRB'!</v>
      </c>
      <c r="F248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48" s="32" t="s">
        <v>112</v>
      </c>
      <c r="H248" s="33">
        <f t="shared" si="61"/>
        <v>30</v>
      </c>
      <c r="I248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ECP\Cantagallo\Cristalina\[CRISTALINA_CF_SEC_New_09-Feb-2024.xlsx]D-PRB'!$BB$30</v>
      </c>
      <c r="J248" s="37" t="s">
        <v>258</v>
      </c>
    </row>
    <row r="249" spans="1:10" x14ac:dyDescent="0.35">
      <c r="A249" s="32" t="s">
        <v>20</v>
      </c>
      <c r="B249" s="32">
        <f t="shared" ref="B249:B250" si="64">+B248+1</f>
        <v>2042</v>
      </c>
      <c r="C249" s="33" t="s">
        <v>31</v>
      </c>
      <c r="D249" s="34" t="s">
        <v>128</v>
      </c>
      <c r="E249" s="35" t="str">
        <f t="shared" si="29"/>
        <v>PRB'!</v>
      </c>
      <c r="F249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49" s="32" t="s">
        <v>112</v>
      </c>
      <c r="H249" s="33">
        <f t="shared" si="61"/>
        <v>31</v>
      </c>
      <c r="I249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ECP\Cantagallo\Cristalina\[CRISTALINA_CF_SEC_New_09-Feb-2024.xlsx]D-PRB'!$BB$31</v>
      </c>
      <c r="J249" s="37" t="s">
        <v>259</v>
      </c>
    </row>
    <row r="250" spans="1:10" x14ac:dyDescent="0.35">
      <c r="A250" s="32" t="s">
        <v>20</v>
      </c>
      <c r="B250" s="32">
        <f t="shared" si="64"/>
        <v>2043</v>
      </c>
      <c r="C250" s="33" t="s">
        <v>31</v>
      </c>
      <c r="D250" s="34" t="s">
        <v>128</v>
      </c>
      <c r="E250" s="35" t="str">
        <f t="shared" si="29"/>
        <v>PRB'!</v>
      </c>
      <c r="F250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50" s="32" t="s">
        <v>112</v>
      </c>
      <c r="H250" s="33">
        <f t="shared" si="61"/>
        <v>32</v>
      </c>
      <c r="I250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ECP\Cantagallo\Cristalina\[CRISTALINA_CF_SEC_New_09-Feb-2024.xlsx]D-PRB'!$BB$32</v>
      </c>
      <c r="J250" s="37" t="s">
        <v>260</v>
      </c>
    </row>
    <row r="251" spans="1:10" x14ac:dyDescent="0.35">
      <c r="A251" s="32" t="s">
        <v>20</v>
      </c>
      <c r="B251" s="32">
        <f>+B250+1</f>
        <v>2044</v>
      </c>
      <c r="C251" s="33" t="s">
        <v>31</v>
      </c>
      <c r="D251" s="34" t="s">
        <v>128</v>
      </c>
      <c r="E251" s="35" t="str">
        <f t="shared" ref="E251:E266" si="65">_xlfn.CONCAT(A251,"'!")</f>
        <v>PRB'!</v>
      </c>
      <c r="F251" s="34" t="str">
        <f t="shared" ref="F251:F266" si="66">_xlfn.CONCAT(D251:E251)</f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51" s="32" t="s">
        <v>112</v>
      </c>
      <c r="H251" s="33">
        <f t="shared" ref="H251:H266" si="67">IF(A251&lt;&gt;A250,12,H250+1)</f>
        <v>33</v>
      </c>
      <c r="I251" s="33" t="str">
        <f t="shared" ref="I251:I266" si="68">_xlfn.CONCAT("='",F251:H251)</f>
        <v>='C:\Users\jaime.benazar\Quorum Business Solutions\Ecopetrol Prometeo - Documents\Planning Space Implementation\3. Analysis &amp; Design\Design\FC22\DRR Jaime\Por presentar a ECP\Cantagallo\Cristalina\[CRISTALINA_CF_SEC_New_09-Feb-2024.xlsx]D-PRB'!$BB$33</v>
      </c>
      <c r="J251" s="37" t="s">
        <v>261</v>
      </c>
    </row>
    <row r="252" spans="1:10" x14ac:dyDescent="0.35">
      <c r="A252" s="32" t="s">
        <v>20</v>
      </c>
      <c r="B252" s="32">
        <f t="shared" ref="B252:B266" si="69">+B251+1</f>
        <v>2045</v>
      </c>
      <c r="C252" s="33" t="s">
        <v>31</v>
      </c>
      <c r="D252" s="34" t="s">
        <v>128</v>
      </c>
      <c r="E252" s="35" t="str">
        <f t="shared" si="65"/>
        <v>PRB'!</v>
      </c>
      <c r="F252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52" s="32" t="s">
        <v>112</v>
      </c>
      <c r="H252" s="33">
        <f t="shared" si="67"/>
        <v>34</v>
      </c>
      <c r="I252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ECP\Cantagallo\Cristalina\[CRISTALINA_CF_SEC_New_09-Feb-2024.xlsx]D-PRB'!$BB$34</v>
      </c>
      <c r="J252" s="37" t="s">
        <v>262</v>
      </c>
    </row>
    <row r="253" spans="1:10" x14ac:dyDescent="0.35">
      <c r="A253" s="32" t="s">
        <v>20</v>
      </c>
      <c r="B253" s="32">
        <f t="shared" si="69"/>
        <v>2046</v>
      </c>
      <c r="C253" s="33" t="s">
        <v>31</v>
      </c>
      <c r="D253" s="34" t="s">
        <v>128</v>
      </c>
      <c r="E253" s="35" t="str">
        <f t="shared" si="65"/>
        <v>PRB'!</v>
      </c>
      <c r="F253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53" s="32" t="s">
        <v>112</v>
      </c>
      <c r="H253" s="33">
        <f t="shared" si="67"/>
        <v>35</v>
      </c>
      <c r="I253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ECP\Cantagallo\Cristalina\[CRISTALINA_CF_SEC_New_09-Feb-2024.xlsx]D-PRB'!$BB$35</v>
      </c>
      <c r="J253" s="37" t="s">
        <v>263</v>
      </c>
    </row>
    <row r="254" spans="1:10" x14ac:dyDescent="0.35">
      <c r="A254" s="32" t="s">
        <v>20</v>
      </c>
      <c r="B254" s="32">
        <f t="shared" si="69"/>
        <v>2047</v>
      </c>
      <c r="C254" s="33" t="s">
        <v>31</v>
      </c>
      <c r="D254" s="34" t="s">
        <v>128</v>
      </c>
      <c r="E254" s="35" t="str">
        <f t="shared" si="65"/>
        <v>PRB'!</v>
      </c>
      <c r="F254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54" s="32" t="s">
        <v>112</v>
      </c>
      <c r="H254" s="33">
        <f t="shared" si="67"/>
        <v>36</v>
      </c>
      <c r="I254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ECP\Cantagallo\Cristalina\[CRISTALINA_CF_SEC_New_09-Feb-2024.xlsx]D-PRB'!$BB$36</v>
      </c>
      <c r="J254" s="37" t="s">
        <v>264</v>
      </c>
    </row>
    <row r="255" spans="1:10" x14ac:dyDescent="0.35">
      <c r="A255" s="32" t="s">
        <v>20</v>
      </c>
      <c r="B255" s="32">
        <f t="shared" si="69"/>
        <v>2048</v>
      </c>
      <c r="C255" s="33" t="s">
        <v>31</v>
      </c>
      <c r="D255" s="34" t="s">
        <v>128</v>
      </c>
      <c r="E255" s="35" t="str">
        <f t="shared" si="65"/>
        <v>PRB'!</v>
      </c>
      <c r="F255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55" s="32" t="s">
        <v>112</v>
      </c>
      <c r="H255" s="33">
        <f t="shared" si="67"/>
        <v>37</v>
      </c>
      <c r="I255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ECP\Cantagallo\Cristalina\[CRISTALINA_CF_SEC_New_09-Feb-2024.xlsx]D-PRB'!$BB$37</v>
      </c>
      <c r="J255" s="37" t="s">
        <v>265</v>
      </c>
    </row>
    <row r="256" spans="1:10" x14ac:dyDescent="0.35">
      <c r="A256" s="32" t="s">
        <v>20</v>
      </c>
      <c r="B256" s="32">
        <f t="shared" si="69"/>
        <v>2049</v>
      </c>
      <c r="C256" s="33" t="s">
        <v>31</v>
      </c>
      <c r="D256" s="34" t="s">
        <v>128</v>
      </c>
      <c r="E256" s="35" t="str">
        <f t="shared" si="65"/>
        <v>PRB'!</v>
      </c>
      <c r="F256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56" s="32" t="s">
        <v>112</v>
      </c>
      <c r="H256" s="33">
        <f t="shared" si="67"/>
        <v>38</v>
      </c>
      <c r="I256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ECP\Cantagallo\Cristalina\[CRISTALINA_CF_SEC_New_09-Feb-2024.xlsx]D-PRB'!$BB$38</v>
      </c>
      <c r="J256" s="37" t="s">
        <v>266</v>
      </c>
    </row>
    <row r="257" spans="1:10" x14ac:dyDescent="0.35">
      <c r="A257" s="32" t="s">
        <v>20</v>
      </c>
      <c r="B257" s="32">
        <f t="shared" si="69"/>
        <v>2050</v>
      </c>
      <c r="C257" s="33" t="s">
        <v>31</v>
      </c>
      <c r="D257" s="34" t="s">
        <v>128</v>
      </c>
      <c r="E257" s="35" t="str">
        <f t="shared" si="65"/>
        <v>PRB'!</v>
      </c>
      <c r="F257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57" s="32" t="s">
        <v>112</v>
      </c>
      <c r="H257" s="33">
        <f t="shared" si="67"/>
        <v>39</v>
      </c>
      <c r="I257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ECP\Cantagallo\Cristalina\[CRISTALINA_CF_SEC_New_09-Feb-2024.xlsx]D-PRB'!$BB$39</v>
      </c>
      <c r="J257" s="37" t="s">
        <v>267</v>
      </c>
    </row>
    <row r="258" spans="1:10" x14ac:dyDescent="0.35">
      <c r="A258" s="32" t="s">
        <v>20</v>
      </c>
      <c r="B258" s="32">
        <f t="shared" si="69"/>
        <v>2051</v>
      </c>
      <c r="C258" s="33" t="s">
        <v>31</v>
      </c>
      <c r="D258" s="34" t="s">
        <v>128</v>
      </c>
      <c r="E258" s="35" t="str">
        <f t="shared" si="65"/>
        <v>PRB'!</v>
      </c>
      <c r="F258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58" s="32" t="s">
        <v>112</v>
      </c>
      <c r="H258" s="33">
        <f t="shared" si="67"/>
        <v>40</v>
      </c>
      <c r="I258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ECP\Cantagallo\Cristalina\[CRISTALINA_CF_SEC_New_09-Feb-2024.xlsx]D-PRB'!$BB$40</v>
      </c>
      <c r="J258" s="37" t="s">
        <v>268</v>
      </c>
    </row>
    <row r="259" spans="1:10" x14ac:dyDescent="0.35">
      <c r="A259" s="32" t="s">
        <v>20</v>
      </c>
      <c r="B259" s="32">
        <f t="shared" si="69"/>
        <v>2052</v>
      </c>
      <c r="C259" s="33" t="s">
        <v>31</v>
      </c>
      <c r="D259" s="34" t="s">
        <v>128</v>
      </c>
      <c r="E259" s="35" t="str">
        <f t="shared" si="65"/>
        <v>PRB'!</v>
      </c>
      <c r="F259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59" s="32" t="s">
        <v>112</v>
      </c>
      <c r="H259" s="33">
        <f t="shared" si="67"/>
        <v>41</v>
      </c>
      <c r="I259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ECP\Cantagallo\Cristalina\[CRISTALINA_CF_SEC_New_09-Feb-2024.xlsx]D-PRB'!$BB$41</v>
      </c>
      <c r="J259" s="37" t="s">
        <v>269</v>
      </c>
    </row>
    <row r="260" spans="1:10" x14ac:dyDescent="0.35">
      <c r="A260" s="32" t="s">
        <v>20</v>
      </c>
      <c r="B260" s="32">
        <f t="shared" si="69"/>
        <v>2053</v>
      </c>
      <c r="C260" s="33" t="s">
        <v>31</v>
      </c>
      <c r="D260" s="34" t="s">
        <v>128</v>
      </c>
      <c r="E260" s="35" t="str">
        <f t="shared" si="65"/>
        <v>PRB'!</v>
      </c>
      <c r="F260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60" s="32" t="s">
        <v>112</v>
      </c>
      <c r="H260" s="33">
        <f t="shared" si="67"/>
        <v>42</v>
      </c>
      <c r="I260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ECP\Cantagallo\Cristalina\[CRISTALINA_CF_SEC_New_09-Feb-2024.xlsx]D-PRB'!$BB$42</v>
      </c>
      <c r="J260" s="37" t="s">
        <v>270</v>
      </c>
    </row>
    <row r="261" spans="1:10" x14ac:dyDescent="0.35">
      <c r="A261" s="32" t="s">
        <v>20</v>
      </c>
      <c r="B261" s="32">
        <f t="shared" si="69"/>
        <v>2054</v>
      </c>
      <c r="C261" s="33" t="s">
        <v>31</v>
      </c>
      <c r="D261" s="34" t="s">
        <v>128</v>
      </c>
      <c r="E261" s="35" t="str">
        <f t="shared" si="65"/>
        <v>PRB'!</v>
      </c>
      <c r="F261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61" s="32" t="s">
        <v>112</v>
      </c>
      <c r="H261" s="33">
        <f t="shared" si="67"/>
        <v>43</v>
      </c>
      <c r="I261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ECP\Cantagallo\Cristalina\[CRISTALINA_CF_SEC_New_09-Feb-2024.xlsx]D-PRB'!$BB$43</v>
      </c>
      <c r="J261" s="37" t="s">
        <v>271</v>
      </c>
    </row>
    <row r="262" spans="1:10" x14ac:dyDescent="0.35">
      <c r="A262" s="32" t="s">
        <v>20</v>
      </c>
      <c r="B262" s="32">
        <f t="shared" si="69"/>
        <v>2055</v>
      </c>
      <c r="C262" s="33" t="s">
        <v>31</v>
      </c>
      <c r="D262" s="34" t="s">
        <v>128</v>
      </c>
      <c r="E262" s="35" t="str">
        <f t="shared" si="65"/>
        <v>PRB'!</v>
      </c>
      <c r="F262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62" s="32" t="s">
        <v>112</v>
      </c>
      <c r="H262" s="33">
        <f t="shared" si="67"/>
        <v>44</v>
      </c>
      <c r="I262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ECP\Cantagallo\Cristalina\[CRISTALINA_CF_SEC_New_09-Feb-2024.xlsx]D-PRB'!$BB$44</v>
      </c>
      <c r="J262" s="37" t="s">
        <v>272</v>
      </c>
    </row>
    <row r="263" spans="1:10" x14ac:dyDescent="0.35">
      <c r="A263" s="32" t="s">
        <v>20</v>
      </c>
      <c r="B263" s="32">
        <f t="shared" si="69"/>
        <v>2056</v>
      </c>
      <c r="C263" s="33" t="s">
        <v>31</v>
      </c>
      <c r="D263" s="34" t="s">
        <v>128</v>
      </c>
      <c r="E263" s="35" t="str">
        <f t="shared" si="65"/>
        <v>PRB'!</v>
      </c>
      <c r="F263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63" s="32" t="s">
        <v>112</v>
      </c>
      <c r="H263" s="33">
        <f t="shared" si="67"/>
        <v>45</v>
      </c>
      <c r="I263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ECP\Cantagallo\Cristalina\[CRISTALINA_CF_SEC_New_09-Feb-2024.xlsx]D-PRB'!$BB$45</v>
      </c>
      <c r="J263" s="37" t="s">
        <v>273</v>
      </c>
    </row>
    <row r="264" spans="1:10" x14ac:dyDescent="0.35">
      <c r="A264" s="32" t="s">
        <v>20</v>
      </c>
      <c r="B264" s="32">
        <f t="shared" si="69"/>
        <v>2057</v>
      </c>
      <c r="C264" s="33" t="s">
        <v>31</v>
      </c>
      <c r="D264" s="34" t="s">
        <v>128</v>
      </c>
      <c r="E264" s="35" t="str">
        <f t="shared" si="65"/>
        <v>PRB'!</v>
      </c>
      <c r="F264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64" s="32" t="s">
        <v>112</v>
      </c>
      <c r="H264" s="33">
        <f t="shared" si="67"/>
        <v>46</v>
      </c>
      <c r="I264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ECP\Cantagallo\Cristalina\[CRISTALINA_CF_SEC_New_09-Feb-2024.xlsx]D-PRB'!$BB$46</v>
      </c>
      <c r="J264" s="37" t="s">
        <v>274</v>
      </c>
    </row>
    <row r="265" spans="1:10" x14ac:dyDescent="0.35">
      <c r="A265" s="32" t="s">
        <v>20</v>
      </c>
      <c r="B265" s="32">
        <f t="shared" si="69"/>
        <v>2058</v>
      </c>
      <c r="C265" s="33" t="s">
        <v>31</v>
      </c>
      <c r="D265" s="34" t="s">
        <v>128</v>
      </c>
      <c r="E265" s="35" t="str">
        <f t="shared" si="65"/>
        <v>PRB'!</v>
      </c>
      <c r="F265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65" s="32" t="s">
        <v>112</v>
      </c>
      <c r="H265" s="33">
        <f t="shared" si="67"/>
        <v>47</v>
      </c>
      <c r="I265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ECP\Cantagallo\Cristalina\[CRISTALINA_CF_SEC_New_09-Feb-2024.xlsx]D-PRB'!$BB$47</v>
      </c>
      <c r="J265" s="37" t="s">
        <v>275</v>
      </c>
    </row>
    <row r="266" spans="1:10" x14ac:dyDescent="0.35">
      <c r="A266" s="32" t="s">
        <v>20</v>
      </c>
      <c r="B266" s="32">
        <f t="shared" si="69"/>
        <v>2059</v>
      </c>
      <c r="C266" s="33" t="s">
        <v>31</v>
      </c>
      <c r="D266" s="34" t="s">
        <v>128</v>
      </c>
      <c r="E266" s="35" t="str">
        <f t="shared" si="65"/>
        <v>PRB'!</v>
      </c>
      <c r="F266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66" s="32" t="s">
        <v>112</v>
      </c>
      <c r="H266" s="33">
        <f t="shared" si="67"/>
        <v>48</v>
      </c>
      <c r="I266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ECP\Cantagallo\Cristalina\[CRISTALINA_CF_SEC_New_09-Feb-2024.xlsx]D-PRB'!$BB$48</v>
      </c>
      <c r="J266" s="37" t="s">
        <v>276</v>
      </c>
    </row>
    <row r="267" spans="1:10" x14ac:dyDescent="0.35">
      <c r="A267" s="32" t="s">
        <v>26</v>
      </c>
      <c r="B267" s="32"/>
      <c r="C267" s="33" t="s">
        <v>31</v>
      </c>
      <c r="D267" s="34"/>
      <c r="E267" s="35"/>
      <c r="F267" s="34"/>
      <c r="G267" s="32"/>
      <c r="H267" s="33"/>
      <c r="I267" s="33"/>
      <c r="J267" s="33"/>
    </row>
    <row r="268" spans="1:10" x14ac:dyDescent="0.35">
      <c r="A268" s="32" t="s">
        <v>21</v>
      </c>
      <c r="B268" s="32">
        <v>2023</v>
      </c>
      <c r="C268" s="33" t="s">
        <v>31</v>
      </c>
      <c r="D268" s="34" t="s">
        <v>128</v>
      </c>
      <c r="E268" s="35" t="str">
        <f t="shared" ref="E268:E288" si="70">_xlfn.CONCAT(A268,"'!")</f>
        <v>PSDP'!</v>
      </c>
      <c r="F268" s="34" t="str">
        <f t="shared" ref="F268:F288" si="71">_xlfn.CONCAT(D268:E268)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68" s="32" t="s">
        <v>112</v>
      </c>
      <c r="H268" s="33"/>
      <c r="I268" s="33"/>
      <c r="J268" s="37"/>
    </row>
    <row r="269" spans="1:10" x14ac:dyDescent="0.35">
      <c r="A269" s="32" t="s">
        <v>21</v>
      </c>
      <c r="B269" s="32">
        <f>+B268+1</f>
        <v>2024</v>
      </c>
      <c r="C269" s="33" t="s">
        <v>31</v>
      </c>
      <c r="D269" s="34" t="s">
        <v>128</v>
      </c>
      <c r="E269" s="35" t="str">
        <f t="shared" si="70"/>
        <v>PSDP'!</v>
      </c>
      <c r="F269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69" s="32" t="s">
        <v>112</v>
      </c>
      <c r="H269" s="33"/>
      <c r="I269" s="33"/>
      <c r="J269" s="37"/>
    </row>
    <row r="270" spans="1:10" x14ac:dyDescent="0.35">
      <c r="A270" s="32" t="s">
        <v>21</v>
      </c>
      <c r="B270" s="32">
        <f t="shared" ref="B270:B281" si="72">+B269+1</f>
        <v>2025</v>
      </c>
      <c r="C270" s="33" t="s">
        <v>31</v>
      </c>
      <c r="D270" s="34" t="s">
        <v>128</v>
      </c>
      <c r="E270" s="35" t="str">
        <f t="shared" si="70"/>
        <v>PSDP'!</v>
      </c>
      <c r="F270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0" s="32" t="s">
        <v>112</v>
      </c>
      <c r="H270" s="33"/>
      <c r="I270" s="33"/>
      <c r="J270" s="37"/>
    </row>
    <row r="271" spans="1:10" x14ac:dyDescent="0.35">
      <c r="A271" s="32" t="s">
        <v>21</v>
      </c>
      <c r="B271" s="32">
        <f t="shared" si="72"/>
        <v>2026</v>
      </c>
      <c r="C271" s="33" t="s">
        <v>31</v>
      </c>
      <c r="D271" s="34" t="s">
        <v>128</v>
      </c>
      <c r="E271" s="35" t="str">
        <f t="shared" si="70"/>
        <v>PSDP'!</v>
      </c>
      <c r="F271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1" s="32" t="s">
        <v>112</v>
      </c>
      <c r="H271" s="33"/>
      <c r="I271" s="33"/>
      <c r="J271" s="37"/>
    </row>
    <row r="272" spans="1:10" x14ac:dyDescent="0.35">
      <c r="A272" s="32" t="s">
        <v>21</v>
      </c>
      <c r="B272" s="32">
        <f t="shared" si="72"/>
        <v>2027</v>
      </c>
      <c r="C272" s="33" t="s">
        <v>31</v>
      </c>
      <c r="D272" s="34" t="s">
        <v>128</v>
      </c>
      <c r="E272" s="35" t="str">
        <f t="shared" si="70"/>
        <v>PSDP'!</v>
      </c>
      <c r="F272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2" s="32" t="s">
        <v>112</v>
      </c>
      <c r="H272" s="33"/>
      <c r="I272" s="33"/>
      <c r="J272" s="37"/>
    </row>
    <row r="273" spans="1:10" x14ac:dyDescent="0.35">
      <c r="A273" s="32" t="s">
        <v>21</v>
      </c>
      <c r="B273" s="32">
        <f t="shared" si="72"/>
        <v>2028</v>
      </c>
      <c r="C273" s="33" t="s">
        <v>31</v>
      </c>
      <c r="D273" s="34" t="s">
        <v>128</v>
      </c>
      <c r="E273" s="35" t="str">
        <f t="shared" si="70"/>
        <v>PSDP'!</v>
      </c>
      <c r="F273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3" s="32" t="s">
        <v>112</v>
      </c>
      <c r="H273" s="33"/>
      <c r="I273" s="33"/>
      <c r="J273" s="37"/>
    </row>
    <row r="274" spans="1:10" x14ac:dyDescent="0.35">
      <c r="A274" s="32" t="s">
        <v>21</v>
      </c>
      <c r="B274" s="32">
        <f t="shared" si="72"/>
        <v>2029</v>
      </c>
      <c r="C274" s="33" t="s">
        <v>31</v>
      </c>
      <c r="D274" s="34" t="s">
        <v>128</v>
      </c>
      <c r="E274" s="35" t="str">
        <f t="shared" si="70"/>
        <v>PSDP'!</v>
      </c>
      <c r="F274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4" s="32" t="s">
        <v>112</v>
      </c>
      <c r="H274" s="33"/>
      <c r="I274" s="33"/>
      <c r="J274" s="37"/>
    </row>
    <row r="275" spans="1:10" x14ac:dyDescent="0.35">
      <c r="A275" s="32" t="s">
        <v>21</v>
      </c>
      <c r="B275" s="32">
        <f t="shared" si="72"/>
        <v>2030</v>
      </c>
      <c r="C275" s="33" t="s">
        <v>31</v>
      </c>
      <c r="D275" s="34" t="s">
        <v>128</v>
      </c>
      <c r="E275" s="35" t="str">
        <f t="shared" si="70"/>
        <v>PSDP'!</v>
      </c>
      <c r="F275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5" s="32" t="s">
        <v>112</v>
      </c>
      <c r="H275" s="33"/>
      <c r="I275" s="33"/>
      <c r="J275" s="37"/>
    </row>
    <row r="276" spans="1:10" x14ac:dyDescent="0.35">
      <c r="A276" s="32" t="s">
        <v>21</v>
      </c>
      <c r="B276" s="32">
        <f t="shared" si="72"/>
        <v>2031</v>
      </c>
      <c r="C276" s="33" t="s">
        <v>31</v>
      </c>
      <c r="D276" s="34" t="s">
        <v>128</v>
      </c>
      <c r="E276" s="35" t="str">
        <f t="shared" si="70"/>
        <v>PSDP'!</v>
      </c>
      <c r="F276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6" s="32" t="s">
        <v>112</v>
      </c>
      <c r="H276" s="33"/>
      <c r="I276" s="33"/>
      <c r="J276" s="37"/>
    </row>
    <row r="277" spans="1:10" x14ac:dyDescent="0.35">
      <c r="A277" s="32" t="s">
        <v>21</v>
      </c>
      <c r="B277" s="32">
        <f t="shared" si="72"/>
        <v>2032</v>
      </c>
      <c r="C277" s="33" t="s">
        <v>31</v>
      </c>
      <c r="D277" s="34" t="s">
        <v>128</v>
      </c>
      <c r="E277" s="35" t="str">
        <f t="shared" si="70"/>
        <v>PSDP'!</v>
      </c>
      <c r="F277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7" s="32" t="s">
        <v>112</v>
      </c>
      <c r="H277" s="33"/>
      <c r="I277" s="33"/>
      <c r="J277" s="37"/>
    </row>
    <row r="278" spans="1:10" x14ac:dyDescent="0.35">
      <c r="A278" s="32" t="s">
        <v>21</v>
      </c>
      <c r="B278" s="32">
        <f t="shared" si="72"/>
        <v>2033</v>
      </c>
      <c r="C278" s="33" t="s">
        <v>31</v>
      </c>
      <c r="D278" s="34" t="s">
        <v>128</v>
      </c>
      <c r="E278" s="35" t="str">
        <f t="shared" si="70"/>
        <v>PSDP'!</v>
      </c>
      <c r="F278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8" s="32" t="s">
        <v>112</v>
      </c>
      <c r="H278" s="33"/>
      <c r="I278" s="33"/>
      <c r="J278" s="37"/>
    </row>
    <row r="279" spans="1:10" x14ac:dyDescent="0.35">
      <c r="A279" s="32" t="s">
        <v>21</v>
      </c>
      <c r="B279" s="32">
        <f t="shared" si="72"/>
        <v>2034</v>
      </c>
      <c r="C279" s="33" t="s">
        <v>31</v>
      </c>
      <c r="D279" s="34" t="s">
        <v>128</v>
      </c>
      <c r="E279" s="35" t="str">
        <f t="shared" si="70"/>
        <v>PSDP'!</v>
      </c>
      <c r="F279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9" s="32" t="s">
        <v>112</v>
      </c>
      <c r="H279" s="33"/>
      <c r="I279" s="33"/>
      <c r="J279" s="37"/>
    </row>
    <row r="280" spans="1:10" x14ac:dyDescent="0.35">
      <c r="A280" s="32" t="s">
        <v>21</v>
      </c>
      <c r="B280" s="32">
        <f t="shared" si="72"/>
        <v>2035</v>
      </c>
      <c r="C280" s="33" t="s">
        <v>31</v>
      </c>
      <c r="D280" s="34" t="s">
        <v>128</v>
      </c>
      <c r="E280" s="35" t="str">
        <f t="shared" si="70"/>
        <v>PSDP'!</v>
      </c>
      <c r="F280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0" s="32" t="s">
        <v>112</v>
      </c>
      <c r="H280" s="33"/>
      <c r="I280" s="33"/>
      <c r="J280" s="37"/>
    </row>
    <row r="281" spans="1:10" x14ac:dyDescent="0.35">
      <c r="A281" s="32" t="s">
        <v>21</v>
      </c>
      <c r="B281" s="32">
        <f t="shared" si="72"/>
        <v>2036</v>
      </c>
      <c r="C281" s="33" t="s">
        <v>31</v>
      </c>
      <c r="D281" s="34" t="s">
        <v>128</v>
      </c>
      <c r="E281" s="35" t="str">
        <f t="shared" si="70"/>
        <v>PSDP'!</v>
      </c>
      <c r="F281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1" s="32" t="s">
        <v>112</v>
      </c>
      <c r="H281" s="33"/>
      <c r="I281" s="33"/>
      <c r="J281" s="37"/>
    </row>
    <row r="282" spans="1:10" x14ac:dyDescent="0.35">
      <c r="A282" s="32" t="s">
        <v>21</v>
      </c>
      <c r="B282" s="32">
        <f>+B281+1</f>
        <v>2037</v>
      </c>
      <c r="C282" s="33" t="s">
        <v>31</v>
      </c>
      <c r="D282" s="34" t="s">
        <v>128</v>
      </c>
      <c r="E282" s="35" t="str">
        <f t="shared" si="70"/>
        <v>PSDP'!</v>
      </c>
      <c r="F282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2" s="32" t="s">
        <v>112</v>
      </c>
      <c r="H282" s="33"/>
      <c r="I282" s="33"/>
      <c r="J282" s="37"/>
    </row>
    <row r="283" spans="1:10" x14ac:dyDescent="0.35">
      <c r="A283" s="32" t="s">
        <v>21</v>
      </c>
      <c r="B283" s="32">
        <f t="shared" ref="B283:B285" si="73">+B282+1</f>
        <v>2038</v>
      </c>
      <c r="C283" s="33" t="s">
        <v>31</v>
      </c>
      <c r="D283" s="34" t="s">
        <v>128</v>
      </c>
      <c r="E283" s="35" t="str">
        <f t="shared" si="70"/>
        <v>PSDP'!</v>
      </c>
      <c r="F283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3" s="32" t="s">
        <v>112</v>
      </c>
      <c r="H283" s="33"/>
      <c r="I283" s="33"/>
      <c r="J283" s="37"/>
    </row>
    <row r="284" spans="1:10" x14ac:dyDescent="0.35">
      <c r="A284" s="32" t="s">
        <v>21</v>
      </c>
      <c r="B284" s="32">
        <f t="shared" si="73"/>
        <v>2039</v>
      </c>
      <c r="C284" s="33" t="s">
        <v>31</v>
      </c>
      <c r="D284" s="34" t="s">
        <v>128</v>
      </c>
      <c r="E284" s="35" t="str">
        <f t="shared" si="70"/>
        <v>PSDP'!</v>
      </c>
      <c r="F284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4" s="32" t="s">
        <v>112</v>
      </c>
      <c r="H284" s="33"/>
      <c r="I284" s="33"/>
      <c r="J284" s="37"/>
    </row>
    <row r="285" spans="1:10" x14ac:dyDescent="0.35">
      <c r="A285" s="32" t="s">
        <v>21</v>
      </c>
      <c r="B285" s="32">
        <f t="shared" si="73"/>
        <v>2040</v>
      </c>
      <c r="C285" s="33" t="s">
        <v>31</v>
      </c>
      <c r="D285" s="34" t="s">
        <v>128</v>
      </c>
      <c r="E285" s="35" t="str">
        <f t="shared" si="70"/>
        <v>PSDP'!</v>
      </c>
      <c r="F285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5" s="32" t="s">
        <v>112</v>
      </c>
      <c r="H285" s="33"/>
      <c r="I285" s="33"/>
      <c r="J285" s="37"/>
    </row>
    <row r="286" spans="1:10" x14ac:dyDescent="0.35">
      <c r="A286" s="32" t="s">
        <v>21</v>
      </c>
      <c r="B286" s="32">
        <f>+B285+1</f>
        <v>2041</v>
      </c>
      <c r="C286" s="33" t="s">
        <v>31</v>
      </c>
      <c r="D286" s="34" t="s">
        <v>128</v>
      </c>
      <c r="E286" s="35" t="str">
        <f t="shared" si="70"/>
        <v>PSDP'!</v>
      </c>
      <c r="F286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6" s="32" t="s">
        <v>112</v>
      </c>
      <c r="H286" s="33"/>
      <c r="I286" s="33"/>
      <c r="J286" s="37"/>
    </row>
    <row r="287" spans="1:10" x14ac:dyDescent="0.35">
      <c r="A287" s="32" t="s">
        <v>21</v>
      </c>
      <c r="B287" s="32">
        <f t="shared" ref="B287:B288" si="74">+B286+1</f>
        <v>2042</v>
      </c>
      <c r="C287" s="33" t="s">
        <v>31</v>
      </c>
      <c r="D287" s="34" t="s">
        <v>128</v>
      </c>
      <c r="E287" s="35" t="str">
        <f t="shared" si="70"/>
        <v>PSDP'!</v>
      </c>
      <c r="F287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7" s="32" t="s">
        <v>112</v>
      </c>
      <c r="H287" s="33"/>
      <c r="I287" s="33"/>
      <c r="J287" s="37"/>
    </row>
    <row r="288" spans="1:10" x14ac:dyDescent="0.35">
      <c r="A288" s="32" t="s">
        <v>21</v>
      </c>
      <c r="B288" s="32">
        <f t="shared" si="74"/>
        <v>2043</v>
      </c>
      <c r="C288" s="33" t="s">
        <v>31</v>
      </c>
      <c r="D288" s="34" t="s">
        <v>128</v>
      </c>
      <c r="E288" s="35" t="str">
        <f t="shared" si="70"/>
        <v>PSDP'!</v>
      </c>
      <c r="F288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8" s="32" t="s">
        <v>112</v>
      </c>
      <c r="H288" s="33"/>
      <c r="I288" s="33"/>
      <c r="J288" s="37"/>
    </row>
    <row r="289" spans="1:10" x14ac:dyDescent="0.35">
      <c r="A289" s="32" t="s">
        <v>21</v>
      </c>
      <c r="B289" s="32">
        <f>+B288+1</f>
        <v>2044</v>
      </c>
      <c r="C289" s="33" t="s">
        <v>31</v>
      </c>
      <c r="D289" s="34" t="s">
        <v>128</v>
      </c>
      <c r="E289" s="35" t="str">
        <f t="shared" ref="E289:E304" si="75">_xlfn.CONCAT(A289,"'!")</f>
        <v>PSDP'!</v>
      </c>
      <c r="F289" s="34" t="str">
        <f t="shared" ref="F289:F304" si="76">_xlfn.CONCAT(D289:E289)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9" s="32" t="s">
        <v>112</v>
      </c>
      <c r="H289" s="33"/>
      <c r="I289" s="33"/>
      <c r="J289" s="37"/>
    </row>
    <row r="290" spans="1:10" x14ac:dyDescent="0.35">
      <c r="A290" s="32" t="s">
        <v>21</v>
      </c>
      <c r="B290" s="32">
        <f t="shared" ref="B290:B304" si="77">+B289+1</f>
        <v>2045</v>
      </c>
      <c r="C290" s="33" t="s">
        <v>31</v>
      </c>
      <c r="D290" s="34" t="s">
        <v>128</v>
      </c>
      <c r="E290" s="35" t="str">
        <f t="shared" si="75"/>
        <v>PSDP'!</v>
      </c>
      <c r="F290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90" s="32" t="s">
        <v>112</v>
      </c>
      <c r="H290" s="33"/>
      <c r="I290" s="33"/>
      <c r="J290" s="37"/>
    </row>
    <row r="291" spans="1:10" x14ac:dyDescent="0.35">
      <c r="A291" s="32" t="s">
        <v>21</v>
      </c>
      <c r="B291" s="32">
        <f t="shared" si="77"/>
        <v>2046</v>
      </c>
      <c r="C291" s="33" t="s">
        <v>31</v>
      </c>
      <c r="D291" s="34" t="s">
        <v>128</v>
      </c>
      <c r="E291" s="35" t="str">
        <f t="shared" si="75"/>
        <v>PSDP'!</v>
      </c>
      <c r="F291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91" s="32" t="s">
        <v>112</v>
      </c>
      <c r="H291" s="33"/>
      <c r="I291" s="33"/>
      <c r="J291" s="37"/>
    </row>
    <row r="292" spans="1:10" x14ac:dyDescent="0.35">
      <c r="A292" s="32" t="s">
        <v>21</v>
      </c>
      <c r="B292" s="32">
        <f t="shared" si="77"/>
        <v>2047</v>
      </c>
      <c r="C292" s="33" t="s">
        <v>31</v>
      </c>
      <c r="D292" s="34" t="s">
        <v>128</v>
      </c>
      <c r="E292" s="35" t="str">
        <f t="shared" si="75"/>
        <v>PSDP'!</v>
      </c>
      <c r="F292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92" s="32" t="s">
        <v>112</v>
      </c>
      <c r="H292" s="33"/>
      <c r="I292" s="33"/>
      <c r="J292" s="37"/>
    </row>
    <row r="293" spans="1:10" x14ac:dyDescent="0.35">
      <c r="A293" s="32" t="s">
        <v>21</v>
      </c>
      <c r="B293" s="32">
        <f t="shared" si="77"/>
        <v>2048</v>
      </c>
      <c r="C293" s="33" t="s">
        <v>31</v>
      </c>
      <c r="D293" s="34" t="s">
        <v>128</v>
      </c>
      <c r="E293" s="35" t="str">
        <f t="shared" si="75"/>
        <v>PSDP'!</v>
      </c>
      <c r="F293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93" s="32" t="s">
        <v>112</v>
      </c>
      <c r="H293" s="33"/>
      <c r="I293" s="33"/>
      <c r="J293" s="37"/>
    </row>
    <row r="294" spans="1:10" x14ac:dyDescent="0.35">
      <c r="A294" s="32" t="s">
        <v>21</v>
      </c>
      <c r="B294" s="32">
        <f t="shared" si="77"/>
        <v>2049</v>
      </c>
      <c r="C294" s="33" t="s">
        <v>31</v>
      </c>
      <c r="D294" s="34" t="s">
        <v>128</v>
      </c>
      <c r="E294" s="35" t="str">
        <f t="shared" si="75"/>
        <v>PSDP'!</v>
      </c>
      <c r="F294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94" s="32" t="s">
        <v>112</v>
      </c>
      <c r="H294" s="33"/>
      <c r="I294" s="33"/>
      <c r="J294" s="37"/>
    </row>
    <row r="295" spans="1:10" x14ac:dyDescent="0.35">
      <c r="A295" s="32" t="s">
        <v>21</v>
      </c>
      <c r="B295" s="32">
        <f t="shared" si="77"/>
        <v>2050</v>
      </c>
      <c r="C295" s="33" t="s">
        <v>31</v>
      </c>
      <c r="D295" s="34" t="s">
        <v>128</v>
      </c>
      <c r="E295" s="35" t="str">
        <f t="shared" si="75"/>
        <v>PSDP'!</v>
      </c>
      <c r="F295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95" s="32" t="s">
        <v>112</v>
      </c>
      <c r="H295" s="33"/>
      <c r="I295" s="33"/>
      <c r="J295" s="37"/>
    </row>
    <row r="296" spans="1:10" x14ac:dyDescent="0.35">
      <c r="A296" s="32" t="s">
        <v>21</v>
      </c>
      <c r="B296" s="32">
        <f t="shared" si="77"/>
        <v>2051</v>
      </c>
      <c r="C296" s="33" t="s">
        <v>31</v>
      </c>
      <c r="D296" s="34" t="s">
        <v>128</v>
      </c>
      <c r="E296" s="35" t="str">
        <f t="shared" si="75"/>
        <v>PSDP'!</v>
      </c>
      <c r="F296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96" s="32" t="s">
        <v>112</v>
      </c>
      <c r="H296" s="33"/>
      <c r="I296" s="33"/>
      <c r="J296" s="37"/>
    </row>
    <row r="297" spans="1:10" x14ac:dyDescent="0.35">
      <c r="A297" s="32" t="s">
        <v>21</v>
      </c>
      <c r="B297" s="32">
        <f t="shared" si="77"/>
        <v>2052</v>
      </c>
      <c r="C297" s="33" t="s">
        <v>31</v>
      </c>
      <c r="D297" s="34" t="s">
        <v>128</v>
      </c>
      <c r="E297" s="35" t="str">
        <f t="shared" si="75"/>
        <v>PSDP'!</v>
      </c>
      <c r="F297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97" s="32" t="s">
        <v>112</v>
      </c>
      <c r="H297" s="33"/>
      <c r="I297" s="33"/>
      <c r="J297" s="37"/>
    </row>
    <row r="298" spans="1:10" x14ac:dyDescent="0.35">
      <c r="A298" s="32" t="s">
        <v>21</v>
      </c>
      <c r="B298" s="32">
        <f t="shared" si="77"/>
        <v>2053</v>
      </c>
      <c r="C298" s="33" t="s">
        <v>31</v>
      </c>
      <c r="D298" s="34" t="s">
        <v>128</v>
      </c>
      <c r="E298" s="35" t="str">
        <f t="shared" si="75"/>
        <v>PSDP'!</v>
      </c>
      <c r="F298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98" s="32" t="s">
        <v>112</v>
      </c>
      <c r="H298" s="33"/>
      <c r="I298" s="33"/>
      <c r="J298" s="37"/>
    </row>
    <row r="299" spans="1:10" x14ac:dyDescent="0.35">
      <c r="A299" s="32" t="s">
        <v>21</v>
      </c>
      <c r="B299" s="32">
        <f t="shared" si="77"/>
        <v>2054</v>
      </c>
      <c r="C299" s="33" t="s">
        <v>31</v>
      </c>
      <c r="D299" s="34" t="s">
        <v>128</v>
      </c>
      <c r="E299" s="35" t="str">
        <f t="shared" si="75"/>
        <v>PSDP'!</v>
      </c>
      <c r="F299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99" s="32" t="s">
        <v>112</v>
      </c>
      <c r="H299" s="33"/>
      <c r="I299" s="33"/>
      <c r="J299" s="37"/>
    </row>
    <row r="300" spans="1:10" x14ac:dyDescent="0.35">
      <c r="A300" s="32" t="s">
        <v>21</v>
      </c>
      <c r="B300" s="32">
        <f t="shared" si="77"/>
        <v>2055</v>
      </c>
      <c r="C300" s="33" t="s">
        <v>31</v>
      </c>
      <c r="D300" s="34" t="s">
        <v>128</v>
      </c>
      <c r="E300" s="35" t="str">
        <f t="shared" si="75"/>
        <v>PSDP'!</v>
      </c>
      <c r="F300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00" s="32" t="s">
        <v>112</v>
      </c>
      <c r="H300" s="33"/>
      <c r="I300" s="33"/>
      <c r="J300" s="37"/>
    </row>
    <row r="301" spans="1:10" x14ac:dyDescent="0.35">
      <c r="A301" s="32" t="s">
        <v>21</v>
      </c>
      <c r="B301" s="32">
        <f t="shared" si="77"/>
        <v>2056</v>
      </c>
      <c r="C301" s="33" t="s">
        <v>31</v>
      </c>
      <c r="D301" s="34" t="s">
        <v>128</v>
      </c>
      <c r="E301" s="35" t="str">
        <f t="shared" si="75"/>
        <v>PSDP'!</v>
      </c>
      <c r="F301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01" s="32" t="s">
        <v>112</v>
      </c>
      <c r="H301" s="33"/>
      <c r="I301" s="33"/>
      <c r="J301" s="37"/>
    </row>
    <row r="302" spans="1:10" x14ac:dyDescent="0.35">
      <c r="A302" s="32" t="s">
        <v>21</v>
      </c>
      <c r="B302" s="32">
        <f t="shared" si="77"/>
        <v>2057</v>
      </c>
      <c r="C302" s="33" t="s">
        <v>31</v>
      </c>
      <c r="D302" s="34" t="s">
        <v>128</v>
      </c>
      <c r="E302" s="35" t="str">
        <f t="shared" si="75"/>
        <v>PSDP'!</v>
      </c>
      <c r="F302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02" s="32" t="s">
        <v>112</v>
      </c>
      <c r="H302" s="33"/>
      <c r="I302" s="33"/>
      <c r="J302" s="37"/>
    </row>
    <row r="303" spans="1:10" x14ac:dyDescent="0.35">
      <c r="A303" s="32" t="s">
        <v>21</v>
      </c>
      <c r="B303" s="32">
        <f t="shared" si="77"/>
        <v>2058</v>
      </c>
      <c r="C303" s="33" t="s">
        <v>31</v>
      </c>
      <c r="D303" s="34" t="s">
        <v>128</v>
      </c>
      <c r="E303" s="35" t="str">
        <f t="shared" si="75"/>
        <v>PSDP'!</v>
      </c>
      <c r="F303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03" s="32" t="s">
        <v>112</v>
      </c>
      <c r="H303" s="33"/>
      <c r="I303" s="33"/>
      <c r="J303" s="37"/>
    </row>
    <row r="304" spans="1:10" x14ac:dyDescent="0.35">
      <c r="A304" s="32" t="s">
        <v>21</v>
      </c>
      <c r="B304" s="32">
        <f t="shared" si="77"/>
        <v>2059</v>
      </c>
      <c r="C304" s="33" t="s">
        <v>31</v>
      </c>
      <c r="D304" s="34" t="s">
        <v>128</v>
      </c>
      <c r="E304" s="35" t="str">
        <f t="shared" si="75"/>
        <v>PSDP'!</v>
      </c>
      <c r="F304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04" s="32" t="s">
        <v>112</v>
      </c>
      <c r="H304" s="33"/>
      <c r="I304" s="33"/>
      <c r="J304" s="37"/>
    </row>
    <row r="305" spans="1:10" x14ac:dyDescent="0.35">
      <c r="A305" s="32" t="s">
        <v>26</v>
      </c>
      <c r="B305" s="32"/>
      <c r="C305" s="33" t="s">
        <v>31</v>
      </c>
      <c r="D305" s="34"/>
      <c r="E305" s="35"/>
      <c r="F305" s="34"/>
      <c r="G305" s="32"/>
      <c r="H305" s="33"/>
      <c r="I305" s="33"/>
      <c r="J305" s="33"/>
    </row>
    <row r="306" spans="1:10" x14ac:dyDescent="0.35">
      <c r="A306" s="32" t="s">
        <v>22</v>
      </c>
      <c r="B306" s="32">
        <v>2023</v>
      </c>
      <c r="C306" s="33" t="s">
        <v>31</v>
      </c>
      <c r="D306" s="34" t="s">
        <v>128</v>
      </c>
      <c r="E306" s="35" t="str">
        <f t="shared" ref="E306:E326" si="78">_xlfn.CONCAT(A306,"'!")</f>
        <v>PSNP'!</v>
      </c>
      <c r="F306" s="34" t="str">
        <f t="shared" ref="F306:F326" si="79">_xlfn.CONCAT(D306:E306)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06" s="32" t="s">
        <v>112</v>
      </c>
      <c r="H306" s="33"/>
      <c r="I306" s="33"/>
      <c r="J306" s="37"/>
    </row>
    <row r="307" spans="1:10" x14ac:dyDescent="0.35">
      <c r="A307" s="32" t="s">
        <v>22</v>
      </c>
      <c r="B307" s="32">
        <f>+B306+1</f>
        <v>2024</v>
      </c>
      <c r="C307" s="33" t="s">
        <v>31</v>
      </c>
      <c r="D307" s="34" t="s">
        <v>128</v>
      </c>
      <c r="E307" s="35" t="str">
        <f t="shared" si="78"/>
        <v>PSNP'!</v>
      </c>
      <c r="F307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07" s="32" t="s">
        <v>112</v>
      </c>
      <c r="H307" s="33"/>
      <c r="I307" s="33"/>
      <c r="J307" s="37"/>
    </row>
    <row r="308" spans="1:10" x14ac:dyDescent="0.35">
      <c r="A308" s="32" t="s">
        <v>22</v>
      </c>
      <c r="B308" s="32">
        <f t="shared" ref="B308:B319" si="80">+B307+1</f>
        <v>2025</v>
      </c>
      <c r="C308" s="33" t="s">
        <v>31</v>
      </c>
      <c r="D308" s="34" t="s">
        <v>128</v>
      </c>
      <c r="E308" s="35" t="str">
        <f t="shared" si="78"/>
        <v>PSNP'!</v>
      </c>
      <c r="F308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08" s="32" t="s">
        <v>112</v>
      </c>
      <c r="H308" s="33"/>
      <c r="I308" s="33"/>
      <c r="J308" s="37"/>
    </row>
    <row r="309" spans="1:10" x14ac:dyDescent="0.35">
      <c r="A309" s="32" t="s">
        <v>22</v>
      </c>
      <c r="B309" s="32">
        <f t="shared" si="80"/>
        <v>2026</v>
      </c>
      <c r="C309" s="33" t="s">
        <v>31</v>
      </c>
      <c r="D309" s="34" t="s">
        <v>128</v>
      </c>
      <c r="E309" s="35" t="str">
        <f t="shared" si="78"/>
        <v>PSNP'!</v>
      </c>
      <c r="F309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09" s="32" t="s">
        <v>112</v>
      </c>
      <c r="H309" s="33"/>
      <c r="I309" s="33"/>
      <c r="J309" s="37"/>
    </row>
    <row r="310" spans="1:10" x14ac:dyDescent="0.35">
      <c r="A310" s="32" t="s">
        <v>22</v>
      </c>
      <c r="B310" s="32">
        <f t="shared" si="80"/>
        <v>2027</v>
      </c>
      <c r="C310" s="33" t="s">
        <v>31</v>
      </c>
      <c r="D310" s="34" t="s">
        <v>128</v>
      </c>
      <c r="E310" s="35" t="str">
        <f t="shared" si="78"/>
        <v>PSNP'!</v>
      </c>
      <c r="F310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10" s="32" t="s">
        <v>112</v>
      </c>
      <c r="H310" s="33"/>
      <c r="I310" s="33"/>
      <c r="J310" s="37"/>
    </row>
    <row r="311" spans="1:10" x14ac:dyDescent="0.35">
      <c r="A311" s="32" t="s">
        <v>22</v>
      </c>
      <c r="B311" s="32">
        <f t="shared" si="80"/>
        <v>2028</v>
      </c>
      <c r="C311" s="33" t="s">
        <v>31</v>
      </c>
      <c r="D311" s="34" t="s">
        <v>128</v>
      </c>
      <c r="E311" s="35" t="str">
        <f t="shared" si="78"/>
        <v>PSNP'!</v>
      </c>
      <c r="F311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11" s="32" t="s">
        <v>112</v>
      </c>
      <c r="H311" s="33"/>
      <c r="I311" s="33"/>
      <c r="J311" s="37"/>
    </row>
    <row r="312" spans="1:10" x14ac:dyDescent="0.35">
      <c r="A312" s="32" t="s">
        <v>22</v>
      </c>
      <c r="B312" s="32">
        <f t="shared" si="80"/>
        <v>2029</v>
      </c>
      <c r="C312" s="33" t="s">
        <v>31</v>
      </c>
      <c r="D312" s="34" t="s">
        <v>128</v>
      </c>
      <c r="E312" s="35" t="str">
        <f t="shared" si="78"/>
        <v>PSNP'!</v>
      </c>
      <c r="F312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12" s="32" t="s">
        <v>112</v>
      </c>
      <c r="H312" s="33"/>
      <c r="I312" s="33"/>
      <c r="J312" s="37"/>
    </row>
    <row r="313" spans="1:10" x14ac:dyDescent="0.35">
      <c r="A313" s="32" t="s">
        <v>22</v>
      </c>
      <c r="B313" s="32">
        <f t="shared" si="80"/>
        <v>2030</v>
      </c>
      <c r="C313" s="33" t="s">
        <v>31</v>
      </c>
      <c r="D313" s="34" t="s">
        <v>128</v>
      </c>
      <c r="E313" s="35" t="str">
        <f t="shared" si="78"/>
        <v>PSNP'!</v>
      </c>
      <c r="F313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13" s="32" t="s">
        <v>112</v>
      </c>
      <c r="H313" s="33"/>
      <c r="I313" s="33"/>
      <c r="J313" s="37"/>
    </row>
    <row r="314" spans="1:10" x14ac:dyDescent="0.35">
      <c r="A314" s="32" t="s">
        <v>22</v>
      </c>
      <c r="B314" s="32">
        <f t="shared" si="80"/>
        <v>2031</v>
      </c>
      <c r="C314" s="33" t="s">
        <v>31</v>
      </c>
      <c r="D314" s="34" t="s">
        <v>128</v>
      </c>
      <c r="E314" s="35" t="str">
        <f t="shared" si="78"/>
        <v>PSNP'!</v>
      </c>
      <c r="F314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14" s="32" t="s">
        <v>112</v>
      </c>
      <c r="H314" s="33"/>
      <c r="I314" s="33"/>
      <c r="J314" s="37"/>
    </row>
    <row r="315" spans="1:10" x14ac:dyDescent="0.35">
      <c r="A315" s="32" t="s">
        <v>22</v>
      </c>
      <c r="B315" s="32">
        <f t="shared" si="80"/>
        <v>2032</v>
      </c>
      <c r="C315" s="33" t="s">
        <v>31</v>
      </c>
      <c r="D315" s="34" t="s">
        <v>128</v>
      </c>
      <c r="E315" s="35" t="str">
        <f t="shared" si="78"/>
        <v>PSNP'!</v>
      </c>
      <c r="F315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15" s="32" t="s">
        <v>112</v>
      </c>
      <c r="H315" s="33"/>
      <c r="I315" s="33"/>
      <c r="J315" s="37"/>
    </row>
    <row r="316" spans="1:10" x14ac:dyDescent="0.35">
      <c r="A316" s="32" t="s">
        <v>22</v>
      </c>
      <c r="B316" s="32">
        <f t="shared" si="80"/>
        <v>2033</v>
      </c>
      <c r="C316" s="33" t="s">
        <v>31</v>
      </c>
      <c r="D316" s="34" t="s">
        <v>128</v>
      </c>
      <c r="E316" s="35" t="str">
        <f t="shared" si="78"/>
        <v>PSNP'!</v>
      </c>
      <c r="F316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16" s="32" t="s">
        <v>112</v>
      </c>
      <c r="H316" s="33"/>
      <c r="I316" s="33"/>
      <c r="J316" s="37"/>
    </row>
    <row r="317" spans="1:10" x14ac:dyDescent="0.35">
      <c r="A317" s="32" t="s">
        <v>22</v>
      </c>
      <c r="B317" s="32">
        <f t="shared" si="80"/>
        <v>2034</v>
      </c>
      <c r="C317" s="33" t="s">
        <v>31</v>
      </c>
      <c r="D317" s="34" t="s">
        <v>128</v>
      </c>
      <c r="E317" s="35" t="str">
        <f t="shared" si="78"/>
        <v>PSNP'!</v>
      </c>
      <c r="F317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17" s="32" t="s">
        <v>112</v>
      </c>
      <c r="H317" s="33"/>
      <c r="I317" s="33"/>
      <c r="J317" s="37"/>
    </row>
    <row r="318" spans="1:10" x14ac:dyDescent="0.35">
      <c r="A318" s="32" t="s">
        <v>22</v>
      </c>
      <c r="B318" s="32">
        <f t="shared" si="80"/>
        <v>2035</v>
      </c>
      <c r="C318" s="33" t="s">
        <v>31</v>
      </c>
      <c r="D318" s="34" t="s">
        <v>128</v>
      </c>
      <c r="E318" s="35" t="str">
        <f t="shared" si="78"/>
        <v>PSNP'!</v>
      </c>
      <c r="F318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18" s="32" t="s">
        <v>112</v>
      </c>
      <c r="H318" s="33"/>
      <c r="I318" s="33"/>
      <c r="J318" s="37"/>
    </row>
    <row r="319" spans="1:10" x14ac:dyDescent="0.35">
      <c r="A319" s="32" t="s">
        <v>22</v>
      </c>
      <c r="B319" s="32">
        <f t="shared" si="80"/>
        <v>2036</v>
      </c>
      <c r="C319" s="33" t="s">
        <v>31</v>
      </c>
      <c r="D319" s="34" t="s">
        <v>128</v>
      </c>
      <c r="E319" s="35" t="str">
        <f t="shared" si="78"/>
        <v>PSNP'!</v>
      </c>
      <c r="F319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19" s="32" t="s">
        <v>112</v>
      </c>
      <c r="H319" s="33"/>
      <c r="I319" s="33"/>
      <c r="J319" s="37"/>
    </row>
    <row r="320" spans="1:10" x14ac:dyDescent="0.35">
      <c r="A320" s="32" t="s">
        <v>22</v>
      </c>
      <c r="B320" s="32">
        <f>+B319+1</f>
        <v>2037</v>
      </c>
      <c r="C320" s="33" t="s">
        <v>31</v>
      </c>
      <c r="D320" s="34" t="s">
        <v>128</v>
      </c>
      <c r="E320" s="35" t="str">
        <f t="shared" si="78"/>
        <v>PSNP'!</v>
      </c>
      <c r="F320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0" s="32" t="s">
        <v>112</v>
      </c>
      <c r="H320" s="33"/>
      <c r="I320" s="33"/>
      <c r="J320" s="37"/>
    </row>
    <row r="321" spans="1:10" x14ac:dyDescent="0.35">
      <c r="A321" s="32" t="s">
        <v>22</v>
      </c>
      <c r="B321" s="32">
        <f t="shared" ref="B321:B323" si="81">+B320+1</f>
        <v>2038</v>
      </c>
      <c r="C321" s="33" t="s">
        <v>31</v>
      </c>
      <c r="D321" s="34" t="s">
        <v>128</v>
      </c>
      <c r="E321" s="35" t="str">
        <f t="shared" si="78"/>
        <v>PSNP'!</v>
      </c>
      <c r="F321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1" s="32" t="s">
        <v>112</v>
      </c>
      <c r="H321" s="33"/>
      <c r="I321" s="33"/>
      <c r="J321" s="37"/>
    </row>
    <row r="322" spans="1:10" x14ac:dyDescent="0.35">
      <c r="A322" s="32" t="s">
        <v>22</v>
      </c>
      <c r="B322" s="32">
        <f t="shared" si="81"/>
        <v>2039</v>
      </c>
      <c r="C322" s="33" t="s">
        <v>31</v>
      </c>
      <c r="D322" s="34" t="s">
        <v>128</v>
      </c>
      <c r="E322" s="35" t="str">
        <f t="shared" si="78"/>
        <v>PSNP'!</v>
      </c>
      <c r="F322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2" s="32" t="s">
        <v>112</v>
      </c>
      <c r="H322" s="33"/>
      <c r="I322" s="33"/>
      <c r="J322" s="37"/>
    </row>
    <row r="323" spans="1:10" x14ac:dyDescent="0.35">
      <c r="A323" s="32" t="s">
        <v>22</v>
      </c>
      <c r="B323" s="32">
        <f t="shared" si="81"/>
        <v>2040</v>
      </c>
      <c r="C323" s="33" t="s">
        <v>31</v>
      </c>
      <c r="D323" s="34" t="s">
        <v>128</v>
      </c>
      <c r="E323" s="35" t="str">
        <f t="shared" si="78"/>
        <v>PSNP'!</v>
      </c>
      <c r="F323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3" s="32" t="s">
        <v>112</v>
      </c>
      <c r="H323" s="33"/>
      <c r="I323" s="33"/>
      <c r="J323" s="37"/>
    </row>
    <row r="324" spans="1:10" x14ac:dyDescent="0.35">
      <c r="A324" s="32" t="s">
        <v>22</v>
      </c>
      <c r="B324" s="32">
        <f>+B323+1</f>
        <v>2041</v>
      </c>
      <c r="C324" s="33" t="s">
        <v>31</v>
      </c>
      <c r="D324" s="34" t="s">
        <v>128</v>
      </c>
      <c r="E324" s="35" t="str">
        <f t="shared" si="78"/>
        <v>PSNP'!</v>
      </c>
      <c r="F324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4" s="32" t="s">
        <v>112</v>
      </c>
      <c r="H324" s="33"/>
      <c r="I324" s="33"/>
      <c r="J324" s="37"/>
    </row>
    <row r="325" spans="1:10" x14ac:dyDescent="0.35">
      <c r="A325" s="32" t="s">
        <v>22</v>
      </c>
      <c r="B325" s="32">
        <f t="shared" ref="B325:B326" si="82">+B324+1</f>
        <v>2042</v>
      </c>
      <c r="C325" s="33" t="s">
        <v>31</v>
      </c>
      <c r="D325" s="34" t="s">
        <v>128</v>
      </c>
      <c r="E325" s="35" t="str">
        <f t="shared" si="78"/>
        <v>PSNP'!</v>
      </c>
      <c r="F325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5" s="32" t="s">
        <v>112</v>
      </c>
      <c r="H325" s="33"/>
      <c r="I325" s="33"/>
      <c r="J325" s="37"/>
    </row>
    <row r="326" spans="1:10" x14ac:dyDescent="0.35">
      <c r="A326" s="32" t="s">
        <v>22</v>
      </c>
      <c r="B326" s="32">
        <f t="shared" si="82"/>
        <v>2043</v>
      </c>
      <c r="C326" s="33" t="s">
        <v>31</v>
      </c>
      <c r="D326" s="34" t="s">
        <v>128</v>
      </c>
      <c r="E326" s="35" t="str">
        <f t="shared" si="78"/>
        <v>PSNP'!</v>
      </c>
      <c r="F326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6" s="32" t="s">
        <v>112</v>
      </c>
      <c r="H326" s="33"/>
      <c r="I326" s="33"/>
      <c r="J326" s="37"/>
    </row>
    <row r="327" spans="1:10" x14ac:dyDescent="0.35">
      <c r="A327" s="32" t="s">
        <v>22</v>
      </c>
      <c r="B327" s="32">
        <f>+B326+1</f>
        <v>2044</v>
      </c>
      <c r="C327" s="33" t="s">
        <v>31</v>
      </c>
      <c r="D327" s="34" t="s">
        <v>128</v>
      </c>
      <c r="E327" s="35" t="str">
        <f t="shared" ref="E327:E342" si="83">_xlfn.CONCAT(A327,"'!")</f>
        <v>PSNP'!</v>
      </c>
      <c r="F327" s="34" t="str">
        <f t="shared" ref="F327:F342" si="84">_xlfn.CONCAT(D327:E327)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7" s="32" t="s">
        <v>112</v>
      </c>
      <c r="H327" s="33"/>
      <c r="I327" s="33"/>
      <c r="J327" s="37"/>
    </row>
    <row r="328" spans="1:10" x14ac:dyDescent="0.35">
      <c r="A328" s="32" t="s">
        <v>22</v>
      </c>
      <c r="B328" s="32">
        <f t="shared" ref="B328:B342" si="85">+B327+1</f>
        <v>2045</v>
      </c>
      <c r="C328" s="33" t="s">
        <v>31</v>
      </c>
      <c r="D328" s="34" t="s">
        <v>128</v>
      </c>
      <c r="E328" s="35" t="str">
        <f t="shared" si="83"/>
        <v>PSNP'!</v>
      </c>
      <c r="F328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8" s="32" t="s">
        <v>112</v>
      </c>
      <c r="H328" s="33"/>
      <c r="I328" s="33"/>
      <c r="J328" s="37"/>
    </row>
    <row r="329" spans="1:10" x14ac:dyDescent="0.35">
      <c r="A329" s="32" t="s">
        <v>22</v>
      </c>
      <c r="B329" s="32">
        <f t="shared" si="85"/>
        <v>2046</v>
      </c>
      <c r="C329" s="33" t="s">
        <v>31</v>
      </c>
      <c r="D329" s="34" t="s">
        <v>128</v>
      </c>
      <c r="E329" s="35" t="str">
        <f t="shared" si="83"/>
        <v>PSNP'!</v>
      </c>
      <c r="F329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9" s="32" t="s">
        <v>112</v>
      </c>
      <c r="H329" s="33"/>
      <c r="I329" s="33"/>
      <c r="J329" s="37"/>
    </row>
    <row r="330" spans="1:10" x14ac:dyDescent="0.35">
      <c r="A330" s="32" t="s">
        <v>22</v>
      </c>
      <c r="B330" s="32">
        <f t="shared" si="85"/>
        <v>2047</v>
      </c>
      <c r="C330" s="33" t="s">
        <v>31</v>
      </c>
      <c r="D330" s="34" t="s">
        <v>128</v>
      </c>
      <c r="E330" s="35" t="str">
        <f t="shared" si="83"/>
        <v>PSNP'!</v>
      </c>
      <c r="F330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30" s="32" t="s">
        <v>112</v>
      </c>
      <c r="H330" s="33"/>
      <c r="I330" s="33"/>
      <c r="J330" s="37"/>
    </row>
    <row r="331" spans="1:10" x14ac:dyDescent="0.35">
      <c r="A331" s="32" t="s">
        <v>22</v>
      </c>
      <c r="B331" s="32">
        <f t="shared" si="85"/>
        <v>2048</v>
      </c>
      <c r="C331" s="33" t="s">
        <v>31</v>
      </c>
      <c r="D331" s="34" t="s">
        <v>128</v>
      </c>
      <c r="E331" s="35" t="str">
        <f t="shared" si="83"/>
        <v>PSNP'!</v>
      </c>
      <c r="F331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31" s="32" t="s">
        <v>112</v>
      </c>
      <c r="H331" s="33"/>
      <c r="I331" s="33"/>
      <c r="J331" s="37"/>
    </row>
    <row r="332" spans="1:10" x14ac:dyDescent="0.35">
      <c r="A332" s="32" t="s">
        <v>22</v>
      </c>
      <c r="B332" s="32">
        <f t="shared" si="85"/>
        <v>2049</v>
      </c>
      <c r="C332" s="33" t="s">
        <v>31</v>
      </c>
      <c r="D332" s="34" t="s">
        <v>128</v>
      </c>
      <c r="E332" s="35" t="str">
        <f t="shared" si="83"/>
        <v>PSNP'!</v>
      </c>
      <c r="F332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32" s="32" t="s">
        <v>112</v>
      </c>
      <c r="H332" s="33"/>
      <c r="I332" s="33"/>
      <c r="J332" s="37"/>
    </row>
    <row r="333" spans="1:10" x14ac:dyDescent="0.35">
      <c r="A333" s="32" t="s">
        <v>22</v>
      </c>
      <c r="B333" s="32">
        <f t="shared" si="85"/>
        <v>2050</v>
      </c>
      <c r="C333" s="33" t="s">
        <v>31</v>
      </c>
      <c r="D333" s="34" t="s">
        <v>128</v>
      </c>
      <c r="E333" s="35" t="str">
        <f t="shared" si="83"/>
        <v>PSNP'!</v>
      </c>
      <c r="F333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33" s="32" t="s">
        <v>112</v>
      </c>
      <c r="H333" s="33"/>
      <c r="I333" s="33"/>
      <c r="J333" s="37"/>
    </row>
    <row r="334" spans="1:10" x14ac:dyDescent="0.35">
      <c r="A334" s="32" t="s">
        <v>22</v>
      </c>
      <c r="B334" s="32">
        <f t="shared" si="85"/>
        <v>2051</v>
      </c>
      <c r="C334" s="33" t="s">
        <v>31</v>
      </c>
      <c r="D334" s="34" t="s">
        <v>128</v>
      </c>
      <c r="E334" s="35" t="str">
        <f t="shared" si="83"/>
        <v>PSNP'!</v>
      </c>
      <c r="F334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34" s="32" t="s">
        <v>112</v>
      </c>
      <c r="H334" s="33"/>
      <c r="I334" s="33"/>
      <c r="J334" s="37"/>
    </row>
    <row r="335" spans="1:10" x14ac:dyDescent="0.35">
      <c r="A335" s="32" t="s">
        <v>22</v>
      </c>
      <c r="B335" s="32">
        <f t="shared" si="85"/>
        <v>2052</v>
      </c>
      <c r="C335" s="33" t="s">
        <v>31</v>
      </c>
      <c r="D335" s="34" t="s">
        <v>128</v>
      </c>
      <c r="E335" s="35" t="str">
        <f t="shared" si="83"/>
        <v>PSNP'!</v>
      </c>
      <c r="F335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35" s="32" t="s">
        <v>112</v>
      </c>
      <c r="H335" s="33"/>
      <c r="I335" s="33"/>
      <c r="J335" s="37"/>
    </row>
    <row r="336" spans="1:10" x14ac:dyDescent="0.35">
      <c r="A336" s="32" t="s">
        <v>22</v>
      </c>
      <c r="B336" s="32">
        <f t="shared" si="85"/>
        <v>2053</v>
      </c>
      <c r="C336" s="33" t="s">
        <v>31</v>
      </c>
      <c r="D336" s="34" t="s">
        <v>128</v>
      </c>
      <c r="E336" s="35" t="str">
        <f t="shared" si="83"/>
        <v>PSNP'!</v>
      </c>
      <c r="F336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36" s="32" t="s">
        <v>112</v>
      </c>
      <c r="H336" s="33"/>
      <c r="I336" s="33"/>
      <c r="J336" s="37"/>
    </row>
    <row r="337" spans="1:10" x14ac:dyDescent="0.35">
      <c r="A337" s="32" t="s">
        <v>22</v>
      </c>
      <c r="B337" s="32">
        <f t="shared" si="85"/>
        <v>2054</v>
      </c>
      <c r="C337" s="33" t="s">
        <v>31</v>
      </c>
      <c r="D337" s="34" t="s">
        <v>128</v>
      </c>
      <c r="E337" s="35" t="str">
        <f t="shared" si="83"/>
        <v>PSNP'!</v>
      </c>
      <c r="F337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37" s="32" t="s">
        <v>112</v>
      </c>
      <c r="H337" s="33"/>
      <c r="I337" s="33"/>
      <c r="J337" s="37"/>
    </row>
    <row r="338" spans="1:10" x14ac:dyDescent="0.35">
      <c r="A338" s="32" t="s">
        <v>22</v>
      </c>
      <c r="B338" s="32">
        <f t="shared" si="85"/>
        <v>2055</v>
      </c>
      <c r="C338" s="33" t="s">
        <v>31</v>
      </c>
      <c r="D338" s="34" t="s">
        <v>128</v>
      </c>
      <c r="E338" s="35" t="str">
        <f t="shared" si="83"/>
        <v>PSNP'!</v>
      </c>
      <c r="F338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38" s="32" t="s">
        <v>112</v>
      </c>
      <c r="H338" s="33"/>
      <c r="I338" s="33"/>
      <c r="J338" s="37"/>
    </row>
    <row r="339" spans="1:10" x14ac:dyDescent="0.35">
      <c r="A339" s="32" t="s">
        <v>22</v>
      </c>
      <c r="B339" s="32">
        <f t="shared" si="85"/>
        <v>2056</v>
      </c>
      <c r="C339" s="33" t="s">
        <v>31</v>
      </c>
      <c r="D339" s="34" t="s">
        <v>128</v>
      </c>
      <c r="E339" s="35" t="str">
        <f t="shared" si="83"/>
        <v>PSNP'!</v>
      </c>
      <c r="F339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39" s="32" t="s">
        <v>112</v>
      </c>
      <c r="H339" s="33"/>
      <c r="I339" s="33"/>
      <c r="J339" s="37"/>
    </row>
    <row r="340" spans="1:10" x14ac:dyDescent="0.35">
      <c r="A340" s="32" t="s">
        <v>22</v>
      </c>
      <c r="B340" s="32">
        <f t="shared" si="85"/>
        <v>2057</v>
      </c>
      <c r="C340" s="33" t="s">
        <v>31</v>
      </c>
      <c r="D340" s="34" t="s">
        <v>128</v>
      </c>
      <c r="E340" s="35" t="str">
        <f t="shared" si="83"/>
        <v>PSNP'!</v>
      </c>
      <c r="F340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40" s="32" t="s">
        <v>112</v>
      </c>
      <c r="H340" s="33"/>
      <c r="I340" s="33"/>
      <c r="J340" s="37"/>
    </row>
    <row r="341" spans="1:10" x14ac:dyDescent="0.35">
      <c r="A341" s="32" t="s">
        <v>22</v>
      </c>
      <c r="B341" s="32">
        <f t="shared" si="85"/>
        <v>2058</v>
      </c>
      <c r="C341" s="33" t="s">
        <v>31</v>
      </c>
      <c r="D341" s="34" t="s">
        <v>128</v>
      </c>
      <c r="E341" s="35" t="str">
        <f t="shared" si="83"/>
        <v>PSNP'!</v>
      </c>
      <c r="F341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41" s="32" t="s">
        <v>112</v>
      </c>
      <c r="H341" s="33"/>
      <c r="I341" s="33"/>
      <c r="J341" s="37"/>
    </row>
    <row r="342" spans="1:10" x14ac:dyDescent="0.35">
      <c r="A342" s="32" t="s">
        <v>22</v>
      </c>
      <c r="B342" s="32">
        <f t="shared" si="85"/>
        <v>2059</v>
      </c>
      <c r="C342" s="33" t="s">
        <v>31</v>
      </c>
      <c r="D342" s="34" t="s">
        <v>128</v>
      </c>
      <c r="E342" s="35" t="str">
        <f t="shared" si="83"/>
        <v>PSNP'!</v>
      </c>
      <c r="F342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42" s="32" t="s">
        <v>112</v>
      </c>
      <c r="H342" s="33"/>
      <c r="I342" s="33"/>
      <c r="J342" s="37"/>
    </row>
    <row r="343" spans="1:10" x14ac:dyDescent="0.35">
      <c r="A343" s="32" t="s">
        <v>26</v>
      </c>
      <c r="B343" s="32"/>
      <c r="C343" s="33" t="s">
        <v>31</v>
      </c>
      <c r="D343" s="34"/>
      <c r="E343" s="35" t="str">
        <f t="shared" ref="E343" si="86">_xlfn.CONCAT(A343,"'!")</f>
        <v>Total'!</v>
      </c>
      <c r="F343" s="34"/>
      <c r="G343" s="32" t="s">
        <v>112</v>
      </c>
      <c r="H343" s="33"/>
      <c r="I343" s="33"/>
      <c r="J343" s="33"/>
    </row>
    <row r="344" spans="1:10" x14ac:dyDescent="0.35">
      <c r="A344" s="32" t="s">
        <v>23</v>
      </c>
      <c r="B344" s="32">
        <v>2023</v>
      </c>
      <c r="C344" s="33" t="s">
        <v>31</v>
      </c>
      <c r="D344" s="34" t="s">
        <v>128</v>
      </c>
      <c r="E344" s="35" t="str">
        <f t="shared" ref="E344:E364" si="87">_xlfn.CONCAT(A344,"'!")</f>
        <v>PSND'!</v>
      </c>
      <c r="F344" s="34" t="str">
        <f t="shared" ref="F344:F364" si="88">_xlfn.CONCAT(D344:E344)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44" s="32" t="s">
        <v>112</v>
      </c>
      <c r="H344" s="33"/>
      <c r="I344" s="33"/>
      <c r="J344" s="37"/>
    </row>
    <row r="345" spans="1:10" x14ac:dyDescent="0.35">
      <c r="A345" s="32" t="s">
        <v>23</v>
      </c>
      <c r="B345" s="32">
        <f>+B344+1</f>
        <v>2024</v>
      </c>
      <c r="C345" s="33" t="s">
        <v>31</v>
      </c>
      <c r="D345" s="34" t="s">
        <v>128</v>
      </c>
      <c r="E345" s="35" t="str">
        <f t="shared" si="87"/>
        <v>PSND'!</v>
      </c>
      <c r="F345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45" s="32" t="s">
        <v>112</v>
      </c>
      <c r="H345" s="33"/>
      <c r="I345" s="33"/>
      <c r="J345" s="37"/>
    </row>
    <row r="346" spans="1:10" x14ac:dyDescent="0.35">
      <c r="A346" s="32" t="s">
        <v>23</v>
      </c>
      <c r="B346" s="32">
        <f t="shared" ref="B346:B357" si="89">+B345+1</f>
        <v>2025</v>
      </c>
      <c r="C346" s="33" t="s">
        <v>31</v>
      </c>
      <c r="D346" s="34" t="s">
        <v>128</v>
      </c>
      <c r="E346" s="35" t="str">
        <f t="shared" si="87"/>
        <v>PSND'!</v>
      </c>
      <c r="F346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46" s="32" t="s">
        <v>112</v>
      </c>
      <c r="H346" s="33"/>
      <c r="I346" s="33"/>
      <c r="J346" s="37"/>
    </row>
    <row r="347" spans="1:10" x14ac:dyDescent="0.35">
      <c r="A347" s="32" t="s">
        <v>23</v>
      </c>
      <c r="B347" s="32">
        <f t="shared" si="89"/>
        <v>2026</v>
      </c>
      <c r="C347" s="33" t="s">
        <v>31</v>
      </c>
      <c r="D347" s="34" t="s">
        <v>128</v>
      </c>
      <c r="E347" s="35" t="str">
        <f t="shared" si="87"/>
        <v>PSND'!</v>
      </c>
      <c r="F347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47" s="32" t="s">
        <v>112</v>
      </c>
      <c r="H347" s="33"/>
      <c r="I347" s="33"/>
      <c r="J347" s="37"/>
    </row>
    <row r="348" spans="1:10" x14ac:dyDescent="0.35">
      <c r="A348" s="32" t="s">
        <v>23</v>
      </c>
      <c r="B348" s="32">
        <f t="shared" si="89"/>
        <v>2027</v>
      </c>
      <c r="C348" s="33" t="s">
        <v>31</v>
      </c>
      <c r="D348" s="34" t="s">
        <v>128</v>
      </c>
      <c r="E348" s="35" t="str">
        <f t="shared" si="87"/>
        <v>PSND'!</v>
      </c>
      <c r="F348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48" s="32" t="s">
        <v>112</v>
      </c>
      <c r="H348" s="33"/>
      <c r="I348" s="33"/>
      <c r="J348" s="37"/>
    </row>
    <row r="349" spans="1:10" x14ac:dyDescent="0.35">
      <c r="A349" s="32" t="s">
        <v>23</v>
      </c>
      <c r="B349" s="32">
        <f t="shared" si="89"/>
        <v>2028</v>
      </c>
      <c r="C349" s="33" t="s">
        <v>31</v>
      </c>
      <c r="D349" s="34" t="s">
        <v>128</v>
      </c>
      <c r="E349" s="35" t="str">
        <f t="shared" si="87"/>
        <v>PSND'!</v>
      </c>
      <c r="F349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49" s="32" t="s">
        <v>112</v>
      </c>
      <c r="H349" s="33"/>
      <c r="I349" s="33"/>
      <c r="J349" s="37"/>
    </row>
    <row r="350" spans="1:10" x14ac:dyDescent="0.35">
      <c r="A350" s="32" t="s">
        <v>23</v>
      </c>
      <c r="B350" s="32">
        <f t="shared" si="89"/>
        <v>2029</v>
      </c>
      <c r="C350" s="33" t="s">
        <v>31</v>
      </c>
      <c r="D350" s="34" t="s">
        <v>128</v>
      </c>
      <c r="E350" s="35" t="str">
        <f t="shared" si="87"/>
        <v>PSND'!</v>
      </c>
      <c r="F350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50" s="32" t="s">
        <v>112</v>
      </c>
      <c r="H350" s="33"/>
      <c r="I350" s="33"/>
      <c r="J350" s="37"/>
    </row>
    <row r="351" spans="1:10" x14ac:dyDescent="0.35">
      <c r="A351" s="32" t="s">
        <v>23</v>
      </c>
      <c r="B351" s="32">
        <f t="shared" si="89"/>
        <v>2030</v>
      </c>
      <c r="C351" s="33" t="s">
        <v>31</v>
      </c>
      <c r="D351" s="34" t="s">
        <v>128</v>
      </c>
      <c r="E351" s="35" t="str">
        <f t="shared" si="87"/>
        <v>PSND'!</v>
      </c>
      <c r="F351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51" s="32" t="s">
        <v>112</v>
      </c>
      <c r="H351" s="33"/>
      <c r="I351" s="33"/>
      <c r="J351" s="37"/>
    </row>
    <row r="352" spans="1:10" x14ac:dyDescent="0.35">
      <c r="A352" s="32" t="s">
        <v>23</v>
      </c>
      <c r="B352" s="32">
        <f t="shared" si="89"/>
        <v>2031</v>
      </c>
      <c r="C352" s="33" t="s">
        <v>31</v>
      </c>
      <c r="D352" s="34" t="s">
        <v>128</v>
      </c>
      <c r="E352" s="35" t="str">
        <f t="shared" si="87"/>
        <v>PSND'!</v>
      </c>
      <c r="F352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52" s="32" t="s">
        <v>112</v>
      </c>
      <c r="H352" s="33"/>
      <c r="I352" s="33"/>
      <c r="J352" s="37"/>
    </row>
    <row r="353" spans="1:10" x14ac:dyDescent="0.35">
      <c r="A353" s="32" t="s">
        <v>23</v>
      </c>
      <c r="B353" s="32">
        <f t="shared" si="89"/>
        <v>2032</v>
      </c>
      <c r="C353" s="33" t="s">
        <v>31</v>
      </c>
      <c r="D353" s="34" t="s">
        <v>128</v>
      </c>
      <c r="E353" s="35" t="str">
        <f t="shared" si="87"/>
        <v>PSND'!</v>
      </c>
      <c r="F353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53" s="32" t="s">
        <v>112</v>
      </c>
      <c r="H353" s="33"/>
      <c r="I353" s="33"/>
      <c r="J353" s="37"/>
    </row>
    <row r="354" spans="1:10" x14ac:dyDescent="0.35">
      <c r="A354" s="32" t="s">
        <v>23</v>
      </c>
      <c r="B354" s="32">
        <f t="shared" si="89"/>
        <v>2033</v>
      </c>
      <c r="C354" s="33" t="s">
        <v>31</v>
      </c>
      <c r="D354" s="34" t="s">
        <v>128</v>
      </c>
      <c r="E354" s="35" t="str">
        <f t="shared" si="87"/>
        <v>PSND'!</v>
      </c>
      <c r="F354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54" s="32" t="s">
        <v>112</v>
      </c>
      <c r="H354" s="33"/>
      <c r="I354" s="33"/>
      <c r="J354" s="37"/>
    </row>
    <row r="355" spans="1:10" x14ac:dyDescent="0.35">
      <c r="A355" s="32" t="s">
        <v>23</v>
      </c>
      <c r="B355" s="32">
        <f t="shared" si="89"/>
        <v>2034</v>
      </c>
      <c r="C355" s="33" t="s">
        <v>31</v>
      </c>
      <c r="D355" s="34" t="s">
        <v>128</v>
      </c>
      <c r="E355" s="35" t="str">
        <f t="shared" si="87"/>
        <v>PSND'!</v>
      </c>
      <c r="F355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55" s="32" t="s">
        <v>112</v>
      </c>
      <c r="H355" s="33"/>
      <c r="I355" s="33"/>
      <c r="J355" s="37"/>
    </row>
    <row r="356" spans="1:10" x14ac:dyDescent="0.35">
      <c r="A356" s="32" t="s">
        <v>23</v>
      </c>
      <c r="B356" s="32">
        <f t="shared" si="89"/>
        <v>2035</v>
      </c>
      <c r="C356" s="33" t="s">
        <v>31</v>
      </c>
      <c r="D356" s="34" t="s">
        <v>128</v>
      </c>
      <c r="E356" s="35" t="str">
        <f t="shared" si="87"/>
        <v>PSND'!</v>
      </c>
      <c r="F356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56" s="32" t="s">
        <v>112</v>
      </c>
      <c r="H356" s="33"/>
      <c r="I356" s="33"/>
      <c r="J356" s="37"/>
    </row>
    <row r="357" spans="1:10" x14ac:dyDescent="0.35">
      <c r="A357" s="32" t="s">
        <v>23</v>
      </c>
      <c r="B357" s="32">
        <f t="shared" si="89"/>
        <v>2036</v>
      </c>
      <c r="C357" s="33" t="s">
        <v>31</v>
      </c>
      <c r="D357" s="34" t="s">
        <v>128</v>
      </c>
      <c r="E357" s="35" t="str">
        <f t="shared" si="87"/>
        <v>PSND'!</v>
      </c>
      <c r="F357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57" s="32" t="s">
        <v>112</v>
      </c>
      <c r="H357" s="33"/>
      <c r="I357" s="33"/>
      <c r="J357" s="37"/>
    </row>
    <row r="358" spans="1:10" x14ac:dyDescent="0.35">
      <c r="A358" s="32" t="s">
        <v>23</v>
      </c>
      <c r="B358" s="32">
        <f>+B357+1</f>
        <v>2037</v>
      </c>
      <c r="C358" s="33" t="s">
        <v>31</v>
      </c>
      <c r="D358" s="34" t="s">
        <v>128</v>
      </c>
      <c r="E358" s="35" t="str">
        <f t="shared" si="87"/>
        <v>PSND'!</v>
      </c>
      <c r="F358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58" s="32" t="s">
        <v>112</v>
      </c>
      <c r="H358" s="33"/>
      <c r="I358" s="33"/>
      <c r="J358" s="37"/>
    </row>
    <row r="359" spans="1:10" x14ac:dyDescent="0.35">
      <c r="A359" s="32" t="s">
        <v>23</v>
      </c>
      <c r="B359" s="32">
        <f t="shared" ref="B359:B361" si="90">+B358+1</f>
        <v>2038</v>
      </c>
      <c r="C359" s="33" t="s">
        <v>31</v>
      </c>
      <c r="D359" s="34" t="s">
        <v>128</v>
      </c>
      <c r="E359" s="35" t="str">
        <f t="shared" si="87"/>
        <v>PSND'!</v>
      </c>
      <c r="F359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59" s="32" t="s">
        <v>112</v>
      </c>
      <c r="H359" s="33"/>
      <c r="I359" s="33"/>
      <c r="J359" s="37"/>
    </row>
    <row r="360" spans="1:10" x14ac:dyDescent="0.35">
      <c r="A360" s="32" t="s">
        <v>23</v>
      </c>
      <c r="B360" s="32">
        <f t="shared" si="90"/>
        <v>2039</v>
      </c>
      <c r="C360" s="33" t="s">
        <v>31</v>
      </c>
      <c r="D360" s="34" t="s">
        <v>128</v>
      </c>
      <c r="E360" s="35" t="str">
        <f t="shared" si="87"/>
        <v>PSND'!</v>
      </c>
      <c r="F360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0" s="32" t="s">
        <v>112</v>
      </c>
      <c r="H360" s="33"/>
      <c r="I360" s="33"/>
      <c r="J360" s="37"/>
    </row>
    <row r="361" spans="1:10" x14ac:dyDescent="0.35">
      <c r="A361" s="32" t="s">
        <v>23</v>
      </c>
      <c r="B361" s="32">
        <f t="shared" si="90"/>
        <v>2040</v>
      </c>
      <c r="C361" s="33" t="s">
        <v>31</v>
      </c>
      <c r="D361" s="34" t="s">
        <v>128</v>
      </c>
      <c r="E361" s="35" t="str">
        <f t="shared" si="87"/>
        <v>PSND'!</v>
      </c>
      <c r="F361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1" s="32" t="s">
        <v>112</v>
      </c>
      <c r="H361" s="33"/>
      <c r="I361" s="33"/>
      <c r="J361" s="37"/>
    </row>
    <row r="362" spans="1:10" x14ac:dyDescent="0.35">
      <c r="A362" s="32" t="s">
        <v>23</v>
      </c>
      <c r="B362" s="32">
        <f>+B361+1</f>
        <v>2041</v>
      </c>
      <c r="C362" s="33" t="s">
        <v>31</v>
      </c>
      <c r="D362" s="34" t="s">
        <v>128</v>
      </c>
      <c r="E362" s="35" t="str">
        <f t="shared" si="87"/>
        <v>PSND'!</v>
      </c>
      <c r="F362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2" s="32" t="s">
        <v>112</v>
      </c>
      <c r="H362" s="33"/>
      <c r="I362" s="33"/>
      <c r="J362" s="37"/>
    </row>
    <row r="363" spans="1:10" x14ac:dyDescent="0.35">
      <c r="A363" s="32" t="s">
        <v>23</v>
      </c>
      <c r="B363" s="32">
        <f t="shared" ref="B363:B364" si="91">+B362+1</f>
        <v>2042</v>
      </c>
      <c r="C363" s="33" t="s">
        <v>31</v>
      </c>
      <c r="D363" s="34" t="s">
        <v>128</v>
      </c>
      <c r="E363" s="35" t="str">
        <f t="shared" si="87"/>
        <v>PSND'!</v>
      </c>
      <c r="F363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3" s="32" t="s">
        <v>112</v>
      </c>
      <c r="H363" s="33"/>
      <c r="I363" s="33"/>
      <c r="J363" s="37"/>
    </row>
    <row r="364" spans="1:10" x14ac:dyDescent="0.35">
      <c r="A364" s="32" t="s">
        <v>23</v>
      </c>
      <c r="B364" s="32">
        <f t="shared" si="91"/>
        <v>2043</v>
      </c>
      <c r="C364" s="33" t="s">
        <v>31</v>
      </c>
      <c r="D364" s="34" t="s">
        <v>128</v>
      </c>
      <c r="E364" s="35" t="str">
        <f t="shared" si="87"/>
        <v>PSND'!</v>
      </c>
      <c r="F364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4" s="32" t="s">
        <v>112</v>
      </c>
      <c r="H364" s="33"/>
      <c r="I364" s="33"/>
      <c r="J364" s="37"/>
    </row>
    <row r="365" spans="1:10" x14ac:dyDescent="0.35">
      <c r="A365" s="32" t="s">
        <v>23</v>
      </c>
      <c r="B365" s="32">
        <f>+B364+1</f>
        <v>2044</v>
      </c>
      <c r="C365" s="33" t="s">
        <v>31</v>
      </c>
      <c r="D365" s="34" t="s">
        <v>128</v>
      </c>
      <c r="E365" s="35" t="str">
        <f t="shared" ref="E365:E380" si="92">_xlfn.CONCAT(A365,"'!")</f>
        <v>PSND'!</v>
      </c>
      <c r="F365" s="34" t="str">
        <f t="shared" ref="F365:F380" si="93">_xlfn.CONCAT(D365:E365)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5" s="32" t="s">
        <v>112</v>
      </c>
      <c r="H365" s="33"/>
      <c r="I365" s="33"/>
      <c r="J365" s="37"/>
    </row>
    <row r="366" spans="1:10" x14ac:dyDescent="0.35">
      <c r="A366" s="32" t="s">
        <v>23</v>
      </c>
      <c r="B366" s="32">
        <f t="shared" ref="B366:B380" si="94">+B365+1</f>
        <v>2045</v>
      </c>
      <c r="C366" s="33" t="s">
        <v>31</v>
      </c>
      <c r="D366" s="34" t="s">
        <v>128</v>
      </c>
      <c r="E366" s="35" t="str">
        <f t="shared" si="92"/>
        <v>PSND'!</v>
      </c>
      <c r="F366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6" s="32" t="s">
        <v>112</v>
      </c>
      <c r="H366" s="33"/>
      <c r="I366" s="33"/>
      <c r="J366" s="37"/>
    </row>
    <row r="367" spans="1:10" x14ac:dyDescent="0.35">
      <c r="A367" s="32" t="s">
        <v>23</v>
      </c>
      <c r="B367" s="32">
        <f t="shared" si="94"/>
        <v>2046</v>
      </c>
      <c r="C367" s="33" t="s">
        <v>31</v>
      </c>
      <c r="D367" s="34" t="s">
        <v>128</v>
      </c>
      <c r="E367" s="35" t="str">
        <f t="shared" si="92"/>
        <v>PSND'!</v>
      </c>
      <c r="F367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7" s="32" t="s">
        <v>112</v>
      </c>
      <c r="H367" s="33"/>
      <c r="I367" s="33"/>
      <c r="J367" s="37"/>
    </row>
    <row r="368" spans="1:10" x14ac:dyDescent="0.35">
      <c r="A368" s="32" t="s">
        <v>23</v>
      </c>
      <c r="B368" s="32">
        <f t="shared" si="94"/>
        <v>2047</v>
      </c>
      <c r="C368" s="33" t="s">
        <v>31</v>
      </c>
      <c r="D368" s="34" t="s">
        <v>128</v>
      </c>
      <c r="E368" s="35" t="str">
        <f t="shared" si="92"/>
        <v>PSND'!</v>
      </c>
      <c r="F368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8" s="32" t="s">
        <v>112</v>
      </c>
      <c r="H368" s="33"/>
      <c r="I368" s="33"/>
      <c r="J368" s="37"/>
    </row>
    <row r="369" spans="1:10" x14ac:dyDescent="0.35">
      <c r="A369" s="32" t="s">
        <v>23</v>
      </c>
      <c r="B369" s="32">
        <f t="shared" si="94"/>
        <v>2048</v>
      </c>
      <c r="C369" s="33" t="s">
        <v>31</v>
      </c>
      <c r="D369" s="34" t="s">
        <v>128</v>
      </c>
      <c r="E369" s="35" t="str">
        <f t="shared" si="92"/>
        <v>PSND'!</v>
      </c>
      <c r="F369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9" s="32" t="s">
        <v>112</v>
      </c>
      <c r="H369" s="33"/>
      <c r="I369" s="33"/>
      <c r="J369" s="37"/>
    </row>
    <row r="370" spans="1:10" x14ac:dyDescent="0.35">
      <c r="A370" s="32" t="s">
        <v>23</v>
      </c>
      <c r="B370" s="32">
        <f t="shared" si="94"/>
        <v>2049</v>
      </c>
      <c r="C370" s="33" t="s">
        <v>31</v>
      </c>
      <c r="D370" s="34" t="s">
        <v>128</v>
      </c>
      <c r="E370" s="35" t="str">
        <f t="shared" si="92"/>
        <v>PSND'!</v>
      </c>
      <c r="F370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0" s="32" t="s">
        <v>112</v>
      </c>
      <c r="H370" s="33"/>
      <c r="I370" s="33"/>
      <c r="J370" s="37"/>
    </row>
    <row r="371" spans="1:10" x14ac:dyDescent="0.35">
      <c r="A371" s="32" t="s">
        <v>23</v>
      </c>
      <c r="B371" s="32">
        <f t="shared" si="94"/>
        <v>2050</v>
      </c>
      <c r="C371" s="33" t="s">
        <v>31</v>
      </c>
      <c r="D371" s="34" t="s">
        <v>128</v>
      </c>
      <c r="E371" s="35" t="str">
        <f t="shared" si="92"/>
        <v>PSND'!</v>
      </c>
      <c r="F371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1" s="32" t="s">
        <v>112</v>
      </c>
      <c r="H371" s="33"/>
      <c r="I371" s="33"/>
      <c r="J371" s="37"/>
    </row>
    <row r="372" spans="1:10" x14ac:dyDescent="0.35">
      <c r="A372" s="32" t="s">
        <v>23</v>
      </c>
      <c r="B372" s="32">
        <f t="shared" si="94"/>
        <v>2051</v>
      </c>
      <c r="C372" s="33" t="s">
        <v>31</v>
      </c>
      <c r="D372" s="34" t="s">
        <v>128</v>
      </c>
      <c r="E372" s="35" t="str">
        <f t="shared" si="92"/>
        <v>PSND'!</v>
      </c>
      <c r="F372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2" s="32" t="s">
        <v>112</v>
      </c>
      <c r="H372" s="33"/>
      <c r="I372" s="33"/>
      <c r="J372" s="37"/>
    </row>
    <row r="373" spans="1:10" x14ac:dyDescent="0.35">
      <c r="A373" s="32" t="s">
        <v>23</v>
      </c>
      <c r="B373" s="32">
        <f t="shared" si="94"/>
        <v>2052</v>
      </c>
      <c r="C373" s="33" t="s">
        <v>31</v>
      </c>
      <c r="D373" s="34" t="s">
        <v>128</v>
      </c>
      <c r="E373" s="35" t="str">
        <f t="shared" si="92"/>
        <v>PSND'!</v>
      </c>
      <c r="F373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3" s="32" t="s">
        <v>112</v>
      </c>
      <c r="H373" s="33"/>
      <c r="I373" s="33"/>
      <c r="J373" s="37"/>
    </row>
    <row r="374" spans="1:10" x14ac:dyDescent="0.35">
      <c r="A374" s="32" t="s">
        <v>23</v>
      </c>
      <c r="B374" s="32">
        <f t="shared" si="94"/>
        <v>2053</v>
      </c>
      <c r="C374" s="33" t="s">
        <v>31</v>
      </c>
      <c r="D374" s="34" t="s">
        <v>128</v>
      </c>
      <c r="E374" s="35" t="str">
        <f t="shared" si="92"/>
        <v>PSND'!</v>
      </c>
      <c r="F374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4" s="32" t="s">
        <v>112</v>
      </c>
      <c r="H374" s="33"/>
      <c r="I374" s="33"/>
      <c r="J374" s="37"/>
    </row>
    <row r="375" spans="1:10" x14ac:dyDescent="0.35">
      <c r="A375" s="32" t="s">
        <v>23</v>
      </c>
      <c r="B375" s="32">
        <f t="shared" si="94"/>
        <v>2054</v>
      </c>
      <c r="C375" s="33" t="s">
        <v>31</v>
      </c>
      <c r="D375" s="34" t="s">
        <v>128</v>
      </c>
      <c r="E375" s="35" t="str">
        <f t="shared" si="92"/>
        <v>PSND'!</v>
      </c>
      <c r="F375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5" s="32" t="s">
        <v>112</v>
      </c>
      <c r="H375" s="33"/>
      <c r="I375" s="33"/>
      <c r="J375" s="37"/>
    </row>
    <row r="376" spans="1:10" x14ac:dyDescent="0.35">
      <c r="A376" s="32" t="s">
        <v>23</v>
      </c>
      <c r="B376" s="32">
        <f t="shared" si="94"/>
        <v>2055</v>
      </c>
      <c r="C376" s="33" t="s">
        <v>31</v>
      </c>
      <c r="D376" s="34" t="s">
        <v>128</v>
      </c>
      <c r="E376" s="35" t="str">
        <f t="shared" si="92"/>
        <v>PSND'!</v>
      </c>
      <c r="F376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6" s="32" t="s">
        <v>112</v>
      </c>
      <c r="H376" s="33"/>
      <c r="I376" s="33"/>
      <c r="J376" s="37"/>
    </row>
    <row r="377" spans="1:10" x14ac:dyDescent="0.35">
      <c r="A377" s="32" t="s">
        <v>23</v>
      </c>
      <c r="B377" s="32">
        <f t="shared" si="94"/>
        <v>2056</v>
      </c>
      <c r="C377" s="33" t="s">
        <v>31</v>
      </c>
      <c r="D377" s="34" t="s">
        <v>128</v>
      </c>
      <c r="E377" s="35" t="str">
        <f t="shared" si="92"/>
        <v>PSND'!</v>
      </c>
      <c r="F377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7" s="32" t="s">
        <v>112</v>
      </c>
      <c r="H377" s="33"/>
      <c r="I377" s="33"/>
      <c r="J377" s="37"/>
    </row>
    <row r="378" spans="1:10" x14ac:dyDescent="0.35">
      <c r="A378" s="32" t="s">
        <v>23</v>
      </c>
      <c r="B378" s="32">
        <f t="shared" si="94"/>
        <v>2057</v>
      </c>
      <c r="C378" s="33" t="s">
        <v>31</v>
      </c>
      <c r="D378" s="34" t="s">
        <v>128</v>
      </c>
      <c r="E378" s="35" t="str">
        <f t="shared" si="92"/>
        <v>PSND'!</v>
      </c>
      <c r="F378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8" s="32" t="s">
        <v>112</v>
      </c>
      <c r="H378" s="33"/>
      <c r="I378" s="33"/>
      <c r="J378" s="37"/>
    </row>
    <row r="379" spans="1:10" x14ac:dyDescent="0.35">
      <c r="A379" s="32" t="s">
        <v>23</v>
      </c>
      <c r="B379" s="32">
        <f t="shared" si="94"/>
        <v>2058</v>
      </c>
      <c r="C379" s="33" t="s">
        <v>31</v>
      </c>
      <c r="D379" s="34" t="s">
        <v>128</v>
      </c>
      <c r="E379" s="35" t="str">
        <f t="shared" si="92"/>
        <v>PSND'!</v>
      </c>
      <c r="F379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9" s="32" t="s">
        <v>112</v>
      </c>
      <c r="H379" s="33"/>
      <c r="I379" s="33"/>
      <c r="J379" s="37"/>
    </row>
    <row r="380" spans="1:10" x14ac:dyDescent="0.35">
      <c r="A380" s="32" t="s">
        <v>23</v>
      </c>
      <c r="B380" s="32">
        <f t="shared" si="94"/>
        <v>2059</v>
      </c>
      <c r="C380" s="33" t="s">
        <v>31</v>
      </c>
      <c r="D380" s="34" t="s">
        <v>128</v>
      </c>
      <c r="E380" s="35" t="str">
        <f t="shared" si="92"/>
        <v>PSND'!</v>
      </c>
      <c r="F380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80" s="32" t="s">
        <v>112</v>
      </c>
      <c r="H380" s="33"/>
      <c r="I380" s="33"/>
      <c r="J380" s="37"/>
    </row>
    <row r="381" spans="1:10" x14ac:dyDescent="0.35">
      <c r="A381" s="32" t="s">
        <v>26</v>
      </c>
      <c r="B381" s="32"/>
      <c r="C381" s="33" t="s">
        <v>31</v>
      </c>
      <c r="D381" s="34"/>
      <c r="E381" s="35"/>
      <c r="F381" s="34"/>
      <c r="G381" s="32"/>
      <c r="H381" s="33"/>
      <c r="I381" s="33"/>
      <c r="J381" s="33"/>
    </row>
    <row r="382" spans="1:10" x14ac:dyDescent="0.35">
      <c r="A382" s="32" t="s">
        <v>24</v>
      </c>
      <c r="B382" s="32">
        <v>2023</v>
      </c>
      <c r="C382" s="33" t="s">
        <v>31</v>
      </c>
      <c r="D382" s="34" t="s">
        <v>128</v>
      </c>
      <c r="E382" s="35" t="str">
        <f t="shared" si="29"/>
        <v>PS'!</v>
      </c>
      <c r="F382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82" s="32" t="s">
        <v>112</v>
      </c>
      <c r="H382" s="33">
        <v>12</v>
      </c>
      <c r="I382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ECP\Cantagallo\Cristalina\[CRISTALINA_CF_SEC_New_09-Feb-2024.xlsx]D-PS'!$BB$12</v>
      </c>
      <c r="J382" s="37" t="s">
        <v>277</v>
      </c>
    </row>
    <row r="383" spans="1:10" x14ac:dyDescent="0.35">
      <c r="A383" s="32" t="s">
        <v>24</v>
      </c>
      <c r="B383" s="32">
        <f>+B382+1</f>
        <v>2024</v>
      </c>
      <c r="C383" s="33" t="s">
        <v>31</v>
      </c>
      <c r="D383" s="34" t="s">
        <v>128</v>
      </c>
      <c r="E383" s="35" t="str">
        <f t="shared" si="29"/>
        <v>PS'!</v>
      </c>
      <c r="F383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83" s="32" t="s">
        <v>112</v>
      </c>
      <c r="H383" s="33">
        <f>IF(A383&lt;&gt;A382,12,H382+1)</f>
        <v>13</v>
      </c>
      <c r="I383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ECP\Cantagallo\Cristalina\[CRISTALINA_CF_SEC_New_09-Feb-2024.xlsx]D-PS'!$BB$13</v>
      </c>
      <c r="J383" s="37" t="s">
        <v>278</v>
      </c>
    </row>
    <row r="384" spans="1:10" x14ac:dyDescent="0.35">
      <c r="A384" s="32" t="s">
        <v>24</v>
      </c>
      <c r="B384" s="32">
        <f t="shared" ref="B384:B395" si="95">+B383+1</f>
        <v>2025</v>
      </c>
      <c r="C384" s="33" t="s">
        <v>31</v>
      </c>
      <c r="D384" s="34" t="s">
        <v>128</v>
      </c>
      <c r="E384" s="35" t="str">
        <f t="shared" si="29"/>
        <v>PS'!</v>
      </c>
      <c r="F384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84" s="32" t="s">
        <v>112</v>
      </c>
      <c r="H384" s="33">
        <f t="shared" ref="H384:H402" si="96">IF(A384&lt;&gt;A383,12,H383+1)</f>
        <v>14</v>
      </c>
      <c r="I384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ECP\Cantagallo\Cristalina\[CRISTALINA_CF_SEC_New_09-Feb-2024.xlsx]D-PS'!$BB$14</v>
      </c>
      <c r="J384" s="37" t="s">
        <v>279</v>
      </c>
    </row>
    <row r="385" spans="1:10" x14ac:dyDescent="0.35">
      <c r="A385" s="32" t="s">
        <v>24</v>
      </c>
      <c r="B385" s="32">
        <f t="shared" si="95"/>
        <v>2026</v>
      </c>
      <c r="C385" s="33" t="s">
        <v>31</v>
      </c>
      <c r="D385" s="34" t="s">
        <v>128</v>
      </c>
      <c r="E385" s="35" t="str">
        <f t="shared" si="29"/>
        <v>PS'!</v>
      </c>
      <c r="F385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85" s="32" t="s">
        <v>112</v>
      </c>
      <c r="H385" s="33">
        <f t="shared" si="96"/>
        <v>15</v>
      </c>
      <c r="I385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ECP\Cantagallo\Cristalina\[CRISTALINA_CF_SEC_New_09-Feb-2024.xlsx]D-PS'!$BB$15</v>
      </c>
      <c r="J385" s="37" t="s">
        <v>280</v>
      </c>
    </row>
    <row r="386" spans="1:10" x14ac:dyDescent="0.35">
      <c r="A386" s="32" t="s">
        <v>24</v>
      </c>
      <c r="B386" s="32">
        <f t="shared" si="95"/>
        <v>2027</v>
      </c>
      <c r="C386" s="33" t="s">
        <v>31</v>
      </c>
      <c r="D386" s="34" t="s">
        <v>128</v>
      </c>
      <c r="E386" s="35" t="str">
        <f t="shared" si="29"/>
        <v>PS'!</v>
      </c>
      <c r="F386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86" s="32" t="s">
        <v>112</v>
      </c>
      <c r="H386" s="33">
        <f t="shared" si="96"/>
        <v>16</v>
      </c>
      <c r="I386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ECP\Cantagallo\Cristalina\[CRISTALINA_CF_SEC_New_09-Feb-2024.xlsx]D-PS'!$BB$16</v>
      </c>
      <c r="J386" s="37" t="s">
        <v>281</v>
      </c>
    </row>
    <row r="387" spans="1:10" x14ac:dyDescent="0.35">
      <c r="A387" s="32" t="s">
        <v>24</v>
      </c>
      <c r="B387" s="32">
        <f t="shared" si="95"/>
        <v>2028</v>
      </c>
      <c r="C387" s="33" t="s">
        <v>31</v>
      </c>
      <c r="D387" s="34" t="s">
        <v>128</v>
      </c>
      <c r="E387" s="35" t="str">
        <f t="shared" si="29"/>
        <v>PS'!</v>
      </c>
      <c r="F387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87" s="32" t="s">
        <v>112</v>
      </c>
      <c r="H387" s="33">
        <f t="shared" si="96"/>
        <v>17</v>
      </c>
      <c r="I387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ECP\Cantagallo\Cristalina\[CRISTALINA_CF_SEC_New_09-Feb-2024.xlsx]D-PS'!$BB$17</v>
      </c>
      <c r="J387" s="37" t="s">
        <v>282</v>
      </c>
    </row>
    <row r="388" spans="1:10" x14ac:dyDescent="0.35">
      <c r="A388" s="32" t="s">
        <v>24</v>
      </c>
      <c r="B388" s="32">
        <f t="shared" si="95"/>
        <v>2029</v>
      </c>
      <c r="C388" s="33" t="s">
        <v>31</v>
      </c>
      <c r="D388" s="34" t="s">
        <v>128</v>
      </c>
      <c r="E388" s="35" t="str">
        <f t="shared" si="29"/>
        <v>PS'!</v>
      </c>
      <c r="F388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88" s="32" t="s">
        <v>112</v>
      </c>
      <c r="H388" s="33">
        <f t="shared" si="96"/>
        <v>18</v>
      </c>
      <c r="I388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ECP\Cantagallo\Cristalina\[CRISTALINA_CF_SEC_New_09-Feb-2024.xlsx]D-PS'!$BB$18</v>
      </c>
      <c r="J388" s="37" t="s">
        <v>283</v>
      </c>
    </row>
    <row r="389" spans="1:10" x14ac:dyDescent="0.35">
      <c r="A389" s="32" t="s">
        <v>24</v>
      </c>
      <c r="B389" s="32">
        <f t="shared" si="95"/>
        <v>2030</v>
      </c>
      <c r="C389" s="33" t="s">
        <v>31</v>
      </c>
      <c r="D389" s="34" t="s">
        <v>128</v>
      </c>
      <c r="E389" s="35" t="str">
        <f t="shared" si="29"/>
        <v>PS'!</v>
      </c>
      <c r="F389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89" s="32" t="s">
        <v>112</v>
      </c>
      <c r="H389" s="33">
        <f t="shared" si="96"/>
        <v>19</v>
      </c>
      <c r="I389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ECP\Cantagallo\Cristalina\[CRISTALINA_CF_SEC_New_09-Feb-2024.xlsx]D-PS'!$BB$19</v>
      </c>
      <c r="J389" s="37" t="s">
        <v>284</v>
      </c>
    </row>
    <row r="390" spans="1:10" x14ac:dyDescent="0.35">
      <c r="A390" s="32" t="s">
        <v>24</v>
      </c>
      <c r="B390" s="32">
        <f t="shared" si="95"/>
        <v>2031</v>
      </c>
      <c r="C390" s="33" t="s">
        <v>31</v>
      </c>
      <c r="D390" s="34" t="s">
        <v>128</v>
      </c>
      <c r="E390" s="35" t="str">
        <f t="shared" si="29"/>
        <v>PS'!</v>
      </c>
      <c r="F390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90" s="32" t="s">
        <v>112</v>
      </c>
      <c r="H390" s="33">
        <f t="shared" si="96"/>
        <v>20</v>
      </c>
      <c r="I390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ECP\Cantagallo\Cristalina\[CRISTALINA_CF_SEC_New_09-Feb-2024.xlsx]D-PS'!$BB$20</v>
      </c>
      <c r="J390" s="37" t="s">
        <v>285</v>
      </c>
    </row>
    <row r="391" spans="1:10" x14ac:dyDescent="0.35">
      <c r="A391" s="32" t="s">
        <v>24</v>
      </c>
      <c r="B391" s="32">
        <f t="shared" si="95"/>
        <v>2032</v>
      </c>
      <c r="C391" s="33" t="s">
        <v>31</v>
      </c>
      <c r="D391" s="34" t="s">
        <v>128</v>
      </c>
      <c r="E391" s="35" t="str">
        <f t="shared" si="29"/>
        <v>PS'!</v>
      </c>
      <c r="F391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91" s="32" t="s">
        <v>112</v>
      </c>
      <c r="H391" s="33">
        <f t="shared" si="96"/>
        <v>21</v>
      </c>
      <c r="I391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ECP\Cantagallo\Cristalina\[CRISTALINA_CF_SEC_New_09-Feb-2024.xlsx]D-PS'!$BB$21</v>
      </c>
      <c r="J391" s="37" t="s">
        <v>286</v>
      </c>
    </row>
    <row r="392" spans="1:10" x14ac:dyDescent="0.35">
      <c r="A392" s="32" t="s">
        <v>24</v>
      </c>
      <c r="B392" s="32">
        <f t="shared" si="95"/>
        <v>2033</v>
      </c>
      <c r="C392" s="33" t="s">
        <v>31</v>
      </c>
      <c r="D392" s="34" t="s">
        <v>128</v>
      </c>
      <c r="E392" s="35" t="str">
        <f t="shared" si="29"/>
        <v>PS'!</v>
      </c>
      <c r="F392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92" s="32" t="s">
        <v>112</v>
      </c>
      <c r="H392" s="33">
        <f t="shared" si="96"/>
        <v>22</v>
      </c>
      <c r="I392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ECP\Cantagallo\Cristalina\[CRISTALINA_CF_SEC_New_09-Feb-2024.xlsx]D-PS'!$BB$22</v>
      </c>
      <c r="J392" s="37" t="s">
        <v>287</v>
      </c>
    </row>
    <row r="393" spans="1:10" x14ac:dyDescent="0.35">
      <c r="A393" s="32" t="s">
        <v>24</v>
      </c>
      <c r="B393" s="32">
        <f t="shared" si="95"/>
        <v>2034</v>
      </c>
      <c r="C393" s="33" t="s">
        <v>31</v>
      </c>
      <c r="D393" s="34" t="s">
        <v>128</v>
      </c>
      <c r="E393" s="35" t="str">
        <f t="shared" si="29"/>
        <v>PS'!</v>
      </c>
      <c r="F393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93" s="32" t="s">
        <v>112</v>
      </c>
      <c r="H393" s="33">
        <f t="shared" si="96"/>
        <v>23</v>
      </c>
      <c r="I393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ECP\Cantagallo\Cristalina\[CRISTALINA_CF_SEC_New_09-Feb-2024.xlsx]D-PS'!$BB$23</v>
      </c>
      <c r="J393" s="37" t="s">
        <v>288</v>
      </c>
    </row>
    <row r="394" spans="1:10" x14ac:dyDescent="0.35">
      <c r="A394" s="32" t="s">
        <v>24</v>
      </c>
      <c r="B394" s="32">
        <f t="shared" si="95"/>
        <v>2035</v>
      </c>
      <c r="C394" s="33" t="s">
        <v>31</v>
      </c>
      <c r="D394" s="34" t="s">
        <v>128</v>
      </c>
      <c r="E394" s="35" t="str">
        <f t="shared" si="29"/>
        <v>PS'!</v>
      </c>
      <c r="F394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94" s="32" t="s">
        <v>112</v>
      </c>
      <c r="H394" s="33">
        <f t="shared" si="96"/>
        <v>24</v>
      </c>
      <c r="I394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ECP\Cantagallo\Cristalina\[CRISTALINA_CF_SEC_New_09-Feb-2024.xlsx]D-PS'!$BB$24</v>
      </c>
      <c r="J394" s="37" t="s">
        <v>289</v>
      </c>
    </row>
    <row r="395" spans="1:10" x14ac:dyDescent="0.35">
      <c r="A395" s="32" t="s">
        <v>24</v>
      </c>
      <c r="B395" s="32">
        <f t="shared" si="95"/>
        <v>2036</v>
      </c>
      <c r="C395" s="33" t="s">
        <v>31</v>
      </c>
      <c r="D395" s="34" t="s">
        <v>128</v>
      </c>
      <c r="E395" s="35" t="str">
        <f t="shared" si="29"/>
        <v>PS'!</v>
      </c>
      <c r="F395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95" s="32" t="s">
        <v>112</v>
      </c>
      <c r="H395" s="33">
        <f t="shared" si="96"/>
        <v>25</v>
      </c>
      <c r="I395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ECP\Cantagallo\Cristalina\[CRISTALINA_CF_SEC_New_09-Feb-2024.xlsx]D-PS'!$BB$25</v>
      </c>
      <c r="J395" s="37" t="s">
        <v>290</v>
      </c>
    </row>
    <row r="396" spans="1:10" x14ac:dyDescent="0.35">
      <c r="A396" s="32" t="s">
        <v>24</v>
      </c>
      <c r="B396" s="32">
        <f>+B395+1</f>
        <v>2037</v>
      </c>
      <c r="C396" s="33" t="s">
        <v>31</v>
      </c>
      <c r="D396" s="34" t="s">
        <v>128</v>
      </c>
      <c r="E396" s="35" t="str">
        <f t="shared" si="29"/>
        <v>PS'!</v>
      </c>
      <c r="F396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96" s="32" t="s">
        <v>112</v>
      </c>
      <c r="H396" s="33">
        <f t="shared" si="96"/>
        <v>26</v>
      </c>
      <c r="I396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ECP\Cantagallo\Cristalina\[CRISTALINA_CF_SEC_New_09-Feb-2024.xlsx]D-PS'!$BB$26</v>
      </c>
      <c r="J396" s="37" t="s">
        <v>291</v>
      </c>
    </row>
    <row r="397" spans="1:10" x14ac:dyDescent="0.35">
      <c r="A397" s="32" t="s">
        <v>24</v>
      </c>
      <c r="B397" s="32">
        <f t="shared" ref="B397:B399" si="97">+B396+1</f>
        <v>2038</v>
      </c>
      <c r="C397" s="33" t="s">
        <v>31</v>
      </c>
      <c r="D397" s="34" t="s">
        <v>128</v>
      </c>
      <c r="E397" s="35" t="str">
        <f t="shared" si="29"/>
        <v>PS'!</v>
      </c>
      <c r="F397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97" s="32" t="s">
        <v>112</v>
      </c>
      <c r="H397" s="33">
        <f t="shared" si="96"/>
        <v>27</v>
      </c>
      <c r="I397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ECP\Cantagallo\Cristalina\[CRISTALINA_CF_SEC_New_09-Feb-2024.xlsx]D-PS'!$BB$27</v>
      </c>
      <c r="J397" s="37" t="s">
        <v>292</v>
      </c>
    </row>
    <row r="398" spans="1:10" x14ac:dyDescent="0.35">
      <c r="A398" s="32" t="s">
        <v>24</v>
      </c>
      <c r="B398" s="32">
        <f t="shared" si="97"/>
        <v>2039</v>
      </c>
      <c r="C398" s="33" t="s">
        <v>31</v>
      </c>
      <c r="D398" s="34" t="s">
        <v>128</v>
      </c>
      <c r="E398" s="35" t="str">
        <f t="shared" si="29"/>
        <v>PS'!</v>
      </c>
      <c r="F398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98" s="32" t="s">
        <v>112</v>
      </c>
      <c r="H398" s="33">
        <f t="shared" si="96"/>
        <v>28</v>
      </c>
      <c r="I398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ECP\Cantagallo\Cristalina\[CRISTALINA_CF_SEC_New_09-Feb-2024.xlsx]D-PS'!$BB$28</v>
      </c>
      <c r="J398" s="37" t="s">
        <v>293</v>
      </c>
    </row>
    <row r="399" spans="1:10" x14ac:dyDescent="0.35">
      <c r="A399" s="32" t="s">
        <v>24</v>
      </c>
      <c r="B399" s="32">
        <f t="shared" si="97"/>
        <v>2040</v>
      </c>
      <c r="C399" s="33" t="s">
        <v>31</v>
      </c>
      <c r="D399" s="34" t="s">
        <v>128</v>
      </c>
      <c r="E399" s="35" t="str">
        <f t="shared" si="29"/>
        <v>PS'!</v>
      </c>
      <c r="F399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99" s="32" t="s">
        <v>112</v>
      </c>
      <c r="H399" s="33">
        <f t="shared" si="96"/>
        <v>29</v>
      </c>
      <c r="I399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ECP\Cantagallo\Cristalina\[CRISTALINA_CF_SEC_New_09-Feb-2024.xlsx]D-PS'!$BB$29</v>
      </c>
      <c r="J399" s="37" t="s">
        <v>294</v>
      </c>
    </row>
    <row r="400" spans="1:10" x14ac:dyDescent="0.35">
      <c r="A400" s="32" t="s">
        <v>24</v>
      </c>
      <c r="B400" s="32">
        <f>+B399+1</f>
        <v>2041</v>
      </c>
      <c r="C400" s="33" t="s">
        <v>31</v>
      </c>
      <c r="D400" s="34" t="s">
        <v>128</v>
      </c>
      <c r="E400" s="35" t="str">
        <f t="shared" si="29"/>
        <v>PS'!</v>
      </c>
      <c r="F400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00" s="32" t="s">
        <v>112</v>
      </c>
      <c r="H400" s="33">
        <f t="shared" si="96"/>
        <v>30</v>
      </c>
      <c r="I400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ECP\Cantagallo\Cristalina\[CRISTALINA_CF_SEC_New_09-Feb-2024.xlsx]D-PS'!$BB$30</v>
      </c>
      <c r="J400" s="37" t="s">
        <v>295</v>
      </c>
    </row>
    <row r="401" spans="1:10" x14ac:dyDescent="0.35">
      <c r="A401" s="32" t="s">
        <v>24</v>
      </c>
      <c r="B401" s="32">
        <f t="shared" ref="B401:B402" si="98">+B400+1</f>
        <v>2042</v>
      </c>
      <c r="C401" s="33" t="s">
        <v>31</v>
      </c>
      <c r="D401" s="34" t="s">
        <v>128</v>
      </c>
      <c r="E401" s="35" t="str">
        <f t="shared" si="29"/>
        <v>PS'!</v>
      </c>
      <c r="F401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01" s="32" t="s">
        <v>112</v>
      </c>
      <c r="H401" s="33">
        <f t="shared" si="96"/>
        <v>31</v>
      </c>
      <c r="I401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ECP\Cantagallo\Cristalina\[CRISTALINA_CF_SEC_New_09-Feb-2024.xlsx]D-PS'!$BB$31</v>
      </c>
      <c r="J401" s="37" t="s">
        <v>296</v>
      </c>
    </row>
    <row r="402" spans="1:10" x14ac:dyDescent="0.35">
      <c r="A402" s="32" t="s">
        <v>24</v>
      </c>
      <c r="B402" s="32">
        <f t="shared" si="98"/>
        <v>2043</v>
      </c>
      <c r="C402" s="33" t="s">
        <v>31</v>
      </c>
      <c r="D402" s="34" t="s">
        <v>128</v>
      </c>
      <c r="E402" s="35" t="str">
        <f t="shared" si="29"/>
        <v>PS'!</v>
      </c>
      <c r="F402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02" s="32" t="s">
        <v>112</v>
      </c>
      <c r="H402" s="33">
        <f t="shared" si="96"/>
        <v>32</v>
      </c>
      <c r="I402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ECP\Cantagallo\Cristalina\[CRISTALINA_CF_SEC_New_09-Feb-2024.xlsx]D-PS'!$BB$32</v>
      </c>
      <c r="J402" s="37" t="s">
        <v>297</v>
      </c>
    </row>
    <row r="403" spans="1:10" x14ac:dyDescent="0.35">
      <c r="A403" s="32" t="s">
        <v>24</v>
      </c>
      <c r="B403" s="32">
        <f>+B402+1</f>
        <v>2044</v>
      </c>
      <c r="C403" s="33" t="s">
        <v>31</v>
      </c>
      <c r="D403" s="34" t="s">
        <v>128</v>
      </c>
      <c r="E403" s="35" t="str">
        <f t="shared" ref="E403:E418" si="99">_xlfn.CONCAT(A403,"'!")</f>
        <v>PS'!</v>
      </c>
      <c r="F403" s="34" t="str">
        <f t="shared" ref="F403:F418" si="100">_xlfn.CONCAT(D403:E403)</f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03" s="32" t="s">
        <v>112</v>
      </c>
      <c r="H403" s="33">
        <f t="shared" ref="H403:H418" si="101">IF(A403&lt;&gt;A402,12,H402+1)</f>
        <v>33</v>
      </c>
      <c r="I403" s="33" t="str">
        <f t="shared" ref="I403:I418" si="102">_xlfn.CONCAT("='",F403:H403)</f>
        <v>='C:\Users\jaime.benazar\Quorum Business Solutions\Ecopetrol Prometeo - Documents\Planning Space Implementation\3. Analysis &amp; Design\Design\FC22\DRR Jaime\Por presentar a ECP\Cantagallo\Cristalina\[CRISTALINA_CF_SEC_New_09-Feb-2024.xlsx]D-PS'!$BB$33</v>
      </c>
      <c r="J403" s="37" t="s">
        <v>298</v>
      </c>
    </row>
    <row r="404" spans="1:10" x14ac:dyDescent="0.35">
      <c r="A404" s="32" t="s">
        <v>24</v>
      </c>
      <c r="B404" s="32">
        <f t="shared" ref="B404:B418" si="103">+B403+1</f>
        <v>2045</v>
      </c>
      <c r="C404" s="33" t="s">
        <v>31</v>
      </c>
      <c r="D404" s="34" t="s">
        <v>128</v>
      </c>
      <c r="E404" s="35" t="str">
        <f t="shared" si="99"/>
        <v>PS'!</v>
      </c>
      <c r="F404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04" s="32" t="s">
        <v>112</v>
      </c>
      <c r="H404" s="33">
        <f t="shared" si="101"/>
        <v>34</v>
      </c>
      <c r="I404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ECP\Cantagallo\Cristalina\[CRISTALINA_CF_SEC_New_09-Feb-2024.xlsx]D-PS'!$BB$34</v>
      </c>
      <c r="J404" s="37" t="s">
        <v>299</v>
      </c>
    </row>
    <row r="405" spans="1:10" x14ac:dyDescent="0.35">
      <c r="A405" s="32" t="s">
        <v>24</v>
      </c>
      <c r="B405" s="32">
        <f t="shared" si="103"/>
        <v>2046</v>
      </c>
      <c r="C405" s="33" t="s">
        <v>31</v>
      </c>
      <c r="D405" s="34" t="s">
        <v>128</v>
      </c>
      <c r="E405" s="35" t="str">
        <f t="shared" si="99"/>
        <v>PS'!</v>
      </c>
      <c r="F405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05" s="32" t="s">
        <v>112</v>
      </c>
      <c r="H405" s="33">
        <f t="shared" si="101"/>
        <v>35</v>
      </c>
      <c r="I405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ECP\Cantagallo\Cristalina\[CRISTALINA_CF_SEC_New_09-Feb-2024.xlsx]D-PS'!$BB$35</v>
      </c>
      <c r="J405" s="37" t="s">
        <v>300</v>
      </c>
    </row>
    <row r="406" spans="1:10" x14ac:dyDescent="0.35">
      <c r="A406" s="32" t="s">
        <v>24</v>
      </c>
      <c r="B406" s="32">
        <f t="shared" si="103"/>
        <v>2047</v>
      </c>
      <c r="C406" s="33" t="s">
        <v>31</v>
      </c>
      <c r="D406" s="34" t="s">
        <v>128</v>
      </c>
      <c r="E406" s="35" t="str">
        <f t="shared" si="99"/>
        <v>PS'!</v>
      </c>
      <c r="F406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06" s="32" t="s">
        <v>112</v>
      </c>
      <c r="H406" s="33">
        <f t="shared" si="101"/>
        <v>36</v>
      </c>
      <c r="I406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ECP\Cantagallo\Cristalina\[CRISTALINA_CF_SEC_New_09-Feb-2024.xlsx]D-PS'!$BB$36</v>
      </c>
      <c r="J406" s="37" t="s">
        <v>301</v>
      </c>
    </row>
    <row r="407" spans="1:10" x14ac:dyDescent="0.35">
      <c r="A407" s="32" t="s">
        <v>24</v>
      </c>
      <c r="B407" s="32">
        <f t="shared" si="103"/>
        <v>2048</v>
      </c>
      <c r="C407" s="33" t="s">
        <v>31</v>
      </c>
      <c r="D407" s="34" t="s">
        <v>128</v>
      </c>
      <c r="E407" s="35" t="str">
        <f t="shared" si="99"/>
        <v>PS'!</v>
      </c>
      <c r="F407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07" s="32" t="s">
        <v>112</v>
      </c>
      <c r="H407" s="33">
        <f t="shared" si="101"/>
        <v>37</v>
      </c>
      <c r="I407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ECP\Cantagallo\Cristalina\[CRISTALINA_CF_SEC_New_09-Feb-2024.xlsx]D-PS'!$BB$37</v>
      </c>
      <c r="J407" s="37" t="s">
        <v>302</v>
      </c>
    </row>
    <row r="408" spans="1:10" x14ac:dyDescent="0.35">
      <c r="A408" s="32" t="s">
        <v>24</v>
      </c>
      <c r="B408" s="32">
        <f t="shared" si="103"/>
        <v>2049</v>
      </c>
      <c r="C408" s="33" t="s">
        <v>31</v>
      </c>
      <c r="D408" s="34" t="s">
        <v>128</v>
      </c>
      <c r="E408" s="35" t="str">
        <f t="shared" si="99"/>
        <v>PS'!</v>
      </c>
      <c r="F408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08" s="32" t="s">
        <v>112</v>
      </c>
      <c r="H408" s="33">
        <f t="shared" si="101"/>
        <v>38</v>
      </c>
      <c r="I408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ECP\Cantagallo\Cristalina\[CRISTALINA_CF_SEC_New_09-Feb-2024.xlsx]D-PS'!$BB$38</v>
      </c>
      <c r="J408" s="37" t="s">
        <v>303</v>
      </c>
    </row>
    <row r="409" spans="1:10" x14ac:dyDescent="0.35">
      <c r="A409" s="32" t="s">
        <v>24</v>
      </c>
      <c r="B409" s="32">
        <f t="shared" si="103"/>
        <v>2050</v>
      </c>
      <c r="C409" s="33" t="s">
        <v>31</v>
      </c>
      <c r="D409" s="34" t="s">
        <v>128</v>
      </c>
      <c r="E409" s="35" t="str">
        <f t="shared" si="99"/>
        <v>PS'!</v>
      </c>
      <c r="F409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09" s="32" t="s">
        <v>112</v>
      </c>
      <c r="H409" s="33">
        <f t="shared" si="101"/>
        <v>39</v>
      </c>
      <c r="I409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ECP\Cantagallo\Cristalina\[CRISTALINA_CF_SEC_New_09-Feb-2024.xlsx]D-PS'!$BB$39</v>
      </c>
      <c r="J409" s="37" t="s">
        <v>304</v>
      </c>
    </row>
    <row r="410" spans="1:10" x14ac:dyDescent="0.35">
      <c r="A410" s="32" t="s">
        <v>24</v>
      </c>
      <c r="B410" s="32">
        <f t="shared" si="103"/>
        <v>2051</v>
      </c>
      <c r="C410" s="33" t="s">
        <v>31</v>
      </c>
      <c r="D410" s="34" t="s">
        <v>128</v>
      </c>
      <c r="E410" s="35" t="str">
        <f t="shared" si="99"/>
        <v>PS'!</v>
      </c>
      <c r="F410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0" s="32" t="s">
        <v>112</v>
      </c>
      <c r="H410" s="33">
        <f t="shared" si="101"/>
        <v>40</v>
      </c>
      <c r="I410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ECP\Cantagallo\Cristalina\[CRISTALINA_CF_SEC_New_09-Feb-2024.xlsx]D-PS'!$BB$40</v>
      </c>
      <c r="J410" s="37" t="s">
        <v>305</v>
      </c>
    </row>
    <row r="411" spans="1:10" x14ac:dyDescent="0.35">
      <c r="A411" s="32" t="s">
        <v>24</v>
      </c>
      <c r="B411" s="32">
        <f t="shared" si="103"/>
        <v>2052</v>
      </c>
      <c r="C411" s="33" t="s">
        <v>31</v>
      </c>
      <c r="D411" s="34" t="s">
        <v>128</v>
      </c>
      <c r="E411" s="35" t="str">
        <f t="shared" si="99"/>
        <v>PS'!</v>
      </c>
      <c r="F411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1" s="32" t="s">
        <v>112</v>
      </c>
      <c r="H411" s="33">
        <f t="shared" si="101"/>
        <v>41</v>
      </c>
      <c r="I411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ECP\Cantagallo\Cristalina\[CRISTALINA_CF_SEC_New_09-Feb-2024.xlsx]D-PS'!$BB$41</v>
      </c>
      <c r="J411" s="37" t="s">
        <v>306</v>
      </c>
    </row>
    <row r="412" spans="1:10" x14ac:dyDescent="0.35">
      <c r="A412" s="32" t="s">
        <v>24</v>
      </c>
      <c r="B412" s="32">
        <f t="shared" si="103"/>
        <v>2053</v>
      </c>
      <c r="C412" s="33" t="s">
        <v>31</v>
      </c>
      <c r="D412" s="34" t="s">
        <v>128</v>
      </c>
      <c r="E412" s="35" t="str">
        <f t="shared" si="99"/>
        <v>PS'!</v>
      </c>
      <c r="F412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2" s="32" t="s">
        <v>112</v>
      </c>
      <c r="H412" s="33">
        <f t="shared" si="101"/>
        <v>42</v>
      </c>
      <c r="I412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ECP\Cantagallo\Cristalina\[CRISTALINA_CF_SEC_New_09-Feb-2024.xlsx]D-PS'!$BB$42</v>
      </c>
      <c r="J412" s="37" t="s">
        <v>307</v>
      </c>
    </row>
    <row r="413" spans="1:10" x14ac:dyDescent="0.35">
      <c r="A413" s="32" t="s">
        <v>24</v>
      </c>
      <c r="B413" s="32">
        <f t="shared" si="103"/>
        <v>2054</v>
      </c>
      <c r="C413" s="33" t="s">
        <v>31</v>
      </c>
      <c r="D413" s="34" t="s">
        <v>128</v>
      </c>
      <c r="E413" s="35" t="str">
        <f t="shared" si="99"/>
        <v>PS'!</v>
      </c>
      <c r="F413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3" s="32" t="s">
        <v>112</v>
      </c>
      <c r="H413" s="33">
        <f t="shared" si="101"/>
        <v>43</v>
      </c>
      <c r="I413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ECP\Cantagallo\Cristalina\[CRISTALINA_CF_SEC_New_09-Feb-2024.xlsx]D-PS'!$BB$43</v>
      </c>
      <c r="J413" s="37" t="s">
        <v>308</v>
      </c>
    </row>
    <row r="414" spans="1:10" x14ac:dyDescent="0.35">
      <c r="A414" s="32" t="s">
        <v>24</v>
      </c>
      <c r="B414" s="32">
        <f t="shared" si="103"/>
        <v>2055</v>
      </c>
      <c r="C414" s="33" t="s">
        <v>31</v>
      </c>
      <c r="D414" s="34" t="s">
        <v>128</v>
      </c>
      <c r="E414" s="35" t="str">
        <f t="shared" si="99"/>
        <v>PS'!</v>
      </c>
      <c r="F414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4" s="32" t="s">
        <v>112</v>
      </c>
      <c r="H414" s="33">
        <f t="shared" si="101"/>
        <v>44</v>
      </c>
      <c r="I414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ECP\Cantagallo\Cristalina\[CRISTALINA_CF_SEC_New_09-Feb-2024.xlsx]D-PS'!$BB$44</v>
      </c>
      <c r="J414" s="37" t="s">
        <v>309</v>
      </c>
    </row>
    <row r="415" spans="1:10" x14ac:dyDescent="0.35">
      <c r="A415" s="32" t="s">
        <v>24</v>
      </c>
      <c r="B415" s="32">
        <f t="shared" si="103"/>
        <v>2056</v>
      </c>
      <c r="C415" s="33" t="s">
        <v>31</v>
      </c>
      <c r="D415" s="34" t="s">
        <v>128</v>
      </c>
      <c r="E415" s="35" t="str">
        <f t="shared" si="99"/>
        <v>PS'!</v>
      </c>
      <c r="F415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5" s="32" t="s">
        <v>112</v>
      </c>
      <c r="H415" s="33">
        <f t="shared" si="101"/>
        <v>45</v>
      </c>
      <c r="I415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ECP\Cantagallo\Cristalina\[CRISTALINA_CF_SEC_New_09-Feb-2024.xlsx]D-PS'!$BB$45</v>
      </c>
      <c r="J415" s="37" t="s">
        <v>310</v>
      </c>
    </row>
    <row r="416" spans="1:10" x14ac:dyDescent="0.35">
      <c r="A416" s="32" t="s">
        <v>24</v>
      </c>
      <c r="B416" s="32">
        <f t="shared" si="103"/>
        <v>2057</v>
      </c>
      <c r="C416" s="33" t="s">
        <v>31</v>
      </c>
      <c r="D416" s="34" t="s">
        <v>128</v>
      </c>
      <c r="E416" s="35" t="str">
        <f t="shared" si="99"/>
        <v>PS'!</v>
      </c>
      <c r="F416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6" s="32" t="s">
        <v>112</v>
      </c>
      <c r="H416" s="33">
        <f t="shared" si="101"/>
        <v>46</v>
      </c>
      <c r="I416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ECP\Cantagallo\Cristalina\[CRISTALINA_CF_SEC_New_09-Feb-2024.xlsx]D-PS'!$BB$46</v>
      </c>
      <c r="J416" s="37" t="s">
        <v>311</v>
      </c>
    </row>
    <row r="417" spans="1:10" x14ac:dyDescent="0.35">
      <c r="A417" s="32" t="s">
        <v>24</v>
      </c>
      <c r="B417" s="32">
        <f t="shared" si="103"/>
        <v>2058</v>
      </c>
      <c r="C417" s="33" t="s">
        <v>31</v>
      </c>
      <c r="D417" s="34" t="s">
        <v>128</v>
      </c>
      <c r="E417" s="35" t="str">
        <f t="shared" si="99"/>
        <v>PS'!</v>
      </c>
      <c r="F417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7" s="32" t="s">
        <v>112</v>
      </c>
      <c r="H417" s="33">
        <f t="shared" si="101"/>
        <v>47</v>
      </c>
      <c r="I417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ECP\Cantagallo\Cristalina\[CRISTALINA_CF_SEC_New_09-Feb-2024.xlsx]D-PS'!$BB$47</v>
      </c>
      <c r="J417" s="37" t="s">
        <v>312</v>
      </c>
    </row>
    <row r="418" spans="1:10" x14ac:dyDescent="0.35">
      <c r="A418" s="32" t="s">
        <v>24</v>
      </c>
      <c r="B418" s="32">
        <f t="shared" si="103"/>
        <v>2059</v>
      </c>
      <c r="C418" s="33" t="s">
        <v>31</v>
      </c>
      <c r="D418" s="34" t="s">
        <v>128</v>
      </c>
      <c r="E418" s="35" t="str">
        <f t="shared" si="99"/>
        <v>PS'!</v>
      </c>
      <c r="F418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8" s="32" t="s">
        <v>112</v>
      </c>
      <c r="H418" s="33">
        <f t="shared" si="101"/>
        <v>48</v>
      </c>
      <c r="I418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ECP\Cantagallo\Cristalina\[CRISTALINA_CF_SEC_New_09-Feb-2024.xlsx]D-PS'!$BB$48</v>
      </c>
      <c r="J418" s="37" t="s">
        <v>313</v>
      </c>
    </row>
    <row r="419" spans="1:10" x14ac:dyDescent="0.35">
      <c r="A419" s="32" t="s">
        <v>26</v>
      </c>
      <c r="B419" s="32"/>
      <c r="C419" s="33" t="s">
        <v>31</v>
      </c>
      <c r="D419" s="34"/>
      <c r="E419" s="35"/>
      <c r="F419" s="34"/>
      <c r="G419" s="32"/>
      <c r="H419" s="33"/>
      <c r="I419" s="33"/>
      <c r="J419" s="33"/>
    </row>
    <row r="420" spans="1:10" x14ac:dyDescent="0.35">
      <c r="A420" s="32" t="s">
        <v>14</v>
      </c>
      <c r="B420" s="32">
        <v>2023</v>
      </c>
      <c r="C420" s="33" t="s">
        <v>34</v>
      </c>
      <c r="D420" s="34" t="s">
        <v>128</v>
      </c>
      <c r="E420" s="35" t="str">
        <f>_xlfn.CONCAT(A420,"'!")</f>
        <v>PDP'!</v>
      </c>
      <c r="F420" s="34" t="str">
        <f>_xlfn.CONCAT(D420:E420)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20" s="32" t="s">
        <v>102</v>
      </c>
      <c r="H420" s="33">
        <v>12</v>
      </c>
      <c r="I420" s="33" t="str">
        <f>_xlfn.CONCAT("='",F420:H420)</f>
        <v>='C:\Users\jaime.benazar\Quorum Business Solutions\Ecopetrol Prometeo - Documents\Planning Space Implementation\3. Analysis &amp; Design\Design\FC22\DRR Jaime\Por presentar a ECP\Cantagallo\Cristalina\[CRISTALINA_CF_SEC_New_09-Feb-2024.xlsx]D-PDP'!$BW$12</v>
      </c>
      <c r="J420" s="37" t="s">
        <v>314</v>
      </c>
    </row>
    <row r="421" spans="1:10" x14ac:dyDescent="0.35">
      <c r="A421" s="32" t="s">
        <v>14</v>
      </c>
      <c r="B421" s="32">
        <f>+B420+1</f>
        <v>2024</v>
      </c>
      <c r="C421" s="33" t="s">
        <v>34</v>
      </c>
      <c r="D421" s="34" t="s">
        <v>128</v>
      </c>
      <c r="E421" s="35" t="str">
        <f t="shared" ref="E421:E514" si="104">_xlfn.CONCAT(A421,"'!")</f>
        <v>PDP'!</v>
      </c>
      <c r="F421" s="34" t="str">
        <f t="shared" ref="F421:F514" si="105">_xlfn.CONCAT(D421:E421)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21" s="32" t="s">
        <v>102</v>
      </c>
      <c r="H421" s="33">
        <f>IF(A421&lt;&gt;A420,12,H420+1)</f>
        <v>13</v>
      </c>
      <c r="I421" s="33" t="str">
        <f t="shared" ref="I421:I514" si="106">_xlfn.CONCAT("='",F421:H421)</f>
        <v>='C:\Users\jaime.benazar\Quorum Business Solutions\Ecopetrol Prometeo - Documents\Planning Space Implementation\3. Analysis &amp; Design\Design\FC22\DRR Jaime\Por presentar a ECP\Cantagallo\Cristalina\[CRISTALINA_CF_SEC_New_09-Feb-2024.xlsx]D-PDP'!$BW$13</v>
      </c>
      <c r="J421" s="37" t="s">
        <v>315</v>
      </c>
    </row>
    <row r="422" spans="1:10" x14ac:dyDescent="0.35">
      <c r="A422" s="32" t="s">
        <v>14</v>
      </c>
      <c r="B422" s="32">
        <f t="shared" ref="B422:B433" si="107">+B421+1</f>
        <v>2025</v>
      </c>
      <c r="C422" s="33" t="s">
        <v>34</v>
      </c>
      <c r="D422" s="34" t="s">
        <v>128</v>
      </c>
      <c r="E422" s="35" t="str">
        <f t="shared" si="104"/>
        <v>PDP'!</v>
      </c>
      <c r="F422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22" s="32" t="s">
        <v>102</v>
      </c>
      <c r="H422" s="33">
        <f t="shared" ref="H422:H440" si="108">IF(A422&lt;&gt;A421,12,H421+1)</f>
        <v>14</v>
      </c>
      <c r="I422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ECP\Cantagallo\Cristalina\[CRISTALINA_CF_SEC_New_09-Feb-2024.xlsx]D-PDP'!$BW$14</v>
      </c>
      <c r="J422" s="37" t="s">
        <v>316</v>
      </c>
    </row>
    <row r="423" spans="1:10" x14ac:dyDescent="0.35">
      <c r="A423" s="32" t="s">
        <v>14</v>
      </c>
      <c r="B423" s="32">
        <f t="shared" si="107"/>
        <v>2026</v>
      </c>
      <c r="C423" s="33" t="s">
        <v>34</v>
      </c>
      <c r="D423" s="34" t="s">
        <v>128</v>
      </c>
      <c r="E423" s="35" t="str">
        <f t="shared" si="104"/>
        <v>PDP'!</v>
      </c>
      <c r="F423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23" s="32" t="s">
        <v>102</v>
      </c>
      <c r="H423" s="33">
        <f t="shared" si="108"/>
        <v>15</v>
      </c>
      <c r="I423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ECP\Cantagallo\Cristalina\[CRISTALINA_CF_SEC_New_09-Feb-2024.xlsx]D-PDP'!$BW$15</v>
      </c>
      <c r="J423" s="37" t="s">
        <v>317</v>
      </c>
    </row>
    <row r="424" spans="1:10" x14ac:dyDescent="0.35">
      <c r="A424" s="32" t="s">
        <v>14</v>
      </c>
      <c r="B424" s="32">
        <f t="shared" si="107"/>
        <v>2027</v>
      </c>
      <c r="C424" s="33" t="s">
        <v>34</v>
      </c>
      <c r="D424" s="34" t="s">
        <v>128</v>
      </c>
      <c r="E424" s="35" t="str">
        <f t="shared" si="104"/>
        <v>PDP'!</v>
      </c>
      <c r="F424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24" s="32" t="s">
        <v>102</v>
      </c>
      <c r="H424" s="33">
        <f t="shared" si="108"/>
        <v>16</v>
      </c>
      <c r="I424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ECP\Cantagallo\Cristalina\[CRISTALINA_CF_SEC_New_09-Feb-2024.xlsx]D-PDP'!$BW$16</v>
      </c>
      <c r="J424" s="37" t="s">
        <v>318</v>
      </c>
    </row>
    <row r="425" spans="1:10" x14ac:dyDescent="0.35">
      <c r="A425" s="32" t="s">
        <v>14</v>
      </c>
      <c r="B425" s="32">
        <f t="shared" si="107"/>
        <v>2028</v>
      </c>
      <c r="C425" s="33" t="s">
        <v>34</v>
      </c>
      <c r="D425" s="34" t="s">
        <v>128</v>
      </c>
      <c r="E425" s="35" t="str">
        <f t="shared" si="104"/>
        <v>PDP'!</v>
      </c>
      <c r="F425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25" s="32" t="s">
        <v>102</v>
      </c>
      <c r="H425" s="33">
        <f t="shared" si="108"/>
        <v>17</v>
      </c>
      <c r="I425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ECP\Cantagallo\Cristalina\[CRISTALINA_CF_SEC_New_09-Feb-2024.xlsx]D-PDP'!$BW$17</v>
      </c>
      <c r="J425" s="37" t="s">
        <v>319</v>
      </c>
    </row>
    <row r="426" spans="1:10" x14ac:dyDescent="0.35">
      <c r="A426" s="32" t="s">
        <v>14</v>
      </c>
      <c r="B426" s="32">
        <f t="shared" si="107"/>
        <v>2029</v>
      </c>
      <c r="C426" s="33" t="s">
        <v>34</v>
      </c>
      <c r="D426" s="34" t="s">
        <v>128</v>
      </c>
      <c r="E426" s="35" t="str">
        <f t="shared" si="104"/>
        <v>PDP'!</v>
      </c>
      <c r="F426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26" s="32" t="s">
        <v>102</v>
      </c>
      <c r="H426" s="33">
        <f t="shared" si="108"/>
        <v>18</v>
      </c>
      <c r="I426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ECP\Cantagallo\Cristalina\[CRISTALINA_CF_SEC_New_09-Feb-2024.xlsx]D-PDP'!$BW$18</v>
      </c>
      <c r="J426" s="37" t="s">
        <v>320</v>
      </c>
    </row>
    <row r="427" spans="1:10" x14ac:dyDescent="0.35">
      <c r="A427" s="32" t="s">
        <v>14</v>
      </c>
      <c r="B427" s="32">
        <f t="shared" si="107"/>
        <v>2030</v>
      </c>
      <c r="C427" s="33" t="s">
        <v>34</v>
      </c>
      <c r="D427" s="34" t="s">
        <v>128</v>
      </c>
      <c r="E427" s="35" t="str">
        <f t="shared" si="104"/>
        <v>PDP'!</v>
      </c>
      <c r="F427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27" s="32" t="s">
        <v>102</v>
      </c>
      <c r="H427" s="33">
        <f t="shared" si="108"/>
        <v>19</v>
      </c>
      <c r="I427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ECP\Cantagallo\Cristalina\[CRISTALINA_CF_SEC_New_09-Feb-2024.xlsx]D-PDP'!$BW$19</v>
      </c>
      <c r="J427" s="37" t="s">
        <v>321</v>
      </c>
    </row>
    <row r="428" spans="1:10" x14ac:dyDescent="0.35">
      <c r="A428" s="32" t="s">
        <v>14</v>
      </c>
      <c r="B428" s="32">
        <f t="shared" si="107"/>
        <v>2031</v>
      </c>
      <c r="C428" s="33" t="s">
        <v>34</v>
      </c>
      <c r="D428" s="34" t="s">
        <v>128</v>
      </c>
      <c r="E428" s="35" t="str">
        <f t="shared" si="104"/>
        <v>PDP'!</v>
      </c>
      <c r="F428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28" s="32" t="s">
        <v>102</v>
      </c>
      <c r="H428" s="33">
        <f t="shared" si="108"/>
        <v>20</v>
      </c>
      <c r="I428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ECP\Cantagallo\Cristalina\[CRISTALINA_CF_SEC_New_09-Feb-2024.xlsx]D-PDP'!$BW$20</v>
      </c>
      <c r="J428" s="37" t="s">
        <v>322</v>
      </c>
    </row>
    <row r="429" spans="1:10" x14ac:dyDescent="0.35">
      <c r="A429" s="32" t="s">
        <v>14</v>
      </c>
      <c r="B429" s="32">
        <f t="shared" si="107"/>
        <v>2032</v>
      </c>
      <c r="C429" s="33" t="s">
        <v>34</v>
      </c>
      <c r="D429" s="34" t="s">
        <v>128</v>
      </c>
      <c r="E429" s="35" t="str">
        <f t="shared" si="104"/>
        <v>PDP'!</v>
      </c>
      <c r="F429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29" s="32" t="s">
        <v>102</v>
      </c>
      <c r="H429" s="33">
        <f t="shared" si="108"/>
        <v>21</v>
      </c>
      <c r="I429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ECP\Cantagallo\Cristalina\[CRISTALINA_CF_SEC_New_09-Feb-2024.xlsx]D-PDP'!$BW$21</v>
      </c>
      <c r="J429" s="37" t="s">
        <v>323</v>
      </c>
    </row>
    <row r="430" spans="1:10" x14ac:dyDescent="0.35">
      <c r="A430" s="32" t="s">
        <v>14</v>
      </c>
      <c r="B430" s="32">
        <f t="shared" si="107"/>
        <v>2033</v>
      </c>
      <c r="C430" s="33" t="s">
        <v>34</v>
      </c>
      <c r="D430" s="34" t="s">
        <v>128</v>
      </c>
      <c r="E430" s="35" t="str">
        <f t="shared" si="104"/>
        <v>PDP'!</v>
      </c>
      <c r="F430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30" s="32" t="s">
        <v>102</v>
      </c>
      <c r="H430" s="33">
        <f t="shared" si="108"/>
        <v>22</v>
      </c>
      <c r="I430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ECP\Cantagallo\Cristalina\[CRISTALINA_CF_SEC_New_09-Feb-2024.xlsx]D-PDP'!$BW$22</v>
      </c>
      <c r="J430" s="37" t="s">
        <v>324</v>
      </c>
    </row>
    <row r="431" spans="1:10" x14ac:dyDescent="0.35">
      <c r="A431" s="32" t="s">
        <v>14</v>
      </c>
      <c r="B431" s="32">
        <f t="shared" si="107"/>
        <v>2034</v>
      </c>
      <c r="C431" s="33" t="s">
        <v>34</v>
      </c>
      <c r="D431" s="34" t="s">
        <v>128</v>
      </c>
      <c r="E431" s="35" t="str">
        <f t="shared" si="104"/>
        <v>PDP'!</v>
      </c>
      <c r="F431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31" s="32" t="s">
        <v>102</v>
      </c>
      <c r="H431" s="33">
        <f t="shared" si="108"/>
        <v>23</v>
      </c>
      <c r="I431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ECP\Cantagallo\Cristalina\[CRISTALINA_CF_SEC_New_09-Feb-2024.xlsx]D-PDP'!$BW$23</v>
      </c>
      <c r="J431" s="37" t="s">
        <v>325</v>
      </c>
    </row>
    <row r="432" spans="1:10" x14ac:dyDescent="0.35">
      <c r="A432" s="32" t="s">
        <v>14</v>
      </c>
      <c r="B432" s="32">
        <f t="shared" si="107"/>
        <v>2035</v>
      </c>
      <c r="C432" s="33" t="s">
        <v>34</v>
      </c>
      <c r="D432" s="34" t="s">
        <v>128</v>
      </c>
      <c r="E432" s="35" t="str">
        <f t="shared" si="104"/>
        <v>PDP'!</v>
      </c>
      <c r="F432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32" s="32" t="s">
        <v>102</v>
      </c>
      <c r="H432" s="33">
        <f t="shared" si="108"/>
        <v>24</v>
      </c>
      <c r="I432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ECP\Cantagallo\Cristalina\[CRISTALINA_CF_SEC_New_09-Feb-2024.xlsx]D-PDP'!$BW$24</v>
      </c>
      <c r="J432" s="37" t="s">
        <v>326</v>
      </c>
    </row>
    <row r="433" spans="1:10" x14ac:dyDescent="0.35">
      <c r="A433" s="32" t="s">
        <v>14</v>
      </c>
      <c r="B433" s="32">
        <f t="shared" si="107"/>
        <v>2036</v>
      </c>
      <c r="C433" s="33" t="s">
        <v>34</v>
      </c>
      <c r="D433" s="34" t="s">
        <v>128</v>
      </c>
      <c r="E433" s="35" t="str">
        <f t="shared" si="104"/>
        <v>PDP'!</v>
      </c>
      <c r="F433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33" s="32" t="s">
        <v>102</v>
      </c>
      <c r="H433" s="33">
        <f t="shared" si="108"/>
        <v>25</v>
      </c>
      <c r="I433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ECP\Cantagallo\Cristalina\[CRISTALINA_CF_SEC_New_09-Feb-2024.xlsx]D-PDP'!$BW$25</v>
      </c>
      <c r="J433" s="37" t="s">
        <v>327</v>
      </c>
    </row>
    <row r="434" spans="1:10" x14ac:dyDescent="0.35">
      <c r="A434" s="32" t="s">
        <v>14</v>
      </c>
      <c r="B434" s="32">
        <f>+B433+1</f>
        <v>2037</v>
      </c>
      <c r="C434" s="33" t="s">
        <v>34</v>
      </c>
      <c r="D434" s="34" t="s">
        <v>128</v>
      </c>
      <c r="E434" s="35" t="str">
        <f t="shared" si="104"/>
        <v>PDP'!</v>
      </c>
      <c r="F434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34" s="32" t="s">
        <v>102</v>
      </c>
      <c r="H434" s="33">
        <f t="shared" si="108"/>
        <v>26</v>
      </c>
      <c r="I434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ECP\Cantagallo\Cristalina\[CRISTALINA_CF_SEC_New_09-Feb-2024.xlsx]D-PDP'!$BW$26</v>
      </c>
      <c r="J434" s="37" t="s">
        <v>328</v>
      </c>
    </row>
    <row r="435" spans="1:10" x14ac:dyDescent="0.35">
      <c r="A435" s="32" t="s">
        <v>14</v>
      </c>
      <c r="B435" s="32">
        <f t="shared" ref="B435:B437" si="109">+B434+1</f>
        <v>2038</v>
      </c>
      <c r="C435" s="33" t="s">
        <v>34</v>
      </c>
      <c r="D435" s="34" t="s">
        <v>128</v>
      </c>
      <c r="E435" s="35" t="str">
        <f t="shared" si="104"/>
        <v>PDP'!</v>
      </c>
      <c r="F435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35" s="32" t="s">
        <v>102</v>
      </c>
      <c r="H435" s="33">
        <f t="shared" si="108"/>
        <v>27</v>
      </c>
      <c r="I435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ECP\Cantagallo\Cristalina\[CRISTALINA_CF_SEC_New_09-Feb-2024.xlsx]D-PDP'!$BW$27</v>
      </c>
      <c r="J435" s="37" t="s">
        <v>329</v>
      </c>
    </row>
    <row r="436" spans="1:10" x14ac:dyDescent="0.35">
      <c r="A436" s="32" t="s">
        <v>14</v>
      </c>
      <c r="B436" s="32">
        <f t="shared" si="109"/>
        <v>2039</v>
      </c>
      <c r="C436" s="33" t="s">
        <v>34</v>
      </c>
      <c r="D436" s="34" t="s">
        <v>128</v>
      </c>
      <c r="E436" s="35" t="str">
        <f t="shared" si="104"/>
        <v>PDP'!</v>
      </c>
      <c r="F436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36" s="32" t="s">
        <v>102</v>
      </c>
      <c r="H436" s="33">
        <f t="shared" si="108"/>
        <v>28</v>
      </c>
      <c r="I436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ECP\Cantagallo\Cristalina\[CRISTALINA_CF_SEC_New_09-Feb-2024.xlsx]D-PDP'!$BW$28</v>
      </c>
      <c r="J436" s="37" t="s">
        <v>330</v>
      </c>
    </row>
    <row r="437" spans="1:10" x14ac:dyDescent="0.35">
      <c r="A437" s="32" t="s">
        <v>14</v>
      </c>
      <c r="B437" s="32">
        <f t="shared" si="109"/>
        <v>2040</v>
      </c>
      <c r="C437" s="33" t="s">
        <v>34</v>
      </c>
      <c r="D437" s="34" t="s">
        <v>128</v>
      </c>
      <c r="E437" s="35" t="str">
        <f t="shared" si="104"/>
        <v>PDP'!</v>
      </c>
      <c r="F437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37" s="32" t="s">
        <v>102</v>
      </c>
      <c r="H437" s="33">
        <f t="shared" si="108"/>
        <v>29</v>
      </c>
      <c r="I437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ECP\Cantagallo\Cristalina\[CRISTALINA_CF_SEC_New_09-Feb-2024.xlsx]D-PDP'!$BW$29</v>
      </c>
      <c r="J437" s="37" t="s">
        <v>331</v>
      </c>
    </row>
    <row r="438" spans="1:10" x14ac:dyDescent="0.35">
      <c r="A438" s="32" t="s">
        <v>14</v>
      </c>
      <c r="B438" s="32">
        <f>+B437+1</f>
        <v>2041</v>
      </c>
      <c r="C438" s="33" t="s">
        <v>34</v>
      </c>
      <c r="D438" s="34" t="s">
        <v>128</v>
      </c>
      <c r="E438" s="35" t="str">
        <f t="shared" si="104"/>
        <v>PDP'!</v>
      </c>
      <c r="F438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38" s="32" t="s">
        <v>102</v>
      </c>
      <c r="H438" s="33">
        <f t="shared" si="108"/>
        <v>30</v>
      </c>
      <c r="I438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ECP\Cantagallo\Cristalina\[CRISTALINA_CF_SEC_New_09-Feb-2024.xlsx]D-PDP'!$BW$30</v>
      </c>
      <c r="J438" s="37" t="s">
        <v>332</v>
      </c>
    </row>
    <row r="439" spans="1:10" x14ac:dyDescent="0.35">
      <c r="A439" s="32" t="s">
        <v>14</v>
      </c>
      <c r="B439" s="32">
        <f t="shared" ref="B439:B440" si="110">+B438+1</f>
        <v>2042</v>
      </c>
      <c r="C439" s="33" t="s">
        <v>34</v>
      </c>
      <c r="D439" s="34" t="s">
        <v>128</v>
      </c>
      <c r="E439" s="35" t="str">
        <f t="shared" si="104"/>
        <v>PDP'!</v>
      </c>
      <c r="F439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39" s="32" t="s">
        <v>102</v>
      </c>
      <c r="H439" s="33">
        <f t="shared" si="108"/>
        <v>31</v>
      </c>
      <c r="I439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ECP\Cantagallo\Cristalina\[CRISTALINA_CF_SEC_New_09-Feb-2024.xlsx]D-PDP'!$BW$31</v>
      </c>
      <c r="J439" s="37" t="s">
        <v>333</v>
      </c>
    </row>
    <row r="440" spans="1:10" x14ac:dyDescent="0.35">
      <c r="A440" s="32" t="s">
        <v>14</v>
      </c>
      <c r="B440" s="32">
        <f t="shared" si="110"/>
        <v>2043</v>
      </c>
      <c r="C440" s="33" t="s">
        <v>34</v>
      </c>
      <c r="D440" s="34" t="s">
        <v>128</v>
      </c>
      <c r="E440" s="35" t="str">
        <f t="shared" si="104"/>
        <v>PDP'!</v>
      </c>
      <c r="F440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40" s="32" t="s">
        <v>102</v>
      </c>
      <c r="H440" s="33">
        <f t="shared" si="108"/>
        <v>32</v>
      </c>
      <c r="I440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ECP\Cantagallo\Cristalina\[CRISTALINA_CF_SEC_New_09-Feb-2024.xlsx]D-PDP'!$BW$32</v>
      </c>
      <c r="J440" s="37" t="s">
        <v>334</v>
      </c>
    </row>
    <row r="441" spans="1:10" x14ac:dyDescent="0.35">
      <c r="A441" s="32" t="s">
        <v>14</v>
      </c>
      <c r="B441" s="32">
        <f>+B440+1</f>
        <v>2044</v>
      </c>
      <c r="C441" s="33" t="s">
        <v>34</v>
      </c>
      <c r="D441" s="34" t="s">
        <v>128</v>
      </c>
      <c r="E441" s="35" t="str">
        <f t="shared" ref="E441:E456" si="111">_xlfn.CONCAT(A441,"'!")</f>
        <v>PDP'!</v>
      </c>
      <c r="F441" s="34" t="str">
        <f t="shared" ref="F441:F456" si="112">_xlfn.CONCAT(D441:E441)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41" s="32" t="s">
        <v>102</v>
      </c>
      <c r="H441" s="33">
        <f t="shared" ref="H441:H456" si="113">IF(A441&lt;&gt;A440,12,H440+1)</f>
        <v>33</v>
      </c>
      <c r="I441" s="33" t="str">
        <f t="shared" ref="I441:I456" si="114">_xlfn.CONCAT("='",F441:H441)</f>
        <v>='C:\Users\jaime.benazar\Quorum Business Solutions\Ecopetrol Prometeo - Documents\Planning Space Implementation\3. Analysis &amp; Design\Design\FC22\DRR Jaime\Por presentar a ECP\Cantagallo\Cristalina\[CRISTALINA_CF_SEC_New_09-Feb-2024.xlsx]D-PDP'!$BW$33</v>
      </c>
      <c r="J441" s="37" t="s">
        <v>335</v>
      </c>
    </row>
    <row r="442" spans="1:10" x14ac:dyDescent="0.35">
      <c r="A442" s="32" t="s">
        <v>14</v>
      </c>
      <c r="B442" s="32">
        <f t="shared" ref="B442:B456" si="115">+B441+1</f>
        <v>2045</v>
      </c>
      <c r="C442" s="33" t="s">
        <v>34</v>
      </c>
      <c r="D442" s="34" t="s">
        <v>128</v>
      </c>
      <c r="E442" s="35" t="str">
        <f t="shared" si="111"/>
        <v>PDP'!</v>
      </c>
      <c r="F442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42" s="32" t="s">
        <v>102</v>
      </c>
      <c r="H442" s="33">
        <f t="shared" si="113"/>
        <v>34</v>
      </c>
      <c r="I442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ECP\Cantagallo\Cristalina\[CRISTALINA_CF_SEC_New_09-Feb-2024.xlsx]D-PDP'!$BW$34</v>
      </c>
      <c r="J442" s="37" t="s">
        <v>336</v>
      </c>
    </row>
    <row r="443" spans="1:10" x14ac:dyDescent="0.35">
      <c r="A443" s="32" t="s">
        <v>14</v>
      </c>
      <c r="B443" s="32">
        <f t="shared" si="115"/>
        <v>2046</v>
      </c>
      <c r="C443" s="33" t="s">
        <v>34</v>
      </c>
      <c r="D443" s="34" t="s">
        <v>128</v>
      </c>
      <c r="E443" s="35" t="str">
        <f t="shared" si="111"/>
        <v>PDP'!</v>
      </c>
      <c r="F443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43" s="32" t="s">
        <v>102</v>
      </c>
      <c r="H443" s="33">
        <f t="shared" si="113"/>
        <v>35</v>
      </c>
      <c r="I443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ECP\Cantagallo\Cristalina\[CRISTALINA_CF_SEC_New_09-Feb-2024.xlsx]D-PDP'!$BW$35</v>
      </c>
      <c r="J443" s="37" t="s">
        <v>337</v>
      </c>
    </row>
    <row r="444" spans="1:10" x14ac:dyDescent="0.35">
      <c r="A444" s="32" t="s">
        <v>14</v>
      </c>
      <c r="B444" s="32">
        <f t="shared" si="115"/>
        <v>2047</v>
      </c>
      <c r="C444" s="33" t="s">
        <v>34</v>
      </c>
      <c r="D444" s="34" t="s">
        <v>128</v>
      </c>
      <c r="E444" s="35" t="str">
        <f t="shared" si="111"/>
        <v>PDP'!</v>
      </c>
      <c r="F444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44" s="32" t="s">
        <v>102</v>
      </c>
      <c r="H444" s="33">
        <f t="shared" si="113"/>
        <v>36</v>
      </c>
      <c r="I444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ECP\Cantagallo\Cristalina\[CRISTALINA_CF_SEC_New_09-Feb-2024.xlsx]D-PDP'!$BW$36</v>
      </c>
      <c r="J444" s="37" t="s">
        <v>338</v>
      </c>
    </row>
    <row r="445" spans="1:10" x14ac:dyDescent="0.35">
      <c r="A445" s="32" t="s">
        <v>14</v>
      </c>
      <c r="B445" s="32">
        <f t="shared" si="115"/>
        <v>2048</v>
      </c>
      <c r="C445" s="33" t="s">
        <v>34</v>
      </c>
      <c r="D445" s="34" t="s">
        <v>128</v>
      </c>
      <c r="E445" s="35" t="str">
        <f t="shared" si="111"/>
        <v>PDP'!</v>
      </c>
      <c r="F445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45" s="32" t="s">
        <v>102</v>
      </c>
      <c r="H445" s="33">
        <f t="shared" si="113"/>
        <v>37</v>
      </c>
      <c r="I445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ECP\Cantagallo\Cristalina\[CRISTALINA_CF_SEC_New_09-Feb-2024.xlsx]D-PDP'!$BW$37</v>
      </c>
      <c r="J445" s="37" t="s">
        <v>339</v>
      </c>
    </row>
    <row r="446" spans="1:10" x14ac:dyDescent="0.35">
      <c r="A446" s="32" t="s">
        <v>14</v>
      </c>
      <c r="B446" s="32">
        <f t="shared" si="115"/>
        <v>2049</v>
      </c>
      <c r="C446" s="33" t="s">
        <v>34</v>
      </c>
      <c r="D446" s="34" t="s">
        <v>128</v>
      </c>
      <c r="E446" s="35" t="str">
        <f t="shared" si="111"/>
        <v>PDP'!</v>
      </c>
      <c r="F446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46" s="32" t="s">
        <v>102</v>
      </c>
      <c r="H446" s="33">
        <f t="shared" si="113"/>
        <v>38</v>
      </c>
      <c r="I446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ECP\Cantagallo\Cristalina\[CRISTALINA_CF_SEC_New_09-Feb-2024.xlsx]D-PDP'!$BW$38</v>
      </c>
      <c r="J446" s="37" t="s">
        <v>340</v>
      </c>
    </row>
    <row r="447" spans="1:10" x14ac:dyDescent="0.35">
      <c r="A447" s="32" t="s">
        <v>14</v>
      </c>
      <c r="B447" s="32">
        <f t="shared" si="115"/>
        <v>2050</v>
      </c>
      <c r="C447" s="33" t="s">
        <v>34</v>
      </c>
      <c r="D447" s="34" t="s">
        <v>128</v>
      </c>
      <c r="E447" s="35" t="str">
        <f t="shared" si="111"/>
        <v>PDP'!</v>
      </c>
      <c r="F447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47" s="32" t="s">
        <v>102</v>
      </c>
      <c r="H447" s="33">
        <f t="shared" si="113"/>
        <v>39</v>
      </c>
      <c r="I447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ECP\Cantagallo\Cristalina\[CRISTALINA_CF_SEC_New_09-Feb-2024.xlsx]D-PDP'!$BW$39</v>
      </c>
      <c r="J447" s="37" t="s">
        <v>341</v>
      </c>
    </row>
    <row r="448" spans="1:10" x14ac:dyDescent="0.35">
      <c r="A448" s="32" t="s">
        <v>14</v>
      </c>
      <c r="B448" s="32">
        <f t="shared" si="115"/>
        <v>2051</v>
      </c>
      <c r="C448" s="33" t="s">
        <v>34</v>
      </c>
      <c r="D448" s="34" t="s">
        <v>128</v>
      </c>
      <c r="E448" s="35" t="str">
        <f t="shared" si="111"/>
        <v>PDP'!</v>
      </c>
      <c r="F448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48" s="32" t="s">
        <v>102</v>
      </c>
      <c r="H448" s="33">
        <f t="shared" si="113"/>
        <v>40</v>
      </c>
      <c r="I448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ECP\Cantagallo\Cristalina\[CRISTALINA_CF_SEC_New_09-Feb-2024.xlsx]D-PDP'!$BW$40</v>
      </c>
      <c r="J448" s="37" t="s">
        <v>342</v>
      </c>
    </row>
    <row r="449" spans="1:10" x14ac:dyDescent="0.35">
      <c r="A449" s="32" t="s">
        <v>14</v>
      </c>
      <c r="B449" s="32">
        <f t="shared" si="115"/>
        <v>2052</v>
      </c>
      <c r="C449" s="33" t="s">
        <v>34</v>
      </c>
      <c r="D449" s="34" t="s">
        <v>128</v>
      </c>
      <c r="E449" s="35" t="str">
        <f t="shared" si="111"/>
        <v>PDP'!</v>
      </c>
      <c r="F449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49" s="32" t="s">
        <v>102</v>
      </c>
      <c r="H449" s="33">
        <f t="shared" si="113"/>
        <v>41</v>
      </c>
      <c r="I449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ECP\Cantagallo\Cristalina\[CRISTALINA_CF_SEC_New_09-Feb-2024.xlsx]D-PDP'!$BW$41</v>
      </c>
      <c r="J449" s="37" t="s">
        <v>343</v>
      </c>
    </row>
    <row r="450" spans="1:10" x14ac:dyDescent="0.35">
      <c r="A450" s="32" t="s">
        <v>14</v>
      </c>
      <c r="B450" s="32">
        <f t="shared" si="115"/>
        <v>2053</v>
      </c>
      <c r="C450" s="33" t="s">
        <v>34</v>
      </c>
      <c r="D450" s="34" t="s">
        <v>128</v>
      </c>
      <c r="E450" s="35" t="str">
        <f t="shared" si="111"/>
        <v>PDP'!</v>
      </c>
      <c r="F450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50" s="32" t="s">
        <v>102</v>
      </c>
      <c r="H450" s="33">
        <f t="shared" si="113"/>
        <v>42</v>
      </c>
      <c r="I450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ECP\Cantagallo\Cristalina\[CRISTALINA_CF_SEC_New_09-Feb-2024.xlsx]D-PDP'!$BW$42</v>
      </c>
      <c r="J450" s="37" t="s">
        <v>344</v>
      </c>
    </row>
    <row r="451" spans="1:10" x14ac:dyDescent="0.35">
      <c r="A451" s="32" t="s">
        <v>14</v>
      </c>
      <c r="B451" s="32">
        <f t="shared" si="115"/>
        <v>2054</v>
      </c>
      <c r="C451" s="33" t="s">
        <v>34</v>
      </c>
      <c r="D451" s="34" t="s">
        <v>128</v>
      </c>
      <c r="E451" s="35" t="str">
        <f t="shared" si="111"/>
        <v>PDP'!</v>
      </c>
      <c r="F451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51" s="32" t="s">
        <v>102</v>
      </c>
      <c r="H451" s="33">
        <f t="shared" si="113"/>
        <v>43</v>
      </c>
      <c r="I451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ECP\Cantagallo\Cristalina\[CRISTALINA_CF_SEC_New_09-Feb-2024.xlsx]D-PDP'!$BW$43</v>
      </c>
      <c r="J451" s="37" t="s">
        <v>345</v>
      </c>
    </row>
    <row r="452" spans="1:10" x14ac:dyDescent="0.35">
      <c r="A452" s="32" t="s">
        <v>14</v>
      </c>
      <c r="B452" s="32">
        <f t="shared" si="115"/>
        <v>2055</v>
      </c>
      <c r="C452" s="33" t="s">
        <v>34</v>
      </c>
      <c r="D452" s="34" t="s">
        <v>128</v>
      </c>
      <c r="E452" s="35" t="str">
        <f t="shared" si="111"/>
        <v>PDP'!</v>
      </c>
      <c r="F452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52" s="32" t="s">
        <v>102</v>
      </c>
      <c r="H452" s="33">
        <f t="shared" si="113"/>
        <v>44</v>
      </c>
      <c r="I452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ECP\Cantagallo\Cristalina\[CRISTALINA_CF_SEC_New_09-Feb-2024.xlsx]D-PDP'!$BW$44</v>
      </c>
      <c r="J452" s="37" t="s">
        <v>346</v>
      </c>
    </row>
    <row r="453" spans="1:10" x14ac:dyDescent="0.35">
      <c r="A453" s="32" t="s">
        <v>14</v>
      </c>
      <c r="B453" s="32">
        <f t="shared" si="115"/>
        <v>2056</v>
      </c>
      <c r="C453" s="33" t="s">
        <v>34</v>
      </c>
      <c r="D453" s="34" t="s">
        <v>128</v>
      </c>
      <c r="E453" s="35" t="str">
        <f t="shared" si="111"/>
        <v>PDP'!</v>
      </c>
      <c r="F453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53" s="32" t="s">
        <v>102</v>
      </c>
      <c r="H453" s="33">
        <f t="shared" si="113"/>
        <v>45</v>
      </c>
      <c r="I453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ECP\Cantagallo\Cristalina\[CRISTALINA_CF_SEC_New_09-Feb-2024.xlsx]D-PDP'!$BW$45</v>
      </c>
      <c r="J453" s="37" t="s">
        <v>347</v>
      </c>
    </row>
    <row r="454" spans="1:10" x14ac:dyDescent="0.35">
      <c r="A454" s="32" t="s">
        <v>14</v>
      </c>
      <c r="B454" s="32">
        <f t="shared" si="115"/>
        <v>2057</v>
      </c>
      <c r="C454" s="33" t="s">
        <v>34</v>
      </c>
      <c r="D454" s="34" t="s">
        <v>128</v>
      </c>
      <c r="E454" s="35" t="str">
        <f t="shared" si="111"/>
        <v>PDP'!</v>
      </c>
      <c r="F454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54" s="32" t="s">
        <v>102</v>
      </c>
      <c r="H454" s="33">
        <f t="shared" si="113"/>
        <v>46</v>
      </c>
      <c r="I454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ECP\Cantagallo\Cristalina\[CRISTALINA_CF_SEC_New_09-Feb-2024.xlsx]D-PDP'!$BW$46</v>
      </c>
      <c r="J454" s="37" t="s">
        <v>348</v>
      </c>
    </row>
    <row r="455" spans="1:10" x14ac:dyDescent="0.35">
      <c r="A455" s="32" t="s">
        <v>14</v>
      </c>
      <c r="B455" s="32">
        <f t="shared" si="115"/>
        <v>2058</v>
      </c>
      <c r="C455" s="33" t="s">
        <v>34</v>
      </c>
      <c r="D455" s="34" t="s">
        <v>128</v>
      </c>
      <c r="E455" s="35" t="str">
        <f t="shared" si="111"/>
        <v>PDP'!</v>
      </c>
      <c r="F455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55" s="32" t="s">
        <v>102</v>
      </c>
      <c r="H455" s="33">
        <f t="shared" si="113"/>
        <v>47</v>
      </c>
      <c r="I455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ECP\Cantagallo\Cristalina\[CRISTALINA_CF_SEC_New_09-Feb-2024.xlsx]D-PDP'!$BW$47</v>
      </c>
      <c r="J455" s="37" t="s">
        <v>349</v>
      </c>
    </row>
    <row r="456" spans="1:10" x14ac:dyDescent="0.35">
      <c r="A456" s="32" t="s">
        <v>14</v>
      </c>
      <c r="B456" s="32">
        <f t="shared" si="115"/>
        <v>2059</v>
      </c>
      <c r="C456" s="33" t="s">
        <v>34</v>
      </c>
      <c r="D456" s="34" t="s">
        <v>128</v>
      </c>
      <c r="E456" s="35" t="str">
        <f t="shared" si="111"/>
        <v>PDP'!</v>
      </c>
      <c r="F456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56" s="32" t="s">
        <v>102</v>
      </c>
      <c r="H456" s="33">
        <f t="shared" si="113"/>
        <v>48</v>
      </c>
      <c r="I456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ECP\Cantagallo\Cristalina\[CRISTALINA_CF_SEC_New_09-Feb-2024.xlsx]D-PDP'!$BW$48</v>
      </c>
      <c r="J456" s="37" t="s">
        <v>350</v>
      </c>
    </row>
    <row r="457" spans="1:10" x14ac:dyDescent="0.35">
      <c r="A457" s="32" t="s">
        <v>26</v>
      </c>
      <c r="B457" s="32"/>
      <c r="C457" s="33" t="s">
        <v>34</v>
      </c>
      <c r="D457" s="34"/>
      <c r="E457" s="35"/>
      <c r="F457" s="34"/>
      <c r="G457" s="32"/>
      <c r="H457" s="33"/>
      <c r="I457" s="33"/>
      <c r="J457" s="33"/>
    </row>
    <row r="458" spans="1:10" x14ac:dyDescent="0.35">
      <c r="A458" s="32" t="s">
        <v>15</v>
      </c>
      <c r="B458" s="32">
        <v>2023</v>
      </c>
      <c r="C458" s="33" t="s">
        <v>34</v>
      </c>
      <c r="D458" s="34" t="s">
        <v>128</v>
      </c>
      <c r="E458" s="35" t="str">
        <f t="shared" si="104"/>
        <v>PNP'!</v>
      </c>
      <c r="F458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58" s="32" t="s">
        <v>102</v>
      </c>
      <c r="H458" s="33">
        <v>12</v>
      </c>
      <c r="I458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ECP\Cantagallo\Cristalina\[CRISTALINA_CF_SEC_New_09-Feb-2024.xlsx]D-PNP'!$BW$12</v>
      </c>
      <c r="J458" s="37" t="s">
        <v>351</v>
      </c>
    </row>
    <row r="459" spans="1:10" x14ac:dyDescent="0.35">
      <c r="A459" s="32" t="s">
        <v>15</v>
      </c>
      <c r="B459" s="32">
        <f>+B458+1</f>
        <v>2024</v>
      </c>
      <c r="C459" s="33" t="s">
        <v>34</v>
      </c>
      <c r="D459" s="34" t="s">
        <v>128</v>
      </c>
      <c r="E459" s="35" t="str">
        <f t="shared" si="104"/>
        <v>PNP'!</v>
      </c>
      <c r="F459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59" s="32" t="s">
        <v>102</v>
      </c>
      <c r="H459" s="33">
        <f>IF(A459&lt;&gt;A458,12,H458+1)</f>
        <v>13</v>
      </c>
      <c r="I459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ECP\Cantagallo\Cristalina\[CRISTALINA_CF_SEC_New_09-Feb-2024.xlsx]D-PNP'!$BW$13</v>
      </c>
      <c r="J459" s="37" t="s">
        <v>352</v>
      </c>
    </row>
    <row r="460" spans="1:10" x14ac:dyDescent="0.35">
      <c r="A460" s="32" t="s">
        <v>15</v>
      </c>
      <c r="B460" s="32">
        <f t="shared" ref="B460:B471" si="116">+B459+1</f>
        <v>2025</v>
      </c>
      <c r="C460" s="33" t="s">
        <v>34</v>
      </c>
      <c r="D460" s="34" t="s">
        <v>128</v>
      </c>
      <c r="E460" s="35" t="str">
        <f t="shared" si="104"/>
        <v>PNP'!</v>
      </c>
      <c r="F460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60" s="32" t="s">
        <v>102</v>
      </c>
      <c r="H460" s="33">
        <f t="shared" ref="H460:H478" si="117">IF(A460&lt;&gt;A459,12,H459+1)</f>
        <v>14</v>
      </c>
      <c r="I460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ECP\Cantagallo\Cristalina\[CRISTALINA_CF_SEC_New_09-Feb-2024.xlsx]D-PNP'!$BW$14</v>
      </c>
      <c r="J460" s="37" t="s">
        <v>353</v>
      </c>
    </row>
    <row r="461" spans="1:10" x14ac:dyDescent="0.35">
      <c r="A461" s="32" t="s">
        <v>15</v>
      </c>
      <c r="B461" s="32">
        <f t="shared" si="116"/>
        <v>2026</v>
      </c>
      <c r="C461" s="33" t="s">
        <v>34</v>
      </c>
      <c r="D461" s="34" t="s">
        <v>128</v>
      </c>
      <c r="E461" s="35" t="str">
        <f t="shared" si="104"/>
        <v>PNP'!</v>
      </c>
      <c r="F461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61" s="32" t="s">
        <v>102</v>
      </c>
      <c r="H461" s="33">
        <f t="shared" si="117"/>
        <v>15</v>
      </c>
      <c r="I461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ECP\Cantagallo\Cristalina\[CRISTALINA_CF_SEC_New_09-Feb-2024.xlsx]D-PNP'!$BW$15</v>
      </c>
      <c r="J461" s="37" t="s">
        <v>354</v>
      </c>
    </row>
    <row r="462" spans="1:10" x14ac:dyDescent="0.35">
      <c r="A462" s="32" t="s">
        <v>15</v>
      </c>
      <c r="B462" s="32">
        <f t="shared" si="116"/>
        <v>2027</v>
      </c>
      <c r="C462" s="33" t="s">
        <v>34</v>
      </c>
      <c r="D462" s="34" t="s">
        <v>128</v>
      </c>
      <c r="E462" s="35" t="str">
        <f t="shared" si="104"/>
        <v>PNP'!</v>
      </c>
      <c r="F462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62" s="32" t="s">
        <v>102</v>
      </c>
      <c r="H462" s="33">
        <f t="shared" si="117"/>
        <v>16</v>
      </c>
      <c r="I462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ECP\Cantagallo\Cristalina\[CRISTALINA_CF_SEC_New_09-Feb-2024.xlsx]D-PNP'!$BW$16</v>
      </c>
      <c r="J462" s="37" t="s">
        <v>355</v>
      </c>
    </row>
    <row r="463" spans="1:10" x14ac:dyDescent="0.35">
      <c r="A463" s="32" t="s">
        <v>15</v>
      </c>
      <c r="B463" s="32">
        <f t="shared" si="116"/>
        <v>2028</v>
      </c>
      <c r="C463" s="33" t="s">
        <v>34</v>
      </c>
      <c r="D463" s="34" t="s">
        <v>128</v>
      </c>
      <c r="E463" s="35" t="str">
        <f t="shared" si="104"/>
        <v>PNP'!</v>
      </c>
      <c r="F463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63" s="32" t="s">
        <v>102</v>
      </c>
      <c r="H463" s="33">
        <f t="shared" si="117"/>
        <v>17</v>
      </c>
      <c r="I463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ECP\Cantagallo\Cristalina\[CRISTALINA_CF_SEC_New_09-Feb-2024.xlsx]D-PNP'!$BW$17</v>
      </c>
      <c r="J463" s="37" t="s">
        <v>356</v>
      </c>
    </row>
    <row r="464" spans="1:10" x14ac:dyDescent="0.35">
      <c r="A464" s="32" t="s">
        <v>15</v>
      </c>
      <c r="B464" s="32">
        <f t="shared" si="116"/>
        <v>2029</v>
      </c>
      <c r="C464" s="33" t="s">
        <v>34</v>
      </c>
      <c r="D464" s="34" t="s">
        <v>128</v>
      </c>
      <c r="E464" s="35" t="str">
        <f t="shared" si="104"/>
        <v>PNP'!</v>
      </c>
      <c r="F464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64" s="32" t="s">
        <v>102</v>
      </c>
      <c r="H464" s="33">
        <f t="shared" si="117"/>
        <v>18</v>
      </c>
      <c r="I464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ECP\Cantagallo\Cristalina\[CRISTALINA_CF_SEC_New_09-Feb-2024.xlsx]D-PNP'!$BW$18</v>
      </c>
      <c r="J464" s="37" t="s">
        <v>357</v>
      </c>
    </row>
    <row r="465" spans="1:10" x14ac:dyDescent="0.35">
      <c r="A465" s="32" t="s">
        <v>15</v>
      </c>
      <c r="B465" s="32">
        <f t="shared" si="116"/>
        <v>2030</v>
      </c>
      <c r="C465" s="33" t="s">
        <v>34</v>
      </c>
      <c r="D465" s="34" t="s">
        <v>128</v>
      </c>
      <c r="E465" s="35" t="str">
        <f t="shared" si="104"/>
        <v>PNP'!</v>
      </c>
      <c r="F465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65" s="32" t="s">
        <v>102</v>
      </c>
      <c r="H465" s="33">
        <f t="shared" si="117"/>
        <v>19</v>
      </c>
      <c r="I465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ECP\Cantagallo\Cristalina\[CRISTALINA_CF_SEC_New_09-Feb-2024.xlsx]D-PNP'!$BW$19</v>
      </c>
      <c r="J465" s="37" t="s">
        <v>358</v>
      </c>
    </row>
    <row r="466" spans="1:10" x14ac:dyDescent="0.35">
      <c r="A466" s="32" t="s">
        <v>15</v>
      </c>
      <c r="B466" s="32">
        <f t="shared" si="116"/>
        <v>2031</v>
      </c>
      <c r="C466" s="33" t="s">
        <v>34</v>
      </c>
      <c r="D466" s="34" t="s">
        <v>128</v>
      </c>
      <c r="E466" s="35" t="str">
        <f t="shared" si="104"/>
        <v>PNP'!</v>
      </c>
      <c r="F466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66" s="32" t="s">
        <v>102</v>
      </c>
      <c r="H466" s="33">
        <f t="shared" si="117"/>
        <v>20</v>
      </c>
      <c r="I466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ECP\Cantagallo\Cristalina\[CRISTALINA_CF_SEC_New_09-Feb-2024.xlsx]D-PNP'!$BW$20</v>
      </c>
      <c r="J466" s="37" t="s">
        <v>359</v>
      </c>
    </row>
    <row r="467" spans="1:10" x14ac:dyDescent="0.35">
      <c r="A467" s="32" t="s">
        <v>15</v>
      </c>
      <c r="B467" s="32">
        <f t="shared" si="116"/>
        <v>2032</v>
      </c>
      <c r="C467" s="33" t="s">
        <v>34</v>
      </c>
      <c r="D467" s="34" t="s">
        <v>128</v>
      </c>
      <c r="E467" s="35" t="str">
        <f t="shared" si="104"/>
        <v>PNP'!</v>
      </c>
      <c r="F467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67" s="32" t="s">
        <v>102</v>
      </c>
      <c r="H467" s="33">
        <f t="shared" si="117"/>
        <v>21</v>
      </c>
      <c r="I467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ECP\Cantagallo\Cristalina\[CRISTALINA_CF_SEC_New_09-Feb-2024.xlsx]D-PNP'!$BW$21</v>
      </c>
      <c r="J467" s="37" t="s">
        <v>360</v>
      </c>
    </row>
    <row r="468" spans="1:10" x14ac:dyDescent="0.35">
      <c r="A468" s="32" t="s">
        <v>15</v>
      </c>
      <c r="B468" s="32">
        <f t="shared" si="116"/>
        <v>2033</v>
      </c>
      <c r="C468" s="33" t="s">
        <v>34</v>
      </c>
      <c r="D468" s="34" t="s">
        <v>128</v>
      </c>
      <c r="E468" s="35" t="str">
        <f t="shared" si="104"/>
        <v>PNP'!</v>
      </c>
      <c r="F468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68" s="32" t="s">
        <v>102</v>
      </c>
      <c r="H468" s="33">
        <f t="shared" si="117"/>
        <v>22</v>
      </c>
      <c r="I468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ECP\Cantagallo\Cristalina\[CRISTALINA_CF_SEC_New_09-Feb-2024.xlsx]D-PNP'!$BW$22</v>
      </c>
      <c r="J468" s="37" t="s">
        <v>361</v>
      </c>
    </row>
    <row r="469" spans="1:10" x14ac:dyDescent="0.35">
      <c r="A469" s="32" t="s">
        <v>15</v>
      </c>
      <c r="B469" s="32">
        <f t="shared" si="116"/>
        <v>2034</v>
      </c>
      <c r="C469" s="33" t="s">
        <v>34</v>
      </c>
      <c r="D469" s="34" t="s">
        <v>128</v>
      </c>
      <c r="E469" s="35" t="str">
        <f t="shared" si="104"/>
        <v>PNP'!</v>
      </c>
      <c r="F469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69" s="32" t="s">
        <v>102</v>
      </c>
      <c r="H469" s="33">
        <f t="shared" si="117"/>
        <v>23</v>
      </c>
      <c r="I469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ECP\Cantagallo\Cristalina\[CRISTALINA_CF_SEC_New_09-Feb-2024.xlsx]D-PNP'!$BW$23</v>
      </c>
      <c r="J469" s="37" t="s">
        <v>362</v>
      </c>
    </row>
    <row r="470" spans="1:10" x14ac:dyDescent="0.35">
      <c r="A470" s="32" t="s">
        <v>15</v>
      </c>
      <c r="B470" s="32">
        <f t="shared" si="116"/>
        <v>2035</v>
      </c>
      <c r="C470" s="33" t="s">
        <v>34</v>
      </c>
      <c r="D470" s="34" t="s">
        <v>128</v>
      </c>
      <c r="E470" s="35" t="str">
        <f t="shared" si="104"/>
        <v>PNP'!</v>
      </c>
      <c r="F470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70" s="32" t="s">
        <v>102</v>
      </c>
      <c r="H470" s="33">
        <f t="shared" si="117"/>
        <v>24</v>
      </c>
      <c r="I470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ECP\Cantagallo\Cristalina\[CRISTALINA_CF_SEC_New_09-Feb-2024.xlsx]D-PNP'!$BW$24</v>
      </c>
      <c r="J470" s="37" t="s">
        <v>363</v>
      </c>
    </row>
    <row r="471" spans="1:10" x14ac:dyDescent="0.35">
      <c r="A471" s="32" t="s">
        <v>15</v>
      </c>
      <c r="B471" s="32">
        <f t="shared" si="116"/>
        <v>2036</v>
      </c>
      <c r="C471" s="33" t="s">
        <v>34</v>
      </c>
      <c r="D471" s="34" t="s">
        <v>128</v>
      </c>
      <c r="E471" s="35" t="str">
        <f t="shared" si="104"/>
        <v>PNP'!</v>
      </c>
      <c r="F471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71" s="32" t="s">
        <v>102</v>
      </c>
      <c r="H471" s="33">
        <f t="shared" si="117"/>
        <v>25</v>
      </c>
      <c r="I471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ECP\Cantagallo\Cristalina\[CRISTALINA_CF_SEC_New_09-Feb-2024.xlsx]D-PNP'!$BW$25</v>
      </c>
      <c r="J471" s="37" t="s">
        <v>364</v>
      </c>
    </row>
    <row r="472" spans="1:10" x14ac:dyDescent="0.35">
      <c r="A472" s="32" t="s">
        <v>15</v>
      </c>
      <c r="B472" s="32">
        <f>+B471+1</f>
        <v>2037</v>
      </c>
      <c r="C472" s="33" t="s">
        <v>34</v>
      </c>
      <c r="D472" s="34" t="s">
        <v>128</v>
      </c>
      <c r="E472" s="35" t="str">
        <f t="shared" si="104"/>
        <v>PNP'!</v>
      </c>
      <c r="F472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72" s="32" t="s">
        <v>102</v>
      </c>
      <c r="H472" s="33">
        <f t="shared" si="117"/>
        <v>26</v>
      </c>
      <c r="I472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ECP\Cantagallo\Cristalina\[CRISTALINA_CF_SEC_New_09-Feb-2024.xlsx]D-PNP'!$BW$26</v>
      </c>
      <c r="J472" s="37" t="s">
        <v>365</v>
      </c>
    </row>
    <row r="473" spans="1:10" x14ac:dyDescent="0.35">
      <c r="A473" s="32" t="s">
        <v>15</v>
      </c>
      <c r="B473" s="32">
        <f t="shared" ref="B473:B475" si="118">+B472+1</f>
        <v>2038</v>
      </c>
      <c r="C473" s="33" t="s">
        <v>34</v>
      </c>
      <c r="D473" s="34" t="s">
        <v>128</v>
      </c>
      <c r="E473" s="35" t="str">
        <f t="shared" si="104"/>
        <v>PNP'!</v>
      </c>
      <c r="F473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73" s="32" t="s">
        <v>102</v>
      </c>
      <c r="H473" s="33">
        <f t="shared" si="117"/>
        <v>27</v>
      </c>
      <c r="I473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ECP\Cantagallo\Cristalina\[CRISTALINA_CF_SEC_New_09-Feb-2024.xlsx]D-PNP'!$BW$27</v>
      </c>
      <c r="J473" s="37" t="s">
        <v>366</v>
      </c>
    </row>
    <row r="474" spans="1:10" x14ac:dyDescent="0.35">
      <c r="A474" s="32" t="s">
        <v>15</v>
      </c>
      <c r="B474" s="32">
        <f t="shared" si="118"/>
        <v>2039</v>
      </c>
      <c r="C474" s="33" t="s">
        <v>34</v>
      </c>
      <c r="D474" s="34" t="s">
        <v>128</v>
      </c>
      <c r="E474" s="35" t="str">
        <f t="shared" si="104"/>
        <v>PNP'!</v>
      </c>
      <c r="F474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74" s="32" t="s">
        <v>102</v>
      </c>
      <c r="H474" s="33">
        <f t="shared" si="117"/>
        <v>28</v>
      </c>
      <c r="I474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ECP\Cantagallo\Cristalina\[CRISTALINA_CF_SEC_New_09-Feb-2024.xlsx]D-PNP'!$BW$28</v>
      </c>
      <c r="J474" s="37" t="s">
        <v>367</v>
      </c>
    </row>
    <row r="475" spans="1:10" x14ac:dyDescent="0.35">
      <c r="A475" s="32" t="s">
        <v>15</v>
      </c>
      <c r="B475" s="32">
        <f t="shared" si="118"/>
        <v>2040</v>
      </c>
      <c r="C475" s="33" t="s">
        <v>34</v>
      </c>
      <c r="D475" s="34" t="s">
        <v>128</v>
      </c>
      <c r="E475" s="35" t="str">
        <f t="shared" si="104"/>
        <v>PNP'!</v>
      </c>
      <c r="F475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75" s="32" t="s">
        <v>102</v>
      </c>
      <c r="H475" s="33">
        <f t="shared" si="117"/>
        <v>29</v>
      </c>
      <c r="I475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ECP\Cantagallo\Cristalina\[CRISTALINA_CF_SEC_New_09-Feb-2024.xlsx]D-PNP'!$BW$29</v>
      </c>
      <c r="J475" s="37" t="s">
        <v>368</v>
      </c>
    </row>
    <row r="476" spans="1:10" x14ac:dyDescent="0.35">
      <c r="A476" s="32" t="s">
        <v>15</v>
      </c>
      <c r="B476" s="32">
        <f>+B475+1</f>
        <v>2041</v>
      </c>
      <c r="C476" s="33" t="s">
        <v>34</v>
      </c>
      <c r="D476" s="34" t="s">
        <v>128</v>
      </c>
      <c r="E476" s="35" t="str">
        <f t="shared" si="104"/>
        <v>PNP'!</v>
      </c>
      <c r="F476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76" s="32" t="s">
        <v>102</v>
      </c>
      <c r="H476" s="33">
        <f t="shared" si="117"/>
        <v>30</v>
      </c>
      <c r="I476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ECP\Cantagallo\Cristalina\[CRISTALINA_CF_SEC_New_09-Feb-2024.xlsx]D-PNP'!$BW$30</v>
      </c>
      <c r="J476" s="37" t="s">
        <v>369</v>
      </c>
    </row>
    <row r="477" spans="1:10" x14ac:dyDescent="0.35">
      <c r="A477" s="32" t="s">
        <v>15</v>
      </c>
      <c r="B477" s="32">
        <f t="shared" ref="B477:B478" si="119">+B476+1</f>
        <v>2042</v>
      </c>
      <c r="C477" s="33" t="s">
        <v>34</v>
      </c>
      <c r="D477" s="34" t="s">
        <v>128</v>
      </c>
      <c r="E477" s="35" t="str">
        <f t="shared" si="104"/>
        <v>PNP'!</v>
      </c>
      <c r="F477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77" s="32" t="s">
        <v>102</v>
      </c>
      <c r="H477" s="33">
        <f t="shared" si="117"/>
        <v>31</v>
      </c>
      <c r="I477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ECP\Cantagallo\Cristalina\[CRISTALINA_CF_SEC_New_09-Feb-2024.xlsx]D-PNP'!$BW$31</v>
      </c>
      <c r="J477" s="37" t="s">
        <v>370</v>
      </c>
    </row>
    <row r="478" spans="1:10" x14ac:dyDescent="0.35">
      <c r="A478" s="32" t="s">
        <v>15</v>
      </c>
      <c r="B478" s="32">
        <f t="shared" si="119"/>
        <v>2043</v>
      </c>
      <c r="C478" s="33" t="s">
        <v>34</v>
      </c>
      <c r="D478" s="34" t="s">
        <v>128</v>
      </c>
      <c r="E478" s="35" t="str">
        <f t="shared" si="104"/>
        <v>PNP'!</v>
      </c>
      <c r="F478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78" s="32" t="s">
        <v>102</v>
      </c>
      <c r="H478" s="33">
        <f t="shared" si="117"/>
        <v>32</v>
      </c>
      <c r="I478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ECP\Cantagallo\Cristalina\[CRISTALINA_CF_SEC_New_09-Feb-2024.xlsx]D-PNP'!$BW$32</v>
      </c>
      <c r="J478" s="37" t="s">
        <v>371</v>
      </c>
    </row>
    <row r="479" spans="1:10" x14ac:dyDescent="0.35">
      <c r="A479" s="32" t="s">
        <v>15</v>
      </c>
      <c r="B479" s="32">
        <f>+B478+1</f>
        <v>2044</v>
      </c>
      <c r="C479" s="33" t="s">
        <v>34</v>
      </c>
      <c r="D479" s="34" t="s">
        <v>128</v>
      </c>
      <c r="E479" s="35" t="str">
        <f t="shared" ref="E479:E494" si="120">_xlfn.CONCAT(A479,"'!")</f>
        <v>PNP'!</v>
      </c>
      <c r="F479" s="34" t="str">
        <f t="shared" ref="F479:F494" si="121">_xlfn.CONCAT(D479:E479)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79" s="32" t="s">
        <v>102</v>
      </c>
      <c r="H479" s="33">
        <f t="shared" ref="H479:H494" si="122">IF(A479&lt;&gt;A478,12,H478+1)</f>
        <v>33</v>
      </c>
      <c r="I479" s="33" t="str">
        <f t="shared" ref="I479:I494" si="123">_xlfn.CONCAT("='",F479:H479)</f>
        <v>='C:\Users\jaime.benazar\Quorum Business Solutions\Ecopetrol Prometeo - Documents\Planning Space Implementation\3. Analysis &amp; Design\Design\FC22\DRR Jaime\Por presentar a ECP\Cantagallo\Cristalina\[CRISTALINA_CF_SEC_New_09-Feb-2024.xlsx]D-PNP'!$BW$33</v>
      </c>
      <c r="J479" s="37" t="s">
        <v>372</v>
      </c>
    </row>
    <row r="480" spans="1:10" x14ac:dyDescent="0.35">
      <c r="A480" s="32" t="s">
        <v>15</v>
      </c>
      <c r="B480" s="32">
        <f t="shared" ref="B480:B494" si="124">+B479+1</f>
        <v>2045</v>
      </c>
      <c r="C480" s="33" t="s">
        <v>34</v>
      </c>
      <c r="D480" s="34" t="s">
        <v>128</v>
      </c>
      <c r="E480" s="35" t="str">
        <f t="shared" si="120"/>
        <v>PNP'!</v>
      </c>
      <c r="F480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80" s="32" t="s">
        <v>102</v>
      </c>
      <c r="H480" s="33">
        <f t="shared" si="122"/>
        <v>34</v>
      </c>
      <c r="I480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ECP\Cantagallo\Cristalina\[CRISTALINA_CF_SEC_New_09-Feb-2024.xlsx]D-PNP'!$BW$34</v>
      </c>
      <c r="J480" s="37" t="s">
        <v>373</v>
      </c>
    </row>
    <row r="481" spans="1:10" x14ac:dyDescent="0.35">
      <c r="A481" s="32" t="s">
        <v>15</v>
      </c>
      <c r="B481" s="32">
        <f t="shared" si="124"/>
        <v>2046</v>
      </c>
      <c r="C481" s="33" t="s">
        <v>34</v>
      </c>
      <c r="D481" s="34" t="s">
        <v>128</v>
      </c>
      <c r="E481" s="35" t="str">
        <f t="shared" si="120"/>
        <v>PNP'!</v>
      </c>
      <c r="F481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81" s="32" t="s">
        <v>102</v>
      </c>
      <c r="H481" s="33">
        <f t="shared" si="122"/>
        <v>35</v>
      </c>
      <c r="I481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ECP\Cantagallo\Cristalina\[CRISTALINA_CF_SEC_New_09-Feb-2024.xlsx]D-PNP'!$BW$35</v>
      </c>
      <c r="J481" s="37" t="s">
        <v>374</v>
      </c>
    </row>
    <row r="482" spans="1:10" x14ac:dyDescent="0.35">
      <c r="A482" s="32" t="s">
        <v>15</v>
      </c>
      <c r="B482" s="32">
        <f t="shared" si="124"/>
        <v>2047</v>
      </c>
      <c r="C482" s="33" t="s">
        <v>34</v>
      </c>
      <c r="D482" s="34" t="s">
        <v>128</v>
      </c>
      <c r="E482" s="35" t="str">
        <f t="shared" si="120"/>
        <v>PNP'!</v>
      </c>
      <c r="F482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82" s="32" t="s">
        <v>102</v>
      </c>
      <c r="H482" s="33">
        <f t="shared" si="122"/>
        <v>36</v>
      </c>
      <c r="I482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ECP\Cantagallo\Cristalina\[CRISTALINA_CF_SEC_New_09-Feb-2024.xlsx]D-PNP'!$BW$36</v>
      </c>
      <c r="J482" s="37" t="s">
        <v>375</v>
      </c>
    </row>
    <row r="483" spans="1:10" x14ac:dyDescent="0.35">
      <c r="A483" s="32" t="s">
        <v>15</v>
      </c>
      <c r="B483" s="32">
        <f t="shared" si="124"/>
        <v>2048</v>
      </c>
      <c r="C483" s="33" t="s">
        <v>34</v>
      </c>
      <c r="D483" s="34" t="s">
        <v>128</v>
      </c>
      <c r="E483" s="35" t="str">
        <f t="shared" si="120"/>
        <v>PNP'!</v>
      </c>
      <c r="F483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83" s="32" t="s">
        <v>102</v>
      </c>
      <c r="H483" s="33">
        <f t="shared" si="122"/>
        <v>37</v>
      </c>
      <c r="I483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ECP\Cantagallo\Cristalina\[CRISTALINA_CF_SEC_New_09-Feb-2024.xlsx]D-PNP'!$BW$37</v>
      </c>
      <c r="J483" s="37" t="s">
        <v>376</v>
      </c>
    </row>
    <row r="484" spans="1:10" x14ac:dyDescent="0.35">
      <c r="A484" s="32" t="s">
        <v>15</v>
      </c>
      <c r="B484" s="32">
        <f t="shared" si="124"/>
        <v>2049</v>
      </c>
      <c r="C484" s="33" t="s">
        <v>34</v>
      </c>
      <c r="D484" s="34" t="s">
        <v>128</v>
      </c>
      <c r="E484" s="35" t="str">
        <f t="shared" si="120"/>
        <v>PNP'!</v>
      </c>
      <c r="F484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84" s="32" t="s">
        <v>102</v>
      </c>
      <c r="H484" s="33">
        <f t="shared" si="122"/>
        <v>38</v>
      </c>
      <c r="I484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ECP\Cantagallo\Cristalina\[CRISTALINA_CF_SEC_New_09-Feb-2024.xlsx]D-PNP'!$BW$38</v>
      </c>
      <c r="J484" s="37" t="s">
        <v>377</v>
      </c>
    </row>
    <row r="485" spans="1:10" x14ac:dyDescent="0.35">
      <c r="A485" s="32" t="s">
        <v>15</v>
      </c>
      <c r="B485" s="32">
        <f t="shared" si="124"/>
        <v>2050</v>
      </c>
      <c r="C485" s="33" t="s">
        <v>34</v>
      </c>
      <c r="D485" s="34" t="s">
        <v>128</v>
      </c>
      <c r="E485" s="35" t="str">
        <f t="shared" si="120"/>
        <v>PNP'!</v>
      </c>
      <c r="F485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85" s="32" t="s">
        <v>102</v>
      </c>
      <c r="H485" s="33">
        <f t="shared" si="122"/>
        <v>39</v>
      </c>
      <c r="I485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ECP\Cantagallo\Cristalina\[CRISTALINA_CF_SEC_New_09-Feb-2024.xlsx]D-PNP'!$BW$39</v>
      </c>
      <c r="J485" s="37" t="s">
        <v>378</v>
      </c>
    </row>
    <row r="486" spans="1:10" x14ac:dyDescent="0.35">
      <c r="A486" s="32" t="s">
        <v>15</v>
      </c>
      <c r="B486" s="32">
        <f t="shared" si="124"/>
        <v>2051</v>
      </c>
      <c r="C486" s="33" t="s">
        <v>34</v>
      </c>
      <c r="D486" s="34" t="s">
        <v>128</v>
      </c>
      <c r="E486" s="35" t="str">
        <f t="shared" si="120"/>
        <v>PNP'!</v>
      </c>
      <c r="F486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86" s="32" t="s">
        <v>102</v>
      </c>
      <c r="H486" s="33">
        <f t="shared" si="122"/>
        <v>40</v>
      </c>
      <c r="I486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ECP\Cantagallo\Cristalina\[CRISTALINA_CF_SEC_New_09-Feb-2024.xlsx]D-PNP'!$BW$40</v>
      </c>
      <c r="J486" s="37" t="s">
        <v>379</v>
      </c>
    </row>
    <row r="487" spans="1:10" x14ac:dyDescent="0.35">
      <c r="A487" s="32" t="s">
        <v>15</v>
      </c>
      <c r="B487" s="32">
        <f t="shared" si="124"/>
        <v>2052</v>
      </c>
      <c r="C487" s="33" t="s">
        <v>34</v>
      </c>
      <c r="D487" s="34" t="s">
        <v>128</v>
      </c>
      <c r="E487" s="35" t="str">
        <f t="shared" si="120"/>
        <v>PNP'!</v>
      </c>
      <c r="F487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87" s="32" t="s">
        <v>102</v>
      </c>
      <c r="H487" s="33">
        <f t="shared" si="122"/>
        <v>41</v>
      </c>
      <c r="I487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ECP\Cantagallo\Cristalina\[CRISTALINA_CF_SEC_New_09-Feb-2024.xlsx]D-PNP'!$BW$41</v>
      </c>
      <c r="J487" s="37" t="s">
        <v>380</v>
      </c>
    </row>
    <row r="488" spans="1:10" x14ac:dyDescent="0.35">
      <c r="A488" s="32" t="s">
        <v>15</v>
      </c>
      <c r="B488" s="32">
        <f t="shared" si="124"/>
        <v>2053</v>
      </c>
      <c r="C488" s="33" t="s">
        <v>34</v>
      </c>
      <c r="D488" s="34" t="s">
        <v>128</v>
      </c>
      <c r="E488" s="35" t="str">
        <f t="shared" si="120"/>
        <v>PNP'!</v>
      </c>
      <c r="F488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88" s="32" t="s">
        <v>102</v>
      </c>
      <c r="H488" s="33">
        <f t="shared" si="122"/>
        <v>42</v>
      </c>
      <c r="I488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ECP\Cantagallo\Cristalina\[CRISTALINA_CF_SEC_New_09-Feb-2024.xlsx]D-PNP'!$BW$42</v>
      </c>
      <c r="J488" s="37" t="s">
        <v>381</v>
      </c>
    </row>
    <row r="489" spans="1:10" x14ac:dyDescent="0.35">
      <c r="A489" s="32" t="s">
        <v>15</v>
      </c>
      <c r="B489" s="32">
        <f t="shared" si="124"/>
        <v>2054</v>
      </c>
      <c r="C489" s="33" t="s">
        <v>34</v>
      </c>
      <c r="D489" s="34" t="s">
        <v>128</v>
      </c>
      <c r="E489" s="35" t="str">
        <f t="shared" si="120"/>
        <v>PNP'!</v>
      </c>
      <c r="F489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89" s="32" t="s">
        <v>102</v>
      </c>
      <c r="H489" s="33">
        <f t="shared" si="122"/>
        <v>43</v>
      </c>
      <c r="I489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ECP\Cantagallo\Cristalina\[CRISTALINA_CF_SEC_New_09-Feb-2024.xlsx]D-PNP'!$BW$43</v>
      </c>
      <c r="J489" s="37" t="s">
        <v>382</v>
      </c>
    </row>
    <row r="490" spans="1:10" x14ac:dyDescent="0.35">
      <c r="A490" s="32" t="s">
        <v>15</v>
      </c>
      <c r="B490" s="32">
        <f t="shared" si="124"/>
        <v>2055</v>
      </c>
      <c r="C490" s="33" t="s">
        <v>34</v>
      </c>
      <c r="D490" s="34" t="s">
        <v>128</v>
      </c>
      <c r="E490" s="35" t="str">
        <f t="shared" si="120"/>
        <v>PNP'!</v>
      </c>
      <c r="F490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90" s="32" t="s">
        <v>102</v>
      </c>
      <c r="H490" s="33">
        <f t="shared" si="122"/>
        <v>44</v>
      </c>
      <c r="I490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ECP\Cantagallo\Cristalina\[CRISTALINA_CF_SEC_New_09-Feb-2024.xlsx]D-PNP'!$BW$44</v>
      </c>
      <c r="J490" s="37" t="s">
        <v>383</v>
      </c>
    </row>
    <row r="491" spans="1:10" x14ac:dyDescent="0.35">
      <c r="A491" s="32" t="s">
        <v>15</v>
      </c>
      <c r="B491" s="32">
        <f t="shared" si="124"/>
        <v>2056</v>
      </c>
      <c r="C491" s="33" t="s">
        <v>34</v>
      </c>
      <c r="D491" s="34" t="s">
        <v>128</v>
      </c>
      <c r="E491" s="35" t="str">
        <f t="shared" si="120"/>
        <v>PNP'!</v>
      </c>
      <c r="F491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91" s="32" t="s">
        <v>102</v>
      </c>
      <c r="H491" s="33">
        <f t="shared" si="122"/>
        <v>45</v>
      </c>
      <c r="I491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ECP\Cantagallo\Cristalina\[CRISTALINA_CF_SEC_New_09-Feb-2024.xlsx]D-PNP'!$BW$45</v>
      </c>
      <c r="J491" s="37" t="s">
        <v>384</v>
      </c>
    </row>
    <row r="492" spans="1:10" x14ac:dyDescent="0.35">
      <c r="A492" s="32" t="s">
        <v>15</v>
      </c>
      <c r="B492" s="32">
        <f t="shared" si="124"/>
        <v>2057</v>
      </c>
      <c r="C492" s="33" t="s">
        <v>34</v>
      </c>
      <c r="D492" s="34" t="s">
        <v>128</v>
      </c>
      <c r="E492" s="35" t="str">
        <f t="shared" si="120"/>
        <v>PNP'!</v>
      </c>
      <c r="F492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92" s="32" t="s">
        <v>102</v>
      </c>
      <c r="H492" s="33">
        <f t="shared" si="122"/>
        <v>46</v>
      </c>
      <c r="I492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ECP\Cantagallo\Cristalina\[CRISTALINA_CF_SEC_New_09-Feb-2024.xlsx]D-PNP'!$BW$46</v>
      </c>
      <c r="J492" s="37" t="s">
        <v>385</v>
      </c>
    </row>
    <row r="493" spans="1:10" x14ac:dyDescent="0.35">
      <c r="A493" s="32" t="s">
        <v>15</v>
      </c>
      <c r="B493" s="32">
        <f t="shared" si="124"/>
        <v>2058</v>
      </c>
      <c r="C493" s="33" t="s">
        <v>34</v>
      </c>
      <c r="D493" s="34" t="s">
        <v>128</v>
      </c>
      <c r="E493" s="35" t="str">
        <f t="shared" si="120"/>
        <v>PNP'!</v>
      </c>
      <c r="F493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93" s="32" t="s">
        <v>102</v>
      </c>
      <c r="H493" s="33">
        <f t="shared" si="122"/>
        <v>47</v>
      </c>
      <c r="I493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ECP\Cantagallo\Cristalina\[CRISTALINA_CF_SEC_New_09-Feb-2024.xlsx]D-PNP'!$BW$47</v>
      </c>
      <c r="J493" s="37" t="s">
        <v>386</v>
      </c>
    </row>
    <row r="494" spans="1:10" x14ac:dyDescent="0.35">
      <c r="A494" s="32" t="s">
        <v>15</v>
      </c>
      <c r="B494" s="32">
        <f t="shared" si="124"/>
        <v>2059</v>
      </c>
      <c r="C494" s="33" t="s">
        <v>34</v>
      </c>
      <c r="D494" s="34" t="s">
        <v>128</v>
      </c>
      <c r="E494" s="35" t="str">
        <f t="shared" si="120"/>
        <v>PNP'!</v>
      </c>
      <c r="F494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94" s="32" t="s">
        <v>102</v>
      </c>
      <c r="H494" s="33">
        <f t="shared" si="122"/>
        <v>48</v>
      </c>
      <c r="I494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ECP\Cantagallo\Cristalina\[CRISTALINA_CF_SEC_New_09-Feb-2024.xlsx]D-PNP'!$BW$48</v>
      </c>
      <c r="J494" s="37" t="s">
        <v>387</v>
      </c>
    </row>
    <row r="495" spans="1:10" x14ac:dyDescent="0.35">
      <c r="A495" s="32" t="s">
        <v>26</v>
      </c>
      <c r="B495" s="32"/>
      <c r="C495" s="33" t="s">
        <v>34</v>
      </c>
      <c r="D495" s="34"/>
      <c r="E495" s="35"/>
      <c r="F495" s="34"/>
      <c r="G495" s="32"/>
      <c r="H495" s="33"/>
      <c r="I495" s="33"/>
      <c r="J495" s="33"/>
    </row>
    <row r="496" spans="1:10" x14ac:dyDescent="0.35">
      <c r="A496" s="32" t="s">
        <v>16</v>
      </c>
      <c r="B496" s="32">
        <v>2023</v>
      </c>
      <c r="C496" s="33" t="s">
        <v>34</v>
      </c>
      <c r="D496" s="34" t="s">
        <v>128</v>
      </c>
      <c r="E496" s="35" t="str">
        <f t="shared" si="104"/>
        <v>PND'!</v>
      </c>
      <c r="F496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496" s="32" t="s">
        <v>102</v>
      </c>
      <c r="H496" s="33">
        <v>12</v>
      </c>
      <c r="I496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ECP\Cantagallo\Cristalina\[CRISTALINA_CF_SEC_New_09-Feb-2024.xlsx]D-PND'!$BW$12</v>
      </c>
      <c r="J496" s="37" t="s">
        <v>388</v>
      </c>
    </row>
    <row r="497" spans="1:10" x14ac:dyDescent="0.35">
      <c r="A497" s="32" t="s">
        <v>16</v>
      </c>
      <c r="B497" s="32">
        <f>+B496+1</f>
        <v>2024</v>
      </c>
      <c r="C497" s="33" t="s">
        <v>34</v>
      </c>
      <c r="D497" s="34" t="s">
        <v>128</v>
      </c>
      <c r="E497" s="35" t="str">
        <f t="shared" si="104"/>
        <v>PND'!</v>
      </c>
      <c r="F497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497" s="32" t="s">
        <v>102</v>
      </c>
      <c r="H497" s="33">
        <f t="shared" ref="H497:H516" si="125">IF(A497&lt;&gt;A496,12,H496+1)</f>
        <v>13</v>
      </c>
      <c r="I497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ECP\Cantagallo\Cristalina\[CRISTALINA_CF_SEC_New_09-Feb-2024.xlsx]D-PND'!$BW$13</v>
      </c>
      <c r="J497" s="37" t="s">
        <v>389</v>
      </c>
    </row>
    <row r="498" spans="1:10" x14ac:dyDescent="0.35">
      <c r="A498" s="32" t="s">
        <v>16</v>
      </c>
      <c r="B498" s="32">
        <f t="shared" ref="B498:B509" si="126">+B497+1</f>
        <v>2025</v>
      </c>
      <c r="C498" s="33" t="s">
        <v>34</v>
      </c>
      <c r="D498" s="34" t="s">
        <v>128</v>
      </c>
      <c r="E498" s="35" t="str">
        <f t="shared" si="104"/>
        <v>PND'!</v>
      </c>
      <c r="F498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498" s="32" t="s">
        <v>102</v>
      </c>
      <c r="H498" s="33">
        <f t="shared" si="125"/>
        <v>14</v>
      </c>
      <c r="I498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ECP\Cantagallo\Cristalina\[CRISTALINA_CF_SEC_New_09-Feb-2024.xlsx]D-PND'!$BW$14</v>
      </c>
      <c r="J498" s="37" t="s">
        <v>390</v>
      </c>
    </row>
    <row r="499" spans="1:10" x14ac:dyDescent="0.35">
      <c r="A499" s="32" t="s">
        <v>16</v>
      </c>
      <c r="B499" s="32">
        <f t="shared" si="126"/>
        <v>2026</v>
      </c>
      <c r="C499" s="33" t="s">
        <v>34</v>
      </c>
      <c r="D499" s="34" t="s">
        <v>128</v>
      </c>
      <c r="E499" s="35" t="str">
        <f t="shared" si="104"/>
        <v>PND'!</v>
      </c>
      <c r="F499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499" s="32" t="s">
        <v>102</v>
      </c>
      <c r="H499" s="33">
        <f t="shared" si="125"/>
        <v>15</v>
      </c>
      <c r="I499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ECP\Cantagallo\Cristalina\[CRISTALINA_CF_SEC_New_09-Feb-2024.xlsx]D-PND'!$BW$15</v>
      </c>
      <c r="J499" s="37" t="s">
        <v>391</v>
      </c>
    </row>
    <row r="500" spans="1:10" x14ac:dyDescent="0.35">
      <c r="A500" s="32" t="s">
        <v>16</v>
      </c>
      <c r="B500" s="32">
        <f t="shared" si="126"/>
        <v>2027</v>
      </c>
      <c r="C500" s="33" t="s">
        <v>34</v>
      </c>
      <c r="D500" s="34" t="s">
        <v>128</v>
      </c>
      <c r="E500" s="35" t="str">
        <f t="shared" si="104"/>
        <v>PND'!</v>
      </c>
      <c r="F500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00" s="32" t="s">
        <v>102</v>
      </c>
      <c r="H500" s="33">
        <f t="shared" si="125"/>
        <v>16</v>
      </c>
      <c r="I500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ECP\Cantagallo\Cristalina\[CRISTALINA_CF_SEC_New_09-Feb-2024.xlsx]D-PND'!$BW$16</v>
      </c>
      <c r="J500" s="37" t="s">
        <v>392</v>
      </c>
    </row>
    <row r="501" spans="1:10" x14ac:dyDescent="0.35">
      <c r="A501" s="32" t="s">
        <v>16</v>
      </c>
      <c r="B501" s="32">
        <f t="shared" si="126"/>
        <v>2028</v>
      </c>
      <c r="C501" s="33" t="s">
        <v>34</v>
      </c>
      <c r="D501" s="34" t="s">
        <v>128</v>
      </c>
      <c r="E501" s="35" t="str">
        <f t="shared" si="104"/>
        <v>PND'!</v>
      </c>
      <c r="F501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01" s="32" t="s">
        <v>102</v>
      </c>
      <c r="H501" s="33">
        <f t="shared" si="125"/>
        <v>17</v>
      </c>
      <c r="I501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ECP\Cantagallo\Cristalina\[CRISTALINA_CF_SEC_New_09-Feb-2024.xlsx]D-PND'!$BW$17</v>
      </c>
      <c r="J501" s="37" t="s">
        <v>393</v>
      </c>
    </row>
    <row r="502" spans="1:10" x14ac:dyDescent="0.35">
      <c r="A502" s="32" t="s">
        <v>16</v>
      </c>
      <c r="B502" s="32">
        <f t="shared" si="126"/>
        <v>2029</v>
      </c>
      <c r="C502" s="33" t="s">
        <v>34</v>
      </c>
      <c r="D502" s="34" t="s">
        <v>128</v>
      </c>
      <c r="E502" s="35" t="str">
        <f t="shared" si="104"/>
        <v>PND'!</v>
      </c>
      <c r="F502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02" s="32" t="s">
        <v>102</v>
      </c>
      <c r="H502" s="33">
        <f t="shared" si="125"/>
        <v>18</v>
      </c>
      <c r="I502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ECP\Cantagallo\Cristalina\[CRISTALINA_CF_SEC_New_09-Feb-2024.xlsx]D-PND'!$BW$18</v>
      </c>
      <c r="J502" s="37" t="s">
        <v>394</v>
      </c>
    </row>
    <row r="503" spans="1:10" x14ac:dyDescent="0.35">
      <c r="A503" s="32" t="s">
        <v>16</v>
      </c>
      <c r="B503" s="32">
        <f t="shared" si="126"/>
        <v>2030</v>
      </c>
      <c r="C503" s="33" t="s">
        <v>34</v>
      </c>
      <c r="D503" s="34" t="s">
        <v>128</v>
      </c>
      <c r="E503" s="35" t="str">
        <f t="shared" si="104"/>
        <v>PND'!</v>
      </c>
      <c r="F503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03" s="32" t="s">
        <v>102</v>
      </c>
      <c r="H503" s="33">
        <f t="shared" si="125"/>
        <v>19</v>
      </c>
      <c r="I503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ECP\Cantagallo\Cristalina\[CRISTALINA_CF_SEC_New_09-Feb-2024.xlsx]D-PND'!$BW$19</v>
      </c>
      <c r="J503" s="37" t="s">
        <v>395</v>
      </c>
    </row>
    <row r="504" spans="1:10" x14ac:dyDescent="0.35">
      <c r="A504" s="32" t="s">
        <v>16</v>
      </c>
      <c r="B504" s="32">
        <f t="shared" si="126"/>
        <v>2031</v>
      </c>
      <c r="C504" s="33" t="s">
        <v>34</v>
      </c>
      <c r="D504" s="34" t="s">
        <v>128</v>
      </c>
      <c r="E504" s="35" t="str">
        <f t="shared" si="104"/>
        <v>PND'!</v>
      </c>
      <c r="F504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04" s="32" t="s">
        <v>102</v>
      </c>
      <c r="H504" s="33">
        <f t="shared" si="125"/>
        <v>20</v>
      </c>
      <c r="I504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ECP\Cantagallo\Cristalina\[CRISTALINA_CF_SEC_New_09-Feb-2024.xlsx]D-PND'!$BW$20</v>
      </c>
      <c r="J504" s="37" t="s">
        <v>396</v>
      </c>
    </row>
    <row r="505" spans="1:10" x14ac:dyDescent="0.35">
      <c r="A505" s="32" t="s">
        <v>16</v>
      </c>
      <c r="B505" s="32">
        <f t="shared" si="126"/>
        <v>2032</v>
      </c>
      <c r="C505" s="33" t="s">
        <v>34</v>
      </c>
      <c r="D505" s="34" t="s">
        <v>128</v>
      </c>
      <c r="E505" s="35" t="str">
        <f t="shared" si="104"/>
        <v>PND'!</v>
      </c>
      <c r="F505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05" s="32" t="s">
        <v>102</v>
      </c>
      <c r="H505" s="33">
        <f t="shared" si="125"/>
        <v>21</v>
      </c>
      <c r="I505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ECP\Cantagallo\Cristalina\[CRISTALINA_CF_SEC_New_09-Feb-2024.xlsx]D-PND'!$BW$21</v>
      </c>
      <c r="J505" s="37" t="s">
        <v>397</v>
      </c>
    </row>
    <row r="506" spans="1:10" x14ac:dyDescent="0.35">
      <c r="A506" s="32" t="s">
        <v>16</v>
      </c>
      <c r="B506" s="32">
        <f t="shared" si="126"/>
        <v>2033</v>
      </c>
      <c r="C506" s="33" t="s">
        <v>34</v>
      </c>
      <c r="D506" s="34" t="s">
        <v>128</v>
      </c>
      <c r="E506" s="35" t="str">
        <f t="shared" si="104"/>
        <v>PND'!</v>
      </c>
      <c r="F506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06" s="32" t="s">
        <v>102</v>
      </c>
      <c r="H506" s="33">
        <f t="shared" si="125"/>
        <v>22</v>
      </c>
      <c r="I506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ECP\Cantagallo\Cristalina\[CRISTALINA_CF_SEC_New_09-Feb-2024.xlsx]D-PND'!$BW$22</v>
      </c>
      <c r="J506" s="37" t="s">
        <v>398</v>
      </c>
    </row>
    <row r="507" spans="1:10" x14ac:dyDescent="0.35">
      <c r="A507" s="32" t="s">
        <v>16</v>
      </c>
      <c r="B507" s="32">
        <f t="shared" si="126"/>
        <v>2034</v>
      </c>
      <c r="C507" s="33" t="s">
        <v>34</v>
      </c>
      <c r="D507" s="34" t="s">
        <v>128</v>
      </c>
      <c r="E507" s="35" t="str">
        <f t="shared" si="104"/>
        <v>PND'!</v>
      </c>
      <c r="F507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07" s="32" t="s">
        <v>102</v>
      </c>
      <c r="H507" s="33">
        <f t="shared" si="125"/>
        <v>23</v>
      </c>
      <c r="I507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ECP\Cantagallo\Cristalina\[CRISTALINA_CF_SEC_New_09-Feb-2024.xlsx]D-PND'!$BW$23</v>
      </c>
      <c r="J507" s="37" t="s">
        <v>399</v>
      </c>
    </row>
    <row r="508" spans="1:10" x14ac:dyDescent="0.35">
      <c r="A508" s="32" t="s">
        <v>16</v>
      </c>
      <c r="B508" s="32">
        <f t="shared" si="126"/>
        <v>2035</v>
      </c>
      <c r="C508" s="33" t="s">
        <v>34</v>
      </c>
      <c r="D508" s="34" t="s">
        <v>128</v>
      </c>
      <c r="E508" s="35" t="str">
        <f t="shared" si="104"/>
        <v>PND'!</v>
      </c>
      <c r="F508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08" s="32" t="s">
        <v>102</v>
      </c>
      <c r="H508" s="33">
        <f t="shared" si="125"/>
        <v>24</v>
      </c>
      <c r="I508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ECP\Cantagallo\Cristalina\[CRISTALINA_CF_SEC_New_09-Feb-2024.xlsx]D-PND'!$BW$24</v>
      </c>
      <c r="J508" s="37" t="s">
        <v>400</v>
      </c>
    </row>
    <row r="509" spans="1:10" x14ac:dyDescent="0.35">
      <c r="A509" s="32" t="s">
        <v>16</v>
      </c>
      <c r="B509" s="32">
        <f t="shared" si="126"/>
        <v>2036</v>
      </c>
      <c r="C509" s="33" t="s">
        <v>34</v>
      </c>
      <c r="D509" s="34" t="s">
        <v>128</v>
      </c>
      <c r="E509" s="35" t="str">
        <f t="shared" si="104"/>
        <v>PND'!</v>
      </c>
      <c r="F509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09" s="32" t="s">
        <v>102</v>
      </c>
      <c r="H509" s="33">
        <f t="shared" si="125"/>
        <v>25</v>
      </c>
      <c r="I509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ECP\Cantagallo\Cristalina\[CRISTALINA_CF_SEC_New_09-Feb-2024.xlsx]D-PND'!$BW$25</v>
      </c>
      <c r="J509" s="37" t="s">
        <v>401</v>
      </c>
    </row>
    <row r="510" spans="1:10" x14ac:dyDescent="0.35">
      <c r="A510" s="32" t="s">
        <v>16</v>
      </c>
      <c r="B510" s="32">
        <f>+B509+1</f>
        <v>2037</v>
      </c>
      <c r="C510" s="33" t="s">
        <v>34</v>
      </c>
      <c r="D510" s="34" t="s">
        <v>128</v>
      </c>
      <c r="E510" s="35" t="str">
        <f t="shared" si="104"/>
        <v>PND'!</v>
      </c>
      <c r="F510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10" s="32" t="s">
        <v>102</v>
      </c>
      <c r="H510" s="33">
        <f t="shared" si="125"/>
        <v>26</v>
      </c>
      <c r="I510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ECP\Cantagallo\Cristalina\[CRISTALINA_CF_SEC_New_09-Feb-2024.xlsx]D-PND'!$BW$26</v>
      </c>
      <c r="J510" s="37" t="s">
        <v>402</v>
      </c>
    </row>
    <row r="511" spans="1:10" x14ac:dyDescent="0.35">
      <c r="A511" s="32" t="s">
        <v>16</v>
      </c>
      <c r="B511" s="32">
        <f t="shared" ref="B511:B513" si="127">+B510+1</f>
        <v>2038</v>
      </c>
      <c r="C511" s="33" t="s">
        <v>34</v>
      </c>
      <c r="D511" s="34" t="s">
        <v>128</v>
      </c>
      <c r="E511" s="35" t="str">
        <f t="shared" si="104"/>
        <v>PND'!</v>
      </c>
      <c r="F511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11" s="32" t="s">
        <v>102</v>
      </c>
      <c r="H511" s="33">
        <f t="shared" si="125"/>
        <v>27</v>
      </c>
      <c r="I511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ECP\Cantagallo\Cristalina\[CRISTALINA_CF_SEC_New_09-Feb-2024.xlsx]D-PND'!$BW$27</v>
      </c>
      <c r="J511" s="37" t="s">
        <v>403</v>
      </c>
    </row>
    <row r="512" spans="1:10" x14ac:dyDescent="0.35">
      <c r="A512" s="32" t="s">
        <v>16</v>
      </c>
      <c r="B512" s="32">
        <f t="shared" si="127"/>
        <v>2039</v>
      </c>
      <c r="C512" s="33" t="s">
        <v>34</v>
      </c>
      <c r="D512" s="34" t="s">
        <v>128</v>
      </c>
      <c r="E512" s="35" t="str">
        <f t="shared" si="104"/>
        <v>PND'!</v>
      </c>
      <c r="F512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12" s="32" t="s">
        <v>102</v>
      </c>
      <c r="H512" s="33">
        <f t="shared" si="125"/>
        <v>28</v>
      </c>
      <c r="I512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ECP\Cantagallo\Cristalina\[CRISTALINA_CF_SEC_New_09-Feb-2024.xlsx]D-PND'!$BW$28</v>
      </c>
      <c r="J512" s="37" t="s">
        <v>404</v>
      </c>
    </row>
    <row r="513" spans="1:10" x14ac:dyDescent="0.35">
      <c r="A513" s="32" t="s">
        <v>16</v>
      </c>
      <c r="B513" s="32">
        <f t="shared" si="127"/>
        <v>2040</v>
      </c>
      <c r="C513" s="33" t="s">
        <v>34</v>
      </c>
      <c r="D513" s="34" t="s">
        <v>128</v>
      </c>
      <c r="E513" s="35" t="str">
        <f t="shared" si="104"/>
        <v>PND'!</v>
      </c>
      <c r="F513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13" s="32" t="s">
        <v>102</v>
      </c>
      <c r="H513" s="33">
        <f t="shared" si="125"/>
        <v>29</v>
      </c>
      <c r="I513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ECP\Cantagallo\Cristalina\[CRISTALINA_CF_SEC_New_09-Feb-2024.xlsx]D-PND'!$BW$29</v>
      </c>
      <c r="J513" s="37" t="s">
        <v>405</v>
      </c>
    </row>
    <row r="514" spans="1:10" x14ac:dyDescent="0.35">
      <c r="A514" s="32" t="s">
        <v>16</v>
      </c>
      <c r="B514" s="32">
        <f>+B513+1</f>
        <v>2041</v>
      </c>
      <c r="C514" s="33" t="s">
        <v>34</v>
      </c>
      <c r="D514" s="34" t="s">
        <v>128</v>
      </c>
      <c r="E514" s="35" t="str">
        <f t="shared" si="104"/>
        <v>PND'!</v>
      </c>
      <c r="F514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14" s="32" t="s">
        <v>102</v>
      </c>
      <c r="H514" s="33">
        <f t="shared" si="125"/>
        <v>30</v>
      </c>
      <c r="I514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ECP\Cantagallo\Cristalina\[CRISTALINA_CF_SEC_New_09-Feb-2024.xlsx]D-PND'!$BW$30</v>
      </c>
      <c r="J514" s="37" t="s">
        <v>406</v>
      </c>
    </row>
    <row r="515" spans="1:10" x14ac:dyDescent="0.35">
      <c r="A515" s="32" t="s">
        <v>16</v>
      </c>
      <c r="B515" s="32">
        <f t="shared" ref="B515:B516" si="128">+B514+1</f>
        <v>2042</v>
      </c>
      <c r="C515" s="33" t="s">
        <v>34</v>
      </c>
      <c r="D515" s="34" t="s">
        <v>128</v>
      </c>
      <c r="E515" s="35" t="str">
        <f t="shared" ref="E515:E820" si="129">_xlfn.CONCAT(A515,"'!")</f>
        <v>PND'!</v>
      </c>
      <c r="F515" s="34" t="str">
        <f t="shared" ref="F515:F820" si="130">_xlfn.CONCAT(D515:E515)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15" s="32" t="s">
        <v>102</v>
      </c>
      <c r="H515" s="33">
        <f t="shared" si="125"/>
        <v>31</v>
      </c>
      <c r="I515" s="33" t="str">
        <f t="shared" ref="I515:I820" si="131">_xlfn.CONCAT("='",F515:H515)</f>
        <v>='C:\Users\jaime.benazar\Quorum Business Solutions\Ecopetrol Prometeo - Documents\Planning Space Implementation\3. Analysis &amp; Design\Design\FC22\DRR Jaime\Por presentar a ECP\Cantagallo\Cristalina\[CRISTALINA_CF_SEC_New_09-Feb-2024.xlsx]D-PND'!$BW$31</v>
      </c>
      <c r="J515" s="37" t="s">
        <v>407</v>
      </c>
    </row>
    <row r="516" spans="1:10" x14ac:dyDescent="0.35">
      <c r="A516" s="32" t="s">
        <v>16</v>
      </c>
      <c r="B516" s="32">
        <f t="shared" si="128"/>
        <v>2043</v>
      </c>
      <c r="C516" s="33" t="s">
        <v>34</v>
      </c>
      <c r="D516" s="34" t="s">
        <v>128</v>
      </c>
      <c r="E516" s="35" t="str">
        <f t="shared" si="129"/>
        <v>PND'!</v>
      </c>
      <c r="F516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16" s="32" t="s">
        <v>102</v>
      </c>
      <c r="H516" s="33">
        <f t="shared" si="125"/>
        <v>32</v>
      </c>
      <c r="I516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ECP\Cantagallo\Cristalina\[CRISTALINA_CF_SEC_New_09-Feb-2024.xlsx]D-PND'!$BW$32</v>
      </c>
      <c r="J516" s="37" t="s">
        <v>408</v>
      </c>
    </row>
    <row r="517" spans="1:10" x14ac:dyDescent="0.35">
      <c r="A517" s="32" t="s">
        <v>16</v>
      </c>
      <c r="B517" s="32">
        <f>+B516+1</f>
        <v>2044</v>
      </c>
      <c r="C517" s="33" t="s">
        <v>34</v>
      </c>
      <c r="D517" s="34" t="s">
        <v>128</v>
      </c>
      <c r="E517" s="35" t="str">
        <f t="shared" ref="E517:E532" si="132">_xlfn.CONCAT(A517,"'!")</f>
        <v>PND'!</v>
      </c>
      <c r="F517" s="34" t="str">
        <f t="shared" ref="F517:F532" si="133">_xlfn.CONCAT(D517:E517)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17" s="32" t="s">
        <v>102</v>
      </c>
      <c r="H517" s="33">
        <f t="shared" ref="H517:H532" si="134">IF(A517&lt;&gt;A516,12,H516+1)</f>
        <v>33</v>
      </c>
      <c r="I517" s="33" t="str">
        <f t="shared" ref="I517:I532" si="135">_xlfn.CONCAT("='",F517:H517)</f>
        <v>='C:\Users\jaime.benazar\Quorum Business Solutions\Ecopetrol Prometeo - Documents\Planning Space Implementation\3. Analysis &amp; Design\Design\FC22\DRR Jaime\Por presentar a ECP\Cantagallo\Cristalina\[CRISTALINA_CF_SEC_New_09-Feb-2024.xlsx]D-PND'!$BW$33</v>
      </c>
      <c r="J517" s="37" t="s">
        <v>409</v>
      </c>
    </row>
    <row r="518" spans="1:10" x14ac:dyDescent="0.35">
      <c r="A518" s="32" t="s">
        <v>16</v>
      </c>
      <c r="B518" s="32">
        <f t="shared" ref="B518:B532" si="136">+B517+1</f>
        <v>2045</v>
      </c>
      <c r="C518" s="33" t="s">
        <v>34</v>
      </c>
      <c r="D518" s="34" t="s">
        <v>128</v>
      </c>
      <c r="E518" s="35" t="str">
        <f t="shared" si="132"/>
        <v>PND'!</v>
      </c>
      <c r="F518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18" s="32" t="s">
        <v>102</v>
      </c>
      <c r="H518" s="33">
        <f t="shared" si="134"/>
        <v>34</v>
      </c>
      <c r="I518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ECP\Cantagallo\Cristalina\[CRISTALINA_CF_SEC_New_09-Feb-2024.xlsx]D-PND'!$BW$34</v>
      </c>
      <c r="J518" s="37" t="s">
        <v>410</v>
      </c>
    </row>
    <row r="519" spans="1:10" x14ac:dyDescent="0.35">
      <c r="A519" s="32" t="s">
        <v>16</v>
      </c>
      <c r="B519" s="32">
        <f t="shared" si="136"/>
        <v>2046</v>
      </c>
      <c r="C519" s="33" t="s">
        <v>34</v>
      </c>
      <c r="D519" s="34" t="s">
        <v>128</v>
      </c>
      <c r="E519" s="35" t="str">
        <f t="shared" si="132"/>
        <v>PND'!</v>
      </c>
      <c r="F519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19" s="32" t="s">
        <v>102</v>
      </c>
      <c r="H519" s="33">
        <f t="shared" si="134"/>
        <v>35</v>
      </c>
      <c r="I519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ECP\Cantagallo\Cristalina\[CRISTALINA_CF_SEC_New_09-Feb-2024.xlsx]D-PND'!$BW$35</v>
      </c>
      <c r="J519" s="37" t="s">
        <v>411</v>
      </c>
    </row>
    <row r="520" spans="1:10" x14ac:dyDescent="0.35">
      <c r="A520" s="32" t="s">
        <v>16</v>
      </c>
      <c r="B520" s="32">
        <f t="shared" si="136"/>
        <v>2047</v>
      </c>
      <c r="C520" s="33" t="s">
        <v>34</v>
      </c>
      <c r="D520" s="34" t="s">
        <v>128</v>
      </c>
      <c r="E520" s="35" t="str">
        <f t="shared" si="132"/>
        <v>PND'!</v>
      </c>
      <c r="F520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20" s="32" t="s">
        <v>102</v>
      </c>
      <c r="H520" s="33">
        <f t="shared" si="134"/>
        <v>36</v>
      </c>
      <c r="I520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ECP\Cantagallo\Cristalina\[CRISTALINA_CF_SEC_New_09-Feb-2024.xlsx]D-PND'!$BW$36</v>
      </c>
      <c r="J520" s="37" t="s">
        <v>412</v>
      </c>
    </row>
    <row r="521" spans="1:10" x14ac:dyDescent="0.35">
      <c r="A521" s="32" t="s">
        <v>16</v>
      </c>
      <c r="B521" s="32">
        <f t="shared" si="136"/>
        <v>2048</v>
      </c>
      <c r="C521" s="33" t="s">
        <v>34</v>
      </c>
      <c r="D521" s="34" t="s">
        <v>128</v>
      </c>
      <c r="E521" s="35" t="str">
        <f t="shared" si="132"/>
        <v>PND'!</v>
      </c>
      <c r="F521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21" s="32" t="s">
        <v>102</v>
      </c>
      <c r="H521" s="33">
        <f t="shared" si="134"/>
        <v>37</v>
      </c>
      <c r="I521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ECP\Cantagallo\Cristalina\[CRISTALINA_CF_SEC_New_09-Feb-2024.xlsx]D-PND'!$BW$37</v>
      </c>
      <c r="J521" s="37" t="s">
        <v>413</v>
      </c>
    </row>
    <row r="522" spans="1:10" x14ac:dyDescent="0.35">
      <c r="A522" s="32" t="s">
        <v>16</v>
      </c>
      <c r="B522" s="32">
        <f t="shared" si="136"/>
        <v>2049</v>
      </c>
      <c r="C522" s="33" t="s">
        <v>34</v>
      </c>
      <c r="D522" s="34" t="s">
        <v>128</v>
      </c>
      <c r="E522" s="35" t="str">
        <f t="shared" si="132"/>
        <v>PND'!</v>
      </c>
      <c r="F522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22" s="32" t="s">
        <v>102</v>
      </c>
      <c r="H522" s="33">
        <f t="shared" si="134"/>
        <v>38</v>
      </c>
      <c r="I522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ECP\Cantagallo\Cristalina\[CRISTALINA_CF_SEC_New_09-Feb-2024.xlsx]D-PND'!$BW$38</v>
      </c>
      <c r="J522" s="37" t="s">
        <v>414</v>
      </c>
    </row>
    <row r="523" spans="1:10" x14ac:dyDescent="0.35">
      <c r="A523" s="32" t="s">
        <v>16</v>
      </c>
      <c r="B523" s="32">
        <f t="shared" si="136"/>
        <v>2050</v>
      </c>
      <c r="C523" s="33" t="s">
        <v>34</v>
      </c>
      <c r="D523" s="34" t="s">
        <v>128</v>
      </c>
      <c r="E523" s="35" t="str">
        <f t="shared" si="132"/>
        <v>PND'!</v>
      </c>
      <c r="F523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23" s="32" t="s">
        <v>102</v>
      </c>
      <c r="H523" s="33">
        <f t="shared" si="134"/>
        <v>39</v>
      </c>
      <c r="I523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ECP\Cantagallo\Cristalina\[CRISTALINA_CF_SEC_New_09-Feb-2024.xlsx]D-PND'!$BW$39</v>
      </c>
      <c r="J523" s="37" t="s">
        <v>415</v>
      </c>
    </row>
    <row r="524" spans="1:10" x14ac:dyDescent="0.35">
      <c r="A524" s="32" t="s">
        <v>16</v>
      </c>
      <c r="B524" s="32">
        <f t="shared" si="136"/>
        <v>2051</v>
      </c>
      <c r="C524" s="33" t="s">
        <v>34</v>
      </c>
      <c r="D524" s="34" t="s">
        <v>128</v>
      </c>
      <c r="E524" s="35" t="str">
        <f t="shared" si="132"/>
        <v>PND'!</v>
      </c>
      <c r="F524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24" s="32" t="s">
        <v>102</v>
      </c>
      <c r="H524" s="33">
        <f t="shared" si="134"/>
        <v>40</v>
      </c>
      <c r="I524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ECP\Cantagallo\Cristalina\[CRISTALINA_CF_SEC_New_09-Feb-2024.xlsx]D-PND'!$BW$40</v>
      </c>
      <c r="J524" s="37" t="s">
        <v>416</v>
      </c>
    </row>
    <row r="525" spans="1:10" x14ac:dyDescent="0.35">
      <c r="A525" s="32" t="s">
        <v>16</v>
      </c>
      <c r="B525" s="32">
        <f t="shared" si="136"/>
        <v>2052</v>
      </c>
      <c r="C525" s="33" t="s">
        <v>34</v>
      </c>
      <c r="D525" s="34" t="s">
        <v>128</v>
      </c>
      <c r="E525" s="35" t="str">
        <f t="shared" si="132"/>
        <v>PND'!</v>
      </c>
      <c r="F525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25" s="32" t="s">
        <v>102</v>
      </c>
      <c r="H525" s="33">
        <f t="shared" si="134"/>
        <v>41</v>
      </c>
      <c r="I525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ECP\Cantagallo\Cristalina\[CRISTALINA_CF_SEC_New_09-Feb-2024.xlsx]D-PND'!$BW$41</v>
      </c>
      <c r="J525" s="37" t="s">
        <v>417</v>
      </c>
    </row>
    <row r="526" spans="1:10" x14ac:dyDescent="0.35">
      <c r="A526" s="32" t="s">
        <v>16</v>
      </c>
      <c r="B526" s="32">
        <f t="shared" si="136"/>
        <v>2053</v>
      </c>
      <c r="C526" s="33" t="s">
        <v>34</v>
      </c>
      <c r="D526" s="34" t="s">
        <v>128</v>
      </c>
      <c r="E526" s="35" t="str">
        <f t="shared" si="132"/>
        <v>PND'!</v>
      </c>
      <c r="F526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26" s="32" t="s">
        <v>102</v>
      </c>
      <c r="H526" s="33">
        <f t="shared" si="134"/>
        <v>42</v>
      </c>
      <c r="I526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ECP\Cantagallo\Cristalina\[CRISTALINA_CF_SEC_New_09-Feb-2024.xlsx]D-PND'!$BW$42</v>
      </c>
      <c r="J526" s="37" t="s">
        <v>418</v>
      </c>
    </row>
    <row r="527" spans="1:10" x14ac:dyDescent="0.35">
      <c r="A527" s="32" t="s">
        <v>16</v>
      </c>
      <c r="B527" s="32">
        <f t="shared" si="136"/>
        <v>2054</v>
      </c>
      <c r="C527" s="33" t="s">
        <v>34</v>
      </c>
      <c r="D527" s="34" t="s">
        <v>128</v>
      </c>
      <c r="E527" s="35" t="str">
        <f t="shared" si="132"/>
        <v>PND'!</v>
      </c>
      <c r="F527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27" s="32" t="s">
        <v>102</v>
      </c>
      <c r="H527" s="33">
        <f t="shared" si="134"/>
        <v>43</v>
      </c>
      <c r="I527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ECP\Cantagallo\Cristalina\[CRISTALINA_CF_SEC_New_09-Feb-2024.xlsx]D-PND'!$BW$43</v>
      </c>
      <c r="J527" s="37" t="s">
        <v>419</v>
      </c>
    </row>
    <row r="528" spans="1:10" x14ac:dyDescent="0.35">
      <c r="A528" s="32" t="s">
        <v>16</v>
      </c>
      <c r="B528" s="32">
        <f t="shared" si="136"/>
        <v>2055</v>
      </c>
      <c r="C528" s="33" t="s">
        <v>34</v>
      </c>
      <c r="D528" s="34" t="s">
        <v>128</v>
      </c>
      <c r="E528" s="35" t="str">
        <f t="shared" si="132"/>
        <v>PND'!</v>
      </c>
      <c r="F528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28" s="32" t="s">
        <v>102</v>
      </c>
      <c r="H528" s="33">
        <f t="shared" si="134"/>
        <v>44</v>
      </c>
      <c r="I528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ECP\Cantagallo\Cristalina\[CRISTALINA_CF_SEC_New_09-Feb-2024.xlsx]D-PND'!$BW$44</v>
      </c>
      <c r="J528" s="37" t="s">
        <v>420</v>
      </c>
    </row>
    <row r="529" spans="1:10" x14ac:dyDescent="0.35">
      <c r="A529" s="32" t="s">
        <v>16</v>
      </c>
      <c r="B529" s="32">
        <f t="shared" si="136"/>
        <v>2056</v>
      </c>
      <c r="C529" s="33" t="s">
        <v>34</v>
      </c>
      <c r="D529" s="34" t="s">
        <v>128</v>
      </c>
      <c r="E529" s="35" t="str">
        <f t="shared" si="132"/>
        <v>PND'!</v>
      </c>
      <c r="F529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29" s="32" t="s">
        <v>102</v>
      </c>
      <c r="H529" s="33">
        <f t="shared" si="134"/>
        <v>45</v>
      </c>
      <c r="I529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ECP\Cantagallo\Cristalina\[CRISTALINA_CF_SEC_New_09-Feb-2024.xlsx]D-PND'!$BW$45</v>
      </c>
      <c r="J529" s="37" t="s">
        <v>421</v>
      </c>
    </row>
    <row r="530" spans="1:10" x14ac:dyDescent="0.35">
      <c r="A530" s="32" t="s">
        <v>16</v>
      </c>
      <c r="B530" s="32">
        <f t="shared" si="136"/>
        <v>2057</v>
      </c>
      <c r="C530" s="33" t="s">
        <v>34</v>
      </c>
      <c r="D530" s="34" t="s">
        <v>128</v>
      </c>
      <c r="E530" s="35" t="str">
        <f t="shared" si="132"/>
        <v>PND'!</v>
      </c>
      <c r="F530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30" s="32" t="s">
        <v>102</v>
      </c>
      <c r="H530" s="33">
        <f t="shared" si="134"/>
        <v>46</v>
      </c>
      <c r="I530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ECP\Cantagallo\Cristalina\[CRISTALINA_CF_SEC_New_09-Feb-2024.xlsx]D-PND'!$BW$46</v>
      </c>
      <c r="J530" s="37" t="s">
        <v>422</v>
      </c>
    </row>
    <row r="531" spans="1:10" x14ac:dyDescent="0.35">
      <c r="A531" s="32" t="s">
        <v>16</v>
      </c>
      <c r="B531" s="32">
        <f t="shared" si="136"/>
        <v>2058</v>
      </c>
      <c r="C531" s="33" t="s">
        <v>34</v>
      </c>
      <c r="D531" s="34" t="s">
        <v>128</v>
      </c>
      <c r="E531" s="35" t="str">
        <f t="shared" si="132"/>
        <v>PND'!</v>
      </c>
      <c r="F531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31" s="32" t="s">
        <v>102</v>
      </c>
      <c r="H531" s="33">
        <f t="shared" si="134"/>
        <v>47</v>
      </c>
      <c r="I531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ECP\Cantagallo\Cristalina\[CRISTALINA_CF_SEC_New_09-Feb-2024.xlsx]D-PND'!$BW$47</v>
      </c>
      <c r="J531" s="37" t="s">
        <v>423</v>
      </c>
    </row>
    <row r="532" spans="1:10" x14ac:dyDescent="0.35">
      <c r="A532" s="32" t="s">
        <v>16</v>
      </c>
      <c r="B532" s="32">
        <f t="shared" si="136"/>
        <v>2059</v>
      </c>
      <c r="C532" s="33" t="s">
        <v>34</v>
      </c>
      <c r="D532" s="34" t="s">
        <v>128</v>
      </c>
      <c r="E532" s="35" t="str">
        <f t="shared" si="132"/>
        <v>PND'!</v>
      </c>
      <c r="F532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32" s="32" t="s">
        <v>102</v>
      </c>
      <c r="H532" s="33">
        <f t="shared" si="134"/>
        <v>48</v>
      </c>
      <c r="I532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ECP\Cantagallo\Cristalina\[CRISTALINA_CF_SEC_New_09-Feb-2024.xlsx]D-PND'!$BW$48</v>
      </c>
      <c r="J532" s="37" t="s">
        <v>424</v>
      </c>
    </row>
    <row r="533" spans="1:10" x14ac:dyDescent="0.35">
      <c r="A533" s="32" t="s">
        <v>26</v>
      </c>
      <c r="B533" s="32"/>
      <c r="C533" s="33" t="s">
        <v>34</v>
      </c>
      <c r="D533" s="34"/>
      <c r="E533" s="35"/>
      <c r="F533" s="34"/>
      <c r="G533" s="32"/>
      <c r="H533" s="33"/>
      <c r="I533" s="33"/>
      <c r="J533" s="33"/>
    </row>
    <row r="534" spans="1:10" x14ac:dyDescent="0.35">
      <c r="A534" s="32" t="s">
        <v>17</v>
      </c>
      <c r="B534" s="32">
        <v>2023</v>
      </c>
      <c r="C534" s="33" t="s">
        <v>34</v>
      </c>
      <c r="D534" s="34" t="s">
        <v>128</v>
      </c>
      <c r="E534" s="35" t="str">
        <f t="shared" ref="E534:E554" si="137">_xlfn.CONCAT(A534,"'!")</f>
        <v>PRBDP'!</v>
      </c>
      <c r="F534" s="34" t="str">
        <f t="shared" ref="F534:F554" si="138">_xlfn.CONCAT(D534:E534)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34" s="32" t="s">
        <v>102</v>
      </c>
      <c r="H534" s="33"/>
      <c r="I534" s="33"/>
      <c r="J534" s="37"/>
    </row>
    <row r="535" spans="1:10" x14ac:dyDescent="0.35">
      <c r="A535" s="32" t="s">
        <v>17</v>
      </c>
      <c r="B535" s="32">
        <f>+B534+1</f>
        <v>2024</v>
      </c>
      <c r="C535" s="33" t="s">
        <v>34</v>
      </c>
      <c r="D535" s="34" t="s">
        <v>128</v>
      </c>
      <c r="E535" s="35" t="str">
        <f t="shared" si="137"/>
        <v>PRBDP'!</v>
      </c>
      <c r="F535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35" s="32" t="s">
        <v>102</v>
      </c>
      <c r="H535" s="33"/>
      <c r="I535" s="33"/>
      <c r="J535" s="37"/>
    </row>
    <row r="536" spans="1:10" x14ac:dyDescent="0.35">
      <c r="A536" s="32" t="s">
        <v>17</v>
      </c>
      <c r="B536" s="32">
        <f t="shared" ref="B536:B547" si="139">+B535+1</f>
        <v>2025</v>
      </c>
      <c r="C536" s="33" t="s">
        <v>34</v>
      </c>
      <c r="D536" s="34" t="s">
        <v>128</v>
      </c>
      <c r="E536" s="35" t="str">
        <f t="shared" si="137"/>
        <v>PRBDP'!</v>
      </c>
      <c r="F536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36" s="32" t="s">
        <v>102</v>
      </c>
      <c r="H536" s="33"/>
      <c r="I536" s="33"/>
      <c r="J536" s="37"/>
    </row>
    <row r="537" spans="1:10" x14ac:dyDescent="0.35">
      <c r="A537" s="32" t="s">
        <v>17</v>
      </c>
      <c r="B537" s="32">
        <f t="shared" si="139"/>
        <v>2026</v>
      </c>
      <c r="C537" s="33" t="s">
        <v>34</v>
      </c>
      <c r="D537" s="34" t="s">
        <v>128</v>
      </c>
      <c r="E537" s="35" t="str">
        <f t="shared" si="137"/>
        <v>PRBDP'!</v>
      </c>
      <c r="F537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37" s="32" t="s">
        <v>102</v>
      </c>
      <c r="H537" s="33"/>
      <c r="I537" s="33"/>
      <c r="J537" s="37"/>
    </row>
    <row r="538" spans="1:10" x14ac:dyDescent="0.35">
      <c r="A538" s="32" t="s">
        <v>17</v>
      </c>
      <c r="B538" s="32">
        <f t="shared" si="139"/>
        <v>2027</v>
      </c>
      <c r="C538" s="33" t="s">
        <v>34</v>
      </c>
      <c r="D538" s="34" t="s">
        <v>128</v>
      </c>
      <c r="E538" s="35" t="str">
        <f t="shared" si="137"/>
        <v>PRBDP'!</v>
      </c>
      <c r="F538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38" s="32" t="s">
        <v>102</v>
      </c>
      <c r="H538" s="33"/>
      <c r="I538" s="33"/>
      <c r="J538" s="37"/>
    </row>
    <row r="539" spans="1:10" x14ac:dyDescent="0.35">
      <c r="A539" s="32" t="s">
        <v>17</v>
      </c>
      <c r="B539" s="32">
        <f t="shared" si="139"/>
        <v>2028</v>
      </c>
      <c r="C539" s="33" t="s">
        <v>34</v>
      </c>
      <c r="D539" s="34" t="s">
        <v>128</v>
      </c>
      <c r="E539" s="35" t="str">
        <f t="shared" si="137"/>
        <v>PRBDP'!</v>
      </c>
      <c r="F539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39" s="32" t="s">
        <v>102</v>
      </c>
      <c r="H539" s="33"/>
      <c r="I539" s="33"/>
      <c r="J539" s="37"/>
    </row>
    <row r="540" spans="1:10" x14ac:dyDescent="0.35">
      <c r="A540" s="32" t="s">
        <v>17</v>
      </c>
      <c r="B540" s="32">
        <f t="shared" si="139"/>
        <v>2029</v>
      </c>
      <c r="C540" s="33" t="s">
        <v>34</v>
      </c>
      <c r="D540" s="34" t="s">
        <v>128</v>
      </c>
      <c r="E540" s="35" t="str">
        <f t="shared" si="137"/>
        <v>PRBDP'!</v>
      </c>
      <c r="F540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40" s="32" t="s">
        <v>102</v>
      </c>
      <c r="H540" s="33"/>
      <c r="I540" s="33"/>
      <c r="J540" s="37"/>
    </row>
    <row r="541" spans="1:10" x14ac:dyDescent="0.35">
      <c r="A541" s="32" t="s">
        <v>17</v>
      </c>
      <c r="B541" s="32">
        <f t="shared" si="139"/>
        <v>2030</v>
      </c>
      <c r="C541" s="33" t="s">
        <v>34</v>
      </c>
      <c r="D541" s="34" t="s">
        <v>128</v>
      </c>
      <c r="E541" s="35" t="str">
        <f t="shared" si="137"/>
        <v>PRBDP'!</v>
      </c>
      <c r="F541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41" s="32" t="s">
        <v>102</v>
      </c>
      <c r="H541" s="33"/>
      <c r="I541" s="33"/>
      <c r="J541" s="37"/>
    </row>
    <row r="542" spans="1:10" x14ac:dyDescent="0.35">
      <c r="A542" s="32" t="s">
        <v>17</v>
      </c>
      <c r="B542" s="32">
        <f t="shared" si="139"/>
        <v>2031</v>
      </c>
      <c r="C542" s="33" t="s">
        <v>34</v>
      </c>
      <c r="D542" s="34" t="s">
        <v>128</v>
      </c>
      <c r="E542" s="35" t="str">
        <f t="shared" si="137"/>
        <v>PRBDP'!</v>
      </c>
      <c r="F542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42" s="32" t="s">
        <v>102</v>
      </c>
      <c r="H542" s="33"/>
      <c r="I542" s="33"/>
      <c r="J542" s="37"/>
    </row>
    <row r="543" spans="1:10" x14ac:dyDescent="0.35">
      <c r="A543" s="32" t="s">
        <v>17</v>
      </c>
      <c r="B543" s="32">
        <f t="shared" si="139"/>
        <v>2032</v>
      </c>
      <c r="C543" s="33" t="s">
        <v>34</v>
      </c>
      <c r="D543" s="34" t="s">
        <v>128</v>
      </c>
      <c r="E543" s="35" t="str">
        <f t="shared" si="137"/>
        <v>PRBDP'!</v>
      </c>
      <c r="F543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43" s="32" t="s">
        <v>102</v>
      </c>
      <c r="H543" s="33"/>
      <c r="I543" s="33"/>
      <c r="J543" s="37"/>
    </row>
    <row r="544" spans="1:10" x14ac:dyDescent="0.35">
      <c r="A544" s="32" t="s">
        <v>17</v>
      </c>
      <c r="B544" s="32">
        <f t="shared" si="139"/>
        <v>2033</v>
      </c>
      <c r="C544" s="33" t="s">
        <v>34</v>
      </c>
      <c r="D544" s="34" t="s">
        <v>128</v>
      </c>
      <c r="E544" s="35" t="str">
        <f t="shared" si="137"/>
        <v>PRBDP'!</v>
      </c>
      <c r="F544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44" s="32" t="s">
        <v>102</v>
      </c>
      <c r="H544" s="33"/>
      <c r="I544" s="33"/>
      <c r="J544" s="37"/>
    </row>
    <row r="545" spans="1:10" x14ac:dyDescent="0.35">
      <c r="A545" s="32" t="s">
        <v>17</v>
      </c>
      <c r="B545" s="32">
        <f t="shared" si="139"/>
        <v>2034</v>
      </c>
      <c r="C545" s="33" t="s">
        <v>34</v>
      </c>
      <c r="D545" s="34" t="s">
        <v>128</v>
      </c>
      <c r="E545" s="35" t="str">
        <f t="shared" si="137"/>
        <v>PRBDP'!</v>
      </c>
      <c r="F545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45" s="32" t="s">
        <v>102</v>
      </c>
      <c r="H545" s="33"/>
      <c r="I545" s="33"/>
      <c r="J545" s="37"/>
    </row>
    <row r="546" spans="1:10" x14ac:dyDescent="0.35">
      <c r="A546" s="32" t="s">
        <v>17</v>
      </c>
      <c r="B546" s="32">
        <f t="shared" si="139"/>
        <v>2035</v>
      </c>
      <c r="C546" s="33" t="s">
        <v>34</v>
      </c>
      <c r="D546" s="34" t="s">
        <v>128</v>
      </c>
      <c r="E546" s="35" t="str">
        <f t="shared" si="137"/>
        <v>PRBDP'!</v>
      </c>
      <c r="F546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46" s="32" t="s">
        <v>102</v>
      </c>
      <c r="H546" s="33"/>
      <c r="I546" s="33"/>
      <c r="J546" s="37"/>
    </row>
    <row r="547" spans="1:10" x14ac:dyDescent="0.35">
      <c r="A547" s="32" t="s">
        <v>17</v>
      </c>
      <c r="B547" s="32">
        <f t="shared" si="139"/>
        <v>2036</v>
      </c>
      <c r="C547" s="33" t="s">
        <v>34</v>
      </c>
      <c r="D547" s="34" t="s">
        <v>128</v>
      </c>
      <c r="E547" s="35" t="str">
        <f t="shared" si="137"/>
        <v>PRBDP'!</v>
      </c>
      <c r="F547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47" s="32" t="s">
        <v>102</v>
      </c>
      <c r="H547" s="33"/>
      <c r="I547" s="33"/>
      <c r="J547" s="37"/>
    </row>
    <row r="548" spans="1:10" x14ac:dyDescent="0.35">
      <c r="A548" s="32" t="s">
        <v>17</v>
      </c>
      <c r="B548" s="32">
        <f>+B547+1</f>
        <v>2037</v>
      </c>
      <c r="C548" s="33" t="s">
        <v>34</v>
      </c>
      <c r="D548" s="34" t="s">
        <v>128</v>
      </c>
      <c r="E548" s="35" t="str">
        <f t="shared" si="137"/>
        <v>PRBDP'!</v>
      </c>
      <c r="F548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48" s="32" t="s">
        <v>102</v>
      </c>
      <c r="H548" s="33"/>
      <c r="I548" s="33"/>
      <c r="J548" s="37"/>
    </row>
    <row r="549" spans="1:10" x14ac:dyDescent="0.35">
      <c r="A549" s="32" t="s">
        <v>17</v>
      </c>
      <c r="B549" s="32">
        <f t="shared" ref="B549:B551" si="140">+B548+1</f>
        <v>2038</v>
      </c>
      <c r="C549" s="33" t="s">
        <v>34</v>
      </c>
      <c r="D549" s="34" t="s">
        <v>128</v>
      </c>
      <c r="E549" s="35" t="str">
        <f t="shared" si="137"/>
        <v>PRBDP'!</v>
      </c>
      <c r="F549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49" s="32" t="s">
        <v>102</v>
      </c>
      <c r="H549" s="33"/>
      <c r="I549" s="33"/>
      <c r="J549" s="37"/>
    </row>
    <row r="550" spans="1:10" x14ac:dyDescent="0.35">
      <c r="A550" s="32" t="s">
        <v>17</v>
      </c>
      <c r="B550" s="32">
        <f t="shared" si="140"/>
        <v>2039</v>
      </c>
      <c r="C550" s="33" t="s">
        <v>34</v>
      </c>
      <c r="D550" s="34" t="s">
        <v>128</v>
      </c>
      <c r="E550" s="35" t="str">
        <f t="shared" si="137"/>
        <v>PRBDP'!</v>
      </c>
      <c r="F550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50" s="32" t="s">
        <v>102</v>
      </c>
      <c r="H550" s="33"/>
      <c r="I550" s="33"/>
      <c r="J550" s="37"/>
    </row>
    <row r="551" spans="1:10" x14ac:dyDescent="0.35">
      <c r="A551" s="32" t="s">
        <v>17</v>
      </c>
      <c r="B551" s="32">
        <f t="shared" si="140"/>
        <v>2040</v>
      </c>
      <c r="C551" s="33" t="s">
        <v>34</v>
      </c>
      <c r="D551" s="34" t="s">
        <v>128</v>
      </c>
      <c r="E551" s="35" t="str">
        <f t="shared" si="137"/>
        <v>PRBDP'!</v>
      </c>
      <c r="F551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51" s="32" t="s">
        <v>102</v>
      </c>
      <c r="H551" s="33"/>
      <c r="I551" s="33"/>
      <c r="J551" s="37"/>
    </row>
    <row r="552" spans="1:10" x14ac:dyDescent="0.35">
      <c r="A552" s="32" t="s">
        <v>17</v>
      </c>
      <c r="B552" s="32">
        <f>+B551+1</f>
        <v>2041</v>
      </c>
      <c r="C552" s="33" t="s">
        <v>34</v>
      </c>
      <c r="D552" s="34" t="s">
        <v>128</v>
      </c>
      <c r="E552" s="35" t="str">
        <f t="shared" si="137"/>
        <v>PRBDP'!</v>
      </c>
      <c r="F552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52" s="32" t="s">
        <v>102</v>
      </c>
      <c r="H552" s="33"/>
      <c r="I552" s="33"/>
      <c r="J552" s="37"/>
    </row>
    <row r="553" spans="1:10" x14ac:dyDescent="0.35">
      <c r="A553" s="32" t="s">
        <v>17</v>
      </c>
      <c r="B553" s="32">
        <f t="shared" ref="B553:B554" si="141">+B552+1</f>
        <v>2042</v>
      </c>
      <c r="C553" s="33" t="s">
        <v>34</v>
      </c>
      <c r="D553" s="34" t="s">
        <v>128</v>
      </c>
      <c r="E553" s="35" t="str">
        <f t="shared" si="137"/>
        <v>PRBDP'!</v>
      </c>
      <c r="F553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53" s="32" t="s">
        <v>102</v>
      </c>
      <c r="H553" s="33"/>
      <c r="I553" s="33"/>
      <c r="J553" s="37"/>
    </row>
    <row r="554" spans="1:10" x14ac:dyDescent="0.35">
      <c r="A554" s="32" t="s">
        <v>17</v>
      </c>
      <c r="B554" s="32">
        <f t="shared" si="141"/>
        <v>2043</v>
      </c>
      <c r="C554" s="33" t="s">
        <v>34</v>
      </c>
      <c r="D554" s="34" t="s">
        <v>128</v>
      </c>
      <c r="E554" s="35" t="str">
        <f t="shared" si="137"/>
        <v>PRBDP'!</v>
      </c>
      <c r="F554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54" s="32" t="s">
        <v>102</v>
      </c>
      <c r="H554" s="33"/>
      <c r="I554" s="33"/>
      <c r="J554" s="37"/>
    </row>
    <row r="555" spans="1:10" x14ac:dyDescent="0.35">
      <c r="A555" s="32" t="s">
        <v>17</v>
      </c>
      <c r="B555" s="32">
        <f>+B554+1</f>
        <v>2044</v>
      </c>
      <c r="C555" s="33" t="s">
        <v>34</v>
      </c>
      <c r="D555" s="34" t="s">
        <v>128</v>
      </c>
      <c r="E555" s="35" t="str">
        <f t="shared" ref="E555:E570" si="142">_xlfn.CONCAT(A555,"'!")</f>
        <v>PRBDP'!</v>
      </c>
      <c r="F555" s="34" t="str">
        <f t="shared" ref="F555:F570" si="143">_xlfn.CONCAT(D555:E555)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55" s="32" t="s">
        <v>102</v>
      </c>
      <c r="H555" s="33"/>
      <c r="I555" s="33"/>
      <c r="J555" s="37"/>
    </row>
    <row r="556" spans="1:10" x14ac:dyDescent="0.35">
      <c r="A556" s="32" t="s">
        <v>17</v>
      </c>
      <c r="B556" s="32">
        <f t="shared" ref="B556:B570" si="144">+B555+1</f>
        <v>2045</v>
      </c>
      <c r="C556" s="33" t="s">
        <v>34</v>
      </c>
      <c r="D556" s="34" t="s">
        <v>128</v>
      </c>
      <c r="E556" s="35" t="str">
        <f t="shared" si="142"/>
        <v>PRBDP'!</v>
      </c>
      <c r="F556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56" s="32" t="s">
        <v>102</v>
      </c>
      <c r="H556" s="33"/>
      <c r="I556" s="33"/>
      <c r="J556" s="37"/>
    </row>
    <row r="557" spans="1:10" x14ac:dyDescent="0.35">
      <c r="A557" s="32" t="s">
        <v>17</v>
      </c>
      <c r="B557" s="32">
        <f t="shared" si="144"/>
        <v>2046</v>
      </c>
      <c r="C557" s="33" t="s">
        <v>34</v>
      </c>
      <c r="D557" s="34" t="s">
        <v>128</v>
      </c>
      <c r="E557" s="35" t="str">
        <f t="shared" si="142"/>
        <v>PRBDP'!</v>
      </c>
      <c r="F557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57" s="32" t="s">
        <v>102</v>
      </c>
      <c r="H557" s="33"/>
      <c r="I557" s="33"/>
      <c r="J557" s="37"/>
    </row>
    <row r="558" spans="1:10" x14ac:dyDescent="0.35">
      <c r="A558" s="32" t="s">
        <v>17</v>
      </c>
      <c r="B558" s="32">
        <f t="shared" si="144"/>
        <v>2047</v>
      </c>
      <c r="C558" s="33" t="s">
        <v>34</v>
      </c>
      <c r="D558" s="34" t="s">
        <v>128</v>
      </c>
      <c r="E558" s="35" t="str">
        <f t="shared" si="142"/>
        <v>PRBDP'!</v>
      </c>
      <c r="F558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58" s="32" t="s">
        <v>102</v>
      </c>
      <c r="H558" s="33"/>
      <c r="I558" s="33"/>
      <c r="J558" s="37"/>
    </row>
    <row r="559" spans="1:10" x14ac:dyDescent="0.35">
      <c r="A559" s="32" t="s">
        <v>17</v>
      </c>
      <c r="B559" s="32">
        <f t="shared" si="144"/>
        <v>2048</v>
      </c>
      <c r="C559" s="33" t="s">
        <v>34</v>
      </c>
      <c r="D559" s="34" t="s">
        <v>128</v>
      </c>
      <c r="E559" s="35" t="str">
        <f t="shared" si="142"/>
        <v>PRBDP'!</v>
      </c>
      <c r="F559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59" s="32" t="s">
        <v>102</v>
      </c>
      <c r="H559" s="33"/>
      <c r="I559" s="33"/>
      <c r="J559" s="37"/>
    </row>
    <row r="560" spans="1:10" x14ac:dyDescent="0.35">
      <c r="A560" s="32" t="s">
        <v>17</v>
      </c>
      <c r="B560" s="32">
        <f t="shared" si="144"/>
        <v>2049</v>
      </c>
      <c r="C560" s="33" t="s">
        <v>34</v>
      </c>
      <c r="D560" s="34" t="s">
        <v>128</v>
      </c>
      <c r="E560" s="35" t="str">
        <f t="shared" si="142"/>
        <v>PRBDP'!</v>
      </c>
      <c r="F560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60" s="32" t="s">
        <v>102</v>
      </c>
      <c r="H560" s="33"/>
      <c r="I560" s="33"/>
      <c r="J560" s="37"/>
    </row>
    <row r="561" spans="1:10" x14ac:dyDescent="0.35">
      <c r="A561" s="32" t="s">
        <v>17</v>
      </c>
      <c r="B561" s="32">
        <f t="shared" si="144"/>
        <v>2050</v>
      </c>
      <c r="C561" s="33" t="s">
        <v>34</v>
      </c>
      <c r="D561" s="34" t="s">
        <v>128</v>
      </c>
      <c r="E561" s="35" t="str">
        <f t="shared" si="142"/>
        <v>PRBDP'!</v>
      </c>
      <c r="F561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61" s="32" t="s">
        <v>102</v>
      </c>
      <c r="H561" s="33"/>
      <c r="I561" s="33"/>
      <c r="J561" s="37"/>
    </row>
    <row r="562" spans="1:10" x14ac:dyDescent="0.35">
      <c r="A562" s="32" t="s">
        <v>17</v>
      </c>
      <c r="B562" s="32">
        <f t="shared" si="144"/>
        <v>2051</v>
      </c>
      <c r="C562" s="33" t="s">
        <v>34</v>
      </c>
      <c r="D562" s="34" t="s">
        <v>128</v>
      </c>
      <c r="E562" s="35" t="str">
        <f t="shared" si="142"/>
        <v>PRBDP'!</v>
      </c>
      <c r="F562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62" s="32" t="s">
        <v>102</v>
      </c>
      <c r="H562" s="33"/>
      <c r="I562" s="33"/>
      <c r="J562" s="37"/>
    </row>
    <row r="563" spans="1:10" x14ac:dyDescent="0.35">
      <c r="A563" s="32" t="s">
        <v>17</v>
      </c>
      <c r="B563" s="32">
        <f t="shared" si="144"/>
        <v>2052</v>
      </c>
      <c r="C563" s="33" t="s">
        <v>34</v>
      </c>
      <c r="D563" s="34" t="s">
        <v>128</v>
      </c>
      <c r="E563" s="35" t="str">
        <f t="shared" si="142"/>
        <v>PRBDP'!</v>
      </c>
      <c r="F563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63" s="32" t="s">
        <v>102</v>
      </c>
      <c r="H563" s="33"/>
      <c r="I563" s="33"/>
      <c r="J563" s="37"/>
    </row>
    <row r="564" spans="1:10" x14ac:dyDescent="0.35">
      <c r="A564" s="32" t="s">
        <v>17</v>
      </c>
      <c r="B564" s="32">
        <f t="shared" si="144"/>
        <v>2053</v>
      </c>
      <c r="C564" s="33" t="s">
        <v>34</v>
      </c>
      <c r="D564" s="34" t="s">
        <v>128</v>
      </c>
      <c r="E564" s="35" t="str">
        <f t="shared" si="142"/>
        <v>PRBDP'!</v>
      </c>
      <c r="F564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64" s="32" t="s">
        <v>102</v>
      </c>
      <c r="H564" s="33"/>
      <c r="I564" s="33"/>
      <c r="J564" s="37"/>
    </row>
    <row r="565" spans="1:10" x14ac:dyDescent="0.35">
      <c r="A565" s="32" t="s">
        <v>17</v>
      </c>
      <c r="B565" s="32">
        <f t="shared" si="144"/>
        <v>2054</v>
      </c>
      <c r="C565" s="33" t="s">
        <v>34</v>
      </c>
      <c r="D565" s="34" t="s">
        <v>128</v>
      </c>
      <c r="E565" s="35" t="str">
        <f t="shared" si="142"/>
        <v>PRBDP'!</v>
      </c>
      <c r="F565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65" s="32" t="s">
        <v>102</v>
      </c>
      <c r="H565" s="33"/>
      <c r="I565" s="33"/>
      <c r="J565" s="37"/>
    </row>
    <row r="566" spans="1:10" x14ac:dyDescent="0.35">
      <c r="A566" s="32" t="s">
        <v>17</v>
      </c>
      <c r="B566" s="32">
        <f t="shared" si="144"/>
        <v>2055</v>
      </c>
      <c r="C566" s="33" t="s">
        <v>34</v>
      </c>
      <c r="D566" s="34" t="s">
        <v>128</v>
      </c>
      <c r="E566" s="35" t="str">
        <f t="shared" si="142"/>
        <v>PRBDP'!</v>
      </c>
      <c r="F566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66" s="32" t="s">
        <v>102</v>
      </c>
      <c r="H566" s="33"/>
      <c r="I566" s="33"/>
      <c r="J566" s="37"/>
    </row>
    <row r="567" spans="1:10" x14ac:dyDescent="0.35">
      <c r="A567" s="32" t="s">
        <v>17</v>
      </c>
      <c r="B567" s="32">
        <f t="shared" si="144"/>
        <v>2056</v>
      </c>
      <c r="C567" s="33" t="s">
        <v>34</v>
      </c>
      <c r="D567" s="34" t="s">
        <v>128</v>
      </c>
      <c r="E567" s="35" t="str">
        <f t="shared" si="142"/>
        <v>PRBDP'!</v>
      </c>
      <c r="F567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67" s="32" t="s">
        <v>102</v>
      </c>
      <c r="H567" s="33"/>
      <c r="I567" s="33"/>
      <c r="J567" s="37"/>
    </row>
    <row r="568" spans="1:10" x14ac:dyDescent="0.35">
      <c r="A568" s="32" t="s">
        <v>17</v>
      </c>
      <c r="B568" s="32">
        <f t="shared" si="144"/>
        <v>2057</v>
      </c>
      <c r="C568" s="33" t="s">
        <v>34</v>
      </c>
      <c r="D568" s="34" t="s">
        <v>128</v>
      </c>
      <c r="E568" s="35" t="str">
        <f t="shared" si="142"/>
        <v>PRBDP'!</v>
      </c>
      <c r="F568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68" s="32" t="s">
        <v>102</v>
      </c>
      <c r="H568" s="33"/>
      <c r="I568" s="33"/>
      <c r="J568" s="37"/>
    </row>
    <row r="569" spans="1:10" x14ac:dyDescent="0.35">
      <c r="A569" s="32" t="s">
        <v>17</v>
      </c>
      <c r="B569" s="32">
        <f t="shared" si="144"/>
        <v>2058</v>
      </c>
      <c r="C569" s="33" t="s">
        <v>34</v>
      </c>
      <c r="D569" s="34" t="s">
        <v>128</v>
      </c>
      <c r="E569" s="35" t="str">
        <f t="shared" si="142"/>
        <v>PRBDP'!</v>
      </c>
      <c r="F569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69" s="32" t="s">
        <v>102</v>
      </c>
      <c r="H569" s="33"/>
      <c r="I569" s="33"/>
      <c r="J569" s="37"/>
    </row>
    <row r="570" spans="1:10" x14ac:dyDescent="0.35">
      <c r="A570" s="32" t="s">
        <v>17</v>
      </c>
      <c r="B570" s="32">
        <f t="shared" si="144"/>
        <v>2059</v>
      </c>
      <c r="C570" s="33" t="s">
        <v>34</v>
      </c>
      <c r="D570" s="34" t="s">
        <v>128</v>
      </c>
      <c r="E570" s="35" t="str">
        <f t="shared" si="142"/>
        <v>PRBDP'!</v>
      </c>
      <c r="F570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70" s="32" t="s">
        <v>102</v>
      </c>
      <c r="H570" s="33"/>
      <c r="I570" s="33"/>
      <c r="J570" s="37"/>
    </row>
    <row r="571" spans="1:10" x14ac:dyDescent="0.35">
      <c r="A571" s="32" t="s">
        <v>26</v>
      </c>
      <c r="B571" s="32"/>
      <c r="C571" s="33" t="s">
        <v>34</v>
      </c>
      <c r="D571" s="34"/>
      <c r="E571" s="35"/>
      <c r="F571" s="34"/>
      <c r="G571" s="32"/>
      <c r="H571" s="33"/>
      <c r="I571" s="33"/>
      <c r="J571" s="33"/>
    </row>
    <row r="572" spans="1:10" x14ac:dyDescent="0.35">
      <c r="A572" s="32" t="s">
        <v>18</v>
      </c>
      <c r="B572" s="32">
        <v>2023</v>
      </c>
      <c r="C572" s="33" t="s">
        <v>34</v>
      </c>
      <c r="D572" s="34" t="s">
        <v>128</v>
      </c>
      <c r="E572" s="35" t="str">
        <f t="shared" ref="E572:E592" si="145">_xlfn.CONCAT(A572,"'!")</f>
        <v>PRBNP'!</v>
      </c>
      <c r="F572" s="34" t="str">
        <f t="shared" ref="F572:F592" si="146">_xlfn.CONCAT(D572:E572)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72" s="32" t="s">
        <v>102</v>
      </c>
      <c r="H572" s="33"/>
      <c r="I572" s="33"/>
      <c r="J572" s="37"/>
    </row>
    <row r="573" spans="1:10" x14ac:dyDescent="0.35">
      <c r="A573" s="32" t="s">
        <v>18</v>
      </c>
      <c r="B573" s="32">
        <f>+B572+1</f>
        <v>2024</v>
      </c>
      <c r="C573" s="33" t="s">
        <v>34</v>
      </c>
      <c r="D573" s="34" t="s">
        <v>128</v>
      </c>
      <c r="E573" s="35" t="str">
        <f t="shared" si="145"/>
        <v>PRBNP'!</v>
      </c>
      <c r="F573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73" s="32" t="s">
        <v>102</v>
      </c>
      <c r="H573" s="33"/>
      <c r="I573" s="33"/>
      <c r="J573" s="37"/>
    </row>
    <row r="574" spans="1:10" x14ac:dyDescent="0.35">
      <c r="A574" s="32" t="s">
        <v>18</v>
      </c>
      <c r="B574" s="32">
        <f t="shared" ref="B574:B585" si="147">+B573+1</f>
        <v>2025</v>
      </c>
      <c r="C574" s="33" t="s">
        <v>34</v>
      </c>
      <c r="D574" s="34" t="s">
        <v>128</v>
      </c>
      <c r="E574" s="35" t="str">
        <f t="shared" si="145"/>
        <v>PRBNP'!</v>
      </c>
      <c r="F574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74" s="32" t="s">
        <v>102</v>
      </c>
      <c r="H574" s="33"/>
      <c r="I574" s="33"/>
      <c r="J574" s="37"/>
    </row>
    <row r="575" spans="1:10" x14ac:dyDescent="0.35">
      <c r="A575" s="32" t="s">
        <v>18</v>
      </c>
      <c r="B575" s="32">
        <f t="shared" si="147"/>
        <v>2026</v>
      </c>
      <c r="C575" s="33" t="s">
        <v>34</v>
      </c>
      <c r="D575" s="34" t="s">
        <v>128</v>
      </c>
      <c r="E575" s="35" t="str">
        <f t="shared" si="145"/>
        <v>PRBNP'!</v>
      </c>
      <c r="F575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75" s="32" t="s">
        <v>102</v>
      </c>
      <c r="H575" s="33"/>
      <c r="I575" s="33"/>
      <c r="J575" s="37"/>
    </row>
    <row r="576" spans="1:10" x14ac:dyDescent="0.35">
      <c r="A576" s="32" t="s">
        <v>18</v>
      </c>
      <c r="B576" s="32">
        <f t="shared" si="147"/>
        <v>2027</v>
      </c>
      <c r="C576" s="33" t="s">
        <v>34</v>
      </c>
      <c r="D576" s="34" t="s">
        <v>128</v>
      </c>
      <c r="E576" s="35" t="str">
        <f t="shared" si="145"/>
        <v>PRBNP'!</v>
      </c>
      <c r="F576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76" s="32" t="s">
        <v>102</v>
      </c>
      <c r="H576" s="33"/>
      <c r="I576" s="33"/>
      <c r="J576" s="37"/>
    </row>
    <row r="577" spans="1:10" x14ac:dyDescent="0.35">
      <c r="A577" s="32" t="s">
        <v>18</v>
      </c>
      <c r="B577" s="32">
        <f t="shared" si="147"/>
        <v>2028</v>
      </c>
      <c r="C577" s="33" t="s">
        <v>34</v>
      </c>
      <c r="D577" s="34" t="s">
        <v>128</v>
      </c>
      <c r="E577" s="35" t="str">
        <f t="shared" si="145"/>
        <v>PRBNP'!</v>
      </c>
      <c r="F577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77" s="32" t="s">
        <v>102</v>
      </c>
      <c r="H577" s="33"/>
      <c r="I577" s="33"/>
      <c r="J577" s="37"/>
    </row>
    <row r="578" spans="1:10" x14ac:dyDescent="0.35">
      <c r="A578" s="32" t="s">
        <v>18</v>
      </c>
      <c r="B578" s="32">
        <f t="shared" si="147"/>
        <v>2029</v>
      </c>
      <c r="C578" s="33" t="s">
        <v>34</v>
      </c>
      <c r="D578" s="34" t="s">
        <v>128</v>
      </c>
      <c r="E578" s="35" t="str">
        <f t="shared" si="145"/>
        <v>PRBNP'!</v>
      </c>
      <c r="F578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78" s="32" t="s">
        <v>102</v>
      </c>
      <c r="H578" s="33"/>
      <c r="I578" s="33"/>
      <c r="J578" s="37"/>
    </row>
    <row r="579" spans="1:10" x14ac:dyDescent="0.35">
      <c r="A579" s="32" t="s">
        <v>18</v>
      </c>
      <c r="B579" s="32">
        <f t="shared" si="147"/>
        <v>2030</v>
      </c>
      <c r="C579" s="33" t="s">
        <v>34</v>
      </c>
      <c r="D579" s="34" t="s">
        <v>128</v>
      </c>
      <c r="E579" s="35" t="str">
        <f t="shared" si="145"/>
        <v>PRBNP'!</v>
      </c>
      <c r="F579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79" s="32" t="s">
        <v>102</v>
      </c>
      <c r="H579" s="33"/>
      <c r="I579" s="33"/>
      <c r="J579" s="37"/>
    </row>
    <row r="580" spans="1:10" x14ac:dyDescent="0.35">
      <c r="A580" s="32" t="s">
        <v>18</v>
      </c>
      <c r="B580" s="32">
        <f t="shared" si="147"/>
        <v>2031</v>
      </c>
      <c r="C580" s="33" t="s">
        <v>34</v>
      </c>
      <c r="D580" s="34" t="s">
        <v>128</v>
      </c>
      <c r="E580" s="35" t="str">
        <f t="shared" si="145"/>
        <v>PRBNP'!</v>
      </c>
      <c r="F580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80" s="32" t="s">
        <v>102</v>
      </c>
      <c r="H580" s="33"/>
      <c r="I580" s="33"/>
      <c r="J580" s="37"/>
    </row>
    <row r="581" spans="1:10" x14ac:dyDescent="0.35">
      <c r="A581" s="32" t="s">
        <v>18</v>
      </c>
      <c r="B581" s="32">
        <f t="shared" si="147"/>
        <v>2032</v>
      </c>
      <c r="C581" s="33" t="s">
        <v>34</v>
      </c>
      <c r="D581" s="34" t="s">
        <v>128</v>
      </c>
      <c r="E581" s="35" t="str">
        <f t="shared" si="145"/>
        <v>PRBNP'!</v>
      </c>
      <c r="F581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81" s="32" t="s">
        <v>102</v>
      </c>
      <c r="H581" s="33"/>
      <c r="I581" s="33"/>
      <c r="J581" s="37"/>
    </row>
    <row r="582" spans="1:10" x14ac:dyDescent="0.35">
      <c r="A582" s="32" t="s">
        <v>18</v>
      </c>
      <c r="B582" s="32">
        <f t="shared" si="147"/>
        <v>2033</v>
      </c>
      <c r="C582" s="33" t="s">
        <v>34</v>
      </c>
      <c r="D582" s="34" t="s">
        <v>128</v>
      </c>
      <c r="E582" s="35" t="str">
        <f t="shared" si="145"/>
        <v>PRBNP'!</v>
      </c>
      <c r="F582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82" s="32" t="s">
        <v>102</v>
      </c>
      <c r="H582" s="33"/>
      <c r="I582" s="33"/>
      <c r="J582" s="37"/>
    </row>
    <row r="583" spans="1:10" x14ac:dyDescent="0.35">
      <c r="A583" s="32" t="s">
        <v>18</v>
      </c>
      <c r="B583" s="32">
        <f t="shared" si="147"/>
        <v>2034</v>
      </c>
      <c r="C583" s="33" t="s">
        <v>34</v>
      </c>
      <c r="D583" s="34" t="s">
        <v>128</v>
      </c>
      <c r="E583" s="35" t="str">
        <f t="shared" si="145"/>
        <v>PRBNP'!</v>
      </c>
      <c r="F583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83" s="32" t="s">
        <v>102</v>
      </c>
      <c r="H583" s="33"/>
      <c r="I583" s="33"/>
      <c r="J583" s="37"/>
    </row>
    <row r="584" spans="1:10" x14ac:dyDescent="0.35">
      <c r="A584" s="32" t="s">
        <v>18</v>
      </c>
      <c r="B584" s="32">
        <f t="shared" si="147"/>
        <v>2035</v>
      </c>
      <c r="C584" s="33" t="s">
        <v>34</v>
      </c>
      <c r="D584" s="34" t="s">
        <v>128</v>
      </c>
      <c r="E584" s="35" t="str">
        <f t="shared" si="145"/>
        <v>PRBNP'!</v>
      </c>
      <c r="F584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84" s="32" t="s">
        <v>102</v>
      </c>
      <c r="H584" s="33"/>
      <c r="I584" s="33"/>
      <c r="J584" s="37"/>
    </row>
    <row r="585" spans="1:10" x14ac:dyDescent="0.35">
      <c r="A585" s="32" t="s">
        <v>18</v>
      </c>
      <c r="B585" s="32">
        <f t="shared" si="147"/>
        <v>2036</v>
      </c>
      <c r="C585" s="33" t="s">
        <v>34</v>
      </c>
      <c r="D585" s="34" t="s">
        <v>128</v>
      </c>
      <c r="E585" s="35" t="str">
        <f t="shared" si="145"/>
        <v>PRBNP'!</v>
      </c>
      <c r="F585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85" s="32" t="s">
        <v>102</v>
      </c>
      <c r="H585" s="33"/>
      <c r="I585" s="33"/>
      <c r="J585" s="37"/>
    </row>
    <row r="586" spans="1:10" x14ac:dyDescent="0.35">
      <c r="A586" s="32" t="s">
        <v>18</v>
      </c>
      <c r="B586" s="32">
        <f>+B585+1</f>
        <v>2037</v>
      </c>
      <c r="C586" s="33" t="s">
        <v>34</v>
      </c>
      <c r="D586" s="34" t="s">
        <v>128</v>
      </c>
      <c r="E586" s="35" t="str">
        <f t="shared" si="145"/>
        <v>PRBNP'!</v>
      </c>
      <c r="F586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86" s="32" t="s">
        <v>102</v>
      </c>
      <c r="H586" s="33"/>
      <c r="I586" s="33"/>
      <c r="J586" s="37"/>
    </row>
    <row r="587" spans="1:10" x14ac:dyDescent="0.35">
      <c r="A587" s="32" t="s">
        <v>18</v>
      </c>
      <c r="B587" s="32">
        <f t="shared" ref="B587:B589" si="148">+B586+1</f>
        <v>2038</v>
      </c>
      <c r="C587" s="33" t="s">
        <v>34</v>
      </c>
      <c r="D587" s="34" t="s">
        <v>128</v>
      </c>
      <c r="E587" s="35" t="str">
        <f t="shared" si="145"/>
        <v>PRBNP'!</v>
      </c>
      <c r="F587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87" s="32" t="s">
        <v>102</v>
      </c>
      <c r="H587" s="33"/>
      <c r="I587" s="33"/>
      <c r="J587" s="37"/>
    </row>
    <row r="588" spans="1:10" x14ac:dyDescent="0.35">
      <c r="A588" s="32" t="s">
        <v>18</v>
      </c>
      <c r="B588" s="32">
        <f t="shared" si="148"/>
        <v>2039</v>
      </c>
      <c r="C588" s="33" t="s">
        <v>34</v>
      </c>
      <c r="D588" s="34" t="s">
        <v>128</v>
      </c>
      <c r="E588" s="35" t="str">
        <f t="shared" si="145"/>
        <v>PRBNP'!</v>
      </c>
      <c r="F588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88" s="32" t="s">
        <v>102</v>
      </c>
      <c r="H588" s="33"/>
      <c r="I588" s="33"/>
      <c r="J588" s="37"/>
    </row>
    <row r="589" spans="1:10" x14ac:dyDescent="0.35">
      <c r="A589" s="32" t="s">
        <v>18</v>
      </c>
      <c r="B589" s="32">
        <f t="shared" si="148"/>
        <v>2040</v>
      </c>
      <c r="C589" s="33" t="s">
        <v>34</v>
      </c>
      <c r="D589" s="34" t="s">
        <v>128</v>
      </c>
      <c r="E589" s="35" t="str">
        <f t="shared" si="145"/>
        <v>PRBNP'!</v>
      </c>
      <c r="F589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89" s="32" t="s">
        <v>102</v>
      </c>
      <c r="H589" s="33"/>
      <c r="I589" s="33"/>
      <c r="J589" s="37"/>
    </row>
    <row r="590" spans="1:10" x14ac:dyDescent="0.35">
      <c r="A590" s="32" t="s">
        <v>18</v>
      </c>
      <c r="B590" s="32">
        <f>+B589+1</f>
        <v>2041</v>
      </c>
      <c r="C590" s="33" t="s">
        <v>34</v>
      </c>
      <c r="D590" s="34" t="s">
        <v>128</v>
      </c>
      <c r="E590" s="35" t="str">
        <f t="shared" si="145"/>
        <v>PRBNP'!</v>
      </c>
      <c r="F590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90" s="32" t="s">
        <v>102</v>
      </c>
      <c r="H590" s="33"/>
      <c r="I590" s="33"/>
      <c r="J590" s="37"/>
    </row>
    <row r="591" spans="1:10" x14ac:dyDescent="0.35">
      <c r="A591" s="32" t="s">
        <v>18</v>
      </c>
      <c r="B591" s="32">
        <f t="shared" ref="B591:B592" si="149">+B590+1</f>
        <v>2042</v>
      </c>
      <c r="C591" s="33" t="s">
        <v>34</v>
      </c>
      <c r="D591" s="34" t="s">
        <v>128</v>
      </c>
      <c r="E591" s="35" t="str">
        <f t="shared" si="145"/>
        <v>PRBNP'!</v>
      </c>
      <c r="F591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91" s="32" t="s">
        <v>102</v>
      </c>
      <c r="H591" s="33"/>
      <c r="I591" s="33"/>
      <c r="J591" s="37"/>
    </row>
    <row r="592" spans="1:10" x14ac:dyDescent="0.35">
      <c r="A592" s="32" t="s">
        <v>18</v>
      </c>
      <c r="B592" s="32">
        <f t="shared" si="149"/>
        <v>2043</v>
      </c>
      <c r="C592" s="33" t="s">
        <v>34</v>
      </c>
      <c r="D592" s="34" t="s">
        <v>128</v>
      </c>
      <c r="E592" s="35" t="str">
        <f t="shared" si="145"/>
        <v>PRBNP'!</v>
      </c>
      <c r="F592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92" s="32" t="s">
        <v>102</v>
      </c>
      <c r="H592" s="33"/>
      <c r="I592" s="33"/>
      <c r="J592" s="37"/>
    </row>
    <row r="593" spans="1:10" x14ac:dyDescent="0.35">
      <c r="A593" s="32" t="s">
        <v>18</v>
      </c>
      <c r="B593" s="32">
        <f>+B592+1</f>
        <v>2044</v>
      </c>
      <c r="C593" s="33" t="s">
        <v>34</v>
      </c>
      <c r="D593" s="34" t="s">
        <v>128</v>
      </c>
      <c r="E593" s="35" t="str">
        <f t="shared" ref="E593:E608" si="150">_xlfn.CONCAT(A593,"'!")</f>
        <v>PRBNP'!</v>
      </c>
      <c r="F593" s="34" t="str">
        <f t="shared" ref="F593:F608" si="151">_xlfn.CONCAT(D593:E593)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93" s="32" t="s">
        <v>102</v>
      </c>
      <c r="H593" s="33"/>
      <c r="I593" s="33"/>
      <c r="J593" s="37"/>
    </row>
    <row r="594" spans="1:10" x14ac:dyDescent="0.35">
      <c r="A594" s="32" t="s">
        <v>18</v>
      </c>
      <c r="B594" s="32">
        <f t="shared" ref="B594:B608" si="152">+B593+1</f>
        <v>2045</v>
      </c>
      <c r="C594" s="33" t="s">
        <v>34</v>
      </c>
      <c r="D594" s="34" t="s">
        <v>128</v>
      </c>
      <c r="E594" s="35" t="str">
        <f t="shared" si="150"/>
        <v>PRBNP'!</v>
      </c>
      <c r="F594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94" s="32" t="s">
        <v>102</v>
      </c>
      <c r="H594" s="33"/>
      <c r="I594" s="33"/>
      <c r="J594" s="37"/>
    </row>
    <row r="595" spans="1:10" x14ac:dyDescent="0.35">
      <c r="A595" s="32" t="s">
        <v>18</v>
      </c>
      <c r="B595" s="32">
        <f t="shared" si="152"/>
        <v>2046</v>
      </c>
      <c r="C595" s="33" t="s">
        <v>34</v>
      </c>
      <c r="D595" s="34" t="s">
        <v>128</v>
      </c>
      <c r="E595" s="35" t="str">
        <f t="shared" si="150"/>
        <v>PRBNP'!</v>
      </c>
      <c r="F595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95" s="32" t="s">
        <v>102</v>
      </c>
      <c r="H595" s="33"/>
      <c r="I595" s="33"/>
      <c r="J595" s="37"/>
    </row>
    <row r="596" spans="1:10" x14ac:dyDescent="0.35">
      <c r="A596" s="32" t="s">
        <v>18</v>
      </c>
      <c r="B596" s="32">
        <f t="shared" si="152"/>
        <v>2047</v>
      </c>
      <c r="C596" s="33" t="s">
        <v>34</v>
      </c>
      <c r="D596" s="34" t="s">
        <v>128</v>
      </c>
      <c r="E596" s="35" t="str">
        <f t="shared" si="150"/>
        <v>PRBNP'!</v>
      </c>
      <c r="F596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96" s="32" t="s">
        <v>102</v>
      </c>
      <c r="H596" s="33"/>
      <c r="I596" s="33"/>
      <c r="J596" s="37"/>
    </row>
    <row r="597" spans="1:10" x14ac:dyDescent="0.35">
      <c r="A597" s="32" t="s">
        <v>18</v>
      </c>
      <c r="B597" s="32">
        <f t="shared" si="152"/>
        <v>2048</v>
      </c>
      <c r="C597" s="33" t="s">
        <v>34</v>
      </c>
      <c r="D597" s="34" t="s">
        <v>128</v>
      </c>
      <c r="E597" s="35" t="str">
        <f t="shared" si="150"/>
        <v>PRBNP'!</v>
      </c>
      <c r="F597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97" s="32" t="s">
        <v>102</v>
      </c>
      <c r="H597" s="33"/>
      <c r="I597" s="33"/>
      <c r="J597" s="37"/>
    </row>
    <row r="598" spans="1:10" x14ac:dyDescent="0.35">
      <c r="A598" s="32" t="s">
        <v>18</v>
      </c>
      <c r="B598" s="32">
        <f t="shared" si="152"/>
        <v>2049</v>
      </c>
      <c r="C598" s="33" t="s">
        <v>34</v>
      </c>
      <c r="D598" s="34" t="s">
        <v>128</v>
      </c>
      <c r="E598" s="35" t="str">
        <f t="shared" si="150"/>
        <v>PRBNP'!</v>
      </c>
      <c r="F598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98" s="32" t="s">
        <v>102</v>
      </c>
      <c r="H598" s="33"/>
      <c r="I598" s="33"/>
      <c r="J598" s="37"/>
    </row>
    <row r="599" spans="1:10" x14ac:dyDescent="0.35">
      <c r="A599" s="32" t="s">
        <v>18</v>
      </c>
      <c r="B599" s="32">
        <f t="shared" si="152"/>
        <v>2050</v>
      </c>
      <c r="C599" s="33" t="s">
        <v>34</v>
      </c>
      <c r="D599" s="34" t="s">
        <v>128</v>
      </c>
      <c r="E599" s="35" t="str">
        <f t="shared" si="150"/>
        <v>PRBNP'!</v>
      </c>
      <c r="F599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99" s="32" t="s">
        <v>102</v>
      </c>
      <c r="H599" s="33"/>
      <c r="I599" s="33"/>
      <c r="J599" s="37"/>
    </row>
    <row r="600" spans="1:10" x14ac:dyDescent="0.35">
      <c r="A600" s="32" t="s">
        <v>18</v>
      </c>
      <c r="B600" s="32">
        <f t="shared" si="152"/>
        <v>2051</v>
      </c>
      <c r="C600" s="33" t="s">
        <v>34</v>
      </c>
      <c r="D600" s="34" t="s">
        <v>128</v>
      </c>
      <c r="E600" s="35" t="str">
        <f t="shared" si="150"/>
        <v>PRBNP'!</v>
      </c>
      <c r="F600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600" s="32" t="s">
        <v>102</v>
      </c>
      <c r="H600" s="33"/>
      <c r="I600" s="33"/>
      <c r="J600" s="37"/>
    </row>
    <row r="601" spans="1:10" x14ac:dyDescent="0.35">
      <c r="A601" s="32" t="s">
        <v>18</v>
      </c>
      <c r="B601" s="32">
        <f t="shared" si="152"/>
        <v>2052</v>
      </c>
      <c r="C601" s="33" t="s">
        <v>34</v>
      </c>
      <c r="D601" s="34" t="s">
        <v>128</v>
      </c>
      <c r="E601" s="35" t="str">
        <f t="shared" si="150"/>
        <v>PRBNP'!</v>
      </c>
      <c r="F601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601" s="32" t="s">
        <v>102</v>
      </c>
      <c r="H601" s="33"/>
      <c r="I601" s="33"/>
      <c r="J601" s="37"/>
    </row>
    <row r="602" spans="1:10" x14ac:dyDescent="0.35">
      <c r="A602" s="32" t="s">
        <v>18</v>
      </c>
      <c r="B602" s="32">
        <f t="shared" si="152"/>
        <v>2053</v>
      </c>
      <c r="C602" s="33" t="s">
        <v>34</v>
      </c>
      <c r="D602" s="34" t="s">
        <v>128</v>
      </c>
      <c r="E602" s="35" t="str">
        <f t="shared" si="150"/>
        <v>PRBNP'!</v>
      </c>
      <c r="F602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602" s="32" t="s">
        <v>102</v>
      </c>
      <c r="H602" s="33"/>
      <c r="I602" s="33"/>
      <c r="J602" s="37"/>
    </row>
    <row r="603" spans="1:10" x14ac:dyDescent="0.35">
      <c r="A603" s="32" t="s">
        <v>18</v>
      </c>
      <c r="B603" s="32">
        <f t="shared" si="152"/>
        <v>2054</v>
      </c>
      <c r="C603" s="33" t="s">
        <v>34</v>
      </c>
      <c r="D603" s="34" t="s">
        <v>128</v>
      </c>
      <c r="E603" s="35" t="str">
        <f t="shared" si="150"/>
        <v>PRBNP'!</v>
      </c>
      <c r="F603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603" s="32" t="s">
        <v>102</v>
      </c>
      <c r="H603" s="33"/>
      <c r="I603" s="33"/>
      <c r="J603" s="37"/>
    </row>
    <row r="604" spans="1:10" x14ac:dyDescent="0.35">
      <c r="A604" s="32" t="s">
        <v>18</v>
      </c>
      <c r="B604" s="32">
        <f t="shared" si="152"/>
        <v>2055</v>
      </c>
      <c r="C604" s="33" t="s">
        <v>34</v>
      </c>
      <c r="D604" s="34" t="s">
        <v>128</v>
      </c>
      <c r="E604" s="35" t="str">
        <f t="shared" si="150"/>
        <v>PRBNP'!</v>
      </c>
      <c r="F604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604" s="32" t="s">
        <v>102</v>
      </c>
      <c r="H604" s="33"/>
      <c r="I604" s="33"/>
      <c r="J604" s="37"/>
    </row>
    <row r="605" spans="1:10" x14ac:dyDescent="0.35">
      <c r="A605" s="32" t="s">
        <v>18</v>
      </c>
      <c r="B605" s="32">
        <f t="shared" si="152"/>
        <v>2056</v>
      </c>
      <c r="C605" s="33" t="s">
        <v>34</v>
      </c>
      <c r="D605" s="34" t="s">
        <v>128</v>
      </c>
      <c r="E605" s="35" t="str">
        <f t="shared" si="150"/>
        <v>PRBNP'!</v>
      </c>
      <c r="F605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605" s="32" t="s">
        <v>102</v>
      </c>
      <c r="H605" s="33"/>
      <c r="I605" s="33"/>
      <c r="J605" s="37"/>
    </row>
    <row r="606" spans="1:10" x14ac:dyDescent="0.35">
      <c r="A606" s="32" t="s">
        <v>18</v>
      </c>
      <c r="B606" s="32">
        <f t="shared" si="152"/>
        <v>2057</v>
      </c>
      <c r="C606" s="33" t="s">
        <v>34</v>
      </c>
      <c r="D606" s="34" t="s">
        <v>128</v>
      </c>
      <c r="E606" s="35" t="str">
        <f t="shared" si="150"/>
        <v>PRBNP'!</v>
      </c>
      <c r="F606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606" s="32" t="s">
        <v>102</v>
      </c>
      <c r="H606" s="33"/>
      <c r="I606" s="33"/>
      <c r="J606" s="37"/>
    </row>
    <row r="607" spans="1:10" x14ac:dyDescent="0.35">
      <c r="A607" s="32" t="s">
        <v>18</v>
      </c>
      <c r="B607" s="32">
        <f t="shared" si="152"/>
        <v>2058</v>
      </c>
      <c r="C607" s="33" t="s">
        <v>34</v>
      </c>
      <c r="D607" s="34" t="s">
        <v>128</v>
      </c>
      <c r="E607" s="35" t="str">
        <f t="shared" si="150"/>
        <v>PRBNP'!</v>
      </c>
      <c r="F607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607" s="32" t="s">
        <v>102</v>
      </c>
      <c r="H607" s="33"/>
      <c r="I607" s="33"/>
      <c r="J607" s="37"/>
    </row>
    <row r="608" spans="1:10" x14ac:dyDescent="0.35">
      <c r="A608" s="32" t="s">
        <v>18</v>
      </c>
      <c r="B608" s="32">
        <f t="shared" si="152"/>
        <v>2059</v>
      </c>
      <c r="C608" s="33" t="s">
        <v>34</v>
      </c>
      <c r="D608" s="34" t="s">
        <v>128</v>
      </c>
      <c r="E608" s="35" t="str">
        <f t="shared" si="150"/>
        <v>PRBNP'!</v>
      </c>
      <c r="F608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608" s="32" t="s">
        <v>102</v>
      </c>
      <c r="H608" s="33"/>
      <c r="I608" s="33"/>
      <c r="J608" s="37"/>
    </row>
    <row r="609" spans="1:10" x14ac:dyDescent="0.35">
      <c r="A609" s="32" t="s">
        <v>26</v>
      </c>
      <c r="B609" s="32"/>
      <c r="C609" s="33" t="s">
        <v>34</v>
      </c>
      <c r="D609" s="34"/>
      <c r="E609" s="35"/>
      <c r="F609" s="34"/>
      <c r="G609" s="32"/>
      <c r="H609" s="33"/>
      <c r="I609" s="33"/>
      <c r="J609" s="33"/>
    </row>
    <row r="610" spans="1:10" x14ac:dyDescent="0.35">
      <c r="A610" s="32" t="s">
        <v>19</v>
      </c>
      <c r="B610" s="32">
        <v>2023</v>
      </c>
      <c r="C610" s="33" t="s">
        <v>34</v>
      </c>
      <c r="D610" s="34" t="s">
        <v>128</v>
      </c>
      <c r="E610" s="35" t="str">
        <f t="shared" ref="E610:E630" si="153">_xlfn.CONCAT(A610,"'!")</f>
        <v>PRBND'!</v>
      </c>
      <c r="F610" s="34" t="str">
        <f t="shared" ref="F610:F630" si="154">_xlfn.CONCAT(D610:E610)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10" s="32" t="s">
        <v>102</v>
      </c>
      <c r="H610" s="33"/>
      <c r="I610" s="33"/>
      <c r="J610" s="37"/>
    </row>
    <row r="611" spans="1:10" x14ac:dyDescent="0.35">
      <c r="A611" s="32" t="s">
        <v>19</v>
      </c>
      <c r="B611" s="32">
        <f>+B610+1</f>
        <v>2024</v>
      </c>
      <c r="C611" s="33" t="s">
        <v>34</v>
      </c>
      <c r="D611" s="34" t="s">
        <v>128</v>
      </c>
      <c r="E611" s="35" t="str">
        <f t="shared" si="153"/>
        <v>PRBND'!</v>
      </c>
      <c r="F611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11" s="32" t="s">
        <v>102</v>
      </c>
      <c r="H611" s="33"/>
      <c r="I611" s="33"/>
      <c r="J611" s="37"/>
    </row>
    <row r="612" spans="1:10" x14ac:dyDescent="0.35">
      <c r="A612" s="32" t="s">
        <v>19</v>
      </c>
      <c r="B612" s="32">
        <f t="shared" ref="B612:B623" si="155">+B611+1</f>
        <v>2025</v>
      </c>
      <c r="C612" s="33" t="s">
        <v>34</v>
      </c>
      <c r="D612" s="34" t="s">
        <v>128</v>
      </c>
      <c r="E612" s="35" t="str">
        <f t="shared" si="153"/>
        <v>PRBND'!</v>
      </c>
      <c r="F612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12" s="32" t="s">
        <v>102</v>
      </c>
      <c r="H612" s="33"/>
      <c r="I612" s="33"/>
      <c r="J612" s="37"/>
    </row>
    <row r="613" spans="1:10" x14ac:dyDescent="0.35">
      <c r="A613" s="32" t="s">
        <v>19</v>
      </c>
      <c r="B613" s="32">
        <f t="shared" si="155"/>
        <v>2026</v>
      </c>
      <c r="C613" s="33" t="s">
        <v>34</v>
      </c>
      <c r="D613" s="34" t="s">
        <v>128</v>
      </c>
      <c r="E613" s="35" t="str">
        <f t="shared" si="153"/>
        <v>PRBND'!</v>
      </c>
      <c r="F613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13" s="32" t="s">
        <v>102</v>
      </c>
      <c r="H613" s="33"/>
      <c r="I613" s="33"/>
      <c r="J613" s="37"/>
    </row>
    <row r="614" spans="1:10" x14ac:dyDescent="0.35">
      <c r="A614" s="32" t="s">
        <v>19</v>
      </c>
      <c r="B614" s="32">
        <f t="shared" si="155"/>
        <v>2027</v>
      </c>
      <c r="C614" s="33" t="s">
        <v>34</v>
      </c>
      <c r="D614" s="34" t="s">
        <v>128</v>
      </c>
      <c r="E614" s="35" t="str">
        <f t="shared" si="153"/>
        <v>PRBND'!</v>
      </c>
      <c r="F614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14" s="32" t="s">
        <v>102</v>
      </c>
      <c r="H614" s="33"/>
      <c r="I614" s="33"/>
      <c r="J614" s="37"/>
    </row>
    <row r="615" spans="1:10" x14ac:dyDescent="0.35">
      <c r="A615" s="32" t="s">
        <v>19</v>
      </c>
      <c r="B615" s="32">
        <f t="shared" si="155"/>
        <v>2028</v>
      </c>
      <c r="C615" s="33" t="s">
        <v>34</v>
      </c>
      <c r="D615" s="34" t="s">
        <v>128</v>
      </c>
      <c r="E615" s="35" t="str">
        <f t="shared" si="153"/>
        <v>PRBND'!</v>
      </c>
      <c r="F615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15" s="32" t="s">
        <v>102</v>
      </c>
      <c r="H615" s="33"/>
      <c r="I615" s="33"/>
      <c r="J615" s="37"/>
    </row>
    <row r="616" spans="1:10" x14ac:dyDescent="0.35">
      <c r="A616" s="32" t="s">
        <v>19</v>
      </c>
      <c r="B616" s="32">
        <f t="shared" si="155"/>
        <v>2029</v>
      </c>
      <c r="C616" s="33" t="s">
        <v>34</v>
      </c>
      <c r="D616" s="34" t="s">
        <v>128</v>
      </c>
      <c r="E616" s="35" t="str">
        <f t="shared" si="153"/>
        <v>PRBND'!</v>
      </c>
      <c r="F616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16" s="32" t="s">
        <v>102</v>
      </c>
      <c r="H616" s="33"/>
      <c r="I616" s="33"/>
      <c r="J616" s="37"/>
    </row>
    <row r="617" spans="1:10" x14ac:dyDescent="0.35">
      <c r="A617" s="32" t="s">
        <v>19</v>
      </c>
      <c r="B617" s="32">
        <f t="shared" si="155"/>
        <v>2030</v>
      </c>
      <c r="C617" s="33" t="s">
        <v>34</v>
      </c>
      <c r="D617" s="34" t="s">
        <v>128</v>
      </c>
      <c r="E617" s="35" t="str">
        <f t="shared" si="153"/>
        <v>PRBND'!</v>
      </c>
      <c r="F617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17" s="32" t="s">
        <v>102</v>
      </c>
      <c r="H617" s="33"/>
      <c r="I617" s="33"/>
      <c r="J617" s="37"/>
    </row>
    <row r="618" spans="1:10" x14ac:dyDescent="0.35">
      <c r="A618" s="32" t="s">
        <v>19</v>
      </c>
      <c r="B618" s="32">
        <f t="shared" si="155"/>
        <v>2031</v>
      </c>
      <c r="C618" s="33" t="s">
        <v>34</v>
      </c>
      <c r="D618" s="34" t="s">
        <v>128</v>
      </c>
      <c r="E618" s="35" t="str">
        <f t="shared" si="153"/>
        <v>PRBND'!</v>
      </c>
      <c r="F618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18" s="32" t="s">
        <v>102</v>
      </c>
      <c r="H618" s="33"/>
      <c r="I618" s="33"/>
      <c r="J618" s="37"/>
    </row>
    <row r="619" spans="1:10" x14ac:dyDescent="0.35">
      <c r="A619" s="32" t="s">
        <v>19</v>
      </c>
      <c r="B619" s="32">
        <f t="shared" si="155"/>
        <v>2032</v>
      </c>
      <c r="C619" s="33" t="s">
        <v>34</v>
      </c>
      <c r="D619" s="34" t="s">
        <v>128</v>
      </c>
      <c r="E619" s="35" t="str">
        <f t="shared" si="153"/>
        <v>PRBND'!</v>
      </c>
      <c r="F619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19" s="32" t="s">
        <v>102</v>
      </c>
      <c r="H619" s="33"/>
      <c r="I619" s="33"/>
      <c r="J619" s="37"/>
    </row>
    <row r="620" spans="1:10" x14ac:dyDescent="0.35">
      <c r="A620" s="32" t="s">
        <v>19</v>
      </c>
      <c r="B620" s="32">
        <f t="shared" si="155"/>
        <v>2033</v>
      </c>
      <c r="C620" s="33" t="s">
        <v>34</v>
      </c>
      <c r="D620" s="34" t="s">
        <v>128</v>
      </c>
      <c r="E620" s="35" t="str">
        <f t="shared" si="153"/>
        <v>PRBND'!</v>
      </c>
      <c r="F620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20" s="32" t="s">
        <v>102</v>
      </c>
      <c r="H620" s="33"/>
      <c r="I620" s="33"/>
      <c r="J620" s="37"/>
    </row>
    <row r="621" spans="1:10" x14ac:dyDescent="0.35">
      <c r="A621" s="32" t="s">
        <v>19</v>
      </c>
      <c r="B621" s="32">
        <f t="shared" si="155"/>
        <v>2034</v>
      </c>
      <c r="C621" s="33" t="s">
        <v>34</v>
      </c>
      <c r="D621" s="34" t="s">
        <v>128</v>
      </c>
      <c r="E621" s="35" t="str">
        <f t="shared" si="153"/>
        <v>PRBND'!</v>
      </c>
      <c r="F621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21" s="32" t="s">
        <v>102</v>
      </c>
      <c r="H621" s="33"/>
      <c r="I621" s="33"/>
      <c r="J621" s="37"/>
    </row>
    <row r="622" spans="1:10" x14ac:dyDescent="0.35">
      <c r="A622" s="32" t="s">
        <v>19</v>
      </c>
      <c r="B622" s="32">
        <f t="shared" si="155"/>
        <v>2035</v>
      </c>
      <c r="C622" s="33" t="s">
        <v>34</v>
      </c>
      <c r="D622" s="34" t="s">
        <v>128</v>
      </c>
      <c r="E622" s="35" t="str">
        <f t="shared" si="153"/>
        <v>PRBND'!</v>
      </c>
      <c r="F622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22" s="32" t="s">
        <v>102</v>
      </c>
      <c r="H622" s="33"/>
      <c r="I622" s="33"/>
      <c r="J622" s="37"/>
    </row>
    <row r="623" spans="1:10" x14ac:dyDescent="0.35">
      <c r="A623" s="32" t="s">
        <v>19</v>
      </c>
      <c r="B623" s="32">
        <f t="shared" si="155"/>
        <v>2036</v>
      </c>
      <c r="C623" s="33" t="s">
        <v>34</v>
      </c>
      <c r="D623" s="34" t="s">
        <v>128</v>
      </c>
      <c r="E623" s="35" t="str">
        <f t="shared" si="153"/>
        <v>PRBND'!</v>
      </c>
      <c r="F623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23" s="32" t="s">
        <v>102</v>
      </c>
      <c r="H623" s="33"/>
      <c r="I623" s="33"/>
      <c r="J623" s="37"/>
    </row>
    <row r="624" spans="1:10" x14ac:dyDescent="0.35">
      <c r="A624" s="32" t="s">
        <v>19</v>
      </c>
      <c r="B624" s="32">
        <f>+B623+1</f>
        <v>2037</v>
      </c>
      <c r="C624" s="33" t="s">
        <v>34</v>
      </c>
      <c r="D624" s="34" t="s">
        <v>128</v>
      </c>
      <c r="E624" s="35" t="str">
        <f t="shared" si="153"/>
        <v>PRBND'!</v>
      </c>
      <c r="F624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24" s="32" t="s">
        <v>102</v>
      </c>
      <c r="H624" s="33"/>
      <c r="I624" s="33"/>
      <c r="J624" s="37"/>
    </row>
    <row r="625" spans="1:10" x14ac:dyDescent="0.35">
      <c r="A625" s="32" t="s">
        <v>19</v>
      </c>
      <c r="B625" s="32">
        <f t="shared" ref="B625:B627" si="156">+B624+1</f>
        <v>2038</v>
      </c>
      <c r="C625" s="33" t="s">
        <v>34</v>
      </c>
      <c r="D625" s="34" t="s">
        <v>128</v>
      </c>
      <c r="E625" s="35" t="str">
        <f t="shared" si="153"/>
        <v>PRBND'!</v>
      </c>
      <c r="F625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25" s="32" t="s">
        <v>102</v>
      </c>
      <c r="H625" s="33"/>
      <c r="I625" s="33"/>
      <c r="J625" s="37"/>
    </row>
    <row r="626" spans="1:10" x14ac:dyDescent="0.35">
      <c r="A626" s="32" t="s">
        <v>19</v>
      </c>
      <c r="B626" s="32">
        <f t="shared" si="156"/>
        <v>2039</v>
      </c>
      <c r="C626" s="33" t="s">
        <v>34</v>
      </c>
      <c r="D626" s="34" t="s">
        <v>128</v>
      </c>
      <c r="E626" s="35" t="str">
        <f t="shared" si="153"/>
        <v>PRBND'!</v>
      </c>
      <c r="F626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26" s="32" t="s">
        <v>102</v>
      </c>
      <c r="H626" s="33"/>
      <c r="I626" s="33"/>
      <c r="J626" s="37"/>
    </row>
    <row r="627" spans="1:10" x14ac:dyDescent="0.35">
      <c r="A627" s="32" t="s">
        <v>19</v>
      </c>
      <c r="B627" s="32">
        <f t="shared" si="156"/>
        <v>2040</v>
      </c>
      <c r="C627" s="33" t="s">
        <v>34</v>
      </c>
      <c r="D627" s="34" t="s">
        <v>128</v>
      </c>
      <c r="E627" s="35" t="str">
        <f t="shared" si="153"/>
        <v>PRBND'!</v>
      </c>
      <c r="F627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27" s="32" t="s">
        <v>102</v>
      </c>
      <c r="H627" s="33"/>
      <c r="I627" s="33"/>
      <c r="J627" s="37"/>
    </row>
    <row r="628" spans="1:10" x14ac:dyDescent="0.35">
      <c r="A628" s="32" t="s">
        <v>19</v>
      </c>
      <c r="B628" s="32">
        <f>+B627+1</f>
        <v>2041</v>
      </c>
      <c r="C628" s="33" t="s">
        <v>34</v>
      </c>
      <c r="D628" s="34" t="s">
        <v>128</v>
      </c>
      <c r="E628" s="35" t="str">
        <f t="shared" si="153"/>
        <v>PRBND'!</v>
      </c>
      <c r="F628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28" s="32" t="s">
        <v>102</v>
      </c>
      <c r="H628" s="33"/>
      <c r="I628" s="33"/>
      <c r="J628" s="37"/>
    </row>
    <row r="629" spans="1:10" x14ac:dyDescent="0.35">
      <c r="A629" s="32" t="s">
        <v>19</v>
      </c>
      <c r="B629" s="32">
        <f t="shared" ref="B629:B630" si="157">+B628+1</f>
        <v>2042</v>
      </c>
      <c r="C629" s="33" t="s">
        <v>34</v>
      </c>
      <c r="D629" s="34" t="s">
        <v>128</v>
      </c>
      <c r="E629" s="35" t="str">
        <f t="shared" si="153"/>
        <v>PRBND'!</v>
      </c>
      <c r="F629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29" s="32" t="s">
        <v>102</v>
      </c>
      <c r="H629" s="33"/>
      <c r="I629" s="33"/>
      <c r="J629" s="37"/>
    </row>
    <row r="630" spans="1:10" x14ac:dyDescent="0.35">
      <c r="A630" s="32" t="s">
        <v>19</v>
      </c>
      <c r="B630" s="32">
        <f t="shared" si="157"/>
        <v>2043</v>
      </c>
      <c r="C630" s="33" t="s">
        <v>34</v>
      </c>
      <c r="D630" s="34" t="s">
        <v>128</v>
      </c>
      <c r="E630" s="35" t="str">
        <f t="shared" si="153"/>
        <v>PRBND'!</v>
      </c>
      <c r="F630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30" s="32" t="s">
        <v>102</v>
      </c>
      <c r="H630" s="33"/>
      <c r="I630" s="33"/>
      <c r="J630" s="37"/>
    </row>
    <row r="631" spans="1:10" x14ac:dyDescent="0.35">
      <c r="A631" s="32" t="s">
        <v>19</v>
      </c>
      <c r="B631" s="32">
        <f>+B630+1</f>
        <v>2044</v>
      </c>
      <c r="C631" s="33" t="s">
        <v>34</v>
      </c>
      <c r="D631" s="34" t="s">
        <v>128</v>
      </c>
      <c r="E631" s="35" t="str">
        <f t="shared" ref="E631:E646" si="158">_xlfn.CONCAT(A631,"'!")</f>
        <v>PRBND'!</v>
      </c>
      <c r="F631" s="34" t="str">
        <f t="shared" ref="F631:F646" si="159">_xlfn.CONCAT(D631:E631)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31" s="32" t="s">
        <v>102</v>
      </c>
      <c r="H631" s="33"/>
      <c r="I631" s="33"/>
      <c r="J631" s="37"/>
    </row>
    <row r="632" spans="1:10" x14ac:dyDescent="0.35">
      <c r="A632" s="32" t="s">
        <v>19</v>
      </c>
      <c r="B632" s="32">
        <f t="shared" ref="B632:B646" si="160">+B631+1</f>
        <v>2045</v>
      </c>
      <c r="C632" s="33" t="s">
        <v>34</v>
      </c>
      <c r="D632" s="34" t="s">
        <v>128</v>
      </c>
      <c r="E632" s="35" t="str">
        <f t="shared" si="158"/>
        <v>PRBND'!</v>
      </c>
      <c r="F632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32" s="32" t="s">
        <v>102</v>
      </c>
      <c r="H632" s="33"/>
      <c r="I632" s="33"/>
      <c r="J632" s="37"/>
    </row>
    <row r="633" spans="1:10" x14ac:dyDescent="0.35">
      <c r="A633" s="32" t="s">
        <v>19</v>
      </c>
      <c r="B633" s="32">
        <f t="shared" si="160"/>
        <v>2046</v>
      </c>
      <c r="C633" s="33" t="s">
        <v>34</v>
      </c>
      <c r="D633" s="34" t="s">
        <v>128</v>
      </c>
      <c r="E633" s="35" t="str">
        <f t="shared" si="158"/>
        <v>PRBND'!</v>
      </c>
      <c r="F633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33" s="32" t="s">
        <v>102</v>
      </c>
      <c r="H633" s="33"/>
      <c r="I633" s="33"/>
      <c r="J633" s="37"/>
    </row>
    <row r="634" spans="1:10" x14ac:dyDescent="0.35">
      <c r="A634" s="32" t="s">
        <v>19</v>
      </c>
      <c r="B634" s="32">
        <f t="shared" si="160"/>
        <v>2047</v>
      </c>
      <c r="C634" s="33" t="s">
        <v>34</v>
      </c>
      <c r="D634" s="34" t="s">
        <v>128</v>
      </c>
      <c r="E634" s="35" t="str">
        <f t="shared" si="158"/>
        <v>PRBND'!</v>
      </c>
      <c r="F634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34" s="32" t="s">
        <v>102</v>
      </c>
      <c r="H634" s="33"/>
      <c r="I634" s="33"/>
      <c r="J634" s="37"/>
    </row>
    <row r="635" spans="1:10" x14ac:dyDescent="0.35">
      <c r="A635" s="32" t="s">
        <v>19</v>
      </c>
      <c r="B635" s="32">
        <f t="shared" si="160"/>
        <v>2048</v>
      </c>
      <c r="C635" s="33" t="s">
        <v>34</v>
      </c>
      <c r="D635" s="34" t="s">
        <v>128</v>
      </c>
      <c r="E635" s="35" t="str">
        <f t="shared" si="158"/>
        <v>PRBND'!</v>
      </c>
      <c r="F635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35" s="32" t="s">
        <v>102</v>
      </c>
      <c r="H635" s="33"/>
      <c r="I635" s="33"/>
      <c r="J635" s="37"/>
    </row>
    <row r="636" spans="1:10" x14ac:dyDescent="0.35">
      <c r="A636" s="32" t="s">
        <v>19</v>
      </c>
      <c r="B636" s="32">
        <f t="shared" si="160"/>
        <v>2049</v>
      </c>
      <c r="C636" s="33" t="s">
        <v>34</v>
      </c>
      <c r="D636" s="34" t="s">
        <v>128</v>
      </c>
      <c r="E636" s="35" t="str">
        <f t="shared" si="158"/>
        <v>PRBND'!</v>
      </c>
      <c r="F636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36" s="32" t="s">
        <v>102</v>
      </c>
      <c r="H636" s="33"/>
      <c r="I636" s="33"/>
      <c r="J636" s="37"/>
    </row>
    <row r="637" spans="1:10" x14ac:dyDescent="0.35">
      <c r="A637" s="32" t="s">
        <v>19</v>
      </c>
      <c r="B637" s="32">
        <f t="shared" si="160"/>
        <v>2050</v>
      </c>
      <c r="C637" s="33" t="s">
        <v>34</v>
      </c>
      <c r="D637" s="34" t="s">
        <v>128</v>
      </c>
      <c r="E637" s="35" t="str">
        <f t="shared" si="158"/>
        <v>PRBND'!</v>
      </c>
      <c r="F637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37" s="32" t="s">
        <v>102</v>
      </c>
      <c r="H637" s="33"/>
      <c r="I637" s="33"/>
      <c r="J637" s="37"/>
    </row>
    <row r="638" spans="1:10" x14ac:dyDescent="0.35">
      <c r="A638" s="32" t="s">
        <v>19</v>
      </c>
      <c r="B638" s="32">
        <f t="shared" si="160"/>
        <v>2051</v>
      </c>
      <c r="C638" s="33" t="s">
        <v>34</v>
      </c>
      <c r="D638" s="34" t="s">
        <v>128</v>
      </c>
      <c r="E638" s="35" t="str">
        <f t="shared" si="158"/>
        <v>PRBND'!</v>
      </c>
      <c r="F638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38" s="32" t="s">
        <v>102</v>
      </c>
      <c r="H638" s="33"/>
      <c r="I638" s="33"/>
      <c r="J638" s="37"/>
    </row>
    <row r="639" spans="1:10" x14ac:dyDescent="0.35">
      <c r="A639" s="32" t="s">
        <v>19</v>
      </c>
      <c r="B639" s="32">
        <f t="shared" si="160"/>
        <v>2052</v>
      </c>
      <c r="C639" s="33" t="s">
        <v>34</v>
      </c>
      <c r="D639" s="34" t="s">
        <v>128</v>
      </c>
      <c r="E639" s="35" t="str">
        <f t="shared" si="158"/>
        <v>PRBND'!</v>
      </c>
      <c r="F639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39" s="32" t="s">
        <v>102</v>
      </c>
      <c r="H639" s="33"/>
      <c r="I639" s="33"/>
      <c r="J639" s="37"/>
    </row>
    <row r="640" spans="1:10" x14ac:dyDescent="0.35">
      <c r="A640" s="32" t="s">
        <v>19</v>
      </c>
      <c r="B640" s="32">
        <f t="shared" si="160"/>
        <v>2053</v>
      </c>
      <c r="C640" s="33" t="s">
        <v>34</v>
      </c>
      <c r="D640" s="34" t="s">
        <v>128</v>
      </c>
      <c r="E640" s="35" t="str">
        <f t="shared" si="158"/>
        <v>PRBND'!</v>
      </c>
      <c r="F640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40" s="32" t="s">
        <v>102</v>
      </c>
      <c r="H640" s="33"/>
      <c r="I640" s="33"/>
      <c r="J640" s="37"/>
    </row>
    <row r="641" spans="1:10" x14ac:dyDescent="0.35">
      <c r="A641" s="32" t="s">
        <v>19</v>
      </c>
      <c r="B641" s="32">
        <f t="shared" si="160"/>
        <v>2054</v>
      </c>
      <c r="C641" s="33" t="s">
        <v>34</v>
      </c>
      <c r="D641" s="34" t="s">
        <v>128</v>
      </c>
      <c r="E641" s="35" t="str">
        <f t="shared" si="158"/>
        <v>PRBND'!</v>
      </c>
      <c r="F641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41" s="32" t="s">
        <v>102</v>
      </c>
      <c r="H641" s="33"/>
      <c r="I641" s="33"/>
      <c r="J641" s="37"/>
    </row>
    <row r="642" spans="1:10" x14ac:dyDescent="0.35">
      <c r="A642" s="32" t="s">
        <v>19</v>
      </c>
      <c r="B642" s="32">
        <f t="shared" si="160"/>
        <v>2055</v>
      </c>
      <c r="C642" s="33" t="s">
        <v>34</v>
      </c>
      <c r="D642" s="34" t="s">
        <v>128</v>
      </c>
      <c r="E642" s="35" t="str">
        <f t="shared" si="158"/>
        <v>PRBND'!</v>
      </c>
      <c r="F642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42" s="32" t="s">
        <v>102</v>
      </c>
      <c r="H642" s="33"/>
      <c r="I642" s="33"/>
      <c r="J642" s="37"/>
    </row>
    <row r="643" spans="1:10" x14ac:dyDescent="0.35">
      <c r="A643" s="32" t="s">
        <v>19</v>
      </c>
      <c r="B643" s="32">
        <f t="shared" si="160"/>
        <v>2056</v>
      </c>
      <c r="C643" s="33" t="s">
        <v>34</v>
      </c>
      <c r="D643" s="34" t="s">
        <v>128</v>
      </c>
      <c r="E643" s="35" t="str">
        <f t="shared" si="158"/>
        <v>PRBND'!</v>
      </c>
      <c r="F643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43" s="32" t="s">
        <v>102</v>
      </c>
      <c r="H643" s="33"/>
      <c r="I643" s="33"/>
      <c r="J643" s="37"/>
    </row>
    <row r="644" spans="1:10" x14ac:dyDescent="0.35">
      <c r="A644" s="32" t="s">
        <v>19</v>
      </c>
      <c r="B644" s="32">
        <f t="shared" si="160"/>
        <v>2057</v>
      </c>
      <c r="C644" s="33" t="s">
        <v>34</v>
      </c>
      <c r="D644" s="34" t="s">
        <v>128</v>
      </c>
      <c r="E644" s="35" t="str">
        <f t="shared" si="158"/>
        <v>PRBND'!</v>
      </c>
      <c r="F644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44" s="32" t="s">
        <v>102</v>
      </c>
      <c r="H644" s="33"/>
      <c r="I644" s="33"/>
      <c r="J644" s="37"/>
    </row>
    <row r="645" spans="1:10" x14ac:dyDescent="0.35">
      <c r="A645" s="32" t="s">
        <v>19</v>
      </c>
      <c r="B645" s="32">
        <f t="shared" si="160"/>
        <v>2058</v>
      </c>
      <c r="C645" s="33" t="s">
        <v>34</v>
      </c>
      <c r="D645" s="34" t="s">
        <v>128</v>
      </c>
      <c r="E645" s="35" t="str">
        <f t="shared" si="158"/>
        <v>PRBND'!</v>
      </c>
      <c r="F645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45" s="32" t="s">
        <v>102</v>
      </c>
      <c r="H645" s="33"/>
      <c r="I645" s="33"/>
      <c r="J645" s="37"/>
    </row>
    <row r="646" spans="1:10" x14ac:dyDescent="0.35">
      <c r="A646" s="32" t="s">
        <v>19</v>
      </c>
      <c r="B646" s="32">
        <f t="shared" si="160"/>
        <v>2059</v>
      </c>
      <c r="C646" s="33" t="s">
        <v>34</v>
      </c>
      <c r="D646" s="34" t="s">
        <v>128</v>
      </c>
      <c r="E646" s="35" t="str">
        <f t="shared" si="158"/>
        <v>PRBND'!</v>
      </c>
      <c r="F646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46" s="32" t="s">
        <v>102</v>
      </c>
      <c r="H646" s="33"/>
      <c r="I646" s="33"/>
      <c r="J646" s="37"/>
    </row>
    <row r="647" spans="1:10" x14ac:dyDescent="0.35">
      <c r="A647" s="32" t="s">
        <v>26</v>
      </c>
      <c r="B647" s="32"/>
      <c r="C647" s="33" t="s">
        <v>34</v>
      </c>
      <c r="D647" s="34"/>
      <c r="E647" s="35"/>
      <c r="F647" s="34"/>
      <c r="G647" s="32"/>
      <c r="H647" s="33"/>
      <c r="I647" s="33"/>
      <c r="J647" s="33"/>
    </row>
    <row r="648" spans="1:10" x14ac:dyDescent="0.35">
      <c r="A648" s="32" t="s">
        <v>20</v>
      </c>
      <c r="B648" s="32">
        <v>2023</v>
      </c>
      <c r="C648" s="33" t="s">
        <v>34</v>
      </c>
      <c r="D648" s="34" t="s">
        <v>128</v>
      </c>
      <c r="E648" s="35" t="str">
        <f t="shared" si="129"/>
        <v>PRB'!</v>
      </c>
      <c r="F648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48" s="32" t="s">
        <v>102</v>
      </c>
      <c r="H648" s="33">
        <v>12</v>
      </c>
      <c r="I648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ECP\Cantagallo\Cristalina\[CRISTALINA_CF_SEC_New_09-Feb-2024.xlsx]D-PRB'!$BW$12</v>
      </c>
      <c r="J648" s="37" t="s">
        <v>425</v>
      </c>
    </row>
    <row r="649" spans="1:10" x14ac:dyDescent="0.35">
      <c r="A649" s="32" t="s">
        <v>20</v>
      </c>
      <c r="B649" s="32">
        <f>+B648+1</f>
        <v>2024</v>
      </c>
      <c r="C649" s="33" t="s">
        <v>34</v>
      </c>
      <c r="D649" s="34" t="s">
        <v>128</v>
      </c>
      <c r="E649" s="35" t="str">
        <f t="shared" si="129"/>
        <v>PRB'!</v>
      </c>
      <c r="F649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49" s="32" t="s">
        <v>102</v>
      </c>
      <c r="H649" s="33">
        <f>IF(A649&lt;&gt;A648,12,H648+1)</f>
        <v>13</v>
      </c>
      <c r="I649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ECP\Cantagallo\Cristalina\[CRISTALINA_CF_SEC_New_09-Feb-2024.xlsx]D-PRB'!$BW$13</v>
      </c>
      <c r="J649" s="37" t="s">
        <v>426</v>
      </c>
    </row>
    <row r="650" spans="1:10" x14ac:dyDescent="0.35">
      <c r="A650" s="32" t="s">
        <v>20</v>
      </c>
      <c r="B650" s="32">
        <f t="shared" ref="B650:B661" si="161">+B649+1</f>
        <v>2025</v>
      </c>
      <c r="C650" s="33" t="s">
        <v>34</v>
      </c>
      <c r="D650" s="34" t="s">
        <v>128</v>
      </c>
      <c r="E650" s="35" t="str">
        <f t="shared" si="129"/>
        <v>PRB'!</v>
      </c>
      <c r="F650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50" s="32" t="s">
        <v>102</v>
      </c>
      <c r="H650" s="33">
        <f t="shared" ref="H650:H668" si="162">IF(A650&lt;&gt;A649,12,H649+1)</f>
        <v>14</v>
      </c>
      <c r="I650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ECP\Cantagallo\Cristalina\[CRISTALINA_CF_SEC_New_09-Feb-2024.xlsx]D-PRB'!$BW$14</v>
      </c>
      <c r="J650" s="37" t="s">
        <v>427</v>
      </c>
    </row>
    <row r="651" spans="1:10" x14ac:dyDescent="0.35">
      <c r="A651" s="32" t="s">
        <v>20</v>
      </c>
      <c r="B651" s="32">
        <f t="shared" si="161"/>
        <v>2026</v>
      </c>
      <c r="C651" s="33" t="s">
        <v>34</v>
      </c>
      <c r="D651" s="34" t="s">
        <v>128</v>
      </c>
      <c r="E651" s="35" t="str">
        <f t="shared" si="129"/>
        <v>PRB'!</v>
      </c>
      <c r="F651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51" s="32" t="s">
        <v>102</v>
      </c>
      <c r="H651" s="33">
        <f t="shared" si="162"/>
        <v>15</v>
      </c>
      <c r="I651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ECP\Cantagallo\Cristalina\[CRISTALINA_CF_SEC_New_09-Feb-2024.xlsx]D-PRB'!$BW$15</v>
      </c>
      <c r="J651" s="37" t="s">
        <v>428</v>
      </c>
    </row>
    <row r="652" spans="1:10" x14ac:dyDescent="0.35">
      <c r="A652" s="32" t="s">
        <v>20</v>
      </c>
      <c r="B652" s="32">
        <f t="shared" si="161"/>
        <v>2027</v>
      </c>
      <c r="C652" s="33" t="s">
        <v>34</v>
      </c>
      <c r="D652" s="34" t="s">
        <v>128</v>
      </c>
      <c r="E652" s="35" t="str">
        <f t="shared" si="129"/>
        <v>PRB'!</v>
      </c>
      <c r="F652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52" s="32" t="s">
        <v>102</v>
      </c>
      <c r="H652" s="33">
        <f t="shared" si="162"/>
        <v>16</v>
      </c>
      <c r="I652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ECP\Cantagallo\Cristalina\[CRISTALINA_CF_SEC_New_09-Feb-2024.xlsx]D-PRB'!$BW$16</v>
      </c>
      <c r="J652" s="37" t="s">
        <v>429</v>
      </c>
    </row>
    <row r="653" spans="1:10" x14ac:dyDescent="0.35">
      <c r="A653" s="32" t="s">
        <v>20</v>
      </c>
      <c r="B653" s="32">
        <f t="shared" si="161"/>
        <v>2028</v>
      </c>
      <c r="C653" s="33" t="s">
        <v>34</v>
      </c>
      <c r="D653" s="34" t="s">
        <v>128</v>
      </c>
      <c r="E653" s="35" t="str">
        <f t="shared" si="129"/>
        <v>PRB'!</v>
      </c>
      <c r="F653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53" s="32" t="s">
        <v>102</v>
      </c>
      <c r="H653" s="33">
        <f t="shared" si="162"/>
        <v>17</v>
      </c>
      <c r="I653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ECP\Cantagallo\Cristalina\[CRISTALINA_CF_SEC_New_09-Feb-2024.xlsx]D-PRB'!$BW$17</v>
      </c>
      <c r="J653" s="37" t="s">
        <v>430</v>
      </c>
    </row>
    <row r="654" spans="1:10" x14ac:dyDescent="0.35">
      <c r="A654" s="32" t="s">
        <v>20</v>
      </c>
      <c r="B654" s="32">
        <f t="shared" si="161"/>
        <v>2029</v>
      </c>
      <c r="C654" s="33" t="s">
        <v>34</v>
      </c>
      <c r="D654" s="34" t="s">
        <v>128</v>
      </c>
      <c r="E654" s="35" t="str">
        <f t="shared" si="129"/>
        <v>PRB'!</v>
      </c>
      <c r="F654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54" s="32" t="s">
        <v>102</v>
      </c>
      <c r="H654" s="33">
        <f t="shared" si="162"/>
        <v>18</v>
      </c>
      <c r="I654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ECP\Cantagallo\Cristalina\[CRISTALINA_CF_SEC_New_09-Feb-2024.xlsx]D-PRB'!$BW$18</v>
      </c>
      <c r="J654" s="37" t="s">
        <v>431</v>
      </c>
    </row>
    <row r="655" spans="1:10" x14ac:dyDescent="0.35">
      <c r="A655" s="32" t="s">
        <v>20</v>
      </c>
      <c r="B655" s="32">
        <f t="shared" si="161"/>
        <v>2030</v>
      </c>
      <c r="C655" s="33" t="s">
        <v>34</v>
      </c>
      <c r="D655" s="34" t="s">
        <v>128</v>
      </c>
      <c r="E655" s="35" t="str">
        <f t="shared" si="129"/>
        <v>PRB'!</v>
      </c>
      <c r="F655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55" s="32" t="s">
        <v>102</v>
      </c>
      <c r="H655" s="33">
        <f t="shared" si="162"/>
        <v>19</v>
      </c>
      <c r="I655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ECP\Cantagallo\Cristalina\[CRISTALINA_CF_SEC_New_09-Feb-2024.xlsx]D-PRB'!$BW$19</v>
      </c>
      <c r="J655" s="37" t="s">
        <v>432</v>
      </c>
    </row>
    <row r="656" spans="1:10" x14ac:dyDescent="0.35">
      <c r="A656" s="32" t="s">
        <v>20</v>
      </c>
      <c r="B656" s="32">
        <f t="shared" si="161"/>
        <v>2031</v>
      </c>
      <c r="C656" s="33" t="s">
        <v>34</v>
      </c>
      <c r="D656" s="34" t="s">
        <v>128</v>
      </c>
      <c r="E656" s="35" t="str">
        <f t="shared" si="129"/>
        <v>PRB'!</v>
      </c>
      <c r="F656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56" s="32" t="s">
        <v>102</v>
      </c>
      <c r="H656" s="33">
        <f t="shared" si="162"/>
        <v>20</v>
      </c>
      <c r="I656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ECP\Cantagallo\Cristalina\[CRISTALINA_CF_SEC_New_09-Feb-2024.xlsx]D-PRB'!$BW$20</v>
      </c>
      <c r="J656" s="37" t="s">
        <v>433</v>
      </c>
    </row>
    <row r="657" spans="1:10" x14ac:dyDescent="0.35">
      <c r="A657" s="32" t="s">
        <v>20</v>
      </c>
      <c r="B657" s="32">
        <f t="shared" si="161"/>
        <v>2032</v>
      </c>
      <c r="C657" s="33" t="s">
        <v>34</v>
      </c>
      <c r="D657" s="34" t="s">
        <v>128</v>
      </c>
      <c r="E657" s="35" t="str">
        <f t="shared" si="129"/>
        <v>PRB'!</v>
      </c>
      <c r="F657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57" s="32" t="s">
        <v>102</v>
      </c>
      <c r="H657" s="33">
        <f t="shared" si="162"/>
        <v>21</v>
      </c>
      <c r="I657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ECP\Cantagallo\Cristalina\[CRISTALINA_CF_SEC_New_09-Feb-2024.xlsx]D-PRB'!$BW$21</v>
      </c>
      <c r="J657" s="37" t="s">
        <v>434</v>
      </c>
    </row>
    <row r="658" spans="1:10" x14ac:dyDescent="0.35">
      <c r="A658" s="32" t="s">
        <v>20</v>
      </c>
      <c r="B658" s="32">
        <f t="shared" si="161"/>
        <v>2033</v>
      </c>
      <c r="C658" s="33" t="s">
        <v>34</v>
      </c>
      <c r="D658" s="34" t="s">
        <v>128</v>
      </c>
      <c r="E658" s="35" t="str">
        <f t="shared" si="129"/>
        <v>PRB'!</v>
      </c>
      <c r="F658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58" s="32" t="s">
        <v>102</v>
      </c>
      <c r="H658" s="33">
        <f t="shared" si="162"/>
        <v>22</v>
      </c>
      <c r="I658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ECP\Cantagallo\Cristalina\[CRISTALINA_CF_SEC_New_09-Feb-2024.xlsx]D-PRB'!$BW$22</v>
      </c>
      <c r="J658" s="37" t="s">
        <v>435</v>
      </c>
    </row>
    <row r="659" spans="1:10" x14ac:dyDescent="0.35">
      <c r="A659" s="32" t="s">
        <v>20</v>
      </c>
      <c r="B659" s="32">
        <f t="shared" si="161"/>
        <v>2034</v>
      </c>
      <c r="C659" s="33" t="s">
        <v>34</v>
      </c>
      <c r="D659" s="34" t="s">
        <v>128</v>
      </c>
      <c r="E659" s="35" t="str">
        <f t="shared" si="129"/>
        <v>PRB'!</v>
      </c>
      <c r="F659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59" s="32" t="s">
        <v>102</v>
      </c>
      <c r="H659" s="33">
        <f t="shared" si="162"/>
        <v>23</v>
      </c>
      <c r="I659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ECP\Cantagallo\Cristalina\[CRISTALINA_CF_SEC_New_09-Feb-2024.xlsx]D-PRB'!$BW$23</v>
      </c>
      <c r="J659" s="37" t="s">
        <v>436</v>
      </c>
    </row>
    <row r="660" spans="1:10" x14ac:dyDescent="0.35">
      <c r="A660" s="32" t="s">
        <v>20</v>
      </c>
      <c r="B660" s="32">
        <f t="shared" si="161"/>
        <v>2035</v>
      </c>
      <c r="C660" s="33" t="s">
        <v>34</v>
      </c>
      <c r="D660" s="34" t="s">
        <v>128</v>
      </c>
      <c r="E660" s="35" t="str">
        <f t="shared" si="129"/>
        <v>PRB'!</v>
      </c>
      <c r="F660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60" s="32" t="s">
        <v>102</v>
      </c>
      <c r="H660" s="33">
        <f t="shared" si="162"/>
        <v>24</v>
      </c>
      <c r="I660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ECP\Cantagallo\Cristalina\[CRISTALINA_CF_SEC_New_09-Feb-2024.xlsx]D-PRB'!$BW$24</v>
      </c>
      <c r="J660" s="37" t="s">
        <v>437</v>
      </c>
    </row>
    <row r="661" spans="1:10" x14ac:dyDescent="0.35">
      <c r="A661" s="32" t="s">
        <v>20</v>
      </c>
      <c r="B661" s="32">
        <f t="shared" si="161"/>
        <v>2036</v>
      </c>
      <c r="C661" s="33" t="s">
        <v>34</v>
      </c>
      <c r="D661" s="34" t="s">
        <v>128</v>
      </c>
      <c r="E661" s="35" t="str">
        <f t="shared" si="129"/>
        <v>PRB'!</v>
      </c>
      <c r="F661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61" s="32" t="s">
        <v>102</v>
      </c>
      <c r="H661" s="33">
        <f t="shared" si="162"/>
        <v>25</v>
      </c>
      <c r="I661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ECP\Cantagallo\Cristalina\[CRISTALINA_CF_SEC_New_09-Feb-2024.xlsx]D-PRB'!$BW$25</v>
      </c>
      <c r="J661" s="37" t="s">
        <v>438</v>
      </c>
    </row>
    <row r="662" spans="1:10" x14ac:dyDescent="0.35">
      <c r="A662" s="32" t="s">
        <v>20</v>
      </c>
      <c r="B662" s="32">
        <f>+B661+1</f>
        <v>2037</v>
      </c>
      <c r="C662" s="33" t="s">
        <v>34</v>
      </c>
      <c r="D662" s="34" t="s">
        <v>128</v>
      </c>
      <c r="E662" s="35" t="str">
        <f t="shared" si="129"/>
        <v>PRB'!</v>
      </c>
      <c r="F662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62" s="32" t="s">
        <v>102</v>
      </c>
      <c r="H662" s="33">
        <f t="shared" si="162"/>
        <v>26</v>
      </c>
      <c r="I662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ECP\Cantagallo\Cristalina\[CRISTALINA_CF_SEC_New_09-Feb-2024.xlsx]D-PRB'!$BW$26</v>
      </c>
      <c r="J662" s="37" t="s">
        <v>439</v>
      </c>
    </row>
    <row r="663" spans="1:10" x14ac:dyDescent="0.35">
      <c r="A663" s="32" t="s">
        <v>20</v>
      </c>
      <c r="B663" s="32">
        <f t="shared" ref="B663:B665" si="163">+B662+1</f>
        <v>2038</v>
      </c>
      <c r="C663" s="33" t="s">
        <v>34</v>
      </c>
      <c r="D663" s="34" t="s">
        <v>128</v>
      </c>
      <c r="E663" s="35" t="str">
        <f t="shared" si="129"/>
        <v>PRB'!</v>
      </c>
      <c r="F663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63" s="32" t="s">
        <v>102</v>
      </c>
      <c r="H663" s="33">
        <f t="shared" si="162"/>
        <v>27</v>
      </c>
      <c r="I663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ECP\Cantagallo\Cristalina\[CRISTALINA_CF_SEC_New_09-Feb-2024.xlsx]D-PRB'!$BW$27</v>
      </c>
      <c r="J663" s="37" t="s">
        <v>440</v>
      </c>
    </row>
    <row r="664" spans="1:10" x14ac:dyDescent="0.35">
      <c r="A664" s="32" t="s">
        <v>20</v>
      </c>
      <c r="B664" s="32">
        <f t="shared" si="163"/>
        <v>2039</v>
      </c>
      <c r="C664" s="33" t="s">
        <v>34</v>
      </c>
      <c r="D664" s="34" t="s">
        <v>128</v>
      </c>
      <c r="E664" s="35" t="str">
        <f t="shared" si="129"/>
        <v>PRB'!</v>
      </c>
      <c r="F664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64" s="32" t="s">
        <v>102</v>
      </c>
      <c r="H664" s="33">
        <f t="shared" si="162"/>
        <v>28</v>
      </c>
      <c r="I664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ECP\Cantagallo\Cristalina\[CRISTALINA_CF_SEC_New_09-Feb-2024.xlsx]D-PRB'!$BW$28</v>
      </c>
      <c r="J664" s="37" t="s">
        <v>441</v>
      </c>
    </row>
    <row r="665" spans="1:10" x14ac:dyDescent="0.35">
      <c r="A665" s="32" t="s">
        <v>20</v>
      </c>
      <c r="B665" s="32">
        <f t="shared" si="163"/>
        <v>2040</v>
      </c>
      <c r="C665" s="33" t="s">
        <v>34</v>
      </c>
      <c r="D665" s="34" t="s">
        <v>128</v>
      </c>
      <c r="E665" s="35" t="str">
        <f t="shared" si="129"/>
        <v>PRB'!</v>
      </c>
      <c r="F665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65" s="32" t="s">
        <v>102</v>
      </c>
      <c r="H665" s="33">
        <f t="shared" si="162"/>
        <v>29</v>
      </c>
      <c r="I665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ECP\Cantagallo\Cristalina\[CRISTALINA_CF_SEC_New_09-Feb-2024.xlsx]D-PRB'!$BW$29</v>
      </c>
      <c r="J665" s="37" t="s">
        <v>442</v>
      </c>
    </row>
    <row r="666" spans="1:10" x14ac:dyDescent="0.35">
      <c r="A666" s="32" t="s">
        <v>20</v>
      </c>
      <c r="B666" s="32">
        <f>+B665+1</f>
        <v>2041</v>
      </c>
      <c r="C666" s="33" t="s">
        <v>34</v>
      </c>
      <c r="D666" s="34" t="s">
        <v>128</v>
      </c>
      <c r="E666" s="35" t="str">
        <f t="shared" si="129"/>
        <v>PRB'!</v>
      </c>
      <c r="F666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66" s="32" t="s">
        <v>102</v>
      </c>
      <c r="H666" s="33">
        <f t="shared" si="162"/>
        <v>30</v>
      </c>
      <c r="I666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ECP\Cantagallo\Cristalina\[CRISTALINA_CF_SEC_New_09-Feb-2024.xlsx]D-PRB'!$BW$30</v>
      </c>
      <c r="J666" s="37" t="s">
        <v>443</v>
      </c>
    </row>
    <row r="667" spans="1:10" x14ac:dyDescent="0.35">
      <c r="A667" s="32" t="s">
        <v>20</v>
      </c>
      <c r="B667" s="32">
        <f t="shared" ref="B667:B668" si="164">+B666+1</f>
        <v>2042</v>
      </c>
      <c r="C667" s="33" t="s">
        <v>34</v>
      </c>
      <c r="D667" s="34" t="s">
        <v>128</v>
      </c>
      <c r="E667" s="35" t="str">
        <f t="shared" si="129"/>
        <v>PRB'!</v>
      </c>
      <c r="F667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67" s="32" t="s">
        <v>102</v>
      </c>
      <c r="H667" s="33">
        <f t="shared" si="162"/>
        <v>31</v>
      </c>
      <c r="I667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ECP\Cantagallo\Cristalina\[CRISTALINA_CF_SEC_New_09-Feb-2024.xlsx]D-PRB'!$BW$31</v>
      </c>
      <c r="J667" s="37" t="s">
        <v>444</v>
      </c>
    </row>
    <row r="668" spans="1:10" x14ac:dyDescent="0.35">
      <c r="A668" s="32" t="s">
        <v>20</v>
      </c>
      <c r="B668" s="32">
        <f t="shared" si="164"/>
        <v>2043</v>
      </c>
      <c r="C668" s="33" t="s">
        <v>34</v>
      </c>
      <c r="D668" s="34" t="s">
        <v>128</v>
      </c>
      <c r="E668" s="35" t="str">
        <f t="shared" si="129"/>
        <v>PRB'!</v>
      </c>
      <c r="F668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68" s="32" t="s">
        <v>102</v>
      </c>
      <c r="H668" s="33">
        <f t="shared" si="162"/>
        <v>32</v>
      </c>
      <c r="I668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ECP\Cantagallo\Cristalina\[CRISTALINA_CF_SEC_New_09-Feb-2024.xlsx]D-PRB'!$BW$32</v>
      </c>
      <c r="J668" s="37" t="s">
        <v>445</v>
      </c>
    </row>
    <row r="669" spans="1:10" x14ac:dyDescent="0.35">
      <c r="A669" s="32" t="s">
        <v>20</v>
      </c>
      <c r="B669" s="32">
        <f>+B668+1</f>
        <v>2044</v>
      </c>
      <c r="C669" s="33" t="s">
        <v>34</v>
      </c>
      <c r="D669" s="34" t="s">
        <v>128</v>
      </c>
      <c r="E669" s="35" t="str">
        <f t="shared" ref="E669:E684" si="165">_xlfn.CONCAT(A669,"'!")</f>
        <v>PRB'!</v>
      </c>
      <c r="F669" s="34" t="str">
        <f t="shared" ref="F669:F684" si="166">_xlfn.CONCAT(D669:E669)</f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69" s="32" t="s">
        <v>102</v>
      </c>
      <c r="H669" s="33">
        <f t="shared" ref="H669:H684" si="167">IF(A669&lt;&gt;A668,12,H668+1)</f>
        <v>33</v>
      </c>
      <c r="I669" s="33" t="str">
        <f t="shared" ref="I669:I684" si="168">_xlfn.CONCAT("='",F669:H669)</f>
        <v>='C:\Users\jaime.benazar\Quorum Business Solutions\Ecopetrol Prometeo - Documents\Planning Space Implementation\3. Analysis &amp; Design\Design\FC22\DRR Jaime\Por presentar a ECP\Cantagallo\Cristalina\[CRISTALINA_CF_SEC_New_09-Feb-2024.xlsx]D-PRB'!$BW$33</v>
      </c>
      <c r="J669" s="37" t="s">
        <v>446</v>
      </c>
    </row>
    <row r="670" spans="1:10" x14ac:dyDescent="0.35">
      <c r="A670" s="32" t="s">
        <v>20</v>
      </c>
      <c r="B670" s="32">
        <f t="shared" ref="B670:B684" si="169">+B669+1</f>
        <v>2045</v>
      </c>
      <c r="C670" s="33" t="s">
        <v>34</v>
      </c>
      <c r="D670" s="34" t="s">
        <v>128</v>
      </c>
      <c r="E670" s="35" t="str">
        <f t="shared" si="165"/>
        <v>PRB'!</v>
      </c>
      <c r="F670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70" s="32" t="s">
        <v>102</v>
      </c>
      <c r="H670" s="33">
        <f t="shared" si="167"/>
        <v>34</v>
      </c>
      <c r="I670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ECP\Cantagallo\Cristalina\[CRISTALINA_CF_SEC_New_09-Feb-2024.xlsx]D-PRB'!$BW$34</v>
      </c>
      <c r="J670" s="37" t="s">
        <v>447</v>
      </c>
    </row>
    <row r="671" spans="1:10" x14ac:dyDescent="0.35">
      <c r="A671" s="32" t="s">
        <v>20</v>
      </c>
      <c r="B671" s="32">
        <f t="shared" si="169"/>
        <v>2046</v>
      </c>
      <c r="C671" s="33" t="s">
        <v>34</v>
      </c>
      <c r="D671" s="34" t="s">
        <v>128</v>
      </c>
      <c r="E671" s="35" t="str">
        <f t="shared" si="165"/>
        <v>PRB'!</v>
      </c>
      <c r="F671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71" s="32" t="s">
        <v>102</v>
      </c>
      <c r="H671" s="33">
        <f t="shared" si="167"/>
        <v>35</v>
      </c>
      <c r="I671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ECP\Cantagallo\Cristalina\[CRISTALINA_CF_SEC_New_09-Feb-2024.xlsx]D-PRB'!$BW$35</v>
      </c>
      <c r="J671" s="37" t="s">
        <v>448</v>
      </c>
    </row>
    <row r="672" spans="1:10" x14ac:dyDescent="0.35">
      <c r="A672" s="32" t="s">
        <v>20</v>
      </c>
      <c r="B672" s="32">
        <f t="shared" si="169"/>
        <v>2047</v>
      </c>
      <c r="C672" s="33" t="s">
        <v>34</v>
      </c>
      <c r="D672" s="34" t="s">
        <v>128</v>
      </c>
      <c r="E672" s="35" t="str">
        <f t="shared" si="165"/>
        <v>PRB'!</v>
      </c>
      <c r="F672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72" s="32" t="s">
        <v>102</v>
      </c>
      <c r="H672" s="33">
        <f t="shared" si="167"/>
        <v>36</v>
      </c>
      <c r="I672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ECP\Cantagallo\Cristalina\[CRISTALINA_CF_SEC_New_09-Feb-2024.xlsx]D-PRB'!$BW$36</v>
      </c>
      <c r="J672" s="37" t="s">
        <v>449</v>
      </c>
    </row>
    <row r="673" spans="1:10" x14ac:dyDescent="0.35">
      <c r="A673" s="32" t="s">
        <v>20</v>
      </c>
      <c r="B673" s="32">
        <f t="shared" si="169"/>
        <v>2048</v>
      </c>
      <c r="C673" s="33" t="s">
        <v>34</v>
      </c>
      <c r="D673" s="34" t="s">
        <v>128</v>
      </c>
      <c r="E673" s="35" t="str">
        <f t="shared" si="165"/>
        <v>PRB'!</v>
      </c>
      <c r="F673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73" s="32" t="s">
        <v>102</v>
      </c>
      <c r="H673" s="33">
        <f t="shared" si="167"/>
        <v>37</v>
      </c>
      <c r="I673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ECP\Cantagallo\Cristalina\[CRISTALINA_CF_SEC_New_09-Feb-2024.xlsx]D-PRB'!$BW$37</v>
      </c>
      <c r="J673" s="37" t="s">
        <v>450</v>
      </c>
    </row>
    <row r="674" spans="1:10" x14ac:dyDescent="0.35">
      <c r="A674" s="32" t="s">
        <v>20</v>
      </c>
      <c r="B674" s="32">
        <f t="shared" si="169"/>
        <v>2049</v>
      </c>
      <c r="C674" s="33" t="s">
        <v>34</v>
      </c>
      <c r="D674" s="34" t="s">
        <v>128</v>
      </c>
      <c r="E674" s="35" t="str">
        <f t="shared" si="165"/>
        <v>PRB'!</v>
      </c>
      <c r="F674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74" s="32" t="s">
        <v>102</v>
      </c>
      <c r="H674" s="33">
        <f t="shared" si="167"/>
        <v>38</v>
      </c>
      <c r="I674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ECP\Cantagallo\Cristalina\[CRISTALINA_CF_SEC_New_09-Feb-2024.xlsx]D-PRB'!$BW$38</v>
      </c>
      <c r="J674" s="37" t="s">
        <v>451</v>
      </c>
    </row>
    <row r="675" spans="1:10" x14ac:dyDescent="0.35">
      <c r="A675" s="32" t="s">
        <v>20</v>
      </c>
      <c r="B675" s="32">
        <f t="shared" si="169"/>
        <v>2050</v>
      </c>
      <c r="C675" s="33" t="s">
        <v>34</v>
      </c>
      <c r="D675" s="34" t="s">
        <v>128</v>
      </c>
      <c r="E675" s="35" t="str">
        <f t="shared" si="165"/>
        <v>PRB'!</v>
      </c>
      <c r="F675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75" s="32" t="s">
        <v>102</v>
      </c>
      <c r="H675" s="33">
        <f t="shared" si="167"/>
        <v>39</v>
      </c>
      <c r="I675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ECP\Cantagallo\Cristalina\[CRISTALINA_CF_SEC_New_09-Feb-2024.xlsx]D-PRB'!$BW$39</v>
      </c>
      <c r="J675" s="37" t="s">
        <v>452</v>
      </c>
    </row>
    <row r="676" spans="1:10" x14ac:dyDescent="0.35">
      <c r="A676" s="32" t="s">
        <v>20</v>
      </c>
      <c r="B676" s="32">
        <f t="shared" si="169"/>
        <v>2051</v>
      </c>
      <c r="C676" s="33" t="s">
        <v>34</v>
      </c>
      <c r="D676" s="34" t="s">
        <v>128</v>
      </c>
      <c r="E676" s="35" t="str">
        <f t="shared" si="165"/>
        <v>PRB'!</v>
      </c>
      <c r="F676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76" s="32" t="s">
        <v>102</v>
      </c>
      <c r="H676" s="33">
        <f t="shared" si="167"/>
        <v>40</v>
      </c>
      <c r="I676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ECP\Cantagallo\Cristalina\[CRISTALINA_CF_SEC_New_09-Feb-2024.xlsx]D-PRB'!$BW$40</v>
      </c>
      <c r="J676" s="37" t="s">
        <v>453</v>
      </c>
    </row>
    <row r="677" spans="1:10" x14ac:dyDescent="0.35">
      <c r="A677" s="32" t="s">
        <v>20</v>
      </c>
      <c r="B677" s="32">
        <f t="shared" si="169"/>
        <v>2052</v>
      </c>
      <c r="C677" s="33" t="s">
        <v>34</v>
      </c>
      <c r="D677" s="34" t="s">
        <v>128</v>
      </c>
      <c r="E677" s="35" t="str">
        <f t="shared" si="165"/>
        <v>PRB'!</v>
      </c>
      <c r="F677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77" s="32" t="s">
        <v>102</v>
      </c>
      <c r="H677" s="33">
        <f t="shared" si="167"/>
        <v>41</v>
      </c>
      <c r="I677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ECP\Cantagallo\Cristalina\[CRISTALINA_CF_SEC_New_09-Feb-2024.xlsx]D-PRB'!$BW$41</v>
      </c>
      <c r="J677" s="37" t="s">
        <v>454</v>
      </c>
    </row>
    <row r="678" spans="1:10" x14ac:dyDescent="0.35">
      <c r="A678" s="32" t="s">
        <v>20</v>
      </c>
      <c r="B678" s="32">
        <f t="shared" si="169"/>
        <v>2053</v>
      </c>
      <c r="C678" s="33" t="s">
        <v>34</v>
      </c>
      <c r="D678" s="34" t="s">
        <v>128</v>
      </c>
      <c r="E678" s="35" t="str">
        <f t="shared" si="165"/>
        <v>PRB'!</v>
      </c>
      <c r="F678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78" s="32" t="s">
        <v>102</v>
      </c>
      <c r="H678" s="33">
        <f t="shared" si="167"/>
        <v>42</v>
      </c>
      <c r="I678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ECP\Cantagallo\Cristalina\[CRISTALINA_CF_SEC_New_09-Feb-2024.xlsx]D-PRB'!$BW$42</v>
      </c>
      <c r="J678" s="37" t="s">
        <v>455</v>
      </c>
    </row>
    <row r="679" spans="1:10" x14ac:dyDescent="0.35">
      <c r="A679" s="32" t="s">
        <v>20</v>
      </c>
      <c r="B679" s="32">
        <f t="shared" si="169"/>
        <v>2054</v>
      </c>
      <c r="C679" s="33" t="s">
        <v>34</v>
      </c>
      <c r="D679" s="34" t="s">
        <v>128</v>
      </c>
      <c r="E679" s="35" t="str">
        <f t="shared" si="165"/>
        <v>PRB'!</v>
      </c>
      <c r="F679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79" s="32" t="s">
        <v>102</v>
      </c>
      <c r="H679" s="33">
        <f t="shared" si="167"/>
        <v>43</v>
      </c>
      <c r="I679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ECP\Cantagallo\Cristalina\[CRISTALINA_CF_SEC_New_09-Feb-2024.xlsx]D-PRB'!$BW$43</v>
      </c>
      <c r="J679" s="37" t="s">
        <v>456</v>
      </c>
    </row>
    <row r="680" spans="1:10" x14ac:dyDescent="0.35">
      <c r="A680" s="32" t="s">
        <v>20</v>
      </c>
      <c r="B680" s="32">
        <f t="shared" si="169"/>
        <v>2055</v>
      </c>
      <c r="C680" s="33" t="s">
        <v>34</v>
      </c>
      <c r="D680" s="34" t="s">
        <v>128</v>
      </c>
      <c r="E680" s="35" t="str">
        <f t="shared" si="165"/>
        <v>PRB'!</v>
      </c>
      <c r="F680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80" s="32" t="s">
        <v>102</v>
      </c>
      <c r="H680" s="33">
        <f t="shared" si="167"/>
        <v>44</v>
      </c>
      <c r="I680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ECP\Cantagallo\Cristalina\[CRISTALINA_CF_SEC_New_09-Feb-2024.xlsx]D-PRB'!$BW$44</v>
      </c>
      <c r="J680" s="37" t="s">
        <v>457</v>
      </c>
    </row>
    <row r="681" spans="1:10" x14ac:dyDescent="0.35">
      <c r="A681" s="32" t="s">
        <v>20</v>
      </c>
      <c r="B681" s="32">
        <f t="shared" si="169"/>
        <v>2056</v>
      </c>
      <c r="C681" s="33" t="s">
        <v>34</v>
      </c>
      <c r="D681" s="34" t="s">
        <v>128</v>
      </c>
      <c r="E681" s="35" t="str">
        <f t="shared" si="165"/>
        <v>PRB'!</v>
      </c>
      <c r="F681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81" s="32" t="s">
        <v>102</v>
      </c>
      <c r="H681" s="33">
        <f t="shared" si="167"/>
        <v>45</v>
      </c>
      <c r="I681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ECP\Cantagallo\Cristalina\[CRISTALINA_CF_SEC_New_09-Feb-2024.xlsx]D-PRB'!$BW$45</v>
      </c>
      <c r="J681" s="37" t="s">
        <v>458</v>
      </c>
    </row>
    <row r="682" spans="1:10" x14ac:dyDescent="0.35">
      <c r="A682" s="32" t="s">
        <v>20</v>
      </c>
      <c r="B682" s="32">
        <f t="shared" si="169"/>
        <v>2057</v>
      </c>
      <c r="C682" s="33" t="s">
        <v>34</v>
      </c>
      <c r="D682" s="34" t="s">
        <v>128</v>
      </c>
      <c r="E682" s="35" t="str">
        <f t="shared" si="165"/>
        <v>PRB'!</v>
      </c>
      <c r="F682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82" s="32" t="s">
        <v>102</v>
      </c>
      <c r="H682" s="33">
        <f t="shared" si="167"/>
        <v>46</v>
      </c>
      <c r="I682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ECP\Cantagallo\Cristalina\[CRISTALINA_CF_SEC_New_09-Feb-2024.xlsx]D-PRB'!$BW$46</v>
      </c>
      <c r="J682" s="37" t="s">
        <v>459</v>
      </c>
    </row>
    <row r="683" spans="1:10" x14ac:dyDescent="0.35">
      <c r="A683" s="32" t="s">
        <v>20</v>
      </c>
      <c r="B683" s="32">
        <f t="shared" si="169"/>
        <v>2058</v>
      </c>
      <c r="C683" s="33" t="s">
        <v>34</v>
      </c>
      <c r="D683" s="34" t="s">
        <v>128</v>
      </c>
      <c r="E683" s="35" t="str">
        <f t="shared" si="165"/>
        <v>PRB'!</v>
      </c>
      <c r="F683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83" s="32" t="s">
        <v>102</v>
      </c>
      <c r="H683" s="33">
        <f t="shared" si="167"/>
        <v>47</v>
      </c>
      <c r="I683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ECP\Cantagallo\Cristalina\[CRISTALINA_CF_SEC_New_09-Feb-2024.xlsx]D-PRB'!$BW$47</v>
      </c>
      <c r="J683" s="37" t="s">
        <v>460</v>
      </c>
    </row>
    <row r="684" spans="1:10" x14ac:dyDescent="0.35">
      <c r="A684" s="32" t="s">
        <v>20</v>
      </c>
      <c r="B684" s="32">
        <f t="shared" si="169"/>
        <v>2059</v>
      </c>
      <c r="C684" s="33" t="s">
        <v>34</v>
      </c>
      <c r="D684" s="34" t="s">
        <v>128</v>
      </c>
      <c r="E684" s="35" t="str">
        <f t="shared" si="165"/>
        <v>PRB'!</v>
      </c>
      <c r="F684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84" s="32" t="s">
        <v>102</v>
      </c>
      <c r="H684" s="33">
        <f t="shared" si="167"/>
        <v>48</v>
      </c>
      <c r="I684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ECP\Cantagallo\Cristalina\[CRISTALINA_CF_SEC_New_09-Feb-2024.xlsx]D-PRB'!$BW$48</v>
      </c>
      <c r="J684" s="37" t="s">
        <v>461</v>
      </c>
    </row>
    <row r="685" spans="1:10" x14ac:dyDescent="0.35">
      <c r="A685" s="32" t="s">
        <v>26</v>
      </c>
      <c r="B685" s="32"/>
      <c r="C685" s="33" t="s">
        <v>34</v>
      </c>
      <c r="D685" s="34"/>
      <c r="E685" s="35"/>
      <c r="F685" s="34"/>
      <c r="G685" s="32"/>
      <c r="H685" s="33"/>
      <c r="I685" s="33"/>
      <c r="J685" s="33"/>
    </row>
    <row r="686" spans="1:10" x14ac:dyDescent="0.35">
      <c r="A686" s="32" t="s">
        <v>21</v>
      </c>
      <c r="B686" s="32">
        <v>2023</v>
      </c>
      <c r="C686" s="33" t="s">
        <v>34</v>
      </c>
      <c r="D686" s="34" t="s">
        <v>128</v>
      </c>
      <c r="E686" s="35" t="str">
        <f t="shared" ref="E686:E706" si="170">_xlfn.CONCAT(A686,"'!")</f>
        <v>PSDP'!</v>
      </c>
      <c r="F686" s="34" t="str">
        <f t="shared" ref="F686:F706" si="171">_xlfn.CONCAT(D686:E686)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86" s="32" t="s">
        <v>102</v>
      </c>
      <c r="H686" s="33"/>
      <c r="I686" s="33"/>
      <c r="J686" s="37"/>
    </row>
    <row r="687" spans="1:10" x14ac:dyDescent="0.35">
      <c r="A687" s="32" t="s">
        <v>21</v>
      </c>
      <c r="B687" s="32">
        <f>+B686+1</f>
        <v>2024</v>
      </c>
      <c r="C687" s="33" t="s">
        <v>34</v>
      </c>
      <c r="D687" s="34" t="s">
        <v>128</v>
      </c>
      <c r="E687" s="35" t="str">
        <f t="shared" si="170"/>
        <v>PSDP'!</v>
      </c>
      <c r="F687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87" s="32" t="s">
        <v>102</v>
      </c>
      <c r="H687" s="33"/>
      <c r="I687" s="33"/>
      <c r="J687" s="37"/>
    </row>
    <row r="688" spans="1:10" x14ac:dyDescent="0.35">
      <c r="A688" s="32" t="s">
        <v>21</v>
      </c>
      <c r="B688" s="32">
        <f t="shared" ref="B688:B699" si="172">+B687+1</f>
        <v>2025</v>
      </c>
      <c r="C688" s="33" t="s">
        <v>34</v>
      </c>
      <c r="D688" s="34" t="s">
        <v>128</v>
      </c>
      <c r="E688" s="35" t="str">
        <f t="shared" si="170"/>
        <v>PSDP'!</v>
      </c>
      <c r="F688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88" s="32" t="s">
        <v>102</v>
      </c>
      <c r="H688" s="33"/>
      <c r="I688" s="33"/>
      <c r="J688" s="37"/>
    </row>
    <row r="689" spans="1:10" x14ac:dyDescent="0.35">
      <c r="A689" s="32" t="s">
        <v>21</v>
      </c>
      <c r="B689" s="32">
        <f t="shared" si="172"/>
        <v>2026</v>
      </c>
      <c r="C689" s="33" t="s">
        <v>34</v>
      </c>
      <c r="D689" s="34" t="s">
        <v>128</v>
      </c>
      <c r="E689" s="35" t="str">
        <f t="shared" si="170"/>
        <v>PSDP'!</v>
      </c>
      <c r="F689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89" s="32" t="s">
        <v>102</v>
      </c>
      <c r="H689" s="33"/>
      <c r="I689" s="33"/>
      <c r="J689" s="37"/>
    </row>
    <row r="690" spans="1:10" x14ac:dyDescent="0.35">
      <c r="A690" s="32" t="s">
        <v>21</v>
      </c>
      <c r="B690" s="32">
        <f t="shared" si="172"/>
        <v>2027</v>
      </c>
      <c r="C690" s="33" t="s">
        <v>34</v>
      </c>
      <c r="D690" s="34" t="s">
        <v>128</v>
      </c>
      <c r="E690" s="35" t="str">
        <f t="shared" si="170"/>
        <v>PSDP'!</v>
      </c>
      <c r="F690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90" s="32" t="s">
        <v>102</v>
      </c>
      <c r="H690" s="33"/>
      <c r="I690" s="33"/>
      <c r="J690" s="37"/>
    </row>
    <row r="691" spans="1:10" x14ac:dyDescent="0.35">
      <c r="A691" s="32" t="s">
        <v>21</v>
      </c>
      <c r="B691" s="32">
        <f t="shared" si="172"/>
        <v>2028</v>
      </c>
      <c r="C691" s="33" t="s">
        <v>34</v>
      </c>
      <c r="D691" s="34" t="s">
        <v>128</v>
      </c>
      <c r="E691" s="35" t="str">
        <f t="shared" si="170"/>
        <v>PSDP'!</v>
      </c>
      <c r="F691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91" s="32" t="s">
        <v>102</v>
      </c>
      <c r="H691" s="33"/>
      <c r="I691" s="33"/>
      <c r="J691" s="37"/>
    </row>
    <row r="692" spans="1:10" x14ac:dyDescent="0.35">
      <c r="A692" s="32" t="s">
        <v>21</v>
      </c>
      <c r="B692" s="32">
        <f t="shared" si="172"/>
        <v>2029</v>
      </c>
      <c r="C692" s="33" t="s">
        <v>34</v>
      </c>
      <c r="D692" s="34" t="s">
        <v>128</v>
      </c>
      <c r="E692" s="35" t="str">
        <f t="shared" si="170"/>
        <v>PSDP'!</v>
      </c>
      <c r="F692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92" s="32" t="s">
        <v>102</v>
      </c>
      <c r="H692" s="33"/>
      <c r="I692" s="33"/>
      <c r="J692" s="37"/>
    </row>
    <row r="693" spans="1:10" x14ac:dyDescent="0.35">
      <c r="A693" s="32" t="s">
        <v>21</v>
      </c>
      <c r="B693" s="32">
        <f t="shared" si="172"/>
        <v>2030</v>
      </c>
      <c r="C693" s="33" t="s">
        <v>34</v>
      </c>
      <c r="D693" s="34" t="s">
        <v>128</v>
      </c>
      <c r="E693" s="35" t="str">
        <f t="shared" si="170"/>
        <v>PSDP'!</v>
      </c>
      <c r="F693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93" s="32" t="s">
        <v>102</v>
      </c>
      <c r="H693" s="33"/>
      <c r="I693" s="33"/>
      <c r="J693" s="37"/>
    </row>
    <row r="694" spans="1:10" x14ac:dyDescent="0.35">
      <c r="A694" s="32" t="s">
        <v>21</v>
      </c>
      <c r="B694" s="32">
        <f t="shared" si="172"/>
        <v>2031</v>
      </c>
      <c r="C694" s="33" t="s">
        <v>34</v>
      </c>
      <c r="D694" s="34" t="s">
        <v>128</v>
      </c>
      <c r="E694" s="35" t="str">
        <f t="shared" si="170"/>
        <v>PSDP'!</v>
      </c>
      <c r="F694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94" s="32" t="s">
        <v>102</v>
      </c>
      <c r="H694" s="33"/>
      <c r="I694" s="33"/>
      <c r="J694" s="37"/>
    </row>
    <row r="695" spans="1:10" x14ac:dyDescent="0.35">
      <c r="A695" s="32" t="s">
        <v>21</v>
      </c>
      <c r="B695" s="32">
        <f t="shared" si="172"/>
        <v>2032</v>
      </c>
      <c r="C695" s="33" t="s">
        <v>34</v>
      </c>
      <c r="D695" s="34" t="s">
        <v>128</v>
      </c>
      <c r="E695" s="35" t="str">
        <f t="shared" si="170"/>
        <v>PSDP'!</v>
      </c>
      <c r="F695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95" s="32" t="s">
        <v>102</v>
      </c>
      <c r="H695" s="33"/>
      <c r="I695" s="33"/>
      <c r="J695" s="37"/>
    </row>
    <row r="696" spans="1:10" x14ac:dyDescent="0.35">
      <c r="A696" s="32" t="s">
        <v>21</v>
      </c>
      <c r="B696" s="32">
        <f t="shared" si="172"/>
        <v>2033</v>
      </c>
      <c r="C696" s="33" t="s">
        <v>34</v>
      </c>
      <c r="D696" s="34" t="s">
        <v>128</v>
      </c>
      <c r="E696" s="35" t="str">
        <f t="shared" si="170"/>
        <v>PSDP'!</v>
      </c>
      <c r="F696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96" s="32" t="s">
        <v>102</v>
      </c>
      <c r="H696" s="33"/>
      <c r="I696" s="33"/>
      <c r="J696" s="37"/>
    </row>
    <row r="697" spans="1:10" x14ac:dyDescent="0.35">
      <c r="A697" s="32" t="s">
        <v>21</v>
      </c>
      <c r="B697" s="32">
        <f t="shared" si="172"/>
        <v>2034</v>
      </c>
      <c r="C697" s="33" t="s">
        <v>34</v>
      </c>
      <c r="D697" s="34" t="s">
        <v>128</v>
      </c>
      <c r="E697" s="35" t="str">
        <f t="shared" si="170"/>
        <v>PSDP'!</v>
      </c>
      <c r="F697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97" s="32" t="s">
        <v>102</v>
      </c>
      <c r="H697" s="33"/>
      <c r="I697" s="33"/>
      <c r="J697" s="37"/>
    </row>
    <row r="698" spans="1:10" x14ac:dyDescent="0.35">
      <c r="A698" s="32" t="s">
        <v>21</v>
      </c>
      <c r="B698" s="32">
        <f t="shared" si="172"/>
        <v>2035</v>
      </c>
      <c r="C698" s="33" t="s">
        <v>34</v>
      </c>
      <c r="D698" s="34" t="s">
        <v>128</v>
      </c>
      <c r="E698" s="35" t="str">
        <f t="shared" si="170"/>
        <v>PSDP'!</v>
      </c>
      <c r="F698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98" s="32" t="s">
        <v>102</v>
      </c>
      <c r="H698" s="33"/>
      <c r="I698" s="33"/>
      <c r="J698" s="37"/>
    </row>
    <row r="699" spans="1:10" x14ac:dyDescent="0.35">
      <c r="A699" s="32" t="s">
        <v>21</v>
      </c>
      <c r="B699" s="32">
        <f t="shared" si="172"/>
        <v>2036</v>
      </c>
      <c r="C699" s="33" t="s">
        <v>34</v>
      </c>
      <c r="D699" s="34" t="s">
        <v>128</v>
      </c>
      <c r="E699" s="35" t="str">
        <f t="shared" si="170"/>
        <v>PSDP'!</v>
      </c>
      <c r="F699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99" s="32" t="s">
        <v>102</v>
      </c>
      <c r="H699" s="33"/>
      <c r="I699" s="33"/>
      <c r="J699" s="37"/>
    </row>
    <row r="700" spans="1:10" x14ac:dyDescent="0.35">
      <c r="A700" s="32" t="s">
        <v>21</v>
      </c>
      <c r="B700" s="32">
        <f>+B699+1</f>
        <v>2037</v>
      </c>
      <c r="C700" s="33" t="s">
        <v>34</v>
      </c>
      <c r="D700" s="34" t="s">
        <v>128</v>
      </c>
      <c r="E700" s="35" t="str">
        <f t="shared" si="170"/>
        <v>PSDP'!</v>
      </c>
      <c r="F700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00" s="32" t="s">
        <v>102</v>
      </c>
      <c r="H700" s="33"/>
      <c r="I700" s="33"/>
      <c r="J700" s="37"/>
    </row>
    <row r="701" spans="1:10" x14ac:dyDescent="0.35">
      <c r="A701" s="32" t="s">
        <v>21</v>
      </c>
      <c r="B701" s="32">
        <f t="shared" ref="B701:B703" si="173">+B700+1</f>
        <v>2038</v>
      </c>
      <c r="C701" s="33" t="s">
        <v>34</v>
      </c>
      <c r="D701" s="34" t="s">
        <v>128</v>
      </c>
      <c r="E701" s="35" t="str">
        <f t="shared" si="170"/>
        <v>PSDP'!</v>
      </c>
      <c r="F701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01" s="32" t="s">
        <v>102</v>
      </c>
      <c r="H701" s="33"/>
      <c r="I701" s="33"/>
      <c r="J701" s="37"/>
    </row>
    <row r="702" spans="1:10" x14ac:dyDescent="0.35">
      <c r="A702" s="32" t="s">
        <v>21</v>
      </c>
      <c r="B702" s="32">
        <f t="shared" si="173"/>
        <v>2039</v>
      </c>
      <c r="C702" s="33" t="s">
        <v>34</v>
      </c>
      <c r="D702" s="34" t="s">
        <v>128</v>
      </c>
      <c r="E702" s="35" t="str">
        <f t="shared" si="170"/>
        <v>PSDP'!</v>
      </c>
      <c r="F702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02" s="32" t="s">
        <v>102</v>
      </c>
      <c r="H702" s="33"/>
      <c r="I702" s="33"/>
      <c r="J702" s="37"/>
    </row>
    <row r="703" spans="1:10" x14ac:dyDescent="0.35">
      <c r="A703" s="32" t="s">
        <v>21</v>
      </c>
      <c r="B703" s="32">
        <f t="shared" si="173"/>
        <v>2040</v>
      </c>
      <c r="C703" s="33" t="s">
        <v>34</v>
      </c>
      <c r="D703" s="34" t="s">
        <v>128</v>
      </c>
      <c r="E703" s="35" t="str">
        <f t="shared" si="170"/>
        <v>PSDP'!</v>
      </c>
      <c r="F703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03" s="32" t="s">
        <v>102</v>
      </c>
      <c r="H703" s="33"/>
      <c r="I703" s="33"/>
      <c r="J703" s="37"/>
    </row>
    <row r="704" spans="1:10" x14ac:dyDescent="0.35">
      <c r="A704" s="32" t="s">
        <v>21</v>
      </c>
      <c r="B704" s="32">
        <f>+B703+1</f>
        <v>2041</v>
      </c>
      <c r="C704" s="33" t="s">
        <v>34</v>
      </c>
      <c r="D704" s="34" t="s">
        <v>128</v>
      </c>
      <c r="E704" s="35" t="str">
        <f t="shared" si="170"/>
        <v>PSDP'!</v>
      </c>
      <c r="F704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04" s="32" t="s">
        <v>102</v>
      </c>
      <c r="H704" s="33"/>
      <c r="I704" s="33"/>
      <c r="J704" s="37"/>
    </row>
    <row r="705" spans="1:10" x14ac:dyDescent="0.35">
      <c r="A705" s="32" t="s">
        <v>21</v>
      </c>
      <c r="B705" s="32">
        <f t="shared" ref="B705:B706" si="174">+B704+1</f>
        <v>2042</v>
      </c>
      <c r="C705" s="33" t="s">
        <v>34</v>
      </c>
      <c r="D705" s="34" t="s">
        <v>128</v>
      </c>
      <c r="E705" s="35" t="str">
        <f t="shared" si="170"/>
        <v>PSDP'!</v>
      </c>
      <c r="F705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05" s="32" t="s">
        <v>102</v>
      </c>
      <c r="H705" s="33"/>
      <c r="I705" s="33"/>
      <c r="J705" s="37"/>
    </row>
    <row r="706" spans="1:10" x14ac:dyDescent="0.35">
      <c r="A706" s="32" t="s">
        <v>21</v>
      </c>
      <c r="B706" s="32">
        <f t="shared" si="174"/>
        <v>2043</v>
      </c>
      <c r="C706" s="33" t="s">
        <v>34</v>
      </c>
      <c r="D706" s="34" t="s">
        <v>128</v>
      </c>
      <c r="E706" s="35" t="str">
        <f t="shared" si="170"/>
        <v>PSDP'!</v>
      </c>
      <c r="F706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06" s="32" t="s">
        <v>102</v>
      </c>
      <c r="H706" s="33"/>
      <c r="I706" s="33"/>
      <c r="J706" s="37"/>
    </row>
    <row r="707" spans="1:10" x14ac:dyDescent="0.35">
      <c r="A707" s="32" t="s">
        <v>21</v>
      </c>
      <c r="B707" s="32">
        <f>+B706+1</f>
        <v>2044</v>
      </c>
      <c r="C707" s="33" t="s">
        <v>34</v>
      </c>
      <c r="D707" s="34" t="s">
        <v>128</v>
      </c>
      <c r="E707" s="35" t="str">
        <f t="shared" ref="E707:E722" si="175">_xlfn.CONCAT(A707,"'!")</f>
        <v>PSDP'!</v>
      </c>
      <c r="F707" s="34" t="str">
        <f t="shared" ref="F707:F722" si="176">_xlfn.CONCAT(D707:E707)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07" s="32" t="s">
        <v>102</v>
      </c>
      <c r="H707" s="33"/>
      <c r="I707" s="33"/>
      <c r="J707" s="37"/>
    </row>
    <row r="708" spans="1:10" x14ac:dyDescent="0.35">
      <c r="A708" s="32" t="s">
        <v>21</v>
      </c>
      <c r="B708" s="32">
        <f t="shared" ref="B708:B722" si="177">+B707+1</f>
        <v>2045</v>
      </c>
      <c r="C708" s="33" t="s">
        <v>34</v>
      </c>
      <c r="D708" s="34" t="s">
        <v>128</v>
      </c>
      <c r="E708" s="35" t="str">
        <f t="shared" si="175"/>
        <v>PSDP'!</v>
      </c>
      <c r="F708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08" s="32" t="s">
        <v>102</v>
      </c>
      <c r="H708" s="33"/>
      <c r="I708" s="33"/>
      <c r="J708" s="37"/>
    </row>
    <row r="709" spans="1:10" x14ac:dyDescent="0.35">
      <c r="A709" s="32" t="s">
        <v>21</v>
      </c>
      <c r="B709" s="32">
        <f t="shared" si="177"/>
        <v>2046</v>
      </c>
      <c r="C709" s="33" t="s">
        <v>34</v>
      </c>
      <c r="D709" s="34" t="s">
        <v>128</v>
      </c>
      <c r="E709" s="35" t="str">
        <f t="shared" si="175"/>
        <v>PSDP'!</v>
      </c>
      <c r="F709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09" s="32" t="s">
        <v>102</v>
      </c>
      <c r="H709" s="33"/>
      <c r="I709" s="33"/>
      <c r="J709" s="37"/>
    </row>
    <row r="710" spans="1:10" x14ac:dyDescent="0.35">
      <c r="A710" s="32" t="s">
        <v>21</v>
      </c>
      <c r="B710" s="32">
        <f t="shared" si="177"/>
        <v>2047</v>
      </c>
      <c r="C710" s="33" t="s">
        <v>34</v>
      </c>
      <c r="D710" s="34" t="s">
        <v>128</v>
      </c>
      <c r="E710" s="35" t="str">
        <f t="shared" si="175"/>
        <v>PSDP'!</v>
      </c>
      <c r="F710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10" s="32" t="s">
        <v>102</v>
      </c>
      <c r="H710" s="33"/>
      <c r="I710" s="33"/>
      <c r="J710" s="37"/>
    </row>
    <row r="711" spans="1:10" x14ac:dyDescent="0.35">
      <c r="A711" s="32" t="s">
        <v>21</v>
      </c>
      <c r="B711" s="32">
        <f t="shared" si="177"/>
        <v>2048</v>
      </c>
      <c r="C711" s="33" t="s">
        <v>34</v>
      </c>
      <c r="D711" s="34" t="s">
        <v>128</v>
      </c>
      <c r="E711" s="35" t="str">
        <f t="shared" si="175"/>
        <v>PSDP'!</v>
      </c>
      <c r="F711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11" s="32" t="s">
        <v>102</v>
      </c>
      <c r="H711" s="33"/>
      <c r="I711" s="33"/>
      <c r="J711" s="37"/>
    </row>
    <row r="712" spans="1:10" x14ac:dyDescent="0.35">
      <c r="A712" s="32" t="s">
        <v>21</v>
      </c>
      <c r="B712" s="32">
        <f t="shared" si="177"/>
        <v>2049</v>
      </c>
      <c r="C712" s="33" t="s">
        <v>34</v>
      </c>
      <c r="D712" s="34" t="s">
        <v>128</v>
      </c>
      <c r="E712" s="35" t="str">
        <f t="shared" si="175"/>
        <v>PSDP'!</v>
      </c>
      <c r="F712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12" s="32" t="s">
        <v>102</v>
      </c>
      <c r="H712" s="33"/>
      <c r="I712" s="33"/>
      <c r="J712" s="37"/>
    </row>
    <row r="713" spans="1:10" x14ac:dyDescent="0.35">
      <c r="A713" s="32" t="s">
        <v>21</v>
      </c>
      <c r="B713" s="32">
        <f t="shared" si="177"/>
        <v>2050</v>
      </c>
      <c r="C713" s="33" t="s">
        <v>34</v>
      </c>
      <c r="D713" s="34" t="s">
        <v>128</v>
      </c>
      <c r="E713" s="35" t="str">
        <f t="shared" si="175"/>
        <v>PSDP'!</v>
      </c>
      <c r="F713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13" s="32" t="s">
        <v>102</v>
      </c>
      <c r="H713" s="33"/>
      <c r="I713" s="33"/>
      <c r="J713" s="37"/>
    </row>
    <row r="714" spans="1:10" x14ac:dyDescent="0.35">
      <c r="A714" s="32" t="s">
        <v>21</v>
      </c>
      <c r="B714" s="32">
        <f t="shared" si="177"/>
        <v>2051</v>
      </c>
      <c r="C714" s="33" t="s">
        <v>34</v>
      </c>
      <c r="D714" s="34" t="s">
        <v>128</v>
      </c>
      <c r="E714" s="35" t="str">
        <f t="shared" si="175"/>
        <v>PSDP'!</v>
      </c>
      <c r="F714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14" s="32" t="s">
        <v>102</v>
      </c>
      <c r="H714" s="33"/>
      <c r="I714" s="33"/>
      <c r="J714" s="37"/>
    </row>
    <row r="715" spans="1:10" x14ac:dyDescent="0.35">
      <c r="A715" s="32" t="s">
        <v>21</v>
      </c>
      <c r="B715" s="32">
        <f t="shared" si="177"/>
        <v>2052</v>
      </c>
      <c r="C715" s="33" t="s">
        <v>34</v>
      </c>
      <c r="D715" s="34" t="s">
        <v>128</v>
      </c>
      <c r="E715" s="35" t="str">
        <f t="shared" si="175"/>
        <v>PSDP'!</v>
      </c>
      <c r="F715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15" s="32" t="s">
        <v>102</v>
      </c>
      <c r="H715" s="33"/>
      <c r="I715" s="33"/>
      <c r="J715" s="37"/>
    </row>
    <row r="716" spans="1:10" x14ac:dyDescent="0.35">
      <c r="A716" s="32" t="s">
        <v>21</v>
      </c>
      <c r="B716" s="32">
        <f t="shared" si="177"/>
        <v>2053</v>
      </c>
      <c r="C716" s="33" t="s">
        <v>34</v>
      </c>
      <c r="D716" s="34" t="s">
        <v>128</v>
      </c>
      <c r="E716" s="35" t="str">
        <f t="shared" si="175"/>
        <v>PSDP'!</v>
      </c>
      <c r="F716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16" s="32" t="s">
        <v>102</v>
      </c>
      <c r="H716" s="33"/>
      <c r="I716" s="33"/>
      <c r="J716" s="37"/>
    </row>
    <row r="717" spans="1:10" x14ac:dyDescent="0.35">
      <c r="A717" s="32" t="s">
        <v>21</v>
      </c>
      <c r="B717" s="32">
        <f t="shared" si="177"/>
        <v>2054</v>
      </c>
      <c r="C717" s="33" t="s">
        <v>34</v>
      </c>
      <c r="D717" s="34" t="s">
        <v>128</v>
      </c>
      <c r="E717" s="35" t="str">
        <f t="shared" si="175"/>
        <v>PSDP'!</v>
      </c>
      <c r="F717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17" s="32" t="s">
        <v>102</v>
      </c>
      <c r="H717" s="33"/>
      <c r="I717" s="33"/>
      <c r="J717" s="37"/>
    </row>
    <row r="718" spans="1:10" x14ac:dyDescent="0.35">
      <c r="A718" s="32" t="s">
        <v>21</v>
      </c>
      <c r="B718" s="32">
        <f t="shared" si="177"/>
        <v>2055</v>
      </c>
      <c r="C718" s="33" t="s">
        <v>34</v>
      </c>
      <c r="D718" s="34" t="s">
        <v>128</v>
      </c>
      <c r="E718" s="35" t="str">
        <f t="shared" si="175"/>
        <v>PSDP'!</v>
      </c>
      <c r="F718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18" s="32" t="s">
        <v>102</v>
      </c>
      <c r="H718" s="33"/>
      <c r="I718" s="33"/>
      <c r="J718" s="37"/>
    </row>
    <row r="719" spans="1:10" x14ac:dyDescent="0.35">
      <c r="A719" s="32" t="s">
        <v>21</v>
      </c>
      <c r="B719" s="32">
        <f t="shared" si="177"/>
        <v>2056</v>
      </c>
      <c r="C719" s="33" t="s">
        <v>34</v>
      </c>
      <c r="D719" s="34" t="s">
        <v>128</v>
      </c>
      <c r="E719" s="35" t="str">
        <f t="shared" si="175"/>
        <v>PSDP'!</v>
      </c>
      <c r="F719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19" s="32" t="s">
        <v>102</v>
      </c>
      <c r="H719" s="33"/>
      <c r="I719" s="33"/>
      <c r="J719" s="37"/>
    </row>
    <row r="720" spans="1:10" x14ac:dyDescent="0.35">
      <c r="A720" s="32" t="s">
        <v>21</v>
      </c>
      <c r="B720" s="32">
        <f t="shared" si="177"/>
        <v>2057</v>
      </c>
      <c r="C720" s="33" t="s">
        <v>34</v>
      </c>
      <c r="D720" s="34" t="s">
        <v>128</v>
      </c>
      <c r="E720" s="35" t="str">
        <f t="shared" si="175"/>
        <v>PSDP'!</v>
      </c>
      <c r="F720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20" s="32" t="s">
        <v>102</v>
      </c>
      <c r="H720" s="33"/>
      <c r="I720" s="33"/>
      <c r="J720" s="37"/>
    </row>
    <row r="721" spans="1:10" x14ac:dyDescent="0.35">
      <c r="A721" s="32" t="s">
        <v>21</v>
      </c>
      <c r="B721" s="32">
        <f t="shared" si="177"/>
        <v>2058</v>
      </c>
      <c r="C721" s="33" t="s">
        <v>34</v>
      </c>
      <c r="D721" s="34" t="s">
        <v>128</v>
      </c>
      <c r="E721" s="35" t="str">
        <f t="shared" si="175"/>
        <v>PSDP'!</v>
      </c>
      <c r="F721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21" s="32" t="s">
        <v>102</v>
      </c>
      <c r="H721" s="33"/>
      <c r="I721" s="33"/>
      <c r="J721" s="37"/>
    </row>
    <row r="722" spans="1:10" x14ac:dyDescent="0.35">
      <c r="A722" s="32" t="s">
        <v>21</v>
      </c>
      <c r="B722" s="32">
        <f t="shared" si="177"/>
        <v>2059</v>
      </c>
      <c r="C722" s="33" t="s">
        <v>34</v>
      </c>
      <c r="D722" s="34" t="s">
        <v>128</v>
      </c>
      <c r="E722" s="35" t="str">
        <f t="shared" si="175"/>
        <v>PSDP'!</v>
      </c>
      <c r="F722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22" s="32" t="s">
        <v>102</v>
      </c>
      <c r="H722" s="33"/>
      <c r="I722" s="33"/>
      <c r="J722" s="37"/>
    </row>
    <row r="723" spans="1:10" x14ac:dyDescent="0.35">
      <c r="A723" s="32" t="s">
        <v>26</v>
      </c>
      <c r="B723" s="32"/>
      <c r="C723" s="33" t="s">
        <v>34</v>
      </c>
      <c r="D723" s="34"/>
      <c r="E723" s="35"/>
      <c r="F723" s="34"/>
      <c r="G723" s="32"/>
      <c r="H723" s="33"/>
      <c r="I723" s="33"/>
      <c r="J723" s="33"/>
    </row>
    <row r="724" spans="1:10" x14ac:dyDescent="0.35">
      <c r="A724" s="32" t="s">
        <v>22</v>
      </c>
      <c r="B724" s="32">
        <v>2023</v>
      </c>
      <c r="C724" s="33" t="s">
        <v>34</v>
      </c>
      <c r="D724" s="34" t="s">
        <v>128</v>
      </c>
      <c r="E724" s="35" t="str">
        <f t="shared" ref="E724:E744" si="178">_xlfn.CONCAT(A724,"'!")</f>
        <v>PSNP'!</v>
      </c>
      <c r="F724" s="34" t="str">
        <f t="shared" ref="F724:F744" si="179">_xlfn.CONCAT(D724:E724)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24" s="32" t="s">
        <v>102</v>
      </c>
      <c r="H724" s="33"/>
      <c r="I724" s="33"/>
      <c r="J724" s="37"/>
    </row>
    <row r="725" spans="1:10" x14ac:dyDescent="0.35">
      <c r="A725" s="32" t="s">
        <v>22</v>
      </c>
      <c r="B725" s="32">
        <f>+B724+1</f>
        <v>2024</v>
      </c>
      <c r="C725" s="33" t="s">
        <v>34</v>
      </c>
      <c r="D725" s="34" t="s">
        <v>128</v>
      </c>
      <c r="E725" s="35" t="str">
        <f t="shared" si="178"/>
        <v>PSNP'!</v>
      </c>
      <c r="F725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25" s="32" t="s">
        <v>102</v>
      </c>
      <c r="H725" s="33"/>
      <c r="I725" s="33"/>
      <c r="J725" s="37"/>
    </row>
    <row r="726" spans="1:10" x14ac:dyDescent="0.35">
      <c r="A726" s="32" t="s">
        <v>22</v>
      </c>
      <c r="B726" s="32">
        <f t="shared" ref="B726:B737" si="180">+B725+1</f>
        <v>2025</v>
      </c>
      <c r="C726" s="33" t="s">
        <v>34</v>
      </c>
      <c r="D726" s="34" t="s">
        <v>128</v>
      </c>
      <c r="E726" s="35" t="str">
        <f t="shared" si="178"/>
        <v>PSNP'!</v>
      </c>
      <c r="F726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26" s="32" t="s">
        <v>102</v>
      </c>
      <c r="H726" s="33"/>
      <c r="I726" s="33"/>
      <c r="J726" s="37"/>
    </row>
    <row r="727" spans="1:10" x14ac:dyDescent="0.35">
      <c r="A727" s="32" t="s">
        <v>22</v>
      </c>
      <c r="B727" s="32">
        <f t="shared" si="180"/>
        <v>2026</v>
      </c>
      <c r="C727" s="33" t="s">
        <v>34</v>
      </c>
      <c r="D727" s="34" t="s">
        <v>128</v>
      </c>
      <c r="E727" s="35" t="str">
        <f t="shared" si="178"/>
        <v>PSNP'!</v>
      </c>
      <c r="F727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27" s="32" t="s">
        <v>102</v>
      </c>
      <c r="H727" s="33"/>
      <c r="I727" s="33"/>
      <c r="J727" s="37"/>
    </row>
    <row r="728" spans="1:10" x14ac:dyDescent="0.35">
      <c r="A728" s="32" t="s">
        <v>22</v>
      </c>
      <c r="B728" s="32">
        <f t="shared" si="180"/>
        <v>2027</v>
      </c>
      <c r="C728" s="33" t="s">
        <v>34</v>
      </c>
      <c r="D728" s="34" t="s">
        <v>128</v>
      </c>
      <c r="E728" s="35" t="str">
        <f t="shared" si="178"/>
        <v>PSNP'!</v>
      </c>
      <c r="F728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28" s="32" t="s">
        <v>102</v>
      </c>
      <c r="H728" s="33"/>
      <c r="I728" s="33"/>
      <c r="J728" s="37"/>
    </row>
    <row r="729" spans="1:10" x14ac:dyDescent="0.35">
      <c r="A729" s="32" t="s">
        <v>22</v>
      </c>
      <c r="B729" s="32">
        <f t="shared" si="180"/>
        <v>2028</v>
      </c>
      <c r="C729" s="33" t="s">
        <v>34</v>
      </c>
      <c r="D729" s="34" t="s">
        <v>128</v>
      </c>
      <c r="E729" s="35" t="str">
        <f t="shared" si="178"/>
        <v>PSNP'!</v>
      </c>
      <c r="F729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29" s="32" t="s">
        <v>102</v>
      </c>
      <c r="H729" s="33"/>
      <c r="I729" s="33"/>
      <c r="J729" s="37"/>
    </row>
    <row r="730" spans="1:10" x14ac:dyDescent="0.35">
      <c r="A730" s="32" t="s">
        <v>22</v>
      </c>
      <c r="B730" s="32">
        <f t="shared" si="180"/>
        <v>2029</v>
      </c>
      <c r="C730" s="33" t="s">
        <v>34</v>
      </c>
      <c r="D730" s="34" t="s">
        <v>128</v>
      </c>
      <c r="E730" s="35" t="str">
        <f t="shared" si="178"/>
        <v>PSNP'!</v>
      </c>
      <c r="F730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30" s="32" t="s">
        <v>102</v>
      </c>
      <c r="H730" s="33"/>
      <c r="I730" s="33"/>
      <c r="J730" s="37"/>
    </row>
    <row r="731" spans="1:10" x14ac:dyDescent="0.35">
      <c r="A731" s="32" t="s">
        <v>22</v>
      </c>
      <c r="B731" s="32">
        <f t="shared" si="180"/>
        <v>2030</v>
      </c>
      <c r="C731" s="33" t="s">
        <v>34</v>
      </c>
      <c r="D731" s="34" t="s">
        <v>128</v>
      </c>
      <c r="E731" s="35" t="str">
        <f t="shared" si="178"/>
        <v>PSNP'!</v>
      </c>
      <c r="F731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31" s="32" t="s">
        <v>102</v>
      </c>
      <c r="H731" s="33"/>
      <c r="I731" s="33"/>
      <c r="J731" s="37"/>
    </row>
    <row r="732" spans="1:10" x14ac:dyDescent="0.35">
      <c r="A732" s="32" t="s">
        <v>22</v>
      </c>
      <c r="B732" s="32">
        <f t="shared" si="180"/>
        <v>2031</v>
      </c>
      <c r="C732" s="33" t="s">
        <v>34</v>
      </c>
      <c r="D732" s="34" t="s">
        <v>128</v>
      </c>
      <c r="E732" s="35" t="str">
        <f t="shared" si="178"/>
        <v>PSNP'!</v>
      </c>
      <c r="F732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32" s="32" t="s">
        <v>102</v>
      </c>
      <c r="H732" s="33"/>
      <c r="I732" s="33"/>
      <c r="J732" s="37"/>
    </row>
    <row r="733" spans="1:10" x14ac:dyDescent="0.35">
      <c r="A733" s="32" t="s">
        <v>22</v>
      </c>
      <c r="B733" s="32">
        <f t="shared" si="180"/>
        <v>2032</v>
      </c>
      <c r="C733" s="33" t="s">
        <v>34</v>
      </c>
      <c r="D733" s="34" t="s">
        <v>128</v>
      </c>
      <c r="E733" s="35" t="str">
        <f t="shared" si="178"/>
        <v>PSNP'!</v>
      </c>
      <c r="F733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33" s="32" t="s">
        <v>102</v>
      </c>
      <c r="H733" s="33"/>
      <c r="I733" s="33"/>
      <c r="J733" s="37"/>
    </row>
    <row r="734" spans="1:10" x14ac:dyDescent="0.35">
      <c r="A734" s="32" t="s">
        <v>22</v>
      </c>
      <c r="B734" s="32">
        <f t="shared" si="180"/>
        <v>2033</v>
      </c>
      <c r="C734" s="33" t="s">
        <v>34</v>
      </c>
      <c r="D734" s="34" t="s">
        <v>128</v>
      </c>
      <c r="E734" s="35" t="str">
        <f t="shared" si="178"/>
        <v>PSNP'!</v>
      </c>
      <c r="F734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34" s="32" t="s">
        <v>102</v>
      </c>
      <c r="H734" s="33"/>
      <c r="I734" s="33"/>
      <c r="J734" s="37"/>
    </row>
    <row r="735" spans="1:10" x14ac:dyDescent="0.35">
      <c r="A735" s="32" t="s">
        <v>22</v>
      </c>
      <c r="B735" s="32">
        <f t="shared" si="180"/>
        <v>2034</v>
      </c>
      <c r="C735" s="33" t="s">
        <v>34</v>
      </c>
      <c r="D735" s="34" t="s">
        <v>128</v>
      </c>
      <c r="E735" s="35" t="str">
        <f t="shared" si="178"/>
        <v>PSNP'!</v>
      </c>
      <c r="F735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35" s="32" t="s">
        <v>102</v>
      </c>
      <c r="H735" s="33"/>
      <c r="I735" s="33"/>
      <c r="J735" s="37"/>
    </row>
    <row r="736" spans="1:10" x14ac:dyDescent="0.35">
      <c r="A736" s="32" t="s">
        <v>22</v>
      </c>
      <c r="B736" s="32">
        <f t="shared" si="180"/>
        <v>2035</v>
      </c>
      <c r="C736" s="33" t="s">
        <v>34</v>
      </c>
      <c r="D736" s="34" t="s">
        <v>128</v>
      </c>
      <c r="E736" s="35" t="str">
        <f t="shared" si="178"/>
        <v>PSNP'!</v>
      </c>
      <c r="F736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36" s="32" t="s">
        <v>102</v>
      </c>
      <c r="H736" s="33"/>
      <c r="I736" s="33"/>
      <c r="J736" s="37"/>
    </row>
    <row r="737" spans="1:10" x14ac:dyDescent="0.35">
      <c r="A737" s="32" t="s">
        <v>22</v>
      </c>
      <c r="B737" s="32">
        <f t="shared" si="180"/>
        <v>2036</v>
      </c>
      <c r="C737" s="33" t="s">
        <v>34</v>
      </c>
      <c r="D737" s="34" t="s">
        <v>128</v>
      </c>
      <c r="E737" s="35" t="str">
        <f t="shared" si="178"/>
        <v>PSNP'!</v>
      </c>
      <c r="F737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37" s="32" t="s">
        <v>102</v>
      </c>
      <c r="H737" s="33"/>
      <c r="I737" s="33"/>
      <c r="J737" s="37"/>
    </row>
    <row r="738" spans="1:10" x14ac:dyDescent="0.35">
      <c r="A738" s="32" t="s">
        <v>22</v>
      </c>
      <c r="B738" s="32">
        <f>+B737+1</f>
        <v>2037</v>
      </c>
      <c r="C738" s="33" t="s">
        <v>34</v>
      </c>
      <c r="D738" s="34" t="s">
        <v>128</v>
      </c>
      <c r="E738" s="35" t="str">
        <f t="shared" si="178"/>
        <v>PSNP'!</v>
      </c>
      <c r="F738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38" s="32" t="s">
        <v>102</v>
      </c>
      <c r="H738" s="33"/>
      <c r="I738" s="33"/>
      <c r="J738" s="37"/>
    </row>
    <row r="739" spans="1:10" x14ac:dyDescent="0.35">
      <c r="A739" s="32" t="s">
        <v>22</v>
      </c>
      <c r="B739" s="32">
        <f t="shared" ref="B739:B741" si="181">+B738+1</f>
        <v>2038</v>
      </c>
      <c r="C739" s="33" t="s">
        <v>34</v>
      </c>
      <c r="D739" s="34" t="s">
        <v>128</v>
      </c>
      <c r="E739" s="35" t="str">
        <f t="shared" si="178"/>
        <v>PSNP'!</v>
      </c>
      <c r="F739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39" s="32" t="s">
        <v>102</v>
      </c>
      <c r="H739" s="33"/>
      <c r="I739" s="33"/>
      <c r="J739" s="37"/>
    </row>
    <row r="740" spans="1:10" x14ac:dyDescent="0.35">
      <c r="A740" s="32" t="s">
        <v>22</v>
      </c>
      <c r="B740" s="32">
        <f t="shared" si="181"/>
        <v>2039</v>
      </c>
      <c r="C740" s="33" t="s">
        <v>34</v>
      </c>
      <c r="D740" s="34" t="s">
        <v>128</v>
      </c>
      <c r="E740" s="35" t="str">
        <f t="shared" si="178"/>
        <v>PSNP'!</v>
      </c>
      <c r="F740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40" s="32" t="s">
        <v>102</v>
      </c>
      <c r="H740" s="33"/>
      <c r="I740" s="33"/>
      <c r="J740" s="37"/>
    </row>
    <row r="741" spans="1:10" x14ac:dyDescent="0.35">
      <c r="A741" s="32" t="s">
        <v>22</v>
      </c>
      <c r="B741" s="32">
        <f t="shared" si="181"/>
        <v>2040</v>
      </c>
      <c r="C741" s="33" t="s">
        <v>34</v>
      </c>
      <c r="D741" s="34" t="s">
        <v>128</v>
      </c>
      <c r="E741" s="35" t="str">
        <f t="shared" si="178"/>
        <v>PSNP'!</v>
      </c>
      <c r="F741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41" s="32" t="s">
        <v>102</v>
      </c>
      <c r="H741" s="33"/>
      <c r="I741" s="33"/>
      <c r="J741" s="37"/>
    </row>
    <row r="742" spans="1:10" x14ac:dyDescent="0.35">
      <c r="A742" s="32" t="s">
        <v>22</v>
      </c>
      <c r="B742" s="32">
        <f>+B741+1</f>
        <v>2041</v>
      </c>
      <c r="C742" s="33" t="s">
        <v>34</v>
      </c>
      <c r="D742" s="34" t="s">
        <v>128</v>
      </c>
      <c r="E742" s="35" t="str">
        <f t="shared" si="178"/>
        <v>PSNP'!</v>
      </c>
      <c r="F742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42" s="32" t="s">
        <v>102</v>
      </c>
      <c r="H742" s="33"/>
      <c r="I742" s="33"/>
      <c r="J742" s="37"/>
    </row>
    <row r="743" spans="1:10" x14ac:dyDescent="0.35">
      <c r="A743" s="32" t="s">
        <v>22</v>
      </c>
      <c r="B743" s="32">
        <f t="shared" ref="B743:B744" si="182">+B742+1</f>
        <v>2042</v>
      </c>
      <c r="C743" s="33" t="s">
        <v>34</v>
      </c>
      <c r="D743" s="34" t="s">
        <v>128</v>
      </c>
      <c r="E743" s="35" t="str">
        <f t="shared" si="178"/>
        <v>PSNP'!</v>
      </c>
      <c r="F743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43" s="32" t="s">
        <v>102</v>
      </c>
      <c r="H743" s="33"/>
      <c r="I743" s="33"/>
      <c r="J743" s="37"/>
    </row>
    <row r="744" spans="1:10" x14ac:dyDescent="0.35">
      <c r="A744" s="32" t="s">
        <v>22</v>
      </c>
      <c r="B744" s="32">
        <f t="shared" si="182"/>
        <v>2043</v>
      </c>
      <c r="C744" s="33" t="s">
        <v>34</v>
      </c>
      <c r="D744" s="34" t="s">
        <v>128</v>
      </c>
      <c r="E744" s="35" t="str">
        <f t="shared" si="178"/>
        <v>PSNP'!</v>
      </c>
      <c r="F744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44" s="32" t="s">
        <v>102</v>
      </c>
      <c r="H744" s="33"/>
      <c r="I744" s="33"/>
      <c r="J744" s="37"/>
    </row>
    <row r="745" spans="1:10" x14ac:dyDescent="0.35">
      <c r="A745" s="32" t="s">
        <v>22</v>
      </c>
      <c r="B745" s="32">
        <f>+B744+1</f>
        <v>2044</v>
      </c>
      <c r="C745" s="33" t="s">
        <v>34</v>
      </c>
      <c r="D745" s="34" t="s">
        <v>128</v>
      </c>
      <c r="E745" s="35" t="str">
        <f t="shared" ref="E745:E760" si="183">_xlfn.CONCAT(A745,"'!")</f>
        <v>PSNP'!</v>
      </c>
      <c r="F745" s="34" t="str">
        <f t="shared" ref="F745:F760" si="184">_xlfn.CONCAT(D745:E745)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45" s="32" t="s">
        <v>102</v>
      </c>
      <c r="H745" s="33"/>
      <c r="I745" s="33"/>
      <c r="J745" s="37"/>
    </row>
    <row r="746" spans="1:10" x14ac:dyDescent="0.35">
      <c r="A746" s="32" t="s">
        <v>22</v>
      </c>
      <c r="B746" s="32">
        <f t="shared" ref="B746:B760" si="185">+B745+1</f>
        <v>2045</v>
      </c>
      <c r="C746" s="33" t="s">
        <v>34</v>
      </c>
      <c r="D746" s="34" t="s">
        <v>128</v>
      </c>
      <c r="E746" s="35" t="str">
        <f t="shared" si="183"/>
        <v>PSNP'!</v>
      </c>
      <c r="F746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46" s="32" t="s">
        <v>102</v>
      </c>
      <c r="H746" s="33"/>
      <c r="I746" s="33"/>
      <c r="J746" s="37"/>
    </row>
    <row r="747" spans="1:10" x14ac:dyDescent="0.35">
      <c r="A747" s="32" t="s">
        <v>22</v>
      </c>
      <c r="B747" s="32">
        <f t="shared" si="185"/>
        <v>2046</v>
      </c>
      <c r="C747" s="33" t="s">
        <v>34</v>
      </c>
      <c r="D747" s="34" t="s">
        <v>128</v>
      </c>
      <c r="E747" s="35" t="str">
        <f t="shared" si="183"/>
        <v>PSNP'!</v>
      </c>
      <c r="F747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47" s="32" t="s">
        <v>102</v>
      </c>
      <c r="H747" s="33"/>
      <c r="I747" s="33"/>
      <c r="J747" s="37"/>
    </row>
    <row r="748" spans="1:10" x14ac:dyDescent="0.35">
      <c r="A748" s="32" t="s">
        <v>22</v>
      </c>
      <c r="B748" s="32">
        <f t="shared" si="185"/>
        <v>2047</v>
      </c>
      <c r="C748" s="33" t="s">
        <v>34</v>
      </c>
      <c r="D748" s="34" t="s">
        <v>128</v>
      </c>
      <c r="E748" s="35" t="str">
        <f t="shared" si="183"/>
        <v>PSNP'!</v>
      </c>
      <c r="F748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48" s="32" t="s">
        <v>102</v>
      </c>
      <c r="H748" s="33"/>
      <c r="I748" s="33"/>
      <c r="J748" s="37"/>
    </row>
    <row r="749" spans="1:10" x14ac:dyDescent="0.35">
      <c r="A749" s="32" t="s">
        <v>22</v>
      </c>
      <c r="B749" s="32">
        <f t="shared" si="185"/>
        <v>2048</v>
      </c>
      <c r="C749" s="33" t="s">
        <v>34</v>
      </c>
      <c r="D749" s="34" t="s">
        <v>128</v>
      </c>
      <c r="E749" s="35" t="str">
        <f t="shared" si="183"/>
        <v>PSNP'!</v>
      </c>
      <c r="F749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49" s="32" t="s">
        <v>102</v>
      </c>
      <c r="H749" s="33"/>
      <c r="I749" s="33"/>
      <c r="J749" s="37"/>
    </row>
    <row r="750" spans="1:10" x14ac:dyDescent="0.35">
      <c r="A750" s="32" t="s">
        <v>22</v>
      </c>
      <c r="B750" s="32">
        <f t="shared" si="185"/>
        <v>2049</v>
      </c>
      <c r="C750" s="33" t="s">
        <v>34</v>
      </c>
      <c r="D750" s="34" t="s">
        <v>128</v>
      </c>
      <c r="E750" s="35" t="str">
        <f t="shared" si="183"/>
        <v>PSNP'!</v>
      </c>
      <c r="F750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50" s="32" t="s">
        <v>102</v>
      </c>
      <c r="H750" s="33"/>
      <c r="I750" s="33"/>
      <c r="J750" s="37"/>
    </row>
    <row r="751" spans="1:10" x14ac:dyDescent="0.35">
      <c r="A751" s="32" t="s">
        <v>22</v>
      </c>
      <c r="B751" s="32">
        <f t="shared" si="185"/>
        <v>2050</v>
      </c>
      <c r="C751" s="33" t="s">
        <v>34</v>
      </c>
      <c r="D751" s="34" t="s">
        <v>128</v>
      </c>
      <c r="E751" s="35" t="str">
        <f t="shared" si="183"/>
        <v>PSNP'!</v>
      </c>
      <c r="F751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51" s="32" t="s">
        <v>102</v>
      </c>
      <c r="H751" s="33"/>
      <c r="I751" s="33"/>
      <c r="J751" s="37"/>
    </row>
    <row r="752" spans="1:10" x14ac:dyDescent="0.35">
      <c r="A752" s="32" t="s">
        <v>22</v>
      </c>
      <c r="B752" s="32">
        <f t="shared" si="185"/>
        <v>2051</v>
      </c>
      <c r="C752" s="33" t="s">
        <v>34</v>
      </c>
      <c r="D752" s="34" t="s">
        <v>128</v>
      </c>
      <c r="E752" s="35" t="str">
        <f t="shared" si="183"/>
        <v>PSNP'!</v>
      </c>
      <c r="F752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52" s="32" t="s">
        <v>102</v>
      </c>
      <c r="H752" s="33"/>
      <c r="I752" s="33"/>
      <c r="J752" s="37"/>
    </row>
    <row r="753" spans="1:10" x14ac:dyDescent="0.35">
      <c r="A753" s="32" t="s">
        <v>22</v>
      </c>
      <c r="B753" s="32">
        <f t="shared" si="185"/>
        <v>2052</v>
      </c>
      <c r="C753" s="33" t="s">
        <v>34</v>
      </c>
      <c r="D753" s="34" t="s">
        <v>128</v>
      </c>
      <c r="E753" s="35" t="str">
        <f t="shared" si="183"/>
        <v>PSNP'!</v>
      </c>
      <c r="F753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53" s="32" t="s">
        <v>102</v>
      </c>
      <c r="H753" s="33"/>
      <c r="I753" s="33"/>
      <c r="J753" s="37"/>
    </row>
    <row r="754" spans="1:10" x14ac:dyDescent="0.35">
      <c r="A754" s="32" t="s">
        <v>22</v>
      </c>
      <c r="B754" s="32">
        <f t="shared" si="185"/>
        <v>2053</v>
      </c>
      <c r="C754" s="33" t="s">
        <v>34</v>
      </c>
      <c r="D754" s="34" t="s">
        <v>128</v>
      </c>
      <c r="E754" s="35" t="str">
        <f t="shared" si="183"/>
        <v>PSNP'!</v>
      </c>
      <c r="F754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54" s="32" t="s">
        <v>102</v>
      </c>
      <c r="H754" s="33"/>
      <c r="I754" s="33"/>
      <c r="J754" s="37"/>
    </row>
    <row r="755" spans="1:10" x14ac:dyDescent="0.35">
      <c r="A755" s="32" t="s">
        <v>22</v>
      </c>
      <c r="B755" s="32">
        <f t="shared" si="185"/>
        <v>2054</v>
      </c>
      <c r="C755" s="33" t="s">
        <v>34</v>
      </c>
      <c r="D755" s="34" t="s">
        <v>128</v>
      </c>
      <c r="E755" s="35" t="str">
        <f t="shared" si="183"/>
        <v>PSNP'!</v>
      </c>
      <c r="F755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55" s="32" t="s">
        <v>102</v>
      </c>
      <c r="H755" s="33"/>
      <c r="I755" s="33"/>
      <c r="J755" s="37"/>
    </row>
    <row r="756" spans="1:10" x14ac:dyDescent="0.35">
      <c r="A756" s="32" t="s">
        <v>22</v>
      </c>
      <c r="B756" s="32">
        <f t="shared" si="185"/>
        <v>2055</v>
      </c>
      <c r="C756" s="33" t="s">
        <v>34</v>
      </c>
      <c r="D756" s="34" t="s">
        <v>128</v>
      </c>
      <c r="E756" s="35" t="str">
        <f t="shared" si="183"/>
        <v>PSNP'!</v>
      </c>
      <c r="F756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56" s="32" t="s">
        <v>102</v>
      </c>
      <c r="H756" s="33"/>
      <c r="I756" s="33"/>
      <c r="J756" s="37"/>
    </row>
    <row r="757" spans="1:10" x14ac:dyDescent="0.35">
      <c r="A757" s="32" t="s">
        <v>22</v>
      </c>
      <c r="B757" s="32">
        <f t="shared" si="185"/>
        <v>2056</v>
      </c>
      <c r="C757" s="33" t="s">
        <v>34</v>
      </c>
      <c r="D757" s="34" t="s">
        <v>128</v>
      </c>
      <c r="E757" s="35" t="str">
        <f t="shared" si="183"/>
        <v>PSNP'!</v>
      </c>
      <c r="F757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57" s="32" t="s">
        <v>102</v>
      </c>
      <c r="H757" s="33"/>
      <c r="I757" s="33"/>
      <c r="J757" s="37"/>
    </row>
    <row r="758" spans="1:10" x14ac:dyDescent="0.35">
      <c r="A758" s="32" t="s">
        <v>22</v>
      </c>
      <c r="B758" s="32">
        <f t="shared" si="185"/>
        <v>2057</v>
      </c>
      <c r="C758" s="33" t="s">
        <v>34</v>
      </c>
      <c r="D758" s="34" t="s">
        <v>128</v>
      </c>
      <c r="E758" s="35" t="str">
        <f t="shared" si="183"/>
        <v>PSNP'!</v>
      </c>
      <c r="F758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58" s="32" t="s">
        <v>102</v>
      </c>
      <c r="H758" s="33"/>
      <c r="I758" s="33"/>
      <c r="J758" s="37"/>
    </row>
    <row r="759" spans="1:10" x14ac:dyDescent="0.35">
      <c r="A759" s="32" t="s">
        <v>22</v>
      </c>
      <c r="B759" s="32">
        <f t="shared" si="185"/>
        <v>2058</v>
      </c>
      <c r="C759" s="33" t="s">
        <v>34</v>
      </c>
      <c r="D759" s="34" t="s">
        <v>128</v>
      </c>
      <c r="E759" s="35" t="str">
        <f t="shared" si="183"/>
        <v>PSNP'!</v>
      </c>
      <c r="F759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59" s="32" t="s">
        <v>102</v>
      </c>
      <c r="H759" s="33"/>
      <c r="I759" s="33"/>
      <c r="J759" s="37"/>
    </row>
    <row r="760" spans="1:10" x14ac:dyDescent="0.35">
      <c r="A760" s="32" t="s">
        <v>22</v>
      </c>
      <c r="B760" s="32">
        <f t="shared" si="185"/>
        <v>2059</v>
      </c>
      <c r="C760" s="33" t="s">
        <v>34</v>
      </c>
      <c r="D760" s="34" t="s">
        <v>128</v>
      </c>
      <c r="E760" s="35" t="str">
        <f t="shared" si="183"/>
        <v>PSNP'!</v>
      </c>
      <c r="F760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60" s="32" t="s">
        <v>102</v>
      </c>
      <c r="H760" s="33"/>
      <c r="I760" s="33"/>
      <c r="J760" s="37"/>
    </row>
    <row r="761" spans="1:10" x14ac:dyDescent="0.35">
      <c r="A761" s="32" t="s">
        <v>26</v>
      </c>
      <c r="B761" s="32"/>
      <c r="C761" s="33" t="s">
        <v>34</v>
      </c>
      <c r="D761" s="34"/>
      <c r="E761" s="35"/>
      <c r="F761" s="34"/>
      <c r="G761" s="32"/>
      <c r="H761" s="33"/>
      <c r="I761" s="33"/>
      <c r="J761" s="33"/>
    </row>
    <row r="762" spans="1:10" x14ac:dyDescent="0.35">
      <c r="A762" s="32" t="s">
        <v>23</v>
      </c>
      <c r="B762" s="32">
        <v>2023</v>
      </c>
      <c r="C762" s="33" t="s">
        <v>34</v>
      </c>
      <c r="D762" s="34" t="s">
        <v>128</v>
      </c>
      <c r="E762" s="35" t="str">
        <f t="shared" ref="E762:E782" si="186">_xlfn.CONCAT(A762,"'!")</f>
        <v>PSND'!</v>
      </c>
      <c r="F762" s="34" t="str">
        <f t="shared" ref="F762:F782" si="187">_xlfn.CONCAT(D762:E762)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62" s="32" t="s">
        <v>102</v>
      </c>
      <c r="H762" s="33"/>
      <c r="I762" s="33"/>
      <c r="J762" s="37"/>
    </row>
    <row r="763" spans="1:10" x14ac:dyDescent="0.35">
      <c r="A763" s="32" t="s">
        <v>23</v>
      </c>
      <c r="B763" s="32">
        <f>+B762+1</f>
        <v>2024</v>
      </c>
      <c r="C763" s="33" t="s">
        <v>34</v>
      </c>
      <c r="D763" s="34" t="s">
        <v>128</v>
      </c>
      <c r="E763" s="35" t="str">
        <f t="shared" si="186"/>
        <v>PSND'!</v>
      </c>
      <c r="F763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63" s="32" t="s">
        <v>102</v>
      </c>
      <c r="H763" s="33"/>
      <c r="I763" s="33"/>
      <c r="J763" s="37"/>
    </row>
    <row r="764" spans="1:10" x14ac:dyDescent="0.35">
      <c r="A764" s="32" t="s">
        <v>23</v>
      </c>
      <c r="B764" s="32">
        <f t="shared" ref="B764:B775" si="188">+B763+1</f>
        <v>2025</v>
      </c>
      <c r="C764" s="33" t="s">
        <v>34</v>
      </c>
      <c r="D764" s="34" t="s">
        <v>128</v>
      </c>
      <c r="E764" s="35" t="str">
        <f t="shared" si="186"/>
        <v>PSND'!</v>
      </c>
      <c r="F764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64" s="32" t="s">
        <v>102</v>
      </c>
      <c r="H764" s="33"/>
      <c r="I764" s="33"/>
      <c r="J764" s="37"/>
    </row>
    <row r="765" spans="1:10" x14ac:dyDescent="0.35">
      <c r="A765" s="32" t="s">
        <v>23</v>
      </c>
      <c r="B765" s="32">
        <f t="shared" si="188"/>
        <v>2026</v>
      </c>
      <c r="C765" s="33" t="s">
        <v>34</v>
      </c>
      <c r="D765" s="34" t="s">
        <v>128</v>
      </c>
      <c r="E765" s="35" t="str">
        <f t="shared" si="186"/>
        <v>PSND'!</v>
      </c>
      <c r="F765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65" s="32" t="s">
        <v>102</v>
      </c>
      <c r="H765" s="33"/>
      <c r="I765" s="33"/>
      <c r="J765" s="37"/>
    </row>
    <row r="766" spans="1:10" x14ac:dyDescent="0.35">
      <c r="A766" s="32" t="s">
        <v>23</v>
      </c>
      <c r="B766" s="32">
        <f t="shared" si="188"/>
        <v>2027</v>
      </c>
      <c r="C766" s="33" t="s">
        <v>34</v>
      </c>
      <c r="D766" s="34" t="s">
        <v>128</v>
      </c>
      <c r="E766" s="35" t="str">
        <f t="shared" si="186"/>
        <v>PSND'!</v>
      </c>
      <c r="F766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66" s="32" t="s">
        <v>102</v>
      </c>
      <c r="H766" s="33"/>
      <c r="I766" s="33"/>
      <c r="J766" s="37"/>
    </row>
    <row r="767" spans="1:10" x14ac:dyDescent="0.35">
      <c r="A767" s="32" t="s">
        <v>23</v>
      </c>
      <c r="B767" s="32">
        <f t="shared" si="188"/>
        <v>2028</v>
      </c>
      <c r="C767" s="33" t="s">
        <v>34</v>
      </c>
      <c r="D767" s="34" t="s">
        <v>128</v>
      </c>
      <c r="E767" s="35" t="str">
        <f t="shared" si="186"/>
        <v>PSND'!</v>
      </c>
      <c r="F767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67" s="32" t="s">
        <v>102</v>
      </c>
      <c r="H767" s="33"/>
      <c r="I767" s="33"/>
      <c r="J767" s="37"/>
    </row>
    <row r="768" spans="1:10" x14ac:dyDescent="0.35">
      <c r="A768" s="32" t="s">
        <v>23</v>
      </c>
      <c r="B768" s="32">
        <f t="shared" si="188"/>
        <v>2029</v>
      </c>
      <c r="C768" s="33" t="s">
        <v>34</v>
      </c>
      <c r="D768" s="34" t="s">
        <v>128</v>
      </c>
      <c r="E768" s="35" t="str">
        <f t="shared" si="186"/>
        <v>PSND'!</v>
      </c>
      <c r="F768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68" s="32" t="s">
        <v>102</v>
      </c>
      <c r="H768" s="33"/>
      <c r="I768" s="33"/>
      <c r="J768" s="37"/>
    </row>
    <row r="769" spans="1:10" x14ac:dyDescent="0.35">
      <c r="A769" s="32" t="s">
        <v>23</v>
      </c>
      <c r="B769" s="32">
        <f t="shared" si="188"/>
        <v>2030</v>
      </c>
      <c r="C769" s="33" t="s">
        <v>34</v>
      </c>
      <c r="D769" s="34" t="s">
        <v>128</v>
      </c>
      <c r="E769" s="35" t="str">
        <f t="shared" si="186"/>
        <v>PSND'!</v>
      </c>
      <c r="F769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69" s="32" t="s">
        <v>102</v>
      </c>
      <c r="H769" s="33"/>
      <c r="I769" s="33"/>
      <c r="J769" s="37"/>
    </row>
    <row r="770" spans="1:10" x14ac:dyDescent="0.35">
      <c r="A770" s="32" t="s">
        <v>23</v>
      </c>
      <c r="B770" s="32">
        <f t="shared" si="188"/>
        <v>2031</v>
      </c>
      <c r="C770" s="33" t="s">
        <v>34</v>
      </c>
      <c r="D770" s="34" t="s">
        <v>128</v>
      </c>
      <c r="E770" s="35" t="str">
        <f t="shared" si="186"/>
        <v>PSND'!</v>
      </c>
      <c r="F770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70" s="32" t="s">
        <v>102</v>
      </c>
      <c r="H770" s="33"/>
      <c r="I770" s="33"/>
      <c r="J770" s="37"/>
    </row>
    <row r="771" spans="1:10" x14ac:dyDescent="0.35">
      <c r="A771" s="32" t="s">
        <v>23</v>
      </c>
      <c r="B771" s="32">
        <f t="shared" si="188"/>
        <v>2032</v>
      </c>
      <c r="C771" s="33" t="s">
        <v>34</v>
      </c>
      <c r="D771" s="34" t="s">
        <v>128</v>
      </c>
      <c r="E771" s="35" t="str">
        <f t="shared" si="186"/>
        <v>PSND'!</v>
      </c>
      <c r="F771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71" s="32" t="s">
        <v>102</v>
      </c>
      <c r="H771" s="33"/>
      <c r="I771" s="33"/>
      <c r="J771" s="37"/>
    </row>
    <row r="772" spans="1:10" x14ac:dyDescent="0.35">
      <c r="A772" s="32" t="s">
        <v>23</v>
      </c>
      <c r="B772" s="32">
        <f t="shared" si="188"/>
        <v>2033</v>
      </c>
      <c r="C772" s="33" t="s">
        <v>34</v>
      </c>
      <c r="D772" s="34" t="s">
        <v>128</v>
      </c>
      <c r="E772" s="35" t="str">
        <f t="shared" si="186"/>
        <v>PSND'!</v>
      </c>
      <c r="F772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72" s="32" t="s">
        <v>102</v>
      </c>
      <c r="H772" s="33"/>
      <c r="I772" s="33"/>
      <c r="J772" s="37"/>
    </row>
    <row r="773" spans="1:10" x14ac:dyDescent="0.35">
      <c r="A773" s="32" t="s">
        <v>23</v>
      </c>
      <c r="B773" s="32">
        <f t="shared" si="188"/>
        <v>2034</v>
      </c>
      <c r="C773" s="33" t="s">
        <v>34</v>
      </c>
      <c r="D773" s="34" t="s">
        <v>128</v>
      </c>
      <c r="E773" s="35" t="str">
        <f t="shared" si="186"/>
        <v>PSND'!</v>
      </c>
      <c r="F773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73" s="32" t="s">
        <v>102</v>
      </c>
      <c r="H773" s="33"/>
      <c r="I773" s="33"/>
      <c r="J773" s="37"/>
    </row>
    <row r="774" spans="1:10" x14ac:dyDescent="0.35">
      <c r="A774" s="32" t="s">
        <v>23</v>
      </c>
      <c r="B774" s="32">
        <f t="shared" si="188"/>
        <v>2035</v>
      </c>
      <c r="C774" s="33" t="s">
        <v>34</v>
      </c>
      <c r="D774" s="34" t="s">
        <v>128</v>
      </c>
      <c r="E774" s="35" t="str">
        <f t="shared" si="186"/>
        <v>PSND'!</v>
      </c>
      <c r="F774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74" s="32" t="s">
        <v>102</v>
      </c>
      <c r="H774" s="33"/>
      <c r="I774" s="33"/>
      <c r="J774" s="37"/>
    </row>
    <row r="775" spans="1:10" x14ac:dyDescent="0.35">
      <c r="A775" s="32" t="s">
        <v>23</v>
      </c>
      <c r="B775" s="32">
        <f t="shared" si="188"/>
        <v>2036</v>
      </c>
      <c r="C775" s="33" t="s">
        <v>34</v>
      </c>
      <c r="D775" s="34" t="s">
        <v>128</v>
      </c>
      <c r="E775" s="35" t="str">
        <f t="shared" si="186"/>
        <v>PSND'!</v>
      </c>
      <c r="F775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75" s="32" t="s">
        <v>102</v>
      </c>
      <c r="H775" s="33"/>
      <c r="I775" s="33"/>
      <c r="J775" s="37"/>
    </row>
    <row r="776" spans="1:10" x14ac:dyDescent="0.35">
      <c r="A776" s="32" t="s">
        <v>23</v>
      </c>
      <c r="B776" s="32">
        <f>+B775+1</f>
        <v>2037</v>
      </c>
      <c r="C776" s="33" t="s">
        <v>34</v>
      </c>
      <c r="D776" s="34" t="s">
        <v>128</v>
      </c>
      <c r="E776" s="35" t="str">
        <f t="shared" si="186"/>
        <v>PSND'!</v>
      </c>
      <c r="F776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76" s="32" t="s">
        <v>102</v>
      </c>
      <c r="H776" s="33"/>
      <c r="I776" s="33"/>
      <c r="J776" s="37"/>
    </row>
    <row r="777" spans="1:10" x14ac:dyDescent="0.35">
      <c r="A777" s="32" t="s">
        <v>23</v>
      </c>
      <c r="B777" s="32">
        <f t="shared" ref="B777:B779" si="189">+B776+1</f>
        <v>2038</v>
      </c>
      <c r="C777" s="33" t="s">
        <v>34</v>
      </c>
      <c r="D777" s="34" t="s">
        <v>128</v>
      </c>
      <c r="E777" s="35" t="str">
        <f t="shared" si="186"/>
        <v>PSND'!</v>
      </c>
      <c r="F777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77" s="32" t="s">
        <v>102</v>
      </c>
      <c r="H777" s="33"/>
      <c r="I777" s="33"/>
      <c r="J777" s="37"/>
    </row>
    <row r="778" spans="1:10" x14ac:dyDescent="0.35">
      <c r="A778" s="32" t="s">
        <v>23</v>
      </c>
      <c r="B778" s="32">
        <f t="shared" si="189"/>
        <v>2039</v>
      </c>
      <c r="C778" s="33" t="s">
        <v>34</v>
      </c>
      <c r="D778" s="34" t="s">
        <v>128</v>
      </c>
      <c r="E778" s="35" t="str">
        <f t="shared" si="186"/>
        <v>PSND'!</v>
      </c>
      <c r="F778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78" s="32" t="s">
        <v>102</v>
      </c>
      <c r="H778" s="33"/>
      <c r="I778" s="33"/>
      <c r="J778" s="37"/>
    </row>
    <row r="779" spans="1:10" x14ac:dyDescent="0.35">
      <c r="A779" s="32" t="s">
        <v>23</v>
      </c>
      <c r="B779" s="32">
        <f t="shared" si="189"/>
        <v>2040</v>
      </c>
      <c r="C779" s="33" t="s">
        <v>34</v>
      </c>
      <c r="D779" s="34" t="s">
        <v>128</v>
      </c>
      <c r="E779" s="35" t="str">
        <f t="shared" si="186"/>
        <v>PSND'!</v>
      </c>
      <c r="F779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79" s="32" t="s">
        <v>102</v>
      </c>
      <c r="H779" s="33"/>
      <c r="I779" s="33"/>
      <c r="J779" s="37"/>
    </row>
    <row r="780" spans="1:10" x14ac:dyDescent="0.35">
      <c r="A780" s="32" t="s">
        <v>23</v>
      </c>
      <c r="B780" s="32">
        <f>+B779+1</f>
        <v>2041</v>
      </c>
      <c r="C780" s="33" t="s">
        <v>34</v>
      </c>
      <c r="D780" s="34" t="s">
        <v>128</v>
      </c>
      <c r="E780" s="35" t="str">
        <f t="shared" si="186"/>
        <v>PSND'!</v>
      </c>
      <c r="F780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80" s="32" t="s">
        <v>102</v>
      </c>
      <c r="H780" s="33"/>
      <c r="I780" s="33"/>
      <c r="J780" s="37"/>
    </row>
    <row r="781" spans="1:10" x14ac:dyDescent="0.35">
      <c r="A781" s="32" t="s">
        <v>23</v>
      </c>
      <c r="B781" s="32">
        <f t="shared" ref="B781:B782" si="190">+B780+1</f>
        <v>2042</v>
      </c>
      <c r="C781" s="33" t="s">
        <v>34</v>
      </c>
      <c r="D781" s="34" t="s">
        <v>128</v>
      </c>
      <c r="E781" s="35" t="str">
        <f t="shared" si="186"/>
        <v>PSND'!</v>
      </c>
      <c r="F781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81" s="32" t="s">
        <v>102</v>
      </c>
      <c r="H781" s="33"/>
      <c r="I781" s="33"/>
      <c r="J781" s="37"/>
    </row>
    <row r="782" spans="1:10" x14ac:dyDescent="0.35">
      <c r="A782" s="32" t="s">
        <v>23</v>
      </c>
      <c r="B782" s="32">
        <f t="shared" si="190"/>
        <v>2043</v>
      </c>
      <c r="C782" s="33" t="s">
        <v>34</v>
      </c>
      <c r="D782" s="34" t="s">
        <v>128</v>
      </c>
      <c r="E782" s="35" t="str">
        <f t="shared" si="186"/>
        <v>PSND'!</v>
      </c>
      <c r="F782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82" s="32" t="s">
        <v>102</v>
      </c>
      <c r="H782" s="33"/>
      <c r="I782" s="33"/>
      <c r="J782" s="37"/>
    </row>
    <row r="783" spans="1:10" x14ac:dyDescent="0.35">
      <c r="A783" s="32" t="s">
        <v>23</v>
      </c>
      <c r="B783" s="32">
        <f>+B782+1</f>
        <v>2044</v>
      </c>
      <c r="C783" s="33" t="s">
        <v>34</v>
      </c>
      <c r="D783" s="34" t="s">
        <v>128</v>
      </c>
      <c r="E783" s="35" t="str">
        <f t="shared" ref="E783:E798" si="191">_xlfn.CONCAT(A783,"'!")</f>
        <v>PSND'!</v>
      </c>
      <c r="F783" s="34" t="str">
        <f t="shared" ref="F783:F798" si="192">_xlfn.CONCAT(D783:E783)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83" s="32" t="s">
        <v>102</v>
      </c>
      <c r="H783" s="33"/>
      <c r="I783" s="33"/>
      <c r="J783" s="37"/>
    </row>
    <row r="784" spans="1:10" x14ac:dyDescent="0.35">
      <c r="A784" s="32" t="s">
        <v>23</v>
      </c>
      <c r="B784" s="32">
        <f t="shared" ref="B784:B798" si="193">+B783+1</f>
        <v>2045</v>
      </c>
      <c r="C784" s="33" t="s">
        <v>34</v>
      </c>
      <c r="D784" s="34" t="s">
        <v>128</v>
      </c>
      <c r="E784" s="35" t="str">
        <f t="shared" si="191"/>
        <v>PSND'!</v>
      </c>
      <c r="F784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84" s="32" t="s">
        <v>102</v>
      </c>
      <c r="H784" s="33"/>
      <c r="I784" s="33"/>
      <c r="J784" s="37"/>
    </row>
    <row r="785" spans="1:10" x14ac:dyDescent="0.35">
      <c r="A785" s="32" t="s">
        <v>23</v>
      </c>
      <c r="B785" s="32">
        <f t="shared" si="193"/>
        <v>2046</v>
      </c>
      <c r="C785" s="33" t="s">
        <v>34</v>
      </c>
      <c r="D785" s="34" t="s">
        <v>128</v>
      </c>
      <c r="E785" s="35" t="str">
        <f t="shared" si="191"/>
        <v>PSND'!</v>
      </c>
      <c r="F785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85" s="32" t="s">
        <v>102</v>
      </c>
      <c r="H785" s="33"/>
      <c r="I785" s="33"/>
      <c r="J785" s="37"/>
    </row>
    <row r="786" spans="1:10" x14ac:dyDescent="0.35">
      <c r="A786" s="32" t="s">
        <v>23</v>
      </c>
      <c r="B786" s="32">
        <f t="shared" si="193"/>
        <v>2047</v>
      </c>
      <c r="C786" s="33" t="s">
        <v>34</v>
      </c>
      <c r="D786" s="34" t="s">
        <v>128</v>
      </c>
      <c r="E786" s="35" t="str">
        <f t="shared" si="191"/>
        <v>PSND'!</v>
      </c>
      <c r="F786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86" s="32" t="s">
        <v>102</v>
      </c>
      <c r="H786" s="33"/>
      <c r="I786" s="33"/>
      <c r="J786" s="37"/>
    </row>
    <row r="787" spans="1:10" x14ac:dyDescent="0.35">
      <c r="A787" s="32" t="s">
        <v>23</v>
      </c>
      <c r="B787" s="32">
        <f t="shared" si="193"/>
        <v>2048</v>
      </c>
      <c r="C787" s="33" t="s">
        <v>34</v>
      </c>
      <c r="D787" s="34" t="s">
        <v>128</v>
      </c>
      <c r="E787" s="35" t="str">
        <f t="shared" si="191"/>
        <v>PSND'!</v>
      </c>
      <c r="F787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87" s="32" t="s">
        <v>102</v>
      </c>
      <c r="H787" s="33"/>
      <c r="I787" s="33"/>
      <c r="J787" s="37"/>
    </row>
    <row r="788" spans="1:10" x14ac:dyDescent="0.35">
      <c r="A788" s="32" t="s">
        <v>23</v>
      </c>
      <c r="B788" s="32">
        <f t="shared" si="193"/>
        <v>2049</v>
      </c>
      <c r="C788" s="33" t="s">
        <v>34</v>
      </c>
      <c r="D788" s="34" t="s">
        <v>128</v>
      </c>
      <c r="E788" s="35" t="str">
        <f t="shared" si="191"/>
        <v>PSND'!</v>
      </c>
      <c r="F788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88" s="32" t="s">
        <v>102</v>
      </c>
      <c r="H788" s="33"/>
      <c r="I788" s="33"/>
      <c r="J788" s="37"/>
    </row>
    <row r="789" spans="1:10" x14ac:dyDescent="0.35">
      <c r="A789" s="32" t="s">
        <v>23</v>
      </c>
      <c r="B789" s="32">
        <f t="shared" si="193"/>
        <v>2050</v>
      </c>
      <c r="C789" s="33" t="s">
        <v>34</v>
      </c>
      <c r="D789" s="34" t="s">
        <v>128</v>
      </c>
      <c r="E789" s="35" t="str">
        <f t="shared" si="191"/>
        <v>PSND'!</v>
      </c>
      <c r="F789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89" s="32" t="s">
        <v>102</v>
      </c>
      <c r="H789" s="33"/>
      <c r="I789" s="33"/>
      <c r="J789" s="37"/>
    </row>
    <row r="790" spans="1:10" x14ac:dyDescent="0.35">
      <c r="A790" s="32" t="s">
        <v>23</v>
      </c>
      <c r="B790" s="32">
        <f t="shared" si="193"/>
        <v>2051</v>
      </c>
      <c r="C790" s="33" t="s">
        <v>34</v>
      </c>
      <c r="D790" s="34" t="s">
        <v>128</v>
      </c>
      <c r="E790" s="35" t="str">
        <f t="shared" si="191"/>
        <v>PSND'!</v>
      </c>
      <c r="F790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90" s="32" t="s">
        <v>102</v>
      </c>
      <c r="H790" s="33"/>
      <c r="I790" s="33"/>
      <c r="J790" s="37"/>
    </row>
    <row r="791" spans="1:10" x14ac:dyDescent="0.35">
      <c r="A791" s="32" t="s">
        <v>23</v>
      </c>
      <c r="B791" s="32">
        <f t="shared" si="193"/>
        <v>2052</v>
      </c>
      <c r="C791" s="33" t="s">
        <v>34</v>
      </c>
      <c r="D791" s="34" t="s">
        <v>128</v>
      </c>
      <c r="E791" s="35" t="str">
        <f t="shared" si="191"/>
        <v>PSND'!</v>
      </c>
      <c r="F791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91" s="32" t="s">
        <v>102</v>
      </c>
      <c r="H791" s="33"/>
      <c r="I791" s="33"/>
      <c r="J791" s="37"/>
    </row>
    <row r="792" spans="1:10" x14ac:dyDescent="0.35">
      <c r="A792" s="32" t="s">
        <v>23</v>
      </c>
      <c r="B792" s="32">
        <f t="shared" si="193"/>
        <v>2053</v>
      </c>
      <c r="C792" s="33" t="s">
        <v>34</v>
      </c>
      <c r="D792" s="34" t="s">
        <v>128</v>
      </c>
      <c r="E792" s="35" t="str">
        <f t="shared" si="191"/>
        <v>PSND'!</v>
      </c>
      <c r="F792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92" s="32" t="s">
        <v>102</v>
      </c>
      <c r="H792" s="33"/>
      <c r="I792" s="33"/>
      <c r="J792" s="37"/>
    </row>
    <row r="793" spans="1:10" x14ac:dyDescent="0.35">
      <c r="A793" s="32" t="s">
        <v>23</v>
      </c>
      <c r="B793" s="32">
        <f t="shared" si="193"/>
        <v>2054</v>
      </c>
      <c r="C793" s="33" t="s">
        <v>34</v>
      </c>
      <c r="D793" s="34" t="s">
        <v>128</v>
      </c>
      <c r="E793" s="35" t="str">
        <f t="shared" si="191"/>
        <v>PSND'!</v>
      </c>
      <c r="F793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93" s="32" t="s">
        <v>102</v>
      </c>
      <c r="H793" s="33"/>
      <c r="I793" s="33"/>
      <c r="J793" s="37"/>
    </row>
    <row r="794" spans="1:10" x14ac:dyDescent="0.35">
      <c r="A794" s="32" t="s">
        <v>23</v>
      </c>
      <c r="B794" s="32">
        <f t="shared" si="193"/>
        <v>2055</v>
      </c>
      <c r="C794" s="33" t="s">
        <v>34</v>
      </c>
      <c r="D794" s="34" t="s">
        <v>128</v>
      </c>
      <c r="E794" s="35" t="str">
        <f t="shared" si="191"/>
        <v>PSND'!</v>
      </c>
      <c r="F794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94" s="32" t="s">
        <v>102</v>
      </c>
      <c r="H794" s="33"/>
      <c r="I794" s="33"/>
      <c r="J794" s="37"/>
    </row>
    <row r="795" spans="1:10" x14ac:dyDescent="0.35">
      <c r="A795" s="32" t="s">
        <v>23</v>
      </c>
      <c r="B795" s="32">
        <f t="shared" si="193"/>
        <v>2056</v>
      </c>
      <c r="C795" s="33" t="s">
        <v>34</v>
      </c>
      <c r="D795" s="34" t="s">
        <v>128</v>
      </c>
      <c r="E795" s="35" t="str">
        <f t="shared" si="191"/>
        <v>PSND'!</v>
      </c>
      <c r="F795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95" s="32" t="s">
        <v>102</v>
      </c>
      <c r="H795" s="33"/>
      <c r="I795" s="33"/>
      <c r="J795" s="37"/>
    </row>
    <row r="796" spans="1:10" x14ac:dyDescent="0.35">
      <c r="A796" s="32" t="s">
        <v>23</v>
      </c>
      <c r="B796" s="32">
        <f t="shared" si="193"/>
        <v>2057</v>
      </c>
      <c r="C796" s="33" t="s">
        <v>34</v>
      </c>
      <c r="D796" s="34" t="s">
        <v>128</v>
      </c>
      <c r="E796" s="35" t="str">
        <f t="shared" si="191"/>
        <v>PSND'!</v>
      </c>
      <c r="F796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96" s="32" t="s">
        <v>102</v>
      </c>
      <c r="H796" s="33"/>
      <c r="I796" s="33"/>
      <c r="J796" s="37"/>
    </row>
    <row r="797" spans="1:10" x14ac:dyDescent="0.35">
      <c r="A797" s="32" t="s">
        <v>23</v>
      </c>
      <c r="B797" s="32">
        <f t="shared" si="193"/>
        <v>2058</v>
      </c>
      <c r="C797" s="33" t="s">
        <v>34</v>
      </c>
      <c r="D797" s="34" t="s">
        <v>128</v>
      </c>
      <c r="E797" s="35" t="str">
        <f t="shared" si="191"/>
        <v>PSND'!</v>
      </c>
      <c r="F797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97" s="32" t="s">
        <v>102</v>
      </c>
      <c r="H797" s="33"/>
      <c r="I797" s="33"/>
      <c r="J797" s="37"/>
    </row>
    <row r="798" spans="1:10" x14ac:dyDescent="0.35">
      <c r="A798" s="32" t="s">
        <v>23</v>
      </c>
      <c r="B798" s="32">
        <f t="shared" si="193"/>
        <v>2059</v>
      </c>
      <c r="C798" s="33" t="s">
        <v>34</v>
      </c>
      <c r="D798" s="34" t="s">
        <v>128</v>
      </c>
      <c r="E798" s="35" t="str">
        <f t="shared" si="191"/>
        <v>PSND'!</v>
      </c>
      <c r="F798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98" s="32" t="s">
        <v>102</v>
      </c>
      <c r="H798" s="33"/>
      <c r="I798" s="33"/>
      <c r="J798" s="37"/>
    </row>
    <row r="799" spans="1:10" x14ac:dyDescent="0.35">
      <c r="A799" s="32" t="s">
        <v>26</v>
      </c>
      <c r="B799" s="32"/>
      <c r="C799" s="33" t="s">
        <v>34</v>
      </c>
      <c r="D799" s="34"/>
      <c r="E799" s="35"/>
      <c r="F799" s="34"/>
      <c r="G799" s="32"/>
      <c r="H799" s="33"/>
      <c r="I799" s="33"/>
      <c r="J799" s="33"/>
    </row>
    <row r="800" spans="1:10" x14ac:dyDescent="0.35">
      <c r="A800" s="32" t="s">
        <v>24</v>
      </c>
      <c r="B800" s="32">
        <v>2023</v>
      </c>
      <c r="C800" s="33" t="s">
        <v>34</v>
      </c>
      <c r="D800" s="34" t="s">
        <v>128</v>
      </c>
      <c r="E800" s="35" t="str">
        <f t="shared" si="129"/>
        <v>PS'!</v>
      </c>
      <c r="F800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00" s="32" t="s">
        <v>102</v>
      </c>
      <c r="H800" s="33">
        <v>12</v>
      </c>
      <c r="I800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ECP\Cantagallo\Cristalina\[CRISTALINA_CF_SEC_New_09-Feb-2024.xlsx]D-PS'!$BW$12</v>
      </c>
      <c r="J800" s="37" t="s">
        <v>462</v>
      </c>
    </row>
    <row r="801" spans="1:10" x14ac:dyDescent="0.35">
      <c r="A801" s="32" t="s">
        <v>24</v>
      </c>
      <c r="B801" s="32">
        <f>+B800+1</f>
        <v>2024</v>
      </c>
      <c r="C801" s="33" t="s">
        <v>34</v>
      </c>
      <c r="D801" s="34" t="s">
        <v>128</v>
      </c>
      <c r="E801" s="35" t="str">
        <f t="shared" si="129"/>
        <v>PS'!</v>
      </c>
      <c r="F801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01" s="32" t="s">
        <v>102</v>
      </c>
      <c r="H801" s="33">
        <f>IF(A801&lt;&gt;A800,12,H800+1)</f>
        <v>13</v>
      </c>
      <c r="I801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ECP\Cantagallo\Cristalina\[CRISTALINA_CF_SEC_New_09-Feb-2024.xlsx]D-PS'!$BW$13</v>
      </c>
      <c r="J801" s="37" t="s">
        <v>463</v>
      </c>
    </row>
    <row r="802" spans="1:10" x14ac:dyDescent="0.35">
      <c r="A802" s="32" t="s">
        <v>24</v>
      </c>
      <c r="B802" s="32">
        <f t="shared" ref="B802:B813" si="194">+B801+1</f>
        <v>2025</v>
      </c>
      <c r="C802" s="33" t="s">
        <v>34</v>
      </c>
      <c r="D802" s="34" t="s">
        <v>128</v>
      </c>
      <c r="E802" s="35" t="str">
        <f t="shared" si="129"/>
        <v>PS'!</v>
      </c>
      <c r="F802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02" s="32" t="s">
        <v>102</v>
      </c>
      <c r="H802" s="33">
        <f t="shared" ref="H802:H820" si="195">IF(A802&lt;&gt;A801,12,H801+1)</f>
        <v>14</v>
      </c>
      <c r="I802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ECP\Cantagallo\Cristalina\[CRISTALINA_CF_SEC_New_09-Feb-2024.xlsx]D-PS'!$BW$14</v>
      </c>
      <c r="J802" s="37" t="s">
        <v>464</v>
      </c>
    </row>
    <row r="803" spans="1:10" x14ac:dyDescent="0.35">
      <c r="A803" s="32" t="s">
        <v>24</v>
      </c>
      <c r="B803" s="32">
        <f t="shared" si="194"/>
        <v>2026</v>
      </c>
      <c r="C803" s="33" t="s">
        <v>34</v>
      </c>
      <c r="D803" s="34" t="s">
        <v>128</v>
      </c>
      <c r="E803" s="35" t="str">
        <f t="shared" si="129"/>
        <v>PS'!</v>
      </c>
      <c r="F803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03" s="32" t="s">
        <v>102</v>
      </c>
      <c r="H803" s="33">
        <f t="shared" si="195"/>
        <v>15</v>
      </c>
      <c r="I803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ECP\Cantagallo\Cristalina\[CRISTALINA_CF_SEC_New_09-Feb-2024.xlsx]D-PS'!$BW$15</v>
      </c>
      <c r="J803" s="37" t="s">
        <v>465</v>
      </c>
    </row>
    <row r="804" spans="1:10" x14ac:dyDescent="0.35">
      <c r="A804" s="32" t="s">
        <v>24</v>
      </c>
      <c r="B804" s="32">
        <f t="shared" si="194"/>
        <v>2027</v>
      </c>
      <c r="C804" s="33" t="s">
        <v>34</v>
      </c>
      <c r="D804" s="34" t="s">
        <v>128</v>
      </c>
      <c r="E804" s="35" t="str">
        <f t="shared" si="129"/>
        <v>PS'!</v>
      </c>
      <c r="F804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04" s="32" t="s">
        <v>102</v>
      </c>
      <c r="H804" s="33">
        <f t="shared" si="195"/>
        <v>16</v>
      </c>
      <c r="I804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ECP\Cantagallo\Cristalina\[CRISTALINA_CF_SEC_New_09-Feb-2024.xlsx]D-PS'!$BW$16</v>
      </c>
      <c r="J804" s="37" t="s">
        <v>466</v>
      </c>
    </row>
    <row r="805" spans="1:10" x14ac:dyDescent="0.35">
      <c r="A805" s="32" t="s">
        <v>24</v>
      </c>
      <c r="B805" s="32">
        <f t="shared" si="194"/>
        <v>2028</v>
      </c>
      <c r="C805" s="33" t="s">
        <v>34</v>
      </c>
      <c r="D805" s="34" t="s">
        <v>128</v>
      </c>
      <c r="E805" s="35" t="str">
        <f t="shared" si="129"/>
        <v>PS'!</v>
      </c>
      <c r="F805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05" s="32" t="s">
        <v>102</v>
      </c>
      <c r="H805" s="33">
        <f t="shared" si="195"/>
        <v>17</v>
      </c>
      <c r="I805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ECP\Cantagallo\Cristalina\[CRISTALINA_CF_SEC_New_09-Feb-2024.xlsx]D-PS'!$BW$17</v>
      </c>
      <c r="J805" s="37" t="s">
        <v>467</v>
      </c>
    </row>
    <row r="806" spans="1:10" x14ac:dyDescent="0.35">
      <c r="A806" s="32" t="s">
        <v>24</v>
      </c>
      <c r="B806" s="32">
        <f t="shared" si="194"/>
        <v>2029</v>
      </c>
      <c r="C806" s="33" t="s">
        <v>34</v>
      </c>
      <c r="D806" s="34" t="s">
        <v>128</v>
      </c>
      <c r="E806" s="35" t="str">
        <f t="shared" si="129"/>
        <v>PS'!</v>
      </c>
      <c r="F806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06" s="32" t="s">
        <v>102</v>
      </c>
      <c r="H806" s="33">
        <f t="shared" si="195"/>
        <v>18</v>
      </c>
      <c r="I806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ECP\Cantagallo\Cristalina\[CRISTALINA_CF_SEC_New_09-Feb-2024.xlsx]D-PS'!$BW$18</v>
      </c>
      <c r="J806" s="37" t="s">
        <v>468</v>
      </c>
    </row>
    <row r="807" spans="1:10" x14ac:dyDescent="0.35">
      <c r="A807" s="32" t="s">
        <v>24</v>
      </c>
      <c r="B807" s="32">
        <f t="shared" si="194"/>
        <v>2030</v>
      </c>
      <c r="C807" s="33" t="s">
        <v>34</v>
      </c>
      <c r="D807" s="34" t="s">
        <v>128</v>
      </c>
      <c r="E807" s="35" t="str">
        <f t="shared" si="129"/>
        <v>PS'!</v>
      </c>
      <c r="F807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07" s="32" t="s">
        <v>102</v>
      </c>
      <c r="H807" s="33">
        <f t="shared" si="195"/>
        <v>19</v>
      </c>
      <c r="I807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ECP\Cantagallo\Cristalina\[CRISTALINA_CF_SEC_New_09-Feb-2024.xlsx]D-PS'!$BW$19</v>
      </c>
      <c r="J807" s="37" t="s">
        <v>469</v>
      </c>
    </row>
    <row r="808" spans="1:10" x14ac:dyDescent="0.35">
      <c r="A808" s="32" t="s">
        <v>24</v>
      </c>
      <c r="B808" s="32">
        <f t="shared" si="194"/>
        <v>2031</v>
      </c>
      <c r="C808" s="33" t="s">
        <v>34</v>
      </c>
      <c r="D808" s="34" t="s">
        <v>128</v>
      </c>
      <c r="E808" s="35" t="str">
        <f t="shared" si="129"/>
        <v>PS'!</v>
      </c>
      <c r="F808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08" s="32" t="s">
        <v>102</v>
      </c>
      <c r="H808" s="33">
        <f t="shared" si="195"/>
        <v>20</v>
      </c>
      <c r="I808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ECP\Cantagallo\Cristalina\[CRISTALINA_CF_SEC_New_09-Feb-2024.xlsx]D-PS'!$BW$20</v>
      </c>
      <c r="J808" s="37" t="s">
        <v>470</v>
      </c>
    </row>
    <row r="809" spans="1:10" x14ac:dyDescent="0.35">
      <c r="A809" s="32" t="s">
        <v>24</v>
      </c>
      <c r="B809" s="32">
        <f t="shared" si="194"/>
        <v>2032</v>
      </c>
      <c r="C809" s="33" t="s">
        <v>34</v>
      </c>
      <c r="D809" s="34" t="s">
        <v>128</v>
      </c>
      <c r="E809" s="35" t="str">
        <f t="shared" si="129"/>
        <v>PS'!</v>
      </c>
      <c r="F809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09" s="32" t="s">
        <v>102</v>
      </c>
      <c r="H809" s="33">
        <f t="shared" si="195"/>
        <v>21</v>
      </c>
      <c r="I809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ECP\Cantagallo\Cristalina\[CRISTALINA_CF_SEC_New_09-Feb-2024.xlsx]D-PS'!$BW$21</v>
      </c>
      <c r="J809" s="37" t="s">
        <v>471</v>
      </c>
    </row>
    <row r="810" spans="1:10" x14ac:dyDescent="0.35">
      <c r="A810" s="32" t="s">
        <v>24</v>
      </c>
      <c r="B810" s="32">
        <f t="shared" si="194"/>
        <v>2033</v>
      </c>
      <c r="C810" s="33" t="s">
        <v>34</v>
      </c>
      <c r="D810" s="34" t="s">
        <v>128</v>
      </c>
      <c r="E810" s="35" t="str">
        <f t="shared" si="129"/>
        <v>PS'!</v>
      </c>
      <c r="F810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10" s="32" t="s">
        <v>102</v>
      </c>
      <c r="H810" s="33">
        <f t="shared" si="195"/>
        <v>22</v>
      </c>
      <c r="I810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ECP\Cantagallo\Cristalina\[CRISTALINA_CF_SEC_New_09-Feb-2024.xlsx]D-PS'!$BW$22</v>
      </c>
      <c r="J810" s="37" t="s">
        <v>472</v>
      </c>
    </row>
    <row r="811" spans="1:10" x14ac:dyDescent="0.35">
      <c r="A811" s="32" t="s">
        <v>24</v>
      </c>
      <c r="B811" s="32">
        <f t="shared" si="194"/>
        <v>2034</v>
      </c>
      <c r="C811" s="33" t="s">
        <v>34</v>
      </c>
      <c r="D811" s="34" t="s">
        <v>128</v>
      </c>
      <c r="E811" s="35" t="str">
        <f t="shared" si="129"/>
        <v>PS'!</v>
      </c>
      <c r="F811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11" s="32" t="s">
        <v>102</v>
      </c>
      <c r="H811" s="33">
        <f t="shared" si="195"/>
        <v>23</v>
      </c>
      <c r="I811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ECP\Cantagallo\Cristalina\[CRISTALINA_CF_SEC_New_09-Feb-2024.xlsx]D-PS'!$BW$23</v>
      </c>
      <c r="J811" s="37" t="s">
        <v>473</v>
      </c>
    </row>
    <row r="812" spans="1:10" x14ac:dyDescent="0.35">
      <c r="A812" s="32" t="s">
        <v>24</v>
      </c>
      <c r="B812" s="32">
        <f t="shared" si="194"/>
        <v>2035</v>
      </c>
      <c r="C812" s="33" t="s">
        <v>34</v>
      </c>
      <c r="D812" s="34" t="s">
        <v>128</v>
      </c>
      <c r="E812" s="35" t="str">
        <f t="shared" si="129"/>
        <v>PS'!</v>
      </c>
      <c r="F812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12" s="32" t="s">
        <v>102</v>
      </c>
      <c r="H812" s="33">
        <f t="shared" si="195"/>
        <v>24</v>
      </c>
      <c r="I812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ECP\Cantagallo\Cristalina\[CRISTALINA_CF_SEC_New_09-Feb-2024.xlsx]D-PS'!$BW$24</v>
      </c>
      <c r="J812" s="37" t="s">
        <v>474</v>
      </c>
    </row>
    <row r="813" spans="1:10" x14ac:dyDescent="0.35">
      <c r="A813" s="32" t="s">
        <v>24</v>
      </c>
      <c r="B813" s="32">
        <f t="shared" si="194"/>
        <v>2036</v>
      </c>
      <c r="C813" s="33" t="s">
        <v>34</v>
      </c>
      <c r="D813" s="34" t="s">
        <v>128</v>
      </c>
      <c r="E813" s="35" t="str">
        <f t="shared" si="129"/>
        <v>PS'!</v>
      </c>
      <c r="F813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13" s="32" t="s">
        <v>102</v>
      </c>
      <c r="H813" s="33">
        <f t="shared" si="195"/>
        <v>25</v>
      </c>
      <c r="I813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ECP\Cantagallo\Cristalina\[CRISTALINA_CF_SEC_New_09-Feb-2024.xlsx]D-PS'!$BW$25</v>
      </c>
      <c r="J813" s="37" t="s">
        <v>475</v>
      </c>
    </row>
    <row r="814" spans="1:10" x14ac:dyDescent="0.35">
      <c r="A814" s="32" t="s">
        <v>24</v>
      </c>
      <c r="B814" s="32">
        <f>+B813+1</f>
        <v>2037</v>
      </c>
      <c r="C814" s="33" t="s">
        <v>34</v>
      </c>
      <c r="D814" s="34" t="s">
        <v>128</v>
      </c>
      <c r="E814" s="35" t="str">
        <f t="shared" si="129"/>
        <v>PS'!</v>
      </c>
      <c r="F814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14" s="32" t="s">
        <v>102</v>
      </c>
      <c r="H814" s="33">
        <f t="shared" si="195"/>
        <v>26</v>
      </c>
      <c r="I814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ECP\Cantagallo\Cristalina\[CRISTALINA_CF_SEC_New_09-Feb-2024.xlsx]D-PS'!$BW$26</v>
      </c>
      <c r="J814" s="37" t="s">
        <v>476</v>
      </c>
    </row>
    <row r="815" spans="1:10" x14ac:dyDescent="0.35">
      <c r="A815" s="32" t="s">
        <v>24</v>
      </c>
      <c r="B815" s="32">
        <f t="shared" ref="B815:B817" si="196">+B814+1</f>
        <v>2038</v>
      </c>
      <c r="C815" s="33" t="s">
        <v>34</v>
      </c>
      <c r="D815" s="34" t="s">
        <v>128</v>
      </c>
      <c r="E815" s="35" t="str">
        <f t="shared" si="129"/>
        <v>PS'!</v>
      </c>
      <c r="F815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15" s="32" t="s">
        <v>102</v>
      </c>
      <c r="H815" s="33">
        <f t="shared" si="195"/>
        <v>27</v>
      </c>
      <c r="I815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ECP\Cantagallo\Cristalina\[CRISTALINA_CF_SEC_New_09-Feb-2024.xlsx]D-PS'!$BW$27</v>
      </c>
      <c r="J815" s="37" t="s">
        <v>477</v>
      </c>
    </row>
    <row r="816" spans="1:10" x14ac:dyDescent="0.35">
      <c r="A816" s="32" t="s">
        <v>24</v>
      </c>
      <c r="B816" s="32">
        <f t="shared" si="196"/>
        <v>2039</v>
      </c>
      <c r="C816" s="33" t="s">
        <v>34</v>
      </c>
      <c r="D816" s="34" t="s">
        <v>128</v>
      </c>
      <c r="E816" s="35" t="str">
        <f t="shared" si="129"/>
        <v>PS'!</v>
      </c>
      <c r="F816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16" s="32" t="s">
        <v>102</v>
      </c>
      <c r="H816" s="33">
        <f t="shared" si="195"/>
        <v>28</v>
      </c>
      <c r="I816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ECP\Cantagallo\Cristalina\[CRISTALINA_CF_SEC_New_09-Feb-2024.xlsx]D-PS'!$BW$28</v>
      </c>
      <c r="J816" s="37" t="s">
        <v>478</v>
      </c>
    </row>
    <row r="817" spans="1:10" x14ac:dyDescent="0.35">
      <c r="A817" s="32" t="s">
        <v>24</v>
      </c>
      <c r="B817" s="32">
        <f t="shared" si="196"/>
        <v>2040</v>
      </c>
      <c r="C817" s="33" t="s">
        <v>34</v>
      </c>
      <c r="D817" s="34" t="s">
        <v>128</v>
      </c>
      <c r="E817" s="35" t="str">
        <f t="shared" si="129"/>
        <v>PS'!</v>
      </c>
      <c r="F817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17" s="32" t="s">
        <v>102</v>
      </c>
      <c r="H817" s="33">
        <f t="shared" si="195"/>
        <v>29</v>
      </c>
      <c r="I817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ECP\Cantagallo\Cristalina\[CRISTALINA_CF_SEC_New_09-Feb-2024.xlsx]D-PS'!$BW$29</v>
      </c>
      <c r="J817" s="37" t="s">
        <v>479</v>
      </c>
    </row>
    <row r="818" spans="1:10" x14ac:dyDescent="0.35">
      <c r="A818" s="32" t="s">
        <v>24</v>
      </c>
      <c r="B818" s="32">
        <f>+B817+1</f>
        <v>2041</v>
      </c>
      <c r="C818" s="33" t="s">
        <v>34</v>
      </c>
      <c r="D818" s="34" t="s">
        <v>128</v>
      </c>
      <c r="E818" s="35" t="str">
        <f t="shared" si="129"/>
        <v>PS'!</v>
      </c>
      <c r="F818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18" s="32" t="s">
        <v>102</v>
      </c>
      <c r="H818" s="33">
        <f t="shared" si="195"/>
        <v>30</v>
      </c>
      <c r="I818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ECP\Cantagallo\Cristalina\[CRISTALINA_CF_SEC_New_09-Feb-2024.xlsx]D-PS'!$BW$30</v>
      </c>
      <c r="J818" s="37" t="s">
        <v>480</v>
      </c>
    </row>
    <row r="819" spans="1:10" x14ac:dyDescent="0.35">
      <c r="A819" s="32" t="s">
        <v>24</v>
      </c>
      <c r="B819" s="32">
        <f t="shared" ref="B819:B820" si="197">+B818+1</f>
        <v>2042</v>
      </c>
      <c r="C819" s="33" t="s">
        <v>34</v>
      </c>
      <c r="D819" s="34" t="s">
        <v>128</v>
      </c>
      <c r="E819" s="35" t="str">
        <f t="shared" si="129"/>
        <v>PS'!</v>
      </c>
      <c r="F819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19" s="32" t="s">
        <v>102</v>
      </c>
      <c r="H819" s="33">
        <f t="shared" si="195"/>
        <v>31</v>
      </c>
      <c r="I819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ECP\Cantagallo\Cristalina\[CRISTALINA_CF_SEC_New_09-Feb-2024.xlsx]D-PS'!$BW$31</v>
      </c>
      <c r="J819" s="37" t="s">
        <v>481</v>
      </c>
    </row>
    <row r="820" spans="1:10" x14ac:dyDescent="0.35">
      <c r="A820" s="32" t="s">
        <v>24</v>
      </c>
      <c r="B820" s="32">
        <f t="shared" si="197"/>
        <v>2043</v>
      </c>
      <c r="C820" s="33" t="s">
        <v>34</v>
      </c>
      <c r="D820" s="34" t="s">
        <v>128</v>
      </c>
      <c r="E820" s="35" t="str">
        <f t="shared" si="129"/>
        <v>PS'!</v>
      </c>
      <c r="F820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20" s="32" t="s">
        <v>102</v>
      </c>
      <c r="H820" s="33">
        <f t="shared" si="195"/>
        <v>32</v>
      </c>
      <c r="I820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ECP\Cantagallo\Cristalina\[CRISTALINA_CF_SEC_New_09-Feb-2024.xlsx]D-PS'!$BW$32</v>
      </c>
      <c r="J820" s="37" t="s">
        <v>482</v>
      </c>
    </row>
    <row r="821" spans="1:10" x14ac:dyDescent="0.35">
      <c r="A821" s="32" t="s">
        <v>24</v>
      </c>
      <c r="B821" s="32">
        <f>+B820+1</f>
        <v>2044</v>
      </c>
      <c r="C821" s="33" t="s">
        <v>34</v>
      </c>
      <c r="D821" s="34" t="s">
        <v>128</v>
      </c>
      <c r="E821" s="35" t="str">
        <f t="shared" ref="E821:E836" si="198">_xlfn.CONCAT(A821,"'!")</f>
        <v>PS'!</v>
      </c>
      <c r="F821" s="34" t="str">
        <f t="shared" ref="F821:F836" si="199">_xlfn.CONCAT(D821:E821)</f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21" s="32" t="s">
        <v>102</v>
      </c>
      <c r="H821" s="33">
        <f t="shared" ref="H821:H836" si="200">IF(A821&lt;&gt;A820,12,H820+1)</f>
        <v>33</v>
      </c>
      <c r="I821" s="33" t="str">
        <f t="shared" ref="I821:I836" si="201">_xlfn.CONCAT("='",F821:H821)</f>
        <v>='C:\Users\jaime.benazar\Quorum Business Solutions\Ecopetrol Prometeo - Documents\Planning Space Implementation\3. Analysis &amp; Design\Design\FC22\DRR Jaime\Por presentar a ECP\Cantagallo\Cristalina\[CRISTALINA_CF_SEC_New_09-Feb-2024.xlsx]D-PS'!$BW$33</v>
      </c>
      <c r="J821" s="37" t="s">
        <v>483</v>
      </c>
    </row>
    <row r="822" spans="1:10" x14ac:dyDescent="0.35">
      <c r="A822" s="32" t="s">
        <v>24</v>
      </c>
      <c r="B822" s="32">
        <f t="shared" ref="B822:B836" si="202">+B821+1</f>
        <v>2045</v>
      </c>
      <c r="C822" s="33" t="s">
        <v>34</v>
      </c>
      <c r="D822" s="34" t="s">
        <v>128</v>
      </c>
      <c r="E822" s="35" t="str">
        <f t="shared" si="198"/>
        <v>PS'!</v>
      </c>
      <c r="F822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22" s="32" t="s">
        <v>102</v>
      </c>
      <c r="H822" s="33">
        <f t="shared" si="200"/>
        <v>34</v>
      </c>
      <c r="I822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ECP\Cantagallo\Cristalina\[CRISTALINA_CF_SEC_New_09-Feb-2024.xlsx]D-PS'!$BW$34</v>
      </c>
      <c r="J822" s="37" t="s">
        <v>484</v>
      </c>
    </row>
    <row r="823" spans="1:10" x14ac:dyDescent="0.35">
      <c r="A823" s="32" t="s">
        <v>24</v>
      </c>
      <c r="B823" s="32">
        <f t="shared" si="202"/>
        <v>2046</v>
      </c>
      <c r="C823" s="33" t="s">
        <v>34</v>
      </c>
      <c r="D823" s="34" t="s">
        <v>128</v>
      </c>
      <c r="E823" s="35" t="str">
        <f t="shared" si="198"/>
        <v>PS'!</v>
      </c>
      <c r="F823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23" s="32" t="s">
        <v>102</v>
      </c>
      <c r="H823" s="33">
        <f t="shared" si="200"/>
        <v>35</v>
      </c>
      <c r="I823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ECP\Cantagallo\Cristalina\[CRISTALINA_CF_SEC_New_09-Feb-2024.xlsx]D-PS'!$BW$35</v>
      </c>
      <c r="J823" s="37" t="s">
        <v>485</v>
      </c>
    </row>
    <row r="824" spans="1:10" x14ac:dyDescent="0.35">
      <c r="A824" s="32" t="s">
        <v>24</v>
      </c>
      <c r="B824" s="32">
        <f t="shared" si="202"/>
        <v>2047</v>
      </c>
      <c r="C824" s="33" t="s">
        <v>34</v>
      </c>
      <c r="D824" s="34" t="s">
        <v>128</v>
      </c>
      <c r="E824" s="35" t="str">
        <f t="shared" si="198"/>
        <v>PS'!</v>
      </c>
      <c r="F824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24" s="32" t="s">
        <v>102</v>
      </c>
      <c r="H824" s="33">
        <f t="shared" si="200"/>
        <v>36</v>
      </c>
      <c r="I824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ECP\Cantagallo\Cristalina\[CRISTALINA_CF_SEC_New_09-Feb-2024.xlsx]D-PS'!$BW$36</v>
      </c>
      <c r="J824" s="37" t="s">
        <v>486</v>
      </c>
    </row>
    <row r="825" spans="1:10" x14ac:dyDescent="0.35">
      <c r="A825" s="32" t="s">
        <v>24</v>
      </c>
      <c r="B825" s="32">
        <f t="shared" si="202"/>
        <v>2048</v>
      </c>
      <c r="C825" s="33" t="s">
        <v>34</v>
      </c>
      <c r="D825" s="34" t="s">
        <v>128</v>
      </c>
      <c r="E825" s="35" t="str">
        <f t="shared" si="198"/>
        <v>PS'!</v>
      </c>
      <c r="F825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25" s="32" t="s">
        <v>102</v>
      </c>
      <c r="H825" s="33">
        <f t="shared" si="200"/>
        <v>37</v>
      </c>
      <c r="I825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ECP\Cantagallo\Cristalina\[CRISTALINA_CF_SEC_New_09-Feb-2024.xlsx]D-PS'!$BW$37</v>
      </c>
      <c r="J825" s="37" t="s">
        <v>487</v>
      </c>
    </row>
    <row r="826" spans="1:10" x14ac:dyDescent="0.35">
      <c r="A826" s="32" t="s">
        <v>24</v>
      </c>
      <c r="B826" s="32">
        <f t="shared" si="202"/>
        <v>2049</v>
      </c>
      <c r="C826" s="33" t="s">
        <v>34</v>
      </c>
      <c r="D826" s="34" t="s">
        <v>128</v>
      </c>
      <c r="E826" s="35" t="str">
        <f t="shared" si="198"/>
        <v>PS'!</v>
      </c>
      <c r="F826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26" s="32" t="s">
        <v>102</v>
      </c>
      <c r="H826" s="33">
        <f t="shared" si="200"/>
        <v>38</v>
      </c>
      <c r="I826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ECP\Cantagallo\Cristalina\[CRISTALINA_CF_SEC_New_09-Feb-2024.xlsx]D-PS'!$BW$38</v>
      </c>
      <c r="J826" s="37" t="s">
        <v>488</v>
      </c>
    </row>
    <row r="827" spans="1:10" x14ac:dyDescent="0.35">
      <c r="A827" s="32" t="s">
        <v>24</v>
      </c>
      <c r="B827" s="32">
        <f t="shared" si="202"/>
        <v>2050</v>
      </c>
      <c r="C827" s="33" t="s">
        <v>34</v>
      </c>
      <c r="D827" s="34" t="s">
        <v>128</v>
      </c>
      <c r="E827" s="35" t="str">
        <f t="shared" si="198"/>
        <v>PS'!</v>
      </c>
      <c r="F827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27" s="32" t="s">
        <v>102</v>
      </c>
      <c r="H827" s="33">
        <f t="shared" si="200"/>
        <v>39</v>
      </c>
      <c r="I827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ECP\Cantagallo\Cristalina\[CRISTALINA_CF_SEC_New_09-Feb-2024.xlsx]D-PS'!$BW$39</v>
      </c>
      <c r="J827" s="37" t="s">
        <v>489</v>
      </c>
    </row>
    <row r="828" spans="1:10" x14ac:dyDescent="0.35">
      <c r="A828" s="32" t="s">
        <v>24</v>
      </c>
      <c r="B828" s="32">
        <f t="shared" si="202"/>
        <v>2051</v>
      </c>
      <c r="C828" s="33" t="s">
        <v>34</v>
      </c>
      <c r="D828" s="34" t="s">
        <v>128</v>
      </c>
      <c r="E828" s="35" t="str">
        <f t="shared" si="198"/>
        <v>PS'!</v>
      </c>
      <c r="F828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28" s="32" t="s">
        <v>102</v>
      </c>
      <c r="H828" s="33">
        <f t="shared" si="200"/>
        <v>40</v>
      </c>
      <c r="I828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ECP\Cantagallo\Cristalina\[CRISTALINA_CF_SEC_New_09-Feb-2024.xlsx]D-PS'!$BW$40</v>
      </c>
      <c r="J828" s="37" t="s">
        <v>490</v>
      </c>
    </row>
    <row r="829" spans="1:10" x14ac:dyDescent="0.35">
      <c r="A829" s="32" t="s">
        <v>24</v>
      </c>
      <c r="B829" s="32">
        <f t="shared" si="202"/>
        <v>2052</v>
      </c>
      <c r="C829" s="33" t="s">
        <v>34</v>
      </c>
      <c r="D829" s="34" t="s">
        <v>128</v>
      </c>
      <c r="E829" s="35" t="str">
        <f t="shared" si="198"/>
        <v>PS'!</v>
      </c>
      <c r="F829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29" s="32" t="s">
        <v>102</v>
      </c>
      <c r="H829" s="33">
        <f t="shared" si="200"/>
        <v>41</v>
      </c>
      <c r="I829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ECP\Cantagallo\Cristalina\[CRISTALINA_CF_SEC_New_09-Feb-2024.xlsx]D-PS'!$BW$41</v>
      </c>
      <c r="J829" s="37" t="s">
        <v>491</v>
      </c>
    </row>
    <row r="830" spans="1:10" x14ac:dyDescent="0.35">
      <c r="A830" s="32" t="s">
        <v>24</v>
      </c>
      <c r="B830" s="32">
        <f t="shared" si="202"/>
        <v>2053</v>
      </c>
      <c r="C830" s="33" t="s">
        <v>34</v>
      </c>
      <c r="D830" s="34" t="s">
        <v>128</v>
      </c>
      <c r="E830" s="35" t="str">
        <f t="shared" si="198"/>
        <v>PS'!</v>
      </c>
      <c r="F830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30" s="32" t="s">
        <v>102</v>
      </c>
      <c r="H830" s="33">
        <f t="shared" si="200"/>
        <v>42</v>
      </c>
      <c r="I830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ECP\Cantagallo\Cristalina\[CRISTALINA_CF_SEC_New_09-Feb-2024.xlsx]D-PS'!$BW$42</v>
      </c>
      <c r="J830" s="37" t="s">
        <v>492</v>
      </c>
    </row>
    <row r="831" spans="1:10" x14ac:dyDescent="0.35">
      <c r="A831" s="32" t="s">
        <v>24</v>
      </c>
      <c r="B831" s="32">
        <f t="shared" si="202"/>
        <v>2054</v>
      </c>
      <c r="C831" s="33" t="s">
        <v>34</v>
      </c>
      <c r="D831" s="34" t="s">
        <v>128</v>
      </c>
      <c r="E831" s="35" t="str">
        <f t="shared" si="198"/>
        <v>PS'!</v>
      </c>
      <c r="F831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31" s="32" t="s">
        <v>102</v>
      </c>
      <c r="H831" s="33">
        <f t="shared" si="200"/>
        <v>43</v>
      </c>
      <c r="I831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ECP\Cantagallo\Cristalina\[CRISTALINA_CF_SEC_New_09-Feb-2024.xlsx]D-PS'!$BW$43</v>
      </c>
      <c r="J831" s="37" t="s">
        <v>493</v>
      </c>
    </row>
    <row r="832" spans="1:10" x14ac:dyDescent="0.35">
      <c r="A832" s="32" t="s">
        <v>24</v>
      </c>
      <c r="B832" s="32">
        <f t="shared" si="202"/>
        <v>2055</v>
      </c>
      <c r="C832" s="33" t="s">
        <v>34</v>
      </c>
      <c r="D832" s="34" t="s">
        <v>128</v>
      </c>
      <c r="E832" s="35" t="str">
        <f t="shared" si="198"/>
        <v>PS'!</v>
      </c>
      <c r="F832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32" s="32" t="s">
        <v>102</v>
      </c>
      <c r="H832" s="33">
        <f t="shared" si="200"/>
        <v>44</v>
      </c>
      <c r="I832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ECP\Cantagallo\Cristalina\[CRISTALINA_CF_SEC_New_09-Feb-2024.xlsx]D-PS'!$BW$44</v>
      </c>
      <c r="J832" s="37" t="s">
        <v>494</v>
      </c>
    </row>
    <row r="833" spans="1:10" x14ac:dyDescent="0.35">
      <c r="A833" s="32" t="s">
        <v>24</v>
      </c>
      <c r="B833" s="32">
        <f t="shared" si="202"/>
        <v>2056</v>
      </c>
      <c r="C833" s="33" t="s">
        <v>34</v>
      </c>
      <c r="D833" s="34" t="s">
        <v>128</v>
      </c>
      <c r="E833" s="35" t="str">
        <f t="shared" si="198"/>
        <v>PS'!</v>
      </c>
      <c r="F833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33" s="32" t="s">
        <v>102</v>
      </c>
      <c r="H833" s="33">
        <f t="shared" si="200"/>
        <v>45</v>
      </c>
      <c r="I833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ECP\Cantagallo\Cristalina\[CRISTALINA_CF_SEC_New_09-Feb-2024.xlsx]D-PS'!$BW$45</v>
      </c>
      <c r="J833" s="37" t="s">
        <v>495</v>
      </c>
    </row>
    <row r="834" spans="1:10" x14ac:dyDescent="0.35">
      <c r="A834" s="32" t="s">
        <v>24</v>
      </c>
      <c r="B834" s="32">
        <f t="shared" si="202"/>
        <v>2057</v>
      </c>
      <c r="C834" s="33" t="s">
        <v>34</v>
      </c>
      <c r="D834" s="34" t="s">
        <v>128</v>
      </c>
      <c r="E834" s="35" t="str">
        <f t="shared" si="198"/>
        <v>PS'!</v>
      </c>
      <c r="F834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34" s="32" t="s">
        <v>102</v>
      </c>
      <c r="H834" s="33">
        <f t="shared" si="200"/>
        <v>46</v>
      </c>
      <c r="I834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ECP\Cantagallo\Cristalina\[CRISTALINA_CF_SEC_New_09-Feb-2024.xlsx]D-PS'!$BW$46</v>
      </c>
      <c r="J834" s="37" t="s">
        <v>496</v>
      </c>
    </row>
    <row r="835" spans="1:10" x14ac:dyDescent="0.35">
      <c r="A835" s="32" t="s">
        <v>24</v>
      </c>
      <c r="B835" s="32">
        <f t="shared" si="202"/>
        <v>2058</v>
      </c>
      <c r="C835" s="33" t="s">
        <v>34</v>
      </c>
      <c r="D835" s="34" t="s">
        <v>128</v>
      </c>
      <c r="E835" s="35" t="str">
        <f t="shared" si="198"/>
        <v>PS'!</v>
      </c>
      <c r="F835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35" s="32" t="s">
        <v>102</v>
      </c>
      <c r="H835" s="33">
        <f t="shared" si="200"/>
        <v>47</v>
      </c>
      <c r="I835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ECP\Cantagallo\Cristalina\[CRISTALINA_CF_SEC_New_09-Feb-2024.xlsx]D-PS'!$BW$47</v>
      </c>
      <c r="J835" s="37" t="s">
        <v>497</v>
      </c>
    </row>
    <row r="836" spans="1:10" x14ac:dyDescent="0.35">
      <c r="A836" s="32" t="s">
        <v>24</v>
      </c>
      <c r="B836" s="32">
        <f t="shared" si="202"/>
        <v>2059</v>
      </c>
      <c r="C836" s="33" t="s">
        <v>34</v>
      </c>
      <c r="D836" s="34" t="s">
        <v>128</v>
      </c>
      <c r="E836" s="35" t="str">
        <f t="shared" si="198"/>
        <v>PS'!</v>
      </c>
      <c r="F836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36" s="32" t="s">
        <v>102</v>
      </c>
      <c r="H836" s="33">
        <f t="shared" si="200"/>
        <v>48</v>
      </c>
      <c r="I836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ECP\Cantagallo\Cristalina\[CRISTALINA_CF_SEC_New_09-Feb-2024.xlsx]D-PS'!$BW$48</v>
      </c>
      <c r="J836" s="37" t="s">
        <v>498</v>
      </c>
    </row>
    <row r="837" spans="1:10" x14ac:dyDescent="0.35">
      <c r="A837" s="32" t="s">
        <v>26</v>
      </c>
      <c r="B837" s="32"/>
      <c r="C837" s="33" t="s">
        <v>34</v>
      </c>
      <c r="D837" s="34"/>
      <c r="E837" s="35"/>
      <c r="F837" s="34"/>
      <c r="G837" s="32"/>
      <c r="H837" s="33"/>
      <c r="I837" s="33"/>
      <c r="J837" s="33"/>
    </row>
    <row r="838" spans="1:10" x14ac:dyDescent="0.35">
      <c r="A838" s="32" t="s">
        <v>14</v>
      </c>
      <c r="B838" s="32">
        <v>2023</v>
      </c>
      <c r="C838" s="33" t="s">
        <v>37</v>
      </c>
      <c r="D838" s="34" t="s">
        <v>128</v>
      </c>
      <c r="E838" s="35" t="str">
        <f>_xlfn.CONCAT(A838,"'!")</f>
        <v>PDP'!</v>
      </c>
      <c r="F838" s="34" t="str">
        <f>_xlfn.CONCAT(D838:E838)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38" s="32" t="s">
        <v>119</v>
      </c>
      <c r="H838" s="33">
        <v>12</v>
      </c>
      <c r="I838" s="33" t="str">
        <f>_xlfn.CONCAT("='",F838:H838)</f>
        <v>='C:\Users\jaime.benazar\Quorum Business Solutions\Ecopetrol Prometeo - Documents\Planning Space Implementation\3. Analysis &amp; Design\Design\FC22\DRR Jaime\Por presentar a ECP\Cantagallo\Cristalina\[CRISTALINA_CF_SEC_New_09-Feb-2024.xlsx]D-PDP'!$BZ$12</v>
      </c>
      <c r="J838" s="37" t="s">
        <v>499</v>
      </c>
    </row>
    <row r="839" spans="1:10" x14ac:dyDescent="0.35">
      <c r="A839" s="32" t="s">
        <v>14</v>
      </c>
      <c r="B839" s="32">
        <f>+B838+1</f>
        <v>2024</v>
      </c>
      <c r="C839" s="33" t="s">
        <v>37</v>
      </c>
      <c r="D839" s="34" t="s">
        <v>128</v>
      </c>
      <c r="E839" s="35" t="str">
        <f t="shared" ref="E839:E932" si="203">_xlfn.CONCAT(A839,"'!")</f>
        <v>PDP'!</v>
      </c>
      <c r="F839" s="34" t="str">
        <f t="shared" ref="F839:F932" si="204">_xlfn.CONCAT(D839:E839)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39" s="32" t="s">
        <v>119</v>
      </c>
      <c r="H839" s="33">
        <f t="shared" ref="H839:H858" si="205">IF(A839&lt;&gt;A838,12,H838+1)</f>
        <v>13</v>
      </c>
      <c r="I839" s="33" t="str">
        <f t="shared" ref="I839:I932" si="206">_xlfn.CONCAT("='",F839:H839)</f>
        <v>='C:\Users\jaime.benazar\Quorum Business Solutions\Ecopetrol Prometeo - Documents\Planning Space Implementation\3. Analysis &amp; Design\Design\FC22\DRR Jaime\Por presentar a ECP\Cantagallo\Cristalina\[CRISTALINA_CF_SEC_New_09-Feb-2024.xlsx]D-PDP'!$BZ$13</v>
      </c>
      <c r="J839" s="37" t="s">
        <v>500</v>
      </c>
    </row>
    <row r="840" spans="1:10" x14ac:dyDescent="0.35">
      <c r="A840" s="32" t="s">
        <v>14</v>
      </c>
      <c r="B840" s="32">
        <f t="shared" ref="B840:B851" si="207">+B839+1</f>
        <v>2025</v>
      </c>
      <c r="C840" s="33" t="s">
        <v>37</v>
      </c>
      <c r="D840" s="34" t="s">
        <v>128</v>
      </c>
      <c r="E840" s="35" t="str">
        <f t="shared" si="203"/>
        <v>PDP'!</v>
      </c>
      <c r="F840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40" s="32" t="s">
        <v>119</v>
      </c>
      <c r="H840" s="33">
        <f t="shared" si="205"/>
        <v>14</v>
      </c>
      <c r="I840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ECP\Cantagallo\Cristalina\[CRISTALINA_CF_SEC_New_09-Feb-2024.xlsx]D-PDP'!$BZ$14</v>
      </c>
      <c r="J840" s="37" t="s">
        <v>501</v>
      </c>
    </row>
    <row r="841" spans="1:10" x14ac:dyDescent="0.35">
      <c r="A841" s="32" t="s">
        <v>14</v>
      </c>
      <c r="B841" s="32">
        <f t="shared" si="207"/>
        <v>2026</v>
      </c>
      <c r="C841" s="33" t="s">
        <v>37</v>
      </c>
      <c r="D841" s="34" t="s">
        <v>128</v>
      </c>
      <c r="E841" s="35" t="str">
        <f t="shared" si="203"/>
        <v>PDP'!</v>
      </c>
      <c r="F841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41" s="32" t="s">
        <v>119</v>
      </c>
      <c r="H841" s="33">
        <f t="shared" si="205"/>
        <v>15</v>
      </c>
      <c r="I841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ECP\Cantagallo\Cristalina\[CRISTALINA_CF_SEC_New_09-Feb-2024.xlsx]D-PDP'!$BZ$15</v>
      </c>
      <c r="J841" s="37" t="s">
        <v>502</v>
      </c>
    </row>
    <row r="842" spans="1:10" x14ac:dyDescent="0.35">
      <c r="A842" s="32" t="s">
        <v>14</v>
      </c>
      <c r="B842" s="32">
        <f t="shared" si="207"/>
        <v>2027</v>
      </c>
      <c r="C842" s="33" t="s">
        <v>37</v>
      </c>
      <c r="D842" s="34" t="s">
        <v>128</v>
      </c>
      <c r="E842" s="35" t="str">
        <f t="shared" si="203"/>
        <v>PDP'!</v>
      </c>
      <c r="F842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42" s="32" t="s">
        <v>119</v>
      </c>
      <c r="H842" s="33">
        <f t="shared" si="205"/>
        <v>16</v>
      </c>
      <c r="I842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ECP\Cantagallo\Cristalina\[CRISTALINA_CF_SEC_New_09-Feb-2024.xlsx]D-PDP'!$BZ$16</v>
      </c>
      <c r="J842" s="37" t="s">
        <v>503</v>
      </c>
    </row>
    <row r="843" spans="1:10" x14ac:dyDescent="0.35">
      <c r="A843" s="32" t="s">
        <v>14</v>
      </c>
      <c r="B843" s="32">
        <f t="shared" si="207"/>
        <v>2028</v>
      </c>
      <c r="C843" s="33" t="s">
        <v>37</v>
      </c>
      <c r="D843" s="34" t="s">
        <v>128</v>
      </c>
      <c r="E843" s="35" t="str">
        <f t="shared" si="203"/>
        <v>PDP'!</v>
      </c>
      <c r="F843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43" s="32" t="s">
        <v>119</v>
      </c>
      <c r="H843" s="33">
        <f t="shared" si="205"/>
        <v>17</v>
      </c>
      <c r="I843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ECP\Cantagallo\Cristalina\[CRISTALINA_CF_SEC_New_09-Feb-2024.xlsx]D-PDP'!$BZ$17</v>
      </c>
      <c r="J843" s="37" t="s">
        <v>504</v>
      </c>
    </row>
    <row r="844" spans="1:10" x14ac:dyDescent="0.35">
      <c r="A844" s="32" t="s">
        <v>14</v>
      </c>
      <c r="B844" s="32">
        <f t="shared" si="207"/>
        <v>2029</v>
      </c>
      <c r="C844" s="33" t="s">
        <v>37</v>
      </c>
      <c r="D844" s="34" t="s">
        <v>128</v>
      </c>
      <c r="E844" s="35" t="str">
        <f t="shared" si="203"/>
        <v>PDP'!</v>
      </c>
      <c r="F844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44" s="32" t="s">
        <v>119</v>
      </c>
      <c r="H844" s="33">
        <f t="shared" si="205"/>
        <v>18</v>
      </c>
      <c r="I844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ECP\Cantagallo\Cristalina\[CRISTALINA_CF_SEC_New_09-Feb-2024.xlsx]D-PDP'!$BZ$18</v>
      </c>
      <c r="J844" s="37" t="s">
        <v>505</v>
      </c>
    </row>
    <row r="845" spans="1:10" x14ac:dyDescent="0.35">
      <c r="A845" s="32" t="s">
        <v>14</v>
      </c>
      <c r="B845" s="32">
        <f t="shared" si="207"/>
        <v>2030</v>
      </c>
      <c r="C845" s="33" t="s">
        <v>37</v>
      </c>
      <c r="D845" s="34" t="s">
        <v>128</v>
      </c>
      <c r="E845" s="35" t="str">
        <f t="shared" si="203"/>
        <v>PDP'!</v>
      </c>
      <c r="F845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45" s="32" t="s">
        <v>119</v>
      </c>
      <c r="H845" s="33">
        <f t="shared" si="205"/>
        <v>19</v>
      </c>
      <c r="I845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ECP\Cantagallo\Cristalina\[CRISTALINA_CF_SEC_New_09-Feb-2024.xlsx]D-PDP'!$BZ$19</v>
      </c>
      <c r="J845" s="37" t="s">
        <v>506</v>
      </c>
    </row>
    <row r="846" spans="1:10" x14ac:dyDescent="0.35">
      <c r="A846" s="32" t="s">
        <v>14</v>
      </c>
      <c r="B846" s="32">
        <f t="shared" si="207"/>
        <v>2031</v>
      </c>
      <c r="C846" s="33" t="s">
        <v>37</v>
      </c>
      <c r="D846" s="34" t="s">
        <v>128</v>
      </c>
      <c r="E846" s="35" t="str">
        <f t="shared" si="203"/>
        <v>PDP'!</v>
      </c>
      <c r="F846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46" s="32" t="s">
        <v>119</v>
      </c>
      <c r="H846" s="33">
        <f t="shared" si="205"/>
        <v>20</v>
      </c>
      <c r="I846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ECP\Cantagallo\Cristalina\[CRISTALINA_CF_SEC_New_09-Feb-2024.xlsx]D-PDP'!$BZ$20</v>
      </c>
      <c r="J846" s="37" t="s">
        <v>507</v>
      </c>
    </row>
    <row r="847" spans="1:10" x14ac:dyDescent="0.35">
      <c r="A847" s="32" t="s">
        <v>14</v>
      </c>
      <c r="B847" s="32">
        <f t="shared" si="207"/>
        <v>2032</v>
      </c>
      <c r="C847" s="33" t="s">
        <v>37</v>
      </c>
      <c r="D847" s="34" t="s">
        <v>128</v>
      </c>
      <c r="E847" s="35" t="str">
        <f t="shared" si="203"/>
        <v>PDP'!</v>
      </c>
      <c r="F847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47" s="32" t="s">
        <v>119</v>
      </c>
      <c r="H847" s="33">
        <f t="shared" si="205"/>
        <v>21</v>
      </c>
      <c r="I847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ECP\Cantagallo\Cristalina\[CRISTALINA_CF_SEC_New_09-Feb-2024.xlsx]D-PDP'!$BZ$21</v>
      </c>
      <c r="J847" s="37" t="s">
        <v>508</v>
      </c>
    </row>
    <row r="848" spans="1:10" x14ac:dyDescent="0.35">
      <c r="A848" s="32" t="s">
        <v>14</v>
      </c>
      <c r="B848" s="32">
        <f t="shared" si="207"/>
        <v>2033</v>
      </c>
      <c r="C848" s="33" t="s">
        <v>37</v>
      </c>
      <c r="D848" s="34" t="s">
        <v>128</v>
      </c>
      <c r="E848" s="35" t="str">
        <f t="shared" si="203"/>
        <v>PDP'!</v>
      </c>
      <c r="F848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48" s="32" t="s">
        <v>119</v>
      </c>
      <c r="H848" s="33">
        <f t="shared" si="205"/>
        <v>22</v>
      </c>
      <c r="I848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ECP\Cantagallo\Cristalina\[CRISTALINA_CF_SEC_New_09-Feb-2024.xlsx]D-PDP'!$BZ$22</v>
      </c>
      <c r="J848" s="37" t="s">
        <v>509</v>
      </c>
    </row>
    <row r="849" spans="1:10" x14ac:dyDescent="0.35">
      <c r="A849" s="32" t="s">
        <v>14</v>
      </c>
      <c r="B849" s="32">
        <f t="shared" si="207"/>
        <v>2034</v>
      </c>
      <c r="C849" s="33" t="s">
        <v>37</v>
      </c>
      <c r="D849" s="34" t="s">
        <v>128</v>
      </c>
      <c r="E849" s="35" t="str">
        <f t="shared" si="203"/>
        <v>PDP'!</v>
      </c>
      <c r="F849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49" s="32" t="s">
        <v>119</v>
      </c>
      <c r="H849" s="33">
        <f t="shared" si="205"/>
        <v>23</v>
      </c>
      <c r="I849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ECP\Cantagallo\Cristalina\[CRISTALINA_CF_SEC_New_09-Feb-2024.xlsx]D-PDP'!$BZ$23</v>
      </c>
      <c r="J849" s="37" t="s">
        <v>510</v>
      </c>
    </row>
    <row r="850" spans="1:10" x14ac:dyDescent="0.35">
      <c r="A850" s="32" t="s">
        <v>14</v>
      </c>
      <c r="B850" s="32">
        <f t="shared" si="207"/>
        <v>2035</v>
      </c>
      <c r="C850" s="33" t="s">
        <v>37</v>
      </c>
      <c r="D850" s="34" t="s">
        <v>128</v>
      </c>
      <c r="E850" s="35" t="str">
        <f t="shared" si="203"/>
        <v>PDP'!</v>
      </c>
      <c r="F850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50" s="32" t="s">
        <v>119</v>
      </c>
      <c r="H850" s="33">
        <f t="shared" si="205"/>
        <v>24</v>
      </c>
      <c r="I850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ECP\Cantagallo\Cristalina\[CRISTALINA_CF_SEC_New_09-Feb-2024.xlsx]D-PDP'!$BZ$24</v>
      </c>
      <c r="J850" s="37" t="s">
        <v>511</v>
      </c>
    </row>
    <row r="851" spans="1:10" x14ac:dyDescent="0.35">
      <c r="A851" s="32" t="s">
        <v>14</v>
      </c>
      <c r="B851" s="32">
        <f t="shared" si="207"/>
        <v>2036</v>
      </c>
      <c r="C851" s="33" t="s">
        <v>37</v>
      </c>
      <c r="D851" s="34" t="s">
        <v>128</v>
      </c>
      <c r="E851" s="35" t="str">
        <f t="shared" si="203"/>
        <v>PDP'!</v>
      </c>
      <c r="F851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51" s="32" t="s">
        <v>119</v>
      </c>
      <c r="H851" s="33">
        <f t="shared" si="205"/>
        <v>25</v>
      </c>
      <c r="I851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ECP\Cantagallo\Cristalina\[CRISTALINA_CF_SEC_New_09-Feb-2024.xlsx]D-PDP'!$BZ$25</v>
      </c>
      <c r="J851" s="37" t="s">
        <v>512</v>
      </c>
    </row>
    <row r="852" spans="1:10" x14ac:dyDescent="0.35">
      <c r="A852" s="32" t="s">
        <v>14</v>
      </c>
      <c r="B852" s="32">
        <f>+B851+1</f>
        <v>2037</v>
      </c>
      <c r="C852" s="33" t="s">
        <v>37</v>
      </c>
      <c r="D852" s="34" t="s">
        <v>128</v>
      </c>
      <c r="E852" s="35" t="str">
        <f t="shared" si="203"/>
        <v>PDP'!</v>
      </c>
      <c r="F852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52" s="32" t="s">
        <v>119</v>
      </c>
      <c r="H852" s="33">
        <f t="shared" si="205"/>
        <v>26</v>
      </c>
      <c r="I852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ECP\Cantagallo\Cristalina\[CRISTALINA_CF_SEC_New_09-Feb-2024.xlsx]D-PDP'!$BZ$26</v>
      </c>
      <c r="J852" s="37" t="s">
        <v>513</v>
      </c>
    </row>
    <row r="853" spans="1:10" x14ac:dyDescent="0.35">
      <c r="A853" s="32" t="s">
        <v>14</v>
      </c>
      <c r="B853" s="32">
        <f t="shared" ref="B853:B855" si="208">+B852+1</f>
        <v>2038</v>
      </c>
      <c r="C853" s="33" t="s">
        <v>37</v>
      </c>
      <c r="D853" s="34" t="s">
        <v>128</v>
      </c>
      <c r="E853" s="35" t="str">
        <f t="shared" si="203"/>
        <v>PDP'!</v>
      </c>
      <c r="F853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53" s="32" t="s">
        <v>119</v>
      </c>
      <c r="H853" s="33">
        <f t="shared" si="205"/>
        <v>27</v>
      </c>
      <c r="I853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ECP\Cantagallo\Cristalina\[CRISTALINA_CF_SEC_New_09-Feb-2024.xlsx]D-PDP'!$BZ$27</v>
      </c>
      <c r="J853" s="37" t="s">
        <v>514</v>
      </c>
    </row>
    <row r="854" spans="1:10" x14ac:dyDescent="0.35">
      <c r="A854" s="32" t="s">
        <v>14</v>
      </c>
      <c r="B854" s="32">
        <f t="shared" si="208"/>
        <v>2039</v>
      </c>
      <c r="C854" s="33" t="s">
        <v>37</v>
      </c>
      <c r="D854" s="34" t="s">
        <v>128</v>
      </c>
      <c r="E854" s="35" t="str">
        <f t="shared" si="203"/>
        <v>PDP'!</v>
      </c>
      <c r="F854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54" s="32" t="s">
        <v>119</v>
      </c>
      <c r="H854" s="33">
        <f t="shared" si="205"/>
        <v>28</v>
      </c>
      <c r="I854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ECP\Cantagallo\Cristalina\[CRISTALINA_CF_SEC_New_09-Feb-2024.xlsx]D-PDP'!$BZ$28</v>
      </c>
      <c r="J854" s="37" t="s">
        <v>515</v>
      </c>
    </row>
    <row r="855" spans="1:10" x14ac:dyDescent="0.35">
      <c r="A855" s="32" t="s">
        <v>14</v>
      </c>
      <c r="B855" s="32">
        <f t="shared" si="208"/>
        <v>2040</v>
      </c>
      <c r="C855" s="33" t="s">
        <v>37</v>
      </c>
      <c r="D855" s="34" t="s">
        <v>128</v>
      </c>
      <c r="E855" s="35" t="str">
        <f t="shared" si="203"/>
        <v>PDP'!</v>
      </c>
      <c r="F855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55" s="32" t="s">
        <v>119</v>
      </c>
      <c r="H855" s="33">
        <f t="shared" si="205"/>
        <v>29</v>
      </c>
      <c r="I855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ECP\Cantagallo\Cristalina\[CRISTALINA_CF_SEC_New_09-Feb-2024.xlsx]D-PDP'!$BZ$29</v>
      </c>
      <c r="J855" s="37" t="s">
        <v>516</v>
      </c>
    </row>
    <row r="856" spans="1:10" x14ac:dyDescent="0.35">
      <c r="A856" s="32" t="s">
        <v>14</v>
      </c>
      <c r="B856" s="32">
        <f>+B855+1</f>
        <v>2041</v>
      </c>
      <c r="C856" s="33" t="s">
        <v>37</v>
      </c>
      <c r="D856" s="34" t="s">
        <v>128</v>
      </c>
      <c r="E856" s="35" t="str">
        <f t="shared" si="203"/>
        <v>PDP'!</v>
      </c>
      <c r="F856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56" s="32" t="s">
        <v>119</v>
      </c>
      <c r="H856" s="33">
        <f t="shared" si="205"/>
        <v>30</v>
      </c>
      <c r="I856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ECP\Cantagallo\Cristalina\[CRISTALINA_CF_SEC_New_09-Feb-2024.xlsx]D-PDP'!$BZ$30</v>
      </c>
      <c r="J856" s="37" t="s">
        <v>517</v>
      </c>
    </row>
    <row r="857" spans="1:10" x14ac:dyDescent="0.35">
      <c r="A857" s="32" t="s">
        <v>14</v>
      </c>
      <c r="B857" s="32">
        <f t="shared" ref="B857:B858" si="209">+B856+1</f>
        <v>2042</v>
      </c>
      <c r="C857" s="33" t="s">
        <v>37</v>
      </c>
      <c r="D857" s="34" t="s">
        <v>128</v>
      </c>
      <c r="E857" s="35" t="str">
        <f t="shared" si="203"/>
        <v>PDP'!</v>
      </c>
      <c r="F857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57" s="32" t="s">
        <v>119</v>
      </c>
      <c r="H857" s="33">
        <f t="shared" si="205"/>
        <v>31</v>
      </c>
      <c r="I857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ECP\Cantagallo\Cristalina\[CRISTALINA_CF_SEC_New_09-Feb-2024.xlsx]D-PDP'!$BZ$31</v>
      </c>
      <c r="J857" s="37" t="s">
        <v>518</v>
      </c>
    </row>
    <row r="858" spans="1:10" x14ac:dyDescent="0.35">
      <c r="A858" s="32" t="s">
        <v>14</v>
      </c>
      <c r="B858" s="32">
        <f t="shared" si="209"/>
        <v>2043</v>
      </c>
      <c r="C858" s="33" t="s">
        <v>37</v>
      </c>
      <c r="D858" s="34" t="s">
        <v>128</v>
      </c>
      <c r="E858" s="35" t="str">
        <f t="shared" si="203"/>
        <v>PDP'!</v>
      </c>
      <c r="F858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58" s="32" t="s">
        <v>119</v>
      </c>
      <c r="H858" s="33">
        <f t="shared" si="205"/>
        <v>32</v>
      </c>
      <c r="I858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ECP\Cantagallo\Cristalina\[CRISTALINA_CF_SEC_New_09-Feb-2024.xlsx]D-PDP'!$BZ$32</v>
      </c>
      <c r="J858" s="37" t="s">
        <v>519</v>
      </c>
    </row>
    <row r="859" spans="1:10" x14ac:dyDescent="0.35">
      <c r="A859" s="32" t="s">
        <v>14</v>
      </c>
      <c r="B859" s="32">
        <f>+B858+1</f>
        <v>2044</v>
      </c>
      <c r="C859" s="33" t="s">
        <v>37</v>
      </c>
      <c r="D859" s="34" t="s">
        <v>128</v>
      </c>
      <c r="E859" s="35" t="str">
        <f t="shared" ref="E859:E874" si="210">_xlfn.CONCAT(A859,"'!")</f>
        <v>PDP'!</v>
      </c>
      <c r="F859" s="34" t="str">
        <f t="shared" ref="F859:F874" si="211">_xlfn.CONCAT(D859:E859)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59" s="32" t="s">
        <v>119</v>
      </c>
      <c r="H859" s="33">
        <f t="shared" ref="H859:H874" si="212">IF(A859&lt;&gt;A858,12,H858+1)</f>
        <v>33</v>
      </c>
      <c r="I859" s="33" t="str">
        <f t="shared" ref="I859:I874" si="213">_xlfn.CONCAT("='",F859:H859)</f>
        <v>='C:\Users\jaime.benazar\Quorum Business Solutions\Ecopetrol Prometeo - Documents\Planning Space Implementation\3. Analysis &amp; Design\Design\FC22\DRR Jaime\Por presentar a ECP\Cantagallo\Cristalina\[CRISTALINA_CF_SEC_New_09-Feb-2024.xlsx]D-PDP'!$BZ$33</v>
      </c>
      <c r="J859" s="37" t="s">
        <v>520</v>
      </c>
    </row>
    <row r="860" spans="1:10" x14ac:dyDescent="0.35">
      <c r="A860" s="32" t="s">
        <v>14</v>
      </c>
      <c r="B860" s="32">
        <f t="shared" ref="B860:B874" si="214">+B859+1</f>
        <v>2045</v>
      </c>
      <c r="C860" s="33" t="s">
        <v>37</v>
      </c>
      <c r="D860" s="34" t="s">
        <v>128</v>
      </c>
      <c r="E860" s="35" t="str">
        <f t="shared" si="210"/>
        <v>PDP'!</v>
      </c>
      <c r="F860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60" s="32" t="s">
        <v>119</v>
      </c>
      <c r="H860" s="33">
        <f t="shared" si="212"/>
        <v>34</v>
      </c>
      <c r="I860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ECP\Cantagallo\Cristalina\[CRISTALINA_CF_SEC_New_09-Feb-2024.xlsx]D-PDP'!$BZ$34</v>
      </c>
      <c r="J860" s="37" t="s">
        <v>521</v>
      </c>
    </row>
    <row r="861" spans="1:10" x14ac:dyDescent="0.35">
      <c r="A861" s="32" t="s">
        <v>14</v>
      </c>
      <c r="B861" s="32">
        <f t="shared" si="214"/>
        <v>2046</v>
      </c>
      <c r="C861" s="33" t="s">
        <v>37</v>
      </c>
      <c r="D861" s="34" t="s">
        <v>128</v>
      </c>
      <c r="E861" s="35" t="str">
        <f t="shared" si="210"/>
        <v>PDP'!</v>
      </c>
      <c r="F861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61" s="32" t="s">
        <v>119</v>
      </c>
      <c r="H861" s="33">
        <f t="shared" si="212"/>
        <v>35</v>
      </c>
      <c r="I861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ECP\Cantagallo\Cristalina\[CRISTALINA_CF_SEC_New_09-Feb-2024.xlsx]D-PDP'!$BZ$35</v>
      </c>
      <c r="J861" s="37" t="s">
        <v>522</v>
      </c>
    </row>
    <row r="862" spans="1:10" x14ac:dyDescent="0.35">
      <c r="A862" s="32" t="s">
        <v>14</v>
      </c>
      <c r="B862" s="32">
        <f t="shared" si="214"/>
        <v>2047</v>
      </c>
      <c r="C862" s="33" t="s">
        <v>37</v>
      </c>
      <c r="D862" s="34" t="s">
        <v>128</v>
      </c>
      <c r="E862" s="35" t="str">
        <f t="shared" si="210"/>
        <v>PDP'!</v>
      </c>
      <c r="F862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62" s="32" t="s">
        <v>119</v>
      </c>
      <c r="H862" s="33">
        <f t="shared" si="212"/>
        <v>36</v>
      </c>
      <c r="I862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ECP\Cantagallo\Cristalina\[CRISTALINA_CF_SEC_New_09-Feb-2024.xlsx]D-PDP'!$BZ$36</v>
      </c>
      <c r="J862" s="37" t="s">
        <v>523</v>
      </c>
    </row>
    <row r="863" spans="1:10" x14ac:dyDescent="0.35">
      <c r="A863" s="32" t="s">
        <v>14</v>
      </c>
      <c r="B863" s="32">
        <f t="shared" si="214"/>
        <v>2048</v>
      </c>
      <c r="C863" s="33" t="s">
        <v>37</v>
      </c>
      <c r="D863" s="34" t="s">
        <v>128</v>
      </c>
      <c r="E863" s="35" t="str">
        <f t="shared" si="210"/>
        <v>PDP'!</v>
      </c>
      <c r="F863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63" s="32" t="s">
        <v>119</v>
      </c>
      <c r="H863" s="33">
        <f t="shared" si="212"/>
        <v>37</v>
      </c>
      <c r="I863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ECP\Cantagallo\Cristalina\[CRISTALINA_CF_SEC_New_09-Feb-2024.xlsx]D-PDP'!$BZ$37</v>
      </c>
      <c r="J863" s="37" t="s">
        <v>524</v>
      </c>
    </row>
    <row r="864" spans="1:10" x14ac:dyDescent="0.35">
      <c r="A864" s="32" t="s">
        <v>14</v>
      </c>
      <c r="B864" s="32">
        <f t="shared" si="214"/>
        <v>2049</v>
      </c>
      <c r="C864" s="33" t="s">
        <v>37</v>
      </c>
      <c r="D864" s="34" t="s">
        <v>128</v>
      </c>
      <c r="E864" s="35" t="str">
        <f t="shared" si="210"/>
        <v>PDP'!</v>
      </c>
      <c r="F864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64" s="32" t="s">
        <v>119</v>
      </c>
      <c r="H864" s="33">
        <f t="shared" si="212"/>
        <v>38</v>
      </c>
      <c r="I864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ECP\Cantagallo\Cristalina\[CRISTALINA_CF_SEC_New_09-Feb-2024.xlsx]D-PDP'!$BZ$38</v>
      </c>
      <c r="J864" s="37" t="s">
        <v>525</v>
      </c>
    </row>
    <row r="865" spans="1:10" x14ac:dyDescent="0.35">
      <c r="A865" s="32" t="s">
        <v>14</v>
      </c>
      <c r="B865" s="32">
        <f t="shared" si="214"/>
        <v>2050</v>
      </c>
      <c r="C865" s="33" t="s">
        <v>37</v>
      </c>
      <c r="D865" s="34" t="s">
        <v>128</v>
      </c>
      <c r="E865" s="35" t="str">
        <f t="shared" si="210"/>
        <v>PDP'!</v>
      </c>
      <c r="F865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65" s="32" t="s">
        <v>119</v>
      </c>
      <c r="H865" s="33">
        <f t="shared" si="212"/>
        <v>39</v>
      </c>
      <c r="I865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ECP\Cantagallo\Cristalina\[CRISTALINA_CF_SEC_New_09-Feb-2024.xlsx]D-PDP'!$BZ$39</v>
      </c>
      <c r="J865" s="37" t="s">
        <v>526</v>
      </c>
    </row>
    <row r="866" spans="1:10" x14ac:dyDescent="0.35">
      <c r="A866" s="32" t="s">
        <v>14</v>
      </c>
      <c r="B866" s="32">
        <f t="shared" si="214"/>
        <v>2051</v>
      </c>
      <c r="C866" s="33" t="s">
        <v>37</v>
      </c>
      <c r="D866" s="34" t="s">
        <v>128</v>
      </c>
      <c r="E866" s="35" t="str">
        <f t="shared" si="210"/>
        <v>PDP'!</v>
      </c>
      <c r="F866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66" s="32" t="s">
        <v>119</v>
      </c>
      <c r="H866" s="33">
        <f t="shared" si="212"/>
        <v>40</v>
      </c>
      <c r="I866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ECP\Cantagallo\Cristalina\[CRISTALINA_CF_SEC_New_09-Feb-2024.xlsx]D-PDP'!$BZ$40</v>
      </c>
      <c r="J866" s="37" t="s">
        <v>527</v>
      </c>
    </row>
    <row r="867" spans="1:10" x14ac:dyDescent="0.35">
      <c r="A867" s="32" t="s">
        <v>14</v>
      </c>
      <c r="B867" s="32">
        <f t="shared" si="214"/>
        <v>2052</v>
      </c>
      <c r="C867" s="33" t="s">
        <v>37</v>
      </c>
      <c r="D867" s="34" t="s">
        <v>128</v>
      </c>
      <c r="E867" s="35" t="str">
        <f t="shared" si="210"/>
        <v>PDP'!</v>
      </c>
      <c r="F867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67" s="32" t="s">
        <v>119</v>
      </c>
      <c r="H867" s="33">
        <f t="shared" si="212"/>
        <v>41</v>
      </c>
      <c r="I867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ECP\Cantagallo\Cristalina\[CRISTALINA_CF_SEC_New_09-Feb-2024.xlsx]D-PDP'!$BZ$41</v>
      </c>
      <c r="J867" s="37" t="s">
        <v>528</v>
      </c>
    </row>
    <row r="868" spans="1:10" x14ac:dyDescent="0.35">
      <c r="A868" s="32" t="s">
        <v>14</v>
      </c>
      <c r="B868" s="32">
        <f t="shared" si="214"/>
        <v>2053</v>
      </c>
      <c r="C868" s="33" t="s">
        <v>37</v>
      </c>
      <c r="D868" s="34" t="s">
        <v>128</v>
      </c>
      <c r="E868" s="35" t="str">
        <f t="shared" si="210"/>
        <v>PDP'!</v>
      </c>
      <c r="F868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68" s="32" t="s">
        <v>119</v>
      </c>
      <c r="H868" s="33">
        <f t="shared" si="212"/>
        <v>42</v>
      </c>
      <c r="I868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ECP\Cantagallo\Cristalina\[CRISTALINA_CF_SEC_New_09-Feb-2024.xlsx]D-PDP'!$BZ$42</v>
      </c>
      <c r="J868" s="37" t="s">
        <v>529</v>
      </c>
    </row>
    <row r="869" spans="1:10" x14ac:dyDescent="0.35">
      <c r="A869" s="32" t="s">
        <v>14</v>
      </c>
      <c r="B869" s="32">
        <f t="shared" si="214"/>
        <v>2054</v>
      </c>
      <c r="C869" s="33" t="s">
        <v>37</v>
      </c>
      <c r="D869" s="34" t="s">
        <v>128</v>
      </c>
      <c r="E869" s="35" t="str">
        <f t="shared" si="210"/>
        <v>PDP'!</v>
      </c>
      <c r="F869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69" s="32" t="s">
        <v>119</v>
      </c>
      <c r="H869" s="33">
        <f t="shared" si="212"/>
        <v>43</v>
      </c>
      <c r="I869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ECP\Cantagallo\Cristalina\[CRISTALINA_CF_SEC_New_09-Feb-2024.xlsx]D-PDP'!$BZ$43</v>
      </c>
      <c r="J869" s="37" t="s">
        <v>530</v>
      </c>
    </row>
    <row r="870" spans="1:10" x14ac:dyDescent="0.35">
      <c r="A870" s="32" t="s">
        <v>14</v>
      </c>
      <c r="B870" s="32">
        <f t="shared" si="214"/>
        <v>2055</v>
      </c>
      <c r="C870" s="33" t="s">
        <v>37</v>
      </c>
      <c r="D870" s="34" t="s">
        <v>128</v>
      </c>
      <c r="E870" s="35" t="str">
        <f t="shared" si="210"/>
        <v>PDP'!</v>
      </c>
      <c r="F870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70" s="32" t="s">
        <v>119</v>
      </c>
      <c r="H870" s="33">
        <f t="shared" si="212"/>
        <v>44</v>
      </c>
      <c r="I870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ECP\Cantagallo\Cristalina\[CRISTALINA_CF_SEC_New_09-Feb-2024.xlsx]D-PDP'!$BZ$44</v>
      </c>
      <c r="J870" s="37" t="s">
        <v>531</v>
      </c>
    </row>
    <row r="871" spans="1:10" x14ac:dyDescent="0.35">
      <c r="A871" s="32" t="s">
        <v>14</v>
      </c>
      <c r="B871" s="32">
        <f t="shared" si="214"/>
        <v>2056</v>
      </c>
      <c r="C871" s="33" t="s">
        <v>37</v>
      </c>
      <c r="D871" s="34" t="s">
        <v>128</v>
      </c>
      <c r="E871" s="35" t="str">
        <f t="shared" si="210"/>
        <v>PDP'!</v>
      </c>
      <c r="F871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71" s="32" t="s">
        <v>119</v>
      </c>
      <c r="H871" s="33">
        <f t="shared" si="212"/>
        <v>45</v>
      </c>
      <c r="I871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ECP\Cantagallo\Cristalina\[CRISTALINA_CF_SEC_New_09-Feb-2024.xlsx]D-PDP'!$BZ$45</v>
      </c>
      <c r="J871" s="37" t="s">
        <v>532</v>
      </c>
    </row>
    <row r="872" spans="1:10" x14ac:dyDescent="0.35">
      <c r="A872" s="32" t="s">
        <v>14</v>
      </c>
      <c r="B872" s="32">
        <f t="shared" si="214"/>
        <v>2057</v>
      </c>
      <c r="C872" s="33" t="s">
        <v>37</v>
      </c>
      <c r="D872" s="34" t="s">
        <v>128</v>
      </c>
      <c r="E872" s="35" t="str">
        <f t="shared" si="210"/>
        <v>PDP'!</v>
      </c>
      <c r="F872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72" s="32" t="s">
        <v>119</v>
      </c>
      <c r="H872" s="33">
        <f t="shared" si="212"/>
        <v>46</v>
      </c>
      <c r="I872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ECP\Cantagallo\Cristalina\[CRISTALINA_CF_SEC_New_09-Feb-2024.xlsx]D-PDP'!$BZ$46</v>
      </c>
      <c r="J872" s="37" t="s">
        <v>533</v>
      </c>
    </row>
    <row r="873" spans="1:10" x14ac:dyDescent="0.35">
      <c r="A873" s="32" t="s">
        <v>14</v>
      </c>
      <c r="B873" s="32">
        <f t="shared" si="214"/>
        <v>2058</v>
      </c>
      <c r="C873" s="33" t="s">
        <v>37</v>
      </c>
      <c r="D873" s="34" t="s">
        <v>128</v>
      </c>
      <c r="E873" s="35" t="str">
        <f t="shared" si="210"/>
        <v>PDP'!</v>
      </c>
      <c r="F873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73" s="32" t="s">
        <v>119</v>
      </c>
      <c r="H873" s="33">
        <f t="shared" si="212"/>
        <v>47</v>
      </c>
      <c r="I873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ECP\Cantagallo\Cristalina\[CRISTALINA_CF_SEC_New_09-Feb-2024.xlsx]D-PDP'!$BZ$47</v>
      </c>
      <c r="J873" s="37" t="s">
        <v>534</v>
      </c>
    </row>
    <row r="874" spans="1:10" x14ac:dyDescent="0.35">
      <c r="A874" s="32" t="s">
        <v>14</v>
      </c>
      <c r="B874" s="32">
        <f t="shared" si="214"/>
        <v>2059</v>
      </c>
      <c r="C874" s="33" t="s">
        <v>37</v>
      </c>
      <c r="D874" s="34" t="s">
        <v>128</v>
      </c>
      <c r="E874" s="35" t="str">
        <f t="shared" si="210"/>
        <v>PDP'!</v>
      </c>
      <c r="F874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74" s="32" t="s">
        <v>119</v>
      </c>
      <c r="H874" s="33">
        <f t="shared" si="212"/>
        <v>48</v>
      </c>
      <c r="I874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ECP\Cantagallo\Cristalina\[CRISTALINA_CF_SEC_New_09-Feb-2024.xlsx]D-PDP'!$BZ$48</v>
      </c>
      <c r="J874" s="37" t="s">
        <v>535</v>
      </c>
    </row>
    <row r="875" spans="1:10" x14ac:dyDescent="0.35">
      <c r="A875" s="32" t="s">
        <v>26</v>
      </c>
      <c r="B875" s="32"/>
      <c r="C875" s="33" t="s">
        <v>37</v>
      </c>
      <c r="D875" s="34"/>
      <c r="E875" s="35"/>
      <c r="F875" s="34"/>
      <c r="G875" s="32"/>
      <c r="H875" s="33"/>
      <c r="I875" s="33"/>
      <c r="J875" s="33"/>
    </row>
    <row r="876" spans="1:10" x14ac:dyDescent="0.35">
      <c r="A876" s="32" t="s">
        <v>15</v>
      </c>
      <c r="B876" s="32">
        <v>2023</v>
      </c>
      <c r="C876" s="33" t="s">
        <v>37</v>
      </c>
      <c r="D876" s="34" t="s">
        <v>128</v>
      </c>
      <c r="E876" s="35" t="str">
        <f t="shared" si="203"/>
        <v>PNP'!</v>
      </c>
      <c r="F876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76" s="32" t="s">
        <v>119</v>
      </c>
      <c r="H876" s="33">
        <v>12</v>
      </c>
      <c r="I876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ECP\Cantagallo\Cristalina\[CRISTALINA_CF_SEC_New_09-Feb-2024.xlsx]D-PNP'!$BZ$12</v>
      </c>
      <c r="J876" s="37" t="s">
        <v>536</v>
      </c>
    </row>
    <row r="877" spans="1:10" x14ac:dyDescent="0.35">
      <c r="A877" s="32" t="s">
        <v>15</v>
      </c>
      <c r="B877" s="32">
        <f>+B876+1</f>
        <v>2024</v>
      </c>
      <c r="C877" s="33" t="s">
        <v>37</v>
      </c>
      <c r="D877" s="34" t="s">
        <v>128</v>
      </c>
      <c r="E877" s="35" t="str">
        <f t="shared" si="203"/>
        <v>PNP'!</v>
      </c>
      <c r="F877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77" s="32" t="s">
        <v>119</v>
      </c>
      <c r="H877" s="33">
        <f t="shared" ref="H877:H896" si="215">IF(A877&lt;&gt;A876,12,H876+1)</f>
        <v>13</v>
      </c>
      <c r="I877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ECP\Cantagallo\Cristalina\[CRISTALINA_CF_SEC_New_09-Feb-2024.xlsx]D-PNP'!$BZ$13</v>
      </c>
      <c r="J877" s="37" t="s">
        <v>537</v>
      </c>
    </row>
    <row r="878" spans="1:10" x14ac:dyDescent="0.35">
      <c r="A878" s="32" t="s">
        <v>15</v>
      </c>
      <c r="B878" s="32">
        <f t="shared" ref="B878:B889" si="216">+B877+1</f>
        <v>2025</v>
      </c>
      <c r="C878" s="33" t="s">
        <v>37</v>
      </c>
      <c r="D878" s="34" t="s">
        <v>128</v>
      </c>
      <c r="E878" s="35" t="str">
        <f t="shared" si="203"/>
        <v>PNP'!</v>
      </c>
      <c r="F878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78" s="32" t="s">
        <v>119</v>
      </c>
      <c r="H878" s="33">
        <f t="shared" si="215"/>
        <v>14</v>
      </c>
      <c r="I878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ECP\Cantagallo\Cristalina\[CRISTALINA_CF_SEC_New_09-Feb-2024.xlsx]D-PNP'!$BZ$14</v>
      </c>
      <c r="J878" s="37" t="s">
        <v>538</v>
      </c>
    </row>
    <row r="879" spans="1:10" x14ac:dyDescent="0.35">
      <c r="A879" s="32" t="s">
        <v>15</v>
      </c>
      <c r="B879" s="32">
        <f t="shared" si="216"/>
        <v>2026</v>
      </c>
      <c r="C879" s="33" t="s">
        <v>37</v>
      </c>
      <c r="D879" s="34" t="s">
        <v>128</v>
      </c>
      <c r="E879" s="35" t="str">
        <f t="shared" si="203"/>
        <v>PNP'!</v>
      </c>
      <c r="F879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79" s="32" t="s">
        <v>119</v>
      </c>
      <c r="H879" s="33">
        <f t="shared" si="215"/>
        <v>15</v>
      </c>
      <c r="I879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ECP\Cantagallo\Cristalina\[CRISTALINA_CF_SEC_New_09-Feb-2024.xlsx]D-PNP'!$BZ$15</v>
      </c>
      <c r="J879" s="37" t="s">
        <v>539</v>
      </c>
    </row>
    <row r="880" spans="1:10" x14ac:dyDescent="0.35">
      <c r="A880" s="32" t="s">
        <v>15</v>
      </c>
      <c r="B880" s="32">
        <f t="shared" si="216"/>
        <v>2027</v>
      </c>
      <c r="C880" s="33" t="s">
        <v>37</v>
      </c>
      <c r="D880" s="34" t="s">
        <v>128</v>
      </c>
      <c r="E880" s="35" t="str">
        <f t="shared" si="203"/>
        <v>PNP'!</v>
      </c>
      <c r="F880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80" s="32" t="s">
        <v>119</v>
      </c>
      <c r="H880" s="33">
        <f t="shared" si="215"/>
        <v>16</v>
      </c>
      <c r="I880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ECP\Cantagallo\Cristalina\[CRISTALINA_CF_SEC_New_09-Feb-2024.xlsx]D-PNP'!$BZ$16</v>
      </c>
      <c r="J880" s="37" t="s">
        <v>540</v>
      </c>
    </row>
    <row r="881" spans="1:10" x14ac:dyDescent="0.35">
      <c r="A881" s="32" t="s">
        <v>15</v>
      </c>
      <c r="B881" s="32">
        <f t="shared" si="216"/>
        <v>2028</v>
      </c>
      <c r="C881" s="33" t="s">
        <v>37</v>
      </c>
      <c r="D881" s="34" t="s">
        <v>128</v>
      </c>
      <c r="E881" s="35" t="str">
        <f t="shared" si="203"/>
        <v>PNP'!</v>
      </c>
      <c r="F881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81" s="32" t="s">
        <v>119</v>
      </c>
      <c r="H881" s="33">
        <f t="shared" si="215"/>
        <v>17</v>
      </c>
      <c r="I881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ECP\Cantagallo\Cristalina\[CRISTALINA_CF_SEC_New_09-Feb-2024.xlsx]D-PNP'!$BZ$17</v>
      </c>
      <c r="J881" s="37" t="s">
        <v>541</v>
      </c>
    </row>
    <row r="882" spans="1:10" x14ac:dyDescent="0.35">
      <c r="A882" s="32" t="s">
        <v>15</v>
      </c>
      <c r="B882" s="32">
        <f t="shared" si="216"/>
        <v>2029</v>
      </c>
      <c r="C882" s="33" t="s">
        <v>37</v>
      </c>
      <c r="D882" s="34" t="s">
        <v>128</v>
      </c>
      <c r="E882" s="35" t="str">
        <f t="shared" si="203"/>
        <v>PNP'!</v>
      </c>
      <c r="F882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82" s="32" t="s">
        <v>119</v>
      </c>
      <c r="H882" s="33">
        <f t="shared" si="215"/>
        <v>18</v>
      </c>
      <c r="I882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ECP\Cantagallo\Cristalina\[CRISTALINA_CF_SEC_New_09-Feb-2024.xlsx]D-PNP'!$BZ$18</v>
      </c>
      <c r="J882" s="37" t="s">
        <v>542</v>
      </c>
    </row>
    <row r="883" spans="1:10" x14ac:dyDescent="0.35">
      <c r="A883" s="32" t="s">
        <v>15</v>
      </c>
      <c r="B883" s="32">
        <f t="shared" si="216"/>
        <v>2030</v>
      </c>
      <c r="C883" s="33" t="s">
        <v>37</v>
      </c>
      <c r="D883" s="34" t="s">
        <v>128</v>
      </c>
      <c r="E883" s="35" t="str">
        <f t="shared" si="203"/>
        <v>PNP'!</v>
      </c>
      <c r="F883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83" s="32" t="s">
        <v>119</v>
      </c>
      <c r="H883" s="33">
        <f t="shared" si="215"/>
        <v>19</v>
      </c>
      <c r="I883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ECP\Cantagallo\Cristalina\[CRISTALINA_CF_SEC_New_09-Feb-2024.xlsx]D-PNP'!$BZ$19</v>
      </c>
      <c r="J883" s="37" t="s">
        <v>543</v>
      </c>
    </row>
    <row r="884" spans="1:10" x14ac:dyDescent="0.35">
      <c r="A884" s="32" t="s">
        <v>15</v>
      </c>
      <c r="B884" s="32">
        <f t="shared" si="216"/>
        <v>2031</v>
      </c>
      <c r="C884" s="33" t="s">
        <v>37</v>
      </c>
      <c r="D884" s="34" t="s">
        <v>128</v>
      </c>
      <c r="E884" s="35" t="str">
        <f t="shared" si="203"/>
        <v>PNP'!</v>
      </c>
      <c r="F884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84" s="32" t="s">
        <v>119</v>
      </c>
      <c r="H884" s="33">
        <f t="shared" si="215"/>
        <v>20</v>
      </c>
      <c r="I884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ECP\Cantagallo\Cristalina\[CRISTALINA_CF_SEC_New_09-Feb-2024.xlsx]D-PNP'!$BZ$20</v>
      </c>
      <c r="J884" s="37" t="s">
        <v>544</v>
      </c>
    </row>
    <row r="885" spans="1:10" x14ac:dyDescent="0.35">
      <c r="A885" s="32" t="s">
        <v>15</v>
      </c>
      <c r="B885" s="32">
        <f t="shared" si="216"/>
        <v>2032</v>
      </c>
      <c r="C885" s="33" t="s">
        <v>37</v>
      </c>
      <c r="D885" s="34" t="s">
        <v>128</v>
      </c>
      <c r="E885" s="35" t="str">
        <f t="shared" si="203"/>
        <v>PNP'!</v>
      </c>
      <c r="F885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85" s="32" t="s">
        <v>119</v>
      </c>
      <c r="H885" s="33">
        <f t="shared" si="215"/>
        <v>21</v>
      </c>
      <c r="I885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ECP\Cantagallo\Cristalina\[CRISTALINA_CF_SEC_New_09-Feb-2024.xlsx]D-PNP'!$BZ$21</v>
      </c>
      <c r="J885" s="37" t="s">
        <v>545</v>
      </c>
    </row>
    <row r="886" spans="1:10" x14ac:dyDescent="0.35">
      <c r="A886" s="32" t="s">
        <v>15</v>
      </c>
      <c r="B886" s="32">
        <f t="shared" si="216"/>
        <v>2033</v>
      </c>
      <c r="C886" s="33" t="s">
        <v>37</v>
      </c>
      <c r="D886" s="34" t="s">
        <v>128</v>
      </c>
      <c r="E886" s="35" t="str">
        <f t="shared" si="203"/>
        <v>PNP'!</v>
      </c>
      <c r="F886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86" s="32" t="s">
        <v>119</v>
      </c>
      <c r="H886" s="33">
        <f t="shared" si="215"/>
        <v>22</v>
      </c>
      <c r="I886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ECP\Cantagallo\Cristalina\[CRISTALINA_CF_SEC_New_09-Feb-2024.xlsx]D-PNP'!$BZ$22</v>
      </c>
      <c r="J886" s="37" t="s">
        <v>546</v>
      </c>
    </row>
    <row r="887" spans="1:10" x14ac:dyDescent="0.35">
      <c r="A887" s="32" t="s">
        <v>15</v>
      </c>
      <c r="B887" s="32">
        <f t="shared" si="216"/>
        <v>2034</v>
      </c>
      <c r="C887" s="33" t="s">
        <v>37</v>
      </c>
      <c r="D887" s="34" t="s">
        <v>128</v>
      </c>
      <c r="E887" s="35" t="str">
        <f t="shared" si="203"/>
        <v>PNP'!</v>
      </c>
      <c r="F887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87" s="32" t="s">
        <v>119</v>
      </c>
      <c r="H887" s="33">
        <f t="shared" si="215"/>
        <v>23</v>
      </c>
      <c r="I887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ECP\Cantagallo\Cristalina\[CRISTALINA_CF_SEC_New_09-Feb-2024.xlsx]D-PNP'!$BZ$23</v>
      </c>
      <c r="J887" s="37" t="s">
        <v>547</v>
      </c>
    </row>
    <row r="888" spans="1:10" x14ac:dyDescent="0.35">
      <c r="A888" s="32" t="s">
        <v>15</v>
      </c>
      <c r="B888" s="32">
        <f t="shared" si="216"/>
        <v>2035</v>
      </c>
      <c r="C888" s="33" t="s">
        <v>37</v>
      </c>
      <c r="D888" s="34" t="s">
        <v>128</v>
      </c>
      <c r="E888" s="35" t="str">
        <f t="shared" si="203"/>
        <v>PNP'!</v>
      </c>
      <c r="F888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88" s="32" t="s">
        <v>119</v>
      </c>
      <c r="H888" s="33">
        <f t="shared" si="215"/>
        <v>24</v>
      </c>
      <c r="I888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ECP\Cantagallo\Cristalina\[CRISTALINA_CF_SEC_New_09-Feb-2024.xlsx]D-PNP'!$BZ$24</v>
      </c>
      <c r="J888" s="37" t="s">
        <v>548</v>
      </c>
    </row>
    <row r="889" spans="1:10" x14ac:dyDescent="0.35">
      <c r="A889" s="32" t="s">
        <v>15</v>
      </c>
      <c r="B889" s="32">
        <f t="shared" si="216"/>
        <v>2036</v>
      </c>
      <c r="C889" s="33" t="s">
        <v>37</v>
      </c>
      <c r="D889" s="34" t="s">
        <v>128</v>
      </c>
      <c r="E889" s="35" t="str">
        <f t="shared" si="203"/>
        <v>PNP'!</v>
      </c>
      <c r="F889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89" s="32" t="s">
        <v>119</v>
      </c>
      <c r="H889" s="33">
        <f t="shared" si="215"/>
        <v>25</v>
      </c>
      <c r="I889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ECP\Cantagallo\Cristalina\[CRISTALINA_CF_SEC_New_09-Feb-2024.xlsx]D-PNP'!$BZ$25</v>
      </c>
      <c r="J889" s="37" t="s">
        <v>549</v>
      </c>
    </row>
    <row r="890" spans="1:10" x14ac:dyDescent="0.35">
      <c r="A890" s="32" t="s">
        <v>15</v>
      </c>
      <c r="B890" s="32">
        <f>+B889+1</f>
        <v>2037</v>
      </c>
      <c r="C890" s="33" t="s">
        <v>37</v>
      </c>
      <c r="D890" s="34" t="s">
        <v>128</v>
      </c>
      <c r="E890" s="35" t="str">
        <f t="shared" si="203"/>
        <v>PNP'!</v>
      </c>
      <c r="F890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90" s="32" t="s">
        <v>119</v>
      </c>
      <c r="H890" s="33">
        <f t="shared" si="215"/>
        <v>26</v>
      </c>
      <c r="I890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ECP\Cantagallo\Cristalina\[CRISTALINA_CF_SEC_New_09-Feb-2024.xlsx]D-PNP'!$BZ$26</v>
      </c>
      <c r="J890" s="37" t="s">
        <v>550</v>
      </c>
    </row>
    <row r="891" spans="1:10" x14ac:dyDescent="0.35">
      <c r="A891" s="32" t="s">
        <v>15</v>
      </c>
      <c r="B891" s="32">
        <f t="shared" ref="B891:B893" si="217">+B890+1</f>
        <v>2038</v>
      </c>
      <c r="C891" s="33" t="s">
        <v>37</v>
      </c>
      <c r="D891" s="34" t="s">
        <v>128</v>
      </c>
      <c r="E891" s="35" t="str">
        <f t="shared" si="203"/>
        <v>PNP'!</v>
      </c>
      <c r="F891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91" s="32" t="s">
        <v>119</v>
      </c>
      <c r="H891" s="33">
        <f t="shared" si="215"/>
        <v>27</v>
      </c>
      <c r="I891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ECP\Cantagallo\Cristalina\[CRISTALINA_CF_SEC_New_09-Feb-2024.xlsx]D-PNP'!$BZ$27</v>
      </c>
      <c r="J891" s="37" t="s">
        <v>551</v>
      </c>
    </row>
    <row r="892" spans="1:10" x14ac:dyDescent="0.35">
      <c r="A892" s="32" t="s">
        <v>15</v>
      </c>
      <c r="B892" s="32">
        <f t="shared" si="217"/>
        <v>2039</v>
      </c>
      <c r="C892" s="33" t="s">
        <v>37</v>
      </c>
      <c r="D892" s="34" t="s">
        <v>128</v>
      </c>
      <c r="E892" s="35" t="str">
        <f t="shared" si="203"/>
        <v>PNP'!</v>
      </c>
      <c r="F892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92" s="32" t="s">
        <v>119</v>
      </c>
      <c r="H892" s="33">
        <f t="shared" si="215"/>
        <v>28</v>
      </c>
      <c r="I892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ECP\Cantagallo\Cristalina\[CRISTALINA_CF_SEC_New_09-Feb-2024.xlsx]D-PNP'!$BZ$28</v>
      </c>
      <c r="J892" s="37" t="s">
        <v>552</v>
      </c>
    </row>
    <row r="893" spans="1:10" x14ac:dyDescent="0.35">
      <c r="A893" s="32" t="s">
        <v>15</v>
      </c>
      <c r="B893" s="32">
        <f t="shared" si="217"/>
        <v>2040</v>
      </c>
      <c r="C893" s="33" t="s">
        <v>37</v>
      </c>
      <c r="D893" s="34" t="s">
        <v>128</v>
      </c>
      <c r="E893" s="35" t="str">
        <f t="shared" si="203"/>
        <v>PNP'!</v>
      </c>
      <c r="F893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93" s="32" t="s">
        <v>119</v>
      </c>
      <c r="H893" s="33">
        <f t="shared" si="215"/>
        <v>29</v>
      </c>
      <c r="I893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ECP\Cantagallo\Cristalina\[CRISTALINA_CF_SEC_New_09-Feb-2024.xlsx]D-PNP'!$BZ$29</v>
      </c>
      <c r="J893" s="37" t="s">
        <v>553</v>
      </c>
    </row>
    <row r="894" spans="1:10" x14ac:dyDescent="0.35">
      <c r="A894" s="32" t="s">
        <v>15</v>
      </c>
      <c r="B894" s="32">
        <f>+B893+1</f>
        <v>2041</v>
      </c>
      <c r="C894" s="33" t="s">
        <v>37</v>
      </c>
      <c r="D894" s="34" t="s">
        <v>128</v>
      </c>
      <c r="E894" s="35" t="str">
        <f t="shared" si="203"/>
        <v>PNP'!</v>
      </c>
      <c r="F894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94" s="32" t="s">
        <v>119</v>
      </c>
      <c r="H894" s="33">
        <f t="shared" si="215"/>
        <v>30</v>
      </c>
      <c r="I894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ECP\Cantagallo\Cristalina\[CRISTALINA_CF_SEC_New_09-Feb-2024.xlsx]D-PNP'!$BZ$30</v>
      </c>
      <c r="J894" s="37" t="s">
        <v>554</v>
      </c>
    </row>
    <row r="895" spans="1:10" x14ac:dyDescent="0.35">
      <c r="A895" s="32" t="s">
        <v>15</v>
      </c>
      <c r="B895" s="32">
        <f t="shared" ref="B895:B896" si="218">+B894+1</f>
        <v>2042</v>
      </c>
      <c r="C895" s="33" t="s">
        <v>37</v>
      </c>
      <c r="D895" s="34" t="s">
        <v>128</v>
      </c>
      <c r="E895" s="35" t="str">
        <f t="shared" si="203"/>
        <v>PNP'!</v>
      </c>
      <c r="F895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95" s="32" t="s">
        <v>119</v>
      </c>
      <c r="H895" s="33">
        <f t="shared" si="215"/>
        <v>31</v>
      </c>
      <c r="I895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ECP\Cantagallo\Cristalina\[CRISTALINA_CF_SEC_New_09-Feb-2024.xlsx]D-PNP'!$BZ$31</v>
      </c>
      <c r="J895" s="37" t="s">
        <v>555</v>
      </c>
    </row>
    <row r="896" spans="1:10" x14ac:dyDescent="0.35">
      <c r="A896" s="32" t="s">
        <v>15</v>
      </c>
      <c r="B896" s="32">
        <f t="shared" si="218"/>
        <v>2043</v>
      </c>
      <c r="C896" s="33" t="s">
        <v>37</v>
      </c>
      <c r="D896" s="34" t="s">
        <v>128</v>
      </c>
      <c r="E896" s="35" t="str">
        <f t="shared" si="203"/>
        <v>PNP'!</v>
      </c>
      <c r="F896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96" s="32" t="s">
        <v>119</v>
      </c>
      <c r="H896" s="33">
        <f t="shared" si="215"/>
        <v>32</v>
      </c>
      <c r="I896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ECP\Cantagallo\Cristalina\[CRISTALINA_CF_SEC_New_09-Feb-2024.xlsx]D-PNP'!$BZ$32</v>
      </c>
      <c r="J896" s="37" t="s">
        <v>556</v>
      </c>
    </row>
    <row r="897" spans="1:10" x14ac:dyDescent="0.35">
      <c r="A897" s="32" t="s">
        <v>15</v>
      </c>
      <c r="B897" s="32">
        <f>+B896+1</f>
        <v>2044</v>
      </c>
      <c r="C897" s="33" t="s">
        <v>37</v>
      </c>
      <c r="D897" s="34" t="s">
        <v>128</v>
      </c>
      <c r="E897" s="35" t="str">
        <f t="shared" ref="E897:E912" si="219">_xlfn.CONCAT(A897,"'!")</f>
        <v>PNP'!</v>
      </c>
      <c r="F897" s="34" t="str">
        <f t="shared" ref="F897:F912" si="220">_xlfn.CONCAT(D897:E897)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97" s="32" t="s">
        <v>119</v>
      </c>
      <c r="H897" s="33">
        <f t="shared" ref="H897:H912" si="221">IF(A897&lt;&gt;A896,12,H896+1)</f>
        <v>33</v>
      </c>
      <c r="I897" s="33" t="str">
        <f t="shared" ref="I897:I912" si="222">_xlfn.CONCAT("='",F897:H897)</f>
        <v>='C:\Users\jaime.benazar\Quorum Business Solutions\Ecopetrol Prometeo - Documents\Planning Space Implementation\3. Analysis &amp; Design\Design\FC22\DRR Jaime\Por presentar a ECP\Cantagallo\Cristalina\[CRISTALINA_CF_SEC_New_09-Feb-2024.xlsx]D-PNP'!$BZ$33</v>
      </c>
      <c r="J897" s="37" t="s">
        <v>557</v>
      </c>
    </row>
    <row r="898" spans="1:10" x14ac:dyDescent="0.35">
      <c r="A898" s="32" t="s">
        <v>15</v>
      </c>
      <c r="B898" s="32">
        <f t="shared" ref="B898:B912" si="223">+B897+1</f>
        <v>2045</v>
      </c>
      <c r="C898" s="33" t="s">
        <v>37</v>
      </c>
      <c r="D898" s="34" t="s">
        <v>128</v>
      </c>
      <c r="E898" s="35" t="str">
        <f t="shared" si="219"/>
        <v>PNP'!</v>
      </c>
      <c r="F898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98" s="32" t="s">
        <v>119</v>
      </c>
      <c r="H898" s="33">
        <f t="shared" si="221"/>
        <v>34</v>
      </c>
      <c r="I898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ECP\Cantagallo\Cristalina\[CRISTALINA_CF_SEC_New_09-Feb-2024.xlsx]D-PNP'!$BZ$34</v>
      </c>
      <c r="J898" s="37" t="s">
        <v>558</v>
      </c>
    </row>
    <row r="899" spans="1:10" x14ac:dyDescent="0.35">
      <c r="A899" s="32" t="s">
        <v>15</v>
      </c>
      <c r="B899" s="32">
        <f t="shared" si="223"/>
        <v>2046</v>
      </c>
      <c r="C899" s="33" t="s">
        <v>37</v>
      </c>
      <c r="D899" s="34" t="s">
        <v>128</v>
      </c>
      <c r="E899" s="35" t="str">
        <f t="shared" si="219"/>
        <v>PNP'!</v>
      </c>
      <c r="F899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99" s="32" t="s">
        <v>119</v>
      </c>
      <c r="H899" s="33">
        <f t="shared" si="221"/>
        <v>35</v>
      </c>
      <c r="I899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ECP\Cantagallo\Cristalina\[CRISTALINA_CF_SEC_New_09-Feb-2024.xlsx]D-PNP'!$BZ$35</v>
      </c>
      <c r="J899" s="37" t="s">
        <v>559</v>
      </c>
    </row>
    <row r="900" spans="1:10" x14ac:dyDescent="0.35">
      <c r="A900" s="32" t="s">
        <v>15</v>
      </c>
      <c r="B900" s="32">
        <f t="shared" si="223"/>
        <v>2047</v>
      </c>
      <c r="C900" s="33" t="s">
        <v>37</v>
      </c>
      <c r="D900" s="34" t="s">
        <v>128</v>
      </c>
      <c r="E900" s="35" t="str">
        <f t="shared" si="219"/>
        <v>PNP'!</v>
      </c>
      <c r="F900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900" s="32" t="s">
        <v>119</v>
      </c>
      <c r="H900" s="33">
        <f t="shared" si="221"/>
        <v>36</v>
      </c>
      <c r="I900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ECP\Cantagallo\Cristalina\[CRISTALINA_CF_SEC_New_09-Feb-2024.xlsx]D-PNP'!$BZ$36</v>
      </c>
      <c r="J900" s="37" t="s">
        <v>560</v>
      </c>
    </row>
    <row r="901" spans="1:10" x14ac:dyDescent="0.35">
      <c r="A901" s="32" t="s">
        <v>15</v>
      </c>
      <c r="B901" s="32">
        <f t="shared" si="223"/>
        <v>2048</v>
      </c>
      <c r="C901" s="33" t="s">
        <v>37</v>
      </c>
      <c r="D901" s="34" t="s">
        <v>128</v>
      </c>
      <c r="E901" s="35" t="str">
        <f t="shared" si="219"/>
        <v>PNP'!</v>
      </c>
      <c r="F901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901" s="32" t="s">
        <v>119</v>
      </c>
      <c r="H901" s="33">
        <f t="shared" si="221"/>
        <v>37</v>
      </c>
      <c r="I901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ECP\Cantagallo\Cristalina\[CRISTALINA_CF_SEC_New_09-Feb-2024.xlsx]D-PNP'!$BZ$37</v>
      </c>
      <c r="J901" s="37" t="s">
        <v>561</v>
      </c>
    </row>
    <row r="902" spans="1:10" x14ac:dyDescent="0.35">
      <c r="A902" s="32" t="s">
        <v>15</v>
      </c>
      <c r="B902" s="32">
        <f t="shared" si="223"/>
        <v>2049</v>
      </c>
      <c r="C902" s="33" t="s">
        <v>37</v>
      </c>
      <c r="D902" s="34" t="s">
        <v>128</v>
      </c>
      <c r="E902" s="35" t="str">
        <f t="shared" si="219"/>
        <v>PNP'!</v>
      </c>
      <c r="F902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902" s="32" t="s">
        <v>119</v>
      </c>
      <c r="H902" s="33">
        <f t="shared" si="221"/>
        <v>38</v>
      </c>
      <c r="I902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ECP\Cantagallo\Cristalina\[CRISTALINA_CF_SEC_New_09-Feb-2024.xlsx]D-PNP'!$BZ$38</v>
      </c>
      <c r="J902" s="37" t="s">
        <v>562</v>
      </c>
    </row>
    <row r="903" spans="1:10" x14ac:dyDescent="0.35">
      <c r="A903" s="32" t="s">
        <v>15</v>
      </c>
      <c r="B903" s="32">
        <f t="shared" si="223"/>
        <v>2050</v>
      </c>
      <c r="C903" s="33" t="s">
        <v>37</v>
      </c>
      <c r="D903" s="34" t="s">
        <v>128</v>
      </c>
      <c r="E903" s="35" t="str">
        <f t="shared" si="219"/>
        <v>PNP'!</v>
      </c>
      <c r="F903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903" s="32" t="s">
        <v>119</v>
      </c>
      <c r="H903" s="33">
        <f t="shared" si="221"/>
        <v>39</v>
      </c>
      <c r="I903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ECP\Cantagallo\Cristalina\[CRISTALINA_CF_SEC_New_09-Feb-2024.xlsx]D-PNP'!$BZ$39</v>
      </c>
      <c r="J903" s="37" t="s">
        <v>563</v>
      </c>
    </row>
    <row r="904" spans="1:10" x14ac:dyDescent="0.35">
      <c r="A904" s="32" t="s">
        <v>15</v>
      </c>
      <c r="B904" s="32">
        <f t="shared" si="223"/>
        <v>2051</v>
      </c>
      <c r="C904" s="33" t="s">
        <v>37</v>
      </c>
      <c r="D904" s="34" t="s">
        <v>128</v>
      </c>
      <c r="E904" s="35" t="str">
        <f t="shared" si="219"/>
        <v>PNP'!</v>
      </c>
      <c r="F904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904" s="32" t="s">
        <v>119</v>
      </c>
      <c r="H904" s="33">
        <f t="shared" si="221"/>
        <v>40</v>
      </c>
      <c r="I904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ECP\Cantagallo\Cristalina\[CRISTALINA_CF_SEC_New_09-Feb-2024.xlsx]D-PNP'!$BZ$40</v>
      </c>
      <c r="J904" s="37" t="s">
        <v>564</v>
      </c>
    </row>
    <row r="905" spans="1:10" x14ac:dyDescent="0.35">
      <c r="A905" s="32" t="s">
        <v>15</v>
      </c>
      <c r="B905" s="32">
        <f t="shared" si="223"/>
        <v>2052</v>
      </c>
      <c r="C905" s="33" t="s">
        <v>37</v>
      </c>
      <c r="D905" s="34" t="s">
        <v>128</v>
      </c>
      <c r="E905" s="35" t="str">
        <f t="shared" si="219"/>
        <v>PNP'!</v>
      </c>
      <c r="F905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905" s="32" t="s">
        <v>119</v>
      </c>
      <c r="H905" s="33">
        <f t="shared" si="221"/>
        <v>41</v>
      </c>
      <c r="I905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ECP\Cantagallo\Cristalina\[CRISTALINA_CF_SEC_New_09-Feb-2024.xlsx]D-PNP'!$BZ$41</v>
      </c>
      <c r="J905" s="37" t="s">
        <v>565</v>
      </c>
    </row>
    <row r="906" spans="1:10" x14ac:dyDescent="0.35">
      <c r="A906" s="32" t="s">
        <v>15</v>
      </c>
      <c r="B906" s="32">
        <f t="shared" si="223"/>
        <v>2053</v>
      </c>
      <c r="C906" s="33" t="s">
        <v>37</v>
      </c>
      <c r="D906" s="34" t="s">
        <v>128</v>
      </c>
      <c r="E906" s="35" t="str">
        <f t="shared" si="219"/>
        <v>PNP'!</v>
      </c>
      <c r="F906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906" s="32" t="s">
        <v>119</v>
      </c>
      <c r="H906" s="33">
        <f t="shared" si="221"/>
        <v>42</v>
      </c>
      <c r="I906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ECP\Cantagallo\Cristalina\[CRISTALINA_CF_SEC_New_09-Feb-2024.xlsx]D-PNP'!$BZ$42</v>
      </c>
      <c r="J906" s="37" t="s">
        <v>566</v>
      </c>
    </row>
    <row r="907" spans="1:10" x14ac:dyDescent="0.35">
      <c r="A907" s="32" t="s">
        <v>15</v>
      </c>
      <c r="B907" s="32">
        <f t="shared" si="223"/>
        <v>2054</v>
      </c>
      <c r="C907" s="33" t="s">
        <v>37</v>
      </c>
      <c r="D907" s="34" t="s">
        <v>128</v>
      </c>
      <c r="E907" s="35" t="str">
        <f t="shared" si="219"/>
        <v>PNP'!</v>
      </c>
      <c r="F907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907" s="32" t="s">
        <v>119</v>
      </c>
      <c r="H907" s="33">
        <f t="shared" si="221"/>
        <v>43</v>
      </c>
      <c r="I907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ECP\Cantagallo\Cristalina\[CRISTALINA_CF_SEC_New_09-Feb-2024.xlsx]D-PNP'!$BZ$43</v>
      </c>
      <c r="J907" s="37" t="s">
        <v>567</v>
      </c>
    </row>
    <row r="908" spans="1:10" x14ac:dyDescent="0.35">
      <c r="A908" s="32" t="s">
        <v>15</v>
      </c>
      <c r="B908" s="32">
        <f t="shared" si="223"/>
        <v>2055</v>
      </c>
      <c r="C908" s="33" t="s">
        <v>37</v>
      </c>
      <c r="D908" s="34" t="s">
        <v>128</v>
      </c>
      <c r="E908" s="35" t="str">
        <f t="shared" si="219"/>
        <v>PNP'!</v>
      </c>
      <c r="F908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908" s="32" t="s">
        <v>119</v>
      </c>
      <c r="H908" s="33">
        <f t="shared" si="221"/>
        <v>44</v>
      </c>
      <c r="I908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ECP\Cantagallo\Cristalina\[CRISTALINA_CF_SEC_New_09-Feb-2024.xlsx]D-PNP'!$BZ$44</v>
      </c>
      <c r="J908" s="37" t="s">
        <v>568</v>
      </c>
    </row>
    <row r="909" spans="1:10" x14ac:dyDescent="0.35">
      <c r="A909" s="32" t="s">
        <v>15</v>
      </c>
      <c r="B909" s="32">
        <f t="shared" si="223"/>
        <v>2056</v>
      </c>
      <c r="C909" s="33" t="s">
        <v>37</v>
      </c>
      <c r="D909" s="34" t="s">
        <v>128</v>
      </c>
      <c r="E909" s="35" t="str">
        <f t="shared" si="219"/>
        <v>PNP'!</v>
      </c>
      <c r="F909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909" s="32" t="s">
        <v>119</v>
      </c>
      <c r="H909" s="33">
        <f t="shared" si="221"/>
        <v>45</v>
      </c>
      <c r="I909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ECP\Cantagallo\Cristalina\[CRISTALINA_CF_SEC_New_09-Feb-2024.xlsx]D-PNP'!$BZ$45</v>
      </c>
      <c r="J909" s="37" t="s">
        <v>569</v>
      </c>
    </row>
    <row r="910" spans="1:10" x14ac:dyDescent="0.35">
      <c r="A910" s="32" t="s">
        <v>15</v>
      </c>
      <c r="B910" s="32">
        <f t="shared" si="223"/>
        <v>2057</v>
      </c>
      <c r="C910" s="33" t="s">
        <v>37</v>
      </c>
      <c r="D910" s="34" t="s">
        <v>128</v>
      </c>
      <c r="E910" s="35" t="str">
        <f t="shared" si="219"/>
        <v>PNP'!</v>
      </c>
      <c r="F910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910" s="32" t="s">
        <v>119</v>
      </c>
      <c r="H910" s="33">
        <f t="shared" si="221"/>
        <v>46</v>
      </c>
      <c r="I910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ECP\Cantagallo\Cristalina\[CRISTALINA_CF_SEC_New_09-Feb-2024.xlsx]D-PNP'!$BZ$46</v>
      </c>
      <c r="J910" s="37" t="s">
        <v>570</v>
      </c>
    </row>
    <row r="911" spans="1:10" x14ac:dyDescent="0.35">
      <c r="A911" s="32" t="s">
        <v>15</v>
      </c>
      <c r="B911" s="32">
        <f t="shared" si="223"/>
        <v>2058</v>
      </c>
      <c r="C911" s="33" t="s">
        <v>37</v>
      </c>
      <c r="D911" s="34" t="s">
        <v>128</v>
      </c>
      <c r="E911" s="35" t="str">
        <f t="shared" si="219"/>
        <v>PNP'!</v>
      </c>
      <c r="F911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911" s="32" t="s">
        <v>119</v>
      </c>
      <c r="H911" s="33">
        <f t="shared" si="221"/>
        <v>47</v>
      </c>
      <c r="I911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ECP\Cantagallo\Cristalina\[CRISTALINA_CF_SEC_New_09-Feb-2024.xlsx]D-PNP'!$BZ$47</v>
      </c>
      <c r="J911" s="37" t="s">
        <v>571</v>
      </c>
    </row>
    <row r="912" spans="1:10" x14ac:dyDescent="0.35">
      <c r="A912" s="32" t="s">
        <v>15</v>
      </c>
      <c r="B912" s="32">
        <f t="shared" si="223"/>
        <v>2059</v>
      </c>
      <c r="C912" s="33" t="s">
        <v>37</v>
      </c>
      <c r="D912" s="34" t="s">
        <v>128</v>
      </c>
      <c r="E912" s="35" t="str">
        <f t="shared" si="219"/>
        <v>PNP'!</v>
      </c>
      <c r="F912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912" s="32" t="s">
        <v>119</v>
      </c>
      <c r="H912" s="33">
        <f t="shared" si="221"/>
        <v>48</v>
      </c>
      <c r="I912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ECP\Cantagallo\Cristalina\[CRISTALINA_CF_SEC_New_09-Feb-2024.xlsx]D-PNP'!$BZ$48</v>
      </c>
      <c r="J912" s="37" t="s">
        <v>572</v>
      </c>
    </row>
    <row r="913" spans="1:10" x14ac:dyDescent="0.35">
      <c r="A913" s="32" t="s">
        <v>26</v>
      </c>
      <c r="B913" s="32"/>
      <c r="C913" s="33" t="s">
        <v>37</v>
      </c>
      <c r="D913" s="34"/>
      <c r="E913" s="35"/>
      <c r="F913" s="34"/>
      <c r="G913" s="32"/>
      <c r="H913" s="33"/>
      <c r="I913" s="33"/>
      <c r="J913" s="33"/>
    </row>
    <row r="914" spans="1:10" x14ac:dyDescent="0.35">
      <c r="A914" s="32" t="s">
        <v>16</v>
      </c>
      <c r="B914" s="32">
        <v>2023</v>
      </c>
      <c r="C914" s="33" t="s">
        <v>37</v>
      </c>
      <c r="D914" s="34" t="s">
        <v>128</v>
      </c>
      <c r="E914" s="35" t="str">
        <f t="shared" si="203"/>
        <v>PND'!</v>
      </c>
      <c r="F914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14" s="32" t="s">
        <v>119</v>
      </c>
      <c r="H914" s="33">
        <v>12</v>
      </c>
      <c r="I914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ECP\Cantagallo\Cristalina\[CRISTALINA_CF_SEC_New_09-Feb-2024.xlsx]D-PND'!$BZ$12</v>
      </c>
      <c r="J914" s="37" t="s">
        <v>573</v>
      </c>
    </row>
    <row r="915" spans="1:10" x14ac:dyDescent="0.35">
      <c r="A915" s="32" t="s">
        <v>16</v>
      </c>
      <c r="B915" s="32">
        <f>+B914+1</f>
        <v>2024</v>
      </c>
      <c r="C915" s="33" t="s">
        <v>37</v>
      </c>
      <c r="D915" s="34" t="s">
        <v>128</v>
      </c>
      <c r="E915" s="35" t="str">
        <f t="shared" si="203"/>
        <v>PND'!</v>
      </c>
      <c r="F915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15" s="32" t="s">
        <v>119</v>
      </c>
      <c r="H915" s="33">
        <f t="shared" ref="H915:H934" si="224">IF(A915&lt;&gt;A914,12,H914+1)</f>
        <v>13</v>
      </c>
      <c r="I915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ECP\Cantagallo\Cristalina\[CRISTALINA_CF_SEC_New_09-Feb-2024.xlsx]D-PND'!$BZ$13</v>
      </c>
      <c r="J915" s="37" t="s">
        <v>574</v>
      </c>
    </row>
    <row r="916" spans="1:10" x14ac:dyDescent="0.35">
      <c r="A916" s="32" t="s">
        <v>16</v>
      </c>
      <c r="B916" s="32">
        <f t="shared" ref="B916:B927" si="225">+B915+1</f>
        <v>2025</v>
      </c>
      <c r="C916" s="33" t="s">
        <v>37</v>
      </c>
      <c r="D916" s="34" t="s">
        <v>128</v>
      </c>
      <c r="E916" s="35" t="str">
        <f t="shared" si="203"/>
        <v>PND'!</v>
      </c>
      <c r="F916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16" s="32" t="s">
        <v>119</v>
      </c>
      <c r="H916" s="33">
        <f t="shared" si="224"/>
        <v>14</v>
      </c>
      <c r="I916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ECP\Cantagallo\Cristalina\[CRISTALINA_CF_SEC_New_09-Feb-2024.xlsx]D-PND'!$BZ$14</v>
      </c>
      <c r="J916" s="37" t="s">
        <v>575</v>
      </c>
    </row>
    <row r="917" spans="1:10" x14ac:dyDescent="0.35">
      <c r="A917" s="32" t="s">
        <v>16</v>
      </c>
      <c r="B917" s="32">
        <f t="shared" si="225"/>
        <v>2026</v>
      </c>
      <c r="C917" s="33" t="s">
        <v>37</v>
      </c>
      <c r="D917" s="34" t="s">
        <v>128</v>
      </c>
      <c r="E917" s="35" t="str">
        <f t="shared" si="203"/>
        <v>PND'!</v>
      </c>
      <c r="F917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17" s="32" t="s">
        <v>119</v>
      </c>
      <c r="H917" s="33">
        <f t="shared" si="224"/>
        <v>15</v>
      </c>
      <c r="I917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ECP\Cantagallo\Cristalina\[CRISTALINA_CF_SEC_New_09-Feb-2024.xlsx]D-PND'!$BZ$15</v>
      </c>
      <c r="J917" s="37" t="s">
        <v>576</v>
      </c>
    </row>
    <row r="918" spans="1:10" x14ac:dyDescent="0.35">
      <c r="A918" s="32" t="s">
        <v>16</v>
      </c>
      <c r="B918" s="32">
        <f t="shared" si="225"/>
        <v>2027</v>
      </c>
      <c r="C918" s="33" t="s">
        <v>37</v>
      </c>
      <c r="D918" s="34" t="s">
        <v>128</v>
      </c>
      <c r="E918" s="35" t="str">
        <f t="shared" si="203"/>
        <v>PND'!</v>
      </c>
      <c r="F918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18" s="32" t="s">
        <v>119</v>
      </c>
      <c r="H918" s="33">
        <f t="shared" si="224"/>
        <v>16</v>
      </c>
      <c r="I918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ECP\Cantagallo\Cristalina\[CRISTALINA_CF_SEC_New_09-Feb-2024.xlsx]D-PND'!$BZ$16</v>
      </c>
      <c r="J918" s="37" t="s">
        <v>577</v>
      </c>
    </row>
    <row r="919" spans="1:10" x14ac:dyDescent="0.35">
      <c r="A919" s="32" t="s">
        <v>16</v>
      </c>
      <c r="B919" s="32">
        <f t="shared" si="225"/>
        <v>2028</v>
      </c>
      <c r="C919" s="33" t="s">
        <v>37</v>
      </c>
      <c r="D919" s="34" t="s">
        <v>128</v>
      </c>
      <c r="E919" s="35" t="str">
        <f t="shared" si="203"/>
        <v>PND'!</v>
      </c>
      <c r="F919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19" s="32" t="s">
        <v>119</v>
      </c>
      <c r="H919" s="33">
        <f t="shared" si="224"/>
        <v>17</v>
      </c>
      <c r="I919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ECP\Cantagallo\Cristalina\[CRISTALINA_CF_SEC_New_09-Feb-2024.xlsx]D-PND'!$BZ$17</v>
      </c>
      <c r="J919" s="37" t="s">
        <v>578</v>
      </c>
    </row>
    <row r="920" spans="1:10" x14ac:dyDescent="0.35">
      <c r="A920" s="32" t="s">
        <v>16</v>
      </c>
      <c r="B920" s="32">
        <f t="shared" si="225"/>
        <v>2029</v>
      </c>
      <c r="C920" s="33" t="s">
        <v>37</v>
      </c>
      <c r="D920" s="34" t="s">
        <v>128</v>
      </c>
      <c r="E920" s="35" t="str">
        <f t="shared" si="203"/>
        <v>PND'!</v>
      </c>
      <c r="F920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20" s="32" t="s">
        <v>119</v>
      </c>
      <c r="H920" s="33">
        <f t="shared" si="224"/>
        <v>18</v>
      </c>
      <c r="I920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ECP\Cantagallo\Cristalina\[CRISTALINA_CF_SEC_New_09-Feb-2024.xlsx]D-PND'!$BZ$18</v>
      </c>
      <c r="J920" s="37" t="s">
        <v>579</v>
      </c>
    </row>
    <row r="921" spans="1:10" x14ac:dyDescent="0.35">
      <c r="A921" s="32" t="s">
        <v>16</v>
      </c>
      <c r="B921" s="32">
        <f t="shared" si="225"/>
        <v>2030</v>
      </c>
      <c r="C921" s="33" t="s">
        <v>37</v>
      </c>
      <c r="D921" s="34" t="s">
        <v>128</v>
      </c>
      <c r="E921" s="35" t="str">
        <f t="shared" si="203"/>
        <v>PND'!</v>
      </c>
      <c r="F921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21" s="32" t="s">
        <v>119</v>
      </c>
      <c r="H921" s="33">
        <f t="shared" si="224"/>
        <v>19</v>
      </c>
      <c r="I921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ECP\Cantagallo\Cristalina\[CRISTALINA_CF_SEC_New_09-Feb-2024.xlsx]D-PND'!$BZ$19</v>
      </c>
      <c r="J921" s="37" t="s">
        <v>580</v>
      </c>
    </row>
    <row r="922" spans="1:10" x14ac:dyDescent="0.35">
      <c r="A922" s="32" t="s">
        <v>16</v>
      </c>
      <c r="B922" s="32">
        <f t="shared" si="225"/>
        <v>2031</v>
      </c>
      <c r="C922" s="33" t="s">
        <v>37</v>
      </c>
      <c r="D922" s="34" t="s">
        <v>128</v>
      </c>
      <c r="E922" s="35" t="str">
        <f t="shared" si="203"/>
        <v>PND'!</v>
      </c>
      <c r="F922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22" s="32" t="s">
        <v>119</v>
      </c>
      <c r="H922" s="33">
        <f t="shared" si="224"/>
        <v>20</v>
      </c>
      <c r="I922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ECP\Cantagallo\Cristalina\[CRISTALINA_CF_SEC_New_09-Feb-2024.xlsx]D-PND'!$BZ$20</v>
      </c>
      <c r="J922" s="37" t="s">
        <v>581</v>
      </c>
    </row>
    <row r="923" spans="1:10" x14ac:dyDescent="0.35">
      <c r="A923" s="32" t="s">
        <v>16</v>
      </c>
      <c r="B923" s="32">
        <f t="shared" si="225"/>
        <v>2032</v>
      </c>
      <c r="C923" s="33" t="s">
        <v>37</v>
      </c>
      <c r="D923" s="34" t="s">
        <v>128</v>
      </c>
      <c r="E923" s="35" t="str">
        <f t="shared" si="203"/>
        <v>PND'!</v>
      </c>
      <c r="F923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23" s="32" t="s">
        <v>119</v>
      </c>
      <c r="H923" s="33">
        <f t="shared" si="224"/>
        <v>21</v>
      </c>
      <c r="I923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ECP\Cantagallo\Cristalina\[CRISTALINA_CF_SEC_New_09-Feb-2024.xlsx]D-PND'!$BZ$21</v>
      </c>
      <c r="J923" s="37" t="s">
        <v>582</v>
      </c>
    </row>
    <row r="924" spans="1:10" x14ac:dyDescent="0.35">
      <c r="A924" s="32" t="s">
        <v>16</v>
      </c>
      <c r="B924" s="32">
        <f t="shared" si="225"/>
        <v>2033</v>
      </c>
      <c r="C924" s="33" t="s">
        <v>37</v>
      </c>
      <c r="D924" s="34" t="s">
        <v>128</v>
      </c>
      <c r="E924" s="35" t="str">
        <f t="shared" si="203"/>
        <v>PND'!</v>
      </c>
      <c r="F924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24" s="32" t="s">
        <v>119</v>
      </c>
      <c r="H924" s="33">
        <f t="shared" si="224"/>
        <v>22</v>
      </c>
      <c r="I924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ECP\Cantagallo\Cristalina\[CRISTALINA_CF_SEC_New_09-Feb-2024.xlsx]D-PND'!$BZ$22</v>
      </c>
      <c r="J924" s="37" t="s">
        <v>583</v>
      </c>
    </row>
    <row r="925" spans="1:10" x14ac:dyDescent="0.35">
      <c r="A925" s="32" t="s">
        <v>16</v>
      </c>
      <c r="B925" s="32">
        <f t="shared" si="225"/>
        <v>2034</v>
      </c>
      <c r="C925" s="33" t="s">
        <v>37</v>
      </c>
      <c r="D925" s="34" t="s">
        <v>128</v>
      </c>
      <c r="E925" s="35" t="str">
        <f t="shared" si="203"/>
        <v>PND'!</v>
      </c>
      <c r="F925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25" s="32" t="s">
        <v>119</v>
      </c>
      <c r="H925" s="33">
        <f t="shared" si="224"/>
        <v>23</v>
      </c>
      <c r="I925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ECP\Cantagallo\Cristalina\[CRISTALINA_CF_SEC_New_09-Feb-2024.xlsx]D-PND'!$BZ$23</v>
      </c>
      <c r="J925" s="37" t="s">
        <v>584</v>
      </c>
    </row>
    <row r="926" spans="1:10" x14ac:dyDescent="0.35">
      <c r="A926" s="32" t="s">
        <v>16</v>
      </c>
      <c r="B926" s="32">
        <f t="shared" si="225"/>
        <v>2035</v>
      </c>
      <c r="C926" s="33" t="s">
        <v>37</v>
      </c>
      <c r="D926" s="34" t="s">
        <v>128</v>
      </c>
      <c r="E926" s="35" t="str">
        <f t="shared" si="203"/>
        <v>PND'!</v>
      </c>
      <c r="F926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26" s="32" t="s">
        <v>119</v>
      </c>
      <c r="H926" s="33">
        <f t="shared" si="224"/>
        <v>24</v>
      </c>
      <c r="I926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ECP\Cantagallo\Cristalina\[CRISTALINA_CF_SEC_New_09-Feb-2024.xlsx]D-PND'!$BZ$24</v>
      </c>
      <c r="J926" s="37" t="s">
        <v>585</v>
      </c>
    </row>
    <row r="927" spans="1:10" x14ac:dyDescent="0.35">
      <c r="A927" s="32" t="s">
        <v>16</v>
      </c>
      <c r="B927" s="32">
        <f t="shared" si="225"/>
        <v>2036</v>
      </c>
      <c r="C927" s="33" t="s">
        <v>37</v>
      </c>
      <c r="D927" s="34" t="s">
        <v>128</v>
      </c>
      <c r="E927" s="35" t="str">
        <f t="shared" si="203"/>
        <v>PND'!</v>
      </c>
      <c r="F927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27" s="32" t="s">
        <v>119</v>
      </c>
      <c r="H927" s="33">
        <f t="shared" si="224"/>
        <v>25</v>
      </c>
      <c r="I927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ECP\Cantagallo\Cristalina\[CRISTALINA_CF_SEC_New_09-Feb-2024.xlsx]D-PND'!$BZ$25</v>
      </c>
      <c r="J927" s="37" t="s">
        <v>586</v>
      </c>
    </row>
    <row r="928" spans="1:10" x14ac:dyDescent="0.35">
      <c r="A928" s="32" t="s">
        <v>16</v>
      </c>
      <c r="B928" s="32">
        <f>+B927+1</f>
        <v>2037</v>
      </c>
      <c r="C928" s="33" t="s">
        <v>37</v>
      </c>
      <c r="D928" s="34" t="s">
        <v>128</v>
      </c>
      <c r="E928" s="35" t="str">
        <f t="shared" si="203"/>
        <v>PND'!</v>
      </c>
      <c r="F928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28" s="32" t="s">
        <v>119</v>
      </c>
      <c r="H928" s="33">
        <f t="shared" si="224"/>
        <v>26</v>
      </c>
      <c r="I928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ECP\Cantagallo\Cristalina\[CRISTALINA_CF_SEC_New_09-Feb-2024.xlsx]D-PND'!$BZ$26</v>
      </c>
      <c r="J928" s="37" t="s">
        <v>587</v>
      </c>
    </row>
    <row r="929" spans="1:10" x14ac:dyDescent="0.35">
      <c r="A929" s="32" t="s">
        <v>16</v>
      </c>
      <c r="B929" s="32">
        <f t="shared" ref="B929:B931" si="226">+B928+1</f>
        <v>2038</v>
      </c>
      <c r="C929" s="33" t="s">
        <v>37</v>
      </c>
      <c r="D929" s="34" t="s">
        <v>128</v>
      </c>
      <c r="E929" s="35" t="str">
        <f t="shared" si="203"/>
        <v>PND'!</v>
      </c>
      <c r="F929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29" s="32" t="s">
        <v>119</v>
      </c>
      <c r="H929" s="33">
        <f t="shared" si="224"/>
        <v>27</v>
      </c>
      <c r="I929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ECP\Cantagallo\Cristalina\[CRISTALINA_CF_SEC_New_09-Feb-2024.xlsx]D-PND'!$BZ$27</v>
      </c>
      <c r="J929" s="37" t="s">
        <v>588</v>
      </c>
    </row>
    <row r="930" spans="1:10" x14ac:dyDescent="0.35">
      <c r="A930" s="32" t="s">
        <v>16</v>
      </c>
      <c r="B930" s="32">
        <f t="shared" si="226"/>
        <v>2039</v>
      </c>
      <c r="C930" s="33" t="s">
        <v>37</v>
      </c>
      <c r="D930" s="34" t="s">
        <v>128</v>
      </c>
      <c r="E930" s="35" t="str">
        <f t="shared" si="203"/>
        <v>PND'!</v>
      </c>
      <c r="F930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30" s="32" t="s">
        <v>119</v>
      </c>
      <c r="H930" s="33">
        <f t="shared" si="224"/>
        <v>28</v>
      </c>
      <c r="I930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ECP\Cantagallo\Cristalina\[CRISTALINA_CF_SEC_New_09-Feb-2024.xlsx]D-PND'!$BZ$28</v>
      </c>
      <c r="J930" s="37" t="s">
        <v>589</v>
      </c>
    </row>
    <row r="931" spans="1:10" x14ac:dyDescent="0.35">
      <c r="A931" s="32" t="s">
        <v>16</v>
      </c>
      <c r="B931" s="32">
        <f t="shared" si="226"/>
        <v>2040</v>
      </c>
      <c r="C931" s="33" t="s">
        <v>37</v>
      </c>
      <c r="D931" s="34" t="s">
        <v>128</v>
      </c>
      <c r="E931" s="35" t="str">
        <f t="shared" si="203"/>
        <v>PND'!</v>
      </c>
      <c r="F931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31" s="32" t="s">
        <v>119</v>
      </c>
      <c r="H931" s="33">
        <f t="shared" si="224"/>
        <v>29</v>
      </c>
      <c r="I931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ECP\Cantagallo\Cristalina\[CRISTALINA_CF_SEC_New_09-Feb-2024.xlsx]D-PND'!$BZ$29</v>
      </c>
      <c r="J931" s="37" t="s">
        <v>590</v>
      </c>
    </row>
    <row r="932" spans="1:10" x14ac:dyDescent="0.35">
      <c r="A932" s="32" t="s">
        <v>16</v>
      </c>
      <c r="B932" s="32">
        <f>+B931+1</f>
        <v>2041</v>
      </c>
      <c r="C932" s="33" t="s">
        <v>37</v>
      </c>
      <c r="D932" s="34" t="s">
        <v>128</v>
      </c>
      <c r="E932" s="35" t="str">
        <f t="shared" si="203"/>
        <v>PND'!</v>
      </c>
      <c r="F932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32" s="32" t="s">
        <v>119</v>
      </c>
      <c r="H932" s="33">
        <f t="shared" si="224"/>
        <v>30</v>
      </c>
      <c r="I932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ECP\Cantagallo\Cristalina\[CRISTALINA_CF_SEC_New_09-Feb-2024.xlsx]D-PND'!$BZ$30</v>
      </c>
      <c r="J932" s="37" t="s">
        <v>591</v>
      </c>
    </row>
    <row r="933" spans="1:10" x14ac:dyDescent="0.35">
      <c r="A933" s="32" t="s">
        <v>16</v>
      </c>
      <c r="B933" s="32">
        <f t="shared" ref="B933:B934" si="227">+B932+1</f>
        <v>2042</v>
      </c>
      <c r="C933" s="33" t="s">
        <v>37</v>
      </c>
      <c r="D933" s="34" t="s">
        <v>128</v>
      </c>
      <c r="E933" s="35" t="str">
        <f t="shared" ref="E933:E1238" si="228">_xlfn.CONCAT(A933,"'!")</f>
        <v>PND'!</v>
      </c>
      <c r="F933" s="34" t="str">
        <f t="shared" ref="F933:F1238" si="229">_xlfn.CONCAT(D933:E933)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33" s="32" t="s">
        <v>119</v>
      </c>
      <c r="H933" s="33">
        <f t="shared" si="224"/>
        <v>31</v>
      </c>
      <c r="I933" s="33" t="str">
        <f t="shared" ref="I933:I1238" si="230">_xlfn.CONCAT("='",F933:H933)</f>
        <v>='C:\Users\jaime.benazar\Quorum Business Solutions\Ecopetrol Prometeo - Documents\Planning Space Implementation\3. Analysis &amp; Design\Design\FC22\DRR Jaime\Por presentar a ECP\Cantagallo\Cristalina\[CRISTALINA_CF_SEC_New_09-Feb-2024.xlsx]D-PND'!$BZ$31</v>
      </c>
      <c r="J933" s="37" t="s">
        <v>592</v>
      </c>
    </row>
    <row r="934" spans="1:10" x14ac:dyDescent="0.35">
      <c r="A934" s="32" t="s">
        <v>16</v>
      </c>
      <c r="B934" s="32">
        <f t="shared" si="227"/>
        <v>2043</v>
      </c>
      <c r="C934" s="33" t="s">
        <v>37</v>
      </c>
      <c r="D934" s="34" t="s">
        <v>128</v>
      </c>
      <c r="E934" s="35" t="str">
        <f t="shared" si="228"/>
        <v>PND'!</v>
      </c>
      <c r="F934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34" s="32" t="s">
        <v>119</v>
      </c>
      <c r="H934" s="33">
        <f t="shared" si="224"/>
        <v>32</v>
      </c>
      <c r="I934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ECP\Cantagallo\Cristalina\[CRISTALINA_CF_SEC_New_09-Feb-2024.xlsx]D-PND'!$BZ$32</v>
      </c>
      <c r="J934" s="37" t="s">
        <v>593</v>
      </c>
    </row>
    <row r="935" spans="1:10" x14ac:dyDescent="0.35">
      <c r="A935" s="32" t="s">
        <v>16</v>
      </c>
      <c r="B935" s="32">
        <f>+B934+1</f>
        <v>2044</v>
      </c>
      <c r="C935" s="33" t="s">
        <v>37</v>
      </c>
      <c r="D935" s="34" t="s">
        <v>128</v>
      </c>
      <c r="E935" s="35" t="str">
        <f t="shared" ref="E935:E950" si="231">_xlfn.CONCAT(A935,"'!")</f>
        <v>PND'!</v>
      </c>
      <c r="F935" s="34" t="str">
        <f t="shared" ref="F935:F950" si="232">_xlfn.CONCAT(D935:E935)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35" s="32" t="s">
        <v>119</v>
      </c>
      <c r="H935" s="33">
        <f t="shared" ref="H935:H950" si="233">IF(A935&lt;&gt;A934,12,H934+1)</f>
        <v>33</v>
      </c>
      <c r="I935" s="33" t="str">
        <f t="shared" ref="I935:I950" si="234">_xlfn.CONCAT("='",F935:H935)</f>
        <v>='C:\Users\jaime.benazar\Quorum Business Solutions\Ecopetrol Prometeo - Documents\Planning Space Implementation\3. Analysis &amp; Design\Design\FC22\DRR Jaime\Por presentar a ECP\Cantagallo\Cristalina\[CRISTALINA_CF_SEC_New_09-Feb-2024.xlsx]D-PND'!$BZ$33</v>
      </c>
      <c r="J935" s="37" t="s">
        <v>594</v>
      </c>
    </row>
    <row r="936" spans="1:10" x14ac:dyDescent="0.35">
      <c r="A936" s="32" t="s">
        <v>16</v>
      </c>
      <c r="B936" s="32">
        <f t="shared" ref="B936:B950" si="235">+B935+1</f>
        <v>2045</v>
      </c>
      <c r="C936" s="33" t="s">
        <v>37</v>
      </c>
      <c r="D936" s="34" t="s">
        <v>128</v>
      </c>
      <c r="E936" s="35" t="str">
        <f t="shared" si="231"/>
        <v>PND'!</v>
      </c>
      <c r="F936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36" s="32" t="s">
        <v>119</v>
      </c>
      <c r="H936" s="33">
        <f t="shared" si="233"/>
        <v>34</v>
      </c>
      <c r="I936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ECP\Cantagallo\Cristalina\[CRISTALINA_CF_SEC_New_09-Feb-2024.xlsx]D-PND'!$BZ$34</v>
      </c>
      <c r="J936" s="37" t="s">
        <v>595</v>
      </c>
    </row>
    <row r="937" spans="1:10" x14ac:dyDescent="0.35">
      <c r="A937" s="32" t="s">
        <v>16</v>
      </c>
      <c r="B937" s="32">
        <f t="shared" si="235"/>
        <v>2046</v>
      </c>
      <c r="C937" s="33" t="s">
        <v>37</v>
      </c>
      <c r="D937" s="34" t="s">
        <v>128</v>
      </c>
      <c r="E937" s="35" t="str">
        <f t="shared" si="231"/>
        <v>PND'!</v>
      </c>
      <c r="F937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37" s="32" t="s">
        <v>119</v>
      </c>
      <c r="H937" s="33">
        <f t="shared" si="233"/>
        <v>35</v>
      </c>
      <c r="I937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ECP\Cantagallo\Cristalina\[CRISTALINA_CF_SEC_New_09-Feb-2024.xlsx]D-PND'!$BZ$35</v>
      </c>
      <c r="J937" s="37" t="s">
        <v>596</v>
      </c>
    </row>
    <row r="938" spans="1:10" x14ac:dyDescent="0.35">
      <c r="A938" s="32" t="s">
        <v>16</v>
      </c>
      <c r="B938" s="32">
        <f t="shared" si="235"/>
        <v>2047</v>
      </c>
      <c r="C938" s="33" t="s">
        <v>37</v>
      </c>
      <c r="D938" s="34" t="s">
        <v>128</v>
      </c>
      <c r="E938" s="35" t="str">
        <f t="shared" si="231"/>
        <v>PND'!</v>
      </c>
      <c r="F938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38" s="32" t="s">
        <v>119</v>
      </c>
      <c r="H938" s="33">
        <f t="shared" si="233"/>
        <v>36</v>
      </c>
      <c r="I938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ECP\Cantagallo\Cristalina\[CRISTALINA_CF_SEC_New_09-Feb-2024.xlsx]D-PND'!$BZ$36</v>
      </c>
      <c r="J938" s="37" t="s">
        <v>597</v>
      </c>
    </row>
    <row r="939" spans="1:10" x14ac:dyDescent="0.35">
      <c r="A939" s="32" t="s">
        <v>16</v>
      </c>
      <c r="B939" s="32">
        <f t="shared" si="235"/>
        <v>2048</v>
      </c>
      <c r="C939" s="33" t="s">
        <v>37</v>
      </c>
      <c r="D939" s="34" t="s">
        <v>128</v>
      </c>
      <c r="E939" s="35" t="str">
        <f t="shared" si="231"/>
        <v>PND'!</v>
      </c>
      <c r="F939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39" s="32" t="s">
        <v>119</v>
      </c>
      <c r="H939" s="33">
        <f t="shared" si="233"/>
        <v>37</v>
      </c>
      <c r="I939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ECP\Cantagallo\Cristalina\[CRISTALINA_CF_SEC_New_09-Feb-2024.xlsx]D-PND'!$BZ$37</v>
      </c>
      <c r="J939" s="37" t="s">
        <v>598</v>
      </c>
    </row>
    <row r="940" spans="1:10" x14ac:dyDescent="0.35">
      <c r="A940" s="32" t="s">
        <v>16</v>
      </c>
      <c r="B940" s="32">
        <f t="shared" si="235"/>
        <v>2049</v>
      </c>
      <c r="C940" s="33" t="s">
        <v>37</v>
      </c>
      <c r="D940" s="34" t="s">
        <v>128</v>
      </c>
      <c r="E940" s="35" t="str">
        <f t="shared" si="231"/>
        <v>PND'!</v>
      </c>
      <c r="F940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40" s="32" t="s">
        <v>119</v>
      </c>
      <c r="H940" s="33">
        <f t="shared" si="233"/>
        <v>38</v>
      </c>
      <c r="I940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ECP\Cantagallo\Cristalina\[CRISTALINA_CF_SEC_New_09-Feb-2024.xlsx]D-PND'!$BZ$38</v>
      </c>
      <c r="J940" s="37" t="s">
        <v>599</v>
      </c>
    </row>
    <row r="941" spans="1:10" x14ac:dyDescent="0.35">
      <c r="A941" s="32" t="s">
        <v>16</v>
      </c>
      <c r="B941" s="32">
        <f t="shared" si="235"/>
        <v>2050</v>
      </c>
      <c r="C941" s="33" t="s">
        <v>37</v>
      </c>
      <c r="D941" s="34" t="s">
        <v>128</v>
      </c>
      <c r="E941" s="35" t="str">
        <f t="shared" si="231"/>
        <v>PND'!</v>
      </c>
      <c r="F941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41" s="32" t="s">
        <v>119</v>
      </c>
      <c r="H941" s="33">
        <f t="shared" si="233"/>
        <v>39</v>
      </c>
      <c r="I941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ECP\Cantagallo\Cristalina\[CRISTALINA_CF_SEC_New_09-Feb-2024.xlsx]D-PND'!$BZ$39</v>
      </c>
      <c r="J941" s="37" t="s">
        <v>600</v>
      </c>
    </row>
    <row r="942" spans="1:10" x14ac:dyDescent="0.35">
      <c r="A942" s="32" t="s">
        <v>16</v>
      </c>
      <c r="B942" s="32">
        <f t="shared" si="235"/>
        <v>2051</v>
      </c>
      <c r="C942" s="33" t="s">
        <v>37</v>
      </c>
      <c r="D942" s="34" t="s">
        <v>128</v>
      </c>
      <c r="E942" s="35" t="str">
        <f t="shared" si="231"/>
        <v>PND'!</v>
      </c>
      <c r="F942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42" s="32" t="s">
        <v>119</v>
      </c>
      <c r="H942" s="33">
        <f t="shared" si="233"/>
        <v>40</v>
      </c>
      <c r="I942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ECP\Cantagallo\Cristalina\[CRISTALINA_CF_SEC_New_09-Feb-2024.xlsx]D-PND'!$BZ$40</v>
      </c>
      <c r="J942" s="37" t="s">
        <v>601</v>
      </c>
    </row>
    <row r="943" spans="1:10" x14ac:dyDescent="0.35">
      <c r="A943" s="32" t="s">
        <v>16</v>
      </c>
      <c r="B943" s="32">
        <f t="shared" si="235"/>
        <v>2052</v>
      </c>
      <c r="C943" s="33" t="s">
        <v>37</v>
      </c>
      <c r="D943" s="34" t="s">
        <v>128</v>
      </c>
      <c r="E943" s="35" t="str">
        <f t="shared" si="231"/>
        <v>PND'!</v>
      </c>
      <c r="F943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43" s="32" t="s">
        <v>119</v>
      </c>
      <c r="H943" s="33">
        <f t="shared" si="233"/>
        <v>41</v>
      </c>
      <c r="I943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ECP\Cantagallo\Cristalina\[CRISTALINA_CF_SEC_New_09-Feb-2024.xlsx]D-PND'!$BZ$41</v>
      </c>
      <c r="J943" s="37" t="s">
        <v>602</v>
      </c>
    </row>
    <row r="944" spans="1:10" x14ac:dyDescent="0.35">
      <c r="A944" s="32" t="s">
        <v>16</v>
      </c>
      <c r="B944" s="32">
        <f t="shared" si="235"/>
        <v>2053</v>
      </c>
      <c r="C944" s="33" t="s">
        <v>37</v>
      </c>
      <c r="D944" s="34" t="s">
        <v>128</v>
      </c>
      <c r="E944" s="35" t="str">
        <f t="shared" si="231"/>
        <v>PND'!</v>
      </c>
      <c r="F944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44" s="32" t="s">
        <v>119</v>
      </c>
      <c r="H944" s="33">
        <f t="shared" si="233"/>
        <v>42</v>
      </c>
      <c r="I944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ECP\Cantagallo\Cristalina\[CRISTALINA_CF_SEC_New_09-Feb-2024.xlsx]D-PND'!$BZ$42</v>
      </c>
      <c r="J944" s="37" t="s">
        <v>603</v>
      </c>
    </row>
    <row r="945" spans="1:10" x14ac:dyDescent="0.35">
      <c r="A945" s="32" t="s">
        <v>16</v>
      </c>
      <c r="B945" s="32">
        <f t="shared" si="235"/>
        <v>2054</v>
      </c>
      <c r="C945" s="33" t="s">
        <v>37</v>
      </c>
      <c r="D945" s="34" t="s">
        <v>128</v>
      </c>
      <c r="E945" s="35" t="str">
        <f t="shared" si="231"/>
        <v>PND'!</v>
      </c>
      <c r="F945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45" s="32" t="s">
        <v>119</v>
      </c>
      <c r="H945" s="33">
        <f t="shared" si="233"/>
        <v>43</v>
      </c>
      <c r="I945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ECP\Cantagallo\Cristalina\[CRISTALINA_CF_SEC_New_09-Feb-2024.xlsx]D-PND'!$BZ$43</v>
      </c>
      <c r="J945" s="37" t="s">
        <v>604</v>
      </c>
    </row>
    <row r="946" spans="1:10" x14ac:dyDescent="0.35">
      <c r="A946" s="32" t="s">
        <v>16</v>
      </c>
      <c r="B946" s="32">
        <f t="shared" si="235"/>
        <v>2055</v>
      </c>
      <c r="C946" s="33" t="s">
        <v>37</v>
      </c>
      <c r="D946" s="34" t="s">
        <v>128</v>
      </c>
      <c r="E946" s="35" t="str">
        <f t="shared" si="231"/>
        <v>PND'!</v>
      </c>
      <c r="F946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46" s="32" t="s">
        <v>119</v>
      </c>
      <c r="H946" s="33">
        <f t="shared" si="233"/>
        <v>44</v>
      </c>
      <c r="I946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ECP\Cantagallo\Cristalina\[CRISTALINA_CF_SEC_New_09-Feb-2024.xlsx]D-PND'!$BZ$44</v>
      </c>
      <c r="J946" s="37" t="s">
        <v>605</v>
      </c>
    </row>
    <row r="947" spans="1:10" x14ac:dyDescent="0.35">
      <c r="A947" s="32" t="s">
        <v>16</v>
      </c>
      <c r="B947" s="32">
        <f t="shared" si="235"/>
        <v>2056</v>
      </c>
      <c r="C947" s="33" t="s">
        <v>37</v>
      </c>
      <c r="D947" s="34" t="s">
        <v>128</v>
      </c>
      <c r="E947" s="35" t="str">
        <f t="shared" si="231"/>
        <v>PND'!</v>
      </c>
      <c r="F947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47" s="32" t="s">
        <v>119</v>
      </c>
      <c r="H947" s="33">
        <f t="shared" si="233"/>
        <v>45</v>
      </c>
      <c r="I947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ECP\Cantagallo\Cristalina\[CRISTALINA_CF_SEC_New_09-Feb-2024.xlsx]D-PND'!$BZ$45</v>
      </c>
      <c r="J947" s="37" t="s">
        <v>606</v>
      </c>
    </row>
    <row r="948" spans="1:10" x14ac:dyDescent="0.35">
      <c r="A948" s="32" t="s">
        <v>16</v>
      </c>
      <c r="B948" s="32">
        <f t="shared" si="235"/>
        <v>2057</v>
      </c>
      <c r="C948" s="33" t="s">
        <v>37</v>
      </c>
      <c r="D948" s="34" t="s">
        <v>128</v>
      </c>
      <c r="E948" s="35" t="str">
        <f t="shared" si="231"/>
        <v>PND'!</v>
      </c>
      <c r="F948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48" s="32" t="s">
        <v>119</v>
      </c>
      <c r="H948" s="33">
        <f t="shared" si="233"/>
        <v>46</v>
      </c>
      <c r="I948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ECP\Cantagallo\Cristalina\[CRISTALINA_CF_SEC_New_09-Feb-2024.xlsx]D-PND'!$BZ$46</v>
      </c>
      <c r="J948" s="37" t="s">
        <v>607</v>
      </c>
    </row>
    <row r="949" spans="1:10" x14ac:dyDescent="0.35">
      <c r="A949" s="32" t="s">
        <v>16</v>
      </c>
      <c r="B949" s="32">
        <f t="shared" si="235"/>
        <v>2058</v>
      </c>
      <c r="C949" s="33" t="s">
        <v>37</v>
      </c>
      <c r="D949" s="34" t="s">
        <v>128</v>
      </c>
      <c r="E949" s="35" t="str">
        <f t="shared" si="231"/>
        <v>PND'!</v>
      </c>
      <c r="F949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49" s="32" t="s">
        <v>119</v>
      </c>
      <c r="H949" s="33">
        <f t="shared" si="233"/>
        <v>47</v>
      </c>
      <c r="I949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ECP\Cantagallo\Cristalina\[CRISTALINA_CF_SEC_New_09-Feb-2024.xlsx]D-PND'!$BZ$47</v>
      </c>
      <c r="J949" s="37" t="s">
        <v>608</v>
      </c>
    </row>
    <row r="950" spans="1:10" x14ac:dyDescent="0.35">
      <c r="A950" s="32" t="s">
        <v>16</v>
      </c>
      <c r="B950" s="32">
        <f t="shared" si="235"/>
        <v>2059</v>
      </c>
      <c r="C950" s="33" t="s">
        <v>37</v>
      </c>
      <c r="D950" s="34" t="s">
        <v>128</v>
      </c>
      <c r="E950" s="35" t="str">
        <f t="shared" si="231"/>
        <v>PND'!</v>
      </c>
      <c r="F950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50" s="32" t="s">
        <v>119</v>
      </c>
      <c r="H950" s="33">
        <f t="shared" si="233"/>
        <v>48</v>
      </c>
      <c r="I950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ECP\Cantagallo\Cristalina\[CRISTALINA_CF_SEC_New_09-Feb-2024.xlsx]D-PND'!$BZ$48</v>
      </c>
      <c r="J950" s="37" t="s">
        <v>609</v>
      </c>
    </row>
    <row r="951" spans="1:10" x14ac:dyDescent="0.35">
      <c r="A951" s="32" t="s">
        <v>26</v>
      </c>
      <c r="B951" s="32"/>
      <c r="C951" s="33" t="s">
        <v>37</v>
      </c>
      <c r="D951" s="34"/>
      <c r="E951" s="35"/>
      <c r="F951" s="34"/>
      <c r="G951" s="32"/>
      <c r="H951" s="33"/>
      <c r="I951" s="33"/>
      <c r="J951" s="33"/>
    </row>
    <row r="952" spans="1:10" x14ac:dyDescent="0.35">
      <c r="A952" s="32" t="s">
        <v>17</v>
      </c>
      <c r="B952" s="32">
        <v>2023</v>
      </c>
      <c r="C952" s="33" t="s">
        <v>37</v>
      </c>
      <c r="D952" s="34" t="s">
        <v>128</v>
      </c>
      <c r="E952" s="35" t="str">
        <f t="shared" ref="E952:E972" si="236">_xlfn.CONCAT(A952,"'!")</f>
        <v>PRBDP'!</v>
      </c>
      <c r="F952" s="34" t="str">
        <f t="shared" ref="F952:F972" si="237">_xlfn.CONCAT(D952:E952)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52" s="32" t="s">
        <v>119</v>
      </c>
      <c r="H952" s="33"/>
      <c r="I952" s="33"/>
      <c r="J952" s="37"/>
    </row>
    <row r="953" spans="1:10" x14ac:dyDescent="0.35">
      <c r="A953" s="32" t="s">
        <v>17</v>
      </c>
      <c r="B953" s="32">
        <f>+B952+1</f>
        <v>2024</v>
      </c>
      <c r="C953" s="33" t="s">
        <v>37</v>
      </c>
      <c r="D953" s="34" t="s">
        <v>128</v>
      </c>
      <c r="E953" s="35" t="str">
        <f t="shared" si="236"/>
        <v>PRBDP'!</v>
      </c>
      <c r="F953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53" s="32" t="s">
        <v>119</v>
      </c>
      <c r="H953" s="33"/>
      <c r="I953" s="33"/>
      <c r="J953" s="37"/>
    </row>
    <row r="954" spans="1:10" x14ac:dyDescent="0.35">
      <c r="A954" s="32" t="s">
        <v>17</v>
      </c>
      <c r="B954" s="32">
        <f t="shared" ref="B954:B965" si="238">+B953+1</f>
        <v>2025</v>
      </c>
      <c r="C954" s="33" t="s">
        <v>37</v>
      </c>
      <c r="D954" s="34" t="s">
        <v>128</v>
      </c>
      <c r="E954" s="35" t="str">
        <f t="shared" si="236"/>
        <v>PRBDP'!</v>
      </c>
      <c r="F954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54" s="32" t="s">
        <v>119</v>
      </c>
      <c r="H954" s="33"/>
      <c r="I954" s="33"/>
      <c r="J954" s="37"/>
    </row>
    <row r="955" spans="1:10" x14ac:dyDescent="0.35">
      <c r="A955" s="32" t="s">
        <v>17</v>
      </c>
      <c r="B955" s="32">
        <f t="shared" si="238"/>
        <v>2026</v>
      </c>
      <c r="C955" s="33" t="s">
        <v>37</v>
      </c>
      <c r="D955" s="34" t="s">
        <v>128</v>
      </c>
      <c r="E955" s="35" t="str">
        <f t="shared" si="236"/>
        <v>PRBDP'!</v>
      </c>
      <c r="F955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55" s="32" t="s">
        <v>119</v>
      </c>
      <c r="H955" s="33"/>
      <c r="I955" s="33"/>
      <c r="J955" s="37"/>
    </row>
    <row r="956" spans="1:10" x14ac:dyDescent="0.35">
      <c r="A956" s="32" t="s">
        <v>17</v>
      </c>
      <c r="B956" s="32">
        <f t="shared" si="238"/>
        <v>2027</v>
      </c>
      <c r="C956" s="33" t="s">
        <v>37</v>
      </c>
      <c r="D956" s="34" t="s">
        <v>128</v>
      </c>
      <c r="E956" s="35" t="str">
        <f t="shared" si="236"/>
        <v>PRBDP'!</v>
      </c>
      <c r="F956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56" s="32" t="s">
        <v>119</v>
      </c>
      <c r="H956" s="33"/>
      <c r="I956" s="33"/>
      <c r="J956" s="37"/>
    </row>
    <row r="957" spans="1:10" x14ac:dyDescent="0.35">
      <c r="A957" s="32" t="s">
        <v>17</v>
      </c>
      <c r="B957" s="32">
        <f t="shared" si="238"/>
        <v>2028</v>
      </c>
      <c r="C957" s="33" t="s">
        <v>37</v>
      </c>
      <c r="D957" s="34" t="s">
        <v>128</v>
      </c>
      <c r="E957" s="35" t="str">
        <f t="shared" si="236"/>
        <v>PRBDP'!</v>
      </c>
      <c r="F957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57" s="32" t="s">
        <v>119</v>
      </c>
      <c r="H957" s="33"/>
      <c r="I957" s="33"/>
      <c r="J957" s="37"/>
    </row>
    <row r="958" spans="1:10" x14ac:dyDescent="0.35">
      <c r="A958" s="32" t="s">
        <v>17</v>
      </c>
      <c r="B958" s="32">
        <f t="shared" si="238"/>
        <v>2029</v>
      </c>
      <c r="C958" s="33" t="s">
        <v>37</v>
      </c>
      <c r="D958" s="34" t="s">
        <v>128</v>
      </c>
      <c r="E958" s="35" t="str">
        <f t="shared" si="236"/>
        <v>PRBDP'!</v>
      </c>
      <c r="F958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58" s="32" t="s">
        <v>119</v>
      </c>
      <c r="H958" s="33"/>
      <c r="I958" s="33"/>
      <c r="J958" s="37"/>
    </row>
    <row r="959" spans="1:10" x14ac:dyDescent="0.35">
      <c r="A959" s="32" t="s">
        <v>17</v>
      </c>
      <c r="B959" s="32">
        <f t="shared" si="238"/>
        <v>2030</v>
      </c>
      <c r="C959" s="33" t="s">
        <v>37</v>
      </c>
      <c r="D959" s="34" t="s">
        <v>128</v>
      </c>
      <c r="E959" s="35" t="str">
        <f t="shared" si="236"/>
        <v>PRBDP'!</v>
      </c>
      <c r="F959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59" s="32" t="s">
        <v>119</v>
      </c>
      <c r="H959" s="33"/>
      <c r="I959" s="33"/>
      <c r="J959" s="37"/>
    </row>
    <row r="960" spans="1:10" x14ac:dyDescent="0.35">
      <c r="A960" s="32" t="s">
        <v>17</v>
      </c>
      <c r="B960" s="32">
        <f t="shared" si="238"/>
        <v>2031</v>
      </c>
      <c r="C960" s="33" t="s">
        <v>37</v>
      </c>
      <c r="D960" s="34" t="s">
        <v>128</v>
      </c>
      <c r="E960" s="35" t="str">
        <f t="shared" si="236"/>
        <v>PRBDP'!</v>
      </c>
      <c r="F960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60" s="32" t="s">
        <v>119</v>
      </c>
      <c r="H960" s="33"/>
      <c r="I960" s="33"/>
      <c r="J960" s="37"/>
    </row>
    <row r="961" spans="1:10" x14ac:dyDescent="0.35">
      <c r="A961" s="32" t="s">
        <v>17</v>
      </c>
      <c r="B961" s="32">
        <f t="shared" si="238"/>
        <v>2032</v>
      </c>
      <c r="C961" s="33" t="s">
        <v>37</v>
      </c>
      <c r="D961" s="34" t="s">
        <v>128</v>
      </c>
      <c r="E961" s="35" t="str">
        <f t="shared" si="236"/>
        <v>PRBDP'!</v>
      </c>
      <c r="F961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61" s="32" t="s">
        <v>119</v>
      </c>
      <c r="H961" s="33"/>
      <c r="I961" s="33"/>
      <c r="J961" s="37"/>
    </row>
    <row r="962" spans="1:10" x14ac:dyDescent="0.35">
      <c r="A962" s="32" t="s">
        <v>17</v>
      </c>
      <c r="B962" s="32">
        <f t="shared" si="238"/>
        <v>2033</v>
      </c>
      <c r="C962" s="33" t="s">
        <v>37</v>
      </c>
      <c r="D962" s="34" t="s">
        <v>128</v>
      </c>
      <c r="E962" s="35" t="str">
        <f t="shared" si="236"/>
        <v>PRBDP'!</v>
      </c>
      <c r="F962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62" s="32" t="s">
        <v>119</v>
      </c>
      <c r="H962" s="33"/>
      <c r="I962" s="33"/>
      <c r="J962" s="37"/>
    </row>
    <row r="963" spans="1:10" x14ac:dyDescent="0.35">
      <c r="A963" s="32" t="s">
        <v>17</v>
      </c>
      <c r="B963" s="32">
        <f t="shared" si="238"/>
        <v>2034</v>
      </c>
      <c r="C963" s="33" t="s">
        <v>37</v>
      </c>
      <c r="D963" s="34" t="s">
        <v>128</v>
      </c>
      <c r="E963" s="35" t="str">
        <f t="shared" si="236"/>
        <v>PRBDP'!</v>
      </c>
      <c r="F963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63" s="32" t="s">
        <v>119</v>
      </c>
      <c r="H963" s="33"/>
      <c r="I963" s="33"/>
      <c r="J963" s="37"/>
    </row>
    <row r="964" spans="1:10" x14ac:dyDescent="0.35">
      <c r="A964" s="32" t="s">
        <v>17</v>
      </c>
      <c r="B964" s="32">
        <f t="shared" si="238"/>
        <v>2035</v>
      </c>
      <c r="C964" s="33" t="s">
        <v>37</v>
      </c>
      <c r="D964" s="34" t="s">
        <v>128</v>
      </c>
      <c r="E964" s="35" t="str">
        <f t="shared" si="236"/>
        <v>PRBDP'!</v>
      </c>
      <c r="F964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64" s="32" t="s">
        <v>119</v>
      </c>
      <c r="H964" s="33"/>
      <c r="I964" s="33"/>
      <c r="J964" s="37"/>
    </row>
    <row r="965" spans="1:10" x14ac:dyDescent="0.35">
      <c r="A965" s="32" t="s">
        <v>17</v>
      </c>
      <c r="B965" s="32">
        <f t="shared" si="238"/>
        <v>2036</v>
      </c>
      <c r="C965" s="33" t="s">
        <v>37</v>
      </c>
      <c r="D965" s="34" t="s">
        <v>128</v>
      </c>
      <c r="E965" s="35" t="str">
        <f t="shared" si="236"/>
        <v>PRBDP'!</v>
      </c>
      <c r="F965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65" s="32" t="s">
        <v>119</v>
      </c>
      <c r="H965" s="33"/>
      <c r="I965" s="33"/>
      <c r="J965" s="37"/>
    </row>
    <row r="966" spans="1:10" x14ac:dyDescent="0.35">
      <c r="A966" s="32" t="s">
        <v>17</v>
      </c>
      <c r="B966" s="32">
        <f>+B965+1</f>
        <v>2037</v>
      </c>
      <c r="C966" s="33" t="s">
        <v>37</v>
      </c>
      <c r="D966" s="34" t="s">
        <v>128</v>
      </c>
      <c r="E966" s="35" t="str">
        <f t="shared" si="236"/>
        <v>PRBDP'!</v>
      </c>
      <c r="F966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66" s="32" t="s">
        <v>119</v>
      </c>
      <c r="H966" s="33"/>
      <c r="I966" s="33"/>
      <c r="J966" s="37"/>
    </row>
    <row r="967" spans="1:10" x14ac:dyDescent="0.35">
      <c r="A967" s="32" t="s">
        <v>17</v>
      </c>
      <c r="B967" s="32">
        <f t="shared" ref="B967:B969" si="239">+B966+1</f>
        <v>2038</v>
      </c>
      <c r="C967" s="33" t="s">
        <v>37</v>
      </c>
      <c r="D967" s="34" t="s">
        <v>128</v>
      </c>
      <c r="E967" s="35" t="str">
        <f t="shared" si="236"/>
        <v>PRBDP'!</v>
      </c>
      <c r="F967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67" s="32" t="s">
        <v>119</v>
      </c>
      <c r="H967" s="33"/>
      <c r="I967" s="33"/>
      <c r="J967" s="37"/>
    </row>
    <row r="968" spans="1:10" x14ac:dyDescent="0.35">
      <c r="A968" s="32" t="s">
        <v>17</v>
      </c>
      <c r="B968" s="32">
        <f t="shared" si="239"/>
        <v>2039</v>
      </c>
      <c r="C968" s="33" t="s">
        <v>37</v>
      </c>
      <c r="D968" s="34" t="s">
        <v>128</v>
      </c>
      <c r="E968" s="35" t="str">
        <f t="shared" si="236"/>
        <v>PRBDP'!</v>
      </c>
      <c r="F968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68" s="32" t="s">
        <v>119</v>
      </c>
      <c r="H968" s="33"/>
      <c r="I968" s="33"/>
      <c r="J968" s="37"/>
    </row>
    <row r="969" spans="1:10" x14ac:dyDescent="0.35">
      <c r="A969" s="32" t="s">
        <v>17</v>
      </c>
      <c r="B969" s="32">
        <f t="shared" si="239"/>
        <v>2040</v>
      </c>
      <c r="C969" s="33" t="s">
        <v>37</v>
      </c>
      <c r="D969" s="34" t="s">
        <v>128</v>
      </c>
      <c r="E969" s="35" t="str">
        <f t="shared" si="236"/>
        <v>PRBDP'!</v>
      </c>
      <c r="F969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69" s="32" t="s">
        <v>119</v>
      </c>
      <c r="H969" s="33"/>
      <c r="I969" s="33"/>
      <c r="J969" s="37"/>
    </row>
    <row r="970" spans="1:10" x14ac:dyDescent="0.35">
      <c r="A970" s="32" t="s">
        <v>17</v>
      </c>
      <c r="B970" s="32">
        <f>+B969+1</f>
        <v>2041</v>
      </c>
      <c r="C970" s="33" t="s">
        <v>37</v>
      </c>
      <c r="D970" s="34" t="s">
        <v>128</v>
      </c>
      <c r="E970" s="35" t="str">
        <f t="shared" si="236"/>
        <v>PRBDP'!</v>
      </c>
      <c r="F970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70" s="32" t="s">
        <v>119</v>
      </c>
      <c r="H970" s="33"/>
      <c r="I970" s="33"/>
      <c r="J970" s="37"/>
    </row>
    <row r="971" spans="1:10" x14ac:dyDescent="0.35">
      <c r="A971" s="32" t="s">
        <v>17</v>
      </c>
      <c r="B971" s="32">
        <f t="shared" ref="B971:B972" si="240">+B970+1</f>
        <v>2042</v>
      </c>
      <c r="C971" s="33" t="s">
        <v>37</v>
      </c>
      <c r="D971" s="34" t="s">
        <v>128</v>
      </c>
      <c r="E971" s="35" t="str">
        <f t="shared" si="236"/>
        <v>PRBDP'!</v>
      </c>
      <c r="F971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71" s="32" t="s">
        <v>119</v>
      </c>
      <c r="H971" s="33"/>
      <c r="I971" s="33"/>
      <c r="J971" s="37"/>
    </row>
    <row r="972" spans="1:10" x14ac:dyDescent="0.35">
      <c r="A972" s="32" t="s">
        <v>17</v>
      </c>
      <c r="B972" s="32">
        <f t="shared" si="240"/>
        <v>2043</v>
      </c>
      <c r="C972" s="33" t="s">
        <v>37</v>
      </c>
      <c r="D972" s="34" t="s">
        <v>128</v>
      </c>
      <c r="E972" s="35" t="str">
        <f t="shared" si="236"/>
        <v>PRBDP'!</v>
      </c>
      <c r="F972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72" s="32" t="s">
        <v>119</v>
      </c>
      <c r="H972" s="33"/>
      <c r="I972" s="33"/>
      <c r="J972" s="37"/>
    </row>
    <row r="973" spans="1:10" x14ac:dyDescent="0.35">
      <c r="A973" s="32" t="s">
        <v>17</v>
      </c>
      <c r="B973" s="32">
        <f>+B972+1</f>
        <v>2044</v>
      </c>
      <c r="C973" s="33" t="s">
        <v>37</v>
      </c>
      <c r="D973" s="34" t="s">
        <v>128</v>
      </c>
      <c r="E973" s="35" t="str">
        <f t="shared" ref="E973:E988" si="241">_xlfn.CONCAT(A973,"'!")</f>
        <v>PRBDP'!</v>
      </c>
      <c r="F973" s="34" t="str">
        <f t="shared" ref="F973:F988" si="242">_xlfn.CONCAT(D973:E973)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73" s="32" t="s">
        <v>119</v>
      </c>
      <c r="H973" s="33"/>
      <c r="I973" s="33"/>
      <c r="J973" s="37"/>
    </row>
    <row r="974" spans="1:10" x14ac:dyDescent="0.35">
      <c r="A974" s="32" t="s">
        <v>17</v>
      </c>
      <c r="B974" s="32">
        <f t="shared" ref="B974:B988" si="243">+B973+1</f>
        <v>2045</v>
      </c>
      <c r="C974" s="33" t="s">
        <v>37</v>
      </c>
      <c r="D974" s="34" t="s">
        <v>128</v>
      </c>
      <c r="E974" s="35" t="str">
        <f t="shared" si="241"/>
        <v>PRBDP'!</v>
      </c>
      <c r="F974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74" s="32" t="s">
        <v>119</v>
      </c>
      <c r="H974" s="33"/>
      <c r="I974" s="33"/>
      <c r="J974" s="37"/>
    </row>
    <row r="975" spans="1:10" x14ac:dyDescent="0.35">
      <c r="A975" s="32" t="s">
        <v>17</v>
      </c>
      <c r="B975" s="32">
        <f t="shared" si="243"/>
        <v>2046</v>
      </c>
      <c r="C975" s="33" t="s">
        <v>37</v>
      </c>
      <c r="D975" s="34" t="s">
        <v>128</v>
      </c>
      <c r="E975" s="35" t="str">
        <f t="shared" si="241"/>
        <v>PRBDP'!</v>
      </c>
      <c r="F975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75" s="32" t="s">
        <v>119</v>
      </c>
      <c r="H975" s="33"/>
      <c r="I975" s="33"/>
      <c r="J975" s="37"/>
    </row>
    <row r="976" spans="1:10" x14ac:dyDescent="0.35">
      <c r="A976" s="32" t="s">
        <v>17</v>
      </c>
      <c r="B976" s="32">
        <f t="shared" si="243"/>
        <v>2047</v>
      </c>
      <c r="C976" s="33" t="s">
        <v>37</v>
      </c>
      <c r="D976" s="34" t="s">
        <v>128</v>
      </c>
      <c r="E976" s="35" t="str">
        <f t="shared" si="241"/>
        <v>PRBDP'!</v>
      </c>
      <c r="F976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76" s="32" t="s">
        <v>119</v>
      </c>
      <c r="H976" s="33"/>
      <c r="I976" s="33"/>
      <c r="J976" s="37"/>
    </row>
    <row r="977" spans="1:10" x14ac:dyDescent="0.35">
      <c r="A977" s="32" t="s">
        <v>17</v>
      </c>
      <c r="B977" s="32">
        <f t="shared" si="243"/>
        <v>2048</v>
      </c>
      <c r="C977" s="33" t="s">
        <v>37</v>
      </c>
      <c r="D977" s="34" t="s">
        <v>128</v>
      </c>
      <c r="E977" s="35" t="str">
        <f t="shared" si="241"/>
        <v>PRBDP'!</v>
      </c>
      <c r="F977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77" s="32" t="s">
        <v>119</v>
      </c>
      <c r="H977" s="33"/>
      <c r="I977" s="33"/>
      <c r="J977" s="37"/>
    </row>
    <row r="978" spans="1:10" x14ac:dyDescent="0.35">
      <c r="A978" s="32" t="s">
        <v>17</v>
      </c>
      <c r="B978" s="32">
        <f t="shared" si="243"/>
        <v>2049</v>
      </c>
      <c r="C978" s="33" t="s">
        <v>37</v>
      </c>
      <c r="D978" s="34" t="s">
        <v>128</v>
      </c>
      <c r="E978" s="35" t="str">
        <f t="shared" si="241"/>
        <v>PRBDP'!</v>
      </c>
      <c r="F978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78" s="32" t="s">
        <v>119</v>
      </c>
      <c r="H978" s="33"/>
      <c r="I978" s="33"/>
      <c r="J978" s="37"/>
    </row>
    <row r="979" spans="1:10" x14ac:dyDescent="0.35">
      <c r="A979" s="32" t="s">
        <v>17</v>
      </c>
      <c r="B979" s="32">
        <f t="shared" si="243"/>
        <v>2050</v>
      </c>
      <c r="C979" s="33" t="s">
        <v>37</v>
      </c>
      <c r="D979" s="34" t="s">
        <v>128</v>
      </c>
      <c r="E979" s="35" t="str">
        <f t="shared" si="241"/>
        <v>PRBDP'!</v>
      </c>
      <c r="F979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79" s="32" t="s">
        <v>119</v>
      </c>
      <c r="H979" s="33"/>
      <c r="I979" s="33"/>
      <c r="J979" s="37"/>
    </row>
    <row r="980" spans="1:10" x14ac:dyDescent="0.35">
      <c r="A980" s="32" t="s">
        <v>17</v>
      </c>
      <c r="B980" s="32">
        <f t="shared" si="243"/>
        <v>2051</v>
      </c>
      <c r="C980" s="33" t="s">
        <v>37</v>
      </c>
      <c r="D980" s="34" t="s">
        <v>128</v>
      </c>
      <c r="E980" s="35" t="str">
        <f t="shared" si="241"/>
        <v>PRBDP'!</v>
      </c>
      <c r="F980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80" s="32" t="s">
        <v>119</v>
      </c>
      <c r="H980" s="33"/>
      <c r="I980" s="33"/>
      <c r="J980" s="37"/>
    </row>
    <row r="981" spans="1:10" x14ac:dyDescent="0.35">
      <c r="A981" s="32" t="s">
        <v>17</v>
      </c>
      <c r="B981" s="32">
        <f t="shared" si="243"/>
        <v>2052</v>
      </c>
      <c r="C981" s="33" t="s">
        <v>37</v>
      </c>
      <c r="D981" s="34" t="s">
        <v>128</v>
      </c>
      <c r="E981" s="35" t="str">
        <f t="shared" si="241"/>
        <v>PRBDP'!</v>
      </c>
      <c r="F981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81" s="32" t="s">
        <v>119</v>
      </c>
      <c r="H981" s="33"/>
      <c r="I981" s="33"/>
      <c r="J981" s="37"/>
    </row>
    <row r="982" spans="1:10" x14ac:dyDescent="0.35">
      <c r="A982" s="32" t="s">
        <v>17</v>
      </c>
      <c r="B982" s="32">
        <f t="shared" si="243"/>
        <v>2053</v>
      </c>
      <c r="C982" s="33" t="s">
        <v>37</v>
      </c>
      <c r="D982" s="34" t="s">
        <v>128</v>
      </c>
      <c r="E982" s="35" t="str">
        <f t="shared" si="241"/>
        <v>PRBDP'!</v>
      </c>
      <c r="F982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82" s="32" t="s">
        <v>119</v>
      </c>
      <c r="H982" s="33"/>
      <c r="I982" s="33"/>
      <c r="J982" s="37"/>
    </row>
    <row r="983" spans="1:10" x14ac:dyDescent="0.35">
      <c r="A983" s="32" t="s">
        <v>17</v>
      </c>
      <c r="B983" s="32">
        <f t="shared" si="243"/>
        <v>2054</v>
      </c>
      <c r="C983" s="33" t="s">
        <v>37</v>
      </c>
      <c r="D983" s="34" t="s">
        <v>128</v>
      </c>
      <c r="E983" s="35" t="str">
        <f t="shared" si="241"/>
        <v>PRBDP'!</v>
      </c>
      <c r="F983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83" s="32" t="s">
        <v>119</v>
      </c>
      <c r="H983" s="33"/>
      <c r="I983" s="33"/>
      <c r="J983" s="37"/>
    </row>
    <row r="984" spans="1:10" x14ac:dyDescent="0.35">
      <c r="A984" s="32" t="s">
        <v>17</v>
      </c>
      <c r="B984" s="32">
        <f t="shared" si="243"/>
        <v>2055</v>
      </c>
      <c r="C984" s="33" t="s">
        <v>37</v>
      </c>
      <c r="D984" s="34" t="s">
        <v>128</v>
      </c>
      <c r="E984" s="35" t="str">
        <f t="shared" si="241"/>
        <v>PRBDP'!</v>
      </c>
      <c r="F984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84" s="32" t="s">
        <v>119</v>
      </c>
      <c r="H984" s="33"/>
      <c r="I984" s="33"/>
      <c r="J984" s="37"/>
    </row>
    <row r="985" spans="1:10" x14ac:dyDescent="0.35">
      <c r="A985" s="32" t="s">
        <v>17</v>
      </c>
      <c r="B985" s="32">
        <f t="shared" si="243"/>
        <v>2056</v>
      </c>
      <c r="C985" s="33" t="s">
        <v>37</v>
      </c>
      <c r="D985" s="34" t="s">
        <v>128</v>
      </c>
      <c r="E985" s="35" t="str">
        <f t="shared" si="241"/>
        <v>PRBDP'!</v>
      </c>
      <c r="F985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85" s="32" t="s">
        <v>119</v>
      </c>
      <c r="H985" s="33"/>
      <c r="I985" s="33"/>
      <c r="J985" s="37"/>
    </row>
    <row r="986" spans="1:10" x14ac:dyDescent="0.35">
      <c r="A986" s="32" t="s">
        <v>17</v>
      </c>
      <c r="B986" s="32">
        <f t="shared" si="243"/>
        <v>2057</v>
      </c>
      <c r="C986" s="33" t="s">
        <v>37</v>
      </c>
      <c r="D986" s="34" t="s">
        <v>128</v>
      </c>
      <c r="E986" s="35" t="str">
        <f t="shared" si="241"/>
        <v>PRBDP'!</v>
      </c>
      <c r="F986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86" s="32" t="s">
        <v>119</v>
      </c>
      <c r="H986" s="33"/>
      <c r="I986" s="33"/>
      <c r="J986" s="37"/>
    </row>
    <row r="987" spans="1:10" x14ac:dyDescent="0.35">
      <c r="A987" s="32" t="s">
        <v>17</v>
      </c>
      <c r="B987" s="32">
        <f t="shared" si="243"/>
        <v>2058</v>
      </c>
      <c r="C987" s="33" t="s">
        <v>37</v>
      </c>
      <c r="D987" s="34" t="s">
        <v>128</v>
      </c>
      <c r="E987" s="35" t="str">
        <f t="shared" si="241"/>
        <v>PRBDP'!</v>
      </c>
      <c r="F987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87" s="32" t="s">
        <v>119</v>
      </c>
      <c r="H987" s="33"/>
      <c r="I987" s="33"/>
      <c r="J987" s="37"/>
    </row>
    <row r="988" spans="1:10" x14ac:dyDescent="0.35">
      <c r="A988" s="32" t="s">
        <v>17</v>
      </c>
      <c r="B988" s="32">
        <f t="shared" si="243"/>
        <v>2059</v>
      </c>
      <c r="C988" s="33" t="s">
        <v>37</v>
      </c>
      <c r="D988" s="34" t="s">
        <v>128</v>
      </c>
      <c r="E988" s="35" t="str">
        <f t="shared" si="241"/>
        <v>PRBDP'!</v>
      </c>
      <c r="F988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88" s="32" t="s">
        <v>119</v>
      </c>
      <c r="H988" s="33"/>
      <c r="I988" s="33"/>
      <c r="J988" s="37"/>
    </row>
    <row r="989" spans="1:10" x14ac:dyDescent="0.35">
      <c r="A989" s="32" t="s">
        <v>26</v>
      </c>
      <c r="B989" s="32"/>
      <c r="C989" s="33" t="s">
        <v>37</v>
      </c>
      <c r="D989" s="34"/>
      <c r="E989" s="35"/>
      <c r="F989" s="34"/>
      <c r="G989" s="32"/>
      <c r="H989" s="33"/>
      <c r="I989" s="33"/>
      <c r="J989" s="33"/>
    </row>
    <row r="990" spans="1:10" x14ac:dyDescent="0.35">
      <c r="A990" s="32" t="s">
        <v>18</v>
      </c>
      <c r="B990" s="32">
        <v>2023</v>
      </c>
      <c r="C990" s="33" t="s">
        <v>37</v>
      </c>
      <c r="D990" s="34" t="s">
        <v>128</v>
      </c>
      <c r="E990" s="35" t="str">
        <f t="shared" ref="E990:E1010" si="244">_xlfn.CONCAT(A990,"'!")</f>
        <v>PRBNP'!</v>
      </c>
      <c r="F990" s="34" t="str">
        <f t="shared" ref="F990:F1010" si="245">_xlfn.CONCAT(D990:E990)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990" s="32" t="s">
        <v>119</v>
      </c>
      <c r="H990" s="33"/>
      <c r="I990" s="33"/>
      <c r="J990" s="37"/>
    </row>
    <row r="991" spans="1:10" x14ac:dyDescent="0.35">
      <c r="A991" s="32" t="s">
        <v>18</v>
      </c>
      <c r="B991" s="32">
        <f>+B990+1</f>
        <v>2024</v>
      </c>
      <c r="C991" s="33" t="s">
        <v>37</v>
      </c>
      <c r="D991" s="34" t="s">
        <v>128</v>
      </c>
      <c r="E991" s="35" t="str">
        <f t="shared" si="244"/>
        <v>PRBNP'!</v>
      </c>
      <c r="F991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991" s="32" t="s">
        <v>119</v>
      </c>
      <c r="H991" s="33"/>
      <c r="I991" s="33"/>
      <c r="J991" s="37"/>
    </row>
    <row r="992" spans="1:10" x14ac:dyDescent="0.35">
      <c r="A992" s="32" t="s">
        <v>18</v>
      </c>
      <c r="B992" s="32">
        <f t="shared" ref="B992:B1003" si="246">+B991+1</f>
        <v>2025</v>
      </c>
      <c r="C992" s="33" t="s">
        <v>37</v>
      </c>
      <c r="D992" s="34" t="s">
        <v>128</v>
      </c>
      <c r="E992" s="35" t="str">
        <f t="shared" si="244"/>
        <v>PRBNP'!</v>
      </c>
      <c r="F992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992" s="32" t="s">
        <v>119</v>
      </c>
      <c r="H992" s="33"/>
      <c r="I992" s="33"/>
      <c r="J992" s="37"/>
    </row>
    <row r="993" spans="1:10" x14ac:dyDescent="0.35">
      <c r="A993" s="32" t="s">
        <v>18</v>
      </c>
      <c r="B993" s="32">
        <f t="shared" si="246"/>
        <v>2026</v>
      </c>
      <c r="C993" s="33" t="s">
        <v>37</v>
      </c>
      <c r="D993" s="34" t="s">
        <v>128</v>
      </c>
      <c r="E993" s="35" t="str">
        <f t="shared" si="244"/>
        <v>PRBNP'!</v>
      </c>
      <c r="F993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993" s="32" t="s">
        <v>119</v>
      </c>
      <c r="H993" s="33"/>
      <c r="I993" s="33"/>
      <c r="J993" s="37"/>
    </row>
    <row r="994" spans="1:10" x14ac:dyDescent="0.35">
      <c r="A994" s="32" t="s">
        <v>18</v>
      </c>
      <c r="B994" s="32">
        <f t="shared" si="246"/>
        <v>2027</v>
      </c>
      <c r="C994" s="33" t="s">
        <v>37</v>
      </c>
      <c r="D994" s="34" t="s">
        <v>128</v>
      </c>
      <c r="E994" s="35" t="str">
        <f t="shared" si="244"/>
        <v>PRBNP'!</v>
      </c>
      <c r="F994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994" s="32" t="s">
        <v>119</v>
      </c>
      <c r="H994" s="33"/>
      <c r="I994" s="33"/>
      <c r="J994" s="37"/>
    </row>
    <row r="995" spans="1:10" x14ac:dyDescent="0.35">
      <c r="A995" s="32" t="s">
        <v>18</v>
      </c>
      <c r="B995" s="32">
        <f t="shared" si="246"/>
        <v>2028</v>
      </c>
      <c r="C995" s="33" t="s">
        <v>37</v>
      </c>
      <c r="D995" s="34" t="s">
        <v>128</v>
      </c>
      <c r="E995" s="35" t="str">
        <f t="shared" si="244"/>
        <v>PRBNP'!</v>
      </c>
      <c r="F995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995" s="32" t="s">
        <v>119</v>
      </c>
      <c r="H995" s="33"/>
      <c r="I995" s="33"/>
      <c r="J995" s="37"/>
    </row>
    <row r="996" spans="1:10" x14ac:dyDescent="0.35">
      <c r="A996" s="32" t="s">
        <v>18</v>
      </c>
      <c r="B996" s="32">
        <f t="shared" si="246"/>
        <v>2029</v>
      </c>
      <c r="C996" s="33" t="s">
        <v>37</v>
      </c>
      <c r="D996" s="34" t="s">
        <v>128</v>
      </c>
      <c r="E996" s="35" t="str">
        <f t="shared" si="244"/>
        <v>PRBNP'!</v>
      </c>
      <c r="F996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996" s="32" t="s">
        <v>119</v>
      </c>
      <c r="H996" s="33"/>
      <c r="I996" s="33"/>
      <c r="J996" s="37"/>
    </row>
    <row r="997" spans="1:10" x14ac:dyDescent="0.35">
      <c r="A997" s="32" t="s">
        <v>18</v>
      </c>
      <c r="B997" s="32">
        <f t="shared" si="246"/>
        <v>2030</v>
      </c>
      <c r="C997" s="33" t="s">
        <v>37</v>
      </c>
      <c r="D997" s="34" t="s">
        <v>128</v>
      </c>
      <c r="E997" s="35" t="str">
        <f t="shared" si="244"/>
        <v>PRBNP'!</v>
      </c>
      <c r="F997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997" s="32" t="s">
        <v>119</v>
      </c>
      <c r="H997" s="33"/>
      <c r="I997" s="33"/>
      <c r="J997" s="37"/>
    </row>
    <row r="998" spans="1:10" x14ac:dyDescent="0.35">
      <c r="A998" s="32" t="s">
        <v>18</v>
      </c>
      <c r="B998" s="32">
        <f t="shared" si="246"/>
        <v>2031</v>
      </c>
      <c r="C998" s="33" t="s">
        <v>37</v>
      </c>
      <c r="D998" s="34" t="s">
        <v>128</v>
      </c>
      <c r="E998" s="35" t="str">
        <f t="shared" si="244"/>
        <v>PRBNP'!</v>
      </c>
      <c r="F998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998" s="32" t="s">
        <v>119</v>
      </c>
      <c r="H998" s="33"/>
      <c r="I998" s="33"/>
      <c r="J998" s="37"/>
    </row>
    <row r="999" spans="1:10" x14ac:dyDescent="0.35">
      <c r="A999" s="32" t="s">
        <v>18</v>
      </c>
      <c r="B999" s="32">
        <f t="shared" si="246"/>
        <v>2032</v>
      </c>
      <c r="C999" s="33" t="s">
        <v>37</v>
      </c>
      <c r="D999" s="34" t="s">
        <v>128</v>
      </c>
      <c r="E999" s="35" t="str">
        <f t="shared" si="244"/>
        <v>PRBNP'!</v>
      </c>
      <c r="F999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999" s="32" t="s">
        <v>119</v>
      </c>
      <c r="H999" s="33"/>
      <c r="I999" s="33"/>
      <c r="J999" s="37"/>
    </row>
    <row r="1000" spans="1:10" x14ac:dyDescent="0.35">
      <c r="A1000" s="32" t="s">
        <v>18</v>
      </c>
      <c r="B1000" s="32">
        <f t="shared" si="246"/>
        <v>2033</v>
      </c>
      <c r="C1000" s="33" t="s">
        <v>37</v>
      </c>
      <c r="D1000" s="34" t="s">
        <v>128</v>
      </c>
      <c r="E1000" s="35" t="str">
        <f t="shared" si="244"/>
        <v>PRBNP'!</v>
      </c>
      <c r="F1000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00" s="32" t="s">
        <v>119</v>
      </c>
      <c r="H1000" s="33"/>
      <c r="I1000" s="33"/>
      <c r="J1000" s="37"/>
    </row>
    <row r="1001" spans="1:10" x14ac:dyDescent="0.35">
      <c r="A1001" s="32" t="s">
        <v>18</v>
      </c>
      <c r="B1001" s="32">
        <f t="shared" si="246"/>
        <v>2034</v>
      </c>
      <c r="C1001" s="33" t="s">
        <v>37</v>
      </c>
      <c r="D1001" s="34" t="s">
        <v>128</v>
      </c>
      <c r="E1001" s="35" t="str">
        <f t="shared" si="244"/>
        <v>PRBNP'!</v>
      </c>
      <c r="F1001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01" s="32" t="s">
        <v>119</v>
      </c>
      <c r="H1001" s="33"/>
      <c r="I1001" s="33"/>
      <c r="J1001" s="37"/>
    </row>
    <row r="1002" spans="1:10" x14ac:dyDescent="0.35">
      <c r="A1002" s="32" t="s">
        <v>18</v>
      </c>
      <c r="B1002" s="32">
        <f t="shared" si="246"/>
        <v>2035</v>
      </c>
      <c r="C1002" s="33" t="s">
        <v>37</v>
      </c>
      <c r="D1002" s="34" t="s">
        <v>128</v>
      </c>
      <c r="E1002" s="35" t="str">
        <f t="shared" si="244"/>
        <v>PRBNP'!</v>
      </c>
      <c r="F1002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02" s="32" t="s">
        <v>119</v>
      </c>
      <c r="H1002" s="33"/>
      <c r="I1002" s="33"/>
      <c r="J1002" s="37"/>
    </row>
    <row r="1003" spans="1:10" x14ac:dyDescent="0.35">
      <c r="A1003" s="32" t="s">
        <v>18</v>
      </c>
      <c r="B1003" s="32">
        <f t="shared" si="246"/>
        <v>2036</v>
      </c>
      <c r="C1003" s="33" t="s">
        <v>37</v>
      </c>
      <c r="D1003" s="34" t="s">
        <v>128</v>
      </c>
      <c r="E1003" s="35" t="str">
        <f t="shared" si="244"/>
        <v>PRBNP'!</v>
      </c>
      <c r="F1003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03" s="32" t="s">
        <v>119</v>
      </c>
      <c r="H1003" s="33"/>
      <c r="I1003" s="33"/>
      <c r="J1003" s="37"/>
    </row>
    <row r="1004" spans="1:10" x14ac:dyDescent="0.35">
      <c r="A1004" s="32" t="s">
        <v>18</v>
      </c>
      <c r="B1004" s="32">
        <f>+B1003+1</f>
        <v>2037</v>
      </c>
      <c r="C1004" s="33" t="s">
        <v>37</v>
      </c>
      <c r="D1004" s="34" t="s">
        <v>128</v>
      </c>
      <c r="E1004" s="35" t="str">
        <f t="shared" si="244"/>
        <v>PRBNP'!</v>
      </c>
      <c r="F1004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04" s="32" t="s">
        <v>119</v>
      </c>
      <c r="H1004" s="33"/>
      <c r="I1004" s="33"/>
      <c r="J1004" s="37"/>
    </row>
    <row r="1005" spans="1:10" x14ac:dyDescent="0.35">
      <c r="A1005" s="32" t="s">
        <v>18</v>
      </c>
      <c r="B1005" s="32">
        <f t="shared" ref="B1005:B1007" si="247">+B1004+1</f>
        <v>2038</v>
      </c>
      <c r="C1005" s="33" t="s">
        <v>37</v>
      </c>
      <c r="D1005" s="34" t="s">
        <v>128</v>
      </c>
      <c r="E1005" s="35" t="str">
        <f t="shared" si="244"/>
        <v>PRBNP'!</v>
      </c>
      <c r="F1005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05" s="32" t="s">
        <v>119</v>
      </c>
      <c r="H1005" s="33"/>
      <c r="I1005" s="33"/>
      <c r="J1005" s="37"/>
    </row>
    <row r="1006" spans="1:10" x14ac:dyDescent="0.35">
      <c r="A1006" s="32" t="s">
        <v>18</v>
      </c>
      <c r="B1006" s="32">
        <f t="shared" si="247"/>
        <v>2039</v>
      </c>
      <c r="C1006" s="33" t="s">
        <v>37</v>
      </c>
      <c r="D1006" s="34" t="s">
        <v>128</v>
      </c>
      <c r="E1006" s="35" t="str">
        <f t="shared" si="244"/>
        <v>PRBNP'!</v>
      </c>
      <c r="F1006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06" s="32" t="s">
        <v>119</v>
      </c>
      <c r="H1006" s="33"/>
      <c r="I1006" s="33"/>
      <c r="J1006" s="37"/>
    </row>
    <row r="1007" spans="1:10" x14ac:dyDescent="0.35">
      <c r="A1007" s="32" t="s">
        <v>18</v>
      </c>
      <c r="B1007" s="32">
        <f t="shared" si="247"/>
        <v>2040</v>
      </c>
      <c r="C1007" s="33" t="s">
        <v>37</v>
      </c>
      <c r="D1007" s="34" t="s">
        <v>128</v>
      </c>
      <c r="E1007" s="35" t="str">
        <f t="shared" si="244"/>
        <v>PRBNP'!</v>
      </c>
      <c r="F1007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07" s="32" t="s">
        <v>119</v>
      </c>
      <c r="H1007" s="33"/>
      <c r="I1007" s="33"/>
      <c r="J1007" s="37"/>
    </row>
    <row r="1008" spans="1:10" x14ac:dyDescent="0.35">
      <c r="A1008" s="32" t="s">
        <v>18</v>
      </c>
      <c r="B1008" s="32">
        <f>+B1007+1</f>
        <v>2041</v>
      </c>
      <c r="C1008" s="33" t="s">
        <v>37</v>
      </c>
      <c r="D1008" s="34" t="s">
        <v>128</v>
      </c>
      <c r="E1008" s="35" t="str">
        <f t="shared" si="244"/>
        <v>PRBNP'!</v>
      </c>
      <c r="F1008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08" s="32" t="s">
        <v>119</v>
      </c>
      <c r="H1008" s="33"/>
      <c r="I1008" s="33"/>
      <c r="J1008" s="37"/>
    </row>
    <row r="1009" spans="1:10" x14ac:dyDescent="0.35">
      <c r="A1009" s="32" t="s">
        <v>18</v>
      </c>
      <c r="B1009" s="32">
        <f t="shared" ref="B1009:B1010" si="248">+B1008+1</f>
        <v>2042</v>
      </c>
      <c r="C1009" s="33" t="s">
        <v>37</v>
      </c>
      <c r="D1009" s="34" t="s">
        <v>128</v>
      </c>
      <c r="E1009" s="35" t="str">
        <f t="shared" si="244"/>
        <v>PRBNP'!</v>
      </c>
      <c r="F1009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09" s="32" t="s">
        <v>119</v>
      </c>
      <c r="H1009" s="33"/>
      <c r="I1009" s="33"/>
      <c r="J1009" s="37"/>
    </row>
    <row r="1010" spans="1:10" x14ac:dyDescent="0.35">
      <c r="A1010" s="32" t="s">
        <v>18</v>
      </c>
      <c r="B1010" s="32">
        <f t="shared" si="248"/>
        <v>2043</v>
      </c>
      <c r="C1010" s="33" t="s">
        <v>37</v>
      </c>
      <c r="D1010" s="34" t="s">
        <v>128</v>
      </c>
      <c r="E1010" s="35" t="str">
        <f t="shared" si="244"/>
        <v>PRBNP'!</v>
      </c>
      <c r="F1010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10" s="32" t="s">
        <v>119</v>
      </c>
      <c r="H1010" s="33"/>
      <c r="I1010" s="33"/>
      <c r="J1010" s="37"/>
    </row>
    <row r="1011" spans="1:10" x14ac:dyDescent="0.35">
      <c r="A1011" s="32" t="s">
        <v>18</v>
      </c>
      <c r="B1011" s="32">
        <f>+B1010+1</f>
        <v>2044</v>
      </c>
      <c r="C1011" s="33" t="s">
        <v>37</v>
      </c>
      <c r="D1011" s="34" t="s">
        <v>128</v>
      </c>
      <c r="E1011" s="35" t="str">
        <f t="shared" ref="E1011:E1026" si="249">_xlfn.CONCAT(A1011,"'!")</f>
        <v>PRBNP'!</v>
      </c>
      <c r="F1011" s="34" t="str">
        <f t="shared" ref="F1011:F1026" si="250">_xlfn.CONCAT(D1011:E1011)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11" s="32" t="s">
        <v>119</v>
      </c>
      <c r="H1011" s="33"/>
      <c r="I1011" s="33"/>
      <c r="J1011" s="37"/>
    </row>
    <row r="1012" spans="1:10" x14ac:dyDescent="0.35">
      <c r="A1012" s="32" t="s">
        <v>18</v>
      </c>
      <c r="B1012" s="32">
        <f t="shared" ref="B1012:B1026" si="251">+B1011+1</f>
        <v>2045</v>
      </c>
      <c r="C1012" s="33" t="s">
        <v>37</v>
      </c>
      <c r="D1012" s="34" t="s">
        <v>128</v>
      </c>
      <c r="E1012" s="35" t="str">
        <f t="shared" si="249"/>
        <v>PRBNP'!</v>
      </c>
      <c r="F1012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12" s="32" t="s">
        <v>119</v>
      </c>
      <c r="H1012" s="33"/>
      <c r="I1012" s="33"/>
      <c r="J1012" s="37"/>
    </row>
    <row r="1013" spans="1:10" x14ac:dyDescent="0.35">
      <c r="A1013" s="32" t="s">
        <v>18</v>
      </c>
      <c r="B1013" s="32">
        <f t="shared" si="251"/>
        <v>2046</v>
      </c>
      <c r="C1013" s="33" t="s">
        <v>37</v>
      </c>
      <c r="D1013" s="34" t="s">
        <v>128</v>
      </c>
      <c r="E1013" s="35" t="str">
        <f t="shared" si="249"/>
        <v>PRBNP'!</v>
      </c>
      <c r="F1013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13" s="32" t="s">
        <v>119</v>
      </c>
      <c r="H1013" s="33"/>
      <c r="I1013" s="33"/>
      <c r="J1013" s="37"/>
    </row>
    <row r="1014" spans="1:10" x14ac:dyDescent="0.35">
      <c r="A1014" s="32" t="s">
        <v>18</v>
      </c>
      <c r="B1014" s="32">
        <f t="shared" si="251"/>
        <v>2047</v>
      </c>
      <c r="C1014" s="33" t="s">
        <v>37</v>
      </c>
      <c r="D1014" s="34" t="s">
        <v>128</v>
      </c>
      <c r="E1014" s="35" t="str">
        <f t="shared" si="249"/>
        <v>PRBNP'!</v>
      </c>
      <c r="F1014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14" s="32" t="s">
        <v>119</v>
      </c>
      <c r="H1014" s="33"/>
      <c r="I1014" s="33"/>
      <c r="J1014" s="37"/>
    </row>
    <row r="1015" spans="1:10" x14ac:dyDescent="0.35">
      <c r="A1015" s="32" t="s">
        <v>18</v>
      </c>
      <c r="B1015" s="32">
        <f t="shared" si="251"/>
        <v>2048</v>
      </c>
      <c r="C1015" s="33" t="s">
        <v>37</v>
      </c>
      <c r="D1015" s="34" t="s">
        <v>128</v>
      </c>
      <c r="E1015" s="35" t="str">
        <f t="shared" si="249"/>
        <v>PRBNP'!</v>
      </c>
      <c r="F1015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15" s="32" t="s">
        <v>119</v>
      </c>
      <c r="H1015" s="33"/>
      <c r="I1015" s="33"/>
      <c r="J1015" s="37"/>
    </row>
    <row r="1016" spans="1:10" x14ac:dyDescent="0.35">
      <c r="A1016" s="32" t="s">
        <v>18</v>
      </c>
      <c r="B1016" s="32">
        <f t="shared" si="251"/>
        <v>2049</v>
      </c>
      <c r="C1016" s="33" t="s">
        <v>37</v>
      </c>
      <c r="D1016" s="34" t="s">
        <v>128</v>
      </c>
      <c r="E1016" s="35" t="str">
        <f t="shared" si="249"/>
        <v>PRBNP'!</v>
      </c>
      <c r="F1016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16" s="32" t="s">
        <v>119</v>
      </c>
      <c r="H1016" s="33"/>
      <c r="I1016" s="33"/>
      <c r="J1016" s="37"/>
    </row>
    <row r="1017" spans="1:10" x14ac:dyDescent="0.35">
      <c r="A1017" s="32" t="s">
        <v>18</v>
      </c>
      <c r="B1017" s="32">
        <f t="shared" si="251"/>
        <v>2050</v>
      </c>
      <c r="C1017" s="33" t="s">
        <v>37</v>
      </c>
      <c r="D1017" s="34" t="s">
        <v>128</v>
      </c>
      <c r="E1017" s="35" t="str">
        <f t="shared" si="249"/>
        <v>PRBNP'!</v>
      </c>
      <c r="F1017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17" s="32" t="s">
        <v>119</v>
      </c>
      <c r="H1017" s="33"/>
      <c r="I1017" s="33"/>
      <c r="J1017" s="37"/>
    </row>
    <row r="1018" spans="1:10" x14ac:dyDescent="0.35">
      <c r="A1018" s="32" t="s">
        <v>18</v>
      </c>
      <c r="B1018" s="32">
        <f t="shared" si="251"/>
        <v>2051</v>
      </c>
      <c r="C1018" s="33" t="s">
        <v>37</v>
      </c>
      <c r="D1018" s="34" t="s">
        <v>128</v>
      </c>
      <c r="E1018" s="35" t="str">
        <f t="shared" si="249"/>
        <v>PRBNP'!</v>
      </c>
      <c r="F1018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18" s="32" t="s">
        <v>119</v>
      </c>
      <c r="H1018" s="33"/>
      <c r="I1018" s="33"/>
      <c r="J1018" s="37"/>
    </row>
    <row r="1019" spans="1:10" x14ac:dyDescent="0.35">
      <c r="A1019" s="32" t="s">
        <v>18</v>
      </c>
      <c r="B1019" s="32">
        <f t="shared" si="251"/>
        <v>2052</v>
      </c>
      <c r="C1019" s="33" t="s">
        <v>37</v>
      </c>
      <c r="D1019" s="34" t="s">
        <v>128</v>
      </c>
      <c r="E1019" s="35" t="str">
        <f t="shared" si="249"/>
        <v>PRBNP'!</v>
      </c>
      <c r="F1019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19" s="32" t="s">
        <v>119</v>
      </c>
      <c r="H1019" s="33"/>
      <c r="I1019" s="33"/>
      <c r="J1019" s="37"/>
    </row>
    <row r="1020" spans="1:10" x14ac:dyDescent="0.35">
      <c r="A1020" s="32" t="s">
        <v>18</v>
      </c>
      <c r="B1020" s="32">
        <f t="shared" si="251"/>
        <v>2053</v>
      </c>
      <c r="C1020" s="33" t="s">
        <v>37</v>
      </c>
      <c r="D1020" s="34" t="s">
        <v>128</v>
      </c>
      <c r="E1020" s="35" t="str">
        <f t="shared" si="249"/>
        <v>PRBNP'!</v>
      </c>
      <c r="F1020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20" s="32" t="s">
        <v>119</v>
      </c>
      <c r="H1020" s="33"/>
      <c r="I1020" s="33"/>
      <c r="J1020" s="37"/>
    </row>
    <row r="1021" spans="1:10" x14ac:dyDescent="0.35">
      <c r="A1021" s="32" t="s">
        <v>18</v>
      </c>
      <c r="B1021" s="32">
        <f t="shared" si="251"/>
        <v>2054</v>
      </c>
      <c r="C1021" s="33" t="s">
        <v>37</v>
      </c>
      <c r="D1021" s="34" t="s">
        <v>128</v>
      </c>
      <c r="E1021" s="35" t="str">
        <f t="shared" si="249"/>
        <v>PRBNP'!</v>
      </c>
      <c r="F1021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21" s="32" t="s">
        <v>119</v>
      </c>
      <c r="H1021" s="33"/>
      <c r="I1021" s="33"/>
      <c r="J1021" s="37"/>
    </row>
    <row r="1022" spans="1:10" x14ac:dyDescent="0.35">
      <c r="A1022" s="32" t="s">
        <v>18</v>
      </c>
      <c r="B1022" s="32">
        <f t="shared" si="251"/>
        <v>2055</v>
      </c>
      <c r="C1022" s="33" t="s">
        <v>37</v>
      </c>
      <c r="D1022" s="34" t="s">
        <v>128</v>
      </c>
      <c r="E1022" s="35" t="str">
        <f t="shared" si="249"/>
        <v>PRBNP'!</v>
      </c>
      <c r="F1022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22" s="32" t="s">
        <v>119</v>
      </c>
      <c r="H1022" s="33"/>
      <c r="I1022" s="33"/>
      <c r="J1022" s="37"/>
    </row>
    <row r="1023" spans="1:10" x14ac:dyDescent="0.35">
      <c r="A1023" s="32" t="s">
        <v>18</v>
      </c>
      <c r="B1023" s="32">
        <f t="shared" si="251"/>
        <v>2056</v>
      </c>
      <c r="C1023" s="33" t="s">
        <v>37</v>
      </c>
      <c r="D1023" s="34" t="s">
        <v>128</v>
      </c>
      <c r="E1023" s="35" t="str">
        <f t="shared" si="249"/>
        <v>PRBNP'!</v>
      </c>
      <c r="F1023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23" s="32" t="s">
        <v>119</v>
      </c>
      <c r="H1023" s="33"/>
      <c r="I1023" s="33"/>
      <c r="J1023" s="37"/>
    </row>
    <row r="1024" spans="1:10" x14ac:dyDescent="0.35">
      <c r="A1024" s="32" t="s">
        <v>18</v>
      </c>
      <c r="B1024" s="32">
        <f t="shared" si="251"/>
        <v>2057</v>
      </c>
      <c r="C1024" s="33" t="s">
        <v>37</v>
      </c>
      <c r="D1024" s="34" t="s">
        <v>128</v>
      </c>
      <c r="E1024" s="35" t="str">
        <f t="shared" si="249"/>
        <v>PRBNP'!</v>
      </c>
      <c r="F1024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24" s="32" t="s">
        <v>119</v>
      </c>
      <c r="H1024" s="33"/>
      <c r="I1024" s="33"/>
      <c r="J1024" s="37"/>
    </row>
    <row r="1025" spans="1:10" x14ac:dyDescent="0.35">
      <c r="A1025" s="32" t="s">
        <v>18</v>
      </c>
      <c r="B1025" s="32">
        <f t="shared" si="251"/>
        <v>2058</v>
      </c>
      <c r="C1025" s="33" t="s">
        <v>37</v>
      </c>
      <c r="D1025" s="34" t="s">
        <v>128</v>
      </c>
      <c r="E1025" s="35" t="str">
        <f t="shared" si="249"/>
        <v>PRBNP'!</v>
      </c>
      <c r="F1025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25" s="32" t="s">
        <v>119</v>
      </c>
      <c r="H1025" s="33"/>
      <c r="I1025" s="33"/>
      <c r="J1025" s="37"/>
    </row>
    <row r="1026" spans="1:10" x14ac:dyDescent="0.35">
      <c r="A1026" s="32" t="s">
        <v>18</v>
      </c>
      <c r="B1026" s="32">
        <f t="shared" si="251"/>
        <v>2059</v>
      </c>
      <c r="C1026" s="33" t="s">
        <v>37</v>
      </c>
      <c r="D1026" s="34" t="s">
        <v>128</v>
      </c>
      <c r="E1026" s="35" t="str">
        <f t="shared" si="249"/>
        <v>PRBNP'!</v>
      </c>
      <c r="F1026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26" s="32" t="s">
        <v>119</v>
      </c>
      <c r="H1026" s="33"/>
      <c r="I1026" s="33"/>
      <c r="J1026" s="37"/>
    </row>
    <row r="1027" spans="1:10" x14ac:dyDescent="0.35">
      <c r="A1027" s="32" t="s">
        <v>26</v>
      </c>
      <c r="B1027" s="32"/>
      <c r="C1027" s="33" t="s">
        <v>37</v>
      </c>
      <c r="D1027" s="34"/>
      <c r="E1027" s="35"/>
      <c r="F1027" s="34"/>
      <c r="G1027" s="32"/>
      <c r="H1027" s="33"/>
      <c r="I1027" s="33"/>
      <c r="J1027" s="33"/>
    </row>
    <row r="1028" spans="1:10" x14ac:dyDescent="0.35">
      <c r="A1028" s="32" t="s">
        <v>19</v>
      </c>
      <c r="B1028" s="32">
        <v>2023</v>
      </c>
      <c r="C1028" s="33" t="s">
        <v>37</v>
      </c>
      <c r="D1028" s="34" t="s">
        <v>128</v>
      </c>
      <c r="E1028" s="35" t="str">
        <f t="shared" ref="E1028:E1048" si="252">_xlfn.CONCAT(A1028,"'!")</f>
        <v>PRBND'!</v>
      </c>
      <c r="F1028" s="34" t="str">
        <f t="shared" ref="F1028:F1048" si="253">_xlfn.CONCAT(D1028:E1028)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28" s="32" t="s">
        <v>119</v>
      </c>
      <c r="H1028" s="33"/>
      <c r="I1028" s="33"/>
      <c r="J1028" s="37"/>
    </row>
    <row r="1029" spans="1:10" x14ac:dyDescent="0.35">
      <c r="A1029" s="32" t="s">
        <v>19</v>
      </c>
      <c r="B1029" s="32">
        <f>+B1028+1</f>
        <v>2024</v>
      </c>
      <c r="C1029" s="33" t="s">
        <v>37</v>
      </c>
      <c r="D1029" s="34" t="s">
        <v>128</v>
      </c>
      <c r="E1029" s="35" t="str">
        <f t="shared" si="252"/>
        <v>PRBND'!</v>
      </c>
      <c r="F1029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29" s="32" t="s">
        <v>119</v>
      </c>
      <c r="H1029" s="33"/>
      <c r="I1029" s="33"/>
      <c r="J1029" s="37"/>
    </row>
    <row r="1030" spans="1:10" x14ac:dyDescent="0.35">
      <c r="A1030" s="32" t="s">
        <v>19</v>
      </c>
      <c r="B1030" s="32">
        <f t="shared" ref="B1030:B1041" si="254">+B1029+1</f>
        <v>2025</v>
      </c>
      <c r="C1030" s="33" t="s">
        <v>37</v>
      </c>
      <c r="D1030" s="34" t="s">
        <v>128</v>
      </c>
      <c r="E1030" s="35" t="str">
        <f t="shared" si="252"/>
        <v>PRBND'!</v>
      </c>
      <c r="F1030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30" s="32" t="s">
        <v>119</v>
      </c>
      <c r="H1030" s="33"/>
      <c r="I1030" s="33"/>
      <c r="J1030" s="37"/>
    </row>
    <row r="1031" spans="1:10" x14ac:dyDescent="0.35">
      <c r="A1031" s="32" t="s">
        <v>19</v>
      </c>
      <c r="B1031" s="32">
        <f t="shared" si="254"/>
        <v>2026</v>
      </c>
      <c r="C1031" s="33" t="s">
        <v>37</v>
      </c>
      <c r="D1031" s="34" t="s">
        <v>128</v>
      </c>
      <c r="E1031" s="35" t="str">
        <f t="shared" si="252"/>
        <v>PRBND'!</v>
      </c>
      <c r="F1031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31" s="32" t="s">
        <v>119</v>
      </c>
      <c r="H1031" s="33"/>
      <c r="I1031" s="33"/>
      <c r="J1031" s="37"/>
    </row>
    <row r="1032" spans="1:10" x14ac:dyDescent="0.35">
      <c r="A1032" s="32" t="s">
        <v>19</v>
      </c>
      <c r="B1032" s="32">
        <f t="shared" si="254"/>
        <v>2027</v>
      </c>
      <c r="C1032" s="33" t="s">
        <v>37</v>
      </c>
      <c r="D1032" s="34" t="s">
        <v>128</v>
      </c>
      <c r="E1032" s="35" t="str">
        <f t="shared" si="252"/>
        <v>PRBND'!</v>
      </c>
      <c r="F1032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32" s="32" t="s">
        <v>119</v>
      </c>
      <c r="H1032" s="33"/>
      <c r="I1032" s="33"/>
      <c r="J1032" s="37"/>
    </row>
    <row r="1033" spans="1:10" x14ac:dyDescent="0.35">
      <c r="A1033" s="32" t="s">
        <v>19</v>
      </c>
      <c r="B1033" s="32">
        <f t="shared" si="254"/>
        <v>2028</v>
      </c>
      <c r="C1033" s="33" t="s">
        <v>37</v>
      </c>
      <c r="D1033" s="34" t="s">
        <v>128</v>
      </c>
      <c r="E1033" s="35" t="str">
        <f t="shared" si="252"/>
        <v>PRBND'!</v>
      </c>
      <c r="F1033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33" s="32" t="s">
        <v>119</v>
      </c>
      <c r="H1033" s="33"/>
      <c r="I1033" s="33"/>
      <c r="J1033" s="37"/>
    </row>
    <row r="1034" spans="1:10" x14ac:dyDescent="0.35">
      <c r="A1034" s="32" t="s">
        <v>19</v>
      </c>
      <c r="B1034" s="32">
        <f t="shared" si="254"/>
        <v>2029</v>
      </c>
      <c r="C1034" s="33" t="s">
        <v>37</v>
      </c>
      <c r="D1034" s="34" t="s">
        <v>128</v>
      </c>
      <c r="E1034" s="35" t="str">
        <f t="shared" si="252"/>
        <v>PRBND'!</v>
      </c>
      <c r="F1034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34" s="32" t="s">
        <v>119</v>
      </c>
      <c r="H1034" s="33"/>
      <c r="I1034" s="33"/>
      <c r="J1034" s="37"/>
    </row>
    <row r="1035" spans="1:10" x14ac:dyDescent="0.35">
      <c r="A1035" s="32" t="s">
        <v>19</v>
      </c>
      <c r="B1035" s="32">
        <f t="shared" si="254"/>
        <v>2030</v>
      </c>
      <c r="C1035" s="33" t="s">
        <v>37</v>
      </c>
      <c r="D1035" s="34" t="s">
        <v>128</v>
      </c>
      <c r="E1035" s="35" t="str">
        <f t="shared" si="252"/>
        <v>PRBND'!</v>
      </c>
      <c r="F1035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35" s="32" t="s">
        <v>119</v>
      </c>
      <c r="H1035" s="33"/>
      <c r="I1035" s="33"/>
      <c r="J1035" s="37"/>
    </row>
    <row r="1036" spans="1:10" x14ac:dyDescent="0.35">
      <c r="A1036" s="32" t="s">
        <v>19</v>
      </c>
      <c r="B1036" s="32">
        <f t="shared" si="254"/>
        <v>2031</v>
      </c>
      <c r="C1036" s="33" t="s">
        <v>37</v>
      </c>
      <c r="D1036" s="34" t="s">
        <v>128</v>
      </c>
      <c r="E1036" s="35" t="str">
        <f t="shared" si="252"/>
        <v>PRBND'!</v>
      </c>
      <c r="F1036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36" s="32" t="s">
        <v>119</v>
      </c>
      <c r="H1036" s="33"/>
      <c r="I1036" s="33"/>
      <c r="J1036" s="37"/>
    </row>
    <row r="1037" spans="1:10" x14ac:dyDescent="0.35">
      <c r="A1037" s="32" t="s">
        <v>19</v>
      </c>
      <c r="B1037" s="32">
        <f t="shared" si="254"/>
        <v>2032</v>
      </c>
      <c r="C1037" s="33" t="s">
        <v>37</v>
      </c>
      <c r="D1037" s="34" t="s">
        <v>128</v>
      </c>
      <c r="E1037" s="35" t="str">
        <f t="shared" si="252"/>
        <v>PRBND'!</v>
      </c>
      <c r="F1037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37" s="32" t="s">
        <v>119</v>
      </c>
      <c r="H1037" s="33"/>
      <c r="I1037" s="33"/>
      <c r="J1037" s="37"/>
    </row>
    <row r="1038" spans="1:10" x14ac:dyDescent="0.35">
      <c r="A1038" s="32" t="s">
        <v>19</v>
      </c>
      <c r="B1038" s="32">
        <f t="shared" si="254"/>
        <v>2033</v>
      </c>
      <c r="C1038" s="33" t="s">
        <v>37</v>
      </c>
      <c r="D1038" s="34" t="s">
        <v>128</v>
      </c>
      <c r="E1038" s="35" t="str">
        <f t="shared" si="252"/>
        <v>PRBND'!</v>
      </c>
      <c r="F1038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38" s="32" t="s">
        <v>119</v>
      </c>
      <c r="H1038" s="33"/>
      <c r="I1038" s="33"/>
      <c r="J1038" s="37"/>
    </row>
    <row r="1039" spans="1:10" x14ac:dyDescent="0.35">
      <c r="A1039" s="32" t="s">
        <v>19</v>
      </c>
      <c r="B1039" s="32">
        <f t="shared" si="254"/>
        <v>2034</v>
      </c>
      <c r="C1039" s="33" t="s">
        <v>37</v>
      </c>
      <c r="D1039" s="34" t="s">
        <v>128</v>
      </c>
      <c r="E1039" s="35" t="str">
        <f t="shared" si="252"/>
        <v>PRBND'!</v>
      </c>
      <c r="F1039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39" s="32" t="s">
        <v>119</v>
      </c>
      <c r="H1039" s="33"/>
      <c r="I1039" s="33"/>
      <c r="J1039" s="37"/>
    </row>
    <row r="1040" spans="1:10" x14ac:dyDescent="0.35">
      <c r="A1040" s="32" t="s">
        <v>19</v>
      </c>
      <c r="B1040" s="32">
        <f t="shared" si="254"/>
        <v>2035</v>
      </c>
      <c r="C1040" s="33" t="s">
        <v>37</v>
      </c>
      <c r="D1040" s="34" t="s">
        <v>128</v>
      </c>
      <c r="E1040" s="35" t="str">
        <f t="shared" si="252"/>
        <v>PRBND'!</v>
      </c>
      <c r="F1040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40" s="32" t="s">
        <v>119</v>
      </c>
      <c r="H1040" s="33"/>
      <c r="I1040" s="33"/>
      <c r="J1040" s="37"/>
    </row>
    <row r="1041" spans="1:10" x14ac:dyDescent="0.35">
      <c r="A1041" s="32" t="s">
        <v>19</v>
      </c>
      <c r="B1041" s="32">
        <f t="shared" si="254"/>
        <v>2036</v>
      </c>
      <c r="C1041" s="33" t="s">
        <v>37</v>
      </c>
      <c r="D1041" s="34" t="s">
        <v>128</v>
      </c>
      <c r="E1041" s="35" t="str">
        <f t="shared" si="252"/>
        <v>PRBND'!</v>
      </c>
      <c r="F1041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41" s="32" t="s">
        <v>119</v>
      </c>
      <c r="H1041" s="33"/>
      <c r="I1041" s="33"/>
      <c r="J1041" s="37"/>
    </row>
    <row r="1042" spans="1:10" x14ac:dyDescent="0.35">
      <c r="A1042" s="32" t="s">
        <v>19</v>
      </c>
      <c r="B1042" s="32">
        <f>+B1041+1</f>
        <v>2037</v>
      </c>
      <c r="C1042" s="33" t="s">
        <v>37</v>
      </c>
      <c r="D1042" s="34" t="s">
        <v>128</v>
      </c>
      <c r="E1042" s="35" t="str">
        <f t="shared" si="252"/>
        <v>PRBND'!</v>
      </c>
      <c r="F1042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42" s="32" t="s">
        <v>119</v>
      </c>
      <c r="H1042" s="33"/>
      <c r="I1042" s="33"/>
      <c r="J1042" s="37"/>
    </row>
    <row r="1043" spans="1:10" x14ac:dyDescent="0.35">
      <c r="A1043" s="32" t="s">
        <v>19</v>
      </c>
      <c r="B1043" s="32">
        <f t="shared" ref="B1043:B1045" si="255">+B1042+1</f>
        <v>2038</v>
      </c>
      <c r="C1043" s="33" t="s">
        <v>37</v>
      </c>
      <c r="D1043" s="34" t="s">
        <v>128</v>
      </c>
      <c r="E1043" s="35" t="str">
        <f t="shared" si="252"/>
        <v>PRBND'!</v>
      </c>
      <c r="F1043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43" s="32" t="s">
        <v>119</v>
      </c>
      <c r="H1043" s="33"/>
      <c r="I1043" s="33"/>
      <c r="J1043" s="37"/>
    </row>
    <row r="1044" spans="1:10" x14ac:dyDescent="0.35">
      <c r="A1044" s="32" t="s">
        <v>19</v>
      </c>
      <c r="B1044" s="32">
        <f t="shared" si="255"/>
        <v>2039</v>
      </c>
      <c r="C1044" s="33" t="s">
        <v>37</v>
      </c>
      <c r="D1044" s="34" t="s">
        <v>128</v>
      </c>
      <c r="E1044" s="35" t="str">
        <f t="shared" si="252"/>
        <v>PRBND'!</v>
      </c>
      <c r="F1044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44" s="32" t="s">
        <v>119</v>
      </c>
      <c r="H1044" s="33"/>
      <c r="I1044" s="33"/>
      <c r="J1044" s="37"/>
    </row>
    <row r="1045" spans="1:10" x14ac:dyDescent="0.35">
      <c r="A1045" s="32" t="s">
        <v>19</v>
      </c>
      <c r="B1045" s="32">
        <f t="shared" si="255"/>
        <v>2040</v>
      </c>
      <c r="C1045" s="33" t="s">
        <v>37</v>
      </c>
      <c r="D1045" s="34" t="s">
        <v>128</v>
      </c>
      <c r="E1045" s="35" t="str">
        <f t="shared" si="252"/>
        <v>PRBND'!</v>
      </c>
      <c r="F1045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45" s="32" t="s">
        <v>119</v>
      </c>
      <c r="H1045" s="33"/>
      <c r="I1045" s="33"/>
      <c r="J1045" s="37"/>
    </row>
    <row r="1046" spans="1:10" x14ac:dyDescent="0.35">
      <c r="A1046" s="32" t="s">
        <v>19</v>
      </c>
      <c r="B1046" s="32">
        <f>+B1045+1</f>
        <v>2041</v>
      </c>
      <c r="C1046" s="33" t="s">
        <v>37</v>
      </c>
      <c r="D1046" s="34" t="s">
        <v>128</v>
      </c>
      <c r="E1046" s="35" t="str">
        <f t="shared" si="252"/>
        <v>PRBND'!</v>
      </c>
      <c r="F1046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46" s="32" t="s">
        <v>119</v>
      </c>
      <c r="H1046" s="33"/>
      <c r="I1046" s="33"/>
      <c r="J1046" s="37"/>
    </row>
    <row r="1047" spans="1:10" x14ac:dyDescent="0.35">
      <c r="A1047" s="32" t="s">
        <v>19</v>
      </c>
      <c r="B1047" s="32">
        <f t="shared" ref="B1047:B1048" si="256">+B1046+1</f>
        <v>2042</v>
      </c>
      <c r="C1047" s="33" t="s">
        <v>37</v>
      </c>
      <c r="D1047" s="34" t="s">
        <v>128</v>
      </c>
      <c r="E1047" s="35" t="str">
        <f t="shared" si="252"/>
        <v>PRBND'!</v>
      </c>
      <c r="F1047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47" s="32" t="s">
        <v>119</v>
      </c>
      <c r="H1047" s="33"/>
      <c r="I1047" s="33"/>
      <c r="J1047" s="37"/>
    </row>
    <row r="1048" spans="1:10" x14ac:dyDescent="0.35">
      <c r="A1048" s="32" t="s">
        <v>19</v>
      </c>
      <c r="B1048" s="32">
        <f t="shared" si="256"/>
        <v>2043</v>
      </c>
      <c r="C1048" s="33" t="s">
        <v>37</v>
      </c>
      <c r="D1048" s="34" t="s">
        <v>128</v>
      </c>
      <c r="E1048" s="35" t="str">
        <f t="shared" si="252"/>
        <v>PRBND'!</v>
      </c>
      <c r="F1048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48" s="32" t="s">
        <v>119</v>
      </c>
      <c r="H1048" s="33"/>
      <c r="I1048" s="33"/>
      <c r="J1048" s="37"/>
    </row>
    <row r="1049" spans="1:10" x14ac:dyDescent="0.35">
      <c r="A1049" s="32" t="s">
        <v>19</v>
      </c>
      <c r="B1049" s="32">
        <f>+B1048+1</f>
        <v>2044</v>
      </c>
      <c r="C1049" s="33" t="s">
        <v>37</v>
      </c>
      <c r="D1049" s="34" t="s">
        <v>128</v>
      </c>
      <c r="E1049" s="35" t="str">
        <f t="shared" ref="E1049:E1064" si="257">_xlfn.CONCAT(A1049,"'!")</f>
        <v>PRBND'!</v>
      </c>
      <c r="F1049" s="34" t="str">
        <f t="shared" ref="F1049:F1064" si="258">_xlfn.CONCAT(D1049:E1049)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49" s="32" t="s">
        <v>119</v>
      </c>
      <c r="H1049" s="33"/>
      <c r="I1049" s="33"/>
      <c r="J1049" s="37"/>
    </row>
    <row r="1050" spans="1:10" x14ac:dyDescent="0.35">
      <c r="A1050" s="32" t="s">
        <v>19</v>
      </c>
      <c r="B1050" s="32">
        <f t="shared" ref="B1050:B1064" si="259">+B1049+1</f>
        <v>2045</v>
      </c>
      <c r="C1050" s="33" t="s">
        <v>37</v>
      </c>
      <c r="D1050" s="34" t="s">
        <v>128</v>
      </c>
      <c r="E1050" s="35" t="str">
        <f t="shared" si="257"/>
        <v>PRBND'!</v>
      </c>
      <c r="F1050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50" s="32" t="s">
        <v>119</v>
      </c>
      <c r="H1050" s="33"/>
      <c r="I1050" s="33"/>
      <c r="J1050" s="37"/>
    </row>
    <row r="1051" spans="1:10" x14ac:dyDescent="0.35">
      <c r="A1051" s="32" t="s">
        <v>19</v>
      </c>
      <c r="B1051" s="32">
        <f t="shared" si="259"/>
        <v>2046</v>
      </c>
      <c r="C1051" s="33" t="s">
        <v>37</v>
      </c>
      <c r="D1051" s="34" t="s">
        <v>128</v>
      </c>
      <c r="E1051" s="35" t="str">
        <f t="shared" si="257"/>
        <v>PRBND'!</v>
      </c>
      <c r="F1051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51" s="32" t="s">
        <v>119</v>
      </c>
      <c r="H1051" s="33"/>
      <c r="I1051" s="33"/>
      <c r="J1051" s="37"/>
    </row>
    <row r="1052" spans="1:10" x14ac:dyDescent="0.35">
      <c r="A1052" s="32" t="s">
        <v>19</v>
      </c>
      <c r="B1052" s="32">
        <f t="shared" si="259"/>
        <v>2047</v>
      </c>
      <c r="C1052" s="33" t="s">
        <v>37</v>
      </c>
      <c r="D1052" s="34" t="s">
        <v>128</v>
      </c>
      <c r="E1052" s="35" t="str">
        <f t="shared" si="257"/>
        <v>PRBND'!</v>
      </c>
      <c r="F1052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52" s="32" t="s">
        <v>119</v>
      </c>
      <c r="H1052" s="33"/>
      <c r="I1052" s="33"/>
      <c r="J1052" s="37"/>
    </row>
    <row r="1053" spans="1:10" x14ac:dyDescent="0.35">
      <c r="A1053" s="32" t="s">
        <v>19</v>
      </c>
      <c r="B1053" s="32">
        <f t="shared" si="259"/>
        <v>2048</v>
      </c>
      <c r="C1053" s="33" t="s">
        <v>37</v>
      </c>
      <c r="D1053" s="34" t="s">
        <v>128</v>
      </c>
      <c r="E1053" s="35" t="str">
        <f t="shared" si="257"/>
        <v>PRBND'!</v>
      </c>
      <c r="F1053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53" s="32" t="s">
        <v>119</v>
      </c>
      <c r="H1053" s="33"/>
      <c r="I1053" s="33"/>
      <c r="J1053" s="37"/>
    </row>
    <row r="1054" spans="1:10" x14ac:dyDescent="0.35">
      <c r="A1054" s="32" t="s">
        <v>19</v>
      </c>
      <c r="B1054" s="32">
        <f t="shared" si="259"/>
        <v>2049</v>
      </c>
      <c r="C1054" s="33" t="s">
        <v>37</v>
      </c>
      <c r="D1054" s="34" t="s">
        <v>128</v>
      </c>
      <c r="E1054" s="35" t="str">
        <f t="shared" si="257"/>
        <v>PRBND'!</v>
      </c>
      <c r="F1054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54" s="32" t="s">
        <v>119</v>
      </c>
      <c r="H1054" s="33"/>
      <c r="I1054" s="33"/>
      <c r="J1054" s="37"/>
    </row>
    <row r="1055" spans="1:10" x14ac:dyDescent="0.35">
      <c r="A1055" s="32" t="s">
        <v>19</v>
      </c>
      <c r="B1055" s="32">
        <f t="shared" si="259"/>
        <v>2050</v>
      </c>
      <c r="C1055" s="33" t="s">
        <v>37</v>
      </c>
      <c r="D1055" s="34" t="s">
        <v>128</v>
      </c>
      <c r="E1055" s="35" t="str">
        <f t="shared" si="257"/>
        <v>PRBND'!</v>
      </c>
      <c r="F1055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55" s="32" t="s">
        <v>119</v>
      </c>
      <c r="H1055" s="33"/>
      <c r="I1055" s="33"/>
      <c r="J1055" s="37"/>
    </row>
    <row r="1056" spans="1:10" x14ac:dyDescent="0.35">
      <c r="A1056" s="32" t="s">
        <v>19</v>
      </c>
      <c r="B1056" s="32">
        <f t="shared" si="259"/>
        <v>2051</v>
      </c>
      <c r="C1056" s="33" t="s">
        <v>37</v>
      </c>
      <c r="D1056" s="34" t="s">
        <v>128</v>
      </c>
      <c r="E1056" s="35" t="str">
        <f t="shared" si="257"/>
        <v>PRBND'!</v>
      </c>
      <c r="F1056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56" s="32" t="s">
        <v>119</v>
      </c>
      <c r="H1056" s="33"/>
      <c r="I1056" s="33"/>
      <c r="J1056" s="37"/>
    </row>
    <row r="1057" spans="1:10" x14ac:dyDescent="0.35">
      <c r="A1057" s="32" t="s">
        <v>19</v>
      </c>
      <c r="B1057" s="32">
        <f t="shared" si="259"/>
        <v>2052</v>
      </c>
      <c r="C1057" s="33" t="s">
        <v>37</v>
      </c>
      <c r="D1057" s="34" t="s">
        <v>128</v>
      </c>
      <c r="E1057" s="35" t="str">
        <f t="shared" si="257"/>
        <v>PRBND'!</v>
      </c>
      <c r="F1057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57" s="32" t="s">
        <v>119</v>
      </c>
      <c r="H1057" s="33"/>
      <c r="I1057" s="33"/>
      <c r="J1057" s="37"/>
    </row>
    <row r="1058" spans="1:10" x14ac:dyDescent="0.35">
      <c r="A1058" s="32" t="s">
        <v>19</v>
      </c>
      <c r="B1058" s="32">
        <f t="shared" si="259"/>
        <v>2053</v>
      </c>
      <c r="C1058" s="33" t="s">
        <v>37</v>
      </c>
      <c r="D1058" s="34" t="s">
        <v>128</v>
      </c>
      <c r="E1058" s="35" t="str">
        <f t="shared" si="257"/>
        <v>PRBND'!</v>
      </c>
      <c r="F1058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58" s="32" t="s">
        <v>119</v>
      </c>
      <c r="H1058" s="33"/>
      <c r="I1058" s="33"/>
      <c r="J1058" s="37"/>
    </row>
    <row r="1059" spans="1:10" x14ac:dyDescent="0.35">
      <c r="A1059" s="32" t="s">
        <v>19</v>
      </c>
      <c r="B1059" s="32">
        <f t="shared" si="259"/>
        <v>2054</v>
      </c>
      <c r="C1059" s="33" t="s">
        <v>37</v>
      </c>
      <c r="D1059" s="34" t="s">
        <v>128</v>
      </c>
      <c r="E1059" s="35" t="str">
        <f t="shared" si="257"/>
        <v>PRBND'!</v>
      </c>
      <c r="F1059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59" s="32" t="s">
        <v>119</v>
      </c>
      <c r="H1059" s="33"/>
      <c r="I1059" s="33"/>
      <c r="J1059" s="37"/>
    </row>
    <row r="1060" spans="1:10" x14ac:dyDescent="0.35">
      <c r="A1060" s="32" t="s">
        <v>19</v>
      </c>
      <c r="B1060" s="32">
        <f t="shared" si="259"/>
        <v>2055</v>
      </c>
      <c r="C1060" s="33" t="s">
        <v>37</v>
      </c>
      <c r="D1060" s="34" t="s">
        <v>128</v>
      </c>
      <c r="E1060" s="35" t="str">
        <f t="shared" si="257"/>
        <v>PRBND'!</v>
      </c>
      <c r="F1060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60" s="32" t="s">
        <v>119</v>
      </c>
      <c r="H1060" s="33"/>
      <c r="I1060" s="33"/>
      <c r="J1060" s="37"/>
    </row>
    <row r="1061" spans="1:10" x14ac:dyDescent="0.35">
      <c r="A1061" s="32" t="s">
        <v>19</v>
      </c>
      <c r="B1061" s="32">
        <f t="shared" si="259"/>
        <v>2056</v>
      </c>
      <c r="C1061" s="33" t="s">
        <v>37</v>
      </c>
      <c r="D1061" s="34" t="s">
        <v>128</v>
      </c>
      <c r="E1061" s="35" t="str">
        <f t="shared" si="257"/>
        <v>PRBND'!</v>
      </c>
      <c r="F1061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61" s="32" t="s">
        <v>119</v>
      </c>
      <c r="H1061" s="33"/>
      <c r="I1061" s="33"/>
      <c r="J1061" s="37"/>
    </row>
    <row r="1062" spans="1:10" x14ac:dyDescent="0.35">
      <c r="A1062" s="32" t="s">
        <v>19</v>
      </c>
      <c r="B1062" s="32">
        <f t="shared" si="259"/>
        <v>2057</v>
      </c>
      <c r="C1062" s="33" t="s">
        <v>37</v>
      </c>
      <c r="D1062" s="34" t="s">
        <v>128</v>
      </c>
      <c r="E1062" s="35" t="str">
        <f t="shared" si="257"/>
        <v>PRBND'!</v>
      </c>
      <c r="F1062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62" s="32" t="s">
        <v>119</v>
      </c>
      <c r="H1062" s="33"/>
      <c r="I1062" s="33"/>
      <c r="J1062" s="37"/>
    </row>
    <row r="1063" spans="1:10" x14ac:dyDescent="0.35">
      <c r="A1063" s="32" t="s">
        <v>19</v>
      </c>
      <c r="B1063" s="32">
        <f t="shared" si="259"/>
        <v>2058</v>
      </c>
      <c r="C1063" s="33" t="s">
        <v>37</v>
      </c>
      <c r="D1063" s="34" t="s">
        <v>128</v>
      </c>
      <c r="E1063" s="35" t="str">
        <f t="shared" si="257"/>
        <v>PRBND'!</v>
      </c>
      <c r="F1063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63" s="32" t="s">
        <v>119</v>
      </c>
      <c r="H1063" s="33"/>
      <c r="I1063" s="33"/>
      <c r="J1063" s="37"/>
    </row>
    <row r="1064" spans="1:10" x14ac:dyDescent="0.35">
      <c r="A1064" s="32" t="s">
        <v>19</v>
      </c>
      <c r="B1064" s="32">
        <f t="shared" si="259"/>
        <v>2059</v>
      </c>
      <c r="C1064" s="33" t="s">
        <v>37</v>
      </c>
      <c r="D1064" s="34" t="s">
        <v>128</v>
      </c>
      <c r="E1064" s="35" t="str">
        <f t="shared" si="257"/>
        <v>PRBND'!</v>
      </c>
      <c r="F1064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64" s="32" t="s">
        <v>119</v>
      </c>
      <c r="H1064" s="33"/>
      <c r="I1064" s="33"/>
      <c r="J1064" s="37"/>
    </row>
    <row r="1065" spans="1:10" x14ac:dyDescent="0.35">
      <c r="A1065" s="32" t="s">
        <v>26</v>
      </c>
      <c r="B1065" s="32"/>
      <c r="C1065" s="33" t="s">
        <v>37</v>
      </c>
      <c r="D1065" s="34"/>
      <c r="E1065" s="35"/>
      <c r="F1065" s="34"/>
      <c r="G1065" s="32"/>
      <c r="H1065" s="33"/>
      <c r="I1065" s="33"/>
      <c r="J1065" s="33"/>
    </row>
    <row r="1066" spans="1:10" x14ac:dyDescent="0.35">
      <c r="A1066" s="32" t="s">
        <v>20</v>
      </c>
      <c r="B1066" s="32">
        <v>2023</v>
      </c>
      <c r="C1066" s="33" t="s">
        <v>37</v>
      </c>
      <c r="D1066" s="34" t="s">
        <v>128</v>
      </c>
      <c r="E1066" s="35" t="str">
        <f t="shared" si="228"/>
        <v>PRB'!</v>
      </c>
      <c r="F1066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66" s="32" t="s">
        <v>119</v>
      </c>
      <c r="H1066" s="33">
        <v>12</v>
      </c>
      <c r="I1066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ECP\Cantagallo\Cristalina\[CRISTALINA_CF_SEC_New_09-Feb-2024.xlsx]D-PRB'!$BZ$12</v>
      </c>
      <c r="J1066" s="37" t="s">
        <v>610</v>
      </c>
    </row>
    <row r="1067" spans="1:10" x14ac:dyDescent="0.35">
      <c r="A1067" s="32" t="s">
        <v>20</v>
      </c>
      <c r="B1067" s="32">
        <f>+B1066+1</f>
        <v>2024</v>
      </c>
      <c r="C1067" s="33" t="s">
        <v>37</v>
      </c>
      <c r="D1067" s="34" t="s">
        <v>128</v>
      </c>
      <c r="E1067" s="35" t="str">
        <f t="shared" si="228"/>
        <v>PRB'!</v>
      </c>
      <c r="F1067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67" s="32" t="s">
        <v>119</v>
      </c>
      <c r="H1067" s="33">
        <f t="shared" ref="H1067:H1086" si="260">IF(A1067&lt;&gt;A1066,12,H1066+1)</f>
        <v>13</v>
      </c>
      <c r="I1067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ECP\Cantagallo\Cristalina\[CRISTALINA_CF_SEC_New_09-Feb-2024.xlsx]D-PRB'!$BZ$13</v>
      </c>
      <c r="J1067" s="37" t="s">
        <v>611</v>
      </c>
    </row>
    <row r="1068" spans="1:10" x14ac:dyDescent="0.35">
      <c r="A1068" s="32" t="s">
        <v>20</v>
      </c>
      <c r="B1068" s="32">
        <f t="shared" ref="B1068:B1079" si="261">+B1067+1</f>
        <v>2025</v>
      </c>
      <c r="C1068" s="33" t="s">
        <v>37</v>
      </c>
      <c r="D1068" s="34" t="s">
        <v>128</v>
      </c>
      <c r="E1068" s="35" t="str">
        <f t="shared" si="228"/>
        <v>PRB'!</v>
      </c>
      <c r="F1068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68" s="32" t="s">
        <v>119</v>
      </c>
      <c r="H1068" s="33">
        <f t="shared" si="260"/>
        <v>14</v>
      </c>
      <c r="I1068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ECP\Cantagallo\Cristalina\[CRISTALINA_CF_SEC_New_09-Feb-2024.xlsx]D-PRB'!$BZ$14</v>
      </c>
      <c r="J1068" s="37" t="s">
        <v>612</v>
      </c>
    </row>
    <row r="1069" spans="1:10" x14ac:dyDescent="0.35">
      <c r="A1069" s="32" t="s">
        <v>20</v>
      </c>
      <c r="B1069" s="32">
        <f t="shared" si="261"/>
        <v>2026</v>
      </c>
      <c r="C1069" s="33" t="s">
        <v>37</v>
      </c>
      <c r="D1069" s="34" t="s">
        <v>128</v>
      </c>
      <c r="E1069" s="35" t="str">
        <f t="shared" si="228"/>
        <v>PRB'!</v>
      </c>
      <c r="F1069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69" s="32" t="s">
        <v>119</v>
      </c>
      <c r="H1069" s="33">
        <f t="shared" si="260"/>
        <v>15</v>
      </c>
      <c r="I1069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ECP\Cantagallo\Cristalina\[CRISTALINA_CF_SEC_New_09-Feb-2024.xlsx]D-PRB'!$BZ$15</v>
      </c>
      <c r="J1069" s="37" t="s">
        <v>613</v>
      </c>
    </row>
    <row r="1070" spans="1:10" x14ac:dyDescent="0.35">
      <c r="A1070" s="32" t="s">
        <v>20</v>
      </c>
      <c r="B1070" s="32">
        <f t="shared" si="261"/>
        <v>2027</v>
      </c>
      <c r="C1070" s="33" t="s">
        <v>37</v>
      </c>
      <c r="D1070" s="34" t="s">
        <v>128</v>
      </c>
      <c r="E1070" s="35" t="str">
        <f t="shared" si="228"/>
        <v>PRB'!</v>
      </c>
      <c r="F1070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70" s="32" t="s">
        <v>119</v>
      </c>
      <c r="H1070" s="33">
        <f t="shared" si="260"/>
        <v>16</v>
      </c>
      <c r="I1070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ECP\Cantagallo\Cristalina\[CRISTALINA_CF_SEC_New_09-Feb-2024.xlsx]D-PRB'!$BZ$16</v>
      </c>
      <c r="J1070" s="37" t="s">
        <v>614</v>
      </c>
    </row>
    <row r="1071" spans="1:10" x14ac:dyDescent="0.35">
      <c r="A1071" s="32" t="s">
        <v>20</v>
      </c>
      <c r="B1071" s="32">
        <f t="shared" si="261"/>
        <v>2028</v>
      </c>
      <c r="C1071" s="33" t="s">
        <v>37</v>
      </c>
      <c r="D1071" s="34" t="s">
        <v>128</v>
      </c>
      <c r="E1071" s="35" t="str">
        <f t="shared" si="228"/>
        <v>PRB'!</v>
      </c>
      <c r="F1071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71" s="32" t="s">
        <v>119</v>
      </c>
      <c r="H1071" s="33">
        <f t="shared" si="260"/>
        <v>17</v>
      </c>
      <c r="I1071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ECP\Cantagallo\Cristalina\[CRISTALINA_CF_SEC_New_09-Feb-2024.xlsx]D-PRB'!$BZ$17</v>
      </c>
      <c r="J1071" s="37" t="s">
        <v>615</v>
      </c>
    </row>
    <row r="1072" spans="1:10" x14ac:dyDescent="0.35">
      <c r="A1072" s="32" t="s">
        <v>20</v>
      </c>
      <c r="B1072" s="32">
        <f t="shared" si="261"/>
        <v>2029</v>
      </c>
      <c r="C1072" s="33" t="s">
        <v>37</v>
      </c>
      <c r="D1072" s="34" t="s">
        <v>128</v>
      </c>
      <c r="E1072" s="35" t="str">
        <f t="shared" si="228"/>
        <v>PRB'!</v>
      </c>
      <c r="F1072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72" s="32" t="s">
        <v>119</v>
      </c>
      <c r="H1072" s="33">
        <f t="shared" si="260"/>
        <v>18</v>
      </c>
      <c r="I1072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ECP\Cantagallo\Cristalina\[CRISTALINA_CF_SEC_New_09-Feb-2024.xlsx]D-PRB'!$BZ$18</v>
      </c>
      <c r="J1072" s="37" t="s">
        <v>616</v>
      </c>
    </row>
    <row r="1073" spans="1:10" x14ac:dyDescent="0.35">
      <c r="A1073" s="32" t="s">
        <v>20</v>
      </c>
      <c r="B1073" s="32">
        <f t="shared" si="261"/>
        <v>2030</v>
      </c>
      <c r="C1073" s="33" t="s">
        <v>37</v>
      </c>
      <c r="D1073" s="34" t="s">
        <v>128</v>
      </c>
      <c r="E1073" s="35" t="str">
        <f t="shared" si="228"/>
        <v>PRB'!</v>
      </c>
      <c r="F1073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73" s="32" t="s">
        <v>119</v>
      </c>
      <c r="H1073" s="33">
        <f t="shared" si="260"/>
        <v>19</v>
      </c>
      <c r="I1073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ECP\Cantagallo\Cristalina\[CRISTALINA_CF_SEC_New_09-Feb-2024.xlsx]D-PRB'!$BZ$19</v>
      </c>
      <c r="J1073" s="37" t="s">
        <v>617</v>
      </c>
    </row>
    <row r="1074" spans="1:10" x14ac:dyDescent="0.35">
      <c r="A1074" s="32" t="s">
        <v>20</v>
      </c>
      <c r="B1074" s="32">
        <f t="shared" si="261"/>
        <v>2031</v>
      </c>
      <c r="C1074" s="33" t="s">
        <v>37</v>
      </c>
      <c r="D1074" s="34" t="s">
        <v>128</v>
      </c>
      <c r="E1074" s="35" t="str">
        <f t="shared" si="228"/>
        <v>PRB'!</v>
      </c>
      <c r="F1074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74" s="32" t="s">
        <v>119</v>
      </c>
      <c r="H1074" s="33">
        <f t="shared" si="260"/>
        <v>20</v>
      </c>
      <c r="I1074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ECP\Cantagallo\Cristalina\[CRISTALINA_CF_SEC_New_09-Feb-2024.xlsx]D-PRB'!$BZ$20</v>
      </c>
      <c r="J1074" s="37" t="s">
        <v>618</v>
      </c>
    </row>
    <row r="1075" spans="1:10" x14ac:dyDescent="0.35">
      <c r="A1075" s="32" t="s">
        <v>20</v>
      </c>
      <c r="B1075" s="32">
        <f t="shared" si="261"/>
        <v>2032</v>
      </c>
      <c r="C1075" s="33" t="s">
        <v>37</v>
      </c>
      <c r="D1075" s="34" t="s">
        <v>128</v>
      </c>
      <c r="E1075" s="35" t="str">
        <f t="shared" si="228"/>
        <v>PRB'!</v>
      </c>
      <c r="F1075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75" s="32" t="s">
        <v>119</v>
      </c>
      <c r="H1075" s="33">
        <f t="shared" si="260"/>
        <v>21</v>
      </c>
      <c r="I1075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ECP\Cantagallo\Cristalina\[CRISTALINA_CF_SEC_New_09-Feb-2024.xlsx]D-PRB'!$BZ$21</v>
      </c>
      <c r="J1075" s="37" t="s">
        <v>619</v>
      </c>
    </row>
    <row r="1076" spans="1:10" x14ac:dyDescent="0.35">
      <c r="A1076" s="32" t="s">
        <v>20</v>
      </c>
      <c r="B1076" s="32">
        <f t="shared" si="261"/>
        <v>2033</v>
      </c>
      <c r="C1076" s="33" t="s">
        <v>37</v>
      </c>
      <c r="D1076" s="34" t="s">
        <v>128</v>
      </c>
      <c r="E1076" s="35" t="str">
        <f t="shared" si="228"/>
        <v>PRB'!</v>
      </c>
      <c r="F1076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76" s="32" t="s">
        <v>119</v>
      </c>
      <c r="H1076" s="33">
        <f t="shared" si="260"/>
        <v>22</v>
      </c>
      <c r="I1076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ECP\Cantagallo\Cristalina\[CRISTALINA_CF_SEC_New_09-Feb-2024.xlsx]D-PRB'!$BZ$22</v>
      </c>
      <c r="J1076" s="37" t="s">
        <v>620</v>
      </c>
    </row>
    <row r="1077" spans="1:10" x14ac:dyDescent="0.35">
      <c r="A1077" s="32" t="s">
        <v>20</v>
      </c>
      <c r="B1077" s="32">
        <f t="shared" si="261"/>
        <v>2034</v>
      </c>
      <c r="C1077" s="33" t="s">
        <v>37</v>
      </c>
      <c r="D1077" s="34" t="s">
        <v>128</v>
      </c>
      <c r="E1077" s="35" t="str">
        <f t="shared" si="228"/>
        <v>PRB'!</v>
      </c>
      <c r="F1077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77" s="32" t="s">
        <v>119</v>
      </c>
      <c r="H1077" s="33">
        <f t="shared" si="260"/>
        <v>23</v>
      </c>
      <c r="I1077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ECP\Cantagallo\Cristalina\[CRISTALINA_CF_SEC_New_09-Feb-2024.xlsx]D-PRB'!$BZ$23</v>
      </c>
      <c r="J1077" s="37" t="s">
        <v>621</v>
      </c>
    </row>
    <row r="1078" spans="1:10" x14ac:dyDescent="0.35">
      <c r="A1078" s="32" t="s">
        <v>20</v>
      </c>
      <c r="B1078" s="32">
        <f t="shared" si="261"/>
        <v>2035</v>
      </c>
      <c r="C1078" s="33" t="s">
        <v>37</v>
      </c>
      <c r="D1078" s="34" t="s">
        <v>128</v>
      </c>
      <c r="E1078" s="35" t="str">
        <f t="shared" si="228"/>
        <v>PRB'!</v>
      </c>
      <c r="F1078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78" s="32" t="s">
        <v>119</v>
      </c>
      <c r="H1078" s="33">
        <f t="shared" si="260"/>
        <v>24</v>
      </c>
      <c r="I1078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ECP\Cantagallo\Cristalina\[CRISTALINA_CF_SEC_New_09-Feb-2024.xlsx]D-PRB'!$BZ$24</v>
      </c>
      <c r="J1078" s="37" t="s">
        <v>622</v>
      </c>
    </row>
    <row r="1079" spans="1:10" x14ac:dyDescent="0.35">
      <c r="A1079" s="32" t="s">
        <v>20</v>
      </c>
      <c r="B1079" s="32">
        <f t="shared" si="261"/>
        <v>2036</v>
      </c>
      <c r="C1079" s="33" t="s">
        <v>37</v>
      </c>
      <c r="D1079" s="34" t="s">
        <v>128</v>
      </c>
      <c r="E1079" s="35" t="str">
        <f t="shared" si="228"/>
        <v>PRB'!</v>
      </c>
      <c r="F1079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79" s="32" t="s">
        <v>119</v>
      </c>
      <c r="H1079" s="33">
        <f t="shared" si="260"/>
        <v>25</v>
      </c>
      <c r="I1079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ECP\Cantagallo\Cristalina\[CRISTALINA_CF_SEC_New_09-Feb-2024.xlsx]D-PRB'!$BZ$25</v>
      </c>
      <c r="J1079" s="37" t="s">
        <v>623</v>
      </c>
    </row>
    <row r="1080" spans="1:10" x14ac:dyDescent="0.35">
      <c r="A1080" s="32" t="s">
        <v>20</v>
      </c>
      <c r="B1080" s="32">
        <f>+B1079+1</f>
        <v>2037</v>
      </c>
      <c r="C1080" s="33" t="s">
        <v>37</v>
      </c>
      <c r="D1080" s="34" t="s">
        <v>128</v>
      </c>
      <c r="E1080" s="35" t="str">
        <f t="shared" si="228"/>
        <v>PRB'!</v>
      </c>
      <c r="F1080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80" s="32" t="s">
        <v>119</v>
      </c>
      <c r="H1080" s="33">
        <f t="shared" si="260"/>
        <v>26</v>
      </c>
      <c r="I1080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ECP\Cantagallo\Cristalina\[CRISTALINA_CF_SEC_New_09-Feb-2024.xlsx]D-PRB'!$BZ$26</v>
      </c>
      <c r="J1080" s="37" t="s">
        <v>624</v>
      </c>
    </row>
    <row r="1081" spans="1:10" x14ac:dyDescent="0.35">
      <c r="A1081" s="32" t="s">
        <v>20</v>
      </c>
      <c r="B1081" s="32">
        <f t="shared" ref="B1081:B1083" si="262">+B1080+1</f>
        <v>2038</v>
      </c>
      <c r="C1081" s="33" t="s">
        <v>37</v>
      </c>
      <c r="D1081" s="34" t="s">
        <v>128</v>
      </c>
      <c r="E1081" s="35" t="str">
        <f t="shared" si="228"/>
        <v>PRB'!</v>
      </c>
      <c r="F1081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81" s="32" t="s">
        <v>119</v>
      </c>
      <c r="H1081" s="33">
        <f t="shared" si="260"/>
        <v>27</v>
      </c>
      <c r="I1081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ECP\Cantagallo\Cristalina\[CRISTALINA_CF_SEC_New_09-Feb-2024.xlsx]D-PRB'!$BZ$27</v>
      </c>
      <c r="J1081" s="37" t="s">
        <v>625</v>
      </c>
    </row>
    <row r="1082" spans="1:10" x14ac:dyDescent="0.35">
      <c r="A1082" s="32" t="s">
        <v>20</v>
      </c>
      <c r="B1082" s="32">
        <f t="shared" si="262"/>
        <v>2039</v>
      </c>
      <c r="C1082" s="33" t="s">
        <v>37</v>
      </c>
      <c r="D1082" s="34" t="s">
        <v>128</v>
      </c>
      <c r="E1082" s="35" t="str">
        <f t="shared" si="228"/>
        <v>PRB'!</v>
      </c>
      <c r="F1082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82" s="32" t="s">
        <v>119</v>
      </c>
      <c r="H1082" s="33">
        <f t="shared" si="260"/>
        <v>28</v>
      </c>
      <c r="I1082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ECP\Cantagallo\Cristalina\[CRISTALINA_CF_SEC_New_09-Feb-2024.xlsx]D-PRB'!$BZ$28</v>
      </c>
      <c r="J1082" s="37" t="s">
        <v>626</v>
      </c>
    </row>
    <row r="1083" spans="1:10" x14ac:dyDescent="0.35">
      <c r="A1083" s="32" t="s">
        <v>20</v>
      </c>
      <c r="B1083" s="32">
        <f t="shared" si="262"/>
        <v>2040</v>
      </c>
      <c r="C1083" s="33" t="s">
        <v>37</v>
      </c>
      <c r="D1083" s="34" t="s">
        <v>128</v>
      </c>
      <c r="E1083" s="35" t="str">
        <f t="shared" si="228"/>
        <v>PRB'!</v>
      </c>
      <c r="F1083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83" s="32" t="s">
        <v>119</v>
      </c>
      <c r="H1083" s="33">
        <f t="shared" si="260"/>
        <v>29</v>
      </c>
      <c r="I1083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ECP\Cantagallo\Cristalina\[CRISTALINA_CF_SEC_New_09-Feb-2024.xlsx]D-PRB'!$BZ$29</v>
      </c>
      <c r="J1083" s="37" t="s">
        <v>627</v>
      </c>
    </row>
    <row r="1084" spans="1:10" x14ac:dyDescent="0.35">
      <c r="A1084" s="32" t="s">
        <v>20</v>
      </c>
      <c r="B1084" s="32">
        <f>+B1083+1</f>
        <v>2041</v>
      </c>
      <c r="C1084" s="33" t="s">
        <v>37</v>
      </c>
      <c r="D1084" s="34" t="s">
        <v>128</v>
      </c>
      <c r="E1084" s="35" t="str">
        <f t="shared" si="228"/>
        <v>PRB'!</v>
      </c>
      <c r="F1084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84" s="32" t="s">
        <v>119</v>
      </c>
      <c r="H1084" s="33">
        <f t="shared" si="260"/>
        <v>30</v>
      </c>
      <c r="I1084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ECP\Cantagallo\Cristalina\[CRISTALINA_CF_SEC_New_09-Feb-2024.xlsx]D-PRB'!$BZ$30</v>
      </c>
      <c r="J1084" s="37" t="s">
        <v>628</v>
      </c>
    </row>
    <row r="1085" spans="1:10" x14ac:dyDescent="0.35">
      <c r="A1085" s="32" t="s">
        <v>20</v>
      </c>
      <c r="B1085" s="32">
        <f t="shared" ref="B1085:B1086" si="263">+B1084+1</f>
        <v>2042</v>
      </c>
      <c r="C1085" s="33" t="s">
        <v>37</v>
      </c>
      <c r="D1085" s="34" t="s">
        <v>128</v>
      </c>
      <c r="E1085" s="35" t="str">
        <f t="shared" si="228"/>
        <v>PRB'!</v>
      </c>
      <c r="F1085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85" s="32" t="s">
        <v>119</v>
      </c>
      <c r="H1085" s="33">
        <f t="shared" si="260"/>
        <v>31</v>
      </c>
      <c r="I1085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ECP\Cantagallo\Cristalina\[CRISTALINA_CF_SEC_New_09-Feb-2024.xlsx]D-PRB'!$BZ$31</v>
      </c>
      <c r="J1085" s="37" t="s">
        <v>629</v>
      </c>
    </row>
    <row r="1086" spans="1:10" x14ac:dyDescent="0.35">
      <c r="A1086" s="32" t="s">
        <v>20</v>
      </c>
      <c r="B1086" s="32">
        <f t="shared" si="263"/>
        <v>2043</v>
      </c>
      <c r="C1086" s="33" t="s">
        <v>37</v>
      </c>
      <c r="D1086" s="34" t="s">
        <v>128</v>
      </c>
      <c r="E1086" s="35" t="str">
        <f t="shared" si="228"/>
        <v>PRB'!</v>
      </c>
      <c r="F1086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86" s="32" t="s">
        <v>119</v>
      </c>
      <c r="H1086" s="33">
        <f t="shared" si="260"/>
        <v>32</v>
      </c>
      <c r="I1086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ECP\Cantagallo\Cristalina\[CRISTALINA_CF_SEC_New_09-Feb-2024.xlsx]D-PRB'!$BZ$32</v>
      </c>
      <c r="J1086" s="37" t="s">
        <v>630</v>
      </c>
    </row>
    <row r="1087" spans="1:10" x14ac:dyDescent="0.35">
      <c r="A1087" s="32" t="s">
        <v>20</v>
      </c>
      <c r="B1087" s="32">
        <f>+B1086+1</f>
        <v>2044</v>
      </c>
      <c r="C1087" s="33" t="s">
        <v>37</v>
      </c>
      <c r="D1087" s="34" t="s">
        <v>128</v>
      </c>
      <c r="E1087" s="35" t="str">
        <f t="shared" ref="E1087:E1102" si="264">_xlfn.CONCAT(A1087,"'!")</f>
        <v>PRB'!</v>
      </c>
      <c r="F1087" s="34" t="str">
        <f t="shared" ref="F1087:F1102" si="265">_xlfn.CONCAT(D1087:E1087)</f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87" s="32" t="s">
        <v>119</v>
      </c>
      <c r="H1087" s="33">
        <f t="shared" ref="H1087:H1102" si="266">IF(A1087&lt;&gt;A1086,12,H1086+1)</f>
        <v>33</v>
      </c>
      <c r="I1087" s="33" t="str">
        <f t="shared" ref="I1087:I1102" si="267">_xlfn.CONCAT("='",F1087:H1087)</f>
        <v>='C:\Users\jaime.benazar\Quorum Business Solutions\Ecopetrol Prometeo - Documents\Planning Space Implementation\3. Analysis &amp; Design\Design\FC22\DRR Jaime\Por presentar a ECP\Cantagallo\Cristalina\[CRISTALINA_CF_SEC_New_09-Feb-2024.xlsx]D-PRB'!$BZ$33</v>
      </c>
      <c r="J1087" s="37" t="s">
        <v>631</v>
      </c>
    </row>
    <row r="1088" spans="1:10" x14ac:dyDescent="0.35">
      <c r="A1088" s="32" t="s">
        <v>20</v>
      </c>
      <c r="B1088" s="32">
        <f t="shared" ref="B1088:B1102" si="268">+B1087+1</f>
        <v>2045</v>
      </c>
      <c r="C1088" s="33" t="s">
        <v>37</v>
      </c>
      <c r="D1088" s="34" t="s">
        <v>128</v>
      </c>
      <c r="E1088" s="35" t="str">
        <f t="shared" si="264"/>
        <v>PRB'!</v>
      </c>
      <c r="F1088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88" s="32" t="s">
        <v>119</v>
      </c>
      <c r="H1088" s="33">
        <f t="shared" si="266"/>
        <v>34</v>
      </c>
      <c r="I1088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ECP\Cantagallo\Cristalina\[CRISTALINA_CF_SEC_New_09-Feb-2024.xlsx]D-PRB'!$BZ$34</v>
      </c>
      <c r="J1088" s="37" t="s">
        <v>632</v>
      </c>
    </row>
    <row r="1089" spans="1:10" x14ac:dyDescent="0.35">
      <c r="A1089" s="32" t="s">
        <v>20</v>
      </c>
      <c r="B1089" s="32">
        <f t="shared" si="268"/>
        <v>2046</v>
      </c>
      <c r="C1089" s="33" t="s">
        <v>37</v>
      </c>
      <c r="D1089" s="34" t="s">
        <v>128</v>
      </c>
      <c r="E1089" s="35" t="str">
        <f t="shared" si="264"/>
        <v>PRB'!</v>
      </c>
      <c r="F1089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89" s="32" t="s">
        <v>119</v>
      </c>
      <c r="H1089" s="33">
        <f t="shared" si="266"/>
        <v>35</v>
      </c>
      <c r="I1089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ECP\Cantagallo\Cristalina\[CRISTALINA_CF_SEC_New_09-Feb-2024.xlsx]D-PRB'!$BZ$35</v>
      </c>
      <c r="J1089" s="37" t="s">
        <v>633</v>
      </c>
    </row>
    <row r="1090" spans="1:10" x14ac:dyDescent="0.35">
      <c r="A1090" s="32" t="s">
        <v>20</v>
      </c>
      <c r="B1090" s="32">
        <f t="shared" si="268"/>
        <v>2047</v>
      </c>
      <c r="C1090" s="33" t="s">
        <v>37</v>
      </c>
      <c r="D1090" s="34" t="s">
        <v>128</v>
      </c>
      <c r="E1090" s="35" t="str">
        <f t="shared" si="264"/>
        <v>PRB'!</v>
      </c>
      <c r="F1090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90" s="32" t="s">
        <v>119</v>
      </c>
      <c r="H1090" s="33">
        <f t="shared" si="266"/>
        <v>36</v>
      </c>
      <c r="I1090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ECP\Cantagallo\Cristalina\[CRISTALINA_CF_SEC_New_09-Feb-2024.xlsx]D-PRB'!$BZ$36</v>
      </c>
      <c r="J1090" s="37" t="s">
        <v>634</v>
      </c>
    </row>
    <row r="1091" spans="1:10" x14ac:dyDescent="0.35">
      <c r="A1091" s="32" t="s">
        <v>20</v>
      </c>
      <c r="B1091" s="32">
        <f t="shared" si="268"/>
        <v>2048</v>
      </c>
      <c r="C1091" s="33" t="s">
        <v>37</v>
      </c>
      <c r="D1091" s="34" t="s">
        <v>128</v>
      </c>
      <c r="E1091" s="35" t="str">
        <f t="shared" si="264"/>
        <v>PRB'!</v>
      </c>
      <c r="F1091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91" s="32" t="s">
        <v>119</v>
      </c>
      <c r="H1091" s="33">
        <f t="shared" si="266"/>
        <v>37</v>
      </c>
      <c r="I1091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ECP\Cantagallo\Cristalina\[CRISTALINA_CF_SEC_New_09-Feb-2024.xlsx]D-PRB'!$BZ$37</v>
      </c>
      <c r="J1091" s="37" t="s">
        <v>635</v>
      </c>
    </row>
    <row r="1092" spans="1:10" x14ac:dyDescent="0.35">
      <c r="A1092" s="32" t="s">
        <v>20</v>
      </c>
      <c r="B1092" s="32">
        <f t="shared" si="268"/>
        <v>2049</v>
      </c>
      <c r="C1092" s="33" t="s">
        <v>37</v>
      </c>
      <c r="D1092" s="34" t="s">
        <v>128</v>
      </c>
      <c r="E1092" s="35" t="str">
        <f t="shared" si="264"/>
        <v>PRB'!</v>
      </c>
      <c r="F1092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92" s="32" t="s">
        <v>119</v>
      </c>
      <c r="H1092" s="33">
        <f t="shared" si="266"/>
        <v>38</v>
      </c>
      <c r="I1092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ECP\Cantagallo\Cristalina\[CRISTALINA_CF_SEC_New_09-Feb-2024.xlsx]D-PRB'!$BZ$38</v>
      </c>
      <c r="J1092" s="37" t="s">
        <v>636</v>
      </c>
    </row>
    <row r="1093" spans="1:10" x14ac:dyDescent="0.35">
      <c r="A1093" s="32" t="s">
        <v>20</v>
      </c>
      <c r="B1093" s="32">
        <f t="shared" si="268"/>
        <v>2050</v>
      </c>
      <c r="C1093" s="33" t="s">
        <v>37</v>
      </c>
      <c r="D1093" s="34" t="s">
        <v>128</v>
      </c>
      <c r="E1093" s="35" t="str">
        <f t="shared" si="264"/>
        <v>PRB'!</v>
      </c>
      <c r="F1093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93" s="32" t="s">
        <v>119</v>
      </c>
      <c r="H1093" s="33">
        <f t="shared" si="266"/>
        <v>39</v>
      </c>
      <c r="I1093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ECP\Cantagallo\Cristalina\[CRISTALINA_CF_SEC_New_09-Feb-2024.xlsx]D-PRB'!$BZ$39</v>
      </c>
      <c r="J1093" s="37" t="s">
        <v>637</v>
      </c>
    </row>
    <row r="1094" spans="1:10" x14ac:dyDescent="0.35">
      <c r="A1094" s="32" t="s">
        <v>20</v>
      </c>
      <c r="B1094" s="32">
        <f t="shared" si="268"/>
        <v>2051</v>
      </c>
      <c r="C1094" s="33" t="s">
        <v>37</v>
      </c>
      <c r="D1094" s="34" t="s">
        <v>128</v>
      </c>
      <c r="E1094" s="35" t="str">
        <f t="shared" si="264"/>
        <v>PRB'!</v>
      </c>
      <c r="F1094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94" s="32" t="s">
        <v>119</v>
      </c>
      <c r="H1094" s="33">
        <f t="shared" si="266"/>
        <v>40</v>
      </c>
      <c r="I1094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ECP\Cantagallo\Cristalina\[CRISTALINA_CF_SEC_New_09-Feb-2024.xlsx]D-PRB'!$BZ$40</v>
      </c>
      <c r="J1094" s="37" t="s">
        <v>638</v>
      </c>
    </row>
    <row r="1095" spans="1:10" x14ac:dyDescent="0.35">
      <c r="A1095" s="32" t="s">
        <v>20</v>
      </c>
      <c r="B1095" s="32">
        <f t="shared" si="268"/>
        <v>2052</v>
      </c>
      <c r="C1095" s="33" t="s">
        <v>37</v>
      </c>
      <c r="D1095" s="34" t="s">
        <v>128</v>
      </c>
      <c r="E1095" s="35" t="str">
        <f t="shared" si="264"/>
        <v>PRB'!</v>
      </c>
      <c r="F1095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95" s="32" t="s">
        <v>119</v>
      </c>
      <c r="H1095" s="33">
        <f t="shared" si="266"/>
        <v>41</v>
      </c>
      <c r="I1095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ECP\Cantagallo\Cristalina\[CRISTALINA_CF_SEC_New_09-Feb-2024.xlsx]D-PRB'!$BZ$41</v>
      </c>
      <c r="J1095" s="37" t="s">
        <v>639</v>
      </c>
    </row>
    <row r="1096" spans="1:10" x14ac:dyDescent="0.35">
      <c r="A1096" s="32" t="s">
        <v>20</v>
      </c>
      <c r="B1096" s="32">
        <f t="shared" si="268"/>
        <v>2053</v>
      </c>
      <c r="C1096" s="33" t="s">
        <v>37</v>
      </c>
      <c r="D1096" s="34" t="s">
        <v>128</v>
      </c>
      <c r="E1096" s="35" t="str">
        <f t="shared" si="264"/>
        <v>PRB'!</v>
      </c>
      <c r="F1096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96" s="32" t="s">
        <v>119</v>
      </c>
      <c r="H1096" s="33">
        <f t="shared" si="266"/>
        <v>42</v>
      </c>
      <c r="I1096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ECP\Cantagallo\Cristalina\[CRISTALINA_CF_SEC_New_09-Feb-2024.xlsx]D-PRB'!$BZ$42</v>
      </c>
      <c r="J1096" s="37" t="s">
        <v>640</v>
      </c>
    </row>
    <row r="1097" spans="1:10" x14ac:dyDescent="0.35">
      <c r="A1097" s="32" t="s">
        <v>20</v>
      </c>
      <c r="B1097" s="32">
        <f t="shared" si="268"/>
        <v>2054</v>
      </c>
      <c r="C1097" s="33" t="s">
        <v>37</v>
      </c>
      <c r="D1097" s="34" t="s">
        <v>128</v>
      </c>
      <c r="E1097" s="35" t="str">
        <f t="shared" si="264"/>
        <v>PRB'!</v>
      </c>
      <c r="F1097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97" s="32" t="s">
        <v>119</v>
      </c>
      <c r="H1097" s="33">
        <f t="shared" si="266"/>
        <v>43</v>
      </c>
      <c r="I1097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ECP\Cantagallo\Cristalina\[CRISTALINA_CF_SEC_New_09-Feb-2024.xlsx]D-PRB'!$BZ$43</v>
      </c>
      <c r="J1097" s="37" t="s">
        <v>641</v>
      </c>
    </row>
    <row r="1098" spans="1:10" x14ac:dyDescent="0.35">
      <c r="A1098" s="32" t="s">
        <v>20</v>
      </c>
      <c r="B1098" s="32">
        <f t="shared" si="268"/>
        <v>2055</v>
      </c>
      <c r="C1098" s="33" t="s">
        <v>37</v>
      </c>
      <c r="D1098" s="34" t="s">
        <v>128</v>
      </c>
      <c r="E1098" s="35" t="str">
        <f t="shared" si="264"/>
        <v>PRB'!</v>
      </c>
      <c r="F1098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98" s="32" t="s">
        <v>119</v>
      </c>
      <c r="H1098" s="33">
        <f t="shared" si="266"/>
        <v>44</v>
      </c>
      <c r="I1098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ECP\Cantagallo\Cristalina\[CRISTALINA_CF_SEC_New_09-Feb-2024.xlsx]D-PRB'!$BZ$44</v>
      </c>
      <c r="J1098" s="37" t="s">
        <v>642</v>
      </c>
    </row>
    <row r="1099" spans="1:10" x14ac:dyDescent="0.35">
      <c r="A1099" s="32" t="s">
        <v>20</v>
      </c>
      <c r="B1099" s="32">
        <f t="shared" si="268"/>
        <v>2056</v>
      </c>
      <c r="C1099" s="33" t="s">
        <v>37</v>
      </c>
      <c r="D1099" s="34" t="s">
        <v>128</v>
      </c>
      <c r="E1099" s="35" t="str">
        <f t="shared" si="264"/>
        <v>PRB'!</v>
      </c>
      <c r="F1099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99" s="32" t="s">
        <v>119</v>
      </c>
      <c r="H1099" s="33">
        <f t="shared" si="266"/>
        <v>45</v>
      </c>
      <c r="I1099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ECP\Cantagallo\Cristalina\[CRISTALINA_CF_SEC_New_09-Feb-2024.xlsx]D-PRB'!$BZ$45</v>
      </c>
      <c r="J1099" s="37" t="s">
        <v>643</v>
      </c>
    </row>
    <row r="1100" spans="1:10" x14ac:dyDescent="0.35">
      <c r="A1100" s="32" t="s">
        <v>20</v>
      </c>
      <c r="B1100" s="32">
        <f t="shared" si="268"/>
        <v>2057</v>
      </c>
      <c r="C1100" s="33" t="s">
        <v>37</v>
      </c>
      <c r="D1100" s="34" t="s">
        <v>128</v>
      </c>
      <c r="E1100" s="35" t="str">
        <f t="shared" si="264"/>
        <v>PRB'!</v>
      </c>
      <c r="F1100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100" s="32" t="s">
        <v>119</v>
      </c>
      <c r="H1100" s="33">
        <f t="shared" si="266"/>
        <v>46</v>
      </c>
      <c r="I1100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ECP\Cantagallo\Cristalina\[CRISTALINA_CF_SEC_New_09-Feb-2024.xlsx]D-PRB'!$BZ$46</v>
      </c>
      <c r="J1100" s="37" t="s">
        <v>644</v>
      </c>
    </row>
    <row r="1101" spans="1:10" x14ac:dyDescent="0.35">
      <c r="A1101" s="32" t="s">
        <v>20</v>
      </c>
      <c r="B1101" s="32">
        <f t="shared" si="268"/>
        <v>2058</v>
      </c>
      <c r="C1101" s="33" t="s">
        <v>37</v>
      </c>
      <c r="D1101" s="34" t="s">
        <v>128</v>
      </c>
      <c r="E1101" s="35" t="str">
        <f t="shared" si="264"/>
        <v>PRB'!</v>
      </c>
      <c r="F1101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101" s="32" t="s">
        <v>119</v>
      </c>
      <c r="H1101" s="33">
        <f t="shared" si="266"/>
        <v>47</v>
      </c>
      <c r="I1101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ECP\Cantagallo\Cristalina\[CRISTALINA_CF_SEC_New_09-Feb-2024.xlsx]D-PRB'!$BZ$47</v>
      </c>
      <c r="J1101" s="37" t="s">
        <v>645</v>
      </c>
    </row>
    <row r="1102" spans="1:10" x14ac:dyDescent="0.35">
      <c r="A1102" s="32" t="s">
        <v>20</v>
      </c>
      <c r="B1102" s="32">
        <f t="shared" si="268"/>
        <v>2059</v>
      </c>
      <c r="C1102" s="33" t="s">
        <v>37</v>
      </c>
      <c r="D1102" s="34" t="s">
        <v>128</v>
      </c>
      <c r="E1102" s="35" t="str">
        <f t="shared" si="264"/>
        <v>PRB'!</v>
      </c>
      <c r="F1102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102" s="32" t="s">
        <v>119</v>
      </c>
      <c r="H1102" s="33">
        <f t="shared" si="266"/>
        <v>48</v>
      </c>
      <c r="I1102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ECP\Cantagallo\Cristalina\[CRISTALINA_CF_SEC_New_09-Feb-2024.xlsx]D-PRB'!$BZ$48</v>
      </c>
      <c r="J1102" s="37" t="s">
        <v>646</v>
      </c>
    </row>
    <row r="1103" spans="1:10" x14ac:dyDescent="0.35">
      <c r="A1103" s="32" t="s">
        <v>26</v>
      </c>
      <c r="B1103" s="32"/>
      <c r="C1103" s="33" t="s">
        <v>37</v>
      </c>
      <c r="D1103" s="34"/>
      <c r="E1103" s="35"/>
      <c r="F1103" s="34"/>
      <c r="G1103" s="32"/>
      <c r="H1103" s="33"/>
      <c r="I1103" s="33"/>
      <c r="J1103" s="33"/>
    </row>
    <row r="1104" spans="1:10" x14ac:dyDescent="0.35">
      <c r="A1104" s="32" t="s">
        <v>21</v>
      </c>
      <c r="B1104" s="32">
        <v>2023</v>
      </c>
      <c r="C1104" s="33" t="s">
        <v>37</v>
      </c>
      <c r="D1104" s="34" t="s">
        <v>128</v>
      </c>
      <c r="E1104" s="35" t="str">
        <f t="shared" ref="E1104:E1124" si="269">_xlfn.CONCAT(A1104,"'!")</f>
        <v>PSDP'!</v>
      </c>
      <c r="F1104" s="34" t="str">
        <f t="shared" ref="F1104:F1124" si="270">_xlfn.CONCAT(D1104:E1104)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04" s="32" t="s">
        <v>119</v>
      </c>
      <c r="H1104" s="33"/>
      <c r="I1104" s="33"/>
      <c r="J1104" s="37"/>
    </row>
    <row r="1105" spans="1:10" x14ac:dyDescent="0.35">
      <c r="A1105" s="32" t="s">
        <v>21</v>
      </c>
      <c r="B1105" s="32">
        <f>+B1104+1</f>
        <v>2024</v>
      </c>
      <c r="C1105" s="33" t="s">
        <v>37</v>
      </c>
      <c r="D1105" s="34" t="s">
        <v>128</v>
      </c>
      <c r="E1105" s="35" t="str">
        <f t="shared" si="269"/>
        <v>PSDP'!</v>
      </c>
      <c r="F1105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05" s="32" t="s">
        <v>119</v>
      </c>
      <c r="H1105" s="33"/>
      <c r="I1105" s="33"/>
      <c r="J1105" s="37"/>
    </row>
    <row r="1106" spans="1:10" x14ac:dyDescent="0.35">
      <c r="A1106" s="32" t="s">
        <v>21</v>
      </c>
      <c r="B1106" s="32">
        <f t="shared" ref="B1106:B1117" si="271">+B1105+1</f>
        <v>2025</v>
      </c>
      <c r="C1106" s="33" t="s">
        <v>37</v>
      </c>
      <c r="D1106" s="34" t="s">
        <v>128</v>
      </c>
      <c r="E1106" s="35" t="str">
        <f t="shared" si="269"/>
        <v>PSDP'!</v>
      </c>
      <c r="F1106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06" s="32" t="s">
        <v>119</v>
      </c>
      <c r="H1106" s="33"/>
      <c r="I1106" s="33"/>
      <c r="J1106" s="37"/>
    </row>
    <row r="1107" spans="1:10" x14ac:dyDescent="0.35">
      <c r="A1107" s="32" t="s">
        <v>21</v>
      </c>
      <c r="B1107" s="32">
        <f t="shared" si="271"/>
        <v>2026</v>
      </c>
      <c r="C1107" s="33" t="s">
        <v>37</v>
      </c>
      <c r="D1107" s="34" t="s">
        <v>128</v>
      </c>
      <c r="E1107" s="35" t="str">
        <f t="shared" si="269"/>
        <v>PSDP'!</v>
      </c>
      <c r="F1107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07" s="32" t="s">
        <v>119</v>
      </c>
      <c r="H1107" s="33"/>
      <c r="I1107" s="33"/>
      <c r="J1107" s="37"/>
    </row>
    <row r="1108" spans="1:10" x14ac:dyDescent="0.35">
      <c r="A1108" s="32" t="s">
        <v>21</v>
      </c>
      <c r="B1108" s="32">
        <f t="shared" si="271"/>
        <v>2027</v>
      </c>
      <c r="C1108" s="33" t="s">
        <v>37</v>
      </c>
      <c r="D1108" s="34" t="s">
        <v>128</v>
      </c>
      <c r="E1108" s="35" t="str">
        <f t="shared" si="269"/>
        <v>PSDP'!</v>
      </c>
      <c r="F1108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08" s="32" t="s">
        <v>119</v>
      </c>
      <c r="H1108" s="33"/>
      <c r="I1108" s="33"/>
      <c r="J1108" s="37"/>
    </row>
    <row r="1109" spans="1:10" x14ac:dyDescent="0.35">
      <c r="A1109" s="32" t="s">
        <v>21</v>
      </c>
      <c r="B1109" s="32">
        <f t="shared" si="271"/>
        <v>2028</v>
      </c>
      <c r="C1109" s="33" t="s">
        <v>37</v>
      </c>
      <c r="D1109" s="34" t="s">
        <v>128</v>
      </c>
      <c r="E1109" s="35" t="str">
        <f t="shared" si="269"/>
        <v>PSDP'!</v>
      </c>
      <c r="F1109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09" s="32" t="s">
        <v>119</v>
      </c>
      <c r="H1109" s="33"/>
      <c r="I1109" s="33"/>
      <c r="J1109" s="37"/>
    </row>
    <row r="1110" spans="1:10" x14ac:dyDescent="0.35">
      <c r="A1110" s="32" t="s">
        <v>21</v>
      </c>
      <c r="B1110" s="32">
        <f t="shared" si="271"/>
        <v>2029</v>
      </c>
      <c r="C1110" s="33" t="s">
        <v>37</v>
      </c>
      <c r="D1110" s="34" t="s">
        <v>128</v>
      </c>
      <c r="E1110" s="35" t="str">
        <f t="shared" si="269"/>
        <v>PSDP'!</v>
      </c>
      <c r="F1110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10" s="32" t="s">
        <v>119</v>
      </c>
      <c r="H1110" s="33"/>
      <c r="I1110" s="33"/>
      <c r="J1110" s="37"/>
    </row>
    <row r="1111" spans="1:10" x14ac:dyDescent="0.35">
      <c r="A1111" s="32" t="s">
        <v>21</v>
      </c>
      <c r="B1111" s="32">
        <f t="shared" si="271"/>
        <v>2030</v>
      </c>
      <c r="C1111" s="33" t="s">
        <v>37</v>
      </c>
      <c r="D1111" s="34" t="s">
        <v>128</v>
      </c>
      <c r="E1111" s="35" t="str">
        <f t="shared" si="269"/>
        <v>PSDP'!</v>
      </c>
      <c r="F1111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11" s="32" t="s">
        <v>119</v>
      </c>
      <c r="H1111" s="33"/>
      <c r="I1111" s="33"/>
      <c r="J1111" s="37"/>
    </row>
    <row r="1112" spans="1:10" x14ac:dyDescent="0.35">
      <c r="A1112" s="32" t="s">
        <v>21</v>
      </c>
      <c r="B1112" s="32">
        <f t="shared" si="271"/>
        <v>2031</v>
      </c>
      <c r="C1112" s="33" t="s">
        <v>37</v>
      </c>
      <c r="D1112" s="34" t="s">
        <v>128</v>
      </c>
      <c r="E1112" s="35" t="str">
        <f t="shared" si="269"/>
        <v>PSDP'!</v>
      </c>
      <c r="F1112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12" s="32" t="s">
        <v>119</v>
      </c>
      <c r="H1112" s="33"/>
      <c r="I1112" s="33"/>
      <c r="J1112" s="37"/>
    </row>
    <row r="1113" spans="1:10" x14ac:dyDescent="0.35">
      <c r="A1113" s="32" t="s">
        <v>21</v>
      </c>
      <c r="B1113" s="32">
        <f t="shared" si="271"/>
        <v>2032</v>
      </c>
      <c r="C1113" s="33" t="s">
        <v>37</v>
      </c>
      <c r="D1113" s="34" t="s">
        <v>128</v>
      </c>
      <c r="E1113" s="35" t="str">
        <f t="shared" si="269"/>
        <v>PSDP'!</v>
      </c>
      <c r="F1113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13" s="32" t="s">
        <v>119</v>
      </c>
      <c r="H1113" s="33"/>
      <c r="I1113" s="33"/>
      <c r="J1113" s="37"/>
    </row>
    <row r="1114" spans="1:10" x14ac:dyDescent="0.35">
      <c r="A1114" s="32" t="s">
        <v>21</v>
      </c>
      <c r="B1114" s="32">
        <f t="shared" si="271"/>
        <v>2033</v>
      </c>
      <c r="C1114" s="33" t="s">
        <v>37</v>
      </c>
      <c r="D1114" s="34" t="s">
        <v>128</v>
      </c>
      <c r="E1114" s="35" t="str">
        <f t="shared" si="269"/>
        <v>PSDP'!</v>
      </c>
      <c r="F1114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14" s="32" t="s">
        <v>119</v>
      </c>
      <c r="H1114" s="33"/>
      <c r="I1114" s="33"/>
      <c r="J1114" s="37"/>
    </row>
    <row r="1115" spans="1:10" x14ac:dyDescent="0.35">
      <c r="A1115" s="32" t="s">
        <v>21</v>
      </c>
      <c r="B1115" s="32">
        <f t="shared" si="271"/>
        <v>2034</v>
      </c>
      <c r="C1115" s="33" t="s">
        <v>37</v>
      </c>
      <c r="D1115" s="34" t="s">
        <v>128</v>
      </c>
      <c r="E1115" s="35" t="str">
        <f t="shared" si="269"/>
        <v>PSDP'!</v>
      </c>
      <c r="F1115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15" s="32" t="s">
        <v>119</v>
      </c>
      <c r="H1115" s="33"/>
      <c r="I1115" s="33"/>
      <c r="J1115" s="37"/>
    </row>
    <row r="1116" spans="1:10" x14ac:dyDescent="0.35">
      <c r="A1116" s="32" t="s">
        <v>21</v>
      </c>
      <c r="B1116" s="32">
        <f t="shared" si="271"/>
        <v>2035</v>
      </c>
      <c r="C1116" s="33" t="s">
        <v>37</v>
      </c>
      <c r="D1116" s="34" t="s">
        <v>128</v>
      </c>
      <c r="E1116" s="35" t="str">
        <f t="shared" si="269"/>
        <v>PSDP'!</v>
      </c>
      <c r="F1116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16" s="32" t="s">
        <v>119</v>
      </c>
      <c r="H1116" s="33"/>
      <c r="I1116" s="33"/>
      <c r="J1116" s="37"/>
    </row>
    <row r="1117" spans="1:10" x14ac:dyDescent="0.35">
      <c r="A1117" s="32" t="s">
        <v>21</v>
      </c>
      <c r="B1117" s="32">
        <f t="shared" si="271"/>
        <v>2036</v>
      </c>
      <c r="C1117" s="33" t="s">
        <v>37</v>
      </c>
      <c r="D1117" s="34" t="s">
        <v>128</v>
      </c>
      <c r="E1117" s="35" t="str">
        <f t="shared" si="269"/>
        <v>PSDP'!</v>
      </c>
      <c r="F1117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17" s="32" t="s">
        <v>119</v>
      </c>
      <c r="H1117" s="33"/>
      <c r="I1117" s="33"/>
      <c r="J1117" s="37"/>
    </row>
    <row r="1118" spans="1:10" x14ac:dyDescent="0.35">
      <c r="A1118" s="32" t="s">
        <v>21</v>
      </c>
      <c r="B1118" s="32">
        <f>+B1117+1</f>
        <v>2037</v>
      </c>
      <c r="C1118" s="33" t="s">
        <v>37</v>
      </c>
      <c r="D1118" s="34" t="s">
        <v>128</v>
      </c>
      <c r="E1118" s="35" t="str">
        <f t="shared" si="269"/>
        <v>PSDP'!</v>
      </c>
      <c r="F1118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18" s="32" t="s">
        <v>119</v>
      </c>
      <c r="H1118" s="33"/>
      <c r="I1118" s="33"/>
      <c r="J1118" s="37"/>
    </row>
    <row r="1119" spans="1:10" x14ac:dyDescent="0.35">
      <c r="A1119" s="32" t="s">
        <v>21</v>
      </c>
      <c r="B1119" s="32">
        <f t="shared" ref="B1119:B1121" si="272">+B1118+1</f>
        <v>2038</v>
      </c>
      <c r="C1119" s="33" t="s">
        <v>37</v>
      </c>
      <c r="D1119" s="34" t="s">
        <v>128</v>
      </c>
      <c r="E1119" s="35" t="str">
        <f t="shared" si="269"/>
        <v>PSDP'!</v>
      </c>
      <c r="F1119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19" s="32" t="s">
        <v>119</v>
      </c>
      <c r="H1119" s="33"/>
      <c r="I1119" s="33"/>
      <c r="J1119" s="37"/>
    </row>
    <row r="1120" spans="1:10" x14ac:dyDescent="0.35">
      <c r="A1120" s="32" t="s">
        <v>21</v>
      </c>
      <c r="B1120" s="32">
        <f t="shared" si="272"/>
        <v>2039</v>
      </c>
      <c r="C1120" s="33" t="s">
        <v>37</v>
      </c>
      <c r="D1120" s="34" t="s">
        <v>128</v>
      </c>
      <c r="E1120" s="35" t="str">
        <f t="shared" si="269"/>
        <v>PSDP'!</v>
      </c>
      <c r="F1120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20" s="32" t="s">
        <v>119</v>
      </c>
      <c r="H1120" s="33"/>
      <c r="I1120" s="33"/>
      <c r="J1120" s="37"/>
    </row>
    <row r="1121" spans="1:10" x14ac:dyDescent="0.35">
      <c r="A1121" s="32" t="s">
        <v>21</v>
      </c>
      <c r="B1121" s="32">
        <f t="shared" si="272"/>
        <v>2040</v>
      </c>
      <c r="C1121" s="33" t="s">
        <v>37</v>
      </c>
      <c r="D1121" s="34" t="s">
        <v>128</v>
      </c>
      <c r="E1121" s="35" t="str">
        <f t="shared" si="269"/>
        <v>PSDP'!</v>
      </c>
      <c r="F1121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21" s="32" t="s">
        <v>119</v>
      </c>
      <c r="H1121" s="33"/>
      <c r="I1121" s="33"/>
      <c r="J1121" s="37"/>
    </row>
    <row r="1122" spans="1:10" x14ac:dyDescent="0.35">
      <c r="A1122" s="32" t="s">
        <v>21</v>
      </c>
      <c r="B1122" s="32">
        <f>+B1121+1</f>
        <v>2041</v>
      </c>
      <c r="C1122" s="33" t="s">
        <v>37</v>
      </c>
      <c r="D1122" s="34" t="s">
        <v>128</v>
      </c>
      <c r="E1122" s="35" t="str">
        <f t="shared" si="269"/>
        <v>PSDP'!</v>
      </c>
      <c r="F1122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22" s="32" t="s">
        <v>119</v>
      </c>
      <c r="H1122" s="33"/>
      <c r="I1122" s="33"/>
      <c r="J1122" s="37"/>
    </row>
    <row r="1123" spans="1:10" x14ac:dyDescent="0.35">
      <c r="A1123" s="32" t="s">
        <v>21</v>
      </c>
      <c r="B1123" s="32">
        <f t="shared" ref="B1123:B1124" si="273">+B1122+1</f>
        <v>2042</v>
      </c>
      <c r="C1123" s="33" t="s">
        <v>37</v>
      </c>
      <c r="D1123" s="34" t="s">
        <v>128</v>
      </c>
      <c r="E1123" s="35" t="str">
        <f t="shared" si="269"/>
        <v>PSDP'!</v>
      </c>
      <c r="F1123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23" s="32" t="s">
        <v>119</v>
      </c>
      <c r="H1123" s="33"/>
      <c r="I1123" s="33"/>
      <c r="J1123" s="37"/>
    </row>
    <row r="1124" spans="1:10" x14ac:dyDescent="0.35">
      <c r="A1124" s="32" t="s">
        <v>21</v>
      </c>
      <c r="B1124" s="32">
        <f t="shared" si="273"/>
        <v>2043</v>
      </c>
      <c r="C1124" s="33" t="s">
        <v>37</v>
      </c>
      <c r="D1124" s="34" t="s">
        <v>128</v>
      </c>
      <c r="E1124" s="35" t="str">
        <f t="shared" si="269"/>
        <v>PSDP'!</v>
      </c>
      <c r="F1124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24" s="32" t="s">
        <v>119</v>
      </c>
      <c r="H1124" s="33"/>
      <c r="I1124" s="33"/>
      <c r="J1124" s="37"/>
    </row>
    <row r="1125" spans="1:10" x14ac:dyDescent="0.35">
      <c r="A1125" s="32" t="s">
        <v>21</v>
      </c>
      <c r="B1125" s="32">
        <f>+B1124+1</f>
        <v>2044</v>
      </c>
      <c r="C1125" s="33" t="s">
        <v>37</v>
      </c>
      <c r="D1125" s="34" t="s">
        <v>128</v>
      </c>
      <c r="E1125" s="35" t="str">
        <f t="shared" ref="E1125:E1140" si="274">_xlfn.CONCAT(A1125,"'!")</f>
        <v>PSDP'!</v>
      </c>
      <c r="F1125" s="34" t="str">
        <f t="shared" ref="F1125:F1140" si="275">_xlfn.CONCAT(D1125:E1125)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25" s="32" t="s">
        <v>119</v>
      </c>
      <c r="H1125" s="33"/>
      <c r="I1125" s="33"/>
      <c r="J1125" s="37"/>
    </row>
    <row r="1126" spans="1:10" x14ac:dyDescent="0.35">
      <c r="A1126" s="32" t="s">
        <v>21</v>
      </c>
      <c r="B1126" s="32">
        <f t="shared" ref="B1126:B1140" si="276">+B1125+1</f>
        <v>2045</v>
      </c>
      <c r="C1126" s="33" t="s">
        <v>37</v>
      </c>
      <c r="D1126" s="34" t="s">
        <v>128</v>
      </c>
      <c r="E1126" s="35" t="str">
        <f t="shared" si="274"/>
        <v>PSDP'!</v>
      </c>
      <c r="F1126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26" s="32" t="s">
        <v>119</v>
      </c>
      <c r="H1126" s="33"/>
      <c r="I1126" s="33"/>
      <c r="J1126" s="37"/>
    </row>
    <row r="1127" spans="1:10" x14ac:dyDescent="0.35">
      <c r="A1127" s="32" t="s">
        <v>21</v>
      </c>
      <c r="B1127" s="32">
        <f t="shared" si="276"/>
        <v>2046</v>
      </c>
      <c r="C1127" s="33" t="s">
        <v>37</v>
      </c>
      <c r="D1127" s="34" t="s">
        <v>128</v>
      </c>
      <c r="E1127" s="35" t="str">
        <f t="shared" si="274"/>
        <v>PSDP'!</v>
      </c>
      <c r="F1127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27" s="32" t="s">
        <v>119</v>
      </c>
      <c r="H1127" s="33"/>
      <c r="I1127" s="33"/>
      <c r="J1127" s="37"/>
    </row>
    <row r="1128" spans="1:10" x14ac:dyDescent="0.35">
      <c r="A1128" s="32" t="s">
        <v>21</v>
      </c>
      <c r="B1128" s="32">
        <f t="shared" si="276"/>
        <v>2047</v>
      </c>
      <c r="C1128" s="33" t="s">
        <v>37</v>
      </c>
      <c r="D1128" s="34" t="s">
        <v>128</v>
      </c>
      <c r="E1128" s="35" t="str">
        <f t="shared" si="274"/>
        <v>PSDP'!</v>
      </c>
      <c r="F1128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28" s="32" t="s">
        <v>119</v>
      </c>
      <c r="H1128" s="33"/>
      <c r="I1128" s="33"/>
      <c r="J1128" s="37"/>
    </row>
    <row r="1129" spans="1:10" x14ac:dyDescent="0.35">
      <c r="A1129" s="32" t="s">
        <v>21</v>
      </c>
      <c r="B1129" s="32">
        <f t="shared" si="276"/>
        <v>2048</v>
      </c>
      <c r="C1129" s="33" t="s">
        <v>37</v>
      </c>
      <c r="D1129" s="34" t="s">
        <v>128</v>
      </c>
      <c r="E1129" s="35" t="str">
        <f t="shared" si="274"/>
        <v>PSDP'!</v>
      </c>
      <c r="F1129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29" s="32" t="s">
        <v>119</v>
      </c>
      <c r="H1129" s="33"/>
      <c r="I1129" s="33"/>
      <c r="J1129" s="37"/>
    </row>
    <row r="1130" spans="1:10" x14ac:dyDescent="0.35">
      <c r="A1130" s="32" t="s">
        <v>21</v>
      </c>
      <c r="B1130" s="32">
        <f t="shared" si="276"/>
        <v>2049</v>
      </c>
      <c r="C1130" s="33" t="s">
        <v>37</v>
      </c>
      <c r="D1130" s="34" t="s">
        <v>128</v>
      </c>
      <c r="E1130" s="35" t="str">
        <f t="shared" si="274"/>
        <v>PSDP'!</v>
      </c>
      <c r="F1130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30" s="32" t="s">
        <v>119</v>
      </c>
      <c r="H1130" s="33"/>
      <c r="I1130" s="33"/>
      <c r="J1130" s="37"/>
    </row>
    <row r="1131" spans="1:10" x14ac:dyDescent="0.35">
      <c r="A1131" s="32" t="s">
        <v>21</v>
      </c>
      <c r="B1131" s="32">
        <f t="shared" si="276"/>
        <v>2050</v>
      </c>
      <c r="C1131" s="33" t="s">
        <v>37</v>
      </c>
      <c r="D1131" s="34" t="s">
        <v>128</v>
      </c>
      <c r="E1131" s="35" t="str">
        <f t="shared" si="274"/>
        <v>PSDP'!</v>
      </c>
      <c r="F1131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31" s="32" t="s">
        <v>119</v>
      </c>
      <c r="H1131" s="33"/>
      <c r="I1131" s="33"/>
      <c r="J1131" s="37"/>
    </row>
    <row r="1132" spans="1:10" x14ac:dyDescent="0.35">
      <c r="A1132" s="32" t="s">
        <v>21</v>
      </c>
      <c r="B1132" s="32">
        <f t="shared" si="276"/>
        <v>2051</v>
      </c>
      <c r="C1132" s="33" t="s">
        <v>37</v>
      </c>
      <c r="D1132" s="34" t="s">
        <v>128</v>
      </c>
      <c r="E1132" s="35" t="str">
        <f t="shared" si="274"/>
        <v>PSDP'!</v>
      </c>
      <c r="F1132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32" s="32" t="s">
        <v>119</v>
      </c>
      <c r="H1132" s="33"/>
      <c r="I1132" s="33"/>
      <c r="J1132" s="37"/>
    </row>
    <row r="1133" spans="1:10" x14ac:dyDescent="0.35">
      <c r="A1133" s="32" t="s">
        <v>21</v>
      </c>
      <c r="B1133" s="32">
        <f t="shared" si="276"/>
        <v>2052</v>
      </c>
      <c r="C1133" s="33" t="s">
        <v>37</v>
      </c>
      <c r="D1133" s="34" t="s">
        <v>128</v>
      </c>
      <c r="E1133" s="35" t="str">
        <f t="shared" si="274"/>
        <v>PSDP'!</v>
      </c>
      <c r="F1133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33" s="32" t="s">
        <v>119</v>
      </c>
      <c r="H1133" s="33"/>
      <c r="I1133" s="33"/>
      <c r="J1133" s="37"/>
    </row>
    <row r="1134" spans="1:10" x14ac:dyDescent="0.35">
      <c r="A1134" s="32" t="s">
        <v>21</v>
      </c>
      <c r="B1134" s="32">
        <f t="shared" si="276"/>
        <v>2053</v>
      </c>
      <c r="C1134" s="33" t="s">
        <v>37</v>
      </c>
      <c r="D1134" s="34" t="s">
        <v>128</v>
      </c>
      <c r="E1134" s="35" t="str">
        <f t="shared" si="274"/>
        <v>PSDP'!</v>
      </c>
      <c r="F1134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34" s="32" t="s">
        <v>119</v>
      </c>
      <c r="H1134" s="33"/>
      <c r="I1134" s="33"/>
      <c r="J1134" s="37"/>
    </row>
    <row r="1135" spans="1:10" x14ac:dyDescent="0.35">
      <c r="A1135" s="32" t="s">
        <v>21</v>
      </c>
      <c r="B1135" s="32">
        <f t="shared" si="276"/>
        <v>2054</v>
      </c>
      <c r="C1135" s="33" t="s">
        <v>37</v>
      </c>
      <c r="D1135" s="34" t="s">
        <v>128</v>
      </c>
      <c r="E1135" s="35" t="str">
        <f t="shared" si="274"/>
        <v>PSDP'!</v>
      </c>
      <c r="F1135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35" s="32" t="s">
        <v>119</v>
      </c>
      <c r="H1135" s="33"/>
      <c r="I1135" s="33"/>
      <c r="J1135" s="37"/>
    </row>
    <row r="1136" spans="1:10" x14ac:dyDescent="0.35">
      <c r="A1136" s="32" t="s">
        <v>21</v>
      </c>
      <c r="B1136" s="32">
        <f t="shared" si="276"/>
        <v>2055</v>
      </c>
      <c r="C1136" s="33" t="s">
        <v>37</v>
      </c>
      <c r="D1136" s="34" t="s">
        <v>128</v>
      </c>
      <c r="E1136" s="35" t="str">
        <f t="shared" si="274"/>
        <v>PSDP'!</v>
      </c>
      <c r="F1136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36" s="32" t="s">
        <v>119</v>
      </c>
      <c r="H1136" s="33"/>
      <c r="I1136" s="33"/>
      <c r="J1136" s="37"/>
    </row>
    <row r="1137" spans="1:10" x14ac:dyDescent="0.35">
      <c r="A1137" s="32" t="s">
        <v>21</v>
      </c>
      <c r="B1137" s="32">
        <f t="shared" si="276"/>
        <v>2056</v>
      </c>
      <c r="C1137" s="33" t="s">
        <v>37</v>
      </c>
      <c r="D1137" s="34" t="s">
        <v>128</v>
      </c>
      <c r="E1137" s="35" t="str">
        <f t="shared" si="274"/>
        <v>PSDP'!</v>
      </c>
      <c r="F1137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37" s="32" t="s">
        <v>119</v>
      </c>
      <c r="H1137" s="33"/>
      <c r="I1137" s="33"/>
      <c r="J1137" s="37"/>
    </row>
    <row r="1138" spans="1:10" x14ac:dyDescent="0.35">
      <c r="A1138" s="32" t="s">
        <v>21</v>
      </c>
      <c r="B1138" s="32">
        <f t="shared" si="276"/>
        <v>2057</v>
      </c>
      <c r="C1138" s="33" t="s">
        <v>37</v>
      </c>
      <c r="D1138" s="34" t="s">
        <v>128</v>
      </c>
      <c r="E1138" s="35" t="str">
        <f t="shared" si="274"/>
        <v>PSDP'!</v>
      </c>
      <c r="F1138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38" s="32" t="s">
        <v>119</v>
      </c>
      <c r="H1138" s="33"/>
      <c r="I1138" s="33"/>
      <c r="J1138" s="37"/>
    </row>
    <row r="1139" spans="1:10" x14ac:dyDescent="0.35">
      <c r="A1139" s="32" t="s">
        <v>21</v>
      </c>
      <c r="B1139" s="32">
        <f t="shared" si="276"/>
        <v>2058</v>
      </c>
      <c r="C1139" s="33" t="s">
        <v>37</v>
      </c>
      <c r="D1139" s="34" t="s">
        <v>128</v>
      </c>
      <c r="E1139" s="35" t="str">
        <f t="shared" si="274"/>
        <v>PSDP'!</v>
      </c>
      <c r="F1139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39" s="32" t="s">
        <v>119</v>
      </c>
      <c r="H1139" s="33"/>
      <c r="I1139" s="33"/>
      <c r="J1139" s="37"/>
    </row>
    <row r="1140" spans="1:10" x14ac:dyDescent="0.35">
      <c r="A1140" s="32" t="s">
        <v>21</v>
      </c>
      <c r="B1140" s="32">
        <f t="shared" si="276"/>
        <v>2059</v>
      </c>
      <c r="C1140" s="33" t="s">
        <v>37</v>
      </c>
      <c r="D1140" s="34" t="s">
        <v>128</v>
      </c>
      <c r="E1140" s="35" t="str">
        <f t="shared" si="274"/>
        <v>PSDP'!</v>
      </c>
      <c r="F1140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40" s="32" t="s">
        <v>119</v>
      </c>
      <c r="H1140" s="33"/>
      <c r="I1140" s="33"/>
      <c r="J1140" s="37"/>
    </row>
    <row r="1141" spans="1:10" x14ac:dyDescent="0.35">
      <c r="A1141" s="32" t="s">
        <v>26</v>
      </c>
      <c r="B1141" s="32"/>
      <c r="C1141" s="33" t="s">
        <v>37</v>
      </c>
      <c r="D1141" s="34"/>
      <c r="E1141" s="35"/>
      <c r="F1141" s="34"/>
      <c r="G1141" s="32"/>
      <c r="H1141" s="33"/>
      <c r="I1141" s="33"/>
      <c r="J1141" s="33"/>
    </row>
    <row r="1142" spans="1:10" x14ac:dyDescent="0.35">
      <c r="A1142" s="32" t="s">
        <v>22</v>
      </c>
      <c r="B1142" s="32">
        <v>2023</v>
      </c>
      <c r="C1142" s="33" t="s">
        <v>37</v>
      </c>
      <c r="D1142" s="34" t="s">
        <v>128</v>
      </c>
      <c r="E1142" s="35" t="str">
        <f t="shared" ref="E1142:E1162" si="277">_xlfn.CONCAT(A1142,"'!")</f>
        <v>PSNP'!</v>
      </c>
      <c r="F1142" s="34" t="str">
        <f t="shared" ref="F1142:F1162" si="278">_xlfn.CONCAT(D1142:E1142)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42" s="32" t="s">
        <v>119</v>
      </c>
      <c r="H1142" s="33"/>
      <c r="I1142" s="33"/>
      <c r="J1142" s="37"/>
    </row>
    <row r="1143" spans="1:10" x14ac:dyDescent="0.35">
      <c r="A1143" s="32" t="s">
        <v>22</v>
      </c>
      <c r="B1143" s="32">
        <f>+B1142+1</f>
        <v>2024</v>
      </c>
      <c r="C1143" s="33" t="s">
        <v>37</v>
      </c>
      <c r="D1143" s="34" t="s">
        <v>128</v>
      </c>
      <c r="E1143" s="35" t="str">
        <f t="shared" si="277"/>
        <v>PSNP'!</v>
      </c>
      <c r="F1143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43" s="32" t="s">
        <v>119</v>
      </c>
      <c r="H1143" s="33"/>
      <c r="I1143" s="33"/>
      <c r="J1143" s="37"/>
    </row>
    <row r="1144" spans="1:10" x14ac:dyDescent="0.35">
      <c r="A1144" s="32" t="s">
        <v>22</v>
      </c>
      <c r="B1144" s="32">
        <f t="shared" ref="B1144:B1155" si="279">+B1143+1</f>
        <v>2025</v>
      </c>
      <c r="C1144" s="33" t="s">
        <v>37</v>
      </c>
      <c r="D1144" s="34" t="s">
        <v>128</v>
      </c>
      <c r="E1144" s="35" t="str">
        <f t="shared" si="277"/>
        <v>PSNP'!</v>
      </c>
      <c r="F1144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44" s="32" t="s">
        <v>119</v>
      </c>
      <c r="H1144" s="33"/>
      <c r="I1144" s="33"/>
      <c r="J1144" s="37"/>
    </row>
    <row r="1145" spans="1:10" x14ac:dyDescent="0.35">
      <c r="A1145" s="32" t="s">
        <v>22</v>
      </c>
      <c r="B1145" s="32">
        <f t="shared" si="279"/>
        <v>2026</v>
      </c>
      <c r="C1145" s="33" t="s">
        <v>37</v>
      </c>
      <c r="D1145" s="34" t="s">
        <v>128</v>
      </c>
      <c r="E1145" s="35" t="str">
        <f t="shared" si="277"/>
        <v>PSNP'!</v>
      </c>
      <c r="F1145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45" s="32" t="s">
        <v>119</v>
      </c>
      <c r="H1145" s="33"/>
      <c r="I1145" s="33"/>
      <c r="J1145" s="37"/>
    </row>
    <row r="1146" spans="1:10" x14ac:dyDescent="0.35">
      <c r="A1146" s="32" t="s">
        <v>22</v>
      </c>
      <c r="B1146" s="32">
        <f t="shared" si="279"/>
        <v>2027</v>
      </c>
      <c r="C1146" s="33" t="s">
        <v>37</v>
      </c>
      <c r="D1146" s="34" t="s">
        <v>128</v>
      </c>
      <c r="E1146" s="35" t="str">
        <f t="shared" si="277"/>
        <v>PSNP'!</v>
      </c>
      <c r="F1146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46" s="32" t="s">
        <v>119</v>
      </c>
      <c r="H1146" s="33"/>
      <c r="I1146" s="33"/>
      <c r="J1146" s="37"/>
    </row>
    <row r="1147" spans="1:10" x14ac:dyDescent="0.35">
      <c r="A1147" s="32" t="s">
        <v>22</v>
      </c>
      <c r="B1147" s="32">
        <f t="shared" si="279"/>
        <v>2028</v>
      </c>
      <c r="C1147" s="33" t="s">
        <v>37</v>
      </c>
      <c r="D1147" s="34" t="s">
        <v>128</v>
      </c>
      <c r="E1147" s="35" t="str">
        <f t="shared" si="277"/>
        <v>PSNP'!</v>
      </c>
      <c r="F1147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47" s="32" t="s">
        <v>119</v>
      </c>
      <c r="H1147" s="33"/>
      <c r="I1147" s="33"/>
      <c r="J1147" s="37"/>
    </row>
    <row r="1148" spans="1:10" x14ac:dyDescent="0.35">
      <c r="A1148" s="32" t="s">
        <v>22</v>
      </c>
      <c r="B1148" s="32">
        <f t="shared" si="279"/>
        <v>2029</v>
      </c>
      <c r="C1148" s="33" t="s">
        <v>37</v>
      </c>
      <c r="D1148" s="34" t="s">
        <v>128</v>
      </c>
      <c r="E1148" s="35" t="str">
        <f t="shared" si="277"/>
        <v>PSNP'!</v>
      </c>
      <c r="F1148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48" s="32" t="s">
        <v>119</v>
      </c>
      <c r="H1148" s="33"/>
      <c r="I1148" s="33"/>
      <c r="J1148" s="37"/>
    </row>
    <row r="1149" spans="1:10" x14ac:dyDescent="0.35">
      <c r="A1149" s="32" t="s">
        <v>22</v>
      </c>
      <c r="B1149" s="32">
        <f t="shared" si="279"/>
        <v>2030</v>
      </c>
      <c r="C1149" s="33" t="s">
        <v>37</v>
      </c>
      <c r="D1149" s="34" t="s">
        <v>128</v>
      </c>
      <c r="E1149" s="35" t="str">
        <f t="shared" si="277"/>
        <v>PSNP'!</v>
      </c>
      <c r="F1149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49" s="32" t="s">
        <v>119</v>
      </c>
      <c r="H1149" s="33"/>
      <c r="I1149" s="33"/>
      <c r="J1149" s="37"/>
    </row>
    <row r="1150" spans="1:10" x14ac:dyDescent="0.35">
      <c r="A1150" s="32" t="s">
        <v>22</v>
      </c>
      <c r="B1150" s="32">
        <f t="shared" si="279"/>
        <v>2031</v>
      </c>
      <c r="C1150" s="33" t="s">
        <v>37</v>
      </c>
      <c r="D1150" s="34" t="s">
        <v>128</v>
      </c>
      <c r="E1150" s="35" t="str">
        <f t="shared" si="277"/>
        <v>PSNP'!</v>
      </c>
      <c r="F1150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50" s="32" t="s">
        <v>119</v>
      </c>
      <c r="H1150" s="33"/>
      <c r="I1150" s="33"/>
      <c r="J1150" s="37"/>
    </row>
    <row r="1151" spans="1:10" x14ac:dyDescent="0.35">
      <c r="A1151" s="32" t="s">
        <v>22</v>
      </c>
      <c r="B1151" s="32">
        <f t="shared" si="279"/>
        <v>2032</v>
      </c>
      <c r="C1151" s="33" t="s">
        <v>37</v>
      </c>
      <c r="D1151" s="34" t="s">
        <v>128</v>
      </c>
      <c r="E1151" s="35" t="str">
        <f t="shared" si="277"/>
        <v>PSNP'!</v>
      </c>
      <c r="F1151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51" s="32" t="s">
        <v>119</v>
      </c>
      <c r="H1151" s="33"/>
      <c r="I1151" s="33"/>
      <c r="J1151" s="37"/>
    </row>
    <row r="1152" spans="1:10" x14ac:dyDescent="0.35">
      <c r="A1152" s="32" t="s">
        <v>22</v>
      </c>
      <c r="B1152" s="32">
        <f t="shared" si="279"/>
        <v>2033</v>
      </c>
      <c r="C1152" s="33" t="s">
        <v>37</v>
      </c>
      <c r="D1152" s="34" t="s">
        <v>128</v>
      </c>
      <c r="E1152" s="35" t="str">
        <f t="shared" si="277"/>
        <v>PSNP'!</v>
      </c>
      <c r="F1152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52" s="32" t="s">
        <v>119</v>
      </c>
      <c r="H1152" s="33"/>
      <c r="I1152" s="33"/>
      <c r="J1152" s="37"/>
    </row>
    <row r="1153" spans="1:10" x14ac:dyDescent="0.35">
      <c r="A1153" s="32" t="s">
        <v>22</v>
      </c>
      <c r="B1153" s="32">
        <f t="shared" si="279"/>
        <v>2034</v>
      </c>
      <c r="C1153" s="33" t="s">
        <v>37</v>
      </c>
      <c r="D1153" s="34" t="s">
        <v>128</v>
      </c>
      <c r="E1153" s="35" t="str">
        <f t="shared" si="277"/>
        <v>PSNP'!</v>
      </c>
      <c r="F1153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53" s="32" t="s">
        <v>119</v>
      </c>
      <c r="H1153" s="33"/>
      <c r="I1153" s="33"/>
      <c r="J1153" s="37"/>
    </row>
    <row r="1154" spans="1:10" x14ac:dyDescent="0.35">
      <c r="A1154" s="32" t="s">
        <v>22</v>
      </c>
      <c r="B1154" s="32">
        <f t="shared" si="279"/>
        <v>2035</v>
      </c>
      <c r="C1154" s="33" t="s">
        <v>37</v>
      </c>
      <c r="D1154" s="34" t="s">
        <v>128</v>
      </c>
      <c r="E1154" s="35" t="str">
        <f t="shared" si="277"/>
        <v>PSNP'!</v>
      </c>
      <c r="F1154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54" s="32" t="s">
        <v>119</v>
      </c>
      <c r="H1154" s="33"/>
      <c r="I1154" s="33"/>
      <c r="J1154" s="37"/>
    </row>
    <row r="1155" spans="1:10" x14ac:dyDescent="0.35">
      <c r="A1155" s="32" t="s">
        <v>22</v>
      </c>
      <c r="B1155" s="32">
        <f t="shared" si="279"/>
        <v>2036</v>
      </c>
      <c r="C1155" s="33" t="s">
        <v>37</v>
      </c>
      <c r="D1155" s="34" t="s">
        <v>128</v>
      </c>
      <c r="E1155" s="35" t="str">
        <f t="shared" si="277"/>
        <v>PSNP'!</v>
      </c>
      <c r="F1155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55" s="32" t="s">
        <v>119</v>
      </c>
      <c r="H1155" s="33"/>
      <c r="I1155" s="33"/>
      <c r="J1155" s="37"/>
    </row>
    <row r="1156" spans="1:10" x14ac:dyDescent="0.35">
      <c r="A1156" s="32" t="s">
        <v>22</v>
      </c>
      <c r="B1156" s="32">
        <f>+B1155+1</f>
        <v>2037</v>
      </c>
      <c r="C1156" s="33" t="s">
        <v>37</v>
      </c>
      <c r="D1156" s="34" t="s">
        <v>128</v>
      </c>
      <c r="E1156" s="35" t="str">
        <f t="shared" si="277"/>
        <v>PSNP'!</v>
      </c>
      <c r="F1156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56" s="32" t="s">
        <v>119</v>
      </c>
      <c r="H1156" s="33"/>
      <c r="I1156" s="33"/>
      <c r="J1156" s="37"/>
    </row>
    <row r="1157" spans="1:10" x14ac:dyDescent="0.35">
      <c r="A1157" s="32" t="s">
        <v>22</v>
      </c>
      <c r="B1157" s="32">
        <f t="shared" ref="B1157:B1159" si="280">+B1156+1</f>
        <v>2038</v>
      </c>
      <c r="C1157" s="33" t="s">
        <v>37</v>
      </c>
      <c r="D1157" s="34" t="s">
        <v>128</v>
      </c>
      <c r="E1157" s="35" t="str">
        <f t="shared" si="277"/>
        <v>PSNP'!</v>
      </c>
      <c r="F1157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57" s="32" t="s">
        <v>119</v>
      </c>
      <c r="H1157" s="33"/>
      <c r="I1157" s="33"/>
      <c r="J1157" s="37"/>
    </row>
    <row r="1158" spans="1:10" x14ac:dyDescent="0.35">
      <c r="A1158" s="32" t="s">
        <v>22</v>
      </c>
      <c r="B1158" s="32">
        <f t="shared" si="280"/>
        <v>2039</v>
      </c>
      <c r="C1158" s="33" t="s">
        <v>37</v>
      </c>
      <c r="D1158" s="34" t="s">
        <v>128</v>
      </c>
      <c r="E1158" s="35" t="str">
        <f t="shared" si="277"/>
        <v>PSNP'!</v>
      </c>
      <c r="F1158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58" s="32" t="s">
        <v>119</v>
      </c>
      <c r="H1158" s="33"/>
      <c r="I1158" s="33"/>
      <c r="J1158" s="37"/>
    </row>
    <row r="1159" spans="1:10" x14ac:dyDescent="0.35">
      <c r="A1159" s="32" t="s">
        <v>22</v>
      </c>
      <c r="B1159" s="32">
        <f t="shared" si="280"/>
        <v>2040</v>
      </c>
      <c r="C1159" s="33" t="s">
        <v>37</v>
      </c>
      <c r="D1159" s="34" t="s">
        <v>128</v>
      </c>
      <c r="E1159" s="35" t="str">
        <f t="shared" si="277"/>
        <v>PSNP'!</v>
      </c>
      <c r="F1159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59" s="32" t="s">
        <v>119</v>
      </c>
      <c r="H1159" s="33"/>
      <c r="I1159" s="33"/>
      <c r="J1159" s="37"/>
    </row>
    <row r="1160" spans="1:10" x14ac:dyDescent="0.35">
      <c r="A1160" s="32" t="s">
        <v>22</v>
      </c>
      <c r="B1160" s="32">
        <f>+B1159+1</f>
        <v>2041</v>
      </c>
      <c r="C1160" s="33" t="s">
        <v>37</v>
      </c>
      <c r="D1160" s="34" t="s">
        <v>128</v>
      </c>
      <c r="E1160" s="35" t="str">
        <f t="shared" si="277"/>
        <v>PSNP'!</v>
      </c>
      <c r="F1160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60" s="32" t="s">
        <v>119</v>
      </c>
      <c r="H1160" s="33"/>
      <c r="I1160" s="33"/>
      <c r="J1160" s="37"/>
    </row>
    <row r="1161" spans="1:10" x14ac:dyDescent="0.35">
      <c r="A1161" s="32" t="s">
        <v>22</v>
      </c>
      <c r="B1161" s="32">
        <f t="shared" ref="B1161:B1162" si="281">+B1160+1</f>
        <v>2042</v>
      </c>
      <c r="C1161" s="33" t="s">
        <v>37</v>
      </c>
      <c r="D1161" s="34" t="s">
        <v>128</v>
      </c>
      <c r="E1161" s="35" t="str">
        <f t="shared" si="277"/>
        <v>PSNP'!</v>
      </c>
      <c r="F1161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61" s="32" t="s">
        <v>119</v>
      </c>
      <c r="H1161" s="33"/>
      <c r="I1161" s="33"/>
      <c r="J1161" s="37"/>
    </row>
    <row r="1162" spans="1:10" x14ac:dyDescent="0.35">
      <c r="A1162" s="32" t="s">
        <v>22</v>
      </c>
      <c r="B1162" s="32">
        <f t="shared" si="281"/>
        <v>2043</v>
      </c>
      <c r="C1162" s="33" t="s">
        <v>37</v>
      </c>
      <c r="D1162" s="34" t="s">
        <v>128</v>
      </c>
      <c r="E1162" s="35" t="str">
        <f t="shared" si="277"/>
        <v>PSNP'!</v>
      </c>
      <c r="F1162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62" s="32" t="s">
        <v>119</v>
      </c>
      <c r="H1162" s="33"/>
      <c r="I1162" s="33"/>
      <c r="J1162" s="37"/>
    </row>
    <row r="1163" spans="1:10" x14ac:dyDescent="0.35">
      <c r="A1163" s="32" t="s">
        <v>22</v>
      </c>
      <c r="B1163" s="32">
        <f>+B1162+1</f>
        <v>2044</v>
      </c>
      <c r="C1163" s="33" t="s">
        <v>37</v>
      </c>
      <c r="D1163" s="34" t="s">
        <v>128</v>
      </c>
      <c r="E1163" s="35" t="str">
        <f t="shared" ref="E1163:E1178" si="282">_xlfn.CONCAT(A1163,"'!")</f>
        <v>PSNP'!</v>
      </c>
      <c r="F1163" s="34" t="str">
        <f t="shared" ref="F1163:F1178" si="283">_xlfn.CONCAT(D1163:E1163)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63" s="32" t="s">
        <v>119</v>
      </c>
      <c r="H1163" s="33"/>
      <c r="I1163" s="33"/>
      <c r="J1163" s="37"/>
    </row>
    <row r="1164" spans="1:10" x14ac:dyDescent="0.35">
      <c r="A1164" s="32" t="s">
        <v>22</v>
      </c>
      <c r="B1164" s="32">
        <f t="shared" ref="B1164:B1178" si="284">+B1163+1</f>
        <v>2045</v>
      </c>
      <c r="C1164" s="33" t="s">
        <v>37</v>
      </c>
      <c r="D1164" s="34" t="s">
        <v>128</v>
      </c>
      <c r="E1164" s="35" t="str">
        <f t="shared" si="282"/>
        <v>PSNP'!</v>
      </c>
      <c r="F1164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64" s="32" t="s">
        <v>119</v>
      </c>
      <c r="H1164" s="33"/>
      <c r="I1164" s="33"/>
      <c r="J1164" s="37"/>
    </row>
    <row r="1165" spans="1:10" x14ac:dyDescent="0.35">
      <c r="A1165" s="32" t="s">
        <v>22</v>
      </c>
      <c r="B1165" s="32">
        <f t="shared" si="284"/>
        <v>2046</v>
      </c>
      <c r="C1165" s="33" t="s">
        <v>37</v>
      </c>
      <c r="D1165" s="34" t="s">
        <v>128</v>
      </c>
      <c r="E1165" s="35" t="str">
        <f t="shared" si="282"/>
        <v>PSNP'!</v>
      </c>
      <c r="F1165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65" s="32" t="s">
        <v>119</v>
      </c>
      <c r="H1165" s="33"/>
      <c r="I1165" s="33"/>
      <c r="J1165" s="37"/>
    </row>
    <row r="1166" spans="1:10" x14ac:dyDescent="0.35">
      <c r="A1166" s="32" t="s">
        <v>22</v>
      </c>
      <c r="B1166" s="32">
        <f t="shared" si="284"/>
        <v>2047</v>
      </c>
      <c r="C1166" s="33" t="s">
        <v>37</v>
      </c>
      <c r="D1166" s="34" t="s">
        <v>128</v>
      </c>
      <c r="E1166" s="35" t="str">
        <f t="shared" si="282"/>
        <v>PSNP'!</v>
      </c>
      <c r="F1166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66" s="32" t="s">
        <v>119</v>
      </c>
      <c r="H1166" s="33"/>
      <c r="I1166" s="33"/>
      <c r="J1166" s="37"/>
    </row>
    <row r="1167" spans="1:10" x14ac:dyDescent="0.35">
      <c r="A1167" s="32" t="s">
        <v>22</v>
      </c>
      <c r="B1167" s="32">
        <f t="shared" si="284"/>
        <v>2048</v>
      </c>
      <c r="C1167" s="33" t="s">
        <v>37</v>
      </c>
      <c r="D1167" s="34" t="s">
        <v>128</v>
      </c>
      <c r="E1167" s="35" t="str">
        <f t="shared" si="282"/>
        <v>PSNP'!</v>
      </c>
      <c r="F1167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67" s="32" t="s">
        <v>119</v>
      </c>
      <c r="H1167" s="33"/>
      <c r="I1167" s="33"/>
      <c r="J1167" s="37"/>
    </row>
    <row r="1168" spans="1:10" x14ac:dyDescent="0.35">
      <c r="A1168" s="32" t="s">
        <v>22</v>
      </c>
      <c r="B1168" s="32">
        <f t="shared" si="284"/>
        <v>2049</v>
      </c>
      <c r="C1168" s="33" t="s">
        <v>37</v>
      </c>
      <c r="D1168" s="34" t="s">
        <v>128</v>
      </c>
      <c r="E1168" s="35" t="str">
        <f t="shared" si="282"/>
        <v>PSNP'!</v>
      </c>
      <c r="F1168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68" s="32" t="s">
        <v>119</v>
      </c>
      <c r="H1168" s="33"/>
      <c r="I1168" s="33"/>
      <c r="J1168" s="37"/>
    </row>
    <row r="1169" spans="1:10" x14ac:dyDescent="0.35">
      <c r="A1169" s="32" t="s">
        <v>22</v>
      </c>
      <c r="B1169" s="32">
        <f t="shared" si="284"/>
        <v>2050</v>
      </c>
      <c r="C1169" s="33" t="s">
        <v>37</v>
      </c>
      <c r="D1169" s="34" t="s">
        <v>128</v>
      </c>
      <c r="E1169" s="35" t="str">
        <f t="shared" si="282"/>
        <v>PSNP'!</v>
      </c>
      <c r="F1169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69" s="32" t="s">
        <v>119</v>
      </c>
      <c r="H1169" s="33"/>
      <c r="I1169" s="33"/>
      <c r="J1169" s="37"/>
    </row>
    <row r="1170" spans="1:10" x14ac:dyDescent="0.35">
      <c r="A1170" s="32" t="s">
        <v>22</v>
      </c>
      <c r="B1170" s="32">
        <f t="shared" si="284"/>
        <v>2051</v>
      </c>
      <c r="C1170" s="33" t="s">
        <v>37</v>
      </c>
      <c r="D1170" s="34" t="s">
        <v>128</v>
      </c>
      <c r="E1170" s="35" t="str">
        <f t="shared" si="282"/>
        <v>PSNP'!</v>
      </c>
      <c r="F1170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70" s="32" t="s">
        <v>119</v>
      </c>
      <c r="H1170" s="33"/>
      <c r="I1170" s="33"/>
      <c r="J1170" s="37"/>
    </row>
    <row r="1171" spans="1:10" x14ac:dyDescent="0.35">
      <c r="A1171" s="32" t="s">
        <v>22</v>
      </c>
      <c r="B1171" s="32">
        <f t="shared" si="284"/>
        <v>2052</v>
      </c>
      <c r="C1171" s="33" t="s">
        <v>37</v>
      </c>
      <c r="D1171" s="34" t="s">
        <v>128</v>
      </c>
      <c r="E1171" s="35" t="str">
        <f t="shared" si="282"/>
        <v>PSNP'!</v>
      </c>
      <c r="F1171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71" s="32" t="s">
        <v>119</v>
      </c>
      <c r="H1171" s="33"/>
      <c r="I1171" s="33"/>
      <c r="J1171" s="37"/>
    </row>
    <row r="1172" spans="1:10" x14ac:dyDescent="0.35">
      <c r="A1172" s="32" t="s">
        <v>22</v>
      </c>
      <c r="B1172" s="32">
        <f t="shared" si="284"/>
        <v>2053</v>
      </c>
      <c r="C1172" s="33" t="s">
        <v>37</v>
      </c>
      <c r="D1172" s="34" t="s">
        <v>128</v>
      </c>
      <c r="E1172" s="35" t="str">
        <f t="shared" si="282"/>
        <v>PSNP'!</v>
      </c>
      <c r="F1172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72" s="32" t="s">
        <v>119</v>
      </c>
      <c r="H1172" s="33"/>
      <c r="I1172" s="33"/>
      <c r="J1172" s="37"/>
    </row>
    <row r="1173" spans="1:10" x14ac:dyDescent="0.35">
      <c r="A1173" s="32" t="s">
        <v>22</v>
      </c>
      <c r="B1173" s="32">
        <f t="shared" si="284"/>
        <v>2054</v>
      </c>
      <c r="C1173" s="33" t="s">
        <v>37</v>
      </c>
      <c r="D1173" s="34" t="s">
        <v>128</v>
      </c>
      <c r="E1173" s="35" t="str">
        <f t="shared" si="282"/>
        <v>PSNP'!</v>
      </c>
      <c r="F1173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73" s="32" t="s">
        <v>119</v>
      </c>
      <c r="H1173" s="33"/>
      <c r="I1173" s="33"/>
      <c r="J1173" s="37"/>
    </row>
    <row r="1174" spans="1:10" x14ac:dyDescent="0.35">
      <c r="A1174" s="32" t="s">
        <v>22</v>
      </c>
      <c r="B1174" s="32">
        <f t="shared" si="284"/>
        <v>2055</v>
      </c>
      <c r="C1174" s="33" t="s">
        <v>37</v>
      </c>
      <c r="D1174" s="34" t="s">
        <v>128</v>
      </c>
      <c r="E1174" s="35" t="str">
        <f t="shared" si="282"/>
        <v>PSNP'!</v>
      </c>
      <c r="F1174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74" s="32" t="s">
        <v>119</v>
      </c>
      <c r="H1174" s="33"/>
      <c r="I1174" s="33"/>
      <c r="J1174" s="37"/>
    </row>
    <row r="1175" spans="1:10" x14ac:dyDescent="0.35">
      <c r="A1175" s="32" t="s">
        <v>22</v>
      </c>
      <c r="B1175" s="32">
        <f t="shared" si="284"/>
        <v>2056</v>
      </c>
      <c r="C1175" s="33" t="s">
        <v>37</v>
      </c>
      <c r="D1175" s="34" t="s">
        <v>128</v>
      </c>
      <c r="E1175" s="35" t="str">
        <f t="shared" si="282"/>
        <v>PSNP'!</v>
      </c>
      <c r="F1175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75" s="32" t="s">
        <v>119</v>
      </c>
      <c r="H1175" s="33"/>
      <c r="I1175" s="33"/>
      <c r="J1175" s="37"/>
    </row>
    <row r="1176" spans="1:10" x14ac:dyDescent="0.35">
      <c r="A1176" s="32" t="s">
        <v>22</v>
      </c>
      <c r="B1176" s="32">
        <f t="shared" si="284"/>
        <v>2057</v>
      </c>
      <c r="C1176" s="33" t="s">
        <v>37</v>
      </c>
      <c r="D1176" s="34" t="s">
        <v>128</v>
      </c>
      <c r="E1176" s="35" t="str">
        <f t="shared" si="282"/>
        <v>PSNP'!</v>
      </c>
      <c r="F1176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76" s="32" t="s">
        <v>119</v>
      </c>
      <c r="H1176" s="33"/>
      <c r="I1176" s="33"/>
      <c r="J1176" s="37"/>
    </row>
    <row r="1177" spans="1:10" x14ac:dyDescent="0.35">
      <c r="A1177" s="32" t="s">
        <v>22</v>
      </c>
      <c r="B1177" s="32">
        <f t="shared" si="284"/>
        <v>2058</v>
      </c>
      <c r="C1177" s="33" t="s">
        <v>37</v>
      </c>
      <c r="D1177" s="34" t="s">
        <v>128</v>
      </c>
      <c r="E1177" s="35" t="str">
        <f t="shared" si="282"/>
        <v>PSNP'!</v>
      </c>
      <c r="F1177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77" s="32" t="s">
        <v>119</v>
      </c>
      <c r="H1177" s="33"/>
      <c r="I1177" s="33"/>
      <c r="J1177" s="37"/>
    </row>
    <row r="1178" spans="1:10" x14ac:dyDescent="0.35">
      <c r="A1178" s="32" t="s">
        <v>22</v>
      </c>
      <c r="B1178" s="32">
        <f t="shared" si="284"/>
        <v>2059</v>
      </c>
      <c r="C1178" s="33" t="s">
        <v>37</v>
      </c>
      <c r="D1178" s="34" t="s">
        <v>128</v>
      </c>
      <c r="E1178" s="35" t="str">
        <f t="shared" si="282"/>
        <v>PSNP'!</v>
      </c>
      <c r="F1178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78" s="32" t="s">
        <v>119</v>
      </c>
      <c r="H1178" s="33"/>
      <c r="I1178" s="33"/>
      <c r="J1178" s="37"/>
    </row>
    <row r="1179" spans="1:10" x14ac:dyDescent="0.35">
      <c r="A1179" s="32" t="s">
        <v>26</v>
      </c>
      <c r="B1179" s="32"/>
      <c r="C1179" s="33" t="s">
        <v>37</v>
      </c>
      <c r="D1179" s="34"/>
      <c r="E1179" s="35"/>
      <c r="F1179" s="34"/>
      <c r="G1179" s="32"/>
      <c r="H1179" s="33"/>
      <c r="I1179" s="33"/>
      <c r="J1179" s="33"/>
    </row>
    <row r="1180" spans="1:10" x14ac:dyDescent="0.35">
      <c r="A1180" s="32" t="s">
        <v>23</v>
      </c>
      <c r="B1180" s="32">
        <v>2023</v>
      </c>
      <c r="C1180" s="33" t="s">
        <v>37</v>
      </c>
      <c r="D1180" s="34" t="s">
        <v>128</v>
      </c>
      <c r="E1180" s="35" t="str">
        <f t="shared" ref="E1180:E1200" si="285">_xlfn.CONCAT(A1180,"'!")</f>
        <v>PSND'!</v>
      </c>
      <c r="F1180" s="34" t="str">
        <f t="shared" ref="F1180:F1200" si="286">_xlfn.CONCAT(D1180:E1180)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80" s="32" t="s">
        <v>119</v>
      </c>
      <c r="H1180" s="33"/>
      <c r="I1180" s="33"/>
      <c r="J1180" s="37"/>
    </row>
    <row r="1181" spans="1:10" x14ac:dyDescent="0.35">
      <c r="A1181" s="32" t="s">
        <v>23</v>
      </c>
      <c r="B1181" s="32">
        <f>+B1180+1</f>
        <v>2024</v>
      </c>
      <c r="C1181" s="33" t="s">
        <v>37</v>
      </c>
      <c r="D1181" s="34" t="s">
        <v>128</v>
      </c>
      <c r="E1181" s="35" t="str">
        <f t="shared" si="285"/>
        <v>PSND'!</v>
      </c>
      <c r="F1181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81" s="32" t="s">
        <v>119</v>
      </c>
      <c r="H1181" s="33"/>
      <c r="I1181" s="33"/>
      <c r="J1181" s="37"/>
    </row>
    <row r="1182" spans="1:10" x14ac:dyDescent="0.35">
      <c r="A1182" s="32" t="s">
        <v>23</v>
      </c>
      <c r="B1182" s="32">
        <f t="shared" ref="B1182:B1193" si="287">+B1181+1</f>
        <v>2025</v>
      </c>
      <c r="C1182" s="33" t="s">
        <v>37</v>
      </c>
      <c r="D1182" s="34" t="s">
        <v>128</v>
      </c>
      <c r="E1182" s="35" t="str">
        <f t="shared" si="285"/>
        <v>PSND'!</v>
      </c>
      <c r="F1182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82" s="32" t="s">
        <v>119</v>
      </c>
      <c r="H1182" s="33"/>
      <c r="I1182" s="33"/>
      <c r="J1182" s="37"/>
    </row>
    <row r="1183" spans="1:10" x14ac:dyDescent="0.35">
      <c r="A1183" s="32" t="s">
        <v>23</v>
      </c>
      <c r="B1183" s="32">
        <f t="shared" si="287"/>
        <v>2026</v>
      </c>
      <c r="C1183" s="33" t="s">
        <v>37</v>
      </c>
      <c r="D1183" s="34" t="s">
        <v>128</v>
      </c>
      <c r="E1183" s="35" t="str">
        <f t="shared" si="285"/>
        <v>PSND'!</v>
      </c>
      <c r="F1183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83" s="32" t="s">
        <v>119</v>
      </c>
      <c r="H1183" s="33"/>
      <c r="I1183" s="33"/>
      <c r="J1183" s="37"/>
    </row>
    <row r="1184" spans="1:10" x14ac:dyDescent="0.35">
      <c r="A1184" s="32" t="s">
        <v>23</v>
      </c>
      <c r="B1184" s="32">
        <f t="shared" si="287"/>
        <v>2027</v>
      </c>
      <c r="C1184" s="33" t="s">
        <v>37</v>
      </c>
      <c r="D1184" s="34" t="s">
        <v>128</v>
      </c>
      <c r="E1184" s="35" t="str">
        <f t="shared" si="285"/>
        <v>PSND'!</v>
      </c>
      <c r="F1184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84" s="32" t="s">
        <v>119</v>
      </c>
      <c r="H1184" s="33"/>
      <c r="I1184" s="33"/>
      <c r="J1184" s="37"/>
    </row>
    <row r="1185" spans="1:10" x14ac:dyDescent="0.35">
      <c r="A1185" s="32" t="s">
        <v>23</v>
      </c>
      <c r="B1185" s="32">
        <f t="shared" si="287"/>
        <v>2028</v>
      </c>
      <c r="C1185" s="33" t="s">
        <v>37</v>
      </c>
      <c r="D1185" s="34" t="s">
        <v>128</v>
      </c>
      <c r="E1185" s="35" t="str">
        <f t="shared" si="285"/>
        <v>PSND'!</v>
      </c>
      <c r="F1185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85" s="32" t="s">
        <v>119</v>
      </c>
      <c r="H1185" s="33"/>
      <c r="I1185" s="33"/>
      <c r="J1185" s="37"/>
    </row>
    <row r="1186" spans="1:10" x14ac:dyDescent="0.35">
      <c r="A1186" s="32" t="s">
        <v>23</v>
      </c>
      <c r="B1186" s="32">
        <f t="shared" si="287"/>
        <v>2029</v>
      </c>
      <c r="C1186" s="33" t="s">
        <v>37</v>
      </c>
      <c r="D1186" s="34" t="s">
        <v>128</v>
      </c>
      <c r="E1186" s="35" t="str">
        <f t="shared" si="285"/>
        <v>PSND'!</v>
      </c>
      <c r="F1186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86" s="32" t="s">
        <v>119</v>
      </c>
      <c r="H1186" s="33"/>
      <c r="I1186" s="33"/>
      <c r="J1186" s="37"/>
    </row>
    <row r="1187" spans="1:10" x14ac:dyDescent="0.35">
      <c r="A1187" s="32" t="s">
        <v>23</v>
      </c>
      <c r="B1187" s="32">
        <f t="shared" si="287"/>
        <v>2030</v>
      </c>
      <c r="C1187" s="33" t="s">
        <v>37</v>
      </c>
      <c r="D1187" s="34" t="s">
        <v>128</v>
      </c>
      <c r="E1187" s="35" t="str">
        <f t="shared" si="285"/>
        <v>PSND'!</v>
      </c>
      <c r="F1187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87" s="32" t="s">
        <v>119</v>
      </c>
      <c r="H1187" s="33"/>
      <c r="I1187" s="33"/>
      <c r="J1187" s="37"/>
    </row>
    <row r="1188" spans="1:10" x14ac:dyDescent="0.35">
      <c r="A1188" s="32" t="s">
        <v>23</v>
      </c>
      <c r="B1188" s="32">
        <f t="shared" si="287"/>
        <v>2031</v>
      </c>
      <c r="C1188" s="33" t="s">
        <v>37</v>
      </c>
      <c r="D1188" s="34" t="s">
        <v>128</v>
      </c>
      <c r="E1188" s="35" t="str">
        <f t="shared" si="285"/>
        <v>PSND'!</v>
      </c>
      <c r="F1188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88" s="32" t="s">
        <v>119</v>
      </c>
      <c r="H1188" s="33"/>
      <c r="I1188" s="33"/>
      <c r="J1188" s="37"/>
    </row>
    <row r="1189" spans="1:10" x14ac:dyDescent="0.35">
      <c r="A1189" s="32" t="s">
        <v>23</v>
      </c>
      <c r="B1189" s="32">
        <f t="shared" si="287"/>
        <v>2032</v>
      </c>
      <c r="C1189" s="33" t="s">
        <v>37</v>
      </c>
      <c r="D1189" s="34" t="s">
        <v>128</v>
      </c>
      <c r="E1189" s="35" t="str">
        <f t="shared" si="285"/>
        <v>PSND'!</v>
      </c>
      <c r="F1189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89" s="32" t="s">
        <v>119</v>
      </c>
      <c r="H1189" s="33"/>
      <c r="I1189" s="33"/>
      <c r="J1189" s="37"/>
    </row>
    <row r="1190" spans="1:10" x14ac:dyDescent="0.35">
      <c r="A1190" s="32" t="s">
        <v>23</v>
      </c>
      <c r="B1190" s="32">
        <f t="shared" si="287"/>
        <v>2033</v>
      </c>
      <c r="C1190" s="33" t="s">
        <v>37</v>
      </c>
      <c r="D1190" s="34" t="s">
        <v>128</v>
      </c>
      <c r="E1190" s="35" t="str">
        <f t="shared" si="285"/>
        <v>PSND'!</v>
      </c>
      <c r="F1190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90" s="32" t="s">
        <v>119</v>
      </c>
      <c r="H1190" s="33"/>
      <c r="I1190" s="33"/>
      <c r="J1190" s="37"/>
    </row>
    <row r="1191" spans="1:10" x14ac:dyDescent="0.35">
      <c r="A1191" s="32" t="s">
        <v>23</v>
      </c>
      <c r="B1191" s="32">
        <f t="shared" si="287"/>
        <v>2034</v>
      </c>
      <c r="C1191" s="33" t="s">
        <v>37</v>
      </c>
      <c r="D1191" s="34" t="s">
        <v>128</v>
      </c>
      <c r="E1191" s="35" t="str">
        <f t="shared" si="285"/>
        <v>PSND'!</v>
      </c>
      <c r="F1191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91" s="32" t="s">
        <v>119</v>
      </c>
      <c r="H1191" s="33"/>
      <c r="I1191" s="33"/>
      <c r="J1191" s="37"/>
    </row>
    <row r="1192" spans="1:10" x14ac:dyDescent="0.35">
      <c r="A1192" s="32" t="s">
        <v>23</v>
      </c>
      <c r="B1192" s="32">
        <f t="shared" si="287"/>
        <v>2035</v>
      </c>
      <c r="C1192" s="33" t="s">
        <v>37</v>
      </c>
      <c r="D1192" s="34" t="s">
        <v>128</v>
      </c>
      <c r="E1192" s="35" t="str">
        <f t="shared" si="285"/>
        <v>PSND'!</v>
      </c>
      <c r="F1192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92" s="32" t="s">
        <v>119</v>
      </c>
      <c r="H1192" s="33"/>
      <c r="I1192" s="33"/>
      <c r="J1192" s="37"/>
    </row>
    <row r="1193" spans="1:10" x14ac:dyDescent="0.35">
      <c r="A1193" s="32" t="s">
        <v>23</v>
      </c>
      <c r="B1193" s="32">
        <f t="shared" si="287"/>
        <v>2036</v>
      </c>
      <c r="C1193" s="33" t="s">
        <v>37</v>
      </c>
      <c r="D1193" s="34" t="s">
        <v>128</v>
      </c>
      <c r="E1193" s="35" t="str">
        <f t="shared" si="285"/>
        <v>PSND'!</v>
      </c>
      <c r="F1193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93" s="32" t="s">
        <v>119</v>
      </c>
      <c r="H1193" s="33"/>
      <c r="I1193" s="33"/>
      <c r="J1193" s="37"/>
    </row>
    <row r="1194" spans="1:10" x14ac:dyDescent="0.35">
      <c r="A1194" s="32" t="s">
        <v>23</v>
      </c>
      <c r="B1194" s="32">
        <f>+B1193+1</f>
        <v>2037</v>
      </c>
      <c r="C1194" s="33" t="s">
        <v>37</v>
      </c>
      <c r="D1194" s="34" t="s">
        <v>128</v>
      </c>
      <c r="E1194" s="35" t="str">
        <f t="shared" si="285"/>
        <v>PSND'!</v>
      </c>
      <c r="F1194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94" s="32" t="s">
        <v>119</v>
      </c>
      <c r="H1194" s="33"/>
      <c r="I1194" s="33"/>
      <c r="J1194" s="37"/>
    </row>
    <row r="1195" spans="1:10" x14ac:dyDescent="0.35">
      <c r="A1195" s="32" t="s">
        <v>23</v>
      </c>
      <c r="B1195" s="32">
        <f t="shared" ref="B1195:B1197" si="288">+B1194+1</f>
        <v>2038</v>
      </c>
      <c r="C1195" s="33" t="s">
        <v>37</v>
      </c>
      <c r="D1195" s="34" t="s">
        <v>128</v>
      </c>
      <c r="E1195" s="35" t="str">
        <f t="shared" si="285"/>
        <v>PSND'!</v>
      </c>
      <c r="F1195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95" s="32" t="s">
        <v>119</v>
      </c>
      <c r="H1195" s="33"/>
      <c r="I1195" s="33"/>
      <c r="J1195" s="37"/>
    </row>
    <row r="1196" spans="1:10" x14ac:dyDescent="0.35">
      <c r="A1196" s="32" t="s">
        <v>23</v>
      </c>
      <c r="B1196" s="32">
        <f t="shared" si="288"/>
        <v>2039</v>
      </c>
      <c r="C1196" s="33" t="s">
        <v>37</v>
      </c>
      <c r="D1196" s="34" t="s">
        <v>128</v>
      </c>
      <c r="E1196" s="35" t="str">
        <f t="shared" si="285"/>
        <v>PSND'!</v>
      </c>
      <c r="F1196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96" s="32" t="s">
        <v>119</v>
      </c>
      <c r="H1196" s="33"/>
      <c r="I1196" s="33"/>
      <c r="J1196" s="37"/>
    </row>
    <row r="1197" spans="1:10" x14ac:dyDescent="0.35">
      <c r="A1197" s="32" t="s">
        <v>23</v>
      </c>
      <c r="B1197" s="32">
        <f t="shared" si="288"/>
        <v>2040</v>
      </c>
      <c r="C1197" s="33" t="s">
        <v>37</v>
      </c>
      <c r="D1197" s="34" t="s">
        <v>128</v>
      </c>
      <c r="E1197" s="35" t="str">
        <f t="shared" si="285"/>
        <v>PSND'!</v>
      </c>
      <c r="F1197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97" s="32" t="s">
        <v>119</v>
      </c>
      <c r="H1197" s="33"/>
      <c r="I1197" s="33"/>
      <c r="J1197" s="37"/>
    </row>
    <row r="1198" spans="1:10" x14ac:dyDescent="0.35">
      <c r="A1198" s="32" t="s">
        <v>23</v>
      </c>
      <c r="B1198" s="32">
        <f>+B1197+1</f>
        <v>2041</v>
      </c>
      <c r="C1198" s="33" t="s">
        <v>37</v>
      </c>
      <c r="D1198" s="34" t="s">
        <v>128</v>
      </c>
      <c r="E1198" s="35" t="str">
        <f t="shared" si="285"/>
        <v>PSND'!</v>
      </c>
      <c r="F1198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98" s="32" t="s">
        <v>119</v>
      </c>
      <c r="H1198" s="33"/>
      <c r="I1198" s="33"/>
      <c r="J1198" s="37"/>
    </row>
    <row r="1199" spans="1:10" x14ac:dyDescent="0.35">
      <c r="A1199" s="32" t="s">
        <v>23</v>
      </c>
      <c r="B1199" s="32">
        <f t="shared" ref="B1199:B1200" si="289">+B1198+1</f>
        <v>2042</v>
      </c>
      <c r="C1199" s="33" t="s">
        <v>37</v>
      </c>
      <c r="D1199" s="34" t="s">
        <v>128</v>
      </c>
      <c r="E1199" s="35" t="str">
        <f t="shared" si="285"/>
        <v>PSND'!</v>
      </c>
      <c r="F1199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99" s="32" t="s">
        <v>119</v>
      </c>
      <c r="H1199" s="33"/>
      <c r="I1199" s="33"/>
      <c r="J1199" s="37"/>
    </row>
    <row r="1200" spans="1:10" x14ac:dyDescent="0.35">
      <c r="A1200" s="32" t="s">
        <v>23</v>
      </c>
      <c r="B1200" s="32">
        <f t="shared" si="289"/>
        <v>2043</v>
      </c>
      <c r="C1200" s="33" t="s">
        <v>37</v>
      </c>
      <c r="D1200" s="34" t="s">
        <v>128</v>
      </c>
      <c r="E1200" s="35" t="str">
        <f t="shared" si="285"/>
        <v>PSND'!</v>
      </c>
      <c r="F1200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00" s="32" t="s">
        <v>119</v>
      </c>
      <c r="H1200" s="33"/>
      <c r="I1200" s="33"/>
      <c r="J1200" s="37"/>
    </row>
    <row r="1201" spans="1:10" x14ac:dyDescent="0.35">
      <c r="A1201" s="32" t="s">
        <v>23</v>
      </c>
      <c r="B1201" s="32">
        <f>+B1200+1</f>
        <v>2044</v>
      </c>
      <c r="C1201" s="33" t="s">
        <v>37</v>
      </c>
      <c r="D1201" s="34" t="s">
        <v>128</v>
      </c>
      <c r="E1201" s="35" t="str">
        <f t="shared" ref="E1201:E1216" si="290">_xlfn.CONCAT(A1201,"'!")</f>
        <v>PSND'!</v>
      </c>
      <c r="F1201" s="34" t="str">
        <f t="shared" ref="F1201:F1216" si="291">_xlfn.CONCAT(D1201:E1201)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01" s="32" t="s">
        <v>119</v>
      </c>
      <c r="H1201" s="33"/>
      <c r="I1201" s="33"/>
      <c r="J1201" s="37"/>
    </row>
    <row r="1202" spans="1:10" x14ac:dyDescent="0.35">
      <c r="A1202" s="32" t="s">
        <v>23</v>
      </c>
      <c r="B1202" s="32">
        <f t="shared" ref="B1202:B1216" si="292">+B1201+1</f>
        <v>2045</v>
      </c>
      <c r="C1202" s="33" t="s">
        <v>37</v>
      </c>
      <c r="D1202" s="34" t="s">
        <v>128</v>
      </c>
      <c r="E1202" s="35" t="str">
        <f t="shared" si="290"/>
        <v>PSND'!</v>
      </c>
      <c r="F1202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02" s="32" t="s">
        <v>119</v>
      </c>
      <c r="H1202" s="33"/>
      <c r="I1202" s="33"/>
      <c r="J1202" s="37"/>
    </row>
    <row r="1203" spans="1:10" x14ac:dyDescent="0.35">
      <c r="A1203" s="32" t="s">
        <v>23</v>
      </c>
      <c r="B1203" s="32">
        <f t="shared" si="292"/>
        <v>2046</v>
      </c>
      <c r="C1203" s="33" t="s">
        <v>37</v>
      </c>
      <c r="D1203" s="34" t="s">
        <v>128</v>
      </c>
      <c r="E1203" s="35" t="str">
        <f t="shared" si="290"/>
        <v>PSND'!</v>
      </c>
      <c r="F1203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03" s="32" t="s">
        <v>119</v>
      </c>
      <c r="H1203" s="33"/>
      <c r="I1203" s="33"/>
      <c r="J1203" s="37"/>
    </row>
    <row r="1204" spans="1:10" x14ac:dyDescent="0.35">
      <c r="A1204" s="32" t="s">
        <v>23</v>
      </c>
      <c r="B1204" s="32">
        <f t="shared" si="292"/>
        <v>2047</v>
      </c>
      <c r="C1204" s="33" t="s">
        <v>37</v>
      </c>
      <c r="D1204" s="34" t="s">
        <v>128</v>
      </c>
      <c r="E1204" s="35" t="str">
        <f t="shared" si="290"/>
        <v>PSND'!</v>
      </c>
      <c r="F1204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04" s="32" t="s">
        <v>119</v>
      </c>
      <c r="H1204" s="33"/>
      <c r="I1204" s="33"/>
      <c r="J1204" s="37"/>
    </row>
    <row r="1205" spans="1:10" x14ac:dyDescent="0.35">
      <c r="A1205" s="32" t="s">
        <v>23</v>
      </c>
      <c r="B1205" s="32">
        <f t="shared" si="292"/>
        <v>2048</v>
      </c>
      <c r="C1205" s="33" t="s">
        <v>37</v>
      </c>
      <c r="D1205" s="34" t="s">
        <v>128</v>
      </c>
      <c r="E1205" s="35" t="str">
        <f t="shared" si="290"/>
        <v>PSND'!</v>
      </c>
      <c r="F1205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05" s="32" t="s">
        <v>119</v>
      </c>
      <c r="H1205" s="33"/>
      <c r="I1205" s="33"/>
      <c r="J1205" s="37"/>
    </row>
    <row r="1206" spans="1:10" x14ac:dyDescent="0.35">
      <c r="A1206" s="32" t="s">
        <v>23</v>
      </c>
      <c r="B1206" s="32">
        <f t="shared" si="292"/>
        <v>2049</v>
      </c>
      <c r="C1206" s="33" t="s">
        <v>37</v>
      </c>
      <c r="D1206" s="34" t="s">
        <v>128</v>
      </c>
      <c r="E1206" s="35" t="str">
        <f t="shared" si="290"/>
        <v>PSND'!</v>
      </c>
      <c r="F1206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06" s="32" t="s">
        <v>119</v>
      </c>
      <c r="H1206" s="33"/>
      <c r="I1206" s="33"/>
      <c r="J1206" s="37"/>
    </row>
    <row r="1207" spans="1:10" x14ac:dyDescent="0.35">
      <c r="A1207" s="32" t="s">
        <v>23</v>
      </c>
      <c r="B1207" s="32">
        <f t="shared" si="292"/>
        <v>2050</v>
      </c>
      <c r="C1207" s="33" t="s">
        <v>37</v>
      </c>
      <c r="D1207" s="34" t="s">
        <v>128</v>
      </c>
      <c r="E1207" s="35" t="str">
        <f t="shared" si="290"/>
        <v>PSND'!</v>
      </c>
      <c r="F1207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07" s="32" t="s">
        <v>119</v>
      </c>
      <c r="H1207" s="33"/>
      <c r="I1207" s="33"/>
      <c r="J1207" s="37"/>
    </row>
    <row r="1208" spans="1:10" x14ac:dyDescent="0.35">
      <c r="A1208" s="32" t="s">
        <v>23</v>
      </c>
      <c r="B1208" s="32">
        <f t="shared" si="292"/>
        <v>2051</v>
      </c>
      <c r="C1208" s="33" t="s">
        <v>37</v>
      </c>
      <c r="D1208" s="34" t="s">
        <v>128</v>
      </c>
      <c r="E1208" s="35" t="str">
        <f t="shared" si="290"/>
        <v>PSND'!</v>
      </c>
      <c r="F1208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08" s="32" t="s">
        <v>119</v>
      </c>
      <c r="H1208" s="33"/>
      <c r="I1208" s="33"/>
      <c r="J1208" s="37"/>
    </row>
    <row r="1209" spans="1:10" x14ac:dyDescent="0.35">
      <c r="A1209" s="32" t="s">
        <v>23</v>
      </c>
      <c r="B1209" s="32">
        <f t="shared" si="292"/>
        <v>2052</v>
      </c>
      <c r="C1209" s="33" t="s">
        <v>37</v>
      </c>
      <c r="D1209" s="34" t="s">
        <v>128</v>
      </c>
      <c r="E1209" s="35" t="str">
        <f t="shared" si="290"/>
        <v>PSND'!</v>
      </c>
      <c r="F1209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09" s="32" t="s">
        <v>119</v>
      </c>
      <c r="H1209" s="33"/>
      <c r="I1209" s="33"/>
      <c r="J1209" s="37"/>
    </row>
    <row r="1210" spans="1:10" x14ac:dyDescent="0.35">
      <c r="A1210" s="32" t="s">
        <v>23</v>
      </c>
      <c r="B1210" s="32">
        <f t="shared" si="292"/>
        <v>2053</v>
      </c>
      <c r="C1210" s="33" t="s">
        <v>37</v>
      </c>
      <c r="D1210" s="34" t="s">
        <v>128</v>
      </c>
      <c r="E1210" s="35" t="str">
        <f t="shared" si="290"/>
        <v>PSND'!</v>
      </c>
      <c r="F1210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10" s="32" t="s">
        <v>119</v>
      </c>
      <c r="H1210" s="33"/>
      <c r="I1210" s="33"/>
      <c r="J1210" s="37"/>
    </row>
    <row r="1211" spans="1:10" x14ac:dyDescent="0.35">
      <c r="A1211" s="32" t="s">
        <v>23</v>
      </c>
      <c r="B1211" s="32">
        <f t="shared" si="292"/>
        <v>2054</v>
      </c>
      <c r="C1211" s="33" t="s">
        <v>37</v>
      </c>
      <c r="D1211" s="34" t="s">
        <v>128</v>
      </c>
      <c r="E1211" s="35" t="str">
        <f t="shared" si="290"/>
        <v>PSND'!</v>
      </c>
      <c r="F1211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11" s="32" t="s">
        <v>119</v>
      </c>
      <c r="H1211" s="33"/>
      <c r="I1211" s="33"/>
      <c r="J1211" s="37"/>
    </row>
    <row r="1212" spans="1:10" x14ac:dyDescent="0.35">
      <c r="A1212" s="32" t="s">
        <v>23</v>
      </c>
      <c r="B1212" s="32">
        <f t="shared" si="292"/>
        <v>2055</v>
      </c>
      <c r="C1212" s="33" t="s">
        <v>37</v>
      </c>
      <c r="D1212" s="34" t="s">
        <v>128</v>
      </c>
      <c r="E1212" s="35" t="str">
        <f t="shared" si="290"/>
        <v>PSND'!</v>
      </c>
      <c r="F1212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12" s="32" t="s">
        <v>119</v>
      </c>
      <c r="H1212" s="33"/>
      <c r="I1212" s="33"/>
      <c r="J1212" s="37"/>
    </row>
    <row r="1213" spans="1:10" x14ac:dyDescent="0.35">
      <c r="A1213" s="32" t="s">
        <v>23</v>
      </c>
      <c r="B1213" s="32">
        <f t="shared" si="292"/>
        <v>2056</v>
      </c>
      <c r="C1213" s="33" t="s">
        <v>37</v>
      </c>
      <c r="D1213" s="34" t="s">
        <v>128</v>
      </c>
      <c r="E1213" s="35" t="str">
        <f t="shared" si="290"/>
        <v>PSND'!</v>
      </c>
      <c r="F1213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13" s="32" t="s">
        <v>119</v>
      </c>
      <c r="H1213" s="33"/>
      <c r="I1213" s="33"/>
      <c r="J1213" s="37"/>
    </row>
    <row r="1214" spans="1:10" x14ac:dyDescent="0.35">
      <c r="A1214" s="32" t="s">
        <v>23</v>
      </c>
      <c r="B1214" s="32">
        <f t="shared" si="292"/>
        <v>2057</v>
      </c>
      <c r="C1214" s="33" t="s">
        <v>37</v>
      </c>
      <c r="D1214" s="34" t="s">
        <v>128</v>
      </c>
      <c r="E1214" s="35" t="str">
        <f t="shared" si="290"/>
        <v>PSND'!</v>
      </c>
      <c r="F1214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14" s="32" t="s">
        <v>119</v>
      </c>
      <c r="H1214" s="33"/>
      <c r="I1214" s="33"/>
      <c r="J1214" s="37"/>
    </row>
    <row r="1215" spans="1:10" x14ac:dyDescent="0.35">
      <c r="A1215" s="32" t="s">
        <v>23</v>
      </c>
      <c r="B1215" s="32">
        <f t="shared" si="292"/>
        <v>2058</v>
      </c>
      <c r="C1215" s="33" t="s">
        <v>37</v>
      </c>
      <c r="D1215" s="34" t="s">
        <v>128</v>
      </c>
      <c r="E1215" s="35" t="str">
        <f t="shared" si="290"/>
        <v>PSND'!</v>
      </c>
      <c r="F1215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15" s="32" t="s">
        <v>119</v>
      </c>
      <c r="H1215" s="33"/>
      <c r="I1215" s="33"/>
      <c r="J1215" s="37"/>
    </row>
    <row r="1216" spans="1:10" x14ac:dyDescent="0.35">
      <c r="A1216" s="32" t="s">
        <v>23</v>
      </c>
      <c r="B1216" s="32">
        <f t="shared" si="292"/>
        <v>2059</v>
      </c>
      <c r="C1216" s="33" t="s">
        <v>37</v>
      </c>
      <c r="D1216" s="34" t="s">
        <v>128</v>
      </c>
      <c r="E1216" s="35" t="str">
        <f t="shared" si="290"/>
        <v>PSND'!</v>
      </c>
      <c r="F1216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16" s="32" t="s">
        <v>119</v>
      </c>
      <c r="H1216" s="33"/>
      <c r="I1216" s="33"/>
      <c r="J1216" s="37"/>
    </row>
    <row r="1217" spans="1:10" x14ac:dyDescent="0.35">
      <c r="A1217" s="32" t="s">
        <v>26</v>
      </c>
      <c r="B1217" s="32"/>
      <c r="C1217" s="33" t="s">
        <v>37</v>
      </c>
      <c r="D1217" s="34"/>
      <c r="E1217" s="35"/>
      <c r="F1217" s="34"/>
      <c r="G1217" s="32"/>
      <c r="H1217" s="33"/>
      <c r="I1217" s="33"/>
      <c r="J1217" s="33"/>
    </row>
    <row r="1218" spans="1:10" x14ac:dyDescent="0.35">
      <c r="A1218" s="32" t="s">
        <v>24</v>
      </c>
      <c r="B1218" s="32">
        <v>2023</v>
      </c>
      <c r="C1218" s="33" t="s">
        <v>37</v>
      </c>
      <c r="D1218" s="34" t="s">
        <v>128</v>
      </c>
      <c r="E1218" s="35" t="str">
        <f t="shared" si="228"/>
        <v>PS'!</v>
      </c>
      <c r="F1218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18" s="32" t="s">
        <v>119</v>
      </c>
      <c r="H1218" s="33">
        <v>12</v>
      </c>
      <c r="I1218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ECP\Cantagallo\Cristalina\[CRISTALINA_CF_SEC_New_09-Feb-2024.xlsx]D-PS'!$BZ$12</v>
      </c>
      <c r="J1218" s="37" t="s">
        <v>647</v>
      </c>
    </row>
    <row r="1219" spans="1:10" x14ac:dyDescent="0.35">
      <c r="A1219" s="32" t="s">
        <v>24</v>
      </c>
      <c r="B1219" s="32">
        <f>+B1218+1</f>
        <v>2024</v>
      </c>
      <c r="C1219" s="33" t="s">
        <v>37</v>
      </c>
      <c r="D1219" s="34" t="s">
        <v>128</v>
      </c>
      <c r="E1219" s="35" t="str">
        <f t="shared" si="228"/>
        <v>PS'!</v>
      </c>
      <c r="F1219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19" s="32" t="s">
        <v>119</v>
      </c>
      <c r="H1219" s="33">
        <f t="shared" ref="H1219:H1238" si="293">IF(A1219&lt;&gt;A1218,12,H1218+1)</f>
        <v>13</v>
      </c>
      <c r="I1219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ECP\Cantagallo\Cristalina\[CRISTALINA_CF_SEC_New_09-Feb-2024.xlsx]D-PS'!$BZ$13</v>
      </c>
      <c r="J1219" s="37" t="s">
        <v>648</v>
      </c>
    </row>
    <row r="1220" spans="1:10" x14ac:dyDescent="0.35">
      <c r="A1220" s="32" t="s">
        <v>24</v>
      </c>
      <c r="B1220" s="32">
        <f t="shared" ref="B1220:B1231" si="294">+B1219+1</f>
        <v>2025</v>
      </c>
      <c r="C1220" s="33" t="s">
        <v>37</v>
      </c>
      <c r="D1220" s="34" t="s">
        <v>128</v>
      </c>
      <c r="E1220" s="35" t="str">
        <f t="shared" si="228"/>
        <v>PS'!</v>
      </c>
      <c r="F1220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20" s="32" t="s">
        <v>119</v>
      </c>
      <c r="H1220" s="33">
        <f t="shared" si="293"/>
        <v>14</v>
      </c>
      <c r="I1220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ECP\Cantagallo\Cristalina\[CRISTALINA_CF_SEC_New_09-Feb-2024.xlsx]D-PS'!$BZ$14</v>
      </c>
      <c r="J1220" s="37" t="s">
        <v>649</v>
      </c>
    </row>
    <row r="1221" spans="1:10" x14ac:dyDescent="0.35">
      <c r="A1221" s="32" t="s">
        <v>24</v>
      </c>
      <c r="B1221" s="32">
        <f t="shared" si="294"/>
        <v>2026</v>
      </c>
      <c r="C1221" s="33" t="s">
        <v>37</v>
      </c>
      <c r="D1221" s="34" t="s">
        <v>128</v>
      </c>
      <c r="E1221" s="35" t="str">
        <f t="shared" si="228"/>
        <v>PS'!</v>
      </c>
      <c r="F1221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21" s="32" t="s">
        <v>119</v>
      </c>
      <c r="H1221" s="33">
        <f t="shared" si="293"/>
        <v>15</v>
      </c>
      <c r="I1221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ECP\Cantagallo\Cristalina\[CRISTALINA_CF_SEC_New_09-Feb-2024.xlsx]D-PS'!$BZ$15</v>
      </c>
      <c r="J1221" s="37" t="s">
        <v>650</v>
      </c>
    </row>
    <row r="1222" spans="1:10" x14ac:dyDescent="0.35">
      <c r="A1222" s="32" t="s">
        <v>24</v>
      </c>
      <c r="B1222" s="32">
        <f t="shared" si="294"/>
        <v>2027</v>
      </c>
      <c r="C1222" s="33" t="s">
        <v>37</v>
      </c>
      <c r="D1222" s="34" t="s">
        <v>128</v>
      </c>
      <c r="E1222" s="35" t="str">
        <f t="shared" si="228"/>
        <v>PS'!</v>
      </c>
      <c r="F1222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22" s="32" t="s">
        <v>119</v>
      </c>
      <c r="H1222" s="33">
        <f t="shared" si="293"/>
        <v>16</v>
      </c>
      <c r="I1222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ECP\Cantagallo\Cristalina\[CRISTALINA_CF_SEC_New_09-Feb-2024.xlsx]D-PS'!$BZ$16</v>
      </c>
      <c r="J1222" s="37" t="s">
        <v>651</v>
      </c>
    </row>
    <row r="1223" spans="1:10" x14ac:dyDescent="0.35">
      <c r="A1223" s="32" t="s">
        <v>24</v>
      </c>
      <c r="B1223" s="32">
        <f t="shared" si="294"/>
        <v>2028</v>
      </c>
      <c r="C1223" s="33" t="s">
        <v>37</v>
      </c>
      <c r="D1223" s="34" t="s">
        <v>128</v>
      </c>
      <c r="E1223" s="35" t="str">
        <f t="shared" si="228"/>
        <v>PS'!</v>
      </c>
      <c r="F1223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23" s="32" t="s">
        <v>119</v>
      </c>
      <c r="H1223" s="33">
        <f t="shared" si="293"/>
        <v>17</v>
      </c>
      <c r="I1223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ECP\Cantagallo\Cristalina\[CRISTALINA_CF_SEC_New_09-Feb-2024.xlsx]D-PS'!$BZ$17</v>
      </c>
      <c r="J1223" s="37" t="s">
        <v>652</v>
      </c>
    </row>
    <row r="1224" spans="1:10" x14ac:dyDescent="0.35">
      <c r="A1224" s="32" t="s">
        <v>24</v>
      </c>
      <c r="B1224" s="32">
        <f t="shared" si="294"/>
        <v>2029</v>
      </c>
      <c r="C1224" s="33" t="s">
        <v>37</v>
      </c>
      <c r="D1224" s="34" t="s">
        <v>128</v>
      </c>
      <c r="E1224" s="35" t="str">
        <f t="shared" si="228"/>
        <v>PS'!</v>
      </c>
      <c r="F1224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24" s="32" t="s">
        <v>119</v>
      </c>
      <c r="H1224" s="33">
        <f t="shared" si="293"/>
        <v>18</v>
      </c>
      <c r="I1224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ECP\Cantagallo\Cristalina\[CRISTALINA_CF_SEC_New_09-Feb-2024.xlsx]D-PS'!$BZ$18</v>
      </c>
      <c r="J1224" s="37" t="s">
        <v>653</v>
      </c>
    </row>
    <row r="1225" spans="1:10" x14ac:dyDescent="0.35">
      <c r="A1225" s="32" t="s">
        <v>24</v>
      </c>
      <c r="B1225" s="32">
        <f t="shared" si="294"/>
        <v>2030</v>
      </c>
      <c r="C1225" s="33" t="s">
        <v>37</v>
      </c>
      <c r="D1225" s="34" t="s">
        <v>128</v>
      </c>
      <c r="E1225" s="35" t="str">
        <f t="shared" si="228"/>
        <v>PS'!</v>
      </c>
      <c r="F1225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25" s="32" t="s">
        <v>119</v>
      </c>
      <c r="H1225" s="33">
        <f t="shared" si="293"/>
        <v>19</v>
      </c>
      <c r="I1225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ECP\Cantagallo\Cristalina\[CRISTALINA_CF_SEC_New_09-Feb-2024.xlsx]D-PS'!$BZ$19</v>
      </c>
      <c r="J1225" s="37" t="s">
        <v>654</v>
      </c>
    </row>
    <row r="1226" spans="1:10" x14ac:dyDescent="0.35">
      <c r="A1226" s="32" t="s">
        <v>24</v>
      </c>
      <c r="B1226" s="32">
        <f t="shared" si="294"/>
        <v>2031</v>
      </c>
      <c r="C1226" s="33" t="s">
        <v>37</v>
      </c>
      <c r="D1226" s="34" t="s">
        <v>128</v>
      </c>
      <c r="E1226" s="35" t="str">
        <f t="shared" si="228"/>
        <v>PS'!</v>
      </c>
      <c r="F1226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26" s="32" t="s">
        <v>119</v>
      </c>
      <c r="H1226" s="33">
        <f t="shared" si="293"/>
        <v>20</v>
      </c>
      <c r="I1226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ECP\Cantagallo\Cristalina\[CRISTALINA_CF_SEC_New_09-Feb-2024.xlsx]D-PS'!$BZ$20</v>
      </c>
      <c r="J1226" s="37" t="s">
        <v>655</v>
      </c>
    </row>
    <row r="1227" spans="1:10" x14ac:dyDescent="0.35">
      <c r="A1227" s="32" t="s">
        <v>24</v>
      </c>
      <c r="B1227" s="32">
        <f t="shared" si="294"/>
        <v>2032</v>
      </c>
      <c r="C1227" s="33" t="s">
        <v>37</v>
      </c>
      <c r="D1227" s="34" t="s">
        <v>128</v>
      </c>
      <c r="E1227" s="35" t="str">
        <f t="shared" si="228"/>
        <v>PS'!</v>
      </c>
      <c r="F1227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27" s="32" t="s">
        <v>119</v>
      </c>
      <c r="H1227" s="33">
        <f t="shared" si="293"/>
        <v>21</v>
      </c>
      <c r="I1227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ECP\Cantagallo\Cristalina\[CRISTALINA_CF_SEC_New_09-Feb-2024.xlsx]D-PS'!$BZ$21</v>
      </c>
      <c r="J1227" s="37" t="s">
        <v>656</v>
      </c>
    </row>
    <row r="1228" spans="1:10" x14ac:dyDescent="0.35">
      <c r="A1228" s="32" t="s">
        <v>24</v>
      </c>
      <c r="B1228" s="32">
        <f t="shared" si="294"/>
        <v>2033</v>
      </c>
      <c r="C1228" s="33" t="s">
        <v>37</v>
      </c>
      <c r="D1228" s="34" t="s">
        <v>128</v>
      </c>
      <c r="E1228" s="35" t="str">
        <f t="shared" si="228"/>
        <v>PS'!</v>
      </c>
      <c r="F1228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28" s="32" t="s">
        <v>119</v>
      </c>
      <c r="H1228" s="33">
        <f t="shared" si="293"/>
        <v>22</v>
      </c>
      <c r="I1228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ECP\Cantagallo\Cristalina\[CRISTALINA_CF_SEC_New_09-Feb-2024.xlsx]D-PS'!$BZ$22</v>
      </c>
      <c r="J1228" s="37" t="s">
        <v>657</v>
      </c>
    </row>
    <row r="1229" spans="1:10" x14ac:dyDescent="0.35">
      <c r="A1229" s="32" t="s">
        <v>24</v>
      </c>
      <c r="B1229" s="32">
        <f t="shared" si="294"/>
        <v>2034</v>
      </c>
      <c r="C1229" s="33" t="s">
        <v>37</v>
      </c>
      <c r="D1229" s="34" t="s">
        <v>128</v>
      </c>
      <c r="E1229" s="35" t="str">
        <f t="shared" si="228"/>
        <v>PS'!</v>
      </c>
      <c r="F1229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29" s="32" t="s">
        <v>119</v>
      </c>
      <c r="H1229" s="33">
        <f t="shared" si="293"/>
        <v>23</v>
      </c>
      <c r="I1229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ECP\Cantagallo\Cristalina\[CRISTALINA_CF_SEC_New_09-Feb-2024.xlsx]D-PS'!$BZ$23</v>
      </c>
      <c r="J1229" s="37" t="s">
        <v>658</v>
      </c>
    </row>
    <row r="1230" spans="1:10" x14ac:dyDescent="0.35">
      <c r="A1230" s="32" t="s">
        <v>24</v>
      </c>
      <c r="B1230" s="32">
        <f t="shared" si="294"/>
        <v>2035</v>
      </c>
      <c r="C1230" s="33" t="s">
        <v>37</v>
      </c>
      <c r="D1230" s="34" t="s">
        <v>128</v>
      </c>
      <c r="E1230" s="35" t="str">
        <f t="shared" si="228"/>
        <v>PS'!</v>
      </c>
      <c r="F1230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30" s="32" t="s">
        <v>119</v>
      </c>
      <c r="H1230" s="33">
        <f t="shared" si="293"/>
        <v>24</v>
      </c>
      <c r="I1230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ECP\Cantagallo\Cristalina\[CRISTALINA_CF_SEC_New_09-Feb-2024.xlsx]D-PS'!$BZ$24</v>
      </c>
      <c r="J1230" s="37" t="s">
        <v>659</v>
      </c>
    </row>
    <row r="1231" spans="1:10" x14ac:dyDescent="0.35">
      <c r="A1231" s="32" t="s">
        <v>24</v>
      </c>
      <c r="B1231" s="32">
        <f t="shared" si="294"/>
        <v>2036</v>
      </c>
      <c r="C1231" s="33" t="s">
        <v>37</v>
      </c>
      <c r="D1231" s="34" t="s">
        <v>128</v>
      </c>
      <c r="E1231" s="35" t="str">
        <f t="shared" si="228"/>
        <v>PS'!</v>
      </c>
      <c r="F1231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31" s="32" t="s">
        <v>119</v>
      </c>
      <c r="H1231" s="33">
        <f t="shared" si="293"/>
        <v>25</v>
      </c>
      <c r="I1231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ECP\Cantagallo\Cristalina\[CRISTALINA_CF_SEC_New_09-Feb-2024.xlsx]D-PS'!$BZ$25</v>
      </c>
      <c r="J1231" s="37" t="s">
        <v>660</v>
      </c>
    </row>
    <row r="1232" spans="1:10" x14ac:dyDescent="0.35">
      <c r="A1232" s="32" t="s">
        <v>24</v>
      </c>
      <c r="B1232" s="32">
        <f>+B1231+1</f>
        <v>2037</v>
      </c>
      <c r="C1232" s="33" t="s">
        <v>37</v>
      </c>
      <c r="D1232" s="34" t="s">
        <v>128</v>
      </c>
      <c r="E1232" s="35" t="str">
        <f t="shared" si="228"/>
        <v>PS'!</v>
      </c>
      <c r="F1232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32" s="32" t="s">
        <v>119</v>
      </c>
      <c r="H1232" s="33">
        <f t="shared" si="293"/>
        <v>26</v>
      </c>
      <c r="I1232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ECP\Cantagallo\Cristalina\[CRISTALINA_CF_SEC_New_09-Feb-2024.xlsx]D-PS'!$BZ$26</v>
      </c>
      <c r="J1232" s="37" t="s">
        <v>661</v>
      </c>
    </row>
    <row r="1233" spans="1:10" x14ac:dyDescent="0.35">
      <c r="A1233" s="32" t="s">
        <v>24</v>
      </c>
      <c r="B1233" s="32">
        <f t="shared" ref="B1233:B1235" si="295">+B1232+1</f>
        <v>2038</v>
      </c>
      <c r="C1233" s="33" t="s">
        <v>37</v>
      </c>
      <c r="D1233" s="34" t="s">
        <v>128</v>
      </c>
      <c r="E1233" s="35" t="str">
        <f t="shared" si="228"/>
        <v>PS'!</v>
      </c>
      <c r="F1233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33" s="32" t="s">
        <v>119</v>
      </c>
      <c r="H1233" s="33">
        <f t="shared" si="293"/>
        <v>27</v>
      </c>
      <c r="I1233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ECP\Cantagallo\Cristalina\[CRISTALINA_CF_SEC_New_09-Feb-2024.xlsx]D-PS'!$BZ$27</v>
      </c>
      <c r="J1233" s="37" t="s">
        <v>662</v>
      </c>
    </row>
    <row r="1234" spans="1:10" x14ac:dyDescent="0.35">
      <c r="A1234" s="32" t="s">
        <v>24</v>
      </c>
      <c r="B1234" s="32">
        <f t="shared" si="295"/>
        <v>2039</v>
      </c>
      <c r="C1234" s="33" t="s">
        <v>37</v>
      </c>
      <c r="D1234" s="34" t="s">
        <v>128</v>
      </c>
      <c r="E1234" s="35" t="str">
        <f t="shared" si="228"/>
        <v>PS'!</v>
      </c>
      <c r="F1234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34" s="32" t="s">
        <v>119</v>
      </c>
      <c r="H1234" s="33">
        <f t="shared" si="293"/>
        <v>28</v>
      </c>
      <c r="I1234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ECP\Cantagallo\Cristalina\[CRISTALINA_CF_SEC_New_09-Feb-2024.xlsx]D-PS'!$BZ$28</v>
      </c>
      <c r="J1234" s="37" t="s">
        <v>663</v>
      </c>
    </row>
    <row r="1235" spans="1:10" x14ac:dyDescent="0.35">
      <c r="A1235" s="32" t="s">
        <v>24</v>
      </c>
      <c r="B1235" s="32">
        <f t="shared" si="295"/>
        <v>2040</v>
      </c>
      <c r="C1235" s="33" t="s">
        <v>37</v>
      </c>
      <c r="D1235" s="34" t="s">
        <v>128</v>
      </c>
      <c r="E1235" s="35" t="str">
        <f t="shared" si="228"/>
        <v>PS'!</v>
      </c>
      <c r="F1235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35" s="32" t="s">
        <v>119</v>
      </c>
      <c r="H1235" s="33">
        <f t="shared" si="293"/>
        <v>29</v>
      </c>
      <c r="I1235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ECP\Cantagallo\Cristalina\[CRISTALINA_CF_SEC_New_09-Feb-2024.xlsx]D-PS'!$BZ$29</v>
      </c>
      <c r="J1235" s="37" t="s">
        <v>664</v>
      </c>
    </row>
    <row r="1236" spans="1:10" x14ac:dyDescent="0.35">
      <c r="A1236" s="32" t="s">
        <v>24</v>
      </c>
      <c r="B1236" s="32">
        <f>+B1235+1</f>
        <v>2041</v>
      </c>
      <c r="C1236" s="33" t="s">
        <v>37</v>
      </c>
      <c r="D1236" s="34" t="s">
        <v>128</v>
      </c>
      <c r="E1236" s="35" t="str">
        <f t="shared" si="228"/>
        <v>PS'!</v>
      </c>
      <c r="F1236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36" s="32" t="s">
        <v>119</v>
      </c>
      <c r="H1236" s="33">
        <f t="shared" si="293"/>
        <v>30</v>
      </c>
      <c r="I1236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ECP\Cantagallo\Cristalina\[CRISTALINA_CF_SEC_New_09-Feb-2024.xlsx]D-PS'!$BZ$30</v>
      </c>
      <c r="J1236" s="37" t="s">
        <v>665</v>
      </c>
    </row>
    <row r="1237" spans="1:10" x14ac:dyDescent="0.35">
      <c r="A1237" s="32" t="s">
        <v>24</v>
      </c>
      <c r="B1237" s="32">
        <f t="shared" ref="B1237:B1238" si="296">+B1236+1</f>
        <v>2042</v>
      </c>
      <c r="C1237" s="33" t="s">
        <v>37</v>
      </c>
      <c r="D1237" s="34" t="s">
        <v>128</v>
      </c>
      <c r="E1237" s="35" t="str">
        <f t="shared" si="228"/>
        <v>PS'!</v>
      </c>
      <c r="F1237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37" s="32" t="s">
        <v>119</v>
      </c>
      <c r="H1237" s="33">
        <f t="shared" si="293"/>
        <v>31</v>
      </c>
      <c r="I1237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ECP\Cantagallo\Cristalina\[CRISTALINA_CF_SEC_New_09-Feb-2024.xlsx]D-PS'!$BZ$31</v>
      </c>
      <c r="J1237" s="37" t="s">
        <v>666</v>
      </c>
    </row>
    <row r="1238" spans="1:10" x14ac:dyDescent="0.35">
      <c r="A1238" s="32" t="s">
        <v>24</v>
      </c>
      <c r="B1238" s="32">
        <f t="shared" si="296"/>
        <v>2043</v>
      </c>
      <c r="C1238" s="33" t="s">
        <v>37</v>
      </c>
      <c r="D1238" s="34" t="s">
        <v>128</v>
      </c>
      <c r="E1238" s="35" t="str">
        <f t="shared" si="228"/>
        <v>PS'!</v>
      </c>
      <c r="F1238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38" s="32" t="s">
        <v>119</v>
      </c>
      <c r="H1238" s="33">
        <f t="shared" si="293"/>
        <v>32</v>
      </c>
      <c r="I1238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ECP\Cantagallo\Cristalina\[CRISTALINA_CF_SEC_New_09-Feb-2024.xlsx]D-PS'!$BZ$32</v>
      </c>
      <c r="J1238" s="37" t="s">
        <v>667</v>
      </c>
    </row>
    <row r="1239" spans="1:10" x14ac:dyDescent="0.35">
      <c r="A1239" s="32" t="s">
        <v>24</v>
      </c>
      <c r="B1239" s="32">
        <f>+B1238+1</f>
        <v>2044</v>
      </c>
      <c r="C1239" s="33" t="s">
        <v>37</v>
      </c>
      <c r="D1239" s="34" t="s">
        <v>128</v>
      </c>
      <c r="E1239" s="35" t="str">
        <f t="shared" ref="E1239:E1254" si="297">_xlfn.CONCAT(A1239,"'!")</f>
        <v>PS'!</v>
      </c>
      <c r="F1239" s="34" t="str">
        <f t="shared" ref="F1239:F1254" si="298">_xlfn.CONCAT(D1239:E1239)</f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39" s="32" t="s">
        <v>119</v>
      </c>
      <c r="H1239" s="33">
        <f t="shared" ref="H1239:H1254" si="299">IF(A1239&lt;&gt;A1238,12,H1238+1)</f>
        <v>33</v>
      </c>
      <c r="I1239" s="33" t="str">
        <f t="shared" ref="I1239:I1254" si="300">_xlfn.CONCAT("='",F1239:H1239)</f>
        <v>='C:\Users\jaime.benazar\Quorum Business Solutions\Ecopetrol Prometeo - Documents\Planning Space Implementation\3. Analysis &amp; Design\Design\FC22\DRR Jaime\Por presentar a ECP\Cantagallo\Cristalina\[CRISTALINA_CF_SEC_New_09-Feb-2024.xlsx]D-PS'!$BZ$33</v>
      </c>
      <c r="J1239" s="37" t="s">
        <v>668</v>
      </c>
    </row>
    <row r="1240" spans="1:10" x14ac:dyDescent="0.35">
      <c r="A1240" s="32" t="s">
        <v>24</v>
      </c>
      <c r="B1240" s="32">
        <f t="shared" ref="B1240:B1254" si="301">+B1239+1</f>
        <v>2045</v>
      </c>
      <c r="C1240" s="33" t="s">
        <v>37</v>
      </c>
      <c r="D1240" s="34" t="s">
        <v>128</v>
      </c>
      <c r="E1240" s="35" t="str">
        <f t="shared" si="297"/>
        <v>PS'!</v>
      </c>
      <c r="F1240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40" s="32" t="s">
        <v>119</v>
      </c>
      <c r="H1240" s="33">
        <f t="shared" si="299"/>
        <v>34</v>
      </c>
      <c r="I1240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ECP\Cantagallo\Cristalina\[CRISTALINA_CF_SEC_New_09-Feb-2024.xlsx]D-PS'!$BZ$34</v>
      </c>
      <c r="J1240" s="37" t="s">
        <v>669</v>
      </c>
    </row>
    <row r="1241" spans="1:10" x14ac:dyDescent="0.35">
      <c r="A1241" s="32" t="s">
        <v>24</v>
      </c>
      <c r="B1241" s="32">
        <f t="shared" si="301"/>
        <v>2046</v>
      </c>
      <c r="C1241" s="33" t="s">
        <v>37</v>
      </c>
      <c r="D1241" s="34" t="s">
        <v>128</v>
      </c>
      <c r="E1241" s="35" t="str">
        <f t="shared" si="297"/>
        <v>PS'!</v>
      </c>
      <c r="F1241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41" s="32" t="s">
        <v>119</v>
      </c>
      <c r="H1241" s="33">
        <f t="shared" si="299"/>
        <v>35</v>
      </c>
      <c r="I1241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ECP\Cantagallo\Cristalina\[CRISTALINA_CF_SEC_New_09-Feb-2024.xlsx]D-PS'!$BZ$35</v>
      </c>
      <c r="J1241" s="37" t="s">
        <v>670</v>
      </c>
    </row>
    <row r="1242" spans="1:10" x14ac:dyDescent="0.35">
      <c r="A1242" s="32" t="s">
        <v>24</v>
      </c>
      <c r="B1242" s="32">
        <f t="shared" si="301"/>
        <v>2047</v>
      </c>
      <c r="C1242" s="33" t="s">
        <v>37</v>
      </c>
      <c r="D1242" s="34" t="s">
        <v>128</v>
      </c>
      <c r="E1242" s="35" t="str">
        <f t="shared" si="297"/>
        <v>PS'!</v>
      </c>
      <c r="F1242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42" s="32" t="s">
        <v>119</v>
      </c>
      <c r="H1242" s="33">
        <f t="shared" si="299"/>
        <v>36</v>
      </c>
      <c r="I1242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ECP\Cantagallo\Cristalina\[CRISTALINA_CF_SEC_New_09-Feb-2024.xlsx]D-PS'!$BZ$36</v>
      </c>
      <c r="J1242" s="37" t="s">
        <v>671</v>
      </c>
    </row>
    <row r="1243" spans="1:10" x14ac:dyDescent="0.35">
      <c r="A1243" s="32" t="s">
        <v>24</v>
      </c>
      <c r="B1243" s="32">
        <f t="shared" si="301"/>
        <v>2048</v>
      </c>
      <c r="C1243" s="33" t="s">
        <v>37</v>
      </c>
      <c r="D1243" s="34" t="s">
        <v>128</v>
      </c>
      <c r="E1243" s="35" t="str">
        <f t="shared" si="297"/>
        <v>PS'!</v>
      </c>
      <c r="F1243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43" s="32" t="s">
        <v>119</v>
      </c>
      <c r="H1243" s="33">
        <f t="shared" si="299"/>
        <v>37</v>
      </c>
      <c r="I1243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ECP\Cantagallo\Cristalina\[CRISTALINA_CF_SEC_New_09-Feb-2024.xlsx]D-PS'!$BZ$37</v>
      </c>
      <c r="J1243" s="37" t="s">
        <v>672</v>
      </c>
    </row>
    <row r="1244" spans="1:10" x14ac:dyDescent="0.35">
      <c r="A1244" s="32" t="s">
        <v>24</v>
      </c>
      <c r="B1244" s="32">
        <f t="shared" si="301"/>
        <v>2049</v>
      </c>
      <c r="C1244" s="33" t="s">
        <v>37</v>
      </c>
      <c r="D1244" s="34" t="s">
        <v>128</v>
      </c>
      <c r="E1244" s="35" t="str">
        <f t="shared" si="297"/>
        <v>PS'!</v>
      </c>
      <c r="F1244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44" s="32" t="s">
        <v>119</v>
      </c>
      <c r="H1244" s="33">
        <f t="shared" si="299"/>
        <v>38</v>
      </c>
      <c r="I1244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ECP\Cantagallo\Cristalina\[CRISTALINA_CF_SEC_New_09-Feb-2024.xlsx]D-PS'!$BZ$38</v>
      </c>
      <c r="J1244" s="37" t="s">
        <v>673</v>
      </c>
    </row>
    <row r="1245" spans="1:10" x14ac:dyDescent="0.35">
      <c r="A1245" s="32" t="s">
        <v>24</v>
      </c>
      <c r="B1245" s="32">
        <f t="shared" si="301"/>
        <v>2050</v>
      </c>
      <c r="C1245" s="33" t="s">
        <v>37</v>
      </c>
      <c r="D1245" s="34" t="s">
        <v>128</v>
      </c>
      <c r="E1245" s="35" t="str">
        <f t="shared" si="297"/>
        <v>PS'!</v>
      </c>
      <c r="F1245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45" s="32" t="s">
        <v>119</v>
      </c>
      <c r="H1245" s="33">
        <f t="shared" si="299"/>
        <v>39</v>
      </c>
      <c r="I1245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ECP\Cantagallo\Cristalina\[CRISTALINA_CF_SEC_New_09-Feb-2024.xlsx]D-PS'!$BZ$39</v>
      </c>
      <c r="J1245" s="37" t="s">
        <v>674</v>
      </c>
    </row>
    <row r="1246" spans="1:10" x14ac:dyDescent="0.35">
      <c r="A1246" s="32" t="s">
        <v>24</v>
      </c>
      <c r="B1246" s="32">
        <f t="shared" si="301"/>
        <v>2051</v>
      </c>
      <c r="C1246" s="33" t="s">
        <v>37</v>
      </c>
      <c r="D1246" s="34" t="s">
        <v>128</v>
      </c>
      <c r="E1246" s="35" t="str">
        <f t="shared" si="297"/>
        <v>PS'!</v>
      </c>
      <c r="F1246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46" s="32" t="s">
        <v>119</v>
      </c>
      <c r="H1246" s="33">
        <f t="shared" si="299"/>
        <v>40</v>
      </c>
      <c r="I1246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ECP\Cantagallo\Cristalina\[CRISTALINA_CF_SEC_New_09-Feb-2024.xlsx]D-PS'!$BZ$40</v>
      </c>
      <c r="J1246" s="37" t="s">
        <v>675</v>
      </c>
    </row>
    <row r="1247" spans="1:10" x14ac:dyDescent="0.35">
      <c r="A1247" s="32" t="s">
        <v>24</v>
      </c>
      <c r="B1247" s="32">
        <f t="shared" si="301"/>
        <v>2052</v>
      </c>
      <c r="C1247" s="33" t="s">
        <v>37</v>
      </c>
      <c r="D1247" s="34" t="s">
        <v>128</v>
      </c>
      <c r="E1247" s="35" t="str">
        <f t="shared" si="297"/>
        <v>PS'!</v>
      </c>
      <c r="F1247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47" s="32" t="s">
        <v>119</v>
      </c>
      <c r="H1247" s="33">
        <f t="shared" si="299"/>
        <v>41</v>
      </c>
      <c r="I1247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ECP\Cantagallo\Cristalina\[CRISTALINA_CF_SEC_New_09-Feb-2024.xlsx]D-PS'!$BZ$41</v>
      </c>
      <c r="J1247" s="37" t="s">
        <v>676</v>
      </c>
    </row>
    <row r="1248" spans="1:10" x14ac:dyDescent="0.35">
      <c r="A1248" s="32" t="s">
        <v>24</v>
      </c>
      <c r="B1248" s="32">
        <f t="shared" si="301"/>
        <v>2053</v>
      </c>
      <c r="C1248" s="33" t="s">
        <v>37</v>
      </c>
      <c r="D1248" s="34" t="s">
        <v>128</v>
      </c>
      <c r="E1248" s="35" t="str">
        <f t="shared" si="297"/>
        <v>PS'!</v>
      </c>
      <c r="F1248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48" s="32" t="s">
        <v>119</v>
      </c>
      <c r="H1248" s="33">
        <f t="shared" si="299"/>
        <v>42</v>
      </c>
      <c r="I1248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ECP\Cantagallo\Cristalina\[CRISTALINA_CF_SEC_New_09-Feb-2024.xlsx]D-PS'!$BZ$42</v>
      </c>
      <c r="J1248" s="37" t="s">
        <v>677</v>
      </c>
    </row>
    <row r="1249" spans="1:10" x14ac:dyDescent="0.35">
      <c r="A1249" s="32" t="s">
        <v>24</v>
      </c>
      <c r="B1249" s="32">
        <f t="shared" si="301"/>
        <v>2054</v>
      </c>
      <c r="C1249" s="33" t="s">
        <v>37</v>
      </c>
      <c r="D1249" s="34" t="s">
        <v>128</v>
      </c>
      <c r="E1249" s="35" t="str">
        <f t="shared" si="297"/>
        <v>PS'!</v>
      </c>
      <c r="F1249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49" s="32" t="s">
        <v>119</v>
      </c>
      <c r="H1249" s="33">
        <f t="shared" si="299"/>
        <v>43</v>
      </c>
      <c r="I1249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ECP\Cantagallo\Cristalina\[CRISTALINA_CF_SEC_New_09-Feb-2024.xlsx]D-PS'!$BZ$43</v>
      </c>
      <c r="J1249" s="37" t="s">
        <v>678</v>
      </c>
    </row>
    <row r="1250" spans="1:10" x14ac:dyDescent="0.35">
      <c r="A1250" s="32" t="s">
        <v>24</v>
      </c>
      <c r="B1250" s="32">
        <f t="shared" si="301"/>
        <v>2055</v>
      </c>
      <c r="C1250" s="33" t="s">
        <v>37</v>
      </c>
      <c r="D1250" s="34" t="s">
        <v>128</v>
      </c>
      <c r="E1250" s="35" t="str">
        <f t="shared" si="297"/>
        <v>PS'!</v>
      </c>
      <c r="F1250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50" s="32" t="s">
        <v>119</v>
      </c>
      <c r="H1250" s="33">
        <f t="shared" si="299"/>
        <v>44</v>
      </c>
      <c r="I1250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ECP\Cantagallo\Cristalina\[CRISTALINA_CF_SEC_New_09-Feb-2024.xlsx]D-PS'!$BZ$44</v>
      </c>
      <c r="J1250" s="37" t="s">
        <v>679</v>
      </c>
    </row>
    <row r="1251" spans="1:10" x14ac:dyDescent="0.35">
      <c r="A1251" s="32" t="s">
        <v>24</v>
      </c>
      <c r="B1251" s="32">
        <f t="shared" si="301"/>
        <v>2056</v>
      </c>
      <c r="C1251" s="33" t="s">
        <v>37</v>
      </c>
      <c r="D1251" s="34" t="s">
        <v>128</v>
      </c>
      <c r="E1251" s="35" t="str">
        <f t="shared" si="297"/>
        <v>PS'!</v>
      </c>
      <c r="F1251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51" s="32" t="s">
        <v>119</v>
      </c>
      <c r="H1251" s="33">
        <f t="shared" si="299"/>
        <v>45</v>
      </c>
      <c r="I1251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ECP\Cantagallo\Cristalina\[CRISTALINA_CF_SEC_New_09-Feb-2024.xlsx]D-PS'!$BZ$45</v>
      </c>
      <c r="J1251" s="37" t="s">
        <v>680</v>
      </c>
    </row>
    <row r="1252" spans="1:10" x14ac:dyDescent="0.35">
      <c r="A1252" s="32" t="s">
        <v>24</v>
      </c>
      <c r="B1252" s="32">
        <f t="shared" si="301"/>
        <v>2057</v>
      </c>
      <c r="C1252" s="33" t="s">
        <v>37</v>
      </c>
      <c r="D1252" s="34" t="s">
        <v>128</v>
      </c>
      <c r="E1252" s="35" t="str">
        <f t="shared" si="297"/>
        <v>PS'!</v>
      </c>
      <c r="F1252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52" s="32" t="s">
        <v>119</v>
      </c>
      <c r="H1252" s="33">
        <f t="shared" si="299"/>
        <v>46</v>
      </c>
      <c r="I1252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ECP\Cantagallo\Cristalina\[CRISTALINA_CF_SEC_New_09-Feb-2024.xlsx]D-PS'!$BZ$46</v>
      </c>
      <c r="J1252" s="37" t="s">
        <v>681</v>
      </c>
    </row>
    <row r="1253" spans="1:10" x14ac:dyDescent="0.35">
      <c r="A1253" s="32" t="s">
        <v>24</v>
      </c>
      <c r="B1253" s="32">
        <f t="shared" si="301"/>
        <v>2058</v>
      </c>
      <c r="C1253" s="33" t="s">
        <v>37</v>
      </c>
      <c r="D1253" s="34" t="s">
        <v>128</v>
      </c>
      <c r="E1253" s="35" t="str">
        <f t="shared" si="297"/>
        <v>PS'!</v>
      </c>
      <c r="F1253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53" s="32" t="s">
        <v>119</v>
      </c>
      <c r="H1253" s="33">
        <f t="shared" si="299"/>
        <v>47</v>
      </c>
      <c r="I1253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ECP\Cantagallo\Cristalina\[CRISTALINA_CF_SEC_New_09-Feb-2024.xlsx]D-PS'!$BZ$47</v>
      </c>
      <c r="J1253" s="37" t="s">
        <v>682</v>
      </c>
    </row>
    <row r="1254" spans="1:10" x14ac:dyDescent="0.35">
      <c r="A1254" s="32" t="s">
        <v>24</v>
      </c>
      <c r="B1254" s="32">
        <f t="shared" si="301"/>
        <v>2059</v>
      </c>
      <c r="C1254" s="33" t="s">
        <v>37</v>
      </c>
      <c r="D1254" s="34" t="s">
        <v>128</v>
      </c>
      <c r="E1254" s="35" t="str">
        <f t="shared" si="297"/>
        <v>PS'!</v>
      </c>
      <c r="F1254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54" s="32" t="s">
        <v>119</v>
      </c>
      <c r="H1254" s="33">
        <f t="shared" si="299"/>
        <v>48</v>
      </c>
      <c r="I1254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ECP\Cantagallo\Cristalina\[CRISTALINA_CF_SEC_New_09-Feb-2024.xlsx]D-PS'!$BZ$48</v>
      </c>
      <c r="J1254" s="37" t="s">
        <v>683</v>
      </c>
    </row>
    <row r="1255" spans="1:10" x14ac:dyDescent="0.35">
      <c r="A1255" s="32" t="s">
        <v>26</v>
      </c>
      <c r="B1255" s="32"/>
      <c r="C1255" s="33" t="s">
        <v>37</v>
      </c>
      <c r="D1255" s="34"/>
      <c r="E1255" s="35"/>
      <c r="F1255" s="34"/>
      <c r="G1255" s="32"/>
      <c r="H1255" s="33"/>
      <c r="I1255" s="33"/>
      <c r="J1255" s="33"/>
    </row>
    <row r="1256" spans="1:10" x14ac:dyDescent="0.35">
      <c r="A1256" s="32" t="s">
        <v>14</v>
      </c>
      <c r="B1256" s="32">
        <v>2023</v>
      </c>
      <c r="C1256" s="33" t="s">
        <v>40</v>
      </c>
      <c r="D1256" s="34" t="s">
        <v>128</v>
      </c>
      <c r="E1256" s="35" t="str">
        <f>_xlfn.CONCAT(A1256,"'!")</f>
        <v>PDP'!</v>
      </c>
      <c r="F1256" s="34" t="str">
        <f>_xlfn.CONCAT(D1256:E1256)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56" s="32" t="s">
        <v>120</v>
      </c>
      <c r="H1256" s="33">
        <v>12</v>
      </c>
      <c r="I1256" s="33" t="str">
        <f>_xlfn.CONCAT("='",F1256:H1256)</f>
        <v>='C:\Users\jaime.benazar\Quorum Business Solutions\Ecopetrol Prometeo - Documents\Planning Space Implementation\3. Analysis &amp; Design\Design\FC22\DRR Jaime\Por presentar a ECP\Cantagallo\Cristalina\[CRISTALINA_CF_SEC_New_09-Feb-2024.xlsx]D-PDP'!$CA$12</v>
      </c>
      <c r="J1256" s="37" t="s">
        <v>684</v>
      </c>
    </row>
    <row r="1257" spans="1:10" x14ac:dyDescent="0.35">
      <c r="A1257" s="32" t="s">
        <v>14</v>
      </c>
      <c r="B1257" s="32">
        <f>+B1256+1</f>
        <v>2024</v>
      </c>
      <c r="C1257" s="33" t="s">
        <v>40</v>
      </c>
      <c r="D1257" s="34" t="s">
        <v>128</v>
      </c>
      <c r="E1257" s="35" t="str">
        <f t="shared" ref="E1257:E1350" si="302">_xlfn.CONCAT(A1257,"'!")</f>
        <v>PDP'!</v>
      </c>
      <c r="F1257" s="34" t="str">
        <f t="shared" ref="F1257:F1350" si="303">_xlfn.CONCAT(D1257:E1257)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57" s="32" t="s">
        <v>120</v>
      </c>
      <c r="H1257" s="33">
        <f t="shared" ref="H1257:H1276" si="304">IF(A1257&lt;&gt;A1256,12,H1256+1)</f>
        <v>13</v>
      </c>
      <c r="I1257" s="33" t="str">
        <f t="shared" ref="I1257:I1350" si="305">_xlfn.CONCAT("='",F1257:H1257)</f>
        <v>='C:\Users\jaime.benazar\Quorum Business Solutions\Ecopetrol Prometeo - Documents\Planning Space Implementation\3. Analysis &amp; Design\Design\FC22\DRR Jaime\Por presentar a ECP\Cantagallo\Cristalina\[CRISTALINA_CF_SEC_New_09-Feb-2024.xlsx]D-PDP'!$CA$13</v>
      </c>
      <c r="J1257" s="37" t="s">
        <v>685</v>
      </c>
    </row>
    <row r="1258" spans="1:10" x14ac:dyDescent="0.35">
      <c r="A1258" s="32" t="s">
        <v>14</v>
      </c>
      <c r="B1258" s="32">
        <f t="shared" ref="B1258:B1269" si="306">+B1257+1</f>
        <v>2025</v>
      </c>
      <c r="C1258" s="33" t="s">
        <v>40</v>
      </c>
      <c r="D1258" s="34" t="s">
        <v>128</v>
      </c>
      <c r="E1258" s="35" t="str">
        <f t="shared" si="302"/>
        <v>PDP'!</v>
      </c>
      <c r="F1258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58" s="32" t="s">
        <v>120</v>
      </c>
      <c r="H1258" s="33">
        <f t="shared" si="304"/>
        <v>14</v>
      </c>
      <c r="I1258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ECP\Cantagallo\Cristalina\[CRISTALINA_CF_SEC_New_09-Feb-2024.xlsx]D-PDP'!$CA$14</v>
      </c>
      <c r="J1258" s="37" t="s">
        <v>686</v>
      </c>
    </row>
    <row r="1259" spans="1:10" x14ac:dyDescent="0.35">
      <c r="A1259" s="32" t="s">
        <v>14</v>
      </c>
      <c r="B1259" s="32">
        <f t="shared" si="306"/>
        <v>2026</v>
      </c>
      <c r="C1259" s="33" t="s">
        <v>40</v>
      </c>
      <c r="D1259" s="34" t="s">
        <v>128</v>
      </c>
      <c r="E1259" s="35" t="str">
        <f t="shared" si="302"/>
        <v>PDP'!</v>
      </c>
      <c r="F1259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59" s="32" t="s">
        <v>120</v>
      </c>
      <c r="H1259" s="33">
        <f t="shared" si="304"/>
        <v>15</v>
      </c>
      <c r="I1259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ECP\Cantagallo\Cristalina\[CRISTALINA_CF_SEC_New_09-Feb-2024.xlsx]D-PDP'!$CA$15</v>
      </c>
      <c r="J1259" s="37" t="s">
        <v>687</v>
      </c>
    </row>
    <row r="1260" spans="1:10" x14ac:dyDescent="0.35">
      <c r="A1260" s="32" t="s">
        <v>14</v>
      </c>
      <c r="B1260" s="32">
        <f t="shared" si="306"/>
        <v>2027</v>
      </c>
      <c r="C1260" s="33" t="s">
        <v>40</v>
      </c>
      <c r="D1260" s="34" t="s">
        <v>128</v>
      </c>
      <c r="E1260" s="35" t="str">
        <f t="shared" si="302"/>
        <v>PDP'!</v>
      </c>
      <c r="F1260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60" s="32" t="s">
        <v>120</v>
      </c>
      <c r="H1260" s="33">
        <f t="shared" si="304"/>
        <v>16</v>
      </c>
      <c r="I1260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ECP\Cantagallo\Cristalina\[CRISTALINA_CF_SEC_New_09-Feb-2024.xlsx]D-PDP'!$CA$16</v>
      </c>
      <c r="J1260" s="37" t="s">
        <v>688</v>
      </c>
    </row>
    <row r="1261" spans="1:10" x14ac:dyDescent="0.35">
      <c r="A1261" s="32" t="s">
        <v>14</v>
      </c>
      <c r="B1261" s="32">
        <f t="shared" si="306"/>
        <v>2028</v>
      </c>
      <c r="C1261" s="33" t="s">
        <v>40</v>
      </c>
      <c r="D1261" s="34" t="s">
        <v>128</v>
      </c>
      <c r="E1261" s="35" t="str">
        <f t="shared" si="302"/>
        <v>PDP'!</v>
      </c>
      <c r="F1261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61" s="32" t="s">
        <v>120</v>
      </c>
      <c r="H1261" s="33">
        <f t="shared" si="304"/>
        <v>17</v>
      </c>
      <c r="I1261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ECP\Cantagallo\Cristalina\[CRISTALINA_CF_SEC_New_09-Feb-2024.xlsx]D-PDP'!$CA$17</v>
      </c>
      <c r="J1261" s="37" t="s">
        <v>689</v>
      </c>
    </row>
    <row r="1262" spans="1:10" x14ac:dyDescent="0.35">
      <c r="A1262" s="32" t="s">
        <v>14</v>
      </c>
      <c r="B1262" s="32">
        <f t="shared" si="306"/>
        <v>2029</v>
      </c>
      <c r="C1262" s="33" t="s">
        <v>40</v>
      </c>
      <c r="D1262" s="34" t="s">
        <v>128</v>
      </c>
      <c r="E1262" s="35" t="str">
        <f t="shared" si="302"/>
        <v>PDP'!</v>
      </c>
      <c r="F1262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62" s="32" t="s">
        <v>120</v>
      </c>
      <c r="H1262" s="33">
        <f t="shared" si="304"/>
        <v>18</v>
      </c>
      <c r="I1262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ECP\Cantagallo\Cristalina\[CRISTALINA_CF_SEC_New_09-Feb-2024.xlsx]D-PDP'!$CA$18</v>
      </c>
      <c r="J1262" s="37" t="s">
        <v>690</v>
      </c>
    </row>
    <row r="1263" spans="1:10" x14ac:dyDescent="0.35">
      <c r="A1263" s="32" t="s">
        <v>14</v>
      </c>
      <c r="B1263" s="32">
        <f t="shared" si="306"/>
        <v>2030</v>
      </c>
      <c r="C1263" s="33" t="s">
        <v>40</v>
      </c>
      <c r="D1263" s="34" t="s">
        <v>128</v>
      </c>
      <c r="E1263" s="35" t="str">
        <f t="shared" si="302"/>
        <v>PDP'!</v>
      </c>
      <c r="F1263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63" s="32" t="s">
        <v>120</v>
      </c>
      <c r="H1263" s="33">
        <f t="shared" si="304"/>
        <v>19</v>
      </c>
      <c r="I1263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ECP\Cantagallo\Cristalina\[CRISTALINA_CF_SEC_New_09-Feb-2024.xlsx]D-PDP'!$CA$19</v>
      </c>
      <c r="J1263" s="37" t="s">
        <v>691</v>
      </c>
    </row>
    <row r="1264" spans="1:10" x14ac:dyDescent="0.35">
      <c r="A1264" s="32" t="s">
        <v>14</v>
      </c>
      <c r="B1264" s="32">
        <f t="shared" si="306"/>
        <v>2031</v>
      </c>
      <c r="C1264" s="33" t="s">
        <v>40</v>
      </c>
      <c r="D1264" s="34" t="s">
        <v>128</v>
      </c>
      <c r="E1264" s="35" t="str">
        <f t="shared" si="302"/>
        <v>PDP'!</v>
      </c>
      <c r="F1264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64" s="32" t="s">
        <v>120</v>
      </c>
      <c r="H1264" s="33">
        <f t="shared" si="304"/>
        <v>20</v>
      </c>
      <c r="I1264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ECP\Cantagallo\Cristalina\[CRISTALINA_CF_SEC_New_09-Feb-2024.xlsx]D-PDP'!$CA$20</v>
      </c>
      <c r="J1264" s="37" t="s">
        <v>692</v>
      </c>
    </row>
    <row r="1265" spans="1:10" x14ac:dyDescent="0.35">
      <c r="A1265" s="32" t="s">
        <v>14</v>
      </c>
      <c r="B1265" s="32">
        <f t="shared" si="306"/>
        <v>2032</v>
      </c>
      <c r="C1265" s="33" t="s">
        <v>40</v>
      </c>
      <c r="D1265" s="34" t="s">
        <v>128</v>
      </c>
      <c r="E1265" s="35" t="str">
        <f t="shared" si="302"/>
        <v>PDP'!</v>
      </c>
      <c r="F1265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65" s="32" t="s">
        <v>120</v>
      </c>
      <c r="H1265" s="33">
        <f t="shared" si="304"/>
        <v>21</v>
      </c>
      <c r="I1265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ECP\Cantagallo\Cristalina\[CRISTALINA_CF_SEC_New_09-Feb-2024.xlsx]D-PDP'!$CA$21</v>
      </c>
      <c r="J1265" s="37" t="s">
        <v>693</v>
      </c>
    </row>
    <row r="1266" spans="1:10" x14ac:dyDescent="0.35">
      <c r="A1266" s="32" t="s">
        <v>14</v>
      </c>
      <c r="B1266" s="32">
        <f t="shared" si="306"/>
        <v>2033</v>
      </c>
      <c r="C1266" s="33" t="s">
        <v>40</v>
      </c>
      <c r="D1266" s="34" t="s">
        <v>128</v>
      </c>
      <c r="E1266" s="35" t="str">
        <f t="shared" si="302"/>
        <v>PDP'!</v>
      </c>
      <c r="F1266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66" s="32" t="s">
        <v>120</v>
      </c>
      <c r="H1266" s="33">
        <f t="shared" si="304"/>
        <v>22</v>
      </c>
      <c r="I1266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ECP\Cantagallo\Cristalina\[CRISTALINA_CF_SEC_New_09-Feb-2024.xlsx]D-PDP'!$CA$22</v>
      </c>
      <c r="J1266" s="37" t="s">
        <v>694</v>
      </c>
    </row>
    <row r="1267" spans="1:10" x14ac:dyDescent="0.35">
      <c r="A1267" s="32" t="s">
        <v>14</v>
      </c>
      <c r="B1267" s="32">
        <f t="shared" si="306"/>
        <v>2034</v>
      </c>
      <c r="C1267" s="33" t="s">
        <v>40</v>
      </c>
      <c r="D1267" s="34" t="s">
        <v>128</v>
      </c>
      <c r="E1267" s="35" t="str">
        <f t="shared" si="302"/>
        <v>PDP'!</v>
      </c>
      <c r="F1267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67" s="32" t="s">
        <v>120</v>
      </c>
      <c r="H1267" s="33">
        <f t="shared" si="304"/>
        <v>23</v>
      </c>
      <c r="I1267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ECP\Cantagallo\Cristalina\[CRISTALINA_CF_SEC_New_09-Feb-2024.xlsx]D-PDP'!$CA$23</v>
      </c>
      <c r="J1267" s="37" t="s">
        <v>695</v>
      </c>
    </row>
    <row r="1268" spans="1:10" x14ac:dyDescent="0.35">
      <c r="A1268" s="32" t="s">
        <v>14</v>
      </c>
      <c r="B1268" s="32">
        <f t="shared" si="306"/>
        <v>2035</v>
      </c>
      <c r="C1268" s="33" t="s">
        <v>40</v>
      </c>
      <c r="D1268" s="34" t="s">
        <v>128</v>
      </c>
      <c r="E1268" s="35" t="str">
        <f t="shared" si="302"/>
        <v>PDP'!</v>
      </c>
      <c r="F1268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68" s="32" t="s">
        <v>120</v>
      </c>
      <c r="H1268" s="33">
        <f t="shared" si="304"/>
        <v>24</v>
      </c>
      <c r="I1268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ECP\Cantagallo\Cristalina\[CRISTALINA_CF_SEC_New_09-Feb-2024.xlsx]D-PDP'!$CA$24</v>
      </c>
      <c r="J1268" s="37" t="s">
        <v>696</v>
      </c>
    </row>
    <row r="1269" spans="1:10" x14ac:dyDescent="0.35">
      <c r="A1269" s="32" t="s">
        <v>14</v>
      </c>
      <c r="B1269" s="32">
        <f t="shared" si="306"/>
        <v>2036</v>
      </c>
      <c r="C1269" s="33" t="s">
        <v>40</v>
      </c>
      <c r="D1269" s="34" t="s">
        <v>128</v>
      </c>
      <c r="E1269" s="35" t="str">
        <f t="shared" si="302"/>
        <v>PDP'!</v>
      </c>
      <c r="F1269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69" s="32" t="s">
        <v>120</v>
      </c>
      <c r="H1269" s="33">
        <f t="shared" si="304"/>
        <v>25</v>
      </c>
      <c r="I1269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ECP\Cantagallo\Cristalina\[CRISTALINA_CF_SEC_New_09-Feb-2024.xlsx]D-PDP'!$CA$25</v>
      </c>
      <c r="J1269" s="37" t="s">
        <v>697</v>
      </c>
    </row>
    <row r="1270" spans="1:10" x14ac:dyDescent="0.35">
      <c r="A1270" s="32" t="s">
        <v>14</v>
      </c>
      <c r="B1270" s="32">
        <f>+B1269+1</f>
        <v>2037</v>
      </c>
      <c r="C1270" s="33" t="s">
        <v>40</v>
      </c>
      <c r="D1270" s="34" t="s">
        <v>128</v>
      </c>
      <c r="E1270" s="35" t="str">
        <f t="shared" si="302"/>
        <v>PDP'!</v>
      </c>
      <c r="F1270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70" s="32" t="s">
        <v>120</v>
      </c>
      <c r="H1270" s="33">
        <f t="shared" si="304"/>
        <v>26</v>
      </c>
      <c r="I1270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ECP\Cantagallo\Cristalina\[CRISTALINA_CF_SEC_New_09-Feb-2024.xlsx]D-PDP'!$CA$26</v>
      </c>
      <c r="J1270" s="37" t="s">
        <v>698</v>
      </c>
    </row>
    <row r="1271" spans="1:10" x14ac:dyDescent="0.35">
      <c r="A1271" s="32" t="s">
        <v>14</v>
      </c>
      <c r="B1271" s="32">
        <f t="shared" ref="B1271:B1273" si="307">+B1270+1</f>
        <v>2038</v>
      </c>
      <c r="C1271" s="33" t="s">
        <v>40</v>
      </c>
      <c r="D1271" s="34" t="s">
        <v>128</v>
      </c>
      <c r="E1271" s="35" t="str">
        <f t="shared" si="302"/>
        <v>PDP'!</v>
      </c>
      <c r="F1271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71" s="32" t="s">
        <v>120</v>
      </c>
      <c r="H1271" s="33">
        <f t="shared" si="304"/>
        <v>27</v>
      </c>
      <c r="I1271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ECP\Cantagallo\Cristalina\[CRISTALINA_CF_SEC_New_09-Feb-2024.xlsx]D-PDP'!$CA$27</v>
      </c>
      <c r="J1271" s="37" t="s">
        <v>699</v>
      </c>
    </row>
    <row r="1272" spans="1:10" x14ac:dyDescent="0.35">
      <c r="A1272" s="32" t="s">
        <v>14</v>
      </c>
      <c r="B1272" s="32">
        <f t="shared" si="307"/>
        <v>2039</v>
      </c>
      <c r="C1272" s="33" t="s">
        <v>40</v>
      </c>
      <c r="D1272" s="34" t="s">
        <v>128</v>
      </c>
      <c r="E1272" s="35" t="str">
        <f t="shared" si="302"/>
        <v>PDP'!</v>
      </c>
      <c r="F1272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72" s="32" t="s">
        <v>120</v>
      </c>
      <c r="H1272" s="33">
        <f t="shared" si="304"/>
        <v>28</v>
      </c>
      <c r="I1272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ECP\Cantagallo\Cristalina\[CRISTALINA_CF_SEC_New_09-Feb-2024.xlsx]D-PDP'!$CA$28</v>
      </c>
      <c r="J1272" s="37" t="s">
        <v>700</v>
      </c>
    </row>
    <row r="1273" spans="1:10" x14ac:dyDescent="0.35">
      <c r="A1273" s="32" t="s">
        <v>14</v>
      </c>
      <c r="B1273" s="32">
        <f t="shared" si="307"/>
        <v>2040</v>
      </c>
      <c r="C1273" s="33" t="s">
        <v>40</v>
      </c>
      <c r="D1273" s="34" t="s">
        <v>128</v>
      </c>
      <c r="E1273" s="35" t="str">
        <f t="shared" si="302"/>
        <v>PDP'!</v>
      </c>
      <c r="F1273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73" s="32" t="s">
        <v>120</v>
      </c>
      <c r="H1273" s="33">
        <f t="shared" si="304"/>
        <v>29</v>
      </c>
      <c r="I1273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ECP\Cantagallo\Cristalina\[CRISTALINA_CF_SEC_New_09-Feb-2024.xlsx]D-PDP'!$CA$29</v>
      </c>
      <c r="J1273" s="37" t="s">
        <v>701</v>
      </c>
    </row>
    <row r="1274" spans="1:10" x14ac:dyDescent="0.35">
      <c r="A1274" s="32" t="s">
        <v>14</v>
      </c>
      <c r="B1274" s="32">
        <f>+B1273+1</f>
        <v>2041</v>
      </c>
      <c r="C1274" s="33" t="s">
        <v>40</v>
      </c>
      <c r="D1274" s="34" t="s">
        <v>128</v>
      </c>
      <c r="E1274" s="35" t="str">
        <f t="shared" si="302"/>
        <v>PDP'!</v>
      </c>
      <c r="F1274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74" s="32" t="s">
        <v>120</v>
      </c>
      <c r="H1274" s="33">
        <f t="shared" si="304"/>
        <v>30</v>
      </c>
      <c r="I1274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ECP\Cantagallo\Cristalina\[CRISTALINA_CF_SEC_New_09-Feb-2024.xlsx]D-PDP'!$CA$30</v>
      </c>
      <c r="J1274" s="37" t="s">
        <v>702</v>
      </c>
    </row>
    <row r="1275" spans="1:10" x14ac:dyDescent="0.35">
      <c r="A1275" s="32" t="s">
        <v>14</v>
      </c>
      <c r="B1275" s="32">
        <f t="shared" ref="B1275:B1276" si="308">+B1274+1</f>
        <v>2042</v>
      </c>
      <c r="C1275" s="33" t="s">
        <v>40</v>
      </c>
      <c r="D1275" s="34" t="s">
        <v>128</v>
      </c>
      <c r="E1275" s="35" t="str">
        <f t="shared" si="302"/>
        <v>PDP'!</v>
      </c>
      <c r="F1275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75" s="32" t="s">
        <v>120</v>
      </c>
      <c r="H1275" s="33">
        <f t="shared" si="304"/>
        <v>31</v>
      </c>
      <c r="I1275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ECP\Cantagallo\Cristalina\[CRISTALINA_CF_SEC_New_09-Feb-2024.xlsx]D-PDP'!$CA$31</v>
      </c>
      <c r="J1275" s="37" t="s">
        <v>703</v>
      </c>
    </row>
    <row r="1276" spans="1:10" x14ac:dyDescent="0.35">
      <c r="A1276" s="32" t="s">
        <v>14</v>
      </c>
      <c r="B1276" s="32">
        <f t="shared" si="308"/>
        <v>2043</v>
      </c>
      <c r="C1276" s="33" t="s">
        <v>40</v>
      </c>
      <c r="D1276" s="34" t="s">
        <v>128</v>
      </c>
      <c r="E1276" s="35" t="str">
        <f t="shared" si="302"/>
        <v>PDP'!</v>
      </c>
      <c r="F1276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76" s="32" t="s">
        <v>120</v>
      </c>
      <c r="H1276" s="33">
        <f t="shared" si="304"/>
        <v>32</v>
      </c>
      <c r="I1276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ECP\Cantagallo\Cristalina\[CRISTALINA_CF_SEC_New_09-Feb-2024.xlsx]D-PDP'!$CA$32</v>
      </c>
      <c r="J1276" s="37" t="s">
        <v>704</v>
      </c>
    </row>
    <row r="1277" spans="1:10" x14ac:dyDescent="0.35">
      <c r="A1277" s="32" t="s">
        <v>14</v>
      </c>
      <c r="B1277" s="32">
        <f>+B1276+1</f>
        <v>2044</v>
      </c>
      <c r="C1277" s="33" t="s">
        <v>40</v>
      </c>
      <c r="D1277" s="34" t="s">
        <v>128</v>
      </c>
      <c r="E1277" s="35" t="str">
        <f t="shared" ref="E1277:E1292" si="309">_xlfn.CONCAT(A1277,"'!")</f>
        <v>PDP'!</v>
      </c>
      <c r="F1277" s="34" t="str">
        <f t="shared" ref="F1277:F1292" si="310">_xlfn.CONCAT(D1277:E1277)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77" s="32" t="s">
        <v>120</v>
      </c>
      <c r="H1277" s="33">
        <f t="shared" ref="H1277:H1292" si="311">IF(A1277&lt;&gt;A1276,12,H1276+1)</f>
        <v>33</v>
      </c>
      <c r="I1277" s="33" t="str">
        <f t="shared" ref="I1277:I1292" si="312">_xlfn.CONCAT("='",F1277:H1277)</f>
        <v>='C:\Users\jaime.benazar\Quorum Business Solutions\Ecopetrol Prometeo - Documents\Planning Space Implementation\3. Analysis &amp; Design\Design\FC22\DRR Jaime\Por presentar a ECP\Cantagallo\Cristalina\[CRISTALINA_CF_SEC_New_09-Feb-2024.xlsx]D-PDP'!$CA$33</v>
      </c>
      <c r="J1277" s="37" t="s">
        <v>705</v>
      </c>
    </row>
    <row r="1278" spans="1:10" x14ac:dyDescent="0.35">
      <c r="A1278" s="32" t="s">
        <v>14</v>
      </c>
      <c r="B1278" s="32">
        <f t="shared" ref="B1278:B1292" si="313">+B1277+1</f>
        <v>2045</v>
      </c>
      <c r="C1278" s="33" t="s">
        <v>40</v>
      </c>
      <c r="D1278" s="34" t="s">
        <v>128</v>
      </c>
      <c r="E1278" s="35" t="str">
        <f t="shared" si="309"/>
        <v>PDP'!</v>
      </c>
      <c r="F1278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78" s="32" t="s">
        <v>120</v>
      </c>
      <c r="H1278" s="33">
        <f t="shared" si="311"/>
        <v>34</v>
      </c>
      <c r="I1278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ECP\Cantagallo\Cristalina\[CRISTALINA_CF_SEC_New_09-Feb-2024.xlsx]D-PDP'!$CA$34</v>
      </c>
      <c r="J1278" s="37" t="s">
        <v>706</v>
      </c>
    </row>
    <row r="1279" spans="1:10" x14ac:dyDescent="0.35">
      <c r="A1279" s="32" t="s">
        <v>14</v>
      </c>
      <c r="B1279" s="32">
        <f t="shared" si="313"/>
        <v>2046</v>
      </c>
      <c r="C1279" s="33" t="s">
        <v>40</v>
      </c>
      <c r="D1279" s="34" t="s">
        <v>128</v>
      </c>
      <c r="E1279" s="35" t="str">
        <f t="shared" si="309"/>
        <v>PDP'!</v>
      </c>
      <c r="F1279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79" s="32" t="s">
        <v>120</v>
      </c>
      <c r="H1279" s="33">
        <f t="shared" si="311"/>
        <v>35</v>
      </c>
      <c r="I1279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ECP\Cantagallo\Cristalina\[CRISTALINA_CF_SEC_New_09-Feb-2024.xlsx]D-PDP'!$CA$35</v>
      </c>
      <c r="J1279" s="37" t="s">
        <v>707</v>
      </c>
    </row>
    <row r="1280" spans="1:10" x14ac:dyDescent="0.35">
      <c r="A1280" s="32" t="s">
        <v>14</v>
      </c>
      <c r="B1280" s="32">
        <f t="shared" si="313"/>
        <v>2047</v>
      </c>
      <c r="C1280" s="33" t="s">
        <v>40</v>
      </c>
      <c r="D1280" s="34" t="s">
        <v>128</v>
      </c>
      <c r="E1280" s="35" t="str">
        <f t="shared" si="309"/>
        <v>PDP'!</v>
      </c>
      <c r="F1280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80" s="32" t="s">
        <v>120</v>
      </c>
      <c r="H1280" s="33">
        <f t="shared" si="311"/>
        <v>36</v>
      </c>
      <c r="I1280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ECP\Cantagallo\Cristalina\[CRISTALINA_CF_SEC_New_09-Feb-2024.xlsx]D-PDP'!$CA$36</v>
      </c>
      <c r="J1280" s="37" t="s">
        <v>708</v>
      </c>
    </row>
    <row r="1281" spans="1:10" x14ac:dyDescent="0.35">
      <c r="A1281" s="32" t="s">
        <v>14</v>
      </c>
      <c r="B1281" s="32">
        <f t="shared" si="313"/>
        <v>2048</v>
      </c>
      <c r="C1281" s="33" t="s">
        <v>40</v>
      </c>
      <c r="D1281" s="34" t="s">
        <v>128</v>
      </c>
      <c r="E1281" s="35" t="str">
        <f t="shared" si="309"/>
        <v>PDP'!</v>
      </c>
      <c r="F1281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81" s="32" t="s">
        <v>120</v>
      </c>
      <c r="H1281" s="33">
        <f t="shared" si="311"/>
        <v>37</v>
      </c>
      <c r="I1281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ECP\Cantagallo\Cristalina\[CRISTALINA_CF_SEC_New_09-Feb-2024.xlsx]D-PDP'!$CA$37</v>
      </c>
      <c r="J1281" s="37" t="s">
        <v>709</v>
      </c>
    </row>
    <row r="1282" spans="1:10" x14ac:dyDescent="0.35">
      <c r="A1282" s="32" t="s">
        <v>14</v>
      </c>
      <c r="B1282" s="32">
        <f t="shared" si="313"/>
        <v>2049</v>
      </c>
      <c r="C1282" s="33" t="s">
        <v>40</v>
      </c>
      <c r="D1282" s="34" t="s">
        <v>128</v>
      </c>
      <c r="E1282" s="35" t="str">
        <f t="shared" si="309"/>
        <v>PDP'!</v>
      </c>
      <c r="F1282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82" s="32" t="s">
        <v>120</v>
      </c>
      <c r="H1282" s="33">
        <f t="shared" si="311"/>
        <v>38</v>
      </c>
      <c r="I1282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ECP\Cantagallo\Cristalina\[CRISTALINA_CF_SEC_New_09-Feb-2024.xlsx]D-PDP'!$CA$38</v>
      </c>
      <c r="J1282" s="37" t="s">
        <v>710</v>
      </c>
    </row>
    <row r="1283" spans="1:10" x14ac:dyDescent="0.35">
      <c r="A1283" s="32" t="s">
        <v>14</v>
      </c>
      <c r="B1283" s="32">
        <f t="shared" si="313"/>
        <v>2050</v>
      </c>
      <c r="C1283" s="33" t="s">
        <v>40</v>
      </c>
      <c r="D1283" s="34" t="s">
        <v>128</v>
      </c>
      <c r="E1283" s="35" t="str">
        <f t="shared" si="309"/>
        <v>PDP'!</v>
      </c>
      <c r="F1283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83" s="32" t="s">
        <v>120</v>
      </c>
      <c r="H1283" s="33">
        <f t="shared" si="311"/>
        <v>39</v>
      </c>
      <c r="I1283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ECP\Cantagallo\Cristalina\[CRISTALINA_CF_SEC_New_09-Feb-2024.xlsx]D-PDP'!$CA$39</v>
      </c>
      <c r="J1283" s="37" t="s">
        <v>711</v>
      </c>
    </row>
    <row r="1284" spans="1:10" x14ac:dyDescent="0.35">
      <c r="A1284" s="32" t="s">
        <v>14</v>
      </c>
      <c r="B1284" s="32">
        <f t="shared" si="313"/>
        <v>2051</v>
      </c>
      <c r="C1284" s="33" t="s">
        <v>40</v>
      </c>
      <c r="D1284" s="34" t="s">
        <v>128</v>
      </c>
      <c r="E1284" s="35" t="str">
        <f t="shared" si="309"/>
        <v>PDP'!</v>
      </c>
      <c r="F1284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84" s="32" t="s">
        <v>120</v>
      </c>
      <c r="H1284" s="33">
        <f t="shared" si="311"/>
        <v>40</v>
      </c>
      <c r="I1284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ECP\Cantagallo\Cristalina\[CRISTALINA_CF_SEC_New_09-Feb-2024.xlsx]D-PDP'!$CA$40</v>
      </c>
      <c r="J1284" s="37" t="s">
        <v>712</v>
      </c>
    </row>
    <row r="1285" spans="1:10" x14ac:dyDescent="0.35">
      <c r="A1285" s="32" t="s">
        <v>14</v>
      </c>
      <c r="B1285" s="32">
        <f t="shared" si="313"/>
        <v>2052</v>
      </c>
      <c r="C1285" s="33" t="s">
        <v>40</v>
      </c>
      <c r="D1285" s="34" t="s">
        <v>128</v>
      </c>
      <c r="E1285" s="35" t="str">
        <f t="shared" si="309"/>
        <v>PDP'!</v>
      </c>
      <c r="F1285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85" s="32" t="s">
        <v>120</v>
      </c>
      <c r="H1285" s="33">
        <f t="shared" si="311"/>
        <v>41</v>
      </c>
      <c r="I1285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ECP\Cantagallo\Cristalina\[CRISTALINA_CF_SEC_New_09-Feb-2024.xlsx]D-PDP'!$CA$41</v>
      </c>
      <c r="J1285" s="37" t="s">
        <v>713</v>
      </c>
    </row>
    <row r="1286" spans="1:10" x14ac:dyDescent="0.35">
      <c r="A1286" s="32" t="s">
        <v>14</v>
      </c>
      <c r="B1286" s="32">
        <f t="shared" si="313"/>
        <v>2053</v>
      </c>
      <c r="C1286" s="33" t="s">
        <v>40</v>
      </c>
      <c r="D1286" s="34" t="s">
        <v>128</v>
      </c>
      <c r="E1286" s="35" t="str">
        <f t="shared" si="309"/>
        <v>PDP'!</v>
      </c>
      <c r="F1286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86" s="32" t="s">
        <v>120</v>
      </c>
      <c r="H1286" s="33">
        <f t="shared" si="311"/>
        <v>42</v>
      </c>
      <c r="I1286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ECP\Cantagallo\Cristalina\[CRISTALINA_CF_SEC_New_09-Feb-2024.xlsx]D-PDP'!$CA$42</v>
      </c>
      <c r="J1286" s="37" t="s">
        <v>714</v>
      </c>
    </row>
    <row r="1287" spans="1:10" x14ac:dyDescent="0.35">
      <c r="A1287" s="32" t="s">
        <v>14</v>
      </c>
      <c r="B1287" s="32">
        <f t="shared" si="313"/>
        <v>2054</v>
      </c>
      <c r="C1287" s="33" t="s">
        <v>40</v>
      </c>
      <c r="D1287" s="34" t="s">
        <v>128</v>
      </c>
      <c r="E1287" s="35" t="str">
        <f t="shared" si="309"/>
        <v>PDP'!</v>
      </c>
      <c r="F1287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87" s="32" t="s">
        <v>120</v>
      </c>
      <c r="H1287" s="33">
        <f t="shared" si="311"/>
        <v>43</v>
      </c>
      <c r="I1287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ECP\Cantagallo\Cristalina\[CRISTALINA_CF_SEC_New_09-Feb-2024.xlsx]D-PDP'!$CA$43</v>
      </c>
      <c r="J1287" s="37" t="s">
        <v>715</v>
      </c>
    </row>
    <row r="1288" spans="1:10" x14ac:dyDescent="0.35">
      <c r="A1288" s="32" t="s">
        <v>14</v>
      </c>
      <c r="B1288" s="32">
        <f t="shared" si="313"/>
        <v>2055</v>
      </c>
      <c r="C1288" s="33" t="s">
        <v>40</v>
      </c>
      <c r="D1288" s="34" t="s">
        <v>128</v>
      </c>
      <c r="E1288" s="35" t="str">
        <f t="shared" si="309"/>
        <v>PDP'!</v>
      </c>
      <c r="F1288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88" s="32" t="s">
        <v>120</v>
      </c>
      <c r="H1288" s="33">
        <f t="shared" si="311"/>
        <v>44</v>
      </c>
      <c r="I1288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ECP\Cantagallo\Cristalina\[CRISTALINA_CF_SEC_New_09-Feb-2024.xlsx]D-PDP'!$CA$44</v>
      </c>
      <c r="J1288" s="37" t="s">
        <v>716</v>
      </c>
    </row>
    <row r="1289" spans="1:10" x14ac:dyDescent="0.35">
      <c r="A1289" s="32" t="s">
        <v>14</v>
      </c>
      <c r="B1289" s="32">
        <f t="shared" si="313"/>
        <v>2056</v>
      </c>
      <c r="C1289" s="33" t="s">
        <v>40</v>
      </c>
      <c r="D1289" s="34" t="s">
        <v>128</v>
      </c>
      <c r="E1289" s="35" t="str">
        <f t="shared" si="309"/>
        <v>PDP'!</v>
      </c>
      <c r="F1289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89" s="32" t="s">
        <v>120</v>
      </c>
      <c r="H1289" s="33">
        <f t="shared" si="311"/>
        <v>45</v>
      </c>
      <c r="I1289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ECP\Cantagallo\Cristalina\[CRISTALINA_CF_SEC_New_09-Feb-2024.xlsx]D-PDP'!$CA$45</v>
      </c>
      <c r="J1289" s="37" t="s">
        <v>717</v>
      </c>
    </row>
    <row r="1290" spans="1:10" x14ac:dyDescent="0.35">
      <c r="A1290" s="32" t="s">
        <v>14</v>
      </c>
      <c r="B1290" s="32">
        <f t="shared" si="313"/>
        <v>2057</v>
      </c>
      <c r="C1290" s="33" t="s">
        <v>40</v>
      </c>
      <c r="D1290" s="34" t="s">
        <v>128</v>
      </c>
      <c r="E1290" s="35" t="str">
        <f t="shared" si="309"/>
        <v>PDP'!</v>
      </c>
      <c r="F1290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90" s="32" t="s">
        <v>120</v>
      </c>
      <c r="H1290" s="33">
        <f t="shared" si="311"/>
        <v>46</v>
      </c>
      <c r="I1290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ECP\Cantagallo\Cristalina\[CRISTALINA_CF_SEC_New_09-Feb-2024.xlsx]D-PDP'!$CA$46</v>
      </c>
      <c r="J1290" s="37" t="s">
        <v>718</v>
      </c>
    </row>
    <row r="1291" spans="1:10" x14ac:dyDescent="0.35">
      <c r="A1291" s="32" t="s">
        <v>14</v>
      </c>
      <c r="B1291" s="32">
        <f t="shared" si="313"/>
        <v>2058</v>
      </c>
      <c r="C1291" s="33" t="s">
        <v>40</v>
      </c>
      <c r="D1291" s="34" t="s">
        <v>128</v>
      </c>
      <c r="E1291" s="35" t="str">
        <f t="shared" si="309"/>
        <v>PDP'!</v>
      </c>
      <c r="F1291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91" s="32" t="s">
        <v>120</v>
      </c>
      <c r="H1291" s="33">
        <f t="shared" si="311"/>
        <v>47</v>
      </c>
      <c r="I1291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ECP\Cantagallo\Cristalina\[CRISTALINA_CF_SEC_New_09-Feb-2024.xlsx]D-PDP'!$CA$47</v>
      </c>
      <c r="J1291" s="37" t="s">
        <v>719</v>
      </c>
    </row>
    <row r="1292" spans="1:10" x14ac:dyDescent="0.35">
      <c r="A1292" s="32" t="s">
        <v>14</v>
      </c>
      <c r="B1292" s="32">
        <f t="shared" si="313"/>
        <v>2059</v>
      </c>
      <c r="C1292" s="33" t="s">
        <v>40</v>
      </c>
      <c r="D1292" s="34" t="s">
        <v>128</v>
      </c>
      <c r="E1292" s="35" t="str">
        <f t="shared" si="309"/>
        <v>PDP'!</v>
      </c>
      <c r="F1292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92" s="32" t="s">
        <v>120</v>
      </c>
      <c r="H1292" s="33">
        <f t="shared" si="311"/>
        <v>48</v>
      </c>
      <c r="I1292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ECP\Cantagallo\Cristalina\[CRISTALINA_CF_SEC_New_09-Feb-2024.xlsx]D-PDP'!$CA$48</v>
      </c>
      <c r="J1292" s="37" t="s">
        <v>720</v>
      </c>
    </row>
    <row r="1293" spans="1:10" x14ac:dyDescent="0.35">
      <c r="A1293" s="32" t="s">
        <v>26</v>
      </c>
      <c r="B1293" s="32"/>
      <c r="C1293" s="33" t="s">
        <v>40</v>
      </c>
      <c r="D1293" s="34"/>
      <c r="E1293" s="35"/>
      <c r="F1293" s="34"/>
      <c r="G1293" s="32"/>
      <c r="H1293" s="33"/>
      <c r="I1293" s="33"/>
      <c r="J1293" s="33"/>
    </row>
    <row r="1294" spans="1:10" x14ac:dyDescent="0.35">
      <c r="A1294" s="32" t="s">
        <v>15</v>
      </c>
      <c r="B1294" s="32">
        <v>2023</v>
      </c>
      <c r="C1294" s="33" t="s">
        <v>40</v>
      </c>
      <c r="D1294" s="34" t="s">
        <v>128</v>
      </c>
      <c r="E1294" s="35" t="str">
        <f t="shared" si="302"/>
        <v>PNP'!</v>
      </c>
      <c r="F1294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294" s="32" t="s">
        <v>120</v>
      </c>
      <c r="H1294" s="33">
        <v>12</v>
      </c>
      <c r="I1294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ECP\Cantagallo\Cristalina\[CRISTALINA_CF_SEC_New_09-Feb-2024.xlsx]D-PNP'!$CA$12</v>
      </c>
      <c r="J1294" s="37" t="s">
        <v>721</v>
      </c>
    </row>
    <row r="1295" spans="1:10" x14ac:dyDescent="0.35">
      <c r="A1295" s="32" t="s">
        <v>15</v>
      </c>
      <c r="B1295" s="32">
        <f>+B1294+1</f>
        <v>2024</v>
      </c>
      <c r="C1295" s="33" t="s">
        <v>40</v>
      </c>
      <c r="D1295" s="34" t="s">
        <v>128</v>
      </c>
      <c r="E1295" s="35" t="str">
        <f t="shared" si="302"/>
        <v>PNP'!</v>
      </c>
      <c r="F1295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295" s="32" t="s">
        <v>120</v>
      </c>
      <c r="H1295" s="33">
        <f t="shared" ref="H1295:H1314" si="314">IF(A1295&lt;&gt;A1294,12,H1294+1)</f>
        <v>13</v>
      </c>
      <c r="I1295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ECP\Cantagallo\Cristalina\[CRISTALINA_CF_SEC_New_09-Feb-2024.xlsx]D-PNP'!$CA$13</v>
      </c>
      <c r="J1295" s="37" t="s">
        <v>722</v>
      </c>
    </row>
    <row r="1296" spans="1:10" x14ac:dyDescent="0.35">
      <c r="A1296" s="32" t="s">
        <v>15</v>
      </c>
      <c r="B1296" s="32">
        <f t="shared" ref="B1296:B1307" si="315">+B1295+1</f>
        <v>2025</v>
      </c>
      <c r="C1296" s="33" t="s">
        <v>40</v>
      </c>
      <c r="D1296" s="34" t="s">
        <v>128</v>
      </c>
      <c r="E1296" s="35" t="str">
        <f t="shared" si="302"/>
        <v>PNP'!</v>
      </c>
      <c r="F1296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296" s="32" t="s">
        <v>120</v>
      </c>
      <c r="H1296" s="33">
        <f t="shared" si="314"/>
        <v>14</v>
      </c>
      <c r="I1296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ECP\Cantagallo\Cristalina\[CRISTALINA_CF_SEC_New_09-Feb-2024.xlsx]D-PNP'!$CA$14</v>
      </c>
      <c r="J1296" s="37" t="s">
        <v>723</v>
      </c>
    </row>
    <row r="1297" spans="1:10" x14ac:dyDescent="0.35">
      <c r="A1297" s="32" t="s">
        <v>15</v>
      </c>
      <c r="B1297" s="32">
        <f t="shared" si="315"/>
        <v>2026</v>
      </c>
      <c r="C1297" s="33" t="s">
        <v>40</v>
      </c>
      <c r="D1297" s="34" t="s">
        <v>128</v>
      </c>
      <c r="E1297" s="35" t="str">
        <f t="shared" si="302"/>
        <v>PNP'!</v>
      </c>
      <c r="F1297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297" s="32" t="s">
        <v>120</v>
      </c>
      <c r="H1297" s="33">
        <f t="shared" si="314"/>
        <v>15</v>
      </c>
      <c r="I1297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ECP\Cantagallo\Cristalina\[CRISTALINA_CF_SEC_New_09-Feb-2024.xlsx]D-PNP'!$CA$15</v>
      </c>
      <c r="J1297" s="37" t="s">
        <v>724</v>
      </c>
    </row>
    <row r="1298" spans="1:10" x14ac:dyDescent="0.35">
      <c r="A1298" s="32" t="s">
        <v>15</v>
      </c>
      <c r="B1298" s="32">
        <f t="shared" si="315"/>
        <v>2027</v>
      </c>
      <c r="C1298" s="33" t="s">
        <v>40</v>
      </c>
      <c r="D1298" s="34" t="s">
        <v>128</v>
      </c>
      <c r="E1298" s="35" t="str">
        <f t="shared" si="302"/>
        <v>PNP'!</v>
      </c>
      <c r="F1298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298" s="32" t="s">
        <v>120</v>
      </c>
      <c r="H1298" s="33">
        <f t="shared" si="314"/>
        <v>16</v>
      </c>
      <c r="I1298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ECP\Cantagallo\Cristalina\[CRISTALINA_CF_SEC_New_09-Feb-2024.xlsx]D-PNP'!$CA$16</v>
      </c>
      <c r="J1298" s="37" t="s">
        <v>725</v>
      </c>
    </row>
    <row r="1299" spans="1:10" x14ac:dyDescent="0.35">
      <c r="A1299" s="32" t="s">
        <v>15</v>
      </c>
      <c r="B1299" s="32">
        <f t="shared" si="315"/>
        <v>2028</v>
      </c>
      <c r="C1299" s="33" t="s">
        <v>40</v>
      </c>
      <c r="D1299" s="34" t="s">
        <v>128</v>
      </c>
      <c r="E1299" s="35" t="str">
        <f t="shared" si="302"/>
        <v>PNP'!</v>
      </c>
      <c r="F1299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299" s="32" t="s">
        <v>120</v>
      </c>
      <c r="H1299" s="33">
        <f t="shared" si="314"/>
        <v>17</v>
      </c>
      <c r="I1299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ECP\Cantagallo\Cristalina\[CRISTALINA_CF_SEC_New_09-Feb-2024.xlsx]D-PNP'!$CA$17</v>
      </c>
      <c r="J1299" s="37" t="s">
        <v>726</v>
      </c>
    </row>
    <row r="1300" spans="1:10" x14ac:dyDescent="0.35">
      <c r="A1300" s="32" t="s">
        <v>15</v>
      </c>
      <c r="B1300" s="32">
        <f t="shared" si="315"/>
        <v>2029</v>
      </c>
      <c r="C1300" s="33" t="s">
        <v>40</v>
      </c>
      <c r="D1300" s="34" t="s">
        <v>128</v>
      </c>
      <c r="E1300" s="35" t="str">
        <f t="shared" si="302"/>
        <v>PNP'!</v>
      </c>
      <c r="F1300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00" s="32" t="s">
        <v>120</v>
      </c>
      <c r="H1300" s="33">
        <f t="shared" si="314"/>
        <v>18</v>
      </c>
      <c r="I1300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ECP\Cantagallo\Cristalina\[CRISTALINA_CF_SEC_New_09-Feb-2024.xlsx]D-PNP'!$CA$18</v>
      </c>
      <c r="J1300" s="37" t="s">
        <v>727</v>
      </c>
    </row>
    <row r="1301" spans="1:10" x14ac:dyDescent="0.35">
      <c r="A1301" s="32" t="s">
        <v>15</v>
      </c>
      <c r="B1301" s="32">
        <f t="shared" si="315"/>
        <v>2030</v>
      </c>
      <c r="C1301" s="33" t="s">
        <v>40</v>
      </c>
      <c r="D1301" s="34" t="s">
        <v>128</v>
      </c>
      <c r="E1301" s="35" t="str">
        <f t="shared" si="302"/>
        <v>PNP'!</v>
      </c>
      <c r="F1301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01" s="32" t="s">
        <v>120</v>
      </c>
      <c r="H1301" s="33">
        <f t="shared" si="314"/>
        <v>19</v>
      </c>
      <c r="I1301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ECP\Cantagallo\Cristalina\[CRISTALINA_CF_SEC_New_09-Feb-2024.xlsx]D-PNP'!$CA$19</v>
      </c>
      <c r="J1301" s="37" t="s">
        <v>728</v>
      </c>
    </row>
    <row r="1302" spans="1:10" x14ac:dyDescent="0.35">
      <c r="A1302" s="32" t="s">
        <v>15</v>
      </c>
      <c r="B1302" s="32">
        <f t="shared" si="315"/>
        <v>2031</v>
      </c>
      <c r="C1302" s="33" t="s">
        <v>40</v>
      </c>
      <c r="D1302" s="34" t="s">
        <v>128</v>
      </c>
      <c r="E1302" s="35" t="str">
        <f t="shared" si="302"/>
        <v>PNP'!</v>
      </c>
      <c r="F1302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02" s="32" t="s">
        <v>120</v>
      </c>
      <c r="H1302" s="33">
        <f t="shared" si="314"/>
        <v>20</v>
      </c>
      <c r="I1302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ECP\Cantagallo\Cristalina\[CRISTALINA_CF_SEC_New_09-Feb-2024.xlsx]D-PNP'!$CA$20</v>
      </c>
      <c r="J1302" s="37" t="s">
        <v>729</v>
      </c>
    </row>
    <row r="1303" spans="1:10" x14ac:dyDescent="0.35">
      <c r="A1303" s="32" t="s">
        <v>15</v>
      </c>
      <c r="B1303" s="32">
        <f t="shared" si="315"/>
        <v>2032</v>
      </c>
      <c r="C1303" s="33" t="s">
        <v>40</v>
      </c>
      <c r="D1303" s="34" t="s">
        <v>128</v>
      </c>
      <c r="E1303" s="35" t="str">
        <f t="shared" si="302"/>
        <v>PNP'!</v>
      </c>
      <c r="F1303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03" s="32" t="s">
        <v>120</v>
      </c>
      <c r="H1303" s="33">
        <f t="shared" si="314"/>
        <v>21</v>
      </c>
      <c r="I1303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ECP\Cantagallo\Cristalina\[CRISTALINA_CF_SEC_New_09-Feb-2024.xlsx]D-PNP'!$CA$21</v>
      </c>
      <c r="J1303" s="37" t="s">
        <v>730</v>
      </c>
    </row>
    <row r="1304" spans="1:10" x14ac:dyDescent="0.35">
      <c r="A1304" s="32" t="s">
        <v>15</v>
      </c>
      <c r="B1304" s="32">
        <f t="shared" si="315"/>
        <v>2033</v>
      </c>
      <c r="C1304" s="33" t="s">
        <v>40</v>
      </c>
      <c r="D1304" s="34" t="s">
        <v>128</v>
      </c>
      <c r="E1304" s="35" t="str">
        <f t="shared" si="302"/>
        <v>PNP'!</v>
      </c>
      <c r="F1304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04" s="32" t="s">
        <v>120</v>
      </c>
      <c r="H1304" s="33">
        <f t="shared" si="314"/>
        <v>22</v>
      </c>
      <c r="I1304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ECP\Cantagallo\Cristalina\[CRISTALINA_CF_SEC_New_09-Feb-2024.xlsx]D-PNP'!$CA$22</v>
      </c>
      <c r="J1304" s="37" t="s">
        <v>731</v>
      </c>
    </row>
    <row r="1305" spans="1:10" x14ac:dyDescent="0.35">
      <c r="A1305" s="32" t="s">
        <v>15</v>
      </c>
      <c r="B1305" s="32">
        <f t="shared" si="315"/>
        <v>2034</v>
      </c>
      <c r="C1305" s="33" t="s">
        <v>40</v>
      </c>
      <c r="D1305" s="34" t="s">
        <v>128</v>
      </c>
      <c r="E1305" s="35" t="str">
        <f t="shared" si="302"/>
        <v>PNP'!</v>
      </c>
      <c r="F1305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05" s="32" t="s">
        <v>120</v>
      </c>
      <c r="H1305" s="33">
        <f t="shared" si="314"/>
        <v>23</v>
      </c>
      <c r="I1305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ECP\Cantagallo\Cristalina\[CRISTALINA_CF_SEC_New_09-Feb-2024.xlsx]D-PNP'!$CA$23</v>
      </c>
      <c r="J1305" s="37" t="s">
        <v>732</v>
      </c>
    </row>
    <row r="1306" spans="1:10" x14ac:dyDescent="0.35">
      <c r="A1306" s="32" t="s">
        <v>15</v>
      </c>
      <c r="B1306" s="32">
        <f t="shared" si="315"/>
        <v>2035</v>
      </c>
      <c r="C1306" s="33" t="s">
        <v>40</v>
      </c>
      <c r="D1306" s="34" t="s">
        <v>128</v>
      </c>
      <c r="E1306" s="35" t="str">
        <f t="shared" si="302"/>
        <v>PNP'!</v>
      </c>
      <c r="F1306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06" s="32" t="s">
        <v>120</v>
      </c>
      <c r="H1306" s="33">
        <f t="shared" si="314"/>
        <v>24</v>
      </c>
      <c r="I1306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ECP\Cantagallo\Cristalina\[CRISTALINA_CF_SEC_New_09-Feb-2024.xlsx]D-PNP'!$CA$24</v>
      </c>
      <c r="J1306" s="37" t="s">
        <v>733</v>
      </c>
    </row>
    <row r="1307" spans="1:10" x14ac:dyDescent="0.35">
      <c r="A1307" s="32" t="s">
        <v>15</v>
      </c>
      <c r="B1307" s="32">
        <f t="shared" si="315"/>
        <v>2036</v>
      </c>
      <c r="C1307" s="33" t="s">
        <v>40</v>
      </c>
      <c r="D1307" s="34" t="s">
        <v>128</v>
      </c>
      <c r="E1307" s="35" t="str">
        <f t="shared" si="302"/>
        <v>PNP'!</v>
      </c>
      <c r="F1307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07" s="32" t="s">
        <v>120</v>
      </c>
      <c r="H1307" s="33">
        <f t="shared" si="314"/>
        <v>25</v>
      </c>
      <c r="I1307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ECP\Cantagallo\Cristalina\[CRISTALINA_CF_SEC_New_09-Feb-2024.xlsx]D-PNP'!$CA$25</v>
      </c>
      <c r="J1307" s="37" t="s">
        <v>734</v>
      </c>
    </row>
    <row r="1308" spans="1:10" x14ac:dyDescent="0.35">
      <c r="A1308" s="32" t="s">
        <v>15</v>
      </c>
      <c r="B1308" s="32">
        <f>+B1307+1</f>
        <v>2037</v>
      </c>
      <c r="C1308" s="33" t="s">
        <v>40</v>
      </c>
      <c r="D1308" s="34" t="s">
        <v>128</v>
      </c>
      <c r="E1308" s="35" t="str">
        <f t="shared" si="302"/>
        <v>PNP'!</v>
      </c>
      <c r="F1308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08" s="32" t="s">
        <v>120</v>
      </c>
      <c r="H1308" s="33">
        <f t="shared" si="314"/>
        <v>26</v>
      </c>
      <c r="I1308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ECP\Cantagallo\Cristalina\[CRISTALINA_CF_SEC_New_09-Feb-2024.xlsx]D-PNP'!$CA$26</v>
      </c>
      <c r="J1308" s="37" t="s">
        <v>735</v>
      </c>
    </row>
    <row r="1309" spans="1:10" x14ac:dyDescent="0.35">
      <c r="A1309" s="32" t="s">
        <v>15</v>
      </c>
      <c r="B1309" s="32">
        <f t="shared" ref="B1309:B1311" si="316">+B1308+1</f>
        <v>2038</v>
      </c>
      <c r="C1309" s="33" t="s">
        <v>40</v>
      </c>
      <c r="D1309" s="34" t="s">
        <v>128</v>
      </c>
      <c r="E1309" s="35" t="str">
        <f t="shared" si="302"/>
        <v>PNP'!</v>
      </c>
      <c r="F1309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09" s="32" t="s">
        <v>120</v>
      </c>
      <c r="H1309" s="33">
        <f t="shared" si="314"/>
        <v>27</v>
      </c>
      <c r="I1309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ECP\Cantagallo\Cristalina\[CRISTALINA_CF_SEC_New_09-Feb-2024.xlsx]D-PNP'!$CA$27</v>
      </c>
      <c r="J1309" s="37" t="s">
        <v>736</v>
      </c>
    </row>
    <row r="1310" spans="1:10" x14ac:dyDescent="0.35">
      <c r="A1310" s="32" t="s">
        <v>15</v>
      </c>
      <c r="B1310" s="32">
        <f t="shared" si="316"/>
        <v>2039</v>
      </c>
      <c r="C1310" s="33" t="s">
        <v>40</v>
      </c>
      <c r="D1310" s="34" t="s">
        <v>128</v>
      </c>
      <c r="E1310" s="35" t="str">
        <f t="shared" si="302"/>
        <v>PNP'!</v>
      </c>
      <c r="F1310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10" s="32" t="s">
        <v>120</v>
      </c>
      <c r="H1310" s="33">
        <f t="shared" si="314"/>
        <v>28</v>
      </c>
      <c r="I1310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ECP\Cantagallo\Cristalina\[CRISTALINA_CF_SEC_New_09-Feb-2024.xlsx]D-PNP'!$CA$28</v>
      </c>
      <c r="J1310" s="37" t="s">
        <v>737</v>
      </c>
    </row>
    <row r="1311" spans="1:10" x14ac:dyDescent="0.35">
      <c r="A1311" s="32" t="s">
        <v>15</v>
      </c>
      <c r="B1311" s="32">
        <f t="shared" si="316"/>
        <v>2040</v>
      </c>
      <c r="C1311" s="33" t="s">
        <v>40</v>
      </c>
      <c r="D1311" s="34" t="s">
        <v>128</v>
      </c>
      <c r="E1311" s="35" t="str">
        <f t="shared" si="302"/>
        <v>PNP'!</v>
      </c>
      <c r="F1311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11" s="32" t="s">
        <v>120</v>
      </c>
      <c r="H1311" s="33">
        <f t="shared" si="314"/>
        <v>29</v>
      </c>
      <c r="I1311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ECP\Cantagallo\Cristalina\[CRISTALINA_CF_SEC_New_09-Feb-2024.xlsx]D-PNP'!$CA$29</v>
      </c>
      <c r="J1311" s="37" t="s">
        <v>738</v>
      </c>
    </row>
    <row r="1312" spans="1:10" x14ac:dyDescent="0.35">
      <c r="A1312" s="32" t="s">
        <v>15</v>
      </c>
      <c r="B1312" s="32">
        <f>+B1311+1</f>
        <v>2041</v>
      </c>
      <c r="C1312" s="33" t="s">
        <v>40</v>
      </c>
      <c r="D1312" s="34" t="s">
        <v>128</v>
      </c>
      <c r="E1312" s="35" t="str">
        <f t="shared" si="302"/>
        <v>PNP'!</v>
      </c>
      <c r="F1312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12" s="32" t="s">
        <v>120</v>
      </c>
      <c r="H1312" s="33">
        <f t="shared" si="314"/>
        <v>30</v>
      </c>
      <c r="I1312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ECP\Cantagallo\Cristalina\[CRISTALINA_CF_SEC_New_09-Feb-2024.xlsx]D-PNP'!$CA$30</v>
      </c>
      <c r="J1312" s="37" t="s">
        <v>739</v>
      </c>
    </row>
    <row r="1313" spans="1:10" x14ac:dyDescent="0.35">
      <c r="A1313" s="32" t="s">
        <v>15</v>
      </c>
      <c r="B1313" s="32">
        <f t="shared" ref="B1313:B1314" si="317">+B1312+1</f>
        <v>2042</v>
      </c>
      <c r="C1313" s="33" t="s">
        <v>40</v>
      </c>
      <c r="D1313" s="34" t="s">
        <v>128</v>
      </c>
      <c r="E1313" s="35" t="str">
        <f t="shared" si="302"/>
        <v>PNP'!</v>
      </c>
      <c r="F1313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13" s="32" t="s">
        <v>120</v>
      </c>
      <c r="H1313" s="33">
        <f t="shared" si="314"/>
        <v>31</v>
      </c>
      <c r="I1313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ECP\Cantagallo\Cristalina\[CRISTALINA_CF_SEC_New_09-Feb-2024.xlsx]D-PNP'!$CA$31</v>
      </c>
      <c r="J1313" s="37" t="s">
        <v>740</v>
      </c>
    </row>
    <row r="1314" spans="1:10" x14ac:dyDescent="0.35">
      <c r="A1314" s="32" t="s">
        <v>15</v>
      </c>
      <c r="B1314" s="32">
        <f t="shared" si="317"/>
        <v>2043</v>
      </c>
      <c r="C1314" s="33" t="s">
        <v>40</v>
      </c>
      <c r="D1314" s="34" t="s">
        <v>128</v>
      </c>
      <c r="E1314" s="35" t="str">
        <f t="shared" si="302"/>
        <v>PNP'!</v>
      </c>
      <c r="F1314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14" s="32" t="s">
        <v>120</v>
      </c>
      <c r="H1314" s="33">
        <f t="shared" si="314"/>
        <v>32</v>
      </c>
      <c r="I1314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ECP\Cantagallo\Cristalina\[CRISTALINA_CF_SEC_New_09-Feb-2024.xlsx]D-PNP'!$CA$32</v>
      </c>
      <c r="J1314" s="37" t="s">
        <v>741</v>
      </c>
    </row>
    <row r="1315" spans="1:10" x14ac:dyDescent="0.35">
      <c r="A1315" s="32" t="s">
        <v>15</v>
      </c>
      <c r="B1315" s="32">
        <f>+B1314+1</f>
        <v>2044</v>
      </c>
      <c r="C1315" s="33" t="s">
        <v>40</v>
      </c>
      <c r="D1315" s="34" t="s">
        <v>128</v>
      </c>
      <c r="E1315" s="35" t="str">
        <f t="shared" ref="E1315:E1330" si="318">_xlfn.CONCAT(A1315,"'!")</f>
        <v>PNP'!</v>
      </c>
      <c r="F1315" s="34" t="str">
        <f t="shared" ref="F1315:F1330" si="319">_xlfn.CONCAT(D1315:E1315)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15" s="32" t="s">
        <v>120</v>
      </c>
      <c r="H1315" s="33">
        <f t="shared" ref="H1315:H1330" si="320">IF(A1315&lt;&gt;A1314,12,H1314+1)</f>
        <v>33</v>
      </c>
      <c r="I1315" s="33" t="str">
        <f t="shared" ref="I1315:I1330" si="321">_xlfn.CONCAT("='",F1315:H1315)</f>
        <v>='C:\Users\jaime.benazar\Quorum Business Solutions\Ecopetrol Prometeo - Documents\Planning Space Implementation\3. Analysis &amp; Design\Design\FC22\DRR Jaime\Por presentar a ECP\Cantagallo\Cristalina\[CRISTALINA_CF_SEC_New_09-Feb-2024.xlsx]D-PNP'!$CA$33</v>
      </c>
      <c r="J1315" s="37" t="s">
        <v>742</v>
      </c>
    </row>
    <row r="1316" spans="1:10" x14ac:dyDescent="0.35">
      <c r="A1316" s="32" t="s">
        <v>15</v>
      </c>
      <c r="B1316" s="32">
        <f t="shared" ref="B1316:B1330" si="322">+B1315+1</f>
        <v>2045</v>
      </c>
      <c r="C1316" s="33" t="s">
        <v>40</v>
      </c>
      <c r="D1316" s="34" t="s">
        <v>128</v>
      </c>
      <c r="E1316" s="35" t="str">
        <f t="shared" si="318"/>
        <v>PNP'!</v>
      </c>
      <c r="F1316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16" s="32" t="s">
        <v>120</v>
      </c>
      <c r="H1316" s="33">
        <f t="shared" si="320"/>
        <v>34</v>
      </c>
      <c r="I1316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ECP\Cantagallo\Cristalina\[CRISTALINA_CF_SEC_New_09-Feb-2024.xlsx]D-PNP'!$CA$34</v>
      </c>
      <c r="J1316" s="37" t="s">
        <v>743</v>
      </c>
    </row>
    <row r="1317" spans="1:10" x14ac:dyDescent="0.35">
      <c r="A1317" s="32" t="s">
        <v>15</v>
      </c>
      <c r="B1317" s="32">
        <f t="shared" si="322"/>
        <v>2046</v>
      </c>
      <c r="C1317" s="33" t="s">
        <v>40</v>
      </c>
      <c r="D1317" s="34" t="s">
        <v>128</v>
      </c>
      <c r="E1317" s="35" t="str">
        <f t="shared" si="318"/>
        <v>PNP'!</v>
      </c>
      <c r="F1317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17" s="32" t="s">
        <v>120</v>
      </c>
      <c r="H1317" s="33">
        <f t="shared" si="320"/>
        <v>35</v>
      </c>
      <c r="I1317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ECP\Cantagallo\Cristalina\[CRISTALINA_CF_SEC_New_09-Feb-2024.xlsx]D-PNP'!$CA$35</v>
      </c>
      <c r="J1317" s="37" t="s">
        <v>744</v>
      </c>
    </row>
    <row r="1318" spans="1:10" x14ac:dyDescent="0.35">
      <c r="A1318" s="32" t="s">
        <v>15</v>
      </c>
      <c r="B1318" s="32">
        <f t="shared" si="322"/>
        <v>2047</v>
      </c>
      <c r="C1318" s="33" t="s">
        <v>40</v>
      </c>
      <c r="D1318" s="34" t="s">
        <v>128</v>
      </c>
      <c r="E1318" s="35" t="str">
        <f t="shared" si="318"/>
        <v>PNP'!</v>
      </c>
      <c r="F1318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18" s="32" t="s">
        <v>120</v>
      </c>
      <c r="H1318" s="33">
        <f t="shared" si="320"/>
        <v>36</v>
      </c>
      <c r="I1318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ECP\Cantagallo\Cristalina\[CRISTALINA_CF_SEC_New_09-Feb-2024.xlsx]D-PNP'!$CA$36</v>
      </c>
      <c r="J1318" s="37" t="s">
        <v>745</v>
      </c>
    </row>
    <row r="1319" spans="1:10" x14ac:dyDescent="0.35">
      <c r="A1319" s="32" t="s">
        <v>15</v>
      </c>
      <c r="B1319" s="32">
        <f t="shared" si="322"/>
        <v>2048</v>
      </c>
      <c r="C1319" s="33" t="s">
        <v>40</v>
      </c>
      <c r="D1319" s="34" t="s">
        <v>128</v>
      </c>
      <c r="E1319" s="35" t="str">
        <f t="shared" si="318"/>
        <v>PNP'!</v>
      </c>
      <c r="F1319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19" s="32" t="s">
        <v>120</v>
      </c>
      <c r="H1319" s="33">
        <f t="shared" si="320"/>
        <v>37</v>
      </c>
      <c r="I1319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ECP\Cantagallo\Cristalina\[CRISTALINA_CF_SEC_New_09-Feb-2024.xlsx]D-PNP'!$CA$37</v>
      </c>
      <c r="J1319" s="37" t="s">
        <v>746</v>
      </c>
    </row>
    <row r="1320" spans="1:10" x14ac:dyDescent="0.35">
      <c r="A1320" s="32" t="s">
        <v>15</v>
      </c>
      <c r="B1320" s="32">
        <f t="shared" si="322"/>
        <v>2049</v>
      </c>
      <c r="C1320" s="33" t="s">
        <v>40</v>
      </c>
      <c r="D1320" s="34" t="s">
        <v>128</v>
      </c>
      <c r="E1320" s="35" t="str">
        <f t="shared" si="318"/>
        <v>PNP'!</v>
      </c>
      <c r="F1320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20" s="32" t="s">
        <v>120</v>
      </c>
      <c r="H1320" s="33">
        <f t="shared" si="320"/>
        <v>38</v>
      </c>
      <c r="I1320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ECP\Cantagallo\Cristalina\[CRISTALINA_CF_SEC_New_09-Feb-2024.xlsx]D-PNP'!$CA$38</v>
      </c>
      <c r="J1320" s="37" t="s">
        <v>747</v>
      </c>
    </row>
    <row r="1321" spans="1:10" x14ac:dyDescent="0.35">
      <c r="A1321" s="32" t="s">
        <v>15</v>
      </c>
      <c r="B1321" s="32">
        <f t="shared" si="322"/>
        <v>2050</v>
      </c>
      <c r="C1321" s="33" t="s">
        <v>40</v>
      </c>
      <c r="D1321" s="34" t="s">
        <v>128</v>
      </c>
      <c r="E1321" s="35" t="str">
        <f t="shared" si="318"/>
        <v>PNP'!</v>
      </c>
      <c r="F1321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21" s="32" t="s">
        <v>120</v>
      </c>
      <c r="H1321" s="33">
        <f t="shared" si="320"/>
        <v>39</v>
      </c>
      <c r="I1321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ECP\Cantagallo\Cristalina\[CRISTALINA_CF_SEC_New_09-Feb-2024.xlsx]D-PNP'!$CA$39</v>
      </c>
      <c r="J1321" s="37" t="s">
        <v>748</v>
      </c>
    </row>
    <row r="1322" spans="1:10" x14ac:dyDescent="0.35">
      <c r="A1322" s="32" t="s">
        <v>15</v>
      </c>
      <c r="B1322" s="32">
        <f t="shared" si="322"/>
        <v>2051</v>
      </c>
      <c r="C1322" s="33" t="s">
        <v>40</v>
      </c>
      <c r="D1322" s="34" t="s">
        <v>128</v>
      </c>
      <c r="E1322" s="35" t="str">
        <f t="shared" si="318"/>
        <v>PNP'!</v>
      </c>
      <c r="F1322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22" s="32" t="s">
        <v>120</v>
      </c>
      <c r="H1322" s="33">
        <f t="shared" si="320"/>
        <v>40</v>
      </c>
      <c r="I1322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ECP\Cantagallo\Cristalina\[CRISTALINA_CF_SEC_New_09-Feb-2024.xlsx]D-PNP'!$CA$40</v>
      </c>
      <c r="J1322" s="37" t="s">
        <v>749</v>
      </c>
    </row>
    <row r="1323" spans="1:10" x14ac:dyDescent="0.35">
      <c r="A1323" s="32" t="s">
        <v>15</v>
      </c>
      <c r="B1323" s="32">
        <f t="shared" si="322"/>
        <v>2052</v>
      </c>
      <c r="C1323" s="33" t="s">
        <v>40</v>
      </c>
      <c r="D1323" s="34" t="s">
        <v>128</v>
      </c>
      <c r="E1323" s="35" t="str">
        <f t="shared" si="318"/>
        <v>PNP'!</v>
      </c>
      <c r="F1323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23" s="32" t="s">
        <v>120</v>
      </c>
      <c r="H1323" s="33">
        <f t="shared" si="320"/>
        <v>41</v>
      </c>
      <c r="I1323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ECP\Cantagallo\Cristalina\[CRISTALINA_CF_SEC_New_09-Feb-2024.xlsx]D-PNP'!$CA$41</v>
      </c>
      <c r="J1323" s="37" t="s">
        <v>750</v>
      </c>
    </row>
    <row r="1324" spans="1:10" x14ac:dyDescent="0.35">
      <c r="A1324" s="32" t="s">
        <v>15</v>
      </c>
      <c r="B1324" s="32">
        <f t="shared" si="322"/>
        <v>2053</v>
      </c>
      <c r="C1324" s="33" t="s">
        <v>40</v>
      </c>
      <c r="D1324" s="34" t="s">
        <v>128</v>
      </c>
      <c r="E1324" s="35" t="str">
        <f t="shared" si="318"/>
        <v>PNP'!</v>
      </c>
      <c r="F1324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24" s="32" t="s">
        <v>120</v>
      </c>
      <c r="H1324" s="33">
        <f t="shared" si="320"/>
        <v>42</v>
      </c>
      <c r="I1324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ECP\Cantagallo\Cristalina\[CRISTALINA_CF_SEC_New_09-Feb-2024.xlsx]D-PNP'!$CA$42</v>
      </c>
      <c r="J1324" s="37" t="s">
        <v>751</v>
      </c>
    </row>
    <row r="1325" spans="1:10" x14ac:dyDescent="0.35">
      <c r="A1325" s="32" t="s">
        <v>15</v>
      </c>
      <c r="B1325" s="32">
        <f t="shared" si="322"/>
        <v>2054</v>
      </c>
      <c r="C1325" s="33" t="s">
        <v>40</v>
      </c>
      <c r="D1325" s="34" t="s">
        <v>128</v>
      </c>
      <c r="E1325" s="35" t="str">
        <f t="shared" si="318"/>
        <v>PNP'!</v>
      </c>
      <c r="F1325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25" s="32" t="s">
        <v>120</v>
      </c>
      <c r="H1325" s="33">
        <f t="shared" si="320"/>
        <v>43</v>
      </c>
      <c r="I1325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ECP\Cantagallo\Cristalina\[CRISTALINA_CF_SEC_New_09-Feb-2024.xlsx]D-PNP'!$CA$43</v>
      </c>
      <c r="J1325" s="37" t="s">
        <v>752</v>
      </c>
    </row>
    <row r="1326" spans="1:10" x14ac:dyDescent="0.35">
      <c r="A1326" s="32" t="s">
        <v>15</v>
      </c>
      <c r="B1326" s="32">
        <f t="shared" si="322"/>
        <v>2055</v>
      </c>
      <c r="C1326" s="33" t="s">
        <v>40</v>
      </c>
      <c r="D1326" s="34" t="s">
        <v>128</v>
      </c>
      <c r="E1326" s="35" t="str">
        <f t="shared" si="318"/>
        <v>PNP'!</v>
      </c>
      <c r="F1326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26" s="32" t="s">
        <v>120</v>
      </c>
      <c r="H1326" s="33">
        <f t="shared" si="320"/>
        <v>44</v>
      </c>
      <c r="I1326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ECP\Cantagallo\Cristalina\[CRISTALINA_CF_SEC_New_09-Feb-2024.xlsx]D-PNP'!$CA$44</v>
      </c>
      <c r="J1326" s="37" t="s">
        <v>753</v>
      </c>
    </row>
    <row r="1327" spans="1:10" x14ac:dyDescent="0.35">
      <c r="A1327" s="32" t="s">
        <v>15</v>
      </c>
      <c r="B1327" s="32">
        <f t="shared" si="322"/>
        <v>2056</v>
      </c>
      <c r="C1327" s="33" t="s">
        <v>40</v>
      </c>
      <c r="D1327" s="34" t="s">
        <v>128</v>
      </c>
      <c r="E1327" s="35" t="str">
        <f t="shared" si="318"/>
        <v>PNP'!</v>
      </c>
      <c r="F1327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27" s="32" t="s">
        <v>120</v>
      </c>
      <c r="H1327" s="33">
        <f t="shared" si="320"/>
        <v>45</v>
      </c>
      <c r="I1327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ECP\Cantagallo\Cristalina\[CRISTALINA_CF_SEC_New_09-Feb-2024.xlsx]D-PNP'!$CA$45</v>
      </c>
      <c r="J1327" s="37" t="s">
        <v>754</v>
      </c>
    </row>
    <row r="1328" spans="1:10" x14ac:dyDescent="0.35">
      <c r="A1328" s="32" t="s">
        <v>15</v>
      </c>
      <c r="B1328" s="32">
        <f t="shared" si="322"/>
        <v>2057</v>
      </c>
      <c r="C1328" s="33" t="s">
        <v>40</v>
      </c>
      <c r="D1328" s="34" t="s">
        <v>128</v>
      </c>
      <c r="E1328" s="35" t="str">
        <f t="shared" si="318"/>
        <v>PNP'!</v>
      </c>
      <c r="F1328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28" s="32" t="s">
        <v>120</v>
      </c>
      <c r="H1328" s="33">
        <f t="shared" si="320"/>
        <v>46</v>
      </c>
      <c r="I1328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ECP\Cantagallo\Cristalina\[CRISTALINA_CF_SEC_New_09-Feb-2024.xlsx]D-PNP'!$CA$46</v>
      </c>
      <c r="J1328" s="37" t="s">
        <v>755</v>
      </c>
    </row>
    <row r="1329" spans="1:10" x14ac:dyDescent="0.35">
      <c r="A1329" s="32" t="s">
        <v>15</v>
      </c>
      <c r="B1329" s="32">
        <f t="shared" si="322"/>
        <v>2058</v>
      </c>
      <c r="C1329" s="33" t="s">
        <v>40</v>
      </c>
      <c r="D1329" s="34" t="s">
        <v>128</v>
      </c>
      <c r="E1329" s="35" t="str">
        <f t="shared" si="318"/>
        <v>PNP'!</v>
      </c>
      <c r="F1329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29" s="32" t="s">
        <v>120</v>
      </c>
      <c r="H1329" s="33">
        <f t="shared" si="320"/>
        <v>47</v>
      </c>
      <c r="I1329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ECP\Cantagallo\Cristalina\[CRISTALINA_CF_SEC_New_09-Feb-2024.xlsx]D-PNP'!$CA$47</v>
      </c>
      <c r="J1329" s="37" t="s">
        <v>756</v>
      </c>
    </row>
    <row r="1330" spans="1:10" x14ac:dyDescent="0.35">
      <c r="A1330" s="32" t="s">
        <v>15</v>
      </c>
      <c r="B1330" s="32">
        <f t="shared" si="322"/>
        <v>2059</v>
      </c>
      <c r="C1330" s="33" t="s">
        <v>40</v>
      </c>
      <c r="D1330" s="34" t="s">
        <v>128</v>
      </c>
      <c r="E1330" s="35" t="str">
        <f t="shared" si="318"/>
        <v>PNP'!</v>
      </c>
      <c r="F1330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30" s="32" t="s">
        <v>120</v>
      </c>
      <c r="H1330" s="33">
        <f t="shared" si="320"/>
        <v>48</v>
      </c>
      <c r="I1330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ECP\Cantagallo\Cristalina\[CRISTALINA_CF_SEC_New_09-Feb-2024.xlsx]D-PNP'!$CA$48</v>
      </c>
      <c r="J1330" s="37" t="s">
        <v>757</v>
      </c>
    </row>
    <row r="1331" spans="1:10" x14ac:dyDescent="0.35">
      <c r="A1331" s="32" t="s">
        <v>26</v>
      </c>
      <c r="B1331" s="32"/>
      <c r="C1331" s="33" t="s">
        <v>40</v>
      </c>
      <c r="D1331" s="34"/>
      <c r="E1331" s="35"/>
      <c r="F1331" s="34"/>
      <c r="G1331" s="32"/>
      <c r="H1331" s="33"/>
      <c r="I1331" s="33"/>
      <c r="J1331" s="33"/>
    </row>
    <row r="1332" spans="1:10" x14ac:dyDescent="0.35">
      <c r="A1332" s="32" t="s">
        <v>16</v>
      </c>
      <c r="B1332" s="32">
        <v>2023</v>
      </c>
      <c r="C1332" s="33" t="s">
        <v>40</v>
      </c>
      <c r="D1332" s="34" t="s">
        <v>128</v>
      </c>
      <c r="E1332" s="35" t="str">
        <f t="shared" si="302"/>
        <v>PND'!</v>
      </c>
      <c r="F1332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32" s="32" t="s">
        <v>120</v>
      </c>
      <c r="H1332" s="33">
        <v>12</v>
      </c>
      <c r="I1332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ECP\Cantagallo\Cristalina\[CRISTALINA_CF_SEC_New_09-Feb-2024.xlsx]D-PND'!$CA$12</v>
      </c>
      <c r="J1332" s="37" t="s">
        <v>758</v>
      </c>
    </row>
    <row r="1333" spans="1:10" x14ac:dyDescent="0.35">
      <c r="A1333" s="32" t="s">
        <v>16</v>
      </c>
      <c r="B1333" s="32">
        <f>+B1332+1</f>
        <v>2024</v>
      </c>
      <c r="C1333" s="33" t="s">
        <v>40</v>
      </c>
      <c r="D1333" s="34" t="s">
        <v>128</v>
      </c>
      <c r="E1333" s="35" t="str">
        <f t="shared" si="302"/>
        <v>PND'!</v>
      </c>
      <c r="F1333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33" s="32" t="s">
        <v>120</v>
      </c>
      <c r="H1333" s="33">
        <f t="shared" ref="H1333:H1352" si="323">IF(A1333&lt;&gt;A1332,12,H1332+1)</f>
        <v>13</v>
      </c>
      <c r="I1333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ECP\Cantagallo\Cristalina\[CRISTALINA_CF_SEC_New_09-Feb-2024.xlsx]D-PND'!$CA$13</v>
      </c>
      <c r="J1333" s="37" t="s">
        <v>759</v>
      </c>
    </row>
    <row r="1334" spans="1:10" x14ac:dyDescent="0.35">
      <c r="A1334" s="32" t="s">
        <v>16</v>
      </c>
      <c r="B1334" s="32">
        <f t="shared" ref="B1334:B1345" si="324">+B1333+1</f>
        <v>2025</v>
      </c>
      <c r="C1334" s="33" t="s">
        <v>40</v>
      </c>
      <c r="D1334" s="34" t="s">
        <v>128</v>
      </c>
      <c r="E1334" s="35" t="str">
        <f t="shared" si="302"/>
        <v>PND'!</v>
      </c>
      <c r="F1334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34" s="32" t="s">
        <v>120</v>
      </c>
      <c r="H1334" s="33">
        <f t="shared" si="323"/>
        <v>14</v>
      </c>
      <c r="I1334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ECP\Cantagallo\Cristalina\[CRISTALINA_CF_SEC_New_09-Feb-2024.xlsx]D-PND'!$CA$14</v>
      </c>
      <c r="J1334" s="37" t="s">
        <v>760</v>
      </c>
    </row>
    <row r="1335" spans="1:10" x14ac:dyDescent="0.35">
      <c r="A1335" s="32" t="s">
        <v>16</v>
      </c>
      <c r="B1335" s="32">
        <f t="shared" si="324"/>
        <v>2026</v>
      </c>
      <c r="C1335" s="33" t="s">
        <v>40</v>
      </c>
      <c r="D1335" s="34" t="s">
        <v>128</v>
      </c>
      <c r="E1335" s="35" t="str">
        <f t="shared" si="302"/>
        <v>PND'!</v>
      </c>
      <c r="F1335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35" s="32" t="s">
        <v>120</v>
      </c>
      <c r="H1335" s="33">
        <f t="shared" si="323"/>
        <v>15</v>
      </c>
      <c r="I1335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ECP\Cantagallo\Cristalina\[CRISTALINA_CF_SEC_New_09-Feb-2024.xlsx]D-PND'!$CA$15</v>
      </c>
      <c r="J1335" s="37" t="s">
        <v>761</v>
      </c>
    </row>
    <row r="1336" spans="1:10" x14ac:dyDescent="0.35">
      <c r="A1336" s="32" t="s">
        <v>16</v>
      </c>
      <c r="B1336" s="32">
        <f t="shared" si="324"/>
        <v>2027</v>
      </c>
      <c r="C1336" s="33" t="s">
        <v>40</v>
      </c>
      <c r="D1336" s="34" t="s">
        <v>128</v>
      </c>
      <c r="E1336" s="35" t="str">
        <f t="shared" si="302"/>
        <v>PND'!</v>
      </c>
      <c r="F1336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36" s="32" t="s">
        <v>120</v>
      </c>
      <c r="H1336" s="33">
        <f t="shared" si="323"/>
        <v>16</v>
      </c>
      <c r="I1336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ECP\Cantagallo\Cristalina\[CRISTALINA_CF_SEC_New_09-Feb-2024.xlsx]D-PND'!$CA$16</v>
      </c>
      <c r="J1336" s="37" t="s">
        <v>762</v>
      </c>
    </row>
    <row r="1337" spans="1:10" x14ac:dyDescent="0.35">
      <c r="A1337" s="32" t="s">
        <v>16</v>
      </c>
      <c r="B1337" s="32">
        <f t="shared" si="324"/>
        <v>2028</v>
      </c>
      <c r="C1337" s="33" t="s">
        <v>40</v>
      </c>
      <c r="D1337" s="34" t="s">
        <v>128</v>
      </c>
      <c r="E1337" s="35" t="str">
        <f t="shared" si="302"/>
        <v>PND'!</v>
      </c>
      <c r="F1337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37" s="32" t="s">
        <v>120</v>
      </c>
      <c r="H1337" s="33">
        <f t="shared" si="323"/>
        <v>17</v>
      </c>
      <c r="I1337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ECP\Cantagallo\Cristalina\[CRISTALINA_CF_SEC_New_09-Feb-2024.xlsx]D-PND'!$CA$17</v>
      </c>
      <c r="J1337" s="37" t="s">
        <v>763</v>
      </c>
    </row>
    <row r="1338" spans="1:10" x14ac:dyDescent="0.35">
      <c r="A1338" s="32" t="s">
        <v>16</v>
      </c>
      <c r="B1338" s="32">
        <f t="shared" si="324"/>
        <v>2029</v>
      </c>
      <c r="C1338" s="33" t="s">
        <v>40</v>
      </c>
      <c r="D1338" s="34" t="s">
        <v>128</v>
      </c>
      <c r="E1338" s="35" t="str">
        <f t="shared" si="302"/>
        <v>PND'!</v>
      </c>
      <c r="F1338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38" s="32" t="s">
        <v>120</v>
      </c>
      <c r="H1338" s="33">
        <f t="shared" si="323"/>
        <v>18</v>
      </c>
      <c r="I1338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ECP\Cantagallo\Cristalina\[CRISTALINA_CF_SEC_New_09-Feb-2024.xlsx]D-PND'!$CA$18</v>
      </c>
      <c r="J1338" s="37" t="s">
        <v>764</v>
      </c>
    </row>
    <row r="1339" spans="1:10" x14ac:dyDescent="0.35">
      <c r="A1339" s="32" t="s">
        <v>16</v>
      </c>
      <c r="B1339" s="32">
        <f t="shared" si="324"/>
        <v>2030</v>
      </c>
      <c r="C1339" s="33" t="s">
        <v>40</v>
      </c>
      <c r="D1339" s="34" t="s">
        <v>128</v>
      </c>
      <c r="E1339" s="35" t="str">
        <f t="shared" si="302"/>
        <v>PND'!</v>
      </c>
      <c r="F1339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39" s="32" t="s">
        <v>120</v>
      </c>
      <c r="H1339" s="33">
        <f t="shared" si="323"/>
        <v>19</v>
      </c>
      <c r="I1339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ECP\Cantagallo\Cristalina\[CRISTALINA_CF_SEC_New_09-Feb-2024.xlsx]D-PND'!$CA$19</v>
      </c>
      <c r="J1339" s="37" t="s">
        <v>765</v>
      </c>
    </row>
    <row r="1340" spans="1:10" x14ac:dyDescent="0.35">
      <c r="A1340" s="32" t="s">
        <v>16</v>
      </c>
      <c r="B1340" s="32">
        <f t="shared" si="324"/>
        <v>2031</v>
      </c>
      <c r="C1340" s="33" t="s">
        <v>40</v>
      </c>
      <c r="D1340" s="34" t="s">
        <v>128</v>
      </c>
      <c r="E1340" s="35" t="str">
        <f t="shared" si="302"/>
        <v>PND'!</v>
      </c>
      <c r="F1340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40" s="32" t="s">
        <v>120</v>
      </c>
      <c r="H1340" s="33">
        <f t="shared" si="323"/>
        <v>20</v>
      </c>
      <c r="I1340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ECP\Cantagallo\Cristalina\[CRISTALINA_CF_SEC_New_09-Feb-2024.xlsx]D-PND'!$CA$20</v>
      </c>
      <c r="J1340" s="37" t="s">
        <v>766</v>
      </c>
    </row>
    <row r="1341" spans="1:10" x14ac:dyDescent="0.35">
      <c r="A1341" s="32" t="s">
        <v>16</v>
      </c>
      <c r="B1341" s="32">
        <f t="shared" si="324"/>
        <v>2032</v>
      </c>
      <c r="C1341" s="33" t="s">
        <v>40</v>
      </c>
      <c r="D1341" s="34" t="s">
        <v>128</v>
      </c>
      <c r="E1341" s="35" t="str">
        <f t="shared" si="302"/>
        <v>PND'!</v>
      </c>
      <c r="F1341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41" s="32" t="s">
        <v>120</v>
      </c>
      <c r="H1341" s="33">
        <f t="shared" si="323"/>
        <v>21</v>
      </c>
      <c r="I1341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ECP\Cantagallo\Cristalina\[CRISTALINA_CF_SEC_New_09-Feb-2024.xlsx]D-PND'!$CA$21</v>
      </c>
      <c r="J1341" s="37" t="s">
        <v>767</v>
      </c>
    </row>
    <row r="1342" spans="1:10" x14ac:dyDescent="0.35">
      <c r="A1342" s="32" t="s">
        <v>16</v>
      </c>
      <c r="B1342" s="32">
        <f t="shared" si="324"/>
        <v>2033</v>
      </c>
      <c r="C1342" s="33" t="s">
        <v>40</v>
      </c>
      <c r="D1342" s="34" t="s">
        <v>128</v>
      </c>
      <c r="E1342" s="35" t="str">
        <f t="shared" si="302"/>
        <v>PND'!</v>
      </c>
      <c r="F1342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42" s="32" t="s">
        <v>120</v>
      </c>
      <c r="H1342" s="33">
        <f t="shared" si="323"/>
        <v>22</v>
      </c>
      <c r="I1342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ECP\Cantagallo\Cristalina\[CRISTALINA_CF_SEC_New_09-Feb-2024.xlsx]D-PND'!$CA$22</v>
      </c>
      <c r="J1342" s="37" t="s">
        <v>768</v>
      </c>
    </row>
    <row r="1343" spans="1:10" x14ac:dyDescent="0.35">
      <c r="A1343" s="32" t="s">
        <v>16</v>
      </c>
      <c r="B1343" s="32">
        <f t="shared" si="324"/>
        <v>2034</v>
      </c>
      <c r="C1343" s="33" t="s">
        <v>40</v>
      </c>
      <c r="D1343" s="34" t="s">
        <v>128</v>
      </c>
      <c r="E1343" s="35" t="str">
        <f t="shared" si="302"/>
        <v>PND'!</v>
      </c>
      <c r="F1343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43" s="32" t="s">
        <v>120</v>
      </c>
      <c r="H1343" s="33">
        <f t="shared" si="323"/>
        <v>23</v>
      </c>
      <c r="I1343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ECP\Cantagallo\Cristalina\[CRISTALINA_CF_SEC_New_09-Feb-2024.xlsx]D-PND'!$CA$23</v>
      </c>
      <c r="J1343" s="37" t="s">
        <v>769</v>
      </c>
    </row>
    <row r="1344" spans="1:10" x14ac:dyDescent="0.35">
      <c r="A1344" s="32" t="s">
        <v>16</v>
      </c>
      <c r="B1344" s="32">
        <f t="shared" si="324"/>
        <v>2035</v>
      </c>
      <c r="C1344" s="33" t="s">
        <v>40</v>
      </c>
      <c r="D1344" s="34" t="s">
        <v>128</v>
      </c>
      <c r="E1344" s="35" t="str">
        <f t="shared" si="302"/>
        <v>PND'!</v>
      </c>
      <c r="F1344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44" s="32" t="s">
        <v>120</v>
      </c>
      <c r="H1344" s="33">
        <f t="shared" si="323"/>
        <v>24</v>
      </c>
      <c r="I1344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ECP\Cantagallo\Cristalina\[CRISTALINA_CF_SEC_New_09-Feb-2024.xlsx]D-PND'!$CA$24</v>
      </c>
      <c r="J1344" s="37" t="s">
        <v>770</v>
      </c>
    </row>
    <row r="1345" spans="1:10" x14ac:dyDescent="0.35">
      <c r="A1345" s="32" t="s">
        <v>16</v>
      </c>
      <c r="B1345" s="32">
        <f t="shared" si="324"/>
        <v>2036</v>
      </c>
      <c r="C1345" s="33" t="s">
        <v>40</v>
      </c>
      <c r="D1345" s="34" t="s">
        <v>128</v>
      </c>
      <c r="E1345" s="35" t="str">
        <f t="shared" si="302"/>
        <v>PND'!</v>
      </c>
      <c r="F1345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45" s="32" t="s">
        <v>120</v>
      </c>
      <c r="H1345" s="33">
        <f t="shared" si="323"/>
        <v>25</v>
      </c>
      <c r="I1345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ECP\Cantagallo\Cristalina\[CRISTALINA_CF_SEC_New_09-Feb-2024.xlsx]D-PND'!$CA$25</v>
      </c>
      <c r="J1345" s="37" t="s">
        <v>771</v>
      </c>
    </row>
    <row r="1346" spans="1:10" x14ac:dyDescent="0.35">
      <c r="A1346" s="32" t="s">
        <v>16</v>
      </c>
      <c r="B1346" s="32">
        <f>+B1345+1</f>
        <v>2037</v>
      </c>
      <c r="C1346" s="33" t="s">
        <v>40</v>
      </c>
      <c r="D1346" s="34" t="s">
        <v>128</v>
      </c>
      <c r="E1346" s="35" t="str">
        <f t="shared" si="302"/>
        <v>PND'!</v>
      </c>
      <c r="F1346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46" s="32" t="s">
        <v>120</v>
      </c>
      <c r="H1346" s="33">
        <f t="shared" si="323"/>
        <v>26</v>
      </c>
      <c r="I1346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ECP\Cantagallo\Cristalina\[CRISTALINA_CF_SEC_New_09-Feb-2024.xlsx]D-PND'!$CA$26</v>
      </c>
      <c r="J1346" s="37" t="s">
        <v>772</v>
      </c>
    </row>
    <row r="1347" spans="1:10" x14ac:dyDescent="0.35">
      <c r="A1347" s="32" t="s">
        <v>16</v>
      </c>
      <c r="B1347" s="32">
        <f t="shared" ref="B1347:B1349" si="325">+B1346+1</f>
        <v>2038</v>
      </c>
      <c r="C1347" s="33" t="s">
        <v>40</v>
      </c>
      <c r="D1347" s="34" t="s">
        <v>128</v>
      </c>
      <c r="E1347" s="35" t="str">
        <f t="shared" si="302"/>
        <v>PND'!</v>
      </c>
      <c r="F1347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47" s="32" t="s">
        <v>120</v>
      </c>
      <c r="H1347" s="33">
        <f t="shared" si="323"/>
        <v>27</v>
      </c>
      <c r="I1347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ECP\Cantagallo\Cristalina\[CRISTALINA_CF_SEC_New_09-Feb-2024.xlsx]D-PND'!$CA$27</v>
      </c>
      <c r="J1347" s="37" t="s">
        <v>773</v>
      </c>
    </row>
    <row r="1348" spans="1:10" x14ac:dyDescent="0.35">
      <c r="A1348" s="32" t="s">
        <v>16</v>
      </c>
      <c r="B1348" s="32">
        <f t="shared" si="325"/>
        <v>2039</v>
      </c>
      <c r="C1348" s="33" t="s">
        <v>40</v>
      </c>
      <c r="D1348" s="34" t="s">
        <v>128</v>
      </c>
      <c r="E1348" s="35" t="str">
        <f t="shared" si="302"/>
        <v>PND'!</v>
      </c>
      <c r="F1348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48" s="32" t="s">
        <v>120</v>
      </c>
      <c r="H1348" s="33">
        <f t="shared" si="323"/>
        <v>28</v>
      </c>
      <c r="I1348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ECP\Cantagallo\Cristalina\[CRISTALINA_CF_SEC_New_09-Feb-2024.xlsx]D-PND'!$CA$28</v>
      </c>
      <c r="J1348" s="37" t="s">
        <v>774</v>
      </c>
    </row>
    <row r="1349" spans="1:10" x14ac:dyDescent="0.35">
      <c r="A1349" s="32" t="s">
        <v>16</v>
      </c>
      <c r="B1349" s="32">
        <f t="shared" si="325"/>
        <v>2040</v>
      </c>
      <c r="C1349" s="33" t="s">
        <v>40</v>
      </c>
      <c r="D1349" s="34" t="s">
        <v>128</v>
      </c>
      <c r="E1349" s="35" t="str">
        <f t="shared" si="302"/>
        <v>PND'!</v>
      </c>
      <c r="F1349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49" s="32" t="s">
        <v>120</v>
      </c>
      <c r="H1349" s="33">
        <f t="shared" si="323"/>
        <v>29</v>
      </c>
      <c r="I1349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ECP\Cantagallo\Cristalina\[CRISTALINA_CF_SEC_New_09-Feb-2024.xlsx]D-PND'!$CA$29</v>
      </c>
      <c r="J1349" s="37" t="s">
        <v>775</v>
      </c>
    </row>
    <row r="1350" spans="1:10" x14ac:dyDescent="0.35">
      <c r="A1350" s="32" t="s">
        <v>16</v>
      </c>
      <c r="B1350" s="32">
        <f>+B1349+1</f>
        <v>2041</v>
      </c>
      <c r="C1350" s="33" t="s">
        <v>40</v>
      </c>
      <c r="D1350" s="34" t="s">
        <v>128</v>
      </c>
      <c r="E1350" s="35" t="str">
        <f t="shared" si="302"/>
        <v>PND'!</v>
      </c>
      <c r="F1350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50" s="32" t="s">
        <v>120</v>
      </c>
      <c r="H1350" s="33">
        <f t="shared" si="323"/>
        <v>30</v>
      </c>
      <c r="I1350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ECP\Cantagallo\Cristalina\[CRISTALINA_CF_SEC_New_09-Feb-2024.xlsx]D-PND'!$CA$30</v>
      </c>
      <c r="J1350" s="37" t="s">
        <v>776</v>
      </c>
    </row>
    <row r="1351" spans="1:10" x14ac:dyDescent="0.35">
      <c r="A1351" s="32" t="s">
        <v>16</v>
      </c>
      <c r="B1351" s="32">
        <f t="shared" ref="B1351:B1352" si="326">+B1350+1</f>
        <v>2042</v>
      </c>
      <c r="C1351" s="33" t="s">
        <v>40</v>
      </c>
      <c r="D1351" s="34" t="s">
        <v>128</v>
      </c>
      <c r="E1351" s="35" t="str">
        <f t="shared" ref="E1351:E1656" si="327">_xlfn.CONCAT(A1351,"'!")</f>
        <v>PND'!</v>
      </c>
      <c r="F1351" s="34" t="str">
        <f t="shared" ref="F1351:F1656" si="328">_xlfn.CONCAT(D1351:E1351)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51" s="32" t="s">
        <v>120</v>
      </c>
      <c r="H1351" s="33">
        <f t="shared" si="323"/>
        <v>31</v>
      </c>
      <c r="I1351" s="33" t="str">
        <f t="shared" ref="I1351:I1656" si="329">_xlfn.CONCAT("='",F1351:H1351)</f>
        <v>='C:\Users\jaime.benazar\Quorum Business Solutions\Ecopetrol Prometeo - Documents\Planning Space Implementation\3. Analysis &amp; Design\Design\FC22\DRR Jaime\Por presentar a ECP\Cantagallo\Cristalina\[CRISTALINA_CF_SEC_New_09-Feb-2024.xlsx]D-PND'!$CA$31</v>
      </c>
      <c r="J1351" s="37" t="s">
        <v>777</v>
      </c>
    </row>
    <row r="1352" spans="1:10" x14ac:dyDescent="0.35">
      <c r="A1352" s="32" t="s">
        <v>16</v>
      </c>
      <c r="B1352" s="32">
        <f t="shared" si="326"/>
        <v>2043</v>
      </c>
      <c r="C1352" s="33" t="s">
        <v>40</v>
      </c>
      <c r="D1352" s="34" t="s">
        <v>128</v>
      </c>
      <c r="E1352" s="35" t="str">
        <f t="shared" si="327"/>
        <v>PND'!</v>
      </c>
      <c r="F1352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52" s="32" t="s">
        <v>120</v>
      </c>
      <c r="H1352" s="33">
        <f t="shared" si="323"/>
        <v>32</v>
      </c>
      <c r="I1352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ECP\Cantagallo\Cristalina\[CRISTALINA_CF_SEC_New_09-Feb-2024.xlsx]D-PND'!$CA$32</v>
      </c>
      <c r="J1352" s="37" t="s">
        <v>778</v>
      </c>
    </row>
    <row r="1353" spans="1:10" x14ac:dyDescent="0.35">
      <c r="A1353" s="32" t="s">
        <v>16</v>
      </c>
      <c r="B1353" s="32">
        <f>+B1352+1</f>
        <v>2044</v>
      </c>
      <c r="C1353" s="33" t="s">
        <v>40</v>
      </c>
      <c r="D1353" s="34" t="s">
        <v>128</v>
      </c>
      <c r="E1353" s="35" t="str">
        <f t="shared" ref="E1353:E1368" si="330">_xlfn.CONCAT(A1353,"'!")</f>
        <v>PND'!</v>
      </c>
      <c r="F1353" s="34" t="str">
        <f t="shared" ref="F1353:F1368" si="331">_xlfn.CONCAT(D1353:E1353)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53" s="32" t="s">
        <v>120</v>
      </c>
      <c r="H1353" s="33">
        <f t="shared" ref="H1353:H1368" si="332">IF(A1353&lt;&gt;A1352,12,H1352+1)</f>
        <v>33</v>
      </c>
      <c r="I1353" s="33" t="str">
        <f t="shared" ref="I1353:I1368" si="333">_xlfn.CONCAT("='",F1353:H1353)</f>
        <v>='C:\Users\jaime.benazar\Quorum Business Solutions\Ecopetrol Prometeo - Documents\Planning Space Implementation\3. Analysis &amp; Design\Design\FC22\DRR Jaime\Por presentar a ECP\Cantagallo\Cristalina\[CRISTALINA_CF_SEC_New_09-Feb-2024.xlsx]D-PND'!$CA$33</v>
      </c>
      <c r="J1353" s="37" t="s">
        <v>779</v>
      </c>
    </row>
    <row r="1354" spans="1:10" x14ac:dyDescent="0.35">
      <c r="A1354" s="32" t="s">
        <v>16</v>
      </c>
      <c r="B1354" s="32">
        <f t="shared" ref="B1354:B1368" si="334">+B1353+1</f>
        <v>2045</v>
      </c>
      <c r="C1354" s="33" t="s">
        <v>40</v>
      </c>
      <c r="D1354" s="34" t="s">
        <v>128</v>
      </c>
      <c r="E1354" s="35" t="str">
        <f t="shared" si="330"/>
        <v>PND'!</v>
      </c>
      <c r="F1354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54" s="32" t="s">
        <v>120</v>
      </c>
      <c r="H1354" s="33">
        <f t="shared" si="332"/>
        <v>34</v>
      </c>
      <c r="I1354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ECP\Cantagallo\Cristalina\[CRISTALINA_CF_SEC_New_09-Feb-2024.xlsx]D-PND'!$CA$34</v>
      </c>
      <c r="J1354" s="37" t="s">
        <v>780</v>
      </c>
    </row>
    <row r="1355" spans="1:10" x14ac:dyDescent="0.35">
      <c r="A1355" s="32" t="s">
        <v>16</v>
      </c>
      <c r="B1355" s="32">
        <f t="shared" si="334"/>
        <v>2046</v>
      </c>
      <c r="C1355" s="33" t="s">
        <v>40</v>
      </c>
      <c r="D1355" s="34" t="s">
        <v>128</v>
      </c>
      <c r="E1355" s="35" t="str">
        <f t="shared" si="330"/>
        <v>PND'!</v>
      </c>
      <c r="F1355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55" s="32" t="s">
        <v>120</v>
      </c>
      <c r="H1355" s="33">
        <f t="shared" si="332"/>
        <v>35</v>
      </c>
      <c r="I1355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ECP\Cantagallo\Cristalina\[CRISTALINA_CF_SEC_New_09-Feb-2024.xlsx]D-PND'!$CA$35</v>
      </c>
      <c r="J1355" s="37" t="s">
        <v>781</v>
      </c>
    </row>
    <row r="1356" spans="1:10" x14ac:dyDescent="0.35">
      <c r="A1356" s="32" t="s">
        <v>16</v>
      </c>
      <c r="B1356" s="32">
        <f t="shared" si="334"/>
        <v>2047</v>
      </c>
      <c r="C1356" s="33" t="s">
        <v>40</v>
      </c>
      <c r="D1356" s="34" t="s">
        <v>128</v>
      </c>
      <c r="E1356" s="35" t="str">
        <f t="shared" si="330"/>
        <v>PND'!</v>
      </c>
      <c r="F1356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56" s="32" t="s">
        <v>120</v>
      </c>
      <c r="H1356" s="33">
        <f t="shared" si="332"/>
        <v>36</v>
      </c>
      <c r="I1356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ECP\Cantagallo\Cristalina\[CRISTALINA_CF_SEC_New_09-Feb-2024.xlsx]D-PND'!$CA$36</v>
      </c>
      <c r="J1356" s="37" t="s">
        <v>782</v>
      </c>
    </row>
    <row r="1357" spans="1:10" x14ac:dyDescent="0.35">
      <c r="A1357" s="32" t="s">
        <v>16</v>
      </c>
      <c r="B1357" s="32">
        <f t="shared" si="334"/>
        <v>2048</v>
      </c>
      <c r="C1357" s="33" t="s">
        <v>40</v>
      </c>
      <c r="D1357" s="34" t="s">
        <v>128</v>
      </c>
      <c r="E1357" s="35" t="str">
        <f t="shared" si="330"/>
        <v>PND'!</v>
      </c>
      <c r="F1357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57" s="32" t="s">
        <v>120</v>
      </c>
      <c r="H1357" s="33">
        <f t="shared" si="332"/>
        <v>37</v>
      </c>
      <c r="I1357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ECP\Cantagallo\Cristalina\[CRISTALINA_CF_SEC_New_09-Feb-2024.xlsx]D-PND'!$CA$37</v>
      </c>
      <c r="J1357" s="37" t="s">
        <v>783</v>
      </c>
    </row>
    <row r="1358" spans="1:10" x14ac:dyDescent="0.35">
      <c r="A1358" s="32" t="s">
        <v>16</v>
      </c>
      <c r="B1358" s="32">
        <f t="shared" si="334"/>
        <v>2049</v>
      </c>
      <c r="C1358" s="33" t="s">
        <v>40</v>
      </c>
      <c r="D1358" s="34" t="s">
        <v>128</v>
      </c>
      <c r="E1358" s="35" t="str">
        <f t="shared" si="330"/>
        <v>PND'!</v>
      </c>
      <c r="F1358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58" s="32" t="s">
        <v>120</v>
      </c>
      <c r="H1358" s="33">
        <f t="shared" si="332"/>
        <v>38</v>
      </c>
      <c r="I1358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ECP\Cantagallo\Cristalina\[CRISTALINA_CF_SEC_New_09-Feb-2024.xlsx]D-PND'!$CA$38</v>
      </c>
      <c r="J1358" s="37" t="s">
        <v>784</v>
      </c>
    </row>
    <row r="1359" spans="1:10" x14ac:dyDescent="0.35">
      <c r="A1359" s="32" t="s">
        <v>16</v>
      </c>
      <c r="B1359" s="32">
        <f t="shared" si="334"/>
        <v>2050</v>
      </c>
      <c r="C1359" s="33" t="s">
        <v>40</v>
      </c>
      <c r="D1359" s="34" t="s">
        <v>128</v>
      </c>
      <c r="E1359" s="35" t="str">
        <f t="shared" si="330"/>
        <v>PND'!</v>
      </c>
      <c r="F1359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59" s="32" t="s">
        <v>120</v>
      </c>
      <c r="H1359" s="33">
        <f t="shared" si="332"/>
        <v>39</v>
      </c>
      <c r="I1359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ECP\Cantagallo\Cristalina\[CRISTALINA_CF_SEC_New_09-Feb-2024.xlsx]D-PND'!$CA$39</v>
      </c>
      <c r="J1359" s="37" t="s">
        <v>785</v>
      </c>
    </row>
    <row r="1360" spans="1:10" x14ac:dyDescent="0.35">
      <c r="A1360" s="32" t="s">
        <v>16</v>
      </c>
      <c r="B1360" s="32">
        <f t="shared" si="334"/>
        <v>2051</v>
      </c>
      <c r="C1360" s="33" t="s">
        <v>40</v>
      </c>
      <c r="D1360" s="34" t="s">
        <v>128</v>
      </c>
      <c r="E1360" s="35" t="str">
        <f t="shared" si="330"/>
        <v>PND'!</v>
      </c>
      <c r="F1360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60" s="32" t="s">
        <v>120</v>
      </c>
      <c r="H1360" s="33">
        <f t="shared" si="332"/>
        <v>40</v>
      </c>
      <c r="I1360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ECP\Cantagallo\Cristalina\[CRISTALINA_CF_SEC_New_09-Feb-2024.xlsx]D-PND'!$CA$40</v>
      </c>
      <c r="J1360" s="37" t="s">
        <v>786</v>
      </c>
    </row>
    <row r="1361" spans="1:10" x14ac:dyDescent="0.35">
      <c r="A1361" s="32" t="s">
        <v>16</v>
      </c>
      <c r="B1361" s="32">
        <f t="shared" si="334"/>
        <v>2052</v>
      </c>
      <c r="C1361" s="33" t="s">
        <v>40</v>
      </c>
      <c r="D1361" s="34" t="s">
        <v>128</v>
      </c>
      <c r="E1361" s="35" t="str">
        <f t="shared" si="330"/>
        <v>PND'!</v>
      </c>
      <c r="F1361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61" s="32" t="s">
        <v>120</v>
      </c>
      <c r="H1361" s="33">
        <f t="shared" si="332"/>
        <v>41</v>
      </c>
      <c r="I1361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ECP\Cantagallo\Cristalina\[CRISTALINA_CF_SEC_New_09-Feb-2024.xlsx]D-PND'!$CA$41</v>
      </c>
      <c r="J1361" s="37" t="s">
        <v>787</v>
      </c>
    </row>
    <row r="1362" spans="1:10" x14ac:dyDescent="0.35">
      <c r="A1362" s="32" t="s">
        <v>16</v>
      </c>
      <c r="B1362" s="32">
        <f t="shared" si="334"/>
        <v>2053</v>
      </c>
      <c r="C1362" s="33" t="s">
        <v>40</v>
      </c>
      <c r="D1362" s="34" t="s">
        <v>128</v>
      </c>
      <c r="E1362" s="35" t="str">
        <f t="shared" si="330"/>
        <v>PND'!</v>
      </c>
      <c r="F1362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62" s="32" t="s">
        <v>120</v>
      </c>
      <c r="H1362" s="33">
        <f t="shared" si="332"/>
        <v>42</v>
      </c>
      <c r="I1362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ECP\Cantagallo\Cristalina\[CRISTALINA_CF_SEC_New_09-Feb-2024.xlsx]D-PND'!$CA$42</v>
      </c>
      <c r="J1362" s="37" t="s">
        <v>788</v>
      </c>
    </row>
    <row r="1363" spans="1:10" x14ac:dyDescent="0.35">
      <c r="A1363" s="32" t="s">
        <v>16</v>
      </c>
      <c r="B1363" s="32">
        <f t="shared" si="334"/>
        <v>2054</v>
      </c>
      <c r="C1363" s="33" t="s">
        <v>40</v>
      </c>
      <c r="D1363" s="34" t="s">
        <v>128</v>
      </c>
      <c r="E1363" s="35" t="str">
        <f t="shared" si="330"/>
        <v>PND'!</v>
      </c>
      <c r="F1363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63" s="32" t="s">
        <v>120</v>
      </c>
      <c r="H1363" s="33">
        <f t="shared" si="332"/>
        <v>43</v>
      </c>
      <c r="I1363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ECP\Cantagallo\Cristalina\[CRISTALINA_CF_SEC_New_09-Feb-2024.xlsx]D-PND'!$CA$43</v>
      </c>
      <c r="J1363" s="37" t="s">
        <v>789</v>
      </c>
    </row>
    <row r="1364" spans="1:10" x14ac:dyDescent="0.35">
      <c r="A1364" s="32" t="s">
        <v>16</v>
      </c>
      <c r="B1364" s="32">
        <f t="shared" si="334"/>
        <v>2055</v>
      </c>
      <c r="C1364" s="33" t="s">
        <v>40</v>
      </c>
      <c r="D1364" s="34" t="s">
        <v>128</v>
      </c>
      <c r="E1364" s="35" t="str">
        <f t="shared" si="330"/>
        <v>PND'!</v>
      </c>
      <c r="F1364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64" s="32" t="s">
        <v>120</v>
      </c>
      <c r="H1364" s="33">
        <f t="shared" si="332"/>
        <v>44</v>
      </c>
      <c r="I1364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ECP\Cantagallo\Cristalina\[CRISTALINA_CF_SEC_New_09-Feb-2024.xlsx]D-PND'!$CA$44</v>
      </c>
      <c r="J1364" s="37" t="s">
        <v>790</v>
      </c>
    </row>
    <row r="1365" spans="1:10" x14ac:dyDescent="0.35">
      <c r="A1365" s="32" t="s">
        <v>16</v>
      </c>
      <c r="B1365" s="32">
        <f t="shared" si="334"/>
        <v>2056</v>
      </c>
      <c r="C1365" s="33" t="s">
        <v>40</v>
      </c>
      <c r="D1365" s="34" t="s">
        <v>128</v>
      </c>
      <c r="E1365" s="35" t="str">
        <f t="shared" si="330"/>
        <v>PND'!</v>
      </c>
      <c r="F1365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65" s="32" t="s">
        <v>120</v>
      </c>
      <c r="H1365" s="33">
        <f t="shared" si="332"/>
        <v>45</v>
      </c>
      <c r="I1365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ECP\Cantagallo\Cristalina\[CRISTALINA_CF_SEC_New_09-Feb-2024.xlsx]D-PND'!$CA$45</v>
      </c>
      <c r="J1365" s="37" t="s">
        <v>791</v>
      </c>
    </row>
    <row r="1366" spans="1:10" x14ac:dyDescent="0.35">
      <c r="A1366" s="32" t="s">
        <v>16</v>
      </c>
      <c r="B1366" s="32">
        <f t="shared" si="334"/>
        <v>2057</v>
      </c>
      <c r="C1366" s="33" t="s">
        <v>40</v>
      </c>
      <c r="D1366" s="34" t="s">
        <v>128</v>
      </c>
      <c r="E1366" s="35" t="str">
        <f t="shared" si="330"/>
        <v>PND'!</v>
      </c>
      <c r="F1366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66" s="32" t="s">
        <v>120</v>
      </c>
      <c r="H1366" s="33">
        <f t="shared" si="332"/>
        <v>46</v>
      </c>
      <c r="I1366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ECP\Cantagallo\Cristalina\[CRISTALINA_CF_SEC_New_09-Feb-2024.xlsx]D-PND'!$CA$46</v>
      </c>
      <c r="J1366" s="37" t="s">
        <v>792</v>
      </c>
    </row>
    <row r="1367" spans="1:10" x14ac:dyDescent="0.35">
      <c r="A1367" s="32" t="s">
        <v>16</v>
      </c>
      <c r="B1367" s="32">
        <f t="shared" si="334"/>
        <v>2058</v>
      </c>
      <c r="C1367" s="33" t="s">
        <v>40</v>
      </c>
      <c r="D1367" s="34" t="s">
        <v>128</v>
      </c>
      <c r="E1367" s="35" t="str">
        <f t="shared" si="330"/>
        <v>PND'!</v>
      </c>
      <c r="F1367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67" s="32" t="s">
        <v>120</v>
      </c>
      <c r="H1367" s="33">
        <f t="shared" si="332"/>
        <v>47</v>
      </c>
      <c r="I1367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ECP\Cantagallo\Cristalina\[CRISTALINA_CF_SEC_New_09-Feb-2024.xlsx]D-PND'!$CA$47</v>
      </c>
      <c r="J1367" s="37" t="s">
        <v>793</v>
      </c>
    </row>
    <row r="1368" spans="1:10" x14ac:dyDescent="0.35">
      <c r="A1368" s="32" t="s">
        <v>16</v>
      </c>
      <c r="B1368" s="32">
        <f t="shared" si="334"/>
        <v>2059</v>
      </c>
      <c r="C1368" s="33" t="s">
        <v>40</v>
      </c>
      <c r="D1368" s="34" t="s">
        <v>128</v>
      </c>
      <c r="E1368" s="35" t="str">
        <f t="shared" si="330"/>
        <v>PND'!</v>
      </c>
      <c r="F1368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68" s="32" t="s">
        <v>120</v>
      </c>
      <c r="H1368" s="33">
        <f t="shared" si="332"/>
        <v>48</v>
      </c>
      <c r="I1368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ECP\Cantagallo\Cristalina\[CRISTALINA_CF_SEC_New_09-Feb-2024.xlsx]D-PND'!$CA$48</v>
      </c>
      <c r="J1368" s="37" t="s">
        <v>794</v>
      </c>
    </row>
    <row r="1369" spans="1:10" x14ac:dyDescent="0.35">
      <c r="A1369" s="32" t="s">
        <v>26</v>
      </c>
      <c r="B1369" s="32"/>
      <c r="C1369" s="33" t="s">
        <v>40</v>
      </c>
      <c r="D1369" s="34"/>
      <c r="E1369" s="35"/>
      <c r="F1369" s="34"/>
      <c r="G1369" s="32"/>
      <c r="H1369" s="33"/>
      <c r="I1369" s="33"/>
      <c r="J1369" s="33"/>
    </row>
    <row r="1370" spans="1:10" x14ac:dyDescent="0.35">
      <c r="A1370" s="32" t="s">
        <v>17</v>
      </c>
      <c r="B1370" s="32">
        <v>2023</v>
      </c>
      <c r="C1370" s="33" t="s">
        <v>40</v>
      </c>
      <c r="D1370" s="34" t="s">
        <v>128</v>
      </c>
      <c r="E1370" s="35" t="str">
        <f t="shared" ref="E1370:E1390" si="335">_xlfn.CONCAT(A1370,"'!")</f>
        <v>PRBDP'!</v>
      </c>
      <c r="F1370" s="34" t="str">
        <f t="shared" ref="F1370:F1390" si="336">_xlfn.CONCAT(D1370:E1370)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70" s="32" t="s">
        <v>120</v>
      </c>
      <c r="H1370" s="33"/>
      <c r="I1370" s="33"/>
      <c r="J1370" s="37"/>
    </row>
    <row r="1371" spans="1:10" x14ac:dyDescent="0.35">
      <c r="A1371" s="32" t="s">
        <v>17</v>
      </c>
      <c r="B1371" s="32">
        <f>+B1370+1</f>
        <v>2024</v>
      </c>
      <c r="C1371" s="33" t="s">
        <v>40</v>
      </c>
      <c r="D1371" s="34" t="s">
        <v>128</v>
      </c>
      <c r="E1371" s="35" t="str">
        <f t="shared" si="335"/>
        <v>PRBDP'!</v>
      </c>
      <c r="F1371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71" s="32" t="s">
        <v>120</v>
      </c>
      <c r="H1371" s="33"/>
      <c r="I1371" s="33"/>
      <c r="J1371" s="37"/>
    </row>
    <row r="1372" spans="1:10" x14ac:dyDescent="0.35">
      <c r="A1372" s="32" t="s">
        <v>17</v>
      </c>
      <c r="B1372" s="32">
        <f t="shared" ref="B1372:B1383" si="337">+B1371+1</f>
        <v>2025</v>
      </c>
      <c r="C1372" s="33" t="s">
        <v>40</v>
      </c>
      <c r="D1372" s="34" t="s">
        <v>128</v>
      </c>
      <c r="E1372" s="35" t="str">
        <f t="shared" si="335"/>
        <v>PRBDP'!</v>
      </c>
      <c r="F1372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72" s="32" t="s">
        <v>120</v>
      </c>
      <c r="H1372" s="33"/>
      <c r="I1372" s="33"/>
      <c r="J1372" s="37"/>
    </row>
    <row r="1373" spans="1:10" x14ac:dyDescent="0.35">
      <c r="A1373" s="32" t="s">
        <v>17</v>
      </c>
      <c r="B1373" s="32">
        <f t="shared" si="337"/>
        <v>2026</v>
      </c>
      <c r="C1373" s="33" t="s">
        <v>40</v>
      </c>
      <c r="D1373" s="34" t="s">
        <v>128</v>
      </c>
      <c r="E1373" s="35" t="str">
        <f t="shared" si="335"/>
        <v>PRBDP'!</v>
      </c>
      <c r="F1373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73" s="32" t="s">
        <v>120</v>
      </c>
      <c r="H1373" s="33"/>
      <c r="I1373" s="33"/>
      <c r="J1373" s="37"/>
    </row>
    <row r="1374" spans="1:10" x14ac:dyDescent="0.35">
      <c r="A1374" s="32" t="s">
        <v>17</v>
      </c>
      <c r="B1374" s="32">
        <f t="shared" si="337"/>
        <v>2027</v>
      </c>
      <c r="C1374" s="33" t="s">
        <v>40</v>
      </c>
      <c r="D1374" s="34" t="s">
        <v>128</v>
      </c>
      <c r="E1374" s="35" t="str">
        <f t="shared" si="335"/>
        <v>PRBDP'!</v>
      </c>
      <c r="F1374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74" s="32" t="s">
        <v>120</v>
      </c>
      <c r="H1374" s="33"/>
      <c r="I1374" s="33"/>
      <c r="J1374" s="37"/>
    </row>
    <row r="1375" spans="1:10" x14ac:dyDescent="0.35">
      <c r="A1375" s="32" t="s">
        <v>17</v>
      </c>
      <c r="B1375" s="32">
        <f t="shared" si="337"/>
        <v>2028</v>
      </c>
      <c r="C1375" s="33" t="s">
        <v>40</v>
      </c>
      <c r="D1375" s="34" t="s">
        <v>128</v>
      </c>
      <c r="E1375" s="35" t="str">
        <f t="shared" si="335"/>
        <v>PRBDP'!</v>
      </c>
      <c r="F1375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75" s="32" t="s">
        <v>120</v>
      </c>
      <c r="H1375" s="33"/>
      <c r="I1375" s="33"/>
      <c r="J1375" s="37"/>
    </row>
    <row r="1376" spans="1:10" x14ac:dyDescent="0.35">
      <c r="A1376" s="32" t="s">
        <v>17</v>
      </c>
      <c r="B1376" s="32">
        <f t="shared" si="337"/>
        <v>2029</v>
      </c>
      <c r="C1376" s="33" t="s">
        <v>40</v>
      </c>
      <c r="D1376" s="34" t="s">
        <v>128</v>
      </c>
      <c r="E1376" s="35" t="str">
        <f t="shared" si="335"/>
        <v>PRBDP'!</v>
      </c>
      <c r="F1376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76" s="32" t="s">
        <v>120</v>
      </c>
      <c r="H1376" s="33"/>
      <c r="I1376" s="33"/>
      <c r="J1376" s="37"/>
    </row>
    <row r="1377" spans="1:10" x14ac:dyDescent="0.35">
      <c r="A1377" s="32" t="s">
        <v>17</v>
      </c>
      <c r="B1377" s="32">
        <f t="shared" si="337"/>
        <v>2030</v>
      </c>
      <c r="C1377" s="33" t="s">
        <v>40</v>
      </c>
      <c r="D1377" s="34" t="s">
        <v>128</v>
      </c>
      <c r="E1377" s="35" t="str">
        <f t="shared" si="335"/>
        <v>PRBDP'!</v>
      </c>
      <c r="F1377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77" s="32" t="s">
        <v>120</v>
      </c>
      <c r="H1377" s="33"/>
      <c r="I1377" s="33"/>
      <c r="J1377" s="37"/>
    </row>
    <row r="1378" spans="1:10" x14ac:dyDescent="0.35">
      <c r="A1378" s="32" t="s">
        <v>17</v>
      </c>
      <c r="B1378" s="32">
        <f t="shared" si="337"/>
        <v>2031</v>
      </c>
      <c r="C1378" s="33" t="s">
        <v>40</v>
      </c>
      <c r="D1378" s="34" t="s">
        <v>128</v>
      </c>
      <c r="E1378" s="35" t="str">
        <f t="shared" si="335"/>
        <v>PRBDP'!</v>
      </c>
      <c r="F1378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78" s="32" t="s">
        <v>120</v>
      </c>
      <c r="H1378" s="33"/>
      <c r="I1378" s="33"/>
      <c r="J1378" s="37"/>
    </row>
    <row r="1379" spans="1:10" x14ac:dyDescent="0.35">
      <c r="A1379" s="32" t="s">
        <v>17</v>
      </c>
      <c r="B1379" s="32">
        <f t="shared" si="337"/>
        <v>2032</v>
      </c>
      <c r="C1379" s="33" t="s">
        <v>40</v>
      </c>
      <c r="D1379" s="34" t="s">
        <v>128</v>
      </c>
      <c r="E1379" s="35" t="str">
        <f t="shared" si="335"/>
        <v>PRBDP'!</v>
      </c>
      <c r="F1379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79" s="32" t="s">
        <v>120</v>
      </c>
      <c r="H1379" s="33"/>
      <c r="I1379" s="33"/>
      <c r="J1379" s="37"/>
    </row>
    <row r="1380" spans="1:10" x14ac:dyDescent="0.35">
      <c r="A1380" s="32" t="s">
        <v>17</v>
      </c>
      <c r="B1380" s="32">
        <f t="shared" si="337"/>
        <v>2033</v>
      </c>
      <c r="C1380" s="33" t="s">
        <v>40</v>
      </c>
      <c r="D1380" s="34" t="s">
        <v>128</v>
      </c>
      <c r="E1380" s="35" t="str">
        <f t="shared" si="335"/>
        <v>PRBDP'!</v>
      </c>
      <c r="F1380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80" s="32" t="s">
        <v>120</v>
      </c>
      <c r="H1380" s="33"/>
      <c r="I1380" s="33"/>
      <c r="J1380" s="37"/>
    </row>
    <row r="1381" spans="1:10" x14ac:dyDescent="0.35">
      <c r="A1381" s="32" t="s">
        <v>17</v>
      </c>
      <c r="B1381" s="32">
        <f t="shared" si="337"/>
        <v>2034</v>
      </c>
      <c r="C1381" s="33" t="s">
        <v>40</v>
      </c>
      <c r="D1381" s="34" t="s">
        <v>128</v>
      </c>
      <c r="E1381" s="35" t="str">
        <f t="shared" si="335"/>
        <v>PRBDP'!</v>
      </c>
      <c r="F1381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81" s="32" t="s">
        <v>120</v>
      </c>
      <c r="H1381" s="33"/>
      <c r="I1381" s="33"/>
      <c r="J1381" s="37"/>
    </row>
    <row r="1382" spans="1:10" x14ac:dyDescent="0.35">
      <c r="A1382" s="32" t="s">
        <v>17</v>
      </c>
      <c r="B1382" s="32">
        <f t="shared" si="337"/>
        <v>2035</v>
      </c>
      <c r="C1382" s="33" t="s">
        <v>40</v>
      </c>
      <c r="D1382" s="34" t="s">
        <v>128</v>
      </c>
      <c r="E1382" s="35" t="str">
        <f t="shared" si="335"/>
        <v>PRBDP'!</v>
      </c>
      <c r="F1382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82" s="32" t="s">
        <v>120</v>
      </c>
      <c r="H1382" s="33"/>
      <c r="I1382" s="33"/>
      <c r="J1382" s="37"/>
    </row>
    <row r="1383" spans="1:10" x14ac:dyDescent="0.35">
      <c r="A1383" s="32" t="s">
        <v>17</v>
      </c>
      <c r="B1383" s="32">
        <f t="shared" si="337"/>
        <v>2036</v>
      </c>
      <c r="C1383" s="33" t="s">
        <v>40</v>
      </c>
      <c r="D1383" s="34" t="s">
        <v>128</v>
      </c>
      <c r="E1383" s="35" t="str">
        <f t="shared" si="335"/>
        <v>PRBDP'!</v>
      </c>
      <c r="F1383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83" s="32" t="s">
        <v>120</v>
      </c>
      <c r="H1383" s="33"/>
      <c r="I1383" s="33"/>
      <c r="J1383" s="37"/>
    </row>
    <row r="1384" spans="1:10" x14ac:dyDescent="0.35">
      <c r="A1384" s="32" t="s">
        <v>17</v>
      </c>
      <c r="B1384" s="32">
        <f>+B1383+1</f>
        <v>2037</v>
      </c>
      <c r="C1384" s="33" t="s">
        <v>40</v>
      </c>
      <c r="D1384" s="34" t="s">
        <v>128</v>
      </c>
      <c r="E1384" s="35" t="str">
        <f t="shared" si="335"/>
        <v>PRBDP'!</v>
      </c>
      <c r="F1384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84" s="32" t="s">
        <v>120</v>
      </c>
      <c r="H1384" s="33"/>
      <c r="I1384" s="33"/>
      <c r="J1384" s="37"/>
    </row>
    <row r="1385" spans="1:10" x14ac:dyDescent="0.35">
      <c r="A1385" s="32" t="s">
        <v>17</v>
      </c>
      <c r="B1385" s="32">
        <f t="shared" ref="B1385:B1387" si="338">+B1384+1</f>
        <v>2038</v>
      </c>
      <c r="C1385" s="33" t="s">
        <v>40</v>
      </c>
      <c r="D1385" s="34" t="s">
        <v>128</v>
      </c>
      <c r="E1385" s="35" t="str">
        <f t="shared" si="335"/>
        <v>PRBDP'!</v>
      </c>
      <c r="F1385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85" s="32" t="s">
        <v>120</v>
      </c>
      <c r="H1385" s="33"/>
      <c r="I1385" s="33"/>
      <c r="J1385" s="37"/>
    </row>
    <row r="1386" spans="1:10" x14ac:dyDescent="0.35">
      <c r="A1386" s="32" t="s">
        <v>17</v>
      </c>
      <c r="B1386" s="32">
        <f t="shared" si="338"/>
        <v>2039</v>
      </c>
      <c r="C1386" s="33" t="s">
        <v>40</v>
      </c>
      <c r="D1386" s="34" t="s">
        <v>128</v>
      </c>
      <c r="E1386" s="35" t="str">
        <f t="shared" si="335"/>
        <v>PRBDP'!</v>
      </c>
      <c r="F1386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86" s="32" t="s">
        <v>120</v>
      </c>
      <c r="H1386" s="33"/>
      <c r="I1386" s="33"/>
      <c r="J1386" s="37"/>
    </row>
    <row r="1387" spans="1:10" x14ac:dyDescent="0.35">
      <c r="A1387" s="32" t="s">
        <v>17</v>
      </c>
      <c r="B1387" s="32">
        <f t="shared" si="338"/>
        <v>2040</v>
      </c>
      <c r="C1387" s="33" t="s">
        <v>40</v>
      </c>
      <c r="D1387" s="34" t="s">
        <v>128</v>
      </c>
      <c r="E1387" s="35" t="str">
        <f t="shared" si="335"/>
        <v>PRBDP'!</v>
      </c>
      <c r="F1387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87" s="32" t="s">
        <v>120</v>
      </c>
      <c r="H1387" s="33"/>
      <c r="I1387" s="33"/>
      <c r="J1387" s="37"/>
    </row>
    <row r="1388" spans="1:10" x14ac:dyDescent="0.35">
      <c r="A1388" s="32" t="s">
        <v>17</v>
      </c>
      <c r="B1388" s="32">
        <f>+B1387+1</f>
        <v>2041</v>
      </c>
      <c r="C1388" s="33" t="s">
        <v>40</v>
      </c>
      <c r="D1388" s="34" t="s">
        <v>128</v>
      </c>
      <c r="E1388" s="35" t="str">
        <f t="shared" si="335"/>
        <v>PRBDP'!</v>
      </c>
      <c r="F1388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88" s="32" t="s">
        <v>120</v>
      </c>
      <c r="H1388" s="33"/>
      <c r="I1388" s="33"/>
      <c r="J1388" s="37"/>
    </row>
    <row r="1389" spans="1:10" x14ac:dyDescent="0.35">
      <c r="A1389" s="32" t="s">
        <v>17</v>
      </c>
      <c r="B1389" s="32">
        <f t="shared" ref="B1389:B1390" si="339">+B1388+1</f>
        <v>2042</v>
      </c>
      <c r="C1389" s="33" t="s">
        <v>40</v>
      </c>
      <c r="D1389" s="34" t="s">
        <v>128</v>
      </c>
      <c r="E1389" s="35" t="str">
        <f t="shared" si="335"/>
        <v>PRBDP'!</v>
      </c>
      <c r="F1389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89" s="32" t="s">
        <v>120</v>
      </c>
      <c r="H1389" s="33"/>
      <c r="I1389" s="33"/>
      <c r="J1389" s="37"/>
    </row>
    <row r="1390" spans="1:10" x14ac:dyDescent="0.35">
      <c r="A1390" s="32" t="s">
        <v>17</v>
      </c>
      <c r="B1390" s="32">
        <f t="shared" si="339"/>
        <v>2043</v>
      </c>
      <c r="C1390" s="33" t="s">
        <v>40</v>
      </c>
      <c r="D1390" s="34" t="s">
        <v>128</v>
      </c>
      <c r="E1390" s="35" t="str">
        <f t="shared" si="335"/>
        <v>PRBDP'!</v>
      </c>
      <c r="F1390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90" s="32" t="s">
        <v>120</v>
      </c>
      <c r="H1390" s="33"/>
      <c r="I1390" s="33"/>
      <c r="J1390" s="37"/>
    </row>
    <row r="1391" spans="1:10" x14ac:dyDescent="0.35">
      <c r="A1391" s="32" t="s">
        <v>17</v>
      </c>
      <c r="B1391" s="32">
        <f>+B1390+1</f>
        <v>2044</v>
      </c>
      <c r="C1391" s="33" t="s">
        <v>40</v>
      </c>
      <c r="D1391" s="34" t="s">
        <v>128</v>
      </c>
      <c r="E1391" s="35" t="str">
        <f t="shared" ref="E1391:E1406" si="340">_xlfn.CONCAT(A1391,"'!")</f>
        <v>PRBDP'!</v>
      </c>
      <c r="F1391" s="34" t="str">
        <f t="shared" ref="F1391:F1406" si="341">_xlfn.CONCAT(D1391:E1391)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91" s="32" t="s">
        <v>120</v>
      </c>
      <c r="H1391" s="33"/>
      <c r="I1391" s="33"/>
      <c r="J1391" s="37"/>
    </row>
    <row r="1392" spans="1:10" x14ac:dyDescent="0.35">
      <c r="A1392" s="32" t="s">
        <v>17</v>
      </c>
      <c r="B1392" s="32">
        <f t="shared" ref="B1392:B1406" si="342">+B1391+1</f>
        <v>2045</v>
      </c>
      <c r="C1392" s="33" t="s">
        <v>40</v>
      </c>
      <c r="D1392" s="34" t="s">
        <v>128</v>
      </c>
      <c r="E1392" s="35" t="str">
        <f t="shared" si="340"/>
        <v>PRBDP'!</v>
      </c>
      <c r="F1392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92" s="32" t="s">
        <v>120</v>
      </c>
      <c r="H1392" s="33"/>
      <c r="I1392" s="33"/>
      <c r="J1392" s="37"/>
    </row>
    <row r="1393" spans="1:10" x14ac:dyDescent="0.35">
      <c r="A1393" s="32" t="s">
        <v>17</v>
      </c>
      <c r="B1393" s="32">
        <f t="shared" si="342"/>
        <v>2046</v>
      </c>
      <c r="C1393" s="33" t="s">
        <v>40</v>
      </c>
      <c r="D1393" s="34" t="s">
        <v>128</v>
      </c>
      <c r="E1393" s="35" t="str">
        <f t="shared" si="340"/>
        <v>PRBDP'!</v>
      </c>
      <c r="F1393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93" s="32" t="s">
        <v>120</v>
      </c>
      <c r="H1393" s="33"/>
      <c r="I1393" s="33"/>
      <c r="J1393" s="37"/>
    </row>
    <row r="1394" spans="1:10" x14ac:dyDescent="0.35">
      <c r="A1394" s="32" t="s">
        <v>17</v>
      </c>
      <c r="B1394" s="32">
        <f t="shared" si="342"/>
        <v>2047</v>
      </c>
      <c r="C1394" s="33" t="s">
        <v>40</v>
      </c>
      <c r="D1394" s="34" t="s">
        <v>128</v>
      </c>
      <c r="E1394" s="35" t="str">
        <f t="shared" si="340"/>
        <v>PRBDP'!</v>
      </c>
      <c r="F1394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94" s="32" t="s">
        <v>120</v>
      </c>
      <c r="H1394" s="33"/>
      <c r="I1394" s="33"/>
      <c r="J1394" s="37"/>
    </row>
    <row r="1395" spans="1:10" x14ac:dyDescent="0.35">
      <c r="A1395" s="32" t="s">
        <v>17</v>
      </c>
      <c r="B1395" s="32">
        <f t="shared" si="342"/>
        <v>2048</v>
      </c>
      <c r="C1395" s="33" t="s">
        <v>40</v>
      </c>
      <c r="D1395" s="34" t="s">
        <v>128</v>
      </c>
      <c r="E1395" s="35" t="str">
        <f t="shared" si="340"/>
        <v>PRBDP'!</v>
      </c>
      <c r="F1395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95" s="32" t="s">
        <v>120</v>
      </c>
      <c r="H1395" s="33"/>
      <c r="I1395" s="33"/>
      <c r="J1395" s="37"/>
    </row>
    <row r="1396" spans="1:10" x14ac:dyDescent="0.35">
      <c r="A1396" s="32" t="s">
        <v>17</v>
      </c>
      <c r="B1396" s="32">
        <f t="shared" si="342"/>
        <v>2049</v>
      </c>
      <c r="C1396" s="33" t="s">
        <v>40</v>
      </c>
      <c r="D1396" s="34" t="s">
        <v>128</v>
      </c>
      <c r="E1396" s="35" t="str">
        <f t="shared" si="340"/>
        <v>PRBDP'!</v>
      </c>
      <c r="F1396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96" s="32" t="s">
        <v>120</v>
      </c>
      <c r="H1396" s="33"/>
      <c r="I1396" s="33"/>
      <c r="J1396" s="37"/>
    </row>
    <row r="1397" spans="1:10" x14ac:dyDescent="0.35">
      <c r="A1397" s="32" t="s">
        <v>17</v>
      </c>
      <c r="B1397" s="32">
        <f t="shared" si="342"/>
        <v>2050</v>
      </c>
      <c r="C1397" s="33" t="s">
        <v>40</v>
      </c>
      <c r="D1397" s="34" t="s">
        <v>128</v>
      </c>
      <c r="E1397" s="35" t="str">
        <f t="shared" si="340"/>
        <v>PRBDP'!</v>
      </c>
      <c r="F1397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97" s="32" t="s">
        <v>120</v>
      </c>
      <c r="H1397" s="33"/>
      <c r="I1397" s="33"/>
      <c r="J1397" s="37"/>
    </row>
    <row r="1398" spans="1:10" x14ac:dyDescent="0.35">
      <c r="A1398" s="32" t="s">
        <v>17</v>
      </c>
      <c r="B1398" s="32">
        <f t="shared" si="342"/>
        <v>2051</v>
      </c>
      <c r="C1398" s="33" t="s">
        <v>40</v>
      </c>
      <c r="D1398" s="34" t="s">
        <v>128</v>
      </c>
      <c r="E1398" s="35" t="str">
        <f t="shared" si="340"/>
        <v>PRBDP'!</v>
      </c>
      <c r="F1398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98" s="32" t="s">
        <v>120</v>
      </c>
      <c r="H1398" s="33"/>
      <c r="I1398" s="33"/>
      <c r="J1398" s="37"/>
    </row>
    <row r="1399" spans="1:10" x14ac:dyDescent="0.35">
      <c r="A1399" s="32" t="s">
        <v>17</v>
      </c>
      <c r="B1399" s="32">
        <f t="shared" si="342"/>
        <v>2052</v>
      </c>
      <c r="C1399" s="33" t="s">
        <v>40</v>
      </c>
      <c r="D1399" s="34" t="s">
        <v>128</v>
      </c>
      <c r="E1399" s="35" t="str">
        <f t="shared" si="340"/>
        <v>PRBDP'!</v>
      </c>
      <c r="F1399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99" s="32" t="s">
        <v>120</v>
      </c>
      <c r="H1399" s="33"/>
      <c r="I1399" s="33"/>
      <c r="J1399" s="37"/>
    </row>
    <row r="1400" spans="1:10" x14ac:dyDescent="0.35">
      <c r="A1400" s="32" t="s">
        <v>17</v>
      </c>
      <c r="B1400" s="32">
        <f t="shared" si="342"/>
        <v>2053</v>
      </c>
      <c r="C1400" s="33" t="s">
        <v>40</v>
      </c>
      <c r="D1400" s="34" t="s">
        <v>128</v>
      </c>
      <c r="E1400" s="35" t="str">
        <f t="shared" si="340"/>
        <v>PRBDP'!</v>
      </c>
      <c r="F1400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00" s="32" t="s">
        <v>120</v>
      </c>
      <c r="H1400" s="33"/>
      <c r="I1400" s="33"/>
      <c r="J1400" s="37"/>
    </row>
    <row r="1401" spans="1:10" x14ac:dyDescent="0.35">
      <c r="A1401" s="32" t="s">
        <v>17</v>
      </c>
      <c r="B1401" s="32">
        <f t="shared" si="342"/>
        <v>2054</v>
      </c>
      <c r="C1401" s="33" t="s">
        <v>40</v>
      </c>
      <c r="D1401" s="34" t="s">
        <v>128</v>
      </c>
      <c r="E1401" s="35" t="str">
        <f t="shared" si="340"/>
        <v>PRBDP'!</v>
      </c>
      <c r="F1401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01" s="32" t="s">
        <v>120</v>
      </c>
      <c r="H1401" s="33"/>
      <c r="I1401" s="33"/>
      <c r="J1401" s="37"/>
    </row>
    <row r="1402" spans="1:10" x14ac:dyDescent="0.35">
      <c r="A1402" s="32" t="s">
        <v>17</v>
      </c>
      <c r="B1402" s="32">
        <f t="shared" si="342"/>
        <v>2055</v>
      </c>
      <c r="C1402" s="33" t="s">
        <v>40</v>
      </c>
      <c r="D1402" s="34" t="s">
        <v>128</v>
      </c>
      <c r="E1402" s="35" t="str">
        <f t="shared" si="340"/>
        <v>PRBDP'!</v>
      </c>
      <c r="F1402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02" s="32" t="s">
        <v>120</v>
      </c>
      <c r="H1402" s="33"/>
      <c r="I1402" s="33"/>
      <c r="J1402" s="37"/>
    </row>
    <row r="1403" spans="1:10" x14ac:dyDescent="0.35">
      <c r="A1403" s="32" t="s">
        <v>17</v>
      </c>
      <c r="B1403" s="32">
        <f t="shared" si="342"/>
        <v>2056</v>
      </c>
      <c r="C1403" s="33" t="s">
        <v>40</v>
      </c>
      <c r="D1403" s="34" t="s">
        <v>128</v>
      </c>
      <c r="E1403" s="35" t="str">
        <f t="shared" si="340"/>
        <v>PRBDP'!</v>
      </c>
      <c r="F1403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03" s="32" t="s">
        <v>120</v>
      </c>
      <c r="H1403" s="33"/>
      <c r="I1403" s="33"/>
      <c r="J1403" s="37"/>
    </row>
    <row r="1404" spans="1:10" x14ac:dyDescent="0.35">
      <c r="A1404" s="32" t="s">
        <v>17</v>
      </c>
      <c r="B1404" s="32">
        <f t="shared" si="342"/>
        <v>2057</v>
      </c>
      <c r="C1404" s="33" t="s">
        <v>40</v>
      </c>
      <c r="D1404" s="34" t="s">
        <v>128</v>
      </c>
      <c r="E1404" s="35" t="str">
        <f t="shared" si="340"/>
        <v>PRBDP'!</v>
      </c>
      <c r="F1404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04" s="32" t="s">
        <v>120</v>
      </c>
      <c r="H1404" s="33"/>
      <c r="I1404" s="33"/>
      <c r="J1404" s="37"/>
    </row>
    <row r="1405" spans="1:10" x14ac:dyDescent="0.35">
      <c r="A1405" s="32" t="s">
        <v>17</v>
      </c>
      <c r="B1405" s="32">
        <f t="shared" si="342"/>
        <v>2058</v>
      </c>
      <c r="C1405" s="33" t="s">
        <v>40</v>
      </c>
      <c r="D1405" s="34" t="s">
        <v>128</v>
      </c>
      <c r="E1405" s="35" t="str">
        <f t="shared" si="340"/>
        <v>PRBDP'!</v>
      </c>
      <c r="F1405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05" s="32" t="s">
        <v>120</v>
      </c>
      <c r="H1405" s="33"/>
      <c r="I1405" s="33"/>
      <c r="J1405" s="37"/>
    </row>
    <row r="1406" spans="1:10" x14ac:dyDescent="0.35">
      <c r="A1406" s="32" t="s">
        <v>17</v>
      </c>
      <c r="B1406" s="32">
        <f t="shared" si="342"/>
        <v>2059</v>
      </c>
      <c r="C1406" s="33" t="s">
        <v>40</v>
      </c>
      <c r="D1406" s="34" t="s">
        <v>128</v>
      </c>
      <c r="E1406" s="35" t="str">
        <f t="shared" si="340"/>
        <v>PRBDP'!</v>
      </c>
      <c r="F1406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06" s="32" t="s">
        <v>120</v>
      </c>
      <c r="H1406" s="33"/>
      <c r="I1406" s="33"/>
      <c r="J1406" s="37"/>
    </row>
    <row r="1407" spans="1:10" x14ac:dyDescent="0.35">
      <c r="A1407" s="32" t="s">
        <v>26</v>
      </c>
      <c r="B1407" s="32"/>
      <c r="C1407" s="33" t="s">
        <v>40</v>
      </c>
      <c r="D1407" s="34"/>
      <c r="E1407" s="35"/>
      <c r="F1407" s="34"/>
      <c r="G1407" s="32"/>
      <c r="H1407" s="33"/>
      <c r="I1407" s="33"/>
      <c r="J1407" s="33"/>
    </row>
    <row r="1408" spans="1:10" x14ac:dyDescent="0.35">
      <c r="A1408" s="32" t="s">
        <v>18</v>
      </c>
      <c r="B1408" s="32">
        <v>2023</v>
      </c>
      <c r="C1408" s="33" t="s">
        <v>40</v>
      </c>
      <c r="D1408" s="34" t="s">
        <v>128</v>
      </c>
      <c r="E1408" s="35" t="str">
        <f t="shared" ref="E1408:E1428" si="343">_xlfn.CONCAT(A1408,"'!")</f>
        <v>PRBNP'!</v>
      </c>
      <c r="F1408" s="34" t="str">
        <f t="shared" ref="F1408:F1428" si="344">_xlfn.CONCAT(D1408:E1408)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08" s="32" t="s">
        <v>120</v>
      </c>
      <c r="H1408" s="33"/>
      <c r="I1408" s="33"/>
      <c r="J1408" s="37"/>
    </row>
    <row r="1409" spans="1:10" x14ac:dyDescent="0.35">
      <c r="A1409" s="32" t="s">
        <v>18</v>
      </c>
      <c r="B1409" s="32">
        <f>+B1408+1</f>
        <v>2024</v>
      </c>
      <c r="C1409" s="33" t="s">
        <v>40</v>
      </c>
      <c r="D1409" s="34" t="s">
        <v>128</v>
      </c>
      <c r="E1409" s="35" t="str">
        <f t="shared" si="343"/>
        <v>PRBNP'!</v>
      </c>
      <c r="F1409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09" s="32" t="s">
        <v>120</v>
      </c>
      <c r="H1409" s="33"/>
      <c r="I1409" s="33"/>
      <c r="J1409" s="37"/>
    </row>
    <row r="1410" spans="1:10" x14ac:dyDescent="0.35">
      <c r="A1410" s="32" t="s">
        <v>18</v>
      </c>
      <c r="B1410" s="32">
        <f t="shared" ref="B1410:B1421" si="345">+B1409+1</f>
        <v>2025</v>
      </c>
      <c r="C1410" s="33" t="s">
        <v>40</v>
      </c>
      <c r="D1410" s="34" t="s">
        <v>128</v>
      </c>
      <c r="E1410" s="35" t="str">
        <f t="shared" si="343"/>
        <v>PRBNP'!</v>
      </c>
      <c r="F1410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10" s="32" t="s">
        <v>120</v>
      </c>
      <c r="H1410" s="33"/>
      <c r="I1410" s="33"/>
      <c r="J1410" s="37"/>
    </row>
    <row r="1411" spans="1:10" x14ac:dyDescent="0.35">
      <c r="A1411" s="32" t="s">
        <v>18</v>
      </c>
      <c r="B1411" s="32">
        <f t="shared" si="345"/>
        <v>2026</v>
      </c>
      <c r="C1411" s="33" t="s">
        <v>40</v>
      </c>
      <c r="D1411" s="34" t="s">
        <v>128</v>
      </c>
      <c r="E1411" s="35" t="str">
        <f t="shared" si="343"/>
        <v>PRBNP'!</v>
      </c>
      <c r="F1411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11" s="32" t="s">
        <v>120</v>
      </c>
      <c r="H1411" s="33"/>
      <c r="I1411" s="33"/>
      <c r="J1411" s="37"/>
    </row>
    <row r="1412" spans="1:10" x14ac:dyDescent="0.35">
      <c r="A1412" s="32" t="s">
        <v>18</v>
      </c>
      <c r="B1412" s="32">
        <f t="shared" si="345"/>
        <v>2027</v>
      </c>
      <c r="C1412" s="33" t="s">
        <v>40</v>
      </c>
      <c r="D1412" s="34" t="s">
        <v>128</v>
      </c>
      <c r="E1412" s="35" t="str">
        <f t="shared" si="343"/>
        <v>PRBNP'!</v>
      </c>
      <c r="F1412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12" s="32" t="s">
        <v>120</v>
      </c>
      <c r="H1412" s="33"/>
      <c r="I1412" s="33"/>
      <c r="J1412" s="37"/>
    </row>
    <row r="1413" spans="1:10" x14ac:dyDescent="0.35">
      <c r="A1413" s="32" t="s">
        <v>18</v>
      </c>
      <c r="B1413" s="32">
        <f t="shared" si="345"/>
        <v>2028</v>
      </c>
      <c r="C1413" s="33" t="s">
        <v>40</v>
      </c>
      <c r="D1413" s="34" t="s">
        <v>128</v>
      </c>
      <c r="E1413" s="35" t="str">
        <f t="shared" si="343"/>
        <v>PRBNP'!</v>
      </c>
      <c r="F1413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13" s="32" t="s">
        <v>120</v>
      </c>
      <c r="H1413" s="33"/>
      <c r="I1413" s="33"/>
      <c r="J1413" s="37"/>
    </row>
    <row r="1414" spans="1:10" x14ac:dyDescent="0.35">
      <c r="A1414" s="32" t="s">
        <v>18</v>
      </c>
      <c r="B1414" s="32">
        <f t="shared" si="345"/>
        <v>2029</v>
      </c>
      <c r="C1414" s="33" t="s">
        <v>40</v>
      </c>
      <c r="D1414" s="34" t="s">
        <v>128</v>
      </c>
      <c r="E1414" s="35" t="str">
        <f t="shared" si="343"/>
        <v>PRBNP'!</v>
      </c>
      <c r="F1414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14" s="32" t="s">
        <v>120</v>
      </c>
      <c r="H1414" s="33"/>
      <c r="I1414" s="33"/>
      <c r="J1414" s="37"/>
    </row>
    <row r="1415" spans="1:10" x14ac:dyDescent="0.35">
      <c r="A1415" s="32" t="s">
        <v>18</v>
      </c>
      <c r="B1415" s="32">
        <f t="shared" si="345"/>
        <v>2030</v>
      </c>
      <c r="C1415" s="33" t="s">
        <v>40</v>
      </c>
      <c r="D1415" s="34" t="s">
        <v>128</v>
      </c>
      <c r="E1415" s="35" t="str">
        <f t="shared" si="343"/>
        <v>PRBNP'!</v>
      </c>
      <c r="F1415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15" s="32" t="s">
        <v>120</v>
      </c>
      <c r="H1415" s="33"/>
      <c r="I1415" s="33"/>
      <c r="J1415" s="37"/>
    </row>
    <row r="1416" spans="1:10" x14ac:dyDescent="0.35">
      <c r="A1416" s="32" t="s">
        <v>18</v>
      </c>
      <c r="B1416" s="32">
        <f t="shared" si="345"/>
        <v>2031</v>
      </c>
      <c r="C1416" s="33" t="s">
        <v>40</v>
      </c>
      <c r="D1416" s="34" t="s">
        <v>128</v>
      </c>
      <c r="E1416" s="35" t="str">
        <f t="shared" si="343"/>
        <v>PRBNP'!</v>
      </c>
      <c r="F1416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16" s="32" t="s">
        <v>120</v>
      </c>
      <c r="H1416" s="33"/>
      <c r="I1416" s="33"/>
      <c r="J1416" s="37"/>
    </row>
    <row r="1417" spans="1:10" x14ac:dyDescent="0.35">
      <c r="A1417" s="32" t="s">
        <v>18</v>
      </c>
      <c r="B1417" s="32">
        <f t="shared" si="345"/>
        <v>2032</v>
      </c>
      <c r="C1417" s="33" t="s">
        <v>40</v>
      </c>
      <c r="D1417" s="34" t="s">
        <v>128</v>
      </c>
      <c r="E1417" s="35" t="str">
        <f t="shared" si="343"/>
        <v>PRBNP'!</v>
      </c>
      <c r="F1417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17" s="32" t="s">
        <v>120</v>
      </c>
      <c r="H1417" s="33"/>
      <c r="I1417" s="33"/>
      <c r="J1417" s="37"/>
    </row>
    <row r="1418" spans="1:10" x14ac:dyDescent="0.35">
      <c r="A1418" s="32" t="s">
        <v>18</v>
      </c>
      <c r="B1418" s="32">
        <f t="shared" si="345"/>
        <v>2033</v>
      </c>
      <c r="C1418" s="33" t="s">
        <v>40</v>
      </c>
      <c r="D1418" s="34" t="s">
        <v>128</v>
      </c>
      <c r="E1418" s="35" t="str">
        <f t="shared" si="343"/>
        <v>PRBNP'!</v>
      </c>
      <c r="F1418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18" s="32" t="s">
        <v>120</v>
      </c>
      <c r="H1418" s="33"/>
      <c r="I1418" s="33"/>
      <c r="J1418" s="37"/>
    </row>
    <row r="1419" spans="1:10" x14ac:dyDescent="0.35">
      <c r="A1419" s="32" t="s">
        <v>18</v>
      </c>
      <c r="B1419" s="32">
        <f t="shared" si="345"/>
        <v>2034</v>
      </c>
      <c r="C1419" s="33" t="s">
        <v>40</v>
      </c>
      <c r="D1419" s="34" t="s">
        <v>128</v>
      </c>
      <c r="E1419" s="35" t="str">
        <f t="shared" si="343"/>
        <v>PRBNP'!</v>
      </c>
      <c r="F1419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19" s="32" t="s">
        <v>120</v>
      </c>
      <c r="H1419" s="33"/>
      <c r="I1419" s="33"/>
      <c r="J1419" s="37"/>
    </row>
    <row r="1420" spans="1:10" x14ac:dyDescent="0.35">
      <c r="A1420" s="32" t="s">
        <v>18</v>
      </c>
      <c r="B1420" s="32">
        <f t="shared" si="345"/>
        <v>2035</v>
      </c>
      <c r="C1420" s="33" t="s">
        <v>40</v>
      </c>
      <c r="D1420" s="34" t="s">
        <v>128</v>
      </c>
      <c r="E1420" s="35" t="str">
        <f t="shared" si="343"/>
        <v>PRBNP'!</v>
      </c>
      <c r="F1420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20" s="32" t="s">
        <v>120</v>
      </c>
      <c r="H1420" s="33"/>
      <c r="I1420" s="33"/>
      <c r="J1420" s="37"/>
    </row>
    <row r="1421" spans="1:10" x14ac:dyDescent="0.35">
      <c r="A1421" s="32" t="s">
        <v>18</v>
      </c>
      <c r="B1421" s="32">
        <f t="shared" si="345"/>
        <v>2036</v>
      </c>
      <c r="C1421" s="33" t="s">
        <v>40</v>
      </c>
      <c r="D1421" s="34" t="s">
        <v>128</v>
      </c>
      <c r="E1421" s="35" t="str">
        <f t="shared" si="343"/>
        <v>PRBNP'!</v>
      </c>
      <c r="F1421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21" s="32" t="s">
        <v>120</v>
      </c>
      <c r="H1421" s="33"/>
      <c r="I1421" s="33"/>
      <c r="J1421" s="37"/>
    </row>
    <row r="1422" spans="1:10" x14ac:dyDescent="0.35">
      <c r="A1422" s="32" t="s">
        <v>18</v>
      </c>
      <c r="B1422" s="32">
        <f>+B1421+1</f>
        <v>2037</v>
      </c>
      <c r="C1422" s="33" t="s">
        <v>40</v>
      </c>
      <c r="D1422" s="34" t="s">
        <v>128</v>
      </c>
      <c r="E1422" s="35" t="str">
        <f t="shared" si="343"/>
        <v>PRBNP'!</v>
      </c>
      <c r="F1422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22" s="32" t="s">
        <v>120</v>
      </c>
      <c r="H1422" s="33"/>
      <c r="I1422" s="33"/>
      <c r="J1422" s="37"/>
    </row>
    <row r="1423" spans="1:10" x14ac:dyDescent="0.35">
      <c r="A1423" s="32" t="s">
        <v>18</v>
      </c>
      <c r="B1423" s="32">
        <f t="shared" ref="B1423:B1425" si="346">+B1422+1</f>
        <v>2038</v>
      </c>
      <c r="C1423" s="33" t="s">
        <v>40</v>
      </c>
      <c r="D1423" s="34" t="s">
        <v>128</v>
      </c>
      <c r="E1423" s="35" t="str">
        <f t="shared" si="343"/>
        <v>PRBNP'!</v>
      </c>
      <c r="F1423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23" s="32" t="s">
        <v>120</v>
      </c>
      <c r="H1423" s="33"/>
      <c r="I1423" s="33"/>
      <c r="J1423" s="37"/>
    </row>
    <row r="1424" spans="1:10" x14ac:dyDescent="0.35">
      <c r="A1424" s="32" t="s">
        <v>18</v>
      </c>
      <c r="B1424" s="32">
        <f t="shared" si="346"/>
        <v>2039</v>
      </c>
      <c r="C1424" s="33" t="s">
        <v>40</v>
      </c>
      <c r="D1424" s="34" t="s">
        <v>128</v>
      </c>
      <c r="E1424" s="35" t="str">
        <f t="shared" si="343"/>
        <v>PRBNP'!</v>
      </c>
      <c r="F1424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24" s="32" t="s">
        <v>120</v>
      </c>
      <c r="H1424" s="33"/>
      <c r="I1424" s="33"/>
      <c r="J1424" s="37"/>
    </row>
    <row r="1425" spans="1:10" x14ac:dyDescent="0.35">
      <c r="A1425" s="32" t="s">
        <v>18</v>
      </c>
      <c r="B1425" s="32">
        <f t="shared" si="346"/>
        <v>2040</v>
      </c>
      <c r="C1425" s="33" t="s">
        <v>40</v>
      </c>
      <c r="D1425" s="34" t="s">
        <v>128</v>
      </c>
      <c r="E1425" s="35" t="str">
        <f t="shared" si="343"/>
        <v>PRBNP'!</v>
      </c>
      <c r="F1425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25" s="32" t="s">
        <v>120</v>
      </c>
      <c r="H1425" s="33"/>
      <c r="I1425" s="33"/>
      <c r="J1425" s="37"/>
    </row>
    <row r="1426" spans="1:10" x14ac:dyDescent="0.35">
      <c r="A1426" s="32" t="s">
        <v>18</v>
      </c>
      <c r="B1426" s="32">
        <f>+B1425+1</f>
        <v>2041</v>
      </c>
      <c r="C1426" s="33" t="s">
        <v>40</v>
      </c>
      <c r="D1426" s="34" t="s">
        <v>128</v>
      </c>
      <c r="E1426" s="35" t="str">
        <f t="shared" si="343"/>
        <v>PRBNP'!</v>
      </c>
      <c r="F1426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26" s="32" t="s">
        <v>120</v>
      </c>
      <c r="H1426" s="33"/>
      <c r="I1426" s="33"/>
      <c r="J1426" s="37"/>
    </row>
    <row r="1427" spans="1:10" x14ac:dyDescent="0.35">
      <c r="A1427" s="32" t="s">
        <v>18</v>
      </c>
      <c r="B1427" s="32">
        <f t="shared" ref="B1427:B1428" si="347">+B1426+1</f>
        <v>2042</v>
      </c>
      <c r="C1427" s="33" t="s">
        <v>40</v>
      </c>
      <c r="D1427" s="34" t="s">
        <v>128</v>
      </c>
      <c r="E1427" s="35" t="str">
        <f t="shared" si="343"/>
        <v>PRBNP'!</v>
      </c>
      <c r="F1427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27" s="32" t="s">
        <v>120</v>
      </c>
      <c r="H1427" s="33"/>
      <c r="I1427" s="33"/>
      <c r="J1427" s="37"/>
    </row>
    <row r="1428" spans="1:10" x14ac:dyDescent="0.35">
      <c r="A1428" s="32" t="s">
        <v>18</v>
      </c>
      <c r="B1428" s="32">
        <f t="shared" si="347"/>
        <v>2043</v>
      </c>
      <c r="C1428" s="33" t="s">
        <v>40</v>
      </c>
      <c r="D1428" s="34" t="s">
        <v>128</v>
      </c>
      <c r="E1428" s="35" t="str">
        <f t="shared" si="343"/>
        <v>PRBNP'!</v>
      </c>
      <c r="F1428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28" s="32" t="s">
        <v>120</v>
      </c>
      <c r="H1428" s="33"/>
      <c r="I1428" s="33"/>
      <c r="J1428" s="37"/>
    </row>
    <row r="1429" spans="1:10" x14ac:dyDescent="0.35">
      <c r="A1429" s="32" t="s">
        <v>18</v>
      </c>
      <c r="B1429" s="32">
        <f>+B1428+1</f>
        <v>2044</v>
      </c>
      <c r="C1429" s="33" t="s">
        <v>40</v>
      </c>
      <c r="D1429" s="34" t="s">
        <v>128</v>
      </c>
      <c r="E1429" s="35" t="str">
        <f t="shared" ref="E1429:E1444" si="348">_xlfn.CONCAT(A1429,"'!")</f>
        <v>PRBNP'!</v>
      </c>
      <c r="F1429" s="34" t="str">
        <f t="shared" ref="F1429:F1444" si="349">_xlfn.CONCAT(D1429:E1429)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29" s="32" t="s">
        <v>120</v>
      </c>
      <c r="H1429" s="33"/>
      <c r="I1429" s="33"/>
      <c r="J1429" s="37"/>
    </row>
    <row r="1430" spans="1:10" x14ac:dyDescent="0.35">
      <c r="A1430" s="32" t="s">
        <v>18</v>
      </c>
      <c r="B1430" s="32">
        <f t="shared" ref="B1430:B1444" si="350">+B1429+1</f>
        <v>2045</v>
      </c>
      <c r="C1430" s="33" t="s">
        <v>40</v>
      </c>
      <c r="D1430" s="34" t="s">
        <v>128</v>
      </c>
      <c r="E1430" s="35" t="str">
        <f t="shared" si="348"/>
        <v>PRBNP'!</v>
      </c>
      <c r="F1430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30" s="32" t="s">
        <v>120</v>
      </c>
      <c r="H1430" s="33"/>
      <c r="I1430" s="33"/>
      <c r="J1430" s="37"/>
    </row>
    <row r="1431" spans="1:10" x14ac:dyDescent="0.35">
      <c r="A1431" s="32" t="s">
        <v>18</v>
      </c>
      <c r="B1431" s="32">
        <f t="shared" si="350"/>
        <v>2046</v>
      </c>
      <c r="C1431" s="33" t="s">
        <v>40</v>
      </c>
      <c r="D1431" s="34" t="s">
        <v>128</v>
      </c>
      <c r="E1431" s="35" t="str">
        <f t="shared" si="348"/>
        <v>PRBNP'!</v>
      </c>
      <c r="F1431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31" s="32" t="s">
        <v>120</v>
      </c>
      <c r="H1431" s="33"/>
      <c r="I1431" s="33"/>
      <c r="J1431" s="37"/>
    </row>
    <row r="1432" spans="1:10" x14ac:dyDescent="0.35">
      <c r="A1432" s="32" t="s">
        <v>18</v>
      </c>
      <c r="B1432" s="32">
        <f t="shared" si="350"/>
        <v>2047</v>
      </c>
      <c r="C1432" s="33" t="s">
        <v>40</v>
      </c>
      <c r="D1432" s="34" t="s">
        <v>128</v>
      </c>
      <c r="E1432" s="35" t="str">
        <f t="shared" si="348"/>
        <v>PRBNP'!</v>
      </c>
      <c r="F1432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32" s="32" t="s">
        <v>120</v>
      </c>
      <c r="H1432" s="33"/>
      <c r="I1432" s="33"/>
      <c r="J1432" s="37"/>
    </row>
    <row r="1433" spans="1:10" x14ac:dyDescent="0.35">
      <c r="A1433" s="32" t="s">
        <v>18</v>
      </c>
      <c r="B1433" s="32">
        <f t="shared" si="350"/>
        <v>2048</v>
      </c>
      <c r="C1433" s="33" t="s">
        <v>40</v>
      </c>
      <c r="D1433" s="34" t="s">
        <v>128</v>
      </c>
      <c r="E1433" s="35" t="str">
        <f t="shared" si="348"/>
        <v>PRBNP'!</v>
      </c>
      <c r="F1433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33" s="32" t="s">
        <v>120</v>
      </c>
      <c r="H1433" s="33"/>
      <c r="I1433" s="33"/>
      <c r="J1433" s="37"/>
    </row>
    <row r="1434" spans="1:10" x14ac:dyDescent="0.35">
      <c r="A1434" s="32" t="s">
        <v>18</v>
      </c>
      <c r="B1434" s="32">
        <f t="shared" si="350"/>
        <v>2049</v>
      </c>
      <c r="C1434" s="33" t="s">
        <v>40</v>
      </c>
      <c r="D1434" s="34" t="s">
        <v>128</v>
      </c>
      <c r="E1434" s="35" t="str">
        <f t="shared" si="348"/>
        <v>PRBNP'!</v>
      </c>
      <c r="F1434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34" s="32" t="s">
        <v>120</v>
      </c>
      <c r="H1434" s="33"/>
      <c r="I1434" s="33"/>
      <c r="J1434" s="37"/>
    </row>
    <row r="1435" spans="1:10" x14ac:dyDescent="0.35">
      <c r="A1435" s="32" t="s">
        <v>18</v>
      </c>
      <c r="B1435" s="32">
        <f t="shared" si="350"/>
        <v>2050</v>
      </c>
      <c r="C1435" s="33" t="s">
        <v>40</v>
      </c>
      <c r="D1435" s="34" t="s">
        <v>128</v>
      </c>
      <c r="E1435" s="35" t="str">
        <f t="shared" si="348"/>
        <v>PRBNP'!</v>
      </c>
      <c r="F1435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35" s="32" t="s">
        <v>120</v>
      </c>
      <c r="H1435" s="33"/>
      <c r="I1435" s="33"/>
      <c r="J1435" s="37"/>
    </row>
    <row r="1436" spans="1:10" x14ac:dyDescent="0.35">
      <c r="A1436" s="32" t="s">
        <v>18</v>
      </c>
      <c r="B1436" s="32">
        <f t="shared" si="350"/>
        <v>2051</v>
      </c>
      <c r="C1436" s="33" t="s">
        <v>40</v>
      </c>
      <c r="D1436" s="34" t="s">
        <v>128</v>
      </c>
      <c r="E1436" s="35" t="str">
        <f t="shared" si="348"/>
        <v>PRBNP'!</v>
      </c>
      <c r="F1436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36" s="32" t="s">
        <v>120</v>
      </c>
      <c r="H1436" s="33"/>
      <c r="I1436" s="33"/>
      <c r="J1436" s="37"/>
    </row>
    <row r="1437" spans="1:10" x14ac:dyDescent="0.35">
      <c r="A1437" s="32" t="s">
        <v>18</v>
      </c>
      <c r="B1437" s="32">
        <f t="shared" si="350"/>
        <v>2052</v>
      </c>
      <c r="C1437" s="33" t="s">
        <v>40</v>
      </c>
      <c r="D1437" s="34" t="s">
        <v>128</v>
      </c>
      <c r="E1437" s="35" t="str">
        <f t="shared" si="348"/>
        <v>PRBNP'!</v>
      </c>
      <c r="F1437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37" s="32" t="s">
        <v>120</v>
      </c>
      <c r="H1437" s="33"/>
      <c r="I1437" s="33"/>
      <c r="J1437" s="37"/>
    </row>
    <row r="1438" spans="1:10" x14ac:dyDescent="0.35">
      <c r="A1438" s="32" t="s">
        <v>18</v>
      </c>
      <c r="B1438" s="32">
        <f t="shared" si="350"/>
        <v>2053</v>
      </c>
      <c r="C1438" s="33" t="s">
        <v>40</v>
      </c>
      <c r="D1438" s="34" t="s">
        <v>128</v>
      </c>
      <c r="E1438" s="35" t="str">
        <f t="shared" si="348"/>
        <v>PRBNP'!</v>
      </c>
      <c r="F1438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38" s="32" t="s">
        <v>120</v>
      </c>
      <c r="H1438" s="33"/>
      <c r="I1438" s="33"/>
      <c r="J1438" s="37"/>
    </row>
    <row r="1439" spans="1:10" x14ac:dyDescent="0.35">
      <c r="A1439" s="32" t="s">
        <v>18</v>
      </c>
      <c r="B1439" s="32">
        <f t="shared" si="350"/>
        <v>2054</v>
      </c>
      <c r="C1439" s="33" t="s">
        <v>40</v>
      </c>
      <c r="D1439" s="34" t="s">
        <v>128</v>
      </c>
      <c r="E1439" s="35" t="str">
        <f t="shared" si="348"/>
        <v>PRBNP'!</v>
      </c>
      <c r="F1439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39" s="32" t="s">
        <v>120</v>
      </c>
      <c r="H1439" s="33"/>
      <c r="I1439" s="33"/>
      <c r="J1439" s="37"/>
    </row>
    <row r="1440" spans="1:10" x14ac:dyDescent="0.35">
      <c r="A1440" s="32" t="s">
        <v>18</v>
      </c>
      <c r="B1440" s="32">
        <f t="shared" si="350"/>
        <v>2055</v>
      </c>
      <c r="C1440" s="33" t="s">
        <v>40</v>
      </c>
      <c r="D1440" s="34" t="s">
        <v>128</v>
      </c>
      <c r="E1440" s="35" t="str">
        <f t="shared" si="348"/>
        <v>PRBNP'!</v>
      </c>
      <c r="F1440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40" s="32" t="s">
        <v>120</v>
      </c>
      <c r="H1440" s="33"/>
      <c r="I1440" s="33"/>
      <c r="J1440" s="37"/>
    </row>
    <row r="1441" spans="1:10" x14ac:dyDescent="0.35">
      <c r="A1441" s="32" t="s">
        <v>18</v>
      </c>
      <c r="B1441" s="32">
        <f t="shared" si="350"/>
        <v>2056</v>
      </c>
      <c r="C1441" s="33" t="s">
        <v>40</v>
      </c>
      <c r="D1441" s="34" t="s">
        <v>128</v>
      </c>
      <c r="E1441" s="35" t="str">
        <f t="shared" si="348"/>
        <v>PRBNP'!</v>
      </c>
      <c r="F1441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41" s="32" t="s">
        <v>120</v>
      </c>
      <c r="H1441" s="33"/>
      <c r="I1441" s="33"/>
      <c r="J1441" s="37"/>
    </row>
    <row r="1442" spans="1:10" x14ac:dyDescent="0.35">
      <c r="A1442" s="32" t="s">
        <v>18</v>
      </c>
      <c r="B1442" s="32">
        <f t="shared" si="350"/>
        <v>2057</v>
      </c>
      <c r="C1442" s="33" t="s">
        <v>40</v>
      </c>
      <c r="D1442" s="34" t="s">
        <v>128</v>
      </c>
      <c r="E1442" s="35" t="str">
        <f t="shared" si="348"/>
        <v>PRBNP'!</v>
      </c>
      <c r="F1442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42" s="32" t="s">
        <v>120</v>
      </c>
      <c r="H1442" s="33"/>
      <c r="I1442" s="33"/>
      <c r="J1442" s="37"/>
    </row>
    <row r="1443" spans="1:10" x14ac:dyDescent="0.35">
      <c r="A1443" s="32" t="s">
        <v>18</v>
      </c>
      <c r="B1443" s="32">
        <f t="shared" si="350"/>
        <v>2058</v>
      </c>
      <c r="C1443" s="33" t="s">
        <v>40</v>
      </c>
      <c r="D1443" s="34" t="s">
        <v>128</v>
      </c>
      <c r="E1443" s="35" t="str">
        <f t="shared" si="348"/>
        <v>PRBNP'!</v>
      </c>
      <c r="F1443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43" s="32" t="s">
        <v>120</v>
      </c>
      <c r="H1443" s="33"/>
      <c r="I1443" s="33"/>
      <c r="J1443" s="37"/>
    </row>
    <row r="1444" spans="1:10" x14ac:dyDescent="0.35">
      <c r="A1444" s="32" t="s">
        <v>18</v>
      </c>
      <c r="B1444" s="32">
        <f t="shared" si="350"/>
        <v>2059</v>
      </c>
      <c r="C1444" s="33" t="s">
        <v>40</v>
      </c>
      <c r="D1444" s="34" t="s">
        <v>128</v>
      </c>
      <c r="E1444" s="35" t="str">
        <f t="shared" si="348"/>
        <v>PRBNP'!</v>
      </c>
      <c r="F1444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44" s="32" t="s">
        <v>120</v>
      </c>
      <c r="H1444" s="33"/>
      <c r="I1444" s="33"/>
      <c r="J1444" s="37"/>
    </row>
    <row r="1445" spans="1:10" x14ac:dyDescent="0.35">
      <c r="A1445" s="32" t="s">
        <v>26</v>
      </c>
      <c r="B1445" s="32"/>
      <c r="C1445" s="33" t="s">
        <v>40</v>
      </c>
      <c r="D1445" s="34"/>
      <c r="E1445" s="35"/>
      <c r="F1445" s="34"/>
      <c r="G1445" s="32"/>
      <c r="H1445" s="33"/>
      <c r="I1445" s="33"/>
      <c r="J1445" s="33"/>
    </row>
    <row r="1446" spans="1:10" x14ac:dyDescent="0.35">
      <c r="A1446" s="32" t="s">
        <v>19</v>
      </c>
      <c r="B1446" s="32">
        <v>2023</v>
      </c>
      <c r="C1446" s="33" t="s">
        <v>40</v>
      </c>
      <c r="D1446" s="34" t="s">
        <v>128</v>
      </c>
      <c r="E1446" s="35" t="str">
        <f t="shared" ref="E1446:E1466" si="351">_xlfn.CONCAT(A1446,"'!")</f>
        <v>PRBND'!</v>
      </c>
      <c r="F1446" s="34" t="str">
        <f t="shared" ref="F1446:F1466" si="352">_xlfn.CONCAT(D1446:E1446)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46" s="32" t="s">
        <v>120</v>
      </c>
      <c r="H1446" s="33"/>
      <c r="I1446" s="33"/>
      <c r="J1446" s="37"/>
    </row>
    <row r="1447" spans="1:10" x14ac:dyDescent="0.35">
      <c r="A1447" s="32" t="s">
        <v>19</v>
      </c>
      <c r="B1447" s="32">
        <f>+B1446+1</f>
        <v>2024</v>
      </c>
      <c r="C1447" s="33" t="s">
        <v>40</v>
      </c>
      <c r="D1447" s="34" t="s">
        <v>128</v>
      </c>
      <c r="E1447" s="35" t="str">
        <f t="shared" si="351"/>
        <v>PRBND'!</v>
      </c>
      <c r="F1447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47" s="32" t="s">
        <v>120</v>
      </c>
      <c r="H1447" s="33"/>
      <c r="I1447" s="33"/>
      <c r="J1447" s="37"/>
    </row>
    <row r="1448" spans="1:10" x14ac:dyDescent="0.35">
      <c r="A1448" s="32" t="s">
        <v>19</v>
      </c>
      <c r="B1448" s="32">
        <f t="shared" ref="B1448:B1459" si="353">+B1447+1</f>
        <v>2025</v>
      </c>
      <c r="C1448" s="33" t="s">
        <v>40</v>
      </c>
      <c r="D1448" s="34" t="s">
        <v>128</v>
      </c>
      <c r="E1448" s="35" t="str">
        <f t="shared" si="351"/>
        <v>PRBND'!</v>
      </c>
      <c r="F1448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48" s="32" t="s">
        <v>120</v>
      </c>
      <c r="H1448" s="33"/>
      <c r="I1448" s="33"/>
      <c r="J1448" s="37"/>
    </row>
    <row r="1449" spans="1:10" x14ac:dyDescent="0.35">
      <c r="A1449" s="32" t="s">
        <v>19</v>
      </c>
      <c r="B1449" s="32">
        <f t="shared" si="353"/>
        <v>2026</v>
      </c>
      <c r="C1449" s="33" t="s">
        <v>40</v>
      </c>
      <c r="D1449" s="34" t="s">
        <v>128</v>
      </c>
      <c r="E1449" s="35" t="str">
        <f t="shared" si="351"/>
        <v>PRBND'!</v>
      </c>
      <c r="F1449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49" s="32" t="s">
        <v>120</v>
      </c>
      <c r="H1449" s="33"/>
      <c r="I1449" s="33"/>
      <c r="J1449" s="37"/>
    </row>
    <row r="1450" spans="1:10" x14ac:dyDescent="0.35">
      <c r="A1450" s="32" t="s">
        <v>19</v>
      </c>
      <c r="B1450" s="32">
        <f t="shared" si="353"/>
        <v>2027</v>
      </c>
      <c r="C1450" s="33" t="s">
        <v>40</v>
      </c>
      <c r="D1450" s="34" t="s">
        <v>128</v>
      </c>
      <c r="E1450" s="35" t="str">
        <f t="shared" si="351"/>
        <v>PRBND'!</v>
      </c>
      <c r="F1450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50" s="32" t="s">
        <v>120</v>
      </c>
      <c r="H1450" s="33"/>
      <c r="I1450" s="33"/>
      <c r="J1450" s="37"/>
    </row>
    <row r="1451" spans="1:10" x14ac:dyDescent="0.35">
      <c r="A1451" s="32" t="s">
        <v>19</v>
      </c>
      <c r="B1451" s="32">
        <f t="shared" si="353"/>
        <v>2028</v>
      </c>
      <c r="C1451" s="33" t="s">
        <v>40</v>
      </c>
      <c r="D1451" s="34" t="s">
        <v>128</v>
      </c>
      <c r="E1451" s="35" t="str">
        <f t="shared" si="351"/>
        <v>PRBND'!</v>
      </c>
      <c r="F1451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51" s="32" t="s">
        <v>120</v>
      </c>
      <c r="H1451" s="33"/>
      <c r="I1451" s="33"/>
      <c r="J1451" s="37"/>
    </row>
    <row r="1452" spans="1:10" x14ac:dyDescent="0.35">
      <c r="A1452" s="32" t="s">
        <v>19</v>
      </c>
      <c r="B1452" s="32">
        <f t="shared" si="353"/>
        <v>2029</v>
      </c>
      <c r="C1452" s="33" t="s">
        <v>40</v>
      </c>
      <c r="D1452" s="34" t="s">
        <v>128</v>
      </c>
      <c r="E1452" s="35" t="str">
        <f t="shared" si="351"/>
        <v>PRBND'!</v>
      </c>
      <c r="F1452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52" s="32" t="s">
        <v>120</v>
      </c>
      <c r="H1452" s="33"/>
      <c r="I1452" s="33"/>
      <c r="J1452" s="37"/>
    </row>
    <row r="1453" spans="1:10" x14ac:dyDescent="0.35">
      <c r="A1453" s="32" t="s">
        <v>19</v>
      </c>
      <c r="B1453" s="32">
        <f t="shared" si="353"/>
        <v>2030</v>
      </c>
      <c r="C1453" s="33" t="s">
        <v>40</v>
      </c>
      <c r="D1453" s="34" t="s">
        <v>128</v>
      </c>
      <c r="E1453" s="35" t="str">
        <f t="shared" si="351"/>
        <v>PRBND'!</v>
      </c>
      <c r="F1453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53" s="32" t="s">
        <v>120</v>
      </c>
      <c r="H1453" s="33"/>
      <c r="I1453" s="33"/>
      <c r="J1453" s="37"/>
    </row>
    <row r="1454" spans="1:10" x14ac:dyDescent="0.35">
      <c r="A1454" s="32" t="s">
        <v>19</v>
      </c>
      <c r="B1454" s="32">
        <f t="shared" si="353"/>
        <v>2031</v>
      </c>
      <c r="C1454" s="33" t="s">
        <v>40</v>
      </c>
      <c r="D1454" s="34" t="s">
        <v>128</v>
      </c>
      <c r="E1454" s="35" t="str">
        <f t="shared" si="351"/>
        <v>PRBND'!</v>
      </c>
      <c r="F1454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54" s="32" t="s">
        <v>120</v>
      </c>
      <c r="H1454" s="33"/>
      <c r="I1454" s="33"/>
      <c r="J1454" s="37"/>
    </row>
    <row r="1455" spans="1:10" x14ac:dyDescent="0.35">
      <c r="A1455" s="32" t="s">
        <v>19</v>
      </c>
      <c r="B1455" s="32">
        <f t="shared" si="353"/>
        <v>2032</v>
      </c>
      <c r="C1455" s="33" t="s">
        <v>40</v>
      </c>
      <c r="D1455" s="34" t="s">
        <v>128</v>
      </c>
      <c r="E1455" s="35" t="str">
        <f t="shared" si="351"/>
        <v>PRBND'!</v>
      </c>
      <c r="F1455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55" s="32" t="s">
        <v>120</v>
      </c>
      <c r="H1455" s="33"/>
      <c r="I1455" s="33"/>
      <c r="J1455" s="37"/>
    </row>
    <row r="1456" spans="1:10" x14ac:dyDescent="0.35">
      <c r="A1456" s="32" t="s">
        <v>19</v>
      </c>
      <c r="B1456" s="32">
        <f t="shared" si="353"/>
        <v>2033</v>
      </c>
      <c r="C1456" s="33" t="s">
        <v>40</v>
      </c>
      <c r="D1456" s="34" t="s">
        <v>128</v>
      </c>
      <c r="E1456" s="35" t="str">
        <f t="shared" si="351"/>
        <v>PRBND'!</v>
      </c>
      <c r="F1456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56" s="32" t="s">
        <v>120</v>
      </c>
      <c r="H1456" s="33"/>
      <c r="I1456" s="33"/>
      <c r="J1456" s="37"/>
    </row>
    <row r="1457" spans="1:10" x14ac:dyDescent="0.35">
      <c r="A1457" s="32" t="s">
        <v>19</v>
      </c>
      <c r="B1457" s="32">
        <f t="shared" si="353"/>
        <v>2034</v>
      </c>
      <c r="C1457" s="33" t="s">
        <v>40</v>
      </c>
      <c r="D1457" s="34" t="s">
        <v>128</v>
      </c>
      <c r="E1457" s="35" t="str">
        <f t="shared" si="351"/>
        <v>PRBND'!</v>
      </c>
      <c r="F1457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57" s="32" t="s">
        <v>120</v>
      </c>
      <c r="H1457" s="33"/>
      <c r="I1457" s="33"/>
      <c r="J1457" s="37"/>
    </row>
    <row r="1458" spans="1:10" x14ac:dyDescent="0.35">
      <c r="A1458" s="32" t="s">
        <v>19</v>
      </c>
      <c r="B1458" s="32">
        <f t="shared" si="353"/>
        <v>2035</v>
      </c>
      <c r="C1458" s="33" t="s">
        <v>40</v>
      </c>
      <c r="D1458" s="34" t="s">
        <v>128</v>
      </c>
      <c r="E1458" s="35" t="str">
        <f t="shared" si="351"/>
        <v>PRBND'!</v>
      </c>
      <c r="F1458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58" s="32" t="s">
        <v>120</v>
      </c>
      <c r="H1458" s="33"/>
      <c r="I1458" s="33"/>
      <c r="J1458" s="37"/>
    </row>
    <row r="1459" spans="1:10" x14ac:dyDescent="0.35">
      <c r="A1459" s="32" t="s">
        <v>19</v>
      </c>
      <c r="B1459" s="32">
        <f t="shared" si="353"/>
        <v>2036</v>
      </c>
      <c r="C1459" s="33" t="s">
        <v>40</v>
      </c>
      <c r="D1459" s="34" t="s">
        <v>128</v>
      </c>
      <c r="E1459" s="35" t="str">
        <f t="shared" si="351"/>
        <v>PRBND'!</v>
      </c>
      <c r="F1459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59" s="32" t="s">
        <v>120</v>
      </c>
      <c r="H1459" s="33"/>
      <c r="I1459" s="33"/>
      <c r="J1459" s="37"/>
    </row>
    <row r="1460" spans="1:10" x14ac:dyDescent="0.35">
      <c r="A1460" s="32" t="s">
        <v>19</v>
      </c>
      <c r="B1460" s="32">
        <f>+B1459+1</f>
        <v>2037</v>
      </c>
      <c r="C1460" s="33" t="s">
        <v>40</v>
      </c>
      <c r="D1460" s="34" t="s">
        <v>128</v>
      </c>
      <c r="E1460" s="35" t="str">
        <f t="shared" si="351"/>
        <v>PRBND'!</v>
      </c>
      <c r="F1460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60" s="32" t="s">
        <v>120</v>
      </c>
      <c r="H1460" s="33"/>
      <c r="I1460" s="33"/>
      <c r="J1460" s="37"/>
    </row>
    <row r="1461" spans="1:10" x14ac:dyDescent="0.35">
      <c r="A1461" s="32" t="s">
        <v>19</v>
      </c>
      <c r="B1461" s="32">
        <f t="shared" ref="B1461:B1463" si="354">+B1460+1</f>
        <v>2038</v>
      </c>
      <c r="C1461" s="33" t="s">
        <v>40</v>
      </c>
      <c r="D1461" s="34" t="s">
        <v>128</v>
      </c>
      <c r="E1461" s="35" t="str">
        <f t="shared" si="351"/>
        <v>PRBND'!</v>
      </c>
      <c r="F1461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61" s="32" t="s">
        <v>120</v>
      </c>
      <c r="H1461" s="33"/>
      <c r="I1461" s="33"/>
      <c r="J1461" s="37"/>
    </row>
    <row r="1462" spans="1:10" x14ac:dyDescent="0.35">
      <c r="A1462" s="32" t="s">
        <v>19</v>
      </c>
      <c r="B1462" s="32">
        <f t="shared" si="354"/>
        <v>2039</v>
      </c>
      <c r="C1462" s="33" t="s">
        <v>40</v>
      </c>
      <c r="D1462" s="34" t="s">
        <v>128</v>
      </c>
      <c r="E1462" s="35" t="str">
        <f t="shared" si="351"/>
        <v>PRBND'!</v>
      </c>
      <c r="F1462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62" s="32" t="s">
        <v>120</v>
      </c>
      <c r="H1462" s="33"/>
      <c r="I1462" s="33"/>
      <c r="J1462" s="37"/>
    </row>
    <row r="1463" spans="1:10" x14ac:dyDescent="0.35">
      <c r="A1463" s="32" t="s">
        <v>19</v>
      </c>
      <c r="B1463" s="32">
        <f t="shared" si="354"/>
        <v>2040</v>
      </c>
      <c r="C1463" s="33" t="s">
        <v>40</v>
      </c>
      <c r="D1463" s="34" t="s">
        <v>128</v>
      </c>
      <c r="E1463" s="35" t="str">
        <f t="shared" si="351"/>
        <v>PRBND'!</v>
      </c>
      <c r="F1463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63" s="32" t="s">
        <v>120</v>
      </c>
      <c r="H1463" s="33"/>
      <c r="I1463" s="33"/>
      <c r="J1463" s="37"/>
    </row>
    <row r="1464" spans="1:10" x14ac:dyDescent="0.35">
      <c r="A1464" s="32" t="s">
        <v>19</v>
      </c>
      <c r="B1464" s="32">
        <f>+B1463+1</f>
        <v>2041</v>
      </c>
      <c r="C1464" s="33" t="s">
        <v>40</v>
      </c>
      <c r="D1464" s="34" t="s">
        <v>128</v>
      </c>
      <c r="E1464" s="35" t="str">
        <f t="shared" si="351"/>
        <v>PRBND'!</v>
      </c>
      <c r="F1464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64" s="32" t="s">
        <v>120</v>
      </c>
      <c r="H1464" s="33"/>
      <c r="I1464" s="33"/>
      <c r="J1464" s="37"/>
    </row>
    <row r="1465" spans="1:10" x14ac:dyDescent="0.35">
      <c r="A1465" s="32" t="s">
        <v>19</v>
      </c>
      <c r="B1465" s="32">
        <f t="shared" ref="B1465:B1466" si="355">+B1464+1</f>
        <v>2042</v>
      </c>
      <c r="C1465" s="33" t="s">
        <v>40</v>
      </c>
      <c r="D1465" s="34" t="s">
        <v>128</v>
      </c>
      <c r="E1465" s="35" t="str">
        <f t="shared" si="351"/>
        <v>PRBND'!</v>
      </c>
      <c r="F1465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65" s="32" t="s">
        <v>120</v>
      </c>
      <c r="H1465" s="33"/>
      <c r="I1465" s="33"/>
      <c r="J1465" s="37"/>
    </row>
    <row r="1466" spans="1:10" x14ac:dyDescent="0.35">
      <c r="A1466" s="32" t="s">
        <v>19</v>
      </c>
      <c r="B1466" s="32">
        <f t="shared" si="355"/>
        <v>2043</v>
      </c>
      <c r="C1466" s="33" t="s">
        <v>40</v>
      </c>
      <c r="D1466" s="34" t="s">
        <v>128</v>
      </c>
      <c r="E1466" s="35" t="str">
        <f t="shared" si="351"/>
        <v>PRBND'!</v>
      </c>
      <c r="F1466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66" s="32" t="s">
        <v>120</v>
      </c>
      <c r="H1466" s="33"/>
      <c r="I1466" s="33"/>
      <c r="J1466" s="37"/>
    </row>
    <row r="1467" spans="1:10" x14ac:dyDescent="0.35">
      <c r="A1467" s="32" t="s">
        <v>19</v>
      </c>
      <c r="B1467" s="32">
        <f>+B1466+1</f>
        <v>2044</v>
      </c>
      <c r="C1467" s="33" t="s">
        <v>40</v>
      </c>
      <c r="D1467" s="34" t="s">
        <v>128</v>
      </c>
      <c r="E1467" s="35" t="str">
        <f t="shared" ref="E1467:E1482" si="356">_xlfn.CONCAT(A1467,"'!")</f>
        <v>PRBND'!</v>
      </c>
      <c r="F1467" s="34" t="str">
        <f t="shared" ref="F1467:F1482" si="357">_xlfn.CONCAT(D1467:E1467)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67" s="32" t="s">
        <v>120</v>
      </c>
      <c r="H1467" s="33"/>
      <c r="I1467" s="33"/>
      <c r="J1467" s="37"/>
    </row>
    <row r="1468" spans="1:10" x14ac:dyDescent="0.35">
      <c r="A1468" s="32" t="s">
        <v>19</v>
      </c>
      <c r="B1468" s="32">
        <f t="shared" ref="B1468:B1482" si="358">+B1467+1</f>
        <v>2045</v>
      </c>
      <c r="C1468" s="33" t="s">
        <v>40</v>
      </c>
      <c r="D1468" s="34" t="s">
        <v>128</v>
      </c>
      <c r="E1468" s="35" t="str">
        <f t="shared" si="356"/>
        <v>PRBND'!</v>
      </c>
      <c r="F1468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68" s="32" t="s">
        <v>120</v>
      </c>
      <c r="H1468" s="33"/>
      <c r="I1468" s="33"/>
      <c r="J1468" s="37"/>
    </row>
    <row r="1469" spans="1:10" x14ac:dyDescent="0.35">
      <c r="A1469" s="32" t="s">
        <v>19</v>
      </c>
      <c r="B1469" s="32">
        <f t="shared" si="358"/>
        <v>2046</v>
      </c>
      <c r="C1469" s="33" t="s">
        <v>40</v>
      </c>
      <c r="D1469" s="34" t="s">
        <v>128</v>
      </c>
      <c r="E1469" s="35" t="str">
        <f t="shared" si="356"/>
        <v>PRBND'!</v>
      </c>
      <c r="F1469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69" s="32" t="s">
        <v>120</v>
      </c>
      <c r="H1469" s="33"/>
      <c r="I1469" s="33"/>
      <c r="J1469" s="37"/>
    </row>
    <row r="1470" spans="1:10" x14ac:dyDescent="0.35">
      <c r="A1470" s="32" t="s">
        <v>19</v>
      </c>
      <c r="B1470" s="32">
        <f t="shared" si="358"/>
        <v>2047</v>
      </c>
      <c r="C1470" s="33" t="s">
        <v>40</v>
      </c>
      <c r="D1470" s="34" t="s">
        <v>128</v>
      </c>
      <c r="E1470" s="35" t="str">
        <f t="shared" si="356"/>
        <v>PRBND'!</v>
      </c>
      <c r="F1470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70" s="32" t="s">
        <v>120</v>
      </c>
      <c r="H1470" s="33"/>
      <c r="I1470" s="33"/>
      <c r="J1470" s="37"/>
    </row>
    <row r="1471" spans="1:10" x14ac:dyDescent="0.35">
      <c r="A1471" s="32" t="s">
        <v>19</v>
      </c>
      <c r="B1471" s="32">
        <f t="shared" si="358"/>
        <v>2048</v>
      </c>
      <c r="C1471" s="33" t="s">
        <v>40</v>
      </c>
      <c r="D1471" s="34" t="s">
        <v>128</v>
      </c>
      <c r="E1471" s="35" t="str">
        <f t="shared" si="356"/>
        <v>PRBND'!</v>
      </c>
      <c r="F1471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71" s="32" t="s">
        <v>120</v>
      </c>
      <c r="H1471" s="33"/>
      <c r="I1471" s="33"/>
      <c r="J1471" s="37"/>
    </row>
    <row r="1472" spans="1:10" x14ac:dyDescent="0.35">
      <c r="A1472" s="32" t="s">
        <v>19</v>
      </c>
      <c r="B1472" s="32">
        <f t="shared" si="358"/>
        <v>2049</v>
      </c>
      <c r="C1472" s="33" t="s">
        <v>40</v>
      </c>
      <c r="D1472" s="34" t="s">
        <v>128</v>
      </c>
      <c r="E1472" s="35" t="str">
        <f t="shared" si="356"/>
        <v>PRBND'!</v>
      </c>
      <c r="F1472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72" s="32" t="s">
        <v>120</v>
      </c>
      <c r="H1472" s="33"/>
      <c r="I1472" s="33"/>
      <c r="J1472" s="37"/>
    </row>
    <row r="1473" spans="1:10" x14ac:dyDescent="0.35">
      <c r="A1473" s="32" t="s">
        <v>19</v>
      </c>
      <c r="B1473" s="32">
        <f t="shared" si="358"/>
        <v>2050</v>
      </c>
      <c r="C1473" s="33" t="s">
        <v>40</v>
      </c>
      <c r="D1473" s="34" t="s">
        <v>128</v>
      </c>
      <c r="E1473" s="35" t="str">
        <f t="shared" si="356"/>
        <v>PRBND'!</v>
      </c>
      <c r="F1473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73" s="32" t="s">
        <v>120</v>
      </c>
      <c r="H1473" s="33"/>
      <c r="I1473" s="33"/>
      <c r="J1473" s="37"/>
    </row>
    <row r="1474" spans="1:10" x14ac:dyDescent="0.35">
      <c r="A1474" s="32" t="s">
        <v>19</v>
      </c>
      <c r="B1474" s="32">
        <f t="shared" si="358"/>
        <v>2051</v>
      </c>
      <c r="C1474" s="33" t="s">
        <v>40</v>
      </c>
      <c r="D1474" s="34" t="s">
        <v>128</v>
      </c>
      <c r="E1474" s="35" t="str">
        <f t="shared" si="356"/>
        <v>PRBND'!</v>
      </c>
      <c r="F1474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74" s="32" t="s">
        <v>120</v>
      </c>
      <c r="H1474" s="33"/>
      <c r="I1474" s="33"/>
      <c r="J1474" s="37"/>
    </row>
    <row r="1475" spans="1:10" x14ac:dyDescent="0.35">
      <c r="A1475" s="32" t="s">
        <v>19</v>
      </c>
      <c r="B1475" s="32">
        <f t="shared" si="358"/>
        <v>2052</v>
      </c>
      <c r="C1475" s="33" t="s">
        <v>40</v>
      </c>
      <c r="D1475" s="34" t="s">
        <v>128</v>
      </c>
      <c r="E1475" s="35" t="str">
        <f t="shared" si="356"/>
        <v>PRBND'!</v>
      </c>
      <c r="F1475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75" s="32" t="s">
        <v>120</v>
      </c>
      <c r="H1475" s="33"/>
      <c r="I1475" s="33"/>
      <c r="J1475" s="37"/>
    </row>
    <row r="1476" spans="1:10" x14ac:dyDescent="0.35">
      <c r="A1476" s="32" t="s">
        <v>19</v>
      </c>
      <c r="B1476" s="32">
        <f t="shared" si="358"/>
        <v>2053</v>
      </c>
      <c r="C1476" s="33" t="s">
        <v>40</v>
      </c>
      <c r="D1476" s="34" t="s">
        <v>128</v>
      </c>
      <c r="E1476" s="35" t="str">
        <f t="shared" si="356"/>
        <v>PRBND'!</v>
      </c>
      <c r="F1476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76" s="32" t="s">
        <v>120</v>
      </c>
      <c r="H1476" s="33"/>
      <c r="I1476" s="33"/>
      <c r="J1476" s="37"/>
    </row>
    <row r="1477" spans="1:10" x14ac:dyDescent="0.35">
      <c r="A1477" s="32" t="s">
        <v>19</v>
      </c>
      <c r="B1477" s="32">
        <f t="shared" si="358"/>
        <v>2054</v>
      </c>
      <c r="C1477" s="33" t="s">
        <v>40</v>
      </c>
      <c r="D1477" s="34" t="s">
        <v>128</v>
      </c>
      <c r="E1477" s="35" t="str">
        <f t="shared" si="356"/>
        <v>PRBND'!</v>
      </c>
      <c r="F1477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77" s="32" t="s">
        <v>120</v>
      </c>
      <c r="H1477" s="33"/>
      <c r="I1477" s="33"/>
      <c r="J1477" s="37"/>
    </row>
    <row r="1478" spans="1:10" x14ac:dyDescent="0.35">
      <c r="A1478" s="32" t="s">
        <v>19</v>
      </c>
      <c r="B1478" s="32">
        <f t="shared" si="358"/>
        <v>2055</v>
      </c>
      <c r="C1478" s="33" t="s">
        <v>40</v>
      </c>
      <c r="D1478" s="34" t="s">
        <v>128</v>
      </c>
      <c r="E1478" s="35" t="str">
        <f t="shared" si="356"/>
        <v>PRBND'!</v>
      </c>
      <c r="F1478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78" s="32" t="s">
        <v>120</v>
      </c>
      <c r="H1478" s="33"/>
      <c r="I1478" s="33"/>
      <c r="J1478" s="37"/>
    </row>
    <row r="1479" spans="1:10" x14ac:dyDescent="0.35">
      <c r="A1479" s="32" t="s">
        <v>19</v>
      </c>
      <c r="B1479" s="32">
        <f t="shared" si="358"/>
        <v>2056</v>
      </c>
      <c r="C1479" s="33" t="s">
        <v>40</v>
      </c>
      <c r="D1479" s="34" t="s">
        <v>128</v>
      </c>
      <c r="E1479" s="35" t="str">
        <f t="shared" si="356"/>
        <v>PRBND'!</v>
      </c>
      <c r="F1479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79" s="32" t="s">
        <v>120</v>
      </c>
      <c r="H1479" s="33"/>
      <c r="I1479" s="33"/>
      <c r="J1479" s="37"/>
    </row>
    <row r="1480" spans="1:10" x14ac:dyDescent="0.35">
      <c r="A1480" s="32" t="s">
        <v>19</v>
      </c>
      <c r="B1480" s="32">
        <f t="shared" si="358"/>
        <v>2057</v>
      </c>
      <c r="C1480" s="33" t="s">
        <v>40</v>
      </c>
      <c r="D1480" s="34" t="s">
        <v>128</v>
      </c>
      <c r="E1480" s="35" t="str">
        <f t="shared" si="356"/>
        <v>PRBND'!</v>
      </c>
      <c r="F1480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80" s="32" t="s">
        <v>120</v>
      </c>
      <c r="H1480" s="33"/>
      <c r="I1480" s="33"/>
      <c r="J1480" s="37"/>
    </row>
    <row r="1481" spans="1:10" x14ac:dyDescent="0.35">
      <c r="A1481" s="32" t="s">
        <v>19</v>
      </c>
      <c r="B1481" s="32">
        <f t="shared" si="358"/>
        <v>2058</v>
      </c>
      <c r="C1481" s="33" t="s">
        <v>40</v>
      </c>
      <c r="D1481" s="34" t="s">
        <v>128</v>
      </c>
      <c r="E1481" s="35" t="str">
        <f t="shared" si="356"/>
        <v>PRBND'!</v>
      </c>
      <c r="F1481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81" s="32" t="s">
        <v>120</v>
      </c>
      <c r="H1481" s="33"/>
      <c r="I1481" s="33"/>
      <c r="J1481" s="37"/>
    </row>
    <row r="1482" spans="1:10" x14ac:dyDescent="0.35">
      <c r="A1482" s="32" t="s">
        <v>19</v>
      </c>
      <c r="B1482" s="32">
        <f t="shared" si="358"/>
        <v>2059</v>
      </c>
      <c r="C1482" s="33" t="s">
        <v>40</v>
      </c>
      <c r="D1482" s="34" t="s">
        <v>128</v>
      </c>
      <c r="E1482" s="35" t="str">
        <f t="shared" si="356"/>
        <v>PRBND'!</v>
      </c>
      <c r="F1482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82" s="32" t="s">
        <v>120</v>
      </c>
      <c r="H1482" s="33"/>
      <c r="I1482" s="33"/>
      <c r="J1482" s="37"/>
    </row>
    <row r="1483" spans="1:10" x14ac:dyDescent="0.35">
      <c r="A1483" s="32" t="s">
        <v>26</v>
      </c>
      <c r="B1483" s="32"/>
      <c r="C1483" s="33" t="s">
        <v>40</v>
      </c>
      <c r="D1483" s="34"/>
      <c r="E1483" s="35"/>
      <c r="F1483" s="34"/>
      <c r="G1483" s="32"/>
      <c r="H1483" s="33"/>
      <c r="I1483" s="33"/>
      <c r="J1483" s="33"/>
    </row>
    <row r="1484" spans="1:10" x14ac:dyDescent="0.35">
      <c r="A1484" s="32" t="s">
        <v>20</v>
      </c>
      <c r="B1484" s="32">
        <v>2023</v>
      </c>
      <c r="C1484" s="33" t="s">
        <v>40</v>
      </c>
      <c r="D1484" s="34" t="s">
        <v>128</v>
      </c>
      <c r="E1484" s="35" t="str">
        <f t="shared" si="327"/>
        <v>PRB'!</v>
      </c>
      <c r="F1484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84" s="32" t="s">
        <v>120</v>
      </c>
      <c r="H1484" s="33">
        <v>12</v>
      </c>
      <c r="I1484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ECP\Cantagallo\Cristalina\[CRISTALINA_CF_SEC_New_09-Feb-2024.xlsx]D-PRB'!$CA$12</v>
      </c>
      <c r="J1484" s="37" t="s">
        <v>795</v>
      </c>
    </row>
    <row r="1485" spans="1:10" x14ac:dyDescent="0.35">
      <c r="A1485" s="32" t="s">
        <v>20</v>
      </c>
      <c r="B1485" s="32">
        <f>+B1484+1</f>
        <v>2024</v>
      </c>
      <c r="C1485" s="33" t="s">
        <v>40</v>
      </c>
      <c r="D1485" s="34" t="s">
        <v>128</v>
      </c>
      <c r="E1485" s="35" t="str">
        <f t="shared" si="327"/>
        <v>PRB'!</v>
      </c>
      <c r="F1485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85" s="32" t="s">
        <v>120</v>
      </c>
      <c r="H1485" s="33">
        <f t="shared" ref="H1485:H1504" si="359">IF(A1485&lt;&gt;A1484,12,H1484+1)</f>
        <v>13</v>
      </c>
      <c r="I1485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ECP\Cantagallo\Cristalina\[CRISTALINA_CF_SEC_New_09-Feb-2024.xlsx]D-PRB'!$CA$13</v>
      </c>
      <c r="J1485" s="37" t="s">
        <v>796</v>
      </c>
    </row>
    <row r="1486" spans="1:10" x14ac:dyDescent="0.35">
      <c r="A1486" s="32" t="s">
        <v>20</v>
      </c>
      <c r="B1486" s="32">
        <f t="shared" ref="B1486:B1497" si="360">+B1485+1</f>
        <v>2025</v>
      </c>
      <c r="C1486" s="33" t="s">
        <v>40</v>
      </c>
      <c r="D1486" s="34" t="s">
        <v>128</v>
      </c>
      <c r="E1486" s="35" t="str">
        <f t="shared" si="327"/>
        <v>PRB'!</v>
      </c>
      <c r="F1486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86" s="32" t="s">
        <v>120</v>
      </c>
      <c r="H1486" s="33">
        <f t="shared" si="359"/>
        <v>14</v>
      </c>
      <c r="I1486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ECP\Cantagallo\Cristalina\[CRISTALINA_CF_SEC_New_09-Feb-2024.xlsx]D-PRB'!$CA$14</v>
      </c>
      <c r="J1486" s="37" t="s">
        <v>797</v>
      </c>
    </row>
    <row r="1487" spans="1:10" x14ac:dyDescent="0.35">
      <c r="A1487" s="32" t="s">
        <v>20</v>
      </c>
      <c r="B1487" s="32">
        <f t="shared" si="360"/>
        <v>2026</v>
      </c>
      <c r="C1487" s="33" t="s">
        <v>40</v>
      </c>
      <c r="D1487" s="34" t="s">
        <v>128</v>
      </c>
      <c r="E1487" s="35" t="str">
        <f t="shared" si="327"/>
        <v>PRB'!</v>
      </c>
      <c r="F1487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87" s="32" t="s">
        <v>120</v>
      </c>
      <c r="H1487" s="33">
        <f t="shared" si="359"/>
        <v>15</v>
      </c>
      <c r="I1487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ECP\Cantagallo\Cristalina\[CRISTALINA_CF_SEC_New_09-Feb-2024.xlsx]D-PRB'!$CA$15</v>
      </c>
      <c r="J1487" s="37" t="s">
        <v>798</v>
      </c>
    </row>
    <row r="1488" spans="1:10" x14ac:dyDescent="0.35">
      <c r="A1488" s="32" t="s">
        <v>20</v>
      </c>
      <c r="B1488" s="32">
        <f t="shared" si="360"/>
        <v>2027</v>
      </c>
      <c r="C1488" s="33" t="s">
        <v>40</v>
      </c>
      <c r="D1488" s="34" t="s">
        <v>128</v>
      </c>
      <c r="E1488" s="35" t="str">
        <f t="shared" si="327"/>
        <v>PRB'!</v>
      </c>
      <c r="F1488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88" s="32" t="s">
        <v>120</v>
      </c>
      <c r="H1488" s="33">
        <f t="shared" si="359"/>
        <v>16</v>
      </c>
      <c r="I1488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ECP\Cantagallo\Cristalina\[CRISTALINA_CF_SEC_New_09-Feb-2024.xlsx]D-PRB'!$CA$16</v>
      </c>
      <c r="J1488" s="37" t="s">
        <v>799</v>
      </c>
    </row>
    <row r="1489" spans="1:10" x14ac:dyDescent="0.35">
      <c r="A1489" s="32" t="s">
        <v>20</v>
      </c>
      <c r="B1489" s="32">
        <f t="shared" si="360"/>
        <v>2028</v>
      </c>
      <c r="C1489" s="33" t="s">
        <v>40</v>
      </c>
      <c r="D1489" s="34" t="s">
        <v>128</v>
      </c>
      <c r="E1489" s="35" t="str">
        <f t="shared" si="327"/>
        <v>PRB'!</v>
      </c>
      <c r="F1489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89" s="32" t="s">
        <v>120</v>
      </c>
      <c r="H1489" s="33">
        <f t="shared" si="359"/>
        <v>17</v>
      </c>
      <c r="I1489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ECP\Cantagallo\Cristalina\[CRISTALINA_CF_SEC_New_09-Feb-2024.xlsx]D-PRB'!$CA$17</v>
      </c>
      <c r="J1489" s="37" t="s">
        <v>800</v>
      </c>
    </row>
    <row r="1490" spans="1:10" x14ac:dyDescent="0.35">
      <c r="A1490" s="32" t="s">
        <v>20</v>
      </c>
      <c r="B1490" s="32">
        <f t="shared" si="360"/>
        <v>2029</v>
      </c>
      <c r="C1490" s="33" t="s">
        <v>40</v>
      </c>
      <c r="D1490" s="34" t="s">
        <v>128</v>
      </c>
      <c r="E1490" s="35" t="str">
        <f t="shared" si="327"/>
        <v>PRB'!</v>
      </c>
      <c r="F1490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90" s="32" t="s">
        <v>120</v>
      </c>
      <c r="H1490" s="33">
        <f t="shared" si="359"/>
        <v>18</v>
      </c>
      <c r="I1490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ECP\Cantagallo\Cristalina\[CRISTALINA_CF_SEC_New_09-Feb-2024.xlsx]D-PRB'!$CA$18</v>
      </c>
      <c r="J1490" s="37" t="s">
        <v>801</v>
      </c>
    </row>
    <row r="1491" spans="1:10" x14ac:dyDescent="0.35">
      <c r="A1491" s="32" t="s">
        <v>20</v>
      </c>
      <c r="B1491" s="32">
        <f t="shared" si="360"/>
        <v>2030</v>
      </c>
      <c r="C1491" s="33" t="s">
        <v>40</v>
      </c>
      <c r="D1491" s="34" t="s">
        <v>128</v>
      </c>
      <c r="E1491" s="35" t="str">
        <f t="shared" si="327"/>
        <v>PRB'!</v>
      </c>
      <c r="F1491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91" s="32" t="s">
        <v>120</v>
      </c>
      <c r="H1491" s="33">
        <f t="shared" si="359"/>
        <v>19</v>
      </c>
      <c r="I1491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ECP\Cantagallo\Cristalina\[CRISTALINA_CF_SEC_New_09-Feb-2024.xlsx]D-PRB'!$CA$19</v>
      </c>
      <c r="J1491" s="37" t="s">
        <v>802</v>
      </c>
    </row>
    <row r="1492" spans="1:10" x14ac:dyDescent="0.35">
      <c r="A1492" s="32" t="s">
        <v>20</v>
      </c>
      <c r="B1492" s="32">
        <f t="shared" si="360"/>
        <v>2031</v>
      </c>
      <c r="C1492" s="33" t="s">
        <v>40</v>
      </c>
      <c r="D1492" s="34" t="s">
        <v>128</v>
      </c>
      <c r="E1492" s="35" t="str">
        <f t="shared" si="327"/>
        <v>PRB'!</v>
      </c>
      <c r="F1492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92" s="32" t="s">
        <v>120</v>
      </c>
      <c r="H1492" s="33">
        <f t="shared" si="359"/>
        <v>20</v>
      </c>
      <c r="I1492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ECP\Cantagallo\Cristalina\[CRISTALINA_CF_SEC_New_09-Feb-2024.xlsx]D-PRB'!$CA$20</v>
      </c>
      <c r="J1492" s="37" t="s">
        <v>803</v>
      </c>
    </row>
    <row r="1493" spans="1:10" x14ac:dyDescent="0.35">
      <c r="A1493" s="32" t="s">
        <v>20</v>
      </c>
      <c r="B1493" s="32">
        <f t="shared" si="360"/>
        <v>2032</v>
      </c>
      <c r="C1493" s="33" t="s">
        <v>40</v>
      </c>
      <c r="D1493" s="34" t="s">
        <v>128</v>
      </c>
      <c r="E1493" s="35" t="str">
        <f t="shared" si="327"/>
        <v>PRB'!</v>
      </c>
      <c r="F1493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93" s="32" t="s">
        <v>120</v>
      </c>
      <c r="H1493" s="33">
        <f t="shared" si="359"/>
        <v>21</v>
      </c>
      <c r="I1493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ECP\Cantagallo\Cristalina\[CRISTALINA_CF_SEC_New_09-Feb-2024.xlsx]D-PRB'!$CA$21</v>
      </c>
      <c r="J1493" s="37" t="s">
        <v>804</v>
      </c>
    </row>
    <row r="1494" spans="1:10" x14ac:dyDescent="0.35">
      <c r="A1494" s="32" t="s">
        <v>20</v>
      </c>
      <c r="B1494" s="32">
        <f t="shared" si="360"/>
        <v>2033</v>
      </c>
      <c r="C1494" s="33" t="s">
        <v>40</v>
      </c>
      <c r="D1494" s="34" t="s">
        <v>128</v>
      </c>
      <c r="E1494" s="35" t="str">
        <f t="shared" si="327"/>
        <v>PRB'!</v>
      </c>
      <c r="F1494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94" s="32" t="s">
        <v>120</v>
      </c>
      <c r="H1494" s="33">
        <f t="shared" si="359"/>
        <v>22</v>
      </c>
      <c r="I1494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ECP\Cantagallo\Cristalina\[CRISTALINA_CF_SEC_New_09-Feb-2024.xlsx]D-PRB'!$CA$22</v>
      </c>
      <c r="J1494" s="37" t="s">
        <v>805</v>
      </c>
    </row>
    <row r="1495" spans="1:10" x14ac:dyDescent="0.35">
      <c r="A1495" s="32" t="s">
        <v>20</v>
      </c>
      <c r="B1495" s="32">
        <f t="shared" si="360"/>
        <v>2034</v>
      </c>
      <c r="C1495" s="33" t="s">
        <v>40</v>
      </c>
      <c r="D1495" s="34" t="s">
        <v>128</v>
      </c>
      <c r="E1495" s="35" t="str">
        <f t="shared" si="327"/>
        <v>PRB'!</v>
      </c>
      <c r="F1495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95" s="32" t="s">
        <v>120</v>
      </c>
      <c r="H1495" s="33">
        <f t="shared" si="359"/>
        <v>23</v>
      </c>
      <c r="I1495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ECP\Cantagallo\Cristalina\[CRISTALINA_CF_SEC_New_09-Feb-2024.xlsx]D-PRB'!$CA$23</v>
      </c>
      <c r="J1495" s="37" t="s">
        <v>806</v>
      </c>
    </row>
    <row r="1496" spans="1:10" x14ac:dyDescent="0.35">
      <c r="A1496" s="32" t="s">
        <v>20</v>
      </c>
      <c r="B1496" s="32">
        <f t="shared" si="360"/>
        <v>2035</v>
      </c>
      <c r="C1496" s="33" t="s">
        <v>40</v>
      </c>
      <c r="D1496" s="34" t="s">
        <v>128</v>
      </c>
      <c r="E1496" s="35" t="str">
        <f t="shared" si="327"/>
        <v>PRB'!</v>
      </c>
      <c r="F1496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96" s="32" t="s">
        <v>120</v>
      </c>
      <c r="H1496" s="33">
        <f t="shared" si="359"/>
        <v>24</v>
      </c>
      <c r="I1496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ECP\Cantagallo\Cristalina\[CRISTALINA_CF_SEC_New_09-Feb-2024.xlsx]D-PRB'!$CA$24</v>
      </c>
      <c r="J1496" s="37" t="s">
        <v>807</v>
      </c>
    </row>
    <row r="1497" spans="1:10" x14ac:dyDescent="0.35">
      <c r="A1497" s="32" t="s">
        <v>20</v>
      </c>
      <c r="B1497" s="32">
        <f t="shared" si="360"/>
        <v>2036</v>
      </c>
      <c r="C1497" s="33" t="s">
        <v>40</v>
      </c>
      <c r="D1497" s="34" t="s">
        <v>128</v>
      </c>
      <c r="E1497" s="35" t="str">
        <f t="shared" si="327"/>
        <v>PRB'!</v>
      </c>
      <c r="F1497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97" s="32" t="s">
        <v>120</v>
      </c>
      <c r="H1497" s="33">
        <f t="shared" si="359"/>
        <v>25</v>
      </c>
      <c r="I1497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ECP\Cantagallo\Cristalina\[CRISTALINA_CF_SEC_New_09-Feb-2024.xlsx]D-PRB'!$CA$25</v>
      </c>
      <c r="J1497" s="37" t="s">
        <v>808</v>
      </c>
    </row>
    <row r="1498" spans="1:10" x14ac:dyDescent="0.35">
      <c r="A1498" s="32" t="s">
        <v>20</v>
      </c>
      <c r="B1498" s="32">
        <f>+B1497+1</f>
        <v>2037</v>
      </c>
      <c r="C1498" s="33" t="s">
        <v>40</v>
      </c>
      <c r="D1498" s="34" t="s">
        <v>128</v>
      </c>
      <c r="E1498" s="35" t="str">
        <f t="shared" si="327"/>
        <v>PRB'!</v>
      </c>
      <c r="F1498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98" s="32" t="s">
        <v>120</v>
      </c>
      <c r="H1498" s="33">
        <f t="shared" si="359"/>
        <v>26</v>
      </c>
      <c r="I1498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ECP\Cantagallo\Cristalina\[CRISTALINA_CF_SEC_New_09-Feb-2024.xlsx]D-PRB'!$CA$26</v>
      </c>
      <c r="J1498" s="37" t="s">
        <v>809</v>
      </c>
    </row>
    <row r="1499" spans="1:10" x14ac:dyDescent="0.35">
      <c r="A1499" s="32" t="s">
        <v>20</v>
      </c>
      <c r="B1499" s="32">
        <f t="shared" ref="B1499:B1501" si="361">+B1498+1</f>
        <v>2038</v>
      </c>
      <c r="C1499" s="33" t="s">
        <v>40</v>
      </c>
      <c r="D1499" s="34" t="s">
        <v>128</v>
      </c>
      <c r="E1499" s="35" t="str">
        <f t="shared" si="327"/>
        <v>PRB'!</v>
      </c>
      <c r="F1499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99" s="32" t="s">
        <v>120</v>
      </c>
      <c r="H1499" s="33">
        <f t="shared" si="359"/>
        <v>27</v>
      </c>
      <c r="I1499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ECP\Cantagallo\Cristalina\[CRISTALINA_CF_SEC_New_09-Feb-2024.xlsx]D-PRB'!$CA$27</v>
      </c>
      <c r="J1499" s="37" t="s">
        <v>810</v>
      </c>
    </row>
    <row r="1500" spans="1:10" x14ac:dyDescent="0.35">
      <c r="A1500" s="32" t="s">
        <v>20</v>
      </c>
      <c r="B1500" s="32">
        <f t="shared" si="361"/>
        <v>2039</v>
      </c>
      <c r="C1500" s="33" t="s">
        <v>40</v>
      </c>
      <c r="D1500" s="34" t="s">
        <v>128</v>
      </c>
      <c r="E1500" s="35" t="str">
        <f t="shared" si="327"/>
        <v>PRB'!</v>
      </c>
      <c r="F1500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00" s="32" t="s">
        <v>120</v>
      </c>
      <c r="H1500" s="33">
        <f t="shared" si="359"/>
        <v>28</v>
      </c>
      <c r="I1500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ECP\Cantagallo\Cristalina\[CRISTALINA_CF_SEC_New_09-Feb-2024.xlsx]D-PRB'!$CA$28</v>
      </c>
      <c r="J1500" s="37" t="s">
        <v>811</v>
      </c>
    </row>
    <row r="1501" spans="1:10" x14ac:dyDescent="0.35">
      <c r="A1501" s="32" t="s">
        <v>20</v>
      </c>
      <c r="B1501" s="32">
        <f t="shared" si="361"/>
        <v>2040</v>
      </c>
      <c r="C1501" s="33" t="s">
        <v>40</v>
      </c>
      <c r="D1501" s="34" t="s">
        <v>128</v>
      </c>
      <c r="E1501" s="35" t="str">
        <f t="shared" si="327"/>
        <v>PRB'!</v>
      </c>
      <c r="F1501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01" s="32" t="s">
        <v>120</v>
      </c>
      <c r="H1501" s="33">
        <f t="shared" si="359"/>
        <v>29</v>
      </c>
      <c r="I1501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ECP\Cantagallo\Cristalina\[CRISTALINA_CF_SEC_New_09-Feb-2024.xlsx]D-PRB'!$CA$29</v>
      </c>
      <c r="J1501" s="37" t="s">
        <v>812</v>
      </c>
    </row>
    <row r="1502" spans="1:10" x14ac:dyDescent="0.35">
      <c r="A1502" s="32" t="s">
        <v>20</v>
      </c>
      <c r="B1502" s="32">
        <f>+B1501+1</f>
        <v>2041</v>
      </c>
      <c r="C1502" s="33" t="s">
        <v>40</v>
      </c>
      <c r="D1502" s="34" t="s">
        <v>128</v>
      </c>
      <c r="E1502" s="35" t="str">
        <f t="shared" si="327"/>
        <v>PRB'!</v>
      </c>
      <c r="F1502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02" s="32" t="s">
        <v>120</v>
      </c>
      <c r="H1502" s="33">
        <f t="shared" si="359"/>
        <v>30</v>
      </c>
      <c r="I1502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ECP\Cantagallo\Cristalina\[CRISTALINA_CF_SEC_New_09-Feb-2024.xlsx]D-PRB'!$CA$30</v>
      </c>
      <c r="J1502" s="37" t="s">
        <v>813</v>
      </c>
    </row>
    <row r="1503" spans="1:10" x14ac:dyDescent="0.35">
      <c r="A1503" s="32" t="s">
        <v>20</v>
      </c>
      <c r="B1503" s="32">
        <f t="shared" ref="B1503:B1504" si="362">+B1502+1</f>
        <v>2042</v>
      </c>
      <c r="C1503" s="33" t="s">
        <v>40</v>
      </c>
      <c r="D1503" s="34" t="s">
        <v>128</v>
      </c>
      <c r="E1503" s="35" t="str">
        <f t="shared" si="327"/>
        <v>PRB'!</v>
      </c>
      <c r="F1503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03" s="32" t="s">
        <v>120</v>
      </c>
      <c r="H1503" s="33">
        <f t="shared" si="359"/>
        <v>31</v>
      </c>
      <c r="I1503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ECP\Cantagallo\Cristalina\[CRISTALINA_CF_SEC_New_09-Feb-2024.xlsx]D-PRB'!$CA$31</v>
      </c>
      <c r="J1503" s="37" t="s">
        <v>814</v>
      </c>
    </row>
    <row r="1504" spans="1:10" x14ac:dyDescent="0.35">
      <c r="A1504" s="32" t="s">
        <v>20</v>
      </c>
      <c r="B1504" s="32">
        <f t="shared" si="362"/>
        <v>2043</v>
      </c>
      <c r="C1504" s="33" t="s">
        <v>40</v>
      </c>
      <c r="D1504" s="34" t="s">
        <v>128</v>
      </c>
      <c r="E1504" s="35" t="str">
        <f t="shared" si="327"/>
        <v>PRB'!</v>
      </c>
      <c r="F1504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04" s="32" t="s">
        <v>120</v>
      </c>
      <c r="H1504" s="33">
        <f t="shared" si="359"/>
        <v>32</v>
      </c>
      <c r="I1504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ECP\Cantagallo\Cristalina\[CRISTALINA_CF_SEC_New_09-Feb-2024.xlsx]D-PRB'!$CA$32</v>
      </c>
      <c r="J1504" s="37" t="s">
        <v>815</v>
      </c>
    </row>
    <row r="1505" spans="1:10" x14ac:dyDescent="0.35">
      <c r="A1505" s="32" t="s">
        <v>20</v>
      </c>
      <c r="B1505" s="32">
        <f>+B1504+1</f>
        <v>2044</v>
      </c>
      <c r="C1505" s="33" t="s">
        <v>40</v>
      </c>
      <c r="D1505" s="34" t="s">
        <v>128</v>
      </c>
      <c r="E1505" s="35" t="str">
        <f t="shared" ref="E1505:E1520" si="363">_xlfn.CONCAT(A1505,"'!")</f>
        <v>PRB'!</v>
      </c>
      <c r="F1505" s="34" t="str">
        <f t="shared" ref="F1505:F1520" si="364">_xlfn.CONCAT(D1505:E1505)</f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05" s="32" t="s">
        <v>120</v>
      </c>
      <c r="H1505" s="33">
        <f t="shared" ref="H1505:H1520" si="365">IF(A1505&lt;&gt;A1504,12,H1504+1)</f>
        <v>33</v>
      </c>
      <c r="I1505" s="33" t="str">
        <f t="shared" ref="I1505:I1520" si="366">_xlfn.CONCAT("='",F1505:H1505)</f>
        <v>='C:\Users\jaime.benazar\Quorum Business Solutions\Ecopetrol Prometeo - Documents\Planning Space Implementation\3. Analysis &amp; Design\Design\FC22\DRR Jaime\Por presentar a ECP\Cantagallo\Cristalina\[CRISTALINA_CF_SEC_New_09-Feb-2024.xlsx]D-PRB'!$CA$33</v>
      </c>
      <c r="J1505" s="37" t="s">
        <v>816</v>
      </c>
    </row>
    <row r="1506" spans="1:10" x14ac:dyDescent="0.35">
      <c r="A1506" s="32" t="s">
        <v>20</v>
      </c>
      <c r="B1506" s="32">
        <f t="shared" ref="B1506:B1520" si="367">+B1505+1</f>
        <v>2045</v>
      </c>
      <c r="C1506" s="33" t="s">
        <v>40</v>
      </c>
      <c r="D1506" s="34" t="s">
        <v>128</v>
      </c>
      <c r="E1506" s="35" t="str">
        <f t="shared" si="363"/>
        <v>PRB'!</v>
      </c>
      <c r="F1506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06" s="32" t="s">
        <v>120</v>
      </c>
      <c r="H1506" s="33">
        <f t="shared" si="365"/>
        <v>34</v>
      </c>
      <c r="I1506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ECP\Cantagallo\Cristalina\[CRISTALINA_CF_SEC_New_09-Feb-2024.xlsx]D-PRB'!$CA$34</v>
      </c>
      <c r="J1506" s="37" t="s">
        <v>817</v>
      </c>
    </row>
    <row r="1507" spans="1:10" x14ac:dyDescent="0.35">
      <c r="A1507" s="32" t="s">
        <v>20</v>
      </c>
      <c r="B1507" s="32">
        <f t="shared" si="367"/>
        <v>2046</v>
      </c>
      <c r="C1507" s="33" t="s">
        <v>40</v>
      </c>
      <c r="D1507" s="34" t="s">
        <v>128</v>
      </c>
      <c r="E1507" s="35" t="str">
        <f t="shared" si="363"/>
        <v>PRB'!</v>
      </c>
      <c r="F1507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07" s="32" t="s">
        <v>120</v>
      </c>
      <c r="H1507" s="33">
        <f t="shared" si="365"/>
        <v>35</v>
      </c>
      <c r="I1507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ECP\Cantagallo\Cristalina\[CRISTALINA_CF_SEC_New_09-Feb-2024.xlsx]D-PRB'!$CA$35</v>
      </c>
      <c r="J1507" s="37" t="s">
        <v>818</v>
      </c>
    </row>
    <row r="1508" spans="1:10" x14ac:dyDescent="0.35">
      <c r="A1508" s="32" t="s">
        <v>20</v>
      </c>
      <c r="B1508" s="32">
        <f t="shared" si="367"/>
        <v>2047</v>
      </c>
      <c r="C1508" s="33" t="s">
        <v>40</v>
      </c>
      <c r="D1508" s="34" t="s">
        <v>128</v>
      </c>
      <c r="E1508" s="35" t="str">
        <f t="shared" si="363"/>
        <v>PRB'!</v>
      </c>
      <c r="F1508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08" s="32" t="s">
        <v>120</v>
      </c>
      <c r="H1508" s="33">
        <f t="shared" si="365"/>
        <v>36</v>
      </c>
      <c r="I1508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ECP\Cantagallo\Cristalina\[CRISTALINA_CF_SEC_New_09-Feb-2024.xlsx]D-PRB'!$CA$36</v>
      </c>
      <c r="J1508" s="37" t="s">
        <v>819</v>
      </c>
    </row>
    <row r="1509" spans="1:10" x14ac:dyDescent="0.35">
      <c r="A1509" s="32" t="s">
        <v>20</v>
      </c>
      <c r="B1509" s="32">
        <f t="shared" si="367"/>
        <v>2048</v>
      </c>
      <c r="C1509" s="33" t="s">
        <v>40</v>
      </c>
      <c r="D1509" s="34" t="s">
        <v>128</v>
      </c>
      <c r="E1509" s="35" t="str">
        <f t="shared" si="363"/>
        <v>PRB'!</v>
      </c>
      <c r="F1509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09" s="32" t="s">
        <v>120</v>
      </c>
      <c r="H1509" s="33">
        <f t="shared" si="365"/>
        <v>37</v>
      </c>
      <c r="I1509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ECP\Cantagallo\Cristalina\[CRISTALINA_CF_SEC_New_09-Feb-2024.xlsx]D-PRB'!$CA$37</v>
      </c>
      <c r="J1509" s="37" t="s">
        <v>820</v>
      </c>
    </row>
    <row r="1510" spans="1:10" x14ac:dyDescent="0.35">
      <c r="A1510" s="32" t="s">
        <v>20</v>
      </c>
      <c r="B1510" s="32">
        <f t="shared" si="367"/>
        <v>2049</v>
      </c>
      <c r="C1510" s="33" t="s">
        <v>40</v>
      </c>
      <c r="D1510" s="34" t="s">
        <v>128</v>
      </c>
      <c r="E1510" s="35" t="str">
        <f t="shared" si="363"/>
        <v>PRB'!</v>
      </c>
      <c r="F1510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10" s="32" t="s">
        <v>120</v>
      </c>
      <c r="H1510" s="33">
        <f t="shared" si="365"/>
        <v>38</v>
      </c>
      <c r="I1510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ECP\Cantagallo\Cristalina\[CRISTALINA_CF_SEC_New_09-Feb-2024.xlsx]D-PRB'!$CA$38</v>
      </c>
      <c r="J1510" s="37" t="s">
        <v>821</v>
      </c>
    </row>
    <row r="1511" spans="1:10" x14ac:dyDescent="0.35">
      <c r="A1511" s="32" t="s">
        <v>20</v>
      </c>
      <c r="B1511" s="32">
        <f t="shared" si="367"/>
        <v>2050</v>
      </c>
      <c r="C1511" s="33" t="s">
        <v>40</v>
      </c>
      <c r="D1511" s="34" t="s">
        <v>128</v>
      </c>
      <c r="E1511" s="35" t="str">
        <f t="shared" si="363"/>
        <v>PRB'!</v>
      </c>
      <c r="F1511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11" s="32" t="s">
        <v>120</v>
      </c>
      <c r="H1511" s="33">
        <f t="shared" si="365"/>
        <v>39</v>
      </c>
      <c r="I1511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ECP\Cantagallo\Cristalina\[CRISTALINA_CF_SEC_New_09-Feb-2024.xlsx]D-PRB'!$CA$39</v>
      </c>
      <c r="J1511" s="37" t="s">
        <v>822</v>
      </c>
    </row>
    <row r="1512" spans="1:10" x14ac:dyDescent="0.35">
      <c r="A1512" s="32" t="s">
        <v>20</v>
      </c>
      <c r="B1512" s="32">
        <f t="shared" si="367"/>
        <v>2051</v>
      </c>
      <c r="C1512" s="33" t="s">
        <v>40</v>
      </c>
      <c r="D1512" s="34" t="s">
        <v>128</v>
      </c>
      <c r="E1512" s="35" t="str">
        <f t="shared" si="363"/>
        <v>PRB'!</v>
      </c>
      <c r="F1512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12" s="32" t="s">
        <v>120</v>
      </c>
      <c r="H1512" s="33">
        <f t="shared" si="365"/>
        <v>40</v>
      </c>
      <c r="I1512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ECP\Cantagallo\Cristalina\[CRISTALINA_CF_SEC_New_09-Feb-2024.xlsx]D-PRB'!$CA$40</v>
      </c>
      <c r="J1512" s="37" t="s">
        <v>823</v>
      </c>
    </row>
    <row r="1513" spans="1:10" x14ac:dyDescent="0.35">
      <c r="A1513" s="32" t="s">
        <v>20</v>
      </c>
      <c r="B1513" s="32">
        <f t="shared" si="367"/>
        <v>2052</v>
      </c>
      <c r="C1513" s="33" t="s">
        <v>40</v>
      </c>
      <c r="D1513" s="34" t="s">
        <v>128</v>
      </c>
      <c r="E1513" s="35" t="str">
        <f t="shared" si="363"/>
        <v>PRB'!</v>
      </c>
      <c r="F1513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13" s="32" t="s">
        <v>120</v>
      </c>
      <c r="H1513" s="33">
        <f t="shared" si="365"/>
        <v>41</v>
      </c>
      <c r="I1513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ECP\Cantagallo\Cristalina\[CRISTALINA_CF_SEC_New_09-Feb-2024.xlsx]D-PRB'!$CA$41</v>
      </c>
      <c r="J1513" s="37" t="s">
        <v>824</v>
      </c>
    </row>
    <row r="1514" spans="1:10" x14ac:dyDescent="0.35">
      <c r="A1514" s="32" t="s">
        <v>20</v>
      </c>
      <c r="B1514" s="32">
        <f t="shared" si="367"/>
        <v>2053</v>
      </c>
      <c r="C1514" s="33" t="s">
        <v>40</v>
      </c>
      <c r="D1514" s="34" t="s">
        <v>128</v>
      </c>
      <c r="E1514" s="35" t="str">
        <f t="shared" si="363"/>
        <v>PRB'!</v>
      </c>
      <c r="F1514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14" s="32" t="s">
        <v>120</v>
      </c>
      <c r="H1514" s="33">
        <f t="shared" si="365"/>
        <v>42</v>
      </c>
      <c r="I1514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ECP\Cantagallo\Cristalina\[CRISTALINA_CF_SEC_New_09-Feb-2024.xlsx]D-PRB'!$CA$42</v>
      </c>
      <c r="J1514" s="37" t="s">
        <v>825</v>
      </c>
    </row>
    <row r="1515" spans="1:10" x14ac:dyDescent="0.35">
      <c r="A1515" s="32" t="s">
        <v>20</v>
      </c>
      <c r="B1515" s="32">
        <f t="shared" si="367"/>
        <v>2054</v>
      </c>
      <c r="C1515" s="33" t="s">
        <v>40</v>
      </c>
      <c r="D1515" s="34" t="s">
        <v>128</v>
      </c>
      <c r="E1515" s="35" t="str">
        <f t="shared" si="363"/>
        <v>PRB'!</v>
      </c>
      <c r="F1515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15" s="32" t="s">
        <v>120</v>
      </c>
      <c r="H1515" s="33">
        <f t="shared" si="365"/>
        <v>43</v>
      </c>
      <c r="I1515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ECP\Cantagallo\Cristalina\[CRISTALINA_CF_SEC_New_09-Feb-2024.xlsx]D-PRB'!$CA$43</v>
      </c>
      <c r="J1515" s="37" t="s">
        <v>826</v>
      </c>
    </row>
    <row r="1516" spans="1:10" x14ac:dyDescent="0.35">
      <c r="A1516" s="32" t="s">
        <v>20</v>
      </c>
      <c r="B1516" s="32">
        <f t="shared" si="367"/>
        <v>2055</v>
      </c>
      <c r="C1516" s="33" t="s">
        <v>40</v>
      </c>
      <c r="D1516" s="34" t="s">
        <v>128</v>
      </c>
      <c r="E1516" s="35" t="str">
        <f t="shared" si="363"/>
        <v>PRB'!</v>
      </c>
      <c r="F1516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16" s="32" t="s">
        <v>120</v>
      </c>
      <c r="H1516" s="33">
        <f t="shared" si="365"/>
        <v>44</v>
      </c>
      <c r="I1516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ECP\Cantagallo\Cristalina\[CRISTALINA_CF_SEC_New_09-Feb-2024.xlsx]D-PRB'!$CA$44</v>
      </c>
      <c r="J1516" s="37" t="s">
        <v>827</v>
      </c>
    </row>
    <row r="1517" spans="1:10" x14ac:dyDescent="0.35">
      <c r="A1517" s="32" t="s">
        <v>20</v>
      </c>
      <c r="B1517" s="32">
        <f t="shared" si="367"/>
        <v>2056</v>
      </c>
      <c r="C1517" s="33" t="s">
        <v>40</v>
      </c>
      <c r="D1517" s="34" t="s">
        <v>128</v>
      </c>
      <c r="E1517" s="35" t="str">
        <f t="shared" si="363"/>
        <v>PRB'!</v>
      </c>
      <c r="F1517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17" s="32" t="s">
        <v>120</v>
      </c>
      <c r="H1517" s="33">
        <f t="shared" si="365"/>
        <v>45</v>
      </c>
      <c r="I1517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ECP\Cantagallo\Cristalina\[CRISTALINA_CF_SEC_New_09-Feb-2024.xlsx]D-PRB'!$CA$45</v>
      </c>
      <c r="J1517" s="37" t="s">
        <v>828</v>
      </c>
    </row>
    <row r="1518" spans="1:10" x14ac:dyDescent="0.35">
      <c r="A1518" s="32" t="s">
        <v>20</v>
      </c>
      <c r="B1518" s="32">
        <f t="shared" si="367"/>
        <v>2057</v>
      </c>
      <c r="C1518" s="33" t="s">
        <v>40</v>
      </c>
      <c r="D1518" s="34" t="s">
        <v>128</v>
      </c>
      <c r="E1518" s="35" t="str">
        <f t="shared" si="363"/>
        <v>PRB'!</v>
      </c>
      <c r="F1518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18" s="32" t="s">
        <v>120</v>
      </c>
      <c r="H1518" s="33">
        <f t="shared" si="365"/>
        <v>46</v>
      </c>
      <c r="I1518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ECP\Cantagallo\Cristalina\[CRISTALINA_CF_SEC_New_09-Feb-2024.xlsx]D-PRB'!$CA$46</v>
      </c>
      <c r="J1518" s="37" t="s">
        <v>829</v>
      </c>
    </row>
    <row r="1519" spans="1:10" x14ac:dyDescent="0.35">
      <c r="A1519" s="32" t="s">
        <v>20</v>
      </c>
      <c r="B1519" s="32">
        <f t="shared" si="367"/>
        <v>2058</v>
      </c>
      <c r="C1519" s="33" t="s">
        <v>40</v>
      </c>
      <c r="D1519" s="34" t="s">
        <v>128</v>
      </c>
      <c r="E1519" s="35" t="str">
        <f t="shared" si="363"/>
        <v>PRB'!</v>
      </c>
      <c r="F1519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19" s="32" t="s">
        <v>120</v>
      </c>
      <c r="H1519" s="33">
        <f t="shared" si="365"/>
        <v>47</v>
      </c>
      <c r="I1519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ECP\Cantagallo\Cristalina\[CRISTALINA_CF_SEC_New_09-Feb-2024.xlsx]D-PRB'!$CA$47</v>
      </c>
      <c r="J1519" s="37" t="s">
        <v>830</v>
      </c>
    </row>
    <row r="1520" spans="1:10" x14ac:dyDescent="0.35">
      <c r="A1520" s="32" t="s">
        <v>20</v>
      </c>
      <c r="B1520" s="32">
        <f t="shared" si="367"/>
        <v>2059</v>
      </c>
      <c r="C1520" s="33" t="s">
        <v>40</v>
      </c>
      <c r="D1520" s="34" t="s">
        <v>128</v>
      </c>
      <c r="E1520" s="35" t="str">
        <f t="shared" si="363"/>
        <v>PRB'!</v>
      </c>
      <c r="F1520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20" s="32" t="s">
        <v>120</v>
      </c>
      <c r="H1520" s="33">
        <f t="shared" si="365"/>
        <v>48</v>
      </c>
      <c r="I1520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ECP\Cantagallo\Cristalina\[CRISTALINA_CF_SEC_New_09-Feb-2024.xlsx]D-PRB'!$CA$48</v>
      </c>
      <c r="J1520" s="37" t="s">
        <v>831</v>
      </c>
    </row>
    <row r="1521" spans="1:10" x14ac:dyDescent="0.35">
      <c r="A1521" s="32" t="s">
        <v>26</v>
      </c>
      <c r="B1521" s="32"/>
      <c r="C1521" s="33" t="s">
        <v>40</v>
      </c>
      <c r="D1521" s="34"/>
      <c r="E1521" s="35"/>
      <c r="F1521" s="34"/>
      <c r="G1521" s="32"/>
      <c r="H1521" s="33"/>
      <c r="I1521" s="33"/>
      <c r="J1521" s="33"/>
    </row>
    <row r="1522" spans="1:10" x14ac:dyDescent="0.35">
      <c r="A1522" s="32" t="s">
        <v>21</v>
      </c>
      <c r="B1522" s="32">
        <v>2023</v>
      </c>
      <c r="C1522" s="33" t="s">
        <v>40</v>
      </c>
      <c r="D1522" s="34" t="s">
        <v>128</v>
      </c>
      <c r="E1522" s="35" t="str">
        <f t="shared" ref="E1522:E1542" si="368">_xlfn.CONCAT(A1522,"'!")</f>
        <v>PSDP'!</v>
      </c>
      <c r="F1522" s="34" t="str">
        <f t="shared" ref="F1522:F1542" si="369">_xlfn.CONCAT(D1522:E1522)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22" s="32" t="s">
        <v>120</v>
      </c>
      <c r="H1522" s="33"/>
      <c r="I1522" s="33"/>
      <c r="J1522" s="37"/>
    </row>
    <row r="1523" spans="1:10" x14ac:dyDescent="0.35">
      <c r="A1523" s="32" t="s">
        <v>21</v>
      </c>
      <c r="B1523" s="32">
        <f>+B1522+1</f>
        <v>2024</v>
      </c>
      <c r="C1523" s="33" t="s">
        <v>40</v>
      </c>
      <c r="D1523" s="34" t="s">
        <v>128</v>
      </c>
      <c r="E1523" s="35" t="str">
        <f t="shared" si="368"/>
        <v>PSDP'!</v>
      </c>
      <c r="F1523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23" s="32" t="s">
        <v>120</v>
      </c>
      <c r="H1523" s="33"/>
      <c r="I1523" s="33"/>
      <c r="J1523" s="37"/>
    </row>
    <row r="1524" spans="1:10" x14ac:dyDescent="0.35">
      <c r="A1524" s="32" t="s">
        <v>21</v>
      </c>
      <c r="B1524" s="32">
        <f t="shared" ref="B1524:B1535" si="370">+B1523+1</f>
        <v>2025</v>
      </c>
      <c r="C1524" s="33" t="s">
        <v>40</v>
      </c>
      <c r="D1524" s="34" t="s">
        <v>128</v>
      </c>
      <c r="E1524" s="35" t="str">
        <f t="shared" si="368"/>
        <v>PSDP'!</v>
      </c>
      <c r="F1524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24" s="32" t="s">
        <v>120</v>
      </c>
      <c r="H1524" s="33"/>
      <c r="I1524" s="33"/>
      <c r="J1524" s="37"/>
    </row>
    <row r="1525" spans="1:10" x14ac:dyDescent="0.35">
      <c r="A1525" s="32" t="s">
        <v>21</v>
      </c>
      <c r="B1525" s="32">
        <f t="shared" si="370"/>
        <v>2026</v>
      </c>
      <c r="C1525" s="33" t="s">
        <v>40</v>
      </c>
      <c r="D1525" s="34" t="s">
        <v>128</v>
      </c>
      <c r="E1525" s="35" t="str">
        <f t="shared" si="368"/>
        <v>PSDP'!</v>
      </c>
      <c r="F1525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25" s="32" t="s">
        <v>120</v>
      </c>
      <c r="H1525" s="33"/>
      <c r="I1525" s="33"/>
      <c r="J1525" s="37"/>
    </row>
    <row r="1526" spans="1:10" x14ac:dyDescent="0.35">
      <c r="A1526" s="32" t="s">
        <v>21</v>
      </c>
      <c r="B1526" s="32">
        <f t="shared" si="370"/>
        <v>2027</v>
      </c>
      <c r="C1526" s="33" t="s">
        <v>40</v>
      </c>
      <c r="D1526" s="34" t="s">
        <v>128</v>
      </c>
      <c r="E1526" s="35" t="str">
        <f t="shared" si="368"/>
        <v>PSDP'!</v>
      </c>
      <c r="F1526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26" s="32" t="s">
        <v>120</v>
      </c>
      <c r="H1526" s="33"/>
      <c r="I1526" s="33"/>
      <c r="J1526" s="37"/>
    </row>
    <row r="1527" spans="1:10" x14ac:dyDescent="0.35">
      <c r="A1527" s="32" t="s">
        <v>21</v>
      </c>
      <c r="B1527" s="32">
        <f t="shared" si="370"/>
        <v>2028</v>
      </c>
      <c r="C1527" s="33" t="s">
        <v>40</v>
      </c>
      <c r="D1527" s="34" t="s">
        <v>128</v>
      </c>
      <c r="E1527" s="35" t="str">
        <f t="shared" si="368"/>
        <v>PSDP'!</v>
      </c>
      <c r="F1527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27" s="32" t="s">
        <v>120</v>
      </c>
      <c r="H1527" s="33"/>
      <c r="I1527" s="33"/>
      <c r="J1527" s="37"/>
    </row>
    <row r="1528" spans="1:10" x14ac:dyDescent="0.35">
      <c r="A1528" s="32" t="s">
        <v>21</v>
      </c>
      <c r="B1528" s="32">
        <f t="shared" si="370"/>
        <v>2029</v>
      </c>
      <c r="C1528" s="33" t="s">
        <v>40</v>
      </c>
      <c r="D1528" s="34" t="s">
        <v>128</v>
      </c>
      <c r="E1528" s="35" t="str">
        <f t="shared" si="368"/>
        <v>PSDP'!</v>
      </c>
      <c r="F1528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28" s="32" t="s">
        <v>120</v>
      </c>
      <c r="H1528" s="33"/>
      <c r="I1528" s="33"/>
      <c r="J1528" s="37"/>
    </row>
    <row r="1529" spans="1:10" x14ac:dyDescent="0.35">
      <c r="A1529" s="32" t="s">
        <v>21</v>
      </c>
      <c r="B1529" s="32">
        <f t="shared" si="370"/>
        <v>2030</v>
      </c>
      <c r="C1529" s="33" t="s">
        <v>40</v>
      </c>
      <c r="D1529" s="34" t="s">
        <v>128</v>
      </c>
      <c r="E1529" s="35" t="str">
        <f t="shared" si="368"/>
        <v>PSDP'!</v>
      </c>
      <c r="F1529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29" s="32" t="s">
        <v>120</v>
      </c>
      <c r="H1529" s="33"/>
      <c r="I1529" s="33"/>
      <c r="J1529" s="37"/>
    </row>
    <row r="1530" spans="1:10" x14ac:dyDescent="0.35">
      <c r="A1530" s="32" t="s">
        <v>21</v>
      </c>
      <c r="B1530" s="32">
        <f t="shared" si="370"/>
        <v>2031</v>
      </c>
      <c r="C1530" s="33" t="s">
        <v>40</v>
      </c>
      <c r="D1530" s="34" t="s">
        <v>128</v>
      </c>
      <c r="E1530" s="35" t="str">
        <f t="shared" si="368"/>
        <v>PSDP'!</v>
      </c>
      <c r="F1530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30" s="32" t="s">
        <v>120</v>
      </c>
      <c r="H1530" s="33"/>
      <c r="I1530" s="33"/>
      <c r="J1530" s="37"/>
    </row>
    <row r="1531" spans="1:10" x14ac:dyDescent="0.35">
      <c r="A1531" s="32" t="s">
        <v>21</v>
      </c>
      <c r="B1531" s="32">
        <f t="shared" si="370"/>
        <v>2032</v>
      </c>
      <c r="C1531" s="33" t="s">
        <v>40</v>
      </c>
      <c r="D1531" s="34" t="s">
        <v>128</v>
      </c>
      <c r="E1531" s="35" t="str">
        <f t="shared" si="368"/>
        <v>PSDP'!</v>
      </c>
      <c r="F1531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31" s="32" t="s">
        <v>120</v>
      </c>
      <c r="H1531" s="33"/>
      <c r="I1531" s="33"/>
      <c r="J1531" s="37"/>
    </row>
    <row r="1532" spans="1:10" x14ac:dyDescent="0.35">
      <c r="A1532" s="32" t="s">
        <v>21</v>
      </c>
      <c r="B1532" s="32">
        <f t="shared" si="370"/>
        <v>2033</v>
      </c>
      <c r="C1532" s="33" t="s">
        <v>40</v>
      </c>
      <c r="D1532" s="34" t="s">
        <v>128</v>
      </c>
      <c r="E1532" s="35" t="str">
        <f t="shared" si="368"/>
        <v>PSDP'!</v>
      </c>
      <c r="F1532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32" s="32" t="s">
        <v>120</v>
      </c>
      <c r="H1532" s="33"/>
      <c r="I1532" s="33"/>
      <c r="J1532" s="37"/>
    </row>
    <row r="1533" spans="1:10" x14ac:dyDescent="0.35">
      <c r="A1533" s="32" t="s">
        <v>21</v>
      </c>
      <c r="B1533" s="32">
        <f t="shared" si="370"/>
        <v>2034</v>
      </c>
      <c r="C1533" s="33" t="s">
        <v>40</v>
      </c>
      <c r="D1533" s="34" t="s">
        <v>128</v>
      </c>
      <c r="E1533" s="35" t="str">
        <f t="shared" si="368"/>
        <v>PSDP'!</v>
      </c>
      <c r="F1533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33" s="32" t="s">
        <v>120</v>
      </c>
      <c r="H1533" s="33"/>
      <c r="I1533" s="33"/>
      <c r="J1533" s="37"/>
    </row>
    <row r="1534" spans="1:10" x14ac:dyDescent="0.35">
      <c r="A1534" s="32" t="s">
        <v>21</v>
      </c>
      <c r="B1534" s="32">
        <f t="shared" si="370"/>
        <v>2035</v>
      </c>
      <c r="C1534" s="33" t="s">
        <v>40</v>
      </c>
      <c r="D1534" s="34" t="s">
        <v>128</v>
      </c>
      <c r="E1534" s="35" t="str">
        <f t="shared" si="368"/>
        <v>PSDP'!</v>
      </c>
      <c r="F1534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34" s="32" t="s">
        <v>120</v>
      </c>
      <c r="H1534" s="33"/>
      <c r="I1534" s="33"/>
      <c r="J1534" s="37"/>
    </row>
    <row r="1535" spans="1:10" x14ac:dyDescent="0.35">
      <c r="A1535" s="32" t="s">
        <v>21</v>
      </c>
      <c r="B1535" s="32">
        <f t="shared" si="370"/>
        <v>2036</v>
      </c>
      <c r="C1535" s="33" t="s">
        <v>40</v>
      </c>
      <c r="D1535" s="34" t="s">
        <v>128</v>
      </c>
      <c r="E1535" s="35" t="str">
        <f t="shared" si="368"/>
        <v>PSDP'!</v>
      </c>
      <c r="F1535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35" s="32" t="s">
        <v>120</v>
      </c>
      <c r="H1535" s="33"/>
      <c r="I1535" s="33"/>
      <c r="J1535" s="37"/>
    </row>
    <row r="1536" spans="1:10" x14ac:dyDescent="0.35">
      <c r="A1536" s="32" t="s">
        <v>21</v>
      </c>
      <c r="B1536" s="32">
        <f>+B1535+1</f>
        <v>2037</v>
      </c>
      <c r="C1536" s="33" t="s">
        <v>40</v>
      </c>
      <c r="D1536" s="34" t="s">
        <v>128</v>
      </c>
      <c r="E1536" s="35" t="str">
        <f t="shared" si="368"/>
        <v>PSDP'!</v>
      </c>
      <c r="F1536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36" s="32" t="s">
        <v>120</v>
      </c>
      <c r="H1536" s="33"/>
      <c r="I1536" s="33"/>
      <c r="J1536" s="37"/>
    </row>
    <row r="1537" spans="1:10" x14ac:dyDescent="0.35">
      <c r="A1537" s="32" t="s">
        <v>21</v>
      </c>
      <c r="B1537" s="32">
        <f t="shared" ref="B1537:B1539" si="371">+B1536+1</f>
        <v>2038</v>
      </c>
      <c r="C1537" s="33" t="s">
        <v>40</v>
      </c>
      <c r="D1537" s="34" t="s">
        <v>128</v>
      </c>
      <c r="E1537" s="35" t="str">
        <f t="shared" si="368"/>
        <v>PSDP'!</v>
      </c>
      <c r="F1537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37" s="32" t="s">
        <v>120</v>
      </c>
      <c r="H1537" s="33"/>
      <c r="I1537" s="33"/>
      <c r="J1537" s="37"/>
    </row>
    <row r="1538" spans="1:10" x14ac:dyDescent="0.35">
      <c r="A1538" s="32" t="s">
        <v>21</v>
      </c>
      <c r="B1538" s="32">
        <f t="shared" si="371"/>
        <v>2039</v>
      </c>
      <c r="C1538" s="33" t="s">
        <v>40</v>
      </c>
      <c r="D1538" s="34" t="s">
        <v>128</v>
      </c>
      <c r="E1538" s="35" t="str">
        <f t="shared" si="368"/>
        <v>PSDP'!</v>
      </c>
      <c r="F1538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38" s="32" t="s">
        <v>120</v>
      </c>
      <c r="H1538" s="33"/>
      <c r="I1538" s="33"/>
      <c r="J1538" s="37"/>
    </row>
    <row r="1539" spans="1:10" x14ac:dyDescent="0.35">
      <c r="A1539" s="32" t="s">
        <v>21</v>
      </c>
      <c r="B1539" s="32">
        <f t="shared" si="371"/>
        <v>2040</v>
      </c>
      <c r="C1539" s="33" t="s">
        <v>40</v>
      </c>
      <c r="D1539" s="34" t="s">
        <v>128</v>
      </c>
      <c r="E1539" s="35" t="str">
        <f t="shared" si="368"/>
        <v>PSDP'!</v>
      </c>
      <c r="F1539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39" s="32" t="s">
        <v>120</v>
      </c>
      <c r="H1539" s="33"/>
      <c r="I1539" s="33"/>
      <c r="J1539" s="37"/>
    </row>
    <row r="1540" spans="1:10" x14ac:dyDescent="0.35">
      <c r="A1540" s="32" t="s">
        <v>21</v>
      </c>
      <c r="B1540" s="32">
        <f>+B1539+1</f>
        <v>2041</v>
      </c>
      <c r="C1540" s="33" t="s">
        <v>40</v>
      </c>
      <c r="D1540" s="34" t="s">
        <v>128</v>
      </c>
      <c r="E1540" s="35" t="str">
        <f t="shared" si="368"/>
        <v>PSDP'!</v>
      </c>
      <c r="F1540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40" s="32" t="s">
        <v>120</v>
      </c>
      <c r="H1540" s="33"/>
      <c r="I1540" s="33"/>
      <c r="J1540" s="37"/>
    </row>
    <row r="1541" spans="1:10" x14ac:dyDescent="0.35">
      <c r="A1541" s="32" t="s">
        <v>21</v>
      </c>
      <c r="B1541" s="32">
        <f t="shared" ref="B1541:B1542" si="372">+B1540+1</f>
        <v>2042</v>
      </c>
      <c r="C1541" s="33" t="s">
        <v>40</v>
      </c>
      <c r="D1541" s="34" t="s">
        <v>128</v>
      </c>
      <c r="E1541" s="35" t="str">
        <f t="shared" si="368"/>
        <v>PSDP'!</v>
      </c>
      <c r="F1541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41" s="32" t="s">
        <v>120</v>
      </c>
      <c r="H1541" s="33"/>
      <c r="I1541" s="33"/>
      <c r="J1541" s="37"/>
    </row>
    <row r="1542" spans="1:10" x14ac:dyDescent="0.35">
      <c r="A1542" s="32" t="s">
        <v>21</v>
      </c>
      <c r="B1542" s="32">
        <f t="shared" si="372"/>
        <v>2043</v>
      </c>
      <c r="C1542" s="33" t="s">
        <v>40</v>
      </c>
      <c r="D1542" s="34" t="s">
        <v>128</v>
      </c>
      <c r="E1542" s="35" t="str">
        <f t="shared" si="368"/>
        <v>PSDP'!</v>
      </c>
      <c r="F1542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42" s="32" t="s">
        <v>120</v>
      </c>
      <c r="H1542" s="33"/>
      <c r="I1542" s="33"/>
      <c r="J1542" s="37"/>
    </row>
    <row r="1543" spans="1:10" x14ac:dyDescent="0.35">
      <c r="A1543" s="32" t="s">
        <v>21</v>
      </c>
      <c r="B1543" s="32">
        <f>+B1542+1</f>
        <v>2044</v>
      </c>
      <c r="C1543" s="33" t="s">
        <v>40</v>
      </c>
      <c r="D1543" s="34" t="s">
        <v>128</v>
      </c>
      <c r="E1543" s="35" t="str">
        <f t="shared" ref="E1543:E1558" si="373">_xlfn.CONCAT(A1543,"'!")</f>
        <v>PSDP'!</v>
      </c>
      <c r="F1543" s="34" t="str">
        <f t="shared" ref="F1543:F1558" si="374">_xlfn.CONCAT(D1543:E1543)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43" s="32" t="s">
        <v>120</v>
      </c>
      <c r="H1543" s="33"/>
      <c r="I1543" s="33"/>
      <c r="J1543" s="37"/>
    </row>
    <row r="1544" spans="1:10" x14ac:dyDescent="0.35">
      <c r="A1544" s="32" t="s">
        <v>21</v>
      </c>
      <c r="B1544" s="32">
        <f t="shared" ref="B1544:B1558" si="375">+B1543+1</f>
        <v>2045</v>
      </c>
      <c r="C1544" s="33" t="s">
        <v>40</v>
      </c>
      <c r="D1544" s="34" t="s">
        <v>128</v>
      </c>
      <c r="E1544" s="35" t="str">
        <f t="shared" si="373"/>
        <v>PSDP'!</v>
      </c>
      <c r="F1544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44" s="32" t="s">
        <v>120</v>
      </c>
      <c r="H1544" s="33"/>
      <c r="I1544" s="33"/>
      <c r="J1544" s="37"/>
    </row>
    <row r="1545" spans="1:10" x14ac:dyDescent="0.35">
      <c r="A1545" s="32" t="s">
        <v>21</v>
      </c>
      <c r="B1545" s="32">
        <f t="shared" si="375"/>
        <v>2046</v>
      </c>
      <c r="C1545" s="33" t="s">
        <v>40</v>
      </c>
      <c r="D1545" s="34" t="s">
        <v>128</v>
      </c>
      <c r="E1545" s="35" t="str">
        <f t="shared" si="373"/>
        <v>PSDP'!</v>
      </c>
      <c r="F1545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45" s="32" t="s">
        <v>120</v>
      </c>
      <c r="H1545" s="33"/>
      <c r="I1545" s="33"/>
      <c r="J1545" s="37"/>
    </row>
    <row r="1546" spans="1:10" x14ac:dyDescent="0.35">
      <c r="A1546" s="32" t="s">
        <v>21</v>
      </c>
      <c r="B1546" s="32">
        <f t="shared" si="375"/>
        <v>2047</v>
      </c>
      <c r="C1546" s="33" t="s">
        <v>40</v>
      </c>
      <c r="D1546" s="34" t="s">
        <v>128</v>
      </c>
      <c r="E1546" s="35" t="str">
        <f t="shared" si="373"/>
        <v>PSDP'!</v>
      </c>
      <c r="F1546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46" s="32" t="s">
        <v>120</v>
      </c>
      <c r="H1546" s="33"/>
      <c r="I1546" s="33"/>
      <c r="J1546" s="37"/>
    </row>
    <row r="1547" spans="1:10" x14ac:dyDescent="0.35">
      <c r="A1547" s="32" t="s">
        <v>21</v>
      </c>
      <c r="B1547" s="32">
        <f t="shared" si="375"/>
        <v>2048</v>
      </c>
      <c r="C1547" s="33" t="s">
        <v>40</v>
      </c>
      <c r="D1547" s="34" t="s">
        <v>128</v>
      </c>
      <c r="E1547" s="35" t="str">
        <f t="shared" si="373"/>
        <v>PSDP'!</v>
      </c>
      <c r="F1547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47" s="32" t="s">
        <v>120</v>
      </c>
      <c r="H1547" s="33"/>
      <c r="I1547" s="33"/>
      <c r="J1547" s="37"/>
    </row>
    <row r="1548" spans="1:10" x14ac:dyDescent="0.35">
      <c r="A1548" s="32" t="s">
        <v>21</v>
      </c>
      <c r="B1548" s="32">
        <f t="shared" si="375"/>
        <v>2049</v>
      </c>
      <c r="C1548" s="33" t="s">
        <v>40</v>
      </c>
      <c r="D1548" s="34" t="s">
        <v>128</v>
      </c>
      <c r="E1548" s="35" t="str">
        <f t="shared" si="373"/>
        <v>PSDP'!</v>
      </c>
      <c r="F1548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48" s="32" t="s">
        <v>120</v>
      </c>
      <c r="H1548" s="33"/>
      <c r="I1548" s="33"/>
      <c r="J1548" s="37"/>
    </row>
    <row r="1549" spans="1:10" x14ac:dyDescent="0.35">
      <c r="A1549" s="32" t="s">
        <v>21</v>
      </c>
      <c r="B1549" s="32">
        <f t="shared" si="375"/>
        <v>2050</v>
      </c>
      <c r="C1549" s="33" t="s">
        <v>40</v>
      </c>
      <c r="D1549" s="34" t="s">
        <v>128</v>
      </c>
      <c r="E1549" s="35" t="str">
        <f t="shared" si="373"/>
        <v>PSDP'!</v>
      </c>
      <c r="F1549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49" s="32" t="s">
        <v>120</v>
      </c>
      <c r="H1549" s="33"/>
      <c r="I1549" s="33"/>
      <c r="J1549" s="37"/>
    </row>
    <row r="1550" spans="1:10" x14ac:dyDescent="0.35">
      <c r="A1550" s="32" t="s">
        <v>21</v>
      </c>
      <c r="B1550" s="32">
        <f t="shared" si="375"/>
        <v>2051</v>
      </c>
      <c r="C1550" s="33" t="s">
        <v>40</v>
      </c>
      <c r="D1550" s="34" t="s">
        <v>128</v>
      </c>
      <c r="E1550" s="35" t="str">
        <f t="shared" si="373"/>
        <v>PSDP'!</v>
      </c>
      <c r="F1550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50" s="32" t="s">
        <v>120</v>
      </c>
      <c r="H1550" s="33"/>
      <c r="I1550" s="33"/>
      <c r="J1550" s="37"/>
    </row>
    <row r="1551" spans="1:10" x14ac:dyDescent="0.35">
      <c r="A1551" s="32" t="s">
        <v>21</v>
      </c>
      <c r="B1551" s="32">
        <f t="shared" si="375"/>
        <v>2052</v>
      </c>
      <c r="C1551" s="33" t="s">
        <v>40</v>
      </c>
      <c r="D1551" s="34" t="s">
        <v>128</v>
      </c>
      <c r="E1551" s="35" t="str">
        <f t="shared" si="373"/>
        <v>PSDP'!</v>
      </c>
      <c r="F1551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51" s="32" t="s">
        <v>120</v>
      </c>
      <c r="H1551" s="33"/>
      <c r="I1551" s="33"/>
      <c r="J1551" s="37"/>
    </row>
    <row r="1552" spans="1:10" x14ac:dyDescent="0.35">
      <c r="A1552" s="32" t="s">
        <v>21</v>
      </c>
      <c r="B1552" s="32">
        <f t="shared" si="375"/>
        <v>2053</v>
      </c>
      <c r="C1552" s="33" t="s">
        <v>40</v>
      </c>
      <c r="D1552" s="34" t="s">
        <v>128</v>
      </c>
      <c r="E1552" s="35" t="str">
        <f t="shared" si="373"/>
        <v>PSDP'!</v>
      </c>
      <c r="F1552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52" s="32" t="s">
        <v>120</v>
      </c>
      <c r="H1552" s="33"/>
      <c r="I1552" s="33"/>
      <c r="J1552" s="37"/>
    </row>
    <row r="1553" spans="1:10" x14ac:dyDescent="0.35">
      <c r="A1553" s="32" t="s">
        <v>21</v>
      </c>
      <c r="B1553" s="32">
        <f t="shared" si="375"/>
        <v>2054</v>
      </c>
      <c r="C1553" s="33" t="s">
        <v>40</v>
      </c>
      <c r="D1553" s="34" t="s">
        <v>128</v>
      </c>
      <c r="E1553" s="35" t="str">
        <f t="shared" si="373"/>
        <v>PSDP'!</v>
      </c>
      <c r="F1553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53" s="32" t="s">
        <v>120</v>
      </c>
      <c r="H1553" s="33"/>
      <c r="I1553" s="33"/>
      <c r="J1553" s="37"/>
    </row>
    <row r="1554" spans="1:10" x14ac:dyDescent="0.35">
      <c r="A1554" s="32" t="s">
        <v>21</v>
      </c>
      <c r="B1554" s="32">
        <f t="shared" si="375"/>
        <v>2055</v>
      </c>
      <c r="C1554" s="33" t="s">
        <v>40</v>
      </c>
      <c r="D1554" s="34" t="s">
        <v>128</v>
      </c>
      <c r="E1554" s="35" t="str">
        <f t="shared" si="373"/>
        <v>PSDP'!</v>
      </c>
      <c r="F1554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54" s="32" t="s">
        <v>120</v>
      </c>
      <c r="H1554" s="33"/>
      <c r="I1554" s="33"/>
      <c r="J1554" s="37"/>
    </row>
    <row r="1555" spans="1:10" x14ac:dyDescent="0.35">
      <c r="A1555" s="32" t="s">
        <v>21</v>
      </c>
      <c r="B1555" s="32">
        <f t="shared" si="375"/>
        <v>2056</v>
      </c>
      <c r="C1555" s="33" t="s">
        <v>40</v>
      </c>
      <c r="D1555" s="34" t="s">
        <v>128</v>
      </c>
      <c r="E1555" s="35" t="str">
        <f t="shared" si="373"/>
        <v>PSDP'!</v>
      </c>
      <c r="F1555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55" s="32" t="s">
        <v>120</v>
      </c>
      <c r="H1555" s="33"/>
      <c r="I1555" s="33"/>
      <c r="J1555" s="37"/>
    </row>
    <row r="1556" spans="1:10" x14ac:dyDescent="0.35">
      <c r="A1556" s="32" t="s">
        <v>21</v>
      </c>
      <c r="B1556" s="32">
        <f t="shared" si="375"/>
        <v>2057</v>
      </c>
      <c r="C1556" s="33" t="s">
        <v>40</v>
      </c>
      <c r="D1556" s="34" t="s">
        <v>128</v>
      </c>
      <c r="E1556" s="35" t="str">
        <f t="shared" si="373"/>
        <v>PSDP'!</v>
      </c>
      <c r="F1556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56" s="32" t="s">
        <v>120</v>
      </c>
      <c r="H1556" s="33"/>
      <c r="I1556" s="33"/>
      <c r="J1556" s="37"/>
    </row>
    <row r="1557" spans="1:10" x14ac:dyDescent="0.35">
      <c r="A1557" s="32" t="s">
        <v>21</v>
      </c>
      <c r="B1557" s="32">
        <f t="shared" si="375"/>
        <v>2058</v>
      </c>
      <c r="C1557" s="33" t="s">
        <v>40</v>
      </c>
      <c r="D1557" s="34" t="s">
        <v>128</v>
      </c>
      <c r="E1557" s="35" t="str">
        <f t="shared" si="373"/>
        <v>PSDP'!</v>
      </c>
      <c r="F1557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57" s="32" t="s">
        <v>120</v>
      </c>
      <c r="H1557" s="33"/>
      <c r="I1557" s="33"/>
      <c r="J1557" s="37"/>
    </row>
    <row r="1558" spans="1:10" x14ac:dyDescent="0.35">
      <c r="A1558" s="32" t="s">
        <v>21</v>
      </c>
      <c r="B1558" s="32">
        <f t="shared" si="375"/>
        <v>2059</v>
      </c>
      <c r="C1558" s="33" t="s">
        <v>40</v>
      </c>
      <c r="D1558" s="34" t="s">
        <v>128</v>
      </c>
      <c r="E1558" s="35" t="str">
        <f t="shared" si="373"/>
        <v>PSDP'!</v>
      </c>
      <c r="F1558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58" s="32" t="s">
        <v>120</v>
      </c>
      <c r="H1558" s="33"/>
      <c r="I1558" s="33"/>
      <c r="J1558" s="37"/>
    </row>
    <row r="1559" spans="1:10" x14ac:dyDescent="0.35">
      <c r="A1559" s="32" t="s">
        <v>26</v>
      </c>
      <c r="B1559" s="32"/>
      <c r="C1559" s="33" t="s">
        <v>40</v>
      </c>
      <c r="D1559" s="34"/>
      <c r="E1559" s="35"/>
      <c r="F1559" s="34"/>
      <c r="G1559" s="32"/>
      <c r="H1559" s="33"/>
      <c r="I1559" s="33"/>
      <c r="J1559" s="33"/>
    </row>
    <row r="1560" spans="1:10" x14ac:dyDescent="0.35">
      <c r="A1560" s="32" t="s">
        <v>22</v>
      </c>
      <c r="B1560" s="32">
        <v>2023</v>
      </c>
      <c r="C1560" s="33" t="s">
        <v>40</v>
      </c>
      <c r="D1560" s="34" t="s">
        <v>128</v>
      </c>
      <c r="E1560" s="35" t="str">
        <f t="shared" ref="E1560:E1580" si="376">_xlfn.CONCAT(A1560,"'!")</f>
        <v>PSNP'!</v>
      </c>
      <c r="F1560" s="34" t="str">
        <f t="shared" ref="F1560:F1580" si="377">_xlfn.CONCAT(D1560:E1560)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60" s="32" t="s">
        <v>120</v>
      </c>
      <c r="H1560" s="33"/>
      <c r="I1560" s="33"/>
      <c r="J1560" s="37"/>
    </row>
    <row r="1561" spans="1:10" x14ac:dyDescent="0.35">
      <c r="A1561" s="32" t="s">
        <v>22</v>
      </c>
      <c r="B1561" s="32">
        <f>+B1560+1</f>
        <v>2024</v>
      </c>
      <c r="C1561" s="33" t="s">
        <v>40</v>
      </c>
      <c r="D1561" s="34" t="s">
        <v>128</v>
      </c>
      <c r="E1561" s="35" t="str">
        <f t="shared" si="376"/>
        <v>PSNP'!</v>
      </c>
      <c r="F1561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61" s="32" t="s">
        <v>120</v>
      </c>
      <c r="H1561" s="33"/>
      <c r="I1561" s="33"/>
      <c r="J1561" s="37"/>
    </row>
    <row r="1562" spans="1:10" x14ac:dyDescent="0.35">
      <c r="A1562" s="32" t="s">
        <v>22</v>
      </c>
      <c r="B1562" s="32">
        <f t="shared" ref="B1562:B1573" si="378">+B1561+1</f>
        <v>2025</v>
      </c>
      <c r="C1562" s="33" t="s">
        <v>40</v>
      </c>
      <c r="D1562" s="34" t="s">
        <v>128</v>
      </c>
      <c r="E1562" s="35" t="str">
        <f t="shared" si="376"/>
        <v>PSNP'!</v>
      </c>
      <c r="F1562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62" s="32" t="s">
        <v>120</v>
      </c>
      <c r="H1562" s="33"/>
      <c r="I1562" s="33"/>
      <c r="J1562" s="37"/>
    </row>
    <row r="1563" spans="1:10" x14ac:dyDescent="0.35">
      <c r="A1563" s="32" t="s">
        <v>22</v>
      </c>
      <c r="B1563" s="32">
        <f t="shared" si="378"/>
        <v>2026</v>
      </c>
      <c r="C1563" s="33" t="s">
        <v>40</v>
      </c>
      <c r="D1563" s="34" t="s">
        <v>128</v>
      </c>
      <c r="E1563" s="35" t="str">
        <f t="shared" si="376"/>
        <v>PSNP'!</v>
      </c>
      <c r="F1563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63" s="32" t="s">
        <v>120</v>
      </c>
      <c r="H1563" s="33"/>
      <c r="I1563" s="33"/>
      <c r="J1563" s="37"/>
    </row>
    <row r="1564" spans="1:10" x14ac:dyDescent="0.35">
      <c r="A1564" s="32" t="s">
        <v>22</v>
      </c>
      <c r="B1564" s="32">
        <f t="shared" si="378"/>
        <v>2027</v>
      </c>
      <c r="C1564" s="33" t="s">
        <v>40</v>
      </c>
      <c r="D1564" s="34" t="s">
        <v>128</v>
      </c>
      <c r="E1564" s="35" t="str">
        <f t="shared" si="376"/>
        <v>PSNP'!</v>
      </c>
      <c r="F1564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64" s="32" t="s">
        <v>120</v>
      </c>
      <c r="H1564" s="33"/>
      <c r="I1564" s="33"/>
      <c r="J1564" s="37"/>
    </row>
    <row r="1565" spans="1:10" x14ac:dyDescent="0.35">
      <c r="A1565" s="32" t="s">
        <v>22</v>
      </c>
      <c r="B1565" s="32">
        <f t="shared" si="378"/>
        <v>2028</v>
      </c>
      <c r="C1565" s="33" t="s">
        <v>40</v>
      </c>
      <c r="D1565" s="34" t="s">
        <v>128</v>
      </c>
      <c r="E1565" s="35" t="str">
        <f t="shared" si="376"/>
        <v>PSNP'!</v>
      </c>
      <c r="F1565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65" s="32" t="s">
        <v>120</v>
      </c>
      <c r="H1565" s="33"/>
      <c r="I1565" s="33"/>
      <c r="J1565" s="37"/>
    </row>
    <row r="1566" spans="1:10" x14ac:dyDescent="0.35">
      <c r="A1566" s="32" t="s">
        <v>22</v>
      </c>
      <c r="B1566" s="32">
        <f t="shared" si="378"/>
        <v>2029</v>
      </c>
      <c r="C1566" s="33" t="s">
        <v>40</v>
      </c>
      <c r="D1566" s="34" t="s">
        <v>128</v>
      </c>
      <c r="E1566" s="35" t="str">
        <f t="shared" si="376"/>
        <v>PSNP'!</v>
      </c>
      <c r="F1566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66" s="32" t="s">
        <v>120</v>
      </c>
      <c r="H1566" s="33"/>
      <c r="I1566" s="33"/>
      <c r="J1566" s="37"/>
    </row>
    <row r="1567" spans="1:10" x14ac:dyDescent="0.35">
      <c r="A1567" s="32" t="s">
        <v>22</v>
      </c>
      <c r="B1567" s="32">
        <f t="shared" si="378"/>
        <v>2030</v>
      </c>
      <c r="C1567" s="33" t="s">
        <v>40</v>
      </c>
      <c r="D1567" s="34" t="s">
        <v>128</v>
      </c>
      <c r="E1567" s="35" t="str">
        <f t="shared" si="376"/>
        <v>PSNP'!</v>
      </c>
      <c r="F1567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67" s="32" t="s">
        <v>120</v>
      </c>
      <c r="H1567" s="33"/>
      <c r="I1567" s="33"/>
      <c r="J1567" s="37"/>
    </row>
    <row r="1568" spans="1:10" x14ac:dyDescent="0.35">
      <c r="A1568" s="32" t="s">
        <v>22</v>
      </c>
      <c r="B1568" s="32">
        <f t="shared" si="378"/>
        <v>2031</v>
      </c>
      <c r="C1568" s="33" t="s">
        <v>40</v>
      </c>
      <c r="D1568" s="34" t="s">
        <v>128</v>
      </c>
      <c r="E1568" s="35" t="str">
        <f t="shared" si="376"/>
        <v>PSNP'!</v>
      </c>
      <c r="F1568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68" s="32" t="s">
        <v>120</v>
      </c>
      <c r="H1568" s="33"/>
      <c r="I1568" s="33"/>
      <c r="J1568" s="37"/>
    </row>
    <row r="1569" spans="1:10" x14ac:dyDescent="0.35">
      <c r="A1569" s="32" t="s">
        <v>22</v>
      </c>
      <c r="B1569" s="32">
        <f t="shared" si="378"/>
        <v>2032</v>
      </c>
      <c r="C1569" s="33" t="s">
        <v>40</v>
      </c>
      <c r="D1569" s="34" t="s">
        <v>128</v>
      </c>
      <c r="E1569" s="35" t="str">
        <f t="shared" si="376"/>
        <v>PSNP'!</v>
      </c>
      <c r="F1569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69" s="32" t="s">
        <v>120</v>
      </c>
      <c r="H1569" s="33"/>
      <c r="I1569" s="33"/>
      <c r="J1569" s="37"/>
    </row>
    <row r="1570" spans="1:10" x14ac:dyDescent="0.35">
      <c r="A1570" s="32" t="s">
        <v>22</v>
      </c>
      <c r="B1570" s="32">
        <f t="shared" si="378"/>
        <v>2033</v>
      </c>
      <c r="C1570" s="33" t="s">
        <v>40</v>
      </c>
      <c r="D1570" s="34" t="s">
        <v>128</v>
      </c>
      <c r="E1570" s="35" t="str">
        <f t="shared" si="376"/>
        <v>PSNP'!</v>
      </c>
      <c r="F1570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70" s="32" t="s">
        <v>120</v>
      </c>
      <c r="H1570" s="33"/>
      <c r="I1570" s="33"/>
      <c r="J1570" s="37"/>
    </row>
    <row r="1571" spans="1:10" x14ac:dyDescent="0.35">
      <c r="A1571" s="32" t="s">
        <v>22</v>
      </c>
      <c r="B1571" s="32">
        <f t="shared" si="378"/>
        <v>2034</v>
      </c>
      <c r="C1571" s="33" t="s">
        <v>40</v>
      </c>
      <c r="D1571" s="34" t="s">
        <v>128</v>
      </c>
      <c r="E1571" s="35" t="str">
        <f t="shared" si="376"/>
        <v>PSNP'!</v>
      </c>
      <c r="F1571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71" s="32" t="s">
        <v>120</v>
      </c>
      <c r="H1571" s="33"/>
      <c r="I1571" s="33"/>
      <c r="J1571" s="37"/>
    </row>
    <row r="1572" spans="1:10" x14ac:dyDescent="0.35">
      <c r="A1572" s="32" t="s">
        <v>22</v>
      </c>
      <c r="B1572" s="32">
        <f t="shared" si="378"/>
        <v>2035</v>
      </c>
      <c r="C1572" s="33" t="s">
        <v>40</v>
      </c>
      <c r="D1572" s="34" t="s">
        <v>128</v>
      </c>
      <c r="E1572" s="35" t="str">
        <f t="shared" si="376"/>
        <v>PSNP'!</v>
      </c>
      <c r="F1572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72" s="32" t="s">
        <v>120</v>
      </c>
      <c r="H1572" s="33"/>
      <c r="I1572" s="33"/>
      <c r="J1572" s="37"/>
    </row>
    <row r="1573" spans="1:10" x14ac:dyDescent="0.35">
      <c r="A1573" s="32" t="s">
        <v>22</v>
      </c>
      <c r="B1573" s="32">
        <f t="shared" si="378"/>
        <v>2036</v>
      </c>
      <c r="C1573" s="33" t="s">
        <v>40</v>
      </c>
      <c r="D1573" s="34" t="s">
        <v>128</v>
      </c>
      <c r="E1573" s="35" t="str">
        <f t="shared" si="376"/>
        <v>PSNP'!</v>
      </c>
      <c r="F1573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73" s="32" t="s">
        <v>120</v>
      </c>
      <c r="H1573" s="33"/>
      <c r="I1573" s="33"/>
      <c r="J1573" s="37"/>
    </row>
    <row r="1574" spans="1:10" x14ac:dyDescent="0.35">
      <c r="A1574" s="32" t="s">
        <v>22</v>
      </c>
      <c r="B1574" s="32">
        <f>+B1573+1</f>
        <v>2037</v>
      </c>
      <c r="C1574" s="33" t="s">
        <v>40</v>
      </c>
      <c r="D1574" s="34" t="s">
        <v>128</v>
      </c>
      <c r="E1574" s="35" t="str">
        <f t="shared" si="376"/>
        <v>PSNP'!</v>
      </c>
      <c r="F1574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74" s="32" t="s">
        <v>120</v>
      </c>
      <c r="H1574" s="33"/>
      <c r="I1574" s="33"/>
      <c r="J1574" s="37"/>
    </row>
    <row r="1575" spans="1:10" x14ac:dyDescent="0.35">
      <c r="A1575" s="32" t="s">
        <v>22</v>
      </c>
      <c r="B1575" s="32">
        <f t="shared" ref="B1575:B1577" si="379">+B1574+1</f>
        <v>2038</v>
      </c>
      <c r="C1575" s="33" t="s">
        <v>40</v>
      </c>
      <c r="D1575" s="34" t="s">
        <v>128</v>
      </c>
      <c r="E1575" s="35" t="str">
        <f t="shared" si="376"/>
        <v>PSNP'!</v>
      </c>
      <c r="F1575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75" s="32" t="s">
        <v>120</v>
      </c>
      <c r="H1575" s="33"/>
      <c r="I1575" s="33"/>
      <c r="J1575" s="37"/>
    </row>
    <row r="1576" spans="1:10" x14ac:dyDescent="0.35">
      <c r="A1576" s="32" t="s">
        <v>22</v>
      </c>
      <c r="B1576" s="32">
        <f t="shared" si="379"/>
        <v>2039</v>
      </c>
      <c r="C1576" s="33" t="s">
        <v>40</v>
      </c>
      <c r="D1576" s="34" t="s">
        <v>128</v>
      </c>
      <c r="E1576" s="35" t="str">
        <f t="shared" si="376"/>
        <v>PSNP'!</v>
      </c>
      <c r="F1576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76" s="32" t="s">
        <v>120</v>
      </c>
      <c r="H1576" s="33"/>
      <c r="I1576" s="33"/>
      <c r="J1576" s="37"/>
    </row>
    <row r="1577" spans="1:10" x14ac:dyDescent="0.35">
      <c r="A1577" s="32" t="s">
        <v>22</v>
      </c>
      <c r="B1577" s="32">
        <f t="shared" si="379"/>
        <v>2040</v>
      </c>
      <c r="C1577" s="33" t="s">
        <v>40</v>
      </c>
      <c r="D1577" s="34" t="s">
        <v>128</v>
      </c>
      <c r="E1577" s="35" t="str">
        <f t="shared" si="376"/>
        <v>PSNP'!</v>
      </c>
      <c r="F1577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77" s="32" t="s">
        <v>120</v>
      </c>
      <c r="H1577" s="33"/>
      <c r="I1577" s="33"/>
      <c r="J1577" s="37"/>
    </row>
    <row r="1578" spans="1:10" x14ac:dyDescent="0.35">
      <c r="A1578" s="32" t="s">
        <v>22</v>
      </c>
      <c r="B1578" s="32">
        <f>+B1577+1</f>
        <v>2041</v>
      </c>
      <c r="C1578" s="33" t="s">
        <v>40</v>
      </c>
      <c r="D1578" s="34" t="s">
        <v>128</v>
      </c>
      <c r="E1578" s="35" t="str">
        <f t="shared" si="376"/>
        <v>PSNP'!</v>
      </c>
      <c r="F1578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78" s="32" t="s">
        <v>120</v>
      </c>
      <c r="H1578" s="33"/>
      <c r="I1578" s="33"/>
      <c r="J1578" s="37"/>
    </row>
    <row r="1579" spans="1:10" x14ac:dyDescent="0.35">
      <c r="A1579" s="32" t="s">
        <v>22</v>
      </c>
      <c r="B1579" s="32">
        <f t="shared" ref="B1579:B1580" si="380">+B1578+1</f>
        <v>2042</v>
      </c>
      <c r="C1579" s="33" t="s">
        <v>40</v>
      </c>
      <c r="D1579" s="34" t="s">
        <v>128</v>
      </c>
      <c r="E1579" s="35" t="str">
        <f t="shared" si="376"/>
        <v>PSNP'!</v>
      </c>
      <c r="F1579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79" s="32" t="s">
        <v>120</v>
      </c>
      <c r="H1579" s="33"/>
      <c r="I1579" s="33"/>
      <c r="J1579" s="37"/>
    </row>
    <row r="1580" spans="1:10" x14ac:dyDescent="0.35">
      <c r="A1580" s="32" t="s">
        <v>22</v>
      </c>
      <c r="B1580" s="32">
        <f t="shared" si="380"/>
        <v>2043</v>
      </c>
      <c r="C1580" s="33" t="s">
        <v>40</v>
      </c>
      <c r="D1580" s="34" t="s">
        <v>128</v>
      </c>
      <c r="E1580" s="35" t="str">
        <f t="shared" si="376"/>
        <v>PSNP'!</v>
      </c>
      <c r="F1580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80" s="32" t="s">
        <v>120</v>
      </c>
      <c r="H1580" s="33"/>
      <c r="I1580" s="33"/>
      <c r="J1580" s="37"/>
    </row>
    <row r="1581" spans="1:10" x14ac:dyDescent="0.35">
      <c r="A1581" s="32" t="s">
        <v>22</v>
      </c>
      <c r="B1581" s="32">
        <f>+B1580+1</f>
        <v>2044</v>
      </c>
      <c r="C1581" s="33" t="s">
        <v>40</v>
      </c>
      <c r="D1581" s="34" t="s">
        <v>128</v>
      </c>
      <c r="E1581" s="35" t="str">
        <f t="shared" ref="E1581:E1596" si="381">_xlfn.CONCAT(A1581,"'!")</f>
        <v>PSNP'!</v>
      </c>
      <c r="F1581" s="34" t="str">
        <f t="shared" ref="F1581:F1596" si="382">_xlfn.CONCAT(D1581:E1581)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81" s="32" t="s">
        <v>120</v>
      </c>
      <c r="H1581" s="33"/>
      <c r="I1581" s="33"/>
      <c r="J1581" s="37"/>
    </row>
    <row r="1582" spans="1:10" x14ac:dyDescent="0.35">
      <c r="A1582" s="32" t="s">
        <v>22</v>
      </c>
      <c r="B1582" s="32">
        <f t="shared" ref="B1582:B1596" si="383">+B1581+1</f>
        <v>2045</v>
      </c>
      <c r="C1582" s="33" t="s">
        <v>40</v>
      </c>
      <c r="D1582" s="34" t="s">
        <v>128</v>
      </c>
      <c r="E1582" s="35" t="str">
        <f t="shared" si="381"/>
        <v>PSNP'!</v>
      </c>
      <c r="F1582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82" s="32" t="s">
        <v>120</v>
      </c>
      <c r="H1582" s="33"/>
      <c r="I1582" s="33"/>
      <c r="J1582" s="37"/>
    </row>
    <row r="1583" spans="1:10" x14ac:dyDescent="0.35">
      <c r="A1583" s="32" t="s">
        <v>22</v>
      </c>
      <c r="B1583" s="32">
        <f t="shared" si="383"/>
        <v>2046</v>
      </c>
      <c r="C1583" s="33" t="s">
        <v>40</v>
      </c>
      <c r="D1583" s="34" t="s">
        <v>128</v>
      </c>
      <c r="E1583" s="35" t="str">
        <f t="shared" si="381"/>
        <v>PSNP'!</v>
      </c>
      <c r="F1583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83" s="32" t="s">
        <v>120</v>
      </c>
      <c r="H1583" s="33"/>
      <c r="I1583" s="33"/>
      <c r="J1583" s="37"/>
    </row>
    <row r="1584" spans="1:10" x14ac:dyDescent="0.35">
      <c r="A1584" s="32" t="s">
        <v>22</v>
      </c>
      <c r="B1584" s="32">
        <f t="shared" si="383"/>
        <v>2047</v>
      </c>
      <c r="C1584" s="33" t="s">
        <v>40</v>
      </c>
      <c r="D1584" s="34" t="s">
        <v>128</v>
      </c>
      <c r="E1584" s="35" t="str">
        <f t="shared" si="381"/>
        <v>PSNP'!</v>
      </c>
      <c r="F1584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84" s="32" t="s">
        <v>120</v>
      </c>
      <c r="H1584" s="33"/>
      <c r="I1584" s="33"/>
      <c r="J1584" s="37"/>
    </row>
    <row r="1585" spans="1:10" x14ac:dyDescent="0.35">
      <c r="A1585" s="32" t="s">
        <v>22</v>
      </c>
      <c r="B1585" s="32">
        <f t="shared" si="383"/>
        <v>2048</v>
      </c>
      <c r="C1585" s="33" t="s">
        <v>40</v>
      </c>
      <c r="D1585" s="34" t="s">
        <v>128</v>
      </c>
      <c r="E1585" s="35" t="str">
        <f t="shared" si="381"/>
        <v>PSNP'!</v>
      </c>
      <c r="F1585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85" s="32" t="s">
        <v>120</v>
      </c>
      <c r="H1585" s="33"/>
      <c r="I1585" s="33"/>
      <c r="J1585" s="37"/>
    </row>
    <row r="1586" spans="1:10" x14ac:dyDescent="0.35">
      <c r="A1586" s="32" t="s">
        <v>22</v>
      </c>
      <c r="B1586" s="32">
        <f t="shared" si="383"/>
        <v>2049</v>
      </c>
      <c r="C1586" s="33" t="s">
        <v>40</v>
      </c>
      <c r="D1586" s="34" t="s">
        <v>128</v>
      </c>
      <c r="E1586" s="35" t="str">
        <f t="shared" si="381"/>
        <v>PSNP'!</v>
      </c>
      <c r="F1586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86" s="32" t="s">
        <v>120</v>
      </c>
      <c r="H1586" s="33"/>
      <c r="I1586" s="33"/>
      <c r="J1586" s="37"/>
    </row>
    <row r="1587" spans="1:10" x14ac:dyDescent="0.35">
      <c r="A1587" s="32" t="s">
        <v>22</v>
      </c>
      <c r="B1587" s="32">
        <f t="shared" si="383"/>
        <v>2050</v>
      </c>
      <c r="C1587" s="33" t="s">
        <v>40</v>
      </c>
      <c r="D1587" s="34" t="s">
        <v>128</v>
      </c>
      <c r="E1587" s="35" t="str">
        <f t="shared" si="381"/>
        <v>PSNP'!</v>
      </c>
      <c r="F1587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87" s="32" t="s">
        <v>120</v>
      </c>
      <c r="H1587" s="33"/>
      <c r="I1587" s="33"/>
      <c r="J1587" s="37"/>
    </row>
    <row r="1588" spans="1:10" x14ac:dyDescent="0.35">
      <c r="A1588" s="32" t="s">
        <v>22</v>
      </c>
      <c r="B1588" s="32">
        <f t="shared" si="383"/>
        <v>2051</v>
      </c>
      <c r="C1588" s="33" t="s">
        <v>40</v>
      </c>
      <c r="D1588" s="34" t="s">
        <v>128</v>
      </c>
      <c r="E1588" s="35" t="str">
        <f t="shared" si="381"/>
        <v>PSNP'!</v>
      </c>
      <c r="F1588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88" s="32" t="s">
        <v>120</v>
      </c>
      <c r="H1588" s="33"/>
      <c r="I1588" s="33"/>
      <c r="J1588" s="37"/>
    </row>
    <row r="1589" spans="1:10" x14ac:dyDescent="0.35">
      <c r="A1589" s="32" t="s">
        <v>22</v>
      </c>
      <c r="B1589" s="32">
        <f t="shared" si="383"/>
        <v>2052</v>
      </c>
      <c r="C1589" s="33" t="s">
        <v>40</v>
      </c>
      <c r="D1589" s="34" t="s">
        <v>128</v>
      </c>
      <c r="E1589" s="35" t="str">
        <f t="shared" si="381"/>
        <v>PSNP'!</v>
      </c>
      <c r="F1589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89" s="32" t="s">
        <v>120</v>
      </c>
      <c r="H1589" s="33"/>
      <c r="I1589" s="33"/>
      <c r="J1589" s="37"/>
    </row>
    <row r="1590" spans="1:10" x14ac:dyDescent="0.35">
      <c r="A1590" s="32" t="s">
        <v>22</v>
      </c>
      <c r="B1590" s="32">
        <f t="shared" si="383"/>
        <v>2053</v>
      </c>
      <c r="C1590" s="33" t="s">
        <v>40</v>
      </c>
      <c r="D1590" s="34" t="s">
        <v>128</v>
      </c>
      <c r="E1590" s="35" t="str">
        <f t="shared" si="381"/>
        <v>PSNP'!</v>
      </c>
      <c r="F1590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90" s="32" t="s">
        <v>120</v>
      </c>
      <c r="H1590" s="33"/>
      <c r="I1590" s="33"/>
      <c r="J1590" s="37"/>
    </row>
    <row r="1591" spans="1:10" x14ac:dyDescent="0.35">
      <c r="A1591" s="32" t="s">
        <v>22</v>
      </c>
      <c r="B1591" s="32">
        <f t="shared" si="383"/>
        <v>2054</v>
      </c>
      <c r="C1591" s="33" t="s">
        <v>40</v>
      </c>
      <c r="D1591" s="34" t="s">
        <v>128</v>
      </c>
      <c r="E1591" s="35" t="str">
        <f t="shared" si="381"/>
        <v>PSNP'!</v>
      </c>
      <c r="F1591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91" s="32" t="s">
        <v>120</v>
      </c>
      <c r="H1591" s="33"/>
      <c r="I1591" s="33"/>
      <c r="J1591" s="37"/>
    </row>
    <row r="1592" spans="1:10" x14ac:dyDescent="0.35">
      <c r="A1592" s="32" t="s">
        <v>22</v>
      </c>
      <c r="B1592" s="32">
        <f t="shared" si="383"/>
        <v>2055</v>
      </c>
      <c r="C1592" s="33" t="s">
        <v>40</v>
      </c>
      <c r="D1592" s="34" t="s">
        <v>128</v>
      </c>
      <c r="E1592" s="35" t="str">
        <f t="shared" si="381"/>
        <v>PSNP'!</v>
      </c>
      <c r="F1592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92" s="32" t="s">
        <v>120</v>
      </c>
      <c r="H1592" s="33"/>
      <c r="I1592" s="33"/>
      <c r="J1592" s="37"/>
    </row>
    <row r="1593" spans="1:10" x14ac:dyDescent="0.35">
      <c r="A1593" s="32" t="s">
        <v>22</v>
      </c>
      <c r="B1593" s="32">
        <f t="shared" si="383"/>
        <v>2056</v>
      </c>
      <c r="C1593" s="33" t="s">
        <v>40</v>
      </c>
      <c r="D1593" s="34" t="s">
        <v>128</v>
      </c>
      <c r="E1593" s="35" t="str">
        <f t="shared" si="381"/>
        <v>PSNP'!</v>
      </c>
      <c r="F1593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93" s="32" t="s">
        <v>120</v>
      </c>
      <c r="H1593" s="33"/>
      <c r="I1593" s="33"/>
      <c r="J1593" s="37"/>
    </row>
    <row r="1594" spans="1:10" x14ac:dyDescent="0.35">
      <c r="A1594" s="32" t="s">
        <v>22</v>
      </c>
      <c r="B1594" s="32">
        <f t="shared" si="383"/>
        <v>2057</v>
      </c>
      <c r="C1594" s="33" t="s">
        <v>40</v>
      </c>
      <c r="D1594" s="34" t="s">
        <v>128</v>
      </c>
      <c r="E1594" s="35" t="str">
        <f t="shared" si="381"/>
        <v>PSNP'!</v>
      </c>
      <c r="F1594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94" s="32" t="s">
        <v>120</v>
      </c>
      <c r="H1594" s="33"/>
      <c r="I1594" s="33"/>
      <c r="J1594" s="37"/>
    </row>
    <row r="1595" spans="1:10" x14ac:dyDescent="0.35">
      <c r="A1595" s="32" t="s">
        <v>22</v>
      </c>
      <c r="B1595" s="32">
        <f t="shared" si="383"/>
        <v>2058</v>
      </c>
      <c r="C1595" s="33" t="s">
        <v>40</v>
      </c>
      <c r="D1595" s="34" t="s">
        <v>128</v>
      </c>
      <c r="E1595" s="35" t="str">
        <f t="shared" si="381"/>
        <v>PSNP'!</v>
      </c>
      <c r="F1595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95" s="32" t="s">
        <v>120</v>
      </c>
      <c r="H1595" s="33"/>
      <c r="I1595" s="33"/>
      <c r="J1595" s="37"/>
    </row>
    <row r="1596" spans="1:10" x14ac:dyDescent="0.35">
      <c r="A1596" s="32" t="s">
        <v>22</v>
      </c>
      <c r="B1596" s="32">
        <f t="shared" si="383"/>
        <v>2059</v>
      </c>
      <c r="C1596" s="33" t="s">
        <v>40</v>
      </c>
      <c r="D1596" s="34" t="s">
        <v>128</v>
      </c>
      <c r="E1596" s="35" t="str">
        <f t="shared" si="381"/>
        <v>PSNP'!</v>
      </c>
      <c r="F1596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96" s="32" t="s">
        <v>120</v>
      </c>
      <c r="H1596" s="33"/>
      <c r="I1596" s="33"/>
      <c r="J1596" s="37"/>
    </row>
    <row r="1597" spans="1:10" x14ac:dyDescent="0.35">
      <c r="A1597" s="32" t="s">
        <v>26</v>
      </c>
      <c r="B1597" s="32"/>
      <c r="C1597" s="33" t="s">
        <v>40</v>
      </c>
      <c r="D1597" s="34"/>
      <c r="E1597" s="35"/>
      <c r="F1597" s="34"/>
      <c r="G1597" s="32"/>
      <c r="H1597" s="33"/>
      <c r="I1597" s="33"/>
      <c r="J1597" s="33"/>
    </row>
    <row r="1598" spans="1:10" x14ac:dyDescent="0.35">
      <c r="A1598" s="32" t="s">
        <v>23</v>
      </c>
      <c r="B1598" s="32">
        <v>2023</v>
      </c>
      <c r="C1598" s="33" t="s">
        <v>40</v>
      </c>
      <c r="D1598" s="34" t="s">
        <v>128</v>
      </c>
      <c r="E1598" s="35" t="str">
        <f t="shared" ref="E1598:E1618" si="384">_xlfn.CONCAT(A1598,"'!")</f>
        <v>PSND'!</v>
      </c>
      <c r="F1598" s="34" t="str">
        <f t="shared" ref="F1598:F1618" si="385">_xlfn.CONCAT(D1598:E1598)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598" s="32" t="s">
        <v>120</v>
      </c>
      <c r="H1598" s="33"/>
      <c r="I1598" s="33"/>
      <c r="J1598" s="37"/>
    </row>
    <row r="1599" spans="1:10" x14ac:dyDescent="0.35">
      <c r="A1599" s="32" t="s">
        <v>23</v>
      </c>
      <c r="B1599" s="32">
        <f>+B1598+1</f>
        <v>2024</v>
      </c>
      <c r="C1599" s="33" t="s">
        <v>40</v>
      </c>
      <c r="D1599" s="34" t="s">
        <v>128</v>
      </c>
      <c r="E1599" s="35" t="str">
        <f t="shared" si="384"/>
        <v>PSND'!</v>
      </c>
      <c r="F1599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599" s="32" t="s">
        <v>120</v>
      </c>
      <c r="H1599" s="33"/>
      <c r="I1599" s="33"/>
      <c r="J1599" s="37"/>
    </row>
    <row r="1600" spans="1:10" x14ac:dyDescent="0.35">
      <c r="A1600" s="32" t="s">
        <v>23</v>
      </c>
      <c r="B1600" s="32">
        <f t="shared" ref="B1600:B1611" si="386">+B1599+1</f>
        <v>2025</v>
      </c>
      <c r="C1600" s="33" t="s">
        <v>40</v>
      </c>
      <c r="D1600" s="34" t="s">
        <v>128</v>
      </c>
      <c r="E1600" s="35" t="str">
        <f t="shared" si="384"/>
        <v>PSND'!</v>
      </c>
      <c r="F1600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00" s="32" t="s">
        <v>120</v>
      </c>
      <c r="H1600" s="33"/>
      <c r="I1600" s="33"/>
      <c r="J1600" s="37"/>
    </row>
    <row r="1601" spans="1:10" x14ac:dyDescent="0.35">
      <c r="A1601" s="32" t="s">
        <v>23</v>
      </c>
      <c r="B1601" s="32">
        <f t="shared" si="386"/>
        <v>2026</v>
      </c>
      <c r="C1601" s="33" t="s">
        <v>40</v>
      </c>
      <c r="D1601" s="34" t="s">
        <v>128</v>
      </c>
      <c r="E1601" s="35" t="str">
        <f t="shared" si="384"/>
        <v>PSND'!</v>
      </c>
      <c r="F1601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01" s="32" t="s">
        <v>120</v>
      </c>
      <c r="H1601" s="33"/>
      <c r="I1601" s="33"/>
      <c r="J1601" s="37"/>
    </row>
    <row r="1602" spans="1:10" x14ac:dyDescent="0.35">
      <c r="A1602" s="32" t="s">
        <v>23</v>
      </c>
      <c r="B1602" s="32">
        <f t="shared" si="386"/>
        <v>2027</v>
      </c>
      <c r="C1602" s="33" t="s">
        <v>40</v>
      </c>
      <c r="D1602" s="34" t="s">
        <v>128</v>
      </c>
      <c r="E1602" s="35" t="str">
        <f t="shared" si="384"/>
        <v>PSND'!</v>
      </c>
      <c r="F1602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02" s="32" t="s">
        <v>120</v>
      </c>
      <c r="H1602" s="33"/>
      <c r="I1602" s="33"/>
      <c r="J1602" s="37"/>
    </row>
    <row r="1603" spans="1:10" x14ac:dyDescent="0.35">
      <c r="A1603" s="32" t="s">
        <v>23</v>
      </c>
      <c r="B1603" s="32">
        <f t="shared" si="386"/>
        <v>2028</v>
      </c>
      <c r="C1603" s="33" t="s">
        <v>40</v>
      </c>
      <c r="D1603" s="34" t="s">
        <v>128</v>
      </c>
      <c r="E1603" s="35" t="str">
        <f t="shared" si="384"/>
        <v>PSND'!</v>
      </c>
      <c r="F1603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03" s="32" t="s">
        <v>120</v>
      </c>
      <c r="H1603" s="33"/>
      <c r="I1603" s="33"/>
      <c r="J1603" s="37"/>
    </row>
    <row r="1604" spans="1:10" x14ac:dyDescent="0.35">
      <c r="A1604" s="32" t="s">
        <v>23</v>
      </c>
      <c r="B1604" s="32">
        <f t="shared" si="386"/>
        <v>2029</v>
      </c>
      <c r="C1604" s="33" t="s">
        <v>40</v>
      </c>
      <c r="D1604" s="34" t="s">
        <v>128</v>
      </c>
      <c r="E1604" s="35" t="str">
        <f t="shared" si="384"/>
        <v>PSND'!</v>
      </c>
      <c r="F1604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04" s="32" t="s">
        <v>120</v>
      </c>
      <c r="H1604" s="33"/>
      <c r="I1604" s="33"/>
      <c r="J1604" s="37"/>
    </row>
    <row r="1605" spans="1:10" x14ac:dyDescent="0.35">
      <c r="A1605" s="32" t="s">
        <v>23</v>
      </c>
      <c r="B1605" s="32">
        <f t="shared" si="386"/>
        <v>2030</v>
      </c>
      <c r="C1605" s="33" t="s">
        <v>40</v>
      </c>
      <c r="D1605" s="34" t="s">
        <v>128</v>
      </c>
      <c r="E1605" s="35" t="str">
        <f t="shared" si="384"/>
        <v>PSND'!</v>
      </c>
      <c r="F1605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05" s="32" t="s">
        <v>120</v>
      </c>
      <c r="H1605" s="33"/>
      <c r="I1605" s="33"/>
      <c r="J1605" s="37"/>
    </row>
    <row r="1606" spans="1:10" x14ac:dyDescent="0.35">
      <c r="A1606" s="32" t="s">
        <v>23</v>
      </c>
      <c r="B1606" s="32">
        <f t="shared" si="386"/>
        <v>2031</v>
      </c>
      <c r="C1606" s="33" t="s">
        <v>40</v>
      </c>
      <c r="D1606" s="34" t="s">
        <v>128</v>
      </c>
      <c r="E1606" s="35" t="str">
        <f t="shared" si="384"/>
        <v>PSND'!</v>
      </c>
      <c r="F1606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06" s="32" t="s">
        <v>120</v>
      </c>
      <c r="H1606" s="33"/>
      <c r="I1606" s="33"/>
      <c r="J1606" s="37"/>
    </row>
    <row r="1607" spans="1:10" x14ac:dyDescent="0.35">
      <c r="A1607" s="32" t="s">
        <v>23</v>
      </c>
      <c r="B1607" s="32">
        <f t="shared" si="386"/>
        <v>2032</v>
      </c>
      <c r="C1607" s="33" t="s">
        <v>40</v>
      </c>
      <c r="D1607" s="34" t="s">
        <v>128</v>
      </c>
      <c r="E1607" s="35" t="str">
        <f t="shared" si="384"/>
        <v>PSND'!</v>
      </c>
      <c r="F1607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07" s="32" t="s">
        <v>120</v>
      </c>
      <c r="H1607" s="33"/>
      <c r="I1607" s="33"/>
      <c r="J1607" s="37"/>
    </row>
    <row r="1608" spans="1:10" x14ac:dyDescent="0.35">
      <c r="A1608" s="32" t="s">
        <v>23</v>
      </c>
      <c r="B1608" s="32">
        <f t="shared" si="386"/>
        <v>2033</v>
      </c>
      <c r="C1608" s="33" t="s">
        <v>40</v>
      </c>
      <c r="D1608" s="34" t="s">
        <v>128</v>
      </c>
      <c r="E1608" s="35" t="str">
        <f t="shared" si="384"/>
        <v>PSND'!</v>
      </c>
      <c r="F1608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08" s="32" t="s">
        <v>120</v>
      </c>
      <c r="H1608" s="33"/>
      <c r="I1608" s="33"/>
      <c r="J1608" s="37"/>
    </row>
    <row r="1609" spans="1:10" x14ac:dyDescent="0.35">
      <c r="A1609" s="32" t="s">
        <v>23</v>
      </c>
      <c r="B1609" s="32">
        <f t="shared" si="386"/>
        <v>2034</v>
      </c>
      <c r="C1609" s="33" t="s">
        <v>40</v>
      </c>
      <c r="D1609" s="34" t="s">
        <v>128</v>
      </c>
      <c r="E1609" s="35" t="str">
        <f t="shared" si="384"/>
        <v>PSND'!</v>
      </c>
      <c r="F1609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09" s="32" t="s">
        <v>120</v>
      </c>
      <c r="H1609" s="33"/>
      <c r="I1609" s="33"/>
      <c r="J1609" s="37"/>
    </row>
    <row r="1610" spans="1:10" x14ac:dyDescent="0.35">
      <c r="A1610" s="32" t="s">
        <v>23</v>
      </c>
      <c r="B1610" s="32">
        <f t="shared" si="386"/>
        <v>2035</v>
      </c>
      <c r="C1610" s="33" t="s">
        <v>40</v>
      </c>
      <c r="D1610" s="34" t="s">
        <v>128</v>
      </c>
      <c r="E1610" s="35" t="str">
        <f t="shared" si="384"/>
        <v>PSND'!</v>
      </c>
      <c r="F1610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10" s="32" t="s">
        <v>120</v>
      </c>
      <c r="H1610" s="33"/>
      <c r="I1610" s="33"/>
      <c r="J1610" s="37"/>
    </row>
    <row r="1611" spans="1:10" x14ac:dyDescent="0.35">
      <c r="A1611" s="32" t="s">
        <v>23</v>
      </c>
      <c r="B1611" s="32">
        <f t="shared" si="386"/>
        <v>2036</v>
      </c>
      <c r="C1611" s="33" t="s">
        <v>40</v>
      </c>
      <c r="D1611" s="34" t="s">
        <v>128</v>
      </c>
      <c r="E1611" s="35" t="str">
        <f t="shared" si="384"/>
        <v>PSND'!</v>
      </c>
      <c r="F1611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11" s="32" t="s">
        <v>120</v>
      </c>
      <c r="H1611" s="33"/>
      <c r="I1611" s="33"/>
      <c r="J1611" s="37"/>
    </row>
    <row r="1612" spans="1:10" x14ac:dyDescent="0.35">
      <c r="A1612" s="32" t="s">
        <v>23</v>
      </c>
      <c r="B1612" s="32">
        <f>+B1611+1</f>
        <v>2037</v>
      </c>
      <c r="C1612" s="33" t="s">
        <v>40</v>
      </c>
      <c r="D1612" s="34" t="s">
        <v>128</v>
      </c>
      <c r="E1612" s="35" t="str">
        <f t="shared" si="384"/>
        <v>PSND'!</v>
      </c>
      <c r="F1612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12" s="32" t="s">
        <v>120</v>
      </c>
      <c r="H1612" s="33"/>
      <c r="I1612" s="33"/>
      <c r="J1612" s="37"/>
    </row>
    <row r="1613" spans="1:10" x14ac:dyDescent="0.35">
      <c r="A1613" s="32" t="s">
        <v>23</v>
      </c>
      <c r="B1613" s="32">
        <f t="shared" ref="B1613:B1615" si="387">+B1612+1</f>
        <v>2038</v>
      </c>
      <c r="C1613" s="33" t="s">
        <v>40</v>
      </c>
      <c r="D1613" s="34" t="s">
        <v>128</v>
      </c>
      <c r="E1613" s="35" t="str">
        <f t="shared" si="384"/>
        <v>PSND'!</v>
      </c>
      <c r="F1613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13" s="32" t="s">
        <v>120</v>
      </c>
      <c r="H1613" s="33"/>
      <c r="I1613" s="33"/>
      <c r="J1613" s="37"/>
    </row>
    <row r="1614" spans="1:10" x14ac:dyDescent="0.35">
      <c r="A1614" s="32" t="s">
        <v>23</v>
      </c>
      <c r="B1614" s="32">
        <f t="shared" si="387"/>
        <v>2039</v>
      </c>
      <c r="C1614" s="33" t="s">
        <v>40</v>
      </c>
      <c r="D1614" s="34" t="s">
        <v>128</v>
      </c>
      <c r="E1614" s="35" t="str">
        <f t="shared" si="384"/>
        <v>PSND'!</v>
      </c>
      <c r="F1614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14" s="32" t="s">
        <v>120</v>
      </c>
      <c r="H1614" s="33"/>
      <c r="I1614" s="33"/>
      <c r="J1614" s="37"/>
    </row>
    <row r="1615" spans="1:10" x14ac:dyDescent="0.35">
      <c r="A1615" s="32" t="s">
        <v>23</v>
      </c>
      <c r="B1615" s="32">
        <f t="shared" si="387"/>
        <v>2040</v>
      </c>
      <c r="C1615" s="33" t="s">
        <v>40</v>
      </c>
      <c r="D1615" s="34" t="s">
        <v>128</v>
      </c>
      <c r="E1615" s="35" t="str">
        <f t="shared" si="384"/>
        <v>PSND'!</v>
      </c>
      <c r="F1615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15" s="32" t="s">
        <v>120</v>
      </c>
      <c r="H1615" s="33"/>
      <c r="I1615" s="33"/>
      <c r="J1615" s="37"/>
    </row>
    <row r="1616" spans="1:10" x14ac:dyDescent="0.35">
      <c r="A1616" s="32" t="s">
        <v>23</v>
      </c>
      <c r="B1616" s="32">
        <f>+B1615+1</f>
        <v>2041</v>
      </c>
      <c r="C1616" s="33" t="s">
        <v>40</v>
      </c>
      <c r="D1616" s="34" t="s">
        <v>128</v>
      </c>
      <c r="E1616" s="35" t="str">
        <f t="shared" si="384"/>
        <v>PSND'!</v>
      </c>
      <c r="F1616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16" s="32" t="s">
        <v>120</v>
      </c>
      <c r="H1616" s="33"/>
      <c r="I1616" s="33"/>
      <c r="J1616" s="37"/>
    </row>
    <row r="1617" spans="1:10" x14ac:dyDescent="0.35">
      <c r="A1617" s="32" t="s">
        <v>23</v>
      </c>
      <c r="B1617" s="32">
        <f t="shared" ref="B1617:B1618" si="388">+B1616+1</f>
        <v>2042</v>
      </c>
      <c r="C1617" s="33" t="s">
        <v>40</v>
      </c>
      <c r="D1617" s="34" t="s">
        <v>128</v>
      </c>
      <c r="E1617" s="35" t="str">
        <f t="shared" si="384"/>
        <v>PSND'!</v>
      </c>
      <c r="F1617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17" s="32" t="s">
        <v>120</v>
      </c>
      <c r="H1617" s="33"/>
      <c r="I1617" s="33"/>
      <c r="J1617" s="37"/>
    </row>
    <row r="1618" spans="1:10" x14ac:dyDescent="0.35">
      <c r="A1618" s="32" t="s">
        <v>23</v>
      </c>
      <c r="B1618" s="32">
        <f t="shared" si="388"/>
        <v>2043</v>
      </c>
      <c r="C1618" s="33" t="s">
        <v>40</v>
      </c>
      <c r="D1618" s="34" t="s">
        <v>128</v>
      </c>
      <c r="E1618" s="35" t="str">
        <f t="shared" si="384"/>
        <v>PSND'!</v>
      </c>
      <c r="F1618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18" s="32" t="s">
        <v>120</v>
      </c>
      <c r="H1618" s="33"/>
      <c r="I1618" s="33"/>
      <c r="J1618" s="37"/>
    </row>
    <row r="1619" spans="1:10" x14ac:dyDescent="0.35">
      <c r="A1619" s="32" t="s">
        <v>23</v>
      </c>
      <c r="B1619" s="32">
        <f>+B1618+1</f>
        <v>2044</v>
      </c>
      <c r="C1619" s="33" t="s">
        <v>40</v>
      </c>
      <c r="D1619" s="34" t="s">
        <v>128</v>
      </c>
      <c r="E1619" s="35" t="str">
        <f t="shared" ref="E1619:E1634" si="389">_xlfn.CONCAT(A1619,"'!")</f>
        <v>PSND'!</v>
      </c>
      <c r="F1619" s="34" t="str">
        <f t="shared" ref="F1619:F1634" si="390">_xlfn.CONCAT(D1619:E1619)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19" s="32" t="s">
        <v>120</v>
      </c>
      <c r="H1619" s="33"/>
      <c r="I1619" s="33"/>
      <c r="J1619" s="37"/>
    </row>
    <row r="1620" spans="1:10" x14ac:dyDescent="0.35">
      <c r="A1620" s="32" t="s">
        <v>23</v>
      </c>
      <c r="B1620" s="32">
        <f t="shared" ref="B1620:B1634" si="391">+B1619+1</f>
        <v>2045</v>
      </c>
      <c r="C1620" s="33" t="s">
        <v>40</v>
      </c>
      <c r="D1620" s="34" t="s">
        <v>128</v>
      </c>
      <c r="E1620" s="35" t="str">
        <f t="shared" si="389"/>
        <v>PSND'!</v>
      </c>
      <c r="F1620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20" s="32" t="s">
        <v>120</v>
      </c>
      <c r="H1620" s="33"/>
      <c r="I1620" s="33"/>
      <c r="J1620" s="37"/>
    </row>
    <row r="1621" spans="1:10" x14ac:dyDescent="0.35">
      <c r="A1621" s="32" t="s">
        <v>23</v>
      </c>
      <c r="B1621" s="32">
        <f t="shared" si="391"/>
        <v>2046</v>
      </c>
      <c r="C1621" s="33" t="s">
        <v>40</v>
      </c>
      <c r="D1621" s="34" t="s">
        <v>128</v>
      </c>
      <c r="E1621" s="35" t="str">
        <f t="shared" si="389"/>
        <v>PSND'!</v>
      </c>
      <c r="F1621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21" s="32" t="s">
        <v>120</v>
      </c>
      <c r="H1621" s="33"/>
      <c r="I1621" s="33"/>
      <c r="J1621" s="37"/>
    </row>
    <row r="1622" spans="1:10" x14ac:dyDescent="0.35">
      <c r="A1622" s="32" t="s">
        <v>23</v>
      </c>
      <c r="B1622" s="32">
        <f t="shared" si="391"/>
        <v>2047</v>
      </c>
      <c r="C1622" s="33" t="s">
        <v>40</v>
      </c>
      <c r="D1622" s="34" t="s">
        <v>128</v>
      </c>
      <c r="E1622" s="35" t="str">
        <f t="shared" si="389"/>
        <v>PSND'!</v>
      </c>
      <c r="F1622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22" s="32" t="s">
        <v>120</v>
      </c>
      <c r="H1622" s="33"/>
      <c r="I1622" s="33"/>
      <c r="J1622" s="37"/>
    </row>
    <row r="1623" spans="1:10" x14ac:dyDescent="0.35">
      <c r="A1623" s="32" t="s">
        <v>23</v>
      </c>
      <c r="B1623" s="32">
        <f t="shared" si="391"/>
        <v>2048</v>
      </c>
      <c r="C1623" s="33" t="s">
        <v>40</v>
      </c>
      <c r="D1623" s="34" t="s">
        <v>128</v>
      </c>
      <c r="E1623" s="35" t="str">
        <f t="shared" si="389"/>
        <v>PSND'!</v>
      </c>
      <c r="F1623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23" s="32" t="s">
        <v>120</v>
      </c>
      <c r="H1623" s="33"/>
      <c r="I1623" s="33"/>
      <c r="J1623" s="37"/>
    </row>
    <row r="1624" spans="1:10" x14ac:dyDescent="0.35">
      <c r="A1624" s="32" t="s">
        <v>23</v>
      </c>
      <c r="B1624" s="32">
        <f t="shared" si="391"/>
        <v>2049</v>
      </c>
      <c r="C1624" s="33" t="s">
        <v>40</v>
      </c>
      <c r="D1624" s="34" t="s">
        <v>128</v>
      </c>
      <c r="E1624" s="35" t="str">
        <f t="shared" si="389"/>
        <v>PSND'!</v>
      </c>
      <c r="F1624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24" s="32" t="s">
        <v>120</v>
      </c>
      <c r="H1624" s="33"/>
      <c r="I1624" s="33"/>
      <c r="J1624" s="37"/>
    </row>
    <row r="1625" spans="1:10" x14ac:dyDescent="0.35">
      <c r="A1625" s="32" t="s">
        <v>23</v>
      </c>
      <c r="B1625" s="32">
        <f t="shared" si="391"/>
        <v>2050</v>
      </c>
      <c r="C1625" s="33" t="s">
        <v>40</v>
      </c>
      <c r="D1625" s="34" t="s">
        <v>128</v>
      </c>
      <c r="E1625" s="35" t="str">
        <f t="shared" si="389"/>
        <v>PSND'!</v>
      </c>
      <c r="F1625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25" s="32" t="s">
        <v>120</v>
      </c>
      <c r="H1625" s="33"/>
      <c r="I1625" s="33"/>
      <c r="J1625" s="37"/>
    </row>
    <row r="1626" spans="1:10" x14ac:dyDescent="0.35">
      <c r="A1626" s="32" t="s">
        <v>23</v>
      </c>
      <c r="B1626" s="32">
        <f t="shared" si="391"/>
        <v>2051</v>
      </c>
      <c r="C1626" s="33" t="s">
        <v>40</v>
      </c>
      <c r="D1626" s="34" t="s">
        <v>128</v>
      </c>
      <c r="E1626" s="35" t="str">
        <f t="shared" si="389"/>
        <v>PSND'!</v>
      </c>
      <c r="F1626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26" s="32" t="s">
        <v>120</v>
      </c>
      <c r="H1626" s="33"/>
      <c r="I1626" s="33"/>
      <c r="J1626" s="37"/>
    </row>
    <row r="1627" spans="1:10" x14ac:dyDescent="0.35">
      <c r="A1627" s="32" t="s">
        <v>23</v>
      </c>
      <c r="B1627" s="32">
        <f t="shared" si="391"/>
        <v>2052</v>
      </c>
      <c r="C1627" s="33" t="s">
        <v>40</v>
      </c>
      <c r="D1627" s="34" t="s">
        <v>128</v>
      </c>
      <c r="E1627" s="35" t="str">
        <f t="shared" si="389"/>
        <v>PSND'!</v>
      </c>
      <c r="F1627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27" s="32" t="s">
        <v>120</v>
      </c>
      <c r="H1627" s="33"/>
      <c r="I1627" s="33"/>
      <c r="J1627" s="37"/>
    </row>
    <row r="1628" spans="1:10" x14ac:dyDescent="0.35">
      <c r="A1628" s="32" t="s">
        <v>23</v>
      </c>
      <c r="B1628" s="32">
        <f t="shared" si="391"/>
        <v>2053</v>
      </c>
      <c r="C1628" s="33" t="s">
        <v>40</v>
      </c>
      <c r="D1628" s="34" t="s">
        <v>128</v>
      </c>
      <c r="E1628" s="35" t="str">
        <f t="shared" si="389"/>
        <v>PSND'!</v>
      </c>
      <c r="F1628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28" s="32" t="s">
        <v>120</v>
      </c>
      <c r="H1628" s="33"/>
      <c r="I1628" s="33"/>
      <c r="J1628" s="37"/>
    </row>
    <row r="1629" spans="1:10" x14ac:dyDescent="0.35">
      <c r="A1629" s="32" t="s">
        <v>23</v>
      </c>
      <c r="B1629" s="32">
        <f t="shared" si="391"/>
        <v>2054</v>
      </c>
      <c r="C1629" s="33" t="s">
        <v>40</v>
      </c>
      <c r="D1629" s="34" t="s">
        <v>128</v>
      </c>
      <c r="E1629" s="35" t="str">
        <f t="shared" si="389"/>
        <v>PSND'!</v>
      </c>
      <c r="F1629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29" s="32" t="s">
        <v>120</v>
      </c>
      <c r="H1629" s="33"/>
      <c r="I1629" s="33"/>
      <c r="J1629" s="37"/>
    </row>
    <row r="1630" spans="1:10" x14ac:dyDescent="0.35">
      <c r="A1630" s="32" t="s">
        <v>23</v>
      </c>
      <c r="B1630" s="32">
        <f t="shared" si="391"/>
        <v>2055</v>
      </c>
      <c r="C1630" s="33" t="s">
        <v>40</v>
      </c>
      <c r="D1630" s="34" t="s">
        <v>128</v>
      </c>
      <c r="E1630" s="35" t="str">
        <f t="shared" si="389"/>
        <v>PSND'!</v>
      </c>
      <c r="F1630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30" s="32" t="s">
        <v>120</v>
      </c>
      <c r="H1630" s="33"/>
      <c r="I1630" s="33"/>
      <c r="J1630" s="37"/>
    </row>
    <row r="1631" spans="1:10" x14ac:dyDescent="0.35">
      <c r="A1631" s="32" t="s">
        <v>23</v>
      </c>
      <c r="B1631" s="32">
        <f t="shared" si="391"/>
        <v>2056</v>
      </c>
      <c r="C1631" s="33" t="s">
        <v>40</v>
      </c>
      <c r="D1631" s="34" t="s">
        <v>128</v>
      </c>
      <c r="E1631" s="35" t="str">
        <f t="shared" si="389"/>
        <v>PSND'!</v>
      </c>
      <c r="F1631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31" s="32" t="s">
        <v>120</v>
      </c>
      <c r="H1631" s="33"/>
      <c r="I1631" s="33"/>
      <c r="J1631" s="37"/>
    </row>
    <row r="1632" spans="1:10" x14ac:dyDescent="0.35">
      <c r="A1632" s="32" t="s">
        <v>23</v>
      </c>
      <c r="B1632" s="32">
        <f t="shared" si="391"/>
        <v>2057</v>
      </c>
      <c r="C1632" s="33" t="s">
        <v>40</v>
      </c>
      <c r="D1632" s="34" t="s">
        <v>128</v>
      </c>
      <c r="E1632" s="35" t="str">
        <f t="shared" si="389"/>
        <v>PSND'!</v>
      </c>
      <c r="F1632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32" s="32" t="s">
        <v>120</v>
      </c>
      <c r="H1632" s="33"/>
      <c r="I1632" s="33"/>
      <c r="J1632" s="37"/>
    </row>
    <row r="1633" spans="1:10" x14ac:dyDescent="0.35">
      <c r="A1633" s="32" t="s">
        <v>23</v>
      </c>
      <c r="B1633" s="32">
        <f t="shared" si="391"/>
        <v>2058</v>
      </c>
      <c r="C1633" s="33" t="s">
        <v>40</v>
      </c>
      <c r="D1633" s="34" t="s">
        <v>128</v>
      </c>
      <c r="E1633" s="35" t="str">
        <f t="shared" si="389"/>
        <v>PSND'!</v>
      </c>
      <c r="F1633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33" s="32" t="s">
        <v>120</v>
      </c>
      <c r="H1633" s="33"/>
      <c r="I1633" s="33"/>
      <c r="J1633" s="37"/>
    </row>
    <row r="1634" spans="1:10" x14ac:dyDescent="0.35">
      <c r="A1634" s="32" t="s">
        <v>23</v>
      </c>
      <c r="B1634" s="32">
        <f t="shared" si="391"/>
        <v>2059</v>
      </c>
      <c r="C1634" s="33" t="s">
        <v>40</v>
      </c>
      <c r="D1634" s="34" t="s">
        <v>128</v>
      </c>
      <c r="E1634" s="35" t="str">
        <f t="shared" si="389"/>
        <v>PSND'!</v>
      </c>
      <c r="F1634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34" s="32" t="s">
        <v>120</v>
      </c>
      <c r="H1634" s="33"/>
      <c r="I1634" s="33"/>
      <c r="J1634" s="37"/>
    </row>
    <row r="1635" spans="1:10" x14ac:dyDescent="0.35">
      <c r="A1635" s="32" t="s">
        <v>26</v>
      </c>
      <c r="B1635" s="32"/>
      <c r="C1635" s="33" t="s">
        <v>40</v>
      </c>
      <c r="D1635" s="34"/>
      <c r="E1635" s="35"/>
      <c r="F1635" s="34"/>
      <c r="G1635" s="32"/>
      <c r="H1635" s="33"/>
      <c r="I1635" s="33"/>
      <c r="J1635" s="33"/>
    </row>
    <row r="1636" spans="1:10" x14ac:dyDescent="0.35">
      <c r="A1636" s="32" t="s">
        <v>24</v>
      </c>
      <c r="B1636" s="32">
        <v>2023</v>
      </c>
      <c r="C1636" s="33" t="s">
        <v>40</v>
      </c>
      <c r="D1636" s="34" t="s">
        <v>128</v>
      </c>
      <c r="E1636" s="35" t="str">
        <f t="shared" si="327"/>
        <v>PS'!</v>
      </c>
      <c r="F1636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36" s="32" t="s">
        <v>120</v>
      </c>
      <c r="H1636" s="33">
        <v>12</v>
      </c>
      <c r="I1636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ECP\Cantagallo\Cristalina\[CRISTALINA_CF_SEC_New_09-Feb-2024.xlsx]D-PS'!$CA$12</v>
      </c>
      <c r="J1636" s="37" t="s">
        <v>832</v>
      </c>
    </row>
    <row r="1637" spans="1:10" x14ac:dyDescent="0.35">
      <c r="A1637" s="32" t="s">
        <v>24</v>
      </c>
      <c r="B1637" s="32">
        <f>+B1636+1</f>
        <v>2024</v>
      </c>
      <c r="C1637" s="33" t="s">
        <v>40</v>
      </c>
      <c r="D1637" s="34" t="s">
        <v>128</v>
      </c>
      <c r="E1637" s="35" t="str">
        <f t="shared" si="327"/>
        <v>PS'!</v>
      </c>
      <c r="F1637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37" s="32" t="s">
        <v>120</v>
      </c>
      <c r="H1637" s="33">
        <f t="shared" ref="H1637:H1656" si="392">IF(A1637&lt;&gt;A1636,12,H1636+1)</f>
        <v>13</v>
      </c>
      <c r="I1637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ECP\Cantagallo\Cristalina\[CRISTALINA_CF_SEC_New_09-Feb-2024.xlsx]D-PS'!$CA$13</v>
      </c>
      <c r="J1637" s="37" t="s">
        <v>833</v>
      </c>
    </row>
    <row r="1638" spans="1:10" x14ac:dyDescent="0.35">
      <c r="A1638" s="32" t="s">
        <v>24</v>
      </c>
      <c r="B1638" s="32">
        <f t="shared" ref="B1638:B1649" si="393">+B1637+1</f>
        <v>2025</v>
      </c>
      <c r="C1638" s="33" t="s">
        <v>40</v>
      </c>
      <c r="D1638" s="34" t="s">
        <v>128</v>
      </c>
      <c r="E1638" s="35" t="str">
        <f t="shared" si="327"/>
        <v>PS'!</v>
      </c>
      <c r="F1638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38" s="32" t="s">
        <v>120</v>
      </c>
      <c r="H1638" s="33">
        <f t="shared" si="392"/>
        <v>14</v>
      </c>
      <c r="I1638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ECP\Cantagallo\Cristalina\[CRISTALINA_CF_SEC_New_09-Feb-2024.xlsx]D-PS'!$CA$14</v>
      </c>
      <c r="J1638" s="37" t="s">
        <v>834</v>
      </c>
    </row>
    <row r="1639" spans="1:10" x14ac:dyDescent="0.35">
      <c r="A1639" s="32" t="s">
        <v>24</v>
      </c>
      <c r="B1639" s="32">
        <f t="shared" si="393"/>
        <v>2026</v>
      </c>
      <c r="C1639" s="33" t="s">
        <v>40</v>
      </c>
      <c r="D1639" s="34" t="s">
        <v>128</v>
      </c>
      <c r="E1639" s="35" t="str">
        <f t="shared" si="327"/>
        <v>PS'!</v>
      </c>
      <c r="F1639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39" s="32" t="s">
        <v>120</v>
      </c>
      <c r="H1639" s="33">
        <f t="shared" si="392"/>
        <v>15</v>
      </c>
      <c r="I1639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ECP\Cantagallo\Cristalina\[CRISTALINA_CF_SEC_New_09-Feb-2024.xlsx]D-PS'!$CA$15</v>
      </c>
      <c r="J1639" s="37" t="s">
        <v>835</v>
      </c>
    </row>
    <row r="1640" spans="1:10" x14ac:dyDescent="0.35">
      <c r="A1640" s="32" t="s">
        <v>24</v>
      </c>
      <c r="B1640" s="32">
        <f t="shared" si="393"/>
        <v>2027</v>
      </c>
      <c r="C1640" s="33" t="s">
        <v>40</v>
      </c>
      <c r="D1640" s="34" t="s">
        <v>128</v>
      </c>
      <c r="E1640" s="35" t="str">
        <f t="shared" si="327"/>
        <v>PS'!</v>
      </c>
      <c r="F1640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40" s="32" t="s">
        <v>120</v>
      </c>
      <c r="H1640" s="33">
        <f t="shared" si="392"/>
        <v>16</v>
      </c>
      <c r="I1640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ECP\Cantagallo\Cristalina\[CRISTALINA_CF_SEC_New_09-Feb-2024.xlsx]D-PS'!$CA$16</v>
      </c>
      <c r="J1640" s="37" t="s">
        <v>836</v>
      </c>
    </row>
    <row r="1641" spans="1:10" x14ac:dyDescent="0.35">
      <c r="A1641" s="32" t="s">
        <v>24</v>
      </c>
      <c r="B1641" s="32">
        <f t="shared" si="393"/>
        <v>2028</v>
      </c>
      <c r="C1641" s="33" t="s">
        <v>40</v>
      </c>
      <c r="D1641" s="34" t="s">
        <v>128</v>
      </c>
      <c r="E1641" s="35" t="str">
        <f t="shared" si="327"/>
        <v>PS'!</v>
      </c>
      <c r="F1641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41" s="32" t="s">
        <v>120</v>
      </c>
      <c r="H1641" s="33">
        <f t="shared" si="392"/>
        <v>17</v>
      </c>
      <c r="I1641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ECP\Cantagallo\Cristalina\[CRISTALINA_CF_SEC_New_09-Feb-2024.xlsx]D-PS'!$CA$17</v>
      </c>
      <c r="J1641" s="37" t="s">
        <v>837</v>
      </c>
    </row>
    <row r="1642" spans="1:10" x14ac:dyDescent="0.35">
      <c r="A1642" s="32" t="s">
        <v>24</v>
      </c>
      <c r="B1642" s="32">
        <f t="shared" si="393"/>
        <v>2029</v>
      </c>
      <c r="C1642" s="33" t="s">
        <v>40</v>
      </c>
      <c r="D1642" s="34" t="s">
        <v>128</v>
      </c>
      <c r="E1642" s="35" t="str">
        <f t="shared" si="327"/>
        <v>PS'!</v>
      </c>
      <c r="F1642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42" s="32" t="s">
        <v>120</v>
      </c>
      <c r="H1642" s="33">
        <f t="shared" si="392"/>
        <v>18</v>
      </c>
      <c r="I1642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ECP\Cantagallo\Cristalina\[CRISTALINA_CF_SEC_New_09-Feb-2024.xlsx]D-PS'!$CA$18</v>
      </c>
      <c r="J1642" s="37" t="s">
        <v>838</v>
      </c>
    </row>
    <row r="1643" spans="1:10" x14ac:dyDescent="0.35">
      <c r="A1643" s="32" t="s">
        <v>24</v>
      </c>
      <c r="B1643" s="32">
        <f t="shared" si="393"/>
        <v>2030</v>
      </c>
      <c r="C1643" s="33" t="s">
        <v>40</v>
      </c>
      <c r="D1643" s="34" t="s">
        <v>128</v>
      </c>
      <c r="E1643" s="35" t="str">
        <f t="shared" si="327"/>
        <v>PS'!</v>
      </c>
      <c r="F1643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43" s="32" t="s">
        <v>120</v>
      </c>
      <c r="H1643" s="33">
        <f t="shared" si="392"/>
        <v>19</v>
      </c>
      <c r="I1643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ECP\Cantagallo\Cristalina\[CRISTALINA_CF_SEC_New_09-Feb-2024.xlsx]D-PS'!$CA$19</v>
      </c>
      <c r="J1643" s="37" t="s">
        <v>839</v>
      </c>
    </row>
    <row r="1644" spans="1:10" x14ac:dyDescent="0.35">
      <c r="A1644" s="32" t="s">
        <v>24</v>
      </c>
      <c r="B1644" s="32">
        <f t="shared" si="393"/>
        <v>2031</v>
      </c>
      <c r="C1644" s="33" t="s">
        <v>40</v>
      </c>
      <c r="D1644" s="34" t="s">
        <v>128</v>
      </c>
      <c r="E1644" s="35" t="str">
        <f t="shared" si="327"/>
        <v>PS'!</v>
      </c>
      <c r="F1644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44" s="32" t="s">
        <v>120</v>
      </c>
      <c r="H1644" s="33">
        <f t="shared" si="392"/>
        <v>20</v>
      </c>
      <c r="I1644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ECP\Cantagallo\Cristalina\[CRISTALINA_CF_SEC_New_09-Feb-2024.xlsx]D-PS'!$CA$20</v>
      </c>
      <c r="J1644" s="37" t="s">
        <v>840</v>
      </c>
    </row>
    <row r="1645" spans="1:10" x14ac:dyDescent="0.35">
      <c r="A1645" s="32" t="s">
        <v>24</v>
      </c>
      <c r="B1645" s="32">
        <f t="shared" si="393"/>
        <v>2032</v>
      </c>
      <c r="C1645" s="33" t="s">
        <v>40</v>
      </c>
      <c r="D1645" s="34" t="s">
        <v>128</v>
      </c>
      <c r="E1645" s="35" t="str">
        <f t="shared" si="327"/>
        <v>PS'!</v>
      </c>
      <c r="F1645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45" s="32" t="s">
        <v>120</v>
      </c>
      <c r="H1645" s="33">
        <f t="shared" si="392"/>
        <v>21</v>
      </c>
      <c r="I1645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ECP\Cantagallo\Cristalina\[CRISTALINA_CF_SEC_New_09-Feb-2024.xlsx]D-PS'!$CA$21</v>
      </c>
      <c r="J1645" s="37" t="s">
        <v>841</v>
      </c>
    </row>
    <row r="1646" spans="1:10" x14ac:dyDescent="0.35">
      <c r="A1646" s="32" t="s">
        <v>24</v>
      </c>
      <c r="B1646" s="32">
        <f t="shared" si="393"/>
        <v>2033</v>
      </c>
      <c r="C1646" s="33" t="s">
        <v>40</v>
      </c>
      <c r="D1646" s="34" t="s">
        <v>128</v>
      </c>
      <c r="E1646" s="35" t="str">
        <f t="shared" si="327"/>
        <v>PS'!</v>
      </c>
      <c r="F1646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46" s="32" t="s">
        <v>120</v>
      </c>
      <c r="H1646" s="33">
        <f t="shared" si="392"/>
        <v>22</v>
      </c>
      <c r="I1646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ECP\Cantagallo\Cristalina\[CRISTALINA_CF_SEC_New_09-Feb-2024.xlsx]D-PS'!$CA$22</v>
      </c>
      <c r="J1646" s="37" t="s">
        <v>842</v>
      </c>
    </row>
    <row r="1647" spans="1:10" x14ac:dyDescent="0.35">
      <c r="A1647" s="32" t="s">
        <v>24</v>
      </c>
      <c r="B1647" s="32">
        <f t="shared" si="393"/>
        <v>2034</v>
      </c>
      <c r="C1647" s="33" t="s">
        <v>40</v>
      </c>
      <c r="D1647" s="34" t="s">
        <v>128</v>
      </c>
      <c r="E1647" s="35" t="str">
        <f t="shared" si="327"/>
        <v>PS'!</v>
      </c>
      <c r="F1647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47" s="32" t="s">
        <v>120</v>
      </c>
      <c r="H1647" s="33">
        <f t="shared" si="392"/>
        <v>23</v>
      </c>
      <c r="I1647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ECP\Cantagallo\Cristalina\[CRISTALINA_CF_SEC_New_09-Feb-2024.xlsx]D-PS'!$CA$23</v>
      </c>
      <c r="J1647" s="37" t="s">
        <v>843</v>
      </c>
    </row>
    <row r="1648" spans="1:10" x14ac:dyDescent="0.35">
      <c r="A1648" s="32" t="s">
        <v>24</v>
      </c>
      <c r="B1648" s="32">
        <f t="shared" si="393"/>
        <v>2035</v>
      </c>
      <c r="C1648" s="33" t="s">
        <v>40</v>
      </c>
      <c r="D1648" s="34" t="s">
        <v>128</v>
      </c>
      <c r="E1648" s="35" t="str">
        <f t="shared" si="327"/>
        <v>PS'!</v>
      </c>
      <c r="F1648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48" s="32" t="s">
        <v>120</v>
      </c>
      <c r="H1648" s="33">
        <f t="shared" si="392"/>
        <v>24</v>
      </c>
      <c r="I1648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ECP\Cantagallo\Cristalina\[CRISTALINA_CF_SEC_New_09-Feb-2024.xlsx]D-PS'!$CA$24</v>
      </c>
      <c r="J1648" s="37" t="s">
        <v>844</v>
      </c>
    </row>
    <row r="1649" spans="1:10" x14ac:dyDescent="0.35">
      <c r="A1649" s="32" t="s">
        <v>24</v>
      </c>
      <c r="B1649" s="32">
        <f t="shared" si="393"/>
        <v>2036</v>
      </c>
      <c r="C1649" s="33" t="s">
        <v>40</v>
      </c>
      <c r="D1649" s="34" t="s">
        <v>128</v>
      </c>
      <c r="E1649" s="35" t="str">
        <f t="shared" si="327"/>
        <v>PS'!</v>
      </c>
      <c r="F1649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49" s="32" t="s">
        <v>120</v>
      </c>
      <c r="H1649" s="33">
        <f t="shared" si="392"/>
        <v>25</v>
      </c>
      <c r="I1649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ECP\Cantagallo\Cristalina\[CRISTALINA_CF_SEC_New_09-Feb-2024.xlsx]D-PS'!$CA$25</v>
      </c>
      <c r="J1649" s="37" t="s">
        <v>845</v>
      </c>
    </row>
    <row r="1650" spans="1:10" x14ac:dyDescent="0.35">
      <c r="A1650" s="32" t="s">
        <v>24</v>
      </c>
      <c r="B1650" s="32">
        <f>+B1649+1</f>
        <v>2037</v>
      </c>
      <c r="C1650" s="33" t="s">
        <v>40</v>
      </c>
      <c r="D1650" s="34" t="s">
        <v>128</v>
      </c>
      <c r="E1650" s="35" t="str">
        <f t="shared" si="327"/>
        <v>PS'!</v>
      </c>
      <c r="F1650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50" s="32" t="s">
        <v>120</v>
      </c>
      <c r="H1650" s="33">
        <f t="shared" si="392"/>
        <v>26</v>
      </c>
      <c r="I1650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ECP\Cantagallo\Cristalina\[CRISTALINA_CF_SEC_New_09-Feb-2024.xlsx]D-PS'!$CA$26</v>
      </c>
      <c r="J1650" s="37" t="s">
        <v>846</v>
      </c>
    </row>
    <row r="1651" spans="1:10" x14ac:dyDescent="0.35">
      <c r="A1651" s="32" t="s">
        <v>24</v>
      </c>
      <c r="B1651" s="32">
        <f t="shared" ref="B1651:B1653" si="394">+B1650+1</f>
        <v>2038</v>
      </c>
      <c r="C1651" s="33" t="s">
        <v>40</v>
      </c>
      <c r="D1651" s="34" t="s">
        <v>128</v>
      </c>
      <c r="E1651" s="35" t="str">
        <f t="shared" si="327"/>
        <v>PS'!</v>
      </c>
      <c r="F1651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51" s="32" t="s">
        <v>120</v>
      </c>
      <c r="H1651" s="33">
        <f t="shared" si="392"/>
        <v>27</v>
      </c>
      <c r="I1651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ECP\Cantagallo\Cristalina\[CRISTALINA_CF_SEC_New_09-Feb-2024.xlsx]D-PS'!$CA$27</v>
      </c>
      <c r="J1651" s="37" t="s">
        <v>847</v>
      </c>
    </row>
    <row r="1652" spans="1:10" x14ac:dyDescent="0.35">
      <c r="A1652" s="32" t="s">
        <v>24</v>
      </c>
      <c r="B1652" s="32">
        <f t="shared" si="394"/>
        <v>2039</v>
      </c>
      <c r="C1652" s="33" t="s">
        <v>40</v>
      </c>
      <c r="D1652" s="34" t="s">
        <v>128</v>
      </c>
      <c r="E1652" s="35" t="str">
        <f t="shared" si="327"/>
        <v>PS'!</v>
      </c>
      <c r="F1652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52" s="32" t="s">
        <v>120</v>
      </c>
      <c r="H1652" s="33">
        <f t="shared" si="392"/>
        <v>28</v>
      </c>
      <c r="I1652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ECP\Cantagallo\Cristalina\[CRISTALINA_CF_SEC_New_09-Feb-2024.xlsx]D-PS'!$CA$28</v>
      </c>
      <c r="J1652" s="37" t="s">
        <v>848</v>
      </c>
    </row>
    <row r="1653" spans="1:10" x14ac:dyDescent="0.35">
      <c r="A1653" s="32" t="s">
        <v>24</v>
      </c>
      <c r="B1653" s="32">
        <f t="shared" si="394"/>
        <v>2040</v>
      </c>
      <c r="C1653" s="33" t="s">
        <v>40</v>
      </c>
      <c r="D1653" s="34" t="s">
        <v>128</v>
      </c>
      <c r="E1653" s="35" t="str">
        <f t="shared" si="327"/>
        <v>PS'!</v>
      </c>
      <c r="F1653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53" s="32" t="s">
        <v>120</v>
      </c>
      <c r="H1653" s="33">
        <f t="shared" si="392"/>
        <v>29</v>
      </c>
      <c r="I1653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ECP\Cantagallo\Cristalina\[CRISTALINA_CF_SEC_New_09-Feb-2024.xlsx]D-PS'!$CA$29</v>
      </c>
      <c r="J1653" s="37" t="s">
        <v>849</v>
      </c>
    </row>
    <row r="1654" spans="1:10" x14ac:dyDescent="0.35">
      <c r="A1654" s="32" t="s">
        <v>24</v>
      </c>
      <c r="B1654" s="32">
        <f>+B1653+1</f>
        <v>2041</v>
      </c>
      <c r="C1654" s="33" t="s">
        <v>40</v>
      </c>
      <c r="D1654" s="34" t="s">
        <v>128</v>
      </c>
      <c r="E1654" s="35" t="str">
        <f t="shared" si="327"/>
        <v>PS'!</v>
      </c>
      <c r="F1654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54" s="32" t="s">
        <v>120</v>
      </c>
      <c r="H1654" s="33">
        <f t="shared" si="392"/>
        <v>30</v>
      </c>
      <c r="I1654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ECP\Cantagallo\Cristalina\[CRISTALINA_CF_SEC_New_09-Feb-2024.xlsx]D-PS'!$CA$30</v>
      </c>
      <c r="J1654" s="37" t="s">
        <v>850</v>
      </c>
    </row>
    <row r="1655" spans="1:10" x14ac:dyDescent="0.35">
      <c r="A1655" s="32" t="s">
        <v>24</v>
      </c>
      <c r="B1655" s="32">
        <f t="shared" ref="B1655:B1656" si="395">+B1654+1</f>
        <v>2042</v>
      </c>
      <c r="C1655" s="33" t="s">
        <v>40</v>
      </c>
      <c r="D1655" s="34" t="s">
        <v>128</v>
      </c>
      <c r="E1655" s="35" t="str">
        <f t="shared" si="327"/>
        <v>PS'!</v>
      </c>
      <c r="F1655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55" s="32" t="s">
        <v>120</v>
      </c>
      <c r="H1655" s="33">
        <f t="shared" si="392"/>
        <v>31</v>
      </c>
      <c r="I1655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ECP\Cantagallo\Cristalina\[CRISTALINA_CF_SEC_New_09-Feb-2024.xlsx]D-PS'!$CA$31</v>
      </c>
      <c r="J1655" s="37" t="s">
        <v>851</v>
      </c>
    </row>
    <row r="1656" spans="1:10" x14ac:dyDescent="0.35">
      <c r="A1656" s="32" t="s">
        <v>24</v>
      </c>
      <c r="B1656" s="32">
        <f t="shared" si="395"/>
        <v>2043</v>
      </c>
      <c r="C1656" s="33" t="s">
        <v>40</v>
      </c>
      <c r="D1656" s="34" t="s">
        <v>128</v>
      </c>
      <c r="E1656" s="35" t="str">
        <f t="shared" si="327"/>
        <v>PS'!</v>
      </c>
      <c r="F1656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56" s="32" t="s">
        <v>120</v>
      </c>
      <c r="H1656" s="33">
        <f t="shared" si="392"/>
        <v>32</v>
      </c>
      <c r="I1656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ECP\Cantagallo\Cristalina\[CRISTALINA_CF_SEC_New_09-Feb-2024.xlsx]D-PS'!$CA$32</v>
      </c>
      <c r="J1656" s="37" t="s">
        <v>852</v>
      </c>
    </row>
    <row r="1657" spans="1:10" x14ac:dyDescent="0.35">
      <c r="A1657" s="32" t="s">
        <v>24</v>
      </c>
      <c r="B1657" s="32">
        <f>+B1656+1</f>
        <v>2044</v>
      </c>
      <c r="C1657" s="33" t="s">
        <v>40</v>
      </c>
      <c r="D1657" s="34" t="s">
        <v>128</v>
      </c>
      <c r="E1657" s="35" t="str">
        <f t="shared" ref="E1657:E1672" si="396">_xlfn.CONCAT(A1657,"'!")</f>
        <v>PS'!</v>
      </c>
      <c r="F1657" s="34" t="str">
        <f t="shared" ref="F1657:F1672" si="397">_xlfn.CONCAT(D1657:E1657)</f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57" s="32" t="s">
        <v>120</v>
      </c>
      <c r="H1657" s="33">
        <f t="shared" ref="H1657:H1672" si="398">IF(A1657&lt;&gt;A1656,12,H1656+1)</f>
        <v>33</v>
      </c>
      <c r="I1657" s="33" t="str">
        <f t="shared" ref="I1657:I1672" si="399">_xlfn.CONCAT("='",F1657:H1657)</f>
        <v>='C:\Users\jaime.benazar\Quorum Business Solutions\Ecopetrol Prometeo - Documents\Planning Space Implementation\3. Analysis &amp; Design\Design\FC22\DRR Jaime\Por presentar a ECP\Cantagallo\Cristalina\[CRISTALINA_CF_SEC_New_09-Feb-2024.xlsx]D-PS'!$CA$33</v>
      </c>
      <c r="J1657" s="37" t="s">
        <v>853</v>
      </c>
    </row>
    <row r="1658" spans="1:10" x14ac:dyDescent="0.35">
      <c r="A1658" s="32" t="s">
        <v>24</v>
      </c>
      <c r="B1658" s="32">
        <f t="shared" ref="B1658:B1672" si="400">+B1657+1</f>
        <v>2045</v>
      </c>
      <c r="C1658" s="33" t="s">
        <v>40</v>
      </c>
      <c r="D1658" s="34" t="s">
        <v>128</v>
      </c>
      <c r="E1658" s="35" t="str">
        <f t="shared" si="396"/>
        <v>PS'!</v>
      </c>
      <c r="F1658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58" s="32" t="s">
        <v>120</v>
      </c>
      <c r="H1658" s="33">
        <f t="shared" si="398"/>
        <v>34</v>
      </c>
      <c r="I1658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ECP\Cantagallo\Cristalina\[CRISTALINA_CF_SEC_New_09-Feb-2024.xlsx]D-PS'!$CA$34</v>
      </c>
      <c r="J1658" s="37" t="s">
        <v>854</v>
      </c>
    </row>
    <row r="1659" spans="1:10" x14ac:dyDescent="0.35">
      <c r="A1659" s="32" t="s">
        <v>24</v>
      </c>
      <c r="B1659" s="32">
        <f t="shared" si="400"/>
        <v>2046</v>
      </c>
      <c r="C1659" s="33" t="s">
        <v>40</v>
      </c>
      <c r="D1659" s="34" t="s">
        <v>128</v>
      </c>
      <c r="E1659" s="35" t="str">
        <f t="shared" si="396"/>
        <v>PS'!</v>
      </c>
      <c r="F1659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59" s="32" t="s">
        <v>120</v>
      </c>
      <c r="H1659" s="33">
        <f t="shared" si="398"/>
        <v>35</v>
      </c>
      <c r="I1659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ECP\Cantagallo\Cristalina\[CRISTALINA_CF_SEC_New_09-Feb-2024.xlsx]D-PS'!$CA$35</v>
      </c>
      <c r="J1659" s="37" t="s">
        <v>855</v>
      </c>
    </row>
    <row r="1660" spans="1:10" x14ac:dyDescent="0.35">
      <c r="A1660" s="32" t="s">
        <v>24</v>
      </c>
      <c r="B1660" s="32">
        <f t="shared" si="400"/>
        <v>2047</v>
      </c>
      <c r="C1660" s="33" t="s">
        <v>40</v>
      </c>
      <c r="D1660" s="34" t="s">
        <v>128</v>
      </c>
      <c r="E1660" s="35" t="str">
        <f t="shared" si="396"/>
        <v>PS'!</v>
      </c>
      <c r="F1660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60" s="32" t="s">
        <v>120</v>
      </c>
      <c r="H1660" s="33">
        <f t="shared" si="398"/>
        <v>36</v>
      </c>
      <c r="I1660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ECP\Cantagallo\Cristalina\[CRISTALINA_CF_SEC_New_09-Feb-2024.xlsx]D-PS'!$CA$36</v>
      </c>
      <c r="J1660" s="37" t="s">
        <v>856</v>
      </c>
    </row>
    <row r="1661" spans="1:10" x14ac:dyDescent="0.35">
      <c r="A1661" s="32" t="s">
        <v>24</v>
      </c>
      <c r="B1661" s="32">
        <f t="shared" si="400"/>
        <v>2048</v>
      </c>
      <c r="C1661" s="33" t="s">
        <v>40</v>
      </c>
      <c r="D1661" s="34" t="s">
        <v>128</v>
      </c>
      <c r="E1661" s="35" t="str">
        <f t="shared" si="396"/>
        <v>PS'!</v>
      </c>
      <c r="F1661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61" s="32" t="s">
        <v>120</v>
      </c>
      <c r="H1661" s="33">
        <f t="shared" si="398"/>
        <v>37</v>
      </c>
      <c r="I1661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ECP\Cantagallo\Cristalina\[CRISTALINA_CF_SEC_New_09-Feb-2024.xlsx]D-PS'!$CA$37</v>
      </c>
      <c r="J1661" s="37" t="s">
        <v>857</v>
      </c>
    </row>
    <row r="1662" spans="1:10" x14ac:dyDescent="0.35">
      <c r="A1662" s="32" t="s">
        <v>24</v>
      </c>
      <c r="B1662" s="32">
        <f t="shared" si="400"/>
        <v>2049</v>
      </c>
      <c r="C1662" s="33" t="s">
        <v>40</v>
      </c>
      <c r="D1662" s="34" t="s">
        <v>128</v>
      </c>
      <c r="E1662" s="35" t="str">
        <f t="shared" si="396"/>
        <v>PS'!</v>
      </c>
      <c r="F1662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62" s="32" t="s">
        <v>120</v>
      </c>
      <c r="H1662" s="33">
        <f t="shared" si="398"/>
        <v>38</v>
      </c>
      <c r="I1662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ECP\Cantagallo\Cristalina\[CRISTALINA_CF_SEC_New_09-Feb-2024.xlsx]D-PS'!$CA$38</v>
      </c>
      <c r="J1662" s="37" t="s">
        <v>858</v>
      </c>
    </row>
    <row r="1663" spans="1:10" x14ac:dyDescent="0.35">
      <c r="A1663" s="32" t="s">
        <v>24</v>
      </c>
      <c r="B1663" s="32">
        <f t="shared" si="400"/>
        <v>2050</v>
      </c>
      <c r="C1663" s="33" t="s">
        <v>40</v>
      </c>
      <c r="D1663" s="34" t="s">
        <v>128</v>
      </c>
      <c r="E1663" s="35" t="str">
        <f t="shared" si="396"/>
        <v>PS'!</v>
      </c>
      <c r="F1663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63" s="32" t="s">
        <v>120</v>
      </c>
      <c r="H1663" s="33">
        <f t="shared" si="398"/>
        <v>39</v>
      </c>
      <c r="I1663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ECP\Cantagallo\Cristalina\[CRISTALINA_CF_SEC_New_09-Feb-2024.xlsx]D-PS'!$CA$39</v>
      </c>
      <c r="J1663" s="37" t="s">
        <v>859</v>
      </c>
    </row>
    <row r="1664" spans="1:10" x14ac:dyDescent="0.35">
      <c r="A1664" s="32" t="s">
        <v>24</v>
      </c>
      <c r="B1664" s="32">
        <f t="shared" si="400"/>
        <v>2051</v>
      </c>
      <c r="C1664" s="33" t="s">
        <v>40</v>
      </c>
      <c r="D1664" s="34" t="s">
        <v>128</v>
      </c>
      <c r="E1664" s="35" t="str">
        <f t="shared" si="396"/>
        <v>PS'!</v>
      </c>
      <c r="F1664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64" s="32" t="s">
        <v>120</v>
      </c>
      <c r="H1664" s="33">
        <f t="shared" si="398"/>
        <v>40</v>
      </c>
      <c r="I1664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ECP\Cantagallo\Cristalina\[CRISTALINA_CF_SEC_New_09-Feb-2024.xlsx]D-PS'!$CA$40</v>
      </c>
      <c r="J1664" s="37" t="s">
        <v>860</v>
      </c>
    </row>
    <row r="1665" spans="1:10" x14ac:dyDescent="0.35">
      <c r="A1665" s="32" t="s">
        <v>24</v>
      </c>
      <c r="B1665" s="32">
        <f t="shared" si="400"/>
        <v>2052</v>
      </c>
      <c r="C1665" s="33" t="s">
        <v>40</v>
      </c>
      <c r="D1665" s="34" t="s">
        <v>128</v>
      </c>
      <c r="E1665" s="35" t="str">
        <f t="shared" si="396"/>
        <v>PS'!</v>
      </c>
      <c r="F1665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65" s="32" t="s">
        <v>120</v>
      </c>
      <c r="H1665" s="33">
        <f t="shared" si="398"/>
        <v>41</v>
      </c>
      <c r="I1665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ECP\Cantagallo\Cristalina\[CRISTALINA_CF_SEC_New_09-Feb-2024.xlsx]D-PS'!$CA$41</v>
      </c>
      <c r="J1665" s="37" t="s">
        <v>861</v>
      </c>
    </row>
    <row r="1666" spans="1:10" x14ac:dyDescent="0.35">
      <c r="A1666" s="32" t="s">
        <v>24</v>
      </c>
      <c r="B1666" s="32">
        <f t="shared" si="400"/>
        <v>2053</v>
      </c>
      <c r="C1666" s="33" t="s">
        <v>40</v>
      </c>
      <c r="D1666" s="34" t="s">
        <v>128</v>
      </c>
      <c r="E1666" s="35" t="str">
        <f t="shared" si="396"/>
        <v>PS'!</v>
      </c>
      <c r="F1666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66" s="32" t="s">
        <v>120</v>
      </c>
      <c r="H1666" s="33">
        <f t="shared" si="398"/>
        <v>42</v>
      </c>
      <c r="I1666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ECP\Cantagallo\Cristalina\[CRISTALINA_CF_SEC_New_09-Feb-2024.xlsx]D-PS'!$CA$42</v>
      </c>
      <c r="J1666" s="37" t="s">
        <v>862</v>
      </c>
    </row>
    <row r="1667" spans="1:10" x14ac:dyDescent="0.35">
      <c r="A1667" s="32" t="s">
        <v>24</v>
      </c>
      <c r="B1667" s="32">
        <f t="shared" si="400"/>
        <v>2054</v>
      </c>
      <c r="C1667" s="33" t="s">
        <v>40</v>
      </c>
      <c r="D1667" s="34" t="s">
        <v>128</v>
      </c>
      <c r="E1667" s="35" t="str">
        <f t="shared" si="396"/>
        <v>PS'!</v>
      </c>
      <c r="F1667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67" s="32" t="s">
        <v>120</v>
      </c>
      <c r="H1667" s="33">
        <f t="shared" si="398"/>
        <v>43</v>
      </c>
      <c r="I1667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ECP\Cantagallo\Cristalina\[CRISTALINA_CF_SEC_New_09-Feb-2024.xlsx]D-PS'!$CA$43</v>
      </c>
      <c r="J1667" s="37" t="s">
        <v>863</v>
      </c>
    </row>
    <row r="1668" spans="1:10" x14ac:dyDescent="0.35">
      <c r="A1668" s="32" t="s">
        <v>24</v>
      </c>
      <c r="B1668" s="32">
        <f t="shared" si="400"/>
        <v>2055</v>
      </c>
      <c r="C1668" s="33" t="s">
        <v>40</v>
      </c>
      <c r="D1668" s="34" t="s">
        <v>128</v>
      </c>
      <c r="E1668" s="35" t="str">
        <f t="shared" si="396"/>
        <v>PS'!</v>
      </c>
      <c r="F1668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68" s="32" t="s">
        <v>120</v>
      </c>
      <c r="H1668" s="33">
        <f t="shared" si="398"/>
        <v>44</v>
      </c>
      <c r="I1668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ECP\Cantagallo\Cristalina\[CRISTALINA_CF_SEC_New_09-Feb-2024.xlsx]D-PS'!$CA$44</v>
      </c>
      <c r="J1668" s="37" t="s">
        <v>864</v>
      </c>
    </row>
    <row r="1669" spans="1:10" x14ac:dyDescent="0.35">
      <c r="A1669" s="32" t="s">
        <v>24</v>
      </c>
      <c r="B1669" s="32">
        <f t="shared" si="400"/>
        <v>2056</v>
      </c>
      <c r="C1669" s="33" t="s">
        <v>40</v>
      </c>
      <c r="D1669" s="34" t="s">
        <v>128</v>
      </c>
      <c r="E1669" s="35" t="str">
        <f t="shared" si="396"/>
        <v>PS'!</v>
      </c>
      <c r="F1669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69" s="32" t="s">
        <v>120</v>
      </c>
      <c r="H1669" s="33">
        <f t="shared" si="398"/>
        <v>45</v>
      </c>
      <c r="I1669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ECP\Cantagallo\Cristalina\[CRISTALINA_CF_SEC_New_09-Feb-2024.xlsx]D-PS'!$CA$45</v>
      </c>
      <c r="J1669" s="37" t="s">
        <v>865</v>
      </c>
    </row>
    <row r="1670" spans="1:10" x14ac:dyDescent="0.35">
      <c r="A1670" s="32" t="s">
        <v>24</v>
      </c>
      <c r="B1670" s="32">
        <f t="shared" si="400"/>
        <v>2057</v>
      </c>
      <c r="C1670" s="33" t="s">
        <v>40</v>
      </c>
      <c r="D1670" s="34" t="s">
        <v>128</v>
      </c>
      <c r="E1670" s="35" t="str">
        <f t="shared" si="396"/>
        <v>PS'!</v>
      </c>
      <c r="F1670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70" s="32" t="s">
        <v>120</v>
      </c>
      <c r="H1670" s="33">
        <f t="shared" si="398"/>
        <v>46</v>
      </c>
      <c r="I1670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ECP\Cantagallo\Cristalina\[CRISTALINA_CF_SEC_New_09-Feb-2024.xlsx]D-PS'!$CA$46</v>
      </c>
      <c r="J1670" s="37" t="s">
        <v>866</v>
      </c>
    </row>
    <row r="1671" spans="1:10" x14ac:dyDescent="0.35">
      <c r="A1671" s="32" t="s">
        <v>24</v>
      </c>
      <c r="B1671" s="32">
        <f t="shared" si="400"/>
        <v>2058</v>
      </c>
      <c r="C1671" s="33" t="s">
        <v>40</v>
      </c>
      <c r="D1671" s="34" t="s">
        <v>128</v>
      </c>
      <c r="E1671" s="35" t="str">
        <f t="shared" si="396"/>
        <v>PS'!</v>
      </c>
      <c r="F1671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71" s="32" t="s">
        <v>120</v>
      </c>
      <c r="H1671" s="33">
        <f t="shared" si="398"/>
        <v>47</v>
      </c>
      <c r="I1671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ECP\Cantagallo\Cristalina\[CRISTALINA_CF_SEC_New_09-Feb-2024.xlsx]D-PS'!$CA$47</v>
      </c>
      <c r="J1671" s="37" t="s">
        <v>867</v>
      </c>
    </row>
    <row r="1672" spans="1:10" x14ac:dyDescent="0.35">
      <c r="A1672" s="32" t="s">
        <v>24</v>
      </c>
      <c r="B1672" s="32">
        <f t="shared" si="400"/>
        <v>2059</v>
      </c>
      <c r="C1672" s="33" t="s">
        <v>40</v>
      </c>
      <c r="D1672" s="34" t="s">
        <v>128</v>
      </c>
      <c r="E1672" s="35" t="str">
        <f t="shared" si="396"/>
        <v>PS'!</v>
      </c>
      <c r="F1672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72" s="32" t="s">
        <v>120</v>
      </c>
      <c r="H1672" s="33">
        <f t="shared" si="398"/>
        <v>48</v>
      </c>
      <c r="I1672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ECP\Cantagallo\Cristalina\[CRISTALINA_CF_SEC_New_09-Feb-2024.xlsx]D-PS'!$CA$48</v>
      </c>
      <c r="J1672" s="37" t="s">
        <v>868</v>
      </c>
    </row>
    <row r="1673" spans="1:10" x14ac:dyDescent="0.35">
      <c r="A1673" s="32" t="s">
        <v>26</v>
      </c>
      <c r="B1673" s="32"/>
      <c r="C1673" s="33" t="s">
        <v>40</v>
      </c>
      <c r="D1673" s="34"/>
      <c r="E1673" s="35"/>
      <c r="F1673" s="34"/>
      <c r="G1673" s="32"/>
      <c r="H1673" s="33"/>
      <c r="I1673" s="33"/>
      <c r="J1673" s="33"/>
    </row>
    <row r="1674" spans="1:10" x14ac:dyDescent="0.35">
      <c r="A1674" s="32" t="s">
        <v>14</v>
      </c>
      <c r="B1674" s="32">
        <v>2023</v>
      </c>
      <c r="C1674" s="33" t="s">
        <v>46</v>
      </c>
      <c r="D1674" s="34" t="s">
        <v>128</v>
      </c>
      <c r="E1674" s="35" t="str">
        <f>_xlfn.CONCAT(A1674,"'!")</f>
        <v>PDP'!</v>
      </c>
      <c r="F1674" s="34" t="str">
        <f>_xlfn.CONCAT(D1674:E1674)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74" s="32" t="s">
        <v>103</v>
      </c>
      <c r="H1674" s="33">
        <v>12</v>
      </c>
      <c r="I1674" s="33" t="str">
        <f>_xlfn.CONCAT("='",F1674:H1674)</f>
        <v>='C:\Users\jaime.benazar\Quorum Business Solutions\Ecopetrol Prometeo - Documents\Planning Space Implementation\3. Analysis &amp; Design\Design\FC22\DRR Jaime\Por presentar a ECP\Cantagallo\Cristalina\[CRISTALINA_CF_SEC_New_09-Feb-2024.xlsx]D-PDP'!$BX$12</v>
      </c>
      <c r="J1674" s="37" t="s">
        <v>869</v>
      </c>
    </row>
    <row r="1675" spans="1:10" x14ac:dyDescent="0.35">
      <c r="A1675" s="32" t="s">
        <v>14</v>
      </c>
      <c r="B1675" s="32">
        <f>+B1674+1</f>
        <v>2024</v>
      </c>
      <c r="C1675" s="33" t="s">
        <v>46</v>
      </c>
      <c r="D1675" s="34" t="s">
        <v>128</v>
      </c>
      <c r="E1675" s="35" t="str">
        <f t="shared" ref="E1675:E1768" si="401">_xlfn.CONCAT(A1675,"'!")</f>
        <v>PDP'!</v>
      </c>
      <c r="F1675" s="34" t="str">
        <f t="shared" ref="F1675:F1768" si="402">_xlfn.CONCAT(D1675:E1675)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75" s="32" t="s">
        <v>103</v>
      </c>
      <c r="H1675" s="33">
        <f t="shared" ref="H1675:H1694" si="403">IF(A1675&lt;&gt;A1674,12,H1674+1)</f>
        <v>13</v>
      </c>
      <c r="I1675" s="33" t="str">
        <f t="shared" ref="I1675:I1694" si="404">_xlfn.CONCAT("='",F1675:H1675)</f>
        <v>='C:\Users\jaime.benazar\Quorum Business Solutions\Ecopetrol Prometeo - Documents\Planning Space Implementation\3. Analysis &amp; Design\Design\FC22\DRR Jaime\Por presentar a ECP\Cantagallo\Cristalina\[CRISTALINA_CF_SEC_New_09-Feb-2024.xlsx]D-PDP'!$BX$13</v>
      </c>
      <c r="J1675" s="37" t="s">
        <v>870</v>
      </c>
    </row>
    <row r="1676" spans="1:10" x14ac:dyDescent="0.35">
      <c r="A1676" s="32" t="s">
        <v>14</v>
      </c>
      <c r="B1676" s="32">
        <f t="shared" ref="B1676:B1687" si="405">+B1675+1</f>
        <v>2025</v>
      </c>
      <c r="C1676" s="33" t="s">
        <v>46</v>
      </c>
      <c r="D1676" s="34" t="s">
        <v>128</v>
      </c>
      <c r="E1676" s="35" t="str">
        <f t="shared" si="401"/>
        <v>PDP'!</v>
      </c>
      <c r="F1676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76" s="32" t="s">
        <v>103</v>
      </c>
      <c r="H1676" s="33">
        <f t="shared" si="403"/>
        <v>14</v>
      </c>
      <c r="I1676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ECP\Cantagallo\Cristalina\[CRISTALINA_CF_SEC_New_09-Feb-2024.xlsx]D-PDP'!$BX$14</v>
      </c>
      <c r="J1676" s="37" t="s">
        <v>871</v>
      </c>
    </row>
    <row r="1677" spans="1:10" x14ac:dyDescent="0.35">
      <c r="A1677" s="32" t="s">
        <v>14</v>
      </c>
      <c r="B1677" s="32">
        <f t="shared" si="405"/>
        <v>2026</v>
      </c>
      <c r="C1677" s="33" t="s">
        <v>46</v>
      </c>
      <c r="D1677" s="34" t="s">
        <v>128</v>
      </c>
      <c r="E1677" s="35" t="str">
        <f t="shared" si="401"/>
        <v>PDP'!</v>
      </c>
      <c r="F1677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77" s="32" t="s">
        <v>103</v>
      </c>
      <c r="H1677" s="33">
        <f t="shared" si="403"/>
        <v>15</v>
      </c>
      <c r="I1677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ECP\Cantagallo\Cristalina\[CRISTALINA_CF_SEC_New_09-Feb-2024.xlsx]D-PDP'!$BX$15</v>
      </c>
      <c r="J1677" s="37" t="s">
        <v>872</v>
      </c>
    </row>
    <row r="1678" spans="1:10" x14ac:dyDescent="0.35">
      <c r="A1678" s="32" t="s">
        <v>14</v>
      </c>
      <c r="B1678" s="32">
        <f t="shared" si="405"/>
        <v>2027</v>
      </c>
      <c r="C1678" s="33" t="s">
        <v>46</v>
      </c>
      <c r="D1678" s="34" t="s">
        <v>128</v>
      </c>
      <c r="E1678" s="35" t="str">
        <f t="shared" si="401"/>
        <v>PDP'!</v>
      </c>
      <c r="F1678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78" s="32" t="s">
        <v>103</v>
      </c>
      <c r="H1678" s="33">
        <f t="shared" si="403"/>
        <v>16</v>
      </c>
      <c r="I1678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ECP\Cantagallo\Cristalina\[CRISTALINA_CF_SEC_New_09-Feb-2024.xlsx]D-PDP'!$BX$16</v>
      </c>
      <c r="J1678" s="37" t="s">
        <v>873</v>
      </c>
    </row>
    <row r="1679" spans="1:10" x14ac:dyDescent="0.35">
      <c r="A1679" s="32" t="s">
        <v>14</v>
      </c>
      <c r="B1679" s="32">
        <f t="shared" si="405"/>
        <v>2028</v>
      </c>
      <c r="C1679" s="33" t="s">
        <v>46</v>
      </c>
      <c r="D1679" s="34" t="s">
        <v>128</v>
      </c>
      <c r="E1679" s="35" t="str">
        <f t="shared" si="401"/>
        <v>PDP'!</v>
      </c>
      <c r="F1679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79" s="32" t="s">
        <v>103</v>
      </c>
      <c r="H1679" s="33">
        <f t="shared" si="403"/>
        <v>17</v>
      </c>
      <c r="I1679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ECP\Cantagallo\Cristalina\[CRISTALINA_CF_SEC_New_09-Feb-2024.xlsx]D-PDP'!$BX$17</v>
      </c>
      <c r="J1679" s="37" t="s">
        <v>874</v>
      </c>
    </row>
    <row r="1680" spans="1:10" x14ac:dyDescent="0.35">
      <c r="A1680" s="32" t="s">
        <v>14</v>
      </c>
      <c r="B1680" s="32">
        <f t="shared" si="405"/>
        <v>2029</v>
      </c>
      <c r="C1680" s="33" t="s">
        <v>46</v>
      </c>
      <c r="D1680" s="34" t="s">
        <v>128</v>
      </c>
      <c r="E1680" s="35" t="str">
        <f t="shared" si="401"/>
        <v>PDP'!</v>
      </c>
      <c r="F1680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80" s="32" t="s">
        <v>103</v>
      </c>
      <c r="H1680" s="33">
        <f t="shared" si="403"/>
        <v>18</v>
      </c>
      <c r="I1680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ECP\Cantagallo\Cristalina\[CRISTALINA_CF_SEC_New_09-Feb-2024.xlsx]D-PDP'!$BX$18</v>
      </c>
      <c r="J1680" s="37" t="s">
        <v>875</v>
      </c>
    </row>
    <row r="1681" spans="1:10" x14ac:dyDescent="0.35">
      <c r="A1681" s="32" t="s">
        <v>14</v>
      </c>
      <c r="B1681" s="32">
        <f t="shared" si="405"/>
        <v>2030</v>
      </c>
      <c r="C1681" s="33" t="s">
        <v>46</v>
      </c>
      <c r="D1681" s="34" t="s">
        <v>128</v>
      </c>
      <c r="E1681" s="35" t="str">
        <f t="shared" si="401"/>
        <v>PDP'!</v>
      </c>
      <c r="F1681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81" s="32" t="s">
        <v>103</v>
      </c>
      <c r="H1681" s="33">
        <f t="shared" si="403"/>
        <v>19</v>
      </c>
      <c r="I1681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ECP\Cantagallo\Cristalina\[CRISTALINA_CF_SEC_New_09-Feb-2024.xlsx]D-PDP'!$BX$19</v>
      </c>
      <c r="J1681" s="37" t="s">
        <v>876</v>
      </c>
    </row>
    <row r="1682" spans="1:10" x14ac:dyDescent="0.35">
      <c r="A1682" s="32" t="s">
        <v>14</v>
      </c>
      <c r="B1682" s="32">
        <f t="shared" si="405"/>
        <v>2031</v>
      </c>
      <c r="C1682" s="33" t="s">
        <v>46</v>
      </c>
      <c r="D1682" s="34" t="s">
        <v>128</v>
      </c>
      <c r="E1682" s="35" t="str">
        <f t="shared" si="401"/>
        <v>PDP'!</v>
      </c>
      <c r="F1682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82" s="32" t="s">
        <v>103</v>
      </c>
      <c r="H1682" s="33">
        <f t="shared" si="403"/>
        <v>20</v>
      </c>
      <c r="I1682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ECP\Cantagallo\Cristalina\[CRISTALINA_CF_SEC_New_09-Feb-2024.xlsx]D-PDP'!$BX$20</v>
      </c>
      <c r="J1682" s="37" t="s">
        <v>877</v>
      </c>
    </row>
    <row r="1683" spans="1:10" x14ac:dyDescent="0.35">
      <c r="A1683" s="32" t="s">
        <v>14</v>
      </c>
      <c r="B1683" s="32">
        <f t="shared" si="405"/>
        <v>2032</v>
      </c>
      <c r="C1683" s="33" t="s">
        <v>46</v>
      </c>
      <c r="D1683" s="34" t="s">
        <v>128</v>
      </c>
      <c r="E1683" s="35" t="str">
        <f t="shared" si="401"/>
        <v>PDP'!</v>
      </c>
      <c r="F1683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83" s="32" t="s">
        <v>103</v>
      </c>
      <c r="H1683" s="33">
        <f t="shared" si="403"/>
        <v>21</v>
      </c>
      <c r="I1683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ECP\Cantagallo\Cristalina\[CRISTALINA_CF_SEC_New_09-Feb-2024.xlsx]D-PDP'!$BX$21</v>
      </c>
      <c r="J1683" s="37" t="s">
        <v>878</v>
      </c>
    </row>
    <row r="1684" spans="1:10" x14ac:dyDescent="0.35">
      <c r="A1684" s="32" t="s">
        <v>14</v>
      </c>
      <c r="B1684" s="32">
        <f t="shared" si="405"/>
        <v>2033</v>
      </c>
      <c r="C1684" s="33" t="s">
        <v>46</v>
      </c>
      <c r="D1684" s="34" t="s">
        <v>128</v>
      </c>
      <c r="E1684" s="35" t="str">
        <f t="shared" si="401"/>
        <v>PDP'!</v>
      </c>
      <c r="F1684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84" s="32" t="s">
        <v>103</v>
      </c>
      <c r="H1684" s="33">
        <f t="shared" si="403"/>
        <v>22</v>
      </c>
      <c r="I1684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ECP\Cantagallo\Cristalina\[CRISTALINA_CF_SEC_New_09-Feb-2024.xlsx]D-PDP'!$BX$22</v>
      </c>
      <c r="J1684" s="37" t="s">
        <v>879</v>
      </c>
    </row>
    <row r="1685" spans="1:10" x14ac:dyDescent="0.35">
      <c r="A1685" s="32" t="s">
        <v>14</v>
      </c>
      <c r="B1685" s="32">
        <f t="shared" si="405"/>
        <v>2034</v>
      </c>
      <c r="C1685" s="33" t="s">
        <v>46</v>
      </c>
      <c r="D1685" s="34" t="s">
        <v>128</v>
      </c>
      <c r="E1685" s="35" t="str">
        <f t="shared" si="401"/>
        <v>PDP'!</v>
      </c>
      <c r="F1685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85" s="32" t="s">
        <v>103</v>
      </c>
      <c r="H1685" s="33">
        <f t="shared" si="403"/>
        <v>23</v>
      </c>
      <c r="I1685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ECP\Cantagallo\Cristalina\[CRISTALINA_CF_SEC_New_09-Feb-2024.xlsx]D-PDP'!$BX$23</v>
      </c>
      <c r="J1685" s="37" t="s">
        <v>880</v>
      </c>
    </row>
    <row r="1686" spans="1:10" x14ac:dyDescent="0.35">
      <c r="A1686" s="32" t="s">
        <v>14</v>
      </c>
      <c r="B1686" s="32">
        <f t="shared" si="405"/>
        <v>2035</v>
      </c>
      <c r="C1686" s="33" t="s">
        <v>46</v>
      </c>
      <c r="D1686" s="34" t="s">
        <v>128</v>
      </c>
      <c r="E1686" s="35" t="str">
        <f t="shared" si="401"/>
        <v>PDP'!</v>
      </c>
      <c r="F1686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86" s="32" t="s">
        <v>103</v>
      </c>
      <c r="H1686" s="33">
        <f t="shared" si="403"/>
        <v>24</v>
      </c>
      <c r="I1686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ECP\Cantagallo\Cristalina\[CRISTALINA_CF_SEC_New_09-Feb-2024.xlsx]D-PDP'!$BX$24</v>
      </c>
      <c r="J1686" s="37" t="s">
        <v>881</v>
      </c>
    </row>
    <row r="1687" spans="1:10" x14ac:dyDescent="0.35">
      <c r="A1687" s="32" t="s">
        <v>14</v>
      </c>
      <c r="B1687" s="32">
        <f t="shared" si="405"/>
        <v>2036</v>
      </c>
      <c r="C1687" s="33" t="s">
        <v>46</v>
      </c>
      <c r="D1687" s="34" t="s">
        <v>128</v>
      </c>
      <c r="E1687" s="35" t="str">
        <f t="shared" si="401"/>
        <v>PDP'!</v>
      </c>
      <c r="F1687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87" s="32" t="s">
        <v>103</v>
      </c>
      <c r="H1687" s="33">
        <f t="shared" si="403"/>
        <v>25</v>
      </c>
      <c r="I1687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ECP\Cantagallo\Cristalina\[CRISTALINA_CF_SEC_New_09-Feb-2024.xlsx]D-PDP'!$BX$25</v>
      </c>
      <c r="J1687" s="37" t="s">
        <v>882</v>
      </c>
    </row>
    <row r="1688" spans="1:10" x14ac:dyDescent="0.35">
      <c r="A1688" s="32" t="s">
        <v>14</v>
      </c>
      <c r="B1688" s="32">
        <f>+B1687+1</f>
        <v>2037</v>
      </c>
      <c r="C1688" s="33" t="s">
        <v>46</v>
      </c>
      <c r="D1688" s="34" t="s">
        <v>128</v>
      </c>
      <c r="E1688" s="35" t="str">
        <f t="shared" si="401"/>
        <v>PDP'!</v>
      </c>
      <c r="F1688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88" s="32" t="s">
        <v>103</v>
      </c>
      <c r="H1688" s="33">
        <f t="shared" si="403"/>
        <v>26</v>
      </c>
      <c r="I1688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ECP\Cantagallo\Cristalina\[CRISTALINA_CF_SEC_New_09-Feb-2024.xlsx]D-PDP'!$BX$26</v>
      </c>
      <c r="J1688" s="37" t="s">
        <v>883</v>
      </c>
    </row>
    <row r="1689" spans="1:10" x14ac:dyDescent="0.35">
      <c r="A1689" s="32" t="s">
        <v>14</v>
      </c>
      <c r="B1689" s="32">
        <f t="shared" ref="B1689:B1691" si="406">+B1688+1</f>
        <v>2038</v>
      </c>
      <c r="C1689" s="33" t="s">
        <v>46</v>
      </c>
      <c r="D1689" s="34" t="s">
        <v>128</v>
      </c>
      <c r="E1689" s="35" t="str">
        <f t="shared" si="401"/>
        <v>PDP'!</v>
      </c>
      <c r="F1689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89" s="32" t="s">
        <v>103</v>
      </c>
      <c r="H1689" s="33">
        <f t="shared" si="403"/>
        <v>27</v>
      </c>
      <c r="I1689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ECP\Cantagallo\Cristalina\[CRISTALINA_CF_SEC_New_09-Feb-2024.xlsx]D-PDP'!$BX$27</v>
      </c>
      <c r="J1689" s="37" t="s">
        <v>884</v>
      </c>
    </row>
    <row r="1690" spans="1:10" x14ac:dyDescent="0.35">
      <c r="A1690" s="32" t="s">
        <v>14</v>
      </c>
      <c r="B1690" s="32">
        <f t="shared" si="406"/>
        <v>2039</v>
      </c>
      <c r="C1690" s="33" t="s">
        <v>46</v>
      </c>
      <c r="D1690" s="34" t="s">
        <v>128</v>
      </c>
      <c r="E1690" s="35" t="str">
        <f t="shared" si="401"/>
        <v>PDP'!</v>
      </c>
      <c r="F1690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90" s="32" t="s">
        <v>103</v>
      </c>
      <c r="H1690" s="33">
        <f t="shared" si="403"/>
        <v>28</v>
      </c>
      <c r="I1690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ECP\Cantagallo\Cristalina\[CRISTALINA_CF_SEC_New_09-Feb-2024.xlsx]D-PDP'!$BX$28</v>
      </c>
      <c r="J1690" s="37" t="s">
        <v>885</v>
      </c>
    </row>
    <row r="1691" spans="1:10" x14ac:dyDescent="0.35">
      <c r="A1691" s="32" t="s">
        <v>14</v>
      </c>
      <c r="B1691" s="32">
        <f t="shared" si="406"/>
        <v>2040</v>
      </c>
      <c r="C1691" s="33" t="s">
        <v>46</v>
      </c>
      <c r="D1691" s="34" t="s">
        <v>128</v>
      </c>
      <c r="E1691" s="35" t="str">
        <f t="shared" si="401"/>
        <v>PDP'!</v>
      </c>
      <c r="F1691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91" s="32" t="s">
        <v>103</v>
      </c>
      <c r="H1691" s="33">
        <f t="shared" si="403"/>
        <v>29</v>
      </c>
      <c r="I1691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ECP\Cantagallo\Cristalina\[CRISTALINA_CF_SEC_New_09-Feb-2024.xlsx]D-PDP'!$BX$29</v>
      </c>
      <c r="J1691" s="37" t="s">
        <v>886</v>
      </c>
    </row>
    <row r="1692" spans="1:10" x14ac:dyDescent="0.35">
      <c r="A1692" s="32" t="s">
        <v>14</v>
      </c>
      <c r="B1692" s="32">
        <f>+B1691+1</f>
        <v>2041</v>
      </c>
      <c r="C1692" s="33" t="s">
        <v>46</v>
      </c>
      <c r="D1692" s="34" t="s">
        <v>128</v>
      </c>
      <c r="E1692" s="35" t="str">
        <f t="shared" si="401"/>
        <v>PDP'!</v>
      </c>
      <c r="F1692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92" s="32" t="s">
        <v>103</v>
      </c>
      <c r="H1692" s="33">
        <f t="shared" si="403"/>
        <v>30</v>
      </c>
      <c r="I1692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ECP\Cantagallo\Cristalina\[CRISTALINA_CF_SEC_New_09-Feb-2024.xlsx]D-PDP'!$BX$30</v>
      </c>
      <c r="J1692" s="37" t="s">
        <v>887</v>
      </c>
    </row>
    <row r="1693" spans="1:10" x14ac:dyDescent="0.35">
      <c r="A1693" s="32" t="s">
        <v>14</v>
      </c>
      <c r="B1693" s="32">
        <f t="shared" ref="B1693:B1694" si="407">+B1692+1</f>
        <v>2042</v>
      </c>
      <c r="C1693" s="33" t="s">
        <v>46</v>
      </c>
      <c r="D1693" s="34" t="s">
        <v>128</v>
      </c>
      <c r="E1693" s="35" t="str">
        <f t="shared" si="401"/>
        <v>PDP'!</v>
      </c>
      <c r="F1693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93" s="32" t="s">
        <v>103</v>
      </c>
      <c r="H1693" s="33">
        <f t="shared" si="403"/>
        <v>31</v>
      </c>
      <c r="I1693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ECP\Cantagallo\Cristalina\[CRISTALINA_CF_SEC_New_09-Feb-2024.xlsx]D-PDP'!$BX$31</v>
      </c>
      <c r="J1693" s="37" t="s">
        <v>888</v>
      </c>
    </row>
    <row r="1694" spans="1:10" x14ac:dyDescent="0.35">
      <c r="A1694" s="32" t="s">
        <v>14</v>
      </c>
      <c r="B1694" s="32">
        <f t="shared" si="407"/>
        <v>2043</v>
      </c>
      <c r="C1694" s="33" t="s">
        <v>46</v>
      </c>
      <c r="D1694" s="34" t="s">
        <v>128</v>
      </c>
      <c r="E1694" s="35" t="str">
        <f t="shared" si="401"/>
        <v>PDP'!</v>
      </c>
      <c r="F1694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94" s="32" t="s">
        <v>103</v>
      </c>
      <c r="H1694" s="33">
        <f t="shared" si="403"/>
        <v>32</v>
      </c>
      <c r="I1694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ECP\Cantagallo\Cristalina\[CRISTALINA_CF_SEC_New_09-Feb-2024.xlsx]D-PDP'!$BX$32</v>
      </c>
      <c r="J1694" s="37" t="s">
        <v>889</v>
      </c>
    </row>
    <row r="1695" spans="1:10" x14ac:dyDescent="0.35">
      <c r="A1695" s="32" t="s">
        <v>14</v>
      </c>
      <c r="B1695" s="32">
        <f>+B1694+1</f>
        <v>2044</v>
      </c>
      <c r="C1695" s="33" t="s">
        <v>46</v>
      </c>
      <c r="D1695" s="34" t="s">
        <v>128</v>
      </c>
      <c r="E1695" s="35" t="str">
        <f t="shared" ref="E1695:E1710" si="408">_xlfn.CONCAT(A1695,"'!")</f>
        <v>PDP'!</v>
      </c>
      <c r="F1695" s="34" t="str">
        <f t="shared" ref="F1695:F1710" si="409">_xlfn.CONCAT(D1695:E1695)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95" s="32" t="s">
        <v>103</v>
      </c>
      <c r="H1695" s="33">
        <f t="shared" ref="H1695:H1710" si="410">IF(A1695&lt;&gt;A1694,12,H1694+1)</f>
        <v>33</v>
      </c>
      <c r="I1695" s="33" t="str">
        <f t="shared" ref="I1695:I1710" si="411">_xlfn.CONCAT("='",F1695:H1695)</f>
        <v>='C:\Users\jaime.benazar\Quorum Business Solutions\Ecopetrol Prometeo - Documents\Planning Space Implementation\3. Analysis &amp; Design\Design\FC22\DRR Jaime\Por presentar a ECP\Cantagallo\Cristalina\[CRISTALINA_CF_SEC_New_09-Feb-2024.xlsx]D-PDP'!$BX$33</v>
      </c>
      <c r="J1695" s="37" t="s">
        <v>890</v>
      </c>
    </row>
    <row r="1696" spans="1:10" x14ac:dyDescent="0.35">
      <c r="A1696" s="32" t="s">
        <v>14</v>
      </c>
      <c r="B1696" s="32">
        <f t="shared" ref="B1696:B1710" si="412">+B1695+1</f>
        <v>2045</v>
      </c>
      <c r="C1696" s="33" t="s">
        <v>46</v>
      </c>
      <c r="D1696" s="34" t="s">
        <v>128</v>
      </c>
      <c r="E1696" s="35" t="str">
        <f t="shared" si="408"/>
        <v>PDP'!</v>
      </c>
      <c r="F1696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96" s="32" t="s">
        <v>103</v>
      </c>
      <c r="H1696" s="33">
        <f t="shared" si="410"/>
        <v>34</v>
      </c>
      <c r="I1696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ECP\Cantagallo\Cristalina\[CRISTALINA_CF_SEC_New_09-Feb-2024.xlsx]D-PDP'!$BX$34</v>
      </c>
      <c r="J1696" s="37" t="s">
        <v>891</v>
      </c>
    </row>
    <row r="1697" spans="1:10" x14ac:dyDescent="0.35">
      <c r="A1697" s="32" t="s">
        <v>14</v>
      </c>
      <c r="B1697" s="32">
        <f t="shared" si="412"/>
        <v>2046</v>
      </c>
      <c r="C1697" s="33" t="s">
        <v>46</v>
      </c>
      <c r="D1697" s="34" t="s">
        <v>128</v>
      </c>
      <c r="E1697" s="35" t="str">
        <f t="shared" si="408"/>
        <v>PDP'!</v>
      </c>
      <c r="F1697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97" s="32" t="s">
        <v>103</v>
      </c>
      <c r="H1697" s="33">
        <f t="shared" si="410"/>
        <v>35</v>
      </c>
      <c r="I1697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ECP\Cantagallo\Cristalina\[CRISTALINA_CF_SEC_New_09-Feb-2024.xlsx]D-PDP'!$BX$35</v>
      </c>
      <c r="J1697" s="37" t="s">
        <v>892</v>
      </c>
    </row>
    <row r="1698" spans="1:10" x14ac:dyDescent="0.35">
      <c r="A1698" s="32" t="s">
        <v>14</v>
      </c>
      <c r="B1698" s="32">
        <f t="shared" si="412"/>
        <v>2047</v>
      </c>
      <c r="C1698" s="33" t="s">
        <v>46</v>
      </c>
      <c r="D1698" s="34" t="s">
        <v>128</v>
      </c>
      <c r="E1698" s="35" t="str">
        <f t="shared" si="408"/>
        <v>PDP'!</v>
      </c>
      <c r="F1698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98" s="32" t="s">
        <v>103</v>
      </c>
      <c r="H1698" s="33">
        <f t="shared" si="410"/>
        <v>36</v>
      </c>
      <c r="I1698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ECP\Cantagallo\Cristalina\[CRISTALINA_CF_SEC_New_09-Feb-2024.xlsx]D-PDP'!$BX$36</v>
      </c>
      <c r="J1698" s="37" t="s">
        <v>893</v>
      </c>
    </row>
    <row r="1699" spans="1:10" x14ac:dyDescent="0.35">
      <c r="A1699" s="32" t="s">
        <v>14</v>
      </c>
      <c r="B1699" s="32">
        <f t="shared" si="412"/>
        <v>2048</v>
      </c>
      <c r="C1699" s="33" t="s">
        <v>46</v>
      </c>
      <c r="D1699" s="34" t="s">
        <v>128</v>
      </c>
      <c r="E1699" s="35" t="str">
        <f t="shared" si="408"/>
        <v>PDP'!</v>
      </c>
      <c r="F1699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99" s="32" t="s">
        <v>103</v>
      </c>
      <c r="H1699" s="33">
        <f t="shared" si="410"/>
        <v>37</v>
      </c>
      <c r="I1699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ECP\Cantagallo\Cristalina\[CRISTALINA_CF_SEC_New_09-Feb-2024.xlsx]D-PDP'!$BX$37</v>
      </c>
      <c r="J1699" s="37" t="s">
        <v>894</v>
      </c>
    </row>
    <row r="1700" spans="1:10" x14ac:dyDescent="0.35">
      <c r="A1700" s="32" t="s">
        <v>14</v>
      </c>
      <c r="B1700" s="32">
        <f t="shared" si="412"/>
        <v>2049</v>
      </c>
      <c r="C1700" s="33" t="s">
        <v>46</v>
      </c>
      <c r="D1700" s="34" t="s">
        <v>128</v>
      </c>
      <c r="E1700" s="35" t="str">
        <f t="shared" si="408"/>
        <v>PDP'!</v>
      </c>
      <c r="F1700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700" s="32" t="s">
        <v>103</v>
      </c>
      <c r="H1700" s="33">
        <f t="shared" si="410"/>
        <v>38</v>
      </c>
      <c r="I1700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ECP\Cantagallo\Cristalina\[CRISTALINA_CF_SEC_New_09-Feb-2024.xlsx]D-PDP'!$BX$38</v>
      </c>
      <c r="J1700" s="37" t="s">
        <v>895</v>
      </c>
    </row>
    <row r="1701" spans="1:10" x14ac:dyDescent="0.35">
      <c r="A1701" s="32" t="s">
        <v>14</v>
      </c>
      <c r="B1701" s="32">
        <f t="shared" si="412"/>
        <v>2050</v>
      </c>
      <c r="C1701" s="33" t="s">
        <v>46</v>
      </c>
      <c r="D1701" s="34" t="s">
        <v>128</v>
      </c>
      <c r="E1701" s="35" t="str">
        <f t="shared" si="408"/>
        <v>PDP'!</v>
      </c>
      <c r="F1701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701" s="32" t="s">
        <v>103</v>
      </c>
      <c r="H1701" s="33">
        <f t="shared" si="410"/>
        <v>39</v>
      </c>
      <c r="I1701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ECP\Cantagallo\Cristalina\[CRISTALINA_CF_SEC_New_09-Feb-2024.xlsx]D-PDP'!$BX$39</v>
      </c>
      <c r="J1701" s="37" t="s">
        <v>896</v>
      </c>
    </row>
    <row r="1702" spans="1:10" x14ac:dyDescent="0.35">
      <c r="A1702" s="32" t="s">
        <v>14</v>
      </c>
      <c r="B1702" s="32">
        <f t="shared" si="412"/>
        <v>2051</v>
      </c>
      <c r="C1702" s="33" t="s">
        <v>46</v>
      </c>
      <c r="D1702" s="34" t="s">
        <v>128</v>
      </c>
      <c r="E1702" s="35" t="str">
        <f t="shared" si="408"/>
        <v>PDP'!</v>
      </c>
      <c r="F1702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702" s="32" t="s">
        <v>103</v>
      </c>
      <c r="H1702" s="33">
        <f t="shared" si="410"/>
        <v>40</v>
      </c>
      <c r="I1702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ECP\Cantagallo\Cristalina\[CRISTALINA_CF_SEC_New_09-Feb-2024.xlsx]D-PDP'!$BX$40</v>
      </c>
      <c r="J1702" s="37" t="s">
        <v>897</v>
      </c>
    </row>
    <row r="1703" spans="1:10" x14ac:dyDescent="0.35">
      <c r="A1703" s="32" t="s">
        <v>14</v>
      </c>
      <c r="B1703" s="32">
        <f t="shared" si="412"/>
        <v>2052</v>
      </c>
      <c r="C1703" s="33" t="s">
        <v>46</v>
      </c>
      <c r="D1703" s="34" t="s">
        <v>128</v>
      </c>
      <c r="E1703" s="35" t="str">
        <f t="shared" si="408"/>
        <v>PDP'!</v>
      </c>
      <c r="F1703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703" s="32" t="s">
        <v>103</v>
      </c>
      <c r="H1703" s="33">
        <f t="shared" si="410"/>
        <v>41</v>
      </c>
      <c r="I1703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ECP\Cantagallo\Cristalina\[CRISTALINA_CF_SEC_New_09-Feb-2024.xlsx]D-PDP'!$BX$41</v>
      </c>
      <c r="J1703" s="37" t="s">
        <v>898</v>
      </c>
    </row>
    <row r="1704" spans="1:10" x14ac:dyDescent="0.35">
      <c r="A1704" s="32" t="s">
        <v>14</v>
      </c>
      <c r="B1704" s="32">
        <f t="shared" si="412"/>
        <v>2053</v>
      </c>
      <c r="C1704" s="33" t="s">
        <v>46</v>
      </c>
      <c r="D1704" s="34" t="s">
        <v>128</v>
      </c>
      <c r="E1704" s="35" t="str">
        <f t="shared" si="408"/>
        <v>PDP'!</v>
      </c>
      <c r="F1704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704" s="32" t="s">
        <v>103</v>
      </c>
      <c r="H1704" s="33">
        <f t="shared" si="410"/>
        <v>42</v>
      </c>
      <c r="I1704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ECP\Cantagallo\Cristalina\[CRISTALINA_CF_SEC_New_09-Feb-2024.xlsx]D-PDP'!$BX$42</v>
      </c>
      <c r="J1704" s="37" t="s">
        <v>899</v>
      </c>
    </row>
    <row r="1705" spans="1:10" x14ac:dyDescent="0.35">
      <c r="A1705" s="32" t="s">
        <v>14</v>
      </c>
      <c r="B1705" s="32">
        <f t="shared" si="412"/>
        <v>2054</v>
      </c>
      <c r="C1705" s="33" t="s">
        <v>46</v>
      </c>
      <c r="D1705" s="34" t="s">
        <v>128</v>
      </c>
      <c r="E1705" s="35" t="str">
        <f t="shared" si="408"/>
        <v>PDP'!</v>
      </c>
      <c r="F1705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705" s="32" t="s">
        <v>103</v>
      </c>
      <c r="H1705" s="33">
        <f t="shared" si="410"/>
        <v>43</v>
      </c>
      <c r="I1705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ECP\Cantagallo\Cristalina\[CRISTALINA_CF_SEC_New_09-Feb-2024.xlsx]D-PDP'!$BX$43</v>
      </c>
      <c r="J1705" s="37" t="s">
        <v>900</v>
      </c>
    </row>
    <row r="1706" spans="1:10" x14ac:dyDescent="0.35">
      <c r="A1706" s="32" t="s">
        <v>14</v>
      </c>
      <c r="B1706" s="32">
        <f t="shared" si="412"/>
        <v>2055</v>
      </c>
      <c r="C1706" s="33" t="s">
        <v>46</v>
      </c>
      <c r="D1706" s="34" t="s">
        <v>128</v>
      </c>
      <c r="E1706" s="35" t="str">
        <f t="shared" si="408"/>
        <v>PDP'!</v>
      </c>
      <c r="F1706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706" s="32" t="s">
        <v>103</v>
      </c>
      <c r="H1706" s="33">
        <f t="shared" si="410"/>
        <v>44</v>
      </c>
      <c r="I1706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ECP\Cantagallo\Cristalina\[CRISTALINA_CF_SEC_New_09-Feb-2024.xlsx]D-PDP'!$BX$44</v>
      </c>
      <c r="J1706" s="37" t="s">
        <v>901</v>
      </c>
    </row>
    <row r="1707" spans="1:10" x14ac:dyDescent="0.35">
      <c r="A1707" s="32" t="s">
        <v>14</v>
      </c>
      <c r="B1707" s="32">
        <f t="shared" si="412"/>
        <v>2056</v>
      </c>
      <c r="C1707" s="33" t="s">
        <v>46</v>
      </c>
      <c r="D1707" s="34" t="s">
        <v>128</v>
      </c>
      <c r="E1707" s="35" t="str">
        <f t="shared" si="408"/>
        <v>PDP'!</v>
      </c>
      <c r="F1707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707" s="32" t="s">
        <v>103</v>
      </c>
      <c r="H1707" s="33">
        <f t="shared" si="410"/>
        <v>45</v>
      </c>
      <c r="I1707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ECP\Cantagallo\Cristalina\[CRISTALINA_CF_SEC_New_09-Feb-2024.xlsx]D-PDP'!$BX$45</v>
      </c>
      <c r="J1707" s="37" t="s">
        <v>902</v>
      </c>
    </row>
    <row r="1708" spans="1:10" x14ac:dyDescent="0.35">
      <c r="A1708" s="32" t="s">
        <v>14</v>
      </c>
      <c r="B1708" s="32">
        <f t="shared" si="412"/>
        <v>2057</v>
      </c>
      <c r="C1708" s="33" t="s">
        <v>46</v>
      </c>
      <c r="D1708" s="34" t="s">
        <v>128</v>
      </c>
      <c r="E1708" s="35" t="str">
        <f t="shared" si="408"/>
        <v>PDP'!</v>
      </c>
      <c r="F1708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708" s="32" t="s">
        <v>103</v>
      </c>
      <c r="H1708" s="33">
        <f t="shared" si="410"/>
        <v>46</v>
      </c>
      <c r="I1708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ECP\Cantagallo\Cristalina\[CRISTALINA_CF_SEC_New_09-Feb-2024.xlsx]D-PDP'!$BX$46</v>
      </c>
      <c r="J1708" s="37" t="s">
        <v>903</v>
      </c>
    </row>
    <row r="1709" spans="1:10" x14ac:dyDescent="0.35">
      <c r="A1709" s="32" t="s">
        <v>14</v>
      </c>
      <c r="B1709" s="32">
        <f t="shared" si="412"/>
        <v>2058</v>
      </c>
      <c r="C1709" s="33" t="s">
        <v>46</v>
      </c>
      <c r="D1709" s="34" t="s">
        <v>128</v>
      </c>
      <c r="E1709" s="35" t="str">
        <f t="shared" si="408"/>
        <v>PDP'!</v>
      </c>
      <c r="F1709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709" s="32" t="s">
        <v>103</v>
      </c>
      <c r="H1709" s="33">
        <f t="shared" si="410"/>
        <v>47</v>
      </c>
      <c r="I1709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ECP\Cantagallo\Cristalina\[CRISTALINA_CF_SEC_New_09-Feb-2024.xlsx]D-PDP'!$BX$47</v>
      </c>
      <c r="J1709" s="37" t="s">
        <v>904</v>
      </c>
    </row>
    <row r="1710" spans="1:10" x14ac:dyDescent="0.35">
      <c r="A1710" s="32" t="s">
        <v>14</v>
      </c>
      <c r="B1710" s="32">
        <f t="shared" si="412"/>
        <v>2059</v>
      </c>
      <c r="C1710" s="33" t="s">
        <v>46</v>
      </c>
      <c r="D1710" s="34" t="s">
        <v>128</v>
      </c>
      <c r="E1710" s="35" t="str">
        <f t="shared" si="408"/>
        <v>PDP'!</v>
      </c>
      <c r="F1710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710" s="32" t="s">
        <v>103</v>
      </c>
      <c r="H1710" s="33">
        <f t="shared" si="410"/>
        <v>48</v>
      </c>
      <c r="I1710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ECP\Cantagallo\Cristalina\[CRISTALINA_CF_SEC_New_09-Feb-2024.xlsx]D-PDP'!$BX$48</v>
      </c>
      <c r="J1710" s="37" t="s">
        <v>905</v>
      </c>
    </row>
    <row r="1711" spans="1:10" x14ac:dyDescent="0.35">
      <c r="A1711" s="32" t="s">
        <v>26</v>
      </c>
      <c r="B1711" s="32"/>
      <c r="C1711" s="33" t="s">
        <v>46</v>
      </c>
      <c r="D1711" s="34"/>
      <c r="E1711" s="35"/>
      <c r="F1711" s="34"/>
      <c r="G1711" s="32"/>
      <c r="H1711" s="33"/>
      <c r="I1711" s="33"/>
      <c r="J1711" s="33"/>
    </row>
    <row r="1712" spans="1:10" x14ac:dyDescent="0.35">
      <c r="A1712" s="32" t="s">
        <v>15</v>
      </c>
      <c r="B1712" s="32">
        <v>2023</v>
      </c>
      <c r="C1712" s="33" t="s">
        <v>46</v>
      </c>
      <c r="D1712" s="34" t="s">
        <v>128</v>
      </c>
      <c r="E1712" s="35" t="str">
        <f t="shared" si="401"/>
        <v>PNP'!</v>
      </c>
      <c r="F1712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12" s="32" t="s">
        <v>103</v>
      </c>
      <c r="H1712" s="33">
        <v>12</v>
      </c>
      <c r="I1712" s="33" t="str">
        <f t="shared" ref="I1712:I1732" si="413">_xlfn.CONCAT("='",F1712:H1712)</f>
        <v>='C:\Users\jaime.benazar\Quorum Business Solutions\Ecopetrol Prometeo - Documents\Planning Space Implementation\3. Analysis &amp; Design\Design\FC22\DRR Jaime\Por presentar a ECP\Cantagallo\Cristalina\[CRISTALINA_CF_SEC_New_09-Feb-2024.xlsx]D-PNP'!$BX$12</v>
      </c>
      <c r="J1712" s="37" t="s">
        <v>906</v>
      </c>
    </row>
    <row r="1713" spans="1:10" x14ac:dyDescent="0.35">
      <c r="A1713" s="32" t="s">
        <v>15</v>
      </c>
      <c r="B1713" s="32">
        <f>+B1712+1</f>
        <v>2024</v>
      </c>
      <c r="C1713" s="33" t="s">
        <v>46</v>
      </c>
      <c r="D1713" s="34" t="s">
        <v>128</v>
      </c>
      <c r="E1713" s="35" t="str">
        <f t="shared" si="401"/>
        <v>PNP'!</v>
      </c>
      <c r="F1713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13" s="32" t="s">
        <v>103</v>
      </c>
      <c r="H1713" s="33">
        <f t="shared" ref="H1713:H1732" si="414">IF(A1713&lt;&gt;A1712,12,H1712+1)</f>
        <v>13</v>
      </c>
      <c r="I1713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ECP\Cantagallo\Cristalina\[CRISTALINA_CF_SEC_New_09-Feb-2024.xlsx]D-PNP'!$BX$13</v>
      </c>
      <c r="J1713" s="37" t="s">
        <v>907</v>
      </c>
    </row>
    <row r="1714" spans="1:10" x14ac:dyDescent="0.35">
      <c r="A1714" s="32" t="s">
        <v>15</v>
      </c>
      <c r="B1714" s="32">
        <f t="shared" ref="B1714:B1725" si="415">+B1713+1</f>
        <v>2025</v>
      </c>
      <c r="C1714" s="33" t="s">
        <v>46</v>
      </c>
      <c r="D1714" s="34" t="s">
        <v>128</v>
      </c>
      <c r="E1714" s="35" t="str">
        <f t="shared" si="401"/>
        <v>PNP'!</v>
      </c>
      <c r="F1714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14" s="32" t="s">
        <v>103</v>
      </c>
      <c r="H1714" s="33">
        <f t="shared" si="414"/>
        <v>14</v>
      </c>
      <c r="I1714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ECP\Cantagallo\Cristalina\[CRISTALINA_CF_SEC_New_09-Feb-2024.xlsx]D-PNP'!$BX$14</v>
      </c>
      <c r="J1714" s="37" t="s">
        <v>908</v>
      </c>
    </row>
    <row r="1715" spans="1:10" x14ac:dyDescent="0.35">
      <c r="A1715" s="32" t="s">
        <v>15</v>
      </c>
      <c r="B1715" s="32">
        <f t="shared" si="415"/>
        <v>2026</v>
      </c>
      <c r="C1715" s="33" t="s">
        <v>46</v>
      </c>
      <c r="D1715" s="34" t="s">
        <v>128</v>
      </c>
      <c r="E1715" s="35" t="str">
        <f t="shared" si="401"/>
        <v>PNP'!</v>
      </c>
      <c r="F1715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15" s="32" t="s">
        <v>103</v>
      </c>
      <c r="H1715" s="33">
        <f t="shared" si="414"/>
        <v>15</v>
      </c>
      <c r="I1715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ECP\Cantagallo\Cristalina\[CRISTALINA_CF_SEC_New_09-Feb-2024.xlsx]D-PNP'!$BX$15</v>
      </c>
      <c r="J1715" s="37" t="s">
        <v>909</v>
      </c>
    </row>
    <row r="1716" spans="1:10" x14ac:dyDescent="0.35">
      <c r="A1716" s="32" t="s">
        <v>15</v>
      </c>
      <c r="B1716" s="32">
        <f t="shared" si="415"/>
        <v>2027</v>
      </c>
      <c r="C1716" s="33" t="s">
        <v>46</v>
      </c>
      <c r="D1716" s="34" t="s">
        <v>128</v>
      </c>
      <c r="E1716" s="35" t="str">
        <f t="shared" si="401"/>
        <v>PNP'!</v>
      </c>
      <c r="F1716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16" s="32" t="s">
        <v>103</v>
      </c>
      <c r="H1716" s="33">
        <f t="shared" si="414"/>
        <v>16</v>
      </c>
      <c r="I1716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ECP\Cantagallo\Cristalina\[CRISTALINA_CF_SEC_New_09-Feb-2024.xlsx]D-PNP'!$BX$16</v>
      </c>
      <c r="J1716" s="37" t="s">
        <v>910</v>
      </c>
    </row>
    <row r="1717" spans="1:10" x14ac:dyDescent="0.35">
      <c r="A1717" s="32" t="s">
        <v>15</v>
      </c>
      <c r="B1717" s="32">
        <f t="shared" si="415"/>
        <v>2028</v>
      </c>
      <c r="C1717" s="33" t="s">
        <v>46</v>
      </c>
      <c r="D1717" s="34" t="s">
        <v>128</v>
      </c>
      <c r="E1717" s="35" t="str">
        <f t="shared" si="401"/>
        <v>PNP'!</v>
      </c>
      <c r="F1717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17" s="32" t="s">
        <v>103</v>
      </c>
      <c r="H1717" s="33">
        <f t="shared" si="414"/>
        <v>17</v>
      </c>
      <c r="I1717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ECP\Cantagallo\Cristalina\[CRISTALINA_CF_SEC_New_09-Feb-2024.xlsx]D-PNP'!$BX$17</v>
      </c>
      <c r="J1717" s="37" t="s">
        <v>911</v>
      </c>
    </row>
    <row r="1718" spans="1:10" x14ac:dyDescent="0.35">
      <c r="A1718" s="32" t="s">
        <v>15</v>
      </c>
      <c r="B1718" s="32">
        <f t="shared" si="415"/>
        <v>2029</v>
      </c>
      <c r="C1718" s="33" t="s">
        <v>46</v>
      </c>
      <c r="D1718" s="34" t="s">
        <v>128</v>
      </c>
      <c r="E1718" s="35" t="str">
        <f t="shared" si="401"/>
        <v>PNP'!</v>
      </c>
      <c r="F1718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18" s="32" t="s">
        <v>103</v>
      </c>
      <c r="H1718" s="33">
        <f t="shared" si="414"/>
        <v>18</v>
      </c>
      <c r="I1718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ECP\Cantagallo\Cristalina\[CRISTALINA_CF_SEC_New_09-Feb-2024.xlsx]D-PNP'!$BX$18</v>
      </c>
      <c r="J1718" s="37" t="s">
        <v>912</v>
      </c>
    </row>
    <row r="1719" spans="1:10" x14ac:dyDescent="0.35">
      <c r="A1719" s="32" t="s">
        <v>15</v>
      </c>
      <c r="B1719" s="32">
        <f t="shared" si="415"/>
        <v>2030</v>
      </c>
      <c r="C1719" s="33" t="s">
        <v>46</v>
      </c>
      <c r="D1719" s="34" t="s">
        <v>128</v>
      </c>
      <c r="E1719" s="35" t="str">
        <f t="shared" si="401"/>
        <v>PNP'!</v>
      </c>
      <c r="F1719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19" s="32" t="s">
        <v>103</v>
      </c>
      <c r="H1719" s="33">
        <f t="shared" si="414"/>
        <v>19</v>
      </c>
      <c r="I1719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ECP\Cantagallo\Cristalina\[CRISTALINA_CF_SEC_New_09-Feb-2024.xlsx]D-PNP'!$BX$19</v>
      </c>
      <c r="J1719" s="37" t="s">
        <v>913</v>
      </c>
    </row>
    <row r="1720" spans="1:10" x14ac:dyDescent="0.35">
      <c r="A1720" s="32" t="s">
        <v>15</v>
      </c>
      <c r="B1720" s="32">
        <f t="shared" si="415"/>
        <v>2031</v>
      </c>
      <c r="C1720" s="33" t="s">
        <v>46</v>
      </c>
      <c r="D1720" s="34" t="s">
        <v>128</v>
      </c>
      <c r="E1720" s="35" t="str">
        <f t="shared" si="401"/>
        <v>PNP'!</v>
      </c>
      <c r="F1720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20" s="32" t="s">
        <v>103</v>
      </c>
      <c r="H1720" s="33">
        <f t="shared" si="414"/>
        <v>20</v>
      </c>
      <c r="I1720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ECP\Cantagallo\Cristalina\[CRISTALINA_CF_SEC_New_09-Feb-2024.xlsx]D-PNP'!$BX$20</v>
      </c>
      <c r="J1720" s="37" t="s">
        <v>914</v>
      </c>
    </row>
    <row r="1721" spans="1:10" x14ac:dyDescent="0.35">
      <c r="A1721" s="32" t="s">
        <v>15</v>
      </c>
      <c r="B1721" s="32">
        <f t="shared" si="415"/>
        <v>2032</v>
      </c>
      <c r="C1721" s="33" t="s">
        <v>46</v>
      </c>
      <c r="D1721" s="34" t="s">
        <v>128</v>
      </c>
      <c r="E1721" s="35" t="str">
        <f t="shared" si="401"/>
        <v>PNP'!</v>
      </c>
      <c r="F1721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21" s="32" t="s">
        <v>103</v>
      </c>
      <c r="H1721" s="33">
        <f t="shared" si="414"/>
        <v>21</v>
      </c>
      <c r="I1721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ECP\Cantagallo\Cristalina\[CRISTALINA_CF_SEC_New_09-Feb-2024.xlsx]D-PNP'!$BX$21</v>
      </c>
      <c r="J1721" s="37" t="s">
        <v>915</v>
      </c>
    </row>
    <row r="1722" spans="1:10" x14ac:dyDescent="0.35">
      <c r="A1722" s="32" t="s">
        <v>15</v>
      </c>
      <c r="B1722" s="32">
        <f t="shared" si="415"/>
        <v>2033</v>
      </c>
      <c r="C1722" s="33" t="s">
        <v>46</v>
      </c>
      <c r="D1722" s="34" t="s">
        <v>128</v>
      </c>
      <c r="E1722" s="35" t="str">
        <f t="shared" si="401"/>
        <v>PNP'!</v>
      </c>
      <c r="F1722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22" s="32" t="s">
        <v>103</v>
      </c>
      <c r="H1722" s="33">
        <f t="shared" si="414"/>
        <v>22</v>
      </c>
      <c r="I1722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ECP\Cantagallo\Cristalina\[CRISTALINA_CF_SEC_New_09-Feb-2024.xlsx]D-PNP'!$BX$22</v>
      </c>
      <c r="J1722" s="37" t="s">
        <v>916</v>
      </c>
    </row>
    <row r="1723" spans="1:10" x14ac:dyDescent="0.35">
      <c r="A1723" s="32" t="s">
        <v>15</v>
      </c>
      <c r="B1723" s="32">
        <f t="shared" si="415"/>
        <v>2034</v>
      </c>
      <c r="C1723" s="33" t="s">
        <v>46</v>
      </c>
      <c r="D1723" s="34" t="s">
        <v>128</v>
      </c>
      <c r="E1723" s="35" t="str">
        <f t="shared" si="401"/>
        <v>PNP'!</v>
      </c>
      <c r="F1723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23" s="32" t="s">
        <v>103</v>
      </c>
      <c r="H1723" s="33">
        <f t="shared" si="414"/>
        <v>23</v>
      </c>
      <c r="I1723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ECP\Cantagallo\Cristalina\[CRISTALINA_CF_SEC_New_09-Feb-2024.xlsx]D-PNP'!$BX$23</v>
      </c>
      <c r="J1723" s="37" t="s">
        <v>917</v>
      </c>
    </row>
    <row r="1724" spans="1:10" x14ac:dyDescent="0.35">
      <c r="A1724" s="32" t="s">
        <v>15</v>
      </c>
      <c r="B1724" s="32">
        <f t="shared" si="415"/>
        <v>2035</v>
      </c>
      <c r="C1724" s="33" t="s">
        <v>46</v>
      </c>
      <c r="D1724" s="34" t="s">
        <v>128</v>
      </c>
      <c r="E1724" s="35" t="str">
        <f t="shared" si="401"/>
        <v>PNP'!</v>
      </c>
      <c r="F1724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24" s="32" t="s">
        <v>103</v>
      </c>
      <c r="H1724" s="33">
        <f t="shared" si="414"/>
        <v>24</v>
      </c>
      <c r="I1724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ECP\Cantagallo\Cristalina\[CRISTALINA_CF_SEC_New_09-Feb-2024.xlsx]D-PNP'!$BX$24</v>
      </c>
      <c r="J1724" s="37" t="s">
        <v>918</v>
      </c>
    </row>
    <row r="1725" spans="1:10" x14ac:dyDescent="0.35">
      <c r="A1725" s="32" t="s">
        <v>15</v>
      </c>
      <c r="B1725" s="32">
        <f t="shared" si="415"/>
        <v>2036</v>
      </c>
      <c r="C1725" s="33" t="s">
        <v>46</v>
      </c>
      <c r="D1725" s="34" t="s">
        <v>128</v>
      </c>
      <c r="E1725" s="35" t="str">
        <f t="shared" si="401"/>
        <v>PNP'!</v>
      </c>
      <c r="F1725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25" s="32" t="s">
        <v>103</v>
      </c>
      <c r="H1725" s="33">
        <f t="shared" si="414"/>
        <v>25</v>
      </c>
      <c r="I1725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ECP\Cantagallo\Cristalina\[CRISTALINA_CF_SEC_New_09-Feb-2024.xlsx]D-PNP'!$BX$25</v>
      </c>
      <c r="J1725" s="37" t="s">
        <v>919</v>
      </c>
    </row>
    <row r="1726" spans="1:10" x14ac:dyDescent="0.35">
      <c r="A1726" s="32" t="s">
        <v>15</v>
      </c>
      <c r="B1726" s="32">
        <f>+B1725+1</f>
        <v>2037</v>
      </c>
      <c r="C1726" s="33" t="s">
        <v>46</v>
      </c>
      <c r="D1726" s="34" t="s">
        <v>128</v>
      </c>
      <c r="E1726" s="35" t="str">
        <f t="shared" si="401"/>
        <v>PNP'!</v>
      </c>
      <c r="F1726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26" s="32" t="s">
        <v>103</v>
      </c>
      <c r="H1726" s="33">
        <f t="shared" si="414"/>
        <v>26</v>
      </c>
      <c r="I1726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ECP\Cantagallo\Cristalina\[CRISTALINA_CF_SEC_New_09-Feb-2024.xlsx]D-PNP'!$BX$26</v>
      </c>
      <c r="J1726" s="37" t="s">
        <v>920</v>
      </c>
    </row>
    <row r="1727" spans="1:10" x14ac:dyDescent="0.35">
      <c r="A1727" s="32" t="s">
        <v>15</v>
      </c>
      <c r="B1727" s="32">
        <f t="shared" ref="B1727:B1729" si="416">+B1726+1</f>
        <v>2038</v>
      </c>
      <c r="C1727" s="33" t="s">
        <v>46</v>
      </c>
      <c r="D1727" s="34" t="s">
        <v>128</v>
      </c>
      <c r="E1727" s="35" t="str">
        <f t="shared" si="401"/>
        <v>PNP'!</v>
      </c>
      <c r="F1727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27" s="32" t="s">
        <v>103</v>
      </c>
      <c r="H1727" s="33">
        <f t="shared" si="414"/>
        <v>27</v>
      </c>
      <c r="I1727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ECP\Cantagallo\Cristalina\[CRISTALINA_CF_SEC_New_09-Feb-2024.xlsx]D-PNP'!$BX$27</v>
      </c>
      <c r="J1727" s="37" t="s">
        <v>921</v>
      </c>
    </row>
    <row r="1728" spans="1:10" x14ac:dyDescent="0.35">
      <c r="A1728" s="32" t="s">
        <v>15</v>
      </c>
      <c r="B1728" s="32">
        <f t="shared" si="416"/>
        <v>2039</v>
      </c>
      <c r="C1728" s="33" t="s">
        <v>46</v>
      </c>
      <c r="D1728" s="34" t="s">
        <v>128</v>
      </c>
      <c r="E1728" s="35" t="str">
        <f t="shared" si="401"/>
        <v>PNP'!</v>
      </c>
      <c r="F1728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28" s="32" t="s">
        <v>103</v>
      </c>
      <c r="H1728" s="33">
        <f t="shared" si="414"/>
        <v>28</v>
      </c>
      <c r="I1728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ECP\Cantagallo\Cristalina\[CRISTALINA_CF_SEC_New_09-Feb-2024.xlsx]D-PNP'!$BX$28</v>
      </c>
      <c r="J1728" s="37" t="s">
        <v>922</v>
      </c>
    </row>
    <row r="1729" spans="1:10" x14ac:dyDescent="0.35">
      <c r="A1729" s="32" t="s">
        <v>15</v>
      </c>
      <c r="B1729" s="32">
        <f t="shared" si="416"/>
        <v>2040</v>
      </c>
      <c r="C1729" s="33" t="s">
        <v>46</v>
      </c>
      <c r="D1729" s="34" t="s">
        <v>128</v>
      </c>
      <c r="E1729" s="35" t="str">
        <f t="shared" si="401"/>
        <v>PNP'!</v>
      </c>
      <c r="F1729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29" s="32" t="s">
        <v>103</v>
      </c>
      <c r="H1729" s="33">
        <f t="shared" si="414"/>
        <v>29</v>
      </c>
      <c r="I1729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ECP\Cantagallo\Cristalina\[CRISTALINA_CF_SEC_New_09-Feb-2024.xlsx]D-PNP'!$BX$29</v>
      </c>
      <c r="J1729" s="37" t="s">
        <v>923</v>
      </c>
    </row>
    <row r="1730" spans="1:10" x14ac:dyDescent="0.35">
      <c r="A1730" s="32" t="s">
        <v>15</v>
      </c>
      <c r="B1730" s="32">
        <f>+B1729+1</f>
        <v>2041</v>
      </c>
      <c r="C1730" s="33" t="s">
        <v>46</v>
      </c>
      <c r="D1730" s="34" t="s">
        <v>128</v>
      </c>
      <c r="E1730" s="35" t="str">
        <f t="shared" si="401"/>
        <v>PNP'!</v>
      </c>
      <c r="F1730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30" s="32" t="s">
        <v>103</v>
      </c>
      <c r="H1730" s="33">
        <f t="shared" si="414"/>
        <v>30</v>
      </c>
      <c r="I1730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ECP\Cantagallo\Cristalina\[CRISTALINA_CF_SEC_New_09-Feb-2024.xlsx]D-PNP'!$BX$30</v>
      </c>
      <c r="J1730" s="37" t="s">
        <v>924</v>
      </c>
    </row>
    <row r="1731" spans="1:10" x14ac:dyDescent="0.35">
      <c r="A1731" s="32" t="s">
        <v>15</v>
      </c>
      <c r="B1731" s="32">
        <f t="shared" ref="B1731:B1732" si="417">+B1730+1</f>
        <v>2042</v>
      </c>
      <c r="C1731" s="33" t="s">
        <v>46</v>
      </c>
      <c r="D1731" s="34" t="s">
        <v>128</v>
      </c>
      <c r="E1731" s="35" t="str">
        <f t="shared" si="401"/>
        <v>PNP'!</v>
      </c>
      <c r="F1731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31" s="32" t="s">
        <v>103</v>
      </c>
      <c r="H1731" s="33">
        <f t="shared" si="414"/>
        <v>31</v>
      </c>
      <c r="I1731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ECP\Cantagallo\Cristalina\[CRISTALINA_CF_SEC_New_09-Feb-2024.xlsx]D-PNP'!$BX$31</v>
      </c>
      <c r="J1731" s="37" t="s">
        <v>925</v>
      </c>
    </row>
    <row r="1732" spans="1:10" x14ac:dyDescent="0.35">
      <c r="A1732" s="32" t="s">
        <v>15</v>
      </c>
      <c r="B1732" s="32">
        <f t="shared" si="417"/>
        <v>2043</v>
      </c>
      <c r="C1732" s="33" t="s">
        <v>46</v>
      </c>
      <c r="D1732" s="34" t="s">
        <v>128</v>
      </c>
      <c r="E1732" s="35" t="str">
        <f t="shared" si="401"/>
        <v>PNP'!</v>
      </c>
      <c r="F1732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32" s="32" t="s">
        <v>103</v>
      </c>
      <c r="H1732" s="33">
        <f t="shared" si="414"/>
        <v>32</v>
      </c>
      <c r="I1732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ECP\Cantagallo\Cristalina\[CRISTALINA_CF_SEC_New_09-Feb-2024.xlsx]D-PNP'!$BX$32</v>
      </c>
      <c r="J1732" s="37" t="s">
        <v>926</v>
      </c>
    </row>
    <row r="1733" spans="1:10" x14ac:dyDescent="0.35">
      <c r="A1733" s="32" t="s">
        <v>15</v>
      </c>
      <c r="B1733" s="32">
        <f>+B1732+1</f>
        <v>2044</v>
      </c>
      <c r="C1733" s="33" t="s">
        <v>46</v>
      </c>
      <c r="D1733" s="34" t="s">
        <v>128</v>
      </c>
      <c r="E1733" s="35" t="str">
        <f t="shared" ref="E1733:E1748" si="418">_xlfn.CONCAT(A1733,"'!")</f>
        <v>PNP'!</v>
      </c>
      <c r="F1733" s="34" t="str">
        <f t="shared" ref="F1733:F1748" si="419">_xlfn.CONCAT(D1733:E1733)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33" s="32" t="s">
        <v>103</v>
      </c>
      <c r="H1733" s="33">
        <f t="shared" ref="H1733:H1748" si="420">IF(A1733&lt;&gt;A1732,12,H1732+1)</f>
        <v>33</v>
      </c>
      <c r="I1733" s="33" t="str">
        <f t="shared" ref="I1733:I1748" si="421">_xlfn.CONCAT("='",F1733:H1733)</f>
        <v>='C:\Users\jaime.benazar\Quorum Business Solutions\Ecopetrol Prometeo - Documents\Planning Space Implementation\3. Analysis &amp; Design\Design\FC22\DRR Jaime\Por presentar a ECP\Cantagallo\Cristalina\[CRISTALINA_CF_SEC_New_09-Feb-2024.xlsx]D-PNP'!$BX$33</v>
      </c>
      <c r="J1733" s="37" t="s">
        <v>927</v>
      </c>
    </row>
    <row r="1734" spans="1:10" x14ac:dyDescent="0.35">
      <c r="A1734" s="32" t="s">
        <v>15</v>
      </c>
      <c r="B1734" s="32">
        <f t="shared" ref="B1734:B1748" si="422">+B1733+1</f>
        <v>2045</v>
      </c>
      <c r="C1734" s="33" t="s">
        <v>46</v>
      </c>
      <c r="D1734" s="34" t="s">
        <v>128</v>
      </c>
      <c r="E1734" s="35" t="str">
        <f t="shared" si="418"/>
        <v>PNP'!</v>
      </c>
      <c r="F1734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34" s="32" t="s">
        <v>103</v>
      </c>
      <c r="H1734" s="33">
        <f t="shared" si="420"/>
        <v>34</v>
      </c>
      <c r="I1734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ECP\Cantagallo\Cristalina\[CRISTALINA_CF_SEC_New_09-Feb-2024.xlsx]D-PNP'!$BX$34</v>
      </c>
      <c r="J1734" s="37" t="s">
        <v>928</v>
      </c>
    </row>
    <row r="1735" spans="1:10" x14ac:dyDescent="0.35">
      <c r="A1735" s="32" t="s">
        <v>15</v>
      </c>
      <c r="B1735" s="32">
        <f t="shared" si="422"/>
        <v>2046</v>
      </c>
      <c r="C1735" s="33" t="s">
        <v>46</v>
      </c>
      <c r="D1735" s="34" t="s">
        <v>128</v>
      </c>
      <c r="E1735" s="35" t="str">
        <f t="shared" si="418"/>
        <v>PNP'!</v>
      </c>
      <c r="F1735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35" s="32" t="s">
        <v>103</v>
      </c>
      <c r="H1735" s="33">
        <f t="shared" si="420"/>
        <v>35</v>
      </c>
      <c r="I1735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ECP\Cantagallo\Cristalina\[CRISTALINA_CF_SEC_New_09-Feb-2024.xlsx]D-PNP'!$BX$35</v>
      </c>
      <c r="J1735" s="37" t="s">
        <v>929</v>
      </c>
    </row>
    <row r="1736" spans="1:10" x14ac:dyDescent="0.35">
      <c r="A1736" s="32" t="s">
        <v>15</v>
      </c>
      <c r="B1736" s="32">
        <f t="shared" si="422"/>
        <v>2047</v>
      </c>
      <c r="C1736" s="33" t="s">
        <v>46</v>
      </c>
      <c r="D1736" s="34" t="s">
        <v>128</v>
      </c>
      <c r="E1736" s="35" t="str">
        <f t="shared" si="418"/>
        <v>PNP'!</v>
      </c>
      <c r="F1736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36" s="32" t="s">
        <v>103</v>
      </c>
      <c r="H1736" s="33">
        <f t="shared" si="420"/>
        <v>36</v>
      </c>
      <c r="I1736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ECP\Cantagallo\Cristalina\[CRISTALINA_CF_SEC_New_09-Feb-2024.xlsx]D-PNP'!$BX$36</v>
      </c>
      <c r="J1736" s="37" t="s">
        <v>930</v>
      </c>
    </row>
    <row r="1737" spans="1:10" x14ac:dyDescent="0.35">
      <c r="A1737" s="32" t="s">
        <v>15</v>
      </c>
      <c r="B1737" s="32">
        <f t="shared" si="422"/>
        <v>2048</v>
      </c>
      <c r="C1737" s="33" t="s">
        <v>46</v>
      </c>
      <c r="D1737" s="34" t="s">
        <v>128</v>
      </c>
      <c r="E1737" s="35" t="str">
        <f t="shared" si="418"/>
        <v>PNP'!</v>
      </c>
      <c r="F1737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37" s="32" t="s">
        <v>103</v>
      </c>
      <c r="H1737" s="33">
        <f t="shared" si="420"/>
        <v>37</v>
      </c>
      <c r="I1737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ECP\Cantagallo\Cristalina\[CRISTALINA_CF_SEC_New_09-Feb-2024.xlsx]D-PNP'!$BX$37</v>
      </c>
      <c r="J1737" s="37" t="s">
        <v>931</v>
      </c>
    </row>
    <row r="1738" spans="1:10" x14ac:dyDescent="0.35">
      <c r="A1738" s="32" t="s">
        <v>15</v>
      </c>
      <c r="B1738" s="32">
        <f t="shared" si="422"/>
        <v>2049</v>
      </c>
      <c r="C1738" s="33" t="s">
        <v>46</v>
      </c>
      <c r="D1738" s="34" t="s">
        <v>128</v>
      </c>
      <c r="E1738" s="35" t="str">
        <f t="shared" si="418"/>
        <v>PNP'!</v>
      </c>
      <c r="F1738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38" s="32" t="s">
        <v>103</v>
      </c>
      <c r="H1738" s="33">
        <f t="shared" si="420"/>
        <v>38</v>
      </c>
      <c r="I1738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ECP\Cantagallo\Cristalina\[CRISTALINA_CF_SEC_New_09-Feb-2024.xlsx]D-PNP'!$BX$38</v>
      </c>
      <c r="J1738" s="37" t="s">
        <v>932</v>
      </c>
    </row>
    <row r="1739" spans="1:10" x14ac:dyDescent="0.35">
      <c r="A1739" s="32" t="s">
        <v>15</v>
      </c>
      <c r="B1739" s="32">
        <f t="shared" si="422"/>
        <v>2050</v>
      </c>
      <c r="C1739" s="33" t="s">
        <v>46</v>
      </c>
      <c r="D1739" s="34" t="s">
        <v>128</v>
      </c>
      <c r="E1739" s="35" t="str">
        <f t="shared" si="418"/>
        <v>PNP'!</v>
      </c>
      <c r="F1739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39" s="32" t="s">
        <v>103</v>
      </c>
      <c r="H1739" s="33">
        <f t="shared" si="420"/>
        <v>39</v>
      </c>
      <c r="I1739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ECP\Cantagallo\Cristalina\[CRISTALINA_CF_SEC_New_09-Feb-2024.xlsx]D-PNP'!$BX$39</v>
      </c>
      <c r="J1739" s="37" t="s">
        <v>933</v>
      </c>
    </row>
    <row r="1740" spans="1:10" x14ac:dyDescent="0.35">
      <c r="A1740" s="32" t="s">
        <v>15</v>
      </c>
      <c r="B1740" s="32">
        <f t="shared" si="422"/>
        <v>2051</v>
      </c>
      <c r="C1740" s="33" t="s">
        <v>46</v>
      </c>
      <c r="D1740" s="34" t="s">
        <v>128</v>
      </c>
      <c r="E1740" s="35" t="str">
        <f t="shared" si="418"/>
        <v>PNP'!</v>
      </c>
      <c r="F1740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40" s="32" t="s">
        <v>103</v>
      </c>
      <c r="H1740" s="33">
        <f t="shared" si="420"/>
        <v>40</v>
      </c>
      <c r="I1740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ECP\Cantagallo\Cristalina\[CRISTALINA_CF_SEC_New_09-Feb-2024.xlsx]D-PNP'!$BX$40</v>
      </c>
      <c r="J1740" s="37" t="s">
        <v>934</v>
      </c>
    </row>
    <row r="1741" spans="1:10" x14ac:dyDescent="0.35">
      <c r="A1741" s="32" t="s">
        <v>15</v>
      </c>
      <c r="B1741" s="32">
        <f t="shared" si="422"/>
        <v>2052</v>
      </c>
      <c r="C1741" s="33" t="s">
        <v>46</v>
      </c>
      <c r="D1741" s="34" t="s">
        <v>128</v>
      </c>
      <c r="E1741" s="35" t="str">
        <f t="shared" si="418"/>
        <v>PNP'!</v>
      </c>
      <c r="F1741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41" s="32" t="s">
        <v>103</v>
      </c>
      <c r="H1741" s="33">
        <f t="shared" si="420"/>
        <v>41</v>
      </c>
      <c r="I1741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ECP\Cantagallo\Cristalina\[CRISTALINA_CF_SEC_New_09-Feb-2024.xlsx]D-PNP'!$BX$41</v>
      </c>
      <c r="J1741" s="37" t="s">
        <v>935</v>
      </c>
    </row>
    <row r="1742" spans="1:10" x14ac:dyDescent="0.35">
      <c r="A1742" s="32" t="s">
        <v>15</v>
      </c>
      <c r="B1742" s="32">
        <f t="shared" si="422"/>
        <v>2053</v>
      </c>
      <c r="C1742" s="33" t="s">
        <v>46</v>
      </c>
      <c r="D1742" s="34" t="s">
        <v>128</v>
      </c>
      <c r="E1742" s="35" t="str">
        <f t="shared" si="418"/>
        <v>PNP'!</v>
      </c>
      <c r="F1742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42" s="32" t="s">
        <v>103</v>
      </c>
      <c r="H1742" s="33">
        <f t="shared" si="420"/>
        <v>42</v>
      </c>
      <c r="I1742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ECP\Cantagallo\Cristalina\[CRISTALINA_CF_SEC_New_09-Feb-2024.xlsx]D-PNP'!$BX$42</v>
      </c>
      <c r="J1742" s="37" t="s">
        <v>936</v>
      </c>
    </row>
    <row r="1743" spans="1:10" x14ac:dyDescent="0.35">
      <c r="A1743" s="32" t="s">
        <v>15</v>
      </c>
      <c r="B1743" s="32">
        <f t="shared" si="422"/>
        <v>2054</v>
      </c>
      <c r="C1743" s="33" t="s">
        <v>46</v>
      </c>
      <c r="D1743" s="34" t="s">
        <v>128</v>
      </c>
      <c r="E1743" s="35" t="str">
        <f t="shared" si="418"/>
        <v>PNP'!</v>
      </c>
      <c r="F1743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43" s="32" t="s">
        <v>103</v>
      </c>
      <c r="H1743" s="33">
        <f t="shared" si="420"/>
        <v>43</v>
      </c>
      <c r="I1743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ECP\Cantagallo\Cristalina\[CRISTALINA_CF_SEC_New_09-Feb-2024.xlsx]D-PNP'!$BX$43</v>
      </c>
      <c r="J1743" s="37" t="s">
        <v>937</v>
      </c>
    </row>
    <row r="1744" spans="1:10" x14ac:dyDescent="0.35">
      <c r="A1744" s="32" t="s">
        <v>15</v>
      </c>
      <c r="B1744" s="32">
        <f t="shared" si="422"/>
        <v>2055</v>
      </c>
      <c r="C1744" s="33" t="s">
        <v>46</v>
      </c>
      <c r="D1744" s="34" t="s">
        <v>128</v>
      </c>
      <c r="E1744" s="35" t="str">
        <f t="shared" si="418"/>
        <v>PNP'!</v>
      </c>
      <c r="F1744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44" s="32" t="s">
        <v>103</v>
      </c>
      <c r="H1744" s="33">
        <f t="shared" si="420"/>
        <v>44</v>
      </c>
      <c r="I1744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ECP\Cantagallo\Cristalina\[CRISTALINA_CF_SEC_New_09-Feb-2024.xlsx]D-PNP'!$BX$44</v>
      </c>
      <c r="J1744" s="37" t="s">
        <v>938</v>
      </c>
    </row>
    <row r="1745" spans="1:10" x14ac:dyDescent="0.35">
      <c r="A1745" s="32" t="s">
        <v>15</v>
      </c>
      <c r="B1745" s="32">
        <f t="shared" si="422"/>
        <v>2056</v>
      </c>
      <c r="C1745" s="33" t="s">
        <v>46</v>
      </c>
      <c r="D1745" s="34" t="s">
        <v>128</v>
      </c>
      <c r="E1745" s="35" t="str">
        <f t="shared" si="418"/>
        <v>PNP'!</v>
      </c>
      <c r="F1745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45" s="32" t="s">
        <v>103</v>
      </c>
      <c r="H1745" s="33">
        <f t="shared" si="420"/>
        <v>45</v>
      </c>
      <c r="I1745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ECP\Cantagallo\Cristalina\[CRISTALINA_CF_SEC_New_09-Feb-2024.xlsx]D-PNP'!$BX$45</v>
      </c>
      <c r="J1745" s="37" t="s">
        <v>939</v>
      </c>
    </row>
    <row r="1746" spans="1:10" x14ac:dyDescent="0.35">
      <c r="A1746" s="32" t="s">
        <v>15</v>
      </c>
      <c r="B1746" s="32">
        <f t="shared" si="422"/>
        <v>2057</v>
      </c>
      <c r="C1746" s="33" t="s">
        <v>46</v>
      </c>
      <c r="D1746" s="34" t="s">
        <v>128</v>
      </c>
      <c r="E1746" s="35" t="str">
        <f t="shared" si="418"/>
        <v>PNP'!</v>
      </c>
      <c r="F1746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46" s="32" t="s">
        <v>103</v>
      </c>
      <c r="H1746" s="33">
        <f t="shared" si="420"/>
        <v>46</v>
      </c>
      <c r="I1746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ECP\Cantagallo\Cristalina\[CRISTALINA_CF_SEC_New_09-Feb-2024.xlsx]D-PNP'!$BX$46</v>
      </c>
      <c r="J1746" s="37" t="s">
        <v>940</v>
      </c>
    </row>
    <row r="1747" spans="1:10" x14ac:dyDescent="0.35">
      <c r="A1747" s="32" t="s">
        <v>15</v>
      </c>
      <c r="B1747" s="32">
        <f t="shared" si="422"/>
        <v>2058</v>
      </c>
      <c r="C1747" s="33" t="s">
        <v>46</v>
      </c>
      <c r="D1747" s="34" t="s">
        <v>128</v>
      </c>
      <c r="E1747" s="35" t="str">
        <f t="shared" si="418"/>
        <v>PNP'!</v>
      </c>
      <c r="F1747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47" s="32" t="s">
        <v>103</v>
      </c>
      <c r="H1747" s="33">
        <f t="shared" si="420"/>
        <v>47</v>
      </c>
      <c r="I1747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ECP\Cantagallo\Cristalina\[CRISTALINA_CF_SEC_New_09-Feb-2024.xlsx]D-PNP'!$BX$47</v>
      </c>
      <c r="J1747" s="37" t="s">
        <v>941</v>
      </c>
    </row>
    <row r="1748" spans="1:10" x14ac:dyDescent="0.35">
      <c r="A1748" s="32" t="s">
        <v>15</v>
      </c>
      <c r="B1748" s="32">
        <f t="shared" si="422"/>
        <v>2059</v>
      </c>
      <c r="C1748" s="33" t="s">
        <v>46</v>
      </c>
      <c r="D1748" s="34" t="s">
        <v>128</v>
      </c>
      <c r="E1748" s="35" t="str">
        <f t="shared" si="418"/>
        <v>PNP'!</v>
      </c>
      <c r="F1748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48" s="32" t="s">
        <v>103</v>
      </c>
      <c r="H1748" s="33">
        <f t="shared" si="420"/>
        <v>48</v>
      </c>
      <c r="I1748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ECP\Cantagallo\Cristalina\[CRISTALINA_CF_SEC_New_09-Feb-2024.xlsx]D-PNP'!$BX$48</v>
      </c>
      <c r="J1748" s="37" t="s">
        <v>942</v>
      </c>
    </row>
    <row r="1749" spans="1:10" x14ac:dyDescent="0.35">
      <c r="A1749" s="32" t="s">
        <v>26</v>
      </c>
      <c r="B1749" s="32"/>
      <c r="C1749" s="33" t="s">
        <v>46</v>
      </c>
      <c r="D1749" s="34"/>
      <c r="E1749" s="35"/>
      <c r="F1749" s="34"/>
      <c r="G1749" s="32"/>
      <c r="H1749" s="33"/>
      <c r="I1749" s="33"/>
      <c r="J1749" s="33"/>
    </row>
    <row r="1750" spans="1:10" x14ac:dyDescent="0.35">
      <c r="A1750" s="32" t="s">
        <v>16</v>
      </c>
      <c r="B1750" s="32">
        <v>2023</v>
      </c>
      <c r="C1750" s="33" t="s">
        <v>46</v>
      </c>
      <c r="D1750" s="34" t="s">
        <v>128</v>
      </c>
      <c r="E1750" s="35" t="str">
        <f t="shared" si="401"/>
        <v>PND'!</v>
      </c>
      <c r="F1750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50" s="32" t="s">
        <v>103</v>
      </c>
      <c r="H1750" s="33">
        <v>12</v>
      </c>
      <c r="I1750" s="33" t="str">
        <f t="shared" ref="I1750:I1770" si="423">_xlfn.CONCAT("='",F1750:H1750)</f>
        <v>='C:\Users\jaime.benazar\Quorum Business Solutions\Ecopetrol Prometeo - Documents\Planning Space Implementation\3. Analysis &amp; Design\Design\FC22\DRR Jaime\Por presentar a ECP\Cantagallo\Cristalina\[CRISTALINA_CF_SEC_New_09-Feb-2024.xlsx]D-PND'!$BX$12</v>
      </c>
      <c r="J1750" s="37" t="s">
        <v>943</v>
      </c>
    </row>
    <row r="1751" spans="1:10" x14ac:dyDescent="0.35">
      <c r="A1751" s="32" t="s">
        <v>16</v>
      </c>
      <c r="B1751" s="32">
        <f>+B1750+1</f>
        <v>2024</v>
      </c>
      <c r="C1751" s="33" t="s">
        <v>46</v>
      </c>
      <c r="D1751" s="34" t="s">
        <v>128</v>
      </c>
      <c r="E1751" s="35" t="str">
        <f t="shared" si="401"/>
        <v>PND'!</v>
      </c>
      <c r="F1751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51" s="32" t="s">
        <v>103</v>
      </c>
      <c r="H1751" s="33">
        <f t="shared" ref="H1751:H1770" si="424">IF(A1751&lt;&gt;A1750,12,H1750+1)</f>
        <v>13</v>
      </c>
      <c r="I1751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ECP\Cantagallo\Cristalina\[CRISTALINA_CF_SEC_New_09-Feb-2024.xlsx]D-PND'!$BX$13</v>
      </c>
      <c r="J1751" s="37" t="s">
        <v>944</v>
      </c>
    </row>
    <row r="1752" spans="1:10" x14ac:dyDescent="0.35">
      <c r="A1752" s="32" t="s">
        <v>16</v>
      </c>
      <c r="B1752" s="32">
        <f t="shared" ref="B1752:B1763" si="425">+B1751+1</f>
        <v>2025</v>
      </c>
      <c r="C1752" s="33" t="s">
        <v>46</v>
      </c>
      <c r="D1752" s="34" t="s">
        <v>128</v>
      </c>
      <c r="E1752" s="35" t="str">
        <f t="shared" si="401"/>
        <v>PND'!</v>
      </c>
      <c r="F1752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52" s="32" t="s">
        <v>103</v>
      </c>
      <c r="H1752" s="33">
        <f t="shared" si="424"/>
        <v>14</v>
      </c>
      <c r="I1752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ECP\Cantagallo\Cristalina\[CRISTALINA_CF_SEC_New_09-Feb-2024.xlsx]D-PND'!$BX$14</v>
      </c>
      <c r="J1752" s="37" t="s">
        <v>945</v>
      </c>
    </row>
    <row r="1753" spans="1:10" x14ac:dyDescent="0.35">
      <c r="A1753" s="32" t="s">
        <v>16</v>
      </c>
      <c r="B1753" s="32">
        <f t="shared" si="425"/>
        <v>2026</v>
      </c>
      <c r="C1753" s="33" t="s">
        <v>46</v>
      </c>
      <c r="D1753" s="34" t="s">
        <v>128</v>
      </c>
      <c r="E1753" s="35" t="str">
        <f t="shared" si="401"/>
        <v>PND'!</v>
      </c>
      <c r="F1753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53" s="32" t="s">
        <v>103</v>
      </c>
      <c r="H1753" s="33">
        <f t="shared" si="424"/>
        <v>15</v>
      </c>
      <c r="I1753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ECP\Cantagallo\Cristalina\[CRISTALINA_CF_SEC_New_09-Feb-2024.xlsx]D-PND'!$BX$15</v>
      </c>
      <c r="J1753" s="37" t="s">
        <v>946</v>
      </c>
    </row>
    <row r="1754" spans="1:10" x14ac:dyDescent="0.35">
      <c r="A1754" s="32" t="s">
        <v>16</v>
      </c>
      <c r="B1754" s="32">
        <f t="shared" si="425"/>
        <v>2027</v>
      </c>
      <c r="C1754" s="33" t="s">
        <v>46</v>
      </c>
      <c r="D1754" s="34" t="s">
        <v>128</v>
      </c>
      <c r="E1754" s="35" t="str">
        <f t="shared" si="401"/>
        <v>PND'!</v>
      </c>
      <c r="F1754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54" s="32" t="s">
        <v>103</v>
      </c>
      <c r="H1754" s="33">
        <f t="shared" si="424"/>
        <v>16</v>
      </c>
      <c r="I1754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ECP\Cantagallo\Cristalina\[CRISTALINA_CF_SEC_New_09-Feb-2024.xlsx]D-PND'!$BX$16</v>
      </c>
      <c r="J1754" s="37" t="s">
        <v>947</v>
      </c>
    </row>
    <row r="1755" spans="1:10" x14ac:dyDescent="0.35">
      <c r="A1755" s="32" t="s">
        <v>16</v>
      </c>
      <c r="B1755" s="32">
        <f t="shared" si="425"/>
        <v>2028</v>
      </c>
      <c r="C1755" s="33" t="s">
        <v>46</v>
      </c>
      <c r="D1755" s="34" t="s">
        <v>128</v>
      </c>
      <c r="E1755" s="35" t="str">
        <f t="shared" si="401"/>
        <v>PND'!</v>
      </c>
      <c r="F1755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55" s="32" t="s">
        <v>103</v>
      </c>
      <c r="H1755" s="33">
        <f t="shared" si="424"/>
        <v>17</v>
      </c>
      <c r="I1755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ECP\Cantagallo\Cristalina\[CRISTALINA_CF_SEC_New_09-Feb-2024.xlsx]D-PND'!$BX$17</v>
      </c>
      <c r="J1755" s="37" t="s">
        <v>948</v>
      </c>
    </row>
    <row r="1756" spans="1:10" x14ac:dyDescent="0.35">
      <c r="A1756" s="32" t="s">
        <v>16</v>
      </c>
      <c r="B1756" s="32">
        <f t="shared" si="425"/>
        <v>2029</v>
      </c>
      <c r="C1756" s="33" t="s">
        <v>46</v>
      </c>
      <c r="D1756" s="34" t="s">
        <v>128</v>
      </c>
      <c r="E1756" s="35" t="str">
        <f t="shared" si="401"/>
        <v>PND'!</v>
      </c>
      <c r="F1756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56" s="32" t="s">
        <v>103</v>
      </c>
      <c r="H1756" s="33">
        <f t="shared" si="424"/>
        <v>18</v>
      </c>
      <c r="I1756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ECP\Cantagallo\Cristalina\[CRISTALINA_CF_SEC_New_09-Feb-2024.xlsx]D-PND'!$BX$18</v>
      </c>
      <c r="J1756" s="37" t="s">
        <v>949</v>
      </c>
    </row>
    <row r="1757" spans="1:10" x14ac:dyDescent="0.35">
      <c r="A1757" s="32" t="s">
        <v>16</v>
      </c>
      <c r="B1757" s="32">
        <f t="shared" si="425"/>
        <v>2030</v>
      </c>
      <c r="C1757" s="33" t="s">
        <v>46</v>
      </c>
      <c r="D1757" s="34" t="s">
        <v>128</v>
      </c>
      <c r="E1757" s="35" t="str">
        <f t="shared" si="401"/>
        <v>PND'!</v>
      </c>
      <c r="F1757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57" s="32" t="s">
        <v>103</v>
      </c>
      <c r="H1757" s="33">
        <f t="shared" si="424"/>
        <v>19</v>
      </c>
      <c r="I1757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ECP\Cantagallo\Cristalina\[CRISTALINA_CF_SEC_New_09-Feb-2024.xlsx]D-PND'!$BX$19</v>
      </c>
      <c r="J1757" s="37" t="s">
        <v>950</v>
      </c>
    </row>
    <row r="1758" spans="1:10" x14ac:dyDescent="0.35">
      <c r="A1758" s="32" t="s">
        <v>16</v>
      </c>
      <c r="B1758" s="32">
        <f t="shared" si="425"/>
        <v>2031</v>
      </c>
      <c r="C1758" s="33" t="s">
        <v>46</v>
      </c>
      <c r="D1758" s="34" t="s">
        <v>128</v>
      </c>
      <c r="E1758" s="35" t="str">
        <f t="shared" si="401"/>
        <v>PND'!</v>
      </c>
      <c r="F1758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58" s="32" t="s">
        <v>103</v>
      </c>
      <c r="H1758" s="33">
        <f t="shared" si="424"/>
        <v>20</v>
      </c>
      <c r="I1758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ECP\Cantagallo\Cristalina\[CRISTALINA_CF_SEC_New_09-Feb-2024.xlsx]D-PND'!$BX$20</v>
      </c>
      <c r="J1758" s="37" t="s">
        <v>951</v>
      </c>
    </row>
    <row r="1759" spans="1:10" x14ac:dyDescent="0.35">
      <c r="A1759" s="32" t="s">
        <v>16</v>
      </c>
      <c r="B1759" s="32">
        <f t="shared" si="425"/>
        <v>2032</v>
      </c>
      <c r="C1759" s="33" t="s">
        <v>46</v>
      </c>
      <c r="D1759" s="34" t="s">
        <v>128</v>
      </c>
      <c r="E1759" s="35" t="str">
        <f t="shared" si="401"/>
        <v>PND'!</v>
      </c>
      <c r="F1759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59" s="32" t="s">
        <v>103</v>
      </c>
      <c r="H1759" s="33">
        <f t="shared" si="424"/>
        <v>21</v>
      </c>
      <c r="I1759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ECP\Cantagallo\Cristalina\[CRISTALINA_CF_SEC_New_09-Feb-2024.xlsx]D-PND'!$BX$21</v>
      </c>
      <c r="J1759" s="37" t="s">
        <v>952</v>
      </c>
    </row>
    <row r="1760" spans="1:10" x14ac:dyDescent="0.35">
      <c r="A1760" s="32" t="s">
        <v>16</v>
      </c>
      <c r="B1760" s="32">
        <f t="shared" si="425"/>
        <v>2033</v>
      </c>
      <c r="C1760" s="33" t="s">
        <v>46</v>
      </c>
      <c r="D1760" s="34" t="s">
        <v>128</v>
      </c>
      <c r="E1760" s="35" t="str">
        <f t="shared" si="401"/>
        <v>PND'!</v>
      </c>
      <c r="F1760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60" s="32" t="s">
        <v>103</v>
      </c>
      <c r="H1760" s="33">
        <f t="shared" si="424"/>
        <v>22</v>
      </c>
      <c r="I1760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ECP\Cantagallo\Cristalina\[CRISTALINA_CF_SEC_New_09-Feb-2024.xlsx]D-PND'!$BX$22</v>
      </c>
      <c r="J1760" s="37" t="s">
        <v>953</v>
      </c>
    </row>
    <row r="1761" spans="1:10" x14ac:dyDescent="0.35">
      <c r="A1761" s="32" t="s">
        <v>16</v>
      </c>
      <c r="B1761" s="32">
        <f t="shared" si="425"/>
        <v>2034</v>
      </c>
      <c r="C1761" s="33" t="s">
        <v>46</v>
      </c>
      <c r="D1761" s="34" t="s">
        <v>128</v>
      </c>
      <c r="E1761" s="35" t="str">
        <f t="shared" si="401"/>
        <v>PND'!</v>
      </c>
      <c r="F1761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61" s="32" t="s">
        <v>103</v>
      </c>
      <c r="H1761" s="33">
        <f t="shared" si="424"/>
        <v>23</v>
      </c>
      <c r="I1761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ECP\Cantagallo\Cristalina\[CRISTALINA_CF_SEC_New_09-Feb-2024.xlsx]D-PND'!$BX$23</v>
      </c>
      <c r="J1761" s="37" t="s">
        <v>954</v>
      </c>
    </row>
    <row r="1762" spans="1:10" x14ac:dyDescent="0.35">
      <c r="A1762" s="32" t="s">
        <v>16</v>
      </c>
      <c r="B1762" s="32">
        <f t="shared" si="425"/>
        <v>2035</v>
      </c>
      <c r="C1762" s="33" t="s">
        <v>46</v>
      </c>
      <c r="D1762" s="34" t="s">
        <v>128</v>
      </c>
      <c r="E1762" s="35" t="str">
        <f t="shared" si="401"/>
        <v>PND'!</v>
      </c>
      <c r="F1762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62" s="32" t="s">
        <v>103</v>
      </c>
      <c r="H1762" s="33">
        <f t="shared" si="424"/>
        <v>24</v>
      </c>
      <c r="I1762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ECP\Cantagallo\Cristalina\[CRISTALINA_CF_SEC_New_09-Feb-2024.xlsx]D-PND'!$BX$24</v>
      </c>
      <c r="J1762" s="37" t="s">
        <v>955</v>
      </c>
    </row>
    <row r="1763" spans="1:10" x14ac:dyDescent="0.35">
      <c r="A1763" s="32" t="s">
        <v>16</v>
      </c>
      <c r="B1763" s="32">
        <f t="shared" si="425"/>
        <v>2036</v>
      </c>
      <c r="C1763" s="33" t="s">
        <v>46</v>
      </c>
      <c r="D1763" s="34" t="s">
        <v>128</v>
      </c>
      <c r="E1763" s="35" t="str">
        <f t="shared" si="401"/>
        <v>PND'!</v>
      </c>
      <c r="F1763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63" s="32" t="s">
        <v>103</v>
      </c>
      <c r="H1763" s="33">
        <f t="shared" si="424"/>
        <v>25</v>
      </c>
      <c r="I1763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ECP\Cantagallo\Cristalina\[CRISTALINA_CF_SEC_New_09-Feb-2024.xlsx]D-PND'!$BX$25</v>
      </c>
      <c r="J1763" s="37" t="s">
        <v>956</v>
      </c>
    </row>
    <row r="1764" spans="1:10" x14ac:dyDescent="0.35">
      <c r="A1764" s="32" t="s">
        <v>16</v>
      </c>
      <c r="B1764" s="32">
        <f>+B1763+1</f>
        <v>2037</v>
      </c>
      <c r="C1764" s="33" t="s">
        <v>46</v>
      </c>
      <c r="D1764" s="34" t="s">
        <v>128</v>
      </c>
      <c r="E1764" s="35" t="str">
        <f t="shared" si="401"/>
        <v>PND'!</v>
      </c>
      <c r="F1764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64" s="32" t="s">
        <v>103</v>
      </c>
      <c r="H1764" s="33">
        <f t="shared" si="424"/>
        <v>26</v>
      </c>
      <c r="I1764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ECP\Cantagallo\Cristalina\[CRISTALINA_CF_SEC_New_09-Feb-2024.xlsx]D-PND'!$BX$26</v>
      </c>
      <c r="J1764" s="37" t="s">
        <v>957</v>
      </c>
    </row>
    <row r="1765" spans="1:10" x14ac:dyDescent="0.35">
      <c r="A1765" s="32" t="s">
        <v>16</v>
      </c>
      <c r="B1765" s="32">
        <f t="shared" ref="B1765:B1767" si="426">+B1764+1</f>
        <v>2038</v>
      </c>
      <c r="C1765" s="33" t="s">
        <v>46</v>
      </c>
      <c r="D1765" s="34" t="s">
        <v>128</v>
      </c>
      <c r="E1765" s="35" t="str">
        <f t="shared" si="401"/>
        <v>PND'!</v>
      </c>
      <c r="F1765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65" s="32" t="s">
        <v>103</v>
      </c>
      <c r="H1765" s="33">
        <f t="shared" si="424"/>
        <v>27</v>
      </c>
      <c r="I1765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ECP\Cantagallo\Cristalina\[CRISTALINA_CF_SEC_New_09-Feb-2024.xlsx]D-PND'!$BX$27</v>
      </c>
      <c r="J1765" s="37" t="s">
        <v>958</v>
      </c>
    </row>
    <row r="1766" spans="1:10" x14ac:dyDescent="0.35">
      <c r="A1766" s="32" t="s">
        <v>16</v>
      </c>
      <c r="B1766" s="32">
        <f t="shared" si="426"/>
        <v>2039</v>
      </c>
      <c r="C1766" s="33" t="s">
        <v>46</v>
      </c>
      <c r="D1766" s="34" t="s">
        <v>128</v>
      </c>
      <c r="E1766" s="35" t="str">
        <f t="shared" si="401"/>
        <v>PND'!</v>
      </c>
      <c r="F1766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66" s="32" t="s">
        <v>103</v>
      </c>
      <c r="H1766" s="33">
        <f t="shared" si="424"/>
        <v>28</v>
      </c>
      <c r="I1766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ECP\Cantagallo\Cristalina\[CRISTALINA_CF_SEC_New_09-Feb-2024.xlsx]D-PND'!$BX$28</v>
      </c>
      <c r="J1766" s="37" t="s">
        <v>959</v>
      </c>
    </row>
    <row r="1767" spans="1:10" x14ac:dyDescent="0.35">
      <c r="A1767" s="32" t="s">
        <v>16</v>
      </c>
      <c r="B1767" s="32">
        <f t="shared" si="426"/>
        <v>2040</v>
      </c>
      <c r="C1767" s="33" t="s">
        <v>46</v>
      </c>
      <c r="D1767" s="34" t="s">
        <v>128</v>
      </c>
      <c r="E1767" s="35" t="str">
        <f t="shared" si="401"/>
        <v>PND'!</v>
      </c>
      <c r="F1767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67" s="32" t="s">
        <v>103</v>
      </c>
      <c r="H1767" s="33">
        <f t="shared" si="424"/>
        <v>29</v>
      </c>
      <c r="I1767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ECP\Cantagallo\Cristalina\[CRISTALINA_CF_SEC_New_09-Feb-2024.xlsx]D-PND'!$BX$29</v>
      </c>
      <c r="J1767" s="37" t="s">
        <v>960</v>
      </c>
    </row>
    <row r="1768" spans="1:10" x14ac:dyDescent="0.35">
      <c r="A1768" s="32" t="s">
        <v>16</v>
      </c>
      <c r="B1768" s="32">
        <f>+B1767+1</f>
        <v>2041</v>
      </c>
      <c r="C1768" s="33" t="s">
        <v>46</v>
      </c>
      <c r="D1768" s="34" t="s">
        <v>128</v>
      </c>
      <c r="E1768" s="35" t="str">
        <f t="shared" si="401"/>
        <v>PND'!</v>
      </c>
      <c r="F1768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68" s="32" t="s">
        <v>103</v>
      </c>
      <c r="H1768" s="33">
        <f t="shared" si="424"/>
        <v>30</v>
      </c>
      <c r="I1768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ECP\Cantagallo\Cristalina\[CRISTALINA_CF_SEC_New_09-Feb-2024.xlsx]D-PND'!$BX$30</v>
      </c>
      <c r="J1768" s="37" t="s">
        <v>961</v>
      </c>
    </row>
    <row r="1769" spans="1:10" x14ac:dyDescent="0.35">
      <c r="A1769" s="32" t="s">
        <v>16</v>
      </c>
      <c r="B1769" s="32">
        <f t="shared" ref="B1769:B1770" si="427">+B1768+1</f>
        <v>2042</v>
      </c>
      <c r="C1769" s="33" t="s">
        <v>46</v>
      </c>
      <c r="D1769" s="34" t="s">
        <v>128</v>
      </c>
      <c r="E1769" s="35" t="str">
        <f t="shared" ref="E1769:E2074" si="428">_xlfn.CONCAT(A1769,"'!")</f>
        <v>PND'!</v>
      </c>
      <c r="F1769" s="34" t="str">
        <f t="shared" ref="F1769:F2074" si="429">_xlfn.CONCAT(D1769:E1769)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69" s="32" t="s">
        <v>103</v>
      </c>
      <c r="H1769" s="33">
        <f t="shared" si="424"/>
        <v>31</v>
      </c>
      <c r="I1769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ECP\Cantagallo\Cristalina\[CRISTALINA_CF_SEC_New_09-Feb-2024.xlsx]D-PND'!$BX$31</v>
      </c>
      <c r="J1769" s="37" t="s">
        <v>962</v>
      </c>
    </row>
    <row r="1770" spans="1:10" x14ac:dyDescent="0.35">
      <c r="A1770" s="32" t="s">
        <v>16</v>
      </c>
      <c r="B1770" s="32">
        <f t="shared" si="427"/>
        <v>2043</v>
      </c>
      <c r="C1770" s="33" t="s">
        <v>46</v>
      </c>
      <c r="D1770" s="34" t="s">
        <v>128</v>
      </c>
      <c r="E1770" s="35" t="str">
        <f t="shared" si="428"/>
        <v>PND'!</v>
      </c>
      <c r="F1770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70" s="32" t="s">
        <v>103</v>
      </c>
      <c r="H1770" s="33">
        <f t="shared" si="424"/>
        <v>32</v>
      </c>
      <c r="I1770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ECP\Cantagallo\Cristalina\[CRISTALINA_CF_SEC_New_09-Feb-2024.xlsx]D-PND'!$BX$32</v>
      </c>
      <c r="J1770" s="37" t="s">
        <v>963</v>
      </c>
    </row>
    <row r="1771" spans="1:10" x14ac:dyDescent="0.35">
      <c r="A1771" s="32" t="s">
        <v>16</v>
      </c>
      <c r="B1771" s="32">
        <f>+B1770+1</f>
        <v>2044</v>
      </c>
      <c r="C1771" s="33" t="s">
        <v>46</v>
      </c>
      <c r="D1771" s="34" t="s">
        <v>128</v>
      </c>
      <c r="E1771" s="35" t="str">
        <f t="shared" ref="E1771:E1786" si="430">_xlfn.CONCAT(A1771,"'!")</f>
        <v>PND'!</v>
      </c>
      <c r="F1771" s="34" t="str">
        <f t="shared" ref="F1771:F1786" si="431">_xlfn.CONCAT(D1771:E1771)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71" s="32" t="s">
        <v>103</v>
      </c>
      <c r="H1771" s="33">
        <f t="shared" ref="H1771:H1786" si="432">IF(A1771&lt;&gt;A1770,12,H1770+1)</f>
        <v>33</v>
      </c>
      <c r="I1771" s="33" t="str">
        <f t="shared" ref="I1771:I1786" si="433">_xlfn.CONCAT("='",F1771:H1771)</f>
        <v>='C:\Users\jaime.benazar\Quorum Business Solutions\Ecopetrol Prometeo - Documents\Planning Space Implementation\3. Analysis &amp; Design\Design\FC22\DRR Jaime\Por presentar a ECP\Cantagallo\Cristalina\[CRISTALINA_CF_SEC_New_09-Feb-2024.xlsx]D-PND'!$BX$33</v>
      </c>
      <c r="J1771" s="37" t="s">
        <v>964</v>
      </c>
    </row>
    <row r="1772" spans="1:10" x14ac:dyDescent="0.35">
      <c r="A1772" s="32" t="s">
        <v>16</v>
      </c>
      <c r="B1772" s="32">
        <f t="shared" ref="B1772:B1786" si="434">+B1771+1</f>
        <v>2045</v>
      </c>
      <c r="C1772" s="33" t="s">
        <v>46</v>
      </c>
      <c r="D1772" s="34" t="s">
        <v>128</v>
      </c>
      <c r="E1772" s="35" t="str">
        <f t="shared" si="430"/>
        <v>PND'!</v>
      </c>
      <c r="F1772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72" s="32" t="s">
        <v>103</v>
      </c>
      <c r="H1772" s="33">
        <f t="shared" si="432"/>
        <v>34</v>
      </c>
      <c r="I1772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ECP\Cantagallo\Cristalina\[CRISTALINA_CF_SEC_New_09-Feb-2024.xlsx]D-PND'!$BX$34</v>
      </c>
      <c r="J1772" s="37" t="s">
        <v>965</v>
      </c>
    </row>
    <row r="1773" spans="1:10" x14ac:dyDescent="0.35">
      <c r="A1773" s="32" t="s">
        <v>16</v>
      </c>
      <c r="B1773" s="32">
        <f t="shared" si="434"/>
        <v>2046</v>
      </c>
      <c r="C1773" s="33" t="s">
        <v>46</v>
      </c>
      <c r="D1773" s="34" t="s">
        <v>128</v>
      </c>
      <c r="E1773" s="35" t="str">
        <f t="shared" si="430"/>
        <v>PND'!</v>
      </c>
      <c r="F1773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73" s="32" t="s">
        <v>103</v>
      </c>
      <c r="H1773" s="33">
        <f t="shared" si="432"/>
        <v>35</v>
      </c>
      <c r="I1773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ECP\Cantagallo\Cristalina\[CRISTALINA_CF_SEC_New_09-Feb-2024.xlsx]D-PND'!$BX$35</v>
      </c>
      <c r="J1773" s="37" t="s">
        <v>966</v>
      </c>
    </row>
    <row r="1774" spans="1:10" x14ac:dyDescent="0.35">
      <c r="A1774" s="32" t="s">
        <v>16</v>
      </c>
      <c r="B1774" s="32">
        <f t="shared" si="434"/>
        <v>2047</v>
      </c>
      <c r="C1774" s="33" t="s">
        <v>46</v>
      </c>
      <c r="D1774" s="34" t="s">
        <v>128</v>
      </c>
      <c r="E1774" s="35" t="str">
        <f t="shared" si="430"/>
        <v>PND'!</v>
      </c>
      <c r="F1774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74" s="32" t="s">
        <v>103</v>
      </c>
      <c r="H1774" s="33">
        <f t="shared" si="432"/>
        <v>36</v>
      </c>
      <c r="I1774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ECP\Cantagallo\Cristalina\[CRISTALINA_CF_SEC_New_09-Feb-2024.xlsx]D-PND'!$BX$36</v>
      </c>
      <c r="J1774" s="37" t="s">
        <v>967</v>
      </c>
    </row>
    <row r="1775" spans="1:10" x14ac:dyDescent="0.35">
      <c r="A1775" s="32" t="s">
        <v>16</v>
      </c>
      <c r="B1775" s="32">
        <f t="shared" si="434"/>
        <v>2048</v>
      </c>
      <c r="C1775" s="33" t="s">
        <v>46</v>
      </c>
      <c r="D1775" s="34" t="s">
        <v>128</v>
      </c>
      <c r="E1775" s="35" t="str">
        <f t="shared" si="430"/>
        <v>PND'!</v>
      </c>
      <c r="F1775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75" s="32" t="s">
        <v>103</v>
      </c>
      <c r="H1775" s="33">
        <f t="shared" si="432"/>
        <v>37</v>
      </c>
      <c r="I1775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ECP\Cantagallo\Cristalina\[CRISTALINA_CF_SEC_New_09-Feb-2024.xlsx]D-PND'!$BX$37</v>
      </c>
      <c r="J1775" s="37" t="s">
        <v>968</v>
      </c>
    </row>
    <row r="1776" spans="1:10" x14ac:dyDescent="0.35">
      <c r="A1776" s="32" t="s">
        <v>16</v>
      </c>
      <c r="B1776" s="32">
        <f t="shared" si="434"/>
        <v>2049</v>
      </c>
      <c r="C1776" s="33" t="s">
        <v>46</v>
      </c>
      <c r="D1776" s="34" t="s">
        <v>128</v>
      </c>
      <c r="E1776" s="35" t="str">
        <f t="shared" si="430"/>
        <v>PND'!</v>
      </c>
      <c r="F1776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76" s="32" t="s">
        <v>103</v>
      </c>
      <c r="H1776" s="33">
        <f t="shared" si="432"/>
        <v>38</v>
      </c>
      <c r="I1776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ECP\Cantagallo\Cristalina\[CRISTALINA_CF_SEC_New_09-Feb-2024.xlsx]D-PND'!$BX$38</v>
      </c>
      <c r="J1776" s="37" t="s">
        <v>969</v>
      </c>
    </row>
    <row r="1777" spans="1:10" x14ac:dyDescent="0.35">
      <c r="A1777" s="32" t="s">
        <v>16</v>
      </c>
      <c r="B1777" s="32">
        <f t="shared" si="434"/>
        <v>2050</v>
      </c>
      <c r="C1777" s="33" t="s">
        <v>46</v>
      </c>
      <c r="D1777" s="34" t="s">
        <v>128</v>
      </c>
      <c r="E1777" s="35" t="str">
        <f t="shared" si="430"/>
        <v>PND'!</v>
      </c>
      <c r="F1777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77" s="32" t="s">
        <v>103</v>
      </c>
      <c r="H1777" s="33">
        <f t="shared" si="432"/>
        <v>39</v>
      </c>
      <c r="I1777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ECP\Cantagallo\Cristalina\[CRISTALINA_CF_SEC_New_09-Feb-2024.xlsx]D-PND'!$BX$39</v>
      </c>
      <c r="J1777" s="37" t="s">
        <v>970</v>
      </c>
    </row>
    <row r="1778" spans="1:10" x14ac:dyDescent="0.35">
      <c r="A1778" s="32" t="s">
        <v>16</v>
      </c>
      <c r="B1778" s="32">
        <f t="shared" si="434"/>
        <v>2051</v>
      </c>
      <c r="C1778" s="33" t="s">
        <v>46</v>
      </c>
      <c r="D1778" s="34" t="s">
        <v>128</v>
      </c>
      <c r="E1778" s="35" t="str">
        <f t="shared" si="430"/>
        <v>PND'!</v>
      </c>
      <c r="F1778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78" s="32" t="s">
        <v>103</v>
      </c>
      <c r="H1778" s="33">
        <f t="shared" si="432"/>
        <v>40</v>
      </c>
      <c r="I1778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ECP\Cantagallo\Cristalina\[CRISTALINA_CF_SEC_New_09-Feb-2024.xlsx]D-PND'!$BX$40</v>
      </c>
      <c r="J1778" s="37" t="s">
        <v>971</v>
      </c>
    </row>
    <row r="1779" spans="1:10" x14ac:dyDescent="0.35">
      <c r="A1779" s="32" t="s">
        <v>16</v>
      </c>
      <c r="B1779" s="32">
        <f t="shared" si="434"/>
        <v>2052</v>
      </c>
      <c r="C1779" s="33" t="s">
        <v>46</v>
      </c>
      <c r="D1779" s="34" t="s">
        <v>128</v>
      </c>
      <c r="E1779" s="35" t="str">
        <f t="shared" si="430"/>
        <v>PND'!</v>
      </c>
      <c r="F1779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79" s="32" t="s">
        <v>103</v>
      </c>
      <c r="H1779" s="33">
        <f t="shared" si="432"/>
        <v>41</v>
      </c>
      <c r="I1779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ECP\Cantagallo\Cristalina\[CRISTALINA_CF_SEC_New_09-Feb-2024.xlsx]D-PND'!$BX$41</v>
      </c>
      <c r="J1779" s="37" t="s">
        <v>972</v>
      </c>
    </row>
    <row r="1780" spans="1:10" x14ac:dyDescent="0.35">
      <c r="A1780" s="32" t="s">
        <v>16</v>
      </c>
      <c r="B1780" s="32">
        <f t="shared" si="434"/>
        <v>2053</v>
      </c>
      <c r="C1780" s="33" t="s">
        <v>46</v>
      </c>
      <c r="D1780" s="34" t="s">
        <v>128</v>
      </c>
      <c r="E1780" s="35" t="str">
        <f t="shared" si="430"/>
        <v>PND'!</v>
      </c>
      <c r="F1780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80" s="32" t="s">
        <v>103</v>
      </c>
      <c r="H1780" s="33">
        <f t="shared" si="432"/>
        <v>42</v>
      </c>
      <c r="I1780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ECP\Cantagallo\Cristalina\[CRISTALINA_CF_SEC_New_09-Feb-2024.xlsx]D-PND'!$BX$42</v>
      </c>
      <c r="J1780" s="37" t="s">
        <v>973</v>
      </c>
    </row>
    <row r="1781" spans="1:10" x14ac:dyDescent="0.35">
      <c r="A1781" s="32" t="s">
        <v>16</v>
      </c>
      <c r="B1781" s="32">
        <f t="shared" si="434"/>
        <v>2054</v>
      </c>
      <c r="C1781" s="33" t="s">
        <v>46</v>
      </c>
      <c r="D1781" s="34" t="s">
        <v>128</v>
      </c>
      <c r="E1781" s="35" t="str">
        <f t="shared" si="430"/>
        <v>PND'!</v>
      </c>
      <c r="F1781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81" s="32" t="s">
        <v>103</v>
      </c>
      <c r="H1781" s="33">
        <f t="shared" si="432"/>
        <v>43</v>
      </c>
      <c r="I1781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ECP\Cantagallo\Cristalina\[CRISTALINA_CF_SEC_New_09-Feb-2024.xlsx]D-PND'!$BX$43</v>
      </c>
      <c r="J1781" s="37" t="s">
        <v>974</v>
      </c>
    </row>
    <row r="1782" spans="1:10" x14ac:dyDescent="0.35">
      <c r="A1782" s="32" t="s">
        <v>16</v>
      </c>
      <c r="B1782" s="32">
        <f t="shared" si="434"/>
        <v>2055</v>
      </c>
      <c r="C1782" s="33" t="s">
        <v>46</v>
      </c>
      <c r="D1782" s="34" t="s">
        <v>128</v>
      </c>
      <c r="E1782" s="35" t="str">
        <f t="shared" si="430"/>
        <v>PND'!</v>
      </c>
      <c r="F1782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82" s="32" t="s">
        <v>103</v>
      </c>
      <c r="H1782" s="33">
        <f t="shared" si="432"/>
        <v>44</v>
      </c>
      <c r="I1782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ECP\Cantagallo\Cristalina\[CRISTALINA_CF_SEC_New_09-Feb-2024.xlsx]D-PND'!$BX$44</v>
      </c>
      <c r="J1782" s="37" t="s">
        <v>975</v>
      </c>
    </row>
    <row r="1783" spans="1:10" x14ac:dyDescent="0.35">
      <c r="A1783" s="32" t="s">
        <v>16</v>
      </c>
      <c r="B1783" s="32">
        <f t="shared" si="434"/>
        <v>2056</v>
      </c>
      <c r="C1783" s="33" t="s">
        <v>46</v>
      </c>
      <c r="D1783" s="34" t="s">
        <v>128</v>
      </c>
      <c r="E1783" s="35" t="str">
        <f t="shared" si="430"/>
        <v>PND'!</v>
      </c>
      <c r="F1783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83" s="32" t="s">
        <v>103</v>
      </c>
      <c r="H1783" s="33">
        <f t="shared" si="432"/>
        <v>45</v>
      </c>
      <c r="I1783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ECP\Cantagallo\Cristalina\[CRISTALINA_CF_SEC_New_09-Feb-2024.xlsx]D-PND'!$BX$45</v>
      </c>
      <c r="J1783" s="37" t="s">
        <v>976</v>
      </c>
    </row>
    <row r="1784" spans="1:10" x14ac:dyDescent="0.35">
      <c r="A1784" s="32" t="s">
        <v>16</v>
      </c>
      <c r="B1784" s="32">
        <f t="shared" si="434"/>
        <v>2057</v>
      </c>
      <c r="C1784" s="33" t="s">
        <v>46</v>
      </c>
      <c r="D1784" s="34" t="s">
        <v>128</v>
      </c>
      <c r="E1784" s="35" t="str">
        <f t="shared" si="430"/>
        <v>PND'!</v>
      </c>
      <c r="F1784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84" s="32" t="s">
        <v>103</v>
      </c>
      <c r="H1784" s="33">
        <f t="shared" si="432"/>
        <v>46</v>
      </c>
      <c r="I1784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ECP\Cantagallo\Cristalina\[CRISTALINA_CF_SEC_New_09-Feb-2024.xlsx]D-PND'!$BX$46</v>
      </c>
      <c r="J1784" s="37" t="s">
        <v>977</v>
      </c>
    </row>
    <row r="1785" spans="1:10" x14ac:dyDescent="0.35">
      <c r="A1785" s="32" t="s">
        <v>16</v>
      </c>
      <c r="B1785" s="32">
        <f t="shared" si="434"/>
        <v>2058</v>
      </c>
      <c r="C1785" s="33" t="s">
        <v>46</v>
      </c>
      <c r="D1785" s="34" t="s">
        <v>128</v>
      </c>
      <c r="E1785" s="35" t="str">
        <f t="shared" si="430"/>
        <v>PND'!</v>
      </c>
      <c r="F1785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85" s="32" t="s">
        <v>103</v>
      </c>
      <c r="H1785" s="33">
        <f t="shared" si="432"/>
        <v>47</v>
      </c>
      <c r="I1785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ECP\Cantagallo\Cristalina\[CRISTALINA_CF_SEC_New_09-Feb-2024.xlsx]D-PND'!$BX$47</v>
      </c>
      <c r="J1785" s="37" t="s">
        <v>978</v>
      </c>
    </row>
    <row r="1786" spans="1:10" x14ac:dyDescent="0.35">
      <c r="A1786" s="32" t="s">
        <v>16</v>
      </c>
      <c r="B1786" s="32">
        <f t="shared" si="434"/>
        <v>2059</v>
      </c>
      <c r="C1786" s="33" t="s">
        <v>46</v>
      </c>
      <c r="D1786" s="34" t="s">
        <v>128</v>
      </c>
      <c r="E1786" s="35" t="str">
        <f t="shared" si="430"/>
        <v>PND'!</v>
      </c>
      <c r="F1786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86" s="32" t="s">
        <v>103</v>
      </c>
      <c r="H1786" s="33">
        <f t="shared" si="432"/>
        <v>48</v>
      </c>
      <c r="I1786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ECP\Cantagallo\Cristalina\[CRISTALINA_CF_SEC_New_09-Feb-2024.xlsx]D-PND'!$BX$48</v>
      </c>
      <c r="J1786" s="37" t="s">
        <v>979</v>
      </c>
    </row>
    <row r="1787" spans="1:10" x14ac:dyDescent="0.35">
      <c r="A1787" s="32" t="s">
        <v>26</v>
      </c>
      <c r="B1787" s="32"/>
      <c r="C1787" s="33" t="s">
        <v>46</v>
      </c>
      <c r="D1787" s="34"/>
      <c r="E1787" s="35"/>
      <c r="F1787" s="34"/>
      <c r="G1787" s="32"/>
      <c r="H1787" s="33"/>
      <c r="I1787" s="33"/>
      <c r="J1787" s="33"/>
    </row>
    <row r="1788" spans="1:10" x14ac:dyDescent="0.35">
      <c r="A1788" s="32" t="s">
        <v>17</v>
      </c>
      <c r="B1788" s="32">
        <v>2023</v>
      </c>
      <c r="C1788" s="33" t="s">
        <v>46</v>
      </c>
      <c r="D1788" s="34" t="s">
        <v>128</v>
      </c>
      <c r="E1788" s="35" t="str">
        <f t="shared" ref="E1788:E1808" si="435">_xlfn.CONCAT(A1788,"'!")</f>
        <v>PRBDP'!</v>
      </c>
      <c r="F1788" s="34" t="str">
        <f t="shared" ref="F1788:F1808" si="436">_xlfn.CONCAT(D1788:E1788)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788" s="32" t="s">
        <v>103</v>
      </c>
      <c r="H1788" s="33"/>
      <c r="I1788" s="33"/>
      <c r="J1788" s="37"/>
    </row>
    <row r="1789" spans="1:10" x14ac:dyDescent="0.35">
      <c r="A1789" s="32" t="s">
        <v>17</v>
      </c>
      <c r="B1789" s="32">
        <f>+B1788+1</f>
        <v>2024</v>
      </c>
      <c r="C1789" s="33" t="s">
        <v>46</v>
      </c>
      <c r="D1789" s="34" t="s">
        <v>128</v>
      </c>
      <c r="E1789" s="35" t="str">
        <f t="shared" si="435"/>
        <v>PRBDP'!</v>
      </c>
      <c r="F1789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789" s="32" t="s">
        <v>103</v>
      </c>
      <c r="H1789" s="33"/>
      <c r="I1789" s="33"/>
      <c r="J1789" s="37"/>
    </row>
    <row r="1790" spans="1:10" x14ac:dyDescent="0.35">
      <c r="A1790" s="32" t="s">
        <v>17</v>
      </c>
      <c r="B1790" s="32">
        <f t="shared" ref="B1790:B1801" si="437">+B1789+1</f>
        <v>2025</v>
      </c>
      <c r="C1790" s="33" t="s">
        <v>46</v>
      </c>
      <c r="D1790" s="34" t="s">
        <v>128</v>
      </c>
      <c r="E1790" s="35" t="str">
        <f t="shared" si="435"/>
        <v>PRBDP'!</v>
      </c>
      <c r="F1790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790" s="32" t="s">
        <v>103</v>
      </c>
      <c r="H1790" s="33"/>
      <c r="I1790" s="33"/>
      <c r="J1790" s="37"/>
    </row>
    <row r="1791" spans="1:10" x14ac:dyDescent="0.35">
      <c r="A1791" s="32" t="s">
        <v>17</v>
      </c>
      <c r="B1791" s="32">
        <f t="shared" si="437"/>
        <v>2026</v>
      </c>
      <c r="C1791" s="33" t="s">
        <v>46</v>
      </c>
      <c r="D1791" s="34" t="s">
        <v>128</v>
      </c>
      <c r="E1791" s="35" t="str">
        <f t="shared" si="435"/>
        <v>PRBDP'!</v>
      </c>
      <c r="F1791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791" s="32" t="s">
        <v>103</v>
      </c>
      <c r="H1791" s="33"/>
      <c r="I1791" s="33"/>
      <c r="J1791" s="37"/>
    </row>
    <row r="1792" spans="1:10" x14ac:dyDescent="0.35">
      <c r="A1792" s="32" t="s">
        <v>17</v>
      </c>
      <c r="B1792" s="32">
        <f t="shared" si="437"/>
        <v>2027</v>
      </c>
      <c r="C1792" s="33" t="s">
        <v>46</v>
      </c>
      <c r="D1792" s="34" t="s">
        <v>128</v>
      </c>
      <c r="E1792" s="35" t="str">
        <f t="shared" si="435"/>
        <v>PRBDP'!</v>
      </c>
      <c r="F1792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792" s="32" t="s">
        <v>103</v>
      </c>
      <c r="H1792" s="33"/>
      <c r="I1792" s="33"/>
      <c r="J1792" s="37"/>
    </row>
    <row r="1793" spans="1:10" x14ac:dyDescent="0.35">
      <c r="A1793" s="32" t="s">
        <v>17</v>
      </c>
      <c r="B1793" s="32">
        <f t="shared" si="437"/>
        <v>2028</v>
      </c>
      <c r="C1793" s="33" t="s">
        <v>46</v>
      </c>
      <c r="D1793" s="34" t="s">
        <v>128</v>
      </c>
      <c r="E1793" s="35" t="str">
        <f t="shared" si="435"/>
        <v>PRBDP'!</v>
      </c>
      <c r="F1793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793" s="32" t="s">
        <v>103</v>
      </c>
      <c r="H1793" s="33"/>
      <c r="I1793" s="33"/>
      <c r="J1793" s="37"/>
    </row>
    <row r="1794" spans="1:10" x14ac:dyDescent="0.35">
      <c r="A1794" s="32" t="s">
        <v>17</v>
      </c>
      <c r="B1794" s="32">
        <f t="shared" si="437"/>
        <v>2029</v>
      </c>
      <c r="C1794" s="33" t="s">
        <v>46</v>
      </c>
      <c r="D1794" s="34" t="s">
        <v>128</v>
      </c>
      <c r="E1794" s="35" t="str">
        <f t="shared" si="435"/>
        <v>PRBDP'!</v>
      </c>
      <c r="F1794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794" s="32" t="s">
        <v>103</v>
      </c>
      <c r="H1794" s="33"/>
      <c r="I1794" s="33"/>
      <c r="J1794" s="37"/>
    </row>
    <row r="1795" spans="1:10" x14ac:dyDescent="0.35">
      <c r="A1795" s="32" t="s">
        <v>17</v>
      </c>
      <c r="B1795" s="32">
        <f t="shared" si="437"/>
        <v>2030</v>
      </c>
      <c r="C1795" s="33" t="s">
        <v>46</v>
      </c>
      <c r="D1795" s="34" t="s">
        <v>128</v>
      </c>
      <c r="E1795" s="35" t="str">
        <f t="shared" si="435"/>
        <v>PRBDP'!</v>
      </c>
      <c r="F1795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795" s="32" t="s">
        <v>103</v>
      </c>
      <c r="H1795" s="33"/>
      <c r="I1795" s="33"/>
      <c r="J1795" s="37"/>
    </row>
    <row r="1796" spans="1:10" x14ac:dyDescent="0.35">
      <c r="A1796" s="32" t="s">
        <v>17</v>
      </c>
      <c r="B1796" s="32">
        <f t="shared" si="437"/>
        <v>2031</v>
      </c>
      <c r="C1796" s="33" t="s">
        <v>46</v>
      </c>
      <c r="D1796" s="34" t="s">
        <v>128</v>
      </c>
      <c r="E1796" s="35" t="str">
        <f t="shared" si="435"/>
        <v>PRBDP'!</v>
      </c>
      <c r="F1796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796" s="32" t="s">
        <v>103</v>
      </c>
      <c r="H1796" s="33"/>
      <c r="I1796" s="33"/>
      <c r="J1796" s="37"/>
    </row>
    <row r="1797" spans="1:10" x14ac:dyDescent="0.35">
      <c r="A1797" s="32" t="s">
        <v>17</v>
      </c>
      <c r="B1797" s="32">
        <f t="shared" si="437"/>
        <v>2032</v>
      </c>
      <c r="C1797" s="33" t="s">
        <v>46</v>
      </c>
      <c r="D1797" s="34" t="s">
        <v>128</v>
      </c>
      <c r="E1797" s="35" t="str">
        <f t="shared" si="435"/>
        <v>PRBDP'!</v>
      </c>
      <c r="F1797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797" s="32" t="s">
        <v>103</v>
      </c>
      <c r="H1797" s="33"/>
      <c r="I1797" s="33"/>
      <c r="J1797" s="37"/>
    </row>
    <row r="1798" spans="1:10" x14ac:dyDescent="0.35">
      <c r="A1798" s="32" t="s">
        <v>17</v>
      </c>
      <c r="B1798" s="32">
        <f t="shared" si="437"/>
        <v>2033</v>
      </c>
      <c r="C1798" s="33" t="s">
        <v>46</v>
      </c>
      <c r="D1798" s="34" t="s">
        <v>128</v>
      </c>
      <c r="E1798" s="35" t="str">
        <f t="shared" si="435"/>
        <v>PRBDP'!</v>
      </c>
      <c r="F1798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798" s="32" t="s">
        <v>103</v>
      </c>
      <c r="H1798" s="33"/>
      <c r="I1798" s="33"/>
      <c r="J1798" s="37"/>
    </row>
    <row r="1799" spans="1:10" x14ac:dyDescent="0.35">
      <c r="A1799" s="32" t="s">
        <v>17</v>
      </c>
      <c r="B1799" s="32">
        <f t="shared" si="437"/>
        <v>2034</v>
      </c>
      <c r="C1799" s="33" t="s">
        <v>46</v>
      </c>
      <c r="D1799" s="34" t="s">
        <v>128</v>
      </c>
      <c r="E1799" s="35" t="str">
        <f t="shared" si="435"/>
        <v>PRBDP'!</v>
      </c>
      <c r="F1799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799" s="32" t="s">
        <v>103</v>
      </c>
      <c r="H1799" s="33"/>
      <c r="I1799" s="33"/>
      <c r="J1799" s="37"/>
    </row>
    <row r="1800" spans="1:10" x14ac:dyDescent="0.35">
      <c r="A1800" s="32" t="s">
        <v>17</v>
      </c>
      <c r="B1800" s="32">
        <f t="shared" si="437"/>
        <v>2035</v>
      </c>
      <c r="C1800" s="33" t="s">
        <v>46</v>
      </c>
      <c r="D1800" s="34" t="s">
        <v>128</v>
      </c>
      <c r="E1800" s="35" t="str">
        <f t="shared" si="435"/>
        <v>PRBDP'!</v>
      </c>
      <c r="F1800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00" s="32" t="s">
        <v>103</v>
      </c>
      <c r="H1800" s="33"/>
      <c r="I1800" s="33"/>
      <c r="J1800" s="37"/>
    </row>
    <row r="1801" spans="1:10" x14ac:dyDescent="0.35">
      <c r="A1801" s="32" t="s">
        <v>17</v>
      </c>
      <c r="B1801" s="32">
        <f t="shared" si="437"/>
        <v>2036</v>
      </c>
      <c r="C1801" s="33" t="s">
        <v>46</v>
      </c>
      <c r="D1801" s="34" t="s">
        <v>128</v>
      </c>
      <c r="E1801" s="35" t="str">
        <f t="shared" si="435"/>
        <v>PRBDP'!</v>
      </c>
      <c r="F1801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01" s="32" t="s">
        <v>103</v>
      </c>
      <c r="H1801" s="33"/>
      <c r="I1801" s="33"/>
      <c r="J1801" s="37"/>
    </row>
    <row r="1802" spans="1:10" x14ac:dyDescent="0.35">
      <c r="A1802" s="32" t="s">
        <v>17</v>
      </c>
      <c r="B1802" s="32">
        <f>+B1801+1</f>
        <v>2037</v>
      </c>
      <c r="C1802" s="33" t="s">
        <v>46</v>
      </c>
      <c r="D1802" s="34" t="s">
        <v>128</v>
      </c>
      <c r="E1802" s="35" t="str">
        <f t="shared" si="435"/>
        <v>PRBDP'!</v>
      </c>
      <c r="F1802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02" s="32" t="s">
        <v>103</v>
      </c>
      <c r="H1802" s="33"/>
      <c r="I1802" s="33"/>
      <c r="J1802" s="37"/>
    </row>
    <row r="1803" spans="1:10" x14ac:dyDescent="0.35">
      <c r="A1803" s="32" t="s">
        <v>17</v>
      </c>
      <c r="B1803" s="32">
        <f t="shared" ref="B1803:B1805" si="438">+B1802+1</f>
        <v>2038</v>
      </c>
      <c r="C1803" s="33" t="s">
        <v>46</v>
      </c>
      <c r="D1803" s="34" t="s">
        <v>128</v>
      </c>
      <c r="E1803" s="35" t="str">
        <f t="shared" si="435"/>
        <v>PRBDP'!</v>
      </c>
      <c r="F1803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03" s="32" t="s">
        <v>103</v>
      </c>
      <c r="H1803" s="33"/>
      <c r="I1803" s="33"/>
      <c r="J1803" s="37"/>
    </row>
    <row r="1804" spans="1:10" x14ac:dyDescent="0.35">
      <c r="A1804" s="32" t="s">
        <v>17</v>
      </c>
      <c r="B1804" s="32">
        <f t="shared" si="438"/>
        <v>2039</v>
      </c>
      <c r="C1804" s="33" t="s">
        <v>46</v>
      </c>
      <c r="D1804" s="34" t="s">
        <v>128</v>
      </c>
      <c r="E1804" s="35" t="str">
        <f t="shared" si="435"/>
        <v>PRBDP'!</v>
      </c>
      <c r="F1804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04" s="32" t="s">
        <v>103</v>
      </c>
      <c r="H1804" s="33"/>
      <c r="I1804" s="33"/>
      <c r="J1804" s="37"/>
    </row>
    <row r="1805" spans="1:10" x14ac:dyDescent="0.35">
      <c r="A1805" s="32" t="s">
        <v>17</v>
      </c>
      <c r="B1805" s="32">
        <f t="shared" si="438"/>
        <v>2040</v>
      </c>
      <c r="C1805" s="33" t="s">
        <v>46</v>
      </c>
      <c r="D1805" s="34" t="s">
        <v>128</v>
      </c>
      <c r="E1805" s="35" t="str">
        <f t="shared" si="435"/>
        <v>PRBDP'!</v>
      </c>
      <c r="F1805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05" s="32" t="s">
        <v>103</v>
      </c>
      <c r="H1805" s="33"/>
      <c r="I1805" s="33"/>
      <c r="J1805" s="37"/>
    </row>
    <row r="1806" spans="1:10" x14ac:dyDescent="0.35">
      <c r="A1806" s="32" t="s">
        <v>17</v>
      </c>
      <c r="B1806" s="32">
        <f>+B1805+1</f>
        <v>2041</v>
      </c>
      <c r="C1806" s="33" t="s">
        <v>46</v>
      </c>
      <c r="D1806" s="34" t="s">
        <v>128</v>
      </c>
      <c r="E1806" s="35" t="str">
        <f t="shared" si="435"/>
        <v>PRBDP'!</v>
      </c>
      <c r="F1806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06" s="32" t="s">
        <v>103</v>
      </c>
      <c r="H1806" s="33"/>
      <c r="I1806" s="33"/>
      <c r="J1806" s="37"/>
    </row>
    <row r="1807" spans="1:10" x14ac:dyDescent="0.35">
      <c r="A1807" s="32" t="s">
        <v>17</v>
      </c>
      <c r="B1807" s="32">
        <f t="shared" ref="B1807:B1808" si="439">+B1806+1</f>
        <v>2042</v>
      </c>
      <c r="C1807" s="33" t="s">
        <v>46</v>
      </c>
      <c r="D1807" s="34" t="s">
        <v>128</v>
      </c>
      <c r="E1807" s="35" t="str">
        <f t="shared" si="435"/>
        <v>PRBDP'!</v>
      </c>
      <c r="F1807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07" s="32" t="s">
        <v>103</v>
      </c>
      <c r="H1807" s="33"/>
      <c r="I1807" s="33"/>
      <c r="J1807" s="37"/>
    </row>
    <row r="1808" spans="1:10" x14ac:dyDescent="0.35">
      <c r="A1808" s="32" t="s">
        <v>17</v>
      </c>
      <c r="B1808" s="32">
        <f t="shared" si="439"/>
        <v>2043</v>
      </c>
      <c r="C1808" s="33" t="s">
        <v>46</v>
      </c>
      <c r="D1808" s="34" t="s">
        <v>128</v>
      </c>
      <c r="E1808" s="35" t="str">
        <f t="shared" si="435"/>
        <v>PRBDP'!</v>
      </c>
      <c r="F1808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08" s="32" t="s">
        <v>103</v>
      </c>
      <c r="H1808" s="33"/>
      <c r="I1808" s="33"/>
      <c r="J1808" s="37"/>
    </row>
    <row r="1809" spans="1:10" x14ac:dyDescent="0.35">
      <c r="A1809" s="32" t="s">
        <v>17</v>
      </c>
      <c r="B1809" s="32">
        <f>+B1808+1</f>
        <v>2044</v>
      </c>
      <c r="C1809" s="33" t="s">
        <v>46</v>
      </c>
      <c r="D1809" s="34" t="s">
        <v>128</v>
      </c>
      <c r="E1809" s="35" t="str">
        <f t="shared" ref="E1809:E1824" si="440">_xlfn.CONCAT(A1809,"'!")</f>
        <v>PRBDP'!</v>
      </c>
      <c r="F1809" s="34" t="str">
        <f t="shared" ref="F1809:F1824" si="441">_xlfn.CONCAT(D1809:E1809)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09" s="32" t="s">
        <v>103</v>
      </c>
      <c r="H1809" s="33"/>
      <c r="I1809" s="33"/>
      <c r="J1809" s="37"/>
    </row>
    <row r="1810" spans="1:10" x14ac:dyDescent="0.35">
      <c r="A1810" s="32" t="s">
        <v>17</v>
      </c>
      <c r="B1810" s="32">
        <f t="shared" ref="B1810:B1824" si="442">+B1809+1</f>
        <v>2045</v>
      </c>
      <c r="C1810" s="33" t="s">
        <v>46</v>
      </c>
      <c r="D1810" s="34" t="s">
        <v>128</v>
      </c>
      <c r="E1810" s="35" t="str">
        <f t="shared" si="440"/>
        <v>PRBDP'!</v>
      </c>
      <c r="F1810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10" s="32" t="s">
        <v>103</v>
      </c>
      <c r="H1810" s="33"/>
      <c r="I1810" s="33"/>
      <c r="J1810" s="37"/>
    </row>
    <row r="1811" spans="1:10" x14ac:dyDescent="0.35">
      <c r="A1811" s="32" t="s">
        <v>17</v>
      </c>
      <c r="B1811" s="32">
        <f t="shared" si="442"/>
        <v>2046</v>
      </c>
      <c r="C1811" s="33" t="s">
        <v>46</v>
      </c>
      <c r="D1811" s="34" t="s">
        <v>128</v>
      </c>
      <c r="E1811" s="35" t="str">
        <f t="shared" si="440"/>
        <v>PRBDP'!</v>
      </c>
      <c r="F1811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11" s="32" t="s">
        <v>103</v>
      </c>
      <c r="H1811" s="33"/>
      <c r="I1811" s="33"/>
      <c r="J1811" s="37"/>
    </row>
    <row r="1812" spans="1:10" x14ac:dyDescent="0.35">
      <c r="A1812" s="32" t="s">
        <v>17</v>
      </c>
      <c r="B1812" s="32">
        <f t="shared" si="442"/>
        <v>2047</v>
      </c>
      <c r="C1812" s="33" t="s">
        <v>46</v>
      </c>
      <c r="D1812" s="34" t="s">
        <v>128</v>
      </c>
      <c r="E1812" s="35" t="str">
        <f t="shared" si="440"/>
        <v>PRBDP'!</v>
      </c>
      <c r="F1812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12" s="32" t="s">
        <v>103</v>
      </c>
      <c r="H1812" s="33"/>
      <c r="I1812" s="33"/>
      <c r="J1812" s="37"/>
    </row>
    <row r="1813" spans="1:10" x14ac:dyDescent="0.35">
      <c r="A1813" s="32" t="s">
        <v>17</v>
      </c>
      <c r="B1813" s="32">
        <f t="shared" si="442"/>
        <v>2048</v>
      </c>
      <c r="C1813" s="33" t="s">
        <v>46</v>
      </c>
      <c r="D1813" s="34" t="s">
        <v>128</v>
      </c>
      <c r="E1813" s="35" t="str">
        <f t="shared" si="440"/>
        <v>PRBDP'!</v>
      </c>
      <c r="F1813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13" s="32" t="s">
        <v>103</v>
      </c>
      <c r="H1813" s="33"/>
      <c r="I1813" s="33"/>
      <c r="J1813" s="37"/>
    </row>
    <row r="1814" spans="1:10" x14ac:dyDescent="0.35">
      <c r="A1814" s="32" t="s">
        <v>17</v>
      </c>
      <c r="B1814" s="32">
        <f t="shared" si="442"/>
        <v>2049</v>
      </c>
      <c r="C1814" s="33" t="s">
        <v>46</v>
      </c>
      <c r="D1814" s="34" t="s">
        <v>128</v>
      </c>
      <c r="E1814" s="35" t="str">
        <f t="shared" si="440"/>
        <v>PRBDP'!</v>
      </c>
      <c r="F1814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14" s="32" t="s">
        <v>103</v>
      </c>
      <c r="H1814" s="33"/>
      <c r="I1814" s="33"/>
      <c r="J1814" s="37"/>
    </row>
    <row r="1815" spans="1:10" x14ac:dyDescent="0.35">
      <c r="A1815" s="32" t="s">
        <v>17</v>
      </c>
      <c r="B1815" s="32">
        <f t="shared" si="442"/>
        <v>2050</v>
      </c>
      <c r="C1815" s="33" t="s">
        <v>46</v>
      </c>
      <c r="D1815" s="34" t="s">
        <v>128</v>
      </c>
      <c r="E1815" s="35" t="str">
        <f t="shared" si="440"/>
        <v>PRBDP'!</v>
      </c>
      <c r="F1815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15" s="32" t="s">
        <v>103</v>
      </c>
      <c r="H1815" s="33"/>
      <c r="I1815" s="33"/>
      <c r="J1815" s="37"/>
    </row>
    <row r="1816" spans="1:10" x14ac:dyDescent="0.35">
      <c r="A1816" s="32" t="s">
        <v>17</v>
      </c>
      <c r="B1816" s="32">
        <f t="shared" si="442"/>
        <v>2051</v>
      </c>
      <c r="C1816" s="33" t="s">
        <v>46</v>
      </c>
      <c r="D1816" s="34" t="s">
        <v>128</v>
      </c>
      <c r="E1816" s="35" t="str">
        <f t="shared" si="440"/>
        <v>PRBDP'!</v>
      </c>
      <c r="F1816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16" s="32" t="s">
        <v>103</v>
      </c>
      <c r="H1816" s="33"/>
      <c r="I1816" s="33"/>
      <c r="J1816" s="37"/>
    </row>
    <row r="1817" spans="1:10" x14ac:dyDescent="0.35">
      <c r="A1817" s="32" t="s">
        <v>17</v>
      </c>
      <c r="B1817" s="32">
        <f t="shared" si="442"/>
        <v>2052</v>
      </c>
      <c r="C1817" s="33" t="s">
        <v>46</v>
      </c>
      <c r="D1817" s="34" t="s">
        <v>128</v>
      </c>
      <c r="E1817" s="35" t="str">
        <f t="shared" si="440"/>
        <v>PRBDP'!</v>
      </c>
      <c r="F1817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17" s="32" t="s">
        <v>103</v>
      </c>
      <c r="H1817" s="33"/>
      <c r="I1817" s="33"/>
      <c r="J1817" s="37"/>
    </row>
    <row r="1818" spans="1:10" x14ac:dyDescent="0.35">
      <c r="A1818" s="32" t="s">
        <v>17</v>
      </c>
      <c r="B1818" s="32">
        <f t="shared" si="442"/>
        <v>2053</v>
      </c>
      <c r="C1818" s="33" t="s">
        <v>46</v>
      </c>
      <c r="D1818" s="34" t="s">
        <v>128</v>
      </c>
      <c r="E1818" s="35" t="str">
        <f t="shared" si="440"/>
        <v>PRBDP'!</v>
      </c>
      <c r="F1818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18" s="32" t="s">
        <v>103</v>
      </c>
      <c r="H1818" s="33"/>
      <c r="I1818" s="33"/>
      <c r="J1818" s="37"/>
    </row>
    <row r="1819" spans="1:10" x14ac:dyDescent="0.35">
      <c r="A1819" s="32" t="s">
        <v>17</v>
      </c>
      <c r="B1819" s="32">
        <f t="shared" si="442"/>
        <v>2054</v>
      </c>
      <c r="C1819" s="33" t="s">
        <v>46</v>
      </c>
      <c r="D1819" s="34" t="s">
        <v>128</v>
      </c>
      <c r="E1819" s="35" t="str">
        <f t="shared" si="440"/>
        <v>PRBDP'!</v>
      </c>
      <c r="F1819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19" s="32" t="s">
        <v>103</v>
      </c>
      <c r="H1819" s="33"/>
      <c r="I1819" s="33"/>
      <c r="J1819" s="37"/>
    </row>
    <row r="1820" spans="1:10" x14ac:dyDescent="0.35">
      <c r="A1820" s="32" t="s">
        <v>17</v>
      </c>
      <c r="B1820" s="32">
        <f t="shared" si="442"/>
        <v>2055</v>
      </c>
      <c r="C1820" s="33" t="s">
        <v>46</v>
      </c>
      <c r="D1820" s="34" t="s">
        <v>128</v>
      </c>
      <c r="E1820" s="35" t="str">
        <f t="shared" si="440"/>
        <v>PRBDP'!</v>
      </c>
      <c r="F1820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20" s="32" t="s">
        <v>103</v>
      </c>
      <c r="H1820" s="33"/>
      <c r="I1820" s="33"/>
      <c r="J1820" s="37"/>
    </row>
    <row r="1821" spans="1:10" x14ac:dyDescent="0.35">
      <c r="A1821" s="32" t="s">
        <v>17</v>
      </c>
      <c r="B1821" s="32">
        <f t="shared" si="442"/>
        <v>2056</v>
      </c>
      <c r="C1821" s="33" t="s">
        <v>46</v>
      </c>
      <c r="D1821" s="34" t="s">
        <v>128</v>
      </c>
      <c r="E1821" s="35" t="str">
        <f t="shared" si="440"/>
        <v>PRBDP'!</v>
      </c>
      <c r="F1821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21" s="32" t="s">
        <v>103</v>
      </c>
      <c r="H1821" s="33"/>
      <c r="I1821" s="33"/>
      <c r="J1821" s="37"/>
    </row>
    <row r="1822" spans="1:10" x14ac:dyDescent="0.35">
      <c r="A1822" s="32" t="s">
        <v>17</v>
      </c>
      <c r="B1822" s="32">
        <f t="shared" si="442"/>
        <v>2057</v>
      </c>
      <c r="C1822" s="33" t="s">
        <v>46</v>
      </c>
      <c r="D1822" s="34" t="s">
        <v>128</v>
      </c>
      <c r="E1822" s="35" t="str">
        <f t="shared" si="440"/>
        <v>PRBDP'!</v>
      </c>
      <c r="F1822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22" s="32" t="s">
        <v>103</v>
      </c>
      <c r="H1822" s="33"/>
      <c r="I1822" s="33"/>
      <c r="J1822" s="37"/>
    </row>
    <row r="1823" spans="1:10" x14ac:dyDescent="0.35">
      <c r="A1823" s="32" t="s">
        <v>17</v>
      </c>
      <c r="B1823" s="32">
        <f t="shared" si="442"/>
        <v>2058</v>
      </c>
      <c r="C1823" s="33" t="s">
        <v>46</v>
      </c>
      <c r="D1823" s="34" t="s">
        <v>128</v>
      </c>
      <c r="E1823" s="35" t="str">
        <f t="shared" si="440"/>
        <v>PRBDP'!</v>
      </c>
      <c r="F1823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23" s="32" t="s">
        <v>103</v>
      </c>
      <c r="H1823" s="33"/>
      <c r="I1823" s="33"/>
      <c r="J1823" s="37"/>
    </row>
    <row r="1824" spans="1:10" x14ac:dyDescent="0.35">
      <c r="A1824" s="32" t="s">
        <v>17</v>
      </c>
      <c r="B1824" s="32">
        <f t="shared" si="442"/>
        <v>2059</v>
      </c>
      <c r="C1824" s="33" t="s">
        <v>46</v>
      </c>
      <c r="D1824" s="34" t="s">
        <v>128</v>
      </c>
      <c r="E1824" s="35" t="str">
        <f t="shared" si="440"/>
        <v>PRBDP'!</v>
      </c>
      <c r="F1824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24" s="32" t="s">
        <v>103</v>
      </c>
      <c r="H1824" s="33"/>
      <c r="I1824" s="33"/>
      <c r="J1824" s="37"/>
    </row>
    <row r="1825" spans="1:10" x14ac:dyDescent="0.35">
      <c r="A1825" s="32" t="s">
        <v>26</v>
      </c>
      <c r="B1825" s="32"/>
      <c r="C1825" s="33" t="s">
        <v>46</v>
      </c>
      <c r="D1825" s="34"/>
      <c r="E1825" s="35"/>
      <c r="F1825" s="34"/>
      <c r="G1825" s="32"/>
      <c r="H1825" s="33"/>
      <c r="I1825" s="33"/>
      <c r="J1825" s="33"/>
    </row>
    <row r="1826" spans="1:10" x14ac:dyDescent="0.35">
      <c r="A1826" s="32" t="s">
        <v>18</v>
      </c>
      <c r="B1826" s="32">
        <v>2023</v>
      </c>
      <c r="C1826" s="33" t="s">
        <v>46</v>
      </c>
      <c r="D1826" s="34" t="s">
        <v>128</v>
      </c>
      <c r="E1826" s="35" t="str">
        <f t="shared" ref="E1826:E1846" si="443">_xlfn.CONCAT(A1826,"'!")</f>
        <v>PRBNP'!</v>
      </c>
      <c r="F1826" s="34" t="str">
        <f t="shared" ref="F1826:F1846" si="444">_xlfn.CONCAT(D1826:E1826)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26" s="32" t="s">
        <v>103</v>
      </c>
      <c r="H1826" s="33"/>
      <c r="I1826" s="33"/>
      <c r="J1826" s="37"/>
    </row>
    <row r="1827" spans="1:10" x14ac:dyDescent="0.35">
      <c r="A1827" s="32" t="s">
        <v>18</v>
      </c>
      <c r="B1827" s="32">
        <f>+B1826+1</f>
        <v>2024</v>
      </c>
      <c r="C1827" s="33" t="s">
        <v>46</v>
      </c>
      <c r="D1827" s="34" t="s">
        <v>128</v>
      </c>
      <c r="E1827" s="35" t="str">
        <f t="shared" si="443"/>
        <v>PRBNP'!</v>
      </c>
      <c r="F1827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27" s="32" t="s">
        <v>103</v>
      </c>
      <c r="H1827" s="33"/>
      <c r="I1827" s="33"/>
      <c r="J1827" s="37"/>
    </row>
    <row r="1828" spans="1:10" x14ac:dyDescent="0.35">
      <c r="A1828" s="32" t="s">
        <v>18</v>
      </c>
      <c r="B1828" s="32">
        <f t="shared" ref="B1828:B1839" si="445">+B1827+1</f>
        <v>2025</v>
      </c>
      <c r="C1828" s="33" t="s">
        <v>46</v>
      </c>
      <c r="D1828" s="34" t="s">
        <v>128</v>
      </c>
      <c r="E1828" s="35" t="str">
        <f t="shared" si="443"/>
        <v>PRBNP'!</v>
      </c>
      <c r="F1828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28" s="32" t="s">
        <v>103</v>
      </c>
      <c r="H1828" s="33"/>
      <c r="I1828" s="33"/>
      <c r="J1828" s="37"/>
    </row>
    <row r="1829" spans="1:10" x14ac:dyDescent="0.35">
      <c r="A1829" s="32" t="s">
        <v>18</v>
      </c>
      <c r="B1829" s="32">
        <f t="shared" si="445"/>
        <v>2026</v>
      </c>
      <c r="C1829" s="33" t="s">
        <v>46</v>
      </c>
      <c r="D1829" s="34" t="s">
        <v>128</v>
      </c>
      <c r="E1829" s="35" t="str">
        <f t="shared" si="443"/>
        <v>PRBNP'!</v>
      </c>
      <c r="F1829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29" s="32" t="s">
        <v>103</v>
      </c>
      <c r="H1829" s="33"/>
      <c r="I1829" s="33"/>
      <c r="J1829" s="37"/>
    </row>
    <row r="1830" spans="1:10" x14ac:dyDescent="0.35">
      <c r="A1830" s="32" t="s">
        <v>18</v>
      </c>
      <c r="B1830" s="32">
        <f t="shared" si="445"/>
        <v>2027</v>
      </c>
      <c r="C1830" s="33" t="s">
        <v>46</v>
      </c>
      <c r="D1830" s="34" t="s">
        <v>128</v>
      </c>
      <c r="E1830" s="35" t="str">
        <f t="shared" si="443"/>
        <v>PRBNP'!</v>
      </c>
      <c r="F1830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30" s="32" t="s">
        <v>103</v>
      </c>
      <c r="H1830" s="33"/>
      <c r="I1830" s="33"/>
      <c r="J1830" s="37"/>
    </row>
    <row r="1831" spans="1:10" x14ac:dyDescent="0.35">
      <c r="A1831" s="32" t="s">
        <v>18</v>
      </c>
      <c r="B1831" s="32">
        <f t="shared" si="445"/>
        <v>2028</v>
      </c>
      <c r="C1831" s="33" t="s">
        <v>46</v>
      </c>
      <c r="D1831" s="34" t="s">
        <v>128</v>
      </c>
      <c r="E1831" s="35" t="str">
        <f t="shared" si="443"/>
        <v>PRBNP'!</v>
      </c>
      <c r="F1831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31" s="32" t="s">
        <v>103</v>
      </c>
      <c r="H1831" s="33"/>
      <c r="I1831" s="33"/>
      <c r="J1831" s="37"/>
    </row>
    <row r="1832" spans="1:10" x14ac:dyDescent="0.35">
      <c r="A1832" s="32" t="s">
        <v>18</v>
      </c>
      <c r="B1832" s="32">
        <f t="shared" si="445"/>
        <v>2029</v>
      </c>
      <c r="C1832" s="33" t="s">
        <v>46</v>
      </c>
      <c r="D1832" s="34" t="s">
        <v>128</v>
      </c>
      <c r="E1832" s="35" t="str">
        <f t="shared" si="443"/>
        <v>PRBNP'!</v>
      </c>
      <c r="F1832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32" s="32" t="s">
        <v>103</v>
      </c>
      <c r="H1832" s="33"/>
      <c r="I1832" s="33"/>
      <c r="J1832" s="37"/>
    </row>
    <row r="1833" spans="1:10" x14ac:dyDescent="0.35">
      <c r="A1833" s="32" t="s">
        <v>18</v>
      </c>
      <c r="B1833" s="32">
        <f t="shared" si="445"/>
        <v>2030</v>
      </c>
      <c r="C1833" s="33" t="s">
        <v>46</v>
      </c>
      <c r="D1833" s="34" t="s">
        <v>128</v>
      </c>
      <c r="E1833" s="35" t="str">
        <f t="shared" si="443"/>
        <v>PRBNP'!</v>
      </c>
      <c r="F1833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33" s="32" t="s">
        <v>103</v>
      </c>
      <c r="H1833" s="33"/>
      <c r="I1833" s="33"/>
      <c r="J1833" s="37"/>
    </row>
    <row r="1834" spans="1:10" x14ac:dyDescent="0.35">
      <c r="A1834" s="32" t="s">
        <v>18</v>
      </c>
      <c r="B1834" s="32">
        <f t="shared" si="445"/>
        <v>2031</v>
      </c>
      <c r="C1834" s="33" t="s">
        <v>46</v>
      </c>
      <c r="D1834" s="34" t="s">
        <v>128</v>
      </c>
      <c r="E1834" s="35" t="str">
        <f t="shared" si="443"/>
        <v>PRBNP'!</v>
      </c>
      <c r="F1834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34" s="32" t="s">
        <v>103</v>
      </c>
      <c r="H1834" s="33"/>
      <c r="I1834" s="33"/>
      <c r="J1834" s="37"/>
    </row>
    <row r="1835" spans="1:10" x14ac:dyDescent="0.35">
      <c r="A1835" s="32" t="s">
        <v>18</v>
      </c>
      <c r="B1835" s="32">
        <f t="shared" si="445"/>
        <v>2032</v>
      </c>
      <c r="C1835" s="33" t="s">
        <v>46</v>
      </c>
      <c r="D1835" s="34" t="s">
        <v>128</v>
      </c>
      <c r="E1835" s="35" t="str">
        <f t="shared" si="443"/>
        <v>PRBNP'!</v>
      </c>
      <c r="F1835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35" s="32" t="s">
        <v>103</v>
      </c>
      <c r="H1835" s="33"/>
      <c r="I1835" s="33"/>
      <c r="J1835" s="37"/>
    </row>
    <row r="1836" spans="1:10" x14ac:dyDescent="0.35">
      <c r="A1836" s="32" t="s">
        <v>18</v>
      </c>
      <c r="B1836" s="32">
        <f t="shared" si="445"/>
        <v>2033</v>
      </c>
      <c r="C1836" s="33" t="s">
        <v>46</v>
      </c>
      <c r="D1836" s="34" t="s">
        <v>128</v>
      </c>
      <c r="E1836" s="35" t="str">
        <f t="shared" si="443"/>
        <v>PRBNP'!</v>
      </c>
      <c r="F1836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36" s="32" t="s">
        <v>103</v>
      </c>
      <c r="H1836" s="33"/>
      <c r="I1836" s="33"/>
      <c r="J1836" s="37"/>
    </row>
    <row r="1837" spans="1:10" x14ac:dyDescent="0.35">
      <c r="A1837" s="32" t="s">
        <v>18</v>
      </c>
      <c r="B1837" s="32">
        <f t="shared" si="445"/>
        <v>2034</v>
      </c>
      <c r="C1837" s="33" t="s">
        <v>46</v>
      </c>
      <c r="D1837" s="34" t="s">
        <v>128</v>
      </c>
      <c r="E1837" s="35" t="str">
        <f t="shared" si="443"/>
        <v>PRBNP'!</v>
      </c>
      <c r="F1837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37" s="32" t="s">
        <v>103</v>
      </c>
      <c r="H1837" s="33"/>
      <c r="I1837" s="33"/>
      <c r="J1837" s="37"/>
    </row>
    <row r="1838" spans="1:10" x14ac:dyDescent="0.35">
      <c r="A1838" s="32" t="s">
        <v>18</v>
      </c>
      <c r="B1838" s="32">
        <f t="shared" si="445"/>
        <v>2035</v>
      </c>
      <c r="C1838" s="33" t="s">
        <v>46</v>
      </c>
      <c r="D1838" s="34" t="s">
        <v>128</v>
      </c>
      <c r="E1838" s="35" t="str">
        <f t="shared" si="443"/>
        <v>PRBNP'!</v>
      </c>
      <c r="F1838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38" s="32" t="s">
        <v>103</v>
      </c>
      <c r="H1838" s="33"/>
      <c r="I1838" s="33"/>
      <c r="J1838" s="37"/>
    </row>
    <row r="1839" spans="1:10" x14ac:dyDescent="0.35">
      <c r="A1839" s="32" t="s">
        <v>18</v>
      </c>
      <c r="B1839" s="32">
        <f t="shared" si="445"/>
        <v>2036</v>
      </c>
      <c r="C1839" s="33" t="s">
        <v>46</v>
      </c>
      <c r="D1839" s="34" t="s">
        <v>128</v>
      </c>
      <c r="E1839" s="35" t="str">
        <f t="shared" si="443"/>
        <v>PRBNP'!</v>
      </c>
      <c r="F1839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39" s="32" t="s">
        <v>103</v>
      </c>
      <c r="H1839" s="33"/>
      <c r="I1839" s="33"/>
      <c r="J1839" s="37"/>
    </row>
    <row r="1840" spans="1:10" x14ac:dyDescent="0.35">
      <c r="A1840" s="32" t="s">
        <v>18</v>
      </c>
      <c r="B1840" s="32">
        <f>+B1839+1</f>
        <v>2037</v>
      </c>
      <c r="C1840" s="33" t="s">
        <v>46</v>
      </c>
      <c r="D1840" s="34" t="s">
        <v>128</v>
      </c>
      <c r="E1840" s="35" t="str">
        <f t="shared" si="443"/>
        <v>PRBNP'!</v>
      </c>
      <c r="F1840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40" s="32" t="s">
        <v>103</v>
      </c>
      <c r="H1840" s="33"/>
      <c r="I1840" s="33"/>
      <c r="J1840" s="37"/>
    </row>
    <row r="1841" spans="1:10" x14ac:dyDescent="0.35">
      <c r="A1841" s="32" t="s">
        <v>18</v>
      </c>
      <c r="B1841" s="32">
        <f t="shared" ref="B1841:B1843" si="446">+B1840+1</f>
        <v>2038</v>
      </c>
      <c r="C1841" s="33" t="s">
        <v>46</v>
      </c>
      <c r="D1841" s="34" t="s">
        <v>128</v>
      </c>
      <c r="E1841" s="35" t="str">
        <f t="shared" si="443"/>
        <v>PRBNP'!</v>
      </c>
      <c r="F1841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41" s="32" t="s">
        <v>103</v>
      </c>
      <c r="H1841" s="33"/>
      <c r="I1841" s="33"/>
      <c r="J1841" s="37"/>
    </row>
    <row r="1842" spans="1:10" x14ac:dyDescent="0.35">
      <c r="A1842" s="32" t="s">
        <v>18</v>
      </c>
      <c r="B1842" s="32">
        <f t="shared" si="446"/>
        <v>2039</v>
      </c>
      <c r="C1842" s="33" t="s">
        <v>46</v>
      </c>
      <c r="D1842" s="34" t="s">
        <v>128</v>
      </c>
      <c r="E1842" s="35" t="str">
        <f t="shared" si="443"/>
        <v>PRBNP'!</v>
      </c>
      <c r="F1842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42" s="32" t="s">
        <v>103</v>
      </c>
      <c r="H1842" s="33"/>
      <c r="I1842" s="33"/>
      <c r="J1842" s="37"/>
    </row>
    <row r="1843" spans="1:10" x14ac:dyDescent="0.35">
      <c r="A1843" s="32" t="s">
        <v>18</v>
      </c>
      <c r="B1843" s="32">
        <f t="shared" si="446"/>
        <v>2040</v>
      </c>
      <c r="C1843" s="33" t="s">
        <v>46</v>
      </c>
      <c r="D1843" s="34" t="s">
        <v>128</v>
      </c>
      <c r="E1843" s="35" t="str">
        <f t="shared" si="443"/>
        <v>PRBNP'!</v>
      </c>
      <c r="F1843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43" s="32" t="s">
        <v>103</v>
      </c>
      <c r="H1843" s="33"/>
      <c r="I1843" s="33"/>
      <c r="J1843" s="37"/>
    </row>
    <row r="1844" spans="1:10" x14ac:dyDescent="0.35">
      <c r="A1844" s="32" t="s">
        <v>18</v>
      </c>
      <c r="B1844" s="32">
        <f>+B1843+1</f>
        <v>2041</v>
      </c>
      <c r="C1844" s="33" t="s">
        <v>46</v>
      </c>
      <c r="D1844" s="34" t="s">
        <v>128</v>
      </c>
      <c r="E1844" s="35" t="str">
        <f t="shared" si="443"/>
        <v>PRBNP'!</v>
      </c>
      <c r="F1844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44" s="32" t="s">
        <v>103</v>
      </c>
      <c r="H1844" s="33"/>
      <c r="I1844" s="33"/>
      <c r="J1844" s="37"/>
    </row>
    <row r="1845" spans="1:10" x14ac:dyDescent="0.35">
      <c r="A1845" s="32" t="s">
        <v>18</v>
      </c>
      <c r="B1845" s="32">
        <f t="shared" ref="B1845:B1846" si="447">+B1844+1</f>
        <v>2042</v>
      </c>
      <c r="C1845" s="33" t="s">
        <v>46</v>
      </c>
      <c r="D1845" s="34" t="s">
        <v>128</v>
      </c>
      <c r="E1845" s="35" t="str">
        <f t="shared" si="443"/>
        <v>PRBNP'!</v>
      </c>
      <c r="F1845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45" s="32" t="s">
        <v>103</v>
      </c>
      <c r="H1845" s="33"/>
      <c r="I1845" s="33"/>
      <c r="J1845" s="37"/>
    </row>
    <row r="1846" spans="1:10" x14ac:dyDescent="0.35">
      <c r="A1846" s="32" t="s">
        <v>18</v>
      </c>
      <c r="B1846" s="32">
        <f t="shared" si="447"/>
        <v>2043</v>
      </c>
      <c r="C1846" s="33" t="s">
        <v>46</v>
      </c>
      <c r="D1846" s="34" t="s">
        <v>128</v>
      </c>
      <c r="E1846" s="35" t="str">
        <f t="shared" si="443"/>
        <v>PRBNP'!</v>
      </c>
      <c r="F1846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46" s="32" t="s">
        <v>103</v>
      </c>
      <c r="H1846" s="33"/>
      <c r="I1846" s="33"/>
      <c r="J1846" s="37"/>
    </row>
    <row r="1847" spans="1:10" x14ac:dyDescent="0.35">
      <c r="A1847" s="32" t="s">
        <v>18</v>
      </c>
      <c r="B1847" s="32">
        <f>+B1846+1</f>
        <v>2044</v>
      </c>
      <c r="C1847" s="33" t="s">
        <v>46</v>
      </c>
      <c r="D1847" s="34" t="s">
        <v>128</v>
      </c>
      <c r="E1847" s="35" t="str">
        <f t="shared" ref="E1847:E1862" si="448">_xlfn.CONCAT(A1847,"'!")</f>
        <v>PRBNP'!</v>
      </c>
      <c r="F1847" s="34" t="str">
        <f t="shared" ref="F1847:F1862" si="449">_xlfn.CONCAT(D1847:E1847)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47" s="32" t="s">
        <v>103</v>
      </c>
      <c r="H1847" s="33"/>
      <c r="I1847" s="33"/>
      <c r="J1847" s="37"/>
    </row>
    <row r="1848" spans="1:10" x14ac:dyDescent="0.35">
      <c r="A1848" s="32" t="s">
        <v>18</v>
      </c>
      <c r="B1848" s="32">
        <f t="shared" ref="B1848:B1862" si="450">+B1847+1</f>
        <v>2045</v>
      </c>
      <c r="C1848" s="33" t="s">
        <v>46</v>
      </c>
      <c r="D1848" s="34" t="s">
        <v>128</v>
      </c>
      <c r="E1848" s="35" t="str">
        <f t="shared" si="448"/>
        <v>PRBNP'!</v>
      </c>
      <c r="F1848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48" s="32" t="s">
        <v>103</v>
      </c>
      <c r="H1848" s="33"/>
      <c r="I1848" s="33"/>
      <c r="J1848" s="37"/>
    </row>
    <row r="1849" spans="1:10" x14ac:dyDescent="0.35">
      <c r="A1849" s="32" t="s">
        <v>18</v>
      </c>
      <c r="B1849" s="32">
        <f t="shared" si="450"/>
        <v>2046</v>
      </c>
      <c r="C1849" s="33" t="s">
        <v>46</v>
      </c>
      <c r="D1849" s="34" t="s">
        <v>128</v>
      </c>
      <c r="E1849" s="35" t="str">
        <f t="shared" si="448"/>
        <v>PRBNP'!</v>
      </c>
      <c r="F1849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49" s="32" t="s">
        <v>103</v>
      </c>
      <c r="H1849" s="33"/>
      <c r="I1849" s="33"/>
      <c r="J1849" s="37"/>
    </row>
    <row r="1850" spans="1:10" x14ac:dyDescent="0.35">
      <c r="A1850" s="32" t="s">
        <v>18</v>
      </c>
      <c r="B1850" s="32">
        <f t="shared" si="450"/>
        <v>2047</v>
      </c>
      <c r="C1850" s="33" t="s">
        <v>46</v>
      </c>
      <c r="D1850" s="34" t="s">
        <v>128</v>
      </c>
      <c r="E1850" s="35" t="str">
        <f t="shared" si="448"/>
        <v>PRBNP'!</v>
      </c>
      <c r="F1850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50" s="32" t="s">
        <v>103</v>
      </c>
      <c r="H1850" s="33"/>
      <c r="I1850" s="33"/>
      <c r="J1850" s="37"/>
    </row>
    <row r="1851" spans="1:10" x14ac:dyDescent="0.35">
      <c r="A1851" s="32" t="s">
        <v>18</v>
      </c>
      <c r="B1851" s="32">
        <f t="shared" si="450"/>
        <v>2048</v>
      </c>
      <c r="C1851" s="33" t="s">
        <v>46</v>
      </c>
      <c r="D1851" s="34" t="s">
        <v>128</v>
      </c>
      <c r="E1851" s="35" t="str">
        <f t="shared" si="448"/>
        <v>PRBNP'!</v>
      </c>
      <c r="F1851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51" s="32" t="s">
        <v>103</v>
      </c>
      <c r="H1851" s="33"/>
      <c r="I1851" s="33"/>
      <c r="J1851" s="37"/>
    </row>
    <row r="1852" spans="1:10" x14ac:dyDescent="0.35">
      <c r="A1852" s="32" t="s">
        <v>18</v>
      </c>
      <c r="B1852" s="32">
        <f t="shared" si="450"/>
        <v>2049</v>
      </c>
      <c r="C1852" s="33" t="s">
        <v>46</v>
      </c>
      <c r="D1852" s="34" t="s">
        <v>128</v>
      </c>
      <c r="E1852" s="35" t="str">
        <f t="shared" si="448"/>
        <v>PRBNP'!</v>
      </c>
      <c r="F1852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52" s="32" t="s">
        <v>103</v>
      </c>
      <c r="H1852" s="33"/>
      <c r="I1852" s="33"/>
      <c r="J1852" s="37"/>
    </row>
    <row r="1853" spans="1:10" x14ac:dyDescent="0.35">
      <c r="A1853" s="32" t="s">
        <v>18</v>
      </c>
      <c r="B1853" s="32">
        <f t="shared" si="450"/>
        <v>2050</v>
      </c>
      <c r="C1853" s="33" t="s">
        <v>46</v>
      </c>
      <c r="D1853" s="34" t="s">
        <v>128</v>
      </c>
      <c r="E1853" s="35" t="str">
        <f t="shared" si="448"/>
        <v>PRBNP'!</v>
      </c>
      <c r="F1853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53" s="32" t="s">
        <v>103</v>
      </c>
      <c r="H1853" s="33"/>
      <c r="I1853" s="33"/>
      <c r="J1853" s="37"/>
    </row>
    <row r="1854" spans="1:10" x14ac:dyDescent="0.35">
      <c r="A1854" s="32" t="s">
        <v>18</v>
      </c>
      <c r="B1854" s="32">
        <f t="shared" si="450"/>
        <v>2051</v>
      </c>
      <c r="C1854" s="33" t="s">
        <v>46</v>
      </c>
      <c r="D1854" s="34" t="s">
        <v>128</v>
      </c>
      <c r="E1854" s="35" t="str">
        <f t="shared" si="448"/>
        <v>PRBNP'!</v>
      </c>
      <c r="F1854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54" s="32" t="s">
        <v>103</v>
      </c>
      <c r="H1854" s="33"/>
      <c r="I1854" s="33"/>
      <c r="J1854" s="37"/>
    </row>
    <row r="1855" spans="1:10" x14ac:dyDescent="0.35">
      <c r="A1855" s="32" t="s">
        <v>18</v>
      </c>
      <c r="B1855" s="32">
        <f t="shared" si="450"/>
        <v>2052</v>
      </c>
      <c r="C1855" s="33" t="s">
        <v>46</v>
      </c>
      <c r="D1855" s="34" t="s">
        <v>128</v>
      </c>
      <c r="E1855" s="35" t="str">
        <f t="shared" si="448"/>
        <v>PRBNP'!</v>
      </c>
      <c r="F1855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55" s="32" t="s">
        <v>103</v>
      </c>
      <c r="H1855" s="33"/>
      <c r="I1855" s="33"/>
      <c r="J1855" s="37"/>
    </row>
    <row r="1856" spans="1:10" x14ac:dyDescent="0.35">
      <c r="A1856" s="32" t="s">
        <v>18</v>
      </c>
      <c r="B1856" s="32">
        <f t="shared" si="450"/>
        <v>2053</v>
      </c>
      <c r="C1856" s="33" t="s">
        <v>46</v>
      </c>
      <c r="D1856" s="34" t="s">
        <v>128</v>
      </c>
      <c r="E1856" s="35" t="str">
        <f t="shared" si="448"/>
        <v>PRBNP'!</v>
      </c>
      <c r="F1856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56" s="32" t="s">
        <v>103</v>
      </c>
      <c r="H1856" s="33"/>
      <c r="I1856" s="33"/>
      <c r="J1856" s="37"/>
    </row>
    <row r="1857" spans="1:10" x14ac:dyDescent="0.35">
      <c r="A1857" s="32" t="s">
        <v>18</v>
      </c>
      <c r="B1857" s="32">
        <f t="shared" si="450"/>
        <v>2054</v>
      </c>
      <c r="C1857" s="33" t="s">
        <v>46</v>
      </c>
      <c r="D1857" s="34" t="s">
        <v>128</v>
      </c>
      <c r="E1857" s="35" t="str">
        <f t="shared" si="448"/>
        <v>PRBNP'!</v>
      </c>
      <c r="F1857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57" s="32" t="s">
        <v>103</v>
      </c>
      <c r="H1857" s="33"/>
      <c r="I1857" s="33"/>
      <c r="J1857" s="37"/>
    </row>
    <row r="1858" spans="1:10" x14ac:dyDescent="0.35">
      <c r="A1858" s="32" t="s">
        <v>18</v>
      </c>
      <c r="B1858" s="32">
        <f t="shared" si="450"/>
        <v>2055</v>
      </c>
      <c r="C1858" s="33" t="s">
        <v>46</v>
      </c>
      <c r="D1858" s="34" t="s">
        <v>128</v>
      </c>
      <c r="E1858" s="35" t="str">
        <f t="shared" si="448"/>
        <v>PRBNP'!</v>
      </c>
      <c r="F1858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58" s="32" t="s">
        <v>103</v>
      </c>
      <c r="H1858" s="33"/>
      <c r="I1858" s="33"/>
      <c r="J1858" s="37"/>
    </row>
    <row r="1859" spans="1:10" x14ac:dyDescent="0.35">
      <c r="A1859" s="32" t="s">
        <v>18</v>
      </c>
      <c r="B1859" s="32">
        <f t="shared" si="450"/>
        <v>2056</v>
      </c>
      <c r="C1859" s="33" t="s">
        <v>46</v>
      </c>
      <c r="D1859" s="34" t="s">
        <v>128</v>
      </c>
      <c r="E1859" s="35" t="str">
        <f t="shared" si="448"/>
        <v>PRBNP'!</v>
      </c>
      <c r="F1859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59" s="32" t="s">
        <v>103</v>
      </c>
      <c r="H1859" s="33"/>
      <c r="I1859" s="33"/>
      <c r="J1859" s="37"/>
    </row>
    <row r="1860" spans="1:10" x14ac:dyDescent="0.35">
      <c r="A1860" s="32" t="s">
        <v>18</v>
      </c>
      <c r="B1860" s="32">
        <f t="shared" si="450"/>
        <v>2057</v>
      </c>
      <c r="C1860" s="33" t="s">
        <v>46</v>
      </c>
      <c r="D1860" s="34" t="s">
        <v>128</v>
      </c>
      <c r="E1860" s="35" t="str">
        <f t="shared" si="448"/>
        <v>PRBNP'!</v>
      </c>
      <c r="F1860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60" s="32" t="s">
        <v>103</v>
      </c>
      <c r="H1860" s="33"/>
      <c r="I1860" s="33"/>
      <c r="J1860" s="37"/>
    </row>
    <row r="1861" spans="1:10" x14ac:dyDescent="0.35">
      <c r="A1861" s="32" t="s">
        <v>18</v>
      </c>
      <c r="B1861" s="32">
        <f t="shared" si="450"/>
        <v>2058</v>
      </c>
      <c r="C1861" s="33" t="s">
        <v>46</v>
      </c>
      <c r="D1861" s="34" t="s">
        <v>128</v>
      </c>
      <c r="E1861" s="35" t="str">
        <f t="shared" si="448"/>
        <v>PRBNP'!</v>
      </c>
      <c r="F1861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61" s="32" t="s">
        <v>103</v>
      </c>
      <c r="H1861" s="33"/>
      <c r="I1861" s="33"/>
      <c r="J1861" s="37"/>
    </row>
    <row r="1862" spans="1:10" x14ac:dyDescent="0.35">
      <c r="A1862" s="32" t="s">
        <v>18</v>
      </c>
      <c r="B1862" s="32">
        <f t="shared" si="450"/>
        <v>2059</v>
      </c>
      <c r="C1862" s="33" t="s">
        <v>46</v>
      </c>
      <c r="D1862" s="34" t="s">
        <v>128</v>
      </c>
      <c r="E1862" s="35" t="str">
        <f t="shared" si="448"/>
        <v>PRBNP'!</v>
      </c>
      <c r="F1862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62" s="32" t="s">
        <v>103</v>
      </c>
      <c r="H1862" s="33"/>
      <c r="I1862" s="33"/>
      <c r="J1862" s="37"/>
    </row>
    <row r="1863" spans="1:10" x14ac:dyDescent="0.35">
      <c r="A1863" s="32" t="s">
        <v>26</v>
      </c>
      <c r="B1863" s="32"/>
      <c r="C1863" s="33" t="s">
        <v>46</v>
      </c>
      <c r="D1863" s="34"/>
      <c r="E1863" s="35"/>
      <c r="F1863" s="34"/>
      <c r="G1863" s="32"/>
      <c r="H1863" s="33"/>
      <c r="I1863" s="33"/>
      <c r="J1863" s="33"/>
    </row>
    <row r="1864" spans="1:10" x14ac:dyDescent="0.35">
      <c r="A1864" s="32" t="s">
        <v>19</v>
      </c>
      <c r="B1864" s="32">
        <v>2023</v>
      </c>
      <c r="C1864" s="33" t="s">
        <v>46</v>
      </c>
      <c r="D1864" s="34" t="s">
        <v>128</v>
      </c>
      <c r="E1864" s="35" t="str">
        <f t="shared" ref="E1864:E1884" si="451">_xlfn.CONCAT(A1864,"'!")</f>
        <v>PRBND'!</v>
      </c>
      <c r="F1864" s="34" t="str">
        <f t="shared" ref="F1864:F1884" si="452">_xlfn.CONCAT(D1864:E1864)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64" s="32" t="s">
        <v>103</v>
      </c>
      <c r="H1864" s="33"/>
      <c r="I1864" s="33"/>
      <c r="J1864" s="37"/>
    </row>
    <row r="1865" spans="1:10" x14ac:dyDescent="0.35">
      <c r="A1865" s="32" t="s">
        <v>19</v>
      </c>
      <c r="B1865" s="32">
        <f>+B1864+1</f>
        <v>2024</v>
      </c>
      <c r="C1865" s="33" t="s">
        <v>46</v>
      </c>
      <c r="D1865" s="34" t="s">
        <v>128</v>
      </c>
      <c r="E1865" s="35" t="str">
        <f t="shared" si="451"/>
        <v>PRBND'!</v>
      </c>
      <c r="F1865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65" s="32" t="s">
        <v>103</v>
      </c>
      <c r="H1865" s="33"/>
      <c r="I1865" s="33"/>
      <c r="J1865" s="37"/>
    </row>
    <row r="1866" spans="1:10" x14ac:dyDescent="0.35">
      <c r="A1866" s="32" t="s">
        <v>19</v>
      </c>
      <c r="B1866" s="32">
        <f t="shared" ref="B1866:B1877" si="453">+B1865+1</f>
        <v>2025</v>
      </c>
      <c r="C1866" s="33" t="s">
        <v>46</v>
      </c>
      <c r="D1866" s="34" t="s">
        <v>128</v>
      </c>
      <c r="E1866" s="35" t="str">
        <f t="shared" si="451"/>
        <v>PRBND'!</v>
      </c>
      <c r="F1866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66" s="32" t="s">
        <v>103</v>
      </c>
      <c r="H1866" s="33"/>
      <c r="I1866" s="33"/>
      <c r="J1866" s="37"/>
    </row>
    <row r="1867" spans="1:10" x14ac:dyDescent="0.35">
      <c r="A1867" s="32" t="s">
        <v>19</v>
      </c>
      <c r="B1867" s="32">
        <f t="shared" si="453"/>
        <v>2026</v>
      </c>
      <c r="C1867" s="33" t="s">
        <v>46</v>
      </c>
      <c r="D1867" s="34" t="s">
        <v>128</v>
      </c>
      <c r="E1867" s="35" t="str">
        <f t="shared" si="451"/>
        <v>PRBND'!</v>
      </c>
      <c r="F1867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67" s="32" t="s">
        <v>103</v>
      </c>
      <c r="H1867" s="33"/>
      <c r="I1867" s="33"/>
      <c r="J1867" s="37"/>
    </row>
    <row r="1868" spans="1:10" x14ac:dyDescent="0.35">
      <c r="A1868" s="32" t="s">
        <v>19</v>
      </c>
      <c r="B1868" s="32">
        <f t="shared" si="453"/>
        <v>2027</v>
      </c>
      <c r="C1868" s="33" t="s">
        <v>46</v>
      </c>
      <c r="D1868" s="34" t="s">
        <v>128</v>
      </c>
      <c r="E1868" s="35" t="str">
        <f t="shared" si="451"/>
        <v>PRBND'!</v>
      </c>
      <c r="F1868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68" s="32" t="s">
        <v>103</v>
      </c>
      <c r="H1868" s="33"/>
      <c r="I1868" s="33"/>
      <c r="J1868" s="37"/>
    </row>
    <row r="1869" spans="1:10" x14ac:dyDescent="0.35">
      <c r="A1869" s="32" t="s">
        <v>19</v>
      </c>
      <c r="B1869" s="32">
        <f t="shared" si="453"/>
        <v>2028</v>
      </c>
      <c r="C1869" s="33" t="s">
        <v>46</v>
      </c>
      <c r="D1869" s="34" t="s">
        <v>128</v>
      </c>
      <c r="E1869" s="35" t="str">
        <f t="shared" si="451"/>
        <v>PRBND'!</v>
      </c>
      <c r="F1869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69" s="32" t="s">
        <v>103</v>
      </c>
      <c r="H1869" s="33"/>
      <c r="I1869" s="33"/>
      <c r="J1869" s="37"/>
    </row>
    <row r="1870" spans="1:10" x14ac:dyDescent="0.35">
      <c r="A1870" s="32" t="s">
        <v>19</v>
      </c>
      <c r="B1870" s="32">
        <f t="shared" si="453"/>
        <v>2029</v>
      </c>
      <c r="C1870" s="33" t="s">
        <v>46</v>
      </c>
      <c r="D1870" s="34" t="s">
        <v>128</v>
      </c>
      <c r="E1870" s="35" t="str">
        <f t="shared" si="451"/>
        <v>PRBND'!</v>
      </c>
      <c r="F1870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70" s="32" t="s">
        <v>103</v>
      </c>
      <c r="H1870" s="33"/>
      <c r="I1870" s="33"/>
      <c r="J1870" s="37"/>
    </row>
    <row r="1871" spans="1:10" x14ac:dyDescent="0.35">
      <c r="A1871" s="32" t="s">
        <v>19</v>
      </c>
      <c r="B1871" s="32">
        <f t="shared" si="453"/>
        <v>2030</v>
      </c>
      <c r="C1871" s="33" t="s">
        <v>46</v>
      </c>
      <c r="D1871" s="34" t="s">
        <v>128</v>
      </c>
      <c r="E1871" s="35" t="str">
        <f t="shared" si="451"/>
        <v>PRBND'!</v>
      </c>
      <c r="F1871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71" s="32" t="s">
        <v>103</v>
      </c>
      <c r="H1871" s="33"/>
      <c r="I1871" s="33"/>
      <c r="J1871" s="37"/>
    </row>
    <row r="1872" spans="1:10" x14ac:dyDescent="0.35">
      <c r="A1872" s="32" t="s">
        <v>19</v>
      </c>
      <c r="B1872" s="32">
        <f t="shared" si="453"/>
        <v>2031</v>
      </c>
      <c r="C1872" s="33" t="s">
        <v>46</v>
      </c>
      <c r="D1872" s="34" t="s">
        <v>128</v>
      </c>
      <c r="E1872" s="35" t="str">
        <f t="shared" si="451"/>
        <v>PRBND'!</v>
      </c>
      <c r="F1872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72" s="32" t="s">
        <v>103</v>
      </c>
      <c r="H1872" s="33"/>
      <c r="I1872" s="33"/>
      <c r="J1872" s="37"/>
    </row>
    <row r="1873" spans="1:10" x14ac:dyDescent="0.35">
      <c r="A1873" s="32" t="s">
        <v>19</v>
      </c>
      <c r="B1873" s="32">
        <f t="shared" si="453"/>
        <v>2032</v>
      </c>
      <c r="C1873" s="33" t="s">
        <v>46</v>
      </c>
      <c r="D1873" s="34" t="s">
        <v>128</v>
      </c>
      <c r="E1873" s="35" t="str">
        <f t="shared" si="451"/>
        <v>PRBND'!</v>
      </c>
      <c r="F1873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73" s="32" t="s">
        <v>103</v>
      </c>
      <c r="H1873" s="33"/>
      <c r="I1873" s="33"/>
      <c r="J1873" s="37"/>
    </row>
    <row r="1874" spans="1:10" x14ac:dyDescent="0.35">
      <c r="A1874" s="32" t="s">
        <v>19</v>
      </c>
      <c r="B1874" s="32">
        <f t="shared" si="453"/>
        <v>2033</v>
      </c>
      <c r="C1874" s="33" t="s">
        <v>46</v>
      </c>
      <c r="D1874" s="34" t="s">
        <v>128</v>
      </c>
      <c r="E1874" s="35" t="str">
        <f t="shared" si="451"/>
        <v>PRBND'!</v>
      </c>
      <c r="F1874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74" s="32" t="s">
        <v>103</v>
      </c>
      <c r="H1874" s="33"/>
      <c r="I1874" s="33"/>
      <c r="J1874" s="37"/>
    </row>
    <row r="1875" spans="1:10" x14ac:dyDescent="0.35">
      <c r="A1875" s="32" t="s">
        <v>19</v>
      </c>
      <c r="B1875" s="32">
        <f t="shared" si="453"/>
        <v>2034</v>
      </c>
      <c r="C1875" s="33" t="s">
        <v>46</v>
      </c>
      <c r="D1875" s="34" t="s">
        <v>128</v>
      </c>
      <c r="E1875" s="35" t="str">
        <f t="shared" si="451"/>
        <v>PRBND'!</v>
      </c>
      <c r="F1875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75" s="32" t="s">
        <v>103</v>
      </c>
      <c r="H1875" s="33"/>
      <c r="I1875" s="33"/>
      <c r="J1875" s="37"/>
    </row>
    <row r="1876" spans="1:10" x14ac:dyDescent="0.35">
      <c r="A1876" s="32" t="s">
        <v>19</v>
      </c>
      <c r="B1876" s="32">
        <f t="shared" si="453"/>
        <v>2035</v>
      </c>
      <c r="C1876" s="33" t="s">
        <v>46</v>
      </c>
      <c r="D1876" s="34" t="s">
        <v>128</v>
      </c>
      <c r="E1876" s="35" t="str">
        <f t="shared" si="451"/>
        <v>PRBND'!</v>
      </c>
      <c r="F1876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76" s="32" t="s">
        <v>103</v>
      </c>
      <c r="H1876" s="33"/>
      <c r="I1876" s="33"/>
      <c r="J1876" s="37"/>
    </row>
    <row r="1877" spans="1:10" x14ac:dyDescent="0.35">
      <c r="A1877" s="32" t="s">
        <v>19</v>
      </c>
      <c r="B1877" s="32">
        <f t="shared" si="453"/>
        <v>2036</v>
      </c>
      <c r="C1877" s="33" t="s">
        <v>46</v>
      </c>
      <c r="D1877" s="34" t="s">
        <v>128</v>
      </c>
      <c r="E1877" s="35" t="str">
        <f t="shared" si="451"/>
        <v>PRBND'!</v>
      </c>
      <c r="F1877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77" s="32" t="s">
        <v>103</v>
      </c>
      <c r="H1877" s="33"/>
      <c r="I1877" s="33"/>
      <c r="J1877" s="37"/>
    </row>
    <row r="1878" spans="1:10" x14ac:dyDescent="0.35">
      <c r="A1878" s="32" t="s">
        <v>19</v>
      </c>
      <c r="B1878" s="32">
        <f>+B1877+1</f>
        <v>2037</v>
      </c>
      <c r="C1878" s="33" t="s">
        <v>46</v>
      </c>
      <c r="D1878" s="34" t="s">
        <v>128</v>
      </c>
      <c r="E1878" s="35" t="str">
        <f t="shared" si="451"/>
        <v>PRBND'!</v>
      </c>
      <c r="F1878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78" s="32" t="s">
        <v>103</v>
      </c>
      <c r="H1878" s="33"/>
      <c r="I1878" s="33"/>
      <c r="J1878" s="37"/>
    </row>
    <row r="1879" spans="1:10" x14ac:dyDescent="0.35">
      <c r="A1879" s="32" t="s">
        <v>19</v>
      </c>
      <c r="B1879" s="32">
        <f t="shared" ref="B1879:B1881" si="454">+B1878+1</f>
        <v>2038</v>
      </c>
      <c r="C1879" s="33" t="s">
        <v>46</v>
      </c>
      <c r="D1879" s="34" t="s">
        <v>128</v>
      </c>
      <c r="E1879" s="35" t="str">
        <f t="shared" si="451"/>
        <v>PRBND'!</v>
      </c>
      <c r="F1879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79" s="32" t="s">
        <v>103</v>
      </c>
      <c r="H1879" s="33"/>
      <c r="I1879" s="33"/>
      <c r="J1879" s="37"/>
    </row>
    <row r="1880" spans="1:10" x14ac:dyDescent="0.35">
      <c r="A1880" s="32" t="s">
        <v>19</v>
      </c>
      <c r="B1880" s="32">
        <f t="shared" si="454"/>
        <v>2039</v>
      </c>
      <c r="C1880" s="33" t="s">
        <v>46</v>
      </c>
      <c r="D1880" s="34" t="s">
        <v>128</v>
      </c>
      <c r="E1880" s="35" t="str">
        <f t="shared" si="451"/>
        <v>PRBND'!</v>
      </c>
      <c r="F1880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80" s="32" t="s">
        <v>103</v>
      </c>
      <c r="H1880" s="33"/>
      <c r="I1880" s="33"/>
      <c r="J1880" s="37"/>
    </row>
    <row r="1881" spans="1:10" x14ac:dyDescent="0.35">
      <c r="A1881" s="32" t="s">
        <v>19</v>
      </c>
      <c r="B1881" s="32">
        <f t="shared" si="454"/>
        <v>2040</v>
      </c>
      <c r="C1881" s="33" t="s">
        <v>46</v>
      </c>
      <c r="D1881" s="34" t="s">
        <v>128</v>
      </c>
      <c r="E1881" s="35" t="str">
        <f t="shared" si="451"/>
        <v>PRBND'!</v>
      </c>
      <c r="F1881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81" s="32" t="s">
        <v>103</v>
      </c>
      <c r="H1881" s="33"/>
      <c r="I1881" s="33"/>
      <c r="J1881" s="37"/>
    </row>
    <row r="1882" spans="1:10" x14ac:dyDescent="0.35">
      <c r="A1882" s="32" t="s">
        <v>19</v>
      </c>
      <c r="B1882" s="32">
        <f>+B1881+1</f>
        <v>2041</v>
      </c>
      <c r="C1882" s="33" t="s">
        <v>46</v>
      </c>
      <c r="D1882" s="34" t="s">
        <v>128</v>
      </c>
      <c r="E1882" s="35" t="str">
        <f t="shared" si="451"/>
        <v>PRBND'!</v>
      </c>
      <c r="F1882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82" s="32" t="s">
        <v>103</v>
      </c>
      <c r="H1882" s="33"/>
      <c r="I1882" s="33"/>
      <c r="J1882" s="37"/>
    </row>
    <row r="1883" spans="1:10" x14ac:dyDescent="0.35">
      <c r="A1883" s="32" t="s">
        <v>19</v>
      </c>
      <c r="B1883" s="32">
        <f t="shared" ref="B1883:B1884" si="455">+B1882+1</f>
        <v>2042</v>
      </c>
      <c r="C1883" s="33" t="s">
        <v>46</v>
      </c>
      <c r="D1883" s="34" t="s">
        <v>128</v>
      </c>
      <c r="E1883" s="35" t="str">
        <f t="shared" si="451"/>
        <v>PRBND'!</v>
      </c>
      <c r="F1883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83" s="32" t="s">
        <v>103</v>
      </c>
      <c r="H1883" s="33"/>
      <c r="I1883" s="33"/>
      <c r="J1883" s="37"/>
    </row>
    <row r="1884" spans="1:10" x14ac:dyDescent="0.35">
      <c r="A1884" s="32" t="s">
        <v>19</v>
      </c>
      <c r="B1884" s="32">
        <f t="shared" si="455"/>
        <v>2043</v>
      </c>
      <c r="C1884" s="33" t="s">
        <v>46</v>
      </c>
      <c r="D1884" s="34" t="s">
        <v>128</v>
      </c>
      <c r="E1884" s="35" t="str">
        <f t="shared" si="451"/>
        <v>PRBND'!</v>
      </c>
      <c r="F1884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84" s="32" t="s">
        <v>103</v>
      </c>
      <c r="H1884" s="33"/>
      <c r="I1884" s="33"/>
      <c r="J1884" s="37"/>
    </row>
    <row r="1885" spans="1:10" x14ac:dyDescent="0.35">
      <c r="A1885" s="32" t="s">
        <v>19</v>
      </c>
      <c r="B1885" s="32">
        <f>+B1884+1</f>
        <v>2044</v>
      </c>
      <c r="C1885" s="33" t="s">
        <v>46</v>
      </c>
      <c r="D1885" s="34" t="s">
        <v>128</v>
      </c>
      <c r="E1885" s="35" t="str">
        <f t="shared" ref="E1885:E1900" si="456">_xlfn.CONCAT(A1885,"'!")</f>
        <v>PRBND'!</v>
      </c>
      <c r="F1885" s="34" t="str">
        <f t="shared" ref="F1885:F1900" si="457">_xlfn.CONCAT(D1885:E1885)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85" s="32" t="s">
        <v>103</v>
      </c>
      <c r="H1885" s="33"/>
      <c r="I1885" s="33"/>
      <c r="J1885" s="37"/>
    </row>
    <row r="1886" spans="1:10" x14ac:dyDescent="0.35">
      <c r="A1886" s="32" t="s">
        <v>19</v>
      </c>
      <c r="B1886" s="32">
        <f t="shared" ref="B1886:B1900" si="458">+B1885+1</f>
        <v>2045</v>
      </c>
      <c r="C1886" s="33" t="s">
        <v>46</v>
      </c>
      <c r="D1886" s="34" t="s">
        <v>128</v>
      </c>
      <c r="E1886" s="35" t="str">
        <f t="shared" si="456"/>
        <v>PRBND'!</v>
      </c>
      <c r="F1886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86" s="32" t="s">
        <v>103</v>
      </c>
      <c r="H1886" s="33"/>
      <c r="I1886" s="33"/>
      <c r="J1886" s="37"/>
    </row>
    <row r="1887" spans="1:10" x14ac:dyDescent="0.35">
      <c r="A1887" s="32" t="s">
        <v>19</v>
      </c>
      <c r="B1887" s="32">
        <f t="shared" si="458"/>
        <v>2046</v>
      </c>
      <c r="C1887" s="33" t="s">
        <v>46</v>
      </c>
      <c r="D1887" s="34" t="s">
        <v>128</v>
      </c>
      <c r="E1887" s="35" t="str">
        <f t="shared" si="456"/>
        <v>PRBND'!</v>
      </c>
      <c r="F1887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87" s="32" t="s">
        <v>103</v>
      </c>
      <c r="H1887" s="33"/>
      <c r="I1887" s="33"/>
      <c r="J1887" s="37"/>
    </row>
    <row r="1888" spans="1:10" x14ac:dyDescent="0.35">
      <c r="A1888" s="32" t="s">
        <v>19</v>
      </c>
      <c r="B1888" s="32">
        <f t="shared" si="458"/>
        <v>2047</v>
      </c>
      <c r="C1888" s="33" t="s">
        <v>46</v>
      </c>
      <c r="D1888" s="34" t="s">
        <v>128</v>
      </c>
      <c r="E1888" s="35" t="str">
        <f t="shared" si="456"/>
        <v>PRBND'!</v>
      </c>
      <c r="F1888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88" s="32" t="s">
        <v>103</v>
      </c>
      <c r="H1888" s="33"/>
      <c r="I1888" s="33"/>
      <c r="J1888" s="37"/>
    </row>
    <row r="1889" spans="1:10" x14ac:dyDescent="0.35">
      <c r="A1889" s="32" t="s">
        <v>19</v>
      </c>
      <c r="B1889" s="32">
        <f t="shared" si="458"/>
        <v>2048</v>
      </c>
      <c r="C1889" s="33" t="s">
        <v>46</v>
      </c>
      <c r="D1889" s="34" t="s">
        <v>128</v>
      </c>
      <c r="E1889" s="35" t="str">
        <f t="shared" si="456"/>
        <v>PRBND'!</v>
      </c>
      <c r="F1889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89" s="32" t="s">
        <v>103</v>
      </c>
      <c r="H1889" s="33"/>
      <c r="I1889" s="33"/>
      <c r="J1889" s="37"/>
    </row>
    <row r="1890" spans="1:10" x14ac:dyDescent="0.35">
      <c r="A1890" s="32" t="s">
        <v>19</v>
      </c>
      <c r="B1890" s="32">
        <f t="shared" si="458"/>
        <v>2049</v>
      </c>
      <c r="C1890" s="33" t="s">
        <v>46</v>
      </c>
      <c r="D1890" s="34" t="s">
        <v>128</v>
      </c>
      <c r="E1890" s="35" t="str">
        <f t="shared" si="456"/>
        <v>PRBND'!</v>
      </c>
      <c r="F1890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90" s="32" t="s">
        <v>103</v>
      </c>
      <c r="H1890" s="33"/>
      <c r="I1890" s="33"/>
      <c r="J1890" s="37"/>
    </row>
    <row r="1891" spans="1:10" x14ac:dyDescent="0.35">
      <c r="A1891" s="32" t="s">
        <v>19</v>
      </c>
      <c r="B1891" s="32">
        <f t="shared" si="458"/>
        <v>2050</v>
      </c>
      <c r="C1891" s="33" t="s">
        <v>46</v>
      </c>
      <c r="D1891" s="34" t="s">
        <v>128</v>
      </c>
      <c r="E1891" s="35" t="str">
        <f t="shared" si="456"/>
        <v>PRBND'!</v>
      </c>
      <c r="F1891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91" s="32" t="s">
        <v>103</v>
      </c>
      <c r="H1891" s="33"/>
      <c r="I1891" s="33"/>
      <c r="J1891" s="37"/>
    </row>
    <row r="1892" spans="1:10" x14ac:dyDescent="0.35">
      <c r="A1892" s="32" t="s">
        <v>19</v>
      </c>
      <c r="B1892" s="32">
        <f t="shared" si="458"/>
        <v>2051</v>
      </c>
      <c r="C1892" s="33" t="s">
        <v>46</v>
      </c>
      <c r="D1892" s="34" t="s">
        <v>128</v>
      </c>
      <c r="E1892" s="35" t="str">
        <f t="shared" si="456"/>
        <v>PRBND'!</v>
      </c>
      <c r="F1892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92" s="32" t="s">
        <v>103</v>
      </c>
      <c r="H1892" s="33"/>
      <c r="I1892" s="33"/>
      <c r="J1892" s="37"/>
    </row>
    <row r="1893" spans="1:10" x14ac:dyDescent="0.35">
      <c r="A1893" s="32" t="s">
        <v>19</v>
      </c>
      <c r="B1893" s="32">
        <f t="shared" si="458"/>
        <v>2052</v>
      </c>
      <c r="C1893" s="33" t="s">
        <v>46</v>
      </c>
      <c r="D1893" s="34" t="s">
        <v>128</v>
      </c>
      <c r="E1893" s="35" t="str">
        <f t="shared" si="456"/>
        <v>PRBND'!</v>
      </c>
      <c r="F1893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93" s="32" t="s">
        <v>103</v>
      </c>
      <c r="H1893" s="33"/>
      <c r="I1893" s="33"/>
      <c r="J1893" s="37"/>
    </row>
    <row r="1894" spans="1:10" x14ac:dyDescent="0.35">
      <c r="A1894" s="32" t="s">
        <v>19</v>
      </c>
      <c r="B1894" s="32">
        <f t="shared" si="458"/>
        <v>2053</v>
      </c>
      <c r="C1894" s="33" t="s">
        <v>46</v>
      </c>
      <c r="D1894" s="34" t="s">
        <v>128</v>
      </c>
      <c r="E1894" s="35" t="str">
        <f t="shared" si="456"/>
        <v>PRBND'!</v>
      </c>
      <c r="F1894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94" s="32" t="s">
        <v>103</v>
      </c>
      <c r="H1894" s="33"/>
      <c r="I1894" s="33"/>
      <c r="J1894" s="37"/>
    </row>
    <row r="1895" spans="1:10" x14ac:dyDescent="0.35">
      <c r="A1895" s="32" t="s">
        <v>19</v>
      </c>
      <c r="B1895" s="32">
        <f t="shared" si="458"/>
        <v>2054</v>
      </c>
      <c r="C1895" s="33" t="s">
        <v>46</v>
      </c>
      <c r="D1895" s="34" t="s">
        <v>128</v>
      </c>
      <c r="E1895" s="35" t="str">
        <f t="shared" si="456"/>
        <v>PRBND'!</v>
      </c>
      <c r="F1895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95" s="32" t="s">
        <v>103</v>
      </c>
      <c r="H1895" s="33"/>
      <c r="I1895" s="33"/>
      <c r="J1895" s="37"/>
    </row>
    <row r="1896" spans="1:10" x14ac:dyDescent="0.35">
      <c r="A1896" s="32" t="s">
        <v>19</v>
      </c>
      <c r="B1896" s="32">
        <f t="shared" si="458"/>
        <v>2055</v>
      </c>
      <c r="C1896" s="33" t="s">
        <v>46</v>
      </c>
      <c r="D1896" s="34" t="s">
        <v>128</v>
      </c>
      <c r="E1896" s="35" t="str">
        <f t="shared" si="456"/>
        <v>PRBND'!</v>
      </c>
      <c r="F1896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96" s="32" t="s">
        <v>103</v>
      </c>
      <c r="H1896" s="33"/>
      <c r="I1896" s="33"/>
      <c r="J1896" s="37"/>
    </row>
    <row r="1897" spans="1:10" x14ac:dyDescent="0.35">
      <c r="A1897" s="32" t="s">
        <v>19</v>
      </c>
      <c r="B1897" s="32">
        <f t="shared" si="458"/>
        <v>2056</v>
      </c>
      <c r="C1897" s="33" t="s">
        <v>46</v>
      </c>
      <c r="D1897" s="34" t="s">
        <v>128</v>
      </c>
      <c r="E1897" s="35" t="str">
        <f t="shared" si="456"/>
        <v>PRBND'!</v>
      </c>
      <c r="F1897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97" s="32" t="s">
        <v>103</v>
      </c>
      <c r="H1897" s="33"/>
      <c r="I1897" s="33"/>
      <c r="J1897" s="37"/>
    </row>
    <row r="1898" spans="1:10" x14ac:dyDescent="0.35">
      <c r="A1898" s="32" t="s">
        <v>19</v>
      </c>
      <c r="B1898" s="32">
        <f t="shared" si="458"/>
        <v>2057</v>
      </c>
      <c r="C1898" s="33" t="s">
        <v>46</v>
      </c>
      <c r="D1898" s="34" t="s">
        <v>128</v>
      </c>
      <c r="E1898" s="35" t="str">
        <f t="shared" si="456"/>
        <v>PRBND'!</v>
      </c>
      <c r="F1898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98" s="32" t="s">
        <v>103</v>
      </c>
      <c r="H1898" s="33"/>
      <c r="I1898" s="33"/>
      <c r="J1898" s="37"/>
    </row>
    <row r="1899" spans="1:10" x14ac:dyDescent="0.35">
      <c r="A1899" s="32" t="s">
        <v>19</v>
      </c>
      <c r="B1899" s="32">
        <f t="shared" si="458"/>
        <v>2058</v>
      </c>
      <c r="C1899" s="33" t="s">
        <v>46</v>
      </c>
      <c r="D1899" s="34" t="s">
        <v>128</v>
      </c>
      <c r="E1899" s="35" t="str">
        <f t="shared" si="456"/>
        <v>PRBND'!</v>
      </c>
      <c r="F1899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99" s="32" t="s">
        <v>103</v>
      </c>
      <c r="H1899" s="33"/>
      <c r="I1899" s="33"/>
      <c r="J1899" s="37"/>
    </row>
    <row r="1900" spans="1:10" x14ac:dyDescent="0.35">
      <c r="A1900" s="32" t="s">
        <v>19</v>
      </c>
      <c r="B1900" s="32">
        <f t="shared" si="458"/>
        <v>2059</v>
      </c>
      <c r="C1900" s="33" t="s">
        <v>46</v>
      </c>
      <c r="D1900" s="34" t="s">
        <v>128</v>
      </c>
      <c r="E1900" s="35" t="str">
        <f t="shared" si="456"/>
        <v>PRBND'!</v>
      </c>
      <c r="F1900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900" s="32" t="s">
        <v>103</v>
      </c>
      <c r="H1900" s="33"/>
      <c r="I1900" s="33"/>
      <c r="J1900" s="37"/>
    </row>
    <row r="1901" spans="1:10" x14ac:dyDescent="0.35">
      <c r="A1901" s="32" t="s">
        <v>26</v>
      </c>
      <c r="B1901" s="32"/>
      <c r="C1901" s="33" t="s">
        <v>46</v>
      </c>
      <c r="D1901" s="34"/>
      <c r="E1901" s="35"/>
      <c r="F1901" s="34"/>
      <c r="G1901" s="32"/>
      <c r="H1901" s="33"/>
      <c r="I1901" s="33"/>
      <c r="J1901" s="33"/>
    </row>
    <row r="1902" spans="1:10" x14ac:dyDescent="0.35">
      <c r="A1902" s="32" t="s">
        <v>20</v>
      </c>
      <c r="B1902" s="32">
        <v>2023</v>
      </c>
      <c r="C1902" s="33" t="s">
        <v>46</v>
      </c>
      <c r="D1902" s="34" t="s">
        <v>128</v>
      </c>
      <c r="E1902" s="35" t="str">
        <f t="shared" si="428"/>
        <v>PRB'!</v>
      </c>
      <c r="F1902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02" s="32" t="s">
        <v>103</v>
      </c>
      <c r="H1902" s="33">
        <v>12</v>
      </c>
      <c r="I1902" s="33" t="str">
        <f t="shared" ref="I1902:I1922" si="459">_xlfn.CONCAT("='",F1902:H1902)</f>
        <v>='C:\Users\jaime.benazar\Quorum Business Solutions\Ecopetrol Prometeo - Documents\Planning Space Implementation\3. Analysis &amp; Design\Design\FC22\DRR Jaime\Por presentar a ECP\Cantagallo\Cristalina\[CRISTALINA_CF_SEC_New_09-Feb-2024.xlsx]D-PRB'!$BX$12</v>
      </c>
      <c r="J1902" s="37" t="s">
        <v>980</v>
      </c>
    </row>
    <row r="1903" spans="1:10" x14ac:dyDescent="0.35">
      <c r="A1903" s="32" t="s">
        <v>20</v>
      </c>
      <c r="B1903" s="32">
        <f>+B1902+1</f>
        <v>2024</v>
      </c>
      <c r="C1903" s="33" t="s">
        <v>46</v>
      </c>
      <c r="D1903" s="34" t="s">
        <v>128</v>
      </c>
      <c r="E1903" s="35" t="str">
        <f t="shared" si="428"/>
        <v>PRB'!</v>
      </c>
      <c r="F1903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03" s="32" t="s">
        <v>103</v>
      </c>
      <c r="H1903" s="33">
        <f t="shared" ref="H1903:H1922" si="460">IF(A1903&lt;&gt;A1902,12,H1902+1)</f>
        <v>13</v>
      </c>
      <c r="I1903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ECP\Cantagallo\Cristalina\[CRISTALINA_CF_SEC_New_09-Feb-2024.xlsx]D-PRB'!$BX$13</v>
      </c>
      <c r="J1903" s="37" t="s">
        <v>981</v>
      </c>
    </row>
    <row r="1904" spans="1:10" x14ac:dyDescent="0.35">
      <c r="A1904" s="32" t="s">
        <v>20</v>
      </c>
      <c r="B1904" s="32">
        <f t="shared" ref="B1904:B1915" si="461">+B1903+1</f>
        <v>2025</v>
      </c>
      <c r="C1904" s="33" t="s">
        <v>46</v>
      </c>
      <c r="D1904" s="34" t="s">
        <v>128</v>
      </c>
      <c r="E1904" s="35" t="str">
        <f t="shared" si="428"/>
        <v>PRB'!</v>
      </c>
      <c r="F1904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04" s="32" t="s">
        <v>103</v>
      </c>
      <c r="H1904" s="33">
        <f t="shared" si="460"/>
        <v>14</v>
      </c>
      <c r="I1904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ECP\Cantagallo\Cristalina\[CRISTALINA_CF_SEC_New_09-Feb-2024.xlsx]D-PRB'!$BX$14</v>
      </c>
      <c r="J1904" s="37" t="s">
        <v>982</v>
      </c>
    </row>
    <row r="1905" spans="1:10" x14ac:dyDescent="0.35">
      <c r="A1905" s="32" t="s">
        <v>20</v>
      </c>
      <c r="B1905" s="32">
        <f t="shared" si="461"/>
        <v>2026</v>
      </c>
      <c r="C1905" s="33" t="s">
        <v>46</v>
      </c>
      <c r="D1905" s="34" t="s">
        <v>128</v>
      </c>
      <c r="E1905" s="35" t="str">
        <f t="shared" si="428"/>
        <v>PRB'!</v>
      </c>
      <c r="F1905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05" s="32" t="s">
        <v>103</v>
      </c>
      <c r="H1905" s="33">
        <f t="shared" si="460"/>
        <v>15</v>
      </c>
      <c r="I1905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ECP\Cantagallo\Cristalina\[CRISTALINA_CF_SEC_New_09-Feb-2024.xlsx]D-PRB'!$BX$15</v>
      </c>
      <c r="J1905" s="37" t="s">
        <v>983</v>
      </c>
    </row>
    <row r="1906" spans="1:10" x14ac:dyDescent="0.35">
      <c r="A1906" s="32" t="s">
        <v>20</v>
      </c>
      <c r="B1906" s="32">
        <f t="shared" si="461"/>
        <v>2027</v>
      </c>
      <c r="C1906" s="33" t="s">
        <v>46</v>
      </c>
      <c r="D1906" s="34" t="s">
        <v>128</v>
      </c>
      <c r="E1906" s="35" t="str">
        <f t="shared" si="428"/>
        <v>PRB'!</v>
      </c>
      <c r="F1906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06" s="32" t="s">
        <v>103</v>
      </c>
      <c r="H1906" s="33">
        <f t="shared" si="460"/>
        <v>16</v>
      </c>
      <c r="I1906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ECP\Cantagallo\Cristalina\[CRISTALINA_CF_SEC_New_09-Feb-2024.xlsx]D-PRB'!$BX$16</v>
      </c>
      <c r="J1906" s="37" t="s">
        <v>984</v>
      </c>
    </row>
    <row r="1907" spans="1:10" x14ac:dyDescent="0.35">
      <c r="A1907" s="32" t="s">
        <v>20</v>
      </c>
      <c r="B1907" s="32">
        <f t="shared" si="461"/>
        <v>2028</v>
      </c>
      <c r="C1907" s="33" t="s">
        <v>46</v>
      </c>
      <c r="D1907" s="34" t="s">
        <v>128</v>
      </c>
      <c r="E1907" s="35" t="str">
        <f t="shared" si="428"/>
        <v>PRB'!</v>
      </c>
      <c r="F1907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07" s="32" t="s">
        <v>103</v>
      </c>
      <c r="H1907" s="33">
        <f t="shared" si="460"/>
        <v>17</v>
      </c>
      <c r="I1907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ECP\Cantagallo\Cristalina\[CRISTALINA_CF_SEC_New_09-Feb-2024.xlsx]D-PRB'!$BX$17</v>
      </c>
      <c r="J1907" s="37" t="s">
        <v>985</v>
      </c>
    </row>
    <row r="1908" spans="1:10" x14ac:dyDescent="0.35">
      <c r="A1908" s="32" t="s">
        <v>20</v>
      </c>
      <c r="B1908" s="32">
        <f t="shared" si="461"/>
        <v>2029</v>
      </c>
      <c r="C1908" s="33" t="s">
        <v>46</v>
      </c>
      <c r="D1908" s="34" t="s">
        <v>128</v>
      </c>
      <c r="E1908" s="35" t="str">
        <f t="shared" si="428"/>
        <v>PRB'!</v>
      </c>
      <c r="F1908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08" s="32" t="s">
        <v>103</v>
      </c>
      <c r="H1908" s="33">
        <f t="shared" si="460"/>
        <v>18</v>
      </c>
      <c r="I1908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ECP\Cantagallo\Cristalina\[CRISTALINA_CF_SEC_New_09-Feb-2024.xlsx]D-PRB'!$BX$18</v>
      </c>
      <c r="J1908" s="37" t="s">
        <v>986</v>
      </c>
    </row>
    <row r="1909" spans="1:10" x14ac:dyDescent="0.35">
      <c r="A1909" s="32" t="s">
        <v>20</v>
      </c>
      <c r="B1909" s="32">
        <f t="shared" si="461"/>
        <v>2030</v>
      </c>
      <c r="C1909" s="33" t="s">
        <v>46</v>
      </c>
      <c r="D1909" s="34" t="s">
        <v>128</v>
      </c>
      <c r="E1909" s="35" t="str">
        <f t="shared" si="428"/>
        <v>PRB'!</v>
      </c>
      <c r="F1909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09" s="32" t="s">
        <v>103</v>
      </c>
      <c r="H1909" s="33">
        <f t="shared" si="460"/>
        <v>19</v>
      </c>
      <c r="I1909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ECP\Cantagallo\Cristalina\[CRISTALINA_CF_SEC_New_09-Feb-2024.xlsx]D-PRB'!$BX$19</v>
      </c>
      <c r="J1909" s="37" t="s">
        <v>987</v>
      </c>
    </row>
    <row r="1910" spans="1:10" x14ac:dyDescent="0.35">
      <c r="A1910" s="32" t="s">
        <v>20</v>
      </c>
      <c r="B1910" s="32">
        <f t="shared" si="461"/>
        <v>2031</v>
      </c>
      <c r="C1910" s="33" t="s">
        <v>46</v>
      </c>
      <c r="D1910" s="34" t="s">
        <v>128</v>
      </c>
      <c r="E1910" s="35" t="str">
        <f t="shared" si="428"/>
        <v>PRB'!</v>
      </c>
      <c r="F1910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10" s="32" t="s">
        <v>103</v>
      </c>
      <c r="H1910" s="33">
        <f t="shared" si="460"/>
        <v>20</v>
      </c>
      <c r="I1910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ECP\Cantagallo\Cristalina\[CRISTALINA_CF_SEC_New_09-Feb-2024.xlsx]D-PRB'!$BX$20</v>
      </c>
      <c r="J1910" s="37" t="s">
        <v>988</v>
      </c>
    </row>
    <row r="1911" spans="1:10" x14ac:dyDescent="0.35">
      <c r="A1911" s="32" t="s">
        <v>20</v>
      </c>
      <c r="B1911" s="32">
        <f t="shared" si="461"/>
        <v>2032</v>
      </c>
      <c r="C1911" s="33" t="s">
        <v>46</v>
      </c>
      <c r="D1911" s="34" t="s">
        <v>128</v>
      </c>
      <c r="E1911" s="35" t="str">
        <f t="shared" si="428"/>
        <v>PRB'!</v>
      </c>
      <c r="F1911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11" s="32" t="s">
        <v>103</v>
      </c>
      <c r="H1911" s="33">
        <f t="shared" si="460"/>
        <v>21</v>
      </c>
      <c r="I1911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ECP\Cantagallo\Cristalina\[CRISTALINA_CF_SEC_New_09-Feb-2024.xlsx]D-PRB'!$BX$21</v>
      </c>
      <c r="J1911" s="37" t="s">
        <v>989</v>
      </c>
    </row>
    <row r="1912" spans="1:10" x14ac:dyDescent="0.35">
      <c r="A1912" s="32" t="s">
        <v>20</v>
      </c>
      <c r="B1912" s="32">
        <f t="shared" si="461"/>
        <v>2033</v>
      </c>
      <c r="C1912" s="33" t="s">
        <v>46</v>
      </c>
      <c r="D1912" s="34" t="s">
        <v>128</v>
      </c>
      <c r="E1912" s="35" t="str">
        <f t="shared" si="428"/>
        <v>PRB'!</v>
      </c>
      <c r="F1912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12" s="32" t="s">
        <v>103</v>
      </c>
      <c r="H1912" s="33">
        <f t="shared" si="460"/>
        <v>22</v>
      </c>
      <c r="I1912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ECP\Cantagallo\Cristalina\[CRISTALINA_CF_SEC_New_09-Feb-2024.xlsx]D-PRB'!$BX$22</v>
      </c>
      <c r="J1912" s="37" t="s">
        <v>990</v>
      </c>
    </row>
    <row r="1913" spans="1:10" x14ac:dyDescent="0.35">
      <c r="A1913" s="32" t="s">
        <v>20</v>
      </c>
      <c r="B1913" s="32">
        <f t="shared" si="461"/>
        <v>2034</v>
      </c>
      <c r="C1913" s="33" t="s">
        <v>46</v>
      </c>
      <c r="D1913" s="34" t="s">
        <v>128</v>
      </c>
      <c r="E1913" s="35" t="str">
        <f t="shared" si="428"/>
        <v>PRB'!</v>
      </c>
      <c r="F1913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13" s="32" t="s">
        <v>103</v>
      </c>
      <c r="H1913" s="33">
        <f t="shared" si="460"/>
        <v>23</v>
      </c>
      <c r="I1913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ECP\Cantagallo\Cristalina\[CRISTALINA_CF_SEC_New_09-Feb-2024.xlsx]D-PRB'!$BX$23</v>
      </c>
      <c r="J1913" s="37" t="s">
        <v>991</v>
      </c>
    </row>
    <row r="1914" spans="1:10" x14ac:dyDescent="0.35">
      <c r="A1914" s="32" t="s">
        <v>20</v>
      </c>
      <c r="B1914" s="32">
        <f t="shared" si="461"/>
        <v>2035</v>
      </c>
      <c r="C1914" s="33" t="s">
        <v>46</v>
      </c>
      <c r="D1914" s="34" t="s">
        <v>128</v>
      </c>
      <c r="E1914" s="35" t="str">
        <f t="shared" si="428"/>
        <v>PRB'!</v>
      </c>
      <c r="F1914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14" s="32" t="s">
        <v>103</v>
      </c>
      <c r="H1914" s="33">
        <f t="shared" si="460"/>
        <v>24</v>
      </c>
      <c r="I1914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ECP\Cantagallo\Cristalina\[CRISTALINA_CF_SEC_New_09-Feb-2024.xlsx]D-PRB'!$BX$24</v>
      </c>
      <c r="J1914" s="37" t="s">
        <v>992</v>
      </c>
    </row>
    <row r="1915" spans="1:10" x14ac:dyDescent="0.35">
      <c r="A1915" s="32" t="s">
        <v>20</v>
      </c>
      <c r="B1915" s="32">
        <f t="shared" si="461"/>
        <v>2036</v>
      </c>
      <c r="C1915" s="33" t="s">
        <v>46</v>
      </c>
      <c r="D1915" s="34" t="s">
        <v>128</v>
      </c>
      <c r="E1915" s="35" t="str">
        <f t="shared" si="428"/>
        <v>PRB'!</v>
      </c>
      <c r="F1915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15" s="32" t="s">
        <v>103</v>
      </c>
      <c r="H1915" s="33">
        <f t="shared" si="460"/>
        <v>25</v>
      </c>
      <c r="I1915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ECP\Cantagallo\Cristalina\[CRISTALINA_CF_SEC_New_09-Feb-2024.xlsx]D-PRB'!$BX$25</v>
      </c>
      <c r="J1915" s="37" t="s">
        <v>993</v>
      </c>
    </row>
    <row r="1916" spans="1:10" x14ac:dyDescent="0.35">
      <c r="A1916" s="32" t="s">
        <v>20</v>
      </c>
      <c r="B1916" s="32">
        <f>+B1915+1</f>
        <v>2037</v>
      </c>
      <c r="C1916" s="33" t="s">
        <v>46</v>
      </c>
      <c r="D1916" s="34" t="s">
        <v>128</v>
      </c>
      <c r="E1916" s="35" t="str">
        <f t="shared" si="428"/>
        <v>PRB'!</v>
      </c>
      <c r="F1916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16" s="32" t="s">
        <v>103</v>
      </c>
      <c r="H1916" s="33">
        <f t="shared" si="460"/>
        <v>26</v>
      </c>
      <c r="I1916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ECP\Cantagallo\Cristalina\[CRISTALINA_CF_SEC_New_09-Feb-2024.xlsx]D-PRB'!$BX$26</v>
      </c>
      <c r="J1916" s="37" t="s">
        <v>994</v>
      </c>
    </row>
    <row r="1917" spans="1:10" x14ac:dyDescent="0.35">
      <c r="A1917" s="32" t="s">
        <v>20</v>
      </c>
      <c r="B1917" s="32">
        <f t="shared" ref="B1917:B1919" si="462">+B1916+1</f>
        <v>2038</v>
      </c>
      <c r="C1917" s="33" t="s">
        <v>46</v>
      </c>
      <c r="D1917" s="34" t="s">
        <v>128</v>
      </c>
      <c r="E1917" s="35" t="str">
        <f t="shared" si="428"/>
        <v>PRB'!</v>
      </c>
      <c r="F1917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17" s="32" t="s">
        <v>103</v>
      </c>
      <c r="H1917" s="33">
        <f t="shared" si="460"/>
        <v>27</v>
      </c>
      <c r="I1917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ECP\Cantagallo\Cristalina\[CRISTALINA_CF_SEC_New_09-Feb-2024.xlsx]D-PRB'!$BX$27</v>
      </c>
      <c r="J1917" s="37" t="s">
        <v>995</v>
      </c>
    </row>
    <row r="1918" spans="1:10" x14ac:dyDescent="0.35">
      <c r="A1918" s="32" t="s">
        <v>20</v>
      </c>
      <c r="B1918" s="32">
        <f t="shared" si="462"/>
        <v>2039</v>
      </c>
      <c r="C1918" s="33" t="s">
        <v>46</v>
      </c>
      <c r="D1918" s="34" t="s">
        <v>128</v>
      </c>
      <c r="E1918" s="35" t="str">
        <f t="shared" si="428"/>
        <v>PRB'!</v>
      </c>
      <c r="F1918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18" s="32" t="s">
        <v>103</v>
      </c>
      <c r="H1918" s="33">
        <f t="shared" si="460"/>
        <v>28</v>
      </c>
      <c r="I1918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ECP\Cantagallo\Cristalina\[CRISTALINA_CF_SEC_New_09-Feb-2024.xlsx]D-PRB'!$BX$28</v>
      </c>
      <c r="J1918" s="37" t="s">
        <v>996</v>
      </c>
    </row>
    <row r="1919" spans="1:10" x14ac:dyDescent="0.35">
      <c r="A1919" s="32" t="s">
        <v>20</v>
      </c>
      <c r="B1919" s="32">
        <f t="shared" si="462"/>
        <v>2040</v>
      </c>
      <c r="C1919" s="33" t="s">
        <v>46</v>
      </c>
      <c r="D1919" s="34" t="s">
        <v>128</v>
      </c>
      <c r="E1919" s="35" t="str">
        <f t="shared" si="428"/>
        <v>PRB'!</v>
      </c>
      <c r="F1919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19" s="32" t="s">
        <v>103</v>
      </c>
      <c r="H1919" s="33">
        <f t="shared" si="460"/>
        <v>29</v>
      </c>
      <c r="I1919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ECP\Cantagallo\Cristalina\[CRISTALINA_CF_SEC_New_09-Feb-2024.xlsx]D-PRB'!$BX$29</v>
      </c>
      <c r="J1919" s="37" t="s">
        <v>997</v>
      </c>
    </row>
    <row r="1920" spans="1:10" x14ac:dyDescent="0.35">
      <c r="A1920" s="32" t="s">
        <v>20</v>
      </c>
      <c r="B1920" s="32">
        <f>+B1919+1</f>
        <v>2041</v>
      </c>
      <c r="C1920" s="33" t="s">
        <v>46</v>
      </c>
      <c r="D1920" s="34" t="s">
        <v>128</v>
      </c>
      <c r="E1920" s="35" t="str">
        <f t="shared" si="428"/>
        <v>PRB'!</v>
      </c>
      <c r="F1920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20" s="32" t="s">
        <v>103</v>
      </c>
      <c r="H1920" s="33">
        <f t="shared" si="460"/>
        <v>30</v>
      </c>
      <c r="I1920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ECP\Cantagallo\Cristalina\[CRISTALINA_CF_SEC_New_09-Feb-2024.xlsx]D-PRB'!$BX$30</v>
      </c>
      <c r="J1920" s="37" t="s">
        <v>998</v>
      </c>
    </row>
    <row r="1921" spans="1:10" x14ac:dyDescent="0.35">
      <c r="A1921" s="32" t="s">
        <v>20</v>
      </c>
      <c r="B1921" s="32">
        <f t="shared" ref="B1921:B1922" si="463">+B1920+1</f>
        <v>2042</v>
      </c>
      <c r="C1921" s="33" t="s">
        <v>46</v>
      </c>
      <c r="D1921" s="34" t="s">
        <v>128</v>
      </c>
      <c r="E1921" s="35" t="str">
        <f t="shared" si="428"/>
        <v>PRB'!</v>
      </c>
      <c r="F1921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21" s="32" t="s">
        <v>103</v>
      </c>
      <c r="H1921" s="33">
        <f t="shared" si="460"/>
        <v>31</v>
      </c>
      <c r="I1921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ECP\Cantagallo\Cristalina\[CRISTALINA_CF_SEC_New_09-Feb-2024.xlsx]D-PRB'!$BX$31</v>
      </c>
      <c r="J1921" s="37" t="s">
        <v>999</v>
      </c>
    </row>
    <row r="1922" spans="1:10" x14ac:dyDescent="0.35">
      <c r="A1922" s="32" t="s">
        <v>20</v>
      </c>
      <c r="B1922" s="32">
        <f t="shared" si="463"/>
        <v>2043</v>
      </c>
      <c r="C1922" s="33" t="s">
        <v>46</v>
      </c>
      <c r="D1922" s="34" t="s">
        <v>128</v>
      </c>
      <c r="E1922" s="35" t="str">
        <f t="shared" si="428"/>
        <v>PRB'!</v>
      </c>
      <c r="F1922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22" s="32" t="s">
        <v>103</v>
      </c>
      <c r="H1922" s="33">
        <f t="shared" si="460"/>
        <v>32</v>
      </c>
      <c r="I1922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ECP\Cantagallo\Cristalina\[CRISTALINA_CF_SEC_New_09-Feb-2024.xlsx]D-PRB'!$BX$32</v>
      </c>
      <c r="J1922" s="37" t="s">
        <v>1000</v>
      </c>
    </row>
    <row r="1923" spans="1:10" x14ac:dyDescent="0.35">
      <c r="A1923" s="32" t="s">
        <v>20</v>
      </c>
      <c r="B1923" s="32">
        <f>+B1922+1</f>
        <v>2044</v>
      </c>
      <c r="C1923" s="33" t="s">
        <v>46</v>
      </c>
      <c r="D1923" s="34" t="s">
        <v>128</v>
      </c>
      <c r="E1923" s="35" t="str">
        <f t="shared" ref="E1923:E1938" si="464">_xlfn.CONCAT(A1923,"'!")</f>
        <v>PRB'!</v>
      </c>
      <c r="F1923" s="34" t="str">
        <f t="shared" ref="F1923:F1938" si="465">_xlfn.CONCAT(D1923:E1923)</f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23" s="32" t="s">
        <v>103</v>
      </c>
      <c r="H1923" s="33">
        <f t="shared" ref="H1923:H1938" si="466">IF(A1923&lt;&gt;A1922,12,H1922+1)</f>
        <v>33</v>
      </c>
      <c r="I1923" s="33" t="str">
        <f t="shared" ref="I1923:I1938" si="467">_xlfn.CONCAT("='",F1923:H1923)</f>
        <v>='C:\Users\jaime.benazar\Quorum Business Solutions\Ecopetrol Prometeo - Documents\Planning Space Implementation\3. Analysis &amp; Design\Design\FC22\DRR Jaime\Por presentar a ECP\Cantagallo\Cristalina\[CRISTALINA_CF_SEC_New_09-Feb-2024.xlsx]D-PRB'!$BX$33</v>
      </c>
      <c r="J1923" s="37" t="s">
        <v>1001</v>
      </c>
    </row>
    <row r="1924" spans="1:10" x14ac:dyDescent="0.35">
      <c r="A1924" s="32" t="s">
        <v>20</v>
      </c>
      <c r="B1924" s="32">
        <f t="shared" ref="B1924:B1938" si="468">+B1923+1</f>
        <v>2045</v>
      </c>
      <c r="C1924" s="33" t="s">
        <v>46</v>
      </c>
      <c r="D1924" s="34" t="s">
        <v>128</v>
      </c>
      <c r="E1924" s="35" t="str">
        <f t="shared" si="464"/>
        <v>PRB'!</v>
      </c>
      <c r="F1924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24" s="32" t="s">
        <v>103</v>
      </c>
      <c r="H1924" s="33">
        <f t="shared" si="466"/>
        <v>34</v>
      </c>
      <c r="I1924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ECP\Cantagallo\Cristalina\[CRISTALINA_CF_SEC_New_09-Feb-2024.xlsx]D-PRB'!$BX$34</v>
      </c>
      <c r="J1924" s="37" t="s">
        <v>1002</v>
      </c>
    </row>
    <row r="1925" spans="1:10" x14ac:dyDescent="0.35">
      <c r="A1925" s="32" t="s">
        <v>20</v>
      </c>
      <c r="B1925" s="32">
        <f t="shared" si="468"/>
        <v>2046</v>
      </c>
      <c r="C1925" s="33" t="s">
        <v>46</v>
      </c>
      <c r="D1925" s="34" t="s">
        <v>128</v>
      </c>
      <c r="E1925" s="35" t="str">
        <f t="shared" si="464"/>
        <v>PRB'!</v>
      </c>
      <c r="F1925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25" s="32" t="s">
        <v>103</v>
      </c>
      <c r="H1925" s="33">
        <f t="shared" si="466"/>
        <v>35</v>
      </c>
      <c r="I1925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ECP\Cantagallo\Cristalina\[CRISTALINA_CF_SEC_New_09-Feb-2024.xlsx]D-PRB'!$BX$35</v>
      </c>
      <c r="J1925" s="37" t="s">
        <v>1003</v>
      </c>
    </row>
    <row r="1926" spans="1:10" x14ac:dyDescent="0.35">
      <c r="A1926" s="32" t="s">
        <v>20</v>
      </c>
      <c r="B1926" s="32">
        <f t="shared" si="468"/>
        <v>2047</v>
      </c>
      <c r="C1926" s="33" t="s">
        <v>46</v>
      </c>
      <c r="D1926" s="34" t="s">
        <v>128</v>
      </c>
      <c r="E1926" s="35" t="str">
        <f t="shared" si="464"/>
        <v>PRB'!</v>
      </c>
      <c r="F1926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26" s="32" t="s">
        <v>103</v>
      </c>
      <c r="H1926" s="33">
        <f t="shared" si="466"/>
        <v>36</v>
      </c>
      <c r="I1926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ECP\Cantagallo\Cristalina\[CRISTALINA_CF_SEC_New_09-Feb-2024.xlsx]D-PRB'!$BX$36</v>
      </c>
      <c r="J1926" s="37" t="s">
        <v>1004</v>
      </c>
    </row>
    <row r="1927" spans="1:10" x14ac:dyDescent="0.35">
      <c r="A1927" s="32" t="s">
        <v>20</v>
      </c>
      <c r="B1927" s="32">
        <f t="shared" si="468"/>
        <v>2048</v>
      </c>
      <c r="C1927" s="33" t="s">
        <v>46</v>
      </c>
      <c r="D1927" s="34" t="s">
        <v>128</v>
      </c>
      <c r="E1927" s="35" t="str">
        <f t="shared" si="464"/>
        <v>PRB'!</v>
      </c>
      <c r="F1927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27" s="32" t="s">
        <v>103</v>
      </c>
      <c r="H1927" s="33">
        <f t="shared" si="466"/>
        <v>37</v>
      </c>
      <c r="I1927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ECP\Cantagallo\Cristalina\[CRISTALINA_CF_SEC_New_09-Feb-2024.xlsx]D-PRB'!$BX$37</v>
      </c>
      <c r="J1927" s="37" t="s">
        <v>1005</v>
      </c>
    </row>
    <row r="1928" spans="1:10" x14ac:dyDescent="0.35">
      <c r="A1928" s="32" t="s">
        <v>20</v>
      </c>
      <c r="B1928" s="32">
        <f t="shared" si="468"/>
        <v>2049</v>
      </c>
      <c r="C1928" s="33" t="s">
        <v>46</v>
      </c>
      <c r="D1928" s="34" t="s">
        <v>128</v>
      </c>
      <c r="E1928" s="35" t="str">
        <f t="shared" si="464"/>
        <v>PRB'!</v>
      </c>
      <c r="F1928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28" s="32" t="s">
        <v>103</v>
      </c>
      <c r="H1928" s="33">
        <f t="shared" si="466"/>
        <v>38</v>
      </c>
      <c r="I1928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ECP\Cantagallo\Cristalina\[CRISTALINA_CF_SEC_New_09-Feb-2024.xlsx]D-PRB'!$BX$38</v>
      </c>
      <c r="J1928" s="37" t="s">
        <v>1006</v>
      </c>
    </row>
    <row r="1929" spans="1:10" x14ac:dyDescent="0.35">
      <c r="A1929" s="32" t="s">
        <v>20</v>
      </c>
      <c r="B1929" s="32">
        <f t="shared" si="468"/>
        <v>2050</v>
      </c>
      <c r="C1929" s="33" t="s">
        <v>46</v>
      </c>
      <c r="D1929" s="34" t="s">
        <v>128</v>
      </c>
      <c r="E1929" s="35" t="str">
        <f t="shared" si="464"/>
        <v>PRB'!</v>
      </c>
      <c r="F1929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29" s="32" t="s">
        <v>103</v>
      </c>
      <c r="H1929" s="33">
        <f t="shared" si="466"/>
        <v>39</v>
      </c>
      <c r="I1929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ECP\Cantagallo\Cristalina\[CRISTALINA_CF_SEC_New_09-Feb-2024.xlsx]D-PRB'!$BX$39</v>
      </c>
      <c r="J1929" s="37" t="s">
        <v>1007</v>
      </c>
    </row>
    <row r="1930" spans="1:10" x14ac:dyDescent="0.35">
      <c r="A1930" s="32" t="s">
        <v>20</v>
      </c>
      <c r="B1930" s="32">
        <f t="shared" si="468"/>
        <v>2051</v>
      </c>
      <c r="C1930" s="33" t="s">
        <v>46</v>
      </c>
      <c r="D1930" s="34" t="s">
        <v>128</v>
      </c>
      <c r="E1930" s="35" t="str">
        <f t="shared" si="464"/>
        <v>PRB'!</v>
      </c>
      <c r="F1930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30" s="32" t="s">
        <v>103</v>
      </c>
      <c r="H1930" s="33">
        <f t="shared" si="466"/>
        <v>40</v>
      </c>
      <c r="I1930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ECP\Cantagallo\Cristalina\[CRISTALINA_CF_SEC_New_09-Feb-2024.xlsx]D-PRB'!$BX$40</v>
      </c>
      <c r="J1930" s="37" t="s">
        <v>1008</v>
      </c>
    </row>
    <row r="1931" spans="1:10" x14ac:dyDescent="0.35">
      <c r="A1931" s="32" t="s">
        <v>20</v>
      </c>
      <c r="B1931" s="32">
        <f t="shared" si="468"/>
        <v>2052</v>
      </c>
      <c r="C1931" s="33" t="s">
        <v>46</v>
      </c>
      <c r="D1931" s="34" t="s">
        <v>128</v>
      </c>
      <c r="E1931" s="35" t="str">
        <f t="shared" si="464"/>
        <v>PRB'!</v>
      </c>
      <c r="F1931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31" s="32" t="s">
        <v>103</v>
      </c>
      <c r="H1931" s="33">
        <f t="shared" si="466"/>
        <v>41</v>
      </c>
      <c r="I1931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ECP\Cantagallo\Cristalina\[CRISTALINA_CF_SEC_New_09-Feb-2024.xlsx]D-PRB'!$BX$41</v>
      </c>
      <c r="J1931" s="37" t="s">
        <v>1009</v>
      </c>
    </row>
    <row r="1932" spans="1:10" x14ac:dyDescent="0.35">
      <c r="A1932" s="32" t="s">
        <v>20</v>
      </c>
      <c r="B1932" s="32">
        <f t="shared" si="468"/>
        <v>2053</v>
      </c>
      <c r="C1932" s="33" t="s">
        <v>46</v>
      </c>
      <c r="D1932" s="34" t="s">
        <v>128</v>
      </c>
      <c r="E1932" s="35" t="str">
        <f t="shared" si="464"/>
        <v>PRB'!</v>
      </c>
      <c r="F1932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32" s="32" t="s">
        <v>103</v>
      </c>
      <c r="H1932" s="33">
        <f t="shared" si="466"/>
        <v>42</v>
      </c>
      <c r="I1932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ECP\Cantagallo\Cristalina\[CRISTALINA_CF_SEC_New_09-Feb-2024.xlsx]D-PRB'!$BX$42</v>
      </c>
      <c r="J1932" s="37" t="s">
        <v>1010</v>
      </c>
    </row>
    <row r="1933" spans="1:10" x14ac:dyDescent="0.35">
      <c r="A1933" s="32" t="s">
        <v>20</v>
      </c>
      <c r="B1933" s="32">
        <f t="shared" si="468"/>
        <v>2054</v>
      </c>
      <c r="C1933" s="33" t="s">
        <v>46</v>
      </c>
      <c r="D1933" s="34" t="s">
        <v>128</v>
      </c>
      <c r="E1933" s="35" t="str">
        <f t="shared" si="464"/>
        <v>PRB'!</v>
      </c>
      <c r="F1933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33" s="32" t="s">
        <v>103</v>
      </c>
      <c r="H1933" s="33">
        <f t="shared" si="466"/>
        <v>43</v>
      </c>
      <c r="I1933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ECP\Cantagallo\Cristalina\[CRISTALINA_CF_SEC_New_09-Feb-2024.xlsx]D-PRB'!$BX$43</v>
      </c>
      <c r="J1933" s="37" t="s">
        <v>1011</v>
      </c>
    </row>
    <row r="1934" spans="1:10" x14ac:dyDescent="0.35">
      <c r="A1934" s="32" t="s">
        <v>20</v>
      </c>
      <c r="B1934" s="32">
        <f t="shared" si="468"/>
        <v>2055</v>
      </c>
      <c r="C1934" s="33" t="s">
        <v>46</v>
      </c>
      <c r="D1934" s="34" t="s">
        <v>128</v>
      </c>
      <c r="E1934" s="35" t="str">
        <f t="shared" si="464"/>
        <v>PRB'!</v>
      </c>
      <c r="F1934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34" s="32" t="s">
        <v>103</v>
      </c>
      <c r="H1934" s="33">
        <f t="shared" si="466"/>
        <v>44</v>
      </c>
      <c r="I1934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ECP\Cantagallo\Cristalina\[CRISTALINA_CF_SEC_New_09-Feb-2024.xlsx]D-PRB'!$BX$44</v>
      </c>
      <c r="J1934" s="37" t="s">
        <v>1012</v>
      </c>
    </row>
    <row r="1935" spans="1:10" x14ac:dyDescent="0.35">
      <c r="A1935" s="32" t="s">
        <v>20</v>
      </c>
      <c r="B1935" s="32">
        <f t="shared" si="468"/>
        <v>2056</v>
      </c>
      <c r="C1935" s="33" t="s">
        <v>46</v>
      </c>
      <c r="D1935" s="34" t="s">
        <v>128</v>
      </c>
      <c r="E1935" s="35" t="str">
        <f t="shared" si="464"/>
        <v>PRB'!</v>
      </c>
      <c r="F1935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35" s="32" t="s">
        <v>103</v>
      </c>
      <c r="H1935" s="33">
        <f t="shared" si="466"/>
        <v>45</v>
      </c>
      <c r="I1935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ECP\Cantagallo\Cristalina\[CRISTALINA_CF_SEC_New_09-Feb-2024.xlsx]D-PRB'!$BX$45</v>
      </c>
      <c r="J1935" s="37" t="s">
        <v>1013</v>
      </c>
    </row>
    <row r="1936" spans="1:10" x14ac:dyDescent="0.35">
      <c r="A1936" s="32" t="s">
        <v>20</v>
      </c>
      <c r="B1936" s="32">
        <f t="shared" si="468"/>
        <v>2057</v>
      </c>
      <c r="C1936" s="33" t="s">
        <v>46</v>
      </c>
      <c r="D1936" s="34" t="s">
        <v>128</v>
      </c>
      <c r="E1936" s="35" t="str">
        <f t="shared" si="464"/>
        <v>PRB'!</v>
      </c>
      <c r="F1936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36" s="32" t="s">
        <v>103</v>
      </c>
      <c r="H1936" s="33">
        <f t="shared" si="466"/>
        <v>46</v>
      </c>
      <c r="I1936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ECP\Cantagallo\Cristalina\[CRISTALINA_CF_SEC_New_09-Feb-2024.xlsx]D-PRB'!$BX$46</v>
      </c>
      <c r="J1936" s="37" t="s">
        <v>1014</v>
      </c>
    </row>
    <row r="1937" spans="1:10" x14ac:dyDescent="0.35">
      <c r="A1937" s="32" t="s">
        <v>20</v>
      </c>
      <c r="B1937" s="32">
        <f t="shared" si="468"/>
        <v>2058</v>
      </c>
      <c r="C1937" s="33" t="s">
        <v>46</v>
      </c>
      <c r="D1937" s="34" t="s">
        <v>128</v>
      </c>
      <c r="E1937" s="35" t="str">
        <f t="shared" si="464"/>
        <v>PRB'!</v>
      </c>
      <c r="F1937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37" s="32" t="s">
        <v>103</v>
      </c>
      <c r="H1937" s="33">
        <f t="shared" si="466"/>
        <v>47</v>
      </c>
      <c r="I1937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ECP\Cantagallo\Cristalina\[CRISTALINA_CF_SEC_New_09-Feb-2024.xlsx]D-PRB'!$BX$47</v>
      </c>
      <c r="J1937" s="37" t="s">
        <v>1015</v>
      </c>
    </row>
    <row r="1938" spans="1:10" x14ac:dyDescent="0.35">
      <c r="A1938" s="32" t="s">
        <v>20</v>
      </c>
      <c r="B1938" s="32">
        <f t="shared" si="468"/>
        <v>2059</v>
      </c>
      <c r="C1938" s="33" t="s">
        <v>46</v>
      </c>
      <c r="D1938" s="34" t="s">
        <v>128</v>
      </c>
      <c r="E1938" s="35" t="str">
        <f t="shared" si="464"/>
        <v>PRB'!</v>
      </c>
      <c r="F1938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38" s="32" t="s">
        <v>103</v>
      </c>
      <c r="H1938" s="33">
        <f t="shared" si="466"/>
        <v>48</v>
      </c>
      <c r="I1938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ECP\Cantagallo\Cristalina\[CRISTALINA_CF_SEC_New_09-Feb-2024.xlsx]D-PRB'!$BX$48</v>
      </c>
      <c r="J1938" s="37" t="s">
        <v>1016</v>
      </c>
    </row>
    <row r="1939" spans="1:10" x14ac:dyDescent="0.35">
      <c r="A1939" s="32" t="s">
        <v>26</v>
      </c>
      <c r="B1939" s="32"/>
      <c r="C1939" s="33" t="s">
        <v>46</v>
      </c>
      <c r="D1939" s="34"/>
      <c r="E1939" s="35"/>
      <c r="F1939" s="34"/>
      <c r="G1939" s="32"/>
      <c r="H1939" s="33"/>
      <c r="I1939" s="33"/>
      <c r="J1939" s="33"/>
    </row>
    <row r="1940" spans="1:10" x14ac:dyDescent="0.35">
      <c r="A1940" s="32" t="s">
        <v>21</v>
      </c>
      <c r="B1940" s="32">
        <v>2023</v>
      </c>
      <c r="C1940" s="33" t="s">
        <v>46</v>
      </c>
      <c r="D1940" s="34" t="s">
        <v>128</v>
      </c>
      <c r="E1940" s="35" t="str">
        <f t="shared" ref="E1940:E1960" si="469">_xlfn.CONCAT(A1940,"'!")</f>
        <v>PSDP'!</v>
      </c>
      <c r="F1940" s="34" t="str">
        <f t="shared" ref="F1940:F1960" si="470">_xlfn.CONCAT(D1940:E1940)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40" s="32" t="s">
        <v>103</v>
      </c>
      <c r="H1940" s="33"/>
      <c r="I1940" s="33"/>
      <c r="J1940" s="37"/>
    </row>
    <row r="1941" spans="1:10" x14ac:dyDescent="0.35">
      <c r="A1941" s="32" t="s">
        <v>21</v>
      </c>
      <c r="B1941" s="32">
        <f>+B1940+1</f>
        <v>2024</v>
      </c>
      <c r="C1941" s="33" t="s">
        <v>46</v>
      </c>
      <c r="D1941" s="34" t="s">
        <v>128</v>
      </c>
      <c r="E1941" s="35" t="str">
        <f t="shared" si="469"/>
        <v>PSDP'!</v>
      </c>
      <c r="F1941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41" s="32" t="s">
        <v>103</v>
      </c>
      <c r="H1941" s="33"/>
      <c r="I1941" s="33"/>
      <c r="J1941" s="37"/>
    </row>
    <row r="1942" spans="1:10" x14ac:dyDescent="0.35">
      <c r="A1942" s="32" t="s">
        <v>21</v>
      </c>
      <c r="B1942" s="32">
        <f t="shared" ref="B1942:B1953" si="471">+B1941+1</f>
        <v>2025</v>
      </c>
      <c r="C1942" s="33" t="s">
        <v>46</v>
      </c>
      <c r="D1942" s="34" t="s">
        <v>128</v>
      </c>
      <c r="E1942" s="35" t="str">
        <f t="shared" si="469"/>
        <v>PSDP'!</v>
      </c>
      <c r="F1942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42" s="32" t="s">
        <v>103</v>
      </c>
      <c r="H1942" s="33"/>
      <c r="I1942" s="33"/>
      <c r="J1942" s="37"/>
    </row>
    <row r="1943" spans="1:10" x14ac:dyDescent="0.35">
      <c r="A1943" s="32" t="s">
        <v>21</v>
      </c>
      <c r="B1943" s="32">
        <f t="shared" si="471"/>
        <v>2026</v>
      </c>
      <c r="C1943" s="33" t="s">
        <v>46</v>
      </c>
      <c r="D1943" s="34" t="s">
        <v>128</v>
      </c>
      <c r="E1943" s="35" t="str">
        <f t="shared" si="469"/>
        <v>PSDP'!</v>
      </c>
      <c r="F1943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43" s="32" t="s">
        <v>103</v>
      </c>
      <c r="H1943" s="33"/>
      <c r="I1943" s="33"/>
      <c r="J1943" s="37"/>
    </row>
    <row r="1944" spans="1:10" x14ac:dyDescent="0.35">
      <c r="A1944" s="32" t="s">
        <v>21</v>
      </c>
      <c r="B1944" s="32">
        <f t="shared" si="471"/>
        <v>2027</v>
      </c>
      <c r="C1944" s="33" t="s">
        <v>46</v>
      </c>
      <c r="D1944" s="34" t="s">
        <v>128</v>
      </c>
      <c r="E1944" s="35" t="str">
        <f t="shared" si="469"/>
        <v>PSDP'!</v>
      </c>
      <c r="F1944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44" s="32" t="s">
        <v>103</v>
      </c>
      <c r="H1944" s="33"/>
      <c r="I1944" s="33"/>
      <c r="J1944" s="37"/>
    </row>
    <row r="1945" spans="1:10" x14ac:dyDescent="0.35">
      <c r="A1945" s="32" t="s">
        <v>21</v>
      </c>
      <c r="B1945" s="32">
        <f t="shared" si="471"/>
        <v>2028</v>
      </c>
      <c r="C1945" s="33" t="s">
        <v>46</v>
      </c>
      <c r="D1945" s="34" t="s">
        <v>128</v>
      </c>
      <c r="E1945" s="35" t="str">
        <f t="shared" si="469"/>
        <v>PSDP'!</v>
      </c>
      <c r="F1945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45" s="32" t="s">
        <v>103</v>
      </c>
      <c r="H1945" s="33"/>
      <c r="I1945" s="33"/>
      <c r="J1945" s="37"/>
    </row>
    <row r="1946" spans="1:10" x14ac:dyDescent="0.35">
      <c r="A1946" s="32" t="s">
        <v>21</v>
      </c>
      <c r="B1946" s="32">
        <f t="shared" si="471"/>
        <v>2029</v>
      </c>
      <c r="C1946" s="33" t="s">
        <v>46</v>
      </c>
      <c r="D1946" s="34" t="s">
        <v>128</v>
      </c>
      <c r="E1946" s="35" t="str">
        <f t="shared" si="469"/>
        <v>PSDP'!</v>
      </c>
      <c r="F1946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46" s="32" t="s">
        <v>103</v>
      </c>
      <c r="H1946" s="33"/>
      <c r="I1946" s="33"/>
      <c r="J1946" s="37"/>
    </row>
    <row r="1947" spans="1:10" x14ac:dyDescent="0.35">
      <c r="A1947" s="32" t="s">
        <v>21</v>
      </c>
      <c r="B1947" s="32">
        <f t="shared" si="471"/>
        <v>2030</v>
      </c>
      <c r="C1947" s="33" t="s">
        <v>46</v>
      </c>
      <c r="D1947" s="34" t="s">
        <v>128</v>
      </c>
      <c r="E1947" s="35" t="str">
        <f t="shared" si="469"/>
        <v>PSDP'!</v>
      </c>
      <c r="F1947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47" s="32" t="s">
        <v>103</v>
      </c>
      <c r="H1947" s="33"/>
      <c r="I1947" s="33"/>
      <c r="J1947" s="37"/>
    </row>
    <row r="1948" spans="1:10" x14ac:dyDescent="0.35">
      <c r="A1948" s="32" t="s">
        <v>21</v>
      </c>
      <c r="B1948" s="32">
        <f t="shared" si="471"/>
        <v>2031</v>
      </c>
      <c r="C1948" s="33" t="s">
        <v>46</v>
      </c>
      <c r="D1948" s="34" t="s">
        <v>128</v>
      </c>
      <c r="E1948" s="35" t="str">
        <f t="shared" si="469"/>
        <v>PSDP'!</v>
      </c>
      <c r="F1948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48" s="32" t="s">
        <v>103</v>
      </c>
      <c r="H1948" s="33"/>
      <c r="I1948" s="33"/>
      <c r="J1948" s="37"/>
    </row>
    <row r="1949" spans="1:10" x14ac:dyDescent="0.35">
      <c r="A1949" s="32" t="s">
        <v>21</v>
      </c>
      <c r="B1949" s="32">
        <f t="shared" si="471"/>
        <v>2032</v>
      </c>
      <c r="C1949" s="33" t="s">
        <v>46</v>
      </c>
      <c r="D1949" s="34" t="s">
        <v>128</v>
      </c>
      <c r="E1949" s="35" t="str">
        <f t="shared" si="469"/>
        <v>PSDP'!</v>
      </c>
      <c r="F1949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49" s="32" t="s">
        <v>103</v>
      </c>
      <c r="H1949" s="33"/>
      <c r="I1949" s="33"/>
      <c r="J1949" s="37"/>
    </row>
    <row r="1950" spans="1:10" x14ac:dyDescent="0.35">
      <c r="A1950" s="32" t="s">
        <v>21</v>
      </c>
      <c r="B1950" s="32">
        <f t="shared" si="471"/>
        <v>2033</v>
      </c>
      <c r="C1950" s="33" t="s">
        <v>46</v>
      </c>
      <c r="D1950" s="34" t="s">
        <v>128</v>
      </c>
      <c r="E1950" s="35" t="str">
        <f t="shared" si="469"/>
        <v>PSDP'!</v>
      </c>
      <c r="F1950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50" s="32" t="s">
        <v>103</v>
      </c>
      <c r="H1950" s="33"/>
      <c r="I1950" s="33"/>
      <c r="J1950" s="37"/>
    </row>
    <row r="1951" spans="1:10" x14ac:dyDescent="0.35">
      <c r="A1951" s="32" t="s">
        <v>21</v>
      </c>
      <c r="B1951" s="32">
        <f t="shared" si="471"/>
        <v>2034</v>
      </c>
      <c r="C1951" s="33" t="s">
        <v>46</v>
      </c>
      <c r="D1951" s="34" t="s">
        <v>128</v>
      </c>
      <c r="E1951" s="35" t="str">
        <f t="shared" si="469"/>
        <v>PSDP'!</v>
      </c>
      <c r="F1951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51" s="32" t="s">
        <v>103</v>
      </c>
      <c r="H1951" s="33"/>
      <c r="I1951" s="33"/>
      <c r="J1951" s="37"/>
    </row>
    <row r="1952" spans="1:10" x14ac:dyDescent="0.35">
      <c r="A1952" s="32" t="s">
        <v>21</v>
      </c>
      <c r="B1952" s="32">
        <f t="shared" si="471"/>
        <v>2035</v>
      </c>
      <c r="C1952" s="33" t="s">
        <v>46</v>
      </c>
      <c r="D1952" s="34" t="s">
        <v>128</v>
      </c>
      <c r="E1952" s="35" t="str">
        <f t="shared" si="469"/>
        <v>PSDP'!</v>
      </c>
      <c r="F1952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52" s="32" t="s">
        <v>103</v>
      </c>
      <c r="H1952" s="33"/>
      <c r="I1952" s="33"/>
      <c r="J1952" s="37"/>
    </row>
    <row r="1953" spans="1:10" x14ac:dyDescent="0.35">
      <c r="A1953" s="32" t="s">
        <v>21</v>
      </c>
      <c r="B1953" s="32">
        <f t="shared" si="471"/>
        <v>2036</v>
      </c>
      <c r="C1953" s="33" t="s">
        <v>46</v>
      </c>
      <c r="D1953" s="34" t="s">
        <v>128</v>
      </c>
      <c r="E1953" s="35" t="str">
        <f t="shared" si="469"/>
        <v>PSDP'!</v>
      </c>
      <c r="F1953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53" s="32" t="s">
        <v>103</v>
      </c>
      <c r="H1953" s="33"/>
      <c r="I1953" s="33"/>
      <c r="J1953" s="37"/>
    </row>
    <row r="1954" spans="1:10" x14ac:dyDescent="0.35">
      <c r="A1954" s="32" t="s">
        <v>21</v>
      </c>
      <c r="B1954" s="32">
        <f>+B1953+1</f>
        <v>2037</v>
      </c>
      <c r="C1954" s="33" t="s">
        <v>46</v>
      </c>
      <c r="D1954" s="34" t="s">
        <v>128</v>
      </c>
      <c r="E1954" s="35" t="str">
        <f t="shared" si="469"/>
        <v>PSDP'!</v>
      </c>
      <c r="F1954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54" s="32" t="s">
        <v>103</v>
      </c>
      <c r="H1954" s="33"/>
      <c r="I1954" s="33"/>
      <c r="J1954" s="37"/>
    </row>
    <row r="1955" spans="1:10" x14ac:dyDescent="0.35">
      <c r="A1955" s="32" t="s">
        <v>21</v>
      </c>
      <c r="B1955" s="32">
        <f t="shared" ref="B1955:B1957" si="472">+B1954+1</f>
        <v>2038</v>
      </c>
      <c r="C1955" s="33" t="s">
        <v>46</v>
      </c>
      <c r="D1955" s="34" t="s">
        <v>128</v>
      </c>
      <c r="E1955" s="35" t="str">
        <f t="shared" si="469"/>
        <v>PSDP'!</v>
      </c>
      <c r="F1955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55" s="32" t="s">
        <v>103</v>
      </c>
      <c r="H1955" s="33"/>
      <c r="I1955" s="33"/>
      <c r="J1955" s="37"/>
    </row>
    <row r="1956" spans="1:10" x14ac:dyDescent="0.35">
      <c r="A1956" s="32" t="s">
        <v>21</v>
      </c>
      <c r="B1956" s="32">
        <f t="shared" si="472"/>
        <v>2039</v>
      </c>
      <c r="C1956" s="33" t="s">
        <v>46</v>
      </c>
      <c r="D1956" s="34" t="s">
        <v>128</v>
      </c>
      <c r="E1956" s="35" t="str">
        <f t="shared" si="469"/>
        <v>PSDP'!</v>
      </c>
      <c r="F1956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56" s="32" t="s">
        <v>103</v>
      </c>
      <c r="H1956" s="33"/>
      <c r="I1956" s="33"/>
      <c r="J1956" s="37"/>
    </row>
    <row r="1957" spans="1:10" x14ac:dyDescent="0.35">
      <c r="A1957" s="32" t="s">
        <v>21</v>
      </c>
      <c r="B1957" s="32">
        <f t="shared" si="472"/>
        <v>2040</v>
      </c>
      <c r="C1957" s="33" t="s">
        <v>46</v>
      </c>
      <c r="D1957" s="34" t="s">
        <v>128</v>
      </c>
      <c r="E1957" s="35" t="str">
        <f t="shared" si="469"/>
        <v>PSDP'!</v>
      </c>
      <c r="F1957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57" s="32" t="s">
        <v>103</v>
      </c>
      <c r="H1957" s="33"/>
      <c r="I1957" s="33"/>
      <c r="J1957" s="37"/>
    </row>
    <row r="1958" spans="1:10" x14ac:dyDescent="0.35">
      <c r="A1958" s="32" t="s">
        <v>21</v>
      </c>
      <c r="B1958" s="32">
        <f>+B1957+1</f>
        <v>2041</v>
      </c>
      <c r="C1958" s="33" t="s">
        <v>46</v>
      </c>
      <c r="D1958" s="34" t="s">
        <v>128</v>
      </c>
      <c r="E1958" s="35" t="str">
        <f t="shared" si="469"/>
        <v>PSDP'!</v>
      </c>
      <c r="F1958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58" s="32" t="s">
        <v>103</v>
      </c>
      <c r="H1958" s="33"/>
      <c r="I1958" s="33"/>
      <c r="J1958" s="37"/>
    </row>
    <row r="1959" spans="1:10" x14ac:dyDescent="0.35">
      <c r="A1959" s="32" t="s">
        <v>21</v>
      </c>
      <c r="B1959" s="32">
        <f t="shared" ref="B1959:B1960" si="473">+B1958+1</f>
        <v>2042</v>
      </c>
      <c r="C1959" s="33" t="s">
        <v>46</v>
      </c>
      <c r="D1959" s="34" t="s">
        <v>128</v>
      </c>
      <c r="E1959" s="35" t="str">
        <f t="shared" si="469"/>
        <v>PSDP'!</v>
      </c>
      <c r="F1959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59" s="32" t="s">
        <v>103</v>
      </c>
      <c r="H1959" s="33"/>
      <c r="I1959" s="33"/>
      <c r="J1959" s="37"/>
    </row>
    <row r="1960" spans="1:10" x14ac:dyDescent="0.35">
      <c r="A1960" s="32" t="s">
        <v>21</v>
      </c>
      <c r="B1960" s="32">
        <f t="shared" si="473"/>
        <v>2043</v>
      </c>
      <c r="C1960" s="33" t="s">
        <v>46</v>
      </c>
      <c r="D1960" s="34" t="s">
        <v>128</v>
      </c>
      <c r="E1960" s="35" t="str">
        <f t="shared" si="469"/>
        <v>PSDP'!</v>
      </c>
      <c r="F1960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60" s="32" t="s">
        <v>103</v>
      </c>
      <c r="H1960" s="33"/>
      <c r="I1960" s="33"/>
      <c r="J1960" s="37"/>
    </row>
    <row r="1961" spans="1:10" x14ac:dyDescent="0.35">
      <c r="A1961" s="32" t="s">
        <v>21</v>
      </c>
      <c r="B1961" s="32">
        <f>+B1960+1</f>
        <v>2044</v>
      </c>
      <c r="C1961" s="33" t="s">
        <v>46</v>
      </c>
      <c r="D1961" s="34" t="s">
        <v>128</v>
      </c>
      <c r="E1961" s="35" t="str">
        <f t="shared" ref="E1961:E1976" si="474">_xlfn.CONCAT(A1961,"'!")</f>
        <v>PSDP'!</v>
      </c>
      <c r="F1961" s="34" t="str">
        <f t="shared" ref="F1961:F1976" si="475">_xlfn.CONCAT(D1961:E1961)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61" s="32" t="s">
        <v>103</v>
      </c>
      <c r="H1961" s="33"/>
      <c r="I1961" s="33"/>
      <c r="J1961" s="37"/>
    </row>
    <row r="1962" spans="1:10" x14ac:dyDescent="0.35">
      <c r="A1962" s="32" t="s">
        <v>21</v>
      </c>
      <c r="B1962" s="32">
        <f t="shared" ref="B1962:B1976" si="476">+B1961+1</f>
        <v>2045</v>
      </c>
      <c r="C1962" s="33" t="s">
        <v>46</v>
      </c>
      <c r="D1962" s="34" t="s">
        <v>128</v>
      </c>
      <c r="E1962" s="35" t="str">
        <f t="shared" si="474"/>
        <v>PSDP'!</v>
      </c>
      <c r="F1962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62" s="32" t="s">
        <v>103</v>
      </c>
      <c r="H1962" s="33"/>
      <c r="I1962" s="33"/>
      <c r="J1962" s="37"/>
    </row>
    <row r="1963" spans="1:10" x14ac:dyDescent="0.35">
      <c r="A1963" s="32" t="s">
        <v>21</v>
      </c>
      <c r="B1963" s="32">
        <f t="shared" si="476"/>
        <v>2046</v>
      </c>
      <c r="C1963" s="33" t="s">
        <v>46</v>
      </c>
      <c r="D1963" s="34" t="s">
        <v>128</v>
      </c>
      <c r="E1963" s="35" t="str">
        <f t="shared" si="474"/>
        <v>PSDP'!</v>
      </c>
      <c r="F1963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63" s="32" t="s">
        <v>103</v>
      </c>
      <c r="H1963" s="33"/>
      <c r="I1963" s="33"/>
      <c r="J1963" s="37"/>
    </row>
    <row r="1964" spans="1:10" x14ac:dyDescent="0.35">
      <c r="A1964" s="32" t="s">
        <v>21</v>
      </c>
      <c r="B1964" s="32">
        <f t="shared" si="476"/>
        <v>2047</v>
      </c>
      <c r="C1964" s="33" t="s">
        <v>46</v>
      </c>
      <c r="D1964" s="34" t="s">
        <v>128</v>
      </c>
      <c r="E1964" s="35" t="str">
        <f t="shared" si="474"/>
        <v>PSDP'!</v>
      </c>
      <c r="F1964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64" s="32" t="s">
        <v>103</v>
      </c>
      <c r="H1964" s="33"/>
      <c r="I1964" s="33"/>
      <c r="J1964" s="37"/>
    </row>
    <row r="1965" spans="1:10" x14ac:dyDescent="0.35">
      <c r="A1965" s="32" t="s">
        <v>21</v>
      </c>
      <c r="B1965" s="32">
        <f t="shared" si="476"/>
        <v>2048</v>
      </c>
      <c r="C1965" s="33" t="s">
        <v>46</v>
      </c>
      <c r="D1965" s="34" t="s">
        <v>128</v>
      </c>
      <c r="E1965" s="35" t="str">
        <f t="shared" si="474"/>
        <v>PSDP'!</v>
      </c>
      <c r="F1965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65" s="32" t="s">
        <v>103</v>
      </c>
      <c r="H1965" s="33"/>
      <c r="I1965" s="33"/>
      <c r="J1965" s="37"/>
    </row>
    <row r="1966" spans="1:10" x14ac:dyDescent="0.35">
      <c r="A1966" s="32" t="s">
        <v>21</v>
      </c>
      <c r="B1966" s="32">
        <f t="shared" si="476"/>
        <v>2049</v>
      </c>
      <c r="C1966" s="33" t="s">
        <v>46</v>
      </c>
      <c r="D1966" s="34" t="s">
        <v>128</v>
      </c>
      <c r="E1966" s="35" t="str">
        <f t="shared" si="474"/>
        <v>PSDP'!</v>
      </c>
      <c r="F1966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66" s="32" t="s">
        <v>103</v>
      </c>
      <c r="H1966" s="33"/>
      <c r="I1966" s="33"/>
      <c r="J1966" s="37"/>
    </row>
    <row r="1967" spans="1:10" x14ac:dyDescent="0.35">
      <c r="A1967" s="32" t="s">
        <v>21</v>
      </c>
      <c r="B1967" s="32">
        <f t="shared" si="476"/>
        <v>2050</v>
      </c>
      <c r="C1967" s="33" t="s">
        <v>46</v>
      </c>
      <c r="D1967" s="34" t="s">
        <v>128</v>
      </c>
      <c r="E1967" s="35" t="str">
        <f t="shared" si="474"/>
        <v>PSDP'!</v>
      </c>
      <c r="F1967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67" s="32" t="s">
        <v>103</v>
      </c>
      <c r="H1967" s="33"/>
      <c r="I1967" s="33"/>
      <c r="J1967" s="37"/>
    </row>
    <row r="1968" spans="1:10" x14ac:dyDescent="0.35">
      <c r="A1968" s="32" t="s">
        <v>21</v>
      </c>
      <c r="B1968" s="32">
        <f t="shared" si="476"/>
        <v>2051</v>
      </c>
      <c r="C1968" s="33" t="s">
        <v>46</v>
      </c>
      <c r="D1968" s="34" t="s">
        <v>128</v>
      </c>
      <c r="E1968" s="35" t="str">
        <f t="shared" si="474"/>
        <v>PSDP'!</v>
      </c>
      <c r="F1968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68" s="32" t="s">
        <v>103</v>
      </c>
      <c r="H1968" s="33"/>
      <c r="I1968" s="33"/>
      <c r="J1968" s="37"/>
    </row>
    <row r="1969" spans="1:10" x14ac:dyDescent="0.35">
      <c r="A1969" s="32" t="s">
        <v>21</v>
      </c>
      <c r="B1969" s="32">
        <f t="shared" si="476"/>
        <v>2052</v>
      </c>
      <c r="C1969" s="33" t="s">
        <v>46</v>
      </c>
      <c r="D1969" s="34" t="s">
        <v>128</v>
      </c>
      <c r="E1969" s="35" t="str">
        <f t="shared" si="474"/>
        <v>PSDP'!</v>
      </c>
      <c r="F1969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69" s="32" t="s">
        <v>103</v>
      </c>
      <c r="H1969" s="33"/>
      <c r="I1969" s="33"/>
      <c r="J1969" s="37"/>
    </row>
    <row r="1970" spans="1:10" x14ac:dyDescent="0.35">
      <c r="A1970" s="32" t="s">
        <v>21</v>
      </c>
      <c r="B1970" s="32">
        <f t="shared" si="476"/>
        <v>2053</v>
      </c>
      <c r="C1970" s="33" t="s">
        <v>46</v>
      </c>
      <c r="D1970" s="34" t="s">
        <v>128</v>
      </c>
      <c r="E1970" s="35" t="str">
        <f t="shared" si="474"/>
        <v>PSDP'!</v>
      </c>
      <c r="F1970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70" s="32" t="s">
        <v>103</v>
      </c>
      <c r="H1970" s="33"/>
      <c r="I1970" s="33"/>
      <c r="J1970" s="37"/>
    </row>
    <row r="1971" spans="1:10" x14ac:dyDescent="0.35">
      <c r="A1971" s="32" t="s">
        <v>21</v>
      </c>
      <c r="B1971" s="32">
        <f t="shared" si="476"/>
        <v>2054</v>
      </c>
      <c r="C1971" s="33" t="s">
        <v>46</v>
      </c>
      <c r="D1971" s="34" t="s">
        <v>128</v>
      </c>
      <c r="E1971" s="35" t="str">
        <f t="shared" si="474"/>
        <v>PSDP'!</v>
      </c>
      <c r="F1971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71" s="32" t="s">
        <v>103</v>
      </c>
      <c r="H1971" s="33"/>
      <c r="I1971" s="33"/>
      <c r="J1971" s="37"/>
    </row>
    <row r="1972" spans="1:10" x14ac:dyDescent="0.35">
      <c r="A1972" s="32" t="s">
        <v>21</v>
      </c>
      <c r="B1972" s="32">
        <f t="shared" si="476"/>
        <v>2055</v>
      </c>
      <c r="C1972" s="33" t="s">
        <v>46</v>
      </c>
      <c r="D1972" s="34" t="s">
        <v>128</v>
      </c>
      <c r="E1972" s="35" t="str">
        <f t="shared" si="474"/>
        <v>PSDP'!</v>
      </c>
      <c r="F1972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72" s="32" t="s">
        <v>103</v>
      </c>
      <c r="H1972" s="33"/>
      <c r="I1972" s="33"/>
      <c r="J1972" s="37"/>
    </row>
    <row r="1973" spans="1:10" x14ac:dyDescent="0.35">
      <c r="A1973" s="32" t="s">
        <v>21</v>
      </c>
      <c r="B1973" s="32">
        <f t="shared" si="476"/>
        <v>2056</v>
      </c>
      <c r="C1973" s="33" t="s">
        <v>46</v>
      </c>
      <c r="D1973" s="34" t="s">
        <v>128</v>
      </c>
      <c r="E1973" s="35" t="str">
        <f t="shared" si="474"/>
        <v>PSDP'!</v>
      </c>
      <c r="F1973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73" s="32" t="s">
        <v>103</v>
      </c>
      <c r="H1973" s="33"/>
      <c r="I1973" s="33"/>
      <c r="J1973" s="37"/>
    </row>
    <row r="1974" spans="1:10" x14ac:dyDescent="0.35">
      <c r="A1974" s="32" t="s">
        <v>21</v>
      </c>
      <c r="B1974" s="32">
        <f t="shared" si="476"/>
        <v>2057</v>
      </c>
      <c r="C1974" s="33" t="s">
        <v>46</v>
      </c>
      <c r="D1974" s="34" t="s">
        <v>128</v>
      </c>
      <c r="E1974" s="35" t="str">
        <f t="shared" si="474"/>
        <v>PSDP'!</v>
      </c>
      <c r="F1974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74" s="32" t="s">
        <v>103</v>
      </c>
      <c r="H1974" s="33"/>
      <c r="I1974" s="33"/>
      <c r="J1974" s="37"/>
    </row>
    <row r="1975" spans="1:10" x14ac:dyDescent="0.35">
      <c r="A1975" s="32" t="s">
        <v>21</v>
      </c>
      <c r="B1975" s="32">
        <f t="shared" si="476"/>
        <v>2058</v>
      </c>
      <c r="C1975" s="33" t="s">
        <v>46</v>
      </c>
      <c r="D1975" s="34" t="s">
        <v>128</v>
      </c>
      <c r="E1975" s="35" t="str">
        <f t="shared" si="474"/>
        <v>PSDP'!</v>
      </c>
      <c r="F1975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75" s="32" t="s">
        <v>103</v>
      </c>
      <c r="H1975" s="33"/>
      <c r="I1975" s="33"/>
      <c r="J1975" s="37"/>
    </row>
    <row r="1976" spans="1:10" x14ac:dyDescent="0.35">
      <c r="A1976" s="32" t="s">
        <v>21</v>
      </c>
      <c r="B1976" s="32">
        <f t="shared" si="476"/>
        <v>2059</v>
      </c>
      <c r="C1976" s="33" t="s">
        <v>46</v>
      </c>
      <c r="D1976" s="34" t="s">
        <v>128</v>
      </c>
      <c r="E1976" s="35" t="str">
        <f t="shared" si="474"/>
        <v>PSDP'!</v>
      </c>
      <c r="F1976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76" s="32" t="s">
        <v>103</v>
      </c>
      <c r="H1976" s="33"/>
      <c r="I1976" s="33"/>
      <c r="J1976" s="37"/>
    </row>
    <row r="1977" spans="1:10" x14ac:dyDescent="0.35">
      <c r="A1977" s="32" t="s">
        <v>26</v>
      </c>
      <c r="B1977" s="32"/>
      <c r="C1977" s="33" t="s">
        <v>46</v>
      </c>
      <c r="D1977" s="34"/>
      <c r="E1977" s="35"/>
      <c r="F1977" s="34"/>
      <c r="G1977" s="32"/>
      <c r="H1977" s="33"/>
      <c r="I1977" s="33"/>
      <c r="J1977" s="33"/>
    </row>
    <row r="1978" spans="1:10" x14ac:dyDescent="0.35">
      <c r="A1978" s="32" t="s">
        <v>22</v>
      </c>
      <c r="B1978" s="32">
        <v>2023</v>
      </c>
      <c r="C1978" s="33" t="s">
        <v>46</v>
      </c>
      <c r="D1978" s="34" t="s">
        <v>128</v>
      </c>
      <c r="E1978" s="35" t="str">
        <f t="shared" ref="E1978:E1998" si="477">_xlfn.CONCAT(A1978,"'!")</f>
        <v>PSNP'!</v>
      </c>
      <c r="F1978" s="34" t="str">
        <f t="shared" ref="F1978:F1998" si="478">_xlfn.CONCAT(D1978:E1978)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78" s="32" t="s">
        <v>103</v>
      </c>
      <c r="H1978" s="33"/>
      <c r="I1978" s="33"/>
      <c r="J1978" s="37"/>
    </row>
    <row r="1979" spans="1:10" x14ac:dyDescent="0.35">
      <c r="A1979" s="32" t="s">
        <v>22</v>
      </c>
      <c r="B1979" s="32">
        <f>+B1978+1</f>
        <v>2024</v>
      </c>
      <c r="C1979" s="33" t="s">
        <v>46</v>
      </c>
      <c r="D1979" s="34" t="s">
        <v>128</v>
      </c>
      <c r="E1979" s="35" t="str">
        <f t="shared" si="477"/>
        <v>PSNP'!</v>
      </c>
      <c r="F1979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79" s="32" t="s">
        <v>103</v>
      </c>
      <c r="H1979" s="33"/>
      <c r="I1979" s="33"/>
      <c r="J1979" s="37"/>
    </row>
    <row r="1980" spans="1:10" x14ac:dyDescent="0.35">
      <c r="A1980" s="32" t="s">
        <v>22</v>
      </c>
      <c r="B1980" s="32">
        <f t="shared" ref="B1980:B1991" si="479">+B1979+1</f>
        <v>2025</v>
      </c>
      <c r="C1980" s="33" t="s">
        <v>46</v>
      </c>
      <c r="D1980" s="34" t="s">
        <v>128</v>
      </c>
      <c r="E1980" s="35" t="str">
        <f t="shared" si="477"/>
        <v>PSNP'!</v>
      </c>
      <c r="F1980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80" s="32" t="s">
        <v>103</v>
      </c>
      <c r="H1980" s="33"/>
      <c r="I1980" s="33"/>
      <c r="J1980" s="37"/>
    </row>
    <row r="1981" spans="1:10" x14ac:dyDescent="0.35">
      <c r="A1981" s="32" t="s">
        <v>22</v>
      </c>
      <c r="B1981" s="32">
        <f t="shared" si="479"/>
        <v>2026</v>
      </c>
      <c r="C1981" s="33" t="s">
        <v>46</v>
      </c>
      <c r="D1981" s="34" t="s">
        <v>128</v>
      </c>
      <c r="E1981" s="35" t="str">
        <f t="shared" si="477"/>
        <v>PSNP'!</v>
      </c>
      <c r="F1981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81" s="32" t="s">
        <v>103</v>
      </c>
      <c r="H1981" s="33"/>
      <c r="I1981" s="33"/>
      <c r="J1981" s="37"/>
    </row>
    <row r="1982" spans="1:10" x14ac:dyDescent="0.35">
      <c r="A1982" s="32" t="s">
        <v>22</v>
      </c>
      <c r="B1982" s="32">
        <f t="shared" si="479"/>
        <v>2027</v>
      </c>
      <c r="C1982" s="33" t="s">
        <v>46</v>
      </c>
      <c r="D1982" s="34" t="s">
        <v>128</v>
      </c>
      <c r="E1982" s="35" t="str">
        <f t="shared" si="477"/>
        <v>PSNP'!</v>
      </c>
      <c r="F1982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82" s="32" t="s">
        <v>103</v>
      </c>
      <c r="H1982" s="33"/>
      <c r="I1982" s="33"/>
      <c r="J1982" s="37"/>
    </row>
    <row r="1983" spans="1:10" x14ac:dyDescent="0.35">
      <c r="A1983" s="32" t="s">
        <v>22</v>
      </c>
      <c r="B1983" s="32">
        <f t="shared" si="479"/>
        <v>2028</v>
      </c>
      <c r="C1983" s="33" t="s">
        <v>46</v>
      </c>
      <c r="D1983" s="34" t="s">
        <v>128</v>
      </c>
      <c r="E1983" s="35" t="str">
        <f t="shared" si="477"/>
        <v>PSNP'!</v>
      </c>
      <c r="F1983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83" s="32" t="s">
        <v>103</v>
      </c>
      <c r="H1983" s="33"/>
      <c r="I1983" s="33"/>
      <c r="J1983" s="37"/>
    </row>
    <row r="1984" spans="1:10" x14ac:dyDescent="0.35">
      <c r="A1984" s="32" t="s">
        <v>22</v>
      </c>
      <c r="B1984" s="32">
        <f t="shared" si="479"/>
        <v>2029</v>
      </c>
      <c r="C1984" s="33" t="s">
        <v>46</v>
      </c>
      <c r="D1984" s="34" t="s">
        <v>128</v>
      </c>
      <c r="E1984" s="35" t="str">
        <f t="shared" si="477"/>
        <v>PSNP'!</v>
      </c>
      <c r="F1984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84" s="32" t="s">
        <v>103</v>
      </c>
      <c r="H1984" s="33"/>
      <c r="I1984" s="33"/>
      <c r="J1984" s="37"/>
    </row>
    <row r="1985" spans="1:10" x14ac:dyDescent="0.35">
      <c r="A1985" s="32" t="s">
        <v>22</v>
      </c>
      <c r="B1985" s="32">
        <f t="shared" si="479"/>
        <v>2030</v>
      </c>
      <c r="C1985" s="33" t="s">
        <v>46</v>
      </c>
      <c r="D1985" s="34" t="s">
        <v>128</v>
      </c>
      <c r="E1985" s="35" t="str">
        <f t="shared" si="477"/>
        <v>PSNP'!</v>
      </c>
      <c r="F1985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85" s="32" t="s">
        <v>103</v>
      </c>
      <c r="H1985" s="33"/>
      <c r="I1985" s="33"/>
      <c r="J1985" s="37"/>
    </row>
    <row r="1986" spans="1:10" x14ac:dyDescent="0.35">
      <c r="A1986" s="32" t="s">
        <v>22</v>
      </c>
      <c r="B1986" s="32">
        <f t="shared" si="479"/>
        <v>2031</v>
      </c>
      <c r="C1986" s="33" t="s">
        <v>46</v>
      </c>
      <c r="D1986" s="34" t="s">
        <v>128</v>
      </c>
      <c r="E1986" s="35" t="str">
        <f t="shared" si="477"/>
        <v>PSNP'!</v>
      </c>
      <c r="F1986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86" s="32" t="s">
        <v>103</v>
      </c>
      <c r="H1986" s="33"/>
      <c r="I1986" s="33"/>
      <c r="J1986" s="37"/>
    </row>
    <row r="1987" spans="1:10" x14ac:dyDescent="0.35">
      <c r="A1987" s="32" t="s">
        <v>22</v>
      </c>
      <c r="B1987" s="32">
        <f t="shared" si="479"/>
        <v>2032</v>
      </c>
      <c r="C1987" s="33" t="s">
        <v>46</v>
      </c>
      <c r="D1987" s="34" t="s">
        <v>128</v>
      </c>
      <c r="E1987" s="35" t="str">
        <f t="shared" si="477"/>
        <v>PSNP'!</v>
      </c>
      <c r="F1987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87" s="32" t="s">
        <v>103</v>
      </c>
      <c r="H1987" s="33"/>
      <c r="I1987" s="33"/>
      <c r="J1987" s="37"/>
    </row>
    <row r="1988" spans="1:10" x14ac:dyDescent="0.35">
      <c r="A1988" s="32" t="s">
        <v>22</v>
      </c>
      <c r="B1988" s="32">
        <f t="shared" si="479"/>
        <v>2033</v>
      </c>
      <c r="C1988" s="33" t="s">
        <v>46</v>
      </c>
      <c r="D1988" s="34" t="s">
        <v>128</v>
      </c>
      <c r="E1988" s="35" t="str">
        <f t="shared" si="477"/>
        <v>PSNP'!</v>
      </c>
      <c r="F1988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88" s="32" t="s">
        <v>103</v>
      </c>
      <c r="H1988" s="33"/>
      <c r="I1988" s="33"/>
      <c r="J1988" s="37"/>
    </row>
    <row r="1989" spans="1:10" x14ac:dyDescent="0.35">
      <c r="A1989" s="32" t="s">
        <v>22</v>
      </c>
      <c r="B1989" s="32">
        <f t="shared" si="479"/>
        <v>2034</v>
      </c>
      <c r="C1989" s="33" t="s">
        <v>46</v>
      </c>
      <c r="D1989" s="34" t="s">
        <v>128</v>
      </c>
      <c r="E1989" s="35" t="str">
        <f t="shared" si="477"/>
        <v>PSNP'!</v>
      </c>
      <c r="F1989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89" s="32" t="s">
        <v>103</v>
      </c>
      <c r="H1989" s="33"/>
      <c r="I1989" s="33"/>
      <c r="J1989" s="37"/>
    </row>
    <row r="1990" spans="1:10" x14ac:dyDescent="0.35">
      <c r="A1990" s="32" t="s">
        <v>22</v>
      </c>
      <c r="B1990" s="32">
        <f t="shared" si="479"/>
        <v>2035</v>
      </c>
      <c r="C1990" s="33" t="s">
        <v>46</v>
      </c>
      <c r="D1990" s="34" t="s">
        <v>128</v>
      </c>
      <c r="E1990" s="35" t="str">
        <f t="shared" si="477"/>
        <v>PSNP'!</v>
      </c>
      <c r="F1990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90" s="32" t="s">
        <v>103</v>
      </c>
      <c r="H1990" s="33"/>
      <c r="I1990" s="33"/>
      <c r="J1990" s="37"/>
    </row>
    <row r="1991" spans="1:10" x14ac:dyDescent="0.35">
      <c r="A1991" s="32" t="s">
        <v>22</v>
      </c>
      <c r="B1991" s="32">
        <f t="shared" si="479"/>
        <v>2036</v>
      </c>
      <c r="C1991" s="33" t="s">
        <v>46</v>
      </c>
      <c r="D1991" s="34" t="s">
        <v>128</v>
      </c>
      <c r="E1991" s="35" t="str">
        <f t="shared" si="477"/>
        <v>PSNP'!</v>
      </c>
      <c r="F1991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91" s="32" t="s">
        <v>103</v>
      </c>
      <c r="H1991" s="33"/>
      <c r="I1991" s="33"/>
      <c r="J1991" s="37"/>
    </row>
    <row r="1992" spans="1:10" x14ac:dyDescent="0.35">
      <c r="A1992" s="32" t="s">
        <v>22</v>
      </c>
      <c r="B1992" s="32">
        <f>+B1991+1</f>
        <v>2037</v>
      </c>
      <c r="C1992" s="33" t="s">
        <v>46</v>
      </c>
      <c r="D1992" s="34" t="s">
        <v>128</v>
      </c>
      <c r="E1992" s="35" t="str">
        <f t="shared" si="477"/>
        <v>PSNP'!</v>
      </c>
      <c r="F1992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92" s="32" t="s">
        <v>103</v>
      </c>
      <c r="H1992" s="33"/>
      <c r="I1992" s="33"/>
      <c r="J1992" s="37"/>
    </row>
    <row r="1993" spans="1:10" x14ac:dyDescent="0.35">
      <c r="A1993" s="32" t="s">
        <v>22</v>
      </c>
      <c r="B1993" s="32">
        <f t="shared" ref="B1993:B1995" si="480">+B1992+1</f>
        <v>2038</v>
      </c>
      <c r="C1993" s="33" t="s">
        <v>46</v>
      </c>
      <c r="D1993" s="34" t="s">
        <v>128</v>
      </c>
      <c r="E1993" s="35" t="str">
        <f t="shared" si="477"/>
        <v>PSNP'!</v>
      </c>
      <c r="F1993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93" s="32" t="s">
        <v>103</v>
      </c>
      <c r="H1993" s="33"/>
      <c r="I1993" s="33"/>
      <c r="J1993" s="37"/>
    </row>
    <row r="1994" spans="1:10" x14ac:dyDescent="0.35">
      <c r="A1994" s="32" t="s">
        <v>22</v>
      </c>
      <c r="B1994" s="32">
        <f t="shared" si="480"/>
        <v>2039</v>
      </c>
      <c r="C1994" s="33" t="s">
        <v>46</v>
      </c>
      <c r="D1994" s="34" t="s">
        <v>128</v>
      </c>
      <c r="E1994" s="35" t="str">
        <f t="shared" si="477"/>
        <v>PSNP'!</v>
      </c>
      <c r="F1994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94" s="32" t="s">
        <v>103</v>
      </c>
      <c r="H1994" s="33"/>
      <c r="I1994" s="33"/>
      <c r="J1994" s="37"/>
    </row>
    <row r="1995" spans="1:10" x14ac:dyDescent="0.35">
      <c r="A1995" s="32" t="s">
        <v>22</v>
      </c>
      <c r="B1995" s="32">
        <f t="shared" si="480"/>
        <v>2040</v>
      </c>
      <c r="C1995" s="33" t="s">
        <v>46</v>
      </c>
      <c r="D1995" s="34" t="s">
        <v>128</v>
      </c>
      <c r="E1995" s="35" t="str">
        <f t="shared" si="477"/>
        <v>PSNP'!</v>
      </c>
      <c r="F1995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95" s="32" t="s">
        <v>103</v>
      </c>
      <c r="H1995" s="33"/>
      <c r="I1995" s="33"/>
      <c r="J1995" s="37"/>
    </row>
    <row r="1996" spans="1:10" x14ac:dyDescent="0.35">
      <c r="A1996" s="32" t="s">
        <v>22</v>
      </c>
      <c r="B1996" s="32">
        <f>+B1995+1</f>
        <v>2041</v>
      </c>
      <c r="C1996" s="33" t="s">
        <v>46</v>
      </c>
      <c r="D1996" s="34" t="s">
        <v>128</v>
      </c>
      <c r="E1996" s="35" t="str">
        <f t="shared" si="477"/>
        <v>PSNP'!</v>
      </c>
      <c r="F1996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96" s="32" t="s">
        <v>103</v>
      </c>
      <c r="H1996" s="33"/>
      <c r="I1996" s="33"/>
      <c r="J1996" s="37"/>
    </row>
    <row r="1997" spans="1:10" x14ac:dyDescent="0.35">
      <c r="A1997" s="32" t="s">
        <v>22</v>
      </c>
      <c r="B1997" s="32">
        <f t="shared" ref="B1997:B1998" si="481">+B1996+1</f>
        <v>2042</v>
      </c>
      <c r="C1997" s="33" t="s">
        <v>46</v>
      </c>
      <c r="D1997" s="34" t="s">
        <v>128</v>
      </c>
      <c r="E1997" s="35" t="str">
        <f t="shared" si="477"/>
        <v>PSNP'!</v>
      </c>
      <c r="F1997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97" s="32" t="s">
        <v>103</v>
      </c>
      <c r="H1997" s="33"/>
      <c r="I1997" s="33"/>
      <c r="J1997" s="37"/>
    </row>
    <row r="1998" spans="1:10" x14ac:dyDescent="0.35">
      <c r="A1998" s="32" t="s">
        <v>22</v>
      </c>
      <c r="B1998" s="32">
        <f t="shared" si="481"/>
        <v>2043</v>
      </c>
      <c r="C1998" s="33" t="s">
        <v>46</v>
      </c>
      <c r="D1998" s="34" t="s">
        <v>128</v>
      </c>
      <c r="E1998" s="35" t="str">
        <f t="shared" si="477"/>
        <v>PSNP'!</v>
      </c>
      <c r="F1998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98" s="32" t="s">
        <v>103</v>
      </c>
      <c r="H1998" s="33"/>
      <c r="I1998" s="33"/>
      <c r="J1998" s="37"/>
    </row>
    <row r="1999" spans="1:10" x14ac:dyDescent="0.35">
      <c r="A1999" s="32" t="s">
        <v>22</v>
      </c>
      <c r="B1999" s="32">
        <f>+B1998+1</f>
        <v>2044</v>
      </c>
      <c r="C1999" s="33" t="s">
        <v>46</v>
      </c>
      <c r="D1999" s="34" t="s">
        <v>128</v>
      </c>
      <c r="E1999" s="35" t="str">
        <f t="shared" ref="E1999:E2014" si="482">_xlfn.CONCAT(A1999,"'!")</f>
        <v>PSNP'!</v>
      </c>
      <c r="F1999" s="34" t="str">
        <f t="shared" ref="F1999:F2014" si="483">_xlfn.CONCAT(D1999:E1999)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99" s="32" t="s">
        <v>103</v>
      </c>
      <c r="H1999" s="33"/>
      <c r="I1999" s="33"/>
      <c r="J1999" s="37"/>
    </row>
    <row r="2000" spans="1:10" x14ac:dyDescent="0.35">
      <c r="A2000" s="32" t="s">
        <v>22</v>
      </c>
      <c r="B2000" s="32">
        <f t="shared" ref="B2000:B2014" si="484">+B1999+1</f>
        <v>2045</v>
      </c>
      <c r="C2000" s="33" t="s">
        <v>46</v>
      </c>
      <c r="D2000" s="34" t="s">
        <v>128</v>
      </c>
      <c r="E2000" s="35" t="str">
        <f t="shared" si="482"/>
        <v>PSNP'!</v>
      </c>
      <c r="F2000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00" s="32" t="s">
        <v>103</v>
      </c>
      <c r="H2000" s="33"/>
      <c r="I2000" s="33"/>
      <c r="J2000" s="37"/>
    </row>
    <row r="2001" spans="1:10" x14ac:dyDescent="0.35">
      <c r="A2001" s="32" t="s">
        <v>22</v>
      </c>
      <c r="B2001" s="32">
        <f t="shared" si="484"/>
        <v>2046</v>
      </c>
      <c r="C2001" s="33" t="s">
        <v>46</v>
      </c>
      <c r="D2001" s="34" t="s">
        <v>128</v>
      </c>
      <c r="E2001" s="35" t="str">
        <f t="shared" si="482"/>
        <v>PSNP'!</v>
      </c>
      <c r="F2001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01" s="32" t="s">
        <v>103</v>
      </c>
      <c r="H2001" s="33"/>
      <c r="I2001" s="33"/>
      <c r="J2001" s="37"/>
    </row>
    <row r="2002" spans="1:10" x14ac:dyDescent="0.35">
      <c r="A2002" s="32" t="s">
        <v>22</v>
      </c>
      <c r="B2002" s="32">
        <f t="shared" si="484"/>
        <v>2047</v>
      </c>
      <c r="C2002" s="33" t="s">
        <v>46</v>
      </c>
      <c r="D2002" s="34" t="s">
        <v>128</v>
      </c>
      <c r="E2002" s="35" t="str">
        <f t="shared" si="482"/>
        <v>PSNP'!</v>
      </c>
      <c r="F2002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02" s="32" t="s">
        <v>103</v>
      </c>
      <c r="H2002" s="33"/>
      <c r="I2002" s="33"/>
      <c r="J2002" s="37"/>
    </row>
    <row r="2003" spans="1:10" x14ac:dyDescent="0.35">
      <c r="A2003" s="32" t="s">
        <v>22</v>
      </c>
      <c r="B2003" s="32">
        <f t="shared" si="484"/>
        <v>2048</v>
      </c>
      <c r="C2003" s="33" t="s">
        <v>46</v>
      </c>
      <c r="D2003" s="34" t="s">
        <v>128</v>
      </c>
      <c r="E2003" s="35" t="str">
        <f t="shared" si="482"/>
        <v>PSNP'!</v>
      </c>
      <c r="F2003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03" s="32" t="s">
        <v>103</v>
      </c>
      <c r="H2003" s="33"/>
      <c r="I2003" s="33"/>
      <c r="J2003" s="37"/>
    </row>
    <row r="2004" spans="1:10" x14ac:dyDescent="0.35">
      <c r="A2004" s="32" t="s">
        <v>22</v>
      </c>
      <c r="B2004" s="32">
        <f t="shared" si="484"/>
        <v>2049</v>
      </c>
      <c r="C2004" s="33" t="s">
        <v>46</v>
      </c>
      <c r="D2004" s="34" t="s">
        <v>128</v>
      </c>
      <c r="E2004" s="35" t="str">
        <f t="shared" si="482"/>
        <v>PSNP'!</v>
      </c>
      <c r="F2004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04" s="32" t="s">
        <v>103</v>
      </c>
      <c r="H2004" s="33"/>
      <c r="I2004" s="33"/>
      <c r="J2004" s="37"/>
    </row>
    <row r="2005" spans="1:10" x14ac:dyDescent="0.35">
      <c r="A2005" s="32" t="s">
        <v>22</v>
      </c>
      <c r="B2005" s="32">
        <f t="shared" si="484"/>
        <v>2050</v>
      </c>
      <c r="C2005" s="33" t="s">
        <v>46</v>
      </c>
      <c r="D2005" s="34" t="s">
        <v>128</v>
      </c>
      <c r="E2005" s="35" t="str">
        <f t="shared" si="482"/>
        <v>PSNP'!</v>
      </c>
      <c r="F2005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05" s="32" t="s">
        <v>103</v>
      </c>
      <c r="H2005" s="33"/>
      <c r="I2005" s="33"/>
      <c r="J2005" s="37"/>
    </row>
    <row r="2006" spans="1:10" x14ac:dyDescent="0.35">
      <c r="A2006" s="32" t="s">
        <v>22</v>
      </c>
      <c r="B2006" s="32">
        <f t="shared" si="484"/>
        <v>2051</v>
      </c>
      <c r="C2006" s="33" t="s">
        <v>46</v>
      </c>
      <c r="D2006" s="34" t="s">
        <v>128</v>
      </c>
      <c r="E2006" s="35" t="str">
        <f t="shared" si="482"/>
        <v>PSNP'!</v>
      </c>
      <c r="F2006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06" s="32" t="s">
        <v>103</v>
      </c>
      <c r="H2006" s="33"/>
      <c r="I2006" s="33"/>
      <c r="J2006" s="37"/>
    </row>
    <row r="2007" spans="1:10" x14ac:dyDescent="0.35">
      <c r="A2007" s="32" t="s">
        <v>22</v>
      </c>
      <c r="B2007" s="32">
        <f t="shared" si="484"/>
        <v>2052</v>
      </c>
      <c r="C2007" s="33" t="s">
        <v>46</v>
      </c>
      <c r="D2007" s="34" t="s">
        <v>128</v>
      </c>
      <c r="E2007" s="35" t="str">
        <f t="shared" si="482"/>
        <v>PSNP'!</v>
      </c>
      <c r="F2007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07" s="32" t="s">
        <v>103</v>
      </c>
      <c r="H2007" s="33"/>
      <c r="I2007" s="33"/>
      <c r="J2007" s="37"/>
    </row>
    <row r="2008" spans="1:10" x14ac:dyDescent="0.35">
      <c r="A2008" s="32" t="s">
        <v>22</v>
      </c>
      <c r="B2008" s="32">
        <f t="shared" si="484"/>
        <v>2053</v>
      </c>
      <c r="C2008" s="33" t="s">
        <v>46</v>
      </c>
      <c r="D2008" s="34" t="s">
        <v>128</v>
      </c>
      <c r="E2008" s="35" t="str">
        <f t="shared" si="482"/>
        <v>PSNP'!</v>
      </c>
      <c r="F2008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08" s="32" t="s">
        <v>103</v>
      </c>
      <c r="H2008" s="33"/>
      <c r="I2008" s="33"/>
      <c r="J2008" s="37"/>
    </row>
    <row r="2009" spans="1:10" x14ac:dyDescent="0.35">
      <c r="A2009" s="32" t="s">
        <v>22</v>
      </c>
      <c r="B2009" s="32">
        <f t="shared" si="484"/>
        <v>2054</v>
      </c>
      <c r="C2009" s="33" t="s">
        <v>46</v>
      </c>
      <c r="D2009" s="34" t="s">
        <v>128</v>
      </c>
      <c r="E2009" s="35" t="str">
        <f t="shared" si="482"/>
        <v>PSNP'!</v>
      </c>
      <c r="F2009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09" s="32" t="s">
        <v>103</v>
      </c>
      <c r="H2009" s="33"/>
      <c r="I2009" s="33"/>
      <c r="J2009" s="37"/>
    </row>
    <row r="2010" spans="1:10" x14ac:dyDescent="0.35">
      <c r="A2010" s="32" t="s">
        <v>22</v>
      </c>
      <c r="B2010" s="32">
        <f t="shared" si="484"/>
        <v>2055</v>
      </c>
      <c r="C2010" s="33" t="s">
        <v>46</v>
      </c>
      <c r="D2010" s="34" t="s">
        <v>128</v>
      </c>
      <c r="E2010" s="35" t="str">
        <f t="shared" si="482"/>
        <v>PSNP'!</v>
      </c>
      <c r="F2010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10" s="32" t="s">
        <v>103</v>
      </c>
      <c r="H2010" s="33"/>
      <c r="I2010" s="33"/>
      <c r="J2010" s="37"/>
    </row>
    <row r="2011" spans="1:10" x14ac:dyDescent="0.35">
      <c r="A2011" s="32" t="s">
        <v>22</v>
      </c>
      <c r="B2011" s="32">
        <f t="shared" si="484"/>
        <v>2056</v>
      </c>
      <c r="C2011" s="33" t="s">
        <v>46</v>
      </c>
      <c r="D2011" s="34" t="s">
        <v>128</v>
      </c>
      <c r="E2011" s="35" t="str">
        <f t="shared" si="482"/>
        <v>PSNP'!</v>
      </c>
      <c r="F2011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11" s="32" t="s">
        <v>103</v>
      </c>
      <c r="H2011" s="33"/>
      <c r="I2011" s="33"/>
      <c r="J2011" s="37"/>
    </row>
    <row r="2012" spans="1:10" x14ac:dyDescent="0.35">
      <c r="A2012" s="32" t="s">
        <v>22</v>
      </c>
      <c r="B2012" s="32">
        <f t="shared" si="484"/>
        <v>2057</v>
      </c>
      <c r="C2012" s="33" t="s">
        <v>46</v>
      </c>
      <c r="D2012" s="34" t="s">
        <v>128</v>
      </c>
      <c r="E2012" s="35" t="str">
        <f t="shared" si="482"/>
        <v>PSNP'!</v>
      </c>
      <c r="F2012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12" s="32" t="s">
        <v>103</v>
      </c>
      <c r="H2012" s="33"/>
      <c r="I2012" s="33"/>
      <c r="J2012" s="37"/>
    </row>
    <row r="2013" spans="1:10" x14ac:dyDescent="0.35">
      <c r="A2013" s="32" t="s">
        <v>22</v>
      </c>
      <c r="B2013" s="32">
        <f t="shared" si="484"/>
        <v>2058</v>
      </c>
      <c r="C2013" s="33" t="s">
        <v>46</v>
      </c>
      <c r="D2013" s="34" t="s">
        <v>128</v>
      </c>
      <c r="E2013" s="35" t="str">
        <f t="shared" si="482"/>
        <v>PSNP'!</v>
      </c>
      <c r="F2013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13" s="32" t="s">
        <v>103</v>
      </c>
      <c r="H2013" s="33"/>
      <c r="I2013" s="33"/>
      <c r="J2013" s="37"/>
    </row>
    <row r="2014" spans="1:10" x14ac:dyDescent="0.35">
      <c r="A2014" s="32" t="s">
        <v>22</v>
      </c>
      <c r="B2014" s="32">
        <f t="shared" si="484"/>
        <v>2059</v>
      </c>
      <c r="C2014" s="33" t="s">
        <v>46</v>
      </c>
      <c r="D2014" s="34" t="s">
        <v>128</v>
      </c>
      <c r="E2014" s="35" t="str">
        <f t="shared" si="482"/>
        <v>PSNP'!</v>
      </c>
      <c r="F2014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14" s="32" t="s">
        <v>103</v>
      </c>
      <c r="H2014" s="33"/>
      <c r="I2014" s="33"/>
      <c r="J2014" s="37"/>
    </row>
    <row r="2015" spans="1:10" x14ac:dyDescent="0.35">
      <c r="A2015" s="32" t="s">
        <v>26</v>
      </c>
      <c r="B2015" s="32"/>
      <c r="C2015" s="33" t="s">
        <v>46</v>
      </c>
      <c r="D2015" s="34"/>
      <c r="E2015" s="35"/>
      <c r="F2015" s="34"/>
      <c r="G2015" s="32"/>
      <c r="H2015" s="33"/>
      <c r="I2015" s="33"/>
      <c r="J2015" s="33"/>
    </row>
    <row r="2016" spans="1:10" x14ac:dyDescent="0.35">
      <c r="A2016" s="32" t="s">
        <v>23</v>
      </c>
      <c r="B2016" s="32">
        <v>2023</v>
      </c>
      <c r="C2016" s="33" t="s">
        <v>46</v>
      </c>
      <c r="D2016" s="34" t="s">
        <v>128</v>
      </c>
      <c r="E2016" s="35" t="str">
        <f t="shared" ref="E2016:E2036" si="485">_xlfn.CONCAT(A2016,"'!")</f>
        <v>PSND'!</v>
      </c>
      <c r="F2016" s="34" t="str">
        <f t="shared" ref="F2016:F2036" si="486">_xlfn.CONCAT(D2016:E2016)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16" s="32" t="s">
        <v>103</v>
      </c>
      <c r="H2016" s="33"/>
      <c r="I2016" s="33"/>
      <c r="J2016" s="37"/>
    </row>
    <row r="2017" spans="1:10" x14ac:dyDescent="0.35">
      <c r="A2017" s="32" t="s">
        <v>23</v>
      </c>
      <c r="B2017" s="32">
        <f>+B2016+1</f>
        <v>2024</v>
      </c>
      <c r="C2017" s="33" t="s">
        <v>46</v>
      </c>
      <c r="D2017" s="34" t="s">
        <v>128</v>
      </c>
      <c r="E2017" s="35" t="str">
        <f t="shared" si="485"/>
        <v>PSND'!</v>
      </c>
      <c r="F2017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17" s="32" t="s">
        <v>103</v>
      </c>
      <c r="H2017" s="33"/>
      <c r="I2017" s="33"/>
      <c r="J2017" s="37"/>
    </row>
    <row r="2018" spans="1:10" x14ac:dyDescent="0.35">
      <c r="A2018" s="32" t="s">
        <v>23</v>
      </c>
      <c r="B2018" s="32">
        <f t="shared" ref="B2018:B2029" si="487">+B2017+1</f>
        <v>2025</v>
      </c>
      <c r="C2018" s="33" t="s">
        <v>46</v>
      </c>
      <c r="D2018" s="34" t="s">
        <v>128</v>
      </c>
      <c r="E2018" s="35" t="str">
        <f t="shared" si="485"/>
        <v>PSND'!</v>
      </c>
      <c r="F2018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18" s="32" t="s">
        <v>103</v>
      </c>
      <c r="H2018" s="33"/>
      <c r="I2018" s="33"/>
      <c r="J2018" s="37"/>
    </row>
    <row r="2019" spans="1:10" x14ac:dyDescent="0.35">
      <c r="A2019" s="32" t="s">
        <v>23</v>
      </c>
      <c r="B2019" s="32">
        <f t="shared" si="487"/>
        <v>2026</v>
      </c>
      <c r="C2019" s="33" t="s">
        <v>46</v>
      </c>
      <c r="D2019" s="34" t="s">
        <v>128</v>
      </c>
      <c r="E2019" s="35" t="str">
        <f t="shared" si="485"/>
        <v>PSND'!</v>
      </c>
      <c r="F2019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19" s="32" t="s">
        <v>103</v>
      </c>
      <c r="H2019" s="33"/>
      <c r="I2019" s="33"/>
      <c r="J2019" s="37"/>
    </row>
    <row r="2020" spans="1:10" x14ac:dyDescent="0.35">
      <c r="A2020" s="32" t="s">
        <v>23</v>
      </c>
      <c r="B2020" s="32">
        <f t="shared" si="487"/>
        <v>2027</v>
      </c>
      <c r="C2020" s="33" t="s">
        <v>46</v>
      </c>
      <c r="D2020" s="34" t="s">
        <v>128</v>
      </c>
      <c r="E2020" s="35" t="str">
        <f t="shared" si="485"/>
        <v>PSND'!</v>
      </c>
      <c r="F2020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20" s="32" t="s">
        <v>103</v>
      </c>
      <c r="H2020" s="33"/>
      <c r="I2020" s="33"/>
      <c r="J2020" s="37"/>
    </row>
    <row r="2021" spans="1:10" x14ac:dyDescent="0.35">
      <c r="A2021" s="32" t="s">
        <v>23</v>
      </c>
      <c r="B2021" s="32">
        <f t="shared" si="487"/>
        <v>2028</v>
      </c>
      <c r="C2021" s="33" t="s">
        <v>46</v>
      </c>
      <c r="D2021" s="34" t="s">
        <v>128</v>
      </c>
      <c r="E2021" s="35" t="str">
        <f t="shared" si="485"/>
        <v>PSND'!</v>
      </c>
      <c r="F2021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21" s="32" t="s">
        <v>103</v>
      </c>
      <c r="H2021" s="33"/>
      <c r="I2021" s="33"/>
      <c r="J2021" s="37"/>
    </row>
    <row r="2022" spans="1:10" x14ac:dyDescent="0.35">
      <c r="A2022" s="32" t="s">
        <v>23</v>
      </c>
      <c r="B2022" s="32">
        <f t="shared" si="487"/>
        <v>2029</v>
      </c>
      <c r="C2022" s="33" t="s">
        <v>46</v>
      </c>
      <c r="D2022" s="34" t="s">
        <v>128</v>
      </c>
      <c r="E2022" s="35" t="str">
        <f t="shared" si="485"/>
        <v>PSND'!</v>
      </c>
      <c r="F2022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22" s="32" t="s">
        <v>103</v>
      </c>
      <c r="H2022" s="33"/>
      <c r="I2022" s="33"/>
      <c r="J2022" s="37"/>
    </row>
    <row r="2023" spans="1:10" x14ac:dyDescent="0.35">
      <c r="A2023" s="32" t="s">
        <v>23</v>
      </c>
      <c r="B2023" s="32">
        <f t="shared" si="487"/>
        <v>2030</v>
      </c>
      <c r="C2023" s="33" t="s">
        <v>46</v>
      </c>
      <c r="D2023" s="34" t="s">
        <v>128</v>
      </c>
      <c r="E2023" s="35" t="str">
        <f t="shared" si="485"/>
        <v>PSND'!</v>
      </c>
      <c r="F2023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23" s="32" t="s">
        <v>103</v>
      </c>
      <c r="H2023" s="33"/>
      <c r="I2023" s="33"/>
      <c r="J2023" s="37"/>
    </row>
    <row r="2024" spans="1:10" x14ac:dyDescent="0.35">
      <c r="A2024" s="32" t="s">
        <v>23</v>
      </c>
      <c r="B2024" s="32">
        <f t="shared" si="487"/>
        <v>2031</v>
      </c>
      <c r="C2024" s="33" t="s">
        <v>46</v>
      </c>
      <c r="D2024" s="34" t="s">
        <v>128</v>
      </c>
      <c r="E2024" s="35" t="str">
        <f t="shared" si="485"/>
        <v>PSND'!</v>
      </c>
      <c r="F2024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24" s="32" t="s">
        <v>103</v>
      </c>
      <c r="H2024" s="33"/>
      <c r="I2024" s="33"/>
      <c r="J2024" s="37"/>
    </row>
    <row r="2025" spans="1:10" x14ac:dyDescent="0.35">
      <c r="A2025" s="32" t="s">
        <v>23</v>
      </c>
      <c r="B2025" s="32">
        <f t="shared" si="487"/>
        <v>2032</v>
      </c>
      <c r="C2025" s="33" t="s">
        <v>46</v>
      </c>
      <c r="D2025" s="34" t="s">
        <v>128</v>
      </c>
      <c r="E2025" s="35" t="str">
        <f t="shared" si="485"/>
        <v>PSND'!</v>
      </c>
      <c r="F2025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25" s="32" t="s">
        <v>103</v>
      </c>
      <c r="H2025" s="33"/>
      <c r="I2025" s="33"/>
      <c r="J2025" s="37"/>
    </row>
    <row r="2026" spans="1:10" x14ac:dyDescent="0.35">
      <c r="A2026" s="32" t="s">
        <v>23</v>
      </c>
      <c r="B2026" s="32">
        <f t="shared" si="487"/>
        <v>2033</v>
      </c>
      <c r="C2026" s="33" t="s">
        <v>46</v>
      </c>
      <c r="D2026" s="34" t="s">
        <v>128</v>
      </c>
      <c r="E2026" s="35" t="str">
        <f t="shared" si="485"/>
        <v>PSND'!</v>
      </c>
      <c r="F2026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26" s="32" t="s">
        <v>103</v>
      </c>
      <c r="H2026" s="33"/>
      <c r="I2026" s="33"/>
      <c r="J2026" s="37"/>
    </row>
    <row r="2027" spans="1:10" x14ac:dyDescent="0.35">
      <c r="A2027" s="32" t="s">
        <v>23</v>
      </c>
      <c r="B2027" s="32">
        <f t="shared" si="487"/>
        <v>2034</v>
      </c>
      <c r="C2027" s="33" t="s">
        <v>46</v>
      </c>
      <c r="D2027" s="34" t="s">
        <v>128</v>
      </c>
      <c r="E2027" s="35" t="str">
        <f t="shared" si="485"/>
        <v>PSND'!</v>
      </c>
      <c r="F2027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27" s="32" t="s">
        <v>103</v>
      </c>
      <c r="H2027" s="33"/>
      <c r="I2027" s="33"/>
      <c r="J2027" s="37"/>
    </row>
    <row r="2028" spans="1:10" x14ac:dyDescent="0.35">
      <c r="A2028" s="32" t="s">
        <v>23</v>
      </c>
      <c r="B2028" s="32">
        <f t="shared" si="487"/>
        <v>2035</v>
      </c>
      <c r="C2028" s="33" t="s">
        <v>46</v>
      </c>
      <c r="D2028" s="34" t="s">
        <v>128</v>
      </c>
      <c r="E2028" s="35" t="str">
        <f t="shared" si="485"/>
        <v>PSND'!</v>
      </c>
      <c r="F2028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28" s="32" t="s">
        <v>103</v>
      </c>
      <c r="H2028" s="33"/>
      <c r="I2028" s="33"/>
      <c r="J2028" s="37"/>
    </row>
    <row r="2029" spans="1:10" x14ac:dyDescent="0.35">
      <c r="A2029" s="32" t="s">
        <v>23</v>
      </c>
      <c r="B2029" s="32">
        <f t="shared" si="487"/>
        <v>2036</v>
      </c>
      <c r="C2029" s="33" t="s">
        <v>46</v>
      </c>
      <c r="D2029" s="34" t="s">
        <v>128</v>
      </c>
      <c r="E2029" s="35" t="str">
        <f t="shared" si="485"/>
        <v>PSND'!</v>
      </c>
      <c r="F2029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29" s="32" t="s">
        <v>103</v>
      </c>
      <c r="H2029" s="33"/>
      <c r="I2029" s="33"/>
      <c r="J2029" s="37"/>
    </row>
    <row r="2030" spans="1:10" x14ac:dyDescent="0.35">
      <c r="A2030" s="32" t="s">
        <v>23</v>
      </c>
      <c r="B2030" s="32">
        <f>+B2029+1</f>
        <v>2037</v>
      </c>
      <c r="C2030" s="33" t="s">
        <v>46</v>
      </c>
      <c r="D2030" s="34" t="s">
        <v>128</v>
      </c>
      <c r="E2030" s="35" t="str">
        <f t="shared" si="485"/>
        <v>PSND'!</v>
      </c>
      <c r="F2030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30" s="32" t="s">
        <v>103</v>
      </c>
      <c r="H2030" s="33"/>
      <c r="I2030" s="33"/>
      <c r="J2030" s="37"/>
    </row>
    <row r="2031" spans="1:10" x14ac:dyDescent="0.35">
      <c r="A2031" s="32" t="s">
        <v>23</v>
      </c>
      <c r="B2031" s="32">
        <f t="shared" ref="B2031:B2033" si="488">+B2030+1</f>
        <v>2038</v>
      </c>
      <c r="C2031" s="33" t="s">
        <v>46</v>
      </c>
      <c r="D2031" s="34" t="s">
        <v>128</v>
      </c>
      <c r="E2031" s="35" t="str">
        <f t="shared" si="485"/>
        <v>PSND'!</v>
      </c>
      <c r="F2031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31" s="32" t="s">
        <v>103</v>
      </c>
      <c r="H2031" s="33"/>
      <c r="I2031" s="33"/>
      <c r="J2031" s="37"/>
    </row>
    <row r="2032" spans="1:10" x14ac:dyDescent="0.35">
      <c r="A2032" s="32" t="s">
        <v>23</v>
      </c>
      <c r="B2032" s="32">
        <f t="shared" si="488"/>
        <v>2039</v>
      </c>
      <c r="C2032" s="33" t="s">
        <v>46</v>
      </c>
      <c r="D2032" s="34" t="s">
        <v>128</v>
      </c>
      <c r="E2032" s="35" t="str">
        <f t="shared" si="485"/>
        <v>PSND'!</v>
      </c>
      <c r="F2032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32" s="32" t="s">
        <v>103</v>
      </c>
      <c r="H2032" s="33"/>
      <c r="I2032" s="33"/>
      <c r="J2032" s="37"/>
    </row>
    <row r="2033" spans="1:10" x14ac:dyDescent="0.35">
      <c r="A2033" s="32" t="s">
        <v>23</v>
      </c>
      <c r="B2033" s="32">
        <f t="shared" si="488"/>
        <v>2040</v>
      </c>
      <c r="C2033" s="33" t="s">
        <v>46</v>
      </c>
      <c r="D2033" s="34" t="s">
        <v>128</v>
      </c>
      <c r="E2033" s="35" t="str">
        <f t="shared" si="485"/>
        <v>PSND'!</v>
      </c>
      <c r="F2033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33" s="32" t="s">
        <v>103</v>
      </c>
      <c r="H2033" s="33"/>
      <c r="I2033" s="33"/>
      <c r="J2033" s="37"/>
    </row>
    <row r="2034" spans="1:10" x14ac:dyDescent="0.35">
      <c r="A2034" s="32" t="s">
        <v>23</v>
      </c>
      <c r="B2034" s="32">
        <f>+B2033+1</f>
        <v>2041</v>
      </c>
      <c r="C2034" s="33" t="s">
        <v>46</v>
      </c>
      <c r="D2034" s="34" t="s">
        <v>128</v>
      </c>
      <c r="E2034" s="35" t="str">
        <f t="shared" si="485"/>
        <v>PSND'!</v>
      </c>
      <c r="F2034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34" s="32" t="s">
        <v>103</v>
      </c>
      <c r="H2034" s="33"/>
      <c r="I2034" s="33"/>
      <c r="J2034" s="37"/>
    </row>
    <row r="2035" spans="1:10" x14ac:dyDescent="0.35">
      <c r="A2035" s="32" t="s">
        <v>23</v>
      </c>
      <c r="B2035" s="32">
        <f t="shared" ref="B2035:B2036" si="489">+B2034+1</f>
        <v>2042</v>
      </c>
      <c r="C2035" s="33" t="s">
        <v>46</v>
      </c>
      <c r="D2035" s="34" t="s">
        <v>128</v>
      </c>
      <c r="E2035" s="35" t="str">
        <f t="shared" si="485"/>
        <v>PSND'!</v>
      </c>
      <c r="F2035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35" s="32" t="s">
        <v>103</v>
      </c>
      <c r="H2035" s="33"/>
      <c r="I2035" s="33"/>
      <c r="J2035" s="37"/>
    </row>
    <row r="2036" spans="1:10" x14ac:dyDescent="0.35">
      <c r="A2036" s="32" t="s">
        <v>23</v>
      </c>
      <c r="B2036" s="32">
        <f t="shared" si="489"/>
        <v>2043</v>
      </c>
      <c r="C2036" s="33" t="s">
        <v>46</v>
      </c>
      <c r="D2036" s="34" t="s">
        <v>128</v>
      </c>
      <c r="E2036" s="35" t="str">
        <f t="shared" si="485"/>
        <v>PSND'!</v>
      </c>
      <c r="F2036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36" s="32" t="s">
        <v>103</v>
      </c>
      <c r="H2036" s="33"/>
      <c r="I2036" s="33"/>
      <c r="J2036" s="37"/>
    </row>
    <row r="2037" spans="1:10" x14ac:dyDescent="0.35">
      <c r="A2037" s="32" t="s">
        <v>23</v>
      </c>
      <c r="B2037" s="32">
        <f>+B2036+1</f>
        <v>2044</v>
      </c>
      <c r="C2037" s="33" t="s">
        <v>46</v>
      </c>
      <c r="D2037" s="34" t="s">
        <v>128</v>
      </c>
      <c r="E2037" s="35" t="str">
        <f t="shared" ref="E2037:E2052" si="490">_xlfn.CONCAT(A2037,"'!")</f>
        <v>PSND'!</v>
      </c>
      <c r="F2037" s="34" t="str">
        <f t="shared" ref="F2037:F2052" si="491">_xlfn.CONCAT(D2037:E2037)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37" s="32" t="s">
        <v>103</v>
      </c>
      <c r="H2037" s="33"/>
      <c r="I2037" s="33"/>
      <c r="J2037" s="37"/>
    </row>
    <row r="2038" spans="1:10" x14ac:dyDescent="0.35">
      <c r="A2038" s="32" t="s">
        <v>23</v>
      </c>
      <c r="B2038" s="32">
        <f t="shared" ref="B2038:B2052" si="492">+B2037+1</f>
        <v>2045</v>
      </c>
      <c r="C2038" s="33" t="s">
        <v>46</v>
      </c>
      <c r="D2038" s="34" t="s">
        <v>128</v>
      </c>
      <c r="E2038" s="35" t="str">
        <f t="shared" si="490"/>
        <v>PSND'!</v>
      </c>
      <c r="F2038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38" s="32" t="s">
        <v>103</v>
      </c>
      <c r="H2038" s="33"/>
      <c r="I2038" s="33"/>
      <c r="J2038" s="37"/>
    </row>
    <row r="2039" spans="1:10" x14ac:dyDescent="0.35">
      <c r="A2039" s="32" t="s">
        <v>23</v>
      </c>
      <c r="B2039" s="32">
        <f t="shared" si="492"/>
        <v>2046</v>
      </c>
      <c r="C2039" s="33" t="s">
        <v>46</v>
      </c>
      <c r="D2039" s="34" t="s">
        <v>128</v>
      </c>
      <c r="E2039" s="35" t="str">
        <f t="shared" si="490"/>
        <v>PSND'!</v>
      </c>
      <c r="F2039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39" s="32" t="s">
        <v>103</v>
      </c>
      <c r="H2039" s="33"/>
      <c r="I2039" s="33"/>
      <c r="J2039" s="37"/>
    </row>
    <row r="2040" spans="1:10" x14ac:dyDescent="0.35">
      <c r="A2040" s="32" t="s">
        <v>23</v>
      </c>
      <c r="B2040" s="32">
        <f t="shared" si="492"/>
        <v>2047</v>
      </c>
      <c r="C2040" s="33" t="s">
        <v>46</v>
      </c>
      <c r="D2040" s="34" t="s">
        <v>128</v>
      </c>
      <c r="E2040" s="35" t="str">
        <f t="shared" si="490"/>
        <v>PSND'!</v>
      </c>
      <c r="F2040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40" s="32" t="s">
        <v>103</v>
      </c>
      <c r="H2040" s="33"/>
      <c r="I2040" s="33"/>
      <c r="J2040" s="37"/>
    </row>
    <row r="2041" spans="1:10" x14ac:dyDescent="0.35">
      <c r="A2041" s="32" t="s">
        <v>23</v>
      </c>
      <c r="B2041" s="32">
        <f t="shared" si="492"/>
        <v>2048</v>
      </c>
      <c r="C2041" s="33" t="s">
        <v>46</v>
      </c>
      <c r="D2041" s="34" t="s">
        <v>128</v>
      </c>
      <c r="E2041" s="35" t="str">
        <f t="shared" si="490"/>
        <v>PSND'!</v>
      </c>
      <c r="F2041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41" s="32" t="s">
        <v>103</v>
      </c>
      <c r="H2041" s="33"/>
      <c r="I2041" s="33"/>
      <c r="J2041" s="37"/>
    </row>
    <row r="2042" spans="1:10" x14ac:dyDescent="0.35">
      <c r="A2042" s="32" t="s">
        <v>23</v>
      </c>
      <c r="B2042" s="32">
        <f t="shared" si="492"/>
        <v>2049</v>
      </c>
      <c r="C2042" s="33" t="s">
        <v>46</v>
      </c>
      <c r="D2042" s="34" t="s">
        <v>128</v>
      </c>
      <c r="E2042" s="35" t="str">
        <f t="shared" si="490"/>
        <v>PSND'!</v>
      </c>
      <c r="F2042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42" s="32" t="s">
        <v>103</v>
      </c>
      <c r="H2042" s="33"/>
      <c r="I2042" s="33"/>
      <c r="J2042" s="37"/>
    </row>
    <row r="2043" spans="1:10" x14ac:dyDescent="0.35">
      <c r="A2043" s="32" t="s">
        <v>23</v>
      </c>
      <c r="B2043" s="32">
        <f t="shared" si="492"/>
        <v>2050</v>
      </c>
      <c r="C2043" s="33" t="s">
        <v>46</v>
      </c>
      <c r="D2043" s="34" t="s">
        <v>128</v>
      </c>
      <c r="E2043" s="35" t="str">
        <f t="shared" si="490"/>
        <v>PSND'!</v>
      </c>
      <c r="F2043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43" s="32" t="s">
        <v>103</v>
      </c>
      <c r="H2043" s="33"/>
      <c r="I2043" s="33"/>
      <c r="J2043" s="37"/>
    </row>
    <row r="2044" spans="1:10" x14ac:dyDescent="0.35">
      <c r="A2044" s="32" t="s">
        <v>23</v>
      </c>
      <c r="B2044" s="32">
        <f t="shared" si="492"/>
        <v>2051</v>
      </c>
      <c r="C2044" s="33" t="s">
        <v>46</v>
      </c>
      <c r="D2044" s="34" t="s">
        <v>128</v>
      </c>
      <c r="E2044" s="35" t="str">
        <f t="shared" si="490"/>
        <v>PSND'!</v>
      </c>
      <c r="F2044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44" s="32" t="s">
        <v>103</v>
      </c>
      <c r="H2044" s="33"/>
      <c r="I2044" s="33"/>
      <c r="J2044" s="37"/>
    </row>
    <row r="2045" spans="1:10" x14ac:dyDescent="0.35">
      <c r="A2045" s="32" t="s">
        <v>23</v>
      </c>
      <c r="B2045" s="32">
        <f t="shared" si="492"/>
        <v>2052</v>
      </c>
      <c r="C2045" s="33" t="s">
        <v>46</v>
      </c>
      <c r="D2045" s="34" t="s">
        <v>128</v>
      </c>
      <c r="E2045" s="35" t="str">
        <f t="shared" si="490"/>
        <v>PSND'!</v>
      </c>
      <c r="F2045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45" s="32" t="s">
        <v>103</v>
      </c>
      <c r="H2045" s="33"/>
      <c r="I2045" s="33"/>
      <c r="J2045" s="37"/>
    </row>
    <row r="2046" spans="1:10" x14ac:dyDescent="0.35">
      <c r="A2046" s="32" t="s">
        <v>23</v>
      </c>
      <c r="B2046" s="32">
        <f t="shared" si="492"/>
        <v>2053</v>
      </c>
      <c r="C2046" s="33" t="s">
        <v>46</v>
      </c>
      <c r="D2046" s="34" t="s">
        <v>128</v>
      </c>
      <c r="E2046" s="35" t="str">
        <f t="shared" si="490"/>
        <v>PSND'!</v>
      </c>
      <c r="F2046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46" s="32" t="s">
        <v>103</v>
      </c>
      <c r="H2046" s="33"/>
      <c r="I2046" s="33"/>
      <c r="J2046" s="37"/>
    </row>
    <row r="2047" spans="1:10" x14ac:dyDescent="0.35">
      <c r="A2047" s="32" t="s">
        <v>23</v>
      </c>
      <c r="B2047" s="32">
        <f t="shared" si="492"/>
        <v>2054</v>
      </c>
      <c r="C2047" s="33" t="s">
        <v>46</v>
      </c>
      <c r="D2047" s="34" t="s">
        <v>128</v>
      </c>
      <c r="E2047" s="35" t="str">
        <f t="shared" si="490"/>
        <v>PSND'!</v>
      </c>
      <c r="F2047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47" s="32" t="s">
        <v>103</v>
      </c>
      <c r="H2047" s="33"/>
      <c r="I2047" s="33"/>
      <c r="J2047" s="37"/>
    </row>
    <row r="2048" spans="1:10" x14ac:dyDescent="0.35">
      <c r="A2048" s="32" t="s">
        <v>23</v>
      </c>
      <c r="B2048" s="32">
        <f t="shared" si="492"/>
        <v>2055</v>
      </c>
      <c r="C2048" s="33" t="s">
        <v>46</v>
      </c>
      <c r="D2048" s="34" t="s">
        <v>128</v>
      </c>
      <c r="E2048" s="35" t="str">
        <f t="shared" si="490"/>
        <v>PSND'!</v>
      </c>
      <c r="F2048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48" s="32" t="s">
        <v>103</v>
      </c>
      <c r="H2048" s="33"/>
      <c r="I2048" s="33"/>
      <c r="J2048" s="37"/>
    </row>
    <row r="2049" spans="1:10" x14ac:dyDescent="0.35">
      <c r="A2049" s="32" t="s">
        <v>23</v>
      </c>
      <c r="B2049" s="32">
        <f t="shared" si="492"/>
        <v>2056</v>
      </c>
      <c r="C2049" s="33" t="s">
        <v>46</v>
      </c>
      <c r="D2049" s="34" t="s">
        <v>128</v>
      </c>
      <c r="E2049" s="35" t="str">
        <f t="shared" si="490"/>
        <v>PSND'!</v>
      </c>
      <c r="F2049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49" s="32" t="s">
        <v>103</v>
      </c>
      <c r="H2049" s="33"/>
      <c r="I2049" s="33"/>
      <c r="J2049" s="37"/>
    </row>
    <row r="2050" spans="1:10" x14ac:dyDescent="0.35">
      <c r="A2050" s="32" t="s">
        <v>23</v>
      </c>
      <c r="B2050" s="32">
        <f t="shared" si="492"/>
        <v>2057</v>
      </c>
      <c r="C2050" s="33" t="s">
        <v>46</v>
      </c>
      <c r="D2050" s="34" t="s">
        <v>128</v>
      </c>
      <c r="E2050" s="35" t="str">
        <f t="shared" si="490"/>
        <v>PSND'!</v>
      </c>
      <c r="F2050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50" s="32" t="s">
        <v>103</v>
      </c>
      <c r="H2050" s="33"/>
      <c r="I2050" s="33"/>
      <c r="J2050" s="37"/>
    </row>
    <row r="2051" spans="1:10" x14ac:dyDescent="0.35">
      <c r="A2051" s="32" t="s">
        <v>23</v>
      </c>
      <c r="B2051" s="32">
        <f t="shared" si="492"/>
        <v>2058</v>
      </c>
      <c r="C2051" s="33" t="s">
        <v>46</v>
      </c>
      <c r="D2051" s="34" t="s">
        <v>128</v>
      </c>
      <c r="E2051" s="35" t="str">
        <f t="shared" si="490"/>
        <v>PSND'!</v>
      </c>
      <c r="F2051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51" s="32" t="s">
        <v>103</v>
      </c>
      <c r="H2051" s="33"/>
      <c r="I2051" s="33"/>
      <c r="J2051" s="37"/>
    </row>
    <row r="2052" spans="1:10" x14ac:dyDescent="0.35">
      <c r="A2052" s="32" t="s">
        <v>23</v>
      </c>
      <c r="B2052" s="32">
        <f t="shared" si="492"/>
        <v>2059</v>
      </c>
      <c r="C2052" s="33" t="s">
        <v>46</v>
      </c>
      <c r="D2052" s="34" t="s">
        <v>128</v>
      </c>
      <c r="E2052" s="35" t="str">
        <f t="shared" si="490"/>
        <v>PSND'!</v>
      </c>
      <c r="F2052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52" s="32" t="s">
        <v>103</v>
      </c>
      <c r="H2052" s="33"/>
      <c r="I2052" s="33"/>
      <c r="J2052" s="37"/>
    </row>
    <row r="2053" spans="1:10" x14ac:dyDescent="0.35">
      <c r="A2053" s="32" t="s">
        <v>26</v>
      </c>
      <c r="B2053" s="32"/>
      <c r="C2053" s="33" t="s">
        <v>46</v>
      </c>
      <c r="D2053" s="34"/>
      <c r="E2053" s="35"/>
      <c r="F2053" s="34"/>
      <c r="G2053" s="32"/>
      <c r="H2053" s="33"/>
      <c r="I2053" s="33"/>
      <c r="J2053" s="33"/>
    </row>
    <row r="2054" spans="1:10" x14ac:dyDescent="0.35">
      <c r="A2054" s="32" t="s">
        <v>24</v>
      </c>
      <c r="B2054" s="32">
        <v>2023</v>
      </c>
      <c r="C2054" s="33" t="s">
        <v>46</v>
      </c>
      <c r="D2054" s="34" t="s">
        <v>128</v>
      </c>
      <c r="E2054" s="35" t="str">
        <f t="shared" si="428"/>
        <v>PS'!</v>
      </c>
      <c r="F2054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54" s="32" t="s">
        <v>103</v>
      </c>
      <c r="H2054" s="33">
        <v>12</v>
      </c>
      <c r="I2054" s="33" t="str">
        <f t="shared" ref="I2054:I2074" si="493">_xlfn.CONCAT("='",F2054:H2054)</f>
        <v>='C:\Users\jaime.benazar\Quorum Business Solutions\Ecopetrol Prometeo - Documents\Planning Space Implementation\3. Analysis &amp; Design\Design\FC22\DRR Jaime\Por presentar a ECP\Cantagallo\Cristalina\[CRISTALINA_CF_SEC_New_09-Feb-2024.xlsx]D-PS'!$BX$12</v>
      </c>
      <c r="J2054" s="37" t="s">
        <v>1017</v>
      </c>
    </row>
    <row r="2055" spans="1:10" x14ac:dyDescent="0.35">
      <c r="A2055" s="32" t="s">
        <v>24</v>
      </c>
      <c r="B2055" s="32">
        <f>+B2054+1</f>
        <v>2024</v>
      </c>
      <c r="C2055" s="33" t="s">
        <v>46</v>
      </c>
      <c r="D2055" s="34" t="s">
        <v>128</v>
      </c>
      <c r="E2055" s="35" t="str">
        <f t="shared" si="428"/>
        <v>PS'!</v>
      </c>
      <c r="F2055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55" s="32" t="s">
        <v>103</v>
      </c>
      <c r="H2055" s="33">
        <f t="shared" ref="H2055:H2074" si="494">IF(A2055&lt;&gt;A2054,12,H2054+1)</f>
        <v>13</v>
      </c>
      <c r="I2055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ECP\Cantagallo\Cristalina\[CRISTALINA_CF_SEC_New_09-Feb-2024.xlsx]D-PS'!$BX$13</v>
      </c>
      <c r="J2055" s="37" t="s">
        <v>1018</v>
      </c>
    </row>
    <row r="2056" spans="1:10" x14ac:dyDescent="0.35">
      <c r="A2056" s="32" t="s">
        <v>24</v>
      </c>
      <c r="B2056" s="32">
        <f t="shared" ref="B2056:B2067" si="495">+B2055+1</f>
        <v>2025</v>
      </c>
      <c r="C2056" s="33" t="s">
        <v>46</v>
      </c>
      <c r="D2056" s="34" t="s">
        <v>128</v>
      </c>
      <c r="E2056" s="35" t="str">
        <f t="shared" si="428"/>
        <v>PS'!</v>
      </c>
      <c r="F2056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56" s="32" t="s">
        <v>103</v>
      </c>
      <c r="H2056" s="33">
        <f t="shared" si="494"/>
        <v>14</v>
      </c>
      <c r="I2056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ECP\Cantagallo\Cristalina\[CRISTALINA_CF_SEC_New_09-Feb-2024.xlsx]D-PS'!$BX$14</v>
      </c>
      <c r="J2056" s="37" t="s">
        <v>1019</v>
      </c>
    </row>
    <row r="2057" spans="1:10" x14ac:dyDescent="0.35">
      <c r="A2057" s="32" t="s">
        <v>24</v>
      </c>
      <c r="B2057" s="32">
        <f t="shared" si="495"/>
        <v>2026</v>
      </c>
      <c r="C2057" s="33" t="s">
        <v>46</v>
      </c>
      <c r="D2057" s="34" t="s">
        <v>128</v>
      </c>
      <c r="E2057" s="35" t="str">
        <f t="shared" si="428"/>
        <v>PS'!</v>
      </c>
      <c r="F2057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57" s="32" t="s">
        <v>103</v>
      </c>
      <c r="H2057" s="33">
        <f t="shared" si="494"/>
        <v>15</v>
      </c>
      <c r="I2057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ECP\Cantagallo\Cristalina\[CRISTALINA_CF_SEC_New_09-Feb-2024.xlsx]D-PS'!$BX$15</v>
      </c>
      <c r="J2057" s="37" t="s">
        <v>1020</v>
      </c>
    </row>
    <row r="2058" spans="1:10" x14ac:dyDescent="0.35">
      <c r="A2058" s="32" t="s">
        <v>24</v>
      </c>
      <c r="B2058" s="32">
        <f t="shared" si="495"/>
        <v>2027</v>
      </c>
      <c r="C2058" s="33" t="s">
        <v>46</v>
      </c>
      <c r="D2058" s="34" t="s">
        <v>128</v>
      </c>
      <c r="E2058" s="35" t="str">
        <f t="shared" si="428"/>
        <v>PS'!</v>
      </c>
      <c r="F2058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58" s="32" t="s">
        <v>103</v>
      </c>
      <c r="H2058" s="33">
        <f t="shared" si="494"/>
        <v>16</v>
      </c>
      <c r="I2058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ECP\Cantagallo\Cristalina\[CRISTALINA_CF_SEC_New_09-Feb-2024.xlsx]D-PS'!$BX$16</v>
      </c>
      <c r="J2058" s="37" t="s">
        <v>1021</v>
      </c>
    </row>
    <row r="2059" spans="1:10" x14ac:dyDescent="0.35">
      <c r="A2059" s="32" t="s">
        <v>24</v>
      </c>
      <c r="B2059" s="32">
        <f t="shared" si="495"/>
        <v>2028</v>
      </c>
      <c r="C2059" s="33" t="s">
        <v>46</v>
      </c>
      <c r="D2059" s="34" t="s">
        <v>128</v>
      </c>
      <c r="E2059" s="35" t="str">
        <f t="shared" si="428"/>
        <v>PS'!</v>
      </c>
      <c r="F2059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59" s="32" t="s">
        <v>103</v>
      </c>
      <c r="H2059" s="33">
        <f t="shared" si="494"/>
        <v>17</v>
      </c>
      <c r="I2059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ECP\Cantagallo\Cristalina\[CRISTALINA_CF_SEC_New_09-Feb-2024.xlsx]D-PS'!$BX$17</v>
      </c>
      <c r="J2059" s="37" t="s">
        <v>1022</v>
      </c>
    </row>
    <row r="2060" spans="1:10" x14ac:dyDescent="0.35">
      <c r="A2060" s="32" t="s">
        <v>24</v>
      </c>
      <c r="B2060" s="32">
        <f t="shared" si="495"/>
        <v>2029</v>
      </c>
      <c r="C2060" s="33" t="s">
        <v>46</v>
      </c>
      <c r="D2060" s="34" t="s">
        <v>128</v>
      </c>
      <c r="E2060" s="35" t="str">
        <f t="shared" si="428"/>
        <v>PS'!</v>
      </c>
      <c r="F2060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60" s="32" t="s">
        <v>103</v>
      </c>
      <c r="H2060" s="33">
        <f t="shared" si="494"/>
        <v>18</v>
      </c>
      <c r="I2060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ECP\Cantagallo\Cristalina\[CRISTALINA_CF_SEC_New_09-Feb-2024.xlsx]D-PS'!$BX$18</v>
      </c>
      <c r="J2060" s="37" t="s">
        <v>1023</v>
      </c>
    </row>
    <row r="2061" spans="1:10" x14ac:dyDescent="0.35">
      <c r="A2061" s="32" t="s">
        <v>24</v>
      </c>
      <c r="B2061" s="32">
        <f t="shared" si="495"/>
        <v>2030</v>
      </c>
      <c r="C2061" s="33" t="s">
        <v>46</v>
      </c>
      <c r="D2061" s="34" t="s">
        <v>128</v>
      </c>
      <c r="E2061" s="35" t="str">
        <f t="shared" si="428"/>
        <v>PS'!</v>
      </c>
      <c r="F2061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61" s="32" t="s">
        <v>103</v>
      </c>
      <c r="H2061" s="33">
        <f t="shared" si="494"/>
        <v>19</v>
      </c>
      <c r="I2061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ECP\Cantagallo\Cristalina\[CRISTALINA_CF_SEC_New_09-Feb-2024.xlsx]D-PS'!$BX$19</v>
      </c>
      <c r="J2061" s="37" t="s">
        <v>1024</v>
      </c>
    </row>
    <row r="2062" spans="1:10" x14ac:dyDescent="0.35">
      <c r="A2062" s="32" t="s">
        <v>24</v>
      </c>
      <c r="B2062" s="32">
        <f t="shared" si="495"/>
        <v>2031</v>
      </c>
      <c r="C2062" s="33" t="s">
        <v>46</v>
      </c>
      <c r="D2062" s="34" t="s">
        <v>128</v>
      </c>
      <c r="E2062" s="35" t="str">
        <f t="shared" si="428"/>
        <v>PS'!</v>
      </c>
      <c r="F2062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62" s="32" t="s">
        <v>103</v>
      </c>
      <c r="H2062" s="33">
        <f t="shared" si="494"/>
        <v>20</v>
      </c>
      <c r="I2062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ECP\Cantagallo\Cristalina\[CRISTALINA_CF_SEC_New_09-Feb-2024.xlsx]D-PS'!$BX$20</v>
      </c>
      <c r="J2062" s="37" t="s">
        <v>1025</v>
      </c>
    </row>
    <row r="2063" spans="1:10" x14ac:dyDescent="0.35">
      <c r="A2063" s="32" t="s">
        <v>24</v>
      </c>
      <c r="B2063" s="32">
        <f t="shared" si="495"/>
        <v>2032</v>
      </c>
      <c r="C2063" s="33" t="s">
        <v>46</v>
      </c>
      <c r="D2063" s="34" t="s">
        <v>128</v>
      </c>
      <c r="E2063" s="35" t="str">
        <f t="shared" si="428"/>
        <v>PS'!</v>
      </c>
      <c r="F2063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63" s="32" t="s">
        <v>103</v>
      </c>
      <c r="H2063" s="33">
        <f t="shared" si="494"/>
        <v>21</v>
      </c>
      <c r="I2063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ECP\Cantagallo\Cristalina\[CRISTALINA_CF_SEC_New_09-Feb-2024.xlsx]D-PS'!$BX$21</v>
      </c>
      <c r="J2063" s="37" t="s">
        <v>1026</v>
      </c>
    </row>
    <row r="2064" spans="1:10" x14ac:dyDescent="0.35">
      <c r="A2064" s="32" t="s">
        <v>24</v>
      </c>
      <c r="B2064" s="32">
        <f t="shared" si="495"/>
        <v>2033</v>
      </c>
      <c r="C2064" s="33" t="s">
        <v>46</v>
      </c>
      <c r="D2064" s="34" t="s">
        <v>128</v>
      </c>
      <c r="E2064" s="35" t="str">
        <f t="shared" si="428"/>
        <v>PS'!</v>
      </c>
      <c r="F2064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64" s="32" t="s">
        <v>103</v>
      </c>
      <c r="H2064" s="33">
        <f t="shared" si="494"/>
        <v>22</v>
      </c>
      <c r="I2064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ECP\Cantagallo\Cristalina\[CRISTALINA_CF_SEC_New_09-Feb-2024.xlsx]D-PS'!$BX$22</v>
      </c>
      <c r="J2064" s="37" t="s">
        <v>1027</v>
      </c>
    </row>
    <row r="2065" spans="1:10" x14ac:dyDescent="0.35">
      <c r="A2065" s="32" t="s">
        <v>24</v>
      </c>
      <c r="B2065" s="32">
        <f t="shared" si="495"/>
        <v>2034</v>
      </c>
      <c r="C2065" s="33" t="s">
        <v>46</v>
      </c>
      <c r="D2065" s="34" t="s">
        <v>128</v>
      </c>
      <c r="E2065" s="35" t="str">
        <f t="shared" si="428"/>
        <v>PS'!</v>
      </c>
      <c r="F2065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65" s="32" t="s">
        <v>103</v>
      </c>
      <c r="H2065" s="33">
        <f t="shared" si="494"/>
        <v>23</v>
      </c>
      <c r="I2065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ECP\Cantagallo\Cristalina\[CRISTALINA_CF_SEC_New_09-Feb-2024.xlsx]D-PS'!$BX$23</v>
      </c>
      <c r="J2065" s="37" t="s">
        <v>1028</v>
      </c>
    </row>
    <row r="2066" spans="1:10" x14ac:dyDescent="0.35">
      <c r="A2066" s="32" t="s">
        <v>24</v>
      </c>
      <c r="B2066" s="32">
        <f t="shared" si="495"/>
        <v>2035</v>
      </c>
      <c r="C2066" s="33" t="s">
        <v>46</v>
      </c>
      <c r="D2066" s="34" t="s">
        <v>128</v>
      </c>
      <c r="E2066" s="35" t="str">
        <f t="shared" si="428"/>
        <v>PS'!</v>
      </c>
      <c r="F2066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66" s="32" t="s">
        <v>103</v>
      </c>
      <c r="H2066" s="33">
        <f t="shared" si="494"/>
        <v>24</v>
      </c>
      <c r="I2066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ECP\Cantagallo\Cristalina\[CRISTALINA_CF_SEC_New_09-Feb-2024.xlsx]D-PS'!$BX$24</v>
      </c>
      <c r="J2066" s="37" t="s">
        <v>1029</v>
      </c>
    </row>
    <row r="2067" spans="1:10" x14ac:dyDescent="0.35">
      <c r="A2067" s="32" t="s">
        <v>24</v>
      </c>
      <c r="B2067" s="32">
        <f t="shared" si="495"/>
        <v>2036</v>
      </c>
      <c r="C2067" s="33" t="s">
        <v>46</v>
      </c>
      <c r="D2067" s="34" t="s">
        <v>128</v>
      </c>
      <c r="E2067" s="35" t="str">
        <f t="shared" si="428"/>
        <v>PS'!</v>
      </c>
      <c r="F2067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67" s="32" t="s">
        <v>103</v>
      </c>
      <c r="H2067" s="33">
        <f t="shared" si="494"/>
        <v>25</v>
      </c>
      <c r="I2067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ECP\Cantagallo\Cristalina\[CRISTALINA_CF_SEC_New_09-Feb-2024.xlsx]D-PS'!$BX$25</v>
      </c>
      <c r="J2067" s="37" t="s">
        <v>1030</v>
      </c>
    </row>
    <row r="2068" spans="1:10" x14ac:dyDescent="0.35">
      <c r="A2068" s="32" t="s">
        <v>24</v>
      </c>
      <c r="B2068" s="32">
        <f>+B2067+1</f>
        <v>2037</v>
      </c>
      <c r="C2068" s="33" t="s">
        <v>46</v>
      </c>
      <c r="D2068" s="34" t="s">
        <v>128</v>
      </c>
      <c r="E2068" s="35" t="str">
        <f t="shared" si="428"/>
        <v>PS'!</v>
      </c>
      <c r="F2068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68" s="32" t="s">
        <v>103</v>
      </c>
      <c r="H2068" s="33">
        <f t="shared" si="494"/>
        <v>26</v>
      </c>
      <c r="I2068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ECP\Cantagallo\Cristalina\[CRISTALINA_CF_SEC_New_09-Feb-2024.xlsx]D-PS'!$BX$26</v>
      </c>
      <c r="J2068" s="37" t="s">
        <v>1031</v>
      </c>
    </row>
    <row r="2069" spans="1:10" x14ac:dyDescent="0.35">
      <c r="A2069" s="32" t="s">
        <v>24</v>
      </c>
      <c r="B2069" s="32">
        <f t="shared" ref="B2069:B2071" si="496">+B2068+1</f>
        <v>2038</v>
      </c>
      <c r="C2069" s="33" t="s">
        <v>46</v>
      </c>
      <c r="D2069" s="34" t="s">
        <v>128</v>
      </c>
      <c r="E2069" s="35" t="str">
        <f t="shared" si="428"/>
        <v>PS'!</v>
      </c>
      <c r="F2069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69" s="32" t="s">
        <v>103</v>
      </c>
      <c r="H2069" s="33">
        <f t="shared" si="494"/>
        <v>27</v>
      </c>
      <c r="I2069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ECP\Cantagallo\Cristalina\[CRISTALINA_CF_SEC_New_09-Feb-2024.xlsx]D-PS'!$BX$27</v>
      </c>
      <c r="J2069" s="37" t="s">
        <v>1032</v>
      </c>
    </row>
    <row r="2070" spans="1:10" x14ac:dyDescent="0.35">
      <c r="A2070" s="32" t="s">
        <v>24</v>
      </c>
      <c r="B2070" s="32">
        <f t="shared" si="496"/>
        <v>2039</v>
      </c>
      <c r="C2070" s="33" t="s">
        <v>46</v>
      </c>
      <c r="D2070" s="34" t="s">
        <v>128</v>
      </c>
      <c r="E2070" s="35" t="str">
        <f t="shared" si="428"/>
        <v>PS'!</v>
      </c>
      <c r="F2070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70" s="32" t="s">
        <v>103</v>
      </c>
      <c r="H2070" s="33">
        <f t="shared" si="494"/>
        <v>28</v>
      </c>
      <c r="I2070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ECP\Cantagallo\Cristalina\[CRISTALINA_CF_SEC_New_09-Feb-2024.xlsx]D-PS'!$BX$28</v>
      </c>
      <c r="J2070" s="37" t="s">
        <v>1033</v>
      </c>
    </row>
    <row r="2071" spans="1:10" x14ac:dyDescent="0.35">
      <c r="A2071" s="32" t="s">
        <v>24</v>
      </c>
      <c r="B2071" s="32">
        <f t="shared" si="496"/>
        <v>2040</v>
      </c>
      <c r="C2071" s="33" t="s">
        <v>46</v>
      </c>
      <c r="D2071" s="34" t="s">
        <v>128</v>
      </c>
      <c r="E2071" s="35" t="str">
        <f t="shared" si="428"/>
        <v>PS'!</v>
      </c>
      <c r="F2071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71" s="32" t="s">
        <v>103</v>
      </c>
      <c r="H2071" s="33">
        <f t="shared" si="494"/>
        <v>29</v>
      </c>
      <c r="I2071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ECP\Cantagallo\Cristalina\[CRISTALINA_CF_SEC_New_09-Feb-2024.xlsx]D-PS'!$BX$29</v>
      </c>
      <c r="J2071" s="37" t="s">
        <v>1034</v>
      </c>
    </row>
    <row r="2072" spans="1:10" x14ac:dyDescent="0.35">
      <c r="A2072" s="32" t="s">
        <v>24</v>
      </c>
      <c r="B2072" s="32">
        <f>+B2071+1</f>
        <v>2041</v>
      </c>
      <c r="C2072" s="33" t="s">
        <v>46</v>
      </c>
      <c r="D2072" s="34" t="s">
        <v>128</v>
      </c>
      <c r="E2072" s="35" t="str">
        <f t="shared" si="428"/>
        <v>PS'!</v>
      </c>
      <c r="F2072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72" s="32" t="s">
        <v>103</v>
      </c>
      <c r="H2072" s="33">
        <f t="shared" si="494"/>
        <v>30</v>
      </c>
      <c r="I2072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ECP\Cantagallo\Cristalina\[CRISTALINA_CF_SEC_New_09-Feb-2024.xlsx]D-PS'!$BX$30</v>
      </c>
      <c r="J2072" s="37" t="s">
        <v>1035</v>
      </c>
    </row>
    <row r="2073" spans="1:10" x14ac:dyDescent="0.35">
      <c r="A2073" s="32" t="s">
        <v>24</v>
      </c>
      <c r="B2073" s="32">
        <f t="shared" ref="B2073:B2074" si="497">+B2072+1</f>
        <v>2042</v>
      </c>
      <c r="C2073" s="33" t="s">
        <v>46</v>
      </c>
      <c r="D2073" s="34" t="s">
        <v>128</v>
      </c>
      <c r="E2073" s="35" t="str">
        <f t="shared" si="428"/>
        <v>PS'!</v>
      </c>
      <c r="F2073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73" s="32" t="s">
        <v>103</v>
      </c>
      <c r="H2073" s="33">
        <f t="shared" si="494"/>
        <v>31</v>
      </c>
      <c r="I2073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ECP\Cantagallo\Cristalina\[CRISTALINA_CF_SEC_New_09-Feb-2024.xlsx]D-PS'!$BX$31</v>
      </c>
      <c r="J2073" s="37" t="s">
        <v>1036</v>
      </c>
    </row>
    <row r="2074" spans="1:10" x14ac:dyDescent="0.35">
      <c r="A2074" s="32" t="s">
        <v>24</v>
      </c>
      <c r="B2074" s="32">
        <f t="shared" si="497"/>
        <v>2043</v>
      </c>
      <c r="C2074" s="33" t="s">
        <v>46</v>
      </c>
      <c r="D2074" s="34" t="s">
        <v>128</v>
      </c>
      <c r="E2074" s="35" t="str">
        <f t="shared" si="428"/>
        <v>PS'!</v>
      </c>
      <c r="F2074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74" s="32" t="s">
        <v>103</v>
      </c>
      <c r="H2074" s="33">
        <f t="shared" si="494"/>
        <v>32</v>
      </c>
      <c r="I2074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ECP\Cantagallo\Cristalina\[CRISTALINA_CF_SEC_New_09-Feb-2024.xlsx]D-PS'!$BX$32</v>
      </c>
      <c r="J2074" s="37" t="s">
        <v>1037</v>
      </c>
    </row>
    <row r="2075" spans="1:10" x14ac:dyDescent="0.35">
      <c r="A2075" s="32" t="s">
        <v>24</v>
      </c>
      <c r="B2075" s="32">
        <f>+B2074+1</f>
        <v>2044</v>
      </c>
      <c r="C2075" s="33" t="s">
        <v>46</v>
      </c>
      <c r="D2075" s="34" t="s">
        <v>128</v>
      </c>
      <c r="E2075" s="35" t="str">
        <f t="shared" ref="E2075:E2090" si="498">_xlfn.CONCAT(A2075,"'!")</f>
        <v>PS'!</v>
      </c>
      <c r="F2075" s="34" t="str">
        <f t="shared" ref="F2075:F2090" si="499">_xlfn.CONCAT(D2075:E2075)</f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75" s="32" t="s">
        <v>103</v>
      </c>
      <c r="H2075" s="33">
        <f t="shared" ref="H2075:H2090" si="500">IF(A2075&lt;&gt;A2074,12,H2074+1)</f>
        <v>33</v>
      </c>
      <c r="I2075" s="33" t="str">
        <f t="shared" ref="I2075:I2090" si="501">_xlfn.CONCAT("='",F2075:H2075)</f>
        <v>='C:\Users\jaime.benazar\Quorum Business Solutions\Ecopetrol Prometeo - Documents\Planning Space Implementation\3. Analysis &amp; Design\Design\FC22\DRR Jaime\Por presentar a ECP\Cantagallo\Cristalina\[CRISTALINA_CF_SEC_New_09-Feb-2024.xlsx]D-PS'!$BX$33</v>
      </c>
      <c r="J2075" s="37" t="s">
        <v>1038</v>
      </c>
    </row>
    <row r="2076" spans="1:10" x14ac:dyDescent="0.35">
      <c r="A2076" s="32" t="s">
        <v>24</v>
      </c>
      <c r="B2076" s="32">
        <f t="shared" ref="B2076:B2090" si="502">+B2075+1</f>
        <v>2045</v>
      </c>
      <c r="C2076" s="33" t="s">
        <v>46</v>
      </c>
      <c r="D2076" s="34" t="s">
        <v>128</v>
      </c>
      <c r="E2076" s="35" t="str">
        <f t="shared" si="498"/>
        <v>PS'!</v>
      </c>
      <c r="F2076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76" s="32" t="s">
        <v>103</v>
      </c>
      <c r="H2076" s="33">
        <f t="shared" si="500"/>
        <v>34</v>
      </c>
      <c r="I2076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ECP\Cantagallo\Cristalina\[CRISTALINA_CF_SEC_New_09-Feb-2024.xlsx]D-PS'!$BX$34</v>
      </c>
      <c r="J2076" s="37" t="s">
        <v>1039</v>
      </c>
    </row>
    <row r="2077" spans="1:10" x14ac:dyDescent="0.35">
      <c r="A2077" s="32" t="s">
        <v>24</v>
      </c>
      <c r="B2077" s="32">
        <f t="shared" si="502"/>
        <v>2046</v>
      </c>
      <c r="C2077" s="33" t="s">
        <v>46</v>
      </c>
      <c r="D2077" s="34" t="s">
        <v>128</v>
      </c>
      <c r="E2077" s="35" t="str">
        <f t="shared" si="498"/>
        <v>PS'!</v>
      </c>
      <c r="F2077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77" s="32" t="s">
        <v>103</v>
      </c>
      <c r="H2077" s="33">
        <f t="shared" si="500"/>
        <v>35</v>
      </c>
      <c r="I2077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ECP\Cantagallo\Cristalina\[CRISTALINA_CF_SEC_New_09-Feb-2024.xlsx]D-PS'!$BX$35</v>
      </c>
      <c r="J2077" s="37" t="s">
        <v>1040</v>
      </c>
    </row>
    <row r="2078" spans="1:10" x14ac:dyDescent="0.35">
      <c r="A2078" s="32" t="s">
        <v>24</v>
      </c>
      <c r="B2078" s="32">
        <f t="shared" si="502"/>
        <v>2047</v>
      </c>
      <c r="C2078" s="33" t="s">
        <v>46</v>
      </c>
      <c r="D2078" s="34" t="s">
        <v>128</v>
      </c>
      <c r="E2078" s="35" t="str">
        <f t="shared" si="498"/>
        <v>PS'!</v>
      </c>
      <c r="F2078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78" s="32" t="s">
        <v>103</v>
      </c>
      <c r="H2078" s="33">
        <f t="shared" si="500"/>
        <v>36</v>
      </c>
      <c r="I2078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ECP\Cantagallo\Cristalina\[CRISTALINA_CF_SEC_New_09-Feb-2024.xlsx]D-PS'!$BX$36</v>
      </c>
      <c r="J2078" s="37" t="s">
        <v>1041</v>
      </c>
    </row>
    <row r="2079" spans="1:10" x14ac:dyDescent="0.35">
      <c r="A2079" s="32" t="s">
        <v>24</v>
      </c>
      <c r="B2079" s="32">
        <f t="shared" si="502"/>
        <v>2048</v>
      </c>
      <c r="C2079" s="33" t="s">
        <v>46</v>
      </c>
      <c r="D2079" s="34" t="s">
        <v>128</v>
      </c>
      <c r="E2079" s="35" t="str">
        <f t="shared" si="498"/>
        <v>PS'!</v>
      </c>
      <c r="F2079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79" s="32" t="s">
        <v>103</v>
      </c>
      <c r="H2079" s="33">
        <f t="shared" si="500"/>
        <v>37</v>
      </c>
      <c r="I2079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ECP\Cantagallo\Cristalina\[CRISTALINA_CF_SEC_New_09-Feb-2024.xlsx]D-PS'!$BX$37</v>
      </c>
      <c r="J2079" s="37" t="s">
        <v>1042</v>
      </c>
    </row>
    <row r="2080" spans="1:10" x14ac:dyDescent="0.35">
      <c r="A2080" s="32" t="s">
        <v>24</v>
      </c>
      <c r="B2080" s="32">
        <f t="shared" si="502"/>
        <v>2049</v>
      </c>
      <c r="C2080" s="33" t="s">
        <v>46</v>
      </c>
      <c r="D2080" s="34" t="s">
        <v>128</v>
      </c>
      <c r="E2080" s="35" t="str">
        <f t="shared" si="498"/>
        <v>PS'!</v>
      </c>
      <c r="F2080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80" s="32" t="s">
        <v>103</v>
      </c>
      <c r="H2080" s="33">
        <f t="shared" si="500"/>
        <v>38</v>
      </c>
      <c r="I2080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ECP\Cantagallo\Cristalina\[CRISTALINA_CF_SEC_New_09-Feb-2024.xlsx]D-PS'!$BX$38</v>
      </c>
      <c r="J2080" s="37" t="s">
        <v>1043</v>
      </c>
    </row>
    <row r="2081" spans="1:10" x14ac:dyDescent="0.35">
      <c r="A2081" s="32" t="s">
        <v>24</v>
      </c>
      <c r="B2081" s="32">
        <f t="shared" si="502"/>
        <v>2050</v>
      </c>
      <c r="C2081" s="33" t="s">
        <v>46</v>
      </c>
      <c r="D2081" s="34" t="s">
        <v>128</v>
      </c>
      <c r="E2081" s="35" t="str">
        <f t="shared" si="498"/>
        <v>PS'!</v>
      </c>
      <c r="F2081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81" s="32" t="s">
        <v>103</v>
      </c>
      <c r="H2081" s="33">
        <f t="shared" si="500"/>
        <v>39</v>
      </c>
      <c r="I2081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ECP\Cantagallo\Cristalina\[CRISTALINA_CF_SEC_New_09-Feb-2024.xlsx]D-PS'!$BX$39</v>
      </c>
      <c r="J2081" s="37" t="s">
        <v>1044</v>
      </c>
    </row>
    <row r="2082" spans="1:10" x14ac:dyDescent="0.35">
      <c r="A2082" s="32" t="s">
        <v>24</v>
      </c>
      <c r="B2082" s="32">
        <f t="shared" si="502"/>
        <v>2051</v>
      </c>
      <c r="C2082" s="33" t="s">
        <v>46</v>
      </c>
      <c r="D2082" s="34" t="s">
        <v>128</v>
      </c>
      <c r="E2082" s="35" t="str">
        <f t="shared" si="498"/>
        <v>PS'!</v>
      </c>
      <c r="F2082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82" s="32" t="s">
        <v>103</v>
      </c>
      <c r="H2082" s="33">
        <f t="shared" si="500"/>
        <v>40</v>
      </c>
      <c r="I2082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ECP\Cantagallo\Cristalina\[CRISTALINA_CF_SEC_New_09-Feb-2024.xlsx]D-PS'!$BX$40</v>
      </c>
      <c r="J2082" s="37" t="s">
        <v>1045</v>
      </c>
    </row>
    <row r="2083" spans="1:10" x14ac:dyDescent="0.35">
      <c r="A2083" s="32" t="s">
        <v>24</v>
      </c>
      <c r="B2083" s="32">
        <f t="shared" si="502"/>
        <v>2052</v>
      </c>
      <c r="C2083" s="33" t="s">
        <v>46</v>
      </c>
      <c r="D2083" s="34" t="s">
        <v>128</v>
      </c>
      <c r="E2083" s="35" t="str">
        <f t="shared" si="498"/>
        <v>PS'!</v>
      </c>
      <c r="F2083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83" s="32" t="s">
        <v>103</v>
      </c>
      <c r="H2083" s="33">
        <f t="shared" si="500"/>
        <v>41</v>
      </c>
      <c r="I2083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ECP\Cantagallo\Cristalina\[CRISTALINA_CF_SEC_New_09-Feb-2024.xlsx]D-PS'!$BX$41</v>
      </c>
      <c r="J2083" s="37" t="s">
        <v>1046</v>
      </c>
    </row>
    <row r="2084" spans="1:10" x14ac:dyDescent="0.35">
      <c r="A2084" s="32" t="s">
        <v>24</v>
      </c>
      <c r="B2084" s="32">
        <f t="shared" si="502"/>
        <v>2053</v>
      </c>
      <c r="C2084" s="33" t="s">
        <v>46</v>
      </c>
      <c r="D2084" s="34" t="s">
        <v>128</v>
      </c>
      <c r="E2084" s="35" t="str">
        <f t="shared" si="498"/>
        <v>PS'!</v>
      </c>
      <c r="F2084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84" s="32" t="s">
        <v>103</v>
      </c>
      <c r="H2084" s="33">
        <f t="shared" si="500"/>
        <v>42</v>
      </c>
      <c r="I2084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ECP\Cantagallo\Cristalina\[CRISTALINA_CF_SEC_New_09-Feb-2024.xlsx]D-PS'!$BX$42</v>
      </c>
      <c r="J2084" s="37" t="s">
        <v>1047</v>
      </c>
    </row>
    <row r="2085" spans="1:10" x14ac:dyDescent="0.35">
      <c r="A2085" s="32" t="s">
        <v>24</v>
      </c>
      <c r="B2085" s="32">
        <f t="shared" si="502"/>
        <v>2054</v>
      </c>
      <c r="C2085" s="33" t="s">
        <v>46</v>
      </c>
      <c r="D2085" s="34" t="s">
        <v>128</v>
      </c>
      <c r="E2085" s="35" t="str">
        <f t="shared" si="498"/>
        <v>PS'!</v>
      </c>
      <c r="F2085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85" s="32" t="s">
        <v>103</v>
      </c>
      <c r="H2085" s="33">
        <f t="shared" si="500"/>
        <v>43</v>
      </c>
      <c r="I2085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ECP\Cantagallo\Cristalina\[CRISTALINA_CF_SEC_New_09-Feb-2024.xlsx]D-PS'!$BX$43</v>
      </c>
      <c r="J2085" s="37" t="s">
        <v>1048</v>
      </c>
    </row>
    <row r="2086" spans="1:10" x14ac:dyDescent="0.35">
      <c r="A2086" s="32" t="s">
        <v>24</v>
      </c>
      <c r="B2086" s="32">
        <f t="shared" si="502"/>
        <v>2055</v>
      </c>
      <c r="C2086" s="33" t="s">
        <v>46</v>
      </c>
      <c r="D2086" s="34" t="s">
        <v>128</v>
      </c>
      <c r="E2086" s="35" t="str">
        <f t="shared" si="498"/>
        <v>PS'!</v>
      </c>
      <c r="F2086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86" s="32" t="s">
        <v>103</v>
      </c>
      <c r="H2086" s="33">
        <f t="shared" si="500"/>
        <v>44</v>
      </c>
      <c r="I2086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ECP\Cantagallo\Cristalina\[CRISTALINA_CF_SEC_New_09-Feb-2024.xlsx]D-PS'!$BX$44</v>
      </c>
      <c r="J2086" s="37" t="s">
        <v>1049</v>
      </c>
    </row>
    <row r="2087" spans="1:10" x14ac:dyDescent="0.35">
      <c r="A2087" s="32" t="s">
        <v>24</v>
      </c>
      <c r="B2087" s="32">
        <f t="shared" si="502"/>
        <v>2056</v>
      </c>
      <c r="C2087" s="33" t="s">
        <v>46</v>
      </c>
      <c r="D2087" s="34" t="s">
        <v>128</v>
      </c>
      <c r="E2087" s="35" t="str">
        <f t="shared" si="498"/>
        <v>PS'!</v>
      </c>
      <c r="F2087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87" s="32" t="s">
        <v>103</v>
      </c>
      <c r="H2087" s="33">
        <f t="shared" si="500"/>
        <v>45</v>
      </c>
      <c r="I2087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ECP\Cantagallo\Cristalina\[CRISTALINA_CF_SEC_New_09-Feb-2024.xlsx]D-PS'!$BX$45</v>
      </c>
      <c r="J2087" s="37" t="s">
        <v>1050</v>
      </c>
    </row>
    <row r="2088" spans="1:10" x14ac:dyDescent="0.35">
      <c r="A2088" s="32" t="s">
        <v>24</v>
      </c>
      <c r="B2088" s="32">
        <f t="shared" si="502"/>
        <v>2057</v>
      </c>
      <c r="C2088" s="33" t="s">
        <v>46</v>
      </c>
      <c r="D2088" s="34" t="s">
        <v>128</v>
      </c>
      <c r="E2088" s="35" t="str">
        <f t="shared" si="498"/>
        <v>PS'!</v>
      </c>
      <c r="F2088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88" s="32" t="s">
        <v>103</v>
      </c>
      <c r="H2088" s="33">
        <f t="shared" si="500"/>
        <v>46</v>
      </c>
      <c r="I2088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ECP\Cantagallo\Cristalina\[CRISTALINA_CF_SEC_New_09-Feb-2024.xlsx]D-PS'!$BX$46</v>
      </c>
      <c r="J2088" s="37" t="s">
        <v>1051</v>
      </c>
    </row>
    <row r="2089" spans="1:10" x14ac:dyDescent="0.35">
      <c r="A2089" s="32" t="s">
        <v>24</v>
      </c>
      <c r="B2089" s="32">
        <f t="shared" si="502"/>
        <v>2058</v>
      </c>
      <c r="C2089" s="33" t="s">
        <v>46</v>
      </c>
      <c r="D2089" s="34" t="s">
        <v>128</v>
      </c>
      <c r="E2089" s="35" t="str">
        <f t="shared" si="498"/>
        <v>PS'!</v>
      </c>
      <c r="F2089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89" s="32" t="s">
        <v>103</v>
      </c>
      <c r="H2089" s="33">
        <f t="shared" si="500"/>
        <v>47</v>
      </c>
      <c r="I2089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ECP\Cantagallo\Cristalina\[CRISTALINA_CF_SEC_New_09-Feb-2024.xlsx]D-PS'!$BX$47</v>
      </c>
      <c r="J2089" s="37" t="s">
        <v>1052</v>
      </c>
    </row>
    <row r="2090" spans="1:10" x14ac:dyDescent="0.35">
      <c r="A2090" s="32" t="s">
        <v>24</v>
      </c>
      <c r="B2090" s="32">
        <f t="shared" si="502"/>
        <v>2059</v>
      </c>
      <c r="C2090" s="33" t="s">
        <v>46</v>
      </c>
      <c r="D2090" s="34" t="s">
        <v>128</v>
      </c>
      <c r="E2090" s="35" t="str">
        <f t="shared" si="498"/>
        <v>PS'!</v>
      </c>
      <c r="F2090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90" s="32" t="s">
        <v>103</v>
      </c>
      <c r="H2090" s="33">
        <f t="shared" si="500"/>
        <v>48</v>
      </c>
      <c r="I2090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ECP\Cantagallo\Cristalina\[CRISTALINA_CF_SEC_New_09-Feb-2024.xlsx]D-PS'!$BX$48</v>
      </c>
      <c r="J2090" s="37" t="s">
        <v>1053</v>
      </c>
    </row>
    <row r="2091" spans="1:10" x14ac:dyDescent="0.35">
      <c r="A2091" s="32" t="s">
        <v>26</v>
      </c>
      <c r="B2091" s="32"/>
      <c r="C2091" s="33" t="s">
        <v>46</v>
      </c>
      <c r="D2091" s="34"/>
      <c r="E2091" s="35"/>
      <c r="F2091" s="34"/>
      <c r="G2091" s="32"/>
      <c r="H2091" s="33"/>
      <c r="I2091" s="33"/>
      <c r="J2091" s="33"/>
    </row>
    <row r="2092" spans="1:10" x14ac:dyDescent="0.35">
      <c r="A2092" s="32" t="s">
        <v>14</v>
      </c>
      <c r="B2092" s="32">
        <v>2023</v>
      </c>
      <c r="C2092" s="33" t="s">
        <v>49</v>
      </c>
      <c r="D2092" s="34" t="s">
        <v>128</v>
      </c>
      <c r="E2092" s="35" t="str">
        <f>_xlfn.CONCAT(A2092,"'!")</f>
        <v>PDP'!</v>
      </c>
      <c r="F2092" s="34" t="str">
        <f>_xlfn.CONCAT(D2092:E2092)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092" s="32" t="s">
        <v>121</v>
      </c>
      <c r="H2092" s="33">
        <v>12</v>
      </c>
      <c r="I2092" s="33" t="str">
        <f>_xlfn.CONCAT("='",F2092:H2092)</f>
        <v>='C:\Users\jaime.benazar\Quorum Business Solutions\Ecopetrol Prometeo - Documents\Planning Space Implementation\3. Analysis &amp; Design\Design\FC22\DRR Jaime\Por presentar a ECP\Cantagallo\Cristalina\[CRISTALINA_CF_SEC_New_09-Feb-2024.xlsx]D-PDP'!$DC$12</v>
      </c>
      <c r="J2092" s="37" t="s">
        <v>1054</v>
      </c>
    </row>
    <row r="2093" spans="1:10" x14ac:dyDescent="0.35">
      <c r="A2093" s="32" t="s">
        <v>14</v>
      </c>
      <c r="B2093" s="32">
        <f>+B2092+1</f>
        <v>2024</v>
      </c>
      <c r="C2093" s="33" t="s">
        <v>49</v>
      </c>
      <c r="D2093" s="34" t="s">
        <v>128</v>
      </c>
      <c r="E2093" s="35" t="str">
        <f t="shared" ref="E2093:E2186" si="503">_xlfn.CONCAT(A2093,"'!")</f>
        <v>PDP'!</v>
      </c>
      <c r="F2093" s="34" t="str">
        <f t="shared" ref="F2093:F2186" si="504">_xlfn.CONCAT(D2093:E2093)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093" s="32" t="s">
        <v>121</v>
      </c>
      <c r="H2093" s="33">
        <f t="shared" ref="H2093:H2112" si="505">IF(A2093&lt;&gt;A2092,12,H2092+1)</f>
        <v>13</v>
      </c>
      <c r="I2093" s="33" t="str">
        <f t="shared" ref="I2093:I2186" si="506">_xlfn.CONCAT("='",F2093:H2093)</f>
        <v>='C:\Users\jaime.benazar\Quorum Business Solutions\Ecopetrol Prometeo - Documents\Planning Space Implementation\3. Analysis &amp; Design\Design\FC22\DRR Jaime\Por presentar a ECP\Cantagallo\Cristalina\[CRISTALINA_CF_SEC_New_09-Feb-2024.xlsx]D-PDP'!$DC$13</v>
      </c>
      <c r="J2093" s="37" t="s">
        <v>1055</v>
      </c>
    </row>
    <row r="2094" spans="1:10" x14ac:dyDescent="0.35">
      <c r="A2094" s="32" t="s">
        <v>14</v>
      </c>
      <c r="B2094" s="32">
        <f t="shared" ref="B2094:B2105" si="507">+B2093+1</f>
        <v>2025</v>
      </c>
      <c r="C2094" s="33" t="s">
        <v>49</v>
      </c>
      <c r="D2094" s="34" t="s">
        <v>128</v>
      </c>
      <c r="E2094" s="35" t="str">
        <f t="shared" si="503"/>
        <v>PDP'!</v>
      </c>
      <c r="F2094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094" s="32" t="s">
        <v>121</v>
      </c>
      <c r="H2094" s="33">
        <f t="shared" si="505"/>
        <v>14</v>
      </c>
      <c r="I2094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ECP\Cantagallo\Cristalina\[CRISTALINA_CF_SEC_New_09-Feb-2024.xlsx]D-PDP'!$DC$14</v>
      </c>
      <c r="J2094" s="37" t="s">
        <v>1056</v>
      </c>
    </row>
    <row r="2095" spans="1:10" x14ac:dyDescent="0.35">
      <c r="A2095" s="32" t="s">
        <v>14</v>
      </c>
      <c r="B2095" s="32">
        <f t="shared" si="507"/>
        <v>2026</v>
      </c>
      <c r="C2095" s="33" t="s">
        <v>49</v>
      </c>
      <c r="D2095" s="34" t="s">
        <v>128</v>
      </c>
      <c r="E2095" s="35" t="str">
        <f t="shared" si="503"/>
        <v>PDP'!</v>
      </c>
      <c r="F2095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095" s="32" t="s">
        <v>121</v>
      </c>
      <c r="H2095" s="33">
        <f t="shared" si="505"/>
        <v>15</v>
      </c>
      <c r="I2095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ECP\Cantagallo\Cristalina\[CRISTALINA_CF_SEC_New_09-Feb-2024.xlsx]D-PDP'!$DC$15</v>
      </c>
      <c r="J2095" s="37" t="s">
        <v>1057</v>
      </c>
    </row>
    <row r="2096" spans="1:10" x14ac:dyDescent="0.35">
      <c r="A2096" s="32" t="s">
        <v>14</v>
      </c>
      <c r="B2096" s="32">
        <f t="shared" si="507"/>
        <v>2027</v>
      </c>
      <c r="C2096" s="33" t="s">
        <v>49</v>
      </c>
      <c r="D2096" s="34" t="s">
        <v>128</v>
      </c>
      <c r="E2096" s="35" t="str">
        <f t="shared" si="503"/>
        <v>PDP'!</v>
      </c>
      <c r="F2096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096" s="32" t="s">
        <v>121</v>
      </c>
      <c r="H2096" s="33">
        <f t="shared" si="505"/>
        <v>16</v>
      </c>
      <c r="I2096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ECP\Cantagallo\Cristalina\[CRISTALINA_CF_SEC_New_09-Feb-2024.xlsx]D-PDP'!$DC$16</v>
      </c>
      <c r="J2096" s="37" t="s">
        <v>1058</v>
      </c>
    </row>
    <row r="2097" spans="1:10" x14ac:dyDescent="0.35">
      <c r="A2097" s="32" t="s">
        <v>14</v>
      </c>
      <c r="B2097" s="32">
        <f t="shared" si="507"/>
        <v>2028</v>
      </c>
      <c r="C2097" s="33" t="s">
        <v>49</v>
      </c>
      <c r="D2097" s="34" t="s">
        <v>128</v>
      </c>
      <c r="E2097" s="35" t="str">
        <f t="shared" si="503"/>
        <v>PDP'!</v>
      </c>
      <c r="F2097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097" s="32" t="s">
        <v>121</v>
      </c>
      <c r="H2097" s="33">
        <f t="shared" si="505"/>
        <v>17</v>
      </c>
      <c r="I2097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ECP\Cantagallo\Cristalina\[CRISTALINA_CF_SEC_New_09-Feb-2024.xlsx]D-PDP'!$DC$17</v>
      </c>
      <c r="J2097" s="37" t="s">
        <v>1059</v>
      </c>
    </row>
    <row r="2098" spans="1:10" x14ac:dyDescent="0.35">
      <c r="A2098" s="32" t="s">
        <v>14</v>
      </c>
      <c r="B2098" s="32">
        <f t="shared" si="507"/>
        <v>2029</v>
      </c>
      <c r="C2098" s="33" t="s">
        <v>49</v>
      </c>
      <c r="D2098" s="34" t="s">
        <v>128</v>
      </c>
      <c r="E2098" s="35" t="str">
        <f t="shared" si="503"/>
        <v>PDP'!</v>
      </c>
      <c r="F2098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098" s="32" t="s">
        <v>121</v>
      </c>
      <c r="H2098" s="33">
        <f t="shared" si="505"/>
        <v>18</v>
      </c>
      <c r="I2098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ECP\Cantagallo\Cristalina\[CRISTALINA_CF_SEC_New_09-Feb-2024.xlsx]D-PDP'!$DC$18</v>
      </c>
      <c r="J2098" s="37" t="s">
        <v>1060</v>
      </c>
    </row>
    <row r="2099" spans="1:10" x14ac:dyDescent="0.35">
      <c r="A2099" s="32" t="s">
        <v>14</v>
      </c>
      <c r="B2099" s="32">
        <f t="shared" si="507"/>
        <v>2030</v>
      </c>
      <c r="C2099" s="33" t="s">
        <v>49</v>
      </c>
      <c r="D2099" s="34" t="s">
        <v>128</v>
      </c>
      <c r="E2099" s="35" t="str">
        <f t="shared" si="503"/>
        <v>PDP'!</v>
      </c>
      <c r="F2099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099" s="32" t="s">
        <v>121</v>
      </c>
      <c r="H2099" s="33">
        <f t="shared" si="505"/>
        <v>19</v>
      </c>
      <c r="I2099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ECP\Cantagallo\Cristalina\[CRISTALINA_CF_SEC_New_09-Feb-2024.xlsx]D-PDP'!$DC$19</v>
      </c>
      <c r="J2099" s="37" t="s">
        <v>1061</v>
      </c>
    </row>
    <row r="2100" spans="1:10" x14ac:dyDescent="0.35">
      <c r="A2100" s="32" t="s">
        <v>14</v>
      </c>
      <c r="B2100" s="32">
        <f t="shared" si="507"/>
        <v>2031</v>
      </c>
      <c r="C2100" s="33" t="s">
        <v>49</v>
      </c>
      <c r="D2100" s="34" t="s">
        <v>128</v>
      </c>
      <c r="E2100" s="35" t="str">
        <f t="shared" si="503"/>
        <v>PDP'!</v>
      </c>
      <c r="F2100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00" s="32" t="s">
        <v>121</v>
      </c>
      <c r="H2100" s="33">
        <f t="shared" si="505"/>
        <v>20</v>
      </c>
      <c r="I2100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ECP\Cantagallo\Cristalina\[CRISTALINA_CF_SEC_New_09-Feb-2024.xlsx]D-PDP'!$DC$20</v>
      </c>
      <c r="J2100" s="37" t="s">
        <v>1062</v>
      </c>
    </row>
    <row r="2101" spans="1:10" x14ac:dyDescent="0.35">
      <c r="A2101" s="32" t="s">
        <v>14</v>
      </c>
      <c r="B2101" s="32">
        <f t="shared" si="507"/>
        <v>2032</v>
      </c>
      <c r="C2101" s="33" t="s">
        <v>49</v>
      </c>
      <c r="D2101" s="34" t="s">
        <v>128</v>
      </c>
      <c r="E2101" s="35" t="str">
        <f t="shared" si="503"/>
        <v>PDP'!</v>
      </c>
      <c r="F2101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01" s="32" t="s">
        <v>121</v>
      </c>
      <c r="H2101" s="33">
        <f t="shared" si="505"/>
        <v>21</v>
      </c>
      <c r="I2101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ECP\Cantagallo\Cristalina\[CRISTALINA_CF_SEC_New_09-Feb-2024.xlsx]D-PDP'!$DC$21</v>
      </c>
      <c r="J2101" s="37" t="s">
        <v>1063</v>
      </c>
    </row>
    <row r="2102" spans="1:10" x14ac:dyDescent="0.35">
      <c r="A2102" s="32" t="s">
        <v>14</v>
      </c>
      <c r="B2102" s="32">
        <f t="shared" si="507"/>
        <v>2033</v>
      </c>
      <c r="C2102" s="33" t="s">
        <v>49</v>
      </c>
      <c r="D2102" s="34" t="s">
        <v>128</v>
      </c>
      <c r="E2102" s="35" t="str">
        <f t="shared" si="503"/>
        <v>PDP'!</v>
      </c>
      <c r="F2102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02" s="32" t="s">
        <v>121</v>
      </c>
      <c r="H2102" s="33">
        <f t="shared" si="505"/>
        <v>22</v>
      </c>
      <c r="I2102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ECP\Cantagallo\Cristalina\[CRISTALINA_CF_SEC_New_09-Feb-2024.xlsx]D-PDP'!$DC$22</v>
      </c>
      <c r="J2102" s="37" t="s">
        <v>1064</v>
      </c>
    </row>
    <row r="2103" spans="1:10" x14ac:dyDescent="0.35">
      <c r="A2103" s="32" t="s">
        <v>14</v>
      </c>
      <c r="B2103" s="32">
        <f t="shared" si="507"/>
        <v>2034</v>
      </c>
      <c r="C2103" s="33" t="s">
        <v>49</v>
      </c>
      <c r="D2103" s="34" t="s">
        <v>128</v>
      </c>
      <c r="E2103" s="35" t="str">
        <f t="shared" si="503"/>
        <v>PDP'!</v>
      </c>
      <c r="F2103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03" s="32" t="s">
        <v>121</v>
      </c>
      <c r="H2103" s="33">
        <f t="shared" si="505"/>
        <v>23</v>
      </c>
      <c r="I2103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ECP\Cantagallo\Cristalina\[CRISTALINA_CF_SEC_New_09-Feb-2024.xlsx]D-PDP'!$DC$23</v>
      </c>
      <c r="J2103" s="37" t="s">
        <v>1065</v>
      </c>
    </row>
    <row r="2104" spans="1:10" x14ac:dyDescent="0.35">
      <c r="A2104" s="32" t="s">
        <v>14</v>
      </c>
      <c r="B2104" s="32">
        <f t="shared" si="507"/>
        <v>2035</v>
      </c>
      <c r="C2104" s="33" t="s">
        <v>49</v>
      </c>
      <c r="D2104" s="34" t="s">
        <v>128</v>
      </c>
      <c r="E2104" s="35" t="str">
        <f t="shared" si="503"/>
        <v>PDP'!</v>
      </c>
      <c r="F2104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04" s="32" t="s">
        <v>121</v>
      </c>
      <c r="H2104" s="33">
        <f t="shared" si="505"/>
        <v>24</v>
      </c>
      <c r="I2104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ECP\Cantagallo\Cristalina\[CRISTALINA_CF_SEC_New_09-Feb-2024.xlsx]D-PDP'!$DC$24</v>
      </c>
      <c r="J2104" s="37" t="s">
        <v>1066</v>
      </c>
    </row>
    <row r="2105" spans="1:10" x14ac:dyDescent="0.35">
      <c r="A2105" s="32" t="s">
        <v>14</v>
      </c>
      <c r="B2105" s="32">
        <f t="shared" si="507"/>
        <v>2036</v>
      </c>
      <c r="C2105" s="33" t="s">
        <v>49</v>
      </c>
      <c r="D2105" s="34" t="s">
        <v>128</v>
      </c>
      <c r="E2105" s="35" t="str">
        <f t="shared" si="503"/>
        <v>PDP'!</v>
      </c>
      <c r="F2105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05" s="32" t="s">
        <v>121</v>
      </c>
      <c r="H2105" s="33">
        <f t="shared" si="505"/>
        <v>25</v>
      </c>
      <c r="I2105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ECP\Cantagallo\Cristalina\[CRISTALINA_CF_SEC_New_09-Feb-2024.xlsx]D-PDP'!$DC$25</v>
      </c>
      <c r="J2105" s="37" t="s">
        <v>1067</v>
      </c>
    </row>
    <row r="2106" spans="1:10" x14ac:dyDescent="0.35">
      <c r="A2106" s="32" t="s">
        <v>14</v>
      </c>
      <c r="B2106" s="32">
        <f>+B2105+1</f>
        <v>2037</v>
      </c>
      <c r="C2106" s="33" t="s">
        <v>49</v>
      </c>
      <c r="D2106" s="34" t="s">
        <v>128</v>
      </c>
      <c r="E2106" s="35" t="str">
        <f t="shared" si="503"/>
        <v>PDP'!</v>
      </c>
      <c r="F2106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06" s="32" t="s">
        <v>121</v>
      </c>
      <c r="H2106" s="33">
        <f t="shared" si="505"/>
        <v>26</v>
      </c>
      <c r="I2106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ECP\Cantagallo\Cristalina\[CRISTALINA_CF_SEC_New_09-Feb-2024.xlsx]D-PDP'!$DC$26</v>
      </c>
      <c r="J2106" s="37" t="s">
        <v>1068</v>
      </c>
    </row>
    <row r="2107" spans="1:10" x14ac:dyDescent="0.35">
      <c r="A2107" s="32" t="s">
        <v>14</v>
      </c>
      <c r="B2107" s="32">
        <f t="shared" ref="B2107:B2109" si="508">+B2106+1</f>
        <v>2038</v>
      </c>
      <c r="C2107" s="33" t="s">
        <v>49</v>
      </c>
      <c r="D2107" s="34" t="s">
        <v>128</v>
      </c>
      <c r="E2107" s="35" t="str">
        <f t="shared" si="503"/>
        <v>PDP'!</v>
      </c>
      <c r="F2107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07" s="32" t="s">
        <v>121</v>
      </c>
      <c r="H2107" s="33">
        <f t="shared" si="505"/>
        <v>27</v>
      </c>
      <c r="I2107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ECP\Cantagallo\Cristalina\[CRISTALINA_CF_SEC_New_09-Feb-2024.xlsx]D-PDP'!$DC$27</v>
      </c>
      <c r="J2107" s="37" t="s">
        <v>1069</v>
      </c>
    </row>
    <row r="2108" spans="1:10" x14ac:dyDescent="0.35">
      <c r="A2108" s="32" t="s">
        <v>14</v>
      </c>
      <c r="B2108" s="32">
        <f t="shared" si="508"/>
        <v>2039</v>
      </c>
      <c r="C2108" s="33" t="s">
        <v>49</v>
      </c>
      <c r="D2108" s="34" t="s">
        <v>128</v>
      </c>
      <c r="E2108" s="35" t="str">
        <f t="shared" si="503"/>
        <v>PDP'!</v>
      </c>
      <c r="F2108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08" s="32" t="s">
        <v>121</v>
      </c>
      <c r="H2108" s="33">
        <f t="shared" si="505"/>
        <v>28</v>
      </c>
      <c r="I2108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ECP\Cantagallo\Cristalina\[CRISTALINA_CF_SEC_New_09-Feb-2024.xlsx]D-PDP'!$DC$28</v>
      </c>
      <c r="J2108" s="37" t="s">
        <v>1070</v>
      </c>
    </row>
    <row r="2109" spans="1:10" x14ac:dyDescent="0.35">
      <c r="A2109" s="32" t="s">
        <v>14</v>
      </c>
      <c r="B2109" s="32">
        <f t="shared" si="508"/>
        <v>2040</v>
      </c>
      <c r="C2109" s="33" t="s">
        <v>49</v>
      </c>
      <c r="D2109" s="34" t="s">
        <v>128</v>
      </c>
      <c r="E2109" s="35" t="str">
        <f t="shared" si="503"/>
        <v>PDP'!</v>
      </c>
      <c r="F2109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09" s="32" t="s">
        <v>121</v>
      </c>
      <c r="H2109" s="33">
        <f t="shared" si="505"/>
        <v>29</v>
      </c>
      <c r="I2109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ECP\Cantagallo\Cristalina\[CRISTALINA_CF_SEC_New_09-Feb-2024.xlsx]D-PDP'!$DC$29</v>
      </c>
      <c r="J2109" s="37" t="s">
        <v>1071</v>
      </c>
    </row>
    <row r="2110" spans="1:10" x14ac:dyDescent="0.35">
      <c r="A2110" s="32" t="s">
        <v>14</v>
      </c>
      <c r="B2110" s="32">
        <f>+B2109+1</f>
        <v>2041</v>
      </c>
      <c r="C2110" s="33" t="s">
        <v>49</v>
      </c>
      <c r="D2110" s="34" t="s">
        <v>128</v>
      </c>
      <c r="E2110" s="35" t="str">
        <f t="shared" si="503"/>
        <v>PDP'!</v>
      </c>
      <c r="F2110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10" s="32" t="s">
        <v>121</v>
      </c>
      <c r="H2110" s="33">
        <f t="shared" si="505"/>
        <v>30</v>
      </c>
      <c r="I2110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ECP\Cantagallo\Cristalina\[CRISTALINA_CF_SEC_New_09-Feb-2024.xlsx]D-PDP'!$DC$30</v>
      </c>
      <c r="J2110" s="37" t="s">
        <v>1072</v>
      </c>
    </row>
    <row r="2111" spans="1:10" x14ac:dyDescent="0.35">
      <c r="A2111" s="32" t="s">
        <v>14</v>
      </c>
      <c r="B2111" s="32">
        <f t="shared" ref="B2111:B2112" si="509">+B2110+1</f>
        <v>2042</v>
      </c>
      <c r="C2111" s="33" t="s">
        <v>49</v>
      </c>
      <c r="D2111" s="34" t="s">
        <v>128</v>
      </c>
      <c r="E2111" s="35" t="str">
        <f t="shared" si="503"/>
        <v>PDP'!</v>
      </c>
      <c r="F2111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11" s="32" t="s">
        <v>121</v>
      </c>
      <c r="H2111" s="33">
        <f t="shared" si="505"/>
        <v>31</v>
      </c>
      <c r="I2111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ECP\Cantagallo\Cristalina\[CRISTALINA_CF_SEC_New_09-Feb-2024.xlsx]D-PDP'!$DC$31</v>
      </c>
      <c r="J2111" s="37" t="s">
        <v>1073</v>
      </c>
    </row>
    <row r="2112" spans="1:10" x14ac:dyDescent="0.35">
      <c r="A2112" s="32" t="s">
        <v>14</v>
      </c>
      <c r="B2112" s="32">
        <f t="shared" si="509"/>
        <v>2043</v>
      </c>
      <c r="C2112" s="33" t="s">
        <v>49</v>
      </c>
      <c r="D2112" s="34" t="s">
        <v>128</v>
      </c>
      <c r="E2112" s="35" t="str">
        <f t="shared" si="503"/>
        <v>PDP'!</v>
      </c>
      <c r="F2112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12" s="32" t="s">
        <v>121</v>
      </c>
      <c r="H2112" s="33">
        <f t="shared" si="505"/>
        <v>32</v>
      </c>
      <c r="I2112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ECP\Cantagallo\Cristalina\[CRISTALINA_CF_SEC_New_09-Feb-2024.xlsx]D-PDP'!$DC$32</v>
      </c>
      <c r="J2112" s="37" t="s">
        <v>1074</v>
      </c>
    </row>
    <row r="2113" spans="1:10" x14ac:dyDescent="0.35">
      <c r="A2113" s="32" t="s">
        <v>14</v>
      </c>
      <c r="B2113" s="32">
        <f>+B2112+1</f>
        <v>2044</v>
      </c>
      <c r="C2113" s="33" t="s">
        <v>49</v>
      </c>
      <c r="D2113" s="34" t="s">
        <v>128</v>
      </c>
      <c r="E2113" s="35" t="str">
        <f t="shared" ref="E2113:E2128" si="510">_xlfn.CONCAT(A2113,"'!")</f>
        <v>PDP'!</v>
      </c>
      <c r="F2113" s="34" t="str">
        <f t="shared" ref="F2113:F2128" si="511">_xlfn.CONCAT(D2113:E2113)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13" s="32" t="s">
        <v>121</v>
      </c>
      <c r="H2113" s="33">
        <f t="shared" ref="H2113:H2128" si="512">IF(A2113&lt;&gt;A2112,12,H2112+1)</f>
        <v>33</v>
      </c>
      <c r="I2113" s="33" t="str">
        <f t="shared" ref="I2113:I2128" si="513">_xlfn.CONCAT("='",F2113:H2113)</f>
        <v>='C:\Users\jaime.benazar\Quorum Business Solutions\Ecopetrol Prometeo - Documents\Planning Space Implementation\3. Analysis &amp; Design\Design\FC22\DRR Jaime\Por presentar a ECP\Cantagallo\Cristalina\[CRISTALINA_CF_SEC_New_09-Feb-2024.xlsx]D-PDP'!$DC$33</v>
      </c>
      <c r="J2113" s="37" t="s">
        <v>1075</v>
      </c>
    </row>
    <row r="2114" spans="1:10" x14ac:dyDescent="0.35">
      <c r="A2114" s="32" t="s">
        <v>14</v>
      </c>
      <c r="B2114" s="32">
        <f t="shared" ref="B2114:B2128" si="514">+B2113+1</f>
        <v>2045</v>
      </c>
      <c r="C2114" s="33" t="s">
        <v>49</v>
      </c>
      <c r="D2114" s="34" t="s">
        <v>128</v>
      </c>
      <c r="E2114" s="35" t="str">
        <f t="shared" si="510"/>
        <v>PDP'!</v>
      </c>
      <c r="F2114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14" s="32" t="s">
        <v>121</v>
      </c>
      <c r="H2114" s="33">
        <f t="shared" si="512"/>
        <v>34</v>
      </c>
      <c r="I2114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ECP\Cantagallo\Cristalina\[CRISTALINA_CF_SEC_New_09-Feb-2024.xlsx]D-PDP'!$DC$34</v>
      </c>
      <c r="J2114" s="37" t="s">
        <v>1076</v>
      </c>
    </row>
    <row r="2115" spans="1:10" x14ac:dyDescent="0.35">
      <c r="A2115" s="32" t="s">
        <v>14</v>
      </c>
      <c r="B2115" s="32">
        <f t="shared" si="514"/>
        <v>2046</v>
      </c>
      <c r="C2115" s="33" t="s">
        <v>49</v>
      </c>
      <c r="D2115" s="34" t="s">
        <v>128</v>
      </c>
      <c r="E2115" s="35" t="str">
        <f t="shared" si="510"/>
        <v>PDP'!</v>
      </c>
      <c r="F2115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15" s="32" t="s">
        <v>121</v>
      </c>
      <c r="H2115" s="33">
        <f t="shared" si="512"/>
        <v>35</v>
      </c>
      <c r="I2115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ECP\Cantagallo\Cristalina\[CRISTALINA_CF_SEC_New_09-Feb-2024.xlsx]D-PDP'!$DC$35</v>
      </c>
      <c r="J2115" s="37" t="s">
        <v>1077</v>
      </c>
    </row>
    <row r="2116" spans="1:10" x14ac:dyDescent="0.35">
      <c r="A2116" s="32" t="s">
        <v>14</v>
      </c>
      <c r="B2116" s="32">
        <f t="shared" si="514"/>
        <v>2047</v>
      </c>
      <c r="C2116" s="33" t="s">
        <v>49</v>
      </c>
      <c r="D2116" s="34" t="s">
        <v>128</v>
      </c>
      <c r="E2116" s="35" t="str">
        <f t="shared" si="510"/>
        <v>PDP'!</v>
      </c>
      <c r="F2116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16" s="32" t="s">
        <v>121</v>
      </c>
      <c r="H2116" s="33">
        <f t="shared" si="512"/>
        <v>36</v>
      </c>
      <c r="I2116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ECP\Cantagallo\Cristalina\[CRISTALINA_CF_SEC_New_09-Feb-2024.xlsx]D-PDP'!$DC$36</v>
      </c>
      <c r="J2116" s="37" t="s">
        <v>1078</v>
      </c>
    </row>
    <row r="2117" spans="1:10" x14ac:dyDescent="0.35">
      <c r="A2117" s="32" t="s">
        <v>14</v>
      </c>
      <c r="B2117" s="32">
        <f t="shared" si="514"/>
        <v>2048</v>
      </c>
      <c r="C2117" s="33" t="s">
        <v>49</v>
      </c>
      <c r="D2117" s="34" t="s">
        <v>128</v>
      </c>
      <c r="E2117" s="35" t="str">
        <f t="shared" si="510"/>
        <v>PDP'!</v>
      </c>
      <c r="F2117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17" s="32" t="s">
        <v>121</v>
      </c>
      <c r="H2117" s="33">
        <f t="shared" si="512"/>
        <v>37</v>
      </c>
      <c r="I2117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ECP\Cantagallo\Cristalina\[CRISTALINA_CF_SEC_New_09-Feb-2024.xlsx]D-PDP'!$DC$37</v>
      </c>
      <c r="J2117" s="37" t="s">
        <v>1079</v>
      </c>
    </row>
    <row r="2118" spans="1:10" x14ac:dyDescent="0.35">
      <c r="A2118" s="32" t="s">
        <v>14</v>
      </c>
      <c r="B2118" s="32">
        <f t="shared" si="514"/>
        <v>2049</v>
      </c>
      <c r="C2118" s="33" t="s">
        <v>49</v>
      </c>
      <c r="D2118" s="34" t="s">
        <v>128</v>
      </c>
      <c r="E2118" s="35" t="str">
        <f t="shared" si="510"/>
        <v>PDP'!</v>
      </c>
      <c r="F2118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18" s="32" t="s">
        <v>121</v>
      </c>
      <c r="H2118" s="33">
        <f t="shared" si="512"/>
        <v>38</v>
      </c>
      <c r="I2118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ECP\Cantagallo\Cristalina\[CRISTALINA_CF_SEC_New_09-Feb-2024.xlsx]D-PDP'!$DC$38</v>
      </c>
      <c r="J2118" s="37" t="s">
        <v>1080</v>
      </c>
    </row>
    <row r="2119" spans="1:10" x14ac:dyDescent="0.35">
      <c r="A2119" s="32" t="s">
        <v>14</v>
      </c>
      <c r="B2119" s="32">
        <f t="shared" si="514"/>
        <v>2050</v>
      </c>
      <c r="C2119" s="33" t="s">
        <v>49</v>
      </c>
      <c r="D2119" s="34" t="s">
        <v>128</v>
      </c>
      <c r="E2119" s="35" t="str">
        <f t="shared" si="510"/>
        <v>PDP'!</v>
      </c>
      <c r="F2119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19" s="32" t="s">
        <v>121</v>
      </c>
      <c r="H2119" s="33">
        <f t="shared" si="512"/>
        <v>39</v>
      </c>
      <c r="I2119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ECP\Cantagallo\Cristalina\[CRISTALINA_CF_SEC_New_09-Feb-2024.xlsx]D-PDP'!$DC$39</v>
      </c>
      <c r="J2119" s="37" t="s">
        <v>1081</v>
      </c>
    </row>
    <row r="2120" spans="1:10" x14ac:dyDescent="0.35">
      <c r="A2120" s="32" t="s">
        <v>14</v>
      </c>
      <c r="B2120" s="32">
        <f t="shared" si="514"/>
        <v>2051</v>
      </c>
      <c r="C2120" s="33" t="s">
        <v>49</v>
      </c>
      <c r="D2120" s="34" t="s">
        <v>128</v>
      </c>
      <c r="E2120" s="35" t="str">
        <f t="shared" si="510"/>
        <v>PDP'!</v>
      </c>
      <c r="F2120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20" s="32" t="s">
        <v>121</v>
      </c>
      <c r="H2120" s="33">
        <f t="shared" si="512"/>
        <v>40</v>
      </c>
      <c r="I2120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ECP\Cantagallo\Cristalina\[CRISTALINA_CF_SEC_New_09-Feb-2024.xlsx]D-PDP'!$DC$40</v>
      </c>
      <c r="J2120" s="37" t="s">
        <v>1082</v>
      </c>
    </row>
    <row r="2121" spans="1:10" x14ac:dyDescent="0.35">
      <c r="A2121" s="32" t="s">
        <v>14</v>
      </c>
      <c r="B2121" s="32">
        <f t="shared" si="514"/>
        <v>2052</v>
      </c>
      <c r="C2121" s="33" t="s">
        <v>49</v>
      </c>
      <c r="D2121" s="34" t="s">
        <v>128</v>
      </c>
      <c r="E2121" s="35" t="str">
        <f t="shared" si="510"/>
        <v>PDP'!</v>
      </c>
      <c r="F2121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21" s="32" t="s">
        <v>121</v>
      </c>
      <c r="H2121" s="33">
        <f t="shared" si="512"/>
        <v>41</v>
      </c>
      <c r="I2121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ECP\Cantagallo\Cristalina\[CRISTALINA_CF_SEC_New_09-Feb-2024.xlsx]D-PDP'!$DC$41</v>
      </c>
      <c r="J2121" s="37" t="s">
        <v>1083</v>
      </c>
    </row>
    <row r="2122" spans="1:10" x14ac:dyDescent="0.35">
      <c r="A2122" s="32" t="s">
        <v>14</v>
      </c>
      <c r="B2122" s="32">
        <f t="shared" si="514"/>
        <v>2053</v>
      </c>
      <c r="C2122" s="33" t="s">
        <v>49</v>
      </c>
      <c r="D2122" s="34" t="s">
        <v>128</v>
      </c>
      <c r="E2122" s="35" t="str">
        <f t="shared" si="510"/>
        <v>PDP'!</v>
      </c>
      <c r="F2122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22" s="32" t="s">
        <v>121</v>
      </c>
      <c r="H2122" s="33">
        <f t="shared" si="512"/>
        <v>42</v>
      </c>
      <c r="I2122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ECP\Cantagallo\Cristalina\[CRISTALINA_CF_SEC_New_09-Feb-2024.xlsx]D-PDP'!$DC$42</v>
      </c>
      <c r="J2122" s="37" t="s">
        <v>1084</v>
      </c>
    </row>
    <row r="2123" spans="1:10" x14ac:dyDescent="0.35">
      <c r="A2123" s="32" t="s">
        <v>14</v>
      </c>
      <c r="B2123" s="32">
        <f t="shared" si="514"/>
        <v>2054</v>
      </c>
      <c r="C2123" s="33" t="s">
        <v>49</v>
      </c>
      <c r="D2123" s="34" t="s">
        <v>128</v>
      </c>
      <c r="E2123" s="35" t="str">
        <f t="shared" si="510"/>
        <v>PDP'!</v>
      </c>
      <c r="F2123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23" s="32" t="s">
        <v>121</v>
      </c>
      <c r="H2123" s="33">
        <f t="shared" si="512"/>
        <v>43</v>
      </c>
      <c r="I2123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ECP\Cantagallo\Cristalina\[CRISTALINA_CF_SEC_New_09-Feb-2024.xlsx]D-PDP'!$DC$43</v>
      </c>
      <c r="J2123" s="37" t="s">
        <v>1085</v>
      </c>
    </row>
    <row r="2124" spans="1:10" x14ac:dyDescent="0.35">
      <c r="A2124" s="32" t="s">
        <v>14</v>
      </c>
      <c r="B2124" s="32">
        <f t="shared" si="514"/>
        <v>2055</v>
      </c>
      <c r="C2124" s="33" t="s">
        <v>49</v>
      </c>
      <c r="D2124" s="34" t="s">
        <v>128</v>
      </c>
      <c r="E2124" s="35" t="str">
        <f t="shared" si="510"/>
        <v>PDP'!</v>
      </c>
      <c r="F2124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24" s="32" t="s">
        <v>121</v>
      </c>
      <c r="H2124" s="33">
        <f t="shared" si="512"/>
        <v>44</v>
      </c>
      <c r="I2124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ECP\Cantagallo\Cristalina\[CRISTALINA_CF_SEC_New_09-Feb-2024.xlsx]D-PDP'!$DC$44</v>
      </c>
      <c r="J2124" s="37" t="s">
        <v>1086</v>
      </c>
    </row>
    <row r="2125" spans="1:10" x14ac:dyDescent="0.35">
      <c r="A2125" s="32" t="s">
        <v>14</v>
      </c>
      <c r="B2125" s="32">
        <f t="shared" si="514"/>
        <v>2056</v>
      </c>
      <c r="C2125" s="33" t="s">
        <v>49</v>
      </c>
      <c r="D2125" s="34" t="s">
        <v>128</v>
      </c>
      <c r="E2125" s="35" t="str">
        <f t="shared" si="510"/>
        <v>PDP'!</v>
      </c>
      <c r="F2125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25" s="32" t="s">
        <v>121</v>
      </c>
      <c r="H2125" s="33">
        <f t="shared" si="512"/>
        <v>45</v>
      </c>
      <c r="I2125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ECP\Cantagallo\Cristalina\[CRISTALINA_CF_SEC_New_09-Feb-2024.xlsx]D-PDP'!$DC$45</v>
      </c>
      <c r="J2125" s="37" t="s">
        <v>1087</v>
      </c>
    </row>
    <row r="2126" spans="1:10" x14ac:dyDescent="0.35">
      <c r="A2126" s="32" t="s">
        <v>14</v>
      </c>
      <c r="B2126" s="32">
        <f t="shared" si="514"/>
        <v>2057</v>
      </c>
      <c r="C2126" s="33" t="s">
        <v>49</v>
      </c>
      <c r="D2126" s="34" t="s">
        <v>128</v>
      </c>
      <c r="E2126" s="35" t="str">
        <f t="shared" si="510"/>
        <v>PDP'!</v>
      </c>
      <c r="F2126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26" s="32" t="s">
        <v>121</v>
      </c>
      <c r="H2126" s="33">
        <f t="shared" si="512"/>
        <v>46</v>
      </c>
      <c r="I2126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ECP\Cantagallo\Cristalina\[CRISTALINA_CF_SEC_New_09-Feb-2024.xlsx]D-PDP'!$DC$46</v>
      </c>
      <c r="J2126" s="37" t="s">
        <v>1088</v>
      </c>
    </row>
    <row r="2127" spans="1:10" x14ac:dyDescent="0.35">
      <c r="A2127" s="32" t="s">
        <v>14</v>
      </c>
      <c r="B2127" s="32">
        <f t="shared" si="514"/>
        <v>2058</v>
      </c>
      <c r="C2127" s="33" t="s">
        <v>49</v>
      </c>
      <c r="D2127" s="34" t="s">
        <v>128</v>
      </c>
      <c r="E2127" s="35" t="str">
        <f t="shared" si="510"/>
        <v>PDP'!</v>
      </c>
      <c r="F2127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27" s="32" t="s">
        <v>121</v>
      </c>
      <c r="H2127" s="33">
        <f t="shared" si="512"/>
        <v>47</v>
      </c>
      <c r="I2127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ECP\Cantagallo\Cristalina\[CRISTALINA_CF_SEC_New_09-Feb-2024.xlsx]D-PDP'!$DC$47</v>
      </c>
      <c r="J2127" s="37" t="s">
        <v>1089</v>
      </c>
    </row>
    <row r="2128" spans="1:10" x14ac:dyDescent="0.35">
      <c r="A2128" s="32" t="s">
        <v>14</v>
      </c>
      <c r="B2128" s="32">
        <f t="shared" si="514"/>
        <v>2059</v>
      </c>
      <c r="C2128" s="33" t="s">
        <v>49</v>
      </c>
      <c r="D2128" s="34" t="s">
        <v>128</v>
      </c>
      <c r="E2128" s="35" t="str">
        <f t="shared" si="510"/>
        <v>PDP'!</v>
      </c>
      <c r="F2128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28" s="32" t="s">
        <v>121</v>
      </c>
      <c r="H2128" s="33">
        <f t="shared" si="512"/>
        <v>48</v>
      </c>
      <c r="I2128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ECP\Cantagallo\Cristalina\[CRISTALINA_CF_SEC_New_09-Feb-2024.xlsx]D-PDP'!$DC$48</v>
      </c>
      <c r="J2128" s="37" t="s">
        <v>1090</v>
      </c>
    </row>
    <row r="2129" spans="1:10" x14ac:dyDescent="0.35">
      <c r="A2129" s="32" t="s">
        <v>26</v>
      </c>
      <c r="B2129" s="32"/>
      <c r="C2129" s="33" t="s">
        <v>49</v>
      </c>
      <c r="D2129" s="34"/>
      <c r="E2129" s="35"/>
      <c r="F2129" s="34"/>
      <c r="G2129" s="32"/>
      <c r="H2129" s="33"/>
      <c r="I2129" s="33"/>
      <c r="J2129" s="33"/>
    </row>
    <row r="2130" spans="1:10" x14ac:dyDescent="0.35">
      <c r="A2130" s="32" t="s">
        <v>15</v>
      </c>
      <c r="B2130" s="32">
        <v>2023</v>
      </c>
      <c r="C2130" s="33" t="s">
        <v>49</v>
      </c>
      <c r="D2130" s="34" t="s">
        <v>128</v>
      </c>
      <c r="E2130" s="35" t="str">
        <f t="shared" si="503"/>
        <v>PNP'!</v>
      </c>
      <c r="F2130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30" s="32" t="s">
        <v>121</v>
      </c>
      <c r="H2130" s="33">
        <v>12</v>
      </c>
      <c r="I2130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ECP\Cantagallo\Cristalina\[CRISTALINA_CF_SEC_New_09-Feb-2024.xlsx]D-PNP'!$DC$12</v>
      </c>
      <c r="J2130" s="37" t="s">
        <v>1091</v>
      </c>
    </row>
    <row r="2131" spans="1:10" x14ac:dyDescent="0.35">
      <c r="A2131" s="32" t="s">
        <v>15</v>
      </c>
      <c r="B2131" s="32">
        <f>+B2130+1</f>
        <v>2024</v>
      </c>
      <c r="C2131" s="33" t="s">
        <v>49</v>
      </c>
      <c r="D2131" s="34" t="s">
        <v>128</v>
      </c>
      <c r="E2131" s="35" t="str">
        <f t="shared" si="503"/>
        <v>PNP'!</v>
      </c>
      <c r="F2131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31" s="32" t="s">
        <v>121</v>
      </c>
      <c r="H2131" s="33">
        <f t="shared" ref="H2131:H2150" si="515">IF(A2131&lt;&gt;A2130,12,H2130+1)</f>
        <v>13</v>
      </c>
      <c r="I2131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ECP\Cantagallo\Cristalina\[CRISTALINA_CF_SEC_New_09-Feb-2024.xlsx]D-PNP'!$DC$13</v>
      </c>
      <c r="J2131" s="37" t="s">
        <v>1092</v>
      </c>
    </row>
    <row r="2132" spans="1:10" x14ac:dyDescent="0.35">
      <c r="A2132" s="32" t="s">
        <v>15</v>
      </c>
      <c r="B2132" s="32">
        <f t="shared" ref="B2132:B2143" si="516">+B2131+1</f>
        <v>2025</v>
      </c>
      <c r="C2132" s="33" t="s">
        <v>49</v>
      </c>
      <c r="D2132" s="34" t="s">
        <v>128</v>
      </c>
      <c r="E2132" s="35" t="str">
        <f t="shared" si="503"/>
        <v>PNP'!</v>
      </c>
      <c r="F2132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32" s="32" t="s">
        <v>121</v>
      </c>
      <c r="H2132" s="33">
        <f t="shared" si="515"/>
        <v>14</v>
      </c>
      <c r="I2132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ECP\Cantagallo\Cristalina\[CRISTALINA_CF_SEC_New_09-Feb-2024.xlsx]D-PNP'!$DC$14</v>
      </c>
      <c r="J2132" s="37" t="s">
        <v>1093</v>
      </c>
    </row>
    <row r="2133" spans="1:10" x14ac:dyDescent="0.35">
      <c r="A2133" s="32" t="s">
        <v>15</v>
      </c>
      <c r="B2133" s="32">
        <f t="shared" si="516"/>
        <v>2026</v>
      </c>
      <c r="C2133" s="33" t="s">
        <v>49</v>
      </c>
      <c r="D2133" s="34" t="s">
        <v>128</v>
      </c>
      <c r="E2133" s="35" t="str">
        <f t="shared" si="503"/>
        <v>PNP'!</v>
      </c>
      <c r="F2133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33" s="32" t="s">
        <v>121</v>
      </c>
      <c r="H2133" s="33">
        <f t="shared" si="515"/>
        <v>15</v>
      </c>
      <c r="I2133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ECP\Cantagallo\Cristalina\[CRISTALINA_CF_SEC_New_09-Feb-2024.xlsx]D-PNP'!$DC$15</v>
      </c>
      <c r="J2133" s="37" t="s">
        <v>1094</v>
      </c>
    </row>
    <row r="2134" spans="1:10" x14ac:dyDescent="0.35">
      <c r="A2134" s="32" t="s">
        <v>15</v>
      </c>
      <c r="B2134" s="32">
        <f t="shared" si="516"/>
        <v>2027</v>
      </c>
      <c r="C2134" s="33" t="s">
        <v>49</v>
      </c>
      <c r="D2134" s="34" t="s">
        <v>128</v>
      </c>
      <c r="E2134" s="35" t="str">
        <f t="shared" si="503"/>
        <v>PNP'!</v>
      </c>
      <c r="F2134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34" s="32" t="s">
        <v>121</v>
      </c>
      <c r="H2134" s="33">
        <f t="shared" si="515"/>
        <v>16</v>
      </c>
      <c r="I2134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ECP\Cantagallo\Cristalina\[CRISTALINA_CF_SEC_New_09-Feb-2024.xlsx]D-PNP'!$DC$16</v>
      </c>
      <c r="J2134" s="37" t="s">
        <v>1095</v>
      </c>
    </row>
    <row r="2135" spans="1:10" x14ac:dyDescent="0.35">
      <c r="A2135" s="32" t="s">
        <v>15</v>
      </c>
      <c r="B2135" s="32">
        <f t="shared" si="516"/>
        <v>2028</v>
      </c>
      <c r="C2135" s="33" t="s">
        <v>49</v>
      </c>
      <c r="D2135" s="34" t="s">
        <v>128</v>
      </c>
      <c r="E2135" s="35" t="str">
        <f t="shared" si="503"/>
        <v>PNP'!</v>
      </c>
      <c r="F2135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35" s="32" t="s">
        <v>121</v>
      </c>
      <c r="H2135" s="33">
        <f t="shared" si="515"/>
        <v>17</v>
      </c>
      <c r="I2135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ECP\Cantagallo\Cristalina\[CRISTALINA_CF_SEC_New_09-Feb-2024.xlsx]D-PNP'!$DC$17</v>
      </c>
      <c r="J2135" s="37" t="s">
        <v>1096</v>
      </c>
    </row>
    <row r="2136" spans="1:10" x14ac:dyDescent="0.35">
      <c r="A2136" s="32" t="s">
        <v>15</v>
      </c>
      <c r="B2136" s="32">
        <f t="shared" si="516"/>
        <v>2029</v>
      </c>
      <c r="C2136" s="33" t="s">
        <v>49</v>
      </c>
      <c r="D2136" s="34" t="s">
        <v>128</v>
      </c>
      <c r="E2136" s="35" t="str">
        <f t="shared" si="503"/>
        <v>PNP'!</v>
      </c>
      <c r="F2136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36" s="32" t="s">
        <v>121</v>
      </c>
      <c r="H2136" s="33">
        <f t="shared" si="515"/>
        <v>18</v>
      </c>
      <c r="I2136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ECP\Cantagallo\Cristalina\[CRISTALINA_CF_SEC_New_09-Feb-2024.xlsx]D-PNP'!$DC$18</v>
      </c>
      <c r="J2136" s="37" t="s">
        <v>1097</v>
      </c>
    </row>
    <row r="2137" spans="1:10" x14ac:dyDescent="0.35">
      <c r="A2137" s="32" t="s">
        <v>15</v>
      </c>
      <c r="B2137" s="32">
        <f t="shared" si="516"/>
        <v>2030</v>
      </c>
      <c r="C2137" s="33" t="s">
        <v>49</v>
      </c>
      <c r="D2137" s="34" t="s">
        <v>128</v>
      </c>
      <c r="E2137" s="35" t="str">
        <f t="shared" si="503"/>
        <v>PNP'!</v>
      </c>
      <c r="F2137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37" s="32" t="s">
        <v>121</v>
      </c>
      <c r="H2137" s="33">
        <f t="shared" si="515"/>
        <v>19</v>
      </c>
      <c r="I2137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ECP\Cantagallo\Cristalina\[CRISTALINA_CF_SEC_New_09-Feb-2024.xlsx]D-PNP'!$DC$19</v>
      </c>
      <c r="J2137" s="37" t="s">
        <v>1098</v>
      </c>
    </row>
    <row r="2138" spans="1:10" x14ac:dyDescent="0.35">
      <c r="A2138" s="32" t="s">
        <v>15</v>
      </c>
      <c r="B2138" s="32">
        <f t="shared" si="516"/>
        <v>2031</v>
      </c>
      <c r="C2138" s="33" t="s">
        <v>49</v>
      </c>
      <c r="D2138" s="34" t="s">
        <v>128</v>
      </c>
      <c r="E2138" s="35" t="str">
        <f t="shared" si="503"/>
        <v>PNP'!</v>
      </c>
      <c r="F2138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38" s="32" t="s">
        <v>121</v>
      </c>
      <c r="H2138" s="33">
        <f t="shared" si="515"/>
        <v>20</v>
      </c>
      <c r="I2138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ECP\Cantagallo\Cristalina\[CRISTALINA_CF_SEC_New_09-Feb-2024.xlsx]D-PNP'!$DC$20</v>
      </c>
      <c r="J2138" s="37" t="s">
        <v>1099</v>
      </c>
    </row>
    <row r="2139" spans="1:10" x14ac:dyDescent="0.35">
      <c r="A2139" s="32" t="s">
        <v>15</v>
      </c>
      <c r="B2139" s="32">
        <f t="shared" si="516"/>
        <v>2032</v>
      </c>
      <c r="C2139" s="33" t="s">
        <v>49</v>
      </c>
      <c r="D2139" s="34" t="s">
        <v>128</v>
      </c>
      <c r="E2139" s="35" t="str">
        <f t="shared" si="503"/>
        <v>PNP'!</v>
      </c>
      <c r="F2139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39" s="32" t="s">
        <v>121</v>
      </c>
      <c r="H2139" s="33">
        <f t="shared" si="515"/>
        <v>21</v>
      </c>
      <c r="I2139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ECP\Cantagallo\Cristalina\[CRISTALINA_CF_SEC_New_09-Feb-2024.xlsx]D-PNP'!$DC$21</v>
      </c>
      <c r="J2139" s="37" t="s">
        <v>1100</v>
      </c>
    </row>
    <row r="2140" spans="1:10" x14ac:dyDescent="0.35">
      <c r="A2140" s="32" t="s">
        <v>15</v>
      </c>
      <c r="B2140" s="32">
        <f t="shared" si="516"/>
        <v>2033</v>
      </c>
      <c r="C2140" s="33" t="s">
        <v>49</v>
      </c>
      <c r="D2140" s="34" t="s">
        <v>128</v>
      </c>
      <c r="E2140" s="35" t="str">
        <f t="shared" si="503"/>
        <v>PNP'!</v>
      </c>
      <c r="F2140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40" s="32" t="s">
        <v>121</v>
      </c>
      <c r="H2140" s="33">
        <f t="shared" si="515"/>
        <v>22</v>
      </c>
      <c r="I2140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ECP\Cantagallo\Cristalina\[CRISTALINA_CF_SEC_New_09-Feb-2024.xlsx]D-PNP'!$DC$22</v>
      </c>
      <c r="J2140" s="37" t="s">
        <v>1101</v>
      </c>
    </row>
    <row r="2141" spans="1:10" x14ac:dyDescent="0.35">
      <c r="A2141" s="32" t="s">
        <v>15</v>
      </c>
      <c r="B2141" s="32">
        <f t="shared" si="516"/>
        <v>2034</v>
      </c>
      <c r="C2141" s="33" t="s">
        <v>49</v>
      </c>
      <c r="D2141" s="34" t="s">
        <v>128</v>
      </c>
      <c r="E2141" s="35" t="str">
        <f t="shared" si="503"/>
        <v>PNP'!</v>
      </c>
      <c r="F2141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41" s="32" t="s">
        <v>121</v>
      </c>
      <c r="H2141" s="33">
        <f t="shared" si="515"/>
        <v>23</v>
      </c>
      <c r="I2141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ECP\Cantagallo\Cristalina\[CRISTALINA_CF_SEC_New_09-Feb-2024.xlsx]D-PNP'!$DC$23</v>
      </c>
      <c r="J2141" s="37" t="s">
        <v>1102</v>
      </c>
    </row>
    <row r="2142" spans="1:10" x14ac:dyDescent="0.35">
      <c r="A2142" s="32" t="s">
        <v>15</v>
      </c>
      <c r="B2142" s="32">
        <f t="shared" si="516"/>
        <v>2035</v>
      </c>
      <c r="C2142" s="33" t="s">
        <v>49</v>
      </c>
      <c r="D2142" s="34" t="s">
        <v>128</v>
      </c>
      <c r="E2142" s="35" t="str">
        <f t="shared" si="503"/>
        <v>PNP'!</v>
      </c>
      <c r="F2142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42" s="32" t="s">
        <v>121</v>
      </c>
      <c r="H2142" s="33">
        <f t="shared" si="515"/>
        <v>24</v>
      </c>
      <c r="I2142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ECP\Cantagallo\Cristalina\[CRISTALINA_CF_SEC_New_09-Feb-2024.xlsx]D-PNP'!$DC$24</v>
      </c>
      <c r="J2142" s="37" t="s">
        <v>1103</v>
      </c>
    </row>
    <row r="2143" spans="1:10" x14ac:dyDescent="0.35">
      <c r="A2143" s="32" t="s">
        <v>15</v>
      </c>
      <c r="B2143" s="32">
        <f t="shared" si="516"/>
        <v>2036</v>
      </c>
      <c r="C2143" s="33" t="s">
        <v>49</v>
      </c>
      <c r="D2143" s="34" t="s">
        <v>128</v>
      </c>
      <c r="E2143" s="35" t="str">
        <f t="shared" si="503"/>
        <v>PNP'!</v>
      </c>
      <c r="F2143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43" s="32" t="s">
        <v>121</v>
      </c>
      <c r="H2143" s="33">
        <f t="shared" si="515"/>
        <v>25</v>
      </c>
      <c r="I2143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ECP\Cantagallo\Cristalina\[CRISTALINA_CF_SEC_New_09-Feb-2024.xlsx]D-PNP'!$DC$25</v>
      </c>
      <c r="J2143" s="37" t="s">
        <v>1104</v>
      </c>
    </row>
    <row r="2144" spans="1:10" x14ac:dyDescent="0.35">
      <c r="A2144" s="32" t="s">
        <v>15</v>
      </c>
      <c r="B2144" s="32">
        <f>+B2143+1</f>
        <v>2037</v>
      </c>
      <c r="C2144" s="33" t="s">
        <v>49</v>
      </c>
      <c r="D2144" s="34" t="s">
        <v>128</v>
      </c>
      <c r="E2144" s="35" t="str">
        <f t="shared" si="503"/>
        <v>PNP'!</v>
      </c>
      <c r="F2144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44" s="32" t="s">
        <v>121</v>
      </c>
      <c r="H2144" s="33">
        <f t="shared" si="515"/>
        <v>26</v>
      </c>
      <c r="I2144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ECP\Cantagallo\Cristalina\[CRISTALINA_CF_SEC_New_09-Feb-2024.xlsx]D-PNP'!$DC$26</v>
      </c>
      <c r="J2144" s="37" t="s">
        <v>1105</v>
      </c>
    </row>
    <row r="2145" spans="1:10" x14ac:dyDescent="0.35">
      <c r="A2145" s="32" t="s">
        <v>15</v>
      </c>
      <c r="B2145" s="32">
        <f t="shared" ref="B2145:B2147" si="517">+B2144+1</f>
        <v>2038</v>
      </c>
      <c r="C2145" s="33" t="s">
        <v>49</v>
      </c>
      <c r="D2145" s="34" t="s">
        <v>128</v>
      </c>
      <c r="E2145" s="35" t="str">
        <f t="shared" si="503"/>
        <v>PNP'!</v>
      </c>
      <c r="F2145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45" s="32" t="s">
        <v>121</v>
      </c>
      <c r="H2145" s="33">
        <f t="shared" si="515"/>
        <v>27</v>
      </c>
      <c r="I2145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ECP\Cantagallo\Cristalina\[CRISTALINA_CF_SEC_New_09-Feb-2024.xlsx]D-PNP'!$DC$27</v>
      </c>
      <c r="J2145" s="37" t="s">
        <v>1106</v>
      </c>
    </row>
    <row r="2146" spans="1:10" x14ac:dyDescent="0.35">
      <c r="A2146" s="32" t="s">
        <v>15</v>
      </c>
      <c r="B2146" s="32">
        <f t="shared" si="517"/>
        <v>2039</v>
      </c>
      <c r="C2146" s="33" t="s">
        <v>49</v>
      </c>
      <c r="D2146" s="34" t="s">
        <v>128</v>
      </c>
      <c r="E2146" s="35" t="str">
        <f t="shared" si="503"/>
        <v>PNP'!</v>
      </c>
      <c r="F2146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46" s="32" t="s">
        <v>121</v>
      </c>
      <c r="H2146" s="33">
        <f t="shared" si="515"/>
        <v>28</v>
      </c>
      <c r="I2146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ECP\Cantagallo\Cristalina\[CRISTALINA_CF_SEC_New_09-Feb-2024.xlsx]D-PNP'!$DC$28</v>
      </c>
      <c r="J2146" s="37" t="s">
        <v>1107</v>
      </c>
    </row>
    <row r="2147" spans="1:10" x14ac:dyDescent="0.35">
      <c r="A2147" s="32" t="s">
        <v>15</v>
      </c>
      <c r="B2147" s="32">
        <f t="shared" si="517"/>
        <v>2040</v>
      </c>
      <c r="C2147" s="33" t="s">
        <v>49</v>
      </c>
      <c r="D2147" s="34" t="s">
        <v>128</v>
      </c>
      <c r="E2147" s="35" t="str">
        <f t="shared" si="503"/>
        <v>PNP'!</v>
      </c>
      <c r="F2147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47" s="32" t="s">
        <v>121</v>
      </c>
      <c r="H2147" s="33">
        <f t="shared" si="515"/>
        <v>29</v>
      </c>
      <c r="I2147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ECP\Cantagallo\Cristalina\[CRISTALINA_CF_SEC_New_09-Feb-2024.xlsx]D-PNP'!$DC$29</v>
      </c>
      <c r="J2147" s="37" t="s">
        <v>1108</v>
      </c>
    </row>
    <row r="2148" spans="1:10" x14ac:dyDescent="0.35">
      <c r="A2148" s="32" t="s">
        <v>15</v>
      </c>
      <c r="B2148" s="32">
        <f>+B2147+1</f>
        <v>2041</v>
      </c>
      <c r="C2148" s="33" t="s">
        <v>49</v>
      </c>
      <c r="D2148" s="34" t="s">
        <v>128</v>
      </c>
      <c r="E2148" s="35" t="str">
        <f t="shared" si="503"/>
        <v>PNP'!</v>
      </c>
      <c r="F2148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48" s="32" t="s">
        <v>121</v>
      </c>
      <c r="H2148" s="33">
        <f t="shared" si="515"/>
        <v>30</v>
      </c>
      <c r="I2148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ECP\Cantagallo\Cristalina\[CRISTALINA_CF_SEC_New_09-Feb-2024.xlsx]D-PNP'!$DC$30</v>
      </c>
      <c r="J2148" s="37" t="s">
        <v>1109</v>
      </c>
    </row>
    <row r="2149" spans="1:10" x14ac:dyDescent="0.35">
      <c r="A2149" s="32" t="s">
        <v>15</v>
      </c>
      <c r="B2149" s="32">
        <f t="shared" ref="B2149:B2150" si="518">+B2148+1</f>
        <v>2042</v>
      </c>
      <c r="C2149" s="33" t="s">
        <v>49</v>
      </c>
      <c r="D2149" s="34" t="s">
        <v>128</v>
      </c>
      <c r="E2149" s="35" t="str">
        <f t="shared" si="503"/>
        <v>PNP'!</v>
      </c>
      <c r="F2149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49" s="32" t="s">
        <v>121</v>
      </c>
      <c r="H2149" s="33">
        <f t="shared" si="515"/>
        <v>31</v>
      </c>
      <c r="I2149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ECP\Cantagallo\Cristalina\[CRISTALINA_CF_SEC_New_09-Feb-2024.xlsx]D-PNP'!$DC$31</v>
      </c>
      <c r="J2149" s="37" t="s">
        <v>1110</v>
      </c>
    </row>
    <row r="2150" spans="1:10" x14ac:dyDescent="0.35">
      <c r="A2150" s="32" t="s">
        <v>15</v>
      </c>
      <c r="B2150" s="32">
        <f t="shared" si="518"/>
        <v>2043</v>
      </c>
      <c r="C2150" s="33" t="s">
        <v>49</v>
      </c>
      <c r="D2150" s="34" t="s">
        <v>128</v>
      </c>
      <c r="E2150" s="35" t="str">
        <f t="shared" si="503"/>
        <v>PNP'!</v>
      </c>
      <c r="F2150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50" s="32" t="s">
        <v>121</v>
      </c>
      <c r="H2150" s="33">
        <f t="shared" si="515"/>
        <v>32</v>
      </c>
      <c r="I2150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ECP\Cantagallo\Cristalina\[CRISTALINA_CF_SEC_New_09-Feb-2024.xlsx]D-PNP'!$DC$32</v>
      </c>
      <c r="J2150" s="37" t="s">
        <v>1111</v>
      </c>
    </row>
    <row r="2151" spans="1:10" x14ac:dyDescent="0.35">
      <c r="A2151" s="32" t="s">
        <v>15</v>
      </c>
      <c r="B2151" s="32">
        <f>+B2150+1</f>
        <v>2044</v>
      </c>
      <c r="C2151" s="33" t="s">
        <v>49</v>
      </c>
      <c r="D2151" s="34" t="s">
        <v>128</v>
      </c>
      <c r="E2151" s="35" t="str">
        <f t="shared" ref="E2151:E2166" si="519">_xlfn.CONCAT(A2151,"'!")</f>
        <v>PNP'!</v>
      </c>
      <c r="F2151" s="34" t="str">
        <f t="shared" ref="F2151:F2166" si="520">_xlfn.CONCAT(D2151:E2151)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51" s="32" t="s">
        <v>121</v>
      </c>
      <c r="H2151" s="33">
        <f t="shared" ref="H2151:H2166" si="521">IF(A2151&lt;&gt;A2150,12,H2150+1)</f>
        <v>33</v>
      </c>
      <c r="I2151" s="33" t="str">
        <f t="shared" ref="I2151:I2166" si="522">_xlfn.CONCAT("='",F2151:H2151)</f>
        <v>='C:\Users\jaime.benazar\Quorum Business Solutions\Ecopetrol Prometeo - Documents\Planning Space Implementation\3. Analysis &amp; Design\Design\FC22\DRR Jaime\Por presentar a ECP\Cantagallo\Cristalina\[CRISTALINA_CF_SEC_New_09-Feb-2024.xlsx]D-PNP'!$DC$33</v>
      </c>
      <c r="J2151" s="37" t="s">
        <v>1112</v>
      </c>
    </row>
    <row r="2152" spans="1:10" x14ac:dyDescent="0.35">
      <c r="A2152" s="32" t="s">
        <v>15</v>
      </c>
      <c r="B2152" s="32">
        <f t="shared" ref="B2152:B2166" si="523">+B2151+1</f>
        <v>2045</v>
      </c>
      <c r="C2152" s="33" t="s">
        <v>49</v>
      </c>
      <c r="D2152" s="34" t="s">
        <v>128</v>
      </c>
      <c r="E2152" s="35" t="str">
        <f t="shared" si="519"/>
        <v>PNP'!</v>
      </c>
      <c r="F2152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52" s="32" t="s">
        <v>121</v>
      </c>
      <c r="H2152" s="33">
        <f t="shared" si="521"/>
        <v>34</v>
      </c>
      <c r="I2152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ECP\Cantagallo\Cristalina\[CRISTALINA_CF_SEC_New_09-Feb-2024.xlsx]D-PNP'!$DC$34</v>
      </c>
      <c r="J2152" s="37" t="s">
        <v>1113</v>
      </c>
    </row>
    <row r="2153" spans="1:10" x14ac:dyDescent="0.35">
      <c r="A2153" s="32" t="s">
        <v>15</v>
      </c>
      <c r="B2153" s="32">
        <f t="shared" si="523"/>
        <v>2046</v>
      </c>
      <c r="C2153" s="33" t="s">
        <v>49</v>
      </c>
      <c r="D2153" s="34" t="s">
        <v>128</v>
      </c>
      <c r="E2153" s="35" t="str">
        <f t="shared" si="519"/>
        <v>PNP'!</v>
      </c>
      <c r="F2153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53" s="32" t="s">
        <v>121</v>
      </c>
      <c r="H2153" s="33">
        <f t="shared" si="521"/>
        <v>35</v>
      </c>
      <c r="I2153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ECP\Cantagallo\Cristalina\[CRISTALINA_CF_SEC_New_09-Feb-2024.xlsx]D-PNP'!$DC$35</v>
      </c>
      <c r="J2153" s="37" t="s">
        <v>1114</v>
      </c>
    </row>
    <row r="2154" spans="1:10" x14ac:dyDescent="0.35">
      <c r="A2154" s="32" t="s">
        <v>15</v>
      </c>
      <c r="B2154" s="32">
        <f t="shared" si="523"/>
        <v>2047</v>
      </c>
      <c r="C2154" s="33" t="s">
        <v>49</v>
      </c>
      <c r="D2154" s="34" t="s">
        <v>128</v>
      </c>
      <c r="E2154" s="35" t="str">
        <f t="shared" si="519"/>
        <v>PNP'!</v>
      </c>
      <c r="F2154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54" s="32" t="s">
        <v>121</v>
      </c>
      <c r="H2154" s="33">
        <f t="shared" si="521"/>
        <v>36</v>
      </c>
      <c r="I2154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ECP\Cantagallo\Cristalina\[CRISTALINA_CF_SEC_New_09-Feb-2024.xlsx]D-PNP'!$DC$36</v>
      </c>
      <c r="J2154" s="37" t="s">
        <v>1115</v>
      </c>
    </row>
    <row r="2155" spans="1:10" x14ac:dyDescent="0.35">
      <c r="A2155" s="32" t="s">
        <v>15</v>
      </c>
      <c r="B2155" s="32">
        <f t="shared" si="523"/>
        <v>2048</v>
      </c>
      <c r="C2155" s="33" t="s">
        <v>49</v>
      </c>
      <c r="D2155" s="34" t="s">
        <v>128</v>
      </c>
      <c r="E2155" s="35" t="str">
        <f t="shared" si="519"/>
        <v>PNP'!</v>
      </c>
      <c r="F2155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55" s="32" t="s">
        <v>121</v>
      </c>
      <c r="H2155" s="33">
        <f t="shared" si="521"/>
        <v>37</v>
      </c>
      <c r="I2155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ECP\Cantagallo\Cristalina\[CRISTALINA_CF_SEC_New_09-Feb-2024.xlsx]D-PNP'!$DC$37</v>
      </c>
      <c r="J2155" s="37" t="s">
        <v>1116</v>
      </c>
    </row>
    <row r="2156" spans="1:10" x14ac:dyDescent="0.35">
      <c r="A2156" s="32" t="s">
        <v>15</v>
      </c>
      <c r="B2156" s="32">
        <f t="shared" si="523"/>
        <v>2049</v>
      </c>
      <c r="C2156" s="33" t="s">
        <v>49</v>
      </c>
      <c r="D2156" s="34" t="s">
        <v>128</v>
      </c>
      <c r="E2156" s="35" t="str">
        <f t="shared" si="519"/>
        <v>PNP'!</v>
      </c>
      <c r="F2156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56" s="32" t="s">
        <v>121</v>
      </c>
      <c r="H2156" s="33">
        <f t="shared" si="521"/>
        <v>38</v>
      </c>
      <c r="I2156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ECP\Cantagallo\Cristalina\[CRISTALINA_CF_SEC_New_09-Feb-2024.xlsx]D-PNP'!$DC$38</v>
      </c>
      <c r="J2156" s="37" t="s">
        <v>1117</v>
      </c>
    </row>
    <row r="2157" spans="1:10" x14ac:dyDescent="0.35">
      <c r="A2157" s="32" t="s">
        <v>15</v>
      </c>
      <c r="B2157" s="32">
        <f t="shared" si="523"/>
        <v>2050</v>
      </c>
      <c r="C2157" s="33" t="s">
        <v>49</v>
      </c>
      <c r="D2157" s="34" t="s">
        <v>128</v>
      </c>
      <c r="E2157" s="35" t="str">
        <f t="shared" si="519"/>
        <v>PNP'!</v>
      </c>
      <c r="F2157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57" s="32" t="s">
        <v>121</v>
      </c>
      <c r="H2157" s="33">
        <f t="shared" si="521"/>
        <v>39</v>
      </c>
      <c r="I2157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ECP\Cantagallo\Cristalina\[CRISTALINA_CF_SEC_New_09-Feb-2024.xlsx]D-PNP'!$DC$39</v>
      </c>
      <c r="J2157" s="37" t="s">
        <v>1118</v>
      </c>
    </row>
    <row r="2158" spans="1:10" x14ac:dyDescent="0.35">
      <c r="A2158" s="32" t="s">
        <v>15</v>
      </c>
      <c r="B2158" s="32">
        <f t="shared" si="523"/>
        <v>2051</v>
      </c>
      <c r="C2158" s="33" t="s">
        <v>49</v>
      </c>
      <c r="D2158" s="34" t="s">
        <v>128</v>
      </c>
      <c r="E2158" s="35" t="str">
        <f t="shared" si="519"/>
        <v>PNP'!</v>
      </c>
      <c r="F2158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58" s="32" t="s">
        <v>121</v>
      </c>
      <c r="H2158" s="33">
        <f t="shared" si="521"/>
        <v>40</v>
      </c>
      <c r="I2158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ECP\Cantagallo\Cristalina\[CRISTALINA_CF_SEC_New_09-Feb-2024.xlsx]D-PNP'!$DC$40</v>
      </c>
      <c r="J2158" s="37" t="s">
        <v>1119</v>
      </c>
    </row>
    <row r="2159" spans="1:10" x14ac:dyDescent="0.35">
      <c r="A2159" s="32" t="s">
        <v>15</v>
      </c>
      <c r="B2159" s="32">
        <f t="shared" si="523"/>
        <v>2052</v>
      </c>
      <c r="C2159" s="33" t="s">
        <v>49</v>
      </c>
      <c r="D2159" s="34" t="s">
        <v>128</v>
      </c>
      <c r="E2159" s="35" t="str">
        <f t="shared" si="519"/>
        <v>PNP'!</v>
      </c>
      <c r="F2159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59" s="32" t="s">
        <v>121</v>
      </c>
      <c r="H2159" s="33">
        <f t="shared" si="521"/>
        <v>41</v>
      </c>
      <c r="I2159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ECP\Cantagallo\Cristalina\[CRISTALINA_CF_SEC_New_09-Feb-2024.xlsx]D-PNP'!$DC$41</v>
      </c>
      <c r="J2159" s="37" t="s">
        <v>1120</v>
      </c>
    </row>
    <row r="2160" spans="1:10" x14ac:dyDescent="0.35">
      <c r="A2160" s="32" t="s">
        <v>15</v>
      </c>
      <c r="B2160" s="32">
        <f t="shared" si="523"/>
        <v>2053</v>
      </c>
      <c r="C2160" s="33" t="s">
        <v>49</v>
      </c>
      <c r="D2160" s="34" t="s">
        <v>128</v>
      </c>
      <c r="E2160" s="35" t="str">
        <f t="shared" si="519"/>
        <v>PNP'!</v>
      </c>
      <c r="F2160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60" s="32" t="s">
        <v>121</v>
      </c>
      <c r="H2160" s="33">
        <f t="shared" si="521"/>
        <v>42</v>
      </c>
      <c r="I2160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ECP\Cantagallo\Cristalina\[CRISTALINA_CF_SEC_New_09-Feb-2024.xlsx]D-PNP'!$DC$42</v>
      </c>
      <c r="J2160" s="37" t="s">
        <v>1121</v>
      </c>
    </row>
    <row r="2161" spans="1:10" x14ac:dyDescent="0.35">
      <c r="A2161" s="32" t="s">
        <v>15</v>
      </c>
      <c r="B2161" s="32">
        <f t="shared" si="523"/>
        <v>2054</v>
      </c>
      <c r="C2161" s="33" t="s">
        <v>49</v>
      </c>
      <c r="D2161" s="34" t="s">
        <v>128</v>
      </c>
      <c r="E2161" s="35" t="str">
        <f t="shared" si="519"/>
        <v>PNP'!</v>
      </c>
      <c r="F2161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61" s="32" t="s">
        <v>121</v>
      </c>
      <c r="H2161" s="33">
        <f t="shared" si="521"/>
        <v>43</v>
      </c>
      <c r="I2161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ECP\Cantagallo\Cristalina\[CRISTALINA_CF_SEC_New_09-Feb-2024.xlsx]D-PNP'!$DC$43</v>
      </c>
      <c r="J2161" s="37" t="s">
        <v>1122</v>
      </c>
    </row>
    <row r="2162" spans="1:10" x14ac:dyDescent="0.35">
      <c r="A2162" s="32" t="s">
        <v>15</v>
      </c>
      <c r="B2162" s="32">
        <f t="shared" si="523"/>
        <v>2055</v>
      </c>
      <c r="C2162" s="33" t="s">
        <v>49</v>
      </c>
      <c r="D2162" s="34" t="s">
        <v>128</v>
      </c>
      <c r="E2162" s="35" t="str">
        <f t="shared" si="519"/>
        <v>PNP'!</v>
      </c>
      <c r="F2162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62" s="32" t="s">
        <v>121</v>
      </c>
      <c r="H2162" s="33">
        <f t="shared" si="521"/>
        <v>44</v>
      </c>
      <c r="I2162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ECP\Cantagallo\Cristalina\[CRISTALINA_CF_SEC_New_09-Feb-2024.xlsx]D-PNP'!$DC$44</v>
      </c>
      <c r="J2162" s="37" t="s">
        <v>1123</v>
      </c>
    </row>
    <row r="2163" spans="1:10" x14ac:dyDescent="0.35">
      <c r="A2163" s="32" t="s">
        <v>15</v>
      </c>
      <c r="B2163" s="32">
        <f t="shared" si="523"/>
        <v>2056</v>
      </c>
      <c r="C2163" s="33" t="s">
        <v>49</v>
      </c>
      <c r="D2163" s="34" t="s">
        <v>128</v>
      </c>
      <c r="E2163" s="35" t="str">
        <f t="shared" si="519"/>
        <v>PNP'!</v>
      </c>
      <c r="F2163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63" s="32" t="s">
        <v>121</v>
      </c>
      <c r="H2163" s="33">
        <f t="shared" si="521"/>
        <v>45</v>
      </c>
      <c r="I2163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ECP\Cantagallo\Cristalina\[CRISTALINA_CF_SEC_New_09-Feb-2024.xlsx]D-PNP'!$DC$45</v>
      </c>
      <c r="J2163" s="37" t="s">
        <v>1124</v>
      </c>
    </row>
    <row r="2164" spans="1:10" x14ac:dyDescent="0.35">
      <c r="A2164" s="32" t="s">
        <v>15</v>
      </c>
      <c r="B2164" s="32">
        <f t="shared" si="523"/>
        <v>2057</v>
      </c>
      <c r="C2164" s="33" t="s">
        <v>49</v>
      </c>
      <c r="D2164" s="34" t="s">
        <v>128</v>
      </c>
      <c r="E2164" s="35" t="str">
        <f t="shared" si="519"/>
        <v>PNP'!</v>
      </c>
      <c r="F2164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64" s="32" t="s">
        <v>121</v>
      </c>
      <c r="H2164" s="33">
        <f t="shared" si="521"/>
        <v>46</v>
      </c>
      <c r="I2164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ECP\Cantagallo\Cristalina\[CRISTALINA_CF_SEC_New_09-Feb-2024.xlsx]D-PNP'!$DC$46</v>
      </c>
      <c r="J2164" s="37" t="s">
        <v>1125</v>
      </c>
    </row>
    <row r="2165" spans="1:10" x14ac:dyDescent="0.35">
      <c r="A2165" s="32" t="s">
        <v>15</v>
      </c>
      <c r="B2165" s="32">
        <f t="shared" si="523"/>
        <v>2058</v>
      </c>
      <c r="C2165" s="33" t="s">
        <v>49</v>
      </c>
      <c r="D2165" s="34" t="s">
        <v>128</v>
      </c>
      <c r="E2165" s="35" t="str">
        <f t="shared" si="519"/>
        <v>PNP'!</v>
      </c>
      <c r="F2165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65" s="32" t="s">
        <v>121</v>
      </c>
      <c r="H2165" s="33">
        <f t="shared" si="521"/>
        <v>47</v>
      </c>
      <c r="I2165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ECP\Cantagallo\Cristalina\[CRISTALINA_CF_SEC_New_09-Feb-2024.xlsx]D-PNP'!$DC$47</v>
      </c>
      <c r="J2165" s="37" t="s">
        <v>1126</v>
      </c>
    </row>
    <row r="2166" spans="1:10" x14ac:dyDescent="0.35">
      <c r="A2166" s="32" t="s">
        <v>15</v>
      </c>
      <c r="B2166" s="32">
        <f t="shared" si="523"/>
        <v>2059</v>
      </c>
      <c r="C2166" s="33" t="s">
        <v>49</v>
      </c>
      <c r="D2166" s="34" t="s">
        <v>128</v>
      </c>
      <c r="E2166" s="35" t="str">
        <f t="shared" si="519"/>
        <v>PNP'!</v>
      </c>
      <c r="F2166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66" s="32" t="s">
        <v>121</v>
      </c>
      <c r="H2166" s="33">
        <f t="shared" si="521"/>
        <v>48</v>
      </c>
      <c r="I2166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ECP\Cantagallo\Cristalina\[CRISTALINA_CF_SEC_New_09-Feb-2024.xlsx]D-PNP'!$DC$48</v>
      </c>
      <c r="J2166" s="37" t="s">
        <v>1127</v>
      </c>
    </row>
    <row r="2167" spans="1:10" x14ac:dyDescent="0.35">
      <c r="A2167" s="32" t="s">
        <v>26</v>
      </c>
      <c r="B2167" s="32"/>
      <c r="C2167" s="33" t="s">
        <v>49</v>
      </c>
      <c r="D2167" s="34"/>
      <c r="E2167" s="35"/>
      <c r="F2167" s="34"/>
      <c r="G2167" s="32"/>
      <c r="H2167" s="33"/>
      <c r="I2167" s="33"/>
      <c r="J2167" s="33"/>
    </row>
    <row r="2168" spans="1:10" x14ac:dyDescent="0.35">
      <c r="A2168" s="32" t="s">
        <v>16</v>
      </c>
      <c r="B2168" s="32">
        <v>2023</v>
      </c>
      <c r="C2168" s="33" t="s">
        <v>49</v>
      </c>
      <c r="D2168" s="34" t="s">
        <v>128</v>
      </c>
      <c r="E2168" s="35" t="str">
        <f t="shared" si="503"/>
        <v>PND'!</v>
      </c>
      <c r="F2168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68" s="32" t="s">
        <v>121</v>
      </c>
      <c r="H2168" s="33">
        <v>12</v>
      </c>
      <c r="I2168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ECP\Cantagallo\Cristalina\[CRISTALINA_CF_SEC_New_09-Feb-2024.xlsx]D-PND'!$DC$12</v>
      </c>
      <c r="J2168" s="37" t="s">
        <v>1128</v>
      </c>
    </row>
    <row r="2169" spans="1:10" x14ac:dyDescent="0.35">
      <c r="A2169" s="32" t="s">
        <v>16</v>
      </c>
      <c r="B2169" s="32">
        <f>+B2168+1</f>
        <v>2024</v>
      </c>
      <c r="C2169" s="33" t="s">
        <v>49</v>
      </c>
      <c r="D2169" s="34" t="s">
        <v>128</v>
      </c>
      <c r="E2169" s="35" t="str">
        <f t="shared" si="503"/>
        <v>PND'!</v>
      </c>
      <c r="F2169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69" s="32" t="s">
        <v>121</v>
      </c>
      <c r="H2169" s="33">
        <f t="shared" ref="H2169:H2188" si="524">IF(A2169&lt;&gt;A2168,12,H2168+1)</f>
        <v>13</v>
      </c>
      <c r="I2169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ECP\Cantagallo\Cristalina\[CRISTALINA_CF_SEC_New_09-Feb-2024.xlsx]D-PND'!$DC$13</v>
      </c>
      <c r="J2169" s="37" t="s">
        <v>1129</v>
      </c>
    </row>
    <row r="2170" spans="1:10" x14ac:dyDescent="0.35">
      <c r="A2170" s="32" t="s">
        <v>16</v>
      </c>
      <c r="B2170" s="32">
        <f t="shared" ref="B2170:B2181" si="525">+B2169+1</f>
        <v>2025</v>
      </c>
      <c r="C2170" s="33" t="s">
        <v>49</v>
      </c>
      <c r="D2170" s="34" t="s">
        <v>128</v>
      </c>
      <c r="E2170" s="35" t="str">
        <f t="shared" si="503"/>
        <v>PND'!</v>
      </c>
      <c r="F2170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70" s="32" t="s">
        <v>121</v>
      </c>
      <c r="H2170" s="33">
        <f t="shared" si="524"/>
        <v>14</v>
      </c>
      <c r="I2170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ECP\Cantagallo\Cristalina\[CRISTALINA_CF_SEC_New_09-Feb-2024.xlsx]D-PND'!$DC$14</v>
      </c>
      <c r="J2170" s="37" t="s">
        <v>1130</v>
      </c>
    </row>
    <row r="2171" spans="1:10" x14ac:dyDescent="0.35">
      <c r="A2171" s="32" t="s">
        <v>16</v>
      </c>
      <c r="B2171" s="32">
        <f t="shared" si="525"/>
        <v>2026</v>
      </c>
      <c r="C2171" s="33" t="s">
        <v>49</v>
      </c>
      <c r="D2171" s="34" t="s">
        <v>128</v>
      </c>
      <c r="E2171" s="35" t="str">
        <f t="shared" si="503"/>
        <v>PND'!</v>
      </c>
      <c r="F2171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71" s="32" t="s">
        <v>121</v>
      </c>
      <c r="H2171" s="33">
        <f t="shared" si="524"/>
        <v>15</v>
      </c>
      <c r="I2171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ECP\Cantagallo\Cristalina\[CRISTALINA_CF_SEC_New_09-Feb-2024.xlsx]D-PND'!$DC$15</v>
      </c>
      <c r="J2171" s="37" t="s">
        <v>1131</v>
      </c>
    </row>
    <row r="2172" spans="1:10" x14ac:dyDescent="0.35">
      <c r="A2172" s="32" t="s">
        <v>16</v>
      </c>
      <c r="B2172" s="32">
        <f t="shared" si="525"/>
        <v>2027</v>
      </c>
      <c r="C2172" s="33" t="s">
        <v>49</v>
      </c>
      <c r="D2172" s="34" t="s">
        <v>128</v>
      </c>
      <c r="E2172" s="35" t="str">
        <f t="shared" si="503"/>
        <v>PND'!</v>
      </c>
      <c r="F2172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72" s="32" t="s">
        <v>121</v>
      </c>
      <c r="H2172" s="33">
        <f t="shared" si="524"/>
        <v>16</v>
      </c>
      <c r="I2172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ECP\Cantagallo\Cristalina\[CRISTALINA_CF_SEC_New_09-Feb-2024.xlsx]D-PND'!$DC$16</v>
      </c>
      <c r="J2172" s="37" t="s">
        <v>1132</v>
      </c>
    </row>
    <row r="2173" spans="1:10" x14ac:dyDescent="0.35">
      <c r="A2173" s="32" t="s">
        <v>16</v>
      </c>
      <c r="B2173" s="32">
        <f t="shared" si="525"/>
        <v>2028</v>
      </c>
      <c r="C2173" s="33" t="s">
        <v>49</v>
      </c>
      <c r="D2173" s="34" t="s">
        <v>128</v>
      </c>
      <c r="E2173" s="35" t="str">
        <f t="shared" si="503"/>
        <v>PND'!</v>
      </c>
      <c r="F2173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73" s="32" t="s">
        <v>121</v>
      </c>
      <c r="H2173" s="33">
        <f t="shared" si="524"/>
        <v>17</v>
      </c>
      <c r="I2173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ECP\Cantagallo\Cristalina\[CRISTALINA_CF_SEC_New_09-Feb-2024.xlsx]D-PND'!$DC$17</v>
      </c>
      <c r="J2173" s="37" t="s">
        <v>1133</v>
      </c>
    </row>
    <row r="2174" spans="1:10" x14ac:dyDescent="0.35">
      <c r="A2174" s="32" t="s">
        <v>16</v>
      </c>
      <c r="B2174" s="32">
        <f t="shared" si="525"/>
        <v>2029</v>
      </c>
      <c r="C2174" s="33" t="s">
        <v>49</v>
      </c>
      <c r="D2174" s="34" t="s">
        <v>128</v>
      </c>
      <c r="E2174" s="35" t="str">
        <f t="shared" si="503"/>
        <v>PND'!</v>
      </c>
      <c r="F2174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74" s="32" t="s">
        <v>121</v>
      </c>
      <c r="H2174" s="33">
        <f t="shared" si="524"/>
        <v>18</v>
      </c>
      <c r="I2174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ECP\Cantagallo\Cristalina\[CRISTALINA_CF_SEC_New_09-Feb-2024.xlsx]D-PND'!$DC$18</v>
      </c>
      <c r="J2174" s="37" t="s">
        <v>1134</v>
      </c>
    </row>
    <row r="2175" spans="1:10" x14ac:dyDescent="0.35">
      <c r="A2175" s="32" t="s">
        <v>16</v>
      </c>
      <c r="B2175" s="32">
        <f t="shared" si="525"/>
        <v>2030</v>
      </c>
      <c r="C2175" s="33" t="s">
        <v>49</v>
      </c>
      <c r="D2175" s="34" t="s">
        <v>128</v>
      </c>
      <c r="E2175" s="35" t="str">
        <f t="shared" si="503"/>
        <v>PND'!</v>
      </c>
      <c r="F2175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75" s="32" t="s">
        <v>121</v>
      </c>
      <c r="H2175" s="33">
        <f t="shared" si="524"/>
        <v>19</v>
      </c>
      <c r="I2175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ECP\Cantagallo\Cristalina\[CRISTALINA_CF_SEC_New_09-Feb-2024.xlsx]D-PND'!$DC$19</v>
      </c>
      <c r="J2175" s="37" t="s">
        <v>1135</v>
      </c>
    </row>
    <row r="2176" spans="1:10" x14ac:dyDescent="0.35">
      <c r="A2176" s="32" t="s">
        <v>16</v>
      </c>
      <c r="B2176" s="32">
        <f t="shared" si="525"/>
        <v>2031</v>
      </c>
      <c r="C2176" s="33" t="s">
        <v>49</v>
      </c>
      <c r="D2176" s="34" t="s">
        <v>128</v>
      </c>
      <c r="E2176" s="35" t="str">
        <f t="shared" si="503"/>
        <v>PND'!</v>
      </c>
      <c r="F2176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76" s="32" t="s">
        <v>121</v>
      </c>
      <c r="H2176" s="33">
        <f t="shared" si="524"/>
        <v>20</v>
      </c>
      <c r="I2176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ECP\Cantagallo\Cristalina\[CRISTALINA_CF_SEC_New_09-Feb-2024.xlsx]D-PND'!$DC$20</v>
      </c>
      <c r="J2176" s="37" t="s">
        <v>1136</v>
      </c>
    </row>
    <row r="2177" spans="1:10" x14ac:dyDescent="0.35">
      <c r="A2177" s="32" t="s">
        <v>16</v>
      </c>
      <c r="B2177" s="32">
        <f t="shared" si="525"/>
        <v>2032</v>
      </c>
      <c r="C2177" s="33" t="s">
        <v>49</v>
      </c>
      <c r="D2177" s="34" t="s">
        <v>128</v>
      </c>
      <c r="E2177" s="35" t="str">
        <f t="shared" si="503"/>
        <v>PND'!</v>
      </c>
      <c r="F2177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77" s="32" t="s">
        <v>121</v>
      </c>
      <c r="H2177" s="33">
        <f t="shared" si="524"/>
        <v>21</v>
      </c>
      <c r="I2177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ECP\Cantagallo\Cristalina\[CRISTALINA_CF_SEC_New_09-Feb-2024.xlsx]D-PND'!$DC$21</v>
      </c>
      <c r="J2177" s="37" t="s">
        <v>1137</v>
      </c>
    </row>
    <row r="2178" spans="1:10" x14ac:dyDescent="0.35">
      <c r="A2178" s="32" t="s">
        <v>16</v>
      </c>
      <c r="B2178" s="32">
        <f t="shared" si="525"/>
        <v>2033</v>
      </c>
      <c r="C2178" s="33" t="s">
        <v>49</v>
      </c>
      <c r="D2178" s="34" t="s">
        <v>128</v>
      </c>
      <c r="E2178" s="35" t="str">
        <f t="shared" si="503"/>
        <v>PND'!</v>
      </c>
      <c r="F2178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78" s="32" t="s">
        <v>121</v>
      </c>
      <c r="H2178" s="33">
        <f t="shared" si="524"/>
        <v>22</v>
      </c>
      <c r="I2178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ECP\Cantagallo\Cristalina\[CRISTALINA_CF_SEC_New_09-Feb-2024.xlsx]D-PND'!$DC$22</v>
      </c>
      <c r="J2178" s="37" t="s">
        <v>1138</v>
      </c>
    </row>
    <row r="2179" spans="1:10" x14ac:dyDescent="0.35">
      <c r="A2179" s="32" t="s">
        <v>16</v>
      </c>
      <c r="B2179" s="32">
        <f t="shared" si="525"/>
        <v>2034</v>
      </c>
      <c r="C2179" s="33" t="s">
        <v>49</v>
      </c>
      <c r="D2179" s="34" t="s">
        <v>128</v>
      </c>
      <c r="E2179" s="35" t="str">
        <f t="shared" si="503"/>
        <v>PND'!</v>
      </c>
      <c r="F2179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79" s="32" t="s">
        <v>121</v>
      </c>
      <c r="H2179" s="33">
        <f t="shared" si="524"/>
        <v>23</v>
      </c>
      <c r="I2179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ECP\Cantagallo\Cristalina\[CRISTALINA_CF_SEC_New_09-Feb-2024.xlsx]D-PND'!$DC$23</v>
      </c>
      <c r="J2179" s="37" t="s">
        <v>1139</v>
      </c>
    </row>
    <row r="2180" spans="1:10" x14ac:dyDescent="0.35">
      <c r="A2180" s="32" t="s">
        <v>16</v>
      </c>
      <c r="B2180" s="32">
        <f t="shared" si="525"/>
        <v>2035</v>
      </c>
      <c r="C2180" s="33" t="s">
        <v>49</v>
      </c>
      <c r="D2180" s="34" t="s">
        <v>128</v>
      </c>
      <c r="E2180" s="35" t="str">
        <f t="shared" si="503"/>
        <v>PND'!</v>
      </c>
      <c r="F2180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80" s="32" t="s">
        <v>121</v>
      </c>
      <c r="H2180" s="33">
        <f t="shared" si="524"/>
        <v>24</v>
      </c>
      <c r="I2180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ECP\Cantagallo\Cristalina\[CRISTALINA_CF_SEC_New_09-Feb-2024.xlsx]D-PND'!$DC$24</v>
      </c>
      <c r="J2180" s="37" t="s">
        <v>1140</v>
      </c>
    </row>
    <row r="2181" spans="1:10" x14ac:dyDescent="0.35">
      <c r="A2181" s="32" t="s">
        <v>16</v>
      </c>
      <c r="B2181" s="32">
        <f t="shared" si="525"/>
        <v>2036</v>
      </c>
      <c r="C2181" s="33" t="s">
        <v>49</v>
      </c>
      <c r="D2181" s="34" t="s">
        <v>128</v>
      </c>
      <c r="E2181" s="35" t="str">
        <f t="shared" si="503"/>
        <v>PND'!</v>
      </c>
      <c r="F2181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81" s="32" t="s">
        <v>121</v>
      </c>
      <c r="H2181" s="33">
        <f t="shared" si="524"/>
        <v>25</v>
      </c>
      <c r="I2181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ECP\Cantagallo\Cristalina\[CRISTALINA_CF_SEC_New_09-Feb-2024.xlsx]D-PND'!$DC$25</v>
      </c>
      <c r="J2181" s="37" t="s">
        <v>1141</v>
      </c>
    </row>
    <row r="2182" spans="1:10" x14ac:dyDescent="0.35">
      <c r="A2182" s="32" t="s">
        <v>16</v>
      </c>
      <c r="B2182" s="32">
        <f>+B2181+1</f>
        <v>2037</v>
      </c>
      <c r="C2182" s="33" t="s">
        <v>49</v>
      </c>
      <c r="D2182" s="34" t="s">
        <v>128</v>
      </c>
      <c r="E2182" s="35" t="str">
        <f t="shared" si="503"/>
        <v>PND'!</v>
      </c>
      <c r="F2182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82" s="32" t="s">
        <v>121</v>
      </c>
      <c r="H2182" s="33">
        <f t="shared" si="524"/>
        <v>26</v>
      </c>
      <c r="I2182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ECP\Cantagallo\Cristalina\[CRISTALINA_CF_SEC_New_09-Feb-2024.xlsx]D-PND'!$DC$26</v>
      </c>
      <c r="J2182" s="37" t="s">
        <v>1142</v>
      </c>
    </row>
    <row r="2183" spans="1:10" x14ac:dyDescent="0.35">
      <c r="A2183" s="32" t="s">
        <v>16</v>
      </c>
      <c r="B2183" s="32">
        <f t="shared" ref="B2183:B2185" si="526">+B2182+1</f>
        <v>2038</v>
      </c>
      <c r="C2183" s="33" t="s">
        <v>49</v>
      </c>
      <c r="D2183" s="34" t="s">
        <v>128</v>
      </c>
      <c r="E2183" s="35" t="str">
        <f t="shared" si="503"/>
        <v>PND'!</v>
      </c>
      <c r="F2183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83" s="32" t="s">
        <v>121</v>
      </c>
      <c r="H2183" s="33">
        <f t="shared" si="524"/>
        <v>27</v>
      </c>
      <c r="I2183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ECP\Cantagallo\Cristalina\[CRISTALINA_CF_SEC_New_09-Feb-2024.xlsx]D-PND'!$DC$27</v>
      </c>
      <c r="J2183" s="37" t="s">
        <v>1143</v>
      </c>
    </row>
    <row r="2184" spans="1:10" x14ac:dyDescent="0.35">
      <c r="A2184" s="32" t="s">
        <v>16</v>
      </c>
      <c r="B2184" s="32">
        <f t="shared" si="526"/>
        <v>2039</v>
      </c>
      <c r="C2184" s="33" t="s">
        <v>49</v>
      </c>
      <c r="D2184" s="34" t="s">
        <v>128</v>
      </c>
      <c r="E2184" s="35" t="str">
        <f t="shared" si="503"/>
        <v>PND'!</v>
      </c>
      <c r="F2184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84" s="32" t="s">
        <v>121</v>
      </c>
      <c r="H2184" s="33">
        <f t="shared" si="524"/>
        <v>28</v>
      </c>
      <c r="I2184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ECP\Cantagallo\Cristalina\[CRISTALINA_CF_SEC_New_09-Feb-2024.xlsx]D-PND'!$DC$28</v>
      </c>
      <c r="J2184" s="37" t="s">
        <v>1144</v>
      </c>
    </row>
    <row r="2185" spans="1:10" x14ac:dyDescent="0.35">
      <c r="A2185" s="32" t="s">
        <v>16</v>
      </c>
      <c r="B2185" s="32">
        <f t="shared" si="526"/>
        <v>2040</v>
      </c>
      <c r="C2185" s="33" t="s">
        <v>49</v>
      </c>
      <c r="D2185" s="34" t="s">
        <v>128</v>
      </c>
      <c r="E2185" s="35" t="str">
        <f t="shared" si="503"/>
        <v>PND'!</v>
      </c>
      <c r="F2185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85" s="32" t="s">
        <v>121</v>
      </c>
      <c r="H2185" s="33">
        <f t="shared" si="524"/>
        <v>29</v>
      </c>
      <c r="I2185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ECP\Cantagallo\Cristalina\[CRISTALINA_CF_SEC_New_09-Feb-2024.xlsx]D-PND'!$DC$29</v>
      </c>
      <c r="J2185" s="37" t="s">
        <v>1145</v>
      </c>
    </row>
    <row r="2186" spans="1:10" x14ac:dyDescent="0.35">
      <c r="A2186" s="32" t="s">
        <v>16</v>
      </c>
      <c r="B2186" s="32">
        <f>+B2185+1</f>
        <v>2041</v>
      </c>
      <c r="C2186" s="33" t="s">
        <v>49</v>
      </c>
      <c r="D2186" s="34" t="s">
        <v>128</v>
      </c>
      <c r="E2186" s="35" t="str">
        <f t="shared" si="503"/>
        <v>PND'!</v>
      </c>
      <c r="F2186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86" s="32" t="s">
        <v>121</v>
      </c>
      <c r="H2186" s="33">
        <f t="shared" si="524"/>
        <v>30</v>
      </c>
      <c r="I2186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ECP\Cantagallo\Cristalina\[CRISTALINA_CF_SEC_New_09-Feb-2024.xlsx]D-PND'!$DC$30</v>
      </c>
      <c r="J2186" s="37" t="s">
        <v>1146</v>
      </c>
    </row>
    <row r="2187" spans="1:10" x14ac:dyDescent="0.35">
      <c r="A2187" s="32" t="s">
        <v>16</v>
      </c>
      <c r="B2187" s="32">
        <f t="shared" ref="B2187:B2188" si="527">+B2186+1</f>
        <v>2042</v>
      </c>
      <c r="C2187" s="33" t="s">
        <v>49</v>
      </c>
      <c r="D2187" s="34" t="s">
        <v>128</v>
      </c>
      <c r="E2187" s="35" t="str">
        <f t="shared" ref="E2187:E2340" si="528">_xlfn.CONCAT(A2187,"'!")</f>
        <v>PND'!</v>
      </c>
      <c r="F2187" s="34" t="str">
        <f t="shared" ref="F2187:F2358" si="529">_xlfn.CONCAT(D2187:E2187)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87" s="32" t="s">
        <v>121</v>
      </c>
      <c r="H2187" s="33">
        <f t="shared" si="524"/>
        <v>31</v>
      </c>
      <c r="I2187" s="33" t="str">
        <f t="shared" ref="I2187:I2340" si="530">_xlfn.CONCAT("='",F2187:H2187)</f>
        <v>='C:\Users\jaime.benazar\Quorum Business Solutions\Ecopetrol Prometeo - Documents\Planning Space Implementation\3. Analysis &amp; Design\Design\FC22\DRR Jaime\Por presentar a ECP\Cantagallo\Cristalina\[CRISTALINA_CF_SEC_New_09-Feb-2024.xlsx]D-PND'!$DC$31</v>
      </c>
      <c r="J2187" s="37" t="s">
        <v>1147</v>
      </c>
    </row>
    <row r="2188" spans="1:10" x14ac:dyDescent="0.35">
      <c r="A2188" s="32" t="s">
        <v>16</v>
      </c>
      <c r="B2188" s="32">
        <f t="shared" si="527"/>
        <v>2043</v>
      </c>
      <c r="C2188" s="33" t="s">
        <v>49</v>
      </c>
      <c r="D2188" s="34" t="s">
        <v>128</v>
      </c>
      <c r="E2188" s="35" t="str">
        <f t="shared" si="528"/>
        <v>PND'!</v>
      </c>
      <c r="F2188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88" s="32" t="s">
        <v>121</v>
      </c>
      <c r="H2188" s="33">
        <f t="shared" si="524"/>
        <v>32</v>
      </c>
      <c r="I2188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ECP\Cantagallo\Cristalina\[CRISTALINA_CF_SEC_New_09-Feb-2024.xlsx]D-PND'!$DC$32</v>
      </c>
      <c r="J2188" s="37" t="s">
        <v>1148</v>
      </c>
    </row>
    <row r="2189" spans="1:10" x14ac:dyDescent="0.35">
      <c r="A2189" s="32" t="s">
        <v>16</v>
      </c>
      <c r="B2189" s="32">
        <f>+B2188+1</f>
        <v>2044</v>
      </c>
      <c r="C2189" s="33" t="s">
        <v>49</v>
      </c>
      <c r="D2189" s="34" t="s">
        <v>128</v>
      </c>
      <c r="E2189" s="35" t="str">
        <f t="shared" ref="E2189:E2204" si="531">_xlfn.CONCAT(A2189,"'!")</f>
        <v>PND'!</v>
      </c>
      <c r="F2189" s="34" t="str">
        <f t="shared" ref="F2189:F2204" si="532">_xlfn.CONCAT(D2189:E2189)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89" s="32" t="s">
        <v>121</v>
      </c>
      <c r="H2189" s="33">
        <f t="shared" ref="H2189:H2204" si="533">IF(A2189&lt;&gt;A2188,12,H2188+1)</f>
        <v>33</v>
      </c>
      <c r="I2189" s="33" t="str">
        <f t="shared" ref="I2189:I2204" si="534">_xlfn.CONCAT("='",F2189:H2189)</f>
        <v>='C:\Users\jaime.benazar\Quorum Business Solutions\Ecopetrol Prometeo - Documents\Planning Space Implementation\3. Analysis &amp; Design\Design\FC22\DRR Jaime\Por presentar a ECP\Cantagallo\Cristalina\[CRISTALINA_CF_SEC_New_09-Feb-2024.xlsx]D-PND'!$DC$33</v>
      </c>
      <c r="J2189" s="37" t="s">
        <v>1149</v>
      </c>
    </row>
    <row r="2190" spans="1:10" x14ac:dyDescent="0.35">
      <c r="A2190" s="32" t="s">
        <v>16</v>
      </c>
      <c r="B2190" s="32">
        <f t="shared" ref="B2190:B2204" si="535">+B2189+1</f>
        <v>2045</v>
      </c>
      <c r="C2190" s="33" t="s">
        <v>49</v>
      </c>
      <c r="D2190" s="34" t="s">
        <v>128</v>
      </c>
      <c r="E2190" s="35" t="str">
        <f t="shared" si="531"/>
        <v>PND'!</v>
      </c>
      <c r="F2190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90" s="32" t="s">
        <v>121</v>
      </c>
      <c r="H2190" s="33">
        <f t="shared" si="533"/>
        <v>34</v>
      </c>
      <c r="I2190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ECP\Cantagallo\Cristalina\[CRISTALINA_CF_SEC_New_09-Feb-2024.xlsx]D-PND'!$DC$34</v>
      </c>
      <c r="J2190" s="37" t="s">
        <v>1150</v>
      </c>
    </row>
    <row r="2191" spans="1:10" x14ac:dyDescent="0.35">
      <c r="A2191" s="32" t="s">
        <v>16</v>
      </c>
      <c r="B2191" s="32">
        <f t="shared" si="535"/>
        <v>2046</v>
      </c>
      <c r="C2191" s="33" t="s">
        <v>49</v>
      </c>
      <c r="D2191" s="34" t="s">
        <v>128</v>
      </c>
      <c r="E2191" s="35" t="str">
        <f t="shared" si="531"/>
        <v>PND'!</v>
      </c>
      <c r="F2191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91" s="32" t="s">
        <v>121</v>
      </c>
      <c r="H2191" s="33">
        <f t="shared" si="533"/>
        <v>35</v>
      </c>
      <c r="I2191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ECP\Cantagallo\Cristalina\[CRISTALINA_CF_SEC_New_09-Feb-2024.xlsx]D-PND'!$DC$35</v>
      </c>
      <c r="J2191" s="37" t="s">
        <v>1151</v>
      </c>
    </row>
    <row r="2192" spans="1:10" x14ac:dyDescent="0.35">
      <c r="A2192" s="32" t="s">
        <v>16</v>
      </c>
      <c r="B2192" s="32">
        <f t="shared" si="535"/>
        <v>2047</v>
      </c>
      <c r="C2192" s="33" t="s">
        <v>49</v>
      </c>
      <c r="D2192" s="34" t="s">
        <v>128</v>
      </c>
      <c r="E2192" s="35" t="str">
        <f t="shared" si="531"/>
        <v>PND'!</v>
      </c>
      <c r="F2192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92" s="32" t="s">
        <v>121</v>
      </c>
      <c r="H2192" s="33">
        <f t="shared" si="533"/>
        <v>36</v>
      </c>
      <c r="I2192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ECP\Cantagallo\Cristalina\[CRISTALINA_CF_SEC_New_09-Feb-2024.xlsx]D-PND'!$DC$36</v>
      </c>
      <c r="J2192" s="37" t="s">
        <v>1152</v>
      </c>
    </row>
    <row r="2193" spans="1:10" x14ac:dyDescent="0.35">
      <c r="A2193" s="32" t="s">
        <v>16</v>
      </c>
      <c r="B2193" s="32">
        <f t="shared" si="535"/>
        <v>2048</v>
      </c>
      <c r="C2193" s="33" t="s">
        <v>49</v>
      </c>
      <c r="D2193" s="34" t="s">
        <v>128</v>
      </c>
      <c r="E2193" s="35" t="str">
        <f t="shared" si="531"/>
        <v>PND'!</v>
      </c>
      <c r="F2193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93" s="32" t="s">
        <v>121</v>
      </c>
      <c r="H2193" s="33">
        <f t="shared" si="533"/>
        <v>37</v>
      </c>
      <c r="I2193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ECP\Cantagallo\Cristalina\[CRISTALINA_CF_SEC_New_09-Feb-2024.xlsx]D-PND'!$DC$37</v>
      </c>
      <c r="J2193" s="37" t="s">
        <v>1153</v>
      </c>
    </row>
    <row r="2194" spans="1:10" x14ac:dyDescent="0.35">
      <c r="A2194" s="32" t="s">
        <v>16</v>
      </c>
      <c r="B2194" s="32">
        <f t="shared" si="535"/>
        <v>2049</v>
      </c>
      <c r="C2194" s="33" t="s">
        <v>49</v>
      </c>
      <c r="D2194" s="34" t="s">
        <v>128</v>
      </c>
      <c r="E2194" s="35" t="str">
        <f t="shared" si="531"/>
        <v>PND'!</v>
      </c>
      <c r="F2194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94" s="32" t="s">
        <v>121</v>
      </c>
      <c r="H2194" s="33">
        <f t="shared" si="533"/>
        <v>38</v>
      </c>
      <c r="I2194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ECP\Cantagallo\Cristalina\[CRISTALINA_CF_SEC_New_09-Feb-2024.xlsx]D-PND'!$DC$38</v>
      </c>
      <c r="J2194" s="37" t="s">
        <v>1154</v>
      </c>
    </row>
    <row r="2195" spans="1:10" x14ac:dyDescent="0.35">
      <c r="A2195" s="32" t="s">
        <v>16</v>
      </c>
      <c r="B2195" s="32">
        <f t="shared" si="535"/>
        <v>2050</v>
      </c>
      <c r="C2195" s="33" t="s">
        <v>49</v>
      </c>
      <c r="D2195" s="34" t="s">
        <v>128</v>
      </c>
      <c r="E2195" s="35" t="str">
        <f t="shared" si="531"/>
        <v>PND'!</v>
      </c>
      <c r="F2195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95" s="32" t="s">
        <v>121</v>
      </c>
      <c r="H2195" s="33">
        <f t="shared" si="533"/>
        <v>39</v>
      </c>
      <c r="I2195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ECP\Cantagallo\Cristalina\[CRISTALINA_CF_SEC_New_09-Feb-2024.xlsx]D-PND'!$DC$39</v>
      </c>
      <c r="J2195" s="37" t="s">
        <v>1155</v>
      </c>
    </row>
    <row r="2196" spans="1:10" x14ac:dyDescent="0.35">
      <c r="A2196" s="32" t="s">
        <v>16</v>
      </c>
      <c r="B2196" s="32">
        <f t="shared" si="535"/>
        <v>2051</v>
      </c>
      <c r="C2196" s="33" t="s">
        <v>49</v>
      </c>
      <c r="D2196" s="34" t="s">
        <v>128</v>
      </c>
      <c r="E2196" s="35" t="str">
        <f t="shared" si="531"/>
        <v>PND'!</v>
      </c>
      <c r="F2196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96" s="32" t="s">
        <v>121</v>
      </c>
      <c r="H2196" s="33">
        <f t="shared" si="533"/>
        <v>40</v>
      </c>
      <c r="I2196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ECP\Cantagallo\Cristalina\[CRISTALINA_CF_SEC_New_09-Feb-2024.xlsx]D-PND'!$DC$40</v>
      </c>
      <c r="J2196" s="37" t="s">
        <v>1156</v>
      </c>
    </row>
    <row r="2197" spans="1:10" x14ac:dyDescent="0.35">
      <c r="A2197" s="32" t="s">
        <v>16</v>
      </c>
      <c r="B2197" s="32">
        <f t="shared" si="535"/>
        <v>2052</v>
      </c>
      <c r="C2197" s="33" t="s">
        <v>49</v>
      </c>
      <c r="D2197" s="34" t="s">
        <v>128</v>
      </c>
      <c r="E2197" s="35" t="str">
        <f t="shared" si="531"/>
        <v>PND'!</v>
      </c>
      <c r="F2197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97" s="32" t="s">
        <v>121</v>
      </c>
      <c r="H2197" s="33">
        <f t="shared" si="533"/>
        <v>41</v>
      </c>
      <c r="I2197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ECP\Cantagallo\Cristalina\[CRISTALINA_CF_SEC_New_09-Feb-2024.xlsx]D-PND'!$DC$41</v>
      </c>
      <c r="J2197" s="37" t="s">
        <v>1157</v>
      </c>
    </row>
    <row r="2198" spans="1:10" x14ac:dyDescent="0.35">
      <c r="A2198" s="32" t="s">
        <v>16</v>
      </c>
      <c r="B2198" s="32">
        <f t="shared" si="535"/>
        <v>2053</v>
      </c>
      <c r="C2198" s="33" t="s">
        <v>49</v>
      </c>
      <c r="D2198" s="34" t="s">
        <v>128</v>
      </c>
      <c r="E2198" s="35" t="str">
        <f t="shared" si="531"/>
        <v>PND'!</v>
      </c>
      <c r="F2198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98" s="32" t="s">
        <v>121</v>
      </c>
      <c r="H2198" s="33">
        <f t="shared" si="533"/>
        <v>42</v>
      </c>
      <c r="I2198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ECP\Cantagallo\Cristalina\[CRISTALINA_CF_SEC_New_09-Feb-2024.xlsx]D-PND'!$DC$42</v>
      </c>
      <c r="J2198" s="37" t="s">
        <v>1158</v>
      </c>
    </row>
    <row r="2199" spans="1:10" x14ac:dyDescent="0.35">
      <c r="A2199" s="32" t="s">
        <v>16</v>
      </c>
      <c r="B2199" s="32">
        <f t="shared" si="535"/>
        <v>2054</v>
      </c>
      <c r="C2199" s="33" t="s">
        <v>49</v>
      </c>
      <c r="D2199" s="34" t="s">
        <v>128</v>
      </c>
      <c r="E2199" s="35" t="str">
        <f t="shared" si="531"/>
        <v>PND'!</v>
      </c>
      <c r="F2199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99" s="32" t="s">
        <v>121</v>
      </c>
      <c r="H2199" s="33">
        <f t="shared" si="533"/>
        <v>43</v>
      </c>
      <c r="I2199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ECP\Cantagallo\Cristalina\[CRISTALINA_CF_SEC_New_09-Feb-2024.xlsx]D-PND'!$DC$43</v>
      </c>
      <c r="J2199" s="37" t="s">
        <v>1159</v>
      </c>
    </row>
    <row r="2200" spans="1:10" x14ac:dyDescent="0.35">
      <c r="A2200" s="32" t="s">
        <v>16</v>
      </c>
      <c r="B2200" s="32">
        <f t="shared" si="535"/>
        <v>2055</v>
      </c>
      <c r="C2200" s="33" t="s">
        <v>49</v>
      </c>
      <c r="D2200" s="34" t="s">
        <v>128</v>
      </c>
      <c r="E2200" s="35" t="str">
        <f t="shared" si="531"/>
        <v>PND'!</v>
      </c>
      <c r="F2200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200" s="32" t="s">
        <v>121</v>
      </c>
      <c r="H2200" s="33">
        <f t="shared" si="533"/>
        <v>44</v>
      </c>
      <c r="I2200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ECP\Cantagallo\Cristalina\[CRISTALINA_CF_SEC_New_09-Feb-2024.xlsx]D-PND'!$DC$44</v>
      </c>
      <c r="J2200" s="37" t="s">
        <v>1160</v>
      </c>
    </row>
    <row r="2201" spans="1:10" x14ac:dyDescent="0.35">
      <c r="A2201" s="32" t="s">
        <v>16</v>
      </c>
      <c r="B2201" s="32">
        <f t="shared" si="535"/>
        <v>2056</v>
      </c>
      <c r="C2201" s="33" t="s">
        <v>49</v>
      </c>
      <c r="D2201" s="34" t="s">
        <v>128</v>
      </c>
      <c r="E2201" s="35" t="str">
        <f t="shared" si="531"/>
        <v>PND'!</v>
      </c>
      <c r="F2201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201" s="32" t="s">
        <v>121</v>
      </c>
      <c r="H2201" s="33">
        <f t="shared" si="533"/>
        <v>45</v>
      </c>
      <c r="I2201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ECP\Cantagallo\Cristalina\[CRISTALINA_CF_SEC_New_09-Feb-2024.xlsx]D-PND'!$DC$45</v>
      </c>
      <c r="J2201" s="37" t="s">
        <v>1161</v>
      </c>
    </row>
    <row r="2202" spans="1:10" x14ac:dyDescent="0.35">
      <c r="A2202" s="32" t="s">
        <v>16</v>
      </c>
      <c r="B2202" s="32">
        <f t="shared" si="535"/>
        <v>2057</v>
      </c>
      <c r="C2202" s="33" t="s">
        <v>49</v>
      </c>
      <c r="D2202" s="34" t="s">
        <v>128</v>
      </c>
      <c r="E2202" s="35" t="str">
        <f t="shared" si="531"/>
        <v>PND'!</v>
      </c>
      <c r="F2202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202" s="32" t="s">
        <v>121</v>
      </c>
      <c r="H2202" s="33">
        <f t="shared" si="533"/>
        <v>46</v>
      </c>
      <c r="I2202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ECP\Cantagallo\Cristalina\[CRISTALINA_CF_SEC_New_09-Feb-2024.xlsx]D-PND'!$DC$46</v>
      </c>
      <c r="J2202" s="37" t="s">
        <v>1162</v>
      </c>
    </row>
    <row r="2203" spans="1:10" x14ac:dyDescent="0.35">
      <c r="A2203" s="32" t="s">
        <v>16</v>
      </c>
      <c r="B2203" s="32">
        <f t="shared" si="535"/>
        <v>2058</v>
      </c>
      <c r="C2203" s="33" t="s">
        <v>49</v>
      </c>
      <c r="D2203" s="34" t="s">
        <v>128</v>
      </c>
      <c r="E2203" s="35" t="str">
        <f t="shared" si="531"/>
        <v>PND'!</v>
      </c>
      <c r="F2203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203" s="32" t="s">
        <v>121</v>
      </c>
      <c r="H2203" s="33">
        <f t="shared" si="533"/>
        <v>47</v>
      </c>
      <c r="I2203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ECP\Cantagallo\Cristalina\[CRISTALINA_CF_SEC_New_09-Feb-2024.xlsx]D-PND'!$DC$47</v>
      </c>
      <c r="J2203" s="37" t="s">
        <v>1163</v>
      </c>
    </row>
    <row r="2204" spans="1:10" x14ac:dyDescent="0.35">
      <c r="A2204" s="32" t="s">
        <v>16</v>
      </c>
      <c r="B2204" s="32">
        <f t="shared" si="535"/>
        <v>2059</v>
      </c>
      <c r="C2204" s="33" t="s">
        <v>49</v>
      </c>
      <c r="D2204" s="34" t="s">
        <v>128</v>
      </c>
      <c r="E2204" s="35" t="str">
        <f t="shared" si="531"/>
        <v>PND'!</v>
      </c>
      <c r="F2204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204" s="32" t="s">
        <v>121</v>
      </c>
      <c r="H2204" s="33">
        <f t="shared" si="533"/>
        <v>48</v>
      </c>
      <c r="I2204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ECP\Cantagallo\Cristalina\[CRISTALINA_CF_SEC_New_09-Feb-2024.xlsx]D-PND'!$DC$48</v>
      </c>
      <c r="J2204" s="37" t="s">
        <v>1164</v>
      </c>
    </row>
    <row r="2205" spans="1:10" x14ac:dyDescent="0.35">
      <c r="A2205" s="32" t="s">
        <v>26</v>
      </c>
      <c r="B2205" s="32"/>
      <c r="C2205" s="33" t="s">
        <v>49</v>
      </c>
      <c r="D2205" s="34"/>
      <c r="E2205" s="35"/>
      <c r="F2205" s="34"/>
      <c r="G2205" s="32"/>
      <c r="H2205" s="33"/>
      <c r="I2205" s="33"/>
      <c r="J2205" s="33"/>
    </row>
    <row r="2206" spans="1:10" x14ac:dyDescent="0.35">
      <c r="A2206" s="32" t="s">
        <v>17</v>
      </c>
      <c r="B2206" s="32">
        <v>2023</v>
      </c>
      <c r="C2206" s="33" t="s">
        <v>49</v>
      </c>
      <c r="D2206" s="34" t="s">
        <v>128</v>
      </c>
      <c r="E2206" s="35" t="str">
        <f t="shared" ref="E2206:E2226" si="536">_xlfn.CONCAT(A2206,"'!")</f>
        <v>PRBDP'!</v>
      </c>
      <c r="F2206" s="34" t="str">
        <f t="shared" ref="F2206:F2226" si="537">_xlfn.CONCAT(D2206:E2206)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06" s="32" t="s">
        <v>121</v>
      </c>
      <c r="H2206" s="33"/>
      <c r="I2206" s="33"/>
      <c r="J2206" s="37"/>
    </row>
    <row r="2207" spans="1:10" x14ac:dyDescent="0.35">
      <c r="A2207" s="32" t="s">
        <v>17</v>
      </c>
      <c r="B2207" s="32">
        <f>+B2206+1</f>
        <v>2024</v>
      </c>
      <c r="C2207" s="33" t="s">
        <v>49</v>
      </c>
      <c r="D2207" s="34" t="s">
        <v>128</v>
      </c>
      <c r="E2207" s="35" t="str">
        <f t="shared" si="536"/>
        <v>PRBDP'!</v>
      </c>
      <c r="F2207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07" s="32" t="s">
        <v>121</v>
      </c>
      <c r="H2207" s="33"/>
      <c r="I2207" s="33"/>
      <c r="J2207" s="37"/>
    </row>
    <row r="2208" spans="1:10" x14ac:dyDescent="0.35">
      <c r="A2208" s="32" t="s">
        <v>17</v>
      </c>
      <c r="B2208" s="32">
        <f t="shared" ref="B2208:B2219" si="538">+B2207+1</f>
        <v>2025</v>
      </c>
      <c r="C2208" s="33" t="s">
        <v>49</v>
      </c>
      <c r="D2208" s="34" t="s">
        <v>128</v>
      </c>
      <c r="E2208" s="35" t="str">
        <f t="shared" si="536"/>
        <v>PRBDP'!</v>
      </c>
      <c r="F2208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08" s="32" t="s">
        <v>121</v>
      </c>
      <c r="H2208" s="33"/>
      <c r="I2208" s="33"/>
      <c r="J2208" s="37"/>
    </row>
    <row r="2209" spans="1:10" x14ac:dyDescent="0.35">
      <c r="A2209" s="32" t="s">
        <v>17</v>
      </c>
      <c r="B2209" s="32">
        <f t="shared" si="538"/>
        <v>2026</v>
      </c>
      <c r="C2209" s="33" t="s">
        <v>49</v>
      </c>
      <c r="D2209" s="34" t="s">
        <v>128</v>
      </c>
      <c r="E2209" s="35" t="str">
        <f t="shared" si="536"/>
        <v>PRBDP'!</v>
      </c>
      <c r="F2209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09" s="32" t="s">
        <v>121</v>
      </c>
      <c r="H2209" s="33"/>
      <c r="I2209" s="33"/>
      <c r="J2209" s="37"/>
    </row>
    <row r="2210" spans="1:10" x14ac:dyDescent="0.35">
      <c r="A2210" s="32" t="s">
        <v>17</v>
      </c>
      <c r="B2210" s="32">
        <f t="shared" si="538"/>
        <v>2027</v>
      </c>
      <c r="C2210" s="33" t="s">
        <v>49</v>
      </c>
      <c r="D2210" s="34" t="s">
        <v>128</v>
      </c>
      <c r="E2210" s="35" t="str">
        <f t="shared" si="536"/>
        <v>PRBDP'!</v>
      </c>
      <c r="F2210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10" s="32" t="s">
        <v>121</v>
      </c>
      <c r="H2210" s="33"/>
      <c r="I2210" s="33"/>
      <c r="J2210" s="37"/>
    </row>
    <row r="2211" spans="1:10" x14ac:dyDescent="0.35">
      <c r="A2211" s="32" t="s">
        <v>17</v>
      </c>
      <c r="B2211" s="32">
        <f t="shared" si="538"/>
        <v>2028</v>
      </c>
      <c r="C2211" s="33" t="s">
        <v>49</v>
      </c>
      <c r="D2211" s="34" t="s">
        <v>128</v>
      </c>
      <c r="E2211" s="35" t="str">
        <f t="shared" si="536"/>
        <v>PRBDP'!</v>
      </c>
      <c r="F2211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11" s="32" t="s">
        <v>121</v>
      </c>
      <c r="H2211" s="33"/>
      <c r="I2211" s="33"/>
      <c r="J2211" s="37"/>
    </row>
    <row r="2212" spans="1:10" x14ac:dyDescent="0.35">
      <c r="A2212" s="32" t="s">
        <v>17</v>
      </c>
      <c r="B2212" s="32">
        <f t="shared" si="538"/>
        <v>2029</v>
      </c>
      <c r="C2212" s="33" t="s">
        <v>49</v>
      </c>
      <c r="D2212" s="34" t="s">
        <v>128</v>
      </c>
      <c r="E2212" s="35" t="str">
        <f t="shared" si="536"/>
        <v>PRBDP'!</v>
      </c>
      <c r="F2212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12" s="32" t="s">
        <v>121</v>
      </c>
      <c r="H2212" s="33"/>
      <c r="I2212" s="33"/>
      <c r="J2212" s="37"/>
    </row>
    <row r="2213" spans="1:10" x14ac:dyDescent="0.35">
      <c r="A2213" s="32" t="s">
        <v>17</v>
      </c>
      <c r="B2213" s="32">
        <f t="shared" si="538"/>
        <v>2030</v>
      </c>
      <c r="C2213" s="33" t="s">
        <v>49</v>
      </c>
      <c r="D2213" s="34" t="s">
        <v>128</v>
      </c>
      <c r="E2213" s="35" t="str">
        <f t="shared" si="536"/>
        <v>PRBDP'!</v>
      </c>
      <c r="F2213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13" s="32" t="s">
        <v>121</v>
      </c>
      <c r="H2213" s="33"/>
      <c r="I2213" s="33"/>
      <c r="J2213" s="37"/>
    </row>
    <row r="2214" spans="1:10" x14ac:dyDescent="0.35">
      <c r="A2214" s="32" t="s">
        <v>17</v>
      </c>
      <c r="B2214" s="32">
        <f t="shared" si="538"/>
        <v>2031</v>
      </c>
      <c r="C2214" s="33" t="s">
        <v>49</v>
      </c>
      <c r="D2214" s="34" t="s">
        <v>128</v>
      </c>
      <c r="E2214" s="35" t="str">
        <f t="shared" si="536"/>
        <v>PRBDP'!</v>
      </c>
      <c r="F2214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14" s="32" t="s">
        <v>121</v>
      </c>
      <c r="H2214" s="33"/>
      <c r="I2214" s="33"/>
      <c r="J2214" s="37"/>
    </row>
    <row r="2215" spans="1:10" x14ac:dyDescent="0.35">
      <c r="A2215" s="32" t="s">
        <v>17</v>
      </c>
      <c r="B2215" s="32">
        <f t="shared" si="538"/>
        <v>2032</v>
      </c>
      <c r="C2215" s="33" t="s">
        <v>49</v>
      </c>
      <c r="D2215" s="34" t="s">
        <v>128</v>
      </c>
      <c r="E2215" s="35" t="str">
        <f t="shared" si="536"/>
        <v>PRBDP'!</v>
      </c>
      <c r="F2215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15" s="32" t="s">
        <v>121</v>
      </c>
      <c r="H2215" s="33"/>
      <c r="I2215" s="33"/>
      <c r="J2215" s="37"/>
    </row>
    <row r="2216" spans="1:10" x14ac:dyDescent="0.35">
      <c r="A2216" s="32" t="s">
        <v>17</v>
      </c>
      <c r="B2216" s="32">
        <f t="shared" si="538"/>
        <v>2033</v>
      </c>
      <c r="C2216" s="33" t="s">
        <v>49</v>
      </c>
      <c r="D2216" s="34" t="s">
        <v>128</v>
      </c>
      <c r="E2216" s="35" t="str">
        <f t="shared" si="536"/>
        <v>PRBDP'!</v>
      </c>
      <c r="F2216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16" s="32" t="s">
        <v>121</v>
      </c>
      <c r="H2216" s="33"/>
      <c r="I2216" s="33"/>
      <c r="J2216" s="37"/>
    </row>
    <row r="2217" spans="1:10" x14ac:dyDescent="0.35">
      <c r="A2217" s="32" t="s">
        <v>17</v>
      </c>
      <c r="B2217" s="32">
        <f t="shared" si="538"/>
        <v>2034</v>
      </c>
      <c r="C2217" s="33" t="s">
        <v>49</v>
      </c>
      <c r="D2217" s="34" t="s">
        <v>128</v>
      </c>
      <c r="E2217" s="35" t="str">
        <f t="shared" si="536"/>
        <v>PRBDP'!</v>
      </c>
      <c r="F2217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17" s="32" t="s">
        <v>121</v>
      </c>
      <c r="H2217" s="33"/>
      <c r="I2217" s="33"/>
      <c r="J2217" s="37"/>
    </row>
    <row r="2218" spans="1:10" x14ac:dyDescent="0.35">
      <c r="A2218" s="32" t="s">
        <v>17</v>
      </c>
      <c r="B2218" s="32">
        <f t="shared" si="538"/>
        <v>2035</v>
      </c>
      <c r="C2218" s="33" t="s">
        <v>49</v>
      </c>
      <c r="D2218" s="34" t="s">
        <v>128</v>
      </c>
      <c r="E2218" s="35" t="str">
        <f t="shared" si="536"/>
        <v>PRBDP'!</v>
      </c>
      <c r="F2218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18" s="32" t="s">
        <v>121</v>
      </c>
      <c r="H2218" s="33"/>
      <c r="I2218" s="33"/>
      <c r="J2218" s="37"/>
    </row>
    <row r="2219" spans="1:10" x14ac:dyDescent="0.35">
      <c r="A2219" s="32" t="s">
        <v>17</v>
      </c>
      <c r="B2219" s="32">
        <f t="shared" si="538"/>
        <v>2036</v>
      </c>
      <c r="C2219" s="33" t="s">
        <v>49</v>
      </c>
      <c r="D2219" s="34" t="s">
        <v>128</v>
      </c>
      <c r="E2219" s="35" t="str">
        <f t="shared" si="536"/>
        <v>PRBDP'!</v>
      </c>
      <c r="F2219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19" s="32" t="s">
        <v>121</v>
      </c>
      <c r="H2219" s="33"/>
      <c r="I2219" s="33"/>
      <c r="J2219" s="37"/>
    </row>
    <row r="2220" spans="1:10" x14ac:dyDescent="0.35">
      <c r="A2220" s="32" t="s">
        <v>17</v>
      </c>
      <c r="B2220" s="32">
        <f>+B2219+1</f>
        <v>2037</v>
      </c>
      <c r="C2220" s="33" t="s">
        <v>49</v>
      </c>
      <c r="D2220" s="34" t="s">
        <v>128</v>
      </c>
      <c r="E2220" s="35" t="str">
        <f t="shared" si="536"/>
        <v>PRBDP'!</v>
      </c>
      <c r="F2220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20" s="32" t="s">
        <v>121</v>
      </c>
      <c r="H2220" s="33"/>
      <c r="I2220" s="33"/>
      <c r="J2220" s="37"/>
    </row>
    <row r="2221" spans="1:10" x14ac:dyDescent="0.35">
      <c r="A2221" s="32" t="s">
        <v>17</v>
      </c>
      <c r="B2221" s="32">
        <f t="shared" ref="B2221:B2223" si="539">+B2220+1</f>
        <v>2038</v>
      </c>
      <c r="C2221" s="33" t="s">
        <v>49</v>
      </c>
      <c r="D2221" s="34" t="s">
        <v>128</v>
      </c>
      <c r="E2221" s="35" t="str">
        <f t="shared" si="536"/>
        <v>PRBDP'!</v>
      </c>
      <c r="F2221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21" s="32" t="s">
        <v>121</v>
      </c>
      <c r="H2221" s="33"/>
      <c r="I2221" s="33"/>
      <c r="J2221" s="37"/>
    </row>
    <row r="2222" spans="1:10" x14ac:dyDescent="0.35">
      <c r="A2222" s="32" t="s">
        <v>17</v>
      </c>
      <c r="B2222" s="32">
        <f t="shared" si="539"/>
        <v>2039</v>
      </c>
      <c r="C2222" s="33" t="s">
        <v>49</v>
      </c>
      <c r="D2222" s="34" t="s">
        <v>128</v>
      </c>
      <c r="E2222" s="35" t="str">
        <f t="shared" si="536"/>
        <v>PRBDP'!</v>
      </c>
      <c r="F2222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22" s="32" t="s">
        <v>121</v>
      </c>
      <c r="H2222" s="33"/>
      <c r="I2222" s="33"/>
      <c r="J2222" s="37"/>
    </row>
    <row r="2223" spans="1:10" x14ac:dyDescent="0.35">
      <c r="A2223" s="32" t="s">
        <v>17</v>
      </c>
      <c r="B2223" s="32">
        <f t="shared" si="539"/>
        <v>2040</v>
      </c>
      <c r="C2223" s="33" t="s">
        <v>49</v>
      </c>
      <c r="D2223" s="34" t="s">
        <v>128</v>
      </c>
      <c r="E2223" s="35" t="str">
        <f t="shared" si="536"/>
        <v>PRBDP'!</v>
      </c>
      <c r="F2223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23" s="32" t="s">
        <v>121</v>
      </c>
      <c r="H2223" s="33"/>
      <c r="I2223" s="33"/>
      <c r="J2223" s="37"/>
    </row>
    <row r="2224" spans="1:10" x14ac:dyDescent="0.35">
      <c r="A2224" s="32" t="s">
        <v>17</v>
      </c>
      <c r="B2224" s="32">
        <f>+B2223+1</f>
        <v>2041</v>
      </c>
      <c r="C2224" s="33" t="s">
        <v>49</v>
      </c>
      <c r="D2224" s="34" t="s">
        <v>128</v>
      </c>
      <c r="E2224" s="35" t="str">
        <f t="shared" si="536"/>
        <v>PRBDP'!</v>
      </c>
      <c r="F2224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24" s="32" t="s">
        <v>121</v>
      </c>
      <c r="H2224" s="33"/>
      <c r="I2224" s="33"/>
      <c r="J2224" s="37"/>
    </row>
    <row r="2225" spans="1:10" x14ac:dyDescent="0.35">
      <c r="A2225" s="32" t="s">
        <v>17</v>
      </c>
      <c r="B2225" s="32">
        <f t="shared" ref="B2225:B2226" si="540">+B2224+1</f>
        <v>2042</v>
      </c>
      <c r="C2225" s="33" t="s">
        <v>49</v>
      </c>
      <c r="D2225" s="34" t="s">
        <v>128</v>
      </c>
      <c r="E2225" s="35" t="str">
        <f t="shared" si="536"/>
        <v>PRBDP'!</v>
      </c>
      <c r="F2225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25" s="32" t="s">
        <v>121</v>
      </c>
      <c r="H2225" s="33"/>
      <c r="I2225" s="33"/>
      <c r="J2225" s="37"/>
    </row>
    <row r="2226" spans="1:10" x14ac:dyDescent="0.35">
      <c r="A2226" s="32" t="s">
        <v>17</v>
      </c>
      <c r="B2226" s="32">
        <f t="shared" si="540"/>
        <v>2043</v>
      </c>
      <c r="C2226" s="33" t="s">
        <v>49</v>
      </c>
      <c r="D2226" s="34" t="s">
        <v>128</v>
      </c>
      <c r="E2226" s="35" t="str">
        <f t="shared" si="536"/>
        <v>PRBDP'!</v>
      </c>
      <c r="F2226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26" s="32" t="s">
        <v>121</v>
      </c>
      <c r="H2226" s="33"/>
      <c r="I2226" s="33"/>
      <c r="J2226" s="37"/>
    </row>
    <row r="2227" spans="1:10" x14ac:dyDescent="0.35">
      <c r="A2227" s="32" t="s">
        <v>17</v>
      </c>
      <c r="B2227" s="32">
        <f>+B2226+1</f>
        <v>2044</v>
      </c>
      <c r="C2227" s="33" t="s">
        <v>49</v>
      </c>
      <c r="D2227" s="34" t="s">
        <v>128</v>
      </c>
      <c r="E2227" s="35" t="str">
        <f t="shared" ref="E2227:E2242" si="541">_xlfn.CONCAT(A2227,"'!")</f>
        <v>PRBDP'!</v>
      </c>
      <c r="F2227" s="34" t="str">
        <f t="shared" ref="F2227:F2242" si="542">_xlfn.CONCAT(D2227:E2227)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27" s="32" t="s">
        <v>121</v>
      </c>
      <c r="H2227" s="33"/>
      <c r="I2227" s="33"/>
      <c r="J2227" s="37"/>
    </row>
    <row r="2228" spans="1:10" x14ac:dyDescent="0.35">
      <c r="A2228" s="32" t="s">
        <v>17</v>
      </c>
      <c r="B2228" s="32">
        <f t="shared" ref="B2228:B2242" si="543">+B2227+1</f>
        <v>2045</v>
      </c>
      <c r="C2228" s="33" t="s">
        <v>49</v>
      </c>
      <c r="D2228" s="34" t="s">
        <v>128</v>
      </c>
      <c r="E2228" s="35" t="str">
        <f t="shared" si="541"/>
        <v>PRBDP'!</v>
      </c>
      <c r="F2228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28" s="32" t="s">
        <v>121</v>
      </c>
      <c r="H2228" s="33"/>
      <c r="I2228" s="33"/>
      <c r="J2228" s="37"/>
    </row>
    <row r="2229" spans="1:10" x14ac:dyDescent="0.35">
      <c r="A2229" s="32" t="s">
        <v>17</v>
      </c>
      <c r="B2229" s="32">
        <f t="shared" si="543"/>
        <v>2046</v>
      </c>
      <c r="C2229" s="33" t="s">
        <v>49</v>
      </c>
      <c r="D2229" s="34" t="s">
        <v>128</v>
      </c>
      <c r="E2229" s="35" t="str">
        <f t="shared" si="541"/>
        <v>PRBDP'!</v>
      </c>
      <c r="F2229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29" s="32" t="s">
        <v>121</v>
      </c>
      <c r="H2229" s="33"/>
      <c r="I2229" s="33"/>
      <c r="J2229" s="37"/>
    </row>
    <row r="2230" spans="1:10" x14ac:dyDescent="0.35">
      <c r="A2230" s="32" t="s">
        <v>17</v>
      </c>
      <c r="B2230" s="32">
        <f t="shared" si="543"/>
        <v>2047</v>
      </c>
      <c r="C2230" s="33" t="s">
        <v>49</v>
      </c>
      <c r="D2230" s="34" t="s">
        <v>128</v>
      </c>
      <c r="E2230" s="35" t="str">
        <f t="shared" si="541"/>
        <v>PRBDP'!</v>
      </c>
      <c r="F2230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30" s="32" t="s">
        <v>121</v>
      </c>
      <c r="H2230" s="33"/>
      <c r="I2230" s="33"/>
      <c r="J2230" s="37"/>
    </row>
    <row r="2231" spans="1:10" x14ac:dyDescent="0.35">
      <c r="A2231" s="32" t="s">
        <v>17</v>
      </c>
      <c r="B2231" s="32">
        <f t="shared" si="543"/>
        <v>2048</v>
      </c>
      <c r="C2231" s="33" t="s">
        <v>49</v>
      </c>
      <c r="D2231" s="34" t="s">
        <v>128</v>
      </c>
      <c r="E2231" s="35" t="str">
        <f t="shared" si="541"/>
        <v>PRBDP'!</v>
      </c>
      <c r="F2231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31" s="32" t="s">
        <v>121</v>
      </c>
      <c r="H2231" s="33"/>
      <c r="I2231" s="33"/>
      <c r="J2231" s="37"/>
    </row>
    <row r="2232" spans="1:10" x14ac:dyDescent="0.35">
      <c r="A2232" s="32" t="s">
        <v>17</v>
      </c>
      <c r="B2232" s="32">
        <f t="shared" si="543"/>
        <v>2049</v>
      </c>
      <c r="C2232" s="33" t="s">
        <v>49</v>
      </c>
      <c r="D2232" s="34" t="s">
        <v>128</v>
      </c>
      <c r="E2232" s="35" t="str">
        <f t="shared" si="541"/>
        <v>PRBDP'!</v>
      </c>
      <c r="F2232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32" s="32" t="s">
        <v>121</v>
      </c>
      <c r="H2232" s="33"/>
      <c r="I2232" s="33"/>
      <c r="J2232" s="37"/>
    </row>
    <row r="2233" spans="1:10" x14ac:dyDescent="0.35">
      <c r="A2233" s="32" t="s">
        <v>17</v>
      </c>
      <c r="B2233" s="32">
        <f t="shared" si="543"/>
        <v>2050</v>
      </c>
      <c r="C2233" s="33" t="s">
        <v>49</v>
      </c>
      <c r="D2233" s="34" t="s">
        <v>128</v>
      </c>
      <c r="E2233" s="35" t="str">
        <f t="shared" si="541"/>
        <v>PRBDP'!</v>
      </c>
      <c r="F2233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33" s="32" t="s">
        <v>121</v>
      </c>
      <c r="H2233" s="33"/>
      <c r="I2233" s="33"/>
      <c r="J2233" s="37"/>
    </row>
    <row r="2234" spans="1:10" x14ac:dyDescent="0.35">
      <c r="A2234" s="32" t="s">
        <v>17</v>
      </c>
      <c r="B2234" s="32">
        <f t="shared" si="543"/>
        <v>2051</v>
      </c>
      <c r="C2234" s="33" t="s">
        <v>49</v>
      </c>
      <c r="D2234" s="34" t="s">
        <v>128</v>
      </c>
      <c r="E2234" s="35" t="str">
        <f t="shared" si="541"/>
        <v>PRBDP'!</v>
      </c>
      <c r="F2234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34" s="32" t="s">
        <v>121</v>
      </c>
      <c r="H2234" s="33"/>
      <c r="I2234" s="33"/>
      <c r="J2234" s="37"/>
    </row>
    <row r="2235" spans="1:10" x14ac:dyDescent="0.35">
      <c r="A2235" s="32" t="s">
        <v>17</v>
      </c>
      <c r="B2235" s="32">
        <f t="shared" si="543"/>
        <v>2052</v>
      </c>
      <c r="C2235" s="33" t="s">
        <v>49</v>
      </c>
      <c r="D2235" s="34" t="s">
        <v>128</v>
      </c>
      <c r="E2235" s="35" t="str">
        <f t="shared" si="541"/>
        <v>PRBDP'!</v>
      </c>
      <c r="F2235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35" s="32" t="s">
        <v>121</v>
      </c>
      <c r="H2235" s="33"/>
      <c r="I2235" s="33"/>
      <c r="J2235" s="37"/>
    </row>
    <row r="2236" spans="1:10" x14ac:dyDescent="0.35">
      <c r="A2236" s="32" t="s">
        <v>17</v>
      </c>
      <c r="B2236" s="32">
        <f t="shared" si="543"/>
        <v>2053</v>
      </c>
      <c r="C2236" s="33" t="s">
        <v>49</v>
      </c>
      <c r="D2236" s="34" t="s">
        <v>128</v>
      </c>
      <c r="E2236" s="35" t="str">
        <f t="shared" si="541"/>
        <v>PRBDP'!</v>
      </c>
      <c r="F2236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36" s="32" t="s">
        <v>121</v>
      </c>
      <c r="H2236" s="33"/>
      <c r="I2236" s="33"/>
      <c r="J2236" s="37"/>
    </row>
    <row r="2237" spans="1:10" x14ac:dyDescent="0.35">
      <c r="A2237" s="32" t="s">
        <v>17</v>
      </c>
      <c r="B2237" s="32">
        <f t="shared" si="543"/>
        <v>2054</v>
      </c>
      <c r="C2237" s="33" t="s">
        <v>49</v>
      </c>
      <c r="D2237" s="34" t="s">
        <v>128</v>
      </c>
      <c r="E2237" s="35" t="str">
        <f t="shared" si="541"/>
        <v>PRBDP'!</v>
      </c>
      <c r="F2237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37" s="32" t="s">
        <v>121</v>
      </c>
      <c r="H2237" s="33"/>
      <c r="I2237" s="33"/>
      <c r="J2237" s="37"/>
    </row>
    <row r="2238" spans="1:10" x14ac:dyDescent="0.35">
      <c r="A2238" s="32" t="s">
        <v>17</v>
      </c>
      <c r="B2238" s="32">
        <f t="shared" si="543"/>
        <v>2055</v>
      </c>
      <c r="C2238" s="33" t="s">
        <v>49</v>
      </c>
      <c r="D2238" s="34" t="s">
        <v>128</v>
      </c>
      <c r="E2238" s="35" t="str">
        <f t="shared" si="541"/>
        <v>PRBDP'!</v>
      </c>
      <c r="F2238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38" s="32" t="s">
        <v>121</v>
      </c>
      <c r="H2238" s="33"/>
      <c r="I2238" s="33"/>
      <c r="J2238" s="37"/>
    </row>
    <row r="2239" spans="1:10" x14ac:dyDescent="0.35">
      <c r="A2239" s="32" t="s">
        <v>17</v>
      </c>
      <c r="B2239" s="32">
        <f t="shared" si="543"/>
        <v>2056</v>
      </c>
      <c r="C2239" s="33" t="s">
        <v>49</v>
      </c>
      <c r="D2239" s="34" t="s">
        <v>128</v>
      </c>
      <c r="E2239" s="35" t="str">
        <f t="shared" si="541"/>
        <v>PRBDP'!</v>
      </c>
      <c r="F2239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39" s="32" t="s">
        <v>121</v>
      </c>
      <c r="H2239" s="33"/>
      <c r="I2239" s="33"/>
      <c r="J2239" s="37"/>
    </row>
    <row r="2240" spans="1:10" x14ac:dyDescent="0.35">
      <c r="A2240" s="32" t="s">
        <v>17</v>
      </c>
      <c r="B2240" s="32">
        <f t="shared" si="543"/>
        <v>2057</v>
      </c>
      <c r="C2240" s="33" t="s">
        <v>49</v>
      </c>
      <c r="D2240" s="34" t="s">
        <v>128</v>
      </c>
      <c r="E2240" s="35" t="str">
        <f t="shared" si="541"/>
        <v>PRBDP'!</v>
      </c>
      <c r="F2240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40" s="32" t="s">
        <v>121</v>
      </c>
      <c r="H2240" s="33"/>
      <c r="I2240" s="33"/>
      <c r="J2240" s="37"/>
    </row>
    <row r="2241" spans="1:10" x14ac:dyDescent="0.35">
      <c r="A2241" s="32" t="s">
        <v>17</v>
      </c>
      <c r="B2241" s="32">
        <f t="shared" si="543"/>
        <v>2058</v>
      </c>
      <c r="C2241" s="33" t="s">
        <v>49</v>
      </c>
      <c r="D2241" s="34" t="s">
        <v>128</v>
      </c>
      <c r="E2241" s="35" t="str">
        <f t="shared" si="541"/>
        <v>PRBDP'!</v>
      </c>
      <c r="F2241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41" s="32" t="s">
        <v>121</v>
      </c>
      <c r="H2241" s="33"/>
      <c r="I2241" s="33"/>
      <c r="J2241" s="37"/>
    </row>
    <row r="2242" spans="1:10" x14ac:dyDescent="0.35">
      <c r="A2242" s="32" t="s">
        <v>17</v>
      </c>
      <c r="B2242" s="32">
        <f t="shared" si="543"/>
        <v>2059</v>
      </c>
      <c r="C2242" s="33" t="s">
        <v>49</v>
      </c>
      <c r="D2242" s="34" t="s">
        <v>128</v>
      </c>
      <c r="E2242" s="35" t="str">
        <f t="shared" si="541"/>
        <v>PRBDP'!</v>
      </c>
      <c r="F2242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42" s="32" t="s">
        <v>121</v>
      </c>
      <c r="H2242" s="33"/>
      <c r="I2242" s="33"/>
      <c r="J2242" s="37"/>
    </row>
    <row r="2243" spans="1:10" x14ac:dyDescent="0.35">
      <c r="A2243" s="32" t="s">
        <v>26</v>
      </c>
      <c r="B2243" s="32"/>
      <c r="C2243" s="33" t="s">
        <v>49</v>
      </c>
      <c r="D2243" s="34"/>
      <c r="E2243" s="35"/>
      <c r="F2243" s="34"/>
      <c r="G2243" s="32"/>
      <c r="H2243" s="33"/>
      <c r="I2243" s="33"/>
      <c r="J2243" s="33"/>
    </row>
    <row r="2244" spans="1:10" x14ac:dyDescent="0.35">
      <c r="A2244" s="32" t="s">
        <v>18</v>
      </c>
      <c r="B2244" s="32">
        <v>2023</v>
      </c>
      <c r="C2244" s="33" t="s">
        <v>49</v>
      </c>
      <c r="D2244" s="34" t="s">
        <v>128</v>
      </c>
      <c r="E2244" s="35" t="str">
        <f t="shared" ref="E2244:E2264" si="544">_xlfn.CONCAT(A2244,"'!")</f>
        <v>PRBNP'!</v>
      </c>
      <c r="F2244" s="34" t="str">
        <f t="shared" ref="F2244:F2264" si="545">_xlfn.CONCAT(D2244:E2244)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44" s="32" t="s">
        <v>121</v>
      </c>
      <c r="H2244" s="33"/>
      <c r="I2244" s="33"/>
      <c r="J2244" s="37"/>
    </row>
    <row r="2245" spans="1:10" x14ac:dyDescent="0.35">
      <c r="A2245" s="32" t="s">
        <v>18</v>
      </c>
      <c r="B2245" s="32">
        <f>+B2244+1</f>
        <v>2024</v>
      </c>
      <c r="C2245" s="33" t="s">
        <v>49</v>
      </c>
      <c r="D2245" s="34" t="s">
        <v>128</v>
      </c>
      <c r="E2245" s="35" t="str">
        <f t="shared" si="544"/>
        <v>PRBNP'!</v>
      </c>
      <c r="F2245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45" s="32" t="s">
        <v>121</v>
      </c>
      <c r="H2245" s="33"/>
      <c r="I2245" s="33"/>
      <c r="J2245" s="37"/>
    </row>
    <row r="2246" spans="1:10" x14ac:dyDescent="0.35">
      <c r="A2246" s="32" t="s">
        <v>18</v>
      </c>
      <c r="B2246" s="32">
        <f t="shared" ref="B2246:B2257" si="546">+B2245+1</f>
        <v>2025</v>
      </c>
      <c r="C2246" s="33" t="s">
        <v>49</v>
      </c>
      <c r="D2246" s="34" t="s">
        <v>128</v>
      </c>
      <c r="E2246" s="35" t="str">
        <f t="shared" si="544"/>
        <v>PRBNP'!</v>
      </c>
      <c r="F2246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46" s="32" t="s">
        <v>121</v>
      </c>
      <c r="H2246" s="33"/>
      <c r="I2246" s="33"/>
      <c r="J2246" s="37"/>
    </row>
    <row r="2247" spans="1:10" x14ac:dyDescent="0.35">
      <c r="A2247" s="32" t="s">
        <v>18</v>
      </c>
      <c r="B2247" s="32">
        <f t="shared" si="546"/>
        <v>2026</v>
      </c>
      <c r="C2247" s="33" t="s">
        <v>49</v>
      </c>
      <c r="D2247" s="34" t="s">
        <v>128</v>
      </c>
      <c r="E2247" s="35" t="str">
        <f t="shared" si="544"/>
        <v>PRBNP'!</v>
      </c>
      <c r="F2247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47" s="32" t="s">
        <v>121</v>
      </c>
      <c r="H2247" s="33"/>
      <c r="I2247" s="33"/>
      <c r="J2247" s="37"/>
    </row>
    <row r="2248" spans="1:10" x14ac:dyDescent="0.35">
      <c r="A2248" s="32" t="s">
        <v>18</v>
      </c>
      <c r="B2248" s="32">
        <f t="shared" si="546"/>
        <v>2027</v>
      </c>
      <c r="C2248" s="33" t="s">
        <v>49</v>
      </c>
      <c r="D2248" s="34" t="s">
        <v>128</v>
      </c>
      <c r="E2248" s="35" t="str">
        <f t="shared" si="544"/>
        <v>PRBNP'!</v>
      </c>
      <c r="F2248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48" s="32" t="s">
        <v>121</v>
      </c>
      <c r="H2248" s="33"/>
      <c r="I2248" s="33"/>
      <c r="J2248" s="37"/>
    </row>
    <row r="2249" spans="1:10" x14ac:dyDescent="0.35">
      <c r="A2249" s="32" t="s">
        <v>18</v>
      </c>
      <c r="B2249" s="32">
        <f t="shared" si="546"/>
        <v>2028</v>
      </c>
      <c r="C2249" s="33" t="s">
        <v>49</v>
      </c>
      <c r="D2249" s="34" t="s">
        <v>128</v>
      </c>
      <c r="E2249" s="35" t="str">
        <f t="shared" si="544"/>
        <v>PRBNP'!</v>
      </c>
      <c r="F2249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49" s="32" t="s">
        <v>121</v>
      </c>
      <c r="H2249" s="33"/>
      <c r="I2249" s="33"/>
      <c r="J2249" s="37"/>
    </row>
    <row r="2250" spans="1:10" x14ac:dyDescent="0.35">
      <c r="A2250" s="32" t="s">
        <v>18</v>
      </c>
      <c r="B2250" s="32">
        <f t="shared" si="546"/>
        <v>2029</v>
      </c>
      <c r="C2250" s="33" t="s">
        <v>49</v>
      </c>
      <c r="D2250" s="34" t="s">
        <v>128</v>
      </c>
      <c r="E2250" s="35" t="str">
        <f t="shared" si="544"/>
        <v>PRBNP'!</v>
      </c>
      <c r="F2250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50" s="32" t="s">
        <v>121</v>
      </c>
      <c r="H2250" s="33"/>
      <c r="I2250" s="33"/>
      <c r="J2250" s="37"/>
    </row>
    <row r="2251" spans="1:10" x14ac:dyDescent="0.35">
      <c r="A2251" s="32" t="s">
        <v>18</v>
      </c>
      <c r="B2251" s="32">
        <f t="shared" si="546"/>
        <v>2030</v>
      </c>
      <c r="C2251" s="33" t="s">
        <v>49</v>
      </c>
      <c r="D2251" s="34" t="s">
        <v>128</v>
      </c>
      <c r="E2251" s="35" t="str">
        <f t="shared" si="544"/>
        <v>PRBNP'!</v>
      </c>
      <c r="F2251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51" s="32" t="s">
        <v>121</v>
      </c>
      <c r="H2251" s="33"/>
      <c r="I2251" s="33"/>
      <c r="J2251" s="37"/>
    </row>
    <row r="2252" spans="1:10" x14ac:dyDescent="0.35">
      <c r="A2252" s="32" t="s">
        <v>18</v>
      </c>
      <c r="B2252" s="32">
        <f t="shared" si="546"/>
        <v>2031</v>
      </c>
      <c r="C2252" s="33" t="s">
        <v>49</v>
      </c>
      <c r="D2252" s="34" t="s">
        <v>128</v>
      </c>
      <c r="E2252" s="35" t="str">
        <f t="shared" si="544"/>
        <v>PRBNP'!</v>
      </c>
      <c r="F2252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52" s="32" t="s">
        <v>121</v>
      </c>
      <c r="H2252" s="33"/>
      <c r="I2252" s="33"/>
      <c r="J2252" s="37"/>
    </row>
    <row r="2253" spans="1:10" x14ac:dyDescent="0.35">
      <c r="A2253" s="32" t="s">
        <v>18</v>
      </c>
      <c r="B2253" s="32">
        <f t="shared" si="546"/>
        <v>2032</v>
      </c>
      <c r="C2253" s="33" t="s">
        <v>49</v>
      </c>
      <c r="D2253" s="34" t="s">
        <v>128</v>
      </c>
      <c r="E2253" s="35" t="str">
        <f t="shared" si="544"/>
        <v>PRBNP'!</v>
      </c>
      <c r="F2253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53" s="32" t="s">
        <v>121</v>
      </c>
      <c r="H2253" s="33"/>
      <c r="I2253" s="33"/>
      <c r="J2253" s="37"/>
    </row>
    <row r="2254" spans="1:10" x14ac:dyDescent="0.35">
      <c r="A2254" s="32" t="s">
        <v>18</v>
      </c>
      <c r="B2254" s="32">
        <f t="shared" si="546"/>
        <v>2033</v>
      </c>
      <c r="C2254" s="33" t="s">
        <v>49</v>
      </c>
      <c r="D2254" s="34" t="s">
        <v>128</v>
      </c>
      <c r="E2254" s="35" t="str">
        <f t="shared" si="544"/>
        <v>PRBNP'!</v>
      </c>
      <c r="F2254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54" s="32" t="s">
        <v>121</v>
      </c>
      <c r="H2254" s="33"/>
      <c r="I2254" s="33"/>
      <c r="J2254" s="37"/>
    </row>
    <row r="2255" spans="1:10" x14ac:dyDescent="0.35">
      <c r="A2255" s="32" t="s">
        <v>18</v>
      </c>
      <c r="B2255" s="32">
        <f t="shared" si="546"/>
        <v>2034</v>
      </c>
      <c r="C2255" s="33" t="s">
        <v>49</v>
      </c>
      <c r="D2255" s="34" t="s">
        <v>128</v>
      </c>
      <c r="E2255" s="35" t="str">
        <f t="shared" si="544"/>
        <v>PRBNP'!</v>
      </c>
      <c r="F2255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55" s="32" t="s">
        <v>121</v>
      </c>
      <c r="H2255" s="33"/>
      <c r="I2255" s="33"/>
      <c r="J2255" s="37"/>
    </row>
    <row r="2256" spans="1:10" x14ac:dyDescent="0.35">
      <c r="A2256" s="32" t="s">
        <v>18</v>
      </c>
      <c r="B2256" s="32">
        <f t="shared" si="546"/>
        <v>2035</v>
      </c>
      <c r="C2256" s="33" t="s">
        <v>49</v>
      </c>
      <c r="D2256" s="34" t="s">
        <v>128</v>
      </c>
      <c r="E2256" s="35" t="str">
        <f t="shared" si="544"/>
        <v>PRBNP'!</v>
      </c>
      <c r="F2256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56" s="32" t="s">
        <v>121</v>
      </c>
      <c r="H2256" s="33"/>
      <c r="I2256" s="33"/>
      <c r="J2256" s="37"/>
    </row>
    <row r="2257" spans="1:10" x14ac:dyDescent="0.35">
      <c r="A2257" s="32" t="s">
        <v>18</v>
      </c>
      <c r="B2257" s="32">
        <f t="shared" si="546"/>
        <v>2036</v>
      </c>
      <c r="C2257" s="33" t="s">
        <v>49</v>
      </c>
      <c r="D2257" s="34" t="s">
        <v>128</v>
      </c>
      <c r="E2257" s="35" t="str">
        <f t="shared" si="544"/>
        <v>PRBNP'!</v>
      </c>
      <c r="F2257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57" s="32" t="s">
        <v>121</v>
      </c>
      <c r="H2257" s="33"/>
      <c r="I2257" s="33"/>
      <c r="J2257" s="37"/>
    </row>
    <row r="2258" spans="1:10" x14ac:dyDescent="0.35">
      <c r="A2258" s="32" t="s">
        <v>18</v>
      </c>
      <c r="B2258" s="32">
        <f>+B2257+1</f>
        <v>2037</v>
      </c>
      <c r="C2258" s="33" t="s">
        <v>49</v>
      </c>
      <c r="D2258" s="34" t="s">
        <v>128</v>
      </c>
      <c r="E2258" s="35" t="str">
        <f t="shared" si="544"/>
        <v>PRBNP'!</v>
      </c>
      <c r="F2258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58" s="32" t="s">
        <v>121</v>
      </c>
      <c r="H2258" s="33"/>
      <c r="I2258" s="33"/>
      <c r="J2258" s="37"/>
    </row>
    <row r="2259" spans="1:10" x14ac:dyDescent="0.35">
      <c r="A2259" s="32" t="s">
        <v>18</v>
      </c>
      <c r="B2259" s="32">
        <f t="shared" ref="B2259:B2261" si="547">+B2258+1</f>
        <v>2038</v>
      </c>
      <c r="C2259" s="33" t="s">
        <v>49</v>
      </c>
      <c r="D2259" s="34" t="s">
        <v>128</v>
      </c>
      <c r="E2259" s="35" t="str">
        <f t="shared" si="544"/>
        <v>PRBNP'!</v>
      </c>
      <c r="F2259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59" s="32" t="s">
        <v>121</v>
      </c>
      <c r="H2259" s="33"/>
      <c r="I2259" s="33"/>
      <c r="J2259" s="37"/>
    </row>
    <row r="2260" spans="1:10" x14ac:dyDescent="0.35">
      <c r="A2260" s="32" t="s">
        <v>18</v>
      </c>
      <c r="B2260" s="32">
        <f t="shared" si="547"/>
        <v>2039</v>
      </c>
      <c r="C2260" s="33" t="s">
        <v>49</v>
      </c>
      <c r="D2260" s="34" t="s">
        <v>128</v>
      </c>
      <c r="E2260" s="35" t="str">
        <f t="shared" si="544"/>
        <v>PRBNP'!</v>
      </c>
      <c r="F2260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60" s="32" t="s">
        <v>121</v>
      </c>
      <c r="H2260" s="33"/>
      <c r="I2260" s="33"/>
      <c r="J2260" s="37"/>
    </row>
    <row r="2261" spans="1:10" x14ac:dyDescent="0.35">
      <c r="A2261" s="32" t="s">
        <v>18</v>
      </c>
      <c r="B2261" s="32">
        <f t="shared" si="547"/>
        <v>2040</v>
      </c>
      <c r="C2261" s="33" t="s">
        <v>49</v>
      </c>
      <c r="D2261" s="34" t="s">
        <v>128</v>
      </c>
      <c r="E2261" s="35" t="str">
        <f t="shared" si="544"/>
        <v>PRBNP'!</v>
      </c>
      <c r="F2261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61" s="32" t="s">
        <v>121</v>
      </c>
      <c r="H2261" s="33"/>
      <c r="I2261" s="33"/>
      <c r="J2261" s="37"/>
    </row>
    <row r="2262" spans="1:10" x14ac:dyDescent="0.35">
      <c r="A2262" s="32" t="s">
        <v>18</v>
      </c>
      <c r="B2262" s="32">
        <f>+B2261+1</f>
        <v>2041</v>
      </c>
      <c r="C2262" s="33" t="s">
        <v>49</v>
      </c>
      <c r="D2262" s="34" t="s">
        <v>128</v>
      </c>
      <c r="E2262" s="35" t="str">
        <f t="shared" si="544"/>
        <v>PRBNP'!</v>
      </c>
      <c r="F2262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62" s="32" t="s">
        <v>121</v>
      </c>
      <c r="H2262" s="33"/>
      <c r="I2262" s="33"/>
      <c r="J2262" s="37"/>
    </row>
    <row r="2263" spans="1:10" x14ac:dyDescent="0.35">
      <c r="A2263" s="32" t="s">
        <v>18</v>
      </c>
      <c r="B2263" s="32">
        <f t="shared" ref="B2263:B2264" si="548">+B2262+1</f>
        <v>2042</v>
      </c>
      <c r="C2263" s="33" t="s">
        <v>49</v>
      </c>
      <c r="D2263" s="34" t="s">
        <v>128</v>
      </c>
      <c r="E2263" s="35" t="str">
        <f t="shared" si="544"/>
        <v>PRBNP'!</v>
      </c>
      <c r="F2263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63" s="32" t="s">
        <v>121</v>
      </c>
      <c r="H2263" s="33"/>
      <c r="I2263" s="33"/>
      <c r="J2263" s="37"/>
    </row>
    <row r="2264" spans="1:10" x14ac:dyDescent="0.35">
      <c r="A2264" s="32" t="s">
        <v>18</v>
      </c>
      <c r="B2264" s="32">
        <f t="shared" si="548"/>
        <v>2043</v>
      </c>
      <c r="C2264" s="33" t="s">
        <v>49</v>
      </c>
      <c r="D2264" s="34" t="s">
        <v>128</v>
      </c>
      <c r="E2264" s="35" t="str">
        <f t="shared" si="544"/>
        <v>PRBNP'!</v>
      </c>
      <c r="F2264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64" s="32" t="s">
        <v>121</v>
      </c>
      <c r="H2264" s="33"/>
      <c r="I2264" s="33"/>
      <c r="J2264" s="37"/>
    </row>
    <row r="2265" spans="1:10" x14ac:dyDescent="0.35">
      <c r="A2265" s="32" t="s">
        <v>18</v>
      </c>
      <c r="B2265" s="32">
        <f>+B2264+1</f>
        <v>2044</v>
      </c>
      <c r="C2265" s="33" t="s">
        <v>49</v>
      </c>
      <c r="D2265" s="34" t="s">
        <v>128</v>
      </c>
      <c r="E2265" s="35" t="str">
        <f t="shared" ref="E2265:E2280" si="549">_xlfn.CONCAT(A2265,"'!")</f>
        <v>PRBNP'!</v>
      </c>
      <c r="F2265" s="34" t="str">
        <f t="shared" ref="F2265:F2280" si="550">_xlfn.CONCAT(D2265:E2265)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65" s="32" t="s">
        <v>121</v>
      </c>
      <c r="H2265" s="33"/>
      <c r="I2265" s="33"/>
      <c r="J2265" s="37"/>
    </row>
    <row r="2266" spans="1:10" x14ac:dyDescent="0.35">
      <c r="A2266" s="32" t="s">
        <v>18</v>
      </c>
      <c r="B2266" s="32">
        <f t="shared" ref="B2266:B2280" si="551">+B2265+1</f>
        <v>2045</v>
      </c>
      <c r="C2266" s="33" t="s">
        <v>49</v>
      </c>
      <c r="D2266" s="34" t="s">
        <v>128</v>
      </c>
      <c r="E2266" s="35" t="str">
        <f t="shared" si="549"/>
        <v>PRBNP'!</v>
      </c>
      <c r="F2266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66" s="32" t="s">
        <v>121</v>
      </c>
      <c r="H2266" s="33"/>
      <c r="I2266" s="33"/>
      <c r="J2266" s="37"/>
    </row>
    <row r="2267" spans="1:10" x14ac:dyDescent="0.35">
      <c r="A2267" s="32" t="s">
        <v>18</v>
      </c>
      <c r="B2267" s="32">
        <f t="shared" si="551"/>
        <v>2046</v>
      </c>
      <c r="C2267" s="33" t="s">
        <v>49</v>
      </c>
      <c r="D2267" s="34" t="s">
        <v>128</v>
      </c>
      <c r="E2267" s="35" t="str">
        <f t="shared" si="549"/>
        <v>PRBNP'!</v>
      </c>
      <c r="F2267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67" s="32" t="s">
        <v>121</v>
      </c>
      <c r="H2267" s="33"/>
      <c r="I2267" s="33"/>
      <c r="J2267" s="37"/>
    </row>
    <row r="2268" spans="1:10" x14ac:dyDescent="0.35">
      <c r="A2268" s="32" t="s">
        <v>18</v>
      </c>
      <c r="B2268" s="32">
        <f t="shared" si="551"/>
        <v>2047</v>
      </c>
      <c r="C2268" s="33" t="s">
        <v>49</v>
      </c>
      <c r="D2268" s="34" t="s">
        <v>128</v>
      </c>
      <c r="E2268" s="35" t="str">
        <f t="shared" si="549"/>
        <v>PRBNP'!</v>
      </c>
      <c r="F2268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68" s="32" t="s">
        <v>121</v>
      </c>
      <c r="H2268" s="33"/>
      <c r="I2268" s="33"/>
      <c r="J2268" s="37"/>
    </row>
    <row r="2269" spans="1:10" x14ac:dyDescent="0.35">
      <c r="A2269" s="32" t="s">
        <v>18</v>
      </c>
      <c r="B2269" s="32">
        <f t="shared" si="551"/>
        <v>2048</v>
      </c>
      <c r="C2269" s="33" t="s">
        <v>49</v>
      </c>
      <c r="D2269" s="34" t="s">
        <v>128</v>
      </c>
      <c r="E2269" s="35" t="str">
        <f t="shared" si="549"/>
        <v>PRBNP'!</v>
      </c>
      <c r="F2269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69" s="32" t="s">
        <v>121</v>
      </c>
      <c r="H2269" s="33"/>
      <c r="I2269" s="33"/>
      <c r="J2269" s="37"/>
    </row>
    <row r="2270" spans="1:10" x14ac:dyDescent="0.35">
      <c r="A2270" s="32" t="s">
        <v>18</v>
      </c>
      <c r="B2270" s="32">
        <f t="shared" si="551"/>
        <v>2049</v>
      </c>
      <c r="C2270" s="33" t="s">
        <v>49</v>
      </c>
      <c r="D2270" s="34" t="s">
        <v>128</v>
      </c>
      <c r="E2270" s="35" t="str">
        <f t="shared" si="549"/>
        <v>PRBNP'!</v>
      </c>
      <c r="F2270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70" s="32" t="s">
        <v>121</v>
      </c>
      <c r="H2270" s="33"/>
      <c r="I2270" s="33"/>
      <c r="J2270" s="37"/>
    </row>
    <row r="2271" spans="1:10" x14ac:dyDescent="0.35">
      <c r="A2271" s="32" t="s">
        <v>18</v>
      </c>
      <c r="B2271" s="32">
        <f t="shared" si="551"/>
        <v>2050</v>
      </c>
      <c r="C2271" s="33" t="s">
        <v>49</v>
      </c>
      <c r="D2271" s="34" t="s">
        <v>128</v>
      </c>
      <c r="E2271" s="35" t="str">
        <f t="shared" si="549"/>
        <v>PRBNP'!</v>
      </c>
      <c r="F2271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71" s="32" t="s">
        <v>121</v>
      </c>
      <c r="H2271" s="33"/>
      <c r="I2271" s="33"/>
      <c r="J2271" s="37"/>
    </row>
    <row r="2272" spans="1:10" x14ac:dyDescent="0.35">
      <c r="A2272" s="32" t="s">
        <v>18</v>
      </c>
      <c r="B2272" s="32">
        <f t="shared" si="551"/>
        <v>2051</v>
      </c>
      <c r="C2272" s="33" t="s">
        <v>49</v>
      </c>
      <c r="D2272" s="34" t="s">
        <v>128</v>
      </c>
      <c r="E2272" s="35" t="str">
        <f t="shared" si="549"/>
        <v>PRBNP'!</v>
      </c>
      <c r="F2272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72" s="32" t="s">
        <v>121</v>
      </c>
      <c r="H2272" s="33"/>
      <c r="I2272" s="33"/>
      <c r="J2272" s="37"/>
    </row>
    <row r="2273" spans="1:10" x14ac:dyDescent="0.35">
      <c r="A2273" s="32" t="s">
        <v>18</v>
      </c>
      <c r="B2273" s="32">
        <f t="shared" si="551"/>
        <v>2052</v>
      </c>
      <c r="C2273" s="33" t="s">
        <v>49</v>
      </c>
      <c r="D2273" s="34" t="s">
        <v>128</v>
      </c>
      <c r="E2273" s="35" t="str">
        <f t="shared" si="549"/>
        <v>PRBNP'!</v>
      </c>
      <c r="F2273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73" s="32" t="s">
        <v>121</v>
      </c>
      <c r="H2273" s="33"/>
      <c r="I2273" s="33"/>
      <c r="J2273" s="37"/>
    </row>
    <row r="2274" spans="1:10" x14ac:dyDescent="0.35">
      <c r="A2274" s="32" t="s">
        <v>18</v>
      </c>
      <c r="B2274" s="32">
        <f t="shared" si="551"/>
        <v>2053</v>
      </c>
      <c r="C2274" s="33" t="s">
        <v>49</v>
      </c>
      <c r="D2274" s="34" t="s">
        <v>128</v>
      </c>
      <c r="E2274" s="35" t="str">
        <f t="shared" si="549"/>
        <v>PRBNP'!</v>
      </c>
      <c r="F2274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74" s="32" t="s">
        <v>121</v>
      </c>
      <c r="H2274" s="33"/>
      <c r="I2274" s="33"/>
      <c r="J2274" s="37"/>
    </row>
    <row r="2275" spans="1:10" x14ac:dyDescent="0.35">
      <c r="A2275" s="32" t="s">
        <v>18</v>
      </c>
      <c r="B2275" s="32">
        <f t="shared" si="551"/>
        <v>2054</v>
      </c>
      <c r="C2275" s="33" t="s">
        <v>49</v>
      </c>
      <c r="D2275" s="34" t="s">
        <v>128</v>
      </c>
      <c r="E2275" s="35" t="str">
        <f t="shared" si="549"/>
        <v>PRBNP'!</v>
      </c>
      <c r="F2275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75" s="32" t="s">
        <v>121</v>
      </c>
      <c r="H2275" s="33"/>
      <c r="I2275" s="33"/>
      <c r="J2275" s="37"/>
    </row>
    <row r="2276" spans="1:10" x14ac:dyDescent="0.35">
      <c r="A2276" s="32" t="s">
        <v>18</v>
      </c>
      <c r="B2276" s="32">
        <f t="shared" si="551"/>
        <v>2055</v>
      </c>
      <c r="C2276" s="33" t="s">
        <v>49</v>
      </c>
      <c r="D2276" s="34" t="s">
        <v>128</v>
      </c>
      <c r="E2276" s="35" t="str">
        <f t="shared" si="549"/>
        <v>PRBNP'!</v>
      </c>
      <c r="F2276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76" s="32" t="s">
        <v>121</v>
      </c>
      <c r="H2276" s="33"/>
      <c r="I2276" s="33"/>
      <c r="J2276" s="37"/>
    </row>
    <row r="2277" spans="1:10" x14ac:dyDescent="0.35">
      <c r="A2277" s="32" t="s">
        <v>18</v>
      </c>
      <c r="B2277" s="32">
        <f t="shared" si="551"/>
        <v>2056</v>
      </c>
      <c r="C2277" s="33" t="s">
        <v>49</v>
      </c>
      <c r="D2277" s="34" t="s">
        <v>128</v>
      </c>
      <c r="E2277" s="35" t="str">
        <f t="shared" si="549"/>
        <v>PRBNP'!</v>
      </c>
      <c r="F2277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77" s="32" t="s">
        <v>121</v>
      </c>
      <c r="H2277" s="33"/>
      <c r="I2277" s="33"/>
      <c r="J2277" s="37"/>
    </row>
    <row r="2278" spans="1:10" x14ac:dyDescent="0.35">
      <c r="A2278" s="32" t="s">
        <v>18</v>
      </c>
      <c r="B2278" s="32">
        <f t="shared" si="551"/>
        <v>2057</v>
      </c>
      <c r="C2278" s="33" t="s">
        <v>49</v>
      </c>
      <c r="D2278" s="34" t="s">
        <v>128</v>
      </c>
      <c r="E2278" s="35" t="str">
        <f t="shared" si="549"/>
        <v>PRBNP'!</v>
      </c>
      <c r="F2278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78" s="32" t="s">
        <v>121</v>
      </c>
      <c r="H2278" s="33"/>
      <c r="I2278" s="33"/>
      <c r="J2278" s="37"/>
    </row>
    <row r="2279" spans="1:10" x14ac:dyDescent="0.35">
      <c r="A2279" s="32" t="s">
        <v>18</v>
      </c>
      <c r="B2279" s="32">
        <f t="shared" si="551"/>
        <v>2058</v>
      </c>
      <c r="C2279" s="33" t="s">
        <v>49</v>
      </c>
      <c r="D2279" s="34" t="s">
        <v>128</v>
      </c>
      <c r="E2279" s="35" t="str">
        <f t="shared" si="549"/>
        <v>PRBNP'!</v>
      </c>
      <c r="F2279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79" s="32" t="s">
        <v>121</v>
      </c>
      <c r="H2279" s="33"/>
      <c r="I2279" s="33"/>
      <c r="J2279" s="37"/>
    </row>
    <row r="2280" spans="1:10" x14ac:dyDescent="0.35">
      <c r="A2280" s="32" t="s">
        <v>18</v>
      </c>
      <c r="B2280" s="32">
        <f t="shared" si="551"/>
        <v>2059</v>
      </c>
      <c r="C2280" s="33" t="s">
        <v>49</v>
      </c>
      <c r="D2280" s="34" t="s">
        <v>128</v>
      </c>
      <c r="E2280" s="35" t="str">
        <f t="shared" si="549"/>
        <v>PRBNP'!</v>
      </c>
      <c r="F2280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80" s="32" t="s">
        <v>121</v>
      </c>
      <c r="H2280" s="33"/>
      <c r="I2280" s="33"/>
      <c r="J2280" s="37"/>
    </row>
    <row r="2281" spans="1:10" x14ac:dyDescent="0.35">
      <c r="A2281" s="32" t="s">
        <v>26</v>
      </c>
      <c r="B2281" s="32"/>
      <c r="C2281" s="33" t="s">
        <v>49</v>
      </c>
      <c r="D2281" s="34"/>
      <c r="E2281" s="35"/>
      <c r="F2281" s="34"/>
      <c r="G2281" s="32"/>
      <c r="H2281" s="33"/>
      <c r="I2281" s="33"/>
      <c r="J2281" s="33"/>
    </row>
    <row r="2282" spans="1:10" x14ac:dyDescent="0.35">
      <c r="A2282" s="32" t="s">
        <v>19</v>
      </c>
      <c r="B2282" s="32">
        <v>2023</v>
      </c>
      <c r="C2282" s="33" t="s">
        <v>49</v>
      </c>
      <c r="D2282" s="34" t="s">
        <v>128</v>
      </c>
      <c r="E2282" s="35" t="str">
        <f t="shared" ref="E2282:E2302" si="552">_xlfn.CONCAT(A2282,"'!")</f>
        <v>PRBND'!</v>
      </c>
      <c r="F2282" s="34" t="str">
        <f t="shared" ref="F2282:F2302" si="553">_xlfn.CONCAT(D2282:E2282)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82" s="32" t="s">
        <v>121</v>
      </c>
      <c r="H2282" s="33"/>
      <c r="I2282" s="33"/>
      <c r="J2282" s="37"/>
    </row>
    <row r="2283" spans="1:10" x14ac:dyDescent="0.35">
      <c r="A2283" s="32" t="s">
        <v>19</v>
      </c>
      <c r="B2283" s="32">
        <f>+B2282+1</f>
        <v>2024</v>
      </c>
      <c r="C2283" s="33" t="s">
        <v>49</v>
      </c>
      <c r="D2283" s="34" t="s">
        <v>128</v>
      </c>
      <c r="E2283" s="35" t="str">
        <f t="shared" si="552"/>
        <v>PRBND'!</v>
      </c>
      <c r="F2283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83" s="32" t="s">
        <v>121</v>
      </c>
      <c r="H2283" s="33"/>
      <c r="I2283" s="33"/>
      <c r="J2283" s="37"/>
    </row>
    <row r="2284" spans="1:10" x14ac:dyDescent="0.35">
      <c r="A2284" s="32" t="s">
        <v>19</v>
      </c>
      <c r="B2284" s="32">
        <f t="shared" ref="B2284:B2295" si="554">+B2283+1</f>
        <v>2025</v>
      </c>
      <c r="C2284" s="33" t="s">
        <v>49</v>
      </c>
      <c r="D2284" s="34" t="s">
        <v>128</v>
      </c>
      <c r="E2284" s="35" t="str">
        <f t="shared" si="552"/>
        <v>PRBND'!</v>
      </c>
      <c r="F2284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84" s="32" t="s">
        <v>121</v>
      </c>
      <c r="H2284" s="33"/>
      <c r="I2284" s="33"/>
      <c r="J2284" s="37"/>
    </row>
    <row r="2285" spans="1:10" x14ac:dyDescent="0.35">
      <c r="A2285" s="32" t="s">
        <v>19</v>
      </c>
      <c r="B2285" s="32">
        <f t="shared" si="554"/>
        <v>2026</v>
      </c>
      <c r="C2285" s="33" t="s">
        <v>49</v>
      </c>
      <c r="D2285" s="34" t="s">
        <v>128</v>
      </c>
      <c r="E2285" s="35" t="str">
        <f t="shared" si="552"/>
        <v>PRBND'!</v>
      </c>
      <c r="F2285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85" s="32" t="s">
        <v>121</v>
      </c>
      <c r="H2285" s="33"/>
      <c r="I2285" s="33"/>
      <c r="J2285" s="37"/>
    </row>
    <row r="2286" spans="1:10" x14ac:dyDescent="0.35">
      <c r="A2286" s="32" t="s">
        <v>19</v>
      </c>
      <c r="B2286" s="32">
        <f t="shared" si="554"/>
        <v>2027</v>
      </c>
      <c r="C2286" s="33" t="s">
        <v>49</v>
      </c>
      <c r="D2286" s="34" t="s">
        <v>128</v>
      </c>
      <c r="E2286" s="35" t="str">
        <f t="shared" si="552"/>
        <v>PRBND'!</v>
      </c>
      <c r="F2286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86" s="32" t="s">
        <v>121</v>
      </c>
      <c r="H2286" s="33"/>
      <c r="I2286" s="33"/>
      <c r="J2286" s="37"/>
    </row>
    <row r="2287" spans="1:10" x14ac:dyDescent="0.35">
      <c r="A2287" s="32" t="s">
        <v>19</v>
      </c>
      <c r="B2287" s="32">
        <f t="shared" si="554"/>
        <v>2028</v>
      </c>
      <c r="C2287" s="33" t="s">
        <v>49</v>
      </c>
      <c r="D2287" s="34" t="s">
        <v>128</v>
      </c>
      <c r="E2287" s="35" t="str">
        <f t="shared" si="552"/>
        <v>PRBND'!</v>
      </c>
      <c r="F2287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87" s="32" t="s">
        <v>121</v>
      </c>
      <c r="H2287" s="33"/>
      <c r="I2287" s="33"/>
      <c r="J2287" s="37"/>
    </row>
    <row r="2288" spans="1:10" x14ac:dyDescent="0.35">
      <c r="A2288" s="32" t="s">
        <v>19</v>
      </c>
      <c r="B2288" s="32">
        <f t="shared" si="554"/>
        <v>2029</v>
      </c>
      <c r="C2288" s="33" t="s">
        <v>49</v>
      </c>
      <c r="D2288" s="34" t="s">
        <v>128</v>
      </c>
      <c r="E2288" s="35" t="str">
        <f t="shared" si="552"/>
        <v>PRBND'!</v>
      </c>
      <c r="F2288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88" s="32" t="s">
        <v>121</v>
      </c>
      <c r="H2288" s="33"/>
      <c r="I2288" s="33"/>
      <c r="J2288" s="37"/>
    </row>
    <row r="2289" spans="1:10" x14ac:dyDescent="0.35">
      <c r="A2289" s="32" t="s">
        <v>19</v>
      </c>
      <c r="B2289" s="32">
        <f t="shared" si="554"/>
        <v>2030</v>
      </c>
      <c r="C2289" s="33" t="s">
        <v>49</v>
      </c>
      <c r="D2289" s="34" t="s">
        <v>128</v>
      </c>
      <c r="E2289" s="35" t="str">
        <f t="shared" si="552"/>
        <v>PRBND'!</v>
      </c>
      <c r="F2289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89" s="32" t="s">
        <v>121</v>
      </c>
      <c r="H2289" s="33"/>
      <c r="I2289" s="33"/>
      <c r="J2289" s="37"/>
    </row>
    <row r="2290" spans="1:10" x14ac:dyDescent="0.35">
      <c r="A2290" s="32" t="s">
        <v>19</v>
      </c>
      <c r="B2290" s="32">
        <f t="shared" si="554"/>
        <v>2031</v>
      </c>
      <c r="C2290" s="33" t="s">
        <v>49</v>
      </c>
      <c r="D2290" s="34" t="s">
        <v>128</v>
      </c>
      <c r="E2290" s="35" t="str">
        <f t="shared" si="552"/>
        <v>PRBND'!</v>
      </c>
      <c r="F2290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90" s="32" t="s">
        <v>121</v>
      </c>
      <c r="H2290" s="33"/>
      <c r="I2290" s="33"/>
      <c r="J2290" s="37"/>
    </row>
    <row r="2291" spans="1:10" x14ac:dyDescent="0.35">
      <c r="A2291" s="32" t="s">
        <v>19</v>
      </c>
      <c r="B2291" s="32">
        <f t="shared" si="554"/>
        <v>2032</v>
      </c>
      <c r="C2291" s="33" t="s">
        <v>49</v>
      </c>
      <c r="D2291" s="34" t="s">
        <v>128</v>
      </c>
      <c r="E2291" s="35" t="str">
        <f t="shared" si="552"/>
        <v>PRBND'!</v>
      </c>
      <c r="F2291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91" s="32" t="s">
        <v>121</v>
      </c>
      <c r="H2291" s="33"/>
      <c r="I2291" s="33"/>
      <c r="J2291" s="37"/>
    </row>
    <row r="2292" spans="1:10" x14ac:dyDescent="0.35">
      <c r="A2292" s="32" t="s">
        <v>19</v>
      </c>
      <c r="B2292" s="32">
        <f t="shared" si="554"/>
        <v>2033</v>
      </c>
      <c r="C2292" s="33" t="s">
        <v>49</v>
      </c>
      <c r="D2292" s="34" t="s">
        <v>128</v>
      </c>
      <c r="E2292" s="35" t="str">
        <f t="shared" si="552"/>
        <v>PRBND'!</v>
      </c>
      <c r="F2292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92" s="32" t="s">
        <v>121</v>
      </c>
      <c r="H2292" s="33"/>
      <c r="I2292" s="33"/>
      <c r="J2292" s="37"/>
    </row>
    <row r="2293" spans="1:10" x14ac:dyDescent="0.35">
      <c r="A2293" s="32" t="s">
        <v>19</v>
      </c>
      <c r="B2293" s="32">
        <f t="shared" si="554"/>
        <v>2034</v>
      </c>
      <c r="C2293" s="33" t="s">
        <v>49</v>
      </c>
      <c r="D2293" s="34" t="s">
        <v>128</v>
      </c>
      <c r="E2293" s="35" t="str">
        <f t="shared" si="552"/>
        <v>PRBND'!</v>
      </c>
      <c r="F2293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93" s="32" t="s">
        <v>121</v>
      </c>
      <c r="H2293" s="33"/>
      <c r="I2293" s="33"/>
      <c r="J2293" s="37"/>
    </row>
    <row r="2294" spans="1:10" x14ac:dyDescent="0.35">
      <c r="A2294" s="32" t="s">
        <v>19</v>
      </c>
      <c r="B2294" s="32">
        <f t="shared" si="554"/>
        <v>2035</v>
      </c>
      <c r="C2294" s="33" t="s">
        <v>49</v>
      </c>
      <c r="D2294" s="34" t="s">
        <v>128</v>
      </c>
      <c r="E2294" s="35" t="str">
        <f t="shared" si="552"/>
        <v>PRBND'!</v>
      </c>
      <c r="F2294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94" s="32" t="s">
        <v>121</v>
      </c>
      <c r="H2294" s="33"/>
      <c r="I2294" s="33"/>
      <c r="J2294" s="37"/>
    </row>
    <row r="2295" spans="1:10" x14ac:dyDescent="0.35">
      <c r="A2295" s="32" t="s">
        <v>19</v>
      </c>
      <c r="B2295" s="32">
        <f t="shared" si="554"/>
        <v>2036</v>
      </c>
      <c r="C2295" s="33" t="s">
        <v>49</v>
      </c>
      <c r="D2295" s="34" t="s">
        <v>128</v>
      </c>
      <c r="E2295" s="35" t="str">
        <f t="shared" si="552"/>
        <v>PRBND'!</v>
      </c>
      <c r="F2295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95" s="32" t="s">
        <v>121</v>
      </c>
      <c r="H2295" s="33"/>
      <c r="I2295" s="33"/>
      <c r="J2295" s="37"/>
    </row>
    <row r="2296" spans="1:10" x14ac:dyDescent="0.35">
      <c r="A2296" s="32" t="s">
        <v>19</v>
      </c>
      <c r="B2296" s="32">
        <f>+B2295+1</f>
        <v>2037</v>
      </c>
      <c r="C2296" s="33" t="s">
        <v>49</v>
      </c>
      <c r="D2296" s="34" t="s">
        <v>128</v>
      </c>
      <c r="E2296" s="35" t="str">
        <f t="shared" si="552"/>
        <v>PRBND'!</v>
      </c>
      <c r="F2296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96" s="32" t="s">
        <v>121</v>
      </c>
      <c r="H2296" s="33"/>
      <c r="I2296" s="33"/>
      <c r="J2296" s="37"/>
    </row>
    <row r="2297" spans="1:10" x14ac:dyDescent="0.35">
      <c r="A2297" s="32" t="s">
        <v>19</v>
      </c>
      <c r="B2297" s="32">
        <f t="shared" ref="B2297:B2299" si="555">+B2296+1</f>
        <v>2038</v>
      </c>
      <c r="C2297" s="33" t="s">
        <v>49</v>
      </c>
      <c r="D2297" s="34" t="s">
        <v>128</v>
      </c>
      <c r="E2297" s="35" t="str">
        <f t="shared" si="552"/>
        <v>PRBND'!</v>
      </c>
      <c r="F2297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97" s="32" t="s">
        <v>121</v>
      </c>
      <c r="H2297" s="33"/>
      <c r="I2297" s="33"/>
      <c r="J2297" s="37"/>
    </row>
    <row r="2298" spans="1:10" x14ac:dyDescent="0.35">
      <c r="A2298" s="32" t="s">
        <v>19</v>
      </c>
      <c r="B2298" s="32">
        <f t="shared" si="555"/>
        <v>2039</v>
      </c>
      <c r="C2298" s="33" t="s">
        <v>49</v>
      </c>
      <c r="D2298" s="34" t="s">
        <v>128</v>
      </c>
      <c r="E2298" s="35" t="str">
        <f t="shared" si="552"/>
        <v>PRBND'!</v>
      </c>
      <c r="F2298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98" s="32" t="s">
        <v>121</v>
      </c>
      <c r="H2298" s="33"/>
      <c r="I2298" s="33"/>
      <c r="J2298" s="37"/>
    </row>
    <row r="2299" spans="1:10" x14ac:dyDescent="0.35">
      <c r="A2299" s="32" t="s">
        <v>19</v>
      </c>
      <c r="B2299" s="32">
        <f t="shared" si="555"/>
        <v>2040</v>
      </c>
      <c r="C2299" s="33" t="s">
        <v>49</v>
      </c>
      <c r="D2299" s="34" t="s">
        <v>128</v>
      </c>
      <c r="E2299" s="35" t="str">
        <f t="shared" si="552"/>
        <v>PRBND'!</v>
      </c>
      <c r="F2299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99" s="32" t="s">
        <v>121</v>
      </c>
      <c r="H2299" s="33"/>
      <c r="I2299" s="33"/>
      <c r="J2299" s="37"/>
    </row>
    <row r="2300" spans="1:10" x14ac:dyDescent="0.35">
      <c r="A2300" s="32" t="s">
        <v>19</v>
      </c>
      <c r="B2300" s="32">
        <f>+B2299+1</f>
        <v>2041</v>
      </c>
      <c r="C2300" s="33" t="s">
        <v>49</v>
      </c>
      <c r="D2300" s="34" t="s">
        <v>128</v>
      </c>
      <c r="E2300" s="35" t="str">
        <f t="shared" si="552"/>
        <v>PRBND'!</v>
      </c>
      <c r="F2300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00" s="32" t="s">
        <v>121</v>
      </c>
      <c r="H2300" s="33"/>
      <c r="I2300" s="33"/>
      <c r="J2300" s="37"/>
    </row>
    <row r="2301" spans="1:10" x14ac:dyDescent="0.35">
      <c r="A2301" s="32" t="s">
        <v>19</v>
      </c>
      <c r="B2301" s="32">
        <f t="shared" ref="B2301:B2302" si="556">+B2300+1</f>
        <v>2042</v>
      </c>
      <c r="C2301" s="33" t="s">
        <v>49</v>
      </c>
      <c r="D2301" s="34" t="s">
        <v>128</v>
      </c>
      <c r="E2301" s="35" t="str">
        <f t="shared" si="552"/>
        <v>PRBND'!</v>
      </c>
      <c r="F2301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01" s="32" t="s">
        <v>121</v>
      </c>
      <c r="H2301" s="33"/>
      <c r="I2301" s="33"/>
      <c r="J2301" s="37"/>
    </row>
    <row r="2302" spans="1:10" x14ac:dyDescent="0.35">
      <c r="A2302" s="32" t="s">
        <v>19</v>
      </c>
      <c r="B2302" s="32">
        <f t="shared" si="556"/>
        <v>2043</v>
      </c>
      <c r="C2302" s="33" t="s">
        <v>49</v>
      </c>
      <c r="D2302" s="34" t="s">
        <v>128</v>
      </c>
      <c r="E2302" s="35" t="str">
        <f t="shared" si="552"/>
        <v>PRBND'!</v>
      </c>
      <c r="F2302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02" s="32" t="s">
        <v>121</v>
      </c>
      <c r="H2302" s="33"/>
      <c r="I2302" s="33"/>
      <c r="J2302" s="37"/>
    </row>
    <row r="2303" spans="1:10" x14ac:dyDescent="0.35">
      <c r="A2303" s="32" t="s">
        <v>19</v>
      </c>
      <c r="B2303" s="32">
        <f>+B2302+1</f>
        <v>2044</v>
      </c>
      <c r="C2303" s="33" t="s">
        <v>49</v>
      </c>
      <c r="D2303" s="34" t="s">
        <v>128</v>
      </c>
      <c r="E2303" s="35" t="str">
        <f t="shared" ref="E2303:E2318" si="557">_xlfn.CONCAT(A2303,"'!")</f>
        <v>PRBND'!</v>
      </c>
      <c r="F2303" s="34" t="str">
        <f t="shared" ref="F2303:F2318" si="558">_xlfn.CONCAT(D2303:E2303)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03" s="32" t="s">
        <v>121</v>
      </c>
      <c r="H2303" s="33"/>
      <c r="I2303" s="33"/>
      <c r="J2303" s="37"/>
    </row>
    <row r="2304" spans="1:10" x14ac:dyDescent="0.35">
      <c r="A2304" s="32" t="s">
        <v>19</v>
      </c>
      <c r="B2304" s="32">
        <f t="shared" ref="B2304:B2318" si="559">+B2303+1</f>
        <v>2045</v>
      </c>
      <c r="C2304" s="33" t="s">
        <v>49</v>
      </c>
      <c r="D2304" s="34" t="s">
        <v>128</v>
      </c>
      <c r="E2304" s="35" t="str">
        <f t="shared" si="557"/>
        <v>PRBND'!</v>
      </c>
      <c r="F2304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04" s="32" t="s">
        <v>121</v>
      </c>
      <c r="H2304" s="33"/>
      <c r="I2304" s="33"/>
      <c r="J2304" s="37"/>
    </row>
    <row r="2305" spans="1:10" x14ac:dyDescent="0.35">
      <c r="A2305" s="32" t="s">
        <v>19</v>
      </c>
      <c r="B2305" s="32">
        <f t="shared" si="559"/>
        <v>2046</v>
      </c>
      <c r="C2305" s="33" t="s">
        <v>49</v>
      </c>
      <c r="D2305" s="34" t="s">
        <v>128</v>
      </c>
      <c r="E2305" s="35" t="str">
        <f t="shared" si="557"/>
        <v>PRBND'!</v>
      </c>
      <c r="F2305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05" s="32" t="s">
        <v>121</v>
      </c>
      <c r="H2305" s="33"/>
      <c r="I2305" s="33"/>
      <c r="J2305" s="37"/>
    </row>
    <row r="2306" spans="1:10" x14ac:dyDescent="0.35">
      <c r="A2306" s="32" t="s">
        <v>19</v>
      </c>
      <c r="B2306" s="32">
        <f t="shared" si="559"/>
        <v>2047</v>
      </c>
      <c r="C2306" s="33" t="s">
        <v>49</v>
      </c>
      <c r="D2306" s="34" t="s">
        <v>128</v>
      </c>
      <c r="E2306" s="35" t="str">
        <f t="shared" si="557"/>
        <v>PRBND'!</v>
      </c>
      <c r="F2306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06" s="32" t="s">
        <v>121</v>
      </c>
      <c r="H2306" s="33"/>
      <c r="I2306" s="33"/>
      <c r="J2306" s="37"/>
    </row>
    <row r="2307" spans="1:10" x14ac:dyDescent="0.35">
      <c r="A2307" s="32" t="s">
        <v>19</v>
      </c>
      <c r="B2307" s="32">
        <f t="shared" si="559"/>
        <v>2048</v>
      </c>
      <c r="C2307" s="33" t="s">
        <v>49</v>
      </c>
      <c r="D2307" s="34" t="s">
        <v>128</v>
      </c>
      <c r="E2307" s="35" t="str">
        <f t="shared" si="557"/>
        <v>PRBND'!</v>
      </c>
      <c r="F2307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07" s="32" t="s">
        <v>121</v>
      </c>
      <c r="H2307" s="33"/>
      <c r="I2307" s="33"/>
      <c r="J2307" s="37"/>
    </row>
    <row r="2308" spans="1:10" x14ac:dyDescent="0.35">
      <c r="A2308" s="32" t="s">
        <v>19</v>
      </c>
      <c r="B2308" s="32">
        <f t="shared" si="559"/>
        <v>2049</v>
      </c>
      <c r="C2308" s="33" t="s">
        <v>49</v>
      </c>
      <c r="D2308" s="34" t="s">
        <v>128</v>
      </c>
      <c r="E2308" s="35" t="str">
        <f t="shared" si="557"/>
        <v>PRBND'!</v>
      </c>
      <c r="F2308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08" s="32" t="s">
        <v>121</v>
      </c>
      <c r="H2308" s="33"/>
      <c r="I2308" s="33"/>
      <c r="J2308" s="37"/>
    </row>
    <row r="2309" spans="1:10" x14ac:dyDescent="0.35">
      <c r="A2309" s="32" t="s">
        <v>19</v>
      </c>
      <c r="B2309" s="32">
        <f t="shared" si="559"/>
        <v>2050</v>
      </c>
      <c r="C2309" s="33" t="s">
        <v>49</v>
      </c>
      <c r="D2309" s="34" t="s">
        <v>128</v>
      </c>
      <c r="E2309" s="35" t="str">
        <f t="shared" si="557"/>
        <v>PRBND'!</v>
      </c>
      <c r="F2309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09" s="32" t="s">
        <v>121</v>
      </c>
      <c r="H2309" s="33"/>
      <c r="I2309" s="33"/>
      <c r="J2309" s="37"/>
    </row>
    <row r="2310" spans="1:10" x14ac:dyDescent="0.35">
      <c r="A2310" s="32" t="s">
        <v>19</v>
      </c>
      <c r="B2310" s="32">
        <f t="shared" si="559"/>
        <v>2051</v>
      </c>
      <c r="C2310" s="33" t="s">
        <v>49</v>
      </c>
      <c r="D2310" s="34" t="s">
        <v>128</v>
      </c>
      <c r="E2310" s="35" t="str">
        <f t="shared" si="557"/>
        <v>PRBND'!</v>
      </c>
      <c r="F2310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10" s="32" t="s">
        <v>121</v>
      </c>
      <c r="H2310" s="33"/>
      <c r="I2310" s="33"/>
      <c r="J2310" s="37"/>
    </row>
    <row r="2311" spans="1:10" x14ac:dyDescent="0.35">
      <c r="A2311" s="32" t="s">
        <v>19</v>
      </c>
      <c r="B2311" s="32">
        <f t="shared" si="559"/>
        <v>2052</v>
      </c>
      <c r="C2311" s="33" t="s">
        <v>49</v>
      </c>
      <c r="D2311" s="34" t="s">
        <v>128</v>
      </c>
      <c r="E2311" s="35" t="str">
        <f t="shared" si="557"/>
        <v>PRBND'!</v>
      </c>
      <c r="F2311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11" s="32" t="s">
        <v>121</v>
      </c>
      <c r="H2311" s="33"/>
      <c r="I2311" s="33"/>
      <c r="J2311" s="37"/>
    </row>
    <row r="2312" spans="1:10" x14ac:dyDescent="0.35">
      <c r="A2312" s="32" t="s">
        <v>19</v>
      </c>
      <c r="B2312" s="32">
        <f t="shared" si="559"/>
        <v>2053</v>
      </c>
      <c r="C2312" s="33" t="s">
        <v>49</v>
      </c>
      <c r="D2312" s="34" t="s">
        <v>128</v>
      </c>
      <c r="E2312" s="35" t="str">
        <f t="shared" si="557"/>
        <v>PRBND'!</v>
      </c>
      <c r="F2312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12" s="32" t="s">
        <v>121</v>
      </c>
      <c r="H2312" s="33"/>
      <c r="I2312" s="33"/>
      <c r="J2312" s="37"/>
    </row>
    <row r="2313" spans="1:10" x14ac:dyDescent="0.35">
      <c r="A2313" s="32" t="s">
        <v>19</v>
      </c>
      <c r="B2313" s="32">
        <f t="shared" si="559"/>
        <v>2054</v>
      </c>
      <c r="C2313" s="33" t="s">
        <v>49</v>
      </c>
      <c r="D2313" s="34" t="s">
        <v>128</v>
      </c>
      <c r="E2313" s="35" t="str">
        <f t="shared" si="557"/>
        <v>PRBND'!</v>
      </c>
      <c r="F2313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13" s="32" t="s">
        <v>121</v>
      </c>
      <c r="H2313" s="33"/>
      <c r="I2313" s="33"/>
      <c r="J2313" s="37"/>
    </row>
    <row r="2314" spans="1:10" x14ac:dyDescent="0.35">
      <c r="A2314" s="32" t="s">
        <v>19</v>
      </c>
      <c r="B2314" s="32">
        <f t="shared" si="559"/>
        <v>2055</v>
      </c>
      <c r="C2314" s="33" t="s">
        <v>49</v>
      </c>
      <c r="D2314" s="34" t="s">
        <v>128</v>
      </c>
      <c r="E2314" s="35" t="str">
        <f t="shared" si="557"/>
        <v>PRBND'!</v>
      </c>
      <c r="F2314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14" s="32" t="s">
        <v>121</v>
      </c>
      <c r="H2314" s="33"/>
      <c r="I2314" s="33"/>
      <c r="J2314" s="37"/>
    </row>
    <row r="2315" spans="1:10" x14ac:dyDescent="0.35">
      <c r="A2315" s="32" t="s">
        <v>19</v>
      </c>
      <c r="B2315" s="32">
        <f t="shared" si="559"/>
        <v>2056</v>
      </c>
      <c r="C2315" s="33" t="s">
        <v>49</v>
      </c>
      <c r="D2315" s="34" t="s">
        <v>128</v>
      </c>
      <c r="E2315" s="35" t="str">
        <f t="shared" si="557"/>
        <v>PRBND'!</v>
      </c>
      <c r="F2315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15" s="32" t="s">
        <v>121</v>
      </c>
      <c r="H2315" s="33"/>
      <c r="I2315" s="33"/>
      <c r="J2315" s="37"/>
    </row>
    <row r="2316" spans="1:10" x14ac:dyDescent="0.35">
      <c r="A2316" s="32" t="s">
        <v>19</v>
      </c>
      <c r="B2316" s="32">
        <f t="shared" si="559"/>
        <v>2057</v>
      </c>
      <c r="C2316" s="33" t="s">
        <v>49</v>
      </c>
      <c r="D2316" s="34" t="s">
        <v>128</v>
      </c>
      <c r="E2316" s="35" t="str">
        <f t="shared" si="557"/>
        <v>PRBND'!</v>
      </c>
      <c r="F2316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16" s="32" t="s">
        <v>121</v>
      </c>
      <c r="H2316" s="33"/>
      <c r="I2316" s="33"/>
      <c r="J2316" s="37"/>
    </row>
    <row r="2317" spans="1:10" x14ac:dyDescent="0.35">
      <c r="A2317" s="32" t="s">
        <v>19</v>
      </c>
      <c r="B2317" s="32">
        <f t="shared" si="559"/>
        <v>2058</v>
      </c>
      <c r="C2317" s="33" t="s">
        <v>49</v>
      </c>
      <c r="D2317" s="34" t="s">
        <v>128</v>
      </c>
      <c r="E2317" s="35" t="str">
        <f t="shared" si="557"/>
        <v>PRBND'!</v>
      </c>
      <c r="F2317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17" s="32" t="s">
        <v>121</v>
      </c>
      <c r="H2317" s="33"/>
      <c r="I2317" s="33"/>
      <c r="J2317" s="37"/>
    </row>
    <row r="2318" spans="1:10" x14ac:dyDescent="0.35">
      <c r="A2318" s="32" t="s">
        <v>19</v>
      </c>
      <c r="B2318" s="32">
        <f t="shared" si="559"/>
        <v>2059</v>
      </c>
      <c r="C2318" s="33" t="s">
        <v>49</v>
      </c>
      <c r="D2318" s="34" t="s">
        <v>128</v>
      </c>
      <c r="E2318" s="35" t="str">
        <f t="shared" si="557"/>
        <v>PRBND'!</v>
      </c>
      <c r="F2318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18" s="32" t="s">
        <v>121</v>
      </c>
      <c r="H2318" s="33"/>
      <c r="I2318" s="33"/>
      <c r="J2318" s="37"/>
    </row>
    <row r="2319" spans="1:10" x14ac:dyDescent="0.35">
      <c r="A2319" s="32" t="s">
        <v>26</v>
      </c>
      <c r="B2319" s="32"/>
      <c r="C2319" s="33" t="s">
        <v>49</v>
      </c>
      <c r="D2319" s="34"/>
      <c r="E2319" s="35"/>
      <c r="F2319" s="34"/>
      <c r="G2319" s="32"/>
      <c r="H2319" s="33"/>
      <c r="I2319" s="33"/>
      <c r="J2319" s="33"/>
    </row>
    <row r="2320" spans="1:10" x14ac:dyDescent="0.35">
      <c r="A2320" s="32" t="s">
        <v>20</v>
      </c>
      <c r="B2320" s="32">
        <v>2023</v>
      </c>
      <c r="C2320" s="33" t="s">
        <v>49</v>
      </c>
      <c r="D2320" s="34" t="s">
        <v>128</v>
      </c>
      <c r="E2320" s="35" t="str">
        <f t="shared" si="528"/>
        <v>PRB'!</v>
      </c>
      <c r="F2320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20" s="32" t="s">
        <v>121</v>
      </c>
      <c r="H2320" s="33">
        <v>12</v>
      </c>
      <c r="I2320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ECP\Cantagallo\Cristalina\[CRISTALINA_CF_SEC_New_09-Feb-2024.xlsx]D-PRB'!$DC$12</v>
      </c>
      <c r="J2320" s="37" t="s">
        <v>1165</v>
      </c>
    </row>
    <row r="2321" spans="1:10" x14ac:dyDescent="0.35">
      <c r="A2321" s="32" t="s">
        <v>20</v>
      </c>
      <c r="B2321" s="32">
        <f>+B2320+1</f>
        <v>2024</v>
      </c>
      <c r="C2321" s="33" t="s">
        <v>49</v>
      </c>
      <c r="D2321" s="34" t="s">
        <v>128</v>
      </c>
      <c r="E2321" s="35" t="str">
        <f t="shared" si="528"/>
        <v>PRB'!</v>
      </c>
      <c r="F2321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21" s="32" t="s">
        <v>121</v>
      </c>
      <c r="H2321" s="33">
        <f t="shared" ref="H2321:H2340" si="560">IF(A2321&lt;&gt;A2320,12,H2320+1)</f>
        <v>13</v>
      </c>
      <c r="I2321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ECP\Cantagallo\Cristalina\[CRISTALINA_CF_SEC_New_09-Feb-2024.xlsx]D-PRB'!$DC$13</v>
      </c>
      <c r="J2321" s="37" t="s">
        <v>1166</v>
      </c>
    </row>
    <row r="2322" spans="1:10" x14ac:dyDescent="0.35">
      <c r="A2322" s="32" t="s">
        <v>20</v>
      </c>
      <c r="B2322" s="32">
        <f t="shared" ref="B2322:B2333" si="561">+B2321+1</f>
        <v>2025</v>
      </c>
      <c r="C2322" s="33" t="s">
        <v>49</v>
      </c>
      <c r="D2322" s="34" t="s">
        <v>128</v>
      </c>
      <c r="E2322" s="35" t="str">
        <f t="shared" si="528"/>
        <v>PRB'!</v>
      </c>
      <c r="F2322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22" s="32" t="s">
        <v>121</v>
      </c>
      <c r="H2322" s="33">
        <f t="shared" si="560"/>
        <v>14</v>
      </c>
      <c r="I2322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ECP\Cantagallo\Cristalina\[CRISTALINA_CF_SEC_New_09-Feb-2024.xlsx]D-PRB'!$DC$14</v>
      </c>
      <c r="J2322" s="37" t="s">
        <v>1167</v>
      </c>
    </row>
    <row r="2323" spans="1:10" x14ac:dyDescent="0.35">
      <c r="A2323" s="32" t="s">
        <v>20</v>
      </c>
      <c r="B2323" s="32">
        <f t="shared" si="561"/>
        <v>2026</v>
      </c>
      <c r="C2323" s="33" t="s">
        <v>49</v>
      </c>
      <c r="D2323" s="34" t="s">
        <v>128</v>
      </c>
      <c r="E2323" s="35" t="str">
        <f t="shared" si="528"/>
        <v>PRB'!</v>
      </c>
      <c r="F2323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23" s="32" t="s">
        <v>121</v>
      </c>
      <c r="H2323" s="33">
        <f t="shared" si="560"/>
        <v>15</v>
      </c>
      <c r="I2323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ECP\Cantagallo\Cristalina\[CRISTALINA_CF_SEC_New_09-Feb-2024.xlsx]D-PRB'!$DC$15</v>
      </c>
      <c r="J2323" s="37" t="s">
        <v>1168</v>
      </c>
    </row>
    <row r="2324" spans="1:10" x14ac:dyDescent="0.35">
      <c r="A2324" s="32" t="s">
        <v>20</v>
      </c>
      <c r="B2324" s="32">
        <f t="shared" si="561"/>
        <v>2027</v>
      </c>
      <c r="C2324" s="33" t="s">
        <v>49</v>
      </c>
      <c r="D2324" s="34" t="s">
        <v>128</v>
      </c>
      <c r="E2324" s="35" t="str">
        <f t="shared" si="528"/>
        <v>PRB'!</v>
      </c>
      <c r="F2324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24" s="32" t="s">
        <v>121</v>
      </c>
      <c r="H2324" s="33">
        <f t="shared" si="560"/>
        <v>16</v>
      </c>
      <c r="I2324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ECP\Cantagallo\Cristalina\[CRISTALINA_CF_SEC_New_09-Feb-2024.xlsx]D-PRB'!$DC$16</v>
      </c>
      <c r="J2324" s="37" t="s">
        <v>1169</v>
      </c>
    </row>
    <row r="2325" spans="1:10" x14ac:dyDescent="0.35">
      <c r="A2325" s="32" t="s">
        <v>20</v>
      </c>
      <c r="B2325" s="32">
        <f t="shared" si="561"/>
        <v>2028</v>
      </c>
      <c r="C2325" s="33" t="s">
        <v>49</v>
      </c>
      <c r="D2325" s="34" t="s">
        <v>128</v>
      </c>
      <c r="E2325" s="35" t="str">
        <f t="shared" si="528"/>
        <v>PRB'!</v>
      </c>
      <c r="F2325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25" s="32" t="s">
        <v>121</v>
      </c>
      <c r="H2325" s="33">
        <f t="shared" si="560"/>
        <v>17</v>
      </c>
      <c r="I2325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ECP\Cantagallo\Cristalina\[CRISTALINA_CF_SEC_New_09-Feb-2024.xlsx]D-PRB'!$DC$17</v>
      </c>
      <c r="J2325" s="37" t="s">
        <v>1170</v>
      </c>
    </row>
    <row r="2326" spans="1:10" x14ac:dyDescent="0.35">
      <c r="A2326" s="32" t="s">
        <v>20</v>
      </c>
      <c r="B2326" s="32">
        <f t="shared" si="561"/>
        <v>2029</v>
      </c>
      <c r="C2326" s="33" t="s">
        <v>49</v>
      </c>
      <c r="D2326" s="34" t="s">
        <v>128</v>
      </c>
      <c r="E2326" s="35" t="str">
        <f t="shared" si="528"/>
        <v>PRB'!</v>
      </c>
      <c r="F2326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26" s="32" t="s">
        <v>121</v>
      </c>
      <c r="H2326" s="33">
        <f t="shared" si="560"/>
        <v>18</v>
      </c>
      <c r="I2326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ECP\Cantagallo\Cristalina\[CRISTALINA_CF_SEC_New_09-Feb-2024.xlsx]D-PRB'!$DC$18</v>
      </c>
      <c r="J2326" s="37" t="s">
        <v>1171</v>
      </c>
    </row>
    <row r="2327" spans="1:10" x14ac:dyDescent="0.35">
      <c r="A2327" s="32" t="s">
        <v>20</v>
      </c>
      <c r="B2327" s="32">
        <f t="shared" si="561"/>
        <v>2030</v>
      </c>
      <c r="C2327" s="33" t="s">
        <v>49</v>
      </c>
      <c r="D2327" s="34" t="s">
        <v>128</v>
      </c>
      <c r="E2327" s="35" t="str">
        <f t="shared" si="528"/>
        <v>PRB'!</v>
      </c>
      <c r="F2327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27" s="32" t="s">
        <v>121</v>
      </c>
      <c r="H2327" s="33">
        <f t="shared" si="560"/>
        <v>19</v>
      </c>
      <c r="I2327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ECP\Cantagallo\Cristalina\[CRISTALINA_CF_SEC_New_09-Feb-2024.xlsx]D-PRB'!$DC$19</v>
      </c>
      <c r="J2327" s="37" t="s">
        <v>1172</v>
      </c>
    </row>
    <row r="2328" spans="1:10" x14ac:dyDescent="0.35">
      <c r="A2328" s="32" t="s">
        <v>20</v>
      </c>
      <c r="B2328" s="32">
        <f t="shared" si="561"/>
        <v>2031</v>
      </c>
      <c r="C2328" s="33" t="s">
        <v>49</v>
      </c>
      <c r="D2328" s="34" t="s">
        <v>128</v>
      </c>
      <c r="E2328" s="35" t="str">
        <f t="shared" si="528"/>
        <v>PRB'!</v>
      </c>
      <c r="F2328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28" s="32" t="s">
        <v>121</v>
      </c>
      <c r="H2328" s="33">
        <f t="shared" si="560"/>
        <v>20</v>
      </c>
      <c r="I2328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ECP\Cantagallo\Cristalina\[CRISTALINA_CF_SEC_New_09-Feb-2024.xlsx]D-PRB'!$DC$20</v>
      </c>
      <c r="J2328" s="37" t="s">
        <v>1173</v>
      </c>
    </row>
    <row r="2329" spans="1:10" x14ac:dyDescent="0.35">
      <c r="A2329" s="32" t="s">
        <v>20</v>
      </c>
      <c r="B2329" s="32">
        <f t="shared" si="561"/>
        <v>2032</v>
      </c>
      <c r="C2329" s="33" t="s">
        <v>49</v>
      </c>
      <c r="D2329" s="34" t="s">
        <v>128</v>
      </c>
      <c r="E2329" s="35" t="str">
        <f t="shared" si="528"/>
        <v>PRB'!</v>
      </c>
      <c r="F2329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29" s="32" t="s">
        <v>121</v>
      </c>
      <c r="H2329" s="33">
        <f t="shared" si="560"/>
        <v>21</v>
      </c>
      <c r="I2329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ECP\Cantagallo\Cristalina\[CRISTALINA_CF_SEC_New_09-Feb-2024.xlsx]D-PRB'!$DC$21</v>
      </c>
      <c r="J2329" s="37" t="s">
        <v>1174</v>
      </c>
    </row>
    <row r="2330" spans="1:10" x14ac:dyDescent="0.35">
      <c r="A2330" s="32" t="s">
        <v>20</v>
      </c>
      <c r="B2330" s="32">
        <f t="shared" si="561"/>
        <v>2033</v>
      </c>
      <c r="C2330" s="33" t="s">
        <v>49</v>
      </c>
      <c r="D2330" s="34" t="s">
        <v>128</v>
      </c>
      <c r="E2330" s="35" t="str">
        <f t="shared" si="528"/>
        <v>PRB'!</v>
      </c>
      <c r="F2330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30" s="32" t="s">
        <v>121</v>
      </c>
      <c r="H2330" s="33">
        <f t="shared" si="560"/>
        <v>22</v>
      </c>
      <c r="I2330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ECP\Cantagallo\Cristalina\[CRISTALINA_CF_SEC_New_09-Feb-2024.xlsx]D-PRB'!$DC$22</v>
      </c>
      <c r="J2330" s="37" t="s">
        <v>1175</v>
      </c>
    </row>
    <row r="2331" spans="1:10" x14ac:dyDescent="0.35">
      <c r="A2331" s="32" t="s">
        <v>20</v>
      </c>
      <c r="B2331" s="32">
        <f t="shared" si="561"/>
        <v>2034</v>
      </c>
      <c r="C2331" s="33" t="s">
        <v>49</v>
      </c>
      <c r="D2331" s="34" t="s">
        <v>128</v>
      </c>
      <c r="E2331" s="35" t="str">
        <f t="shared" si="528"/>
        <v>PRB'!</v>
      </c>
      <c r="F2331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31" s="32" t="s">
        <v>121</v>
      </c>
      <c r="H2331" s="33">
        <f t="shared" si="560"/>
        <v>23</v>
      </c>
      <c r="I2331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ECP\Cantagallo\Cristalina\[CRISTALINA_CF_SEC_New_09-Feb-2024.xlsx]D-PRB'!$DC$23</v>
      </c>
      <c r="J2331" s="37" t="s">
        <v>1176</v>
      </c>
    </row>
    <row r="2332" spans="1:10" x14ac:dyDescent="0.35">
      <c r="A2332" s="32" t="s">
        <v>20</v>
      </c>
      <c r="B2332" s="32">
        <f t="shared" si="561"/>
        <v>2035</v>
      </c>
      <c r="C2332" s="33" t="s">
        <v>49</v>
      </c>
      <c r="D2332" s="34" t="s">
        <v>128</v>
      </c>
      <c r="E2332" s="35" t="str">
        <f t="shared" si="528"/>
        <v>PRB'!</v>
      </c>
      <c r="F2332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32" s="32" t="s">
        <v>121</v>
      </c>
      <c r="H2332" s="33">
        <f t="shared" si="560"/>
        <v>24</v>
      </c>
      <c r="I2332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ECP\Cantagallo\Cristalina\[CRISTALINA_CF_SEC_New_09-Feb-2024.xlsx]D-PRB'!$DC$24</v>
      </c>
      <c r="J2332" s="37" t="s">
        <v>1177</v>
      </c>
    </row>
    <row r="2333" spans="1:10" x14ac:dyDescent="0.35">
      <c r="A2333" s="32" t="s">
        <v>20</v>
      </c>
      <c r="B2333" s="32">
        <f t="shared" si="561"/>
        <v>2036</v>
      </c>
      <c r="C2333" s="33" t="s">
        <v>49</v>
      </c>
      <c r="D2333" s="34" t="s">
        <v>128</v>
      </c>
      <c r="E2333" s="35" t="str">
        <f t="shared" si="528"/>
        <v>PRB'!</v>
      </c>
      <c r="F2333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33" s="32" t="s">
        <v>121</v>
      </c>
      <c r="H2333" s="33">
        <f t="shared" si="560"/>
        <v>25</v>
      </c>
      <c r="I2333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ECP\Cantagallo\Cristalina\[CRISTALINA_CF_SEC_New_09-Feb-2024.xlsx]D-PRB'!$DC$25</v>
      </c>
      <c r="J2333" s="37" t="s">
        <v>1178</v>
      </c>
    </row>
    <row r="2334" spans="1:10" x14ac:dyDescent="0.35">
      <c r="A2334" s="32" t="s">
        <v>20</v>
      </c>
      <c r="B2334" s="32">
        <f>+B2333+1</f>
        <v>2037</v>
      </c>
      <c r="C2334" s="33" t="s">
        <v>49</v>
      </c>
      <c r="D2334" s="34" t="s">
        <v>128</v>
      </c>
      <c r="E2334" s="35" t="str">
        <f t="shared" si="528"/>
        <v>PRB'!</v>
      </c>
      <c r="F2334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34" s="32" t="s">
        <v>121</v>
      </c>
      <c r="H2334" s="33">
        <f t="shared" si="560"/>
        <v>26</v>
      </c>
      <c r="I2334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ECP\Cantagallo\Cristalina\[CRISTALINA_CF_SEC_New_09-Feb-2024.xlsx]D-PRB'!$DC$26</v>
      </c>
      <c r="J2334" s="37" t="s">
        <v>1179</v>
      </c>
    </row>
    <row r="2335" spans="1:10" x14ac:dyDescent="0.35">
      <c r="A2335" s="32" t="s">
        <v>20</v>
      </c>
      <c r="B2335" s="32">
        <f t="shared" ref="B2335:B2337" si="562">+B2334+1</f>
        <v>2038</v>
      </c>
      <c r="C2335" s="33" t="s">
        <v>49</v>
      </c>
      <c r="D2335" s="34" t="s">
        <v>128</v>
      </c>
      <c r="E2335" s="35" t="str">
        <f t="shared" si="528"/>
        <v>PRB'!</v>
      </c>
      <c r="F2335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35" s="32" t="s">
        <v>121</v>
      </c>
      <c r="H2335" s="33">
        <f t="shared" si="560"/>
        <v>27</v>
      </c>
      <c r="I2335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ECP\Cantagallo\Cristalina\[CRISTALINA_CF_SEC_New_09-Feb-2024.xlsx]D-PRB'!$DC$27</v>
      </c>
      <c r="J2335" s="37" t="s">
        <v>1180</v>
      </c>
    </row>
    <row r="2336" spans="1:10" x14ac:dyDescent="0.35">
      <c r="A2336" s="32" t="s">
        <v>20</v>
      </c>
      <c r="B2336" s="32">
        <f t="shared" si="562"/>
        <v>2039</v>
      </c>
      <c r="C2336" s="33" t="s">
        <v>49</v>
      </c>
      <c r="D2336" s="34" t="s">
        <v>128</v>
      </c>
      <c r="E2336" s="35" t="str">
        <f t="shared" si="528"/>
        <v>PRB'!</v>
      </c>
      <c r="F2336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36" s="32" t="s">
        <v>121</v>
      </c>
      <c r="H2336" s="33">
        <f t="shared" si="560"/>
        <v>28</v>
      </c>
      <c r="I2336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ECP\Cantagallo\Cristalina\[CRISTALINA_CF_SEC_New_09-Feb-2024.xlsx]D-PRB'!$DC$28</v>
      </c>
      <c r="J2336" s="37" t="s">
        <v>1181</v>
      </c>
    </row>
    <row r="2337" spans="1:10" x14ac:dyDescent="0.35">
      <c r="A2337" s="32" t="s">
        <v>20</v>
      </c>
      <c r="B2337" s="32">
        <f t="shared" si="562"/>
        <v>2040</v>
      </c>
      <c r="C2337" s="33" t="s">
        <v>49</v>
      </c>
      <c r="D2337" s="34" t="s">
        <v>128</v>
      </c>
      <c r="E2337" s="35" t="str">
        <f t="shared" si="528"/>
        <v>PRB'!</v>
      </c>
      <c r="F2337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37" s="32" t="s">
        <v>121</v>
      </c>
      <c r="H2337" s="33">
        <f t="shared" si="560"/>
        <v>29</v>
      </c>
      <c r="I2337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ECP\Cantagallo\Cristalina\[CRISTALINA_CF_SEC_New_09-Feb-2024.xlsx]D-PRB'!$DC$29</v>
      </c>
      <c r="J2337" s="37" t="s">
        <v>1182</v>
      </c>
    </row>
    <row r="2338" spans="1:10" x14ac:dyDescent="0.35">
      <c r="A2338" s="32" t="s">
        <v>20</v>
      </c>
      <c r="B2338" s="32">
        <f>+B2337+1</f>
        <v>2041</v>
      </c>
      <c r="C2338" s="33" t="s">
        <v>49</v>
      </c>
      <c r="D2338" s="34" t="s">
        <v>128</v>
      </c>
      <c r="E2338" s="35" t="str">
        <f t="shared" si="528"/>
        <v>PRB'!</v>
      </c>
      <c r="F2338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38" s="32" t="s">
        <v>121</v>
      </c>
      <c r="H2338" s="33">
        <f t="shared" si="560"/>
        <v>30</v>
      </c>
      <c r="I2338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ECP\Cantagallo\Cristalina\[CRISTALINA_CF_SEC_New_09-Feb-2024.xlsx]D-PRB'!$DC$30</v>
      </c>
      <c r="J2338" s="37" t="s">
        <v>1183</v>
      </c>
    </row>
    <row r="2339" spans="1:10" x14ac:dyDescent="0.35">
      <c r="A2339" s="32" t="s">
        <v>20</v>
      </c>
      <c r="B2339" s="32">
        <f t="shared" ref="B2339:B2340" si="563">+B2338+1</f>
        <v>2042</v>
      </c>
      <c r="C2339" s="33" t="s">
        <v>49</v>
      </c>
      <c r="D2339" s="34" t="s">
        <v>128</v>
      </c>
      <c r="E2339" s="35" t="str">
        <f t="shared" si="528"/>
        <v>PRB'!</v>
      </c>
      <c r="F2339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39" s="32" t="s">
        <v>121</v>
      </c>
      <c r="H2339" s="33">
        <f t="shared" si="560"/>
        <v>31</v>
      </c>
      <c r="I2339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ECP\Cantagallo\Cristalina\[CRISTALINA_CF_SEC_New_09-Feb-2024.xlsx]D-PRB'!$DC$31</v>
      </c>
      <c r="J2339" s="37" t="s">
        <v>1184</v>
      </c>
    </row>
    <row r="2340" spans="1:10" x14ac:dyDescent="0.35">
      <c r="A2340" s="32" t="s">
        <v>20</v>
      </c>
      <c r="B2340" s="32">
        <f t="shared" si="563"/>
        <v>2043</v>
      </c>
      <c r="C2340" s="33" t="s">
        <v>49</v>
      </c>
      <c r="D2340" s="34" t="s">
        <v>128</v>
      </c>
      <c r="E2340" s="35" t="str">
        <f t="shared" si="528"/>
        <v>PRB'!</v>
      </c>
      <c r="F2340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40" s="32" t="s">
        <v>121</v>
      </c>
      <c r="H2340" s="33">
        <f t="shared" si="560"/>
        <v>32</v>
      </c>
      <c r="I2340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ECP\Cantagallo\Cristalina\[CRISTALINA_CF_SEC_New_09-Feb-2024.xlsx]D-PRB'!$DC$32</v>
      </c>
      <c r="J2340" s="37" t="s">
        <v>1185</v>
      </c>
    </row>
    <row r="2341" spans="1:10" x14ac:dyDescent="0.35">
      <c r="A2341" s="32" t="s">
        <v>20</v>
      </c>
      <c r="B2341" s="32">
        <f>+B2340+1</f>
        <v>2044</v>
      </c>
      <c r="C2341" s="33" t="s">
        <v>49</v>
      </c>
      <c r="D2341" s="34" t="s">
        <v>128</v>
      </c>
      <c r="E2341" s="35" t="str">
        <f t="shared" ref="E2341:E2356" si="564">_xlfn.CONCAT(A2341,"'!")</f>
        <v>PRB'!</v>
      </c>
      <c r="F2341" s="34" t="str">
        <f t="shared" ref="F2341:F2356" si="565">_xlfn.CONCAT(D2341:E2341)</f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41" s="32" t="s">
        <v>121</v>
      </c>
      <c r="H2341" s="33">
        <f t="shared" ref="H2341:H2356" si="566">IF(A2341&lt;&gt;A2340,12,H2340+1)</f>
        <v>33</v>
      </c>
      <c r="I2341" s="33" t="str">
        <f t="shared" ref="I2341:I2356" si="567">_xlfn.CONCAT("='",F2341:H2341)</f>
        <v>='C:\Users\jaime.benazar\Quorum Business Solutions\Ecopetrol Prometeo - Documents\Planning Space Implementation\3. Analysis &amp; Design\Design\FC22\DRR Jaime\Por presentar a ECP\Cantagallo\Cristalina\[CRISTALINA_CF_SEC_New_09-Feb-2024.xlsx]D-PRB'!$DC$33</v>
      </c>
      <c r="J2341" s="37" t="s">
        <v>1186</v>
      </c>
    </row>
    <row r="2342" spans="1:10" x14ac:dyDescent="0.35">
      <c r="A2342" s="32" t="s">
        <v>20</v>
      </c>
      <c r="B2342" s="32">
        <f t="shared" ref="B2342:B2356" si="568">+B2341+1</f>
        <v>2045</v>
      </c>
      <c r="C2342" s="33" t="s">
        <v>49</v>
      </c>
      <c r="D2342" s="34" t="s">
        <v>128</v>
      </c>
      <c r="E2342" s="35" t="str">
        <f t="shared" si="564"/>
        <v>PRB'!</v>
      </c>
      <c r="F2342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42" s="32" t="s">
        <v>121</v>
      </c>
      <c r="H2342" s="33">
        <f t="shared" si="566"/>
        <v>34</v>
      </c>
      <c r="I2342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ECP\Cantagallo\Cristalina\[CRISTALINA_CF_SEC_New_09-Feb-2024.xlsx]D-PRB'!$DC$34</v>
      </c>
      <c r="J2342" s="37" t="s">
        <v>1187</v>
      </c>
    </row>
    <row r="2343" spans="1:10" x14ac:dyDescent="0.35">
      <c r="A2343" s="32" t="s">
        <v>20</v>
      </c>
      <c r="B2343" s="32">
        <f t="shared" si="568"/>
        <v>2046</v>
      </c>
      <c r="C2343" s="33" t="s">
        <v>49</v>
      </c>
      <c r="D2343" s="34" t="s">
        <v>128</v>
      </c>
      <c r="E2343" s="35" t="str">
        <f t="shared" si="564"/>
        <v>PRB'!</v>
      </c>
      <c r="F2343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43" s="32" t="s">
        <v>121</v>
      </c>
      <c r="H2343" s="33">
        <f t="shared" si="566"/>
        <v>35</v>
      </c>
      <c r="I2343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ECP\Cantagallo\Cristalina\[CRISTALINA_CF_SEC_New_09-Feb-2024.xlsx]D-PRB'!$DC$35</v>
      </c>
      <c r="J2343" s="37" t="s">
        <v>1188</v>
      </c>
    </row>
    <row r="2344" spans="1:10" x14ac:dyDescent="0.35">
      <c r="A2344" s="32" t="s">
        <v>20</v>
      </c>
      <c r="B2344" s="32">
        <f t="shared" si="568"/>
        <v>2047</v>
      </c>
      <c r="C2344" s="33" t="s">
        <v>49</v>
      </c>
      <c r="D2344" s="34" t="s">
        <v>128</v>
      </c>
      <c r="E2344" s="35" t="str">
        <f t="shared" si="564"/>
        <v>PRB'!</v>
      </c>
      <c r="F2344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44" s="32" t="s">
        <v>121</v>
      </c>
      <c r="H2344" s="33">
        <f t="shared" si="566"/>
        <v>36</v>
      </c>
      <c r="I2344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ECP\Cantagallo\Cristalina\[CRISTALINA_CF_SEC_New_09-Feb-2024.xlsx]D-PRB'!$DC$36</v>
      </c>
      <c r="J2344" s="37" t="s">
        <v>1189</v>
      </c>
    </row>
    <row r="2345" spans="1:10" x14ac:dyDescent="0.35">
      <c r="A2345" s="32" t="s">
        <v>20</v>
      </c>
      <c r="B2345" s="32">
        <f t="shared" si="568"/>
        <v>2048</v>
      </c>
      <c r="C2345" s="33" t="s">
        <v>49</v>
      </c>
      <c r="D2345" s="34" t="s">
        <v>128</v>
      </c>
      <c r="E2345" s="35" t="str">
        <f t="shared" si="564"/>
        <v>PRB'!</v>
      </c>
      <c r="F2345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45" s="32" t="s">
        <v>121</v>
      </c>
      <c r="H2345" s="33">
        <f t="shared" si="566"/>
        <v>37</v>
      </c>
      <c r="I2345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ECP\Cantagallo\Cristalina\[CRISTALINA_CF_SEC_New_09-Feb-2024.xlsx]D-PRB'!$DC$37</v>
      </c>
      <c r="J2345" s="37" t="s">
        <v>1190</v>
      </c>
    </row>
    <row r="2346" spans="1:10" x14ac:dyDescent="0.35">
      <c r="A2346" s="32" t="s">
        <v>20</v>
      </c>
      <c r="B2346" s="32">
        <f t="shared" si="568"/>
        <v>2049</v>
      </c>
      <c r="C2346" s="33" t="s">
        <v>49</v>
      </c>
      <c r="D2346" s="34" t="s">
        <v>128</v>
      </c>
      <c r="E2346" s="35" t="str">
        <f t="shared" si="564"/>
        <v>PRB'!</v>
      </c>
      <c r="F2346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46" s="32" t="s">
        <v>121</v>
      </c>
      <c r="H2346" s="33">
        <f t="shared" si="566"/>
        <v>38</v>
      </c>
      <c r="I2346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ECP\Cantagallo\Cristalina\[CRISTALINA_CF_SEC_New_09-Feb-2024.xlsx]D-PRB'!$DC$38</v>
      </c>
      <c r="J2346" s="37" t="s">
        <v>1191</v>
      </c>
    </row>
    <row r="2347" spans="1:10" x14ac:dyDescent="0.35">
      <c r="A2347" s="32" t="s">
        <v>20</v>
      </c>
      <c r="B2347" s="32">
        <f t="shared" si="568"/>
        <v>2050</v>
      </c>
      <c r="C2347" s="33" t="s">
        <v>49</v>
      </c>
      <c r="D2347" s="34" t="s">
        <v>128</v>
      </c>
      <c r="E2347" s="35" t="str">
        <f t="shared" si="564"/>
        <v>PRB'!</v>
      </c>
      <c r="F2347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47" s="32" t="s">
        <v>121</v>
      </c>
      <c r="H2347" s="33">
        <f t="shared" si="566"/>
        <v>39</v>
      </c>
      <c r="I2347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ECP\Cantagallo\Cristalina\[CRISTALINA_CF_SEC_New_09-Feb-2024.xlsx]D-PRB'!$DC$39</v>
      </c>
      <c r="J2347" s="37" t="s">
        <v>1192</v>
      </c>
    </row>
    <row r="2348" spans="1:10" x14ac:dyDescent="0.35">
      <c r="A2348" s="32" t="s">
        <v>20</v>
      </c>
      <c r="B2348" s="32">
        <f t="shared" si="568"/>
        <v>2051</v>
      </c>
      <c r="C2348" s="33" t="s">
        <v>49</v>
      </c>
      <c r="D2348" s="34" t="s">
        <v>128</v>
      </c>
      <c r="E2348" s="35" t="str">
        <f t="shared" si="564"/>
        <v>PRB'!</v>
      </c>
      <c r="F2348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48" s="32" t="s">
        <v>121</v>
      </c>
      <c r="H2348" s="33">
        <f t="shared" si="566"/>
        <v>40</v>
      </c>
      <c r="I2348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ECP\Cantagallo\Cristalina\[CRISTALINA_CF_SEC_New_09-Feb-2024.xlsx]D-PRB'!$DC$40</v>
      </c>
      <c r="J2348" s="37" t="s">
        <v>1193</v>
      </c>
    </row>
    <row r="2349" spans="1:10" x14ac:dyDescent="0.35">
      <c r="A2349" s="32" t="s">
        <v>20</v>
      </c>
      <c r="B2349" s="32">
        <f t="shared" si="568"/>
        <v>2052</v>
      </c>
      <c r="C2349" s="33" t="s">
        <v>49</v>
      </c>
      <c r="D2349" s="34" t="s">
        <v>128</v>
      </c>
      <c r="E2349" s="35" t="str">
        <f t="shared" si="564"/>
        <v>PRB'!</v>
      </c>
      <c r="F2349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49" s="32" t="s">
        <v>121</v>
      </c>
      <c r="H2349" s="33">
        <f t="shared" si="566"/>
        <v>41</v>
      </c>
      <c r="I2349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ECP\Cantagallo\Cristalina\[CRISTALINA_CF_SEC_New_09-Feb-2024.xlsx]D-PRB'!$DC$41</v>
      </c>
      <c r="J2349" s="37" t="s">
        <v>1194</v>
      </c>
    </row>
    <row r="2350" spans="1:10" x14ac:dyDescent="0.35">
      <c r="A2350" s="32" t="s">
        <v>20</v>
      </c>
      <c r="B2350" s="32">
        <f t="shared" si="568"/>
        <v>2053</v>
      </c>
      <c r="C2350" s="33" t="s">
        <v>49</v>
      </c>
      <c r="D2350" s="34" t="s">
        <v>128</v>
      </c>
      <c r="E2350" s="35" t="str">
        <f t="shared" si="564"/>
        <v>PRB'!</v>
      </c>
      <c r="F2350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50" s="32" t="s">
        <v>121</v>
      </c>
      <c r="H2350" s="33">
        <f t="shared" si="566"/>
        <v>42</v>
      </c>
      <c r="I2350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ECP\Cantagallo\Cristalina\[CRISTALINA_CF_SEC_New_09-Feb-2024.xlsx]D-PRB'!$DC$42</v>
      </c>
      <c r="J2350" s="37" t="s">
        <v>1195</v>
      </c>
    </row>
    <row r="2351" spans="1:10" x14ac:dyDescent="0.35">
      <c r="A2351" s="32" t="s">
        <v>20</v>
      </c>
      <c r="B2351" s="32">
        <f t="shared" si="568"/>
        <v>2054</v>
      </c>
      <c r="C2351" s="33" t="s">
        <v>49</v>
      </c>
      <c r="D2351" s="34" t="s">
        <v>128</v>
      </c>
      <c r="E2351" s="35" t="str">
        <f t="shared" si="564"/>
        <v>PRB'!</v>
      </c>
      <c r="F2351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51" s="32" t="s">
        <v>121</v>
      </c>
      <c r="H2351" s="33">
        <f t="shared" si="566"/>
        <v>43</v>
      </c>
      <c r="I2351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ECP\Cantagallo\Cristalina\[CRISTALINA_CF_SEC_New_09-Feb-2024.xlsx]D-PRB'!$DC$43</v>
      </c>
      <c r="J2351" s="37" t="s">
        <v>1196</v>
      </c>
    </row>
    <row r="2352" spans="1:10" x14ac:dyDescent="0.35">
      <c r="A2352" s="32" t="s">
        <v>20</v>
      </c>
      <c r="B2352" s="32">
        <f t="shared" si="568"/>
        <v>2055</v>
      </c>
      <c r="C2352" s="33" t="s">
        <v>49</v>
      </c>
      <c r="D2352" s="34" t="s">
        <v>128</v>
      </c>
      <c r="E2352" s="35" t="str">
        <f t="shared" si="564"/>
        <v>PRB'!</v>
      </c>
      <c r="F2352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52" s="32" t="s">
        <v>121</v>
      </c>
      <c r="H2352" s="33">
        <f t="shared" si="566"/>
        <v>44</v>
      </c>
      <c r="I2352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ECP\Cantagallo\Cristalina\[CRISTALINA_CF_SEC_New_09-Feb-2024.xlsx]D-PRB'!$DC$44</v>
      </c>
      <c r="J2352" s="37" t="s">
        <v>1197</v>
      </c>
    </row>
    <row r="2353" spans="1:10" x14ac:dyDescent="0.35">
      <c r="A2353" s="32" t="s">
        <v>20</v>
      </c>
      <c r="B2353" s="32">
        <f t="shared" si="568"/>
        <v>2056</v>
      </c>
      <c r="C2353" s="33" t="s">
        <v>49</v>
      </c>
      <c r="D2353" s="34" t="s">
        <v>128</v>
      </c>
      <c r="E2353" s="35" t="str">
        <f t="shared" si="564"/>
        <v>PRB'!</v>
      </c>
      <c r="F2353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53" s="32" t="s">
        <v>121</v>
      </c>
      <c r="H2353" s="33">
        <f t="shared" si="566"/>
        <v>45</v>
      </c>
      <c r="I2353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ECP\Cantagallo\Cristalina\[CRISTALINA_CF_SEC_New_09-Feb-2024.xlsx]D-PRB'!$DC$45</v>
      </c>
      <c r="J2353" s="37" t="s">
        <v>1198</v>
      </c>
    </row>
    <row r="2354" spans="1:10" x14ac:dyDescent="0.35">
      <c r="A2354" s="32" t="s">
        <v>20</v>
      </c>
      <c r="B2354" s="32">
        <f t="shared" si="568"/>
        <v>2057</v>
      </c>
      <c r="C2354" s="33" t="s">
        <v>49</v>
      </c>
      <c r="D2354" s="34" t="s">
        <v>128</v>
      </c>
      <c r="E2354" s="35" t="str">
        <f t="shared" si="564"/>
        <v>PRB'!</v>
      </c>
      <c r="F2354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54" s="32" t="s">
        <v>121</v>
      </c>
      <c r="H2354" s="33">
        <f t="shared" si="566"/>
        <v>46</v>
      </c>
      <c r="I2354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ECP\Cantagallo\Cristalina\[CRISTALINA_CF_SEC_New_09-Feb-2024.xlsx]D-PRB'!$DC$46</v>
      </c>
      <c r="J2354" s="37" t="s">
        <v>1199</v>
      </c>
    </row>
    <row r="2355" spans="1:10" x14ac:dyDescent="0.35">
      <c r="A2355" s="32" t="s">
        <v>20</v>
      </c>
      <c r="B2355" s="32">
        <f t="shared" si="568"/>
        <v>2058</v>
      </c>
      <c r="C2355" s="33" t="s">
        <v>49</v>
      </c>
      <c r="D2355" s="34" t="s">
        <v>128</v>
      </c>
      <c r="E2355" s="35" t="str">
        <f t="shared" si="564"/>
        <v>PRB'!</v>
      </c>
      <c r="F2355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55" s="32" t="s">
        <v>121</v>
      </c>
      <c r="H2355" s="33">
        <f t="shared" si="566"/>
        <v>47</v>
      </c>
      <c r="I2355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ECP\Cantagallo\Cristalina\[CRISTALINA_CF_SEC_New_09-Feb-2024.xlsx]D-PRB'!$DC$47</v>
      </c>
      <c r="J2355" s="37" t="s">
        <v>1200</v>
      </c>
    </row>
    <row r="2356" spans="1:10" x14ac:dyDescent="0.35">
      <c r="A2356" s="32" t="s">
        <v>20</v>
      </c>
      <c r="B2356" s="32">
        <f t="shared" si="568"/>
        <v>2059</v>
      </c>
      <c r="C2356" s="33" t="s">
        <v>49</v>
      </c>
      <c r="D2356" s="34" t="s">
        <v>128</v>
      </c>
      <c r="E2356" s="35" t="str">
        <f t="shared" si="564"/>
        <v>PRB'!</v>
      </c>
      <c r="F2356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56" s="32" t="s">
        <v>121</v>
      </c>
      <c r="H2356" s="33">
        <f t="shared" si="566"/>
        <v>48</v>
      </c>
      <c r="I2356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ECP\Cantagallo\Cristalina\[CRISTALINA_CF_SEC_New_09-Feb-2024.xlsx]D-PRB'!$DC$48</v>
      </c>
      <c r="J2356" s="37" t="s">
        <v>1201</v>
      </c>
    </row>
    <row r="2357" spans="1:10" x14ac:dyDescent="0.35">
      <c r="A2357" s="32" t="s">
        <v>26</v>
      </c>
      <c r="B2357" s="32"/>
      <c r="C2357" s="33" t="s">
        <v>49</v>
      </c>
      <c r="D2357" s="34"/>
      <c r="E2357" s="35"/>
      <c r="F2357" s="34"/>
      <c r="G2357" s="32"/>
      <c r="H2357" s="33"/>
      <c r="I2357" s="33"/>
      <c r="J2357" s="33"/>
    </row>
    <row r="2358" spans="1:10" x14ac:dyDescent="0.35">
      <c r="A2358" s="32" t="s">
        <v>21</v>
      </c>
      <c r="B2358" s="32">
        <v>2023</v>
      </c>
      <c r="C2358" s="33" t="s">
        <v>49</v>
      </c>
      <c r="D2358" s="34" t="s">
        <v>128</v>
      </c>
      <c r="E2358" s="35" t="s">
        <v>106</v>
      </c>
      <c r="F2358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58" s="32" t="s">
        <v>121</v>
      </c>
      <c r="H2358" s="33"/>
      <c r="I2358" s="33"/>
      <c r="J2358" s="37"/>
    </row>
    <row r="2359" spans="1:10" x14ac:dyDescent="0.35">
      <c r="A2359" s="32" t="s">
        <v>21</v>
      </c>
      <c r="B2359" s="32">
        <v>2024</v>
      </c>
      <c r="C2359" s="33" t="s">
        <v>49</v>
      </c>
      <c r="D2359" s="34" t="s">
        <v>128</v>
      </c>
      <c r="E2359" s="35" t="s">
        <v>106</v>
      </c>
      <c r="F2359" s="34" t="str">
        <f t="shared" ref="F2359:F2378" si="569">_xlfn.CONCAT(D2359:E2359)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59" s="32" t="s">
        <v>121</v>
      </c>
      <c r="H2359" s="33"/>
      <c r="I2359" s="33"/>
      <c r="J2359" s="37"/>
    </row>
    <row r="2360" spans="1:10" x14ac:dyDescent="0.35">
      <c r="A2360" s="32" t="s">
        <v>21</v>
      </c>
      <c r="B2360" s="32">
        <v>2025</v>
      </c>
      <c r="C2360" s="33" t="s">
        <v>49</v>
      </c>
      <c r="D2360" s="34" t="s">
        <v>128</v>
      </c>
      <c r="E2360" s="35" t="s">
        <v>106</v>
      </c>
      <c r="F2360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60" s="32" t="s">
        <v>121</v>
      </c>
      <c r="H2360" s="33"/>
      <c r="I2360" s="33"/>
      <c r="J2360" s="37"/>
    </row>
    <row r="2361" spans="1:10" x14ac:dyDescent="0.35">
      <c r="A2361" s="32" t="s">
        <v>21</v>
      </c>
      <c r="B2361" s="32">
        <v>2026</v>
      </c>
      <c r="C2361" s="33" t="s">
        <v>49</v>
      </c>
      <c r="D2361" s="34" t="s">
        <v>128</v>
      </c>
      <c r="E2361" s="35" t="s">
        <v>106</v>
      </c>
      <c r="F2361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61" s="32" t="s">
        <v>121</v>
      </c>
      <c r="H2361" s="33"/>
      <c r="I2361" s="33"/>
      <c r="J2361" s="37"/>
    </row>
    <row r="2362" spans="1:10" x14ac:dyDescent="0.35">
      <c r="A2362" s="32" t="s">
        <v>21</v>
      </c>
      <c r="B2362" s="32">
        <v>2027</v>
      </c>
      <c r="C2362" s="33" t="s">
        <v>49</v>
      </c>
      <c r="D2362" s="34" t="s">
        <v>128</v>
      </c>
      <c r="E2362" s="35" t="s">
        <v>106</v>
      </c>
      <c r="F2362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62" s="32" t="s">
        <v>121</v>
      </c>
      <c r="H2362" s="33"/>
      <c r="I2362" s="33"/>
      <c r="J2362" s="37"/>
    </row>
    <row r="2363" spans="1:10" x14ac:dyDescent="0.35">
      <c r="A2363" s="32" t="s">
        <v>21</v>
      </c>
      <c r="B2363" s="32">
        <v>2028</v>
      </c>
      <c r="C2363" s="33" t="s">
        <v>49</v>
      </c>
      <c r="D2363" s="34" t="s">
        <v>128</v>
      </c>
      <c r="E2363" s="35" t="s">
        <v>106</v>
      </c>
      <c r="F2363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63" s="32" t="s">
        <v>121</v>
      </c>
      <c r="H2363" s="33"/>
      <c r="I2363" s="33"/>
      <c r="J2363" s="37"/>
    </row>
    <row r="2364" spans="1:10" x14ac:dyDescent="0.35">
      <c r="A2364" s="32" t="s">
        <v>21</v>
      </c>
      <c r="B2364" s="32">
        <v>2029</v>
      </c>
      <c r="C2364" s="33" t="s">
        <v>49</v>
      </c>
      <c r="D2364" s="34" t="s">
        <v>128</v>
      </c>
      <c r="E2364" s="35" t="s">
        <v>106</v>
      </c>
      <c r="F2364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64" s="32" t="s">
        <v>121</v>
      </c>
      <c r="H2364" s="33"/>
      <c r="I2364" s="33"/>
      <c r="J2364" s="37"/>
    </row>
    <row r="2365" spans="1:10" x14ac:dyDescent="0.35">
      <c r="A2365" s="32" t="s">
        <v>21</v>
      </c>
      <c r="B2365" s="32">
        <v>2030</v>
      </c>
      <c r="C2365" s="33" t="s">
        <v>49</v>
      </c>
      <c r="D2365" s="34" t="s">
        <v>128</v>
      </c>
      <c r="E2365" s="35" t="s">
        <v>106</v>
      </c>
      <c r="F2365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65" s="32" t="s">
        <v>121</v>
      </c>
      <c r="H2365" s="33"/>
      <c r="I2365" s="33"/>
      <c r="J2365" s="37"/>
    </row>
    <row r="2366" spans="1:10" x14ac:dyDescent="0.35">
      <c r="A2366" s="32" t="s">
        <v>21</v>
      </c>
      <c r="B2366" s="32">
        <v>2031</v>
      </c>
      <c r="C2366" s="33" t="s">
        <v>49</v>
      </c>
      <c r="D2366" s="34" t="s">
        <v>128</v>
      </c>
      <c r="E2366" s="35" t="s">
        <v>106</v>
      </c>
      <c r="F2366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66" s="32" t="s">
        <v>121</v>
      </c>
      <c r="H2366" s="33"/>
      <c r="I2366" s="33"/>
      <c r="J2366" s="37"/>
    </row>
    <row r="2367" spans="1:10" x14ac:dyDescent="0.35">
      <c r="A2367" s="32" t="s">
        <v>21</v>
      </c>
      <c r="B2367" s="32">
        <v>2032</v>
      </c>
      <c r="C2367" s="33" t="s">
        <v>49</v>
      </c>
      <c r="D2367" s="34" t="s">
        <v>128</v>
      </c>
      <c r="E2367" s="35" t="s">
        <v>106</v>
      </c>
      <c r="F2367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67" s="32" t="s">
        <v>121</v>
      </c>
      <c r="H2367" s="33"/>
      <c r="I2367" s="33"/>
      <c r="J2367" s="37"/>
    </row>
    <row r="2368" spans="1:10" x14ac:dyDescent="0.35">
      <c r="A2368" s="32" t="s">
        <v>21</v>
      </c>
      <c r="B2368" s="32">
        <v>2033</v>
      </c>
      <c r="C2368" s="33" t="s">
        <v>49</v>
      </c>
      <c r="D2368" s="34" t="s">
        <v>128</v>
      </c>
      <c r="E2368" s="35" t="s">
        <v>106</v>
      </c>
      <c r="F2368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68" s="32" t="s">
        <v>121</v>
      </c>
      <c r="H2368" s="33"/>
      <c r="I2368" s="33"/>
      <c r="J2368" s="37"/>
    </row>
    <row r="2369" spans="1:10" x14ac:dyDescent="0.35">
      <c r="A2369" s="32" t="s">
        <v>21</v>
      </c>
      <c r="B2369" s="32">
        <v>2034</v>
      </c>
      <c r="C2369" s="33" t="s">
        <v>49</v>
      </c>
      <c r="D2369" s="34" t="s">
        <v>128</v>
      </c>
      <c r="E2369" s="35" t="s">
        <v>106</v>
      </c>
      <c r="F2369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69" s="32" t="s">
        <v>121</v>
      </c>
      <c r="H2369" s="33"/>
      <c r="I2369" s="33"/>
      <c r="J2369" s="37"/>
    </row>
    <row r="2370" spans="1:10" x14ac:dyDescent="0.35">
      <c r="A2370" s="32" t="s">
        <v>21</v>
      </c>
      <c r="B2370" s="32">
        <v>2035</v>
      </c>
      <c r="C2370" s="33" t="s">
        <v>49</v>
      </c>
      <c r="D2370" s="34" t="s">
        <v>128</v>
      </c>
      <c r="E2370" s="35" t="s">
        <v>106</v>
      </c>
      <c r="F2370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70" s="32" t="s">
        <v>121</v>
      </c>
      <c r="H2370" s="33"/>
      <c r="I2370" s="33"/>
      <c r="J2370" s="37"/>
    </row>
    <row r="2371" spans="1:10" x14ac:dyDescent="0.35">
      <c r="A2371" s="32" t="s">
        <v>21</v>
      </c>
      <c r="B2371" s="32">
        <v>2036</v>
      </c>
      <c r="C2371" s="33" t="s">
        <v>49</v>
      </c>
      <c r="D2371" s="34" t="s">
        <v>128</v>
      </c>
      <c r="E2371" s="35" t="s">
        <v>106</v>
      </c>
      <c r="F2371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71" s="32" t="s">
        <v>121</v>
      </c>
      <c r="H2371" s="33"/>
      <c r="I2371" s="33"/>
      <c r="J2371" s="37"/>
    </row>
    <row r="2372" spans="1:10" x14ac:dyDescent="0.35">
      <c r="A2372" s="32" t="s">
        <v>21</v>
      </c>
      <c r="B2372" s="32">
        <v>2037</v>
      </c>
      <c r="C2372" s="33" t="s">
        <v>49</v>
      </c>
      <c r="D2372" s="34" t="s">
        <v>128</v>
      </c>
      <c r="E2372" s="35" t="s">
        <v>106</v>
      </c>
      <c r="F2372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72" s="32" t="s">
        <v>121</v>
      </c>
      <c r="H2372" s="33"/>
      <c r="I2372" s="33"/>
      <c r="J2372" s="37"/>
    </row>
    <row r="2373" spans="1:10" x14ac:dyDescent="0.35">
      <c r="A2373" s="32" t="s">
        <v>21</v>
      </c>
      <c r="B2373" s="32">
        <v>2038</v>
      </c>
      <c r="C2373" s="33" t="s">
        <v>49</v>
      </c>
      <c r="D2373" s="34" t="s">
        <v>128</v>
      </c>
      <c r="E2373" s="35" t="s">
        <v>106</v>
      </c>
      <c r="F2373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73" s="32" t="s">
        <v>121</v>
      </c>
      <c r="H2373" s="33"/>
      <c r="I2373" s="33"/>
      <c r="J2373" s="37"/>
    </row>
    <row r="2374" spans="1:10" x14ac:dyDescent="0.35">
      <c r="A2374" s="32" t="s">
        <v>21</v>
      </c>
      <c r="B2374" s="32">
        <v>2039</v>
      </c>
      <c r="C2374" s="33" t="s">
        <v>49</v>
      </c>
      <c r="D2374" s="34" t="s">
        <v>128</v>
      </c>
      <c r="E2374" s="35" t="s">
        <v>106</v>
      </c>
      <c r="F2374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74" s="32" t="s">
        <v>121</v>
      </c>
      <c r="H2374" s="33"/>
      <c r="I2374" s="33"/>
      <c r="J2374" s="37"/>
    </row>
    <row r="2375" spans="1:10" x14ac:dyDescent="0.35">
      <c r="A2375" s="32" t="s">
        <v>21</v>
      </c>
      <c r="B2375" s="32">
        <v>2040</v>
      </c>
      <c r="C2375" s="33" t="s">
        <v>49</v>
      </c>
      <c r="D2375" s="34" t="s">
        <v>128</v>
      </c>
      <c r="E2375" s="35" t="s">
        <v>106</v>
      </c>
      <c r="F2375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75" s="32" t="s">
        <v>121</v>
      </c>
      <c r="H2375" s="33"/>
      <c r="I2375" s="33"/>
      <c r="J2375" s="37"/>
    </row>
    <row r="2376" spans="1:10" x14ac:dyDescent="0.35">
      <c r="A2376" s="32" t="s">
        <v>21</v>
      </c>
      <c r="B2376" s="32">
        <v>2041</v>
      </c>
      <c r="C2376" s="33" t="s">
        <v>49</v>
      </c>
      <c r="D2376" s="34" t="s">
        <v>128</v>
      </c>
      <c r="E2376" s="35" t="s">
        <v>106</v>
      </c>
      <c r="F2376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76" s="32" t="s">
        <v>121</v>
      </c>
      <c r="H2376" s="33"/>
      <c r="I2376" s="33"/>
      <c r="J2376" s="37"/>
    </row>
    <row r="2377" spans="1:10" x14ac:dyDescent="0.35">
      <c r="A2377" s="32" t="s">
        <v>21</v>
      </c>
      <c r="B2377" s="32">
        <v>2042</v>
      </c>
      <c r="C2377" s="33" t="s">
        <v>49</v>
      </c>
      <c r="D2377" s="34" t="s">
        <v>128</v>
      </c>
      <c r="E2377" s="35" t="s">
        <v>106</v>
      </c>
      <c r="F2377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77" s="32" t="s">
        <v>121</v>
      </c>
      <c r="H2377" s="33"/>
      <c r="I2377" s="33"/>
      <c r="J2377" s="37"/>
    </row>
    <row r="2378" spans="1:10" x14ac:dyDescent="0.35">
      <c r="A2378" s="32" t="s">
        <v>21</v>
      </c>
      <c r="B2378" s="32">
        <v>2043</v>
      </c>
      <c r="C2378" s="33" t="s">
        <v>49</v>
      </c>
      <c r="D2378" s="34" t="s">
        <v>128</v>
      </c>
      <c r="E2378" s="35" t="s">
        <v>106</v>
      </c>
      <c r="F2378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78" s="32" t="s">
        <v>121</v>
      </c>
      <c r="H2378" s="33"/>
      <c r="I2378" s="33"/>
      <c r="J2378" s="37"/>
    </row>
    <row r="2379" spans="1:10" x14ac:dyDescent="0.35">
      <c r="A2379" s="32" t="s">
        <v>21</v>
      </c>
      <c r="B2379" s="32">
        <v>2044</v>
      </c>
      <c r="C2379" s="33" t="s">
        <v>49</v>
      </c>
      <c r="D2379" s="34" t="s">
        <v>128</v>
      </c>
      <c r="E2379" s="35" t="s">
        <v>106</v>
      </c>
      <c r="F2379" s="34" t="str">
        <f t="shared" ref="F2379:F2394" si="570">_xlfn.CONCAT(D2379:E2379)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79" s="32" t="s">
        <v>121</v>
      </c>
      <c r="H2379" s="33"/>
      <c r="I2379" s="33"/>
      <c r="J2379" s="37"/>
    </row>
    <row r="2380" spans="1:10" x14ac:dyDescent="0.35">
      <c r="A2380" s="32" t="s">
        <v>21</v>
      </c>
      <c r="B2380" s="32">
        <v>2045</v>
      </c>
      <c r="C2380" s="33" t="s">
        <v>49</v>
      </c>
      <c r="D2380" s="34" t="s">
        <v>128</v>
      </c>
      <c r="E2380" s="35" t="s">
        <v>106</v>
      </c>
      <c r="F2380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80" s="32" t="s">
        <v>121</v>
      </c>
      <c r="H2380" s="33"/>
      <c r="I2380" s="33"/>
      <c r="J2380" s="37"/>
    </row>
    <row r="2381" spans="1:10" x14ac:dyDescent="0.35">
      <c r="A2381" s="32" t="s">
        <v>21</v>
      </c>
      <c r="B2381" s="32">
        <v>2046</v>
      </c>
      <c r="C2381" s="33" t="s">
        <v>49</v>
      </c>
      <c r="D2381" s="34" t="s">
        <v>128</v>
      </c>
      <c r="E2381" s="35" t="s">
        <v>106</v>
      </c>
      <c r="F2381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81" s="32" t="s">
        <v>121</v>
      </c>
      <c r="H2381" s="33"/>
      <c r="I2381" s="33"/>
      <c r="J2381" s="37"/>
    </row>
    <row r="2382" spans="1:10" x14ac:dyDescent="0.35">
      <c r="A2382" s="32" t="s">
        <v>21</v>
      </c>
      <c r="B2382" s="32">
        <v>2047</v>
      </c>
      <c r="C2382" s="33" t="s">
        <v>49</v>
      </c>
      <c r="D2382" s="34" t="s">
        <v>128</v>
      </c>
      <c r="E2382" s="35" t="s">
        <v>106</v>
      </c>
      <c r="F2382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82" s="32" t="s">
        <v>121</v>
      </c>
      <c r="H2382" s="33"/>
      <c r="I2382" s="33"/>
      <c r="J2382" s="37"/>
    </row>
    <row r="2383" spans="1:10" x14ac:dyDescent="0.35">
      <c r="A2383" s="32" t="s">
        <v>21</v>
      </c>
      <c r="B2383" s="32">
        <v>2048</v>
      </c>
      <c r="C2383" s="33" t="s">
        <v>49</v>
      </c>
      <c r="D2383" s="34" t="s">
        <v>128</v>
      </c>
      <c r="E2383" s="35" t="s">
        <v>106</v>
      </c>
      <c r="F2383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83" s="32" t="s">
        <v>121</v>
      </c>
      <c r="H2383" s="33"/>
      <c r="I2383" s="33"/>
      <c r="J2383" s="37"/>
    </row>
    <row r="2384" spans="1:10" x14ac:dyDescent="0.35">
      <c r="A2384" s="32" t="s">
        <v>21</v>
      </c>
      <c r="B2384" s="32">
        <v>2049</v>
      </c>
      <c r="C2384" s="33" t="s">
        <v>49</v>
      </c>
      <c r="D2384" s="34" t="s">
        <v>128</v>
      </c>
      <c r="E2384" s="35" t="s">
        <v>106</v>
      </c>
      <c r="F2384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84" s="32" t="s">
        <v>121</v>
      </c>
      <c r="H2384" s="33"/>
      <c r="I2384" s="33"/>
      <c r="J2384" s="37"/>
    </row>
    <row r="2385" spans="1:10" x14ac:dyDescent="0.35">
      <c r="A2385" s="32" t="s">
        <v>21</v>
      </c>
      <c r="B2385" s="32">
        <v>2050</v>
      </c>
      <c r="C2385" s="33" t="s">
        <v>49</v>
      </c>
      <c r="D2385" s="34" t="s">
        <v>128</v>
      </c>
      <c r="E2385" s="35" t="s">
        <v>106</v>
      </c>
      <c r="F2385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85" s="32" t="s">
        <v>121</v>
      </c>
      <c r="H2385" s="33"/>
      <c r="I2385" s="33"/>
      <c r="J2385" s="37"/>
    </row>
    <row r="2386" spans="1:10" x14ac:dyDescent="0.35">
      <c r="A2386" s="32" t="s">
        <v>21</v>
      </c>
      <c r="B2386" s="32">
        <v>2051</v>
      </c>
      <c r="C2386" s="33" t="s">
        <v>49</v>
      </c>
      <c r="D2386" s="34" t="s">
        <v>128</v>
      </c>
      <c r="E2386" s="35" t="s">
        <v>106</v>
      </c>
      <c r="F2386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86" s="32" t="s">
        <v>121</v>
      </c>
      <c r="H2386" s="33"/>
      <c r="I2386" s="33"/>
      <c r="J2386" s="37"/>
    </row>
    <row r="2387" spans="1:10" x14ac:dyDescent="0.35">
      <c r="A2387" s="32" t="s">
        <v>21</v>
      </c>
      <c r="B2387" s="32">
        <v>2052</v>
      </c>
      <c r="C2387" s="33" t="s">
        <v>49</v>
      </c>
      <c r="D2387" s="34" t="s">
        <v>128</v>
      </c>
      <c r="E2387" s="35" t="s">
        <v>106</v>
      </c>
      <c r="F2387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87" s="32" t="s">
        <v>121</v>
      </c>
      <c r="H2387" s="33"/>
      <c r="I2387" s="33"/>
      <c r="J2387" s="37"/>
    </row>
    <row r="2388" spans="1:10" x14ac:dyDescent="0.35">
      <c r="A2388" s="32" t="s">
        <v>21</v>
      </c>
      <c r="B2388" s="32">
        <v>2053</v>
      </c>
      <c r="C2388" s="33" t="s">
        <v>49</v>
      </c>
      <c r="D2388" s="34" t="s">
        <v>128</v>
      </c>
      <c r="E2388" s="35" t="s">
        <v>106</v>
      </c>
      <c r="F2388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88" s="32" t="s">
        <v>121</v>
      </c>
      <c r="H2388" s="33"/>
      <c r="I2388" s="33"/>
      <c r="J2388" s="37"/>
    </row>
    <row r="2389" spans="1:10" x14ac:dyDescent="0.35">
      <c r="A2389" s="32" t="s">
        <v>21</v>
      </c>
      <c r="B2389" s="32">
        <v>2054</v>
      </c>
      <c r="C2389" s="33" t="s">
        <v>49</v>
      </c>
      <c r="D2389" s="34" t="s">
        <v>128</v>
      </c>
      <c r="E2389" s="35" t="s">
        <v>106</v>
      </c>
      <c r="F2389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89" s="32" t="s">
        <v>121</v>
      </c>
      <c r="H2389" s="33"/>
      <c r="I2389" s="33"/>
      <c r="J2389" s="37"/>
    </row>
    <row r="2390" spans="1:10" x14ac:dyDescent="0.35">
      <c r="A2390" s="32" t="s">
        <v>21</v>
      </c>
      <c r="B2390" s="32">
        <v>2055</v>
      </c>
      <c r="C2390" s="33" t="s">
        <v>49</v>
      </c>
      <c r="D2390" s="34" t="s">
        <v>128</v>
      </c>
      <c r="E2390" s="35" t="s">
        <v>106</v>
      </c>
      <c r="F2390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90" s="32" t="s">
        <v>121</v>
      </c>
      <c r="H2390" s="33"/>
      <c r="I2390" s="33"/>
      <c r="J2390" s="37"/>
    </row>
    <row r="2391" spans="1:10" x14ac:dyDescent="0.35">
      <c r="A2391" s="32" t="s">
        <v>21</v>
      </c>
      <c r="B2391" s="32">
        <v>2056</v>
      </c>
      <c r="C2391" s="33" t="s">
        <v>49</v>
      </c>
      <c r="D2391" s="34" t="s">
        <v>128</v>
      </c>
      <c r="E2391" s="35" t="s">
        <v>106</v>
      </c>
      <c r="F2391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91" s="32" t="s">
        <v>121</v>
      </c>
      <c r="H2391" s="33"/>
      <c r="I2391" s="33"/>
      <c r="J2391" s="37"/>
    </row>
    <row r="2392" spans="1:10" x14ac:dyDescent="0.35">
      <c r="A2392" s="32" t="s">
        <v>21</v>
      </c>
      <c r="B2392" s="32">
        <v>2057</v>
      </c>
      <c r="C2392" s="33" t="s">
        <v>49</v>
      </c>
      <c r="D2392" s="34" t="s">
        <v>128</v>
      </c>
      <c r="E2392" s="35" t="s">
        <v>106</v>
      </c>
      <c r="F2392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92" s="32" t="s">
        <v>121</v>
      </c>
      <c r="H2392" s="33"/>
      <c r="I2392" s="33"/>
      <c r="J2392" s="37"/>
    </row>
    <row r="2393" spans="1:10" x14ac:dyDescent="0.35">
      <c r="A2393" s="32" t="s">
        <v>21</v>
      </c>
      <c r="B2393" s="32">
        <v>2058</v>
      </c>
      <c r="C2393" s="33" t="s">
        <v>49</v>
      </c>
      <c r="D2393" s="34" t="s">
        <v>128</v>
      </c>
      <c r="E2393" s="35" t="s">
        <v>106</v>
      </c>
      <c r="F2393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93" s="32" t="s">
        <v>121</v>
      </c>
      <c r="H2393" s="33"/>
      <c r="I2393" s="33"/>
      <c r="J2393" s="37"/>
    </row>
    <row r="2394" spans="1:10" x14ac:dyDescent="0.35">
      <c r="A2394" s="32" t="s">
        <v>21</v>
      </c>
      <c r="B2394" s="32">
        <v>2059</v>
      </c>
      <c r="C2394" s="33" t="s">
        <v>49</v>
      </c>
      <c r="D2394" s="34" t="s">
        <v>128</v>
      </c>
      <c r="E2394" s="35" t="s">
        <v>106</v>
      </c>
      <c r="F2394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94" s="32" t="s">
        <v>121</v>
      </c>
      <c r="H2394" s="33"/>
      <c r="I2394" s="33"/>
      <c r="J2394" s="37"/>
    </row>
    <row r="2395" spans="1:10" x14ac:dyDescent="0.35">
      <c r="A2395" s="32" t="s">
        <v>26</v>
      </c>
      <c r="B2395" s="32"/>
      <c r="C2395" s="33" t="s">
        <v>49</v>
      </c>
      <c r="D2395" s="34"/>
      <c r="E2395" s="35"/>
      <c r="F2395" s="34"/>
      <c r="G2395" s="32"/>
      <c r="H2395" s="33"/>
      <c r="I2395" s="33"/>
      <c r="J2395" s="33"/>
    </row>
    <row r="2396" spans="1:10" x14ac:dyDescent="0.35">
      <c r="A2396" s="32" t="s">
        <v>22</v>
      </c>
      <c r="B2396" s="32">
        <v>2023</v>
      </c>
      <c r="C2396" s="33" t="s">
        <v>49</v>
      </c>
      <c r="D2396" s="34" t="s">
        <v>128</v>
      </c>
      <c r="E2396" s="35" t="s">
        <v>107</v>
      </c>
      <c r="F2396" s="34" t="str">
        <f t="shared" ref="F2396:F2416" si="571">_xlfn.CONCAT(D2396:E2396)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396" s="32" t="s">
        <v>121</v>
      </c>
      <c r="H2396" s="33"/>
      <c r="I2396" s="33"/>
      <c r="J2396" s="37"/>
    </row>
    <row r="2397" spans="1:10" x14ac:dyDescent="0.35">
      <c r="A2397" s="32" t="s">
        <v>22</v>
      </c>
      <c r="B2397" s="32">
        <v>2024</v>
      </c>
      <c r="C2397" s="33" t="s">
        <v>49</v>
      </c>
      <c r="D2397" s="34" t="s">
        <v>128</v>
      </c>
      <c r="E2397" s="35" t="s">
        <v>107</v>
      </c>
      <c r="F2397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397" s="32" t="s">
        <v>121</v>
      </c>
      <c r="H2397" s="33"/>
      <c r="I2397" s="33"/>
      <c r="J2397" s="37"/>
    </row>
    <row r="2398" spans="1:10" x14ac:dyDescent="0.35">
      <c r="A2398" s="32" t="s">
        <v>22</v>
      </c>
      <c r="B2398" s="32">
        <v>2025</v>
      </c>
      <c r="C2398" s="33" t="s">
        <v>49</v>
      </c>
      <c r="D2398" s="34" t="s">
        <v>128</v>
      </c>
      <c r="E2398" s="35" t="s">
        <v>107</v>
      </c>
      <c r="F2398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398" s="32" t="s">
        <v>121</v>
      </c>
      <c r="H2398" s="33"/>
      <c r="I2398" s="33"/>
      <c r="J2398" s="37"/>
    </row>
    <row r="2399" spans="1:10" x14ac:dyDescent="0.35">
      <c r="A2399" s="32" t="s">
        <v>22</v>
      </c>
      <c r="B2399" s="32">
        <v>2026</v>
      </c>
      <c r="C2399" s="33" t="s">
        <v>49</v>
      </c>
      <c r="D2399" s="34" t="s">
        <v>128</v>
      </c>
      <c r="E2399" s="35" t="s">
        <v>107</v>
      </c>
      <c r="F2399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399" s="32" t="s">
        <v>121</v>
      </c>
      <c r="H2399" s="33"/>
      <c r="I2399" s="33"/>
      <c r="J2399" s="37"/>
    </row>
    <row r="2400" spans="1:10" x14ac:dyDescent="0.35">
      <c r="A2400" s="32" t="s">
        <v>22</v>
      </c>
      <c r="B2400" s="32">
        <v>2027</v>
      </c>
      <c r="C2400" s="33" t="s">
        <v>49</v>
      </c>
      <c r="D2400" s="34" t="s">
        <v>128</v>
      </c>
      <c r="E2400" s="35" t="s">
        <v>107</v>
      </c>
      <c r="F2400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00" s="32" t="s">
        <v>121</v>
      </c>
      <c r="H2400" s="33"/>
      <c r="I2400" s="33"/>
      <c r="J2400" s="37"/>
    </row>
    <row r="2401" spans="1:10" x14ac:dyDescent="0.35">
      <c r="A2401" s="32" t="s">
        <v>22</v>
      </c>
      <c r="B2401" s="32">
        <v>2028</v>
      </c>
      <c r="C2401" s="33" t="s">
        <v>49</v>
      </c>
      <c r="D2401" s="34" t="s">
        <v>128</v>
      </c>
      <c r="E2401" s="35" t="s">
        <v>107</v>
      </c>
      <c r="F2401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01" s="32" t="s">
        <v>121</v>
      </c>
      <c r="H2401" s="33"/>
      <c r="I2401" s="33"/>
      <c r="J2401" s="37"/>
    </row>
    <row r="2402" spans="1:10" x14ac:dyDescent="0.35">
      <c r="A2402" s="32" t="s">
        <v>22</v>
      </c>
      <c r="B2402" s="32">
        <v>2029</v>
      </c>
      <c r="C2402" s="33" t="s">
        <v>49</v>
      </c>
      <c r="D2402" s="34" t="s">
        <v>128</v>
      </c>
      <c r="E2402" s="35" t="s">
        <v>107</v>
      </c>
      <c r="F2402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02" s="32" t="s">
        <v>121</v>
      </c>
      <c r="H2402" s="33"/>
      <c r="I2402" s="33"/>
      <c r="J2402" s="37"/>
    </row>
    <row r="2403" spans="1:10" x14ac:dyDescent="0.35">
      <c r="A2403" s="32" t="s">
        <v>22</v>
      </c>
      <c r="B2403" s="32">
        <v>2030</v>
      </c>
      <c r="C2403" s="33" t="s">
        <v>49</v>
      </c>
      <c r="D2403" s="34" t="s">
        <v>128</v>
      </c>
      <c r="E2403" s="35" t="s">
        <v>107</v>
      </c>
      <c r="F2403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03" s="32" t="s">
        <v>121</v>
      </c>
      <c r="H2403" s="33"/>
      <c r="I2403" s="33"/>
      <c r="J2403" s="37"/>
    </row>
    <row r="2404" spans="1:10" x14ac:dyDescent="0.35">
      <c r="A2404" s="32" t="s">
        <v>22</v>
      </c>
      <c r="B2404" s="32">
        <v>2031</v>
      </c>
      <c r="C2404" s="33" t="s">
        <v>49</v>
      </c>
      <c r="D2404" s="34" t="s">
        <v>128</v>
      </c>
      <c r="E2404" s="35" t="s">
        <v>107</v>
      </c>
      <c r="F2404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04" s="32" t="s">
        <v>121</v>
      </c>
      <c r="H2404" s="33"/>
      <c r="I2404" s="33"/>
      <c r="J2404" s="37"/>
    </row>
    <row r="2405" spans="1:10" x14ac:dyDescent="0.35">
      <c r="A2405" s="32" t="s">
        <v>22</v>
      </c>
      <c r="B2405" s="32">
        <v>2032</v>
      </c>
      <c r="C2405" s="33" t="s">
        <v>49</v>
      </c>
      <c r="D2405" s="34" t="s">
        <v>128</v>
      </c>
      <c r="E2405" s="35" t="s">
        <v>107</v>
      </c>
      <c r="F2405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05" s="32" t="s">
        <v>121</v>
      </c>
      <c r="H2405" s="33"/>
      <c r="I2405" s="33"/>
      <c r="J2405" s="37"/>
    </row>
    <row r="2406" spans="1:10" x14ac:dyDescent="0.35">
      <c r="A2406" s="32" t="s">
        <v>22</v>
      </c>
      <c r="B2406" s="32">
        <v>2033</v>
      </c>
      <c r="C2406" s="33" t="s">
        <v>49</v>
      </c>
      <c r="D2406" s="34" t="s">
        <v>128</v>
      </c>
      <c r="E2406" s="35" t="s">
        <v>107</v>
      </c>
      <c r="F2406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06" s="32" t="s">
        <v>121</v>
      </c>
      <c r="H2406" s="33"/>
      <c r="I2406" s="33"/>
      <c r="J2406" s="37"/>
    </row>
    <row r="2407" spans="1:10" x14ac:dyDescent="0.35">
      <c r="A2407" s="32" t="s">
        <v>22</v>
      </c>
      <c r="B2407" s="32">
        <v>2034</v>
      </c>
      <c r="C2407" s="33" t="s">
        <v>49</v>
      </c>
      <c r="D2407" s="34" t="s">
        <v>128</v>
      </c>
      <c r="E2407" s="35" t="s">
        <v>107</v>
      </c>
      <c r="F2407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07" s="32" t="s">
        <v>121</v>
      </c>
      <c r="H2407" s="33"/>
      <c r="I2407" s="33"/>
      <c r="J2407" s="37"/>
    </row>
    <row r="2408" spans="1:10" x14ac:dyDescent="0.35">
      <c r="A2408" s="32" t="s">
        <v>22</v>
      </c>
      <c r="B2408" s="32">
        <v>2035</v>
      </c>
      <c r="C2408" s="33" t="s">
        <v>49</v>
      </c>
      <c r="D2408" s="34" t="s">
        <v>128</v>
      </c>
      <c r="E2408" s="35" t="s">
        <v>107</v>
      </c>
      <c r="F2408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08" s="32" t="s">
        <v>121</v>
      </c>
      <c r="H2408" s="33"/>
      <c r="I2408" s="33"/>
      <c r="J2408" s="37"/>
    </row>
    <row r="2409" spans="1:10" x14ac:dyDescent="0.35">
      <c r="A2409" s="32" t="s">
        <v>22</v>
      </c>
      <c r="B2409" s="32">
        <v>2036</v>
      </c>
      <c r="C2409" s="33" t="s">
        <v>49</v>
      </c>
      <c r="D2409" s="34" t="s">
        <v>128</v>
      </c>
      <c r="E2409" s="35" t="s">
        <v>107</v>
      </c>
      <c r="F2409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09" s="32" t="s">
        <v>121</v>
      </c>
      <c r="H2409" s="33"/>
      <c r="I2409" s="33"/>
      <c r="J2409" s="37"/>
    </row>
    <row r="2410" spans="1:10" x14ac:dyDescent="0.35">
      <c r="A2410" s="32" t="s">
        <v>22</v>
      </c>
      <c r="B2410" s="32">
        <v>2037</v>
      </c>
      <c r="C2410" s="33" t="s">
        <v>49</v>
      </c>
      <c r="D2410" s="34" t="s">
        <v>128</v>
      </c>
      <c r="E2410" s="35" t="s">
        <v>107</v>
      </c>
      <c r="F2410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10" s="32" t="s">
        <v>121</v>
      </c>
      <c r="H2410" s="33"/>
      <c r="I2410" s="33"/>
      <c r="J2410" s="37"/>
    </row>
    <row r="2411" spans="1:10" x14ac:dyDescent="0.35">
      <c r="A2411" s="32" t="s">
        <v>22</v>
      </c>
      <c r="B2411" s="32">
        <v>2038</v>
      </c>
      <c r="C2411" s="33" t="s">
        <v>49</v>
      </c>
      <c r="D2411" s="34" t="s">
        <v>128</v>
      </c>
      <c r="E2411" s="35" t="s">
        <v>107</v>
      </c>
      <c r="F2411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11" s="32" t="s">
        <v>121</v>
      </c>
      <c r="H2411" s="33"/>
      <c r="I2411" s="33"/>
      <c r="J2411" s="37"/>
    </row>
    <row r="2412" spans="1:10" x14ac:dyDescent="0.35">
      <c r="A2412" s="32" t="s">
        <v>22</v>
      </c>
      <c r="B2412" s="32">
        <v>2039</v>
      </c>
      <c r="C2412" s="33" t="s">
        <v>49</v>
      </c>
      <c r="D2412" s="34" t="s">
        <v>128</v>
      </c>
      <c r="E2412" s="35" t="s">
        <v>107</v>
      </c>
      <c r="F2412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12" s="32" t="s">
        <v>121</v>
      </c>
      <c r="H2412" s="33"/>
      <c r="I2412" s="33"/>
      <c r="J2412" s="37"/>
    </row>
    <row r="2413" spans="1:10" x14ac:dyDescent="0.35">
      <c r="A2413" s="32" t="s">
        <v>22</v>
      </c>
      <c r="B2413" s="32">
        <v>2040</v>
      </c>
      <c r="C2413" s="33" t="s">
        <v>49</v>
      </c>
      <c r="D2413" s="34" t="s">
        <v>128</v>
      </c>
      <c r="E2413" s="35" t="s">
        <v>107</v>
      </c>
      <c r="F2413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13" s="32" t="s">
        <v>121</v>
      </c>
      <c r="H2413" s="33"/>
      <c r="I2413" s="33"/>
      <c r="J2413" s="37"/>
    </row>
    <row r="2414" spans="1:10" x14ac:dyDescent="0.35">
      <c r="A2414" s="32" t="s">
        <v>22</v>
      </c>
      <c r="B2414" s="32">
        <v>2041</v>
      </c>
      <c r="C2414" s="33" t="s">
        <v>49</v>
      </c>
      <c r="D2414" s="34" t="s">
        <v>128</v>
      </c>
      <c r="E2414" s="35" t="s">
        <v>107</v>
      </c>
      <c r="F2414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14" s="32" t="s">
        <v>121</v>
      </c>
      <c r="H2414" s="33"/>
      <c r="I2414" s="33"/>
      <c r="J2414" s="37"/>
    </row>
    <row r="2415" spans="1:10" x14ac:dyDescent="0.35">
      <c r="A2415" s="32" t="s">
        <v>22</v>
      </c>
      <c r="B2415" s="32">
        <v>2042</v>
      </c>
      <c r="C2415" s="33" t="s">
        <v>49</v>
      </c>
      <c r="D2415" s="34" t="s">
        <v>128</v>
      </c>
      <c r="E2415" s="35" t="s">
        <v>107</v>
      </c>
      <c r="F2415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15" s="32" t="s">
        <v>121</v>
      </c>
      <c r="H2415" s="33"/>
      <c r="I2415" s="33"/>
      <c r="J2415" s="37"/>
    </row>
    <row r="2416" spans="1:10" x14ac:dyDescent="0.35">
      <c r="A2416" s="32" t="s">
        <v>22</v>
      </c>
      <c r="B2416" s="32">
        <v>2043</v>
      </c>
      <c r="C2416" s="33" t="s">
        <v>49</v>
      </c>
      <c r="D2416" s="34" t="s">
        <v>128</v>
      </c>
      <c r="E2416" s="35" t="s">
        <v>107</v>
      </c>
      <c r="F2416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16" s="32" t="s">
        <v>121</v>
      </c>
      <c r="H2416" s="33"/>
      <c r="I2416" s="33"/>
      <c r="J2416" s="37"/>
    </row>
    <row r="2417" spans="1:10" x14ac:dyDescent="0.35">
      <c r="A2417" s="32" t="s">
        <v>22</v>
      </c>
      <c r="B2417" s="32">
        <v>2044</v>
      </c>
      <c r="C2417" s="33" t="s">
        <v>49</v>
      </c>
      <c r="D2417" s="34" t="s">
        <v>128</v>
      </c>
      <c r="E2417" s="35" t="s">
        <v>107</v>
      </c>
      <c r="F2417" s="34" t="str">
        <f t="shared" ref="F2417:F2432" si="572">_xlfn.CONCAT(D2417:E2417)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17" s="32" t="s">
        <v>121</v>
      </c>
      <c r="H2417" s="33"/>
      <c r="I2417" s="33"/>
      <c r="J2417" s="37"/>
    </row>
    <row r="2418" spans="1:10" x14ac:dyDescent="0.35">
      <c r="A2418" s="32" t="s">
        <v>22</v>
      </c>
      <c r="B2418" s="32">
        <v>2045</v>
      </c>
      <c r="C2418" s="33" t="s">
        <v>49</v>
      </c>
      <c r="D2418" s="34" t="s">
        <v>128</v>
      </c>
      <c r="E2418" s="35" t="s">
        <v>107</v>
      </c>
      <c r="F2418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18" s="32" t="s">
        <v>121</v>
      </c>
      <c r="H2418" s="33"/>
      <c r="I2418" s="33"/>
      <c r="J2418" s="37"/>
    </row>
    <row r="2419" spans="1:10" x14ac:dyDescent="0.35">
      <c r="A2419" s="32" t="s">
        <v>22</v>
      </c>
      <c r="B2419" s="32">
        <v>2046</v>
      </c>
      <c r="C2419" s="33" t="s">
        <v>49</v>
      </c>
      <c r="D2419" s="34" t="s">
        <v>128</v>
      </c>
      <c r="E2419" s="35" t="s">
        <v>107</v>
      </c>
      <c r="F2419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19" s="32" t="s">
        <v>121</v>
      </c>
      <c r="H2419" s="33"/>
      <c r="I2419" s="33"/>
      <c r="J2419" s="37"/>
    </row>
    <row r="2420" spans="1:10" x14ac:dyDescent="0.35">
      <c r="A2420" s="32" t="s">
        <v>22</v>
      </c>
      <c r="B2420" s="32">
        <v>2047</v>
      </c>
      <c r="C2420" s="33" t="s">
        <v>49</v>
      </c>
      <c r="D2420" s="34" t="s">
        <v>128</v>
      </c>
      <c r="E2420" s="35" t="s">
        <v>107</v>
      </c>
      <c r="F2420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20" s="32" t="s">
        <v>121</v>
      </c>
      <c r="H2420" s="33"/>
      <c r="I2420" s="33"/>
      <c r="J2420" s="37"/>
    </row>
    <row r="2421" spans="1:10" x14ac:dyDescent="0.35">
      <c r="A2421" s="32" t="s">
        <v>22</v>
      </c>
      <c r="B2421" s="32">
        <v>2048</v>
      </c>
      <c r="C2421" s="33" t="s">
        <v>49</v>
      </c>
      <c r="D2421" s="34" t="s">
        <v>128</v>
      </c>
      <c r="E2421" s="35" t="s">
        <v>107</v>
      </c>
      <c r="F2421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21" s="32" t="s">
        <v>121</v>
      </c>
      <c r="H2421" s="33"/>
      <c r="I2421" s="33"/>
      <c r="J2421" s="37"/>
    </row>
    <row r="2422" spans="1:10" x14ac:dyDescent="0.35">
      <c r="A2422" s="32" t="s">
        <v>22</v>
      </c>
      <c r="B2422" s="32">
        <v>2049</v>
      </c>
      <c r="C2422" s="33" t="s">
        <v>49</v>
      </c>
      <c r="D2422" s="34" t="s">
        <v>128</v>
      </c>
      <c r="E2422" s="35" t="s">
        <v>107</v>
      </c>
      <c r="F2422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22" s="32" t="s">
        <v>121</v>
      </c>
      <c r="H2422" s="33"/>
      <c r="I2422" s="33"/>
      <c r="J2422" s="37"/>
    </row>
    <row r="2423" spans="1:10" x14ac:dyDescent="0.35">
      <c r="A2423" s="32" t="s">
        <v>22</v>
      </c>
      <c r="B2423" s="32">
        <v>2050</v>
      </c>
      <c r="C2423" s="33" t="s">
        <v>49</v>
      </c>
      <c r="D2423" s="34" t="s">
        <v>128</v>
      </c>
      <c r="E2423" s="35" t="s">
        <v>107</v>
      </c>
      <c r="F2423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23" s="32" t="s">
        <v>121</v>
      </c>
      <c r="H2423" s="33"/>
      <c r="I2423" s="33"/>
      <c r="J2423" s="37"/>
    </row>
    <row r="2424" spans="1:10" x14ac:dyDescent="0.35">
      <c r="A2424" s="32" t="s">
        <v>22</v>
      </c>
      <c r="B2424" s="32">
        <v>2051</v>
      </c>
      <c r="C2424" s="33" t="s">
        <v>49</v>
      </c>
      <c r="D2424" s="34" t="s">
        <v>128</v>
      </c>
      <c r="E2424" s="35" t="s">
        <v>107</v>
      </c>
      <c r="F2424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24" s="32" t="s">
        <v>121</v>
      </c>
      <c r="H2424" s="33"/>
      <c r="I2424" s="33"/>
      <c r="J2424" s="37"/>
    </row>
    <row r="2425" spans="1:10" x14ac:dyDescent="0.35">
      <c r="A2425" s="32" t="s">
        <v>22</v>
      </c>
      <c r="B2425" s="32">
        <v>2052</v>
      </c>
      <c r="C2425" s="33" t="s">
        <v>49</v>
      </c>
      <c r="D2425" s="34" t="s">
        <v>128</v>
      </c>
      <c r="E2425" s="35" t="s">
        <v>107</v>
      </c>
      <c r="F2425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25" s="32" t="s">
        <v>121</v>
      </c>
      <c r="H2425" s="33"/>
      <c r="I2425" s="33"/>
      <c r="J2425" s="37"/>
    </row>
    <row r="2426" spans="1:10" x14ac:dyDescent="0.35">
      <c r="A2426" s="32" t="s">
        <v>22</v>
      </c>
      <c r="B2426" s="32">
        <v>2053</v>
      </c>
      <c r="C2426" s="33" t="s">
        <v>49</v>
      </c>
      <c r="D2426" s="34" t="s">
        <v>128</v>
      </c>
      <c r="E2426" s="35" t="s">
        <v>107</v>
      </c>
      <c r="F2426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26" s="32" t="s">
        <v>121</v>
      </c>
      <c r="H2426" s="33"/>
      <c r="I2426" s="33"/>
      <c r="J2426" s="37"/>
    </row>
    <row r="2427" spans="1:10" x14ac:dyDescent="0.35">
      <c r="A2427" s="32" t="s">
        <v>22</v>
      </c>
      <c r="B2427" s="32">
        <v>2054</v>
      </c>
      <c r="C2427" s="33" t="s">
        <v>49</v>
      </c>
      <c r="D2427" s="34" t="s">
        <v>128</v>
      </c>
      <c r="E2427" s="35" t="s">
        <v>107</v>
      </c>
      <c r="F2427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27" s="32" t="s">
        <v>121</v>
      </c>
      <c r="H2427" s="33"/>
      <c r="I2427" s="33"/>
      <c r="J2427" s="37"/>
    </row>
    <row r="2428" spans="1:10" x14ac:dyDescent="0.35">
      <c r="A2428" s="32" t="s">
        <v>22</v>
      </c>
      <c r="B2428" s="32">
        <v>2055</v>
      </c>
      <c r="C2428" s="33" t="s">
        <v>49</v>
      </c>
      <c r="D2428" s="34" t="s">
        <v>128</v>
      </c>
      <c r="E2428" s="35" t="s">
        <v>107</v>
      </c>
      <c r="F2428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28" s="32" t="s">
        <v>121</v>
      </c>
      <c r="H2428" s="33"/>
      <c r="I2428" s="33"/>
      <c r="J2428" s="37"/>
    </row>
    <row r="2429" spans="1:10" x14ac:dyDescent="0.35">
      <c r="A2429" s="32" t="s">
        <v>22</v>
      </c>
      <c r="B2429" s="32">
        <v>2056</v>
      </c>
      <c r="C2429" s="33" t="s">
        <v>49</v>
      </c>
      <c r="D2429" s="34" t="s">
        <v>128</v>
      </c>
      <c r="E2429" s="35" t="s">
        <v>107</v>
      </c>
      <c r="F2429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29" s="32" t="s">
        <v>121</v>
      </c>
      <c r="H2429" s="33"/>
      <c r="I2429" s="33"/>
      <c r="J2429" s="37"/>
    </row>
    <row r="2430" spans="1:10" x14ac:dyDescent="0.35">
      <c r="A2430" s="32" t="s">
        <v>22</v>
      </c>
      <c r="B2430" s="32">
        <v>2057</v>
      </c>
      <c r="C2430" s="33" t="s">
        <v>49</v>
      </c>
      <c r="D2430" s="34" t="s">
        <v>128</v>
      </c>
      <c r="E2430" s="35" t="s">
        <v>107</v>
      </c>
      <c r="F2430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30" s="32" t="s">
        <v>121</v>
      </c>
      <c r="H2430" s="33"/>
      <c r="I2430" s="33"/>
      <c r="J2430" s="37"/>
    </row>
    <row r="2431" spans="1:10" x14ac:dyDescent="0.35">
      <c r="A2431" s="32" t="s">
        <v>22</v>
      </c>
      <c r="B2431" s="32">
        <v>2058</v>
      </c>
      <c r="C2431" s="33" t="s">
        <v>49</v>
      </c>
      <c r="D2431" s="34" t="s">
        <v>128</v>
      </c>
      <c r="E2431" s="35" t="s">
        <v>107</v>
      </c>
      <c r="F2431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31" s="32" t="s">
        <v>121</v>
      </c>
      <c r="H2431" s="33"/>
      <c r="I2431" s="33"/>
      <c r="J2431" s="37"/>
    </row>
    <row r="2432" spans="1:10" x14ac:dyDescent="0.35">
      <c r="A2432" s="32" t="s">
        <v>22</v>
      </c>
      <c r="B2432" s="32">
        <v>2059</v>
      </c>
      <c r="C2432" s="33" t="s">
        <v>49</v>
      </c>
      <c r="D2432" s="34" t="s">
        <v>128</v>
      </c>
      <c r="E2432" s="35" t="s">
        <v>107</v>
      </c>
      <c r="F2432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32" s="32" t="s">
        <v>121</v>
      </c>
      <c r="H2432" s="33"/>
      <c r="I2432" s="33"/>
      <c r="J2432" s="37"/>
    </row>
    <row r="2433" spans="1:10" x14ac:dyDescent="0.35">
      <c r="A2433" s="32" t="s">
        <v>26</v>
      </c>
      <c r="B2433" s="32"/>
      <c r="C2433" s="33" t="s">
        <v>49</v>
      </c>
      <c r="D2433" s="34"/>
      <c r="E2433" s="35"/>
      <c r="F2433" s="34"/>
      <c r="G2433" s="32"/>
      <c r="H2433" s="33"/>
      <c r="I2433" s="33"/>
      <c r="J2433" s="33"/>
    </row>
    <row r="2434" spans="1:10" x14ac:dyDescent="0.35">
      <c r="A2434" s="32" t="s">
        <v>23</v>
      </c>
      <c r="B2434" s="32">
        <v>2023</v>
      </c>
      <c r="C2434" s="33" t="s">
        <v>49</v>
      </c>
      <c r="D2434" s="34" t="s">
        <v>128</v>
      </c>
      <c r="E2434" s="35" t="s">
        <v>108</v>
      </c>
      <c r="F2434" s="34" t="str">
        <f t="shared" ref="F2434:F2454" si="573">_xlfn.CONCAT(D2434:E2434)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34" s="32" t="s">
        <v>121</v>
      </c>
      <c r="H2434" s="33"/>
      <c r="I2434" s="33"/>
      <c r="J2434" s="37"/>
    </row>
    <row r="2435" spans="1:10" x14ac:dyDescent="0.35">
      <c r="A2435" s="32" t="s">
        <v>23</v>
      </c>
      <c r="B2435" s="32">
        <v>2024</v>
      </c>
      <c r="C2435" s="33" t="s">
        <v>49</v>
      </c>
      <c r="D2435" s="34" t="s">
        <v>128</v>
      </c>
      <c r="E2435" s="35" t="s">
        <v>108</v>
      </c>
      <c r="F2435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35" s="32" t="s">
        <v>121</v>
      </c>
      <c r="H2435" s="33"/>
      <c r="I2435" s="33"/>
      <c r="J2435" s="37"/>
    </row>
    <row r="2436" spans="1:10" x14ac:dyDescent="0.35">
      <c r="A2436" s="32" t="s">
        <v>23</v>
      </c>
      <c r="B2436" s="32">
        <v>2025</v>
      </c>
      <c r="C2436" s="33" t="s">
        <v>49</v>
      </c>
      <c r="D2436" s="34" t="s">
        <v>128</v>
      </c>
      <c r="E2436" s="35" t="s">
        <v>108</v>
      </c>
      <c r="F2436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36" s="32" t="s">
        <v>121</v>
      </c>
      <c r="H2436" s="33"/>
      <c r="I2436" s="33"/>
      <c r="J2436" s="37"/>
    </row>
    <row r="2437" spans="1:10" x14ac:dyDescent="0.35">
      <c r="A2437" s="32" t="s">
        <v>23</v>
      </c>
      <c r="B2437" s="32">
        <v>2026</v>
      </c>
      <c r="C2437" s="33" t="s">
        <v>49</v>
      </c>
      <c r="D2437" s="34" t="s">
        <v>128</v>
      </c>
      <c r="E2437" s="35" t="s">
        <v>108</v>
      </c>
      <c r="F2437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37" s="32" t="s">
        <v>121</v>
      </c>
      <c r="H2437" s="33"/>
      <c r="I2437" s="33"/>
      <c r="J2437" s="37"/>
    </row>
    <row r="2438" spans="1:10" x14ac:dyDescent="0.35">
      <c r="A2438" s="32" t="s">
        <v>23</v>
      </c>
      <c r="B2438" s="32">
        <v>2027</v>
      </c>
      <c r="C2438" s="33" t="s">
        <v>49</v>
      </c>
      <c r="D2438" s="34" t="s">
        <v>128</v>
      </c>
      <c r="E2438" s="35" t="s">
        <v>108</v>
      </c>
      <c r="F2438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38" s="32" t="s">
        <v>121</v>
      </c>
      <c r="H2438" s="33"/>
      <c r="I2438" s="33"/>
      <c r="J2438" s="37"/>
    </row>
    <row r="2439" spans="1:10" x14ac:dyDescent="0.35">
      <c r="A2439" s="32" t="s">
        <v>23</v>
      </c>
      <c r="B2439" s="32">
        <v>2028</v>
      </c>
      <c r="C2439" s="33" t="s">
        <v>49</v>
      </c>
      <c r="D2439" s="34" t="s">
        <v>128</v>
      </c>
      <c r="E2439" s="35" t="s">
        <v>108</v>
      </c>
      <c r="F2439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39" s="32" t="s">
        <v>121</v>
      </c>
      <c r="H2439" s="33"/>
      <c r="I2439" s="33"/>
      <c r="J2439" s="37"/>
    </row>
    <row r="2440" spans="1:10" x14ac:dyDescent="0.35">
      <c r="A2440" s="32" t="s">
        <v>23</v>
      </c>
      <c r="B2440" s="32">
        <v>2029</v>
      </c>
      <c r="C2440" s="33" t="s">
        <v>49</v>
      </c>
      <c r="D2440" s="34" t="s">
        <v>128</v>
      </c>
      <c r="E2440" s="35" t="s">
        <v>108</v>
      </c>
      <c r="F2440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40" s="32" t="s">
        <v>121</v>
      </c>
      <c r="H2440" s="33"/>
      <c r="I2440" s="33"/>
      <c r="J2440" s="37"/>
    </row>
    <row r="2441" spans="1:10" x14ac:dyDescent="0.35">
      <c r="A2441" s="32" t="s">
        <v>23</v>
      </c>
      <c r="B2441" s="32">
        <v>2030</v>
      </c>
      <c r="C2441" s="33" t="s">
        <v>49</v>
      </c>
      <c r="D2441" s="34" t="s">
        <v>128</v>
      </c>
      <c r="E2441" s="35" t="s">
        <v>108</v>
      </c>
      <c r="F2441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41" s="32" t="s">
        <v>121</v>
      </c>
      <c r="H2441" s="33"/>
      <c r="I2441" s="33"/>
      <c r="J2441" s="37"/>
    </row>
    <row r="2442" spans="1:10" x14ac:dyDescent="0.35">
      <c r="A2442" s="32" t="s">
        <v>23</v>
      </c>
      <c r="B2442" s="32">
        <v>2031</v>
      </c>
      <c r="C2442" s="33" t="s">
        <v>49</v>
      </c>
      <c r="D2442" s="34" t="s">
        <v>128</v>
      </c>
      <c r="E2442" s="35" t="s">
        <v>108</v>
      </c>
      <c r="F2442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42" s="32" t="s">
        <v>121</v>
      </c>
      <c r="H2442" s="33"/>
      <c r="I2442" s="33"/>
      <c r="J2442" s="37"/>
    </row>
    <row r="2443" spans="1:10" x14ac:dyDescent="0.35">
      <c r="A2443" s="32" t="s">
        <v>23</v>
      </c>
      <c r="B2443" s="32">
        <v>2032</v>
      </c>
      <c r="C2443" s="33" t="s">
        <v>49</v>
      </c>
      <c r="D2443" s="34" t="s">
        <v>128</v>
      </c>
      <c r="E2443" s="35" t="s">
        <v>108</v>
      </c>
      <c r="F2443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43" s="32" t="s">
        <v>121</v>
      </c>
      <c r="H2443" s="33"/>
      <c r="I2443" s="33"/>
      <c r="J2443" s="37"/>
    </row>
    <row r="2444" spans="1:10" x14ac:dyDescent="0.35">
      <c r="A2444" s="32" t="s">
        <v>23</v>
      </c>
      <c r="B2444" s="32">
        <v>2033</v>
      </c>
      <c r="C2444" s="33" t="s">
        <v>49</v>
      </c>
      <c r="D2444" s="34" t="s">
        <v>128</v>
      </c>
      <c r="E2444" s="35" t="s">
        <v>108</v>
      </c>
      <c r="F2444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44" s="32" t="s">
        <v>121</v>
      </c>
      <c r="H2444" s="33"/>
      <c r="I2444" s="33"/>
      <c r="J2444" s="37"/>
    </row>
    <row r="2445" spans="1:10" x14ac:dyDescent="0.35">
      <c r="A2445" s="32" t="s">
        <v>23</v>
      </c>
      <c r="B2445" s="32">
        <v>2034</v>
      </c>
      <c r="C2445" s="33" t="s">
        <v>49</v>
      </c>
      <c r="D2445" s="34" t="s">
        <v>128</v>
      </c>
      <c r="E2445" s="35" t="s">
        <v>108</v>
      </c>
      <c r="F2445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45" s="32" t="s">
        <v>121</v>
      </c>
      <c r="H2445" s="33"/>
      <c r="I2445" s="33"/>
      <c r="J2445" s="37"/>
    </row>
    <row r="2446" spans="1:10" x14ac:dyDescent="0.35">
      <c r="A2446" s="32" t="s">
        <v>23</v>
      </c>
      <c r="B2446" s="32">
        <v>2035</v>
      </c>
      <c r="C2446" s="33" t="s">
        <v>49</v>
      </c>
      <c r="D2446" s="34" t="s">
        <v>128</v>
      </c>
      <c r="E2446" s="35" t="s">
        <v>108</v>
      </c>
      <c r="F2446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46" s="32" t="s">
        <v>121</v>
      </c>
      <c r="H2446" s="33"/>
      <c r="I2446" s="33"/>
      <c r="J2446" s="37"/>
    </row>
    <row r="2447" spans="1:10" x14ac:dyDescent="0.35">
      <c r="A2447" s="32" t="s">
        <v>23</v>
      </c>
      <c r="B2447" s="32">
        <v>2036</v>
      </c>
      <c r="C2447" s="33" t="s">
        <v>49</v>
      </c>
      <c r="D2447" s="34" t="s">
        <v>128</v>
      </c>
      <c r="E2447" s="35" t="s">
        <v>108</v>
      </c>
      <c r="F2447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47" s="32" t="s">
        <v>121</v>
      </c>
      <c r="H2447" s="33"/>
      <c r="I2447" s="33"/>
      <c r="J2447" s="37"/>
    </row>
    <row r="2448" spans="1:10" x14ac:dyDescent="0.35">
      <c r="A2448" s="32" t="s">
        <v>23</v>
      </c>
      <c r="B2448" s="32">
        <v>2037</v>
      </c>
      <c r="C2448" s="33" t="s">
        <v>49</v>
      </c>
      <c r="D2448" s="34" t="s">
        <v>128</v>
      </c>
      <c r="E2448" s="35" t="s">
        <v>108</v>
      </c>
      <c r="F2448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48" s="32" t="s">
        <v>121</v>
      </c>
      <c r="H2448" s="33"/>
      <c r="I2448" s="33"/>
      <c r="J2448" s="37"/>
    </row>
    <row r="2449" spans="1:10" x14ac:dyDescent="0.35">
      <c r="A2449" s="32" t="s">
        <v>23</v>
      </c>
      <c r="B2449" s="32">
        <v>2038</v>
      </c>
      <c r="C2449" s="33" t="s">
        <v>49</v>
      </c>
      <c r="D2449" s="34" t="s">
        <v>128</v>
      </c>
      <c r="E2449" s="35" t="s">
        <v>108</v>
      </c>
      <c r="F2449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49" s="32" t="s">
        <v>121</v>
      </c>
      <c r="H2449" s="33"/>
      <c r="I2449" s="33"/>
      <c r="J2449" s="37"/>
    </row>
    <row r="2450" spans="1:10" x14ac:dyDescent="0.35">
      <c r="A2450" s="32" t="s">
        <v>23</v>
      </c>
      <c r="B2450" s="32">
        <v>2039</v>
      </c>
      <c r="C2450" s="33" t="s">
        <v>49</v>
      </c>
      <c r="D2450" s="34" t="s">
        <v>128</v>
      </c>
      <c r="E2450" s="35" t="s">
        <v>108</v>
      </c>
      <c r="F2450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50" s="32" t="s">
        <v>121</v>
      </c>
      <c r="H2450" s="33"/>
      <c r="I2450" s="33"/>
      <c r="J2450" s="37"/>
    </row>
    <row r="2451" spans="1:10" x14ac:dyDescent="0.35">
      <c r="A2451" s="32" t="s">
        <v>23</v>
      </c>
      <c r="B2451" s="32">
        <v>2040</v>
      </c>
      <c r="C2451" s="33" t="s">
        <v>49</v>
      </c>
      <c r="D2451" s="34" t="s">
        <v>128</v>
      </c>
      <c r="E2451" s="35" t="s">
        <v>108</v>
      </c>
      <c r="F2451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51" s="32" t="s">
        <v>121</v>
      </c>
      <c r="H2451" s="33"/>
      <c r="I2451" s="33"/>
      <c r="J2451" s="37"/>
    </row>
    <row r="2452" spans="1:10" x14ac:dyDescent="0.35">
      <c r="A2452" s="32" t="s">
        <v>23</v>
      </c>
      <c r="B2452" s="32">
        <v>2041</v>
      </c>
      <c r="C2452" s="33" t="s">
        <v>49</v>
      </c>
      <c r="D2452" s="34" t="s">
        <v>128</v>
      </c>
      <c r="E2452" s="35" t="s">
        <v>108</v>
      </c>
      <c r="F2452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52" s="32" t="s">
        <v>121</v>
      </c>
      <c r="H2452" s="33"/>
      <c r="I2452" s="33"/>
      <c r="J2452" s="37"/>
    </row>
    <row r="2453" spans="1:10" x14ac:dyDescent="0.35">
      <c r="A2453" s="32" t="s">
        <v>23</v>
      </c>
      <c r="B2453" s="32">
        <v>2042</v>
      </c>
      <c r="C2453" s="33" t="s">
        <v>49</v>
      </c>
      <c r="D2453" s="34" t="s">
        <v>128</v>
      </c>
      <c r="E2453" s="35" t="s">
        <v>108</v>
      </c>
      <c r="F2453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53" s="32" t="s">
        <v>121</v>
      </c>
      <c r="H2453" s="33"/>
      <c r="I2453" s="33"/>
      <c r="J2453" s="37"/>
    </row>
    <row r="2454" spans="1:10" x14ac:dyDescent="0.35">
      <c r="A2454" s="32" t="s">
        <v>23</v>
      </c>
      <c r="B2454" s="32">
        <v>2043</v>
      </c>
      <c r="C2454" s="33" t="s">
        <v>49</v>
      </c>
      <c r="D2454" s="34" t="s">
        <v>128</v>
      </c>
      <c r="E2454" s="35" t="s">
        <v>108</v>
      </c>
      <c r="F2454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54" s="32" t="s">
        <v>121</v>
      </c>
      <c r="H2454" s="33"/>
      <c r="I2454" s="33"/>
      <c r="J2454" s="37"/>
    </row>
    <row r="2455" spans="1:10" x14ac:dyDescent="0.35">
      <c r="A2455" s="32" t="s">
        <v>23</v>
      </c>
      <c r="B2455" s="32">
        <v>2044</v>
      </c>
      <c r="C2455" s="33" t="s">
        <v>49</v>
      </c>
      <c r="D2455" s="34" t="s">
        <v>128</v>
      </c>
      <c r="E2455" s="35" t="s">
        <v>108</v>
      </c>
      <c r="F2455" s="34" t="str">
        <f t="shared" ref="F2455:F2470" si="574">_xlfn.CONCAT(D2455:E2455)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55" s="32" t="s">
        <v>121</v>
      </c>
      <c r="H2455" s="33"/>
      <c r="I2455" s="33"/>
      <c r="J2455" s="37"/>
    </row>
    <row r="2456" spans="1:10" x14ac:dyDescent="0.35">
      <c r="A2456" s="32" t="s">
        <v>23</v>
      </c>
      <c r="B2456" s="32">
        <v>2045</v>
      </c>
      <c r="C2456" s="33" t="s">
        <v>49</v>
      </c>
      <c r="D2456" s="34" t="s">
        <v>128</v>
      </c>
      <c r="E2456" s="35" t="s">
        <v>108</v>
      </c>
      <c r="F2456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56" s="32" t="s">
        <v>121</v>
      </c>
      <c r="H2456" s="33"/>
      <c r="I2456" s="33"/>
      <c r="J2456" s="37"/>
    </row>
    <row r="2457" spans="1:10" x14ac:dyDescent="0.35">
      <c r="A2457" s="32" t="s">
        <v>23</v>
      </c>
      <c r="B2457" s="32">
        <v>2046</v>
      </c>
      <c r="C2457" s="33" t="s">
        <v>49</v>
      </c>
      <c r="D2457" s="34" t="s">
        <v>128</v>
      </c>
      <c r="E2457" s="35" t="s">
        <v>108</v>
      </c>
      <c r="F2457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57" s="32" t="s">
        <v>121</v>
      </c>
      <c r="H2457" s="33"/>
      <c r="I2457" s="33"/>
      <c r="J2457" s="37"/>
    </row>
    <row r="2458" spans="1:10" x14ac:dyDescent="0.35">
      <c r="A2458" s="32" t="s">
        <v>23</v>
      </c>
      <c r="B2458" s="32">
        <v>2047</v>
      </c>
      <c r="C2458" s="33" t="s">
        <v>49</v>
      </c>
      <c r="D2458" s="34" t="s">
        <v>128</v>
      </c>
      <c r="E2458" s="35" t="s">
        <v>108</v>
      </c>
      <c r="F2458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58" s="32" t="s">
        <v>121</v>
      </c>
      <c r="H2458" s="33"/>
      <c r="I2458" s="33"/>
      <c r="J2458" s="37"/>
    </row>
    <row r="2459" spans="1:10" x14ac:dyDescent="0.35">
      <c r="A2459" s="32" t="s">
        <v>23</v>
      </c>
      <c r="B2459" s="32">
        <v>2048</v>
      </c>
      <c r="C2459" s="33" t="s">
        <v>49</v>
      </c>
      <c r="D2459" s="34" t="s">
        <v>128</v>
      </c>
      <c r="E2459" s="35" t="s">
        <v>108</v>
      </c>
      <c r="F2459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59" s="32" t="s">
        <v>121</v>
      </c>
      <c r="H2459" s="33"/>
      <c r="I2459" s="33"/>
      <c r="J2459" s="37"/>
    </row>
    <row r="2460" spans="1:10" x14ac:dyDescent="0.35">
      <c r="A2460" s="32" t="s">
        <v>23</v>
      </c>
      <c r="B2460" s="32">
        <v>2049</v>
      </c>
      <c r="C2460" s="33" t="s">
        <v>49</v>
      </c>
      <c r="D2460" s="34" t="s">
        <v>128</v>
      </c>
      <c r="E2460" s="35" t="s">
        <v>108</v>
      </c>
      <c r="F2460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60" s="32" t="s">
        <v>121</v>
      </c>
      <c r="H2460" s="33"/>
      <c r="I2460" s="33"/>
      <c r="J2460" s="37"/>
    </row>
    <row r="2461" spans="1:10" x14ac:dyDescent="0.35">
      <c r="A2461" s="32" t="s">
        <v>23</v>
      </c>
      <c r="B2461" s="32">
        <v>2050</v>
      </c>
      <c r="C2461" s="33" t="s">
        <v>49</v>
      </c>
      <c r="D2461" s="34" t="s">
        <v>128</v>
      </c>
      <c r="E2461" s="35" t="s">
        <v>108</v>
      </c>
      <c r="F2461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61" s="32" t="s">
        <v>121</v>
      </c>
      <c r="H2461" s="33"/>
      <c r="I2461" s="33"/>
      <c r="J2461" s="37"/>
    </row>
    <row r="2462" spans="1:10" x14ac:dyDescent="0.35">
      <c r="A2462" s="32" t="s">
        <v>23</v>
      </c>
      <c r="B2462" s="32">
        <v>2051</v>
      </c>
      <c r="C2462" s="33" t="s">
        <v>49</v>
      </c>
      <c r="D2462" s="34" t="s">
        <v>128</v>
      </c>
      <c r="E2462" s="35" t="s">
        <v>108</v>
      </c>
      <c r="F2462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62" s="32" t="s">
        <v>121</v>
      </c>
      <c r="H2462" s="33"/>
      <c r="I2462" s="33"/>
      <c r="J2462" s="37"/>
    </row>
    <row r="2463" spans="1:10" x14ac:dyDescent="0.35">
      <c r="A2463" s="32" t="s">
        <v>23</v>
      </c>
      <c r="B2463" s="32">
        <v>2052</v>
      </c>
      <c r="C2463" s="33" t="s">
        <v>49</v>
      </c>
      <c r="D2463" s="34" t="s">
        <v>128</v>
      </c>
      <c r="E2463" s="35" t="s">
        <v>108</v>
      </c>
      <c r="F2463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63" s="32" t="s">
        <v>121</v>
      </c>
      <c r="H2463" s="33"/>
      <c r="I2463" s="33"/>
      <c r="J2463" s="37"/>
    </row>
    <row r="2464" spans="1:10" x14ac:dyDescent="0.35">
      <c r="A2464" s="32" t="s">
        <v>23</v>
      </c>
      <c r="B2464" s="32">
        <v>2053</v>
      </c>
      <c r="C2464" s="33" t="s">
        <v>49</v>
      </c>
      <c r="D2464" s="34" t="s">
        <v>128</v>
      </c>
      <c r="E2464" s="35" t="s">
        <v>108</v>
      </c>
      <c r="F2464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64" s="32" t="s">
        <v>121</v>
      </c>
      <c r="H2464" s="33"/>
      <c r="I2464" s="33"/>
      <c r="J2464" s="37"/>
    </row>
    <row r="2465" spans="1:10" x14ac:dyDescent="0.35">
      <c r="A2465" s="32" t="s">
        <v>23</v>
      </c>
      <c r="B2465" s="32">
        <v>2054</v>
      </c>
      <c r="C2465" s="33" t="s">
        <v>49</v>
      </c>
      <c r="D2465" s="34" t="s">
        <v>128</v>
      </c>
      <c r="E2465" s="35" t="s">
        <v>108</v>
      </c>
      <c r="F2465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65" s="32" t="s">
        <v>121</v>
      </c>
      <c r="H2465" s="33"/>
      <c r="I2465" s="33"/>
      <c r="J2465" s="37"/>
    </row>
    <row r="2466" spans="1:10" x14ac:dyDescent="0.35">
      <c r="A2466" s="32" t="s">
        <v>23</v>
      </c>
      <c r="B2466" s="32">
        <v>2055</v>
      </c>
      <c r="C2466" s="33" t="s">
        <v>49</v>
      </c>
      <c r="D2466" s="34" t="s">
        <v>128</v>
      </c>
      <c r="E2466" s="35" t="s">
        <v>108</v>
      </c>
      <c r="F2466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66" s="32" t="s">
        <v>121</v>
      </c>
      <c r="H2466" s="33"/>
      <c r="I2466" s="33"/>
      <c r="J2466" s="37"/>
    </row>
    <row r="2467" spans="1:10" x14ac:dyDescent="0.35">
      <c r="A2467" s="32" t="s">
        <v>23</v>
      </c>
      <c r="B2467" s="32">
        <v>2056</v>
      </c>
      <c r="C2467" s="33" t="s">
        <v>49</v>
      </c>
      <c r="D2467" s="34" t="s">
        <v>128</v>
      </c>
      <c r="E2467" s="35" t="s">
        <v>108</v>
      </c>
      <c r="F2467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67" s="32" t="s">
        <v>121</v>
      </c>
      <c r="H2467" s="33"/>
      <c r="I2467" s="33"/>
      <c r="J2467" s="37"/>
    </row>
    <row r="2468" spans="1:10" x14ac:dyDescent="0.35">
      <c r="A2468" s="32" t="s">
        <v>23</v>
      </c>
      <c r="B2468" s="32">
        <v>2057</v>
      </c>
      <c r="C2468" s="33" t="s">
        <v>49</v>
      </c>
      <c r="D2468" s="34" t="s">
        <v>128</v>
      </c>
      <c r="E2468" s="35" t="s">
        <v>108</v>
      </c>
      <c r="F2468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68" s="32" t="s">
        <v>121</v>
      </c>
      <c r="H2468" s="33"/>
      <c r="I2468" s="33"/>
      <c r="J2468" s="37"/>
    </row>
    <row r="2469" spans="1:10" x14ac:dyDescent="0.35">
      <c r="A2469" s="32" t="s">
        <v>23</v>
      </c>
      <c r="B2469" s="32">
        <v>2058</v>
      </c>
      <c r="C2469" s="33" t="s">
        <v>49</v>
      </c>
      <c r="D2469" s="34" t="s">
        <v>128</v>
      </c>
      <c r="E2469" s="35" t="s">
        <v>108</v>
      </c>
      <c r="F2469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69" s="32" t="s">
        <v>121</v>
      </c>
      <c r="H2469" s="33"/>
      <c r="I2469" s="33"/>
      <c r="J2469" s="37"/>
    </row>
    <row r="2470" spans="1:10" x14ac:dyDescent="0.35">
      <c r="A2470" s="32" t="s">
        <v>23</v>
      </c>
      <c r="B2470" s="32">
        <v>2059</v>
      </c>
      <c r="C2470" s="33" t="s">
        <v>49</v>
      </c>
      <c r="D2470" s="34" t="s">
        <v>128</v>
      </c>
      <c r="E2470" s="35" t="s">
        <v>108</v>
      </c>
      <c r="F2470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70" s="32" t="s">
        <v>121</v>
      </c>
      <c r="H2470" s="33"/>
      <c r="I2470" s="33"/>
      <c r="J2470" s="37"/>
    </row>
    <row r="2471" spans="1:10" x14ac:dyDescent="0.35">
      <c r="A2471" s="32" t="s">
        <v>26</v>
      </c>
      <c r="B2471" s="32"/>
      <c r="C2471" s="33" t="s">
        <v>49</v>
      </c>
      <c r="D2471" s="34"/>
      <c r="E2471" s="35"/>
      <c r="F2471" s="34"/>
      <c r="G2471" s="32"/>
      <c r="H2471" s="33"/>
      <c r="I2471" s="33"/>
      <c r="J2471" s="33"/>
    </row>
    <row r="2472" spans="1:10" x14ac:dyDescent="0.35">
      <c r="A2472" s="32" t="s">
        <v>24</v>
      </c>
      <c r="B2472" s="32">
        <v>2023</v>
      </c>
      <c r="C2472" s="33" t="s">
        <v>49</v>
      </c>
      <c r="D2472" s="34" t="s">
        <v>128</v>
      </c>
      <c r="E2472" s="35" t="str">
        <f t="shared" ref="E2472:E2492" si="575">_xlfn.CONCAT(A2472,"'!")</f>
        <v>PS'!</v>
      </c>
      <c r="F2472" s="34" t="str">
        <f t="shared" ref="F2472:F2492" si="576">_xlfn.CONCAT(D2472:E2472)</f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72" s="32" t="s">
        <v>121</v>
      </c>
      <c r="H2472" s="33">
        <v>12</v>
      </c>
      <c r="I2472" s="33" t="str">
        <f t="shared" ref="I2472:I2508" si="577">_xlfn.CONCAT("='",F2472:H2472)</f>
        <v>='C:\Users\jaime.benazar\Quorum Business Solutions\Ecopetrol Prometeo - Documents\Planning Space Implementation\3. Analysis &amp; Design\Design\FC22\DRR Jaime\Por presentar a ECP\Cantagallo\Cristalina\[CRISTALINA_CF_SEC_New_09-Feb-2024.xlsx]D-PS'!$DC$12</v>
      </c>
      <c r="J2472" s="37" t="s">
        <v>1202</v>
      </c>
    </row>
    <row r="2473" spans="1:10" x14ac:dyDescent="0.35">
      <c r="A2473" s="32" t="s">
        <v>24</v>
      </c>
      <c r="B2473" s="32">
        <f>+B2472+1</f>
        <v>2024</v>
      </c>
      <c r="C2473" s="33" t="s">
        <v>49</v>
      </c>
      <c r="D2473" s="34" t="s">
        <v>128</v>
      </c>
      <c r="E2473" s="35" t="str">
        <f t="shared" si="575"/>
        <v>PS'!</v>
      </c>
      <c r="F2473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73" s="32" t="s">
        <v>121</v>
      </c>
      <c r="H2473" s="33">
        <f t="shared" ref="H2473:H2492" si="578">IF(A2473&lt;&gt;A2472,12,H2472+1)</f>
        <v>13</v>
      </c>
      <c r="I2473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ECP\Cantagallo\Cristalina\[CRISTALINA_CF_SEC_New_09-Feb-2024.xlsx]D-PS'!$DC$13</v>
      </c>
      <c r="J2473" s="37" t="s">
        <v>1203</v>
      </c>
    </row>
    <row r="2474" spans="1:10" x14ac:dyDescent="0.35">
      <c r="A2474" s="32" t="s">
        <v>24</v>
      </c>
      <c r="B2474" s="32">
        <f t="shared" ref="B2474:B2485" si="579">+B2473+1</f>
        <v>2025</v>
      </c>
      <c r="C2474" s="33" t="s">
        <v>49</v>
      </c>
      <c r="D2474" s="34" t="s">
        <v>128</v>
      </c>
      <c r="E2474" s="35" t="str">
        <f t="shared" si="575"/>
        <v>PS'!</v>
      </c>
      <c r="F2474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74" s="32" t="s">
        <v>121</v>
      </c>
      <c r="H2474" s="33">
        <f t="shared" si="578"/>
        <v>14</v>
      </c>
      <c r="I2474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ECP\Cantagallo\Cristalina\[CRISTALINA_CF_SEC_New_09-Feb-2024.xlsx]D-PS'!$DC$14</v>
      </c>
      <c r="J2474" s="37" t="s">
        <v>1204</v>
      </c>
    </row>
    <row r="2475" spans="1:10" x14ac:dyDescent="0.35">
      <c r="A2475" s="32" t="s">
        <v>24</v>
      </c>
      <c r="B2475" s="32">
        <f t="shared" si="579"/>
        <v>2026</v>
      </c>
      <c r="C2475" s="33" t="s">
        <v>49</v>
      </c>
      <c r="D2475" s="34" t="s">
        <v>128</v>
      </c>
      <c r="E2475" s="35" t="str">
        <f t="shared" si="575"/>
        <v>PS'!</v>
      </c>
      <c r="F2475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75" s="32" t="s">
        <v>121</v>
      </c>
      <c r="H2475" s="33">
        <f t="shared" si="578"/>
        <v>15</v>
      </c>
      <c r="I2475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ECP\Cantagallo\Cristalina\[CRISTALINA_CF_SEC_New_09-Feb-2024.xlsx]D-PS'!$DC$15</v>
      </c>
      <c r="J2475" s="37" t="s">
        <v>1205</v>
      </c>
    </row>
    <row r="2476" spans="1:10" x14ac:dyDescent="0.35">
      <c r="A2476" s="32" t="s">
        <v>24</v>
      </c>
      <c r="B2476" s="32">
        <f t="shared" si="579"/>
        <v>2027</v>
      </c>
      <c r="C2476" s="33" t="s">
        <v>49</v>
      </c>
      <c r="D2476" s="34" t="s">
        <v>128</v>
      </c>
      <c r="E2476" s="35" t="str">
        <f t="shared" si="575"/>
        <v>PS'!</v>
      </c>
      <c r="F2476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76" s="32" t="s">
        <v>121</v>
      </c>
      <c r="H2476" s="33">
        <f t="shared" si="578"/>
        <v>16</v>
      </c>
      <c r="I2476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ECP\Cantagallo\Cristalina\[CRISTALINA_CF_SEC_New_09-Feb-2024.xlsx]D-PS'!$DC$16</v>
      </c>
      <c r="J2476" s="37" t="s">
        <v>1206</v>
      </c>
    </row>
    <row r="2477" spans="1:10" x14ac:dyDescent="0.35">
      <c r="A2477" s="32" t="s">
        <v>24</v>
      </c>
      <c r="B2477" s="32">
        <f t="shared" si="579"/>
        <v>2028</v>
      </c>
      <c r="C2477" s="33" t="s">
        <v>49</v>
      </c>
      <c r="D2477" s="34" t="s">
        <v>128</v>
      </c>
      <c r="E2477" s="35" t="str">
        <f t="shared" si="575"/>
        <v>PS'!</v>
      </c>
      <c r="F2477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77" s="32" t="s">
        <v>121</v>
      </c>
      <c r="H2477" s="33">
        <f t="shared" si="578"/>
        <v>17</v>
      </c>
      <c r="I2477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ECP\Cantagallo\Cristalina\[CRISTALINA_CF_SEC_New_09-Feb-2024.xlsx]D-PS'!$DC$17</v>
      </c>
      <c r="J2477" s="37" t="s">
        <v>1207</v>
      </c>
    </row>
    <row r="2478" spans="1:10" x14ac:dyDescent="0.35">
      <c r="A2478" s="32" t="s">
        <v>24</v>
      </c>
      <c r="B2478" s="32">
        <f t="shared" si="579"/>
        <v>2029</v>
      </c>
      <c r="C2478" s="33" t="s">
        <v>49</v>
      </c>
      <c r="D2478" s="34" t="s">
        <v>128</v>
      </c>
      <c r="E2478" s="35" t="str">
        <f t="shared" si="575"/>
        <v>PS'!</v>
      </c>
      <c r="F2478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78" s="32" t="s">
        <v>121</v>
      </c>
      <c r="H2478" s="33">
        <f t="shared" si="578"/>
        <v>18</v>
      </c>
      <c r="I2478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ECP\Cantagallo\Cristalina\[CRISTALINA_CF_SEC_New_09-Feb-2024.xlsx]D-PS'!$DC$18</v>
      </c>
      <c r="J2478" s="37" t="s">
        <v>1208</v>
      </c>
    </row>
    <row r="2479" spans="1:10" x14ac:dyDescent="0.35">
      <c r="A2479" s="32" t="s">
        <v>24</v>
      </c>
      <c r="B2479" s="32">
        <f t="shared" si="579"/>
        <v>2030</v>
      </c>
      <c r="C2479" s="33" t="s">
        <v>49</v>
      </c>
      <c r="D2479" s="34" t="s">
        <v>128</v>
      </c>
      <c r="E2479" s="35" t="str">
        <f t="shared" si="575"/>
        <v>PS'!</v>
      </c>
      <c r="F2479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79" s="32" t="s">
        <v>121</v>
      </c>
      <c r="H2479" s="33">
        <f t="shared" si="578"/>
        <v>19</v>
      </c>
      <c r="I2479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ECP\Cantagallo\Cristalina\[CRISTALINA_CF_SEC_New_09-Feb-2024.xlsx]D-PS'!$DC$19</v>
      </c>
      <c r="J2479" s="37" t="s">
        <v>1209</v>
      </c>
    </row>
    <row r="2480" spans="1:10" x14ac:dyDescent="0.35">
      <c r="A2480" s="32" t="s">
        <v>24</v>
      </c>
      <c r="B2480" s="32">
        <f t="shared" si="579"/>
        <v>2031</v>
      </c>
      <c r="C2480" s="33" t="s">
        <v>49</v>
      </c>
      <c r="D2480" s="34" t="s">
        <v>128</v>
      </c>
      <c r="E2480" s="35" t="str">
        <f t="shared" si="575"/>
        <v>PS'!</v>
      </c>
      <c r="F2480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80" s="32" t="s">
        <v>121</v>
      </c>
      <c r="H2480" s="33">
        <f t="shared" si="578"/>
        <v>20</v>
      </c>
      <c r="I2480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ECP\Cantagallo\Cristalina\[CRISTALINA_CF_SEC_New_09-Feb-2024.xlsx]D-PS'!$DC$20</v>
      </c>
      <c r="J2480" s="37" t="s">
        <v>1210</v>
      </c>
    </row>
    <row r="2481" spans="1:10" x14ac:dyDescent="0.35">
      <c r="A2481" s="32" t="s">
        <v>24</v>
      </c>
      <c r="B2481" s="32">
        <f t="shared" si="579"/>
        <v>2032</v>
      </c>
      <c r="C2481" s="33" t="s">
        <v>49</v>
      </c>
      <c r="D2481" s="34" t="s">
        <v>128</v>
      </c>
      <c r="E2481" s="35" t="str">
        <f t="shared" si="575"/>
        <v>PS'!</v>
      </c>
      <c r="F2481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81" s="32" t="s">
        <v>121</v>
      </c>
      <c r="H2481" s="33">
        <f t="shared" si="578"/>
        <v>21</v>
      </c>
      <c r="I2481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ECP\Cantagallo\Cristalina\[CRISTALINA_CF_SEC_New_09-Feb-2024.xlsx]D-PS'!$DC$21</v>
      </c>
      <c r="J2481" s="37" t="s">
        <v>1211</v>
      </c>
    </row>
    <row r="2482" spans="1:10" x14ac:dyDescent="0.35">
      <c r="A2482" s="32" t="s">
        <v>24</v>
      </c>
      <c r="B2482" s="32">
        <f t="shared" si="579"/>
        <v>2033</v>
      </c>
      <c r="C2482" s="33" t="s">
        <v>49</v>
      </c>
      <c r="D2482" s="34" t="s">
        <v>128</v>
      </c>
      <c r="E2482" s="35" t="str">
        <f t="shared" si="575"/>
        <v>PS'!</v>
      </c>
      <c r="F2482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82" s="32" t="s">
        <v>121</v>
      </c>
      <c r="H2482" s="33">
        <f t="shared" si="578"/>
        <v>22</v>
      </c>
      <c r="I2482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ECP\Cantagallo\Cristalina\[CRISTALINA_CF_SEC_New_09-Feb-2024.xlsx]D-PS'!$DC$22</v>
      </c>
      <c r="J2482" s="37" t="s">
        <v>1212</v>
      </c>
    </row>
    <row r="2483" spans="1:10" x14ac:dyDescent="0.35">
      <c r="A2483" s="32" t="s">
        <v>24</v>
      </c>
      <c r="B2483" s="32">
        <f t="shared" si="579"/>
        <v>2034</v>
      </c>
      <c r="C2483" s="33" t="s">
        <v>49</v>
      </c>
      <c r="D2483" s="34" t="s">
        <v>128</v>
      </c>
      <c r="E2483" s="35" t="str">
        <f t="shared" si="575"/>
        <v>PS'!</v>
      </c>
      <c r="F2483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83" s="32" t="s">
        <v>121</v>
      </c>
      <c r="H2483" s="33">
        <f t="shared" si="578"/>
        <v>23</v>
      </c>
      <c r="I2483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ECP\Cantagallo\Cristalina\[CRISTALINA_CF_SEC_New_09-Feb-2024.xlsx]D-PS'!$DC$23</v>
      </c>
      <c r="J2483" s="37" t="s">
        <v>1213</v>
      </c>
    </row>
    <row r="2484" spans="1:10" x14ac:dyDescent="0.35">
      <c r="A2484" s="32" t="s">
        <v>24</v>
      </c>
      <c r="B2484" s="32">
        <f t="shared" si="579"/>
        <v>2035</v>
      </c>
      <c r="C2484" s="33" t="s">
        <v>49</v>
      </c>
      <c r="D2484" s="34" t="s">
        <v>128</v>
      </c>
      <c r="E2484" s="35" t="str">
        <f t="shared" si="575"/>
        <v>PS'!</v>
      </c>
      <c r="F2484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84" s="32" t="s">
        <v>121</v>
      </c>
      <c r="H2484" s="33">
        <f t="shared" si="578"/>
        <v>24</v>
      </c>
      <c r="I2484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ECP\Cantagallo\Cristalina\[CRISTALINA_CF_SEC_New_09-Feb-2024.xlsx]D-PS'!$DC$24</v>
      </c>
      <c r="J2484" s="37" t="s">
        <v>1214</v>
      </c>
    </row>
    <row r="2485" spans="1:10" x14ac:dyDescent="0.35">
      <c r="A2485" s="32" t="s">
        <v>24</v>
      </c>
      <c r="B2485" s="32">
        <f t="shared" si="579"/>
        <v>2036</v>
      </c>
      <c r="C2485" s="33" t="s">
        <v>49</v>
      </c>
      <c r="D2485" s="34" t="s">
        <v>128</v>
      </c>
      <c r="E2485" s="35" t="str">
        <f t="shared" si="575"/>
        <v>PS'!</v>
      </c>
      <c r="F2485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85" s="32" t="s">
        <v>121</v>
      </c>
      <c r="H2485" s="33">
        <f t="shared" si="578"/>
        <v>25</v>
      </c>
      <c r="I2485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ECP\Cantagallo\Cristalina\[CRISTALINA_CF_SEC_New_09-Feb-2024.xlsx]D-PS'!$DC$25</v>
      </c>
      <c r="J2485" s="37" t="s">
        <v>1215</v>
      </c>
    </row>
    <row r="2486" spans="1:10" x14ac:dyDescent="0.35">
      <c r="A2486" s="32" t="s">
        <v>24</v>
      </c>
      <c r="B2486" s="32">
        <f>+B2485+1</f>
        <v>2037</v>
      </c>
      <c r="C2486" s="33" t="s">
        <v>49</v>
      </c>
      <c r="D2486" s="34" t="s">
        <v>128</v>
      </c>
      <c r="E2486" s="35" t="str">
        <f t="shared" si="575"/>
        <v>PS'!</v>
      </c>
      <c r="F2486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86" s="32" t="s">
        <v>121</v>
      </c>
      <c r="H2486" s="33">
        <f t="shared" si="578"/>
        <v>26</v>
      </c>
      <c r="I2486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ECP\Cantagallo\Cristalina\[CRISTALINA_CF_SEC_New_09-Feb-2024.xlsx]D-PS'!$DC$26</v>
      </c>
      <c r="J2486" s="37" t="s">
        <v>1216</v>
      </c>
    </row>
    <row r="2487" spans="1:10" x14ac:dyDescent="0.35">
      <c r="A2487" s="32" t="s">
        <v>24</v>
      </c>
      <c r="B2487" s="32">
        <f t="shared" ref="B2487:B2489" si="580">+B2486+1</f>
        <v>2038</v>
      </c>
      <c r="C2487" s="33" t="s">
        <v>49</v>
      </c>
      <c r="D2487" s="34" t="s">
        <v>128</v>
      </c>
      <c r="E2487" s="35" t="str">
        <f t="shared" si="575"/>
        <v>PS'!</v>
      </c>
      <c r="F2487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87" s="32" t="s">
        <v>121</v>
      </c>
      <c r="H2487" s="33">
        <f t="shared" si="578"/>
        <v>27</v>
      </c>
      <c r="I2487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ECP\Cantagallo\Cristalina\[CRISTALINA_CF_SEC_New_09-Feb-2024.xlsx]D-PS'!$DC$27</v>
      </c>
      <c r="J2487" s="37" t="s">
        <v>1217</v>
      </c>
    </row>
    <row r="2488" spans="1:10" x14ac:dyDescent="0.35">
      <c r="A2488" s="32" t="s">
        <v>24</v>
      </c>
      <c r="B2488" s="32">
        <f t="shared" si="580"/>
        <v>2039</v>
      </c>
      <c r="C2488" s="33" t="s">
        <v>49</v>
      </c>
      <c r="D2488" s="34" t="s">
        <v>128</v>
      </c>
      <c r="E2488" s="35" t="str">
        <f t="shared" si="575"/>
        <v>PS'!</v>
      </c>
      <c r="F2488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88" s="32" t="s">
        <v>121</v>
      </c>
      <c r="H2488" s="33">
        <f t="shared" si="578"/>
        <v>28</v>
      </c>
      <c r="I2488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ECP\Cantagallo\Cristalina\[CRISTALINA_CF_SEC_New_09-Feb-2024.xlsx]D-PS'!$DC$28</v>
      </c>
      <c r="J2488" s="37" t="s">
        <v>1218</v>
      </c>
    </row>
    <row r="2489" spans="1:10" x14ac:dyDescent="0.35">
      <c r="A2489" s="32" t="s">
        <v>24</v>
      </c>
      <c r="B2489" s="32">
        <f t="shared" si="580"/>
        <v>2040</v>
      </c>
      <c r="C2489" s="33" t="s">
        <v>49</v>
      </c>
      <c r="D2489" s="34" t="s">
        <v>128</v>
      </c>
      <c r="E2489" s="35" t="str">
        <f t="shared" si="575"/>
        <v>PS'!</v>
      </c>
      <c r="F2489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89" s="32" t="s">
        <v>121</v>
      </c>
      <c r="H2489" s="33">
        <f t="shared" si="578"/>
        <v>29</v>
      </c>
      <c r="I2489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ECP\Cantagallo\Cristalina\[CRISTALINA_CF_SEC_New_09-Feb-2024.xlsx]D-PS'!$DC$29</v>
      </c>
      <c r="J2489" s="37" t="s">
        <v>1219</v>
      </c>
    </row>
    <row r="2490" spans="1:10" x14ac:dyDescent="0.35">
      <c r="A2490" s="32" t="s">
        <v>24</v>
      </c>
      <c r="B2490" s="32">
        <f>+B2489+1</f>
        <v>2041</v>
      </c>
      <c r="C2490" s="33" t="s">
        <v>49</v>
      </c>
      <c r="D2490" s="34" t="s">
        <v>128</v>
      </c>
      <c r="E2490" s="35" t="str">
        <f t="shared" si="575"/>
        <v>PS'!</v>
      </c>
      <c r="F2490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90" s="32" t="s">
        <v>121</v>
      </c>
      <c r="H2490" s="33">
        <f t="shared" si="578"/>
        <v>30</v>
      </c>
      <c r="I2490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ECP\Cantagallo\Cristalina\[CRISTALINA_CF_SEC_New_09-Feb-2024.xlsx]D-PS'!$DC$30</v>
      </c>
      <c r="J2490" s="37" t="s">
        <v>1220</v>
      </c>
    </row>
    <row r="2491" spans="1:10" x14ac:dyDescent="0.35">
      <c r="A2491" s="32" t="s">
        <v>24</v>
      </c>
      <c r="B2491" s="32">
        <f t="shared" ref="B2491:B2492" si="581">+B2490+1</f>
        <v>2042</v>
      </c>
      <c r="C2491" s="33" t="s">
        <v>49</v>
      </c>
      <c r="D2491" s="34" t="s">
        <v>128</v>
      </c>
      <c r="E2491" s="35" t="str">
        <f t="shared" si="575"/>
        <v>PS'!</v>
      </c>
      <c r="F2491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91" s="32" t="s">
        <v>121</v>
      </c>
      <c r="H2491" s="33">
        <f t="shared" si="578"/>
        <v>31</v>
      </c>
      <c r="I2491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ECP\Cantagallo\Cristalina\[CRISTALINA_CF_SEC_New_09-Feb-2024.xlsx]D-PS'!$DC$31</v>
      </c>
      <c r="J2491" s="37" t="s">
        <v>1221</v>
      </c>
    </row>
    <row r="2492" spans="1:10" x14ac:dyDescent="0.35">
      <c r="A2492" s="32" t="s">
        <v>24</v>
      </c>
      <c r="B2492" s="32">
        <f t="shared" si="581"/>
        <v>2043</v>
      </c>
      <c r="C2492" s="33" t="s">
        <v>49</v>
      </c>
      <c r="D2492" s="34" t="s">
        <v>128</v>
      </c>
      <c r="E2492" s="35" t="str">
        <f t="shared" si="575"/>
        <v>PS'!</v>
      </c>
      <c r="F2492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92" s="32" t="s">
        <v>121</v>
      </c>
      <c r="H2492" s="33">
        <f t="shared" si="578"/>
        <v>32</v>
      </c>
      <c r="I2492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ECP\Cantagallo\Cristalina\[CRISTALINA_CF_SEC_New_09-Feb-2024.xlsx]D-PS'!$DC$32</v>
      </c>
      <c r="J2492" s="37" t="s">
        <v>1222</v>
      </c>
    </row>
    <row r="2493" spans="1:10" x14ac:dyDescent="0.35">
      <c r="A2493" s="32" t="s">
        <v>24</v>
      </c>
      <c r="B2493" s="32">
        <f>+B2492+1</f>
        <v>2044</v>
      </c>
      <c r="C2493" s="33" t="s">
        <v>49</v>
      </c>
      <c r="D2493" s="34" t="s">
        <v>128</v>
      </c>
      <c r="E2493" s="35" t="str">
        <f t="shared" ref="E2493:E2508" si="582">_xlfn.CONCAT(A2493,"'!")</f>
        <v>PS'!</v>
      </c>
      <c r="F2493" s="34" t="str">
        <f t="shared" ref="F2493:F2508" si="583">_xlfn.CONCAT(D2493:E2493)</f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93" s="32" t="s">
        <v>121</v>
      </c>
      <c r="H2493" s="33">
        <f t="shared" ref="H2493:H2508" si="584">IF(A2493&lt;&gt;A2492,12,H2492+1)</f>
        <v>33</v>
      </c>
      <c r="I2493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ECP\Cantagallo\Cristalina\[CRISTALINA_CF_SEC_New_09-Feb-2024.xlsx]D-PS'!$DC$33</v>
      </c>
      <c r="J2493" s="37" t="s">
        <v>1223</v>
      </c>
    </row>
    <row r="2494" spans="1:10" x14ac:dyDescent="0.35">
      <c r="A2494" s="32" t="s">
        <v>24</v>
      </c>
      <c r="B2494" s="32">
        <f t="shared" ref="B2494:B2508" si="585">+B2493+1</f>
        <v>2045</v>
      </c>
      <c r="C2494" s="33" t="s">
        <v>49</v>
      </c>
      <c r="D2494" s="34" t="s">
        <v>128</v>
      </c>
      <c r="E2494" s="35" t="str">
        <f t="shared" si="582"/>
        <v>PS'!</v>
      </c>
      <c r="F2494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94" s="32" t="s">
        <v>121</v>
      </c>
      <c r="H2494" s="33">
        <f t="shared" si="584"/>
        <v>34</v>
      </c>
      <c r="I2494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ECP\Cantagallo\Cristalina\[CRISTALINA_CF_SEC_New_09-Feb-2024.xlsx]D-PS'!$DC$34</v>
      </c>
      <c r="J2494" s="37" t="s">
        <v>1224</v>
      </c>
    </row>
    <row r="2495" spans="1:10" x14ac:dyDescent="0.35">
      <c r="A2495" s="32" t="s">
        <v>24</v>
      </c>
      <c r="B2495" s="32">
        <f t="shared" si="585"/>
        <v>2046</v>
      </c>
      <c r="C2495" s="33" t="s">
        <v>49</v>
      </c>
      <c r="D2495" s="34" t="s">
        <v>128</v>
      </c>
      <c r="E2495" s="35" t="str">
        <f t="shared" si="582"/>
        <v>PS'!</v>
      </c>
      <c r="F2495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95" s="32" t="s">
        <v>121</v>
      </c>
      <c r="H2495" s="33">
        <f t="shared" si="584"/>
        <v>35</v>
      </c>
      <c r="I2495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ECP\Cantagallo\Cristalina\[CRISTALINA_CF_SEC_New_09-Feb-2024.xlsx]D-PS'!$DC$35</v>
      </c>
      <c r="J2495" s="37" t="s">
        <v>1225</v>
      </c>
    </row>
    <row r="2496" spans="1:10" x14ac:dyDescent="0.35">
      <c r="A2496" s="32" t="s">
        <v>24</v>
      </c>
      <c r="B2496" s="32">
        <f t="shared" si="585"/>
        <v>2047</v>
      </c>
      <c r="C2496" s="33" t="s">
        <v>49</v>
      </c>
      <c r="D2496" s="34" t="s">
        <v>128</v>
      </c>
      <c r="E2496" s="35" t="str">
        <f t="shared" si="582"/>
        <v>PS'!</v>
      </c>
      <c r="F2496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96" s="32" t="s">
        <v>121</v>
      </c>
      <c r="H2496" s="33">
        <f t="shared" si="584"/>
        <v>36</v>
      </c>
      <c r="I2496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ECP\Cantagallo\Cristalina\[CRISTALINA_CF_SEC_New_09-Feb-2024.xlsx]D-PS'!$DC$36</v>
      </c>
      <c r="J2496" s="37" t="s">
        <v>1226</v>
      </c>
    </row>
    <row r="2497" spans="1:10" x14ac:dyDescent="0.35">
      <c r="A2497" s="32" t="s">
        <v>24</v>
      </c>
      <c r="B2497" s="32">
        <f t="shared" si="585"/>
        <v>2048</v>
      </c>
      <c r="C2497" s="33" t="s">
        <v>49</v>
      </c>
      <c r="D2497" s="34" t="s">
        <v>128</v>
      </c>
      <c r="E2497" s="35" t="str">
        <f t="shared" si="582"/>
        <v>PS'!</v>
      </c>
      <c r="F2497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97" s="32" t="s">
        <v>121</v>
      </c>
      <c r="H2497" s="33">
        <f t="shared" si="584"/>
        <v>37</v>
      </c>
      <c r="I2497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ECP\Cantagallo\Cristalina\[CRISTALINA_CF_SEC_New_09-Feb-2024.xlsx]D-PS'!$DC$37</v>
      </c>
      <c r="J2497" s="37" t="s">
        <v>1227</v>
      </c>
    </row>
    <row r="2498" spans="1:10" x14ac:dyDescent="0.35">
      <c r="A2498" s="32" t="s">
        <v>24</v>
      </c>
      <c r="B2498" s="32">
        <f t="shared" si="585"/>
        <v>2049</v>
      </c>
      <c r="C2498" s="33" t="s">
        <v>49</v>
      </c>
      <c r="D2498" s="34" t="s">
        <v>128</v>
      </c>
      <c r="E2498" s="35" t="str">
        <f t="shared" si="582"/>
        <v>PS'!</v>
      </c>
      <c r="F2498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98" s="32" t="s">
        <v>121</v>
      </c>
      <c r="H2498" s="33">
        <f t="shared" si="584"/>
        <v>38</v>
      </c>
      <c r="I2498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ECP\Cantagallo\Cristalina\[CRISTALINA_CF_SEC_New_09-Feb-2024.xlsx]D-PS'!$DC$38</v>
      </c>
      <c r="J2498" s="37" t="s">
        <v>1228</v>
      </c>
    </row>
    <row r="2499" spans="1:10" x14ac:dyDescent="0.35">
      <c r="A2499" s="32" t="s">
        <v>24</v>
      </c>
      <c r="B2499" s="32">
        <f t="shared" si="585"/>
        <v>2050</v>
      </c>
      <c r="C2499" s="33" t="s">
        <v>49</v>
      </c>
      <c r="D2499" s="34" t="s">
        <v>128</v>
      </c>
      <c r="E2499" s="35" t="str">
        <f t="shared" si="582"/>
        <v>PS'!</v>
      </c>
      <c r="F2499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99" s="32" t="s">
        <v>121</v>
      </c>
      <c r="H2499" s="33">
        <f t="shared" si="584"/>
        <v>39</v>
      </c>
      <c r="I2499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ECP\Cantagallo\Cristalina\[CRISTALINA_CF_SEC_New_09-Feb-2024.xlsx]D-PS'!$DC$39</v>
      </c>
      <c r="J2499" s="37" t="s">
        <v>1229</v>
      </c>
    </row>
    <row r="2500" spans="1:10" x14ac:dyDescent="0.35">
      <c r="A2500" s="32" t="s">
        <v>24</v>
      </c>
      <c r="B2500" s="32">
        <f t="shared" si="585"/>
        <v>2051</v>
      </c>
      <c r="C2500" s="33" t="s">
        <v>49</v>
      </c>
      <c r="D2500" s="34" t="s">
        <v>128</v>
      </c>
      <c r="E2500" s="35" t="str">
        <f t="shared" si="582"/>
        <v>PS'!</v>
      </c>
      <c r="F2500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500" s="32" t="s">
        <v>121</v>
      </c>
      <c r="H2500" s="33">
        <f t="shared" si="584"/>
        <v>40</v>
      </c>
      <c r="I2500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ECP\Cantagallo\Cristalina\[CRISTALINA_CF_SEC_New_09-Feb-2024.xlsx]D-PS'!$DC$40</v>
      </c>
      <c r="J2500" s="37" t="s">
        <v>1230</v>
      </c>
    </row>
    <row r="2501" spans="1:10" x14ac:dyDescent="0.35">
      <c r="A2501" s="32" t="s">
        <v>24</v>
      </c>
      <c r="B2501" s="32">
        <f t="shared" si="585"/>
        <v>2052</v>
      </c>
      <c r="C2501" s="33" t="s">
        <v>49</v>
      </c>
      <c r="D2501" s="34" t="s">
        <v>128</v>
      </c>
      <c r="E2501" s="35" t="str">
        <f t="shared" si="582"/>
        <v>PS'!</v>
      </c>
      <c r="F2501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501" s="32" t="s">
        <v>121</v>
      </c>
      <c r="H2501" s="33">
        <f t="shared" si="584"/>
        <v>41</v>
      </c>
      <c r="I2501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ECP\Cantagallo\Cristalina\[CRISTALINA_CF_SEC_New_09-Feb-2024.xlsx]D-PS'!$DC$41</v>
      </c>
      <c r="J2501" s="37" t="s">
        <v>1231</v>
      </c>
    </row>
    <row r="2502" spans="1:10" x14ac:dyDescent="0.35">
      <c r="A2502" s="32" t="s">
        <v>24</v>
      </c>
      <c r="B2502" s="32">
        <f t="shared" si="585"/>
        <v>2053</v>
      </c>
      <c r="C2502" s="33" t="s">
        <v>49</v>
      </c>
      <c r="D2502" s="34" t="s">
        <v>128</v>
      </c>
      <c r="E2502" s="35" t="str">
        <f t="shared" si="582"/>
        <v>PS'!</v>
      </c>
      <c r="F2502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502" s="32" t="s">
        <v>121</v>
      </c>
      <c r="H2502" s="33">
        <f t="shared" si="584"/>
        <v>42</v>
      </c>
      <c r="I2502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ECP\Cantagallo\Cristalina\[CRISTALINA_CF_SEC_New_09-Feb-2024.xlsx]D-PS'!$DC$42</v>
      </c>
      <c r="J2502" s="37" t="s">
        <v>1232</v>
      </c>
    </row>
    <row r="2503" spans="1:10" x14ac:dyDescent="0.35">
      <c r="A2503" s="32" t="s">
        <v>24</v>
      </c>
      <c r="B2503" s="32">
        <f t="shared" si="585"/>
        <v>2054</v>
      </c>
      <c r="C2503" s="33" t="s">
        <v>49</v>
      </c>
      <c r="D2503" s="34" t="s">
        <v>128</v>
      </c>
      <c r="E2503" s="35" t="str">
        <f t="shared" si="582"/>
        <v>PS'!</v>
      </c>
      <c r="F2503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503" s="32" t="s">
        <v>121</v>
      </c>
      <c r="H2503" s="33">
        <f t="shared" si="584"/>
        <v>43</v>
      </c>
      <c r="I2503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ECP\Cantagallo\Cristalina\[CRISTALINA_CF_SEC_New_09-Feb-2024.xlsx]D-PS'!$DC$43</v>
      </c>
      <c r="J2503" s="37" t="s">
        <v>1233</v>
      </c>
    </row>
    <row r="2504" spans="1:10" x14ac:dyDescent="0.35">
      <c r="A2504" s="32" t="s">
        <v>24</v>
      </c>
      <c r="B2504" s="32">
        <f t="shared" si="585"/>
        <v>2055</v>
      </c>
      <c r="C2504" s="33" t="s">
        <v>49</v>
      </c>
      <c r="D2504" s="34" t="s">
        <v>128</v>
      </c>
      <c r="E2504" s="35" t="str">
        <f t="shared" si="582"/>
        <v>PS'!</v>
      </c>
      <c r="F2504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504" s="32" t="s">
        <v>121</v>
      </c>
      <c r="H2504" s="33">
        <f t="shared" si="584"/>
        <v>44</v>
      </c>
      <c r="I2504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ECP\Cantagallo\Cristalina\[CRISTALINA_CF_SEC_New_09-Feb-2024.xlsx]D-PS'!$DC$44</v>
      </c>
      <c r="J2504" s="37" t="s">
        <v>1234</v>
      </c>
    </row>
    <row r="2505" spans="1:10" x14ac:dyDescent="0.35">
      <c r="A2505" s="32" t="s">
        <v>24</v>
      </c>
      <c r="B2505" s="32">
        <f t="shared" si="585"/>
        <v>2056</v>
      </c>
      <c r="C2505" s="33" t="s">
        <v>49</v>
      </c>
      <c r="D2505" s="34" t="s">
        <v>128</v>
      </c>
      <c r="E2505" s="35" t="str">
        <f t="shared" si="582"/>
        <v>PS'!</v>
      </c>
      <c r="F2505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505" s="32" t="s">
        <v>121</v>
      </c>
      <c r="H2505" s="33">
        <f t="shared" si="584"/>
        <v>45</v>
      </c>
      <c r="I2505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ECP\Cantagallo\Cristalina\[CRISTALINA_CF_SEC_New_09-Feb-2024.xlsx]D-PS'!$DC$45</v>
      </c>
      <c r="J2505" s="37" t="s">
        <v>1235</v>
      </c>
    </row>
    <row r="2506" spans="1:10" x14ac:dyDescent="0.35">
      <c r="A2506" s="32" t="s">
        <v>24</v>
      </c>
      <c r="B2506" s="32">
        <f t="shared" si="585"/>
        <v>2057</v>
      </c>
      <c r="C2506" s="33" t="s">
        <v>49</v>
      </c>
      <c r="D2506" s="34" t="s">
        <v>128</v>
      </c>
      <c r="E2506" s="35" t="str">
        <f t="shared" si="582"/>
        <v>PS'!</v>
      </c>
      <c r="F2506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506" s="32" t="s">
        <v>121</v>
      </c>
      <c r="H2506" s="33">
        <f t="shared" si="584"/>
        <v>46</v>
      </c>
      <c r="I2506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ECP\Cantagallo\Cristalina\[CRISTALINA_CF_SEC_New_09-Feb-2024.xlsx]D-PS'!$DC$46</v>
      </c>
      <c r="J2506" s="37" t="s">
        <v>1236</v>
      </c>
    </row>
    <row r="2507" spans="1:10" x14ac:dyDescent="0.35">
      <c r="A2507" s="32" t="s">
        <v>24</v>
      </c>
      <c r="B2507" s="32">
        <f t="shared" si="585"/>
        <v>2058</v>
      </c>
      <c r="C2507" s="33" t="s">
        <v>49</v>
      </c>
      <c r="D2507" s="34" t="s">
        <v>128</v>
      </c>
      <c r="E2507" s="35" t="str">
        <f t="shared" si="582"/>
        <v>PS'!</v>
      </c>
      <c r="F2507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507" s="32" t="s">
        <v>121</v>
      </c>
      <c r="H2507" s="33">
        <f t="shared" si="584"/>
        <v>47</v>
      </c>
      <c r="I2507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ECP\Cantagallo\Cristalina\[CRISTALINA_CF_SEC_New_09-Feb-2024.xlsx]D-PS'!$DC$47</v>
      </c>
      <c r="J2507" s="37" t="s">
        <v>1237</v>
      </c>
    </row>
    <row r="2508" spans="1:10" x14ac:dyDescent="0.35">
      <c r="A2508" s="32" t="s">
        <v>24</v>
      </c>
      <c r="B2508" s="32">
        <f t="shared" si="585"/>
        <v>2059</v>
      </c>
      <c r="C2508" s="33" t="s">
        <v>49</v>
      </c>
      <c r="D2508" s="34" t="s">
        <v>128</v>
      </c>
      <c r="E2508" s="35" t="str">
        <f t="shared" si="582"/>
        <v>PS'!</v>
      </c>
      <c r="F2508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508" s="32" t="s">
        <v>121</v>
      </c>
      <c r="H2508" s="33">
        <f t="shared" si="584"/>
        <v>48</v>
      </c>
      <c r="I2508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ECP\Cantagallo\Cristalina\[CRISTALINA_CF_SEC_New_09-Feb-2024.xlsx]D-PS'!$DC$48</v>
      </c>
      <c r="J2508" s="37" t="s">
        <v>1238</v>
      </c>
    </row>
    <row r="2509" spans="1:10" x14ac:dyDescent="0.35">
      <c r="A2509" s="32" t="s">
        <v>26</v>
      </c>
      <c r="B2509" s="32"/>
      <c r="C2509" s="33" t="s">
        <v>49</v>
      </c>
      <c r="D2509" s="34"/>
      <c r="E2509" s="35"/>
      <c r="F2509" s="34"/>
      <c r="G2509" s="32"/>
      <c r="H2509" s="33"/>
      <c r="I2509" s="33"/>
      <c r="J2509" s="33"/>
    </row>
    <row r="2510" spans="1:10" x14ac:dyDescent="0.35">
      <c r="A2510" s="32" t="s">
        <v>14</v>
      </c>
      <c r="B2510" s="32">
        <v>2023</v>
      </c>
      <c r="C2510" s="33" t="s">
        <v>52</v>
      </c>
      <c r="D2510" s="34" t="s">
        <v>128</v>
      </c>
      <c r="E2510" s="35" t="str">
        <f t="shared" ref="E2510:E2530" si="586">_xlfn.CONCAT(A2510,"'!")</f>
        <v>PDP'!</v>
      </c>
      <c r="F2510" s="34" t="str">
        <f t="shared" ref="F2510:F2530" si="587">_xlfn.CONCAT(D2510:E2510)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10" s="32" t="s">
        <v>122</v>
      </c>
      <c r="H2510" s="33">
        <v>12</v>
      </c>
      <c r="I2510" s="33" t="str">
        <f>_xlfn.CONCAT("='",F2510:H2510)</f>
        <v>='C:\Users\jaime.benazar\Quorum Business Solutions\Ecopetrol Prometeo - Documents\Planning Space Implementation\3. Analysis &amp; Design\Design\FC22\DRR Jaime\Por presentar a ECP\Cantagallo\Cristalina\[CRISTALINA_CF_SEC_New_09-Feb-2024.xlsx]D-PDP'!$EA$12</v>
      </c>
      <c r="J2510" s="37" t="s">
        <v>1239</v>
      </c>
    </row>
    <row r="2511" spans="1:10" x14ac:dyDescent="0.35">
      <c r="A2511" s="32" t="s">
        <v>14</v>
      </c>
      <c r="B2511" s="32">
        <f>+B2510+1</f>
        <v>2024</v>
      </c>
      <c r="C2511" s="33" t="s">
        <v>52</v>
      </c>
      <c r="D2511" s="34" t="s">
        <v>128</v>
      </c>
      <c r="E2511" s="35" t="str">
        <f t="shared" si="586"/>
        <v>PDP'!</v>
      </c>
      <c r="F2511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11" s="32" t="s">
        <v>122</v>
      </c>
      <c r="H2511" s="33">
        <f t="shared" ref="H2511:H2530" si="588">IF(A2511&lt;&gt;A2510,12,H2510+1)</f>
        <v>13</v>
      </c>
      <c r="I2511" s="33" t="str">
        <f t="shared" ref="I2511:I2530" si="589">_xlfn.CONCAT("='",F2511:H2511)</f>
        <v>='C:\Users\jaime.benazar\Quorum Business Solutions\Ecopetrol Prometeo - Documents\Planning Space Implementation\3. Analysis &amp; Design\Design\FC22\DRR Jaime\Por presentar a ECP\Cantagallo\Cristalina\[CRISTALINA_CF_SEC_New_09-Feb-2024.xlsx]D-PDP'!$EA$13</v>
      </c>
      <c r="J2511" s="37" t="s">
        <v>1240</v>
      </c>
    </row>
    <row r="2512" spans="1:10" x14ac:dyDescent="0.35">
      <c r="A2512" s="32" t="s">
        <v>14</v>
      </c>
      <c r="B2512" s="32">
        <f t="shared" ref="B2512:B2523" si="590">+B2511+1</f>
        <v>2025</v>
      </c>
      <c r="C2512" s="33" t="s">
        <v>52</v>
      </c>
      <c r="D2512" s="34" t="s">
        <v>128</v>
      </c>
      <c r="E2512" s="35" t="str">
        <f t="shared" si="586"/>
        <v>PDP'!</v>
      </c>
      <c r="F2512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12" s="32" t="s">
        <v>122</v>
      </c>
      <c r="H2512" s="33">
        <f t="shared" si="588"/>
        <v>14</v>
      </c>
      <c r="I2512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ECP\Cantagallo\Cristalina\[CRISTALINA_CF_SEC_New_09-Feb-2024.xlsx]D-PDP'!$EA$14</v>
      </c>
      <c r="J2512" s="37" t="s">
        <v>1241</v>
      </c>
    </row>
    <row r="2513" spans="1:10" x14ac:dyDescent="0.35">
      <c r="A2513" s="32" t="s">
        <v>14</v>
      </c>
      <c r="B2513" s="32">
        <f t="shared" si="590"/>
        <v>2026</v>
      </c>
      <c r="C2513" s="33" t="s">
        <v>52</v>
      </c>
      <c r="D2513" s="34" t="s">
        <v>128</v>
      </c>
      <c r="E2513" s="35" t="str">
        <f t="shared" si="586"/>
        <v>PDP'!</v>
      </c>
      <c r="F2513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13" s="32" t="s">
        <v>122</v>
      </c>
      <c r="H2513" s="33">
        <f t="shared" si="588"/>
        <v>15</v>
      </c>
      <c r="I2513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ECP\Cantagallo\Cristalina\[CRISTALINA_CF_SEC_New_09-Feb-2024.xlsx]D-PDP'!$EA$15</v>
      </c>
      <c r="J2513" s="37" t="s">
        <v>1242</v>
      </c>
    </row>
    <row r="2514" spans="1:10" x14ac:dyDescent="0.35">
      <c r="A2514" s="32" t="s">
        <v>14</v>
      </c>
      <c r="B2514" s="32">
        <f t="shared" si="590"/>
        <v>2027</v>
      </c>
      <c r="C2514" s="33" t="s">
        <v>52</v>
      </c>
      <c r="D2514" s="34" t="s">
        <v>128</v>
      </c>
      <c r="E2514" s="35" t="str">
        <f t="shared" si="586"/>
        <v>PDP'!</v>
      </c>
      <c r="F2514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14" s="32" t="s">
        <v>122</v>
      </c>
      <c r="H2514" s="33">
        <f t="shared" si="588"/>
        <v>16</v>
      </c>
      <c r="I2514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ECP\Cantagallo\Cristalina\[CRISTALINA_CF_SEC_New_09-Feb-2024.xlsx]D-PDP'!$EA$16</v>
      </c>
      <c r="J2514" s="37" t="s">
        <v>1243</v>
      </c>
    </row>
    <row r="2515" spans="1:10" x14ac:dyDescent="0.35">
      <c r="A2515" s="32" t="s">
        <v>14</v>
      </c>
      <c r="B2515" s="32">
        <f t="shared" si="590"/>
        <v>2028</v>
      </c>
      <c r="C2515" s="33" t="s">
        <v>52</v>
      </c>
      <c r="D2515" s="34" t="s">
        <v>128</v>
      </c>
      <c r="E2515" s="35" t="str">
        <f t="shared" si="586"/>
        <v>PDP'!</v>
      </c>
      <c r="F2515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15" s="32" t="s">
        <v>122</v>
      </c>
      <c r="H2515" s="33">
        <f t="shared" si="588"/>
        <v>17</v>
      </c>
      <c r="I2515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ECP\Cantagallo\Cristalina\[CRISTALINA_CF_SEC_New_09-Feb-2024.xlsx]D-PDP'!$EA$17</v>
      </c>
      <c r="J2515" s="37" t="s">
        <v>1244</v>
      </c>
    </row>
    <row r="2516" spans="1:10" x14ac:dyDescent="0.35">
      <c r="A2516" s="32" t="s">
        <v>14</v>
      </c>
      <c r="B2516" s="32">
        <f t="shared" si="590"/>
        <v>2029</v>
      </c>
      <c r="C2516" s="33" t="s">
        <v>52</v>
      </c>
      <c r="D2516" s="34" t="s">
        <v>128</v>
      </c>
      <c r="E2516" s="35" t="str">
        <f t="shared" si="586"/>
        <v>PDP'!</v>
      </c>
      <c r="F2516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16" s="32" t="s">
        <v>122</v>
      </c>
      <c r="H2516" s="33">
        <f t="shared" si="588"/>
        <v>18</v>
      </c>
      <c r="I2516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ECP\Cantagallo\Cristalina\[CRISTALINA_CF_SEC_New_09-Feb-2024.xlsx]D-PDP'!$EA$18</v>
      </c>
      <c r="J2516" s="37" t="s">
        <v>1245</v>
      </c>
    </row>
    <row r="2517" spans="1:10" x14ac:dyDescent="0.35">
      <c r="A2517" s="32" t="s">
        <v>14</v>
      </c>
      <c r="B2517" s="32">
        <f t="shared" si="590"/>
        <v>2030</v>
      </c>
      <c r="C2517" s="33" t="s">
        <v>52</v>
      </c>
      <c r="D2517" s="34" t="s">
        <v>128</v>
      </c>
      <c r="E2517" s="35" t="str">
        <f t="shared" si="586"/>
        <v>PDP'!</v>
      </c>
      <c r="F2517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17" s="32" t="s">
        <v>122</v>
      </c>
      <c r="H2517" s="33">
        <f t="shared" si="588"/>
        <v>19</v>
      </c>
      <c r="I2517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ECP\Cantagallo\Cristalina\[CRISTALINA_CF_SEC_New_09-Feb-2024.xlsx]D-PDP'!$EA$19</v>
      </c>
      <c r="J2517" s="37" t="s">
        <v>1246</v>
      </c>
    </row>
    <row r="2518" spans="1:10" x14ac:dyDescent="0.35">
      <c r="A2518" s="32" t="s">
        <v>14</v>
      </c>
      <c r="B2518" s="32">
        <f t="shared" si="590"/>
        <v>2031</v>
      </c>
      <c r="C2518" s="33" t="s">
        <v>52</v>
      </c>
      <c r="D2518" s="34" t="s">
        <v>128</v>
      </c>
      <c r="E2518" s="35" t="str">
        <f t="shared" si="586"/>
        <v>PDP'!</v>
      </c>
      <c r="F2518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18" s="32" t="s">
        <v>122</v>
      </c>
      <c r="H2518" s="33">
        <f t="shared" si="588"/>
        <v>20</v>
      </c>
      <c r="I2518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ECP\Cantagallo\Cristalina\[CRISTALINA_CF_SEC_New_09-Feb-2024.xlsx]D-PDP'!$EA$20</v>
      </c>
      <c r="J2518" s="37" t="s">
        <v>1247</v>
      </c>
    </row>
    <row r="2519" spans="1:10" x14ac:dyDescent="0.35">
      <c r="A2519" s="32" t="s">
        <v>14</v>
      </c>
      <c r="B2519" s="32">
        <f t="shared" si="590"/>
        <v>2032</v>
      </c>
      <c r="C2519" s="33" t="s">
        <v>52</v>
      </c>
      <c r="D2519" s="34" t="s">
        <v>128</v>
      </c>
      <c r="E2519" s="35" t="str">
        <f t="shared" si="586"/>
        <v>PDP'!</v>
      </c>
      <c r="F2519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19" s="32" t="s">
        <v>122</v>
      </c>
      <c r="H2519" s="33">
        <f t="shared" si="588"/>
        <v>21</v>
      </c>
      <c r="I2519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ECP\Cantagallo\Cristalina\[CRISTALINA_CF_SEC_New_09-Feb-2024.xlsx]D-PDP'!$EA$21</v>
      </c>
      <c r="J2519" s="37" t="s">
        <v>1248</v>
      </c>
    </row>
    <row r="2520" spans="1:10" x14ac:dyDescent="0.35">
      <c r="A2520" s="32" t="s">
        <v>14</v>
      </c>
      <c r="B2520" s="32">
        <f t="shared" si="590"/>
        <v>2033</v>
      </c>
      <c r="C2520" s="33" t="s">
        <v>52</v>
      </c>
      <c r="D2520" s="34" t="s">
        <v>128</v>
      </c>
      <c r="E2520" s="35" t="str">
        <f t="shared" si="586"/>
        <v>PDP'!</v>
      </c>
      <c r="F2520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20" s="32" t="s">
        <v>122</v>
      </c>
      <c r="H2520" s="33">
        <f t="shared" si="588"/>
        <v>22</v>
      </c>
      <c r="I2520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ECP\Cantagallo\Cristalina\[CRISTALINA_CF_SEC_New_09-Feb-2024.xlsx]D-PDP'!$EA$22</v>
      </c>
      <c r="J2520" s="37" t="s">
        <v>1249</v>
      </c>
    </row>
    <row r="2521" spans="1:10" x14ac:dyDescent="0.35">
      <c r="A2521" s="32" t="s">
        <v>14</v>
      </c>
      <c r="B2521" s="32">
        <f t="shared" si="590"/>
        <v>2034</v>
      </c>
      <c r="C2521" s="33" t="s">
        <v>52</v>
      </c>
      <c r="D2521" s="34" t="s">
        <v>128</v>
      </c>
      <c r="E2521" s="35" t="str">
        <f t="shared" si="586"/>
        <v>PDP'!</v>
      </c>
      <c r="F2521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21" s="32" t="s">
        <v>122</v>
      </c>
      <c r="H2521" s="33">
        <f t="shared" si="588"/>
        <v>23</v>
      </c>
      <c r="I2521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ECP\Cantagallo\Cristalina\[CRISTALINA_CF_SEC_New_09-Feb-2024.xlsx]D-PDP'!$EA$23</v>
      </c>
      <c r="J2521" s="37" t="s">
        <v>1250</v>
      </c>
    </row>
    <row r="2522" spans="1:10" x14ac:dyDescent="0.35">
      <c r="A2522" s="32" t="s">
        <v>14</v>
      </c>
      <c r="B2522" s="32">
        <f t="shared" si="590"/>
        <v>2035</v>
      </c>
      <c r="C2522" s="33" t="s">
        <v>52</v>
      </c>
      <c r="D2522" s="34" t="s">
        <v>128</v>
      </c>
      <c r="E2522" s="35" t="str">
        <f t="shared" si="586"/>
        <v>PDP'!</v>
      </c>
      <c r="F2522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22" s="32" t="s">
        <v>122</v>
      </c>
      <c r="H2522" s="33">
        <f t="shared" si="588"/>
        <v>24</v>
      </c>
      <c r="I2522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ECP\Cantagallo\Cristalina\[CRISTALINA_CF_SEC_New_09-Feb-2024.xlsx]D-PDP'!$EA$24</v>
      </c>
      <c r="J2522" s="37" t="s">
        <v>1251</v>
      </c>
    </row>
    <row r="2523" spans="1:10" x14ac:dyDescent="0.35">
      <c r="A2523" s="32" t="s">
        <v>14</v>
      </c>
      <c r="B2523" s="32">
        <f t="shared" si="590"/>
        <v>2036</v>
      </c>
      <c r="C2523" s="33" t="s">
        <v>52</v>
      </c>
      <c r="D2523" s="34" t="s">
        <v>128</v>
      </c>
      <c r="E2523" s="35" t="str">
        <f t="shared" si="586"/>
        <v>PDP'!</v>
      </c>
      <c r="F2523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23" s="32" t="s">
        <v>122</v>
      </c>
      <c r="H2523" s="33">
        <f t="shared" si="588"/>
        <v>25</v>
      </c>
      <c r="I2523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ECP\Cantagallo\Cristalina\[CRISTALINA_CF_SEC_New_09-Feb-2024.xlsx]D-PDP'!$EA$25</v>
      </c>
      <c r="J2523" s="37" t="s">
        <v>1252</v>
      </c>
    </row>
    <row r="2524" spans="1:10" x14ac:dyDescent="0.35">
      <c r="A2524" s="32" t="s">
        <v>14</v>
      </c>
      <c r="B2524" s="32">
        <f>+B2523+1</f>
        <v>2037</v>
      </c>
      <c r="C2524" s="33" t="s">
        <v>52</v>
      </c>
      <c r="D2524" s="34" t="s">
        <v>128</v>
      </c>
      <c r="E2524" s="35" t="str">
        <f t="shared" si="586"/>
        <v>PDP'!</v>
      </c>
      <c r="F2524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24" s="32" t="s">
        <v>122</v>
      </c>
      <c r="H2524" s="33">
        <f t="shared" si="588"/>
        <v>26</v>
      </c>
      <c r="I2524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ECP\Cantagallo\Cristalina\[CRISTALINA_CF_SEC_New_09-Feb-2024.xlsx]D-PDP'!$EA$26</v>
      </c>
      <c r="J2524" s="37" t="s">
        <v>1253</v>
      </c>
    </row>
    <row r="2525" spans="1:10" x14ac:dyDescent="0.35">
      <c r="A2525" s="32" t="s">
        <v>14</v>
      </c>
      <c r="B2525" s="32">
        <f t="shared" ref="B2525:B2527" si="591">+B2524+1</f>
        <v>2038</v>
      </c>
      <c r="C2525" s="33" t="s">
        <v>52</v>
      </c>
      <c r="D2525" s="34" t="s">
        <v>128</v>
      </c>
      <c r="E2525" s="35" t="str">
        <f t="shared" si="586"/>
        <v>PDP'!</v>
      </c>
      <c r="F2525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25" s="32" t="s">
        <v>122</v>
      </c>
      <c r="H2525" s="33">
        <f t="shared" si="588"/>
        <v>27</v>
      </c>
      <c r="I2525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ECP\Cantagallo\Cristalina\[CRISTALINA_CF_SEC_New_09-Feb-2024.xlsx]D-PDP'!$EA$27</v>
      </c>
      <c r="J2525" s="37" t="s">
        <v>1254</v>
      </c>
    </row>
    <row r="2526" spans="1:10" x14ac:dyDescent="0.35">
      <c r="A2526" s="32" t="s">
        <v>14</v>
      </c>
      <c r="B2526" s="32">
        <f t="shared" si="591"/>
        <v>2039</v>
      </c>
      <c r="C2526" s="33" t="s">
        <v>52</v>
      </c>
      <c r="D2526" s="34" t="s">
        <v>128</v>
      </c>
      <c r="E2526" s="35" t="str">
        <f t="shared" si="586"/>
        <v>PDP'!</v>
      </c>
      <c r="F2526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26" s="32" t="s">
        <v>122</v>
      </c>
      <c r="H2526" s="33">
        <f t="shared" si="588"/>
        <v>28</v>
      </c>
      <c r="I2526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ECP\Cantagallo\Cristalina\[CRISTALINA_CF_SEC_New_09-Feb-2024.xlsx]D-PDP'!$EA$28</v>
      </c>
      <c r="J2526" s="37" t="s">
        <v>1255</v>
      </c>
    </row>
    <row r="2527" spans="1:10" x14ac:dyDescent="0.35">
      <c r="A2527" s="32" t="s">
        <v>14</v>
      </c>
      <c r="B2527" s="32">
        <f t="shared" si="591"/>
        <v>2040</v>
      </c>
      <c r="C2527" s="33" t="s">
        <v>52</v>
      </c>
      <c r="D2527" s="34" t="s">
        <v>128</v>
      </c>
      <c r="E2527" s="35" t="str">
        <f t="shared" si="586"/>
        <v>PDP'!</v>
      </c>
      <c r="F2527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27" s="32" t="s">
        <v>122</v>
      </c>
      <c r="H2527" s="33">
        <f t="shared" si="588"/>
        <v>29</v>
      </c>
      <c r="I2527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ECP\Cantagallo\Cristalina\[CRISTALINA_CF_SEC_New_09-Feb-2024.xlsx]D-PDP'!$EA$29</v>
      </c>
      <c r="J2527" s="37" t="s">
        <v>1256</v>
      </c>
    </row>
    <row r="2528" spans="1:10" x14ac:dyDescent="0.35">
      <c r="A2528" s="32" t="s">
        <v>14</v>
      </c>
      <c r="B2528" s="32">
        <f>+B2527+1</f>
        <v>2041</v>
      </c>
      <c r="C2528" s="33" t="s">
        <v>52</v>
      </c>
      <c r="D2528" s="34" t="s">
        <v>128</v>
      </c>
      <c r="E2528" s="35" t="str">
        <f t="shared" si="586"/>
        <v>PDP'!</v>
      </c>
      <c r="F2528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28" s="32" t="s">
        <v>122</v>
      </c>
      <c r="H2528" s="33">
        <f t="shared" si="588"/>
        <v>30</v>
      </c>
      <c r="I2528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ECP\Cantagallo\Cristalina\[CRISTALINA_CF_SEC_New_09-Feb-2024.xlsx]D-PDP'!$EA$30</v>
      </c>
      <c r="J2528" s="37" t="s">
        <v>1257</v>
      </c>
    </row>
    <row r="2529" spans="1:10" x14ac:dyDescent="0.35">
      <c r="A2529" s="32" t="s">
        <v>14</v>
      </c>
      <c r="B2529" s="32">
        <f t="shared" ref="B2529:B2530" si="592">+B2528+1</f>
        <v>2042</v>
      </c>
      <c r="C2529" s="33" t="s">
        <v>52</v>
      </c>
      <c r="D2529" s="34" t="s">
        <v>128</v>
      </c>
      <c r="E2529" s="35" t="str">
        <f t="shared" si="586"/>
        <v>PDP'!</v>
      </c>
      <c r="F2529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29" s="32" t="s">
        <v>122</v>
      </c>
      <c r="H2529" s="33">
        <f t="shared" si="588"/>
        <v>31</v>
      </c>
      <c r="I2529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ECP\Cantagallo\Cristalina\[CRISTALINA_CF_SEC_New_09-Feb-2024.xlsx]D-PDP'!$EA$31</v>
      </c>
      <c r="J2529" s="37" t="s">
        <v>1258</v>
      </c>
    </row>
    <row r="2530" spans="1:10" x14ac:dyDescent="0.35">
      <c r="A2530" s="32" t="s">
        <v>14</v>
      </c>
      <c r="B2530" s="32">
        <f t="shared" si="592"/>
        <v>2043</v>
      </c>
      <c r="C2530" s="33" t="s">
        <v>52</v>
      </c>
      <c r="D2530" s="34" t="s">
        <v>128</v>
      </c>
      <c r="E2530" s="35" t="str">
        <f t="shared" si="586"/>
        <v>PDP'!</v>
      </c>
      <c r="F2530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30" s="32" t="s">
        <v>122</v>
      </c>
      <c r="H2530" s="33">
        <f t="shared" si="588"/>
        <v>32</v>
      </c>
      <c r="I2530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ECP\Cantagallo\Cristalina\[CRISTALINA_CF_SEC_New_09-Feb-2024.xlsx]D-PDP'!$EA$32</v>
      </c>
      <c r="J2530" s="37" t="s">
        <v>1259</v>
      </c>
    </row>
    <row r="2531" spans="1:10" x14ac:dyDescent="0.35">
      <c r="A2531" s="32" t="s">
        <v>14</v>
      </c>
      <c r="B2531" s="32">
        <f>+B2530+1</f>
        <v>2044</v>
      </c>
      <c r="C2531" s="33" t="s">
        <v>52</v>
      </c>
      <c r="D2531" s="34" t="s">
        <v>128</v>
      </c>
      <c r="E2531" s="35" t="str">
        <f t="shared" ref="E2531:E2546" si="593">_xlfn.CONCAT(A2531,"'!")</f>
        <v>PDP'!</v>
      </c>
      <c r="F2531" s="34" t="str">
        <f t="shared" ref="F2531:F2546" si="594">_xlfn.CONCAT(D2531:E2531)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31" s="32" t="s">
        <v>122</v>
      </c>
      <c r="H2531" s="33">
        <f t="shared" ref="H2531:H2546" si="595">IF(A2531&lt;&gt;A2530,12,H2530+1)</f>
        <v>33</v>
      </c>
      <c r="I2531" s="33" t="str">
        <f t="shared" ref="I2531:I2546" si="596">_xlfn.CONCAT("='",F2531:H2531)</f>
        <v>='C:\Users\jaime.benazar\Quorum Business Solutions\Ecopetrol Prometeo - Documents\Planning Space Implementation\3. Analysis &amp; Design\Design\FC22\DRR Jaime\Por presentar a ECP\Cantagallo\Cristalina\[CRISTALINA_CF_SEC_New_09-Feb-2024.xlsx]D-PDP'!$EA$33</v>
      </c>
      <c r="J2531" s="37" t="s">
        <v>1260</v>
      </c>
    </row>
    <row r="2532" spans="1:10" x14ac:dyDescent="0.35">
      <c r="A2532" s="32" t="s">
        <v>14</v>
      </c>
      <c r="B2532" s="32">
        <f t="shared" ref="B2532:B2546" si="597">+B2531+1</f>
        <v>2045</v>
      </c>
      <c r="C2532" s="33" t="s">
        <v>52</v>
      </c>
      <c r="D2532" s="34" t="s">
        <v>128</v>
      </c>
      <c r="E2532" s="35" t="str">
        <f t="shared" si="593"/>
        <v>PDP'!</v>
      </c>
      <c r="F2532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32" s="32" t="s">
        <v>122</v>
      </c>
      <c r="H2532" s="33">
        <f t="shared" si="595"/>
        <v>34</v>
      </c>
      <c r="I2532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ECP\Cantagallo\Cristalina\[CRISTALINA_CF_SEC_New_09-Feb-2024.xlsx]D-PDP'!$EA$34</v>
      </c>
      <c r="J2532" s="37" t="s">
        <v>1261</v>
      </c>
    </row>
    <row r="2533" spans="1:10" x14ac:dyDescent="0.35">
      <c r="A2533" s="32" t="s">
        <v>14</v>
      </c>
      <c r="B2533" s="32">
        <f t="shared" si="597"/>
        <v>2046</v>
      </c>
      <c r="C2533" s="33" t="s">
        <v>52</v>
      </c>
      <c r="D2533" s="34" t="s">
        <v>128</v>
      </c>
      <c r="E2533" s="35" t="str">
        <f t="shared" si="593"/>
        <v>PDP'!</v>
      </c>
      <c r="F2533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33" s="32" t="s">
        <v>122</v>
      </c>
      <c r="H2533" s="33">
        <f t="shared" si="595"/>
        <v>35</v>
      </c>
      <c r="I2533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ECP\Cantagallo\Cristalina\[CRISTALINA_CF_SEC_New_09-Feb-2024.xlsx]D-PDP'!$EA$35</v>
      </c>
      <c r="J2533" s="37" t="s">
        <v>1262</v>
      </c>
    </row>
    <row r="2534" spans="1:10" x14ac:dyDescent="0.35">
      <c r="A2534" s="32" t="s">
        <v>14</v>
      </c>
      <c r="B2534" s="32">
        <f t="shared" si="597"/>
        <v>2047</v>
      </c>
      <c r="C2534" s="33" t="s">
        <v>52</v>
      </c>
      <c r="D2534" s="34" t="s">
        <v>128</v>
      </c>
      <c r="E2534" s="35" t="str">
        <f t="shared" si="593"/>
        <v>PDP'!</v>
      </c>
      <c r="F2534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34" s="32" t="s">
        <v>122</v>
      </c>
      <c r="H2534" s="33">
        <f t="shared" si="595"/>
        <v>36</v>
      </c>
      <c r="I2534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ECP\Cantagallo\Cristalina\[CRISTALINA_CF_SEC_New_09-Feb-2024.xlsx]D-PDP'!$EA$36</v>
      </c>
      <c r="J2534" s="37" t="s">
        <v>1263</v>
      </c>
    </row>
    <row r="2535" spans="1:10" x14ac:dyDescent="0.35">
      <c r="A2535" s="32" t="s">
        <v>14</v>
      </c>
      <c r="B2535" s="32">
        <f t="shared" si="597"/>
        <v>2048</v>
      </c>
      <c r="C2535" s="33" t="s">
        <v>52</v>
      </c>
      <c r="D2535" s="34" t="s">
        <v>128</v>
      </c>
      <c r="E2535" s="35" t="str">
        <f t="shared" si="593"/>
        <v>PDP'!</v>
      </c>
      <c r="F2535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35" s="32" t="s">
        <v>122</v>
      </c>
      <c r="H2535" s="33">
        <f t="shared" si="595"/>
        <v>37</v>
      </c>
      <c r="I2535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ECP\Cantagallo\Cristalina\[CRISTALINA_CF_SEC_New_09-Feb-2024.xlsx]D-PDP'!$EA$37</v>
      </c>
      <c r="J2535" s="37" t="s">
        <v>1264</v>
      </c>
    </row>
    <row r="2536" spans="1:10" x14ac:dyDescent="0.35">
      <c r="A2536" s="32" t="s">
        <v>14</v>
      </c>
      <c r="B2536" s="32">
        <f t="shared" si="597"/>
        <v>2049</v>
      </c>
      <c r="C2536" s="33" t="s">
        <v>52</v>
      </c>
      <c r="D2536" s="34" t="s">
        <v>128</v>
      </c>
      <c r="E2536" s="35" t="str">
        <f t="shared" si="593"/>
        <v>PDP'!</v>
      </c>
      <c r="F2536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36" s="32" t="s">
        <v>122</v>
      </c>
      <c r="H2536" s="33">
        <f t="shared" si="595"/>
        <v>38</v>
      </c>
      <c r="I2536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ECP\Cantagallo\Cristalina\[CRISTALINA_CF_SEC_New_09-Feb-2024.xlsx]D-PDP'!$EA$38</v>
      </c>
      <c r="J2536" s="37" t="s">
        <v>1265</v>
      </c>
    </row>
    <row r="2537" spans="1:10" x14ac:dyDescent="0.35">
      <c r="A2537" s="32" t="s">
        <v>14</v>
      </c>
      <c r="B2537" s="32">
        <f t="shared" si="597"/>
        <v>2050</v>
      </c>
      <c r="C2537" s="33" t="s">
        <v>52</v>
      </c>
      <c r="D2537" s="34" t="s">
        <v>128</v>
      </c>
      <c r="E2537" s="35" t="str">
        <f t="shared" si="593"/>
        <v>PDP'!</v>
      </c>
      <c r="F2537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37" s="32" t="s">
        <v>122</v>
      </c>
      <c r="H2537" s="33">
        <f t="shared" si="595"/>
        <v>39</v>
      </c>
      <c r="I2537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ECP\Cantagallo\Cristalina\[CRISTALINA_CF_SEC_New_09-Feb-2024.xlsx]D-PDP'!$EA$39</v>
      </c>
      <c r="J2537" s="37" t="s">
        <v>1266</v>
      </c>
    </row>
    <row r="2538" spans="1:10" x14ac:dyDescent="0.35">
      <c r="A2538" s="32" t="s">
        <v>14</v>
      </c>
      <c r="B2538" s="32">
        <f t="shared" si="597"/>
        <v>2051</v>
      </c>
      <c r="C2538" s="33" t="s">
        <v>52</v>
      </c>
      <c r="D2538" s="34" t="s">
        <v>128</v>
      </c>
      <c r="E2538" s="35" t="str">
        <f t="shared" si="593"/>
        <v>PDP'!</v>
      </c>
      <c r="F2538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38" s="32" t="s">
        <v>122</v>
      </c>
      <c r="H2538" s="33">
        <f t="shared" si="595"/>
        <v>40</v>
      </c>
      <c r="I2538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ECP\Cantagallo\Cristalina\[CRISTALINA_CF_SEC_New_09-Feb-2024.xlsx]D-PDP'!$EA$40</v>
      </c>
      <c r="J2538" s="37" t="s">
        <v>1267</v>
      </c>
    </row>
    <row r="2539" spans="1:10" x14ac:dyDescent="0.35">
      <c r="A2539" s="32" t="s">
        <v>14</v>
      </c>
      <c r="B2539" s="32">
        <f t="shared" si="597"/>
        <v>2052</v>
      </c>
      <c r="C2539" s="33" t="s">
        <v>52</v>
      </c>
      <c r="D2539" s="34" t="s">
        <v>128</v>
      </c>
      <c r="E2539" s="35" t="str">
        <f t="shared" si="593"/>
        <v>PDP'!</v>
      </c>
      <c r="F2539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39" s="32" t="s">
        <v>122</v>
      </c>
      <c r="H2539" s="33">
        <f t="shared" si="595"/>
        <v>41</v>
      </c>
      <c r="I2539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ECP\Cantagallo\Cristalina\[CRISTALINA_CF_SEC_New_09-Feb-2024.xlsx]D-PDP'!$EA$41</v>
      </c>
      <c r="J2539" s="37" t="s">
        <v>1268</v>
      </c>
    </row>
    <row r="2540" spans="1:10" x14ac:dyDescent="0.35">
      <c r="A2540" s="32" t="s">
        <v>14</v>
      </c>
      <c r="B2540" s="32">
        <f t="shared" si="597"/>
        <v>2053</v>
      </c>
      <c r="C2540" s="33" t="s">
        <v>52</v>
      </c>
      <c r="D2540" s="34" t="s">
        <v>128</v>
      </c>
      <c r="E2540" s="35" t="str">
        <f t="shared" si="593"/>
        <v>PDP'!</v>
      </c>
      <c r="F2540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40" s="32" t="s">
        <v>122</v>
      </c>
      <c r="H2540" s="33">
        <f t="shared" si="595"/>
        <v>42</v>
      </c>
      <c r="I2540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ECP\Cantagallo\Cristalina\[CRISTALINA_CF_SEC_New_09-Feb-2024.xlsx]D-PDP'!$EA$42</v>
      </c>
      <c r="J2540" s="37" t="s">
        <v>1269</v>
      </c>
    </row>
    <row r="2541" spans="1:10" x14ac:dyDescent="0.35">
      <c r="A2541" s="32" t="s">
        <v>14</v>
      </c>
      <c r="B2541" s="32">
        <f t="shared" si="597"/>
        <v>2054</v>
      </c>
      <c r="C2541" s="33" t="s">
        <v>52</v>
      </c>
      <c r="D2541" s="34" t="s">
        <v>128</v>
      </c>
      <c r="E2541" s="35" t="str">
        <f t="shared" si="593"/>
        <v>PDP'!</v>
      </c>
      <c r="F2541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41" s="32" t="s">
        <v>122</v>
      </c>
      <c r="H2541" s="33">
        <f t="shared" si="595"/>
        <v>43</v>
      </c>
      <c r="I2541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ECP\Cantagallo\Cristalina\[CRISTALINA_CF_SEC_New_09-Feb-2024.xlsx]D-PDP'!$EA$43</v>
      </c>
      <c r="J2541" s="37" t="s">
        <v>1270</v>
      </c>
    </row>
    <row r="2542" spans="1:10" x14ac:dyDescent="0.35">
      <c r="A2542" s="32" t="s">
        <v>14</v>
      </c>
      <c r="B2542" s="32">
        <f t="shared" si="597"/>
        <v>2055</v>
      </c>
      <c r="C2542" s="33" t="s">
        <v>52</v>
      </c>
      <c r="D2542" s="34" t="s">
        <v>128</v>
      </c>
      <c r="E2542" s="35" t="str">
        <f t="shared" si="593"/>
        <v>PDP'!</v>
      </c>
      <c r="F2542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42" s="32" t="s">
        <v>122</v>
      </c>
      <c r="H2542" s="33">
        <f t="shared" si="595"/>
        <v>44</v>
      </c>
      <c r="I2542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ECP\Cantagallo\Cristalina\[CRISTALINA_CF_SEC_New_09-Feb-2024.xlsx]D-PDP'!$EA$44</v>
      </c>
      <c r="J2542" s="37" t="s">
        <v>1271</v>
      </c>
    </row>
    <row r="2543" spans="1:10" x14ac:dyDescent="0.35">
      <c r="A2543" s="32" t="s">
        <v>14</v>
      </c>
      <c r="B2543" s="32">
        <f t="shared" si="597"/>
        <v>2056</v>
      </c>
      <c r="C2543" s="33" t="s">
        <v>52</v>
      </c>
      <c r="D2543" s="34" t="s">
        <v>128</v>
      </c>
      <c r="E2543" s="35" t="str">
        <f t="shared" si="593"/>
        <v>PDP'!</v>
      </c>
      <c r="F2543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43" s="32" t="s">
        <v>122</v>
      </c>
      <c r="H2543" s="33">
        <f t="shared" si="595"/>
        <v>45</v>
      </c>
      <c r="I2543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ECP\Cantagallo\Cristalina\[CRISTALINA_CF_SEC_New_09-Feb-2024.xlsx]D-PDP'!$EA$45</v>
      </c>
      <c r="J2543" s="37" t="s">
        <v>1272</v>
      </c>
    </row>
    <row r="2544" spans="1:10" x14ac:dyDescent="0.35">
      <c r="A2544" s="32" t="s">
        <v>14</v>
      </c>
      <c r="B2544" s="32">
        <f t="shared" si="597"/>
        <v>2057</v>
      </c>
      <c r="C2544" s="33" t="s">
        <v>52</v>
      </c>
      <c r="D2544" s="34" t="s">
        <v>128</v>
      </c>
      <c r="E2544" s="35" t="str">
        <f t="shared" si="593"/>
        <v>PDP'!</v>
      </c>
      <c r="F2544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44" s="32" t="s">
        <v>122</v>
      </c>
      <c r="H2544" s="33">
        <f t="shared" si="595"/>
        <v>46</v>
      </c>
      <c r="I2544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ECP\Cantagallo\Cristalina\[CRISTALINA_CF_SEC_New_09-Feb-2024.xlsx]D-PDP'!$EA$46</v>
      </c>
      <c r="J2544" s="37" t="s">
        <v>1273</v>
      </c>
    </row>
    <row r="2545" spans="1:10" x14ac:dyDescent="0.35">
      <c r="A2545" s="32" t="s">
        <v>14</v>
      </c>
      <c r="B2545" s="32">
        <f t="shared" si="597"/>
        <v>2058</v>
      </c>
      <c r="C2545" s="33" t="s">
        <v>52</v>
      </c>
      <c r="D2545" s="34" t="s">
        <v>128</v>
      </c>
      <c r="E2545" s="35" t="str">
        <f t="shared" si="593"/>
        <v>PDP'!</v>
      </c>
      <c r="F2545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45" s="32" t="s">
        <v>122</v>
      </c>
      <c r="H2545" s="33">
        <f t="shared" si="595"/>
        <v>47</v>
      </c>
      <c r="I2545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ECP\Cantagallo\Cristalina\[CRISTALINA_CF_SEC_New_09-Feb-2024.xlsx]D-PDP'!$EA$47</v>
      </c>
      <c r="J2545" s="37" t="s">
        <v>1274</v>
      </c>
    </row>
    <row r="2546" spans="1:10" x14ac:dyDescent="0.35">
      <c r="A2546" s="32" t="s">
        <v>14</v>
      </c>
      <c r="B2546" s="32">
        <f t="shared" si="597"/>
        <v>2059</v>
      </c>
      <c r="C2546" s="33" t="s">
        <v>52</v>
      </c>
      <c r="D2546" s="34" t="s">
        <v>128</v>
      </c>
      <c r="E2546" s="35" t="str">
        <f t="shared" si="593"/>
        <v>PDP'!</v>
      </c>
      <c r="F2546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46" s="32" t="s">
        <v>122</v>
      </c>
      <c r="H2546" s="33">
        <f t="shared" si="595"/>
        <v>48</v>
      </c>
      <c r="I2546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ECP\Cantagallo\Cristalina\[CRISTALINA_CF_SEC_New_09-Feb-2024.xlsx]D-PDP'!$EA$48</v>
      </c>
      <c r="J2546" s="37" t="s">
        <v>1275</v>
      </c>
    </row>
    <row r="2547" spans="1:10" x14ac:dyDescent="0.35">
      <c r="A2547" s="32" t="s">
        <v>26</v>
      </c>
      <c r="B2547" s="32"/>
      <c r="C2547" s="33" t="s">
        <v>52</v>
      </c>
      <c r="D2547" s="34"/>
      <c r="E2547" s="35"/>
      <c r="F2547" s="34"/>
      <c r="G2547" s="32"/>
      <c r="H2547" s="33"/>
      <c r="I2547" s="33"/>
      <c r="J2547" s="33"/>
    </row>
    <row r="2548" spans="1:10" x14ac:dyDescent="0.35">
      <c r="A2548" s="32" t="s">
        <v>15</v>
      </c>
      <c r="B2548" s="32">
        <v>2023</v>
      </c>
      <c r="C2548" s="33" t="s">
        <v>52</v>
      </c>
      <c r="D2548" s="34" t="s">
        <v>128</v>
      </c>
      <c r="E2548" s="35" t="str">
        <f t="shared" ref="E2548:E2568" si="598">_xlfn.CONCAT(A2548,"'!")</f>
        <v>PNP'!</v>
      </c>
      <c r="F2548" s="34" t="str">
        <f t="shared" ref="F2548:F2568" si="599">_xlfn.CONCAT(D2548:E2548)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48" s="32" t="s">
        <v>122</v>
      </c>
      <c r="H2548" s="33">
        <v>12</v>
      </c>
      <c r="I2548" s="33" t="str">
        <f t="shared" ref="I2548:I2568" si="600">_xlfn.CONCAT("='",F2548:H2548)</f>
        <v>='C:\Users\jaime.benazar\Quorum Business Solutions\Ecopetrol Prometeo - Documents\Planning Space Implementation\3. Analysis &amp; Design\Design\FC22\DRR Jaime\Por presentar a ECP\Cantagallo\Cristalina\[CRISTALINA_CF_SEC_New_09-Feb-2024.xlsx]D-PNP'!$EA$12</v>
      </c>
      <c r="J2548" s="37" t="s">
        <v>1276</v>
      </c>
    </row>
    <row r="2549" spans="1:10" x14ac:dyDescent="0.35">
      <c r="A2549" s="32" t="s">
        <v>15</v>
      </c>
      <c r="B2549" s="32">
        <f>+B2548+1</f>
        <v>2024</v>
      </c>
      <c r="C2549" s="33" t="s">
        <v>52</v>
      </c>
      <c r="D2549" s="34" t="s">
        <v>128</v>
      </c>
      <c r="E2549" s="35" t="str">
        <f t="shared" si="598"/>
        <v>PNP'!</v>
      </c>
      <c r="F2549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49" s="32" t="s">
        <v>122</v>
      </c>
      <c r="H2549" s="33">
        <f t="shared" ref="H2549:H2568" si="601">IF(A2549&lt;&gt;A2548,12,H2548+1)</f>
        <v>13</v>
      </c>
      <c r="I2549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ECP\Cantagallo\Cristalina\[CRISTALINA_CF_SEC_New_09-Feb-2024.xlsx]D-PNP'!$EA$13</v>
      </c>
      <c r="J2549" s="37" t="s">
        <v>1277</v>
      </c>
    </row>
    <row r="2550" spans="1:10" x14ac:dyDescent="0.35">
      <c r="A2550" s="32" t="s">
        <v>15</v>
      </c>
      <c r="B2550" s="32">
        <f t="shared" ref="B2550:B2561" si="602">+B2549+1</f>
        <v>2025</v>
      </c>
      <c r="C2550" s="33" t="s">
        <v>52</v>
      </c>
      <c r="D2550" s="34" t="s">
        <v>128</v>
      </c>
      <c r="E2550" s="35" t="str">
        <f t="shared" si="598"/>
        <v>PNP'!</v>
      </c>
      <c r="F2550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50" s="32" t="s">
        <v>122</v>
      </c>
      <c r="H2550" s="33">
        <f t="shared" si="601"/>
        <v>14</v>
      </c>
      <c r="I2550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ECP\Cantagallo\Cristalina\[CRISTALINA_CF_SEC_New_09-Feb-2024.xlsx]D-PNP'!$EA$14</v>
      </c>
      <c r="J2550" s="37" t="s">
        <v>1278</v>
      </c>
    </row>
    <row r="2551" spans="1:10" x14ac:dyDescent="0.35">
      <c r="A2551" s="32" t="s">
        <v>15</v>
      </c>
      <c r="B2551" s="32">
        <f t="shared" si="602"/>
        <v>2026</v>
      </c>
      <c r="C2551" s="33" t="s">
        <v>52</v>
      </c>
      <c r="D2551" s="34" t="s">
        <v>128</v>
      </c>
      <c r="E2551" s="35" t="str">
        <f t="shared" si="598"/>
        <v>PNP'!</v>
      </c>
      <c r="F2551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51" s="32" t="s">
        <v>122</v>
      </c>
      <c r="H2551" s="33">
        <f t="shared" si="601"/>
        <v>15</v>
      </c>
      <c r="I2551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ECP\Cantagallo\Cristalina\[CRISTALINA_CF_SEC_New_09-Feb-2024.xlsx]D-PNP'!$EA$15</v>
      </c>
      <c r="J2551" s="37" t="s">
        <v>1279</v>
      </c>
    </row>
    <row r="2552" spans="1:10" x14ac:dyDescent="0.35">
      <c r="A2552" s="32" t="s">
        <v>15</v>
      </c>
      <c r="B2552" s="32">
        <f t="shared" si="602"/>
        <v>2027</v>
      </c>
      <c r="C2552" s="33" t="s">
        <v>52</v>
      </c>
      <c r="D2552" s="34" t="s">
        <v>128</v>
      </c>
      <c r="E2552" s="35" t="str">
        <f t="shared" si="598"/>
        <v>PNP'!</v>
      </c>
      <c r="F2552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52" s="32" t="s">
        <v>122</v>
      </c>
      <c r="H2552" s="33">
        <f t="shared" si="601"/>
        <v>16</v>
      </c>
      <c r="I2552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ECP\Cantagallo\Cristalina\[CRISTALINA_CF_SEC_New_09-Feb-2024.xlsx]D-PNP'!$EA$16</v>
      </c>
      <c r="J2552" s="37" t="s">
        <v>1280</v>
      </c>
    </row>
    <row r="2553" spans="1:10" x14ac:dyDescent="0.35">
      <c r="A2553" s="32" t="s">
        <v>15</v>
      </c>
      <c r="B2553" s="32">
        <f t="shared" si="602"/>
        <v>2028</v>
      </c>
      <c r="C2553" s="33" t="s">
        <v>52</v>
      </c>
      <c r="D2553" s="34" t="s">
        <v>128</v>
      </c>
      <c r="E2553" s="35" t="str">
        <f t="shared" si="598"/>
        <v>PNP'!</v>
      </c>
      <c r="F2553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53" s="32" t="s">
        <v>122</v>
      </c>
      <c r="H2553" s="33">
        <f t="shared" si="601"/>
        <v>17</v>
      </c>
      <c r="I2553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ECP\Cantagallo\Cristalina\[CRISTALINA_CF_SEC_New_09-Feb-2024.xlsx]D-PNP'!$EA$17</v>
      </c>
      <c r="J2553" s="37" t="s">
        <v>1281</v>
      </c>
    </row>
    <row r="2554" spans="1:10" x14ac:dyDescent="0.35">
      <c r="A2554" s="32" t="s">
        <v>15</v>
      </c>
      <c r="B2554" s="32">
        <f t="shared" si="602"/>
        <v>2029</v>
      </c>
      <c r="C2554" s="33" t="s">
        <v>52</v>
      </c>
      <c r="D2554" s="34" t="s">
        <v>128</v>
      </c>
      <c r="E2554" s="35" t="str">
        <f t="shared" si="598"/>
        <v>PNP'!</v>
      </c>
      <c r="F2554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54" s="32" t="s">
        <v>122</v>
      </c>
      <c r="H2554" s="33">
        <f t="shared" si="601"/>
        <v>18</v>
      </c>
      <c r="I2554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ECP\Cantagallo\Cristalina\[CRISTALINA_CF_SEC_New_09-Feb-2024.xlsx]D-PNP'!$EA$18</v>
      </c>
      <c r="J2554" s="37" t="s">
        <v>1282</v>
      </c>
    </row>
    <row r="2555" spans="1:10" x14ac:dyDescent="0.35">
      <c r="A2555" s="32" t="s">
        <v>15</v>
      </c>
      <c r="B2555" s="32">
        <f t="shared" si="602"/>
        <v>2030</v>
      </c>
      <c r="C2555" s="33" t="s">
        <v>52</v>
      </c>
      <c r="D2555" s="34" t="s">
        <v>128</v>
      </c>
      <c r="E2555" s="35" t="str">
        <f t="shared" si="598"/>
        <v>PNP'!</v>
      </c>
      <c r="F2555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55" s="32" t="s">
        <v>122</v>
      </c>
      <c r="H2555" s="33">
        <f t="shared" si="601"/>
        <v>19</v>
      </c>
      <c r="I2555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ECP\Cantagallo\Cristalina\[CRISTALINA_CF_SEC_New_09-Feb-2024.xlsx]D-PNP'!$EA$19</v>
      </c>
      <c r="J2555" s="37" t="s">
        <v>1283</v>
      </c>
    </row>
    <row r="2556" spans="1:10" x14ac:dyDescent="0.35">
      <c r="A2556" s="32" t="s">
        <v>15</v>
      </c>
      <c r="B2556" s="32">
        <f t="shared" si="602"/>
        <v>2031</v>
      </c>
      <c r="C2556" s="33" t="s">
        <v>52</v>
      </c>
      <c r="D2556" s="34" t="s">
        <v>128</v>
      </c>
      <c r="E2556" s="35" t="str">
        <f t="shared" si="598"/>
        <v>PNP'!</v>
      </c>
      <c r="F2556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56" s="32" t="s">
        <v>122</v>
      </c>
      <c r="H2556" s="33">
        <f t="shared" si="601"/>
        <v>20</v>
      </c>
      <c r="I2556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ECP\Cantagallo\Cristalina\[CRISTALINA_CF_SEC_New_09-Feb-2024.xlsx]D-PNP'!$EA$20</v>
      </c>
      <c r="J2556" s="37" t="s">
        <v>1284</v>
      </c>
    </row>
    <row r="2557" spans="1:10" x14ac:dyDescent="0.35">
      <c r="A2557" s="32" t="s">
        <v>15</v>
      </c>
      <c r="B2557" s="32">
        <f t="shared" si="602"/>
        <v>2032</v>
      </c>
      <c r="C2557" s="33" t="s">
        <v>52</v>
      </c>
      <c r="D2557" s="34" t="s">
        <v>128</v>
      </c>
      <c r="E2557" s="35" t="str">
        <f t="shared" si="598"/>
        <v>PNP'!</v>
      </c>
      <c r="F2557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57" s="32" t="s">
        <v>122</v>
      </c>
      <c r="H2557" s="33">
        <f t="shared" si="601"/>
        <v>21</v>
      </c>
      <c r="I2557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ECP\Cantagallo\Cristalina\[CRISTALINA_CF_SEC_New_09-Feb-2024.xlsx]D-PNP'!$EA$21</v>
      </c>
      <c r="J2557" s="37" t="s">
        <v>1285</v>
      </c>
    </row>
    <row r="2558" spans="1:10" x14ac:dyDescent="0.35">
      <c r="A2558" s="32" t="s">
        <v>15</v>
      </c>
      <c r="B2558" s="32">
        <f t="shared" si="602"/>
        <v>2033</v>
      </c>
      <c r="C2558" s="33" t="s">
        <v>52</v>
      </c>
      <c r="D2558" s="34" t="s">
        <v>128</v>
      </c>
      <c r="E2558" s="35" t="str">
        <f t="shared" si="598"/>
        <v>PNP'!</v>
      </c>
      <c r="F2558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58" s="32" t="s">
        <v>122</v>
      </c>
      <c r="H2558" s="33">
        <f t="shared" si="601"/>
        <v>22</v>
      </c>
      <c r="I2558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ECP\Cantagallo\Cristalina\[CRISTALINA_CF_SEC_New_09-Feb-2024.xlsx]D-PNP'!$EA$22</v>
      </c>
      <c r="J2558" s="37" t="s">
        <v>1286</v>
      </c>
    </row>
    <row r="2559" spans="1:10" x14ac:dyDescent="0.35">
      <c r="A2559" s="32" t="s">
        <v>15</v>
      </c>
      <c r="B2559" s="32">
        <f t="shared" si="602"/>
        <v>2034</v>
      </c>
      <c r="C2559" s="33" t="s">
        <v>52</v>
      </c>
      <c r="D2559" s="34" t="s">
        <v>128</v>
      </c>
      <c r="E2559" s="35" t="str">
        <f t="shared" si="598"/>
        <v>PNP'!</v>
      </c>
      <c r="F2559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59" s="32" t="s">
        <v>122</v>
      </c>
      <c r="H2559" s="33">
        <f t="shared" si="601"/>
        <v>23</v>
      </c>
      <c r="I2559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ECP\Cantagallo\Cristalina\[CRISTALINA_CF_SEC_New_09-Feb-2024.xlsx]D-PNP'!$EA$23</v>
      </c>
      <c r="J2559" s="37" t="s">
        <v>1287</v>
      </c>
    </row>
    <row r="2560" spans="1:10" x14ac:dyDescent="0.35">
      <c r="A2560" s="32" t="s">
        <v>15</v>
      </c>
      <c r="B2560" s="32">
        <f t="shared" si="602"/>
        <v>2035</v>
      </c>
      <c r="C2560" s="33" t="s">
        <v>52</v>
      </c>
      <c r="D2560" s="34" t="s">
        <v>128</v>
      </c>
      <c r="E2560" s="35" t="str">
        <f t="shared" si="598"/>
        <v>PNP'!</v>
      </c>
      <c r="F2560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60" s="32" t="s">
        <v>122</v>
      </c>
      <c r="H2560" s="33">
        <f t="shared" si="601"/>
        <v>24</v>
      </c>
      <c r="I2560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ECP\Cantagallo\Cristalina\[CRISTALINA_CF_SEC_New_09-Feb-2024.xlsx]D-PNP'!$EA$24</v>
      </c>
      <c r="J2560" s="37" t="s">
        <v>1288</v>
      </c>
    </row>
    <row r="2561" spans="1:10" x14ac:dyDescent="0.35">
      <c r="A2561" s="32" t="s">
        <v>15</v>
      </c>
      <c r="B2561" s="32">
        <f t="shared" si="602"/>
        <v>2036</v>
      </c>
      <c r="C2561" s="33" t="s">
        <v>52</v>
      </c>
      <c r="D2561" s="34" t="s">
        <v>128</v>
      </c>
      <c r="E2561" s="35" t="str">
        <f t="shared" si="598"/>
        <v>PNP'!</v>
      </c>
      <c r="F2561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61" s="32" t="s">
        <v>122</v>
      </c>
      <c r="H2561" s="33">
        <f t="shared" si="601"/>
        <v>25</v>
      </c>
      <c r="I2561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ECP\Cantagallo\Cristalina\[CRISTALINA_CF_SEC_New_09-Feb-2024.xlsx]D-PNP'!$EA$25</v>
      </c>
      <c r="J2561" s="37" t="s">
        <v>1289</v>
      </c>
    </row>
    <row r="2562" spans="1:10" x14ac:dyDescent="0.35">
      <c r="A2562" s="32" t="s">
        <v>15</v>
      </c>
      <c r="B2562" s="32">
        <f>+B2561+1</f>
        <v>2037</v>
      </c>
      <c r="C2562" s="33" t="s">
        <v>52</v>
      </c>
      <c r="D2562" s="34" t="s">
        <v>128</v>
      </c>
      <c r="E2562" s="35" t="str">
        <f t="shared" si="598"/>
        <v>PNP'!</v>
      </c>
      <c r="F2562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62" s="32" t="s">
        <v>122</v>
      </c>
      <c r="H2562" s="33">
        <f t="shared" si="601"/>
        <v>26</v>
      </c>
      <c r="I2562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ECP\Cantagallo\Cristalina\[CRISTALINA_CF_SEC_New_09-Feb-2024.xlsx]D-PNP'!$EA$26</v>
      </c>
      <c r="J2562" s="37" t="s">
        <v>1290</v>
      </c>
    </row>
    <row r="2563" spans="1:10" x14ac:dyDescent="0.35">
      <c r="A2563" s="32" t="s">
        <v>15</v>
      </c>
      <c r="B2563" s="32">
        <f t="shared" ref="B2563:B2565" si="603">+B2562+1</f>
        <v>2038</v>
      </c>
      <c r="C2563" s="33" t="s">
        <v>52</v>
      </c>
      <c r="D2563" s="34" t="s">
        <v>128</v>
      </c>
      <c r="E2563" s="35" t="str">
        <f t="shared" si="598"/>
        <v>PNP'!</v>
      </c>
      <c r="F2563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63" s="32" t="s">
        <v>122</v>
      </c>
      <c r="H2563" s="33">
        <f t="shared" si="601"/>
        <v>27</v>
      </c>
      <c r="I2563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ECP\Cantagallo\Cristalina\[CRISTALINA_CF_SEC_New_09-Feb-2024.xlsx]D-PNP'!$EA$27</v>
      </c>
      <c r="J2563" s="37" t="s">
        <v>1291</v>
      </c>
    </row>
    <row r="2564" spans="1:10" x14ac:dyDescent="0.35">
      <c r="A2564" s="32" t="s">
        <v>15</v>
      </c>
      <c r="B2564" s="32">
        <f t="shared" si="603"/>
        <v>2039</v>
      </c>
      <c r="C2564" s="33" t="s">
        <v>52</v>
      </c>
      <c r="D2564" s="34" t="s">
        <v>128</v>
      </c>
      <c r="E2564" s="35" t="str">
        <f t="shared" si="598"/>
        <v>PNP'!</v>
      </c>
      <c r="F2564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64" s="32" t="s">
        <v>122</v>
      </c>
      <c r="H2564" s="33">
        <f t="shared" si="601"/>
        <v>28</v>
      </c>
      <c r="I2564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ECP\Cantagallo\Cristalina\[CRISTALINA_CF_SEC_New_09-Feb-2024.xlsx]D-PNP'!$EA$28</v>
      </c>
      <c r="J2564" s="37" t="s">
        <v>1292</v>
      </c>
    </row>
    <row r="2565" spans="1:10" x14ac:dyDescent="0.35">
      <c r="A2565" s="32" t="s">
        <v>15</v>
      </c>
      <c r="B2565" s="32">
        <f t="shared" si="603"/>
        <v>2040</v>
      </c>
      <c r="C2565" s="33" t="s">
        <v>52</v>
      </c>
      <c r="D2565" s="34" t="s">
        <v>128</v>
      </c>
      <c r="E2565" s="35" t="str">
        <f t="shared" si="598"/>
        <v>PNP'!</v>
      </c>
      <c r="F2565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65" s="32" t="s">
        <v>122</v>
      </c>
      <c r="H2565" s="33">
        <f t="shared" si="601"/>
        <v>29</v>
      </c>
      <c r="I2565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ECP\Cantagallo\Cristalina\[CRISTALINA_CF_SEC_New_09-Feb-2024.xlsx]D-PNP'!$EA$29</v>
      </c>
      <c r="J2565" s="37" t="s">
        <v>1293</v>
      </c>
    </row>
    <row r="2566" spans="1:10" x14ac:dyDescent="0.35">
      <c r="A2566" s="32" t="s">
        <v>15</v>
      </c>
      <c r="B2566" s="32">
        <f>+B2565+1</f>
        <v>2041</v>
      </c>
      <c r="C2566" s="33" t="s">
        <v>52</v>
      </c>
      <c r="D2566" s="34" t="s">
        <v>128</v>
      </c>
      <c r="E2566" s="35" t="str">
        <f t="shared" si="598"/>
        <v>PNP'!</v>
      </c>
      <c r="F2566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66" s="32" t="s">
        <v>122</v>
      </c>
      <c r="H2566" s="33">
        <f t="shared" si="601"/>
        <v>30</v>
      </c>
      <c r="I2566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ECP\Cantagallo\Cristalina\[CRISTALINA_CF_SEC_New_09-Feb-2024.xlsx]D-PNP'!$EA$30</v>
      </c>
      <c r="J2566" s="37" t="s">
        <v>1294</v>
      </c>
    </row>
    <row r="2567" spans="1:10" x14ac:dyDescent="0.35">
      <c r="A2567" s="32" t="s">
        <v>15</v>
      </c>
      <c r="B2567" s="32">
        <f t="shared" ref="B2567:B2568" si="604">+B2566+1</f>
        <v>2042</v>
      </c>
      <c r="C2567" s="33" t="s">
        <v>52</v>
      </c>
      <c r="D2567" s="34" t="s">
        <v>128</v>
      </c>
      <c r="E2567" s="35" t="str">
        <f t="shared" si="598"/>
        <v>PNP'!</v>
      </c>
      <c r="F2567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67" s="32" t="s">
        <v>122</v>
      </c>
      <c r="H2567" s="33">
        <f t="shared" si="601"/>
        <v>31</v>
      </c>
      <c r="I2567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ECP\Cantagallo\Cristalina\[CRISTALINA_CF_SEC_New_09-Feb-2024.xlsx]D-PNP'!$EA$31</v>
      </c>
      <c r="J2567" s="37" t="s">
        <v>1295</v>
      </c>
    </row>
    <row r="2568" spans="1:10" x14ac:dyDescent="0.35">
      <c r="A2568" s="32" t="s">
        <v>15</v>
      </c>
      <c r="B2568" s="32">
        <f t="shared" si="604"/>
        <v>2043</v>
      </c>
      <c r="C2568" s="33" t="s">
        <v>52</v>
      </c>
      <c r="D2568" s="34" t="s">
        <v>128</v>
      </c>
      <c r="E2568" s="35" t="str">
        <f t="shared" si="598"/>
        <v>PNP'!</v>
      </c>
      <c r="F2568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68" s="32" t="s">
        <v>122</v>
      </c>
      <c r="H2568" s="33">
        <f t="shared" si="601"/>
        <v>32</v>
      </c>
      <c r="I2568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ECP\Cantagallo\Cristalina\[CRISTALINA_CF_SEC_New_09-Feb-2024.xlsx]D-PNP'!$EA$32</v>
      </c>
      <c r="J2568" s="37" t="s">
        <v>1296</v>
      </c>
    </row>
    <row r="2569" spans="1:10" x14ac:dyDescent="0.35">
      <c r="A2569" s="32" t="s">
        <v>15</v>
      </c>
      <c r="B2569" s="32">
        <f>+B2568+1</f>
        <v>2044</v>
      </c>
      <c r="C2569" s="33" t="s">
        <v>52</v>
      </c>
      <c r="D2569" s="34" t="s">
        <v>128</v>
      </c>
      <c r="E2569" s="35" t="str">
        <f t="shared" ref="E2569:E2584" si="605">_xlfn.CONCAT(A2569,"'!")</f>
        <v>PNP'!</v>
      </c>
      <c r="F2569" s="34" t="str">
        <f t="shared" ref="F2569:F2584" si="606">_xlfn.CONCAT(D2569:E2569)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69" s="32" t="s">
        <v>122</v>
      </c>
      <c r="H2569" s="33">
        <f t="shared" ref="H2569:H2584" si="607">IF(A2569&lt;&gt;A2568,12,H2568+1)</f>
        <v>33</v>
      </c>
      <c r="I2569" s="33" t="str">
        <f t="shared" ref="I2569:I2584" si="608">_xlfn.CONCAT("='",F2569:H2569)</f>
        <v>='C:\Users\jaime.benazar\Quorum Business Solutions\Ecopetrol Prometeo - Documents\Planning Space Implementation\3. Analysis &amp; Design\Design\FC22\DRR Jaime\Por presentar a ECP\Cantagallo\Cristalina\[CRISTALINA_CF_SEC_New_09-Feb-2024.xlsx]D-PNP'!$EA$33</v>
      </c>
      <c r="J2569" s="37" t="s">
        <v>1297</v>
      </c>
    </row>
    <row r="2570" spans="1:10" x14ac:dyDescent="0.35">
      <c r="A2570" s="32" t="s">
        <v>15</v>
      </c>
      <c r="B2570" s="32">
        <f t="shared" ref="B2570:B2584" si="609">+B2569+1</f>
        <v>2045</v>
      </c>
      <c r="C2570" s="33" t="s">
        <v>52</v>
      </c>
      <c r="D2570" s="34" t="s">
        <v>128</v>
      </c>
      <c r="E2570" s="35" t="str">
        <f t="shared" si="605"/>
        <v>PNP'!</v>
      </c>
      <c r="F2570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70" s="32" t="s">
        <v>122</v>
      </c>
      <c r="H2570" s="33">
        <f t="shared" si="607"/>
        <v>34</v>
      </c>
      <c r="I2570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ECP\Cantagallo\Cristalina\[CRISTALINA_CF_SEC_New_09-Feb-2024.xlsx]D-PNP'!$EA$34</v>
      </c>
      <c r="J2570" s="37" t="s">
        <v>1298</v>
      </c>
    </row>
    <row r="2571" spans="1:10" x14ac:dyDescent="0.35">
      <c r="A2571" s="32" t="s">
        <v>15</v>
      </c>
      <c r="B2571" s="32">
        <f t="shared" si="609"/>
        <v>2046</v>
      </c>
      <c r="C2571" s="33" t="s">
        <v>52</v>
      </c>
      <c r="D2571" s="34" t="s">
        <v>128</v>
      </c>
      <c r="E2571" s="35" t="str">
        <f t="shared" si="605"/>
        <v>PNP'!</v>
      </c>
      <c r="F2571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71" s="32" t="s">
        <v>122</v>
      </c>
      <c r="H2571" s="33">
        <f t="shared" si="607"/>
        <v>35</v>
      </c>
      <c r="I2571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ECP\Cantagallo\Cristalina\[CRISTALINA_CF_SEC_New_09-Feb-2024.xlsx]D-PNP'!$EA$35</v>
      </c>
      <c r="J2571" s="37" t="s">
        <v>1299</v>
      </c>
    </row>
    <row r="2572" spans="1:10" x14ac:dyDescent="0.35">
      <c r="A2572" s="32" t="s">
        <v>15</v>
      </c>
      <c r="B2572" s="32">
        <f t="shared" si="609"/>
        <v>2047</v>
      </c>
      <c r="C2572" s="33" t="s">
        <v>52</v>
      </c>
      <c r="D2572" s="34" t="s">
        <v>128</v>
      </c>
      <c r="E2572" s="35" t="str">
        <f t="shared" si="605"/>
        <v>PNP'!</v>
      </c>
      <c r="F2572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72" s="32" t="s">
        <v>122</v>
      </c>
      <c r="H2572" s="33">
        <f t="shared" si="607"/>
        <v>36</v>
      </c>
      <c r="I2572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ECP\Cantagallo\Cristalina\[CRISTALINA_CF_SEC_New_09-Feb-2024.xlsx]D-PNP'!$EA$36</v>
      </c>
      <c r="J2572" s="37" t="s">
        <v>1300</v>
      </c>
    </row>
    <row r="2573" spans="1:10" x14ac:dyDescent="0.35">
      <c r="A2573" s="32" t="s">
        <v>15</v>
      </c>
      <c r="B2573" s="32">
        <f t="shared" si="609"/>
        <v>2048</v>
      </c>
      <c r="C2573" s="33" t="s">
        <v>52</v>
      </c>
      <c r="D2573" s="34" t="s">
        <v>128</v>
      </c>
      <c r="E2573" s="35" t="str">
        <f t="shared" si="605"/>
        <v>PNP'!</v>
      </c>
      <c r="F2573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73" s="32" t="s">
        <v>122</v>
      </c>
      <c r="H2573" s="33">
        <f t="shared" si="607"/>
        <v>37</v>
      </c>
      <c r="I2573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ECP\Cantagallo\Cristalina\[CRISTALINA_CF_SEC_New_09-Feb-2024.xlsx]D-PNP'!$EA$37</v>
      </c>
      <c r="J2573" s="37" t="s">
        <v>1301</v>
      </c>
    </row>
    <row r="2574" spans="1:10" x14ac:dyDescent="0.35">
      <c r="A2574" s="32" t="s">
        <v>15</v>
      </c>
      <c r="B2574" s="32">
        <f t="shared" si="609"/>
        <v>2049</v>
      </c>
      <c r="C2574" s="33" t="s">
        <v>52</v>
      </c>
      <c r="D2574" s="34" t="s">
        <v>128</v>
      </c>
      <c r="E2574" s="35" t="str">
        <f t="shared" si="605"/>
        <v>PNP'!</v>
      </c>
      <c r="F2574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74" s="32" t="s">
        <v>122</v>
      </c>
      <c r="H2574" s="33">
        <f t="shared" si="607"/>
        <v>38</v>
      </c>
      <c r="I2574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ECP\Cantagallo\Cristalina\[CRISTALINA_CF_SEC_New_09-Feb-2024.xlsx]D-PNP'!$EA$38</v>
      </c>
      <c r="J2574" s="37" t="s">
        <v>1302</v>
      </c>
    </row>
    <row r="2575" spans="1:10" x14ac:dyDescent="0.35">
      <c r="A2575" s="32" t="s">
        <v>15</v>
      </c>
      <c r="B2575" s="32">
        <f t="shared" si="609"/>
        <v>2050</v>
      </c>
      <c r="C2575" s="33" t="s">
        <v>52</v>
      </c>
      <c r="D2575" s="34" t="s">
        <v>128</v>
      </c>
      <c r="E2575" s="35" t="str">
        <f t="shared" si="605"/>
        <v>PNP'!</v>
      </c>
      <c r="F2575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75" s="32" t="s">
        <v>122</v>
      </c>
      <c r="H2575" s="33">
        <f t="shared" si="607"/>
        <v>39</v>
      </c>
      <c r="I2575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ECP\Cantagallo\Cristalina\[CRISTALINA_CF_SEC_New_09-Feb-2024.xlsx]D-PNP'!$EA$39</v>
      </c>
      <c r="J2575" s="37" t="s">
        <v>1303</v>
      </c>
    </row>
    <row r="2576" spans="1:10" x14ac:dyDescent="0.35">
      <c r="A2576" s="32" t="s">
        <v>15</v>
      </c>
      <c r="B2576" s="32">
        <f t="shared" si="609"/>
        <v>2051</v>
      </c>
      <c r="C2576" s="33" t="s">
        <v>52</v>
      </c>
      <c r="D2576" s="34" t="s">
        <v>128</v>
      </c>
      <c r="E2576" s="35" t="str">
        <f t="shared" si="605"/>
        <v>PNP'!</v>
      </c>
      <c r="F2576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76" s="32" t="s">
        <v>122</v>
      </c>
      <c r="H2576" s="33">
        <f t="shared" si="607"/>
        <v>40</v>
      </c>
      <c r="I2576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ECP\Cantagallo\Cristalina\[CRISTALINA_CF_SEC_New_09-Feb-2024.xlsx]D-PNP'!$EA$40</v>
      </c>
      <c r="J2576" s="37" t="s">
        <v>1304</v>
      </c>
    </row>
    <row r="2577" spans="1:10" x14ac:dyDescent="0.35">
      <c r="A2577" s="32" t="s">
        <v>15</v>
      </c>
      <c r="B2577" s="32">
        <f t="shared" si="609"/>
        <v>2052</v>
      </c>
      <c r="C2577" s="33" t="s">
        <v>52</v>
      </c>
      <c r="D2577" s="34" t="s">
        <v>128</v>
      </c>
      <c r="E2577" s="35" t="str">
        <f t="shared" si="605"/>
        <v>PNP'!</v>
      </c>
      <c r="F2577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77" s="32" t="s">
        <v>122</v>
      </c>
      <c r="H2577" s="33">
        <f t="shared" si="607"/>
        <v>41</v>
      </c>
      <c r="I2577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ECP\Cantagallo\Cristalina\[CRISTALINA_CF_SEC_New_09-Feb-2024.xlsx]D-PNP'!$EA$41</v>
      </c>
      <c r="J2577" s="37" t="s">
        <v>1305</v>
      </c>
    </row>
    <row r="2578" spans="1:10" x14ac:dyDescent="0.35">
      <c r="A2578" s="32" t="s">
        <v>15</v>
      </c>
      <c r="B2578" s="32">
        <f t="shared" si="609"/>
        <v>2053</v>
      </c>
      <c r="C2578" s="33" t="s">
        <v>52</v>
      </c>
      <c r="D2578" s="34" t="s">
        <v>128</v>
      </c>
      <c r="E2578" s="35" t="str">
        <f t="shared" si="605"/>
        <v>PNP'!</v>
      </c>
      <c r="F2578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78" s="32" t="s">
        <v>122</v>
      </c>
      <c r="H2578" s="33">
        <f t="shared" si="607"/>
        <v>42</v>
      </c>
      <c r="I2578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ECP\Cantagallo\Cristalina\[CRISTALINA_CF_SEC_New_09-Feb-2024.xlsx]D-PNP'!$EA$42</v>
      </c>
      <c r="J2578" s="37" t="s">
        <v>1306</v>
      </c>
    </row>
    <row r="2579" spans="1:10" x14ac:dyDescent="0.35">
      <c r="A2579" s="32" t="s">
        <v>15</v>
      </c>
      <c r="B2579" s="32">
        <f t="shared" si="609"/>
        <v>2054</v>
      </c>
      <c r="C2579" s="33" t="s">
        <v>52</v>
      </c>
      <c r="D2579" s="34" t="s">
        <v>128</v>
      </c>
      <c r="E2579" s="35" t="str">
        <f t="shared" si="605"/>
        <v>PNP'!</v>
      </c>
      <c r="F2579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79" s="32" t="s">
        <v>122</v>
      </c>
      <c r="H2579" s="33">
        <f t="shared" si="607"/>
        <v>43</v>
      </c>
      <c r="I2579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ECP\Cantagallo\Cristalina\[CRISTALINA_CF_SEC_New_09-Feb-2024.xlsx]D-PNP'!$EA$43</v>
      </c>
      <c r="J2579" s="37" t="s">
        <v>1307</v>
      </c>
    </row>
    <row r="2580" spans="1:10" x14ac:dyDescent="0.35">
      <c r="A2580" s="32" t="s">
        <v>15</v>
      </c>
      <c r="B2580" s="32">
        <f t="shared" si="609"/>
        <v>2055</v>
      </c>
      <c r="C2580" s="33" t="s">
        <v>52</v>
      </c>
      <c r="D2580" s="34" t="s">
        <v>128</v>
      </c>
      <c r="E2580" s="35" t="str">
        <f t="shared" si="605"/>
        <v>PNP'!</v>
      </c>
      <c r="F2580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80" s="32" t="s">
        <v>122</v>
      </c>
      <c r="H2580" s="33">
        <f t="shared" si="607"/>
        <v>44</v>
      </c>
      <c r="I2580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ECP\Cantagallo\Cristalina\[CRISTALINA_CF_SEC_New_09-Feb-2024.xlsx]D-PNP'!$EA$44</v>
      </c>
      <c r="J2580" s="37" t="s">
        <v>1308</v>
      </c>
    </row>
    <row r="2581" spans="1:10" x14ac:dyDescent="0.35">
      <c r="A2581" s="32" t="s">
        <v>15</v>
      </c>
      <c r="B2581" s="32">
        <f t="shared" si="609"/>
        <v>2056</v>
      </c>
      <c r="C2581" s="33" t="s">
        <v>52</v>
      </c>
      <c r="D2581" s="34" t="s">
        <v>128</v>
      </c>
      <c r="E2581" s="35" t="str">
        <f t="shared" si="605"/>
        <v>PNP'!</v>
      </c>
      <c r="F2581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81" s="32" t="s">
        <v>122</v>
      </c>
      <c r="H2581" s="33">
        <f t="shared" si="607"/>
        <v>45</v>
      </c>
      <c r="I2581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ECP\Cantagallo\Cristalina\[CRISTALINA_CF_SEC_New_09-Feb-2024.xlsx]D-PNP'!$EA$45</v>
      </c>
      <c r="J2581" s="37" t="s">
        <v>1309</v>
      </c>
    </row>
    <row r="2582" spans="1:10" x14ac:dyDescent="0.35">
      <c r="A2582" s="32" t="s">
        <v>15</v>
      </c>
      <c r="B2582" s="32">
        <f t="shared" si="609"/>
        <v>2057</v>
      </c>
      <c r="C2582" s="33" t="s">
        <v>52</v>
      </c>
      <c r="D2582" s="34" t="s">
        <v>128</v>
      </c>
      <c r="E2582" s="35" t="str">
        <f t="shared" si="605"/>
        <v>PNP'!</v>
      </c>
      <c r="F2582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82" s="32" t="s">
        <v>122</v>
      </c>
      <c r="H2582" s="33">
        <f t="shared" si="607"/>
        <v>46</v>
      </c>
      <c r="I2582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ECP\Cantagallo\Cristalina\[CRISTALINA_CF_SEC_New_09-Feb-2024.xlsx]D-PNP'!$EA$46</v>
      </c>
      <c r="J2582" s="37" t="s">
        <v>1310</v>
      </c>
    </row>
    <row r="2583" spans="1:10" x14ac:dyDescent="0.35">
      <c r="A2583" s="32" t="s">
        <v>15</v>
      </c>
      <c r="B2583" s="32">
        <f t="shared" si="609"/>
        <v>2058</v>
      </c>
      <c r="C2583" s="33" t="s">
        <v>52</v>
      </c>
      <c r="D2583" s="34" t="s">
        <v>128</v>
      </c>
      <c r="E2583" s="35" t="str">
        <f t="shared" si="605"/>
        <v>PNP'!</v>
      </c>
      <c r="F2583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83" s="32" t="s">
        <v>122</v>
      </c>
      <c r="H2583" s="33">
        <f t="shared" si="607"/>
        <v>47</v>
      </c>
      <c r="I2583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ECP\Cantagallo\Cristalina\[CRISTALINA_CF_SEC_New_09-Feb-2024.xlsx]D-PNP'!$EA$47</v>
      </c>
      <c r="J2583" s="37" t="s">
        <v>1311</v>
      </c>
    </row>
    <row r="2584" spans="1:10" x14ac:dyDescent="0.35">
      <c r="A2584" s="32" t="s">
        <v>15</v>
      </c>
      <c r="B2584" s="32">
        <f t="shared" si="609"/>
        <v>2059</v>
      </c>
      <c r="C2584" s="33" t="s">
        <v>52</v>
      </c>
      <c r="D2584" s="34" t="s">
        <v>128</v>
      </c>
      <c r="E2584" s="35" t="str">
        <f t="shared" si="605"/>
        <v>PNP'!</v>
      </c>
      <c r="F2584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84" s="32" t="s">
        <v>122</v>
      </c>
      <c r="H2584" s="33">
        <f t="shared" si="607"/>
        <v>48</v>
      </c>
      <c r="I2584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ECP\Cantagallo\Cristalina\[CRISTALINA_CF_SEC_New_09-Feb-2024.xlsx]D-PNP'!$EA$48</v>
      </c>
      <c r="J2584" s="37" t="s">
        <v>1312</v>
      </c>
    </row>
    <row r="2585" spans="1:10" x14ac:dyDescent="0.35">
      <c r="A2585" s="32" t="s">
        <v>26</v>
      </c>
      <c r="B2585" s="32"/>
      <c r="C2585" s="33" t="s">
        <v>52</v>
      </c>
      <c r="D2585" s="34"/>
      <c r="E2585" s="35"/>
      <c r="F2585" s="34"/>
      <c r="G2585" s="32"/>
      <c r="H2585" s="33"/>
      <c r="I2585" s="33"/>
      <c r="J2585" s="33"/>
    </row>
    <row r="2586" spans="1:10" x14ac:dyDescent="0.35">
      <c r="A2586" s="32" t="s">
        <v>16</v>
      </c>
      <c r="B2586" s="32">
        <v>2023</v>
      </c>
      <c r="C2586" s="33" t="s">
        <v>52</v>
      </c>
      <c r="D2586" s="34" t="s">
        <v>128</v>
      </c>
      <c r="E2586" s="35" t="str">
        <f t="shared" ref="E2586:E2606" si="610">_xlfn.CONCAT(A2586,"'!")</f>
        <v>PND'!</v>
      </c>
      <c r="F2586" s="34" t="str">
        <f t="shared" ref="F2586:F2606" si="611">_xlfn.CONCAT(D2586:E2586)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86" s="32" t="s">
        <v>122</v>
      </c>
      <c r="H2586" s="33">
        <v>12</v>
      </c>
      <c r="I2586" s="33" t="str">
        <f t="shared" ref="I2586:I2606" si="612">_xlfn.CONCAT("='",F2586:H2586)</f>
        <v>='C:\Users\jaime.benazar\Quorum Business Solutions\Ecopetrol Prometeo - Documents\Planning Space Implementation\3. Analysis &amp; Design\Design\FC22\DRR Jaime\Por presentar a ECP\Cantagallo\Cristalina\[CRISTALINA_CF_SEC_New_09-Feb-2024.xlsx]D-PND'!$EA$12</v>
      </c>
      <c r="J2586" s="37" t="s">
        <v>1313</v>
      </c>
    </row>
    <row r="2587" spans="1:10" x14ac:dyDescent="0.35">
      <c r="A2587" s="32" t="s">
        <v>16</v>
      </c>
      <c r="B2587" s="32">
        <f>+B2586+1</f>
        <v>2024</v>
      </c>
      <c r="C2587" s="33" t="s">
        <v>52</v>
      </c>
      <c r="D2587" s="34" t="s">
        <v>128</v>
      </c>
      <c r="E2587" s="35" t="str">
        <f t="shared" si="610"/>
        <v>PND'!</v>
      </c>
      <c r="F2587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87" s="32" t="s">
        <v>122</v>
      </c>
      <c r="H2587" s="33">
        <f t="shared" ref="H2587:H2606" si="613">IF(A2587&lt;&gt;A2586,12,H2586+1)</f>
        <v>13</v>
      </c>
      <c r="I2587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ECP\Cantagallo\Cristalina\[CRISTALINA_CF_SEC_New_09-Feb-2024.xlsx]D-PND'!$EA$13</v>
      </c>
      <c r="J2587" s="37" t="s">
        <v>1314</v>
      </c>
    </row>
    <row r="2588" spans="1:10" x14ac:dyDescent="0.35">
      <c r="A2588" s="32" t="s">
        <v>16</v>
      </c>
      <c r="B2588" s="32">
        <f t="shared" ref="B2588:B2599" si="614">+B2587+1</f>
        <v>2025</v>
      </c>
      <c r="C2588" s="33" t="s">
        <v>52</v>
      </c>
      <c r="D2588" s="34" t="s">
        <v>128</v>
      </c>
      <c r="E2588" s="35" t="str">
        <f t="shared" si="610"/>
        <v>PND'!</v>
      </c>
      <c r="F2588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88" s="32" t="s">
        <v>122</v>
      </c>
      <c r="H2588" s="33">
        <f t="shared" si="613"/>
        <v>14</v>
      </c>
      <c r="I2588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ECP\Cantagallo\Cristalina\[CRISTALINA_CF_SEC_New_09-Feb-2024.xlsx]D-PND'!$EA$14</v>
      </c>
      <c r="J2588" s="37" t="s">
        <v>1315</v>
      </c>
    </row>
    <row r="2589" spans="1:10" x14ac:dyDescent="0.35">
      <c r="A2589" s="32" t="s">
        <v>16</v>
      </c>
      <c r="B2589" s="32">
        <f t="shared" si="614"/>
        <v>2026</v>
      </c>
      <c r="C2589" s="33" t="s">
        <v>52</v>
      </c>
      <c r="D2589" s="34" t="s">
        <v>128</v>
      </c>
      <c r="E2589" s="35" t="str">
        <f t="shared" si="610"/>
        <v>PND'!</v>
      </c>
      <c r="F2589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89" s="32" t="s">
        <v>122</v>
      </c>
      <c r="H2589" s="33">
        <f t="shared" si="613"/>
        <v>15</v>
      </c>
      <c r="I2589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ECP\Cantagallo\Cristalina\[CRISTALINA_CF_SEC_New_09-Feb-2024.xlsx]D-PND'!$EA$15</v>
      </c>
      <c r="J2589" s="37" t="s">
        <v>1316</v>
      </c>
    </row>
    <row r="2590" spans="1:10" x14ac:dyDescent="0.35">
      <c r="A2590" s="32" t="s">
        <v>16</v>
      </c>
      <c r="B2590" s="32">
        <f t="shared" si="614"/>
        <v>2027</v>
      </c>
      <c r="C2590" s="33" t="s">
        <v>52</v>
      </c>
      <c r="D2590" s="34" t="s">
        <v>128</v>
      </c>
      <c r="E2590" s="35" t="str">
        <f t="shared" si="610"/>
        <v>PND'!</v>
      </c>
      <c r="F2590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90" s="32" t="s">
        <v>122</v>
      </c>
      <c r="H2590" s="33">
        <f t="shared" si="613"/>
        <v>16</v>
      </c>
      <c r="I2590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ECP\Cantagallo\Cristalina\[CRISTALINA_CF_SEC_New_09-Feb-2024.xlsx]D-PND'!$EA$16</v>
      </c>
      <c r="J2590" s="37" t="s">
        <v>1317</v>
      </c>
    </row>
    <row r="2591" spans="1:10" x14ac:dyDescent="0.35">
      <c r="A2591" s="32" t="s">
        <v>16</v>
      </c>
      <c r="B2591" s="32">
        <f t="shared" si="614"/>
        <v>2028</v>
      </c>
      <c r="C2591" s="33" t="s">
        <v>52</v>
      </c>
      <c r="D2591" s="34" t="s">
        <v>128</v>
      </c>
      <c r="E2591" s="35" t="str">
        <f t="shared" si="610"/>
        <v>PND'!</v>
      </c>
      <c r="F2591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91" s="32" t="s">
        <v>122</v>
      </c>
      <c r="H2591" s="33">
        <f t="shared" si="613"/>
        <v>17</v>
      </c>
      <c r="I2591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ECP\Cantagallo\Cristalina\[CRISTALINA_CF_SEC_New_09-Feb-2024.xlsx]D-PND'!$EA$17</v>
      </c>
      <c r="J2591" s="37" t="s">
        <v>1318</v>
      </c>
    </row>
    <row r="2592" spans="1:10" x14ac:dyDescent="0.35">
      <c r="A2592" s="32" t="s">
        <v>16</v>
      </c>
      <c r="B2592" s="32">
        <f t="shared" si="614"/>
        <v>2029</v>
      </c>
      <c r="C2592" s="33" t="s">
        <v>52</v>
      </c>
      <c r="D2592" s="34" t="s">
        <v>128</v>
      </c>
      <c r="E2592" s="35" t="str">
        <f t="shared" si="610"/>
        <v>PND'!</v>
      </c>
      <c r="F2592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92" s="32" t="s">
        <v>122</v>
      </c>
      <c r="H2592" s="33">
        <f t="shared" si="613"/>
        <v>18</v>
      </c>
      <c r="I2592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ECP\Cantagallo\Cristalina\[CRISTALINA_CF_SEC_New_09-Feb-2024.xlsx]D-PND'!$EA$18</v>
      </c>
      <c r="J2592" s="37" t="s">
        <v>1319</v>
      </c>
    </row>
    <row r="2593" spans="1:10" x14ac:dyDescent="0.35">
      <c r="A2593" s="32" t="s">
        <v>16</v>
      </c>
      <c r="B2593" s="32">
        <f t="shared" si="614"/>
        <v>2030</v>
      </c>
      <c r="C2593" s="33" t="s">
        <v>52</v>
      </c>
      <c r="D2593" s="34" t="s">
        <v>128</v>
      </c>
      <c r="E2593" s="35" t="str">
        <f t="shared" si="610"/>
        <v>PND'!</v>
      </c>
      <c r="F2593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93" s="32" t="s">
        <v>122</v>
      </c>
      <c r="H2593" s="33">
        <f t="shared" si="613"/>
        <v>19</v>
      </c>
      <c r="I2593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ECP\Cantagallo\Cristalina\[CRISTALINA_CF_SEC_New_09-Feb-2024.xlsx]D-PND'!$EA$19</v>
      </c>
      <c r="J2593" s="37" t="s">
        <v>1320</v>
      </c>
    </row>
    <row r="2594" spans="1:10" x14ac:dyDescent="0.35">
      <c r="A2594" s="32" t="s">
        <v>16</v>
      </c>
      <c r="B2594" s="32">
        <f t="shared" si="614"/>
        <v>2031</v>
      </c>
      <c r="C2594" s="33" t="s">
        <v>52</v>
      </c>
      <c r="D2594" s="34" t="s">
        <v>128</v>
      </c>
      <c r="E2594" s="35" t="str">
        <f t="shared" si="610"/>
        <v>PND'!</v>
      </c>
      <c r="F2594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94" s="32" t="s">
        <v>122</v>
      </c>
      <c r="H2594" s="33">
        <f t="shared" si="613"/>
        <v>20</v>
      </c>
      <c r="I2594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ECP\Cantagallo\Cristalina\[CRISTALINA_CF_SEC_New_09-Feb-2024.xlsx]D-PND'!$EA$20</v>
      </c>
      <c r="J2594" s="37" t="s">
        <v>1321</v>
      </c>
    </row>
    <row r="2595" spans="1:10" x14ac:dyDescent="0.35">
      <c r="A2595" s="32" t="s">
        <v>16</v>
      </c>
      <c r="B2595" s="32">
        <f t="shared" si="614"/>
        <v>2032</v>
      </c>
      <c r="C2595" s="33" t="s">
        <v>52</v>
      </c>
      <c r="D2595" s="34" t="s">
        <v>128</v>
      </c>
      <c r="E2595" s="35" t="str">
        <f t="shared" si="610"/>
        <v>PND'!</v>
      </c>
      <c r="F2595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95" s="32" t="s">
        <v>122</v>
      </c>
      <c r="H2595" s="33">
        <f t="shared" si="613"/>
        <v>21</v>
      </c>
      <c r="I2595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ECP\Cantagallo\Cristalina\[CRISTALINA_CF_SEC_New_09-Feb-2024.xlsx]D-PND'!$EA$21</v>
      </c>
      <c r="J2595" s="37" t="s">
        <v>1322</v>
      </c>
    </row>
    <row r="2596" spans="1:10" x14ac:dyDescent="0.35">
      <c r="A2596" s="32" t="s">
        <v>16</v>
      </c>
      <c r="B2596" s="32">
        <f t="shared" si="614"/>
        <v>2033</v>
      </c>
      <c r="C2596" s="33" t="s">
        <v>52</v>
      </c>
      <c r="D2596" s="34" t="s">
        <v>128</v>
      </c>
      <c r="E2596" s="35" t="str">
        <f t="shared" si="610"/>
        <v>PND'!</v>
      </c>
      <c r="F2596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96" s="32" t="s">
        <v>122</v>
      </c>
      <c r="H2596" s="33">
        <f t="shared" si="613"/>
        <v>22</v>
      </c>
      <c r="I2596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ECP\Cantagallo\Cristalina\[CRISTALINA_CF_SEC_New_09-Feb-2024.xlsx]D-PND'!$EA$22</v>
      </c>
      <c r="J2596" s="37" t="s">
        <v>1323</v>
      </c>
    </row>
    <row r="2597" spans="1:10" x14ac:dyDescent="0.35">
      <c r="A2597" s="32" t="s">
        <v>16</v>
      </c>
      <c r="B2597" s="32">
        <f t="shared" si="614"/>
        <v>2034</v>
      </c>
      <c r="C2597" s="33" t="s">
        <v>52</v>
      </c>
      <c r="D2597" s="34" t="s">
        <v>128</v>
      </c>
      <c r="E2597" s="35" t="str">
        <f t="shared" si="610"/>
        <v>PND'!</v>
      </c>
      <c r="F2597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97" s="32" t="s">
        <v>122</v>
      </c>
      <c r="H2597" s="33">
        <f t="shared" si="613"/>
        <v>23</v>
      </c>
      <c r="I2597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ECP\Cantagallo\Cristalina\[CRISTALINA_CF_SEC_New_09-Feb-2024.xlsx]D-PND'!$EA$23</v>
      </c>
      <c r="J2597" s="37" t="s">
        <v>1324</v>
      </c>
    </row>
    <row r="2598" spans="1:10" x14ac:dyDescent="0.35">
      <c r="A2598" s="32" t="s">
        <v>16</v>
      </c>
      <c r="B2598" s="32">
        <f t="shared" si="614"/>
        <v>2035</v>
      </c>
      <c r="C2598" s="33" t="s">
        <v>52</v>
      </c>
      <c r="D2598" s="34" t="s">
        <v>128</v>
      </c>
      <c r="E2598" s="35" t="str">
        <f t="shared" si="610"/>
        <v>PND'!</v>
      </c>
      <c r="F2598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98" s="32" t="s">
        <v>122</v>
      </c>
      <c r="H2598" s="33">
        <f t="shared" si="613"/>
        <v>24</v>
      </c>
      <c r="I2598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ECP\Cantagallo\Cristalina\[CRISTALINA_CF_SEC_New_09-Feb-2024.xlsx]D-PND'!$EA$24</v>
      </c>
      <c r="J2598" s="37" t="s">
        <v>1325</v>
      </c>
    </row>
    <row r="2599" spans="1:10" x14ac:dyDescent="0.35">
      <c r="A2599" s="32" t="s">
        <v>16</v>
      </c>
      <c r="B2599" s="32">
        <f t="shared" si="614"/>
        <v>2036</v>
      </c>
      <c r="C2599" s="33" t="s">
        <v>52</v>
      </c>
      <c r="D2599" s="34" t="s">
        <v>128</v>
      </c>
      <c r="E2599" s="35" t="str">
        <f t="shared" si="610"/>
        <v>PND'!</v>
      </c>
      <c r="F2599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99" s="32" t="s">
        <v>122</v>
      </c>
      <c r="H2599" s="33">
        <f t="shared" si="613"/>
        <v>25</v>
      </c>
      <c r="I2599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ECP\Cantagallo\Cristalina\[CRISTALINA_CF_SEC_New_09-Feb-2024.xlsx]D-PND'!$EA$25</v>
      </c>
      <c r="J2599" s="37" t="s">
        <v>1326</v>
      </c>
    </row>
    <row r="2600" spans="1:10" x14ac:dyDescent="0.35">
      <c r="A2600" s="32" t="s">
        <v>16</v>
      </c>
      <c r="B2600" s="32">
        <f>+B2599+1</f>
        <v>2037</v>
      </c>
      <c r="C2600" s="33" t="s">
        <v>52</v>
      </c>
      <c r="D2600" s="34" t="s">
        <v>128</v>
      </c>
      <c r="E2600" s="35" t="str">
        <f t="shared" si="610"/>
        <v>PND'!</v>
      </c>
      <c r="F2600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00" s="32" t="s">
        <v>122</v>
      </c>
      <c r="H2600" s="33">
        <f t="shared" si="613"/>
        <v>26</v>
      </c>
      <c r="I2600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ECP\Cantagallo\Cristalina\[CRISTALINA_CF_SEC_New_09-Feb-2024.xlsx]D-PND'!$EA$26</v>
      </c>
      <c r="J2600" s="37" t="s">
        <v>1327</v>
      </c>
    </row>
    <row r="2601" spans="1:10" x14ac:dyDescent="0.35">
      <c r="A2601" s="32" t="s">
        <v>16</v>
      </c>
      <c r="B2601" s="32">
        <f t="shared" ref="B2601:B2603" si="615">+B2600+1</f>
        <v>2038</v>
      </c>
      <c r="C2601" s="33" t="s">
        <v>52</v>
      </c>
      <c r="D2601" s="34" t="s">
        <v>128</v>
      </c>
      <c r="E2601" s="35" t="str">
        <f t="shared" si="610"/>
        <v>PND'!</v>
      </c>
      <c r="F2601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01" s="32" t="s">
        <v>122</v>
      </c>
      <c r="H2601" s="33">
        <f t="shared" si="613"/>
        <v>27</v>
      </c>
      <c r="I2601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ECP\Cantagallo\Cristalina\[CRISTALINA_CF_SEC_New_09-Feb-2024.xlsx]D-PND'!$EA$27</v>
      </c>
      <c r="J2601" s="37" t="s">
        <v>1328</v>
      </c>
    </row>
    <row r="2602" spans="1:10" x14ac:dyDescent="0.35">
      <c r="A2602" s="32" t="s">
        <v>16</v>
      </c>
      <c r="B2602" s="32">
        <f t="shared" si="615"/>
        <v>2039</v>
      </c>
      <c r="C2602" s="33" t="s">
        <v>52</v>
      </c>
      <c r="D2602" s="34" t="s">
        <v>128</v>
      </c>
      <c r="E2602" s="35" t="str">
        <f t="shared" si="610"/>
        <v>PND'!</v>
      </c>
      <c r="F2602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02" s="32" t="s">
        <v>122</v>
      </c>
      <c r="H2602" s="33">
        <f t="shared" si="613"/>
        <v>28</v>
      </c>
      <c r="I2602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ECP\Cantagallo\Cristalina\[CRISTALINA_CF_SEC_New_09-Feb-2024.xlsx]D-PND'!$EA$28</v>
      </c>
      <c r="J2602" s="37" t="s">
        <v>1329</v>
      </c>
    </row>
    <row r="2603" spans="1:10" x14ac:dyDescent="0.35">
      <c r="A2603" s="32" t="s">
        <v>16</v>
      </c>
      <c r="B2603" s="32">
        <f t="shared" si="615"/>
        <v>2040</v>
      </c>
      <c r="C2603" s="33" t="s">
        <v>52</v>
      </c>
      <c r="D2603" s="34" t="s">
        <v>128</v>
      </c>
      <c r="E2603" s="35" t="str">
        <f t="shared" si="610"/>
        <v>PND'!</v>
      </c>
      <c r="F2603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03" s="32" t="s">
        <v>122</v>
      </c>
      <c r="H2603" s="33">
        <f t="shared" si="613"/>
        <v>29</v>
      </c>
      <c r="I2603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ECP\Cantagallo\Cristalina\[CRISTALINA_CF_SEC_New_09-Feb-2024.xlsx]D-PND'!$EA$29</v>
      </c>
      <c r="J2603" s="37" t="s">
        <v>1330</v>
      </c>
    </row>
    <row r="2604" spans="1:10" x14ac:dyDescent="0.35">
      <c r="A2604" s="32" t="s">
        <v>16</v>
      </c>
      <c r="B2604" s="32">
        <f>+B2603+1</f>
        <v>2041</v>
      </c>
      <c r="C2604" s="33" t="s">
        <v>52</v>
      </c>
      <c r="D2604" s="34" t="s">
        <v>128</v>
      </c>
      <c r="E2604" s="35" t="str">
        <f t="shared" si="610"/>
        <v>PND'!</v>
      </c>
      <c r="F2604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04" s="32" t="s">
        <v>122</v>
      </c>
      <c r="H2604" s="33">
        <f t="shared" si="613"/>
        <v>30</v>
      </c>
      <c r="I2604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ECP\Cantagallo\Cristalina\[CRISTALINA_CF_SEC_New_09-Feb-2024.xlsx]D-PND'!$EA$30</v>
      </c>
      <c r="J2604" s="37" t="s">
        <v>1331</v>
      </c>
    </row>
    <row r="2605" spans="1:10" x14ac:dyDescent="0.35">
      <c r="A2605" s="32" t="s">
        <v>16</v>
      </c>
      <c r="B2605" s="32">
        <f t="shared" ref="B2605:B2606" si="616">+B2604+1</f>
        <v>2042</v>
      </c>
      <c r="C2605" s="33" t="s">
        <v>52</v>
      </c>
      <c r="D2605" s="34" t="s">
        <v>128</v>
      </c>
      <c r="E2605" s="35" t="str">
        <f t="shared" si="610"/>
        <v>PND'!</v>
      </c>
      <c r="F2605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05" s="32" t="s">
        <v>122</v>
      </c>
      <c r="H2605" s="33">
        <f t="shared" si="613"/>
        <v>31</v>
      </c>
      <c r="I2605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ECP\Cantagallo\Cristalina\[CRISTALINA_CF_SEC_New_09-Feb-2024.xlsx]D-PND'!$EA$31</v>
      </c>
      <c r="J2605" s="37" t="s">
        <v>1332</v>
      </c>
    </row>
    <row r="2606" spans="1:10" x14ac:dyDescent="0.35">
      <c r="A2606" s="32" t="s">
        <v>16</v>
      </c>
      <c r="B2606" s="32">
        <f t="shared" si="616"/>
        <v>2043</v>
      </c>
      <c r="C2606" s="33" t="s">
        <v>52</v>
      </c>
      <c r="D2606" s="34" t="s">
        <v>128</v>
      </c>
      <c r="E2606" s="35" t="str">
        <f t="shared" si="610"/>
        <v>PND'!</v>
      </c>
      <c r="F2606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06" s="32" t="s">
        <v>122</v>
      </c>
      <c r="H2606" s="33">
        <f t="shared" si="613"/>
        <v>32</v>
      </c>
      <c r="I2606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ECP\Cantagallo\Cristalina\[CRISTALINA_CF_SEC_New_09-Feb-2024.xlsx]D-PND'!$EA$32</v>
      </c>
      <c r="J2606" s="37" t="s">
        <v>1333</v>
      </c>
    </row>
    <row r="2607" spans="1:10" x14ac:dyDescent="0.35">
      <c r="A2607" s="32" t="s">
        <v>16</v>
      </c>
      <c r="B2607" s="32">
        <f>+B2606+1</f>
        <v>2044</v>
      </c>
      <c r="C2607" s="33" t="s">
        <v>52</v>
      </c>
      <c r="D2607" s="34" t="s">
        <v>128</v>
      </c>
      <c r="E2607" s="35" t="str">
        <f t="shared" ref="E2607:E2622" si="617">_xlfn.CONCAT(A2607,"'!")</f>
        <v>PND'!</v>
      </c>
      <c r="F2607" s="34" t="str">
        <f t="shared" ref="F2607:F2622" si="618">_xlfn.CONCAT(D2607:E2607)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07" s="32" t="s">
        <v>122</v>
      </c>
      <c r="H2607" s="33">
        <f t="shared" ref="H2607:H2622" si="619">IF(A2607&lt;&gt;A2606,12,H2606+1)</f>
        <v>33</v>
      </c>
      <c r="I2607" s="33" t="str">
        <f t="shared" ref="I2607:I2622" si="620">_xlfn.CONCAT("='",F2607:H2607)</f>
        <v>='C:\Users\jaime.benazar\Quorum Business Solutions\Ecopetrol Prometeo - Documents\Planning Space Implementation\3. Analysis &amp; Design\Design\FC22\DRR Jaime\Por presentar a ECP\Cantagallo\Cristalina\[CRISTALINA_CF_SEC_New_09-Feb-2024.xlsx]D-PND'!$EA$33</v>
      </c>
      <c r="J2607" s="37" t="s">
        <v>1334</v>
      </c>
    </row>
    <row r="2608" spans="1:10" x14ac:dyDescent="0.35">
      <c r="A2608" s="32" t="s">
        <v>16</v>
      </c>
      <c r="B2608" s="32">
        <f t="shared" ref="B2608:B2622" si="621">+B2607+1</f>
        <v>2045</v>
      </c>
      <c r="C2608" s="33" t="s">
        <v>52</v>
      </c>
      <c r="D2608" s="34" t="s">
        <v>128</v>
      </c>
      <c r="E2608" s="35" t="str">
        <f t="shared" si="617"/>
        <v>PND'!</v>
      </c>
      <c r="F2608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08" s="32" t="s">
        <v>122</v>
      </c>
      <c r="H2608" s="33">
        <f t="shared" si="619"/>
        <v>34</v>
      </c>
      <c r="I2608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ECP\Cantagallo\Cristalina\[CRISTALINA_CF_SEC_New_09-Feb-2024.xlsx]D-PND'!$EA$34</v>
      </c>
      <c r="J2608" s="37" t="s">
        <v>1335</v>
      </c>
    </row>
    <row r="2609" spans="1:10" x14ac:dyDescent="0.35">
      <c r="A2609" s="32" t="s">
        <v>16</v>
      </c>
      <c r="B2609" s="32">
        <f t="shared" si="621"/>
        <v>2046</v>
      </c>
      <c r="C2609" s="33" t="s">
        <v>52</v>
      </c>
      <c r="D2609" s="34" t="s">
        <v>128</v>
      </c>
      <c r="E2609" s="35" t="str">
        <f t="shared" si="617"/>
        <v>PND'!</v>
      </c>
      <c r="F2609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09" s="32" t="s">
        <v>122</v>
      </c>
      <c r="H2609" s="33">
        <f t="shared" si="619"/>
        <v>35</v>
      </c>
      <c r="I2609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ECP\Cantagallo\Cristalina\[CRISTALINA_CF_SEC_New_09-Feb-2024.xlsx]D-PND'!$EA$35</v>
      </c>
      <c r="J2609" s="37" t="s">
        <v>1336</v>
      </c>
    </row>
    <row r="2610" spans="1:10" x14ac:dyDescent="0.35">
      <c r="A2610" s="32" t="s">
        <v>16</v>
      </c>
      <c r="B2610" s="32">
        <f t="shared" si="621"/>
        <v>2047</v>
      </c>
      <c r="C2610" s="33" t="s">
        <v>52</v>
      </c>
      <c r="D2610" s="34" t="s">
        <v>128</v>
      </c>
      <c r="E2610" s="35" t="str">
        <f t="shared" si="617"/>
        <v>PND'!</v>
      </c>
      <c r="F2610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10" s="32" t="s">
        <v>122</v>
      </c>
      <c r="H2610" s="33">
        <f t="shared" si="619"/>
        <v>36</v>
      </c>
      <c r="I2610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ECP\Cantagallo\Cristalina\[CRISTALINA_CF_SEC_New_09-Feb-2024.xlsx]D-PND'!$EA$36</v>
      </c>
      <c r="J2610" s="37" t="s">
        <v>1337</v>
      </c>
    </row>
    <row r="2611" spans="1:10" x14ac:dyDescent="0.35">
      <c r="A2611" s="32" t="s">
        <v>16</v>
      </c>
      <c r="B2611" s="32">
        <f t="shared" si="621"/>
        <v>2048</v>
      </c>
      <c r="C2611" s="33" t="s">
        <v>52</v>
      </c>
      <c r="D2611" s="34" t="s">
        <v>128</v>
      </c>
      <c r="E2611" s="35" t="str">
        <f t="shared" si="617"/>
        <v>PND'!</v>
      </c>
      <c r="F2611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11" s="32" t="s">
        <v>122</v>
      </c>
      <c r="H2611" s="33">
        <f t="shared" si="619"/>
        <v>37</v>
      </c>
      <c r="I2611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ECP\Cantagallo\Cristalina\[CRISTALINA_CF_SEC_New_09-Feb-2024.xlsx]D-PND'!$EA$37</v>
      </c>
      <c r="J2611" s="37" t="s">
        <v>1338</v>
      </c>
    </row>
    <row r="2612" spans="1:10" x14ac:dyDescent="0.35">
      <c r="A2612" s="32" t="s">
        <v>16</v>
      </c>
      <c r="B2612" s="32">
        <f t="shared" si="621"/>
        <v>2049</v>
      </c>
      <c r="C2612" s="33" t="s">
        <v>52</v>
      </c>
      <c r="D2612" s="34" t="s">
        <v>128</v>
      </c>
      <c r="E2612" s="35" t="str">
        <f t="shared" si="617"/>
        <v>PND'!</v>
      </c>
      <c r="F2612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12" s="32" t="s">
        <v>122</v>
      </c>
      <c r="H2612" s="33">
        <f t="shared" si="619"/>
        <v>38</v>
      </c>
      <c r="I2612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ECP\Cantagallo\Cristalina\[CRISTALINA_CF_SEC_New_09-Feb-2024.xlsx]D-PND'!$EA$38</v>
      </c>
      <c r="J2612" s="37" t="s">
        <v>1339</v>
      </c>
    </row>
    <row r="2613" spans="1:10" x14ac:dyDescent="0.35">
      <c r="A2613" s="32" t="s">
        <v>16</v>
      </c>
      <c r="B2613" s="32">
        <f t="shared" si="621"/>
        <v>2050</v>
      </c>
      <c r="C2613" s="33" t="s">
        <v>52</v>
      </c>
      <c r="D2613" s="34" t="s">
        <v>128</v>
      </c>
      <c r="E2613" s="35" t="str">
        <f t="shared" si="617"/>
        <v>PND'!</v>
      </c>
      <c r="F2613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13" s="32" t="s">
        <v>122</v>
      </c>
      <c r="H2613" s="33">
        <f t="shared" si="619"/>
        <v>39</v>
      </c>
      <c r="I2613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ECP\Cantagallo\Cristalina\[CRISTALINA_CF_SEC_New_09-Feb-2024.xlsx]D-PND'!$EA$39</v>
      </c>
      <c r="J2613" s="37" t="s">
        <v>1340</v>
      </c>
    </row>
    <row r="2614" spans="1:10" x14ac:dyDescent="0.35">
      <c r="A2614" s="32" t="s">
        <v>16</v>
      </c>
      <c r="B2614" s="32">
        <f t="shared" si="621"/>
        <v>2051</v>
      </c>
      <c r="C2614" s="33" t="s">
        <v>52</v>
      </c>
      <c r="D2614" s="34" t="s">
        <v>128</v>
      </c>
      <c r="E2614" s="35" t="str">
        <f t="shared" si="617"/>
        <v>PND'!</v>
      </c>
      <c r="F2614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14" s="32" t="s">
        <v>122</v>
      </c>
      <c r="H2614" s="33">
        <f t="shared" si="619"/>
        <v>40</v>
      </c>
      <c r="I2614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ECP\Cantagallo\Cristalina\[CRISTALINA_CF_SEC_New_09-Feb-2024.xlsx]D-PND'!$EA$40</v>
      </c>
      <c r="J2614" s="37" t="s">
        <v>1341</v>
      </c>
    </row>
    <row r="2615" spans="1:10" x14ac:dyDescent="0.35">
      <c r="A2615" s="32" t="s">
        <v>16</v>
      </c>
      <c r="B2615" s="32">
        <f t="shared" si="621"/>
        <v>2052</v>
      </c>
      <c r="C2615" s="33" t="s">
        <v>52</v>
      </c>
      <c r="D2615" s="34" t="s">
        <v>128</v>
      </c>
      <c r="E2615" s="35" t="str">
        <f t="shared" si="617"/>
        <v>PND'!</v>
      </c>
      <c r="F2615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15" s="32" t="s">
        <v>122</v>
      </c>
      <c r="H2615" s="33">
        <f t="shared" si="619"/>
        <v>41</v>
      </c>
      <c r="I2615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ECP\Cantagallo\Cristalina\[CRISTALINA_CF_SEC_New_09-Feb-2024.xlsx]D-PND'!$EA$41</v>
      </c>
      <c r="J2615" s="37" t="s">
        <v>1342</v>
      </c>
    </row>
    <row r="2616" spans="1:10" x14ac:dyDescent="0.35">
      <c r="A2616" s="32" t="s">
        <v>16</v>
      </c>
      <c r="B2616" s="32">
        <f t="shared" si="621"/>
        <v>2053</v>
      </c>
      <c r="C2616" s="33" t="s">
        <v>52</v>
      </c>
      <c r="D2616" s="34" t="s">
        <v>128</v>
      </c>
      <c r="E2616" s="35" t="str">
        <f t="shared" si="617"/>
        <v>PND'!</v>
      </c>
      <c r="F2616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16" s="32" t="s">
        <v>122</v>
      </c>
      <c r="H2616" s="33">
        <f t="shared" si="619"/>
        <v>42</v>
      </c>
      <c r="I2616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ECP\Cantagallo\Cristalina\[CRISTALINA_CF_SEC_New_09-Feb-2024.xlsx]D-PND'!$EA$42</v>
      </c>
      <c r="J2616" s="37" t="s">
        <v>1343</v>
      </c>
    </row>
    <row r="2617" spans="1:10" x14ac:dyDescent="0.35">
      <c r="A2617" s="32" t="s">
        <v>16</v>
      </c>
      <c r="B2617" s="32">
        <f t="shared" si="621"/>
        <v>2054</v>
      </c>
      <c r="C2617" s="33" t="s">
        <v>52</v>
      </c>
      <c r="D2617" s="34" t="s">
        <v>128</v>
      </c>
      <c r="E2617" s="35" t="str">
        <f t="shared" si="617"/>
        <v>PND'!</v>
      </c>
      <c r="F2617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17" s="32" t="s">
        <v>122</v>
      </c>
      <c r="H2617" s="33">
        <f t="shared" si="619"/>
        <v>43</v>
      </c>
      <c r="I2617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ECP\Cantagallo\Cristalina\[CRISTALINA_CF_SEC_New_09-Feb-2024.xlsx]D-PND'!$EA$43</v>
      </c>
      <c r="J2617" s="37" t="s">
        <v>1344</v>
      </c>
    </row>
    <row r="2618" spans="1:10" x14ac:dyDescent="0.35">
      <c r="A2618" s="32" t="s">
        <v>16</v>
      </c>
      <c r="B2618" s="32">
        <f t="shared" si="621"/>
        <v>2055</v>
      </c>
      <c r="C2618" s="33" t="s">
        <v>52</v>
      </c>
      <c r="D2618" s="34" t="s">
        <v>128</v>
      </c>
      <c r="E2618" s="35" t="str">
        <f t="shared" si="617"/>
        <v>PND'!</v>
      </c>
      <c r="F2618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18" s="32" t="s">
        <v>122</v>
      </c>
      <c r="H2618" s="33">
        <f t="shared" si="619"/>
        <v>44</v>
      </c>
      <c r="I2618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ECP\Cantagallo\Cristalina\[CRISTALINA_CF_SEC_New_09-Feb-2024.xlsx]D-PND'!$EA$44</v>
      </c>
      <c r="J2618" s="37" t="s">
        <v>1345</v>
      </c>
    </row>
    <row r="2619" spans="1:10" x14ac:dyDescent="0.35">
      <c r="A2619" s="32" t="s">
        <v>16</v>
      </c>
      <c r="B2619" s="32">
        <f t="shared" si="621"/>
        <v>2056</v>
      </c>
      <c r="C2619" s="33" t="s">
        <v>52</v>
      </c>
      <c r="D2619" s="34" t="s">
        <v>128</v>
      </c>
      <c r="E2619" s="35" t="str">
        <f t="shared" si="617"/>
        <v>PND'!</v>
      </c>
      <c r="F2619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19" s="32" t="s">
        <v>122</v>
      </c>
      <c r="H2619" s="33">
        <f t="shared" si="619"/>
        <v>45</v>
      </c>
      <c r="I2619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ECP\Cantagallo\Cristalina\[CRISTALINA_CF_SEC_New_09-Feb-2024.xlsx]D-PND'!$EA$45</v>
      </c>
      <c r="J2619" s="37" t="s">
        <v>1346</v>
      </c>
    </row>
    <row r="2620" spans="1:10" x14ac:dyDescent="0.35">
      <c r="A2620" s="32" t="s">
        <v>16</v>
      </c>
      <c r="B2620" s="32">
        <f t="shared" si="621"/>
        <v>2057</v>
      </c>
      <c r="C2620" s="33" t="s">
        <v>52</v>
      </c>
      <c r="D2620" s="34" t="s">
        <v>128</v>
      </c>
      <c r="E2620" s="35" t="str">
        <f t="shared" si="617"/>
        <v>PND'!</v>
      </c>
      <c r="F2620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20" s="32" t="s">
        <v>122</v>
      </c>
      <c r="H2620" s="33">
        <f t="shared" si="619"/>
        <v>46</v>
      </c>
      <c r="I2620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ECP\Cantagallo\Cristalina\[CRISTALINA_CF_SEC_New_09-Feb-2024.xlsx]D-PND'!$EA$46</v>
      </c>
      <c r="J2620" s="37" t="s">
        <v>1347</v>
      </c>
    </row>
    <row r="2621" spans="1:10" x14ac:dyDescent="0.35">
      <c r="A2621" s="32" t="s">
        <v>16</v>
      </c>
      <c r="B2621" s="32">
        <f t="shared" si="621"/>
        <v>2058</v>
      </c>
      <c r="C2621" s="33" t="s">
        <v>52</v>
      </c>
      <c r="D2621" s="34" t="s">
        <v>128</v>
      </c>
      <c r="E2621" s="35" t="str">
        <f t="shared" si="617"/>
        <v>PND'!</v>
      </c>
      <c r="F2621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21" s="32" t="s">
        <v>122</v>
      </c>
      <c r="H2621" s="33">
        <f t="shared" si="619"/>
        <v>47</v>
      </c>
      <c r="I2621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ECP\Cantagallo\Cristalina\[CRISTALINA_CF_SEC_New_09-Feb-2024.xlsx]D-PND'!$EA$47</v>
      </c>
      <c r="J2621" s="37" t="s">
        <v>1348</v>
      </c>
    </row>
    <row r="2622" spans="1:10" x14ac:dyDescent="0.35">
      <c r="A2622" s="32" t="s">
        <v>16</v>
      </c>
      <c r="B2622" s="32">
        <f t="shared" si="621"/>
        <v>2059</v>
      </c>
      <c r="C2622" s="33" t="s">
        <v>52</v>
      </c>
      <c r="D2622" s="34" t="s">
        <v>128</v>
      </c>
      <c r="E2622" s="35" t="str">
        <f t="shared" si="617"/>
        <v>PND'!</v>
      </c>
      <c r="F2622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22" s="32" t="s">
        <v>122</v>
      </c>
      <c r="H2622" s="33">
        <f t="shared" si="619"/>
        <v>48</v>
      </c>
      <c r="I2622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ECP\Cantagallo\Cristalina\[CRISTALINA_CF_SEC_New_09-Feb-2024.xlsx]D-PND'!$EA$48</v>
      </c>
      <c r="J2622" s="37" t="s">
        <v>1349</v>
      </c>
    </row>
    <row r="2623" spans="1:10" x14ac:dyDescent="0.35">
      <c r="A2623" s="32" t="s">
        <v>26</v>
      </c>
      <c r="B2623" s="32"/>
      <c r="C2623" s="33" t="s">
        <v>52</v>
      </c>
      <c r="D2623" s="34"/>
      <c r="E2623" s="35"/>
      <c r="F2623" s="34"/>
      <c r="G2623" s="32"/>
      <c r="H2623" s="33"/>
      <c r="I2623" s="33"/>
      <c r="J2623" s="33"/>
    </row>
    <row r="2624" spans="1:10" x14ac:dyDescent="0.35">
      <c r="A2624" s="32" t="s">
        <v>17</v>
      </c>
      <c r="B2624" s="32">
        <v>2023</v>
      </c>
      <c r="C2624" s="33" t="s">
        <v>52</v>
      </c>
      <c r="D2624" s="34" t="s">
        <v>128</v>
      </c>
      <c r="E2624" s="35" t="str">
        <f t="shared" ref="E2624:E2644" si="622">_xlfn.CONCAT(A2624,"'!")</f>
        <v>PRBDP'!</v>
      </c>
      <c r="F2624" s="34" t="str">
        <f t="shared" ref="F2624:F2644" si="623">_xlfn.CONCAT(D2624:E2624)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24" s="32" t="s">
        <v>122</v>
      </c>
      <c r="H2624" s="33"/>
      <c r="I2624" s="33"/>
      <c r="J2624" s="37"/>
    </row>
    <row r="2625" spans="1:10" x14ac:dyDescent="0.35">
      <c r="A2625" s="32" t="s">
        <v>17</v>
      </c>
      <c r="B2625" s="32">
        <f>+B2624+1</f>
        <v>2024</v>
      </c>
      <c r="C2625" s="33" t="s">
        <v>52</v>
      </c>
      <c r="D2625" s="34" t="s">
        <v>128</v>
      </c>
      <c r="E2625" s="35" t="str">
        <f t="shared" si="622"/>
        <v>PRBDP'!</v>
      </c>
      <c r="F2625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25" s="32" t="s">
        <v>122</v>
      </c>
      <c r="H2625" s="33"/>
      <c r="I2625" s="33"/>
      <c r="J2625" s="37"/>
    </row>
    <row r="2626" spans="1:10" x14ac:dyDescent="0.35">
      <c r="A2626" s="32" t="s">
        <v>17</v>
      </c>
      <c r="B2626" s="32">
        <f t="shared" ref="B2626:B2637" si="624">+B2625+1</f>
        <v>2025</v>
      </c>
      <c r="C2626" s="33" t="s">
        <v>52</v>
      </c>
      <c r="D2626" s="34" t="s">
        <v>128</v>
      </c>
      <c r="E2626" s="35" t="str">
        <f t="shared" si="622"/>
        <v>PRBDP'!</v>
      </c>
      <c r="F2626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26" s="32" t="s">
        <v>122</v>
      </c>
      <c r="H2626" s="33"/>
      <c r="I2626" s="33"/>
      <c r="J2626" s="37"/>
    </row>
    <row r="2627" spans="1:10" x14ac:dyDescent="0.35">
      <c r="A2627" s="32" t="s">
        <v>17</v>
      </c>
      <c r="B2627" s="32">
        <f t="shared" si="624"/>
        <v>2026</v>
      </c>
      <c r="C2627" s="33" t="s">
        <v>52</v>
      </c>
      <c r="D2627" s="34" t="s">
        <v>128</v>
      </c>
      <c r="E2627" s="35" t="str">
        <f t="shared" si="622"/>
        <v>PRBDP'!</v>
      </c>
      <c r="F2627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27" s="32" t="s">
        <v>122</v>
      </c>
      <c r="H2627" s="33"/>
      <c r="I2627" s="33"/>
      <c r="J2627" s="37"/>
    </row>
    <row r="2628" spans="1:10" x14ac:dyDescent="0.35">
      <c r="A2628" s="32" t="s">
        <v>17</v>
      </c>
      <c r="B2628" s="32">
        <f t="shared" si="624"/>
        <v>2027</v>
      </c>
      <c r="C2628" s="33" t="s">
        <v>52</v>
      </c>
      <c r="D2628" s="34" t="s">
        <v>128</v>
      </c>
      <c r="E2628" s="35" t="str">
        <f t="shared" si="622"/>
        <v>PRBDP'!</v>
      </c>
      <c r="F2628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28" s="32" t="s">
        <v>122</v>
      </c>
      <c r="H2628" s="33"/>
      <c r="I2628" s="33"/>
      <c r="J2628" s="37"/>
    </row>
    <row r="2629" spans="1:10" x14ac:dyDescent="0.35">
      <c r="A2629" s="32" t="s">
        <v>17</v>
      </c>
      <c r="B2629" s="32">
        <f t="shared" si="624"/>
        <v>2028</v>
      </c>
      <c r="C2629" s="33" t="s">
        <v>52</v>
      </c>
      <c r="D2629" s="34" t="s">
        <v>128</v>
      </c>
      <c r="E2629" s="35" t="str">
        <f t="shared" si="622"/>
        <v>PRBDP'!</v>
      </c>
      <c r="F2629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29" s="32" t="s">
        <v>122</v>
      </c>
      <c r="H2629" s="33"/>
      <c r="I2629" s="33"/>
      <c r="J2629" s="37"/>
    </row>
    <row r="2630" spans="1:10" x14ac:dyDescent="0.35">
      <c r="A2630" s="32" t="s">
        <v>17</v>
      </c>
      <c r="B2630" s="32">
        <f t="shared" si="624"/>
        <v>2029</v>
      </c>
      <c r="C2630" s="33" t="s">
        <v>52</v>
      </c>
      <c r="D2630" s="34" t="s">
        <v>128</v>
      </c>
      <c r="E2630" s="35" t="str">
        <f t="shared" si="622"/>
        <v>PRBDP'!</v>
      </c>
      <c r="F2630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30" s="32" t="s">
        <v>122</v>
      </c>
      <c r="H2630" s="33"/>
      <c r="I2630" s="33"/>
      <c r="J2630" s="37"/>
    </row>
    <row r="2631" spans="1:10" x14ac:dyDescent="0.35">
      <c r="A2631" s="32" t="s">
        <v>17</v>
      </c>
      <c r="B2631" s="32">
        <f t="shared" si="624"/>
        <v>2030</v>
      </c>
      <c r="C2631" s="33" t="s">
        <v>52</v>
      </c>
      <c r="D2631" s="34" t="s">
        <v>128</v>
      </c>
      <c r="E2631" s="35" t="str">
        <f t="shared" si="622"/>
        <v>PRBDP'!</v>
      </c>
      <c r="F2631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31" s="32" t="s">
        <v>122</v>
      </c>
      <c r="H2631" s="33"/>
      <c r="I2631" s="33"/>
      <c r="J2631" s="37"/>
    </row>
    <row r="2632" spans="1:10" x14ac:dyDescent="0.35">
      <c r="A2632" s="32" t="s">
        <v>17</v>
      </c>
      <c r="B2632" s="32">
        <f t="shared" si="624"/>
        <v>2031</v>
      </c>
      <c r="C2632" s="33" t="s">
        <v>52</v>
      </c>
      <c r="D2632" s="34" t="s">
        <v>128</v>
      </c>
      <c r="E2632" s="35" t="str">
        <f t="shared" si="622"/>
        <v>PRBDP'!</v>
      </c>
      <c r="F2632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32" s="32" t="s">
        <v>122</v>
      </c>
      <c r="H2632" s="33"/>
      <c r="I2632" s="33"/>
      <c r="J2632" s="37"/>
    </row>
    <row r="2633" spans="1:10" x14ac:dyDescent="0.35">
      <c r="A2633" s="32" t="s">
        <v>17</v>
      </c>
      <c r="B2633" s="32">
        <f t="shared" si="624"/>
        <v>2032</v>
      </c>
      <c r="C2633" s="33" t="s">
        <v>52</v>
      </c>
      <c r="D2633" s="34" t="s">
        <v>128</v>
      </c>
      <c r="E2633" s="35" t="str">
        <f t="shared" si="622"/>
        <v>PRBDP'!</v>
      </c>
      <c r="F2633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33" s="32" t="s">
        <v>122</v>
      </c>
      <c r="H2633" s="33"/>
      <c r="I2633" s="33"/>
      <c r="J2633" s="37"/>
    </row>
    <row r="2634" spans="1:10" x14ac:dyDescent="0.35">
      <c r="A2634" s="32" t="s">
        <v>17</v>
      </c>
      <c r="B2634" s="32">
        <f t="shared" si="624"/>
        <v>2033</v>
      </c>
      <c r="C2634" s="33" t="s">
        <v>52</v>
      </c>
      <c r="D2634" s="34" t="s">
        <v>128</v>
      </c>
      <c r="E2634" s="35" t="str">
        <f t="shared" si="622"/>
        <v>PRBDP'!</v>
      </c>
      <c r="F2634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34" s="32" t="s">
        <v>122</v>
      </c>
      <c r="H2634" s="33"/>
      <c r="I2634" s="33"/>
      <c r="J2634" s="37"/>
    </row>
    <row r="2635" spans="1:10" x14ac:dyDescent="0.35">
      <c r="A2635" s="32" t="s">
        <v>17</v>
      </c>
      <c r="B2635" s="32">
        <f t="shared" si="624"/>
        <v>2034</v>
      </c>
      <c r="C2635" s="33" t="s">
        <v>52</v>
      </c>
      <c r="D2635" s="34" t="s">
        <v>128</v>
      </c>
      <c r="E2635" s="35" t="str">
        <f t="shared" si="622"/>
        <v>PRBDP'!</v>
      </c>
      <c r="F2635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35" s="32" t="s">
        <v>122</v>
      </c>
      <c r="H2635" s="33"/>
      <c r="I2635" s="33"/>
      <c r="J2635" s="37"/>
    </row>
    <row r="2636" spans="1:10" x14ac:dyDescent="0.35">
      <c r="A2636" s="32" t="s">
        <v>17</v>
      </c>
      <c r="B2636" s="32">
        <f t="shared" si="624"/>
        <v>2035</v>
      </c>
      <c r="C2636" s="33" t="s">
        <v>52</v>
      </c>
      <c r="D2636" s="34" t="s">
        <v>128</v>
      </c>
      <c r="E2636" s="35" t="str">
        <f t="shared" si="622"/>
        <v>PRBDP'!</v>
      </c>
      <c r="F2636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36" s="32" t="s">
        <v>122</v>
      </c>
      <c r="H2636" s="33"/>
      <c r="I2636" s="33"/>
      <c r="J2636" s="37"/>
    </row>
    <row r="2637" spans="1:10" x14ac:dyDescent="0.35">
      <c r="A2637" s="32" t="s">
        <v>17</v>
      </c>
      <c r="B2637" s="32">
        <f t="shared" si="624"/>
        <v>2036</v>
      </c>
      <c r="C2637" s="33" t="s">
        <v>52</v>
      </c>
      <c r="D2637" s="34" t="s">
        <v>128</v>
      </c>
      <c r="E2637" s="35" t="str">
        <f t="shared" si="622"/>
        <v>PRBDP'!</v>
      </c>
      <c r="F2637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37" s="32" t="s">
        <v>122</v>
      </c>
      <c r="H2637" s="33"/>
      <c r="I2637" s="33"/>
      <c r="J2637" s="37"/>
    </row>
    <row r="2638" spans="1:10" x14ac:dyDescent="0.35">
      <c r="A2638" s="32" t="s">
        <v>17</v>
      </c>
      <c r="B2638" s="32">
        <f>+B2637+1</f>
        <v>2037</v>
      </c>
      <c r="C2638" s="33" t="s">
        <v>52</v>
      </c>
      <c r="D2638" s="34" t="s">
        <v>128</v>
      </c>
      <c r="E2638" s="35" t="str">
        <f t="shared" si="622"/>
        <v>PRBDP'!</v>
      </c>
      <c r="F2638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38" s="32" t="s">
        <v>122</v>
      </c>
      <c r="H2638" s="33"/>
      <c r="I2638" s="33"/>
      <c r="J2638" s="37"/>
    </row>
    <row r="2639" spans="1:10" x14ac:dyDescent="0.35">
      <c r="A2639" s="32" t="s">
        <v>17</v>
      </c>
      <c r="B2639" s="32">
        <f t="shared" ref="B2639:B2641" si="625">+B2638+1</f>
        <v>2038</v>
      </c>
      <c r="C2639" s="33" t="s">
        <v>52</v>
      </c>
      <c r="D2639" s="34" t="s">
        <v>128</v>
      </c>
      <c r="E2639" s="35" t="str">
        <f t="shared" si="622"/>
        <v>PRBDP'!</v>
      </c>
      <c r="F2639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39" s="32" t="s">
        <v>122</v>
      </c>
      <c r="H2639" s="33"/>
      <c r="I2639" s="33"/>
      <c r="J2639" s="37"/>
    </row>
    <row r="2640" spans="1:10" x14ac:dyDescent="0.35">
      <c r="A2640" s="32" t="s">
        <v>17</v>
      </c>
      <c r="B2640" s="32">
        <f t="shared" si="625"/>
        <v>2039</v>
      </c>
      <c r="C2640" s="33" t="s">
        <v>52</v>
      </c>
      <c r="D2640" s="34" t="s">
        <v>128</v>
      </c>
      <c r="E2640" s="35" t="str">
        <f t="shared" si="622"/>
        <v>PRBDP'!</v>
      </c>
      <c r="F2640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40" s="32" t="s">
        <v>122</v>
      </c>
      <c r="H2640" s="33"/>
      <c r="I2640" s="33"/>
      <c r="J2640" s="37"/>
    </row>
    <row r="2641" spans="1:10" x14ac:dyDescent="0.35">
      <c r="A2641" s="32" t="s">
        <v>17</v>
      </c>
      <c r="B2641" s="32">
        <f t="shared" si="625"/>
        <v>2040</v>
      </c>
      <c r="C2641" s="33" t="s">
        <v>52</v>
      </c>
      <c r="D2641" s="34" t="s">
        <v>128</v>
      </c>
      <c r="E2641" s="35" t="str">
        <f t="shared" si="622"/>
        <v>PRBDP'!</v>
      </c>
      <c r="F2641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41" s="32" t="s">
        <v>122</v>
      </c>
      <c r="H2641" s="33"/>
      <c r="I2641" s="33"/>
      <c r="J2641" s="37"/>
    </row>
    <row r="2642" spans="1:10" x14ac:dyDescent="0.35">
      <c r="A2642" s="32" t="s">
        <v>17</v>
      </c>
      <c r="B2642" s="32">
        <f>+B2641+1</f>
        <v>2041</v>
      </c>
      <c r="C2642" s="33" t="s">
        <v>52</v>
      </c>
      <c r="D2642" s="34" t="s">
        <v>128</v>
      </c>
      <c r="E2642" s="35" t="str">
        <f t="shared" si="622"/>
        <v>PRBDP'!</v>
      </c>
      <c r="F2642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42" s="32" t="s">
        <v>122</v>
      </c>
      <c r="H2642" s="33"/>
      <c r="I2642" s="33"/>
      <c r="J2642" s="37"/>
    </row>
    <row r="2643" spans="1:10" x14ac:dyDescent="0.35">
      <c r="A2643" s="32" t="s">
        <v>17</v>
      </c>
      <c r="B2643" s="32">
        <f t="shared" ref="B2643:B2644" si="626">+B2642+1</f>
        <v>2042</v>
      </c>
      <c r="C2643" s="33" t="s">
        <v>52</v>
      </c>
      <c r="D2643" s="34" t="s">
        <v>128</v>
      </c>
      <c r="E2643" s="35" t="str">
        <f t="shared" si="622"/>
        <v>PRBDP'!</v>
      </c>
      <c r="F2643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43" s="32" t="s">
        <v>122</v>
      </c>
      <c r="H2643" s="33"/>
      <c r="I2643" s="33"/>
      <c r="J2643" s="37"/>
    </row>
    <row r="2644" spans="1:10" x14ac:dyDescent="0.35">
      <c r="A2644" s="32" t="s">
        <v>17</v>
      </c>
      <c r="B2644" s="32">
        <f t="shared" si="626"/>
        <v>2043</v>
      </c>
      <c r="C2644" s="33" t="s">
        <v>52</v>
      </c>
      <c r="D2644" s="34" t="s">
        <v>128</v>
      </c>
      <c r="E2644" s="35" t="str">
        <f t="shared" si="622"/>
        <v>PRBDP'!</v>
      </c>
      <c r="F2644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44" s="32" t="s">
        <v>122</v>
      </c>
      <c r="H2644" s="33"/>
      <c r="I2644" s="33"/>
      <c r="J2644" s="37"/>
    </row>
    <row r="2645" spans="1:10" x14ac:dyDescent="0.35">
      <c r="A2645" s="32" t="s">
        <v>17</v>
      </c>
      <c r="B2645" s="32">
        <f>+B2644+1</f>
        <v>2044</v>
      </c>
      <c r="C2645" s="33" t="s">
        <v>52</v>
      </c>
      <c r="D2645" s="34" t="s">
        <v>128</v>
      </c>
      <c r="E2645" s="35" t="str">
        <f t="shared" ref="E2645:E2660" si="627">_xlfn.CONCAT(A2645,"'!")</f>
        <v>PRBDP'!</v>
      </c>
      <c r="F2645" s="34" t="str">
        <f t="shared" ref="F2645:F2660" si="628">_xlfn.CONCAT(D2645:E2645)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45" s="32" t="s">
        <v>122</v>
      </c>
      <c r="H2645" s="33"/>
      <c r="I2645" s="33"/>
      <c r="J2645" s="37"/>
    </row>
    <row r="2646" spans="1:10" x14ac:dyDescent="0.35">
      <c r="A2646" s="32" t="s">
        <v>17</v>
      </c>
      <c r="B2646" s="32">
        <f t="shared" ref="B2646:B2660" si="629">+B2645+1</f>
        <v>2045</v>
      </c>
      <c r="C2646" s="33" t="s">
        <v>52</v>
      </c>
      <c r="D2646" s="34" t="s">
        <v>128</v>
      </c>
      <c r="E2646" s="35" t="str">
        <f t="shared" si="627"/>
        <v>PRBDP'!</v>
      </c>
      <c r="F2646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46" s="32" t="s">
        <v>122</v>
      </c>
      <c r="H2646" s="33"/>
      <c r="I2646" s="33"/>
      <c r="J2646" s="37"/>
    </row>
    <row r="2647" spans="1:10" x14ac:dyDescent="0.35">
      <c r="A2647" s="32" t="s">
        <v>17</v>
      </c>
      <c r="B2647" s="32">
        <f t="shared" si="629"/>
        <v>2046</v>
      </c>
      <c r="C2647" s="33" t="s">
        <v>52</v>
      </c>
      <c r="D2647" s="34" t="s">
        <v>128</v>
      </c>
      <c r="E2647" s="35" t="str">
        <f t="shared" si="627"/>
        <v>PRBDP'!</v>
      </c>
      <c r="F2647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47" s="32" t="s">
        <v>122</v>
      </c>
      <c r="H2647" s="33"/>
      <c r="I2647" s="33"/>
      <c r="J2647" s="37"/>
    </row>
    <row r="2648" spans="1:10" x14ac:dyDescent="0.35">
      <c r="A2648" s="32" t="s">
        <v>17</v>
      </c>
      <c r="B2648" s="32">
        <f t="shared" si="629"/>
        <v>2047</v>
      </c>
      <c r="C2648" s="33" t="s">
        <v>52</v>
      </c>
      <c r="D2648" s="34" t="s">
        <v>128</v>
      </c>
      <c r="E2648" s="35" t="str">
        <f t="shared" si="627"/>
        <v>PRBDP'!</v>
      </c>
      <c r="F2648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48" s="32" t="s">
        <v>122</v>
      </c>
      <c r="H2648" s="33"/>
      <c r="I2648" s="33"/>
      <c r="J2648" s="37"/>
    </row>
    <row r="2649" spans="1:10" x14ac:dyDescent="0.35">
      <c r="A2649" s="32" t="s">
        <v>17</v>
      </c>
      <c r="B2649" s="32">
        <f t="shared" si="629"/>
        <v>2048</v>
      </c>
      <c r="C2649" s="33" t="s">
        <v>52</v>
      </c>
      <c r="D2649" s="34" t="s">
        <v>128</v>
      </c>
      <c r="E2649" s="35" t="str">
        <f t="shared" si="627"/>
        <v>PRBDP'!</v>
      </c>
      <c r="F2649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49" s="32" t="s">
        <v>122</v>
      </c>
      <c r="H2649" s="33"/>
      <c r="I2649" s="33"/>
      <c r="J2649" s="37"/>
    </row>
    <row r="2650" spans="1:10" x14ac:dyDescent="0.35">
      <c r="A2650" s="32" t="s">
        <v>17</v>
      </c>
      <c r="B2650" s="32">
        <f t="shared" si="629"/>
        <v>2049</v>
      </c>
      <c r="C2650" s="33" t="s">
        <v>52</v>
      </c>
      <c r="D2650" s="34" t="s">
        <v>128</v>
      </c>
      <c r="E2650" s="35" t="str">
        <f t="shared" si="627"/>
        <v>PRBDP'!</v>
      </c>
      <c r="F2650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50" s="32" t="s">
        <v>122</v>
      </c>
      <c r="H2650" s="33"/>
      <c r="I2650" s="33"/>
      <c r="J2650" s="37"/>
    </row>
    <row r="2651" spans="1:10" x14ac:dyDescent="0.35">
      <c r="A2651" s="32" t="s">
        <v>17</v>
      </c>
      <c r="B2651" s="32">
        <f t="shared" si="629"/>
        <v>2050</v>
      </c>
      <c r="C2651" s="33" t="s">
        <v>52</v>
      </c>
      <c r="D2651" s="34" t="s">
        <v>128</v>
      </c>
      <c r="E2651" s="35" t="str">
        <f t="shared" si="627"/>
        <v>PRBDP'!</v>
      </c>
      <c r="F2651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51" s="32" t="s">
        <v>122</v>
      </c>
      <c r="H2651" s="33"/>
      <c r="I2651" s="33"/>
      <c r="J2651" s="37"/>
    </row>
    <row r="2652" spans="1:10" x14ac:dyDescent="0.35">
      <c r="A2652" s="32" t="s">
        <v>17</v>
      </c>
      <c r="B2652" s="32">
        <f t="shared" si="629"/>
        <v>2051</v>
      </c>
      <c r="C2652" s="33" t="s">
        <v>52</v>
      </c>
      <c r="D2652" s="34" t="s">
        <v>128</v>
      </c>
      <c r="E2652" s="35" t="str">
        <f t="shared" si="627"/>
        <v>PRBDP'!</v>
      </c>
      <c r="F2652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52" s="32" t="s">
        <v>122</v>
      </c>
      <c r="H2652" s="33"/>
      <c r="I2652" s="33"/>
      <c r="J2652" s="37"/>
    </row>
    <row r="2653" spans="1:10" x14ac:dyDescent="0.35">
      <c r="A2653" s="32" t="s">
        <v>17</v>
      </c>
      <c r="B2653" s="32">
        <f t="shared" si="629"/>
        <v>2052</v>
      </c>
      <c r="C2653" s="33" t="s">
        <v>52</v>
      </c>
      <c r="D2653" s="34" t="s">
        <v>128</v>
      </c>
      <c r="E2653" s="35" t="str">
        <f t="shared" si="627"/>
        <v>PRBDP'!</v>
      </c>
      <c r="F2653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53" s="32" t="s">
        <v>122</v>
      </c>
      <c r="H2653" s="33"/>
      <c r="I2653" s="33"/>
      <c r="J2653" s="37"/>
    </row>
    <row r="2654" spans="1:10" x14ac:dyDescent="0.35">
      <c r="A2654" s="32" t="s">
        <v>17</v>
      </c>
      <c r="B2654" s="32">
        <f t="shared" si="629"/>
        <v>2053</v>
      </c>
      <c r="C2654" s="33" t="s">
        <v>52</v>
      </c>
      <c r="D2654" s="34" t="s">
        <v>128</v>
      </c>
      <c r="E2654" s="35" t="str">
        <f t="shared" si="627"/>
        <v>PRBDP'!</v>
      </c>
      <c r="F2654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54" s="32" t="s">
        <v>122</v>
      </c>
      <c r="H2654" s="33"/>
      <c r="I2654" s="33"/>
      <c r="J2654" s="37"/>
    </row>
    <row r="2655" spans="1:10" x14ac:dyDescent="0.35">
      <c r="A2655" s="32" t="s">
        <v>17</v>
      </c>
      <c r="B2655" s="32">
        <f t="shared" si="629"/>
        <v>2054</v>
      </c>
      <c r="C2655" s="33" t="s">
        <v>52</v>
      </c>
      <c r="D2655" s="34" t="s">
        <v>128</v>
      </c>
      <c r="E2655" s="35" t="str">
        <f t="shared" si="627"/>
        <v>PRBDP'!</v>
      </c>
      <c r="F2655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55" s="32" t="s">
        <v>122</v>
      </c>
      <c r="H2655" s="33"/>
      <c r="I2655" s="33"/>
      <c r="J2655" s="37"/>
    </row>
    <row r="2656" spans="1:10" x14ac:dyDescent="0.35">
      <c r="A2656" s="32" t="s">
        <v>17</v>
      </c>
      <c r="B2656" s="32">
        <f t="shared" si="629"/>
        <v>2055</v>
      </c>
      <c r="C2656" s="33" t="s">
        <v>52</v>
      </c>
      <c r="D2656" s="34" t="s">
        <v>128</v>
      </c>
      <c r="E2656" s="35" t="str">
        <f t="shared" si="627"/>
        <v>PRBDP'!</v>
      </c>
      <c r="F2656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56" s="32" t="s">
        <v>122</v>
      </c>
      <c r="H2656" s="33"/>
      <c r="I2656" s="33"/>
      <c r="J2656" s="37"/>
    </row>
    <row r="2657" spans="1:10" x14ac:dyDescent="0.35">
      <c r="A2657" s="32" t="s">
        <v>17</v>
      </c>
      <c r="B2657" s="32">
        <f t="shared" si="629"/>
        <v>2056</v>
      </c>
      <c r="C2657" s="33" t="s">
        <v>52</v>
      </c>
      <c r="D2657" s="34" t="s">
        <v>128</v>
      </c>
      <c r="E2657" s="35" t="str">
        <f t="shared" si="627"/>
        <v>PRBDP'!</v>
      </c>
      <c r="F2657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57" s="32" t="s">
        <v>122</v>
      </c>
      <c r="H2657" s="33"/>
      <c r="I2657" s="33"/>
      <c r="J2657" s="37"/>
    </row>
    <row r="2658" spans="1:10" x14ac:dyDescent="0.35">
      <c r="A2658" s="32" t="s">
        <v>17</v>
      </c>
      <c r="B2658" s="32">
        <f t="shared" si="629"/>
        <v>2057</v>
      </c>
      <c r="C2658" s="33" t="s">
        <v>52</v>
      </c>
      <c r="D2658" s="34" t="s">
        <v>128</v>
      </c>
      <c r="E2658" s="35" t="str">
        <f t="shared" si="627"/>
        <v>PRBDP'!</v>
      </c>
      <c r="F2658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58" s="32" t="s">
        <v>122</v>
      </c>
      <c r="H2658" s="33"/>
      <c r="I2658" s="33"/>
      <c r="J2658" s="37"/>
    </row>
    <row r="2659" spans="1:10" x14ac:dyDescent="0.35">
      <c r="A2659" s="32" t="s">
        <v>17</v>
      </c>
      <c r="B2659" s="32">
        <f t="shared" si="629"/>
        <v>2058</v>
      </c>
      <c r="C2659" s="33" t="s">
        <v>52</v>
      </c>
      <c r="D2659" s="34" t="s">
        <v>128</v>
      </c>
      <c r="E2659" s="35" t="str">
        <f t="shared" si="627"/>
        <v>PRBDP'!</v>
      </c>
      <c r="F2659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59" s="32" t="s">
        <v>122</v>
      </c>
      <c r="H2659" s="33"/>
      <c r="I2659" s="33"/>
      <c r="J2659" s="37"/>
    </row>
    <row r="2660" spans="1:10" x14ac:dyDescent="0.35">
      <c r="A2660" s="32" t="s">
        <v>17</v>
      </c>
      <c r="B2660" s="32">
        <f t="shared" si="629"/>
        <v>2059</v>
      </c>
      <c r="C2660" s="33" t="s">
        <v>52</v>
      </c>
      <c r="D2660" s="34" t="s">
        <v>128</v>
      </c>
      <c r="E2660" s="35" t="str">
        <f t="shared" si="627"/>
        <v>PRBDP'!</v>
      </c>
      <c r="F2660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60" s="32" t="s">
        <v>122</v>
      </c>
      <c r="H2660" s="33"/>
      <c r="I2660" s="33"/>
      <c r="J2660" s="37"/>
    </row>
    <row r="2661" spans="1:10" x14ac:dyDescent="0.35">
      <c r="A2661" s="32" t="s">
        <v>26</v>
      </c>
      <c r="B2661" s="32"/>
      <c r="C2661" s="33" t="s">
        <v>52</v>
      </c>
      <c r="D2661" s="34"/>
      <c r="E2661" s="35"/>
      <c r="F2661" s="34"/>
      <c r="G2661" s="32"/>
      <c r="H2661" s="33"/>
      <c r="I2661" s="33"/>
      <c r="J2661" s="33"/>
    </row>
    <row r="2662" spans="1:10" x14ac:dyDescent="0.35">
      <c r="A2662" s="32" t="s">
        <v>18</v>
      </c>
      <c r="B2662" s="32">
        <v>2023</v>
      </c>
      <c r="C2662" s="33" t="s">
        <v>52</v>
      </c>
      <c r="D2662" s="34" t="s">
        <v>128</v>
      </c>
      <c r="E2662" s="35" t="str">
        <f t="shared" ref="E2662:E2682" si="630">_xlfn.CONCAT(A2662,"'!")</f>
        <v>PRBNP'!</v>
      </c>
      <c r="F2662" s="34" t="str">
        <f t="shared" ref="F2662:F2682" si="631">_xlfn.CONCAT(D2662:E2662)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62" s="32" t="s">
        <v>122</v>
      </c>
      <c r="H2662" s="33"/>
      <c r="I2662" s="33"/>
      <c r="J2662" s="37"/>
    </row>
    <row r="2663" spans="1:10" x14ac:dyDescent="0.35">
      <c r="A2663" s="32" t="s">
        <v>18</v>
      </c>
      <c r="B2663" s="32">
        <f>+B2662+1</f>
        <v>2024</v>
      </c>
      <c r="C2663" s="33" t="s">
        <v>52</v>
      </c>
      <c r="D2663" s="34" t="s">
        <v>128</v>
      </c>
      <c r="E2663" s="35" t="str">
        <f t="shared" si="630"/>
        <v>PRBNP'!</v>
      </c>
      <c r="F2663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63" s="32" t="s">
        <v>122</v>
      </c>
      <c r="H2663" s="33"/>
      <c r="I2663" s="33"/>
      <c r="J2663" s="37"/>
    </row>
    <row r="2664" spans="1:10" x14ac:dyDescent="0.35">
      <c r="A2664" s="32" t="s">
        <v>18</v>
      </c>
      <c r="B2664" s="32">
        <f t="shared" ref="B2664:B2675" si="632">+B2663+1</f>
        <v>2025</v>
      </c>
      <c r="C2664" s="33" t="s">
        <v>52</v>
      </c>
      <c r="D2664" s="34" t="s">
        <v>128</v>
      </c>
      <c r="E2664" s="35" t="str">
        <f t="shared" si="630"/>
        <v>PRBNP'!</v>
      </c>
      <c r="F2664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64" s="32" t="s">
        <v>122</v>
      </c>
      <c r="H2664" s="33"/>
      <c r="I2664" s="33"/>
      <c r="J2664" s="37"/>
    </row>
    <row r="2665" spans="1:10" x14ac:dyDescent="0.35">
      <c r="A2665" s="32" t="s">
        <v>18</v>
      </c>
      <c r="B2665" s="32">
        <f t="shared" si="632"/>
        <v>2026</v>
      </c>
      <c r="C2665" s="33" t="s">
        <v>52</v>
      </c>
      <c r="D2665" s="34" t="s">
        <v>128</v>
      </c>
      <c r="E2665" s="35" t="str">
        <f t="shared" si="630"/>
        <v>PRBNP'!</v>
      </c>
      <c r="F2665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65" s="32" t="s">
        <v>122</v>
      </c>
      <c r="H2665" s="33"/>
      <c r="I2665" s="33"/>
      <c r="J2665" s="37"/>
    </row>
    <row r="2666" spans="1:10" x14ac:dyDescent="0.35">
      <c r="A2666" s="32" t="s">
        <v>18</v>
      </c>
      <c r="B2666" s="32">
        <f t="shared" si="632"/>
        <v>2027</v>
      </c>
      <c r="C2666" s="33" t="s">
        <v>52</v>
      </c>
      <c r="D2666" s="34" t="s">
        <v>128</v>
      </c>
      <c r="E2666" s="35" t="str">
        <f t="shared" si="630"/>
        <v>PRBNP'!</v>
      </c>
      <c r="F2666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66" s="32" t="s">
        <v>122</v>
      </c>
      <c r="H2666" s="33"/>
      <c r="I2666" s="33"/>
      <c r="J2666" s="37"/>
    </row>
    <row r="2667" spans="1:10" x14ac:dyDescent="0.35">
      <c r="A2667" s="32" t="s">
        <v>18</v>
      </c>
      <c r="B2667" s="32">
        <f t="shared" si="632"/>
        <v>2028</v>
      </c>
      <c r="C2667" s="33" t="s">
        <v>52</v>
      </c>
      <c r="D2667" s="34" t="s">
        <v>128</v>
      </c>
      <c r="E2667" s="35" t="str">
        <f t="shared" si="630"/>
        <v>PRBNP'!</v>
      </c>
      <c r="F2667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67" s="32" t="s">
        <v>122</v>
      </c>
      <c r="H2667" s="33"/>
      <c r="I2667" s="33"/>
      <c r="J2667" s="37"/>
    </row>
    <row r="2668" spans="1:10" x14ac:dyDescent="0.35">
      <c r="A2668" s="32" t="s">
        <v>18</v>
      </c>
      <c r="B2668" s="32">
        <f t="shared" si="632"/>
        <v>2029</v>
      </c>
      <c r="C2668" s="33" t="s">
        <v>52</v>
      </c>
      <c r="D2668" s="34" t="s">
        <v>128</v>
      </c>
      <c r="E2668" s="35" t="str">
        <f t="shared" si="630"/>
        <v>PRBNP'!</v>
      </c>
      <c r="F2668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68" s="32" t="s">
        <v>122</v>
      </c>
      <c r="H2668" s="33"/>
      <c r="I2668" s="33"/>
      <c r="J2668" s="37"/>
    </row>
    <row r="2669" spans="1:10" x14ac:dyDescent="0.35">
      <c r="A2669" s="32" t="s">
        <v>18</v>
      </c>
      <c r="B2669" s="32">
        <f t="shared" si="632"/>
        <v>2030</v>
      </c>
      <c r="C2669" s="33" t="s">
        <v>52</v>
      </c>
      <c r="D2669" s="34" t="s">
        <v>128</v>
      </c>
      <c r="E2669" s="35" t="str">
        <f t="shared" si="630"/>
        <v>PRBNP'!</v>
      </c>
      <c r="F2669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69" s="32" t="s">
        <v>122</v>
      </c>
      <c r="H2669" s="33"/>
      <c r="I2669" s="33"/>
      <c r="J2669" s="37"/>
    </row>
    <row r="2670" spans="1:10" x14ac:dyDescent="0.35">
      <c r="A2670" s="32" t="s">
        <v>18</v>
      </c>
      <c r="B2670" s="32">
        <f t="shared" si="632"/>
        <v>2031</v>
      </c>
      <c r="C2670" s="33" t="s">
        <v>52</v>
      </c>
      <c r="D2670" s="34" t="s">
        <v>128</v>
      </c>
      <c r="E2670" s="35" t="str">
        <f t="shared" si="630"/>
        <v>PRBNP'!</v>
      </c>
      <c r="F2670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70" s="32" t="s">
        <v>122</v>
      </c>
      <c r="H2670" s="33"/>
      <c r="I2670" s="33"/>
      <c r="J2670" s="37"/>
    </row>
    <row r="2671" spans="1:10" x14ac:dyDescent="0.35">
      <c r="A2671" s="32" t="s">
        <v>18</v>
      </c>
      <c r="B2671" s="32">
        <f t="shared" si="632"/>
        <v>2032</v>
      </c>
      <c r="C2671" s="33" t="s">
        <v>52</v>
      </c>
      <c r="D2671" s="34" t="s">
        <v>128</v>
      </c>
      <c r="E2671" s="35" t="str">
        <f t="shared" si="630"/>
        <v>PRBNP'!</v>
      </c>
      <c r="F2671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71" s="32" t="s">
        <v>122</v>
      </c>
      <c r="H2671" s="33"/>
      <c r="I2671" s="33"/>
      <c r="J2671" s="37"/>
    </row>
    <row r="2672" spans="1:10" x14ac:dyDescent="0.35">
      <c r="A2672" s="32" t="s">
        <v>18</v>
      </c>
      <c r="B2672" s="32">
        <f t="shared" si="632"/>
        <v>2033</v>
      </c>
      <c r="C2672" s="33" t="s">
        <v>52</v>
      </c>
      <c r="D2672" s="34" t="s">
        <v>128</v>
      </c>
      <c r="E2672" s="35" t="str">
        <f t="shared" si="630"/>
        <v>PRBNP'!</v>
      </c>
      <c r="F2672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72" s="32" t="s">
        <v>122</v>
      </c>
      <c r="H2672" s="33"/>
      <c r="I2672" s="33"/>
      <c r="J2672" s="37"/>
    </row>
    <row r="2673" spans="1:10" x14ac:dyDescent="0.35">
      <c r="A2673" s="32" t="s">
        <v>18</v>
      </c>
      <c r="B2673" s="32">
        <f t="shared" si="632"/>
        <v>2034</v>
      </c>
      <c r="C2673" s="33" t="s">
        <v>52</v>
      </c>
      <c r="D2673" s="34" t="s">
        <v>128</v>
      </c>
      <c r="E2673" s="35" t="str">
        <f t="shared" si="630"/>
        <v>PRBNP'!</v>
      </c>
      <c r="F2673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73" s="32" t="s">
        <v>122</v>
      </c>
      <c r="H2673" s="33"/>
      <c r="I2673" s="33"/>
      <c r="J2673" s="37"/>
    </row>
    <row r="2674" spans="1:10" x14ac:dyDescent="0.35">
      <c r="A2674" s="32" t="s">
        <v>18</v>
      </c>
      <c r="B2674" s="32">
        <f t="shared" si="632"/>
        <v>2035</v>
      </c>
      <c r="C2674" s="33" t="s">
        <v>52</v>
      </c>
      <c r="D2674" s="34" t="s">
        <v>128</v>
      </c>
      <c r="E2674" s="35" t="str">
        <f t="shared" si="630"/>
        <v>PRBNP'!</v>
      </c>
      <c r="F2674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74" s="32" t="s">
        <v>122</v>
      </c>
      <c r="H2674" s="33"/>
      <c r="I2674" s="33"/>
      <c r="J2674" s="37"/>
    </row>
    <row r="2675" spans="1:10" x14ac:dyDescent="0.35">
      <c r="A2675" s="32" t="s">
        <v>18</v>
      </c>
      <c r="B2675" s="32">
        <f t="shared" si="632"/>
        <v>2036</v>
      </c>
      <c r="C2675" s="33" t="s">
        <v>52</v>
      </c>
      <c r="D2675" s="34" t="s">
        <v>128</v>
      </c>
      <c r="E2675" s="35" t="str">
        <f t="shared" si="630"/>
        <v>PRBNP'!</v>
      </c>
      <c r="F2675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75" s="32" t="s">
        <v>122</v>
      </c>
      <c r="H2675" s="33"/>
      <c r="I2675" s="33"/>
      <c r="J2675" s="37"/>
    </row>
    <row r="2676" spans="1:10" x14ac:dyDescent="0.35">
      <c r="A2676" s="32" t="s">
        <v>18</v>
      </c>
      <c r="B2676" s="32">
        <f>+B2675+1</f>
        <v>2037</v>
      </c>
      <c r="C2676" s="33" t="s">
        <v>52</v>
      </c>
      <c r="D2676" s="34" t="s">
        <v>128</v>
      </c>
      <c r="E2676" s="35" t="str">
        <f t="shared" si="630"/>
        <v>PRBNP'!</v>
      </c>
      <c r="F2676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76" s="32" t="s">
        <v>122</v>
      </c>
      <c r="H2676" s="33"/>
      <c r="I2676" s="33"/>
      <c r="J2676" s="37"/>
    </row>
    <row r="2677" spans="1:10" x14ac:dyDescent="0.35">
      <c r="A2677" s="32" t="s">
        <v>18</v>
      </c>
      <c r="B2677" s="32">
        <f t="shared" ref="B2677:B2679" si="633">+B2676+1</f>
        <v>2038</v>
      </c>
      <c r="C2677" s="33" t="s">
        <v>52</v>
      </c>
      <c r="D2677" s="34" t="s">
        <v>128</v>
      </c>
      <c r="E2677" s="35" t="str">
        <f t="shared" si="630"/>
        <v>PRBNP'!</v>
      </c>
      <c r="F2677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77" s="32" t="s">
        <v>122</v>
      </c>
      <c r="H2677" s="33"/>
      <c r="I2677" s="33"/>
      <c r="J2677" s="37"/>
    </row>
    <row r="2678" spans="1:10" x14ac:dyDescent="0.35">
      <c r="A2678" s="32" t="s">
        <v>18</v>
      </c>
      <c r="B2678" s="32">
        <f t="shared" si="633"/>
        <v>2039</v>
      </c>
      <c r="C2678" s="33" t="s">
        <v>52</v>
      </c>
      <c r="D2678" s="34" t="s">
        <v>128</v>
      </c>
      <c r="E2678" s="35" t="str">
        <f t="shared" si="630"/>
        <v>PRBNP'!</v>
      </c>
      <c r="F2678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78" s="32" t="s">
        <v>122</v>
      </c>
      <c r="H2678" s="33"/>
      <c r="I2678" s="33"/>
      <c r="J2678" s="37"/>
    </row>
    <row r="2679" spans="1:10" x14ac:dyDescent="0.35">
      <c r="A2679" s="32" t="s">
        <v>18</v>
      </c>
      <c r="B2679" s="32">
        <f t="shared" si="633"/>
        <v>2040</v>
      </c>
      <c r="C2679" s="33" t="s">
        <v>52</v>
      </c>
      <c r="D2679" s="34" t="s">
        <v>128</v>
      </c>
      <c r="E2679" s="35" t="str">
        <f t="shared" si="630"/>
        <v>PRBNP'!</v>
      </c>
      <c r="F2679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79" s="32" t="s">
        <v>122</v>
      </c>
      <c r="H2679" s="33"/>
      <c r="I2679" s="33"/>
      <c r="J2679" s="37"/>
    </row>
    <row r="2680" spans="1:10" x14ac:dyDescent="0.35">
      <c r="A2680" s="32" t="s">
        <v>18</v>
      </c>
      <c r="B2680" s="32">
        <f>+B2679+1</f>
        <v>2041</v>
      </c>
      <c r="C2680" s="33" t="s">
        <v>52</v>
      </c>
      <c r="D2680" s="34" t="s">
        <v>128</v>
      </c>
      <c r="E2680" s="35" t="str">
        <f t="shared" si="630"/>
        <v>PRBNP'!</v>
      </c>
      <c r="F2680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80" s="32" t="s">
        <v>122</v>
      </c>
      <c r="H2680" s="33"/>
      <c r="I2680" s="33"/>
      <c r="J2680" s="37"/>
    </row>
    <row r="2681" spans="1:10" x14ac:dyDescent="0.35">
      <c r="A2681" s="32" t="s">
        <v>18</v>
      </c>
      <c r="B2681" s="32">
        <f t="shared" ref="B2681:B2682" si="634">+B2680+1</f>
        <v>2042</v>
      </c>
      <c r="C2681" s="33" t="s">
        <v>52</v>
      </c>
      <c r="D2681" s="34" t="s">
        <v>128</v>
      </c>
      <c r="E2681" s="35" t="str">
        <f t="shared" si="630"/>
        <v>PRBNP'!</v>
      </c>
      <c r="F2681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81" s="32" t="s">
        <v>122</v>
      </c>
      <c r="H2681" s="33"/>
      <c r="I2681" s="33"/>
      <c r="J2681" s="37"/>
    </row>
    <row r="2682" spans="1:10" x14ac:dyDescent="0.35">
      <c r="A2682" s="32" t="s">
        <v>18</v>
      </c>
      <c r="B2682" s="32">
        <f t="shared" si="634"/>
        <v>2043</v>
      </c>
      <c r="C2682" s="33" t="s">
        <v>52</v>
      </c>
      <c r="D2682" s="34" t="s">
        <v>128</v>
      </c>
      <c r="E2682" s="35" t="str">
        <f t="shared" si="630"/>
        <v>PRBNP'!</v>
      </c>
      <c r="F2682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82" s="32" t="s">
        <v>122</v>
      </c>
      <c r="H2682" s="33"/>
      <c r="I2682" s="33"/>
      <c r="J2682" s="37"/>
    </row>
    <row r="2683" spans="1:10" x14ac:dyDescent="0.35">
      <c r="A2683" s="32" t="s">
        <v>18</v>
      </c>
      <c r="B2683" s="32">
        <f>+B2682+1</f>
        <v>2044</v>
      </c>
      <c r="C2683" s="33" t="s">
        <v>52</v>
      </c>
      <c r="D2683" s="34" t="s">
        <v>128</v>
      </c>
      <c r="E2683" s="35" t="str">
        <f t="shared" ref="E2683:E2698" si="635">_xlfn.CONCAT(A2683,"'!")</f>
        <v>PRBNP'!</v>
      </c>
      <c r="F2683" s="34" t="str">
        <f t="shared" ref="F2683:F2698" si="636">_xlfn.CONCAT(D2683:E2683)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83" s="32" t="s">
        <v>122</v>
      </c>
      <c r="H2683" s="33"/>
      <c r="I2683" s="33"/>
      <c r="J2683" s="37"/>
    </row>
    <row r="2684" spans="1:10" x14ac:dyDescent="0.35">
      <c r="A2684" s="32" t="s">
        <v>18</v>
      </c>
      <c r="B2684" s="32">
        <f t="shared" ref="B2684:B2698" si="637">+B2683+1</f>
        <v>2045</v>
      </c>
      <c r="C2684" s="33" t="s">
        <v>52</v>
      </c>
      <c r="D2684" s="34" t="s">
        <v>128</v>
      </c>
      <c r="E2684" s="35" t="str">
        <f t="shared" si="635"/>
        <v>PRBNP'!</v>
      </c>
      <c r="F2684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84" s="32" t="s">
        <v>122</v>
      </c>
      <c r="H2684" s="33"/>
      <c r="I2684" s="33"/>
      <c r="J2684" s="37"/>
    </row>
    <row r="2685" spans="1:10" x14ac:dyDescent="0.35">
      <c r="A2685" s="32" t="s">
        <v>18</v>
      </c>
      <c r="B2685" s="32">
        <f t="shared" si="637"/>
        <v>2046</v>
      </c>
      <c r="C2685" s="33" t="s">
        <v>52</v>
      </c>
      <c r="D2685" s="34" t="s">
        <v>128</v>
      </c>
      <c r="E2685" s="35" t="str">
        <f t="shared" si="635"/>
        <v>PRBNP'!</v>
      </c>
      <c r="F2685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85" s="32" t="s">
        <v>122</v>
      </c>
      <c r="H2685" s="33"/>
      <c r="I2685" s="33"/>
      <c r="J2685" s="37"/>
    </row>
    <row r="2686" spans="1:10" x14ac:dyDescent="0.35">
      <c r="A2686" s="32" t="s">
        <v>18</v>
      </c>
      <c r="B2686" s="32">
        <f t="shared" si="637"/>
        <v>2047</v>
      </c>
      <c r="C2686" s="33" t="s">
        <v>52</v>
      </c>
      <c r="D2686" s="34" t="s">
        <v>128</v>
      </c>
      <c r="E2686" s="35" t="str">
        <f t="shared" si="635"/>
        <v>PRBNP'!</v>
      </c>
      <c r="F2686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86" s="32" t="s">
        <v>122</v>
      </c>
      <c r="H2686" s="33"/>
      <c r="I2686" s="33"/>
      <c r="J2686" s="37"/>
    </row>
    <row r="2687" spans="1:10" x14ac:dyDescent="0.35">
      <c r="A2687" s="32" t="s">
        <v>18</v>
      </c>
      <c r="B2687" s="32">
        <f t="shared" si="637"/>
        <v>2048</v>
      </c>
      <c r="C2687" s="33" t="s">
        <v>52</v>
      </c>
      <c r="D2687" s="34" t="s">
        <v>128</v>
      </c>
      <c r="E2687" s="35" t="str">
        <f t="shared" si="635"/>
        <v>PRBNP'!</v>
      </c>
      <c r="F2687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87" s="32" t="s">
        <v>122</v>
      </c>
      <c r="H2687" s="33"/>
      <c r="I2687" s="33"/>
      <c r="J2687" s="37"/>
    </row>
    <row r="2688" spans="1:10" x14ac:dyDescent="0.35">
      <c r="A2688" s="32" t="s">
        <v>18</v>
      </c>
      <c r="B2688" s="32">
        <f t="shared" si="637"/>
        <v>2049</v>
      </c>
      <c r="C2688" s="33" t="s">
        <v>52</v>
      </c>
      <c r="D2688" s="34" t="s">
        <v>128</v>
      </c>
      <c r="E2688" s="35" t="str">
        <f t="shared" si="635"/>
        <v>PRBNP'!</v>
      </c>
      <c r="F2688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88" s="32" t="s">
        <v>122</v>
      </c>
      <c r="H2688" s="33"/>
      <c r="I2688" s="33"/>
      <c r="J2688" s="37"/>
    </row>
    <row r="2689" spans="1:10" x14ac:dyDescent="0.35">
      <c r="A2689" s="32" t="s">
        <v>18</v>
      </c>
      <c r="B2689" s="32">
        <f t="shared" si="637"/>
        <v>2050</v>
      </c>
      <c r="C2689" s="33" t="s">
        <v>52</v>
      </c>
      <c r="D2689" s="34" t="s">
        <v>128</v>
      </c>
      <c r="E2689" s="35" t="str">
        <f t="shared" si="635"/>
        <v>PRBNP'!</v>
      </c>
      <c r="F2689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89" s="32" t="s">
        <v>122</v>
      </c>
      <c r="H2689" s="33"/>
      <c r="I2689" s="33"/>
      <c r="J2689" s="37"/>
    </row>
    <row r="2690" spans="1:10" x14ac:dyDescent="0.35">
      <c r="A2690" s="32" t="s">
        <v>18</v>
      </c>
      <c r="B2690" s="32">
        <f t="shared" si="637"/>
        <v>2051</v>
      </c>
      <c r="C2690" s="33" t="s">
        <v>52</v>
      </c>
      <c r="D2690" s="34" t="s">
        <v>128</v>
      </c>
      <c r="E2690" s="35" t="str">
        <f t="shared" si="635"/>
        <v>PRBNP'!</v>
      </c>
      <c r="F2690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90" s="32" t="s">
        <v>122</v>
      </c>
      <c r="H2690" s="33"/>
      <c r="I2690" s="33"/>
      <c r="J2690" s="37"/>
    </row>
    <row r="2691" spans="1:10" x14ac:dyDescent="0.35">
      <c r="A2691" s="32" t="s">
        <v>18</v>
      </c>
      <c r="B2691" s="32">
        <f t="shared" si="637"/>
        <v>2052</v>
      </c>
      <c r="C2691" s="33" t="s">
        <v>52</v>
      </c>
      <c r="D2691" s="34" t="s">
        <v>128</v>
      </c>
      <c r="E2691" s="35" t="str">
        <f t="shared" si="635"/>
        <v>PRBNP'!</v>
      </c>
      <c r="F2691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91" s="32" t="s">
        <v>122</v>
      </c>
      <c r="H2691" s="33"/>
      <c r="I2691" s="33"/>
      <c r="J2691" s="37"/>
    </row>
    <row r="2692" spans="1:10" x14ac:dyDescent="0.35">
      <c r="A2692" s="32" t="s">
        <v>18</v>
      </c>
      <c r="B2692" s="32">
        <f t="shared" si="637"/>
        <v>2053</v>
      </c>
      <c r="C2692" s="33" t="s">
        <v>52</v>
      </c>
      <c r="D2692" s="34" t="s">
        <v>128</v>
      </c>
      <c r="E2692" s="35" t="str">
        <f t="shared" si="635"/>
        <v>PRBNP'!</v>
      </c>
      <c r="F2692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92" s="32" t="s">
        <v>122</v>
      </c>
      <c r="H2692" s="33"/>
      <c r="I2692" s="33"/>
      <c r="J2692" s="37"/>
    </row>
    <row r="2693" spans="1:10" x14ac:dyDescent="0.35">
      <c r="A2693" s="32" t="s">
        <v>18</v>
      </c>
      <c r="B2693" s="32">
        <f t="shared" si="637"/>
        <v>2054</v>
      </c>
      <c r="C2693" s="33" t="s">
        <v>52</v>
      </c>
      <c r="D2693" s="34" t="s">
        <v>128</v>
      </c>
      <c r="E2693" s="35" t="str">
        <f t="shared" si="635"/>
        <v>PRBNP'!</v>
      </c>
      <c r="F2693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93" s="32" t="s">
        <v>122</v>
      </c>
      <c r="H2693" s="33"/>
      <c r="I2693" s="33"/>
      <c r="J2693" s="37"/>
    </row>
    <row r="2694" spans="1:10" x14ac:dyDescent="0.35">
      <c r="A2694" s="32" t="s">
        <v>18</v>
      </c>
      <c r="B2694" s="32">
        <f t="shared" si="637"/>
        <v>2055</v>
      </c>
      <c r="C2694" s="33" t="s">
        <v>52</v>
      </c>
      <c r="D2694" s="34" t="s">
        <v>128</v>
      </c>
      <c r="E2694" s="35" t="str">
        <f t="shared" si="635"/>
        <v>PRBNP'!</v>
      </c>
      <c r="F2694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94" s="32" t="s">
        <v>122</v>
      </c>
      <c r="H2694" s="33"/>
      <c r="I2694" s="33"/>
      <c r="J2694" s="37"/>
    </row>
    <row r="2695" spans="1:10" x14ac:dyDescent="0.35">
      <c r="A2695" s="32" t="s">
        <v>18</v>
      </c>
      <c r="B2695" s="32">
        <f t="shared" si="637"/>
        <v>2056</v>
      </c>
      <c r="C2695" s="33" t="s">
        <v>52</v>
      </c>
      <c r="D2695" s="34" t="s">
        <v>128</v>
      </c>
      <c r="E2695" s="35" t="str">
        <f t="shared" si="635"/>
        <v>PRBNP'!</v>
      </c>
      <c r="F2695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95" s="32" t="s">
        <v>122</v>
      </c>
      <c r="H2695" s="33"/>
      <c r="I2695" s="33"/>
      <c r="J2695" s="37"/>
    </row>
    <row r="2696" spans="1:10" x14ac:dyDescent="0.35">
      <c r="A2696" s="32" t="s">
        <v>18</v>
      </c>
      <c r="B2696" s="32">
        <f t="shared" si="637"/>
        <v>2057</v>
      </c>
      <c r="C2696" s="33" t="s">
        <v>52</v>
      </c>
      <c r="D2696" s="34" t="s">
        <v>128</v>
      </c>
      <c r="E2696" s="35" t="str">
        <f t="shared" si="635"/>
        <v>PRBNP'!</v>
      </c>
      <c r="F2696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96" s="32" t="s">
        <v>122</v>
      </c>
      <c r="H2696" s="33"/>
      <c r="I2696" s="33"/>
      <c r="J2696" s="37"/>
    </row>
    <row r="2697" spans="1:10" x14ac:dyDescent="0.35">
      <c r="A2697" s="32" t="s">
        <v>18</v>
      </c>
      <c r="B2697" s="32">
        <f t="shared" si="637"/>
        <v>2058</v>
      </c>
      <c r="C2697" s="33" t="s">
        <v>52</v>
      </c>
      <c r="D2697" s="34" t="s">
        <v>128</v>
      </c>
      <c r="E2697" s="35" t="str">
        <f t="shared" si="635"/>
        <v>PRBNP'!</v>
      </c>
      <c r="F2697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97" s="32" t="s">
        <v>122</v>
      </c>
      <c r="H2697" s="33"/>
      <c r="I2697" s="33"/>
      <c r="J2697" s="37"/>
    </row>
    <row r="2698" spans="1:10" x14ac:dyDescent="0.35">
      <c r="A2698" s="32" t="s">
        <v>18</v>
      </c>
      <c r="B2698" s="32">
        <f t="shared" si="637"/>
        <v>2059</v>
      </c>
      <c r="C2698" s="33" t="s">
        <v>52</v>
      </c>
      <c r="D2698" s="34" t="s">
        <v>128</v>
      </c>
      <c r="E2698" s="35" t="str">
        <f t="shared" si="635"/>
        <v>PRBNP'!</v>
      </c>
      <c r="F2698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98" s="32" t="s">
        <v>122</v>
      </c>
      <c r="H2698" s="33"/>
      <c r="I2698" s="33"/>
      <c r="J2698" s="37"/>
    </row>
    <row r="2699" spans="1:10" x14ac:dyDescent="0.35">
      <c r="A2699" s="32" t="s">
        <v>26</v>
      </c>
      <c r="B2699" s="32"/>
      <c r="C2699" s="33" t="s">
        <v>52</v>
      </c>
      <c r="D2699" s="34"/>
      <c r="E2699" s="35"/>
      <c r="F2699" s="34"/>
      <c r="G2699" s="32"/>
      <c r="H2699" s="33"/>
      <c r="I2699" s="33"/>
      <c r="J2699" s="33"/>
    </row>
    <row r="2700" spans="1:10" x14ac:dyDescent="0.35">
      <c r="A2700" s="32" t="s">
        <v>19</v>
      </c>
      <c r="B2700" s="32">
        <v>2023</v>
      </c>
      <c r="C2700" s="33" t="s">
        <v>52</v>
      </c>
      <c r="D2700" s="34" t="s">
        <v>128</v>
      </c>
      <c r="E2700" s="35" t="str">
        <f t="shared" ref="E2700:E2720" si="638">_xlfn.CONCAT(A2700,"'!")</f>
        <v>PRBND'!</v>
      </c>
      <c r="F2700" s="34" t="str">
        <f t="shared" ref="F2700:F2720" si="639">_xlfn.CONCAT(D2700:E2700)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00" s="32" t="s">
        <v>122</v>
      </c>
      <c r="H2700" s="33"/>
      <c r="I2700" s="33"/>
      <c r="J2700" s="37"/>
    </row>
    <row r="2701" spans="1:10" x14ac:dyDescent="0.35">
      <c r="A2701" s="32" t="s">
        <v>19</v>
      </c>
      <c r="B2701" s="32">
        <f>+B2700+1</f>
        <v>2024</v>
      </c>
      <c r="C2701" s="33" t="s">
        <v>52</v>
      </c>
      <c r="D2701" s="34" t="s">
        <v>128</v>
      </c>
      <c r="E2701" s="35" t="str">
        <f t="shared" si="638"/>
        <v>PRBND'!</v>
      </c>
      <c r="F2701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01" s="32" t="s">
        <v>122</v>
      </c>
      <c r="H2701" s="33"/>
      <c r="I2701" s="33"/>
      <c r="J2701" s="37"/>
    </row>
    <row r="2702" spans="1:10" x14ac:dyDescent="0.35">
      <c r="A2702" s="32" t="s">
        <v>19</v>
      </c>
      <c r="B2702" s="32">
        <f t="shared" ref="B2702:B2713" si="640">+B2701+1</f>
        <v>2025</v>
      </c>
      <c r="C2702" s="33" t="s">
        <v>52</v>
      </c>
      <c r="D2702" s="34" t="s">
        <v>128</v>
      </c>
      <c r="E2702" s="35" t="str">
        <f t="shared" si="638"/>
        <v>PRBND'!</v>
      </c>
      <c r="F2702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02" s="32" t="s">
        <v>122</v>
      </c>
      <c r="H2702" s="33"/>
      <c r="I2702" s="33"/>
      <c r="J2702" s="37"/>
    </row>
    <row r="2703" spans="1:10" x14ac:dyDescent="0.35">
      <c r="A2703" s="32" t="s">
        <v>19</v>
      </c>
      <c r="B2703" s="32">
        <f t="shared" si="640"/>
        <v>2026</v>
      </c>
      <c r="C2703" s="33" t="s">
        <v>52</v>
      </c>
      <c r="D2703" s="34" t="s">
        <v>128</v>
      </c>
      <c r="E2703" s="35" t="str">
        <f t="shared" si="638"/>
        <v>PRBND'!</v>
      </c>
      <c r="F2703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03" s="32" t="s">
        <v>122</v>
      </c>
      <c r="H2703" s="33"/>
      <c r="I2703" s="33"/>
      <c r="J2703" s="37"/>
    </row>
    <row r="2704" spans="1:10" x14ac:dyDescent="0.35">
      <c r="A2704" s="32" t="s">
        <v>19</v>
      </c>
      <c r="B2704" s="32">
        <f t="shared" si="640"/>
        <v>2027</v>
      </c>
      <c r="C2704" s="33" t="s">
        <v>52</v>
      </c>
      <c r="D2704" s="34" t="s">
        <v>128</v>
      </c>
      <c r="E2704" s="35" t="str">
        <f t="shared" si="638"/>
        <v>PRBND'!</v>
      </c>
      <c r="F2704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04" s="32" t="s">
        <v>122</v>
      </c>
      <c r="H2704" s="33"/>
      <c r="I2704" s="33"/>
      <c r="J2704" s="37"/>
    </row>
    <row r="2705" spans="1:10" x14ac:dyDescent="0.35">
      <c r="A2705" s="32" t="s">
        <v>19</v>
      </c>
      <c r="B2705" s="32">
        <f t="shared" si="640"/>
        <v>2028</v>
      </c>
      <c r="C2705" s="33" t="s">
        <v>52</v>
      </c>
      <c r="D2705" s="34" t="s">
        <v>128</v>
      </c>
      <c r="E2705" s="35" t="str">
        <f t="shared" si="638"/>
        <v>PRBND'!</v>
      </c>
      <c r="F2705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05" s="32" t="s">
        <v>122</v>
      </c>
      <c r="H2705" s="33"/>
      <c r="I2705" s="33"/>
      <c r="J2705" s="37"/>
    </row>
    <row r="2706" spans="1:10" x14ac:dyDescent="0.35">
      <c r="A2706" s="32" t="s">
        <v>19</v>
      </c>
      <c r="B2706" s="32">
        <f t="shared" si="640"/>
        <v>2029</v>
      </c>
      <c r="C2706" s="33" t="s">
        <v>52</v>
      </c>
      <c r="D2706" s="34" t="s">
        <v>128</v>
      </c>
      <c r="E2706" s="35" t="str">
        <f t="shared" si="638"/>
        <v>PRBND'!</v>
      </c>
      <c r="F2706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06" s="32" t="s">
        <v>122</v>
      </c>
      <c r="H2706" s="33"/>
      <c r="I2706" s="33"/>
      <c r="J2706" s="37"/>
    </row>
    <row r="2707" spans="1:10" x14ac:dyDescent="0.35">
      <c r="A2707" s="32" t="s">
        <v>19</v>
      </c>
      <c r="B2707" s="32">
        <f t="shared" si="640"/>
        <v>2030</v>
      </c>
      <c r="C2707" s="33" t="s">
        <v>52</v>
      </c>
      <c r="D2707" s="34" t="s">
        <v>128</v>
      </c>
      <c r="E2707" s="35" t="str">
        <f t="shared" si="638"/>
        <v>PRBND'!</v>
      </c>
      <c r="F2707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07" s="32" t="s">
        <v>122</v>
      </c>
      <c r="H2707" s="33"/>
      <c r="I2707" s="33"/>
      <c r="J2707" s="37"/>
    </row>
    <row r="2708" spans="1:10" x14ac:dyDescent="0.35">
      <c r="A2708" s="32" t="s">
        <v>19</v>
      </c>
      <c r="B2708" s="32">
        <f t="shared" si="640"/>
        <v>2031</v>
      </c>
      <c r="C2708" s="33" t="s">
        <v>52</v>
      </c>
      <c r="D2708" s="34" t="s">
        <v>128</v>
      </c>
      <c r="E2708" s="35" t="str">
        <f t="shared" si="638"/>
        <v>PRBND'!</v>
      </c>
      <c r="F2708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08" s="32" t="s">
        <v>122</v>
      </c>
      <c r="H2708" s="33"/>
      <c r="I2708" s="33"/>
      <c r="J2708" s="37"/>
    </row>
    <row r="2709" spans="1:10" x14ac:dyDescent="0.35">
      <c r="A2709" s="32" t="s">
        <v>19</v>
      </c>
      <c r="B2709" s="32">
        <f t="shared" si="640"/>
        <v>2032</v>
      </c>
      <c r="C2709" s="33" t="s">
        <v>52</v>
      </c>
      <c r="D2709" s="34" t="s">
        <v>128</v>
      </c>
      <c r="E2709" s="35" t="str">
        <f t="shared" si="638"/>
        <v>PRBND'!</v>
      </c>
      <c r="F2709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09" s="32" t="s">
        <v>122</v>
      </c>
      <c r="H2709" s="33"/>
      <c r="I2709" s="33"/>
      <c r="J2709" s="37"/>
    </row>
    <row r="2710" spans="1:10" x14ac:dyDescent="0.35">
      <c r="A2710" s="32" t="s">
        <v>19</v>
      </c>
      <c r="B2710" s="32">
        <f t="shared" si="640"/>
        <v>2033</v>
      </c>
      <c r="C2710" s="33" t="s">
        <v>52</v>
      </c>
      <c r="D2710" s="34" t="s">
        <v>128</v>
      </c>
      <c r="E2710" s="35" t="str">
        <f t="shared" si="638"/>
        <v>PRBND'!</v>
      </c>
      <c r="F2710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10" s="32" t="s">
        <v>122</v>
      </c>
      <c r="H2710" s="33"/>
      <c r="I2710" s="33"/>
      <c r="J2710" s="37"/>
    </row>
    <row r="2711" spans="1:10" x14ac:dyDescent="0.35">
      <c r="A2711" s="32" t="s">
        <v>19</v>
      </c>
      <c r="B2711" s="32">
        <f t="shared" si="640"/>
        <v>2034</v>
      </c>
      <c r="C2711" s="33" t="s">
        <v>52</v>
      </c>
      <c r="D2711" s="34" t="s">
        <v>128</v>
      </c>
      <c r="E2711" s="35" t="str">
        <f t="shared" si="638"/>
        <v>PRBND'!</v>
      </c>
      <c r="F2711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11" s="32" t="s">
        <v>122</v>
      </c>
      <c r="H2711" s="33"/>
      <c r="I2711" s="33"/>
      <c r="J2711" s="37"/>
    </row>
    <row r="2712" spans="1:10" x14ac:dyDescent="0.35">
      <c r="A2712" s="32" t="s">
        <v>19</v>
      </c>
      <c r="B2712" s="32">
        <f t="shared" si="640"/>
        <v>2035</v>
      </c>
      <c r="C2712" s="33" t="s">
        <v>52</v>
      </c>
      <c r="D2712" s="34" t="s">
        <v>128</v>
      </c>
      <c r="E2712" s="35" t="str">
        <f t="shared" si="638"/>
        <v>PRBND'!</v>
      </c>
      <c r="F2712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12" s="32" t="s">
        <v>122</v>
      </c>
      <c r="H2712" s="33"/>
      <c r="I2712" s="33"/>
      <c r="J2712" s="37"/>
    </row>
    <row r="2713" spans="1:10" x14ac:dyDescent="0.35">
      <c r="A2713" s="32" t="s">
        <v>19</v>
      </c>
      <c r="B2713" s="32">
        <f t="shared" si="640"/>
        <v>2036</v>
      </c>
      <c r="C2713" s="33" t="s">
        <v>52</v>
      </c>
      <c r="D2713" s="34" t="s">
        <v>128</v>
      </c>
      <c r="E2713" s="35" t="str">
        <f t="shared" si="638"/>
        <v>PRBND'!</v>
      </c>
      <c r="F2713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13" s="32" t="s">
        <v>122</v>
      </c>
      <c r="H2713" s="33"/>
      <c r="I2713" s="33"/>
      <c r="J2713" s="37"/>
    </row>
    <row r="2714" spans="1:10" x14ac:dyDescent="0.35">
      <c r="A2714" s="32" t="s">
        <v>19</v>
      </c>
      <c r="B2714" s="32">
        <f>+B2713+1</f>
        <v>2037</v>
      </c>
      <c r="C2714" s="33" t="s">
        <v>52</v>
      </c>
      <c r="D2714" s="34" t="s">
        <v>128</v>
      </c>
      <c r="E2714" s="35" t="str">
        <f t="shared" si="638"/>
        <v>PRBND'!</v>
      </c>
      <c r="F2714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14" s="32" t="s">
        <v>122</v>
      </c>
      <c r="H2714" s="33"/>
      <c r="I2714" s="33"/>
      <c r="J2714" s="37"/>
    </row>
    <row r="2715" spans="1:10" x14ac:dyDescent="0.35">
      <c r="A2715" s="32" t="s">
        <v>19</v>
      </c>
      <c r="B2715" s="32">
        <f t="shared" ref="B2715:B2717" si="641">+B2714+1</f>
        <v>2038</v>
      </c>
      <c r="C2715" s="33" t="s">
        <v>52</v>
      </c>
      <c r="D2715" s="34" t="s">
        <v>128</v>
      </c>
      <c r="E2715" s="35" t="str">
        <f t="shared" si="638"/>
        <v>PRBND'!</v>
      </c>
      <c r="F2715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15" s="32" t="s">
        <v>122</v>
      </c>
      <c r="H2715" s="33"/>
      <c r="I2715" s="33"/>
      <c r="J2715" s="37"/>
    </row>
    <row r="2716" spans="1:10" x14ac:dyDescent="0.35">
      <c r="A2716" s="32" t="s">
        <v>19</v>
      </c>
      <c r="B2716" s="32">
        <f t="shared" si="641"/>
        <v>2039</v>
      </c>
      <c r="C2716" s="33" t="s">
        <v>52</v>
      </c>
      <c r="D2716" s="34" t="s">
        <v>128</v>
      </c>
      <c r="E2716" s="35" t="str">
        <f t="shared" si="638"/>
        <v>PRBND'!</v>
      </c>
      <c r="F2716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16" s="32" t="s">
        <v>122</v>
      </c>
      <c r="H2716" s="33"/>
      <c r="I2716" s="33"/>
      <c r="J2716" s="37"/>
    </row>
    <row r="2717" spans="1:10" x14ac:dyDescent="0.35">
      <c r="A2717" s="32" t="s">
        <v>19</v>
      </c>
      <c r="B2717" s="32">
        <f t="shared" si="641"/>
        <v>2040</v>
      </c>
      <c r="C2717" s="33" t="s">
        <v>52</v>
      </c>
      <c r="D2717" s="34" t="s">
        <v>128</v>
      </c>
      <c r="E2717" s="35" t="str">
        <f t="shared" si="638"/>
        <v>PRBND'!</v>
      </c>
      <c r="F2717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17" s="32" t="s">
        <v>122</v>
      </c>
      <c r="H2717" s="33"/>
      <c r="I2717" s="33"/>
      <c r="J2717" s="37"/>
    </row>
    <row r="2718" spans="1:10" x14ac:dyDescent="0.35">
      <c r="A2718" s="32" t="s">
        <v>19</v>
      </c>
      <c r="B2718" s="32">
        <f>+B2717+1</f>
        <v>2041</v>
      </c>
      <c r="C2718" s="33" t="s">
        <v>52</v>
      </c>
      <c r="D2718" s="34" t="s">
        <v>128</v>
      </c>
      <c r="E2718" s="35" t="str">
        <f t="shared" si="638"/>
        <v>PRBND'!</v>
      </c>
      <c r="F2718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18" s="32" t="s">
        <v>122</v>
      </c>
      <c r="H2718" s="33"/>
      <c r="I2718" s="33"/>
      <c r="J2718" s="37"/>
    </row>
    <row r="2719" spans="1:10" x14ac:dyDescent="0.35">
      <c r="A2719" s="32" t="s">
        <v>19</v>
      </c>
      <c r="B2719" s="32">
        <f t="shared" ref="B2719:B2720" si="642">+B2718+1</f>
        <v>2042</v>
      </c>
      <c r="C2719" s="33" t="s">
        <v>52</v>
      </c>
      <c r="D2719" s="34" t="s">
        <v>128</v>
      </c>
      <c r="E2719" s="35" t="str">
        <f t="shared" si="638"/>
        <v>PRBND'!</v>
      </c>
      <c r="F2719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19" s="32" t="s">
        <v>122</v>
      </c>
      <c r="H2719" s="33"/>
      <c r="I2719" s="33"/>
      <c r="J2719" s="37"/>
    </row>
    <row r="2720" spans="1:10" x14ac:dyDescent="0.35">
      <c r="A2720" s="32" t="s">
        <v>19</v>
      </c>
      <c r="B2720" s="32">
        <f t="shared" si="642"/>
        <v>2043</v>
      </c>
      <c r="C2720" s="33" t="s">
        <v>52</v>
      </c>
      <c r="D2720" s="34" t="s">
        <v>128</v>
      </c>
      <c r="E2720" s="35" t="str">
        <f t="shared" si="638"/>
        <v>PRBND'!</v>
      </c>
      <c r="F2720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20" s="32" t="s">
        <v>122</v>
      </c>
      <c r="H2720" s="33"/>
      <c r="I2720" s="33"/>
      <c r="J2720" s="37"/>
    </row>
    <row r="2721" spans="1:10" x14ac:dyDescent="0.35">
      <c r="A2721" s="32" t="s">
        <v>19</v>
      </c>
      <c r="B2721" s="32">
        <f>+B2720+1</f>
        <v>2044</v>
      </c>
      <c r="C2721" s="33" t="s">
        <v>52</v>
      </c>
      <c r="D2721" s="34" t="s">
        <v>128</v>
      </c>
      <c r="E2721" s="35" t="str">
        <f t="shared" ref="E2721:E2736" si="643">_xlfn.CONCAT(A2721,"'!")</f>
        <v>PRBND'!</v>
      </c>
      <c r="F2721" s="34" t="str">
        <f t="shared" ref="F2721:F2736" si="644">_xlfn.CONCAT(D2721:E2721)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21" s="32" t="s">
        <v>122</v>
      </c>
      <c r="H2721" s="33"/>
      <c r="I2721" s="33"/>
      <c r="J2721" s="37"/>
    </row>
    <row r="2722" spans="1:10" x14ac:dyDescent="0.35">
      <c r="A2722" s="32" t="s">
        <v>19</v>
      </c>
      <c r="B2722" s="32">
        <f t="shared" ref="B2722:B2736" si="645">+B2721+1</f>
        <v>2045</v>
      </c>
      <c r="C2722" s="33" t="s">
        <v>52</v>
      </c>
      <c r="D2722" s="34" t="s">
        <v>128</v>
      </c>
      <c r="E2722" s="35" t="str">
        <f t="shared" si="643"/>
        <v>PRBND'!</v>
      </c>
      <c r="F2722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22" s="32" t="s">
        <v>122</v>
      </c>
      <c r="H2722" s="33"/>
      <c r="I2722" s="33"/>
      <c r="J2722" s="37"/>
    </row>
    <row r="2723" spans="1:10" x14ac:dyDescent="0.35">
      <c r="A2723" s="32" t="s">
        <v>19</v>
      </c>
      <c r="B2723" s="32">
        <f t="shared" si="645"/>
        <v>2046</v>
      </c>
      <c r="C2723" s="33" t="s">
        <v>52</v>
      </c>
      <c r="D2723" s="34" t="s">
        <v>128</v>
      </c>
      <c r="E2723" s="35" t="str">
        <f t="shared" si="643"/>
        <v>PRBND'!</v>
      </c>
      <c r="F2723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23" s="32" t="s">
        <v>122</v>
      </c>
      <c r="H2723" s="33"/>
      <c r="I2723" s="33"/>
      <c r="J2723" s="37"/>
    </row>
    <row r="2724" spans="1:10" x14ac:dyDescent="0.35">
      <c r="A2724" s="32" t="s">
        <v>19</v>
      </c>
      <c r="B2724" s="32">
        <f t="shared" si="645"/>
        <v>2047</v>
      </c>
      <c r="C2724" s="33" t="s">
        <v>52</v>
      </c>
      <c r="D2724" s="34" t="s">
        <v>128</v>
      </c>
      <c r="E2724" s="35" t="str">
        <f t="shared" si="643"/>
        <v>PRBND'!</v>
      </c>
      <c r="F2724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24" s="32" t="s">
        <v>122</v>
      </c>
      <c r="H2724" s="33"/>
      <c r="I2724" s="33"/>
      <c r="J2724" s="37"/>
    </row>
    <row r="2725" spans="1:10" x14ac:dyDescent="0.35">
      <c r="A2725" s="32" t="s">
        <v>19</v>
      </c>
      <c r="B2725" s="32">
        <f t="shared" si="645"/>
        <v>2048</v>
      </c>
      <c r="C2725" s="33" t="s">
        <v>52</v>
      </c>
      <c r="D2725" s="34" t="s">
        <v>128</v>
      </c>
      <c r="E2725" s="35" t="str">
        <f t="shared" si="643"/>
        <v>PRBND'!</v>
      </c>
      <c r="F2725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25" s="32" t="s">
        <v>122</v>
      </c>
      <c r="H2725" s="33"/>
      <c r="I2725" s="33"/>
      <c r="J2725" s="37"/>
    </row>
    <row r="2726" spans="1:10" x14ac:dyDescent="0.35">
      <c r="A2726" s="32" t="s">
        <v>19</v>
      </c>
      <c r="B2726" s="32">
        <f t="shared" si="645"/>
        <v>2049</v>
      </c>
      <c r="C2726" s="33" t="s">
        <v>52</v>
      </c>
      <c r="D2726" s="34" t="s">
        <v>128</v>
      </c>
      <c r="E2726" s="35" t="str">
        <f t="shared" si="643"/>
        <v>PRBND'!</v>
      </c>
      <c r="F2726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26" s="32" t="s">
        <v>122</v>
      </c>
      <c r="H2726" s="33"/>
      <c r="I2726" s="33"/>
      <c r="J2726" s="37"/>
    </row>
    <row r="2727" spans="1:10" x14ac:dyDescent="0.35">
      <c r="A2727" s="32" t="s">
        <v>19</v>
      </c>
      <c r="B2727" s="32">
        <f t="shared" si="645"/>
        <v>2050</v>
      </c>
      <c r="C2727" s="33" t="s">
        <v>52</v>
      </c>
      <c r="D2727" s="34" t="s">
        <v>128</v>
      </c>
      <c r="E2727" s="35" t="str">
        <f t="shared" si="643"/>
        <v>PRBND'!</v>
      </c>
      <c r="F2727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27" s="32" t="s">
        <v>122</v>
      </c>
      <c r="H2727" s="33"/>
      <c r="I2727" s="33"/>
      <c r="J2727" s="37"/>
    </row>
    <row r="2728" spans="1:10" x14ac:dyDescent="0.35">
      <c r="A2728" s="32" t="s">
        <v>19</v>
      </c>
      <c r="B2728" s="32">
        <f t="shared" si="645"/>
        <v>2051</v>
      </c>
      <c r="C2728" s="33" t="s">
        <v>52</v>
      </c>
      <c r="D2728" s="34" t="s">
        <v>128</v>
      </c>
      <c r="E2728" s="35" t="str">
        <f t="shared" si="643"/>
        <v>PRBND'!</v>
      </c>
      <c r="F2728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28" s="32" t="s">
        <v>122</v>
      </c>
      <c r="H2728" s="33"/>
      <c r="I2728" s="33"/>
      <c r="J2728" s="37"/>
    </row>
    <row r="2729" spans="1:10" x14ac:dyDescent="0.35">
      <c r="A2729" s="32" t="s">
        <v>19</v>
      </c>
      <c r="B2729" s="32">
        <f t="shared" si="645"/>
        <v>2052</v>
      </c>
      <c r="C2729" s="33" t="s">
        <v>52</v>
      </c>
      <c r="D2729" s="34" t="s">
        <v>128</v>
      </c>
      <c r="E2729" s="35" t="str">
        <f t="shared" si="643"/>
        <v>PRBND'!</v>
      </c>
      <c r="F2729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29" s="32" t="s">
        <v>122</v>
      </c>
      <c r="H2729" s="33"/>
      <c r="I2729" s="33"/>
      <c r="J2729" s="37"/>
    </row>
    <row r="2730" spans="1:10" x14ac:dyDescent="0.35">
      <c r="A2730" s="32" t="s">
        <v>19</v>
      </c>
      <c r="B2730" s="32">
        <f t="shared" si="645"/>
        <v>2053</v>
      </c>
      <c r="C2730" s="33" t="s">
        <v>52</v>
      </c>
      <c r="D2730" s="34" t="s">
        <v>128</v>
      </c>
      <c r="E2730" s="35" t="str">
        <f t="shared" si="643"/>
        <v>PRBND'!</v>
      </c>
      <c r="F2730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30" s="32" t="s">
        <v>122</v>
      </c>
      <c r="H2730" s="33"/>
      <c r="I2730" s="33"/>
      <c r="J2730" s="37"/>
    </row>
    <row r="2731" spans="1:10" x14ac:dyDescent="0.35">
      <c r="A2731" s="32" t="s">
        <v>19</v>
      </c>
      <c r="B2731" s="32">
        <f t="shared" si="645"/>
        <v>2054</v>
      </c>
      <c r="C2731" s="33" t="s">
        <v>52</v>
      </c>
      <c r="D2731" s="34" t="s">
        <v>128</v>
      </c>
      <c r="E2731" s="35" t="str">
        <f t="shared" si="643"/>
        <v>PRBND'!</v>
      </c>
      <c r="F2731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31" s="32" t="s">
        <v>122</v>
      </c>
      <c r="H2731" s="33"/>
      <c r="I2731" s="33"/>
      <c r="J2731" s="37"/>
    </row>
    <row r="2732" spans="1:10" x14ac:dyDescent="0.35">
      <c r="A2732" s="32" t="s">
        <v>19</v>
      </c>
      <c r="B2732" s="32">
        <f t="shared" si="645"/>
        <v>2055</v>
      </c>
      <c r="C2732" s="33" t="s">
        <v>52</v>
      </c>
      <c r="D2732" s="34" t="s">
        <v>128</v>
      </c>
      <c r="E2732" s="35" t="str">
        <f t="shared" si="643"/>
        <v>PRBND'!</v>
      </c>
      <c r="F2732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32" s="32" t="s">
        <v>122</v>
      </c>
      <c r="H2732" s="33"/>
      <c r="I2732" s="33"/>
      <c r="J2732" s="37"/>
    </row>
    <row r="2733" spans="1:10" x14ac:dyDescent="0.35">
      <c r="A2733" s="32" t="s">
        <v>19</v>
      </c>
      <c r="B2733" s="32">
        <f t="shared" si="645"/>
        <v>2056</v>
      </c>
      <c r="C2733" s="33" t="s">
        <v>52</v>
      </c>
      <c r="D2733" s="34" t="s">
        <v>128</v>
      </c>
      <c r="E2733" s="35" t="str">
        <f t="shared" si="643"/>
        <v>PRBND'!</v>
      </c>
      <c r="F2733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33" s="32" t="s">
        <v>122</v>
      </c>
      <c r="H2733" s="33"/>
      <c r="I2733" s="33"/>
      <c r="J2733" s="37"/>
    </row>
    <row r="2734" spans="1:10" x14ac:dyDescent="0.35">
      <c r="A2734" s="32" t="s">
        <v>19</v>
      </c>
      <c r="B2734" s="32">
        <f t="shared" si="645"/>
        <v>2057</v>
      </c>
      <c r="C2734" s="33" t="s">
        <v>52</v>
      </c>
      <c r="D2734" s="34" t="s">
        <v>128</v>
      </c>
      <c r="E2734" s="35" t="str">
        <f t="shared" si="643"/>
        <v>PRBND'!</v>
      </c>
      <c r="F2734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34" s="32" t="s">
        <v>122</v>
      </c>
      <c r="H2734" s="33"/>
      <c r="I2734" s="33"/>
      <c r="J2734" s="37"/>
    </row>
    <row r="2735" spans="1:10" x14ac:dyDescent="0.35">
      <c r="A2735" s="32" t="s">
        <v>19</v>
      </c>
      <c r="B2735" s="32">
        <f t="shared" si="645"/>
        <v>2058</v>
      </c>
      <c r="C2735" s="33" t="s">
        <v>52</v>
      </c>
      <c r="D2735" s="34" t="s">
        <v>128</v>
      </c>
      <c r="E2735" s="35" t="str">
        <f t="shared" si="643"/>
        <v>PRBND'!</v>
      </c>
      <c r="F2735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35" s="32" t="s">
        <v>122</v>
      </c>
      <c r="H2735" s="33"/>
      <c r="I2735" s="33"/>
      <c r="J2735" s="37"/>
    </row>
    <row r="2736" spans="1:10" x14ac:dyDescent="0.35">
      <c r="A2736" s="32" t="s">
        <v>19</v>
      </c>
      <c r="B2736" s="32">
        <f t="shared" si="645"/>
        <v>2059</v>
      </c>
      <c r="C2736" s="33" t="s">
        <v>52</v>
      </c>
      <c r="D2736" s="34" t="s">
        <v>128</v>
      </c>
      <c r="E2736" s="35" t="str">
        <f t="shared" si="643"/>
        <v>PRBND'!</v>
      </c>
      <c r="F2736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36" s="32" t="s">
        <v>122</v>
      </c>
      <c r="H2736" s="33"/>
      <c r="I2736" s="33"/>
      <c r="J2736" s="37"/>
    </row>
    <row r="2737" spans="1:10" x14ac:dyDescent="0.35">
      <c r="A2737" s="32" t="s">
        <v>26</v>
      </c>
      <c r="B2737" s="32"/>
      <c r="C2737" s="33" t="s">
        <v>52</v>
      </c>
      <c r="D2737" s="34"/>
      <c r="E2737" s="35"/>
      <c r="F2737" s="34"/>
      <c r="G2737" s="32"/>
      <c r="H2737" s="33"/>
      <c r="I2737" s="33"/>
      <c r="J2737" s="33"/>
    </row>
    <row r="2738" spans="1:10" x14ac:dyDescent="0.35">
      <c r="A2738" s="32" t="s">
        <v>20</v>
      </c>
      <c r="B2738" s="32">
        <v>2023</v>
      </c>
      <c r="C2738" s="33" t="s">
        <v>52</v>
      </c>
      <c r="D2738" s="34" t="s">
        <v>128</v>
      </c>
      <c r="E2738" s="35" t="str">
        <f t="shared" ref="E2738:E2910" si="646">_xlfn.CONCAT(A2738,"'!")</f>
        <v>PRB'!</v>
      </c>
      <c r="F2738" s="34" t="str">
        <f t="shared" ref="F2738:F2910" si="647">_xlfn.CONCAT(D2738:E2738)</f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38" s="32" t="s">
        <v>122</v>
      </c>
      <c r="H2738" s="33">
        <v>12</v>
      </c>
      <c r="I2738" s="33" t="str">
        <f t="shared" ref="I2738:I2758" si="648">_xlfn.CONCAT("='",F2738:H2738)</f>
        <v>='C:\Users\jaime.benazar\Quorum Business Solutions\Ecopetrol Prometeo - Documents\Planning Space Implementation\3. Analysis &amp; Design\Design\FC22\DRR Jaime\Por presentar a ECP\Cantagallo\Cristalina\[CRISTALINA_CF_SEC_New_09-Feb-2024.xlsx]D-PRB'!$EA$12</v>
      </c>
      <c r="J2738" s="37" t="s">
        <v>1350</v>
      </c>
    </row>
    <row r="2739" spans="1:10" x14ac:dyDescent="0.35">
      <c r="A2739" s="32" t="s">
        <v>20</v>
      </c>
      <c r="B2739" s="32">
        <f>+B2738+1</f>
        <v>2024</v>
      </c>
      <c r="C2739" s="33" t="s">
        <v>52</v>
      </c>
      <c r="D2739" s="34" t="s">
        <v>128</v>
      </c>
      <c r="E2739" s="35" t="str">
        <f t="shared" si="646"/>
        <v>PRB'!</v>
      </c>
      <c r="F2739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39" s="32" t="s">
        <v>122</v>
      </c>
      <c r="H2739" s="33">
        <f t="shared" ref="H2739:H2758" si="649">IF(A2739&lt;&gt;A2738,12,H2738+1)</f>
        <v>13</v>
      </c>
      <c r="I2739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ECP\Cantagallo\Cristalina\[CRISTALINA_CF_SEC_New_09-Feb-2024.xlsx]D-PRB'!$EA$13</v>
      </c>
      <c r="J2739" s="37" t="s">
        <v>1351</v>
      </c>
    </row>
    <row r="2740" spans="1:10" x14ac:dyDescent="0.35">
      <c r="A2740" s="32" t="s">
        <v>20</v>
      </c>
      <c r="B2740" s="32">
        <f t="shared" ref="B2740:B2751" si="650">+B2739+1</f>
        <v>2025</v>
      </c>
      <c r="C2740" s="33" t="s">
        <v>52</v>
      </c>
      <c r="D2740" s="34" t="s">
        <v>128</v>
      </c>
      <c r="E2740" s="35" t="str">
        <f t="shared" si="646"/>
        <v>PRB'!</v>
      </c>
      <c r="F2740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40" s="32" t="s">
        <v>122</v>
      </c>
      <c r="H2740" s="33">
        <f t="shared" si="649"/>
        <v>14</v>
      </c>
      <c r="I2740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ECP\Cantagallo\Cristalina\[CRISTALINA_CF_SEC_New_09-Feb-2024.xlsx]D-PRB'!$EA$14</v>
      </c>
      <c r="J2740" s="37" t="s">
        <v>1352</v>
      </c>
    </row>
    <row r="2741" spans="1:10" x14ac:dyDescent="0.35">
      <c r="A2741" s="32" t="s">
        <v>20</v>
      </c>
      <c r="B2741" s="32">
        <f t="shared" si="650"/>
        <v>2026</v>
      </c>
      <c r="C2741" s="33" t="s">
        <v>52</v>
      </c>
      <c r="D2741" s="34" t="s">
        <v>128</v>
      </c>
      <c r="E2741" s="35" t="str">
        <f t="shared" si="646"/>
        <v>PRB'!</v>
      </c>
      <c r="F2741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41" s="32" t="s">
        <v>122</v>
      </c>
      <c r="H2741" s="33">
        <f t="shared" si="649"/>
        <v>15</v>
      </c>
      <c r="I2741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ECP\Cantagallo\Cristalina\[CRISTALINA_CF_SEC_New_09-Feb-2024.xlsx]D-PRB'!$EA$15</v>
      </c>
      <c r="J2741" s="37" t="s">
        <v>1353</v>
      </c>
    </row>
    <row r="2742" spans="1:10" x14ac:dyDescent="0.35">
      <c r="A2742" s="32" t="s">
        <v>20</v>
      </c>
      <c r="B2742" s="32">
        <f t="shared" si="650"/>
        <v>2027</v>
      </c>
      <c r="C2742" s="33" t="s">
        <v>52</v>
      </c>
      <c r="D2742" s="34" t="s">
        <v>128</v>
      </c>
      <c r="E2742" s="35" t="str">
        <f t="shared" si="646"/>
        <v>PRB'!</v>
      </c>
      <c r="F2742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42" s="32" t="s">
        <v>122</v>
      </c>
      <c r="H2742" s="33">
        <f t="shared" si="649"/>
        <v>16</v>
      </c>
      <c r="I2742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ECP\Cantagallo\Cristalina\[CRISTALINA_CF_SEC_New_09-Feb-2024.xlsx]D-PRB'!$EA$16</v>
      </c>
      <c r="J2742" s="37" t="s">
        <v>1354</v>
      </c>
    </row>
    <row r="2743" spans="1:10" x14ac:dyDescent="0.35">
      <c r="A2743" s="32" t="s">
        <v>20</v>
      </c>
      <c r="B2743" s="32">
        <f t="shared" si="650"/>
        <v>2028</v>
      </c>
      <c r="C2743" s="33" t="s">
        <v>52</v>
      </c>
      <c r="D2743" s="34" t="s">
        <v>128</v>
      </c>
      <c r="E2743" s="35" t="str">
        <f t="shared" si="646"/>
        <v>PRB'!</v>
      </c>
      <c r="F2743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43" s="32" t="s">
        <v>122</v>
      </c>
      <c r="H2743" s="33">
        <f t="shared" si="649"/>
        <v>17</v>
      </c>
      <c r="I2743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ECP\Cantagallo\Cristalina\[CRISTALINA_CF_SEC_New_09-Feb-2024.xlsx]D-PRB'!$EA$17</v>
      </c>
      <c r="J2743" s="37" t="s">
        <v>1355</v>
      </c>
    </row>
    <row r="2744" spans="1:10" x14ac:dyDescent="0.35">
      <c r="A2744" s="32" t="s">
        <v>20</v>
      </c>
      <c r="B2744" s="32">
        <f t="shared" si="650"/>
        <v>2029</v>
      </c>
      <c r="C2744" s="33" t="s">
        <v>52</v>
      </c>
      <c r="D2744" s="34" t="s">
        <v>128</v>
      </c>
      <c r="E2744" s="35" t="str">
        <f t="shared" si="646"/>
        <v>PRB'!</v>
      </c>
      <c r="F2744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44" s="32" t="s">
        <v>122</v>
      </c>
      <c r="H2744" s="33">
        <f t="shared" si="649"/>
        <v>18</v>
      </c>
      <c r="I2744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ECP\Cantagallo\Cristalina\[CRISTALINA_CF_SEC_New_09-Feb-2024.xlsx]D-PRB'!$EA$18</v>
      </c>
      <c r="J2744" s="37" t="s">
        <v>1356</v>
      </c>
    </row>
    <row r="2745" spans="1:10" x14ac:dyDescent="0.35">
      <c r="A2745" s="32" t="s">
        <v>20</v>
      </c>
      <c r="B2745" s="32">
        <f t="shared" si="650"/>
        <v>2030</v>
      </c>
      <c r="C2745" s="33" t="s">
        <v>52</v>
      </c>
      <c r="D2745" s="34" t="s">
        <v>128</v>
      </c>
      <c r="E2745" s="35" t="str">
        <f t="shared" si="646"/>
        <v>PRB'!</v>
      </c>
      <c r="F2745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45" s="32" t="s">
        <v>122</v>
      </c>
      <c r="H2745" s="33">
        <f t="shared" si="649"/>
        <v>19</v>
      </c>
      <c r="I2745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ECP\Cantagallo\Cristalina\[CRISTALINA_CF_SEC_New_09-Feb-2024.xlsx]D-PRB'!$EA$19</v>
      </c>
      <c r="J2745" s="37" t="s">
        <v>1357</v>
      </c>
    </row>
    <row r="2746" spans="1:10" x14ac:dyDescent="0.35">
      <c r="A2746" s="32" t="s">
        <v>20</v>
      </c>
      <c r="B2746" s="32">
        <f t="shared" si="650"/>
        <v>2031</v>
      </c>
      <c r="C2746" s="33" t="s">
        <v>52</v>
      </c>
      <c r="D2746" s="34" t="s">
        <v>128</v>
      </c>
      <c r="E2746" s="35" t="str">
        <f t="shared" si="646"/>
        <v>PRB'!</v>
      </c>
      <c r="F2746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46" s="32" t="s">
        <v>122</v>
      </c>
      <c r="H2746" s="33">
        <f t="shared" si="649"/>
        <v>20</v>
      </c>
      <c r="I2746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ECP\Cantagallo\Cristalina\[CRISTALINA_CF_SEC_New_09-Feb-2024.xlsx]D-PRB'!$EA$20</v>
      </c>
      <c r="J2746" s="37" t="s">
        <v>1358</v>
      </c>
    </row>
    <row r="2747" spans="1:10" x14ac:dyDescent="0.35">
      <c r="A2747" s="32" t="s">
        <v>20</v>
      </c>
      <c r="B2747" s="32">
        <f t="shared" si="650"/>
        <v>2032</v>
      </c>
      <c r="C2747" s="33" t="s">
        <v>52</v>
      </c>
      <c r="D2747" s="34" t="s">
        <v>128</v>
      </c>
      <c r="E2747" s="35" t="str">
        <f t="shared" si="646"/>
        <v>PRB'!</v>
      </c>
      <c r="F2747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47" s="32" t="s">
        <v>122</v>
      </c>
      <c r="H2747" s="33">
        <f t="shared" si="649"/>
        <v>21</v>
      </c>
      <c r="I2747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ECP\Cantagallo\Cristalina\[CRISTALINA_CF_SEC_New_09-Feb-2024.xlsx]D-PRB'!$EA$21</v>
      </c>
      <c r="J2747" s="37" t="s">
        <v>1359</v>
      </c>
    </row>
    <row r="2748" spans="1:10" x14ac:dyDescent="0.35">
      <c r="A2748" s="32" t="s">
        <v>20</v>
      </c>
      <c r="B2748" s="32">
        <f t="shared" si="650"/>
        <v>2033</v>
      </c>
      <c r="C2748" s="33" t="s">
        <v>52</v>
      </c>
      <c r="D2748" s="34" t="s">
        <v>128</v>
      </c>
      <c r="E2748" s="35" t="str">
        <f t="shared" si="646"/>
        <v>PRB'!</v>
      </c>
      <c r="F2748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48" s="32" t="s">
        <v>122</v>
      </c>
      <c r="H2748" s="33">
        <f t="shared" si="649"/>
        <v>22</v>
      </c>
      <c r="I2748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ECP\Cantagallo\Cristalina\[CRISTALINA_CF_SEC_New_09-Feb-2024.xlsx]D-PRB'!$EA$22</v>
      </c>
      <c r="J2748" s="37" t="s">
        <v>1360</v>
      </c>
    </row>
    <row r="2749" spans="1:10" x14ac:dyDescent="0.35">
      <c r="A2749" s="32" t="s">
        <v>20</v>
      </c>
      <c r="B2749" s="32">
        <f t="shared" si="650"/>
        <v>2034</v>
      </c>
      <c r="C2749" s="33" t="s">
        <v>52</v>
      </c>
      <c r="D2749" s="34" t="s">
        <v>128</v>
      </c>
      <c r="E2749" s="35" t="str">
        <f t="shared" si="646"/>
        <v>PRB'!</v>
      </c>
      <c r="F2749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49" s="32" t="s">
        <v>122</v>
      </c>
      <c r="H2749" s="33">
        <f t="shared" si="649"/>
        <v>23</v>
      </c>
      <c r="I2749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ECP\Cantagallo\Cristalina\[CRISTALINA_CF_SEC_New_09-Feb-2024.xlsx]D-PRB'!$EA$23</v>
      </c>
      <c r="J2749" s="37" t="s">
        <v>1361</v>
      </c>
    </row>
    <row r="2750" spans="1:10" x14ac:dyDescent="0.35">
      <c r="A2750" s="32" t="s">
        <v>20</v>
      </c>
      <c r="B2750" s="32">
        <f t="shared" si="650"/>
        <v>2035</v>
      </c>
      <c r="C2750" s="33" t="s">
        <v>52</v>
      </c>
      <c r="D2750" s="34" t="s">
        <v>128</v>
      </c>
      <c r="E2750" s="35" t="str">
        <f t="shared" si="646"/>
        <v>PRB'!</v>
      </c>
      <c r="F2750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50" s="32" t="s">
        <v>122</v>
      </c>
      <c r="H2750" s="33">
        <f t="shared" si="649"/>
        <v>24</v>
      </c>
      <c r="I2750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ECP\Cantagallo\Cristalina\[CRISTALINA_CF_SEC_New_09-Feb-2024.xlsx]D-PRB'!$EA$24</v>
      </c>
      <c r="J2750" s="37" t="s">
        <v>1362</v>
      </c>
    </row>
    <row r="2751" spans="1:10" x14ac:dyDescent="0.35">
      <c r="A2751" s="32" t="s">
        <v>20</v>
      </c>
      <c r="B2751" s="32">
        <f t="shared" si="650"/>
        <v>2036</v>
      </c>
      <c r="C2751" s="33" t="s">
        <v>52</v>
      </c>
      <c r="D2751" s="34" t="s">
        <v>128</v>
      </c>
      <c r="E2751" s="35" t="str">
        <f t="shared" si="646"/>
        <v>PRB'!</v>
      </c>
      <c r="F2751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51" s="32" t="s">
        <v>122</v>
      </c>
      <c r="H2751" s="33">
        <f t="shared" si="649"/>
        <v>25</v>
      </c>
      <c r="I2751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ECP\Cantagallo\Cristalina\[CRISTALINA_CF_SEC_New_09-Feb-2024.xlsx]D-PRB'!$EA$25</v>
      </c>
      <c r="J2751" s="37" t="s">
        <v>1363</v>
      </c>
    </row>
    <row r="2752" spans="1:10" x14ac:dyDescent="0.35">
      <c r="A2752" s="32" t="s">
        <v>20</v>
      </c>
      <c r="B2752" s="32">
        <f>+B2751+1</f>
        <v>2037</v>
      </c>
      <c r="C2752" s="33" t="s">
        <v>52</v>
      </c>
      <c r="D2752" s="34" t="s">
        <v>128</v>
      </c>
      <c r="E2752" s="35" t="str">
        <f t="shared" si="646"/>
        <v>PRB'!</v>
      </c>
      <c r="F2752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52" s="32" t="s">
        <v>122</v>
      </c>
      <c r="H2752" s="33">
        <f t="shared" si="649"/>
        <v>26</v>
      </c>
      <c r="I2752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ECP\Cantagallo\Cristalina\[CRISTALINA_CF_SEC_New_09-Feb-2024.xlsx]D-PRB'!$EA$26</v>
      </c>
      <c r="J2752" s="37" t="s">
        <v>1364</v>
      </c>
    </row>
    <row r="2753" spans="1:10" x14ac:dyDescent="0.35">
      <c r="A2753" s="32" t="s">
        <v>20</v>
      </c>
      <c r="B2753" s="32">
        <f t="shared" ref="B2753:B2755" si="651">+B2752+1</f>
        <v>2038</v>
      </c>
      <c r="C2753" s="33" t="s">
        <v>52</v>
      </c>
      <c r="D2753" s="34" t="s">
        <v>128</v>
      </c>
      <c r="E2753" s="35" t="str">
        <f t="shared" si="646"/>
        <v>PRB'!</v>
      </c>
      <c r="F2753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53" s="32" t="s">
        <v>122</v>
      </c>
      <c r="H2753" s="33">
        <f t="shared" si="649"/>
        <v>27</v>
      </c>
      <c r="I2753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ECP\Cantagallo\Cristalina\[CRISTALINA_CF_SEC_New_09-Feb-2024.xlsx]D-PRB'!$EA$27</v>
      </c>
      <c r="J2753" s="37" t="s">
        <v>1365</v>
      </c>
    </row>
    <row r="2754" spans="1:10" x14ac:dyDescent="0.35">
      <c r="A2754" s="32" t="s">
        <v>20</v>
      </c>
      <c r="B2754" s="32">
        <f t="shared" si="651"/>
        <v>2039</v>
      </c>
      <c r="C2754" s="33" t="s">
        <v>52</v>
      </c>
      <c r="D2754" s="34" t="s">
        <v>128</v>
      </c>
      <c r="E2754" s="35" t="str">
        <f t="shared" si="646"/>
        <v>PRB'!</v>
      </c>
      <c r="F2754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54" s="32" t="s">
        <v>122</v>
      </c>
      <c r="H2754" s="33">
        <f t="shared" si="649"/>
        <v>28</v>
      </c>
      <c r="I2754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ECP\Cantagallo\Cristalina\[CRISTALINA_CF_SEC_New_09-Feb-2024.xlsx]D-PRB'!$EA$28</v>
      </c>
      <c r="J2754" s="37" t="s">
        <v>1366</v>
      </c>
    </row>
    <row r="2755" spans="1:10" x14ac:dyDescent="0.35">
      <c r="A2755" s="32" t="s">
        <v>20</v>
      </c>
      <c r="B2755" s="32">
        <f t="shared" si="651"/>
        <v>2040</v>
      </c>
      <c r="C2755" s="33" t="s">
        <v>52</v>
      </c>
      <c r="D2755" s="34" t="s">
        <v>128</v>
      </c>
      <c r="E2755" s="35" t="str">
        <f t="shared" si="646"/>
        <v>PRB'!</v>
      </c>
      <c r="F2755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55" s="32" t="s">
        <v>122</v>
      </c>
      <c r="H2755" s="33">
        <f t="shared" si="649"/>
        <v>29</v>
      </c>
      <c r="I2755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ECP\Cantagallo\Cristalina\[CRISTALINA_CF_SEC_New_09-Feb-2024.xlsx]D-PRB'!$EA$29</v>
      </c>
      <c r="J2755" s="37" t="s">
        <v>1367</v>
      </c>
    </row>
    <row r="2756" spans="1:10" x14ac:dyDescent="0.35">
      <c r="A2756" s="32" t="s">
        <v>20</v>
      </c>
      <c r="B2756" s="32">
        <f>+B2755+1</f>
        <v>2041</v>
      </c>
      <c r="C2756" s="33" t="s">
        <v>52</v>
      </c>
      <c r="D2756" s="34" t="s">
        <v>128</v>
      </c>
      <c r="E2756" s="35" t="str">
        <f t="shared" si="646"/>
        <v>PRB'!</v>
      </c>
      <c r="F2756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56" s="32" t="s">
        <v>122</v>
      </c>
      <c r="H2756" s="33">
        <f t="shared" si="649"/>
        <v>30</v>
      </c>
      <c r="I2756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ECP\Cantagallo\Cristalina\[CRISTALINA_CF_SEC_New_09-Feb-2024.xlsx]D-PRB'!$EA$30</v>
      </c>
      <c r="J2756" s="37" t="s">
        <v>1368</v>
      </c>
    </row>
    <row r="2757" spans="1:10" x14ac:dyDescent="0.35">
      <c r="A2757" s="32" t="s">
        <v>20</v>
      </c>
      <c r="B2757" s="32">
        <f t="shared" ref="B2757:B2758" si="652">+B2756+1</f>
        <v>2042</v>
      </c>
      <c r="C2757" s="33" t="s">
        <v>52</v>
      </c>
      <c r="D2757" s="34" t="s">
        <v>128</v>
      </c>
      <c r="E2757" s="35" t="str">
        <f t="shared" si="646"/>
        <v>PRB'!</v>
      </c>
      <c r="F2757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57" s="32" t="s">
        <v>122</v>
      </c>
      <c r="H2757" s="33">
        <f t="shared" si="649"/>
        <v>31</v>
      </c>
      <c r="I2757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ECP\Cantagallo\Cristalina\[CRISTALINA_CF_SEC_New_09-Feb-2024.xlsx]D-PRB'!$EA$31</v>
      </c>
      <c r="J2757" s="37" t="s">
        <v>1369</v>
      </c>
    </row>
    <row r="2758" spans="1:10" x14ac:dyDescent="0.35">
      <c r="A2758" s="32" t="s">
        <v>20</v>
      </c>
      <c r="B2758" s="32">
        <f t="shared" si="652"/>
        <v>2043</v>
      </c>
      <c r="C2758" s="33" t="s">
        <v>52</v>
      </c>
      <c r="D2758" s="34" t="s">
        <v>128</v>
      </c>
      <c r="E2758" s="35" t="str">
        <f t="shared" si="646"/>
        <v>PRB'!</v>
      </c>
      <c r="F2758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58" s="32" t="s">
        <v>122</v>
      </c>
      <c r="H2758" s="33">
        <f t="shared" si="649"/>
        <v>32</v>
      </c>
      <c r="I2758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ECP\Cantagallo\Cristalina\[CRISTALINA_CF_SEC_New_09-Feb-2024.xlsx]D-PRB'!$EA$32</v>
      </c>
      <c r="J2758" s="37" t="s">
        <v>1370</v>
      </c>
    </row>
    <row r="2759" spans="1:10" x14ac:dyDescent="0.35">
      <c r="A2759" s="32" t="s">
        <v>20</v>
      </c>
      <c r="B2759" s="32">
        <f>+B2758+1</f>
        <v>2044</v>
      </c>
      <c r="C2759" s="33" t="s">
        <v>52</v>
      </c>
      <c r="D2759" s="34" t="s">
        <v>128</v>
      </c>
      <c r="E2759" s="35" t="str">
        <f t="shared" ref="E2759:E2774" si="653">_xlfn.CONCAT(A2759,"'!")</f>
        <v>PRB'!</v>
      </c>
      <c r="F2759" s="34" t="str">
        <f t="shared" ref="F2759:F2774" si="654">_xlfn.CONCAT(D2759:E2759)</f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59" s="32" t="s">
        <v>122</v>
      </c>
      <c r="H2759" s="33">
        <f t="shared" ref="H2759:H2774" si="655">IF(A2759&lt;&gt;A2758,12,H2758+1)</f>
        <v>33</v>
      </c>
      <c r="I2759" s="33" t="str">
        <f t="shared" ref="I2759:I2774" si="656">_xlfn.CONCAT("='",F2759:H2759)</f>
        <v>='C:\Users\jaime.benazar\Quorum Business Solutions\Ecopetrol Prometeo - Documents\Planning Space Implementation\3. Analysis &amp; Design\Design\FC22\DRR Jaime\Por presentar a ECP\Cantagallo\Cristalina\[CRISTALINA_CF_SEC_New_09-Feb-2024.xlsx]D-PRB'!$EA$33</v>
      </c>
      <c r="J2759" s="37" t="s">
        <v>1371</v>
      </c>
    </row>
    <row r="2760" spans="1:10" x14ac:dyDescent="0.35">
      <c r="A2760" s="32" t="s">
        <v>20</v>
      </c>
      <c r="B2760" s="32">
        <f t="shared" ref="B2760:B2774" si="657">+B2759+1</f>
        <v>2045</v>
      </c>
      <c r="C2760" s="33" t="s">
        <v>52</v>
      </c>
      <c r="D2760" s="34" t="s">
        <v>128</v>
      </c>
      <c r="E2760" s="35" t="str">
        <f t="shared" si="653"/>
        <v>PRB'!</v>
      </c>
      <c r="F2760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60" s="32" t="s">
        <v>122</v>
      </c>
      <c r="H2760" s="33">
        <f t="shared" si="655"/>
        <v>34</v>
      </c>
      <c r="I2760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ECP\Cantagallo\Cristalina\[CRISTALINA_CF_SEC_New_09-Feb-2024.xlsx]D-PRB'!$EA$34</v>
      </c>
      <c r="J2760" s="37" t="s">
        <v>1372</v>
      </c>
    </row>
    <row r="2761" spans="1:10" x14ac:dyDescent="0.35">
      <c r="A2761" s="32" t="s">
        <v>20</v>
      </c>
      <c r="B2761" s="32">
        <f t="shared" si="657"/>
        <v>2046</v>
      </c>
      <c r="C2761" s="33" t="s">
        <v>52</v>
      </c>
      <c r="D2761" s="34" t="s">
        <v>128</v>
      </c>
      <c r="E2761" s="35" t="str">
        <f t="shared" si="653"/>
        <v>PRB'!</v>
      </c>
      <c r="F2761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61" s="32" t="s">
        <v>122</v>
      </c>
      <c r="H2761" s="33">
        <f t="shared" si="655"/>
        <v>35</v>
      </c>
      <c r="I2761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ECP\Cantagallo\Cristalina\[CRISTALINA_CF_SEC_New_09-Feb-2024.xlsx]D-PRB'!$EA$35</v>
      </c>
      <c r="J2761" s="37" t="s">
        <v>1373</v>
      </c>
    </row>
    <row r="2762" spans="1:10" x14ac:dyDescent="0.35">
      <c r="A2762" s="32" t="s">
        <v>20</v>
      </c>
      <c r="B2762" s="32">
        <f t="shared" si="657"/>
        <v>2047</v>
      </c>
      <c r="C2762" s="33" t="s">
        <v>52</v>
      </c>
      <c r="D2762" s="34" t="s">
        <v>128</v>
      </c>
      <c r="E2762" s="35" t="str">
        <f t="shared" si="653"/>
        <v>PRB'!</v>
      </c>
      <c r="F2762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62" s="32" t="s">
        <v>122</v>
      </c>
      <c r="H2762" s="33">
        <f t="shared" si="655"/>
        <v>36</v>
      </c>
      <c r="I2762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ECP\Cantagallo\Cristalina\[CRISTALINA_CF_SEC_New_09-Feb-2024.xlsx]D-PRB'!$EA$36</v>
      </c>
      <c r="J2762" s="37" t="s">
        <v>1374</v>
      </c>
    </row>
    <row r="2763" spans="1:10" x14ac:dyDescent="0.35">
      <c r="A2763" s="32" t="s">
        <v>20</v>
      </c>
      <c r="B2763" s="32">
        <f t="shared" si="657"/>
        <v>2048</v>
      </c>
      <c r="C2763" s="33" t="s">
        <v>52</v>
      </c>
      <c r="D2763" s="34" t="s">
        <v>128</v>
      </c>
      <c r="E2763" s="35" t="str">
        <f t="shared" si="653"/>
        <v>PRB'!</v>
      </c>
      <c r="F2763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63" s="32" t="s">
        <v>122</v>
      </c>
      <c r="H2763" s="33">
        <f t="shared" si="655"/>
        <v>37</v>
      </c>
      <c r="I2763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ECP\Cantagallo\Cristalina\[CRISTALINA_CF_SEC_New_09-Feb-2024.xlsx]D-PRB'!$EA$37</v>
      </c>
      <c r="J2763" s="37" t="s">
        <v>1375</v>
      </c>
    </row>
    <row r="2764" spans="1:10" x14ac:dyDescent="0.35">
      <c r="A2764" s="32" t="s">
        <v>20</v>
      </c>
      <c r="B2764" s="32">
        <f t="shared" si="657"/>
        <v>2049</v>
      </c>
      <c r="C2764" s="33" t="s">
        <v>52</v>
      </c>
      <c r="D2764" s="34" t="s">
        <v>128</v>
      </c>
      <c r="E2764" s="35" t="str">
        <f t="shared" si="653"/>
        <v>PRB'!</v>
      </c>
      <c r="F2764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64" s="32" t="s">
        <v>122</v>
      </c>
      <c r="H2764" s="33">
        <f t="shared" si="655"/>
        <v>38</v>
      </c>
      <c r="I2764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ECP\Cantagallo\Cristalina\[CRISTALINA_CF_SEC_New_09-Feb-2024.xlsx]D-PRB'!$EA$38</v>
      </c>
      <c r="J2764" s="37" t="s">
        <v>1376</v>
      </c>
    </row>
    <row r="2765" spans="1:10" x14ac:dyDescent="0.35">
      <c r="A2765" s="32" t="s">
        <v>20</v>
      </c>
      <c r="B2765" s="32">
        <f t="shared" si="657"/>
        <v>2050</v>
      </c>
      <c r="C2765" s="33" t="s">
        <v>52</v>
      </c>
      <c r="D2765" s="34" t="s">
        <v>128</v>
      </c>
      <c r="E2765" s="35" t="str">
        <f t="shared" si="653"/>
        <v>PRB'!</v>
      </c>
      <c r="F2765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65" s="32" t="s">
        <v>122</v>
      </c>
      <c r="H2765" s="33">
        <f t="shared" si="655"/>
        <v>39</v>
      </c>
      <c r="I2765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ECP\Cantagallo\Cristalina\[CRISTALINA_CF_SEC_New_09-Feb-2024.xlsx]D-PRB'!$EA$39</v>
      </c>
      <c r="J2765" s="37" t="s">
        <v>1377</v>
      </c>
    </row>
    <row r="2766" spans="1:10" x14ac:dyDescent="0.35">
      <c r="A2766" s="32" t="s">
        <v>20</v>
      </c>
      <c r="B2766" s="32">
        <f t="shared" si="657"/>
        <v>2051</v>
      </c>
      <c r="C2766" s="33" t="s">
        <v>52</v>
      </c>
      <c r="D2766" s="34" t="s">
        <v>128</v>
      </c>
      <c r="E2766" s="35" t="str">
        <f t="shared" si="653"/>
        <v>PRB'!</v>
      </c>
      <c r="F2766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66" s="32" t="s">
        <v>122</v>
      </c>
      <c r="H2766" s="33">
        <f t="shared" si="655"/>
        <v>40</v>
      </c>
      <c r="I2766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ECP\Cantagallo\Cristalina\[CRISTALINA_CF_SEC_New_09-Feb-2024.xlsx]D-PRB'!$EA$40</v>
      </c>
      <c r="J2766" s="37" t="s">
        <v>1378</v>
      </c>
    </row>
    <row r="2767" spans="1:10" x14ac:dyDescent="0.35">
      <c r="A2767" s="32" t="s">
        <v>20</v>
      </c>
      <c r="B2767" s="32">
        <f t="shared" si="657"/>
        <v>2052</v>
      </c>
      <c r="C2767" s="33" t="s">
        <v>52</v>
      </c>
      <c r="D2767" s="34" t="s">
        <v>128</v>
      </c>
      <c r="E2767" s="35" t="str">
        <f t="shared" si="653"/>
        <v>PRB'!</v>
      </c>
      <c r="F2767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67" s="32" t="s">
        <v>122</v>
      </c>
      <c r="H2767" s="33">
        <f t="shared" si="655"/>
        <v>41</v>
      </c>
      <c r="I2767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ECP\Cantagallo\Cristalina\[CRISTALINA_CF_SEC_New_09-Feb-2024.xlsx]D-PRB'!$EA$41</v>
      </c>
      <c r="J2767" s="37" t="s">
        <v>1379</v>
      </c>
    </row>
    <row r="2768" spans="1:10" x14ac:dyDescent="0.35">
      <c r="A2768" s="32" t="s">
        <v>20</v>
      </c>
      <c r="B2768" s="32">
        <f t="shared" si="657"/>
        <v>2053</v>
      </c>
      <c r="C2768" s="33" t="s">
        <v>52</v>
      </c>
      <c r="D2768" s="34" t="s">
        <v>128</v>
      </c>
      <c r="E2768" s="35" t="str">
        <f t="shared" si="653"/>
        <v>PRB'!</v>
      </c>
      <c r="F2768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68" s="32" t="s">
        <v>122</v>
      </c>
      <c r="H2768" s="33">
        <f t="shared" si="655"/>
        <v>42</v>
      </c>
      <c r="I2768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ECP\Cantagallo\Cristalina\[CRISTALINA_CF_SEC_New_09-Feb-2024.xlsx]D-PRB'!$EA$42</v>
      </c>
      <c r="J2768" s="37" t="s">
        <v>1380</v>
      </c>
    </row>
    <row r="2769" spans="1:10" x14ac:dyDescent="0.35">
      <c r="A2769" s="32" t="s">
        <v>20</v>
      </c>
      <c r="B2769" s="32">
        <f t="shared" si="657"/>
        <v>2054</v>
      </c>
      <c r="C2769" s="33" t="s">
        <v>52</v>
      </c>
      <c r="D2769" s="34" t="s">
        <v>128</v>
      </c>
      <c r="E2769" s="35" t="str">
        <f t="shared" si="653"/>
        <v>PRB'!</v>
      </c>
      <c r="F2769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69" s="32" t="s">
        <v>122</v>
      </c>
      <c r="H2769" s="33">
        <f t="shared" si="655"/>
        <v>43</v>
      </c>
      <c r="I2769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ECP\Cantagallo\Cristalina\[CRISTALINA_CF_SEC_New_09-Feb-2024.xlsx]D-PRB'!$EA$43</v>
      </c>
      <c r="J2769" s="37" t="s">
        <v>1381</v>
      </c>
    </row>
    <row r="2770" spans="1:10" x14ac:dyDescent="0.35">
      <c r="A2770" s="32" t="s">
        <v>20</v>
      </c>
      <c r="B2770" s="32">
        <f t="shared" si="657"/>
        <v>2055</v>
      </c>
      <c r="C2770" s="33" t="s">
        <v>52</v>
      </c>
      <c r="D2770" s="34" t="s">
        <v>128</v>
      </c>
      <c r="E2770" s="35" t="str">
        <f t="shared" si="653"/>
        <v>PRB'!</v>
      </c>
      <c r="F2770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70" s="32" t="s">
        <v>122</v>
      </c>
      <c r="H2770" s="33">
        <f t="shared" si="655"/>
        <v>44</v>
      </c>
      <c r="I2770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ECP\Cantagallo\Cristalina\[CRISTALINA_CF_SEC_New_09-Feb-2024.xlsx]D-PRB'!$EA$44</v>
      </c>
      <c r="J2770" s="37" t="s">
        <v>1382</v>
      </c>
    </row>
    <row r="2771" spans="1:10" x14ac:dyDescent="0.35">
      <c r="A2771" s="32" t="s">
        <v>20</v>
      </c>
      <c r="B2771" s="32">
        <f t="shared" si="657"/>
        <v>2056</v>
      </c>
      <c r="C2771" s="33" t="s">
        <v>52</v>
      </c>
      <c r="D2771" s="34" t="s">
        <v>128</v>
      </c>
      <c r="E2771" s="35" t="str">
        <f t="shared" si="653"/>
        <v>PRB'!</v>
      </c>
      <c r="F2771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71" s="32" t="s">
        <v>122</v>
      </c>
      <c r="H2771" s="33">
        <f t="shared" si="655"/>
        <v>45</v>
      </c>
      <c r="I2771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ECP\Cantagallo\Cristalina\[CRISTALINA_CF_SEC_New_09-Feb-2024.xlsx]D-PRB'!$EA$45</v>
      </c>
      <c r="J2771" s="37" t="s">
        <v>1383</v>
      </c>
    </row>
    <row r="2772" spans="1:10" x14ac:dyDescent="0.35">
      <c r="A2772" s="32" t="s">
        <v>20</v>
      </c>
      <c r="B2772" s="32">
        <f t="shared" si="657"/>
        <v>2057</v>
      </c>
      <c r="C2772" s="33" t="s">
        <v>52</v>
      </c>
      <c r="D2772" s="34" t="s">
        <v>128</v>
      </c>
      <c r="E2772" s="35" t="str">
        <f t="shared" si="653"/>
        <v>PRB'!</v>
      </c>
      <c r="F2772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72" s="32" t="s">
        <v>122</v>
      </c>
      <c r="H2772" s="33">
        <f t="shared" si="655"/>
        <v>46</v>
      </c>
      <c r="I2772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ECP\Cantagallo\Cristalina\[CRISTALINA_CF_SEC_New_09-Feb-2024.xlsx]D-PRB'!$EA$46</v>
      </c>
      <c r="J2772" s="37" t="s">
        <v>1384</v>
      </c>
    </row>
    <row r="2773" spans="1:10" x14ac:dyDescent="0.35">
      <c r="A2773" s="32" t="s">
        <v>20</v>
      </c>
      <c r="B2773" s="32">
        <f t="shared" si="657"/>
        <v>2058</v>
      </c>
      <c r="C2773" s="33" t="s">
        <v>52</v>
      </c>
      <c r="D2773" s="34" t="s">
        <v>128</v>
      </c>
      <c r="E2773" s="35" t="str">
        <f t="shared" si="653"/>
        <v>PRB'!</v>
      </c>
      <c r="F2773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73" s="32" t="s">
        <v>122</v>
      </c>
      <c r="H2773" s="33">
        <f t="shared" si="655"/>
        <v>47</v>
      </c>
      <c r="I2773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ECP\Cantagallo\Cristalina\[CRISTALINA_CF_SEC_New_09-Feb-2024.xlsx]D-PRB'!$EA$47</v>
      </c>
      <c r="J2773" s="37" t="s">
        <v>1385</v>
      </c>
    </row>
    <row r="2774" spans="1:10" x14ac:dyDescent="0.35">
      <c r="A2774" s="32" t="s">
        <v>20</v>
      </c>
      <c r="B2774" s="32">
        <f t="shared" si="657"/>
        <v>2059</v>
      </c>
      <c r="C2774" s="33" t="s">
        <v>52</v>
      </c>
      <c r="D2774" s="34" t="s">
        <v>128</v>
      </c>
      <c r="E2774" s="35" t="str">
        <f t="shared" si="653"/>
        <v>PRB'!</v>
      </c>
      <c r="F2774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74" s="32" t="s">
        <v>122</v>
      </c>
      <c r="H2774" s="33">
        <f t="shared" si="655"/>
        <v>48</v>
      </c>
      <c r="I2774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ECP\Cantagallo\Cristalina\[CRISTALINA_CF_SEC_New_09-Feb-2024.xlsx]D-PRB'!$EA$48</v>
      </c>
      <c r="J2774" s="37" t="s">
        <v>1386</v>
      </c>
    </row>
    <row r="2775" spans="1:10" x14ac:dyDescent="0.35">
      <c r="A2775" s="32" t="s">
        <v>26</v>
      </c>
      <c r="B2775" s="32"/>
      <c r="C2775" s="33" t="s">
        <v>52</v>
      </c>
      <c r="D2775" s="34"/>
      <c r="E2775" s="35"/>
      <c r="F2775" s="34"/>
      <c r="G2775" s="32"/>
      <c r="H2775" s="33"/>
      <c r="I2775" s="33"/>
      <c r="J2775" s="33"/>
    </row>
    <row r="2776" spans="1:10" x14ac:dyDescent="0.35">
      <c r="A2776" s="32" t="s">
        <v>21</v>
      </c>
      <c r="B2776" s="32">
        <v>2023</v>
      </c>
      <c r="C2776" s="33" t="s">
        <v>52</v>
      </c>
      <c r="D2776" s="34" t="s">
        <v>128</v>
      </c>
      <c r="E2776" s="35" t="str">
        <f t="shared" ref="E2776:E2796" si="658">_xlfn.CONCAT(A2776,"'!")</f>
        <v>PSDP'!</v>
      </c>
      <c r="F2776" s="34" t="str">
        <f t="shared" ref="F2776:F2796" si="659">_xlfn.CONCAT(D2776:E2776)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76" s="32" t="s">
        <v>122</v>
      </c>
      <c r="H2776" s="33"/>
      <c r="I2776" s="33"/>
      <c r="J2776" s="37"/>
    </row>
    <row r="2777" spans="1:10" x14ac:dyDescent="0.35">
      <c r="A2777" s="32" t="s">
        <v>21</v>
      </c>
      <c r="B2777" s="32">
        <f>+B2776+1</f>
        <v>2024</v>
      </c>
      <c r="C2777" s="33" t="s">
        <v>52</v>
      </c>
      <c r="D2777" s="34" t="s">
        <v>128</v>
      </c>
      <c r="E2777" s="35" t="str">
        <f t="shared" si="658"/>
        <v>PSDP'!</v>
      </c>
      <c r="F2777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77" s="32" t="s">
        <v>122</v>
      </c>
      <c r="H2777" s="33"/>
      <c r="I2777" s="33"/>
      <c r="J2777" s="37"/>
    </row>
    <row r="2778" spans="1:10" x14ac:dyDescent="0.35">
      <c r="A2778" s="32" t="s">
        <v>21</v>
      </c>
      <c r="B2778" s="32">
        <f t="shared" ref="B2778:B2789" si="660">+B2777+1</f>
        <v>2025</v>
      </c>
      <c r="C2778" s="33" t="s">
        <v>52</v>
      </c>
      <c r="D2778" s="34" t="s">
        <v>128</v>
      </c>
      <c r="E2778" s="35" t="str">
        <f t="shared" si="658"/>
        <v>PSDP'!</v>
      </c>
      <c r="F2778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78" s="32" t="s">
        <v>122</v>
      </c>
      <c r="H2778" s="33"/>
      <c r="I2778" s="33"/>
      <c r="J2778" s="37"/>
    </row>
    <row r="2779" spans="1:10" x14ac:dyDescent="0.35">
      <c r="A2779" s="32" t="s">
        <v>21</v>
      </c>
      <c r="B2779" s="32">
        <f t="shared" si="660"/>
        <v>2026</v>
      </c>
      <c r="C2779" s="33" t="s">
        <v>52</v>
      </c>
      <c r="D2779" s="34" t="s">
        <v>128</v>
      </c>
      <c r="E2779" s="35" t="str">
        <f t="shared" si="658"/>
        <v>PSDP'!</v>
      </c>
      <c r="F2779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79" s="32" t="s">
        <v>122</v>
      </c>
      <c r="H2779" s="33"/>
      <c r="I2779" s="33"/>
      <c r="J2779" s="37"/>
    </row>
    <row r="2780" spans="1:10" x14ac:dyDescent="0.35">
      <c r="A2780" s="32" t="s">
        <v>21</v>
      </c>
      <c r="B2780" s="32">
        <f t="shared" si="660"/>
        <v>2027</v>
      </c>
      <c r="C2780" s="33" t="s">
        <v>52</v>
      </c>
      <c r="D2780" s="34" t="s">
        <v>128</v>
      </c>
      <c r="E2780" s="35" t="str">
        <f t="shared" si="658"/>
        <v>PSDP'!</v>
      </c>
      <c r="F2780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80" s="32" t="s">
        <v>122</v>
      </c>
      <c r="H2780" s="33"/>
      <c r="I2780" s="33"/>
      <c r="J2780" s="37"/>
    </row>
    <row r="2781" spans="1:10" x14ac:dyDescent="0.35">
      <c r="A2781" s="32" t="s">
        <v>21</v>
      </c>
      <c r="B2781" s="32">
        <f t="shared" si="660"/>
        <v>2028</v>
      </c>
      <c r="C2781" s="33" t="s">
        <v>52</v>
      </c>
      <c r="D2781" s="34" t="s">
        <v>128</v>
      </c>
      <c r="E2781" s="35" t="str">
        <f t="shared" si="658"/>
        <v>PSDP'!</v>
      </c>
      <c r="F2781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81" s="32" t="s">
        <v>122</v>
      </c>
      <c r="H2781" s="33"/>
      <c r="I2781" s="33"/>
      <c r="J2781" s="37"/>
    </row>
    <row r="2782" spans="1:10" x14ac:dyDescent="0.35">
      <c r="A2782" s="32" t="s">
        <v>21</v>
      </c>
      <c r="B2782" s="32">
        <f t="shared" si="660"/>
        <v>2029</v>
      </c>
      <c r="C2782" s="33" t="s">
        <v>52</v>
      </c>
      <c r="D2782" s="34" t="s">
        <v>128</v>
      </c>
      <c r="E2782" s="35" t="str">
        <f t="shared" si="658"/>
        <v>PSDP'!</v>
      </c>
      <c r="F2782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82" s="32" t="s">
        <v>122</v>
      </c>
      <c r="H2782" s="33"/>
      <c r="I2782" s="33"/>
      <c r="J2782" s="37"/>
    </row>
    <row r="2783" spans="1:10" x14ac:dyDescent="0.35">
      <c r="A2783" s="32" t="s">
        <v>21</v>
      </c>
      <c r="B2783" s="32">
        <f t="shared" si="660"/>
        <v>2030</v>
      </c>
      <c r="C2783" s="33" t="s">
        <v>52</v>
      </c>
      <c r="D2783" s="34" t="s">
        <v>128</v>
      </c>
      <c r="E2783" s="35" t="str">
        <f t="shared" si="658"/>
        <v>PSDP'!</v>
      </c>
      <c r="F2783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83" s="32" t="s">
        <v>122</v>
      </c>
      <c r="H2783" s="33"/>
      <c r="I2783" s="33"/>
      <c r="J2783" s="37"/>
    </row>
    <row r="2784" spans="1:10" x14ac:dyDescent="0.35">
      <c r="A2784" s="32" t="s">
        <v>21</v>
      </c>
      <c r="B2784" s="32">
        <f t="shared" si="660"/>
        <v>2031</v>
      </c>
      <c r="C2784" s="33" t="s">
        <v>52</v>
      </c>
      <c r="D2784" s="34" t="s">
        <v>128</v>
      </c>
      <c r="E2784" s="35" t="str">
        <f t="shared" si="658"/>
        <v>PSDP'!</v>
      </c>
      <c r="F2784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84" s="32" t="s">
        <v>122</v>
      </c>
      <c r="H2784" s="33"/>
      <c r="I2784" s="33"/>
      <c r="J2784" s="37"/>
    </row>
    <row r="2785" spans="1:10" x14ac:dyDescent="0.35">
      <c r="A2785" s="32" t="s">
        <v>21</v>
      </c>
      <c r="B2785" s="32">
        <f t="shared" si="660"/>
        <v>2032</v>
      </c>
      <c r="C2785" s="33" t="s">
        <v>52</v>
      </c>
      <c r="D2785" s="34" t="s">
        <v>128</v>
      </c>
      <c r="E2785" s="35" t="str">
        <f t="shared" si="658"/>
        <v>PSDP'!</v>
      </c>
      <c r="F2785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85" s="32" t="s">
        <v>122</v>
      </c>
      <c r="H2785" s="33"/>
      <c r="I2785" s="33"/>
      <c r="J2785" s="37"/>
    </row>
    <row r="2786" spans="1:10" x14ac:dyDescent="0.35">
      <c r="A2786" s="32" t="s">
        <v>21</v>
      </c>
      <c r="B2786" s="32">
        <f t="shared" si="660"/>
        <v>2033</v>
      </c>
      <c r="C2786" s="33" t="s">
        <v>52</v>
      </c>
      <c r="D2786" s="34" t="s">
        <v>128</v>
      </c>
      <c r="E2786" s="35" t="str">
        <f t="shared" si="658"/>
        <v>PSDP'!</v>
      </c>
      <c r="F2786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86" s="32" t="s">
        <v>122</v>
      </c>
      <c r="H2786" s="33"/>
      <c r="I2786" s="33"/>
      <c r="J2786" s="37"/>
    </row>
    <row r="2787" spans="1:10" x14ac:dyDescent="0.35">
      <c r="A2787" s="32" t="s">
        <v>21</v>
      </c>
      <c r="B2787" s="32">
        <f t="shared" si="660"/>
        <v>2034</v>
      </c>
      <c r="C2787" s="33" t="s">
        <v>52</v>
      </c>
      <c r="D2787" s="34" t="s">
        <v>128</v>
      </c>
      <c r="E2787" s="35" t="str">
        <f t="shared" si="658"/>
        <v>PSDP'!</v>
      </c>
      <c r="F2787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87" s="32" t="s">
        <v>122</v>
      </c>
      <c r="H2787" s="33"/>
      <c r="I2787" s="33"/>
      <c r="J2787" s="37"/>
    </row>
    <row r="2788" spans="1:10" x14ac:dyDescent="0.35">
      <c r="A2788" s="32" t="s">
        <v>21</v>
      </c>
      <c r="B2788" s="32">
        <f t="shared" si="660"/>
        <v>2035</v>
      </c>
      <c r="C2788" s="33" t="s">
        <v>52</v>
      </c>
      <c r="D2788" s="34" t="s">
        <v>128</v>
      </c>
      <c r="E2788" s="35" t="str">
        <f t="shared" si="658"/>
        <v>PSDP'!</v>
      </c>
      <c r="F2788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88" s="32" t="s">
        <v>122</v>
      </c>
      <c r="H2788" s="33"/>
      <c r="I2788" s="33"/>
      <c r="J2788" s="37"/>
    </row>
    <row r="2789" spans="1:10" x14ac:dyDescent="0.35">
      <c r="A2789" s="32" t="s">
        <v>21</v>
      </c>
      <c r="B2789" s="32">
        <f t="shared" si="660"/>
        <v>2036</v>
      </c>
      <c r="C2789" s="33" t="s">
        <v>52</v>
      </c>
      <c r="D2789" s="34" t="s">
        <v>128</v>
      </c>
      <c r="E2789" s="35" t="str">
        <f t="shared" si="658"/>
        <v>PSDP'!</v>
      </c>
      <c r="F2789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89" s="32" t="s">
        <v>122</v>
      </c>
      <c r="H2789" s="33"/>
      <c r="I2789" s="33"/>
      <c r="J2789" s="37"/>
    </row>
    <row r="2790" spans="1:10" x14ac:dyDescent="0.35">
      <c r="A2790" s="32" t="s">
        <v>21</v>
      </c>
      <c r="B2790" s="32">
        <f>+B2789+1</f>
        <v>2037</v>
      </c>
      <c r="C2790" s="33" t="s">
        <v>52</v>
      </c>
      <c r="D2790" s="34" t="s">
        <v>128</v>
      </c>
      <c r="E2790" s="35" t="str">
        <f t="shared" si="658"/>
        <v>PSDP'!</v>
      </c>
      <c r="F2790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90" s="32" t="s">
        <v>122</v>
      </c>
      <c r="H2790" s="33"/>
      <c r="I2790" s="33"/>
      <c r="J2790" s="37"/>
    </row>
    <row r="2791" spans="1:10" x14ac:dyDescent="0.35">
      <c r="A2791" s="32" t="s">
        <v>21</v>
      </c>
      <c r="B2791" s="32">
        <f t="shared" ref="B2791:B2793" si="661">+B2790+1</f>
        <v>2038</v>
      </c>
      <c r="C2791" s="33" t="s">
        <v>52</v>
      </c>
      <c r="D2791" s="34" t="s">
        <v>128</v>
      </c>
      <c r="E2791" s="35" t="str">
        <f t="shared" si="658"/>
        <v>PSDP'!</v>
      </c>
      <c r="F2791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91" s="32" t="s">
        <v>122</v>
      </c>
      <c r="H2791" s="33"/>
      <c r="I2791" s="33"/>
      <c r="J2791" s="37"/>
    </row>
    <row r="2792" spans="1:10" x14ac:dyDescent="0.35">
      <c r="A2792" s="32" t="s">
        <v>21</v>
      </c>
      <c r="B2792" s="32">
        <f t="shared" si="661"/>
        <v>2039</v>
      </c>
      <c r="C2792" s="33" t="s">
        <v>52</v>
      </c>
      <c r="D2792" s="34" t="s">
        <v>128</v>
      </c>
      <c r="E2792" s="35" t="str">
        <f t="shared" si="658"/>
        <v>PSDP'!</v>
      </c>
      <c r="F2792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92" s="32" t="s">
        <v>122</v>
      </c>
      <c r="H2792" s="33"/>
      <c r="I2792" s="33"/>
      <c r="J2792" s="37"/>
    </row>
    <row r="2793" spans="1:10" x14ac:dyDescent="0.35">
      <c r="A2793" s="32" t="s">
        <v>21</v>
      </c>
      <c r="B2793" s="32">
        <f t="shared" si="661"/>
        <v>2040</v>
      </c>
      <c r="C2793" s="33" t="s">
        <v>52</v>
      </c>
      <c r="D2793" s="34" t="s">
        <v>128</v>
      </c>
      <c r="E2793" s="35" t="str">
        <f t="shared" si="658"/>
        <v>PSDP'!</v>
      </c>
      <c r="F2793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93" s="32" t="s">
        <v>122</v>
      </c>
      <c r="H2793" s="33"/>
      <c r="I2793" s="33"/>
      <c r="J2793" s="37"/>
    </row>
    <row r="2794" spans="1:10" x14ac:dyDescent="0.35">
      <c r="A2794" s="32" t="s">
        <v>21</v>
      </c>
      <c r="B2794" s="32">
        <f>+B2793+1</f>
        <v>2041</v>
      </c>
      <c r="C2794" s="33" t="s">
        <v>52</v>
      </c>
      <c r="D2794" s="34" t="s">
        <v>128</v>
      </c>
      <c r="E2794" s="35" t="str">
        <f t="shared" si="658"/>
        <v>PSDP'!</v>
      </c>
      <c r="F2794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94" s="32" t="s">
        <v>122</v>
      </c>
      <c r="H2794" s="33"/>
      <c r="I2794" s="33"/>
      <c r="J2794" s="37"/>
    </row>
    <row r="2795" spans="1:10" x14ac:dyDescent="0.35">
      <c r="A2795" s="32" t="s">
        <v>21</v>
      </c>
      <c r="B2795" s="32">
        <f t="shared" ref="B2795:B2796" si="662">+B2794+1</f>
        <v>2042</v>
      </c>
      <c r="C2795" s="33" t="s">
        <v>52</v>
      </c>
      <c r="D2795" s="34" t="s">
        <v>128</v>
      </c>
      <c r="E2795" s="35" t="str">
        <f t="shared" si="658"/>
        <v>PSDP'!</v>
      </c>
      <c r="F2795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95" s="32" t="s">
        <v>122</v>
      </c>
      <c r="H2795" s="33"/>
      <c r="I2795" s="33"/>
      <c r="J2795" s="37"/>
    </row>
    <row r="2796" spans="1:10" x14ac:dyDescent="0.35">
      <c r="A2796" s="32" t="s">
        <v>21</v>
      </c>
      <c r="B2796" s="32">
        <f t="shared" si="662"/>
        <v>2043</v>
      </c>
      <c r="C2796" s="33" t="s">
        <v>52</v>
      </c>
      <c r="D2796" s="34" t="s">
        <v>128</v>
      </c>
      <c r="E2796" s="35" t="str">
        <f t="shared" si="658"/>
        <v>PSDP'!</v>
      </c>
      <c r="F2796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96" s="32" t="s">
        <v>122</v>
      </c>
      <c r="H2796" s="33"/>
      <c r="I2796" s="33"/>
      <c r="J2796" s="37"/>
    </row>
    <row r="2797" spans="1:10" x14ac:dyDescent="0.35">
      <c r="A2797" s="32" t="s">
        <v>21</v>
      </c>
      <c r="B2797" s="32">
        <f>+B2796+1</f>
        <v>2044</v>
      </c>
      <c r="C2797" s="33" t="s">
        <v>52</v>
      </c>
      <c r="D2797" s="34" t="s">
        <v>128</v>
      </c>
      <c r="E2797" s="35" t="str">
        <f t="shared" ref="E2797:E2812" si="663">_xlfn.CONCAT(A2797,"'!")</f>
        <v>PSDP'!</v>
      </c>
      <c r="F2797" s="34" t="str">
        <f t="shared" ref="F2797:F2812" si="664">_xlfn.CONCAT(D2797:E2797)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97" s="32" t="s">
        <v>122</v>
      </c>
      <c r="H2797" s="33"/>
      <c r="I2797" s="33"/>
      <c r="J2797" s="37"/>
    </row>
    <row r="2798" spans="1:10" x14ac:dyDescent="0.35">
      <c r="A2798" s="32" t="s">
        <v>21</v>
      </c>
      <c r="B2798" s="32">
        <f t="shared" ref="B2798:B2812" si="665">+B2797+1</f>
        <v>2045</v>
      </c>
      <c r="C2798" s="33" t="s">
        <v>52</v>
      </c>
      <c r="D2798" s="34" t="s">
        <v>128</v>
      </c>
      <c r="E2798" s="35" t="str">
        <f t="shared" si="663"/>
        <v>PSDP'!</v>
      </c>
      <c r="F2798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98" s="32" t="s">
        <v>122</v>
      </c>
      <c r="H2798" s="33"/>
      <c r="I2798" s="33"/>
      <c r="J2798" s="37"/>
    </row>
    <row r="2799" spans="1:10" x14ac:dyDescent="0.35">
      <c r="A2799" s="32" t="s">
        <v>21</v>
      </c>
      <c r="B2799" s="32">
        <f t="shared" si="665"/>
        <v>2046</v>
      </c>
      <c r="C2799" s="33" t="s">
        <v>52</v>
      </c>
      <c r="D2799" s="34" t="s">
        <v>128</v>
      </c>
      <c r="E2799" s="35" t="str">
        <f t="shared" si="663"/>
        <v>PSDP'!</v>
      </c>
      <c r="F2799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99" s="32" t="s">
        <v>122</v>
      </c>
      <c r="H2799" s="33"/>
      <c r="I2799" s="33"/>
      <c r="J2799" s="37"/>
    </row>
    <row r="2800" spans="1:10" x14ac:dyDescent="0.35">
      <c r="A2800" s="32" t="s">
        <v>21</v>
      </c>
      <c r="B2800" s="32">
        <f t="shared" si="665"/>
        <v>2047</v>
      </c>
      <c r="C2800" s="33" t="s">
        <v>52</v>
      </c>
      <c r="D2800" s="34" t="s">
        <v>128</v>
      </c>
      <c r="E2800" s="35" t="str">
        <f t="shared" si="663"/>
        <v>PSDP'!</v>
      </c>
      <c r="F2800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00" s="32" t="s">
        <v>122</v>
      </c>
      <c r="H2800" s="33"/>
      <c r="I2800" s="33"/>
      <c r="J2800" s="37"/>
    </row>
    <row r="2801" spans="1:10" x14ac:dyDescent="0.35">
      <c r="A2801" s="32" t="s">
        <v>21</v>
      </c>
      <c r="B2801" s="32">
        <f t="shared" si="665"/>
        <v>2048</v>
      </c>
      <c r="C2801" s="33" t="s">
        <v>52</v>
      </c>
      <c r="D2801" s="34" t="s">
        <v>128</v>
      </c>
      <c r="E2801" s="35" t="str">
        <f t="shared" si="663"/>
        <v>PSDP'!</v>
      </c>
      <c r="F2801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01" s="32" t="s">
        <v>122</v>
      </c>
      <c r="H2801" s="33"/>
      <c r="I2801" s="33"/>
      <c r="J2801" s="37"/>
    </row>
    <row r="2802" spans="1:10" x14ac:dyDescent="0.35">
      <c r="A2802" s="32" t="s">
        <v>21</v>
      </c>
      <c r="B2802" s="32">
        <f t="shared" si="665"/>
        <v>2049</v>
      </c>
      <c r="C2802" s="33" t="s">
        <v>52</v>
      </c>
      <c r="D2802" s="34" t="s">
        <v>128</v>
      </c>
      <c r="E2802" s="35" t="str">
        <f t="shared" si="663"/>
        <v>PSDP'!</v>
      </c>
      <c r="F2802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02" s="32" t="s">
        <v>122</v>
      </c>
      <c r="H2802" s="33"/>
      <c r="I2802" s="33"/>
      <c r="J2802" s="37"/>
    </row>
    <row r="2803" spans="1:10" x14ac:dyDescent="0.35">
      <c r="A2803" s="32" t="s">
        <v>21</v>
      </c>
      <c r="B2803" s="32">
        <f t="shared" si="665"/>
        <v>2050</v>
      </c>
      <c r="C2803" s="33" t="s">
        <v>52</v>
      </c>
      <c r="D2803" s="34" t="s">
        <v>128</v>
      </c>
      <c r="E2803" s="35" t="str">
        <f t="shared" si="663"/>
        <v>PSDP'!</v>
      </c>
      <c r="F2803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03" s="32" t="s">
        <v>122</v>
      </c>
      <c r="H2803" s="33"/>
      <c r="I2803" s="33"/>
      <c r="J2803" s="37"/>
    </row>
    <row r="2804" spans="1:10" x14ac:dyDescent="0.35">
      <c r="A2804" s="32" t="s">
        <v>21</v>
      </c>
      <c r="B2804" s="32">
        <f t="shared" si="665"/>
        <v>2051</v>
      </c>
      <c r="C2804" s="33" t="s">
        <v>52</v>
      </c>
      <c r="D2804" s="34" t="s">
        <v>128</v>
      </c>
      <c r="E2804" s="35" t="str">
        <f t="shared" si="663"/>
        <v>PSDP'!</v>
      </c>
      <c r="F2804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04" s="32" t="s">
        <v>122</v>
      </c>
      <c r="H2804" s="33"/>
      <c r="I2804" s="33"/>
      <c r="J2804" s="37"/>
    </row>
    <row r="2805" spans="1:10" x14ac:dyDescent="0.35">
      <c r="A2805" s="32" t="s">
        <v>21</v>
      </c>
      <c r="B2805" s="32">
        <f t="shared" si="665"/>
        <v>2052</v>
      </c>
      <c r="C2805" s="33" t="s">
        <v>52</v>
      </c>
      <c r="D2805" s="34" t="s">
        <v>128</v>
      </c>
      <c r="E2805" s="35" t="str">
        <f t="shared" si="663"/>
        <v>PSDP'!</v>
      </c>
      <c r="F2805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05" s="32" t="s">
        <v>122</v>
      </c>
      <c r="H2805" s="33"/>
      <c r="I2805" s="33"/>
      <c r="J2805" s="37"/>
    </row>
    <row r="2806" spans="1:10" x14ac:dyDescent="0.35">
      <c r="A2806" s="32" t="s">
        <v>21</v>
      </c>
      <c r="B2806" s="32">
        <f t="shared" si="665"/>
        <v>2053</v>
      </c>
      <c r="C2806" s="33" t="s">
        <v>52</v>
      </c>
      <c r="D2806" s="34" t="s">
        <v>128</v>
      </c>
      <c r="E2806" s="35" t="str">
        <f t="shared" si="663"/>
        <v>PSDP'!</v>
      </c>
      <c r="F2806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06" s="32" t="s">
        <v>122</v>
      </c>
      <c r="H2806" s="33"/>
      <c r="I2806" s="33"/>
      <c r="J2806" s="37"/>
    </row>
    <row r="2807" spans="1:10" x14ac:dyDescent="0.35">
      <c r="A2807" s="32" t="s">
        <v>21</v>
      </c>
      <c r="B2807" s="32">
        <f t="shared" si="665"/>
        <v>2054</v>
      </c>
      <c r="C2807" s="33" t="s">
        <v>52</v>
      </c>
      <c r="D2807" s="34" t="s">
        <v>128</v>
      </c>
      <c r="E2807" s="35" t="str">
        <f t="shared" si="663"/>
        <v>PSDP'!</v>
      </c>
      <c r="F2807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07" s="32" t="s">
        <v>122</v>
      </c>
      <c r="H2807" s="33"/>
      <c r="I2807" s="33"/>
      <c r="J2807" s="37"/>
    </row>
    <row r="2808" spans="1:10" x14ac:dyDescent="0.35">
      <c r="A2808" s="32" t="s">
        <v>21</v>
      </c>
      <c r="B2808" s="32">
        <f t="shared" si="665"/>
        <v>2055</v>
      </c>
      <c r="C2808" s="33" t="s">
        <v>52</v>
      </c>
      <c r="D2808" s="34" t="s">
        <v>128</v>
      </c>
      <c r="E2808" s="35" t="str">
        <f t="shared" si="663"/>
        <v>PSDP'!</v>
      </c>
      <c r="F2808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08" s="32" t="s">
        <v>122</v>
      </c>
      <c r="H2808" s="33"/>
      <c r="I2808" s="33"/>
      <c r="J2808" s="37"/>
    </row>
    <row r="2809" spans="1:10" x14ac:dyDescent="0.35">
      <c r="A2809" s="32" t="s">
        <v>21</v>
      </c>
      <c r="B2809" s="32">
        <f t="shared" si="665"/>
        <v>2056</v>
      </c>
      <c r="C2809" s="33" t="s">
        <v>52</v>
      </c>
      <c r="D2809" s="34" t="s">
        <v>128</v>
      </c>
      <c r="E2809" s="35" t="str">
        <f t="shared" si="663"/>
        <v>PSDP'!</v>
      </c>
      <c r="F2809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09" s="32" t="s">
        <v>122</v>
      </c>
      <c r="H2809" s="33"/>
      <c r="I2809" s="33"/>
      <c r="J2809" s="37"/>
    </row>
    <row r="2810" spans="1:10" x14ac:dyDescent="0.35">
      <c r="A2810" s="32" t="s">
        <v>21</v>
      </c>
      <c r="B2810" s="32">
        <f t="shared" si="665"/>
        <v>2057</v>
      </c>
      <c r="C2810" s="33" t="s">
        <v>52</v>
      </c>
      <c r="D2810" s="34" t="s">
        <v>128</v>
      </c>
      <c r="E2810" s="35" t="str">
        <f t="shared" si="663"/>
        <v>PSDP'!</v>
      </c>
      <c r="F2810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10" s="32" t="s">
        <v>122</v>
      </c>
      <c r="H2810" s="33"/>
      <c r="I2810" s="33"/>
      <c r="J2810" s="37"/>
    </row>
    <row r="2811" spans="1:10" x14ac:dyDescent="0.35">
      <c r="A2811" s="32" t="s">
        <v>21</v>
      </c>
      <c r="B2811" s="32">
        <f t="shared" si="665"/>
        <v>2058</v>
      </c>
      <c r="C2811" s="33" t="s">
        <v>52</v>
      </c>
      <c r="D2811" s="34" t="s">
        <v>128</v>
      </c>
      <c r="E2811" s="35" t="str">
        <f t="shared" si="663"/>
        <v>PSDP'!</v>
      </c>
      <c r="F2811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11" s="32" t="s">
        <v>122</v>
      </c>
      <c r="H2811" s="33"/>
      <c r="I2811" s="33"/>
      <c r="J2811" s="37"/>
    </row>
    <row r="2812" spans="1:10" x14ac:dyDescent="0.35">
      <c r="A2812" s="32" t="s">
        <v>21</v>
      </c>
      <c r="B2812" s="32">
        <f t="shared" si="665"/>
        <v>2059</v>
      </c>
      <c r="C2812" s="33" t="s">
        <v>52</v>
      </c>
      <c r="D2812" s="34" t="s">
        <v>128</v>
      </c>
      <c r="E2812" s="35" t="str">
        <f t="shared" si="663"/>
        <v>PSDP'!</v>
      </c>
      <c r="F2812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12" s="32" t="s">
        <v>122</v>
      </c>
      <c r="H2812" s="33"/>
      <c r="I2812" s="33"/>
      <c r="J2812" s="37"/>
    </row>
    <row r="2813" spans="1:10" x14ac:dyDescent="0.35">
      <c r="A2813" s="32" t="s">
        <v>26</v>
      </c>
      <c r="B2813" s="32"/>
      <c r="C2813" s="33" t="s">
        <v>52</v>
      </c>
      <c r="D2813" s="34"/>
      <c r="E2813" s="35"/>
      <c r="F2813" s="34"/>
      <c r="G2813" s="32"/>
      <c r="H2813" s="33"/>
      <c r="I2813" s="33"/>
      <c r="J2813" s="33"/>
    </row>
    <row r="2814" spans="1:10" x14ac:dyDescent="0.35">
      <c r="A2814" s="32" t="s">
        <v>22</v>
      </c>
      <c r="B2814" s="32">
        <v>2023</v>
      </c>
      <c r="C2814" s="33" t="s">
        <v>52</v>
      </c>
      <c r="D2814" s="34" t="s">
        <v>128</v>
      </c>
      <c r="E2814" s="35" t="str">
        <f t="shared" ref="E2814:E2834" si="666">_xlfn.CONCAT(A2814,"'!")</f>
        <v>PSNP'!</v>
      </c>
      <c r="F2814" s="34" t="str">
        <f t="shared" ref="F2814:F2834" si="667">_xlfn.CONCAT(D2814:E2814)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14" s="32" t="s">
        <v>122</v>
      </c>
      <c r="H2814" s="33"/>
      <c r="I2814" s="33"/>
      <c r="J2814" s="37"/>
    </row>
    <row r="2815" spans="1:10" x14ac:dyDescent="0.35">
      <c r="A2815" s="32" t="s">
        <v>22</v>
      </c>
      <c r="B2815" s="32">
        <f>+B2814+1</f>
        <v>2024</v>
      </c>
      <c r="C2815" s="33" t="s">
        <v>52</v>
      </c>
      <c r="D2815" s="34" t="s">
        <v>128</v>
      </c>
      <c r="E2815" s="35" t="str">
        <f t="shared" si="666"/>
        <v>PSNP'!</v>
      </c>
      <c r="F2815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15" s="32" t="s">
        <v>122</v>
      </c>
      <c r="H2815" s="33"/>
      <c r="I2815" s="33"/>
      <c r="J2815" s="37"/>
    </row>
    <row r="2816" spans="1:10" x14ac:dyDescent="0.35">
      <c r="A2816" s="32" t="s">
        <v>22</v>
      </c>
      <c r="B2816" s="32">
        <f t="shared" ref="B2816:B2827" si="668">+B2815+1</f>
        <v>2025</v>
      </c>
      <c r="C2816" s="33" t="s">
        <v>52</v>
      </c>
      <c r="D2816" s="34" t="s">
        <v>128</v>
      </c>
      <c r="E2816" s="35" t="str">
        <f t="shared" si="666"/>
        <v>PSNP'!</v>
      </c>
      <c r="F2816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16" s="32" t="s">
        <v>122</v>
      </c>
      <c r="H2816" s="33"/>
      <c r="I2816" s="33"/>
      <c r="J2816" s="37"/>
    </row>
    <row r="2817" spans="1:10" x14ac:dyDescent="0.35">
      <c r="A2817" s="32" t="s">
        <v>22</v>
      </c>
      <c r="B2817" s="32">
        <f t="shared" si="668"/>
        <v>2026</v>
      </c>
      <c r="C2817" s="33" t="s">
        <v>52</v>
      </c>
      <c r="D2817" s="34" t="s">
        <v>128</v>
      </c>
      <c r="E2817" s="35" t="str">
        <f t="shared" si="666"/>
        <v>PSNP'!</v>
      </c>
      <c r="F2817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17" s="32" t="s">
        <v>122</v>
      </c>
      <c r="H2817" s="33"/>
      <c r="I2817" s="33"/>
      <c r="J2817" s="37"/>
    </row>
    <row r="2818" spans="1:10" x14ac:dyDescent="0.35">
      <c r="A2818" s="32" t="s">
        <v>22</v>
      </c>
      <c r="B2818" s="32">
        <f t="shared" si="668"/>
        <v>2027</v>
      </c>
      <c r="C2818" s="33" t="s">
        <v>52</v>
      </c>
      <c r="D2818" s="34" t="s">
        <v>128</v>
      </c>
      <c r="E2818" s="35" t="str">
        <f t="shared" si="666"/>
        <v>PSNP'!</v>
      </c>
      <c r="F2818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18" s="32" t="s">
        <v>122</v>
      </c>
      <c r="H2818" s="33"/>
      <c r="I2818" s="33"/>
      <c r="J2818" s="37"/>
    </row>
    <row r="2819" spans="1:10" x14ac:dyDescent="0.35">
      <c r="A2819" s="32" t="s">
        <v>22</v>
      </c>
      <c r="B2819" s="32">
        <f t="shared" si="668"/>
        <v>2028</v>
      </c>
      <c r="C2819" s="33" t="s">
        <v>52</v>
      </c>
      <c r="D2819" s="34" t="s">
        <v>128</v>
      </c>
      <c r="E2819" s="35" t="str">
        <f t="shared" si="666"/>
        <v>PSNP'!</v>
      </c>
      <c r="F2819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19" s="32" t="s">
        <v>122</v>
      </c>
      <c r="H2819" s="33"/>
      <c r="I2819" s="33"/>
      <c r="J2819" s="37"/>
    </row>
    <row r="2820" spans="1:10" x14ac:dyDescent="0.35">
      <c r="A2820" s="32" t="s">
        <v>22</v>
      </c>
      <c r="B2820" s="32">
        <f t="shared" si="668"/>
        <v>2029</v>
      </c>
      <c r="C2820" s="33" t="s">
        <v>52</v>
      </c>
      <c r="D2820" s="34" t="s">
        <v>128</v>
      </c>
      <c r="E2820" s="35" t="str">
        <f t="shared" si="666"/>
        <v>PSNP'!</v>
      </c>
      <c r="F2820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20" s="32" t="s">
        <v>122</v>
      </c>
      <c r="H2820" s="33"/>
      <c r="I2820" s="33"/>
      <c r="J2820" s="37"/>
    </row>
    <row r="2821" spans="1:10" x14ac:dyDescent="0.35">
      <c r="A2821" s="32" t="s">
        <v>22</v>
      </c>
      <c r="B2821" s="32">
        <f t="shared" si="668"/>
        <v>2030</v>
      </c>
      <c r="C2821" s="33" t="s">
        <v>52</v>
      </c>
      <c r="D2821" s="34" t="s">
        <v>128</v>
      </c>
      <c r="E2821" s="35" t="str">
        <f t="shared" si="666"/>
        <v>PSNP'!</v>
      </c>
      <c r="F2821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21" s="32" t="s">
        <v>122</v>
      </c>
      <c r="H2821" s="33"/>
      <c r="I2821" s="33"/>
      <c r="J2821" s="37"/>
    </row>
    <row r="2822" spans="1:10" x14ac:dyDescent="0.35">
      <c r="A2822" s="32" t="s">
        <v>22</v>
      </c>
      <c r="B2822" s="32">
        <f t="shared" si="668"/>
        <v>2031</v>
      </c>
      <c r="C2822" s="33" t="s">
        <v>52</v>
      </c>
      <c r="D2822" s="34" t="s">
        <v>128</v>
      </c>
      <c r="E2822" s="35" t="str">
        <f t="shared" si="666"/>
        <v>PSNP'!</v>
      </c>
      <c r="F2822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22" s="32" t="s">
        <v>122</v>
      </c>
      <c r="H2822" s="33"/>
      <c r="I2822" s="33"/>
      <c r="J2822" s="37"/>
    </row>
    <row r="2823" spans="1:10" x14ac:dyDescent="0.35">
      <c r="A2823" s="32" t="s">
        <v>22</v>
      </c>
      <c r="B2823" s="32">
        <f t="shared" si="668"/>
        <v>2032</v>
      </c>
      <c r="C2823" s="33" t="s">
        <v>52</v>
      </c>
      <c r="D2823" s="34" t="s">
        <v>128</v>
      </c>
      <c r="E2823" s="35" t="str">
        <f t="shared" si="666"/>
        <v>PSNP'!</v>
      </c>
      <c r="F2823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23" s="32" t="s">
        <v>122</v>
      </c>
      <c r="H2823" s="33"/>
      <c r="I2823" s="33"/>
      <c r="J2823" s="37"/>
    </row>
    <row r="2824" spans="1:10" x14ac:dyDescent="0.35">
      <c r="A2824" s="32" t="s">
        <v>22</v>
      </c>
      <c r="B2824" s="32">
        <f t="shared" si="668"/>
        <v>2033</v>
      </c>
      <c r="C2824" s="33" t="s">
        <v>52</v>
      </c>
      <c r="D2824" s="34" t="s">
        <v>128</v>
      </c>
      <c r="E2824" s="35" t="str">
        <f t="shared" si="666"/>
        <v>PSNP'!</v>
      </c>
      <c r="F2824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24" s="32" t="s">
        <v>122</v>
      </c>
      <c r="H2824" s="33"/>
      <c r="I2824" s="33"/>
      <c r="J2824" s="37"/>
    </row>
    <row r="2825" spans="1:10" x14ac:dyDescent="0.35">
      <c r="A2825" s="32" t="s">
        <v>22</v>
      </c>
      <c r="B2825" s="32">
        <f t="shared" si="668"/>
        <v>2034</v>
      </c>
      <c r="C2825" s="33" t="s">
        <v>52</v>
      </c>
      <c r="D2825" s="34" t="s">
        <v>128</v>
      </c>
      <c r="E2825" s="35" t="str">
        <f t="shared" si="666"/>
        <v>PSNP'!</v>
      </c>
      <c r="F2825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25" s="32" t="s">
        <v>122</v>
      </c>
      <c r="H2825" s="33"/>
      <c r="I2825" s="33"/>
      <c r="J2825" s="37"/>
    </row>
    <row r="2826" spans="1:10" x14ac:dyDescent="0.35">
      <c r="A2826" s="32" t="s">
        <v>22</v>
      </c>
      <c r="B2826" s="32">
        <f t="shared" si="668"/>
        <v>2035</v>
      </c>
      <c r="C2826" s="33" t="s">
        <v>52</v>
      </c>
      <c r="D2826" s="34" t="s">
        <v>128</v>
      </c>
      <c r="E2826" s="35" t="str">
        <f t="shared" si="666"/>
        <v>PSNP'!</v>
      </c>
      <c r="F2826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26" s="32" t="s">
        <v>122</v>
      </c>
      <c r="H2826" s="33"/>
      <c r="I2826" s="33"/>
      <c r="J2826" s="37"/>
    </row>
    <row r="2827" spans="1:10" x14ac:dyDescent="0.35">
      <c r="A2827" s="32" t="s">
        <v>22</v>
      </c>
      <c r="B2827" s="32">
        <f t="shared" si="668"/>
        <v>2036</v>
      </c>
      <c r="C2827" s="33" t="s">
        <v>52</v>
      </c>
      <c r="D2827" s="34" t="s">
        <v>128</v>
      </c>
      <c r="E2827" s="35" t="str">
        <f t="shared" si="666"/>
        <v>PSNP'!</v>
      </c>
      <c r="F2827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27" s="32" t="s">
        <v>122</v>
      </c>
      <c r="H2827" s="33"/>
      <c r="I2827" s="33"/>
      <c r="J2827" s="37"/>
    </row>
    <row r="2828" spans="1:10" x14ac:dyDescent="0.35">
      <c r="A2828" s="32" t="s">
        <v>22</v>
      </c>
      <c r="B2828" s="32">
        <f>+B2827+1</f>
        <v>2037</v>
      </c>
      <c r="C2828" s="33" t="s">
        <v>52</v>
      </c>
      <c r="D2828" s="34" t="s">
        <v>128</v>
      </c>
      <c r="E2828" s="35" t="str">
        <f t="shared" si="666"/>
        <v>PSNP'!</v>
      </c>
      <c r="F2828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28" s="32" t="s">
        <v>122</v>
      </c>
      <c r="H2828" s="33"/>
      <c r="I2828" s="33"/>
      <c r="J2828" s="37"/>
    </row>
    <row r="2829" spans="1:10" x14ac:dyDescent="0.35">
      <c r="A2829" s="32" t="s">
        <v>22</v>
      </c>
      <c r="B2829" s="32">
        <f t="shared" ref="B2829:B2831" si="669">+B2828+1</f>
        <v>2038</v>
      </c>
      <c r="C2829" s="33" t="s">
        <v>52</v>
      </c>
      <c r="D2829" s="34" t="s">
        <v>128</v>
      </c>
      <c r="E2829" s="35" t="str">
        <f t="shared" si="666"/>
        <v>PSNP'!</v>
      </c>
      <c r="F2829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29" s="32" t="s">
        <v>122</v>
      </c>
      <c r="H2829" s="33"/>
      <c r="I2829" s="33"/>
      <c r="J2829" s="37"/>
    </row>
    <row r="2830" spans="1:10" x14ac:dyDescent="0.35">
      <c r="A2830" s="32" t="s">
        <v>22</v>
      </c>
      <c r="B2830" s="32">
        <f t="shared" si="669"/>
        <v>2039</v>
      </c>
      <c r="C2830" s="33" t="s">
        <v>52</v>
      </c>
      <c r="D2830" s="34" t="s">
        <v>128</v>
      </c>
      <c r="E2830" s="35" t="str">
        <f t="shared" si="666"/>
        <v>PSNP'!</v>
      </c>
      <c r="F2830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30" s="32" t="s">
        <v>122</v>
      </c>
      <c r="H2830" s="33"/>
      <c r="I2830" s="33"/>
      <c r="J2830" s="37"/>
    </row>
    <row r="2831" spans="1:10" x14ac:dyDescent="0.35">
      <c r="A2831" s="32" t="s">
        <v>22</v>
      </c>
      <c r="B2831" s="32">
        <f t="shared" si="669"/>
        <v>2040</v>
      </c>
      <c r="C2831" s="33" t="s">
        <v>52</v>
      </c>
      <c r="D2831" s="34" t="s">
        <v>128</v>
      </c>
      <c r="E2831" s="35" t="str">
        <f t="shared" si="666"/>
        <v>PSNP'!</v>
      </c>
      <c r="F2831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31" s="32" t="s">
        <v>122</v>
      </c>
      <c r="H2831" s="33"/>
      <c r="I2831" s="33"/>
      <c r="J2831" s="37"/>
    </row>
    <row r="2832" spans="1:10" x14ac:dyDescent="0.35">
      <c r="A2832" s="32" t="s">
        <v>22</v>
      </c>
      <c r="B2832" s="32">
        <f>+B2831+1</f>
        <v>2041</v>
      </c>
      <c r="C2832" s="33" t="s">
        <v>52</v>
      </c>
      <c r="D2832" s="34" t="s">
        <v>128</v>
      </c>
      <c r="E2832" s="35" t="str">
        <f t="shared" si="666"/>
        <v>PSNP'!</v>
      </c>
      <c r="F2832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32" s="32" t="s">
        <v>122</v>
      </c>
      <c r="H2832" s="33"/>
      <c r="I2832" s="33"/>
      <c r="J2832" s="37"/>
    </row>
    <row r="2833" spans="1:10" x14ac:dyDescent="0.35">
      <c r="A2833" s="32" t="s">
        <v>22</v>
      </c>
      <c r="B2833" s="32">
        <f t="shared" ref="B2833:B2834" si="670">+B2832+1</f>
        <v>2042</v>
      </c>
      <c r="C2833" s="33" t="s">
        <v>52</v>
      </c>
      <c r="D2833" s="34" t="s">
        <v>128</v>
      </c>
      <c r="E2833" s="35" t="str">
        <f t="shared" si="666"/>
        <v>PSNP'!</v>
      </c>
      <c r="F2833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33" s="32" t="s">
        <v>122</v>
      </c>
      <c r="H2833" s="33"/>
      <c r="I2833" s="33"/>
      <c r="J2833" s="37"/>
    </row>
    <row r="2834" spans="1:10" x14ac:dyDescent="0.35">
      <c r="A2834" s="32" t="s">
        <v>22</v>
      </c>
      <c r="B2834" s="32">
        <f t="shared" si="670"/>
        <v>2043</v>
      </c>
      <c r="C2834" s="33" t="s">
        <v>52</v>
      </c>
      <c r="D2834" s="34" t="s">
        <v>128</v>
      </c>
      <c r="E2834" s="35" t="str">
        <f t="shared" si="666"/>
        <v>PSNP'!</v>
      </c>
      <c r="F2834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34" s="32" t="s">
        <v>122</v>
      </c>
      <c r="H2834" s="33"/>
      <c r="I2834" s="33"/>
      <c r="J2834" s="37"/>
    </row>
    <row r="2835" spans="1:10" x14ac:dyDescent="0.35">
      <c r="A2835" s="32" t="s">
        <v>22</v>
      </c>
      <c r="B2835" s="32">
        <f>+B2834+1</f>
        <v>2044</v>
      </c>
      <c r="C2835" s="33" t="s">
        <v>52</v>
      </c>
      <c r="D2835" s="34" t="s">
        <v>128</v>
      </c>
      <c r="E2835" s="35" t="str">
        <f t="shared" ref="E2835:E2850" si="671">_xlfn.CONCAT(A2835,"'!")</f>
        <v>PSNP'!</v>
      </c>
      <c r="F2835" s="34" t="str">
        <f t="shared" ref="F2835:F2850" si="672">_xlfn.CONCAT(D2835:E2835)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35" s="32" t="s">
        <v>122</v>
      </c>
      <c r="H2835" s="33"/>
      <c r="I2835" s="33"/>
      <c r="J2835" s="37"/>
    </row>
    <row r="2836" spans="1:10" x14ac:dyDescent="0.35">
      <c r="A2836" s="32" t="s">
        <v>22</v>
      </c>
      <c r="B2836" s="32">
        <f t="shared" ref="B2836:B2850" si="673">+B2835+1</f>
        <v>2045</v>
      </c>
      <c r="C2836" s="33" t="s">
        <v>52</v>
      </c>
      <c r="D2836" s="34" t="s">
        <v>128</v>
      </c>
      <c r="E2836" s="35" t="str">
        <f t="shared" si="671"/>
        <v>PSNP'!</v>
      </c>
      <c r="F2836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36" s="32" t="s">
        <v>122</v>
      </c>
      <c r="H2836" s="33"/>
      <c r="I2836" s="33"/>
      <c r="J2836" s="37"/>
    </row>
    <row r="2837" spans="1:10" x14ac:dyDescent="0.35">
      <c r="A2837" s="32" t="s">
        <v>22</v>
      </c>
      <c r="B2837" s="32">
        <f t="shared" si="673"/>
        <v>2046</v>
      </c>
      <c r="C2837" s="33" t="s">
        <v>52</v>
      </c>
      <c r="D2837" s="34" t="s">
        <v>128</v>
      </c>
      <c r="E2837" s="35" t="str">
        <f t="shared" si="671"/>
        <v>PSNP'!</v>
      </c>
      <c r="F2837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37" s="32" t="s">
        <v>122</v>
      </c>
      <c r="H2837" s="33"/>
      <c r="I2837" s="33"/>
      <c r="J2837" s="37"/>
    </row>
    <row r="2838" spans="1:10" x14ac:dyDescent="0.35">
      <c r="A2838" s="32" t="s">
        <v>22</v>
      </c>
      <c r="B2838" s="32">
        <f t="shared" si="673"/>
        <v>2047</v>
      </c>
      <c r="C2838" s="33" t="s">
        <v>52</v>
      </c>
      <c r="D2838" s="34" t="s">
        <v>128</v>
      </c>
      <c r="E2838" s="35" t="str">
        <f t="shared" si="671"/>
        <v>PSNP'!</v>
      </c>
      <c r="F2838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38" s="32" t="s">
        <v>122</v>
      </c>
      <c r="H2838" s="33"/>
      <c r="I2838" s="33"/>
      <c r="J2838" s="37"/>
    </row>
    <row r="2839" spans="1:10" x14ac:dyDescent="0.35">
      <c r="A2839" s="32" t="s">
        <v>22</v>
      </c>
      <c r="B2839" s="32">
        <f t="shared" si="673"/>
        <v>2048</v>
      </c>
      <c r="C2839" s="33" t="s">
        <v>52</v>
      </c>
      <c r="D2839" s="34" t="s">
        <v>128</v>
      </c>
      <c r="E2839" s="35" t="str">
        <f t="shared" si="671"/>
        <v>PSNP'!</v>
      </c>
      <c r="F2839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39" s="32" t="s">
        <v>122</v>
      </c>
      <c r="H2839" s="33"/>
      <c r="I2839" s="33"/>
      <c r="J2839" s="37"/>
    </row>
    <row r="2840" spans="1:10" x14ac:dyDescent="0.35">
      <c r="A2840" s="32" t="s">
        <v>22</v>
      </c>
      <c r="B2840" s="32">
        <f t="shared" si="673"/>
        <v>2049</v>
      </c>
      <c r="C2840" s="33" t="s">
        <v>52</v>
      </c>
      <c r="D2840" s="34" t="s">
        <v>128</v>
      </c>
      <c r="E2840" s="35" t="str">
        <f t="shared" si="671"/>
        <v>PSNP'!</v>
      </c>
      <c r="F2840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40" s="32" t="s">
        <v>122</v>
      </c>
      <c r="H2840" s="33"/>
      <c r="I2840" s="33"/>
      <c r="J2840" s="37"/>
    </row>
    <row r="2841" spans="1:10" x14ac:dyDescent="0.35">
      <c r="A2841" s="32" t="s">
        <v>22</v>
      </c>
      <c r="B2841" s="32">
        <f t="shared" si="673"/>
        <v>2050</v>
      </c>
      <c r="C2841" s="33" t="s">
        <v>52</v>
      </c>
      <c r="D2841" s="34" t="s">
        <v>128</v>
      </c>
      <c r="E2841" s="35" t="str">
        <f t="shared" si="671"/>
        <v>PSNP'!</v>
      </c>
      <c r="F2841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41" s="32" t="s">
        <v>122</v>
      </c>
      <c r="H2841" s="33"/>
      <c r="I2841" s="33"/>
      <c r="J2841" s="37"/>
    </row>
    <row r="2842" spans="1:10" x14ac:dyDescent="0.35">
      <c r="A2842" s="32" t="s">
        <v>22</v>
      </c>
      <c r="B2842" s="32">
        <f t="shared" si="673"/>
        <v>2051</v>
      </c>
      <c r="C2842" s="33" t="s">
        <v>52</v>
      </c>
      <c r="D2842" s="34" t="s">
        <v>128</v>
      </c>
      <c r="E2842" s="35" t="str">
        <f t="shared" si="671"/>
        <v>PSNP'!</v>
      </c>
      <c r="F2842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42" s="32" t="s">
        <v>122</v>
      </c>
      <c r="H2842" s="33"/>
      <c r="I2842" s="33"/>
      <c r="J2842" s="37"/>
    </row>
    <row r="2843" spans="1:10" x14ac:dyDescent="0.35">
      <c r="A2843" s="32" t="s">
        <v>22</v>
      </c>
      <c r="B2843" s="32">
        <f t="shared" si="673"/>
        <v>2052</v>
      </c>
      <c r="C2843" s="33" t="s">
        <v>52</v>
      </c>
      <c r="D2843" s="34" t="s">
        <v>128</v>
      </c>
      <c r="E2843" s="35" t="str">
        <f t="shared" si="671"/>
        <v>PSNP'!</v>
      </c>
      <c r="F2843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43" s="32" t="s">
        <v>122</v>
      </c>
      <c r="H2843" s="33"/>
      <c r="I2843" s="33"/>
      <c r="J2843" s="37"/>
    </row>
    <row r="2844" spans="1:10" x14ac:dyDescent="0.35">
      <c r="A2844" s="32" t="s">
        <v>22</v>
      </c>
      <c r="B2844" s="32">
        <f t="shared" si="673"/>
        <v>2053</v>
      </c>
      <c r="C2844" s="33" t="s">
        <v>52</v>
      </c>
      <c r="D2844" s="34" t="s">
        <v>128</v>
      </c>
      <c r="E2844" s="35" t="str">
        <f t="shared" si="671"/>
        <v>PSNP'!</v>
      </c>
      <c r="F2844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44" s="32" t="s">
        <v>122</v>
      </c>
      <c r="H2844" s="33"/>
      <c r="I2844" s="33"/>
      <c r="J2844" s="37"/>
    </row>
    <row r="2845" spans="1:10" x14ac:dyDescent="0.35">
      <c r="A2845" s="32" t="s">
        <v>22</v>
      </c>
      <c r="B2845" s="32">
        <f t="shared" si="673"/>
        <v>2054</v>
      </c>
      <c r="C2845" s="33" t="s">
        <v>52</v>
      </c>
      <c r="D2845" s="34" t="s">
        <v>128</v>
      </c>
      <c r="E2845" s="35" t="str">
        <f t="shared" si="671"/>
        <v>PSNP'!</v>
      </c>
      <c r="F2845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45" s="32" t="s">
        <v>122</v>
      </c>
      <c r="H2845" s="33"/>
      <c r="I2845" s="33"/>
      <c r="J2845" s="37"/>
    </row>
    <row r="2846" spans="1:10" x14ac:dyDescent="0.35">
      <c r="A2846" s="32" t="s">
        <v>22</v>
      </c>
      <c r="B2846" s="32">
        <f t="shared" si="673"/>
        <v>2055</v>
      </c>
      <c r="C2846" s="33" t="s">
        <v>52</v>
      </c>
      <c r="D2846" s="34" t="s">
        <v>128</v>
      </c>
      <c r="E2846" s="35" t="str">
        <f t="shared" si="671"/>
        <v>PSNP'!</v>
      </c>
      <c r="F2846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46" s="32" t="s">
        <v>122</v>
      </c>
      <c r="H2846" s="33"/>
      <c r="I2846" s="33"/>
      <c r="J2846" s="37"/>
    </row>
    <row r="2847" spans="1:10" x14ac:dyDescent="0.35">
      <c r="A2847" s="32" t="s">
        <v>22</v>
      </c>
      <c r="B2847" s="32">
        <f t="shared" si="673"/>
        <v>2056</v>
      </c>
      <c r="C2847" s="33" t="s">
        <v>52</v>
      </c>
      <c r="D2847" s="34" t="s">
        <v>128</v>
      </c>
      <c r="E2847" s="35" t="str">
        <f t="shared" si="671"/>
        <v>PSNP'!</v>
      </c>
      <c r="F2847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47" s="32" t="s">
        <v>122</v>
      </c>
      <c r="H2847" s="33"/>
      <c r="I2847" s="33"/>
      <c r="J2847" s="37"/>
    </row>
    <row r="2848" spans="1:10" x14ac:dyDescent="0.35">
      <c r="A2848" s="32" t="s">
        <v>22</v>
      </c>
      <c r="B2848" s="32">
        <f t="shared" si="673"/>
        <v>2057</v>
      </c>
      <c r="C2848" s="33" t="s">
        <v>52</v>
      </c>
      <c r="D2848" s="34" t="s">
        <v>128</v>
      </c>
      <c r="E2848" s="35" t="str">
        <f t="shared" si="671"/>
        <v>PSNP'!</v>
      </c>
      <c r="F2848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48" s="32" t="s">
        <v>122</v>
      </c>
      <c r="H2848" s="33"/>
      <c r="I2848" s="33"/>
      <c r="J2848" s="37"/>
    </row>
    <row r="2849" spans="1:10" x14ac:dyDescent="0.35">
      <c r="A2849" s="32" t="s">
        <v>22</v>
      </c>
      <c r="B2849" s="32">
        <f t="shared" si="673"/>
        <v>2058</v>
      </c>
      <c r="C2849" s="33" t="s">
        <v>52</v>
      </c>
      <c r="D2849" s="34" t="s">
        <v>128</v>
      </c>
      <c r="E2849" s="35" t="str">
        <f t="shared" si="671"/>
        <v>PSNP'!</v>
      </c>
      <c r="F2849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49" s="32" t="s">
        <v>122</v>
      </c>
      <c r="H2849" s="33"/>
      <c r="I2849" s="33"/>
      <c r="J2849" s="37"/>
    </row>
    <row r="2850" spans="1:10" x14ac:dyDescent="0.35">
      <c r="A2850" s="32" t="s">
        <v>22</v>
      </c>
      <c r="B2850" s="32">
        <f t="shared" si="673"/>
        <v>2059</v>
      </c>
      <c r="C2850" s="33" t="s">
        <v>52</v>
      </c>
      <c r="D2850" s="34" t="s">
        <v>128</v>
      </c>
      <c r="E2850" s="35" t="str">
        <f t="shared" si="671"/>
        <v>PSNP'!</v>
      </c>
      <c r="F2850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50" s="32" t="s">
        <v>122</v>
      </c>
      <c r="H2850" s="33"/>
      <c r="I2850" s="33"/>
      <c r="J2850" s="37"/>
    </row>
    <row r="2851" spans="1:10" x14ac:dyDescent="0.35">
      <c r="A2851" s="32" t="s">
        <v>26</v>
      </c>
      <c r="B2851" s="32"/>
      <c r="C2851" s="33" t="s">
        <v>52</v>
      </c>
      <c r="D2851" s="34"/>
      <c r="E2851" s="35"/>
      <c r="F2851" s="34"/>
      <c r="G2851" s="32"/>
      <c r="H2851" s="33"/>
      <c r="I2851" s="33"/>
      <c r="J2851" s="33"/>
    </row>
    <row r="2852" spans="1:10" x14ac:dyDescent="0.35">
      <c r="A2852" s="32" t="s">
        <v>23</v>
      </c>
      <c r="B2852" s="32">
        <v>2023</v>
      </c>
      <c r="C2852" s="33" t="s">
        <v>52</v>
      </c>
      <c r="D2852" s="34" t="s">
        <v>128</v>
      </c>
      <c r="E2852" s="35" t="str">
        <f t="shared" ref="E2852:E2872" si="674">_xlfn.CONCAT(A2852,"'!")</f>
        <v>PSND'!</v>
      </c>
      <c r="F2852" s="34" t="str">
        <f t="shared" ref="F2852:F2872" si="675">_xlfn.CONCAT(D2852:E2852)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52" s="32" t="s">
        <v>122</v>
      </c>
      <c r="H2852" s="33"/>
      <c r="I2852" s="33"/>
      <c r="J2852" s="37"/>
    </row>
    <row r="2853" spans="1:10" x14ac:dyDescent="0.35">
      <c r="A2853" s="32" t="s">
        <v>23</v>
      </c>
      <c r="B2853" s="32">
        <f>+B2852+1</f>
        <v>2024</v>
      </c>
      <c r="C2853" s="33" t="s">
        <v>52</v>
      </c>
      <c r="D2853" s="34" t="s">
        <v>128</v>
      </c>
      <c r="E2853" s="35" t="str">
        <f t="shared" si="674"/>
        <v>PSND'!</v>
      </c>
      <c r="F2853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53" s="32" t="s">
        <v>122</v>
      </c>
      <c r="H2853" s="33"/>
      <c r="I2853" s="33"/>
      <c r="J2853" s="37"/>
    </row>
    <row r="2854" spans="1:10" x14ac:dyDescent="0.35">
      <c r="A2854" s="32" t="s">
        <v>23</v>
      </c>
      <c r="B2854" s="32">
        <f t="shared" ref="B2854:B2865" si="676">+B2853+1</f>
        <v>2025</v>
      </c>
      <c r="C2854" s="33" t="s">
        <v>52</v>
      </c>
      <c r="D2854" s="34" t="s">
        <v>128</v>
      </c>
      <c r="E2854" s="35" t="str">
        <f t="shared" si="674"/>
        <v>PSND'!</v>
      </c>
      <c r="F2854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54" s="32" t="s">
        <v>122</v>
      </c>
      <c r="H2854" s="33"/>
      <c r="I2854" s="33"/>
      <c r="J2854" s="37"/>
    </row>
    <row r="2855" spans="1:10" x14ac:dyDescent="0.35">
      <c r="A2855" s="32" t="s">
        <v>23</v>
      </c>
      <c r="B2855" s="32">
        <f t="shared" si="676"/>
        <v>2026</v>
      </c>
      <c r="C2855" s="33" t="s">
        <v>52</v>
      </c>
      <c r="D2855" s="34" t="s">
        <v>128</v>
      </c>
      <c r="E2855" s="35" t="str">
        <f t="shared" si="674"/>
        <v>PSND'!</v>
      </c>
      <c r="F2855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55" s="32" t="s">
        <v>122</v>
      </c>
      <c r="H2855" s="33"/>
      <c r="I2855" s="33"/>
      <c r="J2855" s="37"/>
    </row>
    <row r="2856" spans="1:10" x14ac:dyDescent="0.35">
      <c r="A2856" s="32" t="s">
        <v>23</v>
      </c>
      <c r="B2856" s="32">
        <f t="shared" si="676"/>
        <v>2027</v>
      </c>
      <c r="C2856" s="33" t="s">
        <v>52</v>
      </c>
      <c r="D2856" s="34" t="s">
        <v>128</v>
      </c>
      <c r="E2856" s="35" t="str">
        <f t="shared" si="674"/>
        <v>PSND'!</v>
      </c>
      <c r="F2856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56" s="32" t="s">
        <v>122</v>
      </c>
      <c r="H2856" s="33"/>
      <c r="I2856" s="33"/>
      <c r="J2856" s="37"/>
    </row>
    <row r="2857" spans="1:10" x14ac:dyDescent="0.35">
      <c r="A2857" s="32" t="s">
        <v>23</v>
      </c>
      <c r="B2857" s="32">
        <f t="shared" si="676"/>
        <v>2028</v>
      </c>
      <c r="C2857" s="33" t="s">
        <v>52</v>
      </c>
      <c r="D2857" s="34" t="s">
        <v>128</v>
      </c>
      <c r="E2857" s="35" t="str">
        <f t="shared" si="674"/>
        <v>PSND'!</v>
      </c>
      <c r="F2857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57" s="32" t="s">
        <v>122</v>
      </c>
      <c r="H2857" s="33"/>
      <c r="I2857" s="33"/>
      <c r="J2857" s="37"/>
    </row>
    <row r="2858" spans="1:10" x14ac:dyDescent="0.35">
      <c r="A2858" s="32" t="s">
        <v>23</v>
      </c>
      <c r="B2858" s="32">
        <f t="shared" si="676"/>
        <v>2029</v>
      </c>
      <c r="C2858" s="33" t="s">
        <v>52</v>
      </c>
      <c r="D2858" s="34" t="s">
        <v>128</v>
      </c>
      <c r="E2858" s="35" t="str">
        <f t="shared" si="674"/>
        <v>PSND'!</v>
      </c>
      <c r="F2858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58" s="32" t="s">
        <v>122</v>
      </c>
      <c r="H2858" s="33"/>
      <c r="I2858" s="33"/>
      <c r="J2858" s="37"/>
    </row>
    <row r="2859" spans="1:10" x14ac:dyDescent="0.35">
      <c r="A2859" s="32" t="s">
        <v>23</v>
      </c>
      <c r="B2859" s="32">
        <f t="shared" si="676"/>
        <v>2030</v>
      </c>
      <c r="C2859" s="33" t="s">
        <v>52</v>
      </c>
      <c r="D2859" s="34" t="s">
        <v>128</v>
      </c>
      <c r="E2859" s="35" t="str">
        <f t="shared" si="674"/>
        <v>PSND'!</v>
      </c>
      <c r="F2859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59" s="32" t="s">
        <v>122</v>
      </c>
      <c r="H2859" s="33"/>
      <c r="I2859" s="33"/>
      <c r="J2859" s="37"/>
    </row>
    <row r="2860" spans="1:10" x14ac:dyDescent="0.35">
      <c r="A2860" s="32" t="s">
        <v>23</v>
      </c>
      <c r="B2860" s="32">
        <f t="shared" si="676"/>
        <v>2031</v>
      </c>
      <c r="C2860" s="33" t="s">
        <v>52</v>
      </c>
      <c r="D2860" s="34" t="s">
        <v>128</v>
      </c>
      <c r="E2860" s="35" t="str">
        <f t="shared" si="674"/>
        <v>PSND'!</v>
      </c>
      <c r="F2860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60" s="32" t="s">
        <v>122</v>
      </c>
      <c r="H2860" s="33"/>
      <c r="I2860" s="33"/>
      <c r="J2860" s="37"/>
    </row>
    <row r="2861" spans="1:10" x14ac:dyDescent="0.35">
      <c r="A2861" s="32" t="s">
        <v>23</v>
      </c>
      <c r="B2861" s="32">
        <f t="shared" si="676"/>
        <v>2032</v>
      </c>
      <c r="C2861" s="33" t="s">
        <v>52</v>
      </c>
      <c r="D2861" s="34" t="s">
        <v>128</v>
      </c>
      <c r="E2861" s="35" t="str">
        <f t="shared" si="674"/>
        <v>PSND'!</v>
      </c>
      <c r="F2861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61" s="32" t="s">
        <v>122</v>
      </c>
      <c r="H2861" s="33"/>
      <c r="I2861" s="33"/>
      <c r="J2861" s="37"/>
    </row>
    <row r="2862" spans="1:10" x14ac:dyDescent="0.35">
      <c r="A2862" s="32" t="s">
        <v>23</v>
      </c>
      <c r="B2862" s="32">
        <f t="shared" si="676"/>
        <v>2033</v>
      </c>
      <c r="C2862" s="33" t="s">
        <v>52</v>
      </c>
      <c r="D2862" s="34" t="s">
        <v>128</v>
      </c>
      <c r="E2862" s="35" t="str">
        <f t="shared" si="674"/>
        <v>PSND'!</v>
      </c>
      <c r="F2862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62" s="32" t="s">
        <v>122</v>
      </c>
      <c r="H2862" s="33"/>
      <c r="I2862" s="33"/>
      <c r="J2862" s="37"/>
    </row>
    <row r="2863" spans="1:10" x14ac:dyDescent="0.35">
      <c r="A2863" s="32" t="s">
        <v>23</v>
      </c>
      <c r="B2863" s="32">
        <f t="shared" si="676"/>
        <v>2034</v>
      </c>
      <c r="C2863" s="33" t="s">
        <v>52</v>
      </c>
      <c r="D2863" s="34" t="s">
        <v>128</v>
      </c>
      <c r="E2863" s="35" t="str">
        <f t="shared" si="674"/>
        <v>PSND'!</v>
      </c>
      <c r="F2863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63" s="32" t="s">
        <v>122</v>
      </c>
      <c r="H2863" s="33"/>
      <c r="I2863" s="33"/>
      <c r="J2863" s="37"/>
    </row>
    <row r="2864" spans="1:10" x14ac:dyDescent="0.35">
      <c r="A2864" s="32" t="s">
        <v>23</v>
      </c>
      <c r="B2864" s="32">
        <f t="shared" si="676"/>
        <v>2035</v>
      </c>
      <c r="C2864" s="33" t="s">
        <v>52</v>
      </c>
      <c r="D2864" s="34" t="s">
        <v>128</v>
      </c>
      <c r="E2864" s="35" t="str">
        <f t="shared" si="674"/>
        <v>PSND'!</v>
      </c>
      <c r="F2864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64" s="32" t="s">
        <v>122</v>
      </c>
      <c r="H2864" s="33"/>
      <c r="I2864" s="33"/>
      <c r="J2864" s="37"/>
    </row>
    <row r="2865" spans="1:10" x14ac:dyDescent="0.35">
      <c r="A2865" s="32" t="s">
        <v>23</v>
      </c>
      <c r="B2865" s="32">
        <f t="shared" si="676"/>
        <v>2036</v>
      </c>
      <c r="C2865" s="33" t="s">
        <v>52</v>
      </c>
      <c r="D2865" s="34" t="s">
        <v>128</v>
      </c>
      <c r="E2865" s="35" t="str">
        <f t="shared" si="674"/>
        <v>PSND'!</v>
      </c>
      <c r="F2865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65" s="32" t="s">
        <v>122</v>
      </c>
      <c r="H2865" s="33"/>
      <c r="I2865" s="33"/>
      <c r="J2865" s="37"/>
    </row>
    <row r="2866" spans="1:10" x14ac:dyDescent="0.35">
      <c r="A2866" s="32" t="s">
        <v>23</v>
      </c>
      <c r="B2866" s="32">
        <f>+B2865+1</f>
        <v>2037</v>
      </c>
      <c r="C2866" s="33" t="s">
        <v>52</v>
      </c>
      <c r="D2866" s="34" t="s">
        <v>128</v>
      </c>
      <c r="E2866" s="35" t="str">
        <f t="shared" si="674"/>
        <v>PSND'!</v>
      </c>
      <c r="F2866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66" s="32" t="s">
        <v>122</v>
      </c>
      <c r="H2866" s="33"/>
      <c r="I2866" s="33"/>
      <c r="J2866" s="37"/>
    </row>
    <row r="2867" spans="1:10" x14ac:dyDescent="0.35">
      <c r="A2867" s="32" t="s">
        <v>23</v>
      </c>
      <c r="B2867" s="32">
        <f t="shared" ref="B2867:B2869" si="677">+B2866+1</f>
        <v>2038</v>
      </c>
      <c r="C2867" s="33" t="s">
        <v>52</v>
      </c>
      <c r="D2867" s="34" t="s">
        <v>128</v>
      </c>
      <c r="E2867" s="35" t="str">
        <f t="shared" si="674"/>
        <v>PSND'!</v>
      </c>
      <c r="F2867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67" s="32" t="s">
        <v>122</v>
      </c>
      <c r="H2867" s="33"/>
      <c r="I2867" s="33"/>
      <c r="J2867" s="37"/>
    </row>
    <row r="2868" spans="1:10" x14ac:dyDescent="0.35">
      <c r="A2868" s="32" t="s">
        <v>23</v>
      </c>
      <c r="B2868" s="32">
        <f t="shared" si="677"/>
        <v>2039</v>
      </c>
      <c r="C2868" s="33" t="s">
        <v>52</v>
      </c>
      <c r="D2868" s="34" t="s">
        <v>128</v>
      </c>
      <c r="E2868" s="35" t="str">
        <f t="shared" si="674"/>
        <v>PSND'!</v>
      </c>
      <c r="F2868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68" s="32" t="s">
        <v>122</v>
      </c>
      <c r="H2868" s="33"/>
      <c r="I2868" s="33"/>
      <c r="J2868" s="37"/>
    </row>
    <row r="2869" spans="1:10" x14ac:dyDescent="0.35">
      <c r="A2869" s="32" t="s">
        <v>23</v>
      </c>
      <c r="B2869" s="32">
        <f t="shared" si="677"/>
        <v>2040</v>
      </c>
      <c r="C2869" s="33" t="s">
        <v>52</v>
      </c>
      <c r="D2869" s="34" t="s">
        <v>128</v>
      </c>
      <c r="E2869" s="35" t="str">
        <f t="shared" si="674"/>
        <v>PSND'!</v>
      </c>
      <c r="F2869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69" s="32" t="s">
        <v>122</v>
      </c>
      <c r="H2869" s="33"/>
      <c r="I2869" s="33"/>
      <c r="J2869" s="37"/>
    </row>
    <row r="2870" spans="1:10" x14ac:dyDescent="0.35">
      <c r="A2870" s="32" t="s">
        <v>23</v>
      </c>
      <c r="B2870" s="32">
        <f>+B2869+1</f>
        <v>2041</v>
      </c>
      <c r="C2870" s="33" t="s">
        <v>52</v>
      </c>
      <c r="D2870" s="34" t="s">
        <v>128</v>
      </c>
      <c r="E2870" s="35" t="str">
        <f t="shared" si="674"/>
        <v>PSND'!</v>
      </c>
      <c r="F2870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70" s="32" t="s">
        <v>122</v>
      </c>
      <c r="H2870" s="33"/>
      <c r="I2870" s="33"/>
      <c r="J2870" s="37"/>
    </row>
    <row r="2871" spans="1:10" x14ac:dyDescent="0.35">
      <c r="A2871" s="32" t="s">
        <v>23</v>
      </c>
      <c r="B2871" s="32">
        <f t="shared" ref="B2871:B2872" si="678">+B2870+1</f>
        <v>2042</v>
      </c>
      <c r="C2871" s="33" t="s">
        <v>52</v>
      </c>
      <c r="D2871" s="34" t="s">
        <v>128</v>
      </c>
      <c r="E2871" s="35" t="str">
        <f t="shared" si="674"/>
        <v>PSND'!</v>
      </c>
      <c r="F2871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71" s="32" t="s">
        <v>122</v>
      </c>
      <c r="H2871" s="33"/>
      <c r="I2871" s="33"/>
      <c r="J2871" s="37"/>
    </row>
    <row r="2872" spans="1:10" x14ac:dyDescent="0.35">
      <c r="A2872" s="32" t="s">
        <v>23</v>
      </c>
      <c r="B2872" s="32">
        <f t="shared" si="678"/>
        <v>2043</v>
      </c>
      <c r="C2872" s="33" t="s">
        <v>52</v>
      </c>
      <c r="D2872" s="34" t="s">
        <v>128</v>
      </c>
      <c r="E2872" s="35" t="str">
        <f t="shared" si="674"/>
        <v>PSND'!</v>
      </c>
      <c r="F2872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72" s="32" t="s">
        <v>122</v>
      </c>
      <c r="H2872" s="33"/>
      <c r="I2872" s="33"/>
      <c r="J2872" s="37"/>
    </row>
    <row r="2873" spans="1:10" x14ac:dyDescent="0.35">
      <c r="A2873" s="32" t="s">
        <v>23</v>
      </c>
      <c r="B2873" s="32">
        <f>+B2872+1</f>
        <v>2044</v>
      </c>
      <c r="C2873" s="33" t="s">
        <v>52</v>
      </c>
      <c r="D2873" s="34" t="s">
        <v>128</v>
      </c>
      <c r="E2873" s="35" t="str">
        <f t="shared" ref="E2873:E2888" si="679">_xlfn.CONCAT(A2873,"'!")</f>
        <v>PSND'!</v>
      </c>
      <c r="F2873" s="34" t="str">
        <f t="shared" ref="F2873:F2888" si="680">_xlfn.CONCAT(D2873:E2873)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73" s="32" t="s">
        <v>122</v>
      </c>
      <c r="H2873" s="33"/>
      <c r="I2873" s="33"/>
      <c r="J2873" s="37"/>
    </row>
    <row r="2874" spans="1:10" x14ac:dyDescent="0.35">
      <c r="A2874" s="32" t="s">
        <v>23</v>
      </c>
      <c r="B2874" s="32">
        <f t="shared" ref="B2874:B2888" si="681">+B2873+1</f>
        <v>2045</v>
      </c>
      <c r="C2874" s="33" t="s">
        <v>52</v>
      </c>
      <c r="D2874" s="34" t="s">
        <v>128</v>
      </c>
      <c r="E2874" s="35" t="str">
        <f t="shared" si="679"/>
        <v>PSND'!</v>
      </c>
      <c r="F2874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74" s="32" t="s">
        <v>122</v>
      </c>
      <c r="H2874" s="33"/>
      <c r="I2874" s="33"/>
      <c r="J2874" s="37"/>
    </row>
    <row r="2875" spans="1:10" x14ac:dyDescent="0.35">
      <c r="A2875" s="32" t="s">
        <v>23</v>
      </c>
      <c r="B2875" s="32">
        <f t="shared" si="681"/>
        <v>2046</v>
      </c>
      <c r="C2875" s="33" t="s">
        <v>52</v>
      </c>
      <c r="D2875" s="34" t="s">
        <v>128</v>
      </c>
      <c r="E2875" s="35" t="str">
        <f t="shared" si="679"/>
        <v>PSND'!</v>
      </c>
      <c r="F2875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75" s="32" t="s">
        <v>122</v>
      </c>
      <c r="H2875" s="33"/>
      <c r="I2875" s="33"/>
      <c r="J2875" s="37"/>
    </row>
    <row r="2876" spans="1:10" x14ac:dyDescent="0.35">
      <c r="A2876" s="32" t="s">
        <v>23</v>
      </c>
      <c r="B2876" s="32">
        <f t="shared" si="681"/>
        <v>2047</v>
      </c>
      <c r="C2876" s="33" t="s">
        <v>52</v>
      </c>
      <c r="D2876" s="34" t="s">
        <v>128</v>
      </c>
      <c r="E2876" s="35" t="str">
        <f t="shared" si="679"/>
        <v>PSND'!</v>
      </c>
      <c r="F2876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76" s="32" t="s">
        <v>122</v>
      </c>
      <c r="H2876" s="33"/>
      <c r="I2876" s="33"/>
      <c r="J2876" s="37"/>
    </row>
    <row r="2877" spans="1:10" x14ac:dyDescent="0.35">
      <c r="A2877" s="32" t="s">
        <v>23</v>
      </c>
      <c r="B2877" s="32">
        <f t="shared" si="681"/>
        <v>2048</v>
      </c>
      <c r="C2877" s="33" t="s">
        <v>52</v>
      </c>
      <c r="D2877" s="34" t="s">
        <v>128</v>
      </c>
      <c r="E2877" s="35" t="str">
        <f t="shared" si="679"/>
        <v>PSND'!</v>
      </c>
      <c r="F2877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77" s="32" t="s">
        <v>122</v>
      </c>
      <c r="H2877" s="33"/>
      <c r="I2877" s="33"/>
      <c r="J2877" s="37"/>
    </row>
    <row r="2878" spans="1:10" x14ac:dyDescent="0.35">
      <c r="A2878" s="32" t="s">
        <v>23</v>
      </c>
      <c r="B2878" s="32">
        <f t="shared" si="681"/>
        <v>2049</v>
      </c>
      <c r="C2878" s="33" t="s">
        <v>52</v>
      </c>
      <c r="D2878" s="34" t="s">
        <v>128</v>
      </c>
      <c r="E2878" s="35" t="str">
        <f t="shared" si="679"/>
        <v>PSND'!</v>
      </c>
      <c r="F2878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78" s="32" t="s">
        <v>122</v>
      </c>
      <c r="H2878" s="33"/>
      <c r="I2878" s="33"/>
      <c r="J2878" s="37"/>
    </row>
    <row r="2879" spans="1:10" x14ac:dyDescent="0.35">
      <c r="A2879" s="32" t="s">
        <v>23</v>
      </c>
      <c r="B2879" s="32">
        <f t="shared" si="681"/>
        <v>2050</v>
      </c>
      <c r="C2879" s="33" t="s">
        <v>52</v>
      </c>
      <c r="D2879" s="34" t="s">
        <v>128</v>
      </c>
      <c r="E2879" s="35" t="str">
        <f t="shared" si="679"/>
        <v>PSND'!</v>
      </c>
      <c r="F2879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79" s="32" t="s">
        <v>122</v>
      </c>
      <c r="H2879" s="33"/>
      <c r="I2879" s="33"/>
      <c r="J2879" s="37"/>
    </row>
    <row r="2880" spans="1:10" x14ac:dyDescent="0.35">
      <c r="A2880" s="32" t="s">
        <v>23</v>
      </c>
      <c r="B2880" s="32">
        <f t="shared" si="681"/>
        <v>2051</v>
      </c>
      <c r="C2880" s="33" t="s">
        <v>52</v>
      </c>
      <c r="D2880" s="34" t="s">
        <v>128</v>
      </c>
      <c r="E2880" s="35" t="str">
        <f t="shared" si="679"/>
        <v>PSND'!</v>
      </c>
      <c r="F2880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80" s="32" t="s">
        <v>122</v>
      </c>
      <c r="H2880" s="33"/>
      <c r="I2880" s="33"/>
      <c r="J2880" s="37"/>
    </row>
    <row r="2881" spans="1:10" x14ac:dyDescent="0.35">
      <c r="A2881" s="32" t="s">
        <v>23</v>
      </c>
      <c r="B2881" s="32">
        <f t="shared" si="681"/>
        <v>2052</v>
      </c>
      <c r="C2881" s="33" t="s">
        <v>52</v>
      </c>
      <c r="D2881" s="34" t="s">
        <v>128</v>
      </c>
      <c r="E2881" s="35" t="str">
        <f t="shared" si="679"/>
        <v>PSND'!</v>
      </c>
      <c r="F2881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81" s="32" t="s">
        <v>122</v>
      </c>
      <c r="H2881" s="33"/>
      <c r="I2881" s="33"/>
      <c r="J2881" s="37"/>
    </row>
    <row r="2882" spans="1:10" x14ac:dyDescent="0.35">
      <c r="A2882" s="32" t="s">
        <v>23</v>
      </c>
      <c r="B2882" s="32">
        <f t="shared" si="681"/>
        <v>2053</v>
      </c>
      <c r="C2882" s="33" t="s">
        <v>52</v>
      </c>
      <c r="D2882" s="34" t="s">
        <v>128</v>
      </c>
      <c r="E2882" s="35" t="str">
        <f t="shared" si="679"/>
        <v>PSND'!</v>
      </c>
      <c r="F2882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82" s="32" t="s">
        <v>122</v>
      </c>
      <c r="H2882" s="33"/>
      <c r="I2882" s="33"/>
      <c r="J2882" s="37"/>
    </row>
    <row r="2883" spans="1:10" x14ac:dyDescent="0.35">
      <c r="A2883" s="32" t="s">
        <v>23</v>
      </c>
      <c r="B2883" s="32">
        <f t="shared" si="681"/>
        <v>2054</v>
      </c>
      <c r="C2883" s="33" t="s">
        <v>52</v>
      </c>
      <c r="D2883" s="34" t="s">
        <v>128</v>
      </c>
      <c r="E2883" s="35" t="str">
        <f t="shared" si="679"/>
        <v>PSND'!</v>
      </c>
      <c r="F2883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83" s="32" t="s">
        <v>122</v>
      </c>
      <c r="H2883" s="33"/>
      <c r="I2883" s="33"/>
      <c r="J2883" s="37"/>
    </row>
    <row r="2884" spans="1:10" x14ac:dyDescent="0.35">
      <c r="A2884" s="32" t="s">
        <v>23</v>
      </c>
      <c r="B2884" s="32">
        <f t="shared" si="681"/>
        <v>2055</v>
      </c>
      <c r="C2884" s="33" t="s">
        <v>52</v>
      </c>
      <c r="D2884" s="34" t="s">
        <v>128</v>
      </c>
      <c r="E2884" s="35" t="str">
        <f t="shared" si="679"/>
        <v>PSND'!</v>
      </c>
      <c r="F2884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84" s="32" t="s">
        <v>122</v>
      </c>
      <c r="H2884" s="33"/>
      <c r="I2884" s="33"/>
      <c r="J2884" s="37"/>
    </row>
    <row r="2885" spans="1:10" x14ac:dyDescent="0.35">
      <c r="A2885" s="32" t="s">
        <v>23</v>
      </c>
      <c r="B2885" s="32">
        <f t="shared" si="681"/>
        <v>2056</v>
      </c>
      <c r="C2885" s="33" t="s">
        <v>52</v>
      </c>
      <c r="D2885" s="34" t="s">
        <v>128</v>
      </c>
      <c r="E2885" s="35" t="str">
        <f t="shared" si="679"/>
        <v>PSND'!</v>
      </c>
      <c r="F2885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85" s="32" t="s">
        <v>122</v>
      </c>
      <c r="H2885" s="33"/>
      <c r="I2885" s="33"/>
      <c r="J2885" s="37"/>
    </row>
    <row r="2886" spans="1:10" x14ac:dyDescent="0.35">
      <c r="A2886" s="32" t="s">
        <v>23</v>
      </c>
      <c r="B2886" s="32">
        <f t="shared" si="681"/>
        <v>2057</v>
      </c>
      <c r="C2886" s="33" t="s">
        <v>52</v>
      </c>
      <c r="D2886" s="34" t="s">
        <v>128</v>
      </c>
      <c r="E2886" s="35" t="str">
        <f t="shared" si="679"/>
        <v>PSND'!</v>
      </c>
      <c r="F2886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86" s="32" t="s">
        <v>122</v>
      </c>
      <c r="H2886" s="33"/>
      <c r="I2886" s="33"/>
      <c r="J2886" s="37"/>
    </row>
    <row r="2887" spans="1:10" x14ac:dyDescent="0.35">
      <c r="A2887" s="32" t="s">
        <v>23</v>
      </c>
      <c r="B2887" s="32">
        <f t="shared" si="681"/>
        <v>2058</v>
      </c>
      <c r="C2887" s="33" t="s">
        <v>52</v>
      </c>
      <c r="D2887" s="34" t="s">
        <v>128</v>
      </c>
      <c r="E2887" s="35" t="str">
        <f t="shared" si="679"/>
        <v>PSND'!</v>
      </c>
      <c r="F2887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87" s="32" t="s">
        <v>122</v>
      </c>
      <c r="H2887" s="33"/>
      <c r="I2887" s="33"/>
      <c r="J2887" s="37"/>
    </row>
    <row r="2888" spans="1:10" x14ac:dyDescent="0.35">
      <c r="A2888" s="32" t="s">
        <v>23</v>
      </c>
      <c r="B2888" s="32">
        <f t="shared" si="681"/>
        <v>2059</v>
      </c>
      <c r="C2888" s="33" t="s">
        <v>52</v>
      </c>
      <c r="D2888" s="34" t="s">
        <v>128</v>
      </c>
      <c r="E2888" s="35" t="str">
        <f t="shared" si="679"/>
        <v>PSND'!</v>
      </c>
      <c r="F2888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88" s="32" t="s">
        <v>122</v>
      </c>
      <c r="H2888" s="33"/>
      <c r="I2888" s="33"/>
      <c r="J2888" s="37"/>
    </row>
    <row r="2889" spans="1:10" x14ac:dyDescent="0.35">
      <c r="A2889" s="32" t="s">
        <v>26</v>
      </c>
      <c r="B2889" s="32"/>
      <c r="C2889" s="33" t="s">
        <v>52</v>
      </c>
      <c r="D2889" s="34"/>
      <c r="E2889" s="35"/>
      <c r="F2889" s="34"/>
      <c r="G2889" s="32"/>
      <c r="H2889" s="33"/>
      <c r="I2889" s="33"/>
      <c r="J2889" s="33"/>
    </row>
    <row r="2890" spans="1:10" x14ac:dyDescent="0.35">
      <c r="A2890" s="32" t="s">
        <v>24</v>
      </c>
      <c r="B2890" s="32">
        <v>2023</v>
      </c>
      <c r="C2890" s="33" t="s">
        <v>52</v>
      </c>
      <c r="D2890" s="34" t="s">
        <v>128</v>
      </c>
      <c r="E2890" s="35" t="str">
        <f t="shared" si="646"/>
        <v>PS'!</v>
      </c>
      <c r="F2890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890" s="32" t="s">
        <v>122</v>
      </c>
      <c r="H2890" s="33">
        <v>12</v>
      </c>
      <c r="I2890" s="33" t="str">
        <f t="shared" ref="I2890:I2910" si="682">_xlfn.CONCAT("='",F2890:H2890)</f>
        <v>='C:\Users\jaime.benazar\Quorum Business Solutions\Ecopetrol Prometeo - Documents\Planning Space Implementation\3. Analysis &amp; Design\Design\FC22\DRR Jaime\Por presentar a ECP\Cantagallo\Cristalina\[CRISTALINA_CF_SEC_New_09-Feb-2024.xlsx]D-PS'!$EA$12</v>
      </c>
      <c r="J2890" s="33" t="s">
        <v>1387</v>
      </c>
    </row>
    <row r="2891" spans="1:10" x14ac:dyDescent="0.35">
      <c r="A2891" s="32" t="s">
        <v>24</v>
      </c>
      <c r="B2891" s="32">
        <f>+B2890+1</f>
        <v>2024</v>
      </c>
      <c r="C2891" s="33" t="s">
        <v>52</v>
      </c>
      <c r="D2891" s="34" t="s">
        <v>128</v>
      </c>
      <c r="E2891" s="35" t="str">
        <f t="shared" si="646"/>
        <v>PS'!</v>
      </c>
      <c r="F2891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891" s="32" t="s">
        <v>122</v>
      </c>
      <c r="H2891" s="33">
        <f t="shared" ref="H2891:H2910" si="683">IF(A2891&lt;&gt;A2890,12,H2890+1)</f>
        <v>13</v>
      </c>
      <c r="I2891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ECP\Cantagallo\Cristalina\[CRISTALINA_CF_SEC_New_09-Feb-2024.xlsx]D-PS'!$EA$13</v>
      </c>
      <c r="J2891" s="33" t="s">
        <v>1388</v>
      </c>
    </row>
    <row r="2892" spans="1:10" x14ac:dyDescent="0.35">
      <c r="A2892" s="32" t="s">
        <v>24</v>
      </c>
      <c r="B2892" s="32">
        <f t="shared" ref="B2892:B2903" si="684">+B2891+1</f>
        <v>2025</v>
      </c>
      <c r="C2892" s="33" t="s">
        <v>52</v>
      </c>
      <c r="D2892" s="34" t="s">
        <v>128</v>
      </c>
      <c r="E2892" s="35" t="str">
        <f t="shared" si="646"/>
        <v>PS'!</v>
      </c>
      <c r="F2892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892" s="32" t="s">
        <v>122</v>
      </c>
      <c r="H2892" s="33">
        <f t="shared" si="683"/>
        <v>14</v>
      </c>
      <c r="I2892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ECP\Cantagallo\Cristalina\[CRISTALINA_CF_SEC_New_09-Feb-2024.xlsx]D-PS'!$EA$14</v>
      </c>
      <c r="J2892" s="33" t="s">
        <v>1389</v>
      </c>
    </row>
    <row r="2893" spans="1:10" x14ac:dyDescent="0.35">
      <c r="A2893" s="32" t="s">
        <v>24</v>
      </c>
      <c r="B2893" s="32">
        <f t="shared" si="684"/>
        <v>2026</v>
      </c>
      <c r="C2893" s="33" t="s">
        <v>52</v>
      </c>
      <c r="D2893" s="34" t="s">
        <v>128</v>
      </c>
      <c r="E2893" s="35" t="str">
        <f t="shared" si="646"/>
        <v>PS'!</v>
      </c>
      <c r="F2893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893" s="32" t="s">
        <v>122</v>
      </c>
      <c r="H2893" s="33">
        <f t="shared" si="683"/>
        <v>15</v>
      </c>
      <c r="I2893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ECP\Cantagallo\Cristalina\[CRISTALINA_CF_SEC_New_09-Feb-2024.xlsx]D-PS'!$EA$15</v>
      </c>
      <c r="J2893" s="33" t="s">
        <v>1390</v>
      </c>
    </row>
    <row r="2894" spans="1:10" x14ac:dyDescent="0.35">
      <c r="A2894" s="32" t="s">
        <v>24</v>
      </c>
      <c r="B2894" s="32">
        <f t="shared" si="684"/>
        <v>2027</v>
      </c>
      <c r="C2894" s="33" t="s">
        <v>52</v>
      </c>
      <c r="D2894" s="34" t="s">
        <v>128</v>
      </c>
      <c r="E2894" s="35" t="str">
        <f t="shared" si="646"/>
        <v>PS'!</v>
      </c>
      <c r="F2894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894" s="32" t="s">
        <v>122</v>
      </c>
      <c r="H2894" s="33">
        <f t="shared" si="683"/>
        <v>16</v>
      </c>
      <c r="I2894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ECP\Cantagallo\Cristalina\[CRISTALINA_CF_SEC_New_09-Feb-2024.xlsx]D-PS'!$EA$16</v>
      </c>
      <c r="J2894" s="33" t="s">
        <v>1391</v>
      </c>
    </row>
    <row r="2895" spans="1:10" x14ac:dyDescent="0.35">
      <c r="A2895" s="32" t="s">
        <v>24</v>
      </c>
      <c r="B2895" s="32">
        <f t="shared" si="684"/>
        <v>2028</v>
      </c>
      <c r="C2895" s="33" t="s">
        <v>52</v>
      </c>
      <c r="D2895" s="34" t="s">
        <v>128</v>
      </c>
      <c r="E2895" s="35" t="str">
        <f t="shared" si="646"/>
        <v>PS'!</v>
      </c>
      <c r="F2895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895" s="32" t="s">
        <v>122</v>
      </c>
      <c r="H2895" s="33">
        <f t="shared" si="683"/>
        <v>17</v>
      </c>
      <c r="I2895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ECP\Cantagallo\Cristalina\[CRISTALINA_CF_SEC_New_09-Feb-2024.xlsx]D-PS'!$EA$17</v>
      </c>
      <c r="J2895" s="33" t="s">
        <v>1392</v>
      </c>
    </row>
    <row r="2896" spans="1:10" x14ac:dyDescent="0.35">
      <c r="A2896" s="32" t="s">
        <v>24</v>
      </c>
      <c r="B2896" s="32">
        <f t="shared" si="684"/>
        <v>2029</v>
      </c>
      <c r="C2896" s="33" t="s">
        <v>52</v>
      </c>
      <c r="D2896" s="34" t="s">
        <v>128</v>
      </c>
      <c r="E2896" s="35" t="str">
        <f t="shared" si="646"/>
        <v>PS'!</v>
      </c>
      <c r="F2896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896" s="32" t="s">
        <v>122</v>
      </c>
      <c r="H2896" s="33">
        <f t="shared" si="683"/>
        <v>18</v>
      </c>
      <c r="I2896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ECP\Cantagallo\Cristalina\[CRISTALINA_CF_SEC_New_09-Feb-2024.xlsx]D-PS'!$EA$18</v>
      </c>
      <c r="J2896" s="33" t="s">
        <v>1393</v>
      </c>
    </row>
    <row r="2897" spans="1:10" x14ac:dyDescent="0.35">
      <c r="A2897" s="32" t="s">
        <v>24</v>
      </c>
      <c r="B2897" s="32">
        <f t="shared" si="684"/>
        <v>2030</v>
      </c>
      <c r="C2897" s="33" t="s">
        <v>52</v>
      </c>
      <c r="D2897" s="34" t="s">
        <v>128</v>
      </c>
      <c r="E2897" s="35" t="str">
        <f t="shared" si="646"/>
        <v>PS'!</v>
      </c>
      <c r="F2897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897" s="32" t="s">
        <v>122</v>
      </c>
      <c r="H2897" s="33">
        <f t="shared" si="683"/>
        <v>19</v>
      </c>
      <c r="I2897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ECP\Cantagallo\Cristalina\[CRISTALINA_CF_SEC_New_09-Feb-2024.xlsx]D-PS'!$EA$19</v>
      </c>
      <c r="J2897" s="33" t="s">
        <v>1394</v>
      </c>
    </row>
    <row r="2898" spans="1:10" x14ac:dyDescent="0.35">
      <c r="A2898" s="32" t="s">
        <v>24</v>
      </c>
      <c r="B2898" s="32">
        <f t="shared" si="684"/>
        <v>2031</v>
      </c>
      <c r="C2898" s="33" t="s">
        <v>52</v>
      </c>
      <c r="D2898" s="34" t="s">
        <v>128</v>
      </c>
      <c r="E2898" s="35" t="str">
        <f t="shared" si="646"/>
        <v>PS'!</v>
      </c>
      <c r="F2898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898" s="32" t="s">
        <v>122</v>
      </c>
      <c r="H2898" s="33">
        <f t="shared" si="683"/>
        <v>20</v>
      </c>
      <c r="I2898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ECP\Cantagallo\Cristalina\[CRISTALINA_CF_SEC_New_09-Feb-2024.xlsx]D-PS'!$EA$20</v>
      </c>
      <c r="J2898" s="33" t="s">
        <v>1395</v>
      </c>
    </row>
    <row r="2899" spans="1:10" x14ac:dyDescent="0.35">
      <c r="A2899" s="32" t="s">
        <v>24</v>
      </c>
      <c r="B2899" s="32">
        <f t="shared" si="684"/>
        <v>2032</v>
      </c>
      <c r="C2899" s="33" t="s">
        <v>52</v>
      </c>
      <c r="D2899" s="34" t="s">
        <v>128</v>
      </c>
      <c r="E2899" s="35" t="str">
        <f t="shared" si="646"/>
        <v>PS'!</v>
      </c>
      <c r="F2899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899" s="32" t="s">
        <v>122</v>
      </c>
      <c r="H2899" s="33">
        <f t="shared" si="683"/>
        <v>21</v>
      </c>
      <c r="I2899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ECP\Cantagallo\Cristalina\[CRISTALINA_CF_SEC_New_09-Feb-2024.xlsx]D-PS'!$EA$21</v>
      </c>
      <c r="J2899" s="33" t="s">
        <v>1396</v>
      </c>
    </row>
    <row r="2900" spans="1:10" x14ac:dyDescent="0.35">
      <c r="A2900" s="32" t="s">
        <v>24</v>
      </c>
      <c r="B2900" s="32">
        <f t="shared" si="684"/>
        <v>2033</v>
      </c>
      <c r="C2900" s="33" t="s">
        <v>52</v>
      </c>
      <c r="D2900" s="34" t="s">
        <v>128</v>
      </c>
      <c r="E2900" s="35" t="str">
        <f t="shared" si="646"/>
        <v>PS'!</v>
      </c>
      <c r="F2900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00" s="32" t="s">
        <v>122</v>
      </c>
      <c r="H2900" s="33">
        <f t="shared" si="683"/>
        <v>22</v>
      </c>
      <c r="I2900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ECP\Cantagallo\Cristalina\[CRISTALINA_CF_SEC_New_09-Feb-2024.xlsx]D-PS'!$EA$22</v>
      </c>
      <c r="J2900" s="33" t="s">
        <v>1397</v>
      </c>
    </row>
    <row r="2901" spans="1:10" x14ac:dyDescent="0.35">
      <c r="A2901" s="32" t="s">
        <v>24</v>
      </c>
      <c r="B2901" s="32">
        <f t="shared" si="684"/>
        <v>2034</v>
      </c>
      <c r="C2901" s="33" t="s">
        <v>52</v>
      </c>
      <c r="D2901" s="34" t="s">
        <v>128</v>
      </c>
      <c r="E2901" s="35" t="str">
        <f t="shared" si="646"/>
        <v>PS'!</v>
      </c>
      <c r="F2901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01" s="32" t="s">
        <v>122</v>
      </c>
      <c r="H2901" s="33">
        <f t="shared" si="683"/>
        <v>23</v>
      </c>
      <c r="I2901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ECP\Cantagallo\Cristalina\[CRISTALINA_CF_SEC_New_09-Feb-2024.xlsx]D-PS'!$EA$23</v>
      </c>
      <c r="J2901" s="33" t="s">
        <v>1398</v>
      </c>
    </row>
    <row r="2902" spans="1:10" x14ac:dyDescent="0.35">
      <c r="A2902" s="32" t="s">
        <v>24</v>
      </c>
      <c r="B2902" s="32">
        <f t="shared" si="684"/>
        <v>2035</v>
      </c>
      <c r="C2902" s="33" t="s">
        <v>52</v>
      </c>
      <c r="D2902" s="34" t="s">
        <v>128</v>
      </c>
      <c r="E2902" s="35" t="str">
        <f t="shared" si="646"/>
        <v>PS'!</v>
      </c>
      <c r="F2902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02" s="32" t="s">
        <v>122</v>
      </c>
      <c r="H2902" s="33">
        <f t="shared" si="683"/>
        <v>24</v>
      </c>
      <c r="I2902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ECP\Cantagallo\Cristalina\[CRISTALINA_CF_SEC_New_09-Feb-2024.xlsx]D-PS'!$EA$24</v>
      </c>
      <c r="J2902" s="33" t="s">
        <v>1399</v>
      </c>
    </row>
    <row r="2903" spans="1:10" x14ac:dyDescent="0.35">
      <c r="A2903" s="32" t="s">
        <v>24</v>
      </c>
      <c r="B2903" s="32">
        <f t="shared" si="684"/>
        <v>2036</v>
      </c>
      <c r="C2903" s="33" t="s">
        <v>52</v>
      </c>
      <c r="D2903" s="34" t="s">
        <v>128</v>
      </c>
      <c r="E2903" s="35" t="str">
        <f t="shared" si="646"/>
        <v>PS'!</v>
      </c>
      <c r="F2903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03" s="32" t="s">
        <v>122</v>
      </c>
      <c r="H2903" s="33">
        <f t="shared" si="683"/>
        <v>25</v>
      </c>
      <c r="I2903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ECP\Cantagallo\Cristalina\[CRISTALINA_CF_SEC_New_09-Feb-2024.xlsx]D-PS'!$EA$25</v>
      </c>
      <c r="J2903" s="33" t="s">
        <v>1400</v>
      </c>
    </row>
    <row r="2904" spans="1:10" x14ac:dyDescent="0.35">
      <c r="A2904" s="32" t="s">
        <v>24</v>
      </c>
      <c r="B2904" s="32">
        <f>+B2903+1</f>
        <v>2037</v>
      </c>
      <c r="C2904" s="33" t="s">
        <v>52</v>
      </c>
      <c r="D2904" s="34" t="s">
        <v>128</v>
      </c>
      <c r="E2904" s="35" t="str">
        <f t="shared" si="646"/>
        <v>PS'!</v>
      </c>
      <c r="F2904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04" s="32" t="s">
        <v>122</v>
      </c>
      <c r="H2904" s="33">
        <f t="shared" si="683"/>
        <v>26</v>
      </c>
      <c r="I2904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ECP\Cantagallo\Cristalina\[CRISTALINA_CF_SEC_New_09-Feb-2024.xlsx]D-PS'!$EA$26</v>
      </c>
      <c r="J2904" s="33" t="s">
        <v>1401</v>
      </c>
    </row>
    <row r="2905" spans="1:10" x14ac:dyDescent="0.35">
      <c r="A2905" s="32" t="s">
        <v>24</v>
      </c>
      <c r="B2905" s="32">
        <f t="shared" ref="B2905:B2907" si="685">+B2904+1</f>
        <v>2038</v>
      </c>
      <c r="C2905" s="33" t="s">
        <v>52</v>
      </c>
      <c r="D2905" s="34" t="s">
        <v>128</v>
      </c>
      <c r="E2905" s="35" t="str">
        <f t="shared" si="646"/>
        <v>PS'!</v>
      </c>
      <c r="F2905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05" s="32" t="s">
        <v>122</v>
      </c>
      <c r="H2905" s="33">
        <f t="shared" si="683"/>
        <v>27</v>
      </c>
      <c r="I2905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ECP\Cantagallo\Cristalina\[CRISTALINA_CF_SEC_New_09-Feb-2024.xlsx]D-PS'!$EA$27</v>
      </c>
      <c r="J2905" s="33" t="s">
        <v>1402</v>
      </c>
    </row>
    <row r="2906" spans="1:10" x14ac:dyDescent="0.35">
      <c r="A2906" s="32" t="s">
        <v>24</v>
      </c>
      <c r="B2906" s="32">
        <f t="shared" si="685"/>
        <v>2039</v>
      </c>
      <c r="C2906" s="33" t="s">
        <v>52</v>
      </c>
      <c r="D2906" s="34" t="s">
        <v>128</v>
      </c>
      <c r="E2906" s="35" t="str">
        <f t="shared" si="646"/>
        <v>PS'!</v>
      </c>
      <c r="F2906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06" s="32" t="s">
        <v>122</v>
      </c>
      <c r="H2906" s="33">
        <f t="shared" si="683"/>
        <v>28</v>
      </c>
      <c r="I2906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ECP\Cantagallo\Cristalina\[CRISTALINA_CF_SEC_New_09-Feb-2024.xlsx]D-PS'!$EA$28</v>
      </c>
      <c r="J2906" s="33" t="s">
        <v>1403</v>
      </c>
    </row>
    <row r="2907" spans="1:10" x14ac:dyDescent="0.35">
      <c r="A2907" s="32" t="s">
        <v>24</v>
      </c>
      <c r="B2907" s="32">
        <f t="shared" si="685"/>
        <v>2040</v>
      </c>
      <c r="C2907" s="33" t="s">
        <v>52</v>
      </c>
      <c r="D2907" s="34" t="s">
        <v>128</v>
      </c>
      <c r="E2907" s="35" t="str">
        <f t="shared" si="646"/>
        <v>PS'!</v>
      </c>
      <c r="F2907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07" s="32" t="s">
        <v>122</v>
      </c>
      <c r="H2907" s="33">
        <f t="shared" si="683"/>
        <v>29</v>
      </c>
      <c r="I2907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ECP\Cantagallo\Cristalina\[CRISTALINA_CF_SEC_New_09-Feb-2024.xlsx]D-PS'!$EA$29</v>
      </c>
      <c r="J2907" s="33" t="s">
        <v>1404</v>
      </c>
    </row>
    <row r="2908" spans="1:10" x14ac:dyDescent="0.35">
      <c r="A2908" s="32" t="s">
        <v>24</v>
      </c>
      <c r="B2908" s="32">
        <f>+B2907+1</f>
        <v>2041</v>
      </c>
      <c r="C2908" s="33" t="s">
        <v>52</v>
      </c>
      <c r="D2908" s="34" t="s">
        <v>128</v>
      </c>
      <c r="E2908" s="35" t="str">
        <f t="shared" si="646"/>
        <v>PS'!</v>
      </c>
      <c r="F2908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08" s="32" t="s">
        <v>122</v>
      </c>
      <c r="H2908" s="33">
        <f t="shared" si="683"/>
        <v>30</v>
      </c>
      <c r="I2908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ECP\Cantagallo\Cristalina\[CRISTALINA_CF_SEC_New_09-Feb-2024.xlsx]D-PS'!$EA$30</v>
      </c>
      <c r="J2908" s="33" t="s">
        <v>1405</v>
      </c>
    </row>
    <row r="2909" spans="1:10" x14ac:dyDescent="0.35">
      <c r="A2909" s="32" t="s">
        <v>24</v>
      </c>
      <c r="B2909" s="32">
        <f t="shared" ref="B2909:B2910" si="686">+B2908+1</f>
        <v>2042</v>
      </c>
      <c r="C2909" s="33" t="s">
        <v>52</v>
      </c>
      <c r="D2909" s="34" t="s">
        <v>128</v>
      </c>
      <c r="E2909" s="35" t="str">
        <f t="shared" si="646"/>
        <v>PS'!</v>
      </c>
      <c r="F2909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09" s="32" t="s">
        <v>122</v>
      </c>
      <c r="H2909" s="33">
        <f t="shared" si="683"/>
        <v>31</v>
      </c>
      <c r="I2909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ECP\Cantagallo\Cristalina\[CRISTALINA_CF_SEC_New_09-Feb-2024.xlsx]D-PS'!$EA$31</v>
      </c>
      <c r="J2909" s="33" t="s">
        <v>1406</v>
      </c>
    </row>
    <row r="2910" spans="1:10" x14ac:dyDescent="0.35">
      <c r="A2910" s="32" t="s">
        <v>24</v>
      </c>
      <c r="B2910" s="32">
        <f t="shared" si="686"/>
        <v>2043</v>
      </c>
      <c r="C2910" s="33" t="s">
        <v>52</v>
      </c>
      <c r="D2910" s="34" t="s">
        <v>128</v>
      </c>
      <c r="E2910" s="35" t="str">
        <f t="shared" si="646"/>
        <v>PS'!</v>
      </c>
      <c r="F2910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10" s="32" t="s">
        <v>122</v>
      </c>
      <c r="H2910" s="33">
        <f t="shared" si="683"/>
        <v>32</v>
      </c>
      <c r="I2910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ECP\Cantagallo\Cristalina\[CRISTALINA_CF_SEC_New_09-Feb-2024.xlsx]D-PS'!$EA$32</v>
      </c>
      <c r="J2910" s="33" t="s">
        <v>1407</v>
      </c>
    </row>
    <row r="2911" spans="1:10" x14ac:dyDescent="0.35">
      <c r="A2911" s="32" t="s">
        <v>24</v>
      </c>
      <c r="B2911" s="32">
        <f>+B2910+1</f>
        <v>2044</v>
      </c>
      <c r="C2911" s="33" t="s">
        <v>52</v>
      </c>
      <c r="D2911" s="34" t="s">
        <v>128</v>
      </c>
      <c r="E2911" s="35" t="str">
        <f t="shared" ref="E2911:E2926" si="687">_xlfn.CONCAT(A2911,"'!")</f>
        <v>PS'!</v>
      </c>
      <c r="F2911" s="34" t="str">
        <f t="shared" ref="F2911:F2926" si="688">_xlfn.CONCAT(D2911:E2911)</f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11" s="32" t="s">
        <v>122</v>
      </c>
      <c r="H2911" s="33">
        <f t="shared" ref="H2911:H2926" si="689">IF(A2911&lt;&gt;A2910,12,H2910+1)</f>
        <v>33</v>
      </c>
      <c r="I2911" s="33" t="str">
        <f t="shared" ref="I2911:I2926" si="690">_xlfn.CONCAT("='",F2911:H2911)</f>
        <v>='C:\Users\jaime.benazar\Quorum Business Solutions\Ecopetrol Prometeo - Documents\Planning Space Implementation\3. Analysis &amp; Design\Design\FC22\DRR Jaime\Por presentar a ECP\Cantagallo\Cristalina\[CRISTALINA_CF_SEC_New_09-Feb-2024.xlsx]D-PS'!$EA$33</v>
      </c>
      <c r="J2911" s="33" t="s">
        <v>1408</v>
      </c>
    </row>
    <row r="2912" spans="1:10" x14ac:dyDescent="0.35">
      <c r="A2912" s="32" t="s">
        <v>24</v>
      </c>
      <c r="B2912" s="32">
        <f t="shared" ref="B2912:B2926" si="691">+B2911+1</f>
        <v>2045</v>
      </c>
      <c r="C2912" s="33" t="s">
        <v>52</v>
      </c>
      <c r="D2912" s="34" t="s">
        <v>128</v>
      </c>
      <c r="E2912" s="35" t="str">
        <f t="shared" si="687"/>
        <v>PS'!</v>
      </c>
      <c r="F2912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12" s="32" t="s">
        <v>122</v>
      </c>
      <c r="H2912" s="33">
        <f t="shared" si="689"/>
        <v>34</v>
      </c>
      <c r="I2912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ECP\Cantagallo\Cristalina\[CRISTALINA_CF_SEC_New_09-Feb-2024.xlsx]D-PS'!$EA$34</v>
      </c>
      <c r="J2912" s="33" t="s">
        <v>1409</v>
      </c>
    </row>
    <row r="2913" spans="1:10" x14ac:dyDescent="0.35">
      <c r="A2913" s="32" t="s">
        <v>24</v>
      </c>
      <c r="B2913" s="32">
        <f t="shared" si="691"/>
        <v>2046</v>
      </c>
      <c r="C2913" s="33" t="s">
        <v>52</v>
      </c>
      <c r="D2913" s="34" t="s">
        <v>128</v>
      </c>
      <c r="E2913" s="35" t="str">
        <f t="shared" si="687"/>
        <v>PS'!</v>
      </c>
      <c r="F2913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13" s="32" t="s">
        <v>122</v>
      </c>
      <c r="H2913" s="33">
        <f t="shared" si="689"/>
        <v>35</v>
      </c>
      <c r="I2913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ECP\Cantagallo\Cristalina\[CRISTALINA_CF_SEC_New_09-Feb-2024.xlsx]D-PS'!$EA$35</v>
      </c>
      <c r="J2913" s="33" t="s">
        <v>1410</v>
      </c>
    </row>
    <row r="2914" spans="1:10" x14ac:dyDescent="0.35">
      <c r="A2914" s="32" t="s">
        <v>24</v>
      </c>
      <c r="B2914" s="32">
        <f t="shared" si="691"/>
        <v>2047</v>
      </c>
      <c r="C2914" s="33" t="s">
        <v>52</v>
      </c>
      <c r="D2914" s="34" t="s">
        <v>128</v>
      </c>
      <c r="E2914" s="35" t="str">
        <f t="shared" si="687"/>
        <v>PS'!</v>
      </c>
      <c r="F2914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14" s="32" t="s">
        <v>122</v>
      </c>
      <c r="H2914" s="33">
        <f t="shared" si="689"/>
        <v>36</v>
      </c>
      <c r="I2914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ECP\Cantagallo\Cristalina\[CRISTALINA_CF_SEC_New_09-Feb-2024.xlsx]D-PS'!$EA$36</v>
      </c>
      <c r="J2914" s="33" t="s">
        <v>1411</v>
      </c>
    </row>
    <row r="2915" spans="1:10" x14ac:dyDescent="0.35">
      <c r="A2915" s="32" t="s">
        <v>24</v>
      </c>
      <c r="B2915" s="32">
        <f t="shared" si="691"/>
        <v>2048</v>
      </c>
      <c r="C2915" s="33" t="s">
        <v>52</v>
      </c>
      <c r="D2915" s="34" t="s">
        <v>128</v>
      </c>
      <c r="E2915" s="35" t="str">
        <f t="shared" si="687"/>
        <v>PS'!</v>
      </c>
      <c r="F2915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15" s="32" t="s">
        <v>122</v>
      </c>
      <c r="H2915" s="33">
        <f t="shared" si="689"/>
        <v>37</v>
      </c>
      <c r="I2915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ECP\Cantagallo\Cristalina\[CRISTALINA_CF_SEC_New_09-Feb-2024.xlsx]D-PS'!$EA$37</v>
      </c>
      <c r="J2915" s="33" t="s">
        <v>1412</v>
      </c>
    </row>
    <row r="2916" spans="1:10" x14ac:dyDescent="0.35">
      <c r="A2916" s="32" t="s">
        <v>24</v>
      </c>
      <c r="B2916" s="32">
        <f t="shared" si="691"/>
        <v>2049</v>
      </c>
      <c r="C2916" s="33" t="s">
        <v>52</v>
      </c>
      <c r="D2916" s="34" t="s">
        <v>128</v>
      </c>
      <c r="E2916" s="35" t="str">
        <f t="shared" si="687"/>
        <v>PS'!</v>
      </c>
      <c r="F2916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16" s="32" t="s">
        <v>122</v>
      </c>
      <c r="H2916" s="33">
        <f t="shared" si="689"/>
        <v>38</v>
      </c>
      <c r="I2916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ECP\Cantagallo\Cristalina\[CRISTALINA_CF_SEC_New_09-Feb-2024.xlsx]D-PS'!$EA$38</v>
      </c>
      <c r="J2916" s="33" t="s">
        <v>1413</v>
      </c>
    </row>
    <row r="2917" spans="1:10" x14ac:dyDescent="0.35">
      <c r="A2917" s="32" t="s">
        <v>24</v>
      </c>
      <c r="B2917" s="32">
        <f t="shared" si="691"/>
        <v>2050</v>
      </c>
      <c r="C2917" s="33" t="s">
        <v>52</v>
      </c>
      <c r="D2917" s="34" t="s">
        <v>128</v>
      </c>
      <c r="E2917" s="35" t="str">
        <f t="shared" si="687"/>
        <v>PS'!</v>
      </c>
      <c r="F2917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17" s="32" t="s">
        <v>122</v>
      </c>
      <c r="H2917" s="33">
        <f t="shared" si="689"/>
        <v>39</v>
      </c>
      <c r="I2917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ECP\Cantagallo\Cristalina\[CRISTALINA_CF_SEC_New_09-Feb-2024.xlsx]D-PS'!$EA$39</v>
      </c>
      <c r="J2917" s="33" t="s">
        <v>1414</v>
      </c>
    </row>
    <row r="2918" spans="1:10" x14ac:dyDescent="0.35">
      <c r="A2918" s="32" t="s">
        <v>24</v>
      </c>
      <c r="B2918" s="32">
        <f t="shared" si="691"/>
        <v>2051</v>
      </c>
      <c r="C2918" s="33" t="s">
        <v>52</v>
      </c>
      <c r="D2918" s="34" t="s">
        <v>128</v>
      </c>
      <c r="E2918" s="35" t="str">
        <f t="shared" si="687"/>
        <v>PS'!</v>
      </c>
      <c r="F2918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18" s="32" t="s">
        <v>122</v>
      </c>
      <c r="H2918" s="33">
        <f t="shared" si="689"/>
        <v>40</v>
      </c>
      <c r="I2918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ECP\Cantagallo\Cristalina\[CRISTALINA_CF_SEC_New_09-Feb-2024.xlsx]D-PS'!$EA$40</v>
      </c>
      <c r="J2918" s="33" t="s">
        <v>1415</v>
      </c>
    </row>
    <row r="2919" spans="1:10" x14ac:dyDescent="0.35">
      <c r="A2919" s="32" t="s">
        <v>24</v>
      </c>
      <c r="B2919" s="32">
        <f t="shared" si="691"/>
        <v>2052</v>
      </c>
      <c r="C2919" s="33" t="s">
        <v>52</v>
      </c>
      <c r="D2919" s="34" t="s">
        <v>128</v>
      </c>
      <c r="E2919" s="35" t="str">
        <f t="shared" si="687"/>
        <v>PS'!</v>
      </c>
      <c r="F2919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19" s="32" t="s">
        <v>122</v>
      </c>
      <c r="H2919" s="33">
        <f t="shared" si="689"/>
        <v>41</v>
      </c>
      <c r="I2919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ECP\Cantagallo\Cristalina\[CRISTALINA_CF_SEC_New_09-Feb-2024.xlsx]D-PS'!$EA$41</v>
      </c>
      <c r="J2919" s="33" t="s">
        <v>1416</v>
      </c>
    </row>
    <row r="2920" spans="1:10" x14ac:dyDescent="0.35">
      <c r="A2920" s="32" t="s">
        <v>24</v>
      </c>
      <c r="B2920" s="32">
        <f t="shared" si="691"/>
        <v>2053</v>
      </c>
      <c r="C2920" s="33" t="s">
        <v>52</v>
      </c>
      <c r="D2920" s="34" t="s">
        <v>128</v>
      </c>
      <c r="E2920" s="35" t="str">
        <f t="shared" si="687"/>
        <v>PS'!</v>
      </c>
      <c r="F2920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20" s="32" t="s">
        <v>122</v>
      </c>
      <c r="H2920" s="33">
        <f t="shared" si="689"/>
        <v>42</v>
      </c>
      <c r="I2920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ECP\Cantagallo\Cristalina\[CRISTALINA_CF_SEC_New_09-Feb-2024.xlsx]D-PS'!$EA$42</v>
      </c>
      <c r="J2920" s="33" t="s">
        <v>1417</v>
      </c>
    </row>
    <row r="2921" spans="1:10" x14ac:dyDescent="0.35">
      <c r="A2921" s="32" t="s">
        <v>24</v>
      </c>
      <c r="B2921" s="32">
        <f t="shared" si="691"/>
        <v>2054</v>
      </c>
      <c r="C2921" s="33" t="s">
        <v>52</v>
      </c>
      <c r="D2921" s="34" t="s">
        <v>128</v>
      </c>
      <c r="E2921" s="35" t="str">
        <f t="shared" si="687"/>
        <v>PS'!</v>
      </c>
      <c r="F2921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21" s="32" t="s">
        <v>122</v>
      </c>
      <c r="H2921" s="33">
        <f t="shared" si="689"/>
        <v>43</v>
      </c>
      <c r="I2921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ECP\Cantagallo\Cristalina\[CRISTALINA_CF_SEC_New_09-Feb-2024.xlsx]D-PS'!$EA$43</v>
      </c>
      <c r="J2921" s="33" t="s">
        <v>1418</v>
      </c>
    </row>
    <row r="2922" spans="1:10" x14ac:dyDescent="0.35">
      <c r="A2922" s="32" t="s">
        <v>24</v>
      </c>
      <c r="B2922" s="32">
        <f t="shared" si="691"/>
        <v>2055</v>
      </c>
      <c r="C2922" s="33" t="s">
        <v>52</v>
      </c>
      <c r="D2922" s="34" t="s">
        <v>128</v>
      </c>
      <c r="E2922" s="35" t="str">
        <f t="shared" si="687"/>
        <v>PS'!</v>
      </c>
      <c r="F2922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22" s="32" t="s">
        <v>122</v>
      </c>
      <c r="H2922" s="33">
        <f t="shared" si="689"/>
        <v>44</v>
      </c>
      <c r="I2922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ECP\Cantagallo\Cristalina\[CRISTALINA_CF_SEC_New_09-Feb-2024.xlsx]D-PS'!$EA$44</v>
      </c>
      <c r="J2922" s="33" t="s">
        <v>1419</v>
      </c>
    </row>
    <row r="2923" spans="1:10" x14ac:dyDescent="0.35">
      <c r="A2923" s="32" t="s">
        <v>24</v>
      </c>
      <c r="B2923" s="32">
        <f t="shared" si="691"/>
        <v>2056</v>
      </c>
      <c r="C2923" s="33" t="s">
        <v>52</v>
      </c>
      <c r="D2923" s="34" t="s">
        <v>128</v>
      </c>
      <c r="E2923" s="35" t="str">
        <f t="shared" si="687"/>
        <v>PS'!</v>
      </c>
      <c r="F2923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23" s="32" t="s">
        <v>122</v>
      </c>
      <c r="H2923" s="33">
        <f t="shared" si="689"/>
        <v>45</v>
      </c>
      <c r="I2923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ECP\Cantagallo\Cristalina\[CRISTALINA_CF_SEC_New_09-Feb-2024.xlsx]D-PS'!$EA$45</v>
      </c>
      <c r="J2923" s="33" t="s">
        <v>1420</v>
      </c>
    </row>
    <row r="2924" spans="1:10" x14ac:dyDescent="0.35">
      <c r="A2924" s="32" t="s">
        <v>24</v>
      </c>
      <c r="B2924" s="32">
        <f t="shared" si="691"/>
        <v>2057</v>
      </c>
      <c r="C2924" s="33" t="s">
        <v>52</v>
      </c>
      <c r="D2924" s="34" t="s">
        <v>128</v>
      </c>
      <c r="E2924" s="35" t="str">
        <f t="shared" si="687"/>
        <v>PS'!</v>
      </c>
      <c r="F2924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24" s="32" t="s">
        <v>122</v>
      </c>
      <c r="H2924" s="33">
        <f t="shared" si="689"/>
        <v>46</v>
      </c>
      <c r="I2924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ECP\Cantagallo\Cristalina\[CRISTALINA_CF_SEC_New_09-Feb-2024.xlsx]D-PS'!$EA$46</v>
      </c>
      <c r="J2924" s="33" t="s">
        <v>1421</v>
      </c>
    </row>
    <row r="2925" spans="1:10" x14ac:dyDescent="0.35">
      <c r="A2925" s="32" t="s">
        <v>24</v>
      </c>
      <c r="B2925" s="32">
        <f t="shared" si="691"/>
        <v>2058</v>
      </c>
      <c r="C2925" s="33" t="s">
        <v>52</v>
      </c>
      <c r="D2925" s="34" t="s">
        <v>128</v>
      </c>
      <c r="E2925" s="35" t="str">
        <f t="shared" si="687"/>
        <v>PS'!</v>
      </c>
      <c r="F2925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25" s="32" t="s">
        <v>122</v>
      </c>
      <c r="H2925" s="33">
        <f t="shared" si="689"/>
        <v>47</v>
      </c>
      <c r="I2925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ECP\Cantagallo\Cristalina\[CRISTALINA_CF_SEC_New_09-Feb-2024.xlsx]D-PS'!$EA$47</v>
      </c>
      <c r="J2925" s="33" t="s">
        <v>1422</v>
      </c>
    </row>
    <row r="2926" spans="1:10" x14ac:dyDescent="0.35">
      <c r="A2926" s="32" t="s">
        <v>24</v>
      </c>
      <c r="B2926" s="32">
        <f t="shared" si="691"/>
        <v>2059</v>
      </c>
      <c r="C2926" s="33" t="s">
        <v>52</v>
      </c>
      <c r="D2926" s="34" t="s">
        <v>128</v>
      </c>
      <c r="E2926" s="35" t="str">
        <f t="shared" si="687"/>
        <v>PS'!</v>
      </c>
      <c r="F2926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26" s="32" t="s">
        <v>122</v>
      </c>
      <c r="H2926" s="33">
        <f t="shared" si="689"/>
        <v>48</v>
      </c>
      <c r="I2926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ECP\Cantagallo\Cristalina\[CRISTALINA_CF_SEC_New_09-Feb-2024.xlsx]D-PS'!$EA$48</v>
      </c>
      <c r="J2926" s="33" t="s">
        <v>1423</v>
      </c>
    </row>
    <row r="2927" spans="1:10" x14ac:dyDescent="0.35">
      <c r="A2927" s="32" t="s">
        <v>26</v>
      </c>
      <c r="B2927" s="32"/>
      <c r="C2927" s="33" t="s">
        <v>52</v>
      </c>
      <c r="D2927" s="34"/>
      <c r="E2927" s="35"/>
      <c r="F2927" s="34"/>
      <c r="G2927" s="32"/>
      <c r="H2927" s="33"/>
      <c r="I2927" s="33"/>
      <c r="J2927" s="33"/>
    </row>
    <row r="2928" spans="1:10" x14ac:dyDescent="0.35">
      <c r="A2928" s="32" t="s">
        <v>14</v>
      </c>
      <c r="B2928" s="32">
        <v>2023</v>
      </c>
      <c r="C2928" s="33" t="s">
        <v>110</v>
      </c>
      <c r="D2928" s="34" t="s">
        <v>128</v>
      </c>
      <c r="E2928" s="35" t="str">
        <f>_xlfn.CONCAT(A2928,"'!")</f>
        <v>PDP'!</v>
      </c>
      <c r="F2928" s="34" t="str">
        <f>_xlfn.CONCAT(D2928:E2928)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28" s="32" t="s">
        <v>123</v>
      </c>
      <c r="H2928" s="33">
        <v>12</v>
      </c>
      <c r="I2928" s="33" t="str">
        <f>_xlfn.CONCAT("='",F2928:H2928)</f>
        <v>='C:\Users\jaime.benazar\Quorum Business Solutions\Ecopetrol Prometeo - Documents\Planning Space Implementation\3. Analysis &amp; Design\Design\FC22\DRR Jaime\Por presentar a ECP\Cantagallo\Cristalina\[CRISTALINA_CF_SEC_New_09-Feb-2024.xlsx]D-PDP'!$DT$12</v>
      </c>
      <c r="J2928" s="37" t="s">
        <v>1424</v>
      </c>
    </row>
    <row r="2929" spans="1:10" x14ac:dyDescent="0.35">
      <c r="A2929" s="32" t="s">
        <v>14</v>
      </c>
      <c r="B2929" s="32">
        <f>+B2928+1</f>
        <v>2024</v>
      </c>
      <c r="C2929" s="33" t="s">
        <v>110</v>
      </c>
      <c r="D2929" s="34" t="s">
        <v>128</v>
      </c>
      <c r="E2929" s="35" t="str">
        <f t="shared" ref="E2929:E3022" si="692">_xlfn.CONCAT(A2929,"'!")</f>
        <v>PDP'!</v>
      </c>
      <c r="F2929" s="34" t="str">
        <f t="shared" ref="F2929:F3022" si="693">_xlfn.CONCAT(D2929:E2929)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29" s="32" t="s">
        <v>123</v>
      </c>
      <c r="H2929" s="33">
        <f t="shared" ref="H2929:H2948" si="694">IF(A2929&lt;&gt;A2928,12,H2928+1)</f>
        <v>13</v>
      </c>
      <c r="I2929" s="33" t="str">
        <f t="shared" ref="I2929:I2948" si="695">_xlfn.CONCAT("='",F2929:H2929)</f>
        <v>='C:\Users\jaime.benazar\Quorum Business Solutions\Ecopetrol Prometeo - Documents\Planning Space Implementation\3. Analysis &amp; Design\Design\FC22\DRR Jaime\Por presentar a ECP\Cantagallo\Cristalina\[CRISTALINA_CF_SEC_New_09-Feb-2024.xlsx]D-PDP'!$DT$13</v>
      </c>
      <c r="J2929" s="37" t="s">
        <v>1425</v>
      </c>
    </row>
    <row r="2930" spans="1:10" x14ac:dyDescent="0.35">
      <c r="A2930" s="32" t="s">
        <v>14</v>
      </c>
      <c r="B2930" s="32">
        <f t="shared" ref="B2930:B2941" si="696">+B2929+1</f>
        <v>2025</v>
      </c>
      <c r="C2930" s="33" t="s">
        <v>110</v>
      </c>
      <c r="D2930" s="34" t="s">
        <v>128</v>
      </c>
      <c r="E2930" s="35" t="str">
        <f t="shared" si="692"/>
        <v>PDP'!</v>
      </c>
      <c r="F2930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30" s="32" t="s">
        <v>123</v>
      </c>
      <c r="H2930" s="33">
        <f t="shared" si="694"/>
        <v>14</v>
      </c>
      <c r="I2930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ECP\Cantagallo\Cristalina\[CRISTALINA_CF_SEC_New_09-Feb-2024.xlsx]D-PDP'!$DT$14</v>
      </c>
      <c r="J2930" s="37" t="s">
        <v>1426</v>
      </c>
    </row>
    <row r="2931" spans="1:10" x14ac:dyDescent="0.35">
      <c r="A2931" s="32" t="s">
        <v>14</v>
      </c>
      <c r="B2931" s="32">
        <f t="shared" si="696"/>
        <v>2026</v>
      </c>
      <c r="C2931" s="33" t="s">
        <v>110</v>
      </c>
      <c r="D2931" s="34" t="s">
        <v>128</v>
      </c>
      <c r="E2931" s="35" t="str">
        <f t="shared" si="692"/>
        <v>PDP'!</v>
      </c>
      <c r="F2931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31" s="32" t="s">
        <v>123</v>
      </c>
      <c r="H2931" s="33">
        <f t="shared" si="694"/>
        <v>15</v>
      </c>
      <c r="I2931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ECP\Cantagallo\Cristalina\[CRISTALINA_CF_SEC_New_09-Feb-2024.xlsx]D-PDP'!$DT$15</v>
      </c>
      <c r="J2931" s="37" t="s">
        <v>1427</v>
      </c>
    </row>
    <row r="2932" spans="1:10" x14ac:dyDescent="0.35">
      <c r="A2932" s="32" t="s">
        <v>14</v>
      </c>
      <c r="B2932" s="32">
        <f t="shared" si="696"/>
        <v>2027</v>
      </c>
      <c r="C2932" s="33" t="s">
        <v>110</v>
      </c>
      <c r="D2932" s="34" t="s">
        <v>128</v>
      </c>
      <c r="E2932" s="35" t="str">
        <f t="shared" si="692"/>
        <v>PDP'!</v>
      </c>
      <c r="F2932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32" s="32" t="s">
        <v>123</v>
      </c>
      <c r="H2932" s="33">
        <f t="shared" si="694"/>
        <v>16</v>
      </c>
      <c r="I2932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ECP\Cantagallo\Cristalina\[CRISTALINA_CF_SEC_New_09-Feb-2024.xlsx]D-PDP'!$DT$16</v>
      </c>
      <c r="J2932" s="37" t="s">
        <v>1428</v>
      </c>
    </row>
    <row r="2933" spans="1:10" x14ac:dyDescent="0.35">
      <c r="A2933" s="32" t="s">
        <v>14</v>
      </c>
      <c r="B2933" s="32">
        <f t="shared" si="696"/>
        <v>2028</v>
      </c>
      <c r="C2933" s="33" t="s">
        <v>110</v>
      </c>
      <c r="D2933" s="34" t="s">
        <v>128</v>
      </c>
      <c r="E2933" s="35" t="str">
        <f t="shared" si="692"/>
        <v>PDP'!</v>
      </c>
      <c r="F2933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33" s="32" t="s">
        <v>123</v>
      </c>
      <c r="H2933" s="33">
        <f t="shared" si="694"/>
        <v>17</v>
      </c>
      <c r="I2933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ECP\Cantagallo\Cristalina\[CRISTALINA_CF_SEC_New_09-Feb-2024.xlsx]D-PDP'!$DT$17</v>
      </c>
      <c r="J2933" s="37" t="s">
        <v>1429</v>
      </c>
    </row>
    <row r="2934" spans="1:10" x14ac:dyDescent="0.35">
      <c r="A2934" s="32" t="s">
        <v>14</v>
      </c>
      <c r="B2934" s="32">
        <f t="shared" si="696"/>
        <v>2029</v>
      </c>
      <c r="C2934" s="33" t="s">
        <v>110</v>
      </c>
      <c r="D2934" s="34" t="s">
        <v>128</v>
      </c>
      <c r="E2934" s="35" t="str">
        <f t="shared" si="692"/>
        <v>PDP'!</v>
      </c>
      <c r="F2934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34" s="32" t="s">
        <v>123</v>
      </c>
      <c r="H2934" s="33">
        <f t="shared" si="694"/>
        <v>18</v>
      </c>
      <c r="I2934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ECP\Cantagallo\Cristalina\[CRISTALINA_CF_SEC_New_09-Feb-2024.xlsx]D-PDP'!$DT$18</v>
      </c>
      <c r="J2934" s="37" t="s">
        <v>1430</v>
      </c>
    </row>
    <row r="2935" spans="1:10" x14ac:dyDescent="0.35">
      <c r="A2935" s="32" t="s">
        <v>14</v>
      </c>
      <c r="B2935" s="32">
        <f t="shared" si="696"/>
        <v>2030</v>
      </c>
      <c r="C2935" s="33" t="s">
        <v>110</v>
      </c>
      <c r="D2935" s="34" t="s">
        <v>128</v>
      </c>
      <c r="E2935" s="35" t="str">
        <f t="shared" si="692"/>
        <v>PDP'!</v>
      </c>
      <c r="F2935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35" s="32" t="s">
        <v>123</v>
      </c>
      <c r="H2935" s="33">
        <f t="shared" si="694"/>
        <v>19</v>
      </c>
      <c r="I2935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ECP\Cantagallo\Cristalina\[CRISTALINA_CF_SEC_New_09-Feb-2024.xlsx]D-PDP'!$DT$19</v>
      </c>
      <c r="J2935" s="37" t="s">
        <v>1431</v>
      </c>
    </row>
    <row r="2936" spans="1:10" x14ac:dyDescent="0.35">
      <c r="A2936" s="32" t="s">
        <v>14</v>
      </c>
      <c r="B2936" s="32">
        <f t="shared" si="696"/>
        <v>2031</v>
      </c>
      <c r="C2936" s="33" t="s">
        <v>110</v>
      </c>
      <c r="D2936" s="34" t="s">
        <v>128</v>
      </c>
      <c r="E2936" s="35" t="str">
        <f t="shared" si="692"/>
        <v>PDP'!</v>
      </c>
      <c r="F2936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36" s="32" t="s">
        <v>123</v>
      </c>
      <c r="H2936" s="33">
        <f t="shared" si="694"/>
        <v>20</v>
      </c>
      <c r="I2936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ECP\Cantagallo\Cristalina\[CRISTALINA_CF_SEC_New_09-Feb-2024.xlsx]D-PDP'!$DT$20</v>
      </c>
      <c r="J2936" s="37" t="s">
        <v>1432</v>
      </c>
    </row>
    <row r="2937" spans="1:10" x14ac:dyDescent="0.35">
      <c r="A2937" s="32" t="s">
        <v>14</v>
      </c>
      <c r="B2937" s="32">
        <f t="shared" si="696"/>
        <v>2032</v>
      </c>
      <c r="C2937" s="33" t="s">
        <v>110</v>
      </c>
      <c r="D2937" s="34" t="s">
        <v>128</v>
      </c>
      <c r="E2937" s="35" t="str">
        <f t="shared" si="692"/>
        <v>PDP'!</v>
      </c>
      <c r="F2937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37" s="32" t="s">
        <v>123</v>
      </c>
      <c r="H2937" s="33">
        <f t="shared" si="694"/>
        <v>21</v>
      </c>
      <c r="I2937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ECP\Cantagallo\Cristalina\[CRISTALINA_CF_SEC_New_09-Feb-2024.xlsx]D-PDP'!$DT$21</v>
      </c>
      <c r="J2937" s="37" t="s">
        <v>1433</v>
      </c>
    </row>
    <row r="2938" spans="1:10" x14ac:dyDescent="0.35">
      <c r="A2938" s="32" t="s">
        <v>14</v>
      </c>
      <c r="B2938" s="32">
        <f t="shared" si="696"/>
        <v>2033</v>
      </c>
      <c r="C2938" s="33" t="s">
        <v>110</v>
      </c>
      <c r="D2938" s="34" t="s">
        <v>128</v>
      </c>
      <c r="E2938" s="35" t="str">
        <f t="shared" si="692"/>
        <v>PDP'!</v>
      </c>
      <c r="F2938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38" s="32" t="s">
        <v>123</v>
      </c>
      <c r="H2938" s="33">
        <f t="shared" si="694"/>
        <v>22</v>
      </c>
      <c r="I2938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ECP\Cantagallo\Cristalina\[CRISTALINA_CF_SEC_New_09-Feb-2024.xlsx]D-PDP'!$DT$22</v>
      </c>
      <c r="J2938" s="37" t="s">
        <v>1434</v>
      </c>
    </row>
    <row r="2939" spans="1:10" x14ac:dyDescent="0.35">
      <c r="A2939" s="32" t="s">
        <v>14</v>
      </c>
      <c r="B2939" s="32">
        <f t="shared" si="696"/>
        <v>2034</v>
      </c>
      <c r="C2939" s="33" t="s">
        <v>110</v>
      </c>
      <c r="D2939" s="34" t="s">
        <v>128</v>
      </c>
      <c r="E2939" s="35" t="str">
        <f t="shared" si="692"/>
        <v>PDP'!</v>
      </c>
      <c r="F2939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39" s="32" t="s">
        <v>123</v>
      </c>
      <c r="H2939" s="33">
        <f t="shared" si="694"/>
        <v>23</v>
      </c>
      <c r="I2939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ECP\Cantagallo\Cristalina\[CRISTALINA_CF_SEC_New_09-Feb-2024.xlsx]D-PDP'!$DT$23</v>
      </c>
      <c r="J2939" s="37" t="s">
        <v>1435</v>
      </c>
    </row>
    <row r="2940" spans="1:10" x14ac:dyDescent="0.35">
      <c r="A2940" s="32" t="s">
        <v>14</v>
      </c>
      <c r="B2940" s="32">
        <f t="shared" si="696"/>
        <v>2035</v>
      </c>
      <c r="C2940" s="33" t="s">
        <v>110</v>
      </c>
      <c r="D2940" s="34" t="s">
        <v>128</v>
      </c>
      <c r="E2940" s="35" t="str">
        <f t="shared" si="692"/>
        <v>PDP'!</v>
      </c>
      <c r="F2940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40" s="32" t="s">
        <v>123</v>
      </c>
      <c r="H2940" s="33">
        <f t="shared" si="694"/>
        <v>24</v>
      </c>
      <c r="I2940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ECP\Cantagallo\Cristalina\[CRISTALINA_CF_SEC_New_09-Feb-2024.xlsx]D-PDP'!$DT$24</v>
      </c>
      <c r="J2940" s="37" t="s">
        <v>1436</v>
      </c>
    </row>
    <row r="2941" spans="1:10" x14ac:dyDescent="0.35">
      <c r="A2941" s="32" t="s">
        <v>14</v>
      </c>
      <c r="B2941" s="32">
        <f t="shared" si="696"/>
        <v>2036</v>
      </c>
      <c r="C2941" s="33" t="s">
        <v>110</v>
      </c>
      <c r="D2941" s="34" t="s">
        <v>128</v>
      </c>
      <c r="E2941" s="35" t="str">
        <f t="shared" si="692"/>
        <v>PDP'!</v>
      </c>
      <c r="F2941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41" s="32" t="s">
        <v>123</v>
      </c>
      <c r="H2941" s="33">
        <f t="shared" si="694"/>
        <v>25</v>
      </c>
      <c r="I2941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ECP\Cantagallo\Cristalina\[CRISTALINA_CF_SEC_New_09-Feb-2024.xlsx]D-PDP'!$DT$25</v>
      </c>
      <c r="J2941" s="37" t="s">
        <v>1437</v>
      </c>
    </row>
    <row r="2942" spans="1:10" x14ac:dyDescent="0.35">
      <c r="A2942" s="32" t="s">
        <v>14</v>
      </c>
      <c r="B2942" s="32">
        <f>+B2941+1</f>
        <v>2037</v>
      </c>
      <c r="C2942" s="33" t="s">
        <v>110</v>
      </c>
      <c r="D2942" s="34" t="s">
        <v>128</v>
      </c>
      <c r="E2942" s="35" t="str">
        <f t="shared" si="692"/>
        <v>PDP'!</v>
      </c>
      <c r="F2942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42" s="32" t="s">
        <v>123</v>
      </c>
      <c r="H2942" s="33">
        <f t="shared" si="694"/>
        <v>26</v>
      </c>
      <c r="I2942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ECP\Cantagallo\Cristalina\[CRISTALINA_CF_SEC_New_09-Feb-2024.xlsx]D-PDP'!$DT$26</v>
      </c>
      <c r="J2942" s="37" t="s">
        <v>1438</v>
      </c>
    </row>
    <row r="2943" spans="1:10" x14ac:dyDescent="0.35">
      <c r="A2943" s="32" t="s">
        <v>14</v>
      </c>
      <c r="B2943" s="32">
        <f t="shared" ref="B2943:B2945" si="697">+B2942+1</f>
        <v>2038</v>
      </c>
      <c r="C2943" s="33" t="s">
        <v>110</v>
      </c>
      <c r="D2943" s="34" t="s">
        <v>128</v>
      </c>
      <c r="E2943" s="35" t="str">
        <f t="shared" si="692"/>
        <v>PDP'!</v>
      </c>
      <c r="F2943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43" s="32" t="s">
        <v>123</v>
      </c>
      <c r="H2943" s="33">
        <f t="shared" si="694"/>
        <v>27</v>
      </c>
      <c r="I2943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ECP\Cantagallo\Cristalina\[CRISTALINA_CF_SEC_New_09-Feb-2024.xlsx]D-PDP'!$DT$27</v>
      </c>
      <c r="J2943" s="37" t="s">
        <v>1439</v>
      </c>
    </row>
    <row r="2944" spans="1:10" x14ac:dyDescent="0.35">
      <c r="A2944" s="32" t="s">
        <v>14</v>
      </c>
      <c r="B2944" s="32">
        <f t="shared" si="697"/>
        <v>2039</v>
      </c>
      <c r="C2944" s="33" t="s">
        <v>110</v>
      </c>
      <c r="D2944" s="34" t="s">
        <v>128</v>
      </c>
      <c r="E2944" s="35" t="str">
        <f t="shared" si="692"/>
        <v>PDP'!</v>
      </c>
      <c r="F2944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44" s="32" t="s">
        <v>123</v>
      </c>
      <c r="H2944" s="33">
        <f t="shared" si="694"/>
        <v>28</v>
      </c>
      <c r="I2944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ECP\Cantagallo\Cristalina\[CRISTALINA_CF_SEC_New_09-Feb-2024.xlsx]D-PDP'!$DT$28</v>
      </c>
      <c r="J2944" s="37" t="s">
        <v>1440</v>
      </c>
    </row>
    <row r="2945" spans="1:10" x14ac:dyDescent="0.35">
      <c r="A2945" s="32" t="s">
        <v>14</v>
      </c>
      <c r="B2945" s="32">
        <f t="shared" si="697"/>
        <v>2040</v>
      </c>
      <c r="C2945" s="33" t="s">
        <v>110</v>
      </c>
      <c r="D2945" s="34" t="s">
        <v>128</v>
      </c>
      <c r="E2945" s="35" t="str">
        <f t="shared" si="692"/>
        <v>PDP'!</v>
      </c>
      <c r="F2945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45" s="32" t="s">
        <v>123</v>
      </c>
      <c r="H2945" s="33">
        <f t="shared" si="694"/>
        <v>29</v>
      </c>
      <c r="I2945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ECP\Cantagallo\Cristalina\[CRISTALINA_CF_SEC_New_09-Feb-2024.xlsx]D-PDP'!$DT$29</v>
      </c>
      <c r="J2945" s="37" t="s">
        <v>1441</v>
      </c>
    </row>
    <row r="2946" spans="1:10" x14ac:dyDescent="0.35">
      <c r="A2946" s="32" t="s">
        <v>14</v>
      </c>
      <c r="B2946" s="32">
        <f>+B2945+1</f>
        <v>2041</v>
      </c>
      <c r="C2946" s="33" t="s">
        <v>110</v>
      </c>
      <c r="D2946" s="34" t="s">
        <v>128</v>
      </c>
      <c r="E2946" s="35" t="str">
        <f t="shared" si="692"/>
        <v>PDP'!</v>
      </c>
      <c r="F2946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46" s="32" t="s">
        <v>123</v>
      </c>
      <c r="H2946" s="33">
        <f t="shared" si="694"/>
        <v>30</v>
      </c>
      <c r="I2946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ECP\Cantagallo\Cristalina\[CRISTALINA_CF_SEC_New_09-Feb-2024.xlsx]D-PDP'!$DT$30</v>
      </c>
      <c r="J2946" s="37" t="s">
        <v>1442</v>
      </c>
    </row>
    <row r="2947" spans="1:10" x14ac:dyDescent="0.35">
      <c r="A2947" s="32" t="s">
        <v>14</v>
      </c>
      <c r="B2947" s="32">
        <f t="shared" ref="B2947:B2948" si="698">+B2946+1</f>
        <v>2042</v>
      </c>
      <c r="C2947" s="33" t="s">
        <v>110</v>
      </c>
      <c r="D2947" s="34" t="s">
        <v>128</v>
      </c>
      <c r="E2947" s="35" t="str">
        <f t="shared" si="692"/>
        <v>PDP'!</v>
      </c>
      <c r="F2947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47" s="32" t="s">
        <v>123</v>
      </c>
      <c r="H2947" s="33">
        <f t="shared" si="694"/>
        <v>31</v>
      </c>
      <c r="I2947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ECP\Cantagallo\Cristalina\[CRISTALINA_CF_SEC_New_09-Feb-2024.xlsx]D-PDP'!$DT$31</v>
      </c>
      <c r="J2947" s="37" t="s">
        <v>1443</v>
      </c>
    </row>
    <row r="2948" spans="1:10" x14ac:dyDescent="0.35">
      <c r="A2948" s="32" t="s">
        <v>14</v>
      </c>
      <c r="B2948" s="32">
        <f t="shared" si="698"/>
        <v>2043</v>
      </c>
      <c r="C2948" s="33" t="s">
        <v>110</v>
      </c>
      <c r="D2948" s="34" t="s">
        <v>128</v>
      </c>
      <c r="E2948" s="35" t="str">
        <f t="shared" si="692"/>
        <v>PDP'!</v>
      </c>
      <c r="F2948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48" s="32" t="s">
        <v>123</v>
      </c>
      <c r="H2948" s="33">
        <f t="shared" si="694"/>
        <v>32</v>
      </c>
      <c r="I2948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ECP\Cantagallo\Cristalina\[CRISTALINA_CF_SEC_New_09-Feb-2024.xlsx]D-PDP'!$DT$32</v>
      </c>
      <c r="J2948" s="37" t="s">
        <v>1444</v>
      </c>
    </row>
    <row r="2949" spans="1:10" x14ac:dyDescent="0.35">
      <c r="A2949" s="32" t="s">
        <v>14</v>
      </c>
      <c r="B2949" s="32">
        <f>+B2948+1</f>
        <v>2044</v>
      </c>
      <c r="C2949" s="33" t="s">
        <v>110</v>
      </c>
      <c r="D2949" s="34" t="s">
        <v>128</v>
      </c>
      <c r="E2949" s="35" t="str">
        <f t="shared" ref="E2949:E2964" si="699">_xlfn.CONCAT(A2949,"'!")</f>
        <v>PDP'!</v>
      </c>
      <c r="F2949" s="34" t="str">
        <f t="shared" ref="F2949:F2964" si="700">_xlfn.CONCAT(D2949:E2949)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49" s="32" t="s">
        <v>123</v>
      </c>
      <c r="H2949" s="33">
        <f t="shared" ref="H2949:H2964" si="701">IF(A2949&lt;&gt;A2948,12,H2948+1)</f>
        <v>33</v>
      </c>
      <c r="I2949" s="33" t="str">
        <f t="shared" ref="I2949:I2964" si="702">_xlfn.CONCAT("='",F2949:H2949)</f>
        <v>='C:\Users\jaime.benazar\Quorum Business Solutions\Ecopetrol Prometeo - Documents\Planning Space Implementation\3. Analysis &amp; Design\Design\FC22\DRR Jaime\Por presentar a ECP\Cantagallo\Cristalina\[CRISTALINA_CF_SEC_New_09-Feb-2024.xlsx]D-PDP'!$DT$33</v>
      </c>
      <c r="J2949" s="37" t="s">
        <v>1445</v>
      </c>
    </row>
    <row r="2950" spans="1:10" x14ac:dyDescent="0.35">
      <c r="A2950" s="32" t="s">
        <v>14</v>
      </c>
      <c r="B2950" s="32">
        <f t="shared" ref="B2950:B2964" si="703">+B2949+1</f>
        <v>2045</v>
      </c>
      <c r="C2950" s="33" t="s">
        <v>110</v>
      </c>
      <c r="D2950" s="34" t="s">
        <v>128</v>
      </c>
      <c r="E2950" s="35" t="str">
        <f t="shared" si="699"/>
        <v>PDP'!</v>
      </c>
      <c r="F2950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50" s="32" t="s">
        <v>123</v>
      </c>
      <c r="H2950" s="33">
        <f t="shared" si="701"/>
        <v>34</v>
      </c>
      <c r="I2950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ECP\Cantagallo\Cristalina\[CRISTALINA_CF_SEC_New_09-Feb-2024.xlsx]D-PDP'!$DT$34</v>
      </c>
      <c r="J2950" s="37" t="s">
        <v>1446</v>
      </c>
    </row>
    <row r="2951" spans="1:10" x14ac:dyDescent="0.35">
      <c r="A2951" s="32" t="s">
        <v>14</v>
      </c>
      <c r="B2951" s="32">
        <f t="shared" si="703"/>
        <v>2046</v>
      </c>
      <c r="C2951" s="33" t="s">
        <v>110</v>
      </c>
      <c r="D2951" s="34" t="s">
        <v>128</v>
      </c>
      <c r="E2951" s="35" t="str">
        <f t="shared" si="699"/>
        <v>PDP'!</v>
      </c>
      <c r="F2951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51" s="32" t="s">
        <v>123</v>
      </c>
      <c r="H2951" s="33">
        <f t="shared" si="701"/>
        <v>35</v>
      </c>
      <c r="I2951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ECP\Cantagallo\Cristalina\[CRISTALINA_CF_SEC_New_09-Feb-2024.xlsx]D-PDP'!$DT$35</v>
      </c>
      <c r="J2951" s="37" t="s">
        <v>1447</v>
      </c>
    </row>
    <row r="2952" spans="1:10" x14ac:dyDescent="0.35">
      <c r="A2952" s="32" t="s">
        <v>14</v>
      </c>
      <c r="B2952" s="32">
        <f t="shared" si="703"/>
        <v>2047</v>
      </c>
      <c r="C2952" s="33" t="s">
        <v>110</v>
      </c>
      <c r="D2952" s="34" t="s">
        <v>128</v>
      </c>
      <c r="E2952" s="35" t="str">
        <f t="shared" si="699"/>
        <v>PDP'!</v>
      </c>
      <c r="F2952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52" s="32" t="s">
        <v>123</v>
      </c>
      <c r="H2952" s="33">
        <f t="shared" si="701"/>
        <v>36</v>
      </c>
      <c r="I2952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ECP\Cantagallo\Cristalina\[CRISTALINA_CF_SEC_New_09-Feb-2024.xlsx]D-PDP'!$DT$36</v>
      </c>
      <c r="J2952" s="37" t="s">
        <v>1448</v>
      </c>
    </row>
    <row r="2953" spans="1:10" x14ac:dyDescent="0.35">
      <c r="A2953" s="32" t="s">
        <v>14</v>
      </c>
      <c r="B2953" s="32">
        <f t="shared" si="703"/>
        <v>2048</v>
      </c>
      <c r="C2953" s="33" t="s">
        <v>110</v>
      </c>
      <c r="D2953" s="34" t="s">
        <v>128</v>
      </c>
      <c r="E2953" s="35" t="str">
        <f t="shared" si="699"/>
        <v>PDP'!</v>
      </c>
      <c r="F2953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53" s="32" t="s">
        <v>123</v>
      </c>
      <c r="H2953" s="33">
        <f t="shared" si="701"/>
        <v>37</v>
      </c>
      <c r="I2953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ECP\Cantagallo\Cristalina\[CRISTALINA_CF_SEC_New_09-Feb-2024.xlsx]D-PDP'!$DT$37</v>
      </c>
      <c r="J2953" s="37" t="s">
        <v>1449</v>
      </c>
    </row>
    <row r="2954" spans="1:10" x14ac:dyDescent="0.35">
      <c r="A2954" s="32" t="s">
        <v>14</v>
      </c>
      <c r="B2954" s="32">
        <f t="shared" si="703"/>
        <v>2049</v>
      </c>
      <c r="C2954" s="33" t="s">
        <v>110</v>
      </c>
      <c r="D2954" s="34" t="s">
        <v>128</v>
      </c>
      <c r="E2954" s="35" t="str">
        <f t="shared" si="699"/>
        <v>PDP'!</v>
      </c>
      <c r="F2954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54" s="32" t="s">
        <v>123</v>
      </c>
      <c r="H2954" s="33">
        <f t="shared" si="701"/>
        <v>38</v>
      </c>
      <c r="I2954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ECP\Cantagallo\Cristalina\[CRISTALINA_CF_SEC_New_09-Feb-2024.xlsx]D-PDP'!$DT$38</v>
      </c>
      <c r="J2954" s="37" t="s">
        <v>1450</v>
      </c>
    </row>
    <row r="2955" spans="1:10" x14ac:dyDescent="0.35">
      <c r="A2955" s="32" t="s">
        <v>14</v>
      </c>
      <c r="B2955" s="32">
        <f t="shared" si="703"/>
        <v>2050</v>
      </c>
      <c r="C2955" s="33" t="s">
        <v>110</v>
      </c>
      <c r="D2955" s="34" t="s">
        <v>128</v>
      </c>
      <c r="E2955" s="35" t="str">
        <f t="shared" si="699"/>
        <v>PDP'!</v>
      </c>
      <c r="F2955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55" s="32" t="s">
        <v>123</v>
      </c>
      <c r="H2955" s="33">
        <f t="shared" si="701"/>
        <v>39</v>
      </c>
      <c r="I2955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ECP\Cantagallo\Cristalina\[CRISTALINA_CF_SEC_New_09-Feb-2024.xlsx]D-PDP'!$DT$39</v>
      </c>
      <c r="J2955" s="37" t="s">
        <v>1451</v>
      </c>
    </row>
    <row r="2956" spans="1:10" x14ac:dyDescent="0.35">
      <c r="A2956" s="32" t="s">
        <v>14</v>
      </c>
      <c r="B2956" s="32">
        <f t="shared" si="703"/>
        <v>2051</v>
      </c>
      <c r="C2956" s="33" t="s">
        <v>110</v>
      </c>
      <c r="D2956" s="34" t="s">
        <v>128</v>
      </c>
      <c r="E2956" s="35" t="str">
        <f t="shared" si="699"/>
        <v>PDP'!</v>
      </c>
      <c r="F2956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56" s="32" t="s">
        <v>123</v>
      </c>
      <c r="H2956" s="33">
        <f t="shared" si="701"/>
        <v>40</v>
      </c>
      <c r="I2956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ECP\Cantagallo\Cristalina\[CRISTALINA_CF_SEC_New_09-Feb-2024.xlsx]D-PDP'!$DT$40</v>
      </c>
      <c r="J2956" s="37" t="s">
        <v>1452</v>
      </c>
    </row>
    <row r="2957" spans="1:10" x14ac:dyDescent="0.35">
      <c r="A2957" s="32" t="s">
        <v>14</v>
      </c>
      <c r="B2957" s="32">
        <f t="shared" si="703"/>
        <v>2052</v>
      </c>
      <c r="C2957" s="33" t="s">
        <v>110</v>
      </c>
      <c r="D2957" s="34" t="s">
        <v>128</v>
      </c>
      <c r="E2957" s="35" t="str">
        <f t="shared" si="699"/>
        <v>PDP'!</v>
      </c>
      <c r="F2957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57" s="32" t="s">
        <v>123</v>
      </c>
      <c r="H2957" s="33">
        <f t="shared" si="701"/>
        <v>41</v>
      </c>
      <c r="I2957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ECP\Cantagallo\Cristalina\[CRISTALINA_CF_SEC_New_09-Feb-2024.xlsx]D-PDP'!$DT$41</v>
      </c>
      <c r="J2957" s="37" t="s">
        <v>1453</v>
      </c>
    </row>
    <row r="2958" spans="1:10" x14ac:dyDescent="0.35">
      <c r="A2958" s="32" t="s">
        <v>14</v>
      </c>
      <c r="B2958" s="32">
        <f t="shared" si="703"/>
        <v>2053</v>
      </c>
      <c r="C2958" s="33" t="s">
        <v>110</v>
      </c>
      <c r="D2958" s="34" t="s">
        <v>128</v>
      </c>
      <c r="E2958" s="35" t="str">
        <f t="shared" si="699"/>
        <v>PDP'!</v>
      </c>
      <c r="F2958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58" s="32" t="s">
        <v>123</v>
      </c>
      <c r="H2958" s="33">
        <f t="shared" si="701"/>
        <v>42</v>
      </c>
      <c r="I2958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ECP\Cantagallo\Cristalina\[CRISTALINA_CF_SEC_New_09-Feb-2024.xlsx]D-PDP'!$DT$42</v>
      </c>
      <c r="J2958" s="37" t="s">
        <v>1454</v>
      </c>
    </row>
    <row r="2959" spans="1:10" x14ac:dyDescent="0.35">
      <c r="A2959" s="32" t="s">
        <v>14</v>
      </c>
      <c r="B2959" s="32">
        <f t="shared" si="703"/>
        <v>2054</v>
      </c>
      <c r="C2959" s="33" t="s">
        <v>110</v>
      </c>
      <c r="D2959" s="34" t="s">
        <v>128</v>
      </c>
      <c r="E2959" s="35" t="str">
        <f t="shared" si="699"/>
        <v>PDP'!</v>
      </c>
      <c r="F2959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59" s="32" t="s">
        <v>123</v>
      </c>
      <c r="H2959" s="33">
        <f t="shared" si="701"/>
        <v>43</v>
      </c>
      <c r="I2959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ECP\Cantagallo\Cristalina\[CRISTALINA_CF_SEC_New_09-Feb-2024.xlsx]D-PDP'!$DT$43</v>
      </c>
      <c r="J2959" s="37" t="s">
        <v>1455</v>
      </c>
    </row>
    <row r="2960" spans="1:10" x14ac:dyDescent="0.35">
      <c r="A2960" s="32" t="s">
        <v>14</v>
      </c>
      <c r="B2960" s="32">
        <f t="shared" si="703"/>
        <v>2055</v>
      </c>
      <c r="C2960" s="33" t="s">
        <v>110</v>
      </c>
      <c r="D2960" s="34" t="s">
        <v>128</v>
      </c>
      <c r="E2960" s="35" t="str">
        <f t="shared" si="699"/>
        <v>PDP'!</v>
      </c>
      <c r="F2960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60" s="32" t="s">
        <v>123</v>
      </c>
      <c r="H2960" s="33">
        <f t="shared" si="701"/>
        <v>44</v>
      </c>
      <c r="I2960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ECP\Cantagallo\Cristalina\[CRISTALINA_CF_SEC_New_09-Feb-2024.xlsx]D-PDP'!$DT$44</v>
      </c>
      <c r="J2960" s="37" t="s">
        <v>1456</v>
      </c>
    </row>
    <row r="2961" spans="1:10" x14ac:dyDescent="0.35">
      <c r="A2961" s="32" t="s">
        <v>14</v>
      </c>
      <c r="B2961" s="32">
        <f t="shared" si="703"/>
        <v>2056</v>
      </c>
      <c r="C2961" s="33" t="s">
        <v>110</v>
      </c>
      <c r="D2961" s="34" t="s">
        <v>128</v>
      </c>
      <c r="E2961" s="35" t="str">
        <f t="shared" si="699"/>
        <v>PDP'!</v>
      </c>
      <c r="F2961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61" s="32" t="s">
        <v>123</v>
      </c>
      <c r="H2961" s="33">
        <f t="shared" si="701"/>
        <v>45</v>
      </c>
      <c r="I2961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ECP\Cantagallo\Cristalina\[CRISTALINA_CF_SEC_New_09-Feb-2024.xlsx]D-PDP'!$DT$45</v>
      </c>
      <c r="J2961" s="37" t="s">
        <v>1457</v>
      </c>
    </row>
    <row r="2962" spans="1:10" x14ac:dyDescent="0.35">
      <c r="A2962" s="32" t="s">
        <v>14</v>
      </c>
      <c r="B2962" s="32">
        <f t="shared" si="703"/>
        <v>2057</v>
      </c>
      <c r="C2962" s="33" t="s">
        <v>110</v>
      </c>
      <c r="D2962" s="34" t="s">
        <v>128</v>
      </c>
      <c r="E2962" s="35" t="str">
        <f t="shared" si="699"/>
        <v>PDP'!</v>
      </c>
      <c r="F2962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62" s="32" t="s">
        <v>123</v>
      </c>
      <c r="H2962" s="33">
        <f t="shared" si="701"/>
        <v>46</v>
      </c>
      <c r="I2962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ECP\Cantagallo\Cristalina\[CRISTALINA_CF_SEC_New_09-Feb-2024.xlsx]D-PDP'!$DT$46</v>
      </c>
      <c r="J2962" s="37" t="s">
        <v>1458</v>
      </c>
    </row>
    <row r="2963" spans="1:10" x14ac:dyDescent="0.35">
      <c r="A2963" s="32" t="s">
        <v>14</v>
      </c>
      <c r="B2963" s="32">
        <f t="shared" si="703"/>
        <v>2058</v>
      </c>
      <c r="C2963" s="33" t="s">
        <v>110</v>
      </c>
      <c r="D2963" s="34" t="s">
        <v>128</v>
      </c>
      <c r="E2963" s="35" t="str">
        <f t="shared" si="699"/>
        <v>PDP'!</v>
      </c>
      <c r="F2963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63" s="32" t="s">
        <v>123</v>
      </c>
      <c r="H2963" s="33">
        <f t="shared" si="701"/>
        <v>47</v>
      </c>
      <c r="I2963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ECP\Cantagallo\Cristalina\[CRISTALINA_CF_SEC_New_09-Feb-2024.xlsx]D-PDP'!$DT$47</v>
      </c>
      <c r="J2963" s="37" t="s">
        <v>1459</v>
      </c>
    </row>
    <row r="2964" spans="1:10" x14ac:dyDescent="0.35">
      <c r="A2964" s="32" t="s">
        <v>14</v>
      </c>
      <c r="B2964" s="32">
        <f t="shared" si="703"/>
        <v>2059</v>
      </c>
      <c r="C2964" s="33" t="s">
        <v>110</v>
      </c>
      <c r="D2964" s="34" t="s">
        <v>128</v>
      </c>
      <c r="E2964" s="35" t="str">
        <f t="shared" si="699"/>
        <v>PDP'!</v>
      </c>
      <c r="F2964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64" s="32" t="s">
        <v>123</v>
      </c>
      <c r="H2964" s="33">
        <f t="shared" si="701"/>
        <v>48</v>
      </c>
      <c r="I2964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ECP\Cantagallo\Cristalina\[CRISTALINA_CF_SEC_New_09-Feb-2024.xlsx]D-PDP'!$DT$48</v>
      </c>
      <c r="J2964" s="37" t="s">
        <v>1460</v>
      </c>
    </row>
    <row r="2965" spans="1:10" x14ac:dyDescent="0.35">
      <c r="A2965" s="32" t="s">
        <v>26</v>
      </c>
      <c r="B2965" s="32"/>
      <c r="C2965" s="33" t="s">
        <v>110</v>
      </c>
      <c r="D2965" s="34"/>
      <c r="E2965" s="35"/>
      <c r="F2965" s="34"/>
      <c r="G2965" s="32"/>
      <c r="H2965" s="33"/>
      <c r="I2965" s="33"/>
      <c r="J2965" s="33"/>
    </row>
    <row r="2966" spans="1:10" x14ac:dyDescent="0.35">
      <c r="A2966" s="32" t="s">
        <v>15</v>
      </c>
      <c r="B2966" s="32">
        <v>2023</v>
      </c>
      <c r="C2966" s="33" t="s">
        <v>110</v>
      </c>
      <c r="D2966" s="34" t="s">
        <v>128</v>
      </c>
      <c r="E2966" s="35" t="str">
        <f t="shared" si="692"/>
        <v>PNP'!</v>
      </c>
      <c r="F2966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66" s="32" t="s">
        <v>123</v>
      </c>
      <c r="H2966" s="33">
        <v>12</v>
      </c>
      <c r="I2966" s="33" t="str">
        <f t="shared" ref="I2966:I2986" si="704">_xlfn.CONCAT("='",F2966:H2966)</f>
        <v>='C:\Users\jaime.benazar\Quorum Business Solutions\Ecopetrol Prometeo - Documents\Planning Space Implementation\3. Analysis &amp; Design\Design\FC22\DRR Jaime\Por presentar a ECP\Cantagallo\Cristalina\[CRISTALINA_CF_SEC_New_09-Feb-2024.xlsx]D-PNP'!$DT$12</v>
      </c>
      <c r="J2966" s="37" t="s">
        <v>1461</v>
      </c>
    </row>
    <row r="2967" spans="1:10" x14ac:dyDescent="0.35">
      <c r="A2967" s="32" t="s">
        <v>15</v>
      </c>
      <c r="B2967" s="32">
        <f>+B2966+1</f>
        <v>2024</v>
      </c>
      <c r="C2967" s="33" t="s">
        <v>110</v>
      </c>
      <c r="D2967" s="34" t="s">
        <v>128</v>
      </c>
      <c r="E2967" s="35" t="str">
        <f t="shared" si="692"/>
        <v>PNP'!</v>
      </c>
      <c r="F2967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67" s="32" t="s">
        <v>123</v>
      </c>
      <c r="H2967" s="33">
        <f t="shared" ref="H2967:H2986" si="705">IF(A2967&lt;&gt;A2966,12,H2966+1)</f>
        <v>13</v>
      </c>
      <c r="I2967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ECP\Cantagallo\Cristalina\[CRISTALINA_CF_SEC_New_09-Feb-2024.xlsx]D-PNP'!$DT$13</v>
      </c>
      <c r="J2967" s="37" t="s">
        <v>1462</v>
      </c>
    </row>
    <row r="2968" spans="1:10" x14ac:dyDescent="0.35">
      <c r="A2968" s="32" t="s">
        <v>15</v>
      </c>
      <c r="B2968" s="32">
        <f t="shared" ref="B2968:B2979" si="706">+B2967+1</f>
        <v>2025</v>
      </c>
      <c r="C2968" s="33" t="s">
        <v>110</v>
      </c>
      <c r="D2968" s="34" t="s">
        <v>128</v>
      </c>
      <c r="E2968" s="35" t="str">
        <f t="shared" si="692"/>
        <v>PNP'!</v>
      </c>
      <c r="F2968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68" s="32" t="s">
        <v>123</v>
      </c>
      <c r="H2968" s="33">
        <f t="shared" si="705"/>
        <v>14</v>
      </c>
      <c r="I2968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ECP\Cantagallo\Cristalina\[CRISTALINA_CF_SEC_New_09-Feb-2024.xlsx]D-PNP'!$DT$14</v>
      </c>
      <c r="J2968" s="37" t="s">
        <v>1463</v>
      </c>
    </row>
    <row r="2969" spans="1:10" x14ac:dyDescent="0.35">
      <c r="A2969" s="32" t="s">
        <v>15</v>
      </c>
      <c r="B2969" s="32">
        <f t="shared" si="706"/>
        <v>2026</v>
      </c>
      <c r="C2969" s="33" t="s">
        <v>110</v>
      </c>
      <c r="D2969" s="34" t="s">
        <v>128</v>
      </c>
      <c r="E2969" s="35" t="str">
        <f t="shared" si="692"/>
        <v>PNP'!</v>
      </c>
      <c r="F2969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69" s="32" t="s">
        <v>123</v>
      </c>
      <c r="H2969" s="33">
        <f t="shared" si="705"/>
        <v>15</v>
      </c>
      <c r="I2969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ECP\Cantagallo\Cristalina\[CRISTALINA_CF_SEC_New_09-Feb-2024.xlsx]D-PNP'!$DT$15</v>
      </c>
      <c r="J2969" s="37" t="s">
        <v>1464</v>
      </c>
    </row>
    <row r="2970" spans="1:10" x14ac:dyDescent="0.35">
      <c r="A2970" s="32" t="s">
        <v>15</v>
      </c>
      <c r="B2970" s="32">
        <f t="shared" si="706"/>
        <v>2027</v>
      </c>
      <c r="C2970" s="33" t="s">
        <v>110</v>
      </c>
      <c r="D2970" s="34" t="s">
        <v>128</v>
      </c>
      <c r="E2970" s="35" t="str">
        <f t="shared" si="692"/>
        <v>PNP'!</v>
      </c>
      <c r="F2970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70" s="32" t="s">
        <v>123</v>
      </c>
      <c r="H2970" s="33">
        <f t="shared" si="705"/>
        <v>16</v>
      </c>
      <c r="I2970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ECP\Cantagallo\Cristalina\[CRISTALINA_CF_SEC_New_09-Feb-2024.xlsx]D-PNP'!$DT$16</v>
      </c>
      <c r="J2970" s="37" t="s">
        <v>1465</v>
      </c>
    </row>
    <row r="2971" spans="1:10" x14ac:dyDescent="0.35">
      <c r="A2971" s="32" t="s">
        <v>15</v>
      </c>
      <c r="B2971" s="32">
        <f t="shared" si="706"/>
        <v>2028</v>
      </c>
      <c r="C2971" s="33" t="s">
        <v>110</v>
      </c>
      <c r="D2971" s="34" t="s">
        <v>128</v>
      </c>
      <c r="E2971" s="35" t="str">
        <f t="shared" si="692"/>
        <v>PNP'!</v>
      </c>
      <c r="F2971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71" s="32" t="s">
        <v>123</v>
      </c>
      <c r="H2971" s="33">
        <f t="shared" si="705"/>
        <v>17</v>
      </c>
      <c r="I2971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ECP\Cantagallo\Cristalina\[CRISTALINA_CF_SEC_New_09-Feb-2024.xlsx]D-PNP'!$DT$17</v>
      </c>
      <c r="J2971" s="37" t="s">
        <v>1466</v>
      </c>
    </row>
    <row r="2972" spans="1:10" x14ac:dyDescent="0.35">
      <c r="A2972" s="32" t="s">
        <v>15</v>
      </c>
      <c r="B2972" s="32">
        <f t="shared" si="706"/>
        <v>2029</v>
      </c>
      <c r="C2972" s="33" t="s">
        <v>110</v>
      </c>
      <c r="D2972" s="34" t="s">
        <v>128</v>
      </c>
      <c r="E2972" s="35" t="str">
        <f t="shared" si="692"/>
        <v>PNP'!</v>
      </c>
      <c r="F2972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72" s="32" t="s">
        <v>123</v>
      </c>
      <c r="H2972" s="33">
        <f t="shared" si="705"/>
        <v>18</v>
      </c>
      <c r="I2972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ECP\Cantagallo\Cristalina\[CRISTALINA_CF_SEC_New_09-Feb-2024.xlsx]D-PNP'!$DT$18</v>
      </c>
      <c r="J2972" s="37" t="s">
        <v>1467</v>
      </c>
    </row>
    <row r="2973" spans="1:10" x14ac:dyDescent="0.35">
      <c r="A2973" s="32" t="s">
        <v>15</v>
      </c>
      <c r="B2973" s="32">
        <f t="shared" si="706"/>
        <v>2030</v>
      </c>
      <c r="C2973" s="33" t="s">
        <v>110</v>
      </c>
      <c r="D2973" s="34" t="s">
        <v>128</v>
      </c>
      <c r="E2973" s="35" t="str">
        <f t="shared" si="692"/>
        <v>PNP'!</v>
      </c>
      <c r="F2973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73" s="32" t="s">
        <v>123</v>
      </c>
      <c r="H2973" s="33">
        <f t="shared" si="705"/>
        <v>19</v>
      </c>
      <c r="I2973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ECP\Cantagallo\Cristalina\[CRISTALINA_CF_SEC_New_09-Feb-2024.xlsx]D-PNP'!$DT$19</v>
      </c>
      <c r="J2973" s="37" t="s">
        <v>1468</v>
      </c>
    </row>
    <row r="2974" spans="1:10" x14ac:dyDescent="0.35">
      <c r="A2974" s="32" t="s">
        <v>15</v>
      </c>
      <c r="B2974" s="32">
        <f t="shared" si="706"/>
        <v>2031</v>
      </c>
      <c r="C2974" s="33" t="s">
        <v>110</v>
      </c>
      <c r="D2974" s="34" t="s">
        <v>128</v>
      </c>
      <c r="E2974" s="35" t="str">
        <f t="shared" si="692"/>
        <v>PNP'!</v>
      </c>
      <c r="F2974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74" s="32" t="s">
        <v>123</v>
      </c>
      <c r="H2974" s="33">
        <f t="shared" si="705"/>
        <v>20</v>
      </c>
      <c r="I2974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ECP\Cantagallo\Cristalina\[CRISTALINA_CF_SEC_New_09-Feb-2024.xlsx]D-PNP'!$DT$20</v>
      </c>
      <c r="J2974" s="37" t="s">
        <v>1469</v>
      </c>
    </row>
    <row r="2975" spans="1:10" x14ac:dyDescent="0.35">
      <c r="A2975" s="32" t="s">
        <v>15</v>
      </c>
      <c r="B2975" s="32">
        <f t="shared" si="706"/>
        <v>2032</v>
      </c>
      <c r="C2975" s="33" t="s">
        <v>110</v>
      </c>
      <c r="D2975" s="34" t="s">
        <v>128</v>
      </c>
      <c r="E2975" s="35" t="str">
        <f t="shared" si="692"/>
        <v>PNP'!</v>
      </c>
      <c r="F2975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75" s="32" t="s">
        <v>123</v>
      </c>
      <c r="H2975" s="33">
        <f t="shared" si="705"/>
        <v>21</v>
      </c>
      <c r="I2975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ECP\Cantagallo\Cristalina\[CRISTALINA_CF_SEC_New_09-Feb-2024.xlsx]D-PNP'!$DT$21</v>
      </c>
      <c r="J2975" s="37" t="s">
        <v>1470</v>
      </c>
    </row>
    <row r="2976" spans="1:10" x14ac:dyDescent="0.35">
      <c r="A2976" s="32" t="s">
        <v>15</v>
      </c>
      <c r="B2976" s="32">
        <f t="shared" si="706"/>
        <v>2033</v>
      </c>
      <c r="C2976" s="33" t="s">
        <v>110</v>
      </c>
      <c r="D2976" s="34" t="s">
        <v>128</v>
      </c>
      <c r="E2976" s="35" t="str">
        <f t="shared" si="692"/>
        <v>PNP'!</v>
      </c>
      <c r="F2976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76" s="32" t="s">
        <v>123</v>
      </c>
      <c r="H2976" s="33">
        <f t="shared" si="705"/>
        <v>22</v>
      </c>
      <c r="I2976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ECP\Cantagallo\Cristalina\[CRISTALINA_CF_SEC_New_09-Feb-2024.xlsx]D-PNP'!$DT$22</v>
      </c>
      <c r="J2976" s="37" t="s">
        <v>1471</v>
      </c>
    </row>
    <row r="2977" spans="1:10" x14ac:dyDescent="0.35">
      <c r="A2977" s="32" t="s">
        <v>15</v>
      </c>
      <c r="B2977" s="32">
        <f t="shared" si="706"/>
        <v>2034</v>
      </c>
      <c r="C2977" s="33" t="s">
        <v>110</v>
      </c>
      <c r="D2977" s="34" t="s">
        <v>128</v>
      </c>
      <c r="E2977" s="35" t="str">
        <f t="shared" si="692"/>
        <v>PNP'!</v>
      </c>
      <c r="F2977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77" s="32" t="s">
        <v>123</v>
      </c>
      <c r="H2977" s="33">
        <f t="shared" si="705"/>
        <v>23</v>
      </c>
      <c r="I2977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ECP\Cantagallo\Cristalina\[CRISTALINA_CF_SEC_New_09-Feb-2024.xlsx]D-PNP'!$DT$23</v>
      </c>
      <c r="J2977" s="37" t="s">
        <v>1472</v>
      </c>
    </row>
    <row r="2978" spans="1:10" x14ac:dyDescent="0.35">
      <c r="A2978" s="32" t="s">
        <v>15</v>
      </c>
      <c r="B2978" s="32">
        <f t="shared" si="706"/>
        <v>2035</v>
      </c>
      <c r="C2978" s="33" t="s">
        <v>110</v>
      </c>
      <c r="D2978" s="34" t="s">
        <v>128</v>
      </c>
      <c r="E2978" s="35" t="str">
        <f t="shared" si="692"/>
        <v>PNP'!</v>
      </c>
      <c r="F2978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78" s="32" t="s">
        <v>123</v>
      </c>
      <c r="H2978" s="33">
        <f t="shared" si="705"/>
        <v>24</v>
      </c>
      <c r="I2978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ECP\Cantagallo\Cristalina\[CRISTALINA_CF_SEC_New_09-Feb-2024.xlsx]D-PNP'!$DT$24</v>
      </c>
      <c r="J2978" s="37" t="s">
        <v>1473</v>
      </c>
    </row>
    <row r="2979" spans="1:10" x14ac:dyDescent="0.35">
      <c r="A2979" s="32" t="s">
        <v>15</v>
      </c>
      <c r="B2979" s="32">
        <f t="shared" si="706"/>
        <v>2036</v>
      </c>
      <c r="C2979" s="33" t="s">
        <v>110</v>
      </c>
      <c r="D2979" s="34" t="s">
        <v>128</v>
      </c>
      <c r="E2979" s="35" t="str">
        <f t="shared" si="692"/>
        <v>PNP'!</v>
      </c>
      <c r="F2979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79" s="32" t="s">
        <v>123</v>
      </c>
      <c r="H2979" s="33">
        <f t="shared" si="705"/>
        <v>25</v>
      </c>
      <c r="I2979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ECP\Cantagallo\Cristalina\[CRISTALINA_CF_SEC_New_09-Feb-2024.xlsx]D-PNP'!$DT$25</v>
      </c>
      <c r="J2979" s="37" t="s">
        <v>1474</v>
      </c>
    </row>
    <row r="2980" spans="1:10" x14ac:dyDescent="0.35">
      <c r="A2980" s="32" t="s">
        <v>15</v>
      </c>
      <c r="B2980" s="32">
        <f>+B2979+1</f>
        <v>2037</v>
      </c>
      <c r="C2980" s="33" t="s">
        <v>110</v>
      </c>
      <c r="D2980" s="34" t="s">
        <v>128</v>
      </c>
      <c r="E2980" s="35" t="str">
        <f t="shared" si="692"/>
        <v>PNP'!</v>
      </c>
      <c r="F2980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80" s="32" t="s">
        <v>123</v>
      </c>
      <c r="H2980" s="33">
        <f t="shared" si="705"/>
        <v>26</v>
      </c>
      <c r="I2980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ECP\Cantagallo\Cristalina\[CRISTALINA_CF_SEC_New_09-Feb-2024.xlsx]D-PNP'!$DT$26</v>
      </c>
      <c r="J2980" s="37" t="s">
        <v>1475</v>
      </c>
    </row>
    <row r="2981" spans="1:10" x14ac:dyDescent="0.35">
      <c r="A2981" s="32" t="s">
        <v>15</v>
      </c>
      <c r="B2981" s="32">
        <f t="shared" ref="B2981:B2983" si="707">+B2980+1</f>
        <v>2038</v>
      </c>
      <c r="C2981" s="33" t="s">
        <v>110</v>
      </c>
      <c r="D2981" s="34" t="s">
        <v>128</v>
      </c>
      <c r="E2981" s="35" t="str">
        <f t="shared" si="692"/>
        <v>PNP'!</v>
      </c>
      <c r="F2981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81" s="32" t="s">
        <v>123</v>
      </c>
      <c r="H2981" s="33">
        <f t="shared" si="705"/>
        <v>27</v>
      </c>
      <c r="I2981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ECP\Cantagallo\Cristalina\[CRISTALINA_CF_SEC_New_09-Feb-2024.xlsx]D-PNP'!$DT$27</v>
      </c>
      <c r="J2981" s="37" t="s">
        <v>1476</v>
      </c>
    </row>
    <row r="2982" spans="1:10" x14ac:dyDescent="0.35">
      <c r="A2982" s="32" t="s">
        <v>15</v>
      </c>
      <c r="B2982" s="32">
        <f t="shared" si="707"/>
        <v>2039</v>
      </c>
      <c r="C2982" s="33" t="s">
        <v>110</v>
      </c>
      <c r="D2982" s="34" t="s">
        <v>128</v>
      </c>
      <c r="E2982" s="35" t="str">
        <f t="shared" si="692"/>
        <v>PNP'!</v>
      </c>
      <c r="F2982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82" s="32" t="s">
        <v>123</v>
      </c>
      <c r="H2982" s="33">
        <f t="shared" si="705"/>
        <v>28</v>
      </c>
      <c r="I2982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ECP\Cantagallo\Cristalina\[CRISTALINA_CF_SEC_New_09-Feb-2024.xlsx]D-PNP'!$DT$28</v>
      </c>
      <c r="J2982" s="37" t="s">
        <v>1477</v>
      </c>
    </row>
    <row r="2983" spans="1:10" x14ac:dyDescent="0.35">
      <c r="A2983" s="32" t="s">
        <v>15</v>
      </c>
      <c r="B2983" s="32">
        <f t="shared" si="707"/>
        <v>2040</v>
      </c>
      <c r="C2983" s="33" t="s">
        <v>110</v>
      </c>
      <c r="D2983" s="34" t="s">
        <v>128</v>
      </c>
      <c r="E2983" s="35" t="str">
        <f t="shared" si="692"/>
        <v>PNP'!</v>
      </c>
      <c r="F2983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83" s="32" t="s">
        <v>123</v>
      </c>
      <c r="H2983" s="33">
        <f t="shared" si="705"/>
        <v>29</v>
      </c>
      <c r="I2983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ECP\Cantagallo\Cristalina\[CRISTALINA_CF_SEC_New_09-Feb-2024.xlsx]D-PNP'!$DT$29</v>
      </c>
      <c r="J2983" s="37" t="s">
        <v>1478</v>
      </c>
    </row>
    <row r="2984" spans="1:10" x14ac:dyDescent="0.35">
      <c r="A2984" s="32" t="s">
        <v>15</v>
      </c>
      <c r="B2984" s="32">
        <f>+B2983+1</f>
        <v>2041</v>
      </c>
      <c r="C2984" s="33" t="s">
        <v>110</v>
      </c>
      <c r="D2984" s="34" t="s">
        <v>128</v>
      </c>
      <c r="E2984" s="35" t="str">
        <f t="shared" si="692"/>
        <v>PNP'!</v>
      </c>
      <c r="F2984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84" s="32" t="s">
        <v>123</v>
      </c>
      <c r="H2984" s="33">
        <f t="shared" si="705"/>
        <v>30</v>
      </c>
      <c r="I2984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ECP\Cantagallo\Cristalina\[CRISTALINA_CF_SEC_New_09-Feb-2024.xlsx]D-PNP'!$DT$30</v>
      </c>
      <c r="J2984" s="37" t="s">
        <v>1479</v>
      </c>
    </row>
    <row r="2985" spans="1:10" x14ac:dyDescent="0.35">
      <c r="A2985" s="32" t="s">
        <v>15</v>
      </c>
      <c r="B2985" s="32">
        <f t="shared" ref="B2985:B2986" si="708">+B2984+1</f>
        <v>2042</v>
      </c>
      <c r="C2985" s="33" t="s">
        <v>110</v>
      </c>
      <c r="D2985" s="34" t="s">
        <v>128</v>
      </c>
      <c r="E2985" s="35" t="str">
        <f t="shared" si="692"/>
        <v>PNP'!</v>
      </c>
      <c r="F2985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85" s="32" t="s">
        <v>123</v>
      </c>
      <c r="H2985" s="33">
        <f t="shared" si="705"/>
        <v>31</v>
      </c>
      <c r="I2985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ECP\Cantagallo\Cristalina\[CRISTALINA_CF_SEC_New_09-Feb-2024.xlsx]D-PNP'!$DT$31</v>
      </c>
      <c r="J2985" s="37" t="s">
        <v>1480</v>
      </c>
    </row>
    <row r="2986" spans="1:10" x14ac:dyDescent="0.35">
      <c r="A2986" s="32" t="s">
        <v>15</v>
      </c>
      <c r="B2986" s="32">
        <f t="shared" si="708"/>
        <v>2043</v>
      </c>
      <c r="C2986" s="33" t="s">
        <v>110</v>
      </c>
      <c r="D2986" s="34" t="s">
        <v>128</v>
      </c>
      <c r="E2986" s="35" t="str">
        <f t="shared" si="692"/>
        <v>PNP'!</v>
      </c>
      <c r="F2986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86" s="32" t="s">
        <v>123</v>
      </c>
      <c r="H2986" s="33">
        <f t="shared" si="705"/>
        <v>32</v>
      </c>
      <c r="I2986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ECP\Cantagallo\Cristalina\[CRISTALINA_CF_SEC_New_09-Feb-2024.xlsx]D-PNP'!$DT$32</v>
      </c>
      <c r="J2986" s="37" t="s">
        <v>1481</v>
      </c>
    </row>
    <row r="2987" spans="1:10" x14ac:dyDescent="0.35">
      <c r="A2987" s="32" t="s">
        <v>15</v>
      </c>
      <c r="B2987" s="32">
        <f>+B2986+1</f>
        <v>2044</v>
      </c>
      <c r="C2987" s="33" t="s">
        <v>110</v>
      </c>
      <c r="D2987" s="34" t="s">
        <v>128</v>
      </c>
      <c r="E2987" s="35" t="str">
        <f t="shared" ref="E2987:E3002" si="709">_xlfn.CONCAT(A2987,"'!")</f>
        <v>PNP'!</v>
      </c>
      <c r="F2987" s="34" t="str">
        <f t="shared" ref="F2987:F3002" si="710">_xlfn.CONCAT(D2987:E2987)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87" s="32" t="s">
        <v>123</v>
      </c>
      <c r="H2987" s="33">
        <f t="shared" ref="H2987:H3002" si="711">IF(A2987&lt;&gt;A2986,12,H2986+1)</f>
        <v>33</v>
      </c>
      <c r="I2987" s="33" t="str">
        <f t="shared" ref="I2987:I3002" si="712">_xlfn.CONCAT("='",F2987:H2987)</f>
        <v>='C:\Users\jaime.benazar\Quorum Business Solutions\Ecopetrol Prometeo - Documents\Planning Space Implementation\3. Analysis &amp; Design\Design\FC22\DRR Jaime\Por presentar a ECP\Cantagallo\Cristalina\[CRISTALINA_CF_SEC_New_09-Feb-2024.xlsx]D-PNP'!$DT$33</v>
      </c>
      <c r="J2987" s="37" t="s">
        <v>1482</v>
      </c>
    </row>
    <row r="2988" spans="1:10" x14ac:dyDescent="0.35">
      <c r="A2988" s="32" t="s">
        <v>15</v>
      </c>
      <c r="B2988" s="32">
        <f t="shared" ref="B2988:B3002" si="713">+B2987+1</f>
        <v>2045</v>
      </c>
      <c r="C2988" s="33" t="s">
        <v>110</v>
      </c>
      <c r="D2988" s="34" t="s">
        <v>128</v>
      </c>
      <c r="E2988" s="35" t="str">
        <f t="shared" si="709"/>
        <v>PNP'!</v>
      </c>
      <c r="F2988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88" s="32" t="s">
        <v>123</v>
      </c>
      <c r="H2988" s="33">
        <f t="shared" si="711"/>
        <v>34</v>
      </c>
      <c r="I2988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ECP\Cantagallo\Cristalina\[CRISTALINA_CF_SEC_New_09-Feb-2024.xlsx]D-PNP'!$DT$34</v>
      </c>
      <c r="J2988" s="37" t="s">
        <v>1483</v>
      </c>
    </row>
    <row r="2989" spans="1:10" x14ac:dyDescent="0.35">
      <c r="A2989" s="32" t="s">
        <v>15</v>
      </c>
      <c r="B2989" s="32">
        <f t="shared" si="713"/>
        <v>2046</v>
      </c>
      <c r="C2989" s="33" t="s">
        <v>110</v>
      </c>
      <c r="D2989" s="34" t="s">
        <v>128</v>
      </c>
      <c r="E2989" s="35" t="str">
        <f t="shared" si="709"/>
        <v>PNP'!</v>
      </c>
      <c r="F2989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89" s="32" t="s">
        <v>123</v>
      </c>
      <c r="H2989" s="33">
        <f t="shared" si="711"/>
        <v>35</v>
      </c>
      <c r="I2989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ECP\Cantagallo\Cristalina\[CRISTALINA_CF_SEC_New_09-Feb-2024.xlsx]D-PNP'!$DT$35</v>
      </c>
      <c r="J2989" s="37" t="s">
        <v>1484</v>
      </c>
    </row>
    <row r="2990" spans="1:10" x14ac:dyDescent="0.35">
      <c r="A2990" s="32" t="s">
        <v>15</v>
      </c>
      <c r="B2990" s="32">
        <f t="shared" si="713"/>
        <v>2047</v>
      </c>
      <c r="C2990" s="33" t="s">
        <v>110</v>
      </c>
      <c r="D2990" s="34" t="s">
        <v>128</v>
      </c>
      <c r="E2990" s="35" t="str">
        <f t="shared" si="709"/>
        <v>PNP'!</v>
      </c>
      <c r="F2990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90" s="32" t="s">
        <v>123</v>
      </c>
      <c r="H2990" s="33">
        <f t="shared" si="711"/>
        <v>36</v>
      </c>
      <c r="I2990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ECP\Cantagallo\Cristalina\[CRISTALINA_CF_SEC_New_09-Feb-2024.xlsx]D-PNP'!$DT$36</v>
      </c>
      <c r="J2990" s="37" t="s">
        <v>1485</v>
      </c>
    </row>
    <row r="2991" spans="1:10" x14ac:dyDescent="0.35">
      <c r="A2991" s="32" t="s">
        <v>15</v>
      </c>
      <c r="B2991" s="32">
        <f t="shared" si="713"/>
        <v>2048</v>
      </c>
      <c r="C2991" s="33" t="s">
        <v>110</v>
      </c>
      <c r="D2991" s="34" t="s">
        <v>128</v>
      </c>
      <c r="E2991" s="35" t="str">
        <f t="shared" si="709"/>
        <v>PNP'!</v>
      </c>
      <c r="F2991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91" s="32" t="s">
        <v>123</v>
      </c>
      <c r="H2991" s="33">
        <f t="shared" si="711"/>
        <v>37</v>
      </c>
      <c r="I2991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ECP\Cantagallo\Cristalina\[CRISTALINA_CF_SEC_New_09-Feb-2024.xlsx]D-PNP'!$DT$37</v>
      </c>
      <c r="J2991" s="37" t="s">
        <v>1486</v>
      </c>
    </row>
    <row r="2992" spans="1:10" x14ac:dyDescent="0.35">
      <c r="A2992" s="32" t="s">
        <v>15</v>
      </c>
      <c r="B2992" s="32">
        <f t="shared" si="713"/>
        <v>2049</v>
      </c>
      <c r="C2992" s="33" t="s">
        <v>110</v>
      </c>
      <c r="D2992" s="34" t="s">
        <v>128</v>
      </c>
      <c r="E2992" s="35" t="str">
        <f t="shared" si="709"/>
        <v>PNP'!</v>
      </c>
      <c r="F2992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92" s="32" t="s">
        <v>123</v>
      </c>
      <c r="H2992" s="33">
        <f t="shared" si="711"/>
        <v>38</v>
      </c>
      <c r="I2992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ECP\Cantagallo\Cristalina\[CRISTALINA_CF_SEC_New_09-Feb-2024.xlsx]D-PNP'!$DT$38</v>
      </c>
      <c r="J2992" s="37" t="s">
        <v>1487</v>
      </c>
    </row>
    <row r="2993" spans="1:10" x14ac:dyDescent="0.35">
      <c r="A2993" s="32" t="s">
        <v>15</v>
      </c>
      <c r="B2993" s="32">
        <f t="shared" si="713"/>
        <v>2050</v>
      </c>
      <c r="C2993" s="33" t="s">
        <v>110</v>
      </c>
      <c r="D2993" s="34" t="s">
        <v>128</v>
      </c>
      <c r="E2993" s="35" t="str">
        <f t="shared" si="709"/>
        <v>PNP'!</v>
      </c>
      <c r="F2993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93" s="32" t="s">
        <v>123</v>
      </c>
      <c r="H2993" s="33">
        <f t="shared" si="711"/>
        <v>39</v>
      </c>
      <c r="I2993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ECP\Cantagallo\Cristalina\[CRISTALINA_CF_SEC_New_09-Feb-2024.xlsx]D-PNP'!$DT$39</v>
      </c>
      <c r="J2993" s="37" t="s">
        <v>1488</v>
      </c>
    </row>
    <row r="2994" spans="1:10" x14ac:dyDescent="0.35">
      <c r="A2994" s="32" t="s">
        <v>15</v>
      </c>
      <c r="B2994" s="32">
        <f t="shared" si="713"/>
        <v>2051</v>
      </c>
      <c r="C2994" s="33" t="s">
        <v>110</v>
      </c>
      <c r="D2994" s="34" t="s">
        <v>128</v>
      </c>
      <c r="E2994" s="35" t="str">
        <f t="shared" si="709"/>
        <v>PNP'!</v>
      </c>
      <c r="F2994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94" s="32" t="s">
        <v>123</v>
      </c>
      <c r="H2994" s="33">
        <f t="shared" si="711"/>
        <v>40</v>
      </c>
      <c r="I2994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ECP\Cantagallo\Cristalina\[CRISTALINA_CF_SEC_New_09-Feb-2024.xlsx]D-PNP'!$DT$40</v>
      </c>
      <c r="J2994" s="37" t="s">
        <v>1489</v>
      </c>
    </row>
    <row r="2995" spans="1:10" x14ac:dyDescent="0.35">
      <c r="A2995" s="32" t="s">
        <v>15</v>
      </c>
      <c r="B2995" s="32">
        <f t="shared" si="713"/>
        <v>2052</v>
      </c>
      <c r="C2995" s="33" t="s">
        <v>110</v>
      </c>
      <c r="D2995" s="34" t="s">
        <v>128</v>
      </c>
      <c r="E2995" s="35" t="str">
        <f t="shared" si="709"/>
        <v>PNP'!</v>
      </c>
      <c r="F2995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95" s="32" t="s">
        <v>123</v>
      </c>
      <c r="H2995" s="33">
        <f t="shared" si="711"/>
        <v>41</v>
      </c>
      <c r="I2995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ECP\Cantagallo\Cristalina\[CRISTALINA_CF_SEC_New_09-Feb-2024.xlsx]D-PNP'!$DT$41</v>
      </c>
      <c r="J2995" s="37" t="s">
        <v>1490</v>
      </c>
    </row>
    <row r="2996" spans="1:10" x14ac:dyDescent="0.35">
      <c r="A2996" s="32" t="s">
        <v>15</v>
      </c>
      <c r="B2996" s="32">
        <f t="shared" si="713"/>
        <v>2053</v>
      </c>
      <c r="C2996" s="33" t="s">
        <v>110</v>
      </c>
      <c r="D2996" s="34" t="s">
        <v>128</v>
      </c>
      <c r="E2996" s="35" t="str">
        <f t="shared" si="709"/>
        <v>PNP'!</v>
      </c>
      <c r="F2996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96" s="32" t="s">
        <v>123</v>
      </c>
      <c r="H2996" s="33">
        <f t="shared" si="711"/>
        <v>42</v>
      </c>
      <c r="I2996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ECP\Cantagallo\Cristalina\[CRISTALINA_CF_SEC_New_09-Feb-2024.xlsx]D-PNP'!$DT$42</v>
      </c>
      <c r="J2996" s="37" t="s">
        <v>1491</v>
      </c>
    </row>
    <row r="2997" spans="1:10" x14ac:dyDescent="0.35">
      <c r="A2997" s="32" t="s">
        <v>15</v>
      </c>
      <c r="B2997" s="32">
        <f t="shared" si="713"/>
        <v>2054</v>
      </c>
      <c r="C2997" s="33" t="s">
        <v>110</v>
      </c>
      <c r="D2997" s="34" t="s">
        <v>128</v>
      </c>
      <c r="E2997" s="35" t="str">
        <f t="shared" si="709"/>
        <v>PNP'!</v>
      </c>
      <c r="F2997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97" s="32" t="s">
        <v>123</v>
      </c>
      <c r="H2997" s="33">
        <f t="shared" si="711"/>
        <v>43</v>
      </c>
      <c r="I2997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ECP\Cantagallo\Cristalina\[CRISTALINA_CF_SEC_New_09-Feb-2024.xlsx]D-PNP'!$DT$43</v>
      </c>
      <c r="J2997" s="37" t="s">
        <v>1492</v>
      </c>
    </row>
    <row r="2998" spans="1:10" x14ac:dyDescent="0.35">
      <c r="A2998" s="32" t="s">
        <v>15</v>
      </c>
      <c r="B2998" s="32">
        <f t="shared" si="713"/>
        <v>2055</v>
      </c>
      <c r="C2998" s="33" t="s">
        <v>110</v>
      </c>
      <c r="D2998" s="34" t="s">
        <v>128</v>
      </c>
      <c r="E2998" s="35" t="str">
        <f t="shared" si="709"/>
        <v>PNP'!</v>
      </c>
      <c r="F2998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98" s="32" t="s">
        <v>123</v>
      </c>
      <c r="H2998" s="33">
        <f t="shared" si="711"/>
        <v>44</v>
      </c>
      <c r="I2998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ECP\Cantagallo\Cristalina\[CRISTALINA_CF_SEC_New_09-Feb-2024.xlsx]D-PNP'!$DT$44</v>
      </c>
      <c r="J2998" s="37" t="s">
        <v>1493</v>
      </c>
    </row>
    <row r="2999" spans="1:10" x14ac:dyDescent="0.35">
      <c r="A2999" s="32" t="s">
        <v>15</v>
      </c>
      <c r="B2999" s="32">
        <f t="shared" si="713"/>
        <v>2056</v>
      </c>
      <c r="C2999" s="33" t="s">
        <v>110</v>
      </c>
      <c r="D2999" s="34" t="s">
        <v>128</v>
      </c>
      <c r="E2999" s="35" t="str">
        <f t="shared" si="709"/>
        <v>PNP'!</v>
      </c>
      <c r="F2999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99" s="32" t="s">
        <v>123</v>
      </c>
      <c r="H2999" s="33">
        <f t="shared" si="711"/>
        <v>45</v>
      </c>
      <c r="I2999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ECP\Cantagallo\Cristalina\[CRISTALINA_CF_SEC_New_09-Feb-2024.xlsx]D-PNP'!$DT$45</v>
      </c>
      <c r="J2999" s="37" t="s">
        <v>1494</v>
      </c>
    </row>
    <row r="3000" spans="1:10" x14ac:dyDescent="0.35">
      <c r="A3000" s="32" t="s">
        <v>15</v>
      </c>
      <c r="B3000" s="32">
        <f t="shared" si="713"/>
        <v>2057</v>
      </c>
      <c r="C3000" s="33" t="s">
        <v>110</v>
      </c>
      <c r="D3000" s="34" t="s">
        <v>128</v>
      </c>
      <c r="E3000" s="35" t="str">
        <f t="shared" si="709"/>
        <v>PNP'!</v>
      </c>
      <c r="F3000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000" s="32" t="s">
        <v>123</v>
      </c>
      <c r="H3000" s="33">
        <f t="shared" si="711"/>
        <v>46</v>
      </c>
      <c r="I3000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ECP\Cantagallo\Cristalina\[CRISTALINA_CF_SEC_New_09-Feb-2024.xlsx]D-PNP'!$DT$46</v>
      </c>
      <c r="J3000" s="37" t="s">
        <v>1495</v>
      </c>
    </row>
    <row r="3001" spans="1:10" x14ac:dyDescent="0.35">
      <c r="A3001" s="32" t="s">
        <v>15</v>
      </c>
      <c r="B3001" s="32">
        <f t="shared" si="713"/>
        <v>2058</v>
      </c>
      <c r="C3001" s="33" t="s">
        <v>110</v>
      </c>
      <c r="D3001" s="34" t="s">
        <v>128</v>
      </c>
      <c r="E3001" s="35" t="str">
        <f t="shared" si="709"/>
        <v>PNP'!</v>
      </c>
      <c r="F3001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001" s="32" t="s">
        <v>123</v>
      </c>
      <c r="H3001" s="33">
        <f t="shared" si="711"/>
        <v>47</v>
      </c>
      <c r="I3001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ECP\Cantagallo\Cristalina\[CRISTALINA_CF_SEC_New_09-Feb-2024.xlsx]D-PNP'!$DT$47</v>
      </c>
      <c r="J3001" s="37" t="s">
        <v>1496</v>
      </c>
    </row>
    <row r="3002" spans="1:10" x14ac:dyDescent="0.35">
      <c r="A3002" s="32" t="s">
        <v>15</v>
      </c>
      <c r="B3002" s="32">
        <f t="shared" si="713"/>
        <v>2059</v>
      </c>
      <c r="C3002" s="33" t="s">
        <v>110</v>
      </c>
      <c r="D3002" s="34" t="s">
        <v>128</v>
      </c>
      <c r="E3002" s="35" t="str">
        <f t="shared" si="709"/>
        <v>PNP'!</v>
      </c>
      <c r="F3002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002" s="32" t="s">
        <v>123</v>
      </c>
      <c r="H3002" s="33">
        <f t="shared" si="711"/>
        <v>48</v>
      </c>
      <c r="I3002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ECP\Cantagallo\Cristalina\[CRISTALINA_CF_SEC_New_09-Feb-2024.xlsx]D-PNP'!$DT$48</v>
      </c>
      <c r="J3002" s="37" t="s">
        <v>1497</v>
      </c>
    </row>
    <row r="3003" spans="1:10" x14ac:dyDescent="0.35">
      <c r="A3003" s="32" t="s">
        <v>26</v>
      </c>
      <c r="B3003" s="32"/>
      <c r="C3003" s="33" t="s">
        <v>110</v>
      </c>
      <c r="D3003" s="34"/>
      <c r="E3003" s="35"/>
      <c r="F3003" s="34"/>
      <c r="G3003" s="32"/>
      <c r="H3003" s="33"/>
      <c r="I3003" s="33"/>
      <c r="J3003" s="33"/>
    </row>
    <row r="3004" spans="1:10" x14ac:dyDescent="0.35">
      <c r="A3004" s="32" t="s">
        <v>16</v>
      </c>
      <c r="B3004" s="32">
        <v>2023</v>
      </c>
      <c r="C3004" s="33" t="s">
        <v>110</v>
      </c>
      <c r="D3004" s="34" t="s">
        <v>128</v>
      </c>
      <c r="E3004" s="35" t="str">
        <f t="shared" si="692"/>
        <v>PND'!</v>
      </c>
      <c r="F3004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04" s="32" t="s">
        <v>123</v>
      </c>
      <c r="H3004" s="33">
        <v>12</v>
      </c>
      <c r="I3004" s="33" t="str">
        <f t="shared" ref="I3004:I3024" si="714">_xlfn.CONCAT("='",F3004:H3004)</f>
        <v>='C:\Users\jaime.benazar\Quorum Business Solutions\Ecopetrol Prometeo - Documents\Planning Space Implementation\3. Analysis &amp; Design\Design\FC22\DRR Jaime\Por presentar a ECP\Cantagallo\Cristalina\[CRISTALINA_CF_SEC_New_09-Feb-2024.xlsx]D-PND'!$DT$12</v>
      </c>
      <c r="J3004" s="37" t="s">
        <v>1498</v>
      </c>
    </row>
    <row r="3005" spans="1:10" x14ac:dyDescent="0.35">
      <c r="A3005" s="32" t="s">
        <v>16</v>
      </c>
      <c r="B3005" s="32">
        <f>+B3004+1</f>
        <v>2024</v>
      </c>
      <c r="C3005" s="33" t="s">
        <v>110</v>
      </c>
      <c r="D3005" s="34" t="s">
        <v>128</v>
      </c>
      <c r="E3005" s="35" t="str">
        <f t="shared" si="692"/>
        <v>PND'!</v>
      </c>
      <c r="F3005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05" s="32" t="s">
        <v>123</v>
      </c>
      <c r="H3005" s="33">
        <f t="shared" ref="H3005:H3024" si="715">IF(A3005&lt;&gt;A3004,12,H3004+1)</f>
        <v>13</v>
      </c>
      <c r="I3005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ECP\Cantagallo\Cristalina\[CRISTALINA_CF_SEC_New_09-Feb-2024.xlsx]D-PND'!$DT$13</v>
      </c>
      <c r="J3005" s="37" t="s">
        <v>1499</v>
      </c>
    </row>
    <row r="3006" spans="1:10" x14ac:dyDescent="0.35">
      <c r="A3006" s="32" t="s">
        <v>16</v>
      </c>
      <c r="B3006" s="32">
        <f t="shared" ref="B3006:B3017" si="716">+B3005+1</f>
        <v>2025</v>
      </c>
      <c r="C3006" s="33" t="s">
        <v>110</v>
      </c>
      <c r="D3006" s="34" t="s">
        <v>128</v>
      </c>
      <c r="E3006" s="35" t="str">
        <f t="shared" si="692"/>
        <v>PND'!</v>
      </c>
      <c r="F3006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06" s="32" t="s">
        <v>123</v>
      </c>
      <c r="H3006" s="33">
        <f t="shared" si="715"/>
        <v>14</v>
      </c>
      <c r="I3006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ECP\Cantagallo\Cristalina\[CRISTALINA_CF_SEC_New_09-Feb-2024.xlsx]D-PND'!$DT$14</v>
      </c>
      <c r="J3006" s="37" t="s">
        <v>1500</v>
      </c>
    </row>
    <row r="3007" spans="1:10" x14ac:dyDescent="0.35">
      <c r="A3007" s="32" t="s">
        <v>16</v>
      </c>
      <c r="B3007" s="32">
        <f t="shared" si="716"/>
        <v>2026</v>
      </c>
      <c r="C3007" s="33" t="s">
        <v>110</v>
      </c>
      <c r="D3007" s="34" t="s">
        <v>128</v>
      </c>
      <c r="E3007" s="35" t="str">
        <f t="shared" si="692"/>
        <v>PND'!</v>
      </c>
      <c r="F3007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07" s="32" t="s">
        <v>123</v>
      </c>
      <c r="H3007" s="33">
        <f t="shared" si="715"/>
        <v>15</v>
      </c>
      <c r="I3007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ECP\Cantagallo\Cristalina\[CRISTALINA_CF_SEC_New_09-Feb-2024.xlsx]D-PND'!$DT$15</v>
      </c>
      <c r="J3007" s="37" t="s">
        <v>1501</v>
      </c>
    </row>
    <row r="3008" spans="1:10" x14ac:dyDescent="0.35">
      <c r="A3008" s="32" t="s">
        <v>16</v>
      </c>
      <c r="B3008" s="32">
        <f t="shared" si="716"/>
        <v>2027</v>
      </c>
      <c r="C3008" s="33" t="s">
        <v>110</v>
      </c>
      <c r="D3008" s="34" t="s">
        <v>128</v>
      </c>
      <c r="E3008" s="35" t="str">
        <f t="shared" si="692"/>
        <v>PND'!</v>
      </c>
      <c r="F3008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08" s="32" t="s">
        <v>123</v>
      </c>
      <c r="H3008" s="33">
        <f t="shared" si="715"/>
        <v>16</v>
      </c>
      <c r="I3008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ECP\Cantagallo\Cristalina\[CRISTALINA_CF_SEC_New_09-Feb-2024.xlsx]D-PND'!$DT$16</v>
      </c>
      <c r="J3008" s="37" t="s">
        <v>1502</v>
      </c>
    </row>
    <row r="3009" spans="1:10" x14ac:dyDescent="0.35">
      <c r="A3009" s="32" t="s">
        <v>16</v>
      </c>
      <c r="B3009" s="32">
        <f t="shared" si="716"/>
        <v>2028</v>
      </c>
      <c r="C3009" s="33" t="s">
        <v>110</v>
      </c>
      <c r="D3009" s="34" t="s">
        <v>128</v>
      </c>
      <c r="E3009" s="35" t="str">
        <f t="shared" si="692"/>
        <v>PND'!</v>
      </c>
      <c r="F3009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09" s="32" t="s">
        <v>123</v>
      </c>
      <c r="H3009" s="33">
        <f t="shared" si="715"/>
        <v>17</v>
      </c>
      <c r="I3009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ECP\Cantagallo\Cristalina\[CRISTALINA_CF_SEC_New_09-Feb-2024.xlsx]D-PND'!$DT$17</v>
      </c>
      <c r="J3009" s="37" t="s">
        <v>1503</v>
      </c>
    </row>
    <row r="3010" spans="1:10" x14ac:dyDescent="0.35">
      <c r="A3010" s="32" t="s">
        <v>16</v>
      </c>
      <c r="B3010" s="32">
        <f t="shared" si="716"/>
        <v>2029</v>
      </c>
      <c r="C3010" s="33" t="s">
        <v>110</v>
      </c>
      <c r="D3010" s="34" t="s">
        <v>128</v>
      </c>
      <c r="E3010" s="35" t="str">
        <f t="shared" si="692"/>
        <v>PND'!</v>
      </c>
      <c r="F3010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10" s="32" t="s">
        <v>123</v>
      </c>
      <c r="H3010" s="33">
        <f t="shared" si="715"/>
        <v>18</v>
      </c>
      <c r="I3010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ECP\Cantagallo\Cristalina\[CRISTALINA_CF_SEC_New_09-Feb-2024.xlsx]D-PND'!$DT$18</v>
      </c>
      <c r="J3010" s="37" t="s">
        <v>1504</v>
      </c>
    </row>
    <row r="3011" spans="1:10" x14ac:dyDescent="0.35">
      <c r="A3011" s="32" t="s">
        <v>16</v>
      </c>
      <c r="B3011" s="32">
        <f t="shared" si="716"/>
        <v>2030</v>
      </c>
      <c r="C3011" s="33" t="s">
        <v>110</v>
      </c>
      <c r="D3011" s="34" t="s">
        <v>128</v>
      </c>
      <c r="E3011" s="35" t="str">
        <f t="shared" si="692"/>
        <v>PND'!</v>
      </c>
      <c r="F3011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11" s="32" t="s">
        <v>123</v>
      </c>
      <c r="H3011" s="33">
        <f t="shared" si="715"/>
        <v>19</v>
      </c>
      <c r="I3011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ECP\Cantagallo\Cristalina\[CRISTALINA_CF_SEC_New_09-Feb-2024.xlsx]D-PND'!$DT$19</v>
      </c>
      <c r="J3011" s="37" t="s">
        <v>1505</v>
      </c>
    </row>
    <row r="3012" spans="1:10" x14ac:dyDescent="0.35">
      <c r="A3012" s="32" t="s">
        <v>16</v>
      </c>
      <c r="B3012" s="32">
        <f t="shared" si="716"/>
        <v>2031</v>
      </c>
      <c r="C3012" s="33" t="s">
        <v>110</v>
      </c>
      <c r="D3012" s="34" t="s">
        <v>128</v>
      </c>
      <c r="E3012" s="35" t="str">
        <f t="shared" si="692"/>
        <v>PND'!</v>
      </c>
      <c r="F3012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12" s="32" t="s">
        <v>123</v>
      </c>
      <c r="H3012" s="33">
        <f t="shared" si="715"/>
        <v>20</v>
      </c>
      <c r="I3012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ECP\Cantagallo\Cristalina\[CRISTALINA_CF_SEC_New_09-Feb-2024.xlsx]D-PND'!$DT$20</v>
      </c>
      <c r="J3012" s="37" t="s">
        <v>1506</v>
      </c>
    </row>
    <row r="3013" spans="1:10" x14ac:dyDescent="0.35">
      <c r="A3013" s="32" t="s">
        <v>16</v>
      </c>
      <c r="B3013" s="32">
        <f t="shared" si="716"/>
        <v>2032</v>
      </c>
      <c r="C3013" s="33" t="s">
        <v>110</v>
      </c>
      <c r="D3013" s="34" t="s">
        <v>128</v>
      </c>
      <c r="E3013" s="35" t="str">
        <f t="shared" si="692"/>
        <v>PND'!</v>
      </c>
      <c r="F3013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13" s="32" t="s">
        <v>123</v>
      </c>
      <c r="H3013" s="33">
        <f t="shared" si="715"/>
        <v>21</v>
      </c>
      <c r="I3013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ECP\Cantagallo\Cristalina\[CRISTALINA_CF_SEC_New_09-Feb-2024.xlsx]D-PND'!$DT$21</v>
      </c>
      <c r="J3013" s="37" t="s">
        <v>1507</v>
      </c>
    </row>
    <row r="3014" spans="1:10" x14ac:dyDescent="0.35">
      <c r="A3014" s="32" t="s">
        <v>16</v>
      </c>
      <c r="B3014" s="32">
        <f t="shared" si="716"/>
        <v>2033</v>
      </c>
      <c r="C3014" s="33" t="s">
        <v>110</v>
      </c>
      <c r="D3014" s="34" t="s">
        <v>128</v>
      </c>
      <c r="E3014" s="35" t="str">
        <f t="shared" si="692"/>
        <v>PND'!</v>
      </c>
      <c r="F3014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14" s="32" t="s">
        <v>123</v>
      </c>
      <c r="H3014" s="33">
        <f t="shared" si="715"/>
        <v>22</v>
      </c>
      <c r="I3014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ECP\Cantagallo\Cristalina\[CRISTALINA_CF_SEC_New_09-Feb-2024.xlsx]D-PND'!$DT$22</v>
      </c>
      <c r="J3014" s="37" t="s">
        <v>1508</v>
      </c>
    </row>
    <row r="3015" spans="1:10" x14ac:dyDescent="0.35">
      <c r="A3015" s="32" t="s">
        <v>16</v>
      </c>
      <c r="B3015" s="32">
        <f t="shared" si="716"/>
        <v>2034</v>
      </c>
      <c r="C3015" s="33" t="s">
        <v>110</v>
      </c>
      <c r="D3015" s="34" t="s">
        <v>128</v>
      </c>
      <c r="E3015" s="35" t="str">
        <f t="shared" si="692"/>
        <v>PND'!</v>
      </c>
      <c r="F3015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15" s="32" t="s">
        <v>123</v>
      </c>
      <c r="H3015" s="33">
        <f t="shared" si="715"/>
        <v>23</v>
      </c>
      <c r="I3015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ECP\Cantagallo\Cristalina\[CRISTALINA_CF_SEC_New_09-Feb-2024.xlsx]D-PND'!$DT$23</v>
      </c>
      <c r="J3015" s="37" t="s">
        <v>1509</v>
      </c>
    </row>
    <row r="3016" spans="1:10" x14ac:dyDescent="0.35">
      <c r="A3016" s="32" t="s">
        <v>16</v>
      </c>
      <c r="B3016" s="32">
        <f t="shared" si="716"/>
        <v>2035</v>
      </c>
      <c r="C3016" s="33" t="s">
        <v>110</v>
      </c>
      <c r="D3016" s="34" t="s">
        <v>128</v>
      </c>
      <c r="E3016" s="35" t="str">
        <f t="shared" si="692"/>
        <v>PND'!</v>
      </c>
      <c r="F3016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16" s="32" t="s">
        <v>123</v>
      </c>
      <c r="H3016" s="33">
        <f t="shared" si="715"/>
        <v>24</v>
      </c>
      <c r="I3016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ECP\Cantagallo\Cristalina\[CRISTALINA_CF_SEC_New_09-Feb-2024.xlsx]D-PND'!$DT$24</v>
      </c>
      <c r="J3016" s="37" t="s">
        <v>1510</v>
      </c>
    </row>
    <row r="3017" spans="1:10" x14ac:dyDescent="0.35">
      <c r="A3017" s="32" t="s">
        <v>16</v>
      </c>
      <c r="B3017" s="32">
        <f t="shared" si="716"/>
        <v>2036</v>
      </c>
      <c r="C3017" s="33" t="s">
        <v>110</v>
      </c>
      <c r="D3017" s="34" t="s">
        <v>128</v>
      </c>
      <c r="E3017" s="35" t="str">
        <f t="shared" si="692"/>
        <v>PND'!</v>
      </c>
      <c r="F3017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17" s="32" t="s">
        <v>123</v>
      </c>
      <c r="H3017" s="33">
        <f t="shared" si="715"/>
        <v>25</v>
      </c>
      <c r="I3017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ECP\Cantagallo\Cristalina\[CRISTALINA_CF_SEC_New_09-Feb-2024.xlsx]D-PND'!$DT$25</v>
      </c>
      <c r="J3017" s="37" t="s">
        <v>1511</v>
      </c>
    </row>
    <row r="3018" spans="1:10" x14ac:dyDescent="0.35">
      <c r="A3018" s="32" t="s">
        <v>16</v>
      </c>
      <c r="B3018" s="32">
        <f>+B3017+1</f>
        <v>2037</v>
      </c>
      <c r="C3018" s="33" t="s">
        <v>110</v>
      </c>
      <c r="D3018" s="34" t="s">
        <v>128</v>
      </c>
      <c r="E3018" s="35" t="str">
        <f t="shared" si="692"/>
        <v>PND'!</v>
      </c>
      <c r="F3018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18" s="32" t="s">
        <v>123</v>
      </c>
      <c r="H3018" s="33">
        <f t="shared" si="715"/>
        <v>26</v>
      </c>
      <c r="I3018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ECP\Cantagallo\Cristalina\[CRISTALINA_CF_SEC_New_09-Feb-2024.xlsx]D-PND'!$DT$26</v>
      </c>
      <c r="J3018" s="37" t="s">
        <v>1512</v>
      </c>
    </row>
    <row r="3019" spans="1:10" x14ac:dyDescent="0.35">
      <c r="A3019" s="32" t="s">
        <v>16</v>
      </c>
      <c r="B3019" s="32">
        <f t="shared" ref="B3019:B3021" si="717">+B3018+1</f>
        <v>2038</v>
      </c>
      <c r="C3019" s="33" t="s">
        <v>110</v>
      </c>
      <c r="D3019" s="34" t="s">
        <v>128</v>
      </c>
      <c r="E3019" s="35" t="str">
        <f t="shared" si="692"/>
        <v>PND'!</v>
      </c>
      <c r="F3019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19" s="32" t="s">
        <v>123</v>
      </c>
      <c r="H3019" s="33">
        <f t="shared" si="715"/>
        <v>27</v>
      </c>
      <c r="I3019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ECP\Cantagallo\Cristalina\[CRISTALINA_CF_SEC_New_09-Feb-2024.xlsx]D-PND'!$DT$27</v>
      </c>
      <c r="J3019" s="37" t="s">
        <v>1513</v>
      </c>
    </row>
    <row r="3020" spans="1:10" x14ac:dyDescent="0.35">
      <c r="A3020" s="32" t="s">
        <v>16</v>
      </c>
      <c r="B3020" s="32">
        <f t="shared" si="717"/>
        <v>2039</v>
      </c>
      <c r="C3020" s="33" t="s">
        <v>110</v>
      </c>
      <c r="D3020" s="34" t="s">
        <v>128</v>
      </c>
      <c r="E3020" s="35" t="str">
        <f t="shared" si="692"/>
        <v>PND'!</v>
      </c>
      <c r="F3020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20" s="32" t="s">
        <v>123</v>
      </c>
      <c r="H3020" s="33">
        <f t="shared" si="715"/>
        <v>28</v>
      </c>
      <c r="I3020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ECP\Cantagallo\Cristalina\[CRISTALINA_CF_SEC_New_09-Feb-2024.xlsx]D-PND'!$DT$28</v>
      </c>
      <c r="J3020" s="37" t="s">
        <v>1514</v>
      </c>
    </row>
    <row r="3021" spans="1:10" x14ac:dyDescent="0.35">
      <c r="A3021" s="32" t="s">
        <v>16</v>
      </c>
      <c r="B3021" s="32">
        <f t="shared" si="717"/>
        <v>2040</v>
      </c>
      <c r="C3021" s="33" t="s">
        <v>110</v>
      </c>
      <c r="D3021" s="34" t="s">
        <v>128</v>
      </c>
      <c r="E3021" s="35" t="str">
        <f t="shared" si="692"/>
        <v>PND'!</v>
      </c>
      <c r="F3021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21" s="32" t="s">
        <v>123</v>
      </c>
      <c r="H3021" s="33">
        <f t="shared" si="715"/>
        <v>29</v>
      </c>
      <c r="I3021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ECP\Cantagallo\Cristalina\[CRISTALINA_CF_SEC_New_09-Feb-2024.xlsx]D-PND'!$DT$29</v>
      </c>
      <c r="J3021" s="37" t="s">
        <v>1515</v>
      </c>
    </row>
    <row r="3022" spans="1:10" x14ac:dyDescent="0.35">
      <c r="A3022" s="32" t="s">
        <v>16</v>
      </c>
      <c r="B3022" s="32">
        <f>+B3021+1</f>
        <v>2041</v>
      </c>
      <c r="C3022" s="33" t="s">
        <v>110</v>
      </c>
      <c r="D3022" s="34" t="s">
        <v>128</v>
      </c>
      <c r="E3022" s="35" t="str">
        <f t="shared" si="692"/>
        <v>PND'!</v>
      </c>
      <c r="F3022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22" s="32" t="s">
        <v>123</v>
      </c>
      <c r="H3022" s="33">
        <f t="shared" si="715"/>
        <v>30</v>
      </c>
      <c r="I3022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ECP\Cantagallo\Cristalina\[CRISTALINA_CF_SEC_New_09-Feb-2024.xlsx]D-PND'!$DT$30</v>
      </c>
      <c r="J3022" s="37" t="s">
        <v>1516</v>
      </c>
    </row>
    <row r="3023" spans="1:10" x14ac:dyDescent="0.35">
      <c r="A3023" s="32" t="s">
        <v>16</v>
      </c>
      <c r="B3023" s="32">
        <f t="shared" ref="B3023:B3024" si="718">+B3022+1</f>
        <v>2042</v>
      </c>
      <c r="C3023" s="33" t="s">
        <v>110</v>
      </c>
      <c r="D3023" s="34" t="s">
        <v>128</v>
      </c>
      <c r="E3023" s="35" t="str">
        <f t="shared" ref="E3023:E3345" si="719">_xlfn.CONCAT(A3023,"'!")</f>
        <v>PND'!</v>
      </c>
      <c r="F3023" s="34" t="str">
        <f t="shared" ref="F3023:F3328" si="720">_xlfn.CONCAT(D3023:E3023)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23" s="32" t="s">
        <v>123</v>
      </c>
      <c r="H3023" s="33">
        <f t="shared" si="715"/>
        <v>31</v>
      </c>
      <c r="I3023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ECP\Cantagallo\Cristalina\[CRISTALINA_CF_SEC_New_09-Feb-2024.xlsx]D-PND'!$DT$31</v>
      </c>
      <c r="J3023" s="37" t="s">
        <v>1517</v>
      </c>
    </row>
    <row r="3024" spans="1:10" x14ac:dyDescent="0.35">
      <c r="A3024" s="32" t="s">
        <v>16</v>
      </c>
      <c r="B3024" s="32">
        <f t="shared" si="718"/>
        <v>2043</v>
      </c>
      <c r="C3024" s="33" t="s">
        <v>110</v>
      </c>
      <c r="D3024" s="34" t="s">
        <v>128</v>
      </c>
      <c r="E3024" s="35" t="str">
        <f t="shared" si="719"/>
        <v>PND'!</v>
      </c>
      <c r="F3024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24" s="32" t="s">
        <v>123</v>
      </c>
      <c r="H3024" s="33">
        <f t="shared" si="715"/>
        <v>32</v>
      </c>
      <c r="I3024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ECP\Cantagallo\Cristalina\[CRISTALINA_CF_SEC_New_09-Feb-2024.xlsx]D-PND'!$DT$32</v>
      </c>
      <c r="J3024" s="37" t="s">
        <v>1518</v>
      </c>
    </row>
    <row r="3025" spans="1:10" x14ac:dyDescent="0.35">
      <c r="A3025" s="32" t="s">
        <v>16</v>
      </c>
      <c r="B3025" s="32">
        <f>+B3024+1</f>
        <v>2044</v>
      </c>
      <c r="C3025" s="33" t="s">
        <v>110</v>
      </c>
      <c r="D3025" s="34" t="s">
        <v>128</v>
      </c>
      <c r="E3025" s="35" t="str">
        <f t="shared" ref="E3025:E3040" si="721">_xlfn.CONCAT(A3025,"'!")</f>
        <v>PND'!</v>
      </c>
      <c r="F3025" s="34" t="str">
        <f t="shared" ref="F3025:F3040" si="722">_xlfn.CONCAT(D3025:E3025)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25" s="32" t="s">
        <v>123</v>
      </c>
      <c r="H3025" s="33">
        <f t="shared" ref="H3025:H3040" si="723">IF(A3025&lt;&gt;A3024,12,H3024+1)</f>
        <v>33</v>
      </c>
      <c r="I3025" s="33" t="str">
        <f t="shared" ref="I3025:I3040" si="724">_xlfn.CONCAT("='",F3025:H3025)</f>
        <v>='C:\Users\jaime.benazar\Quorum Business Solutions\Ecopetrol Prometeo - Documents\Planning Space Implementation\3. Analysis &amp; Design\Design\FC22\DRR Jaime\Por presentar a ECP\Cantagallo\Cristalina\[CRISTALINA_CF_SEC_New_09-Feb-2024.xlsx]D-PND'!$DT$33</v>
      </c>
      <c r="J3025" s="37" t="s">
        <v>1519</v>
      </c>
    </row>
    <row r="3026" spans="1:10" x14ac:dyDescent="0.35">
      <c r="A3026" s="32" t="s">
        <v>16</v>
      </c>
      <c r="B3026" s="32">
        <f t="shared" ref="B3026:B3040" si="725">+B3025+1</f>
        <v>2045</v>
      </c>
      <c r="C3026" s="33" t="s">
        <v>110</v>
      </c>
      <c r="D3026" s="34" t="s">
        <v>128</v>
      </c>
      <c r="E3026" s="35" t="str">
        <f t="shared" si="721"/>
        <v>PND'!</v>
      </c>
      <c r="F3026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26" s="32" t="s">
        <v>123</v>
      </c>
      <c r="H3026" s="33">
        <f t="shared" si="723"/>
        <v>34</v>
      </c>
      <c r="I3026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ECP\Cantagallo\Cristalina\[CRISTALINA_CF_SEC_New_09-Feb-2024.xlsx]D-PND'!$DT$34</v>
      </c>
      <c r="J3026" s="37" t="s">
        <v>1520</v>
      </c>
    </row>
    <row r="3027" spans="1:10" x14ac:dyDescent="0.35">
      <c r="A3027" s="32" t="s">
        <v>16</v>
      </c>
      <c r="B3027" s="32">
        <f t="shared" si="725"/>
        <v>2046</v>
      </c>
      <c r="C3027" s="33" t="s">
        <v>110</v>
      </c>
      <c r="D3027" s="34" t="s">
        <v>128</v>
      </c>
      <c r="E3027" s="35" t="str">
        <f t="shared" si="721"/>
        <v>PND'!</v>
      </c>
      <c r="F3027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27" s="32" t="s">
        <v>123</v>
      </c>
      <c r="H3027" s="33">
        <f t="shared" si="723"/>
        <v>35</v>
      </c>
      <c r="I3027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ECP\Cantagallo\Cristalina\[CRISTALINA_CF_SEC_New_09-Feb-2024.xlsx]D-PND'!$DT$35</v>
      </c>
      <c r="J3027" s="37" t="s">
        <v>1521</v>
      </c>
    </row>
    <row r="3028" spans="1:10" x14ac:dyDescent="0.35">
      <c r="A3028" s="32" t="s">
        <v>16</v>
      </c>
      <c r="B3028" s="32">
        <f t="shared" si="725"/>
        <v>2047</v>
      </c>
      <c r="C3028" s="33" t="s">
        <v>110</v>
      </c>
      <c r="D3028" s="34" t="s">
        <v>128</v>
      </c>
      <c r="E3028" s="35" t="str">
        <f t="shared" si="721"/>
        <v>PND'!</v>
      </c>
      <c r="F3028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28" s="32" t="s">
        <v>123</v>
      </c>
      <c r="H3028" s="33">
        <f t="shared" si="723"/>
        <v>36</v>
      </c>
      <c r="I3028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ECP\Cantagallo\Cristalina\[CRISTALINA_CF_SEC_New_09-Feb-2024.xlsx]D-PND'!$DT$36</v>
      </c>
      <c r="J3028" s="37" t="s">
        <v>1522</v>
      </c>
    </row>
    <row r="3029" spans="1:10" x14ac:dyDescent="0.35">
      <c r="A3029" s="32" t="s">
        <v>16</v>
      </c>
      <c r="B3029" s="32">
        <f t="shared" si="725"/>
        <v>2048</v>
      </c>
      <c r="C3029" s="33" t="s">
        <v>110</v>
      </c>
      <c r="D3029" s="34" t="s">
        <v>128</v>
      </c>
      <c r="E3029" s="35" t="str">
        <f t="shared" si="721"/>
        <v>PND'!</v>
      </c>
      <c r="F3029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29" s="32" t="s">
        <v>123</v>
      </c>
      <c r="H3029" s="33">
        <f t="shared" si="723"/>
        <v>37</v>
      </c>
      <c r="I3029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ECP\Cantagallo\Cristalina\[CRISTALINA_CF_SEC_New_09-Feb-2024.xlsx]D-PND'!$DT$37</v>
      </c>
      <c r="J3029" s="37" t="s">
        <v>1523</v>
      </c>
    </row>
    <row r="3030" spans="1:10" x14ac:dyDescent="0.35">
      <c r="A3030" s="32" t="s">
        <v>16</v>
      </c>
      <c r="B3030" s="32">
        <f t="shared" si="725"/>
        <v>2049</v>
      </c>
      <c r="C3030" s="33" t="s">
        <v>110</v>
      </c>
      <c r="D3030" s="34" t="s">
        <v>128</v>
      </c>
      <c r="E3030" s="35" t="str">
        <f t="shared" si="721"/>
        <v>PND'!</v>
      </c>
      <c r="F3030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30" s="32" t="s">
        <v>123</v>
      </c>
      <c r="H3030" s="33">
        <f t="shared" si="723"/>
        <v>38</v>
      </c>
      <c r="I3030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ECP\Cantagallo\Cristalina\[CRISTALINA_CF_SEC_New_09-Feb-2024.xlsx]D-PND'!$DT$38</v>
      </c>
      <c r="J3030" s="37" t="s">
        <v>1524</v>
      </c>
    </row>
    <row r="3031" spans="1:10" x14ac:dyDescent="0.35">
      <c r="A3031" s="32" t="s">
        <v>16</v>
      </c>
      <c r="B3031" s="32">
        <f t="shared" si="725"/>
        <v>2050</v>
      </c>
      <c r="C3031" s="33" t="s">
        <v>110</v>
      </c>
      <c r="D3031" s="34" t="s">
        <v>128</v>
      </c>
      <c r="E3031" s="35" t="str">
        <f t="shared" si="721"/>
        <v>PND'!</v>
      </c>
      <c r="F3031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31" s="32" t="s">
        <v>123</v>
      </c>
      <c r="H3031" s="33">
        <f t="shared" si="723"/>
        <v>39</v>
      </c>
      <c r="I3031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ECP\Cantagallo\Cristalina\[CRISTALINA_CF_SEC_New_09-Feb-2024.xlsx]D-PND'!$DT$39</v>
      </c>
      <c r="J3031" s="37" t="s">
        <v>1525</v>
      </c>
    </row>
    <row r="3032" spans="1:10" x14ac:dyDescent="0.35">
      <c r="A3032" s="32" t="s">
        <v>16</v>
      </c>
      <c r="B3032" s="32">
        <f t="shared" si="725"/>
        <v>2051</v>
      </c>
      <c r="C3032" s="33" t="s">
        <v>110</v>
      </c>
      <c r="D3032" s="34" t="s">
        <v>128</v>
      </c>
      <c r="E3032" s="35" t="str">
        <f t="shared" si="721"/>
        <v>PND'!</v>
      </c>
      <c r="F3032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32" s="32" t="s">
        <v>123</v>
      </c>
      <c r="H3032" s="33">
        <f t="shared" si="723"/>
        <v>40</v>
      </c>
      <c r="I3032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ECP\Cantagallo\Cristalina\[CRISTALINA_CF_SEC_New_09-Feb-2024.xlsx]D-PND'!$DT$40</v>
      </c>
      <c r="J3032" s="37" t="s">
        <v>1526</v>
      </c>
    </row>
    <row r="3033" spans="1:10" x14ac:dyDescent="0.35">
      <c r="A3033" s="32" t="s">
        <v>16</v>
      </c>
      <c r="B3033" s="32">
        <f t="shared" si="725"/>
        <v>2052</v>
      </c>
      <c r="C3033" s="33" t="s">
        <v>110</v>
      </c>
      <c r="D3033" s="34" t="s">
        <v>128</v>
      </c>
      <c r="E3033" s="35" t="str">
        <f t="shared" si="721"/>
        <v>PND'!</v>
      </c>
      <c r="F3033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33" s="32" t="s">
        <v>123</v>
      </c>
      <c r="H3033" s="33">
        <f t="shared" si="723"/>
        <v>41</v>
      </c>
      <c r="I3033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ECP\Cantagallo\Cristalina\[CRISTALINA_CF_SEC_New_09-Feb-2024.xlsx]D-PND'!$DT$41</v>
      </c>
      <c r="J3033" s="37" t="s">
        <v>1527</v>
      </c>
    </row>
    <row r="3034" spans="1:10" x14ac:dyDescent="0.35">
      <c r="A3034" s="32" t="s">
        <v>16</v>
      </c>
      <c r="B3034" s="32">
        <f t="shared" si="725"/>
        <v>2053</v>
      </c>
      <c r="C3034" s="33" t="s">
        <v>110</v>
      </c>
      <c r="D3034" s="34" t="s">
        <v>128</v>
      </c>
      <c r="E3034" s="35" t="str">
        <f t="shared" si="721"/>
        <v>PND'!</v>
      </c>
      <c r="F3034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34" s="32" t="s">
        <v>123</v>
      </c>
      <c r="H3034" s="33">
        <f t="shared" si="723"/>
        <v>42</v>
      </c>
      <c r="I3034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ECP\Cantagallo\Cristalina\[CRISTALINA_CF_SEC_New_09-Feb-2024.xlsx]D-PND'!$DT$42</v>
      </c>
      <c r="J3034" s="37" t="s">
        <v>1528</v>
      </c>
    </row>
    <row r="3035" spans="1:10" x14ac:dyDescent="0.35">
      <c r="A3035" s="32" t="s">
        <v>16</v>
      </c>
      <c r="B3035" s="32">
        <f t="shared" si="725"/>
        <v>2054</v>
      </c>
      <c r="C3035" s="33" t="s">
        <v>110</v>
      </c>
      <c r="D3035" s="34" t="s">
        <v>128</v>
      </c>
      <c r="E3035" s="35" t="str">
        <f t="shared" si="721"/>
        <v>PND'!</v>
      </c>
      <c r="F3035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35" s="32" t="s">
        <v>123</v>
      </c>
      <c r="H3035" s="33">
        <f t="shared" si="723"/>
        <v>43</v>
      </c>
      <c r="I3035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ECP\Cantagallo\Cristalina\[CRISTALINA_CF_SEC_New_09-Feb-2024.xlsx]D-PND'!$DT$43</v>
      </c>
      <c r="J3035" s="37" t="s">
        <v>1529</v>
      </c>
    </row>
    <row r="3036" spans="1:10" x14ac:dyDescent="0.35">
      <c r="A3036" s="32" t="s">
        <v>16</v>
      </c>
      <c r="B3036" s="32">
        <f t="shared" si="725"/>
        <v>2055</v>
      </c>
      <c r="C3036" s="33" t="s">
        <v>110</v>
      </c>
      <c r="D3036" s="34" t="s">
        <v>128</v>
      </c>
      <c r="E3036" s="35" t="str">
        <f t="shared" si="721"/>
        <v>PND'!</v>
      </c>
      <c r="F3036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36" s="32" t="s">
        <v>123</v>
      </c>
      <c r="H3036" s="33">
        <f t="shared" si="723"/>
        <v>44</v>
      </c>
      <c r="I3036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ECP\Cantagallo\Cristalina\[CRISTALINA_CF_SEC_New_09-Feb-2024.xlsx]D-PND'!$DT$44</v>
      </c>
      <c r="J3036" s="37" t="s">
        <v>1530</v>
      </c>
    </row>
    <row r="3037" spans="1:10" x14ac:dyDescent="0.35">
      <c r="A3037" s="32" t="s">
        <v>16</v>
      </c>
      <c r="B3037" s="32">
        <f t="shared" si="725"/>
        <v>2056</v>
      </c>
      <c r="C3037" s="33" t="s">
        <v>110</v>
      </c>
      <c r="D3037" s="34" t="s">
        <v>128</v>
      </c>
      <c r="E3037" s="35" t="str">
        <f t="shared" si="721"/>
        <v>PND'!</v>
      </c>
      <c r="F3037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37" s="32" t="s">
        <v>123</v>
      </c>
      <c r="H3037" s="33">
        <f t="shared" si="723"/>
        <v>45</v>
      </c>
      <c r="I3037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ECP\Cantagallo\Cristalina\[CRISTALINA_CF_SEC_New_09-Feb-2024.xlsx]D-PND'!$DT$45</v>
      </c>
      <c r="J3037" s="37" t="s">
        <v>1531</v>
      </c>
    </row>
    <row r="3038" spans="1:10" x14ac:dyDescent="0.35">
      <c r="A3038" s="32" t="s">
        <v>16</v>
      </c>
      <c r="B3038" s="32">
        <f t="shared" si="725"/>
        <v>2057</v>
      </c>
      <c r="C3038" s="33" t="s">
        <v>110</v>
      </c>
      <c r="D3038" s="34" t="s">
        <v>128</v>
      </c>
      <c r="E3038" s="35" t="str">
        <f t="shared" si="721"/>
        <v>PND'!</v>
      </c>
      <c r="F3038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38" s="32" t="s">
        <v>123</v>
      </c>
      <c r="H3038" s="33">
        <f t="shared" si="723"/>
        <v>46</v>
      </c>
      <c r="I3038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ECP\Cantagallo\Cristalina\[CRISTALINA_CF_SEC_New_09-Feb-2024.xlsx]D-PND'!$DT$46</v>
      </c>
      <c r="J3038" s="37" t="s">
        <v>1532</v>
      </c>
    </row>
    <row r="3039" spans="1:10" x14ac:dyDescent="0.35">
      <c r="A3039" s="32" t="s">
        <v>16</v>
      </c>
      <c r="B3039" s="32">
        <f t="shared" si="725"/>
        <v>2058</v>
      </c>
      <c r="C3039" s="33" t="s">
        <v>110</v>
      </c>
      <c r="D3039" s="34" t="s">
        <v>128</v>
      </c>
      <c r="E3039" s="35" t="str">
        <f t="shared" si="721"/>
        <v>PND'!</v>
      </c>
      <c r="F3039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39" s="32" t="s">
        <v>123</v>
      </c>
      <c r="H3039" s="33">
        <f t="shared" si="723"/>
        <v>47</v>
      </c>
      <c r="I3039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ECP\Cantagallo\Cristalina\[CRISTALINA_CF_SEC_New_09-Feb-2024.xlsx]D-PND'!$DT$47</v>
      </c>
      <c r="J3039" s="37" t="s">
        <v>1533</v>
      </c>
    </row>
    <row r="3040" spans="1:10" x14ac:dyDescent="0.35">
      <c r="A3040" s="32" t="s">
        <v>16</v>
      </c>
      <c r="B3040" s="32">
        <f t="shared" si="725"/>
        <v>2059</v>
      </c>
      <c r="C3040" s="33" t="s">
        <v>110</v>
      </c>
      <c r="D3040" s="34" t="s">
        <v>128</v>
      </c>
      <c r="E3040" s="35" t="str">
        <f t="shared" si="721"/>
        <v>PND'!</v>
      </c>
      <c r="F3040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40" s="32" t="s">
        <v>123</v>
      </c>
      <c r="H3040" s="33">
        <f t="shared" si="723"/>
        <v>48</v>
      </c>
      <c r="I3040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ECP\Cantagallo\Cristalina\[CRISTALINA_CF_SEC_New_09-Feb-2024.xlsx]D-PND'!$DT$48</v>
      </c>
      <c r="J3040" s="37" t="s">
        <v>1534</v>
      </c>
    </row>
    <row r="3041" spans="1:10" x14ac:dyDescent="0.35">
      <c r="A3041" s="32" t="s">
        <v>26</v>
      </c>
      <c r="B3041" s="32"/>
      <c r="C3041" s="33" t="s">
        <v>110</v>
      </c>
      <c r="D3041" s="34"/>
      <c r="E3041" s="35"/>
      <c r="F3041" s="34"/>
      <c r="G3041" s="32"/>
      <c r="H3041" s="33"/>
      <c r="I3041" s="33"/>
      <c r="J3041" s="33"/>
    </row>
    <row r="3042" spans="1:10" x14ac:dyDescent="0.35">
      <c r="A3042" s="32" t="s">
        <v>17</v>
      </c>
      <c r="B3042" s="32">
        <v>2023</v>
      </c>
      <c r="C3042" s="33" t="s">
        <v>110</v>
      </c>
      <c r="D3042" s="34" t="s">
        <v>128</v>
      </c>
      <c r="E3042" s="35" t="str">
        <f t="shared" ref="E3042:E3062" si="726">_xlfn.CONCAT(A3042,"'!")</f>
        <v>PRBDP'!</v>
      </c>
      <c r="F3042" s="34" t="str">
        <f t="shared" ref="F3042:F3062" si="727">_xlfn.CONCAT(D3042:E3042)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42" s="32" t="s">
        <v>123</v>
      </c>
      <c r="H3042" s="33"/>
      <c r="I3042" s="33"/>
      <c r="J3042" s="37"/>
    </row>
    <row r="3043" spans="1:10" x14ac:dyDescent="0.35">
      <c r="A3043" s="32" t="s">
        <v>17</v>
      </c>
      <c r="B3043" s="32">
        <f>+B3042+1</f>
        <v>2024</v>
      </c>
      <c r="C3043" s="33" t="s">
        <v>110</v>
      </c>
      <c r="D3043" s="34" t="s">
        <v>128</v>
      </c>
      <c r="E3043" s="35" t="str">
        <f t="shared" si="726"/>
        <v>PRBDP'!</v>
      </c>
      <c r="F3043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43" s="32" t="s">
        <v>123</v>
      </c>
      <c r="H3043" s="33"/>
      <c r="I3043" s="33"/>
      <c r="J3043" s="37"/>
    </row>
    <row r="3044" spans="1:10" x14ac:dyDescent="0.35">
      <c r="A3044" s="32" t="s">
        <v>17</v>
      </c>
      <c r="B3044" s="32">
        <f t="shared" ref="B3044:B3055" si="728">+B3043+1</f>
        <v>2025</v>
      </c>
      <c r="C3044" s="33" t="s">
        <v>110</v>
      </c>
      <c r="D3044" s="34" t="s">
        <v>128</v>
      </c>
      <c r="E3044" s="35" t="str">
        <f t="shared" si="726"/>
        <v>PRBDP'!</v>
      </c>
      <c r="F3044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44" s="32" t="s">
        <v>123</v>
      </c>
      <c r="H3044" s="33"/>
      <c r="I3044" s="33"/>
      <c r="J3044" s="37"/>
    </row>
    <row r="3045" spans="1:10" x14ac:dyDescent="0.35">
      <c r="A3045" s="32" t="s">
        <v>17</v>
      </c>
      <c r="B3045" s="32">
        <f t="shared" si="728"/>
        <v>2026</v>
      </c>
      <c r="C3045" s="33" t="s">
        <v>110</v>
      </c>
      <c r="D3045" s="34" t="s">
        <v>128</v>
      </c>
      <c r="E3045" s="35" t="str">
        <f t="shared" si="726"/>
        <v>PRBDP'!</v>
      </c>
      <c r="F3045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45" s="32" t="s">
        <v>123</v>
      </c>
      <c r="H3045" s="33"/>
      <c r="I3045" s="33"/>
      <c r="J3045" s="37"/>
    </row>
    <row r="3046" spans="1:10" x14ac:dyDescent="0.35">
      <c r="A3046" s="32" t="s">
        <v>17</v>
      </c>
      <c r="B3046" s="32">
        <f t="shared" si="728"/>
        <v>2027</v>
      </c>
      <c r="C3046" s="33" t="s">
        <v>110</v>
      </c>
      <c r="D3046" s="34" t="s">
        <v>128</v>
      </c>
      <c r="E3046" s="35" t="str">
        <f t="shared" si="726"/>
        <v>PRBDP'!</v>
      </c>
      <c r="F3046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46" s="32" t="s">
        <v>123</v>
      </c>
      <c r="H3046" s="33"/>
      <c r="I3046" s="33"/>
      <c r="J3046" s="37"/>
    </row>
    <row r="3047" spans="1:10" x14ac:dyDescent="0.35">
      <c r="A3047" s="32" t="s">
        <v>17</v>
      </c>
      <c r="B3047" s="32">
        <f t="shared" si="728"/>
        <v>2028</v>
      </c>
      <c r="C3047" s="33" t="s">
        <v>110</v>
      </c>
      <c r="D3047" s="34" t="s">
        <v>128</v>
      </c>
      <c r="E3047" s="35" t="str">
        <f t="shared" si="726"/>
        <v>PRBDP'!</v>
      </c>
      <c r="F3047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47" s="32" t="s">
        <v>123</v>
      </c>
      <c r="H3047" s="33"/>
      <c r="I3047" s="33"/>
      <c r="J3047" s="37"/>
    </row>
    <row r="3048" spans="1:10" x14ac:dyDescent="0.35">
      <c r="A3048" s="32" t="s">
        <v>17</v>
      </c>
      <c r="B3048" s="32">
        <f t="shared" si="728"/>
        <v>2029</v>
      </c>
      <c r="C3048" s="33" t="s">
        <v>110</v>
      </c>
      <c r="D3048" s="34" t="s">
        <v>128</v>
      </c>
      <c r="E3048" s="35" t="str">
        <f t="shared" si="726"/>
        <v>PRBDP'!</v>
      </c>
      <c r="F3048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48" s="32" t="s">
        <v>123</v>
      </c>
      <c r="H3048" s="33"/>
      <c r="I3048" s="33"/>
      <c r="J3048" s="37"/>
    </row>
    <row r="3049" spans="1:10" x14ac:dyDescent="0.35">
      <c r="A3049" s="32" t="s">
        <v>17</v>
      </c>
      <c r="B3049" s="32">
        <f t="shared" si="728"/>
        <v>2030</v>
      </c>
      <c r="C3049" s="33" t="s">
        <v>110</v>
      </c>
      <c r="D3049" s="34" t="s">
        <v>128</v>
      </c>
      <c r="E3049" s="35" t="str">
        <f t="shared" si="726"/>
        <v>PRBDP'!</v>
      </c>
      <c r="F3049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49" s="32" t="s">
        <v>123</v>
      </c>
      <c r="H3049" s="33"/>
      <c r="I3049" s="33"/>
      <c r="J3049" s="37"/>
    </row>
    <row r="3050" spans="1:10" x14ac:dyDescent="0.35">
      <c r="A3050" s="32" t="s">
        <v>17</v>
      </c>
      <c r="B3050" s="32">
        <f t="shared" si="728"/>
        <v>2031</v>
      </c>
      <c r="C3050" s="33" t="s">
        <v>110</v>
      </c>
      <c r="D3050" s="34" t="s">
        <v>128</v>
      </c>
      <c r="E3050" s="35" t="str">
        <f t="shared" si="726"/>
        <v>PRBDP'!</v>
      </c>
      <c r="F3050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50" s="32" t="s">
        <v>123</v>
      </c>
      <c r="H3050" s="33"/>
      <c r="I3050" s="33"/>
      <c r="J3050" s="37"/>
    </row>
    <row r="3051" spans="1:10" x14ac:dyDescent="0.35">
      <c r="A3051" s="32" t="s">
        <v>17</v>
      </c>
      <c r="B3051" s="32">
        <f t="shared" si="728"/>
        <v>2032</v>
      </c>
      <c r="C3051" s="33" t="s">
        <v>110</v>
      </c>
      <c r="D3051" s="34" t="s">
        <v>128</v>
      </c>
      <c r="E3051" s="35" t="str">
        <f t="shared" si="726"/>
        <v>PRBDP'!</v>
      </c>
      <c r="F3051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51" s="32" t="s">
        <v>123</v>
      </c>
      <c r="H3051" s="33"/>
      <c r="I3051" s="33"/>
      <c r="J3051" s="37"/>
    </row>
    <row r="3052" spans="1:10" x14ac:dyDescent="0.35">
      <c r="A3052" s="32" t="s">
        <v>17</v>
      </c>
      <c r="B3052" s="32">
        <f t="shared" si="728"/>
        <v>2033</v>
      </c>
      <c r="C3052" s="33" t="s">
        <v>110</v>
      </c>
      <c r="D3052" s="34" t="s">
        <v>128</v>
      </c>
      <c r="E3052" s="35" t="str">
        <f t="shared" si="726"/>
        <v>PRBDP'!</v>
      </c>
      <c r="F3052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52" s="32" t="s">
        <v>123</v>
      </c>
      <c r="H3052" s="33"/>
      <c r="I3052" s="33"/>
      <c r="J3052" s="37"/>
    </row>
    <row r="3053" spans="1:10" x14ac:dyDescent="0.35">
      <c r="A3053" s="32" t="s">
        <v>17</v>
      </c>
      <c r="B3053" s="32">
        <f t="shared" si="728"/>
        <v>2034</v>
      </c>
      <c r="C3053" s="33" t="s">
        <v>110</v>
      </c>
      <c r="D3053" s="34" t="s">
        <v>128</v>
      </c>
      <c r="E3053" s="35" t="str">
        <f t="shared" si="726"/>
        <v>PRBDP'!</v>
      </c>
      <c r="F3053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53" s="32" t="s">
        <v>123</v>
      </c>
      <c r="H3053" s="33"/>
      <c r="I3053" s="33"/>
      <c r="J3053" s="37"/>
    </row>
    <row r="3054" spans="1:10" x14ac:dyDescent="0.35">
      <c r="A3054" s="32" t="s">
        <v>17</v>
      </c>
      <c r="B3054" s="32">
        <f t="shared" si="728"/>
        <v>2035</v>
      </c>
      <c r="C3054" s="33" t="s">
        <v>110</v>
      </c>
      <c r="D3054" s="34" t="s">
        <v>128</v>
      </c>
      <c r="E3054" s="35" t="str">
        <f t="shared" si="726"/>
        <v>PRBDP'!</v>
      </c>
      <c r="F3054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54" s="32" t="s">
        <v>123</v>
      </c>
      <c r="H3054" s="33"/>
      <c r="I3054" s="33"/>
      <c r="J3054" s="37"/>
    </row>
    <row r="3055" spans="1:10" x14ac:dyDescent="0.35">
      <c r="A3055" s="32" t="s">
        <v>17</v>
      </c>
      <c r="B3055" s="32">
        <f t="shared" si="728"/>
        <v>2036</v>
      </c>
      <c r="C3055" s="33" t="s">
        <v>110</v>
      </c>
      <c r="D3055" s="34" t="s">
        <v>128</v>
      </c>
      <c r="E3055" s="35" t="str">
        <f t="shared" si="726"/>
        <v>PRBDP'!</v>
      </c>
      <c r="F3055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55" s="32" t="s">
        <v>123</v>
      </c>
      <c r="H3055" s="33"/>
      <c r="I3055" s="33"/>
      <c r="J3055" s="37"/>
    </row>
    <row r="3056" spans="1:10" x14ac:dyDescent="0.35">
      <c r="A3056" s="32" t="s">
        <v>17</v>
      </c>
      <c r="B3056" s="32">
        <f>+B3055+1</f>
        <v>2037</v>
      </c>
      <c r="C3056" s="33" t="s">
        <v>110</v>
      </c>
      <c r="D3056" s="34" t="s">
        <v>128</v>
      </c>
      <c r="E3056" s="35" t="str">
        <f t="shared" si="726"/>
        <v>PRBDP'!</v>
      </c>
      <c r="F3056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56" s="32" t="s">
        <v>123</v>
      </c>
      <c r="H3056" s="33"/>
      <c r="I3056" s="33"/>
      <c r="J3056" s="37"/>
    </row>
    <row r="3057" spans="1:10" x14ac:dyDescent="0.35">
      <c r="A3057" s="32" t="s">
        <v>17</v>
      </c>
      <c r="B3057" s="32">
        <f t="shared" ref="B3057:B3059" si="729">+B3056+1</f>
        <v>2038</v>
      </c>
      <c r="C3057" s="33" t="s">
        <v>110</v>
      </c>
      <c r="D3057" s="34" t="s">
        <v>128</v>
      </c>
      <c r="E3057" s="35" t="str">
        <f t="shared" si="726"/>
        <v>PRBDP'!</v>
      </c>
      <c r="F3057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57" s="32" t="s">
        <v>123</v>
      </c>
      <c r="H3057" s="33"/>
      <c r="I3057" s="33"/>
      <c r="J3057" s="37"/>
    </row>
    <row r="3058" spans="1:10" x14ac:dyDescent="0.35">
      <c r="A3058" s="32" t="s">
        <v>17</v>
      </c>
      <c r="B3058" s="32">
        <f t="shared" si="729"/>
        <v>2039</v>
      </c>
      <c r="C3058" s="33" t="s">
        <v>110</v>
      </c>
      <c r="D3058" s="34" t="s">
        <v>128</v>
      </c>
      <c r="E3058" s="35" t="str">
        <f t="shared" si="726"/>
        <v>PRBDP'!</v>
      </c>
      <c r="F3058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58" s="32" t="s">
        <v>123</v>
      </c>
      <c r="H3058" s="33"/>
      <c r="I3058" s="33"/>
      <c r="J3058" s="37"/>
    </row>
    <row r="3059" spans="1:10" x14ac:dyDescent="0.35">
      <c r="A3059" s="32" t="s">
        <v>17</v>
      </c>
      <c r="B3059" s="32">
        <f t="shared" si="729"/>
        <v>2040</v>
      </c>
      <c r="C3059" s="33" t="s">
        <v>110</v>
      </c>
      <c r="D3059" s="34" t="s">
        <v>128</v>
      </c>
      <c r="E3059" s="35" t="str">
        <f t="shared" si="726"/>
        <v>PRBDP'!</v>
      </c>
      <c r="F3059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59" s="32" t="s">
        <v>123</v>
      </c>
      <c r="H3059" s="33"/>
      <c r="I3059" s="33"/>
      <c r="J3059" s="37"/>
    </row>
    <row r="3060" spans="1:10" x14ac:dyDescent="0.35">
      <c r="A3060" s="32" t="s">
        <v>17</v>
      </c>
      <c r="B3060" s="32">
        <f>+B3059+1</f>
        <v>2041</v>
      </c>
      <c r="C3060" s="33" t="s">
        <v>110</v>
      </c>
      <c r="D3060" s="34" t="s">
        <v>128</v>
      </c>
      <c r="E3060" s="35" t="str">
        <f t="shared" si="726"/>
        <v>PRBDP'!</v>
      </c>
      <c r="F3060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60" s="32" t="s">
        <v>123</v>
      </c>
      <c r="H3060" s="33"/>
      <c r="I3060" s="33"/>
      <c r="J3060" s="37"/>
    </row>
    <row r="3061" spans="1:10" x14ac:dyDescent="0.35">
      <c r="A3061" s="32" t="s">
        <v>17</v>
      </c>
      <c r="B3061" s="32">
        <f t="shared" ref="B3061:B3062" si="730">+B3060+1</f>
        <v>2042</v>
      </c>
      <c r="C3061" s="33" t="s">
        <v>110</v>
      </c>
      <c r="D3061" s="34" t="s">
        <v>128</v>
      </c>
      <c r="E3061" s="35" t="str">
        <f t="shared" si="726"/>
        <v>PRBDP'!</v>
      </c>
      <c r="F3061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61" s="32" t="s">
        <v>123</v>
      </c>
      <c r="H3061" s="33"/>
      <c r="I3061" s="33"/>
      <c r="J3061" s="37"/>
    </row>
    <row r="3062" spans="1:10" x14ac:dyDescent="0.35">
      <c r="A3062" s="32" t="s">
        <v>17</v>
      </c>
      <c r="B3062" s="32">
        <f t="shared" si="730"/>
        <v>2043</v>
      </c>
      <c r="C3062" s="33" t="s">
        <v>110</v>
      </c>
      <c r="D3062" s="34" t="s">
        <v>128</v>
      </c>
      <c r="E3062" s="35" t="str">
        <f t="shared" si="726"/>
        <v>PRBDP'!</v>
      </c>
      <c r="F3062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62" s="32" t="s">
        <v>123</v>
      </c>
      <c r="H3062" s="33"/>
      <c r="I3062" s="33"/>
      <c r="J3062" s="37"/>
    </row>
    <row r="3063" spans="1:10" x14ac:dyDescent="0.35">
      <c r="A3063" s="32" t="s">
        <v>17</v>
      </c>
      <c r="B3063" s="32">
        <f>+B3062+1</f>
        <v>2044</v>
      </c>
      <c r="C3063" s="33" t="s">
        <v>110</v>
      </c>
      <c r="D3063" s="34" t="s">
        <v>128</v>
      </c>
      <c r="E3063" s="35" t="str">
        <f t="shared" ref="E3063:E3078" si="731">_xlfn.CONCAT(A3063,"'!")</f>
        <v>PRBDP'!</v>
      </c>
      <c r="F3063" s="34" t="str">
        <f t="shared" ref="F3063:F3078" si="732">_xlfn.CONCAT(D3063:E3063)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63" s="32" t="s">
        <v>123</v>
      </c>
      <c r="H3063" s="33"/>
      <c r="I3063" s="33"/>
      <c r="J3063" s="37"/>
    </row>
    <row r="3064" spans="1:10" x14ac:dyDescent="0.35">
      <c r="A3064" s="32" t="s">
        <v>17</v>
      </c>
      <c r="B3064" s="32">
        <f t="shared" ref="B3064:B3078" si="733">+B3063+1</f>
        <v>2045</v>
      </c>
      <c r="C3064" s="33" t="s">
        <v>110</v>
      </c>
      <c r="D3064" s="34" t="s">
        <v>128</v>
      </c>
      <c r="E3064" s="35" t="str">
        <f t="shared" si="731"/>
        <v>PRBDP'!</v>
      </c>
      <c r="F3064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64" s="32" t="s">
        <v>123</v>
      </c>
      <c r="H3064" s="33"/>
      <c r="I3064" s="33"/>
      <c r="J3064" s="37"/>
    </row>
    <row r="3065" spans="1:10" x14ac:dyDescent="0.35">
      <c r="A3065" s="32" t="s">
        <v>17</v>
      </c>
      <c r="B3065" s="32">
        <f t="shared" si="733"/>
        <v>2046</v>
      </c>
      <c r="C3065" s="33" t="s">
        <v>110</v>
      </c>
      <c r="D3065" s="34" t="s">
        <v>128</v>
      </c>
      <c r="E3065" s="35" t="str">
        <f t="shared" si="731"/>
        <v>PRBDP'!</v>
      </c>
      <c r="F3065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65" s="32" t="s">
        <v>123</v>
      </c>
      <c r="H3065" s="33"/>
      <c r="I3065" s="33"/>
      <c r="J3065" s="37"/>
    </row>
    <row r="3066" spans="1:10" x14ac:dyDescent="0.35">
      <c r="A3066" s="32" t="s">
        <v>17</v>
      </c>
      <c r="B3066" s="32">
        <f t="shared" si="733"/>
        <v>2047</v>
      </c>
      <c r="C3066" s="33" t="s">
        <v>110</v>
      </c>
      <c r="D3066" s="34" t="s">
        <v>128</v>
      </c>
      <c r="E3066" s="35" t="str">
        <f t="shared" si="731"/>
        <v>PRBDP'!</v>
      </c>
      <c r="F3066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66" s="32" t="s">
        <v>123</v>
      </c>
      <c r="H3066" s="33"/>
      <c r="I3066" s="33"/>
      <c r="J3066" s="37"/>
    </row>
    <row r="3067" spans="1:10" x14ac:dyDescent="0.35">
      <c r="A3067" s="32" t="s">
        <v>17</v>
      </c>
      <c r="B3067" s="32">
        <f t="shared" si="733"/>
        <v>2048</v>
      </c>
      <c r="C3067" s="33" t="s">
        <v>110</v>
      </c>
      <c r="D3067" s="34" t="s">
        <v>128</v>
      </c>
      <c r="E3067" s="35" t="str">
        <f t="shared" si="731"/>
        <v>PRBDP'!</v>
      </c>
      <c r="F3067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67" s="32" t="s">
        <v>123</v>
      </c>
      <c r="H3067" s="33"/>
      <c r="I3067" s="33"/>
      <c r="J3067" s="37"/>
    </row>
    <row r="3068" spans="1:10" x14ac:dyDescent="0.35">
      <c r="A3068" s="32" t="s">
        <v>17</v>
      </c>
      <c r="B3068" s="32">
        <f t="shared" si="733"/>
        <v>2049</v>
      </c>
      <c r="C3068" s="33" t="s">
        <v>110</v>
      </c>
      <c r="D3068" s="34" t="s">
        <v>128</v>
      </c>
      <c r="E3068" s="35" t="str">
        <f t="shared" si="731"/>
        <v>PRBDP'!</v>
      </c>
      <c r="F3068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68" s="32" t="s">
        <v>123</v>
      </c>
      <c r="H3068" s="33"/>
      <c r="I3068" s="33"/>
      <c r="J3068" s="37"/>
    </row>
    <row r="3069" spans="1:10" x14ac:dyDescent="0.35">
      <c r="A3069" s="32" t="s">
        <v>17</v>
      </c>
      <c r="B3069" s="32">
        <f t="shared" si="733"/>
        <v>2050</v>
      </c>
      <c r="C3069" s="33" t="s">
        <v>110</v>
      </c>
      <c r="D3069" s="34" t="s">
        <v>128</v>
      </c>
      <c r="E3069" s="35" t="str">
        <f t="shared" si="731"/>
        <v>PRBDP'!</v>
      </c>
      <c r="F3069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69" s="32" t="s">
        <v>123</v>
      </c>
      <c r="H3069" s="33"/>
      <c r="I3069" s="33"/>
      <c r="J3069" s="37"/>
    </row>
    <row r="3070" spans="1:10" x14ac:dyDescent="0.35">
      <c r="A3070" s="32" t="s">
        <v>17</v>
      </c>
      <c r="B3070" s="32">
        <f t="shared" si="733"/>
        <v>2051</v>
      </c>
      <c r="C3070" s="33" t="s">
        <v>110</v>
      </c>
      <c r="D3070" s="34" t="s">
        <v>128</v>
      </c>
      <c r="E3070" s="35" t="str">
        <f t="shared" si="731"/>
        <v>PRBDP'!</v>
      </c>
      <c r="F3070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70" s="32" t="s">
        <v>123</v>
      </c>
      <c r="H3070" s="33"/>
      <c r="I3070" s="33"/>
      <c r="J3070" s="37"/>
    </row>
    <row r="3071" spans="1:10" x14ac:dyDescent="0.35">
      <c r="A3071" s="32" t="s">
        <v>17</v>
      </c>
      <c r="B3071" s="32">
        <f t="shared" si="733"/>
        <v>2052</v>
      </c>
      <c r="C3071" s="33" t="s">
        <v>110</v>
      </c>
      <c r="D3071" s="34" t="s">
        <v>128</v>
      </c>
      <c r="E3071" s="35" t="str">
        <f t="shared" si="731"/>
        <v>PRBDP'!</v>
      </c>
      <c r="F3071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71" s="32" t="s">
        <v>123</v>
      </c>
      <c r="H3071" s="33"/>
      <c r="I3071" s="33"/>
      <c r="J3071" s="37"/>
    </row>
    <row r="3072" spans="1:10" x14ac:dyDescent="0.35">
      <c r="A3072" s="32" t="s">
        <v>17</v>
      </c>
      <c r="B3072" s="32">
        <f t="shared" si="733"/>
        <v>2053</v>
      </c>
      <c r="C3072" s="33" t="s">
        <v>110</v>
      </c>
      <c r="D3072" s="34" t="s">
        <v>128</v>
      </c>
      <c r="E3072" s="35" t="str">
        <f t="shared" si="731"/>
        <v>PRBDP'!</v>
      </c>
      <c r="F3072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72" s="32" t="s">
        <v>123</v>
      </c>
      <c r="H3072" s="33"/>
      <c r="I3072" s="33"/>
      <c r="J3072" s="37"/>
    </row>
    <row r="3073" spans="1:10" x14ac:dyDescent="0.35">
      <c r="A3073" s="32" t="s">
        <v>17</v>
      </c>
      <c r="B3073" s="32">
        <f t="shared" si="733"/>
        <v>2054</v>
      </c>
      <c r="C3073" s="33" t="s">
        <v>110</v>
      </c>
      <c r="D3073" s="34" t="s">
        <v>128</v>
      </c>
      <c r="E3073" s="35" t="str">
        <f t="shared" si="731"/>
        <v>PRBDP'!</v>
      </c>
      <c r="F3073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73" s="32" t="s">
        <v>123</v>
      </c>
      <c r="H3073" s="33"/>
      <c r="I3073" s="33"/>
      <c r="J3073" s="37"/>
    </row>
    <row r="3074" spans="1:10" x14ac:dyDescent="0.35">
      <c r="A3074" s="32" t="s">
        <v>17</v>
      </c>
      <c r="B3074" s="32">
        <f t="shared" si="733"/>
        <v>2055</v>
      </c>
      <c r="C3074" s="33" t="s">
        <v>110</v>
      </c>
      <c r="D3074" s="34" t="s">
        <v>128</v>
      </c>
      <c r="E3074" s="35" t="str">
        <f t="shared" si="731"/>
        <v>PRBDP'!</v>
      </c>
      <c r="F3074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74" s="32" t="s">
        <v>123</v>
      </c>
      <c r="H3074" s="33"/>
      <c r="I3074" s="33"/>
      <c r="J3074" s="37"/>
    </row>
    <row r="3075" spans="1:10" x14ac:dyDescent="0.35">
      <c r="A3075" s="32" t="s">
        <v>17</v>
      </c>
      <c r="B3075" s="32">
        <f t="shared" si="733"/>
        <v>2056</v>
      </c>
      <c r="C3075" s="33" t="s">
        <v>110</v>
      </c>
      <c r="D3075" s="34" t="s">
        <v>128</v>
      </c>
      <c r="E3075" s="35" t="str">
        <f t="shared" si="731"/>
        <v>PRBDP'!</v>
      </c>
      <c r="F3075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75" s="32" t="s">
        <v>123</v>
      </c>
      <c r="H3075" s="33"/>
      <c r="I3075" s="33"/>
      <c r="J3075" s="37"/>
    </row>
    <row r="3076" spans="1:10" x14ac:dyDescent="0.35">
      <c r="A3076" s="32" t="s">
        <v>17</v>
      </c>
      <c r="B3076" s="32">
        <f t="shared" si="733"/>
        <v>2057</v>
      </c>
      <c r="C3076" s="33" t="s">
        <v>110</v>
      </c>
      <c r="D3076" s="34" t="s">
        <v>128</v>
      </c>
      <c r="E3076" s="35" t="str">
        <f t="shared" si="731"/>
        <v>PRBDP'!</v>
      </c>
      <c r="F3076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76" s="32" t="s">
        <v>123</v>
      </c>
      <c r="H3076" s="33"/>
      <c r="I3076" s="33"/>
      <c r="J3076" s="37"/>
    </row>
    <row r="3077" spans="1:10" x14ac:dyDescent="0.35">
      <c r="A3077" s="32" t="s">
        <v>17</v>
      </c>
      <c r="B3077" s="32">
        <f t="shared" si="733"/>
        <v>2058</v>
      </c>
      <c r="C3077" s="33" t="s">
        <v>110</v>
      </c>
      <c r="D3077" s="34" t="s">
        <v>128</v>
      </c>
      <c r="E3077" s="35" t="str">
        <f t="shared" si="731"/>
        <v>PRBDP'!</v>
      </c>
      <c r="F3077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77" s="32" t="s">
        <v>123</v>
      </c>
      <c r="H3077" s="33"/>
      <c r="I3077" s="33"/>
      <c r="J3077" s="37"/>
    </row>
    <row r="3078" spans="1:10" x14ac:dyDescent="0.35">
      <c r="A3078" s="32" t="s">
        <v>17</v>
      </c>
      <c r="B3078" s="32">
        <f t="shared" si="733"/>
        <v>2059</v>
      </c>
      <c r="C3078" s="33" t="s">
        <v>110</v>
      </c>
      <c r="D3078" s="34" t="s">
        <v>128</v>
      </c>
      <c r="E3078" s="35" t="str">
        <f t="shared" si="731"/>
        <v>PRBDP'!</v>
      </c>
      <c r="F3078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78" s="32" t="s">
        <v>123</v>
      </c>
      <c r="H3078" s="33"/>
      <c r="I3078" s="33"/>
      <c r="J3078" s="37"/>
    </row>
    <row r="3079" spans="1:10" x14ac:dyDescent="0.35">
      <c r="A3079" s="32" t="s">
        <v>26</v>
      </c>
      <c r="B3079" s="32"/>
      <c r="C3079" s="33" t="s">
        <v>110</v>
      </c>
      <c r="D3079" s="34"/>
      <c r="E3079" s="35"/>
      <c r="F3079" s="34"/>
      <c r="G3079" s="32"/>
      <c r="H3079" s="33"/>
      <c r="I3079" s="33"/>
      <c r="J3079" s="33"/>
    </row>
    <row r="3080" spans="1:10" x14ac:dyDescent="0.35">
      <c r="A3080" s="32" t="s">
        <v>18</v>
      </c>
      <c r="B3080" s="32">
        <v>2023</v>
      </c>
      <c r="C3080" s="33" t="s">
        <v>110</v>
      </c>
      <c r="D3080" s="34" t="s">
        <v>128</v>
      </c>
      <c r="E3080" s="35" t="str">
        <f t="shared" ref="E3080:E3100" si="734">_xlfn.CONCAT(A3080,"'!")</f>
        <v>PRBNP'!</v>
      </c>
      <c r="F3080" s="34" t="str">
        <f t="shared" ref="F3080:F3100" si="735">_xlfn.CONCAT(D3080:E3080)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80" s="32" t="s">
        <v>123</v>
      </c>
      <c r="H3080" s="33"/>
      <c r="I3080" s="33"/>
      <c r="J3080" s="37"/>
    </row>
    <row r="3081" spans="1:10" x14ac:dyDescent="0.35">
      <c r="A3081" s="32" t="s">
        <v>18</v>
      </c>
      <c r="B3081" s="32">
        <f>+B3080+1</f>
        <v>2024</v>
      </c>
      <c r="C3081" s="33" t="s">
        <v>110</v>
      </c>
      <c r="D3081" s="34" t="s">
        <v>128</v>
      </c>
      <c r="E3081" s="35" t="str">
        <f t="shared" si="734"/>
        <v>PRBNP'!</v>
      </c>
      <c r="F3081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81" s="32" t="s">
        <v>123</v>
      </c>
      <c r="H3081" s="33"/>
      <c r="I3081" s="33"/>
      <c r="J3081" s="37"/>
    </row>
    <row r="3082" spans="1:10" x14ac:dyDescent="0.35">
      <c r="A3082" s="32" t="s">
        <v>18</v>
      </c>
      <c r="B3082" s="32">
        <f t="shared" ref="B3082:B3093" si="736">+B3081+1</f>
        <v>2025</v>
      </c>
      <c r="C3082" s="33" t="s">
        <v>110</v>
      </c>
      <c r="D3082" s="34" t="s">
        <v>128</v>
      </c>
      <c r="E3082" s="35" t="str">
        <f t="shared" si="734"/>
        <v>PRBNP'!</v>
      </c>
      <c r="F3082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82" s="32" t="s">
        <v>123</v>
      </c>
      <c r="H3082" s="33"/>
      <c r="I3082" s="33"/>
      <c r="J3082" s="37"/>
    </row>
    <row r="3083" spans="1:10" x14ac:dyDescent="0.35">
      <c r="A3083" s="32" t="s">
        <v>18</v>
      </c>
      <c r="B3083" s="32">
        <f t="shared" si="736"/>
        <v>2026</v>
      </c>
      <c r="C3083" s="33" t="s">
        <v>110</v>
      </c>
      <c r="D3083" s="34" t="s">
        <v>128</v>
      </c>
      <c r="E3083" s="35" t="str">
        <f t="shared" si="734"/>
        <v>PRBNP'!</v>
      </c>
      <c r="F3083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83" s="32" t="s">
        <v>123</v>
      </c>
      <c r="H3083" s="33"/>
      <c r="I3083" s="33"/>
      <c r="J3083" s="37"/>
    </row>
    <row r="3084" spans="1:10" x14ac:dyDescent="0.35">
      <c r="A3084" s="32" t="s">
        <v>18</v>
      </c>
      <c r="B3084" s="32">
        <f t="shared" si="736"/>
        <v>2027</v>
      </c>
      <c r="C3084" s="33" t="s">
        <v>110</v>
      </c>
      <c r="D3084" s="34" t="s">
        <v>128</v>
      </c>
      <c r="E3084" s="35" t="str">
        <f t="shared" si="734"/>
        <v>PRBNP'!</v>
      </c>
      <c r="F3084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84" s="32" t="s">
        <v>123</v>
      </c>
      <c r="H3084" s="33"/>
      <c r="I3084" s="33"/>
      <c r="J3084" s="37"/>
    </row>
    <row r="3085" spans="1:10" x14ac:dyDescent="0.35">
      <c r="A3085" s="32" t="s">
        <v>18</v>
      </c>
      <c r="B3085" s="32">
        <f t="shared" si="736"/>
        <v>2028</v>
      </c>
      <c r="C3085" s="33" t="s">
        <v>110</v>
      </c>
      <c r="D3085" s="34" t="s">
        <v>128</v>
      </c>
      <c r="E3085" s="35" t="str">
        <f t="shared" si="734"/>
        <v>PRBNP'!</v>
      </c>
      <c r="F3085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85" s="32" t="s">
        <v>123</v>
      </c>
      <c r="H3085" s="33"/>
      <c r="I3085" s="33"/>
      <c r="J3085" s="37"/>
    </row>
    <row r="3086" spans="1:10" x14ac:dyDescent="0.35">
      <c r="A3086" s="32" t="s">
        <v>18</v>
      </c>
      <c r="B3086" s="32">
        <f t="shared" si="736"/>
        <v>2029</v>
      </c>
      <c r="C3086" s="33" t="s">
        <v>110</v>
      </c>
      <c r="D3086" s="34" t="s">
        <v>128</v>
      </c>
      <c r="E3086" s="35" t="str">
        <f t="shared" si="734"/>
        <v>PRBNP'!</v>
      </c>
      <c r="F3086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86" s="32" t="s">
        <v>123</v>
      </c>
      <c r="H3086" s="33"/>
      <c r="I3086" s="33"/>
      <c r="J3086" s="37"/>
    </row>
    <row r="3087" spans="1:10" x14ac:dyDescent="0.35">
      <c r="A3087" s="32" t="s">
        <v>18</v>
      </c>
      <c r="B3087" s="32">
        <f t="shared" si="736"/>
        <v>2030</v>
      </c>
      <c r="C3087" s="33" t="s">
        <v>110</v>
      </c>
      <c r="D3087" s="34" t="s">
        <v>128</v>
      </c>
      <c r="E3087" s="35" t="str">
        <f t="shared" si="734"/>
        <v>PRBNP'!</v>
      </c>
      <c r="F3087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87" s="32" t="s">
        <v>123</v>
      </c>
      <c r="H3087" s="33"/>
      <c r="I3087" s="33"/>
      <c r="J3087" s="37"/>
    </row>
    <row r="3088" spans="1:10" x14ac:dyDescent="0.35">
      <c r="A3088" s="32" t="s">
        <v>18</v>
      </c>
      <c r="B3088" s="32">
        <f t="shared" si="736"/>
        <v>2031</v>
      </c>
      <c r="C3088" s="33" t="s">
        <v>110</v>
      </c>
      <c r="D3088" s="34" t="s">
        <v>128</v>
      </c>
      <c r="E3088" s="35" t="str">
        <f t="shared" si="734"/>
        <v>PRBNP'!</v>
      </c>
      <c r="F3088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88" s="32" t="s">
        <v>123</v>
      </c>
      <c r="H3088" s="33"/>
      <c r="I3088" s="33"/>
      <c r="J3088" s="37"/>
    </row>
    <row r="3089" spans="1:10" x14ac:dyDescent="0.35">
      <c r="A3089" s="32" t="s">
        <v>18</v>
      </c>
      <c r="B3089" s="32">
        <f t="shared" si="736"/>
        <v>2032</v>
      </c>
      <c r="C3089" s="33" t="s">
        <v>110</v>
      </c>
      <c r="D3089" s="34" t="s">
        <v>128</v>
      </c>
      <c r="E3089" s="35" t="str">
        <f t="shared" si="734"/>
        <v>PRBNP'!</v>
      </c>
      <c r="F3089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89" s="32" t="s">
        <v>123</v>
      </c>
      <c r="H3089" s="33"/>
      <c r="I3089" s="33"/>
      <c r="J3089" s="37"/>
    </row>
    <row r="3090" spans="1:10" x14ac:dyDescent="0.35">
      <c r="A3090" s="32" t="s">
        <v>18</v>
      </c>
      <c r="B3090" s="32">
        <f t="shared" si="736"/>
        <v>2033</v>
      </c>
      <c r="C3090" s="33" t="s">
        <v>110</v>
      </c>
      <c r="D3090" s="34" t="s">
        <v>128</v>
      </c>
      <c r="E3090" s="35" t="str">
        <f t="shared" si="734"/>
        <v>PRBNP'!</v>
      </c>
      <c r="F3090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90" s="32" t="s">
        <v>123</v>
      </c>
      <c r="H3090" s="33"/>
      <c r="I3090" s="33"/>
      <c r="J3090" s="37"/>
    </row>
    <row r="3091" spans="1:10" x14ac:dyDescent="0.35">
      <c r="A3091" s="32" t="s">
        <v>18</v>
      </c>
      <c r="B3091" s="32">
        <f t="shared" si="736"/>
        <v>2034</v>
      </c>
      <c r="C3091" s="33" t="s">
        <v>110</v>
      </c>
      <c r="D3091" s="34" t="s">
        <v>128</v>
      </c>
      <c r="E3091" s="35" t="str">
        <f t="shared" si="734"/>
        <v>PRBNP'!</v>
      </c>
      <c r="F3091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91" s="32" t="s">
        <v>123</v>
      </c>
      <c r="H3091" s="33"/>
      <c r="I3091" s="33"/>
      <c r="J3091" s="37"/>
    </row>
    <row r="3092" spans="1:10" x14ac:dyDescent="0.35">
      <c r="A3092" s="32" t="s">
        <v>18</v>
      </c>
      <c r="B3092" s="32">
        <f t="shared" si="736"/>
        <v>2035</v>
      </c>
      <c r="C3092" s="33" t="s">
        <v>110</v>
      </c>
      <c r="D3092" s="34" t="s">
        <v>128</v>
      </c>
      <c r="E3092" s="35" t="str">
        <f t="shared" si="734"/>
        <v>PRBNP'!</v>
      </c>
      <c r="F3092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92" s="32" t="s">
        <v>123</v>
      </c>
      <c r="H3092" s="33"/>
      <c r="I3092" s="33"/>
      <c r="J3092" s="37"/>
    </row>
    <row r="3093" spans="1:10" x14ac:dyDescent="0.35">
      <c r="A3093" s="32" t="s">
        <v>18</v>
      </c>
      <c r="B3093" s="32">
        <f t="shared" si="736"/>
        <v>2036</v>
      </c>
      <c r="C3093" s="33" t="s">
        <v>110</v>
      </c>
      <c r="D3093" s="34" t="s">
        <v>128</v>
      </c>
      <c r="E3093" s="35" t="str">
        <f t="shared" si="734"/>
        <v>PRBNP'!</v>
      </c>
      <c r="F3093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93" s="32" t="s">
        <v>123</v>
      </c>
      <c r="H3093" s="33"/>
      <c r="I3093" s="33"/>
      <c r="J3093" s="37"/>
    </row>
    <row r="3094" spans="1:10" x14ac:dyDescent="0.35">
      <c r="A3094" s="32" t="s">
        <v>18</v>
      </c>
      <c r="B3094" s="32">
        <f>+B3093+1</f>
        <v>2037</v>
      </c>
      <c r="C3094" s="33" t="s">
        <v>110</v>
      </c>
      <c r="D3094" s="34" t="s">
        <v>128</v>
      </c>
      <c r="E3094" s="35" t="str">
        <f t="shared" si="734"/>
        <v>PRBNP'!</v>
      </c>
      <c r="F3094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94" s="32" t="s">
        <v>123</v>
      </c>
      <c r="H3094" s="33"/>
      <c r="I3094" s="33"/>
      <c r="J3094" s="37"/>
    </row>
    <row r="3095" spans="1:10" x14ac:dyDescent="0.35">
      <c r="A3095" s="32" t="s">
        <v>18</v>
      </c>
      <c r="B3095" s="32">
        <f t="shared" ref="B3095:B3097" si="737">+B3094+1</f>
        <v>2038</v>
      </c>
      <c r="C3095" s="33" t="s">
        <v>110</v>
      </c>
      <c r="D3095" s="34" t="s">
        <v>128</v>
      </c>
      <c r="E3095" s="35" t="str">
        <f t="shared" si="734"/>
        <v>PRBNP'!</v>
      </c>
      <c r="F3095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95" s="32" t="s">
        <v>123</v>
      </c>
      <c r="H3095" s="33"/>
      <c r="I3095" s="33"/>
      <c r="J3095" s="37"/>
    </row>
    <row r="3096" spans="1:10" x14ac:dyDescent="0.35">
      <c r="A3096" s="32" t="s">
        <v>18</v>
      </c>
      <c r="B3096" s="32">
        <f t="shared" si="737"/>
        <v>2039</v>
      </c>
      <c r="C3096" s="33" t="s">
        <v>110</v>
      </c>
      <c r="D3096" s="34" t="s">
        <v>128</v>
      </c>
      <c r="E3096" s="35" t="str">
        <f t="shared" si="734"/>
        <v>PRBNP'!</v>
      </c>
      <c r="F3096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96" s="32" t="s">
        <v>123</v>
      </c>
      <c r="H3096" s="33"/>
      <c r="I3096" s="33"/>
      <c r="J3096" s="37"/>
    </row>
    <row r="3097" spans="1:10" x14ac:dyDescent="0.35">
      <c r="A3097" s="32" t="s">
        <v>18</v>
      </c>
      <c r="B3097" s="32">
        <f t="shared" si="737"/>
        <v>2040</v>
      </c>
      <c r="C3097" s="33" t="s">
        <v>110</v>
      </c>
      <c r="D3097" s="34" t="s">
        <v>128</v>
      </c>
      <c r="E3097" s="35" t="str">
        <f t="shared" si="734"/>
        <v>PRBNP'!</v>
      </c>
      <c r="F3097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97" s="32" t="s">
        <v>123</v>
      </c>
      <c r="H3097" s="33"/>
      <c r="I3097" s="33"/>
      <c r="J3097" s="37"/>
    </row>
    <row r="3098" spans="1:10" x14ac:dyDescent="0.35">
      <c r="A3098" s="32" t="s">
        <v>18</v>
      </c>
      <c r="B3098" s="32">
        <f>+B3097+1</f>
        <v>2041</v>
      </c>
      <c r="C3098" s="33" t="s">
        <v>110</v>
      </c>
      <c r="D3098" s="34" t="s">
        <v>128</v>
      </c>
      <c r="E3098" s="35" t="str">
        <f t="shared" si="734"/>
        <v>PRBNP'!</v>
      </c>
      <c r="F3098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98" s="32" t="s">
        <v>123</v>
      </c>
      <c r="H3098" s="33"/>
      <c r="I3098" s="33"/>
      <c r="J3098" s="37"/>
    </row>
    <row r="3099" spans="1:10" x14ac:dyDescent="0.35">
      <c r="A3099" s="32" t="s">
        <v>18</v>
      </c>
      <c r="B3099" s="32">
        <f t="shared" ref="B3099:B3100" si="738">+B3098+1</f>
        <v>2042</v>
      </c>
      <c r="C3099" s="33" t="s">
        <v>110</v>
      </c>
      <c r="D3099" s="34" t="s">
        <v>128</v>
      </c>
      <c r="E3099" s="35" t="str">
        <f t="shared" si="734"/>
        <v>PRBNP'!</v>
      </c>
      <c r="F3099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99" s="32" t="s">
        <v>123</v>
      </c>
      <c r="H3099" s="33"/>
      <c r="I3099" s="33"/>
      <c r="J3099" s="37"/>
    </row>
    <row r="3100" spans="1:10" x14ac:dyDescent="0.35">
      <c r="A3100" s="32" t="s">
        <v>18</v>
      </c>
      <c r="B3100" s="32">
        <f t="shared" si="738"/>
        <v>2043</v>
      </c>
      <c r="C3100" s="33" t="s">
        <v>110</v>
      </c>
      <c r="D3100" s="34" t="s">
        <v>128</v>
      </c>
      <c r="E3100" s="35" t="str">
        <f t="shared" si="734"/>
        <v>PRBNP'!</v>
      </c>
      <c r="F3100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00" s="32" t="s">
        <v>123</v>
      </c>
      <c r="H3100" s="33"/>
      <c r="I3100" s="33"/>
      <c r="J3100" s="37"/>
    </row>
    <row r="3101" spans="1:10" x14ac:dyDescent="0.35">
      <c r="A3101" s="32" t="s">
        <v>18</v>
      </c>
      <c r="B3101" s="32">
        <f>+B3100+1</f>
        <v>2044</v>
      </c>
      <c r="C3101" s="33" t="s">
        <v>110</v>
      </c>
      <c r="D3101" s="34" t="s">
        <v>128</v>
      </c>
      <c r="E3101" s="35" t="str">
        <f t="shared" ref="E3101:E3116" si="739">_xlfn.CONCAT(A3101,"'!")</f>
        <v>PRBNP'!</v>
      </c>
      <c r="F3101" s="34" t="str">
        <f t="shared" ref="F3101:F3116" si="740">_xlfn.CONCAT(D3101:E3101)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01" s="32" t="s">
        <v>123</v>
      </c>
      <c r="H3101" s="33"/>
      <c r="I3101" s="33"/>
      <c r="J3101" s="37"/>
    </row>
    <row r="3102" spans="1:10" x14ac:dyDescent="0.35">
      <c r="A3102" s="32" t="s">
        <v>18</v>
      </c>
      <c r="B3102" s="32">
        <f t="shared" ref="B3102:B3116" si="741">+B3101+1</f>
        <v>2045</v>
      </c>
      <c r="C3102" s="33" t="s">
        <v>110</v>
      </c>
      <c r="D3102" s="34" t="s">
        <v>128</v>
      </c>
      <c r="E3102" s="35" t="str">
        <f t="shared" si="739"/>
        <v>PRBNP'!</v>
      </c>
      <c r="F3102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02" s="32" t="s">
        <v>123</v>
      </c>
      <c r="H3102" s="33"/>
      <c r="I3102" s="33"/>
      <c r="J3102" s="37"/>
    </row>
    <row r="3103" spans="1:10" x14ac:dyDescent="0.35">
      <c r="A3103" s="32" t="s">
        <v>18</v>
      </c>
      <c r="B3103" s="32">
        <f t="shared" si="741"/>
        <v>2046</v>
      </c>
      <c r="C3103" s="33" t="s">
        <v>110</v>
      </c>
      <c r="D3103" s="34" t="s">
        <v>128</v>
      </c>
      <c r="E3103" s="35" t="str">
        <f t="shared" si="739"/>
        <v>PRBNP'!</v>
      </c>
      <c r="F3103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03" s="32" t="s">
        <v>123</v>
      </c>
      <c r="H3103" s="33"/>
      <c r="I3103" s="33"/>
      <c r="J3103" s="37"/>
    </row>
    <row r="3104" spans="1:10" x14ac:dyDescent="0.35">
      <c r="A3104" s="32" t="s">
        <v>18</v>
      </c>
      <c r="B3104" s="32">
        <f t="shared" si="741"/>
        <v>2047</v>
      </c>
      <c r="C3104" s="33" t="s">
        <v>110</v>
      </c>
      <c r="D3104" s="34" t="s">
        <v>128</v>
      </c>
      <c r="E3104" s="35" t="str">
        <f t="shared" si="739"/>
        <v>PRBNP'!</v>
      </c>
      <c r="F3104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04" s="32" t="s">
        <v>123</v>
      </c>
      <c r="H3104" s="33"/>
      <c r="I3104" s="33"/>
      <c r="J3104" s="37"/>
    </row>
    <row r="3105" spans="1:10" x14ac:dyDescent="0.35">
      <c r="A3105" s="32" t="s">
        <v>18</v>
      </c>
      <c r="B3105" s="32">
        <f t="shared" si="741"/>
        <v>2048</v>
      </c>
      <c r="C3105" s="33" t="s">
        <v>110</v>
      </c>
      <c r="D3105" s="34" t="s">
        <v>128</v>
      </c>
      <c r="E3105" s="35" t="str">
        <f t="shared" si="739"/>
        <v>PRBNP'!</v>
      </c>
      <c r="F3105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05" s="32" t="s">
        <v>123</v>
      </c>
      <c r="H3105" s="33"/>
      <c r="I3105" s="33"/>
      <c r="J3105" s="37"/>
    </row>
    <row r="3106" spans="1:10" x14ac:dyDescent="0.35">
      <c r="A3106" s="32" t="s">
        <v>18</v>
      </c>
      <c r="B3106" s="32">
        <f t="shared" si="741"/>
        <v>2049</v>
      </c>
      <c r="C3106" s="33" t="s">
        <v>110</v>
      </c>
      <c r="D3106" s="34" t="s">
        <v>128</v>
      </c>
      <c r="E3106" s="35" t="str">
        <f t="shared" si="739"/>
        <v>PRBNP'!</v>
      </c>
      <c r="F3106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06" s="32" t="s">
        <v>123</v>
      </c>
      <c r="H3106" s="33"/>
      <c r="I3106" s="33"/>
      <c r="J3106" s="37"/>
    </row>
    <row r="3107" spans="1:10" x14ac:dyDescent="0.35">
      <c r="A3107" s="32" t="s">
        <v>18</v>
      </c>
      <c r="B3107" s="32">
        <f t="shared" si="741"/>
        <v>2050</v>
      </c>
      <c r="C3107" s="33" t="s">
        <v>110</v>
      </c>
      <c r="D3107" s="34" t="s">
        <v>128</v>
      </c>
      <c r="E3107" s="35" t="str">
        <f t="shared" si="739"/>
        <v>PRBNP'!</v>
      </c>
      <c r="F3107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07" s="32" t="s">
        <v>123</v>
      </c>
      <c r="H3107" s="33"/>
      <c r="I3107" s="33"/>
      <c r="J3107" s="37"/>
    </row>
    <row r="3108" spans="1:10" x14ac:dyDescent="0.35">
      <c r="A3108" s="32" t="s">
        <v>18</v>
      </c>
      <c r="B3108" s="32">
        <f t="shared" si="741"/>
        <v>2051</v>
      </c>
      <c r="C3108" s="33" t="s">
        <v>110</v>
      </c>
      <c r="D3108" s="34" t="s">
        <v>128</v>
      </c>
      <c r="E3108" s="35" t="str">
        <f t="shared" si="739"/>
        <v>PRBNP'!</v>
      </c>
      <c r="F3108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08" s="32" t="s">
        <v>123</v>
      </c>
      <c r="H3108" s="33"/>
      <c r="I3108" s="33"/>
      <c r="J3108" s="37"/>
    </row>
    <row r="3109" spans="1:10" x14ac:dyDescent="0.35">
      <c r="A3109" s="32" t="s">
        <v>18</v>
      </c>
      <c r="B3109" s="32">
        <f t="shared" si="741"/>
        <v>2052</v>
      </c>
      <c r="C3109" s="33" t="s">
        <v>110</v>
      </c>
      <c r="D3109" s="34" t="s">
        <v>128</v>
      </c>
      <c r="E3109" s="35" t="str">
        <f t="shared" si="739"/>
        <v>PRBNP'!</v>
      </c>
      <c r="F3109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09" s="32" t="s">
        <v>123</v>
      </c>
      <c r="H3109" s="33"/>
      <c r="I3109" s="33"/>
      <c r="J3109" s="37"/>
    </row>
    <row r="3110" spans="1:10" x14ac:dyDescent="0.35">
      <c r="A3110" s="32" t="s">
        <v>18</v>
      </c>
      <c r="B3110" s="32">
        <f t="shared" si="741"/>
        <v>2053</v>
      </c>
      <c r="C3110" s="33" t="s">
        <v>110</v>
      </c>
      <c r="D3110" s="34" t="s">
        <v>128</v>
      </c>
      <c r="E3110" s="35" t="str">
        <f t="shared" si="739"/>
        <v>PRBNP'!</v>
      </c>
      <c r="F3110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10" s="32" t="s">
        <v>123</v>
      </c>
      <c r="H3110" s="33"/>
      <c r="I3110" s="33"/>
      <c r="J3110" s="37"/>
    </row>
    <row r="3111" spans="1:10" x14ac:dyDescent="0.35">
      <c r="A3111" s="32" t="s">
        <v>18</v>
      </c>
      <c r="B3111" s="32">
        <f t="shared" si="741"/>
        <v>2054</v>
      </c>
      <c r="C3111" s="33" t="s">
        <v>110</v>
      </c>
      <c r="D3111" s="34" t="s">
        <v>128</v>
      </c>
      <c r="E3111" s="35" t="str">
        <f t="shared" si="739"/>
        <v>PRBNP'!</v>
      </c>
      <c r="F3111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11" s="32" t="s">
        <v>123</v>
      </c>
      <c r="H3111" s="33"/>
      <c r="I3111" s="33"/>
      <c r="J3111" s="37"/>
    </row>
    <row r="3112" spans="1:10" x14ac:dyDescent="0.35">
      <c r="A3112" s="32" t="s">
        <v>18</v>
      </c>
      <c r="B3112" s="32">
        <f t="shared" si="741"/>
        <v>2055</v>
      </c>
      <c r="C3112" s="33" t="s">
        <v>110</v>
      </c>
      <c r="D3112" s="34" t="s">
        <v>128</v>
      </c>
      <c r="E3112" s="35" t="str">
        <f t="shared" si="739"/>
        <v>PRBNP'!</v>
      </c>
      <c r="F3112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12" s="32" t="s">
        <v>123</v>
      </c>
      <c r="H3112" s="33"/>
      <c r="I3112" s="33"/>
      <c r="J3112" s="37"/>
    </row>
    <row r="3113" spans="1:10" x14ac:dyDescent="0.35">
      <c r="A3113" s="32" t="s">
        <v>18</v>
      </c>
      <c r="B3113" s="32">
        <f t="shared" si="741"/>
        <v>2056</v>
      </c>
      <c r="C3113" s="33" t="s">
        <v>110</v>
      </c>
      <c r="D3113" s="34" t="s">
        <v>128</v>
      </c>
      <c r="E3113" s="35" t="str">
        <f t="shared" si="739"/>
        <v>PRBNP'!</v>
      </c>
      <c r="F3113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13" s="32" t="s">
        <v>123</v>
      </c>
      <c r="H3113" s="33"/>
      <c r="I3113" s="33"/>
      <c r="J3113" s="37"/>
    </row>
    <row r="3114" spans="1:10" x14ac:dyDescent="0.35">
      <c r="A3114" s="32" t="s">
        <v>18</v>
      </c>
      <c r="B3114" s="32">
        <f t="shared" si="741"/>
        <v>2057</v>
      </c>
      <c r="C3114" s="33" t="s">
        <v>110</v>
      </c>
      <c r="D3114" s="34" t="s">
        <v>128</v>
      </c>
      <c r="E3114" s="35" t="str">
        <f t="shared" si="739"/>
        <v>PRBNP'!</v>
      </c>
      <c r="F3114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14" s="32" t="s">
        <v>123</v>
      </c>
      <c r="H3114" s="33"/>
      <c r="I3114" s="33"/>
      <c r="J3114" s="37"/>
    </row>
    <row r="3115" spans="1:10" x14ac:dyDescent="0.35">
      <c r="A3115" s="32" t="s">
        <v>18</v>
      </c>
      <c r="B3115" s="32">
        <f t="shared" si="741"/>
        <v>2058</v>
      </c>
      <c r="C3115" s="33" t="s">
        <v>110</v>
      </c>
      <c r="D3115" s="34" t="s">
        <v>128</v>
      </c>
      <c r="E3115" s="35" t="str">
        <f t="shared" si="739"/>
        <v>PRBNP'!</v>
      </c>
      <c r="F3115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15" s="32" t="s">
        <v>123</v>
      </c>
      <c r="H3115" s="33"/>
      <c r="I3115" s="33"/>
      <c r="J3115" s="37"/>
    </row>
    <row r="3116" spans="1:10" x14ac:dyDescent="0.35">
      <c r="A3116" s="32" t="s">
        <v>18</v>
      </c>
      <c r="B3116" s="32">
        <f t="shared" si="741"/>
        <v>2059</v>
      </c>
      <c r="C3116" s="33" t="s">
        <v>110</v>
      </c>
      <c r="D3116" s="34" t="s">
        <v>128</v>
      </c>
      <c r="E3116" s="35" t="str">
        <f t="shared" si="739"/>
        <v>PRBNP'!</v>
      </c>
      <c r="F3116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16" s="32" t="s">
        <v>123</v>
      </c>
      <c r="H3116" s="33"/>
      <c r="I3116" s="33"/>
      <c r="J3116" s="37"/>
    </row>
    <row r="3117" spans="1:10" x14ac:dyDescent="0.35">
      <c r="A3117" s="32" t="s">
        <v>26</v>
      </c>
      <c r="B3117" s="32"/>
      <c r="C3117" s="33" t="s">
        <v>110</v>
      </c>
      <c r="D3117" s="34"/>
      <c r="E3117" s="35"/>
      <c r="F3117" s="34"/>
      <c r="G3117" s="32"/>
      <c r="H3117" s="33"/>
      <c r="I3117" s="33"/>
      <c r="J3117" s="33"/>
    </row>
    <row r="3118" spans="1:10" x14ac:dyDescent="0.35">
      <c r="A3118" s="32" t="s">
        <v>19</v>
      </c>
      <c r="B3118" s="32">
        <v>2023</v>
      </c>
      <c r="C3118" s="33" t="s">
        <v>110</v>
      </c>
      <c r="D3118" s="34" t="s">
        <v>128</v>
      </c>
      <c r="E3118" s="35" t="str">
        <f t="shared" ref="E3118:E3138" si="742">_xlfn.CONCAT(A3118,"'!")</f>
        <v>PRBND'!</v>
      </c>
      <c r="F3118" s="34" t="str">
        <f t="shared" ref="F3118:F3138" si="743">_xlfn.CONCAT(D3118:E3118)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18" s="32" t="s">
        <v>123</v>
      </c>
      <c r="H3118" s="33"/>
      <c r="I3118" s="33"/>
      <c r="J3118" s="37"/>
    </row>
    <row r="3119" spans="1:10" x14ac:dyDescent="0.35">
      <c r="A3119" s="32" t="s">
        <v>19</v>
      </c>
      <c r="B3119" s="32">
        <f>+B3118+1</f>
        <v>2024</v>
      </c>
      <c r="C3119" s="33" t="s">
        <v>110</v>
      </c>
      <c r="D3119" s="34" t="s">
        <v>128</v>
      </c>
      <c r="E3119" s="35" t="str">
        <f t="shared" si="742"/>
        <v>PRBND'!</v>
      </c>
      <c r="F3119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19" s="32" t="s">
        <v>123</v>
      </c>
      <c r="H3119" s="33"/>
      <c r="I3119" s="33"/>
      <c r="J3119" s="37"/>
    </row>
    <row r="3120" spans="1:10" x14ac:dyDescent="0.35">
      <c r="A3120" s="32" t="s">
        <v>19</v>
      </c>
      <c r="B3120" s="32">
        <f t="shared" ref="B3120:B3131" si="744">+B3119+1</f>
        <v>2025</v>
      </c>
      <c r="C3120" s="33" t="s">
        <v>110</v>
      </c>
      <c r="D3120" s="34" t="s">
        <v>128</v>
      </c>
      <c r="E3120" s="35" t="str">
        <f t="shared" si="742"/>
        <v>PRBND'!</v>
      </c>
      <c r="F3120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20" s="32" t="s">
        <v>123</v>
      </c>
      <c r="H3120" s="33"/>
      <c r="I3120" s="33"/>
      <c r="J3120" s="37"/>
    </row>
    <row r="3121" spans="1:10" x14ac:dyDescent="0.35">
      <c r="A3121" s="32" t="s">
        <v>19</v>
      </c>
      <c r="B3121" s="32">
        <f t="shared" si="744"/>
        <v>2026</v>
      </c>
      <c r="C3121" s="33" t="s">
        <v>110</v>
      </c>
      <c r="D3121" s="34" t="s">
        <v>128</v>
      </c>
      <c r="E3121" s="35" t="str">
        <f t="shared" si="742"/>
        <v>PRBND'!</v>
      </c>
      <c r="F3121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21" s="32" t="s">
        <v>123</v>
      </c>
      <c r="H3121" s="33"/>
      <c r="I3121" s="33"/>
      <c r="J3121" s="37"/>
    </row>
    <row r="3122" spans="1:10" x14ac:dyDescent="0.35">
      <c r="A3122" s="32" t="s">
        <v>19</v>
      </c>
      <c r="B3122" s="32">
        <f t="shared" si="744"/>
        <v>2027</v>
      </c>
      <c r="C3122" s="33" t="s">
        <v>110</v>
      </c>
      <c r="D3122" s="34" t="s">
        <v>128</v>
      </c>
      <c r="E3122" s="35" t="str">
        <f t="shared" si="742"/>
        <v>PRBND'!</v>
      </c>
      <c r="F3122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22" s="32" t="s">
        <v>123</v>
      </c>
      <c r="H3122" s="33"/>
      <c r="I3122" s="33"/>
      <c r="J3122" s="37"/>
    </row>
    <row r="3123" spans="1:10" x14ac:dyDescent="0.35">
      <c r="A3123" s="32" t="s">
        <v>19</v>
      </c>
      <c r="B3123" s="32">
        <f t="shared" si="744"/>
        <v>2028</v>
      </c>
      <c r="C3123" s="33" t="s">
        <v>110</v>
      </c>
      <c r="D3123" s="34" t="s">
        <v>128</v>
      </c>
      <c r="E3123" s="35" t="str">
        <f t="shared" si="742"/>
        <v>PRBND'!</v>
      </c>
      <c r="F3123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23" s="32" t="s">
        <v>123</v>
      </c>
      <c r="H3123" s="33"/>
      <c r="I3123" s="33"/>
      <c r="J3123" s="37"/>
    </row>
    <row r="3124" spans="1:10" x14ac:dyDescent="0.35">
      <c r="A3124" s="32" t="s">
        <v>19</v>
      </c>
      <c r="B3124" s="32">
        <f t="shared" si="744"/>
        <v>2029</v>
      </c>
      <c r="C3124" s="33" t="s">
        <v>110</v>
      </c>
      <c r="D3124" s="34" t="s">
        <v>128</v>
      </c>
      <c r="E3124" s="35" t="str">
        <f t="shared" si="742"/>
        <v>PRBND'!</v>
      </c>
      <c r="F3124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24" s="32" t="s">
        <v>123</v>
      </c>
      <c r="H3124" s="33"/>
      <c r="I3124" s="33"/>
      <c r="J3124" s="37"/>
    </row>
    <row r="3125" spans="1:10" x14ac:dyDescent="0.35">
      <c r="A3125" s="32" t="s">
        <v>19</v>
      </c>
      <c r="B3125" s="32">
        <f t="shared" si="744"/>
        <v>2030</v>
      </c>
      <c r="C3125" s="33" t="s">
        <v>110</v>
      </c>
      <c r="D3125" s="34" t="s">
        <v>128</v>
      </c>
      <c r="E3125" s="35" t="str">
        <f t="shared" si="742"/>
        <v>PRBND'!</v>
      </c>
      <c r="F3125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25" s="32" t="s">
        <v>123</v>
      </c>
      <c r="H3125" s="33"/>
      <c r="I3125" s="33"/>
      <c r="J3125" s="37"/>
    </row>
    <row r="3126" spans="1:10" x14ac:dyDescent="0.35">
      <c r="A3126" s="32" t="s">
        <v>19</v>
      </c>
      <c r="B3126" s="32">
        <f t="shared" si="744"/>
        <v>2031</v>
      </c>
      <c r="C3126" s="33" t="s">
        <v>110</v>
      </c>
      <c r="D3126" s="34" t="s">
        <v>128</v>
      </c>
      <c r="E3126" s="35" t="str">
        <f t="shared" si="742"/>
        <v>PRBND'!</v>
      </c>
      <c r="F3126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26" s="32" t="s">
        <v>123</v>
      </c>
      <c r="H3126" s="33"/>
      <c r="I3126" s="33"/>
      <c r="J3126" s="37"/>
    </row>
    <row r="3127" spans="1:10" x14ac:dyDescent="0.35">
      <c r="A3127" s="32" t="s">
        <v>19</v>
      </c>
      <c r="B3127" s="32">
        <f t="shared" si="744"/>
        <v>2032</v>
      </c>
      <c r="C3127" s="33" t="s">
        <v>110</v>
      </c>
      <c r="D3127" s="34" t="s">
        <v>128</v>
      </c>
      <c r="E3127" s="35" t="str">
        <f t="shared" si="742"/>
        <v>PRBND'!</v>
      </c>
      <c r="F3127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27" s="32" t="s">
        <v>123</v>
      </c>
      <c r="H3127" s="33"/>
      <c r="I3127" s="33"/>
      <c r="J3127" s="37"/>
    </row>
    <row r="3128" spans="1:10" x14ac:dyDescent="0.35">
      <c r="A3128" s="32" t="s">
        <v>19</v>
      </c>
      <c r="B3128" s="32">
        <f t="shared" si="744"/>
        <v>2033</v>
      </c>
      <c r="C3128" s="33" t="s">
        <v>110</v>
      </c>
      <c r="D3128" s="34" t="s">
        <v>128</v>
      </c>
      <c r="E3128" s="35" t="str">
        <f t="shared" si="742"/>
        <v>PRBND'!</v>
      </c>
      <c r="F3128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28" s="32" t="s">
        <v>123</v>
      </c>
      <c r="H3128" s="33"/>
      <c r="I3128" s="33"/>
      <c r="J3128" s="37"/>
    </row>
    <row r="3129" spans="1:10" x14ac:dyDescent="0.35">
      <c r="A3129" s="32" t="s">
        <v>19</v>
      </c>
      <c r="B3129" s="32">
        <f t="shared" si="744"/>
        <v>2034</v>
      </c>
      <c r="C3129" s="33" t="s">
        <v>110</v>
      </c>
      <c r="D3129" s="34" t="s">
        <v>128</v>
      </c>
      <c r="E3129" s="35" t="str">
        <f t="shared" si="742"/>
        <v>PRBND'!</v>
      </c>
      <c r="F3129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29" s="32" t="s">
        <v>123</v>
      </c>
      <c r="H3129" s="33"/>
      <c r="I3129" s="33"/>
      <c r="J3129" s="37"/>
    </row>
    <row r="3130" spans="1:10" x14ac:dyDescent="0.35">
      <c r="A3130" s="32" t="s">
        <v>19</v>
      </c>
      <c r="B3130" s="32">
        <f t="shared" si="744"/>
        <v>2035</v>
      </c>
      <c r="C3130" s="33" t="s">
        <v>110</v>
      </c>
      <c r="D3130" s="34" t="s">
        <v>128</v>
      </c>
      <c r="E3130" s="35" t="str">
        <f t="shared" si="742"/>
        <v>PRBND'!</v>
      </c>
      <c r="F3130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30" s="32" t="s">
        <v>123</v>
      </c>
      <c r="H3130" s="33"/>
      <c r="I3130" s="33"/>
      <c r="J3130" s="37"/>
    </row>
    <row r="3131" spans="1:10" x14ac:dyDescent="0.35">
      <c r="A3131" s="32" t="s">
        <v>19</v>
      </c>
      <c r="B3131" s="32">
        <f t="shared" si="744"/>
        <v>2036</v>
      </c>
      <c r="C3131" s="33" t="s">
        <v>110</v>
      </c>
      <c r="D3131" s="34" t="s">
        <v>128</v>
      </c>
      <c r="E3131" s="35" t="str">
        <f t="shared" si="742"/>
        <v>PRBND'!</v>
      </c>
      <c r="F3131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31" s="32" t="s">
        <v>123</v>
      </c>
      <c r="H3131" s="33"/>
      <c r="I3131" s="33"/>
      <c r="J3131" s="37"/>
    </row>
    <row r="3132" spans="1:10" x14ac:dyDescent="0.35">
      <c r="A3132" s="32" t="s">
        <v>19</v>
      </c>
      <c r="B3132" s="32">
        <f>+B3131+1</f>
        <v>2037</v>
      </c>
      <c r="C3132" s="33" t="s">
        <v>110</v>
      </c>
      <c r="D3132" s="34" t="s">
        <v>128</v>
      </c>
      <c r="E3132" s="35" t="str">
        <f t="shared" si="742"/>
        <v>PRBND'!</v>
      </c>
      <c r="F3132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32" s="32" t="s">
        <v>123</v>
      </c>
      <c r="H3132" s="33"/>
      <c r="I3132" s="33"/>
      <c r="J3132" s="37"/>
    </row>
    <row r="3133" spans="1:10" x14ac:dyDescent="0.35">
      <c r="A3133" s="32" t="s">
        <v>19</v>
      </c>
      <c r="B3133" s="32">
        <f t="shared" ref="B3133:B3135" si="745">+B3132+1</f>
        <v>2038</v>
      </c>
      <c r="C3133" s="33" t="s">
        <v>110</v>
      </c>
      <c r="D3133" s="34" t="s">
        <v>128</v>
      </c>
      <c r="E3133" s="35" t="str">
        <f t="shared" si="742"/>
        <v>PRBND'!</v>
      </c>
      <c r="F3133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33" s="32" t="s">
        <v>123</v>
      </c>
      <c r="H3133" s="33"/>
      <c r="I3133" s="33"/>
      <c r="J3133" s="37"/>
    </row>
    <row r="3134" spans="1:10" x14ac:dyDescent="0.35">
      <c r="A3134" s="32" t="s">
        <v>19</v>
      </c>
      <c r="B3134" s="32">
        <f t="shared" si="745"/>
        <v>2039</v>
      </c>
      <c r="C3134" s="33" t="s">
        <v>110</v>
      </c>
      <c r="D3134" s="34" t="s">
        <v>128</v>
      </c>
      <c r="E3134" s="35" t="str">
        <f t="shared" si="742"/>
        <v>PRBND'!</v>
      </c>
      <c r="F3134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34" s="32" t="s">
        <v>123</v>
      </c>
      <c r="H3134" s="33"/>
      <c r="I3134" s="33"/>
      <c r="J3134" s="37"/>
    </row>
    <row r="3135" spans="1:10" x14ac:dyDescent="0.35">
      <c r="A3135" s="32" t="s">
        <v>19</v>
      </c>
      <c r="B3135" s="32">
        <f t="shared" si="745"/>
        <v>2040</v>
      </c>
      <c r="C3135" s="33" t="s">
        <v>110</v>
      </c>
      <c r="D3135" s="34" t="s">
        <v>128</v>
      </c>
      <c r="E3135" s="35" t="str">
        <f t="shared" si="742"/>
        <v>PRBND'!</v>
      </c>
      <c r="F3135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35" s="32" t="s">
        <v>123</v>
      </c>
      <c r="H3135" s="33"/>
      <c r="I3135" s="33"/>
      <c r="J3135" s="37"/>
    </row>
    <row r="3136" spans="1:10" x14ac:dyDescent="0.35">
      <c r="A3136" s="32" t="s">
        <v>19</v>
      </c>
      <c r="B3136" s="32">
        <f>+B3135+1</f>
        <v>2041</v>
      </c>
      <c r="C3136" s="33" t="s">
        <v>110</v>
      </c>
      <c r="D3136" s="34" t="s">
        <v>128</v>
      </c>
      <c r="E3136" s="35" t="str">
        <f t="shared" si="742"/>
        <v>PRBND'!</v>
      </c>
      <c r="F3136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36" s="32" t="s">
        <v>123</v>
      </c>
      <c r="H3136" s="33"/>
      <c r="I3136" s="33"/>
      <c r="J3136" s="37"/>
    </row>
    <row r="3137" spans="1:10" x14ac:dyDescent="0.35">
      <c r="A3137" s="32" t="s">
        <v>19</v>
      </c>
      <c r="B3137" s="32">
        <f t="shared" ref="B3137:B3138" si="746">+B3136+1</f>
        <v>2042</v>
      </c>
      <c r="C3137" s="33" t="s">
        <v>110</v>
      </c>
      <c r="D3137" s="34" t="s">
        <v>128</v>
      </c>
      <c r="E3137" s="35" t="str">
        <f t="shared" si="742"/>
        <v>PRBND'!</v>
      </c>
      <c r="F3137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37" s="32" t="s">
        <v>123</v>
      </c>
      <c r="H3137" s="33"/>
      <c r="I3137" s="33"/>
      <c r="J3137" s="37"/>
    </row>
    <row r="3138" spans="1:10" x14ac:dyDescent="0.35">
      <c r="A3138" s="32" t="s">
        <v>19</v>
      </c>
      <c r="B3138" s="32">
        <f t="shared" si="746"/>
        <v>2043</v>
      </c>
      <c r="C3138" s="33" t="s">
        <v>110</v>
      </c>
      <c r="D3138" s="34" t="s">
        <v>128</v>
      </c>
      <c r="E3138" s="35" t="str">
        <f t="shared" si="742"/>
        <v>PRBND'!</v>
      </c>
      <c r="F3138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38" s="32" t="s">
        <v>123</v>
      </c>
      <c r="H3138" s="33"/>
      <c r="I3138" s="33"/>
      <c r="J3138" s="37"/>
    </row>
    <row r="3139" spans="1:10" x14ac:dyDescent="0.35">
      <c r="A3139" s="32" t="s">
        <v>19</v>
      </c>
      <c r="B3139" s="32">
        <f>+B3138+1</f>
        <v>2044</v>
      </c>
      <c r="C3139" s="33" t="s">
        <v>110</v>
      </c>
      <c r="D3139" s="34" t="s">
        <v>128</v>
      </c>
      <c r="E3139" s="35" t="str">
        <f t="shared" ref="E3139:E3154" si="747">_xlfn.CONCAT(A3139,"'!")</f>
        <v>PRBND'!</v>
      </c>
      <c r="F3139" s="34" t="str">
        <f t="shared" ref="F3139:F3154" si="748">_xlfn.CONCAT(D3139:E3139)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39" s="32" t="s">
        <v>123</v>
      </c>
      <c r="H3139" s="33"/>
      <c r="I3139" s="33"/>
      <c r="J3139" s="37"/>
    </row>
    <row r="3140" spans="1:10" x14ac:dyDescent="0.35">
      <c r="A3140" s="32" t="s">
        <v>19</v>
      </c>
      <c r="B3140" s="32">
        <f t="shared" ref="B3140:B3154" si="749">+B3139+1</f>
        <v>2045</v>
      </c>
      <c r="C3140" s="33" t="s">
        <v>110</v>
      </c>
      <c r="D3140" s="34" t="s">
        <v>128</v>
      </c>
      <c r="E3140" s="35" t="str">
        <f t="shared" si="747"/>
        <v>PRBND'!</v>
      </c>
      <c r="F3140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40" s="32" t="s">
        <v>123</v>
      </c>
      <c r="H3140" s="33"/>
      <c r="I3140" s="33"/>
      <c r="J3140" s="37"/>
    </row>
    <row r="3141" spans="1:10" x14ac:dyDescent="0.35">
      <c r="A3141" s="32" t="s">
        <v>19</v>
      </c>
      <c r="B3141" s="32">
        <f t="shared" si="749"/>
        <v>2046</v>
      </c>
      <c r="C3141" s="33" t="s">
        <v>110</v>
      </c>
      <c r="D3141" s="34" t="s">
        <v>128</v>
      </c>
      <c r="E3141" s="35" t="str">
        <f t="shared" si="747"/>
        <v>PRBND'!</v>
      </c>
      <c r="F3141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41" s="32" t="s">
        <v>123</v>
      </c>
      <c r="H3141" s="33"/>
      <c r="I3141" s="33"/>
      <c r="J3141" s="37"/>
    </row>
    <row r="3142" spans="1:10" x14ac:dyDescent="0.35">
      <c r="A3142" s="32" t="s">
        <v>19</v>
      </c>
      <c r="B3142" s="32">
        <f t="shared" si="749"/>
        <v>2047</v>
      </c>
      <c r="C3142" s="33" t="s">
        <v>110</v>
      </c>
      <c r="D3142" s="34" t="s">
        <v>128</v>
      </c>
      <c r="E3142" s="35" t="str">
        <f t="shared" si="747"/>
        <v>PRBND'!</v>
      </c>
      <c r="F3142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42" s="32" t="s">
        <v>123</v>
      </c>
      <c r="H3142" s="33"/>
      <c r="I3142" s="33"/>
      <c r="J3142" s="37"/>
    </row>
    <row r="3143" spans="1:10" x14ac:dyDescent="0.35">
      <c r="A3143" s="32" t="s">
        <v>19</v>
      </c>
      <c r="B3143" s="32">
        <f t="shared" si="749"/>
        <v>2048</v>
      </c>
      <c r="C3143" s="33" t="s">
        <v>110</v>
      </c>
      <c r="D3143" s="34" t="s">
        <v>128</v>
      </c>
      <c r="E3143" s="35" t="str">
        <f t="shared" si="747"/>
        <v>PRBND'!</v>
      </c>
      <c r="F3143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43" s="32" t="s">
        <v>123</v>
      </c>
      <c r="H3143" s="33"/>
      <c r="I3143" s="33"/>
      <c r="J3143" s="37"/>
    </row>
    <row r="3144" spans="1:10" x14ac:dyDescent="0.35">
      <c r="A3144" s="32" t="s">
        <v>19</v>
      </c>
      <c r="B3144" s="32">
        <f t="shared" si="749"/>
        <v>2049</v>
      </c>
      <c r="C3144" s="33" t="s">
        <v>110</v>
      </c>
      <c r="D3144" s="34" t="s">
        <v>128</v>
      </c>
      <c r="E3144" s="35" t="str">
        <f t="shared" si="747"/>
        <v>PRBND'!</v>
      </c>
      <c r="F3144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44" s="32" t="s">
        <v>123</v>
      </c>
      <c r="H3144" s="33"/>
      <c r="I3144" s="33"/>
      <c r="J3144" s="37"/>
    </row>
    <row r="3145" spans="1:10" x14ac:dyDescent="0.35">
      <c r="A3145" s="32" t="s">
        <v>19</v>
      </c>
      <c r="B3145" s="32">
        <f t="shared" si="749"/>
        <v>2050</v>
      </c>
      <c r="C3145" s="33" t="s">
        <v>110</v>
      </c>
      <c r="D3145" s="34" t="s">
        <v>128</v>
      </c>
      <c r="E3145" s="35" t="str">
        <f t="shared" si="747"/>
        <v>PRBND'!</v>
      </c>
      <c r="F3145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45" s="32" t="s">
        <v>123</v>
      </c>
      <c r="H3145" s="33"/>
      <c r="I3145" s="33"/>
      <c r="J3145" s="37"/>
    </row>
    <row r="3146" spans="1:10" x14ac:dyDescent="0.35">
      <c r="A3146" s="32" t="s">
        <v>19</v>
      </c>
      <c r="B3146" s="32">
        <f t="shared" si="749"/>
        <v>2051</v>
      </c>
      <c r="C3146" s="33" t="s">
        <v>110</v>
      </c>
      <c r="D3146" s="34" t="s">
        <v>128</v>
      </c>
      <c r="E3146" s="35" t="str">
        <f t="shared" si="747"/>
        <v>PRBND'!</v>
      </c>
      <c r="F3146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46" s="32" t="s">
        <v>123</v>
      </c>
      <c r="H3146" s="33"/>
      <c r="I3146" s="33"/>
      <c r="J3146" s="37"/>
    </row>
    <row r="3147" spans="1:10" x14ac:dyDescent="0.35">
      <c r="A3147" s="32" t="s">
        <v>19</v>
      </c>
      <c r="B3147" s="32">
        <f t="shared" si="749"/>
        <v>2052</v>
      </c>
      <c r="C3147" s="33" t="s">
        <v>110</v>
      </c>
      <c r="D3147" s="34" t="s">
        <v>128</v>
      </c>
      <c r="E3147" s="35" t="str">
        <f t="shared" si="747"/>
        <v>PRBND'!</v>
      </c>
      <c r="F3147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47" s="32" t="s">
        <v>123</v>
      </c>
      <c r="H3147" s="33"/>
      <c r="I3147" s="33"/>
      <c r="J3147" s="37"/>
    </row>
    <row r="3148" spans="1:10" x14ac:dyDescent="0.35">
      <c r="A3148" s="32" t="s">
        <v>19</v>
      </c>
      <c r="B3148" s="32">
        <f t="shared" si="749"/>
        <v>2053</v>
      </c>
      <c r="C3148" s="33" t="s">
        <v>110</v>
      </c>
      <c r="D3148" s="34" t="s">
        <v>128</v>
      </c>
      <c r="E3148" s="35" t="str">
        <f t="shared" si="747"/>
        <v>PRBND'!</v>
      </c>
      <c r="F3148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48" s="32" t="s">
        <v>123</v>
      </c>
      <c r="H3148" s="33"/>
      <c r="I3148" s="33"/>
      <c r="J3148" s="37"/>
    </row>
    <row r="3149" spans="1:10" x14ac:dyDescent="0.35">
      <c r="A3149" s="32" t="s">
        <v>19</v>
      </c>
      <c r="B3149" s="32">
        <f t="shared" si="749"/>
        <v>2054</v>
      </c>
      <c r="C3149" s="33" t="s">
        <v>110</v>
      </c>
      <c r="D3149" s="34" t="s">
        <v>128</v>
      </c>
      <c r="E3149" s="35" t="str">
        <f t="shared" si="747"/>
        <v>PRBND'!</v>
      </c>
      <c r="F3149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49" s="32" t="s">
        <v>123</v>
      </c>
      <c r="H3149" s="33"/>
      <c r="I3149" s="33"/>
      <c r="J3149" s="37"/>
    </row>
    <row r="3150" spans="1:10" x14ac:dyDescent="0.35">
      <c r="A3150" s="32" t="s">
        <v>19</v>
      </c>
      <c r="B3150" s="32">
        <f t="shared" si="749"/>
        <v>2055</v>
      </c>
      <c r="C3150" s="33" t="s">
        <v>110</v>
      </c>
      <c r="D3150" s="34" t="s">
        <v>128</v>
      </c>
      <c r="E3150" s="35" t="str">
        <f t="shared" si="747"/>
        <v>PRBND'!</v>
      </c>
      <c r="F3150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50" s="32" t="s">
        <v>123</v>
      </c>
      <c r="H3150" s="33"/>
      <c r="I3150" s="33"/>
      <c r="J3150" s="37"/>
    </row>
    <row r="3151" spans="1:10" x14ac:dyDescent="0.35">
      <c r="A3151" s="32" t="s">
        <v>19</v>
      </c>
      <c r="B3151" s="32">
        <f t="shared" si="749"/>
        <v>2056</v>
      </c>
      <c r="C3151" s="33" t="s">
        <v>110</v>
      </c>
      <c r="D3151" s="34" t="s">
        <v>128</v>
      </c>
      <c r="E3151" s="35" t="str">
        <f t="shared" si="747"/>
        <v>PRBND'!</v>
      </c>
      <c r="F3151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51" s="32" t="s">
        <v>123</v>
      </c>
      <c r="H3151" s="33"/>
      <c r="I3151" s="33"/>
      <c r="J3151" s="37"/>
    </row>
    <row r="3152" spans="1:10" x14ac:dyDescent="0.35">
      <c r="A3152" s="32" t="s">
        <v>19</v>
      </c>
      <c r="B3152" s="32">
        <f t="shared" si="749"/>
        <v>2057</v>
      </c>
      <c r="C3152" s="33" t="s">
        <v>110</v>
      </c>
      <c r="D3152" s="34" t="s">
        <v>128</v>
      </c>
      <c r="E3152" s="35" t="str">
        <f t="shared" si="747"/>
        <v>PRBND'!</v>
      </c>
      <c r="F3152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52" s="32" t="s">
        <v>123</v>
      </c>
      <c r="H3152" s="33"/>
      <c r="I3152" s="33"/>
      <c r="J3152" s="37"/>
    </row>
    <row r="3153" spans="1:10" x14ac:dyDescent="0.35">
      <c r="A3153" s="32" t="s">
        <v>19</v>
      </c>
      <c r="B3153" s="32">
        <f t="shared" si="749"/>
        <v>2058</v>
      </c>
      <c r="C3153" s="33" t="s">
        <v>110</v>
      </c>
      <c r="D3153" s="34" t="s">
        <v>128</v>
      </c>
      <c r="E3153" s="35" t="str">
        <f t="shared" si="747"/>
        <v>PRBND'!</v>
      </c>
      <c r="F3153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53" s="32" t="s">
        <v>123</v>
      </c>
      <c r="H3153" s="33"/>
      <c r="I3153" s="33"/>
      <c r="J3153" s="37"/>
    </row>
    <row r="3154" spans="1:10" x14ac:dyDescent="0.35">
      <c r="A3154" s="32" t="s">
        <v>19</v>
      </c>
      <c r="B3154" s="32">
        <f t="shared" si="749"/>
        <v>2059</v>
      </c>
      <c r="C3154" s="33" t="s">
        <v>110</v>
      </c>
      <c r="D3154" s="34" t="s">
        <v>128</v>
      </c>
      <c r="E3154" s="35" t="str">
        <f t="shared" si="747"/>
        <v>PRBND'!</v>
      </c>
      <c r="F3154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54" s="32" t="s">
        <v>123</v>
      </c>
      <c r="H3154" s="33"/>
      <c r="I3154" s="33"/>
      <c r="J3154" s="37"/>
    </row>
    <row r="3155" spans="1:10" x14ac:dyDescent="0.35">
      <c r="A3155" s="32" t="s">
        <v>26</v>
      </c>
      <c r="B3155" s="32"/>
      <c r="C3155" s="33" t="s">
        <v>110</v>
      </c>
      <c r="D3155" s="34"/>
      <c r="E3155" s="35"/>
      <c r="F3155" s="34"/>
      <c r="G3155" s="32"/>
      <c r="H3155" s="33"/>
      <c r="I3155" s="33"/>
      <c r="J3155" s="33"/>
    </row>
    <row r="3156" spans="1:10" x14ac:dyDescent="0.35">
      <c r="A3156" s="32" t="s">
        <v>20</v>
      </c>
      <c r="B3156" s="32">
        <v>2023</v>
      </c>
      <c r="C3156" s="33" t="s">
        <v>110</v>
      </c>
      <c r="D3156" s="34" t="s">
        <v>128</v>
      </c>
      <c r="E3156" s="35" t="str">
        <f t="shared" si="719"/>
        <v>PRB'!</v>
      </c>
      <c r="F3156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56" s="32" t="s">
        <v>123</v>
      </c>
      <c r="H3156" s="33">
        <v>12</v>
      </c>
      <c r="I3156" s="33" t="str">
        <f t="shared" ref="I3156:I3176" si="750">_xlfn.CONCAT("='",F3156:H3156)</f>
        <v>='C:\Users\jaime.benazar\Quorum Business Solutions\Ecopetrol Prometeo - Documents\Planning Space Implementation\3. Analysis &amp; Design\Design\FC22\DRR Jaime\Por presentar a ECP\Cantagallo\Cristalina\[CRISTALINA_CF_SEC_New_09-Feb-2024.xlsx]D-PRB'!$DT$12</v>
      </c>
      <c r="J3156" s="37" t="s">
        <v>1535</v>
      </c>
    </row>
    <row r="3157" spans="1:10" x14ac:dyDescent="0.35">
      <c r="A3157" s="32" t="s">
        <v>20</v>
      </c>
      <c r="B3157" s="32">
        <f>+B3156+1</f>
        <v>2024</v>
      </c>
      <c r="C3157" s="33" t="s">
        <v>110</v>
      </c>
      <c r="D3157" s="34" t="s">
        <v>128</v>
      </c>
      <c r="E3157" s="35" t="str">
        <f t="shared" si="719"/>
        <v>PRB'!</v>
      </c>
      <c r="F3157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57" s="32" t="s">
        <v>123</v>
      </c>
      <c r="H3157" s="33">
        <f t="shared" ref="H3157:H3176" si="751">IF(A3157&lt;&gt;A3156,12,H3156+1)</f>
        <v>13</v>
      </c>
      <c r="I3157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ECP\Cantagallo\Cristalina\[CRISTALINA_CF_SEC_New_09-Feb-2024.xlsx]D-PRB'!$DT$13</v>
      </c>
      <c r="J3157" s="37" t="s">
        <v>1536</v>
      </c>
    </row>
    <row r="3158" spans="1:10" x14ac:dyDescent="0.35">
      <c r="A3158" s="32" t="s">
        <v>20</v>
      </c>
      <c r="B3158" s="32">
        <f t="shared" ref="B3158:B3169" si="752">+B3157+1</f>
        <v>2025</v>
      </c>
      <c r="C3158" s="33" t="s">
        <v>110</v>
      </c>
      <c r="D3158" s="34" t="s">
        <v>128</v>
      </c>
      <c r="E3158" s="35" t="str">
        <f t="shared" si="719"/>
        <v>PRB'!</v>
      </c>
      <c r="F3158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58" s="32" t="s">
        <v>123</v>
      </c>
      <c r="H3158" s="33">
        <f t="shared" si="751"/>
        <v>14</v>
      </c>
      <c r="I3158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ECP\Cantagallo\Cristalina\[CRISTALINA_CF_SEC_New_09-Feb-2024.xlsx]D-PRB'!$DT$14</v>
      </c>
      <c r="J3158" s="37" t="s">
        <v>1537</v>
      </c>
    </row>
    <row r="3159" spans="1:10" x14ac:dyDescent="0.35">
      <c r="A3159" s="32" t="s">
        <v>20</v>
      </c>
      <c r="B3159" s="32">
        <f t="shared" si="752"/>
        <v>2026</v>
      </c>
      <c r="C3159" s="33" t="s">
        <v>110</v>
      </c>
      <c r="D3159" s="34" t="s">
        <v>128</v>
      </c>
      <c r="E3159" s="35" t="str">
        <f t="shared" si="719"/>
        <v>PRB'!</v>
      </c>
      <c r="F3159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59" s="32" t="s">
        <v>123</v>
      </c>
      <c r="H3159" s="33">
        <f t="shared" si="751"/>
        <v>15</v>
      </c>
      <c r="I3159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ECP\Cantagallo\Cristalina\[CRISTALINA_CF_SEC_New_09-Feb-2024.xlsx]D-PRB'!$DT$15</v>
      </c>
      <c r="J3159" s="37" t="s">
        <v>1538</v>
      </c>
    </row>
    <row r="3160" spans="1:10" x14ac:dyDescent="0.35">
      <c r="A3160" s="32" t="s">
        <v>20</v>
      </c>
      <c r="B3160" s="32">
        <f t="shared" si="752"/>
        <v>2027</v>
      </c>
      <c r="C3160" s="33" t="s">
        <v>110</v>
      </c>
      <c r="D3160" s="34" t="s">
        <v>128</v>
      </c>
      <c r="E3160" s="35" t="str">
        <f t="shared" si="719"/>
        <v>PRB'!</v>
      </c>
      <c r="F3160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60" s="32" t="s">
        <v>123</v>
      </c>
      <c r="H3160" s="33">
        <f t="shared" si="751"/>
        <v>16</v>
      </c>
      <c r="I3160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ECP\Cantagallo\Cristalina\[CRISTALINA_CF_SEC_New_09-Feb-2024.xlsx]D-PRB'!$DT$16</v>
      </c>
      <c r="J3160" s="37" t="s">
        <v>1539</v>
      </c>
    </row>
    <row r="3161" spans="1:10" x14ac:dyDescent="0.35">
      <c r="A3161" s="32" t="s">
        <v>20</v>
      </c>
      <c r="B3161" s="32">
        <f t="shared" si="752"/>
        <v>2028</v>
      </c>
      <c r="C3161" s="33" t="s">
        <v>110</v>
      </c>
      <c r="D3161" s="34" t="s">
        <v>128</v>
      </c>
      <c r="E3161" s="35" t="str">
        <f t="shared" si="719"/>
        <v>PRB'!</v>
      </c>
      <c r="F3161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61" s="32" t="s">
        <v>123</v>
      </c>
      <c r="H3161" s="33">
        <f t="shared" si="751"/>
        <v>17</v>
      </c>
      <c r="I3161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ECP\Cantagallo\Cristalina\[CRISTALINA_CF_SEC_New_09-Feb-2024.xlsx]D-PRB'!$DT$17</v>
      </c>
      <c r="J3161" s="37" t="s">
        <v>1540</v>
      </c>
    </row>
    <row r="3162" spans="1:10" x14ac:dyDescent="0.35">
      <c r="A3162" s="32" t="s">
        <v>20</v>
      </c>
      <c r="B3162" s="32">
        <f t="shared" si="752"/>
        <v>2029</v>
      </c>
      <c r="C3162" s="33" t="s">
        <v>110</v>
      </c>
      <c r="D3162" s="34" t="s">
        <v>128</v>
      </c>
      <c r="E3162" s="35" t="str">
        <f t="shared" si="719"/>
        <v>PRB'!</v>
      </c>
      <c r="F3162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62" s="32" t="s">
        <v>123</v>
      </c>
      <c r="H3162" s="33">
        <f t="shared" si="751"/>
        <v>18</v>
      </c>
      <c r="I3162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ECP\Cantagallo\Cristalina\[CRISTALINA_CF_SEC_New_09-Feb-2024.xlsx]D-PRB'!$DT$18</v>
      </c>
      <c r="J3162" s="37" t="s">
        <v>1541</v>
      </c>
    </row>
    <row r="3163" spans="1:10" x14ac:dyDescent="0.35">
      <c r="A3163" s="32" t="s">
        <v>20</v>
      </c>
      <c r="B3163" s="32">
        <f t="shared" si="752"/>
        <v>2030</v>
      </c>
      <c r="C3163" s="33" t="s">
        <v>110</v>
      </c>
      <c r="D3163" s="34" t="s">
        <v>128</v>
      </c>
      <c r="E3163" s="35" t="str">
        <f t="shared" si="719"/>
        <v>PRB'!</v>
      </c>
      <c r="F3163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63" s="32" t="s">
        <v>123</v>
      </c>
      <c r="H3163" s="33">
        <f t="shared" si="751"/>
        <v>19</v>
      </c>
      <c r="I3163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ECP\Cantagallo\Cristalina\[CRISTALINA_CF_SEC_New_09-Feb-2024.xlsx]D-PRB'!$DT$19</v>
      </c>
      <c r="J3163" s="37" t="s">
        <v>1542</v>
      </c>
    </row>
    <row r="3164" spans="1:10" x14ac:dyDescent="0.35">
      <c r="A3164" s="32" t="s">
        <v>20</v>
      </c>
      <c r="B3164" s="32">
        <f t="shared" si="752"/>
        <v>2031</v>
      </c>
      <c r="C3164" s="33" t="s">
        <v>110</v>
      </c>
      <c r="D3164" s="34" t="s">
        <v>128</v>
      </c>
      <c r="E3164" s="35" t="str">
        <f t="shared" si="719"/>
        <v>PRB'!</v>
      </c>
      <c r="F3164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64" s="32" t="s">
        <v>123</v>
      </c>
      <c r="H3164" s="33">
        <f t="shared" si="751"/>
        <v>20</v>
      </c>
      <c r="I3164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ECP\Cantagallo\Cristalina\[CRISTALINA_CF_SEC_New_09-Feb-2024.xlsx]D-PRB'!$DT$20</v>
      </c>
      <c r="J3164" s="37" t="s">
        <v>1543</v>
      </c>
    </row>
    <row r="3165" spans="1:10" x14ac:dyDescent="0.35">
      <c r="A3165" s="32" t="s">
        <v>20</v>
      </c>
      <c r="B3165" s="32">
        <f t="shared" si="752"/>
        <v>2032</v>
      </c>
      <c r="C3165" s="33" t="s">
        <v>110</v>
      </c>
      <c r="D3165" s="34" t="s">
        <v>128</v>
      </c>
      <c r="E3165" s="35" t="str">
        <f t="shared" si="719"/>
        <v>PRB'!</v>
      </c>
      <c r="F3165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65" s="32" t="s">
        <v>123</v>
      </c>
      <c r="H3165" s="33">
        <f t="shared" si="751"/>
        <v>21</v>
      </c>
      <c r="I3165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ECP\Cantagallo\Cristalina\[CRISTALINA_CF_SEC_New_09-Feb-2024.xlsx]D-PRB'!$DT$21</v>
      </c>
      <c r="J3165" s="37" t="s">
        <v>1544</v>
      </c>
    </row>
    <row r="3166" spans="1:10" x14ac:dyDescent="0.35">
      <c r="A3166" s="32" t="s">
        <v>20</v>
      </c>
      <c r="B3166" s="32">
        <f t="shared" si="752"/>
        <v>2033</v>
      </c>
      <c r="C3166" s="33" t="s">
        <v>110</v>
      </c>
      <c r="D3166" s="34" t="s">
        <v>128</v>
      </c>
      <c r="E3166" s="35" t="str">
        <f t="shared" si="719"/>
        <v>PRB'!</v>
      </c>
      <c r="F3166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66" s="32" t="s">
        <v>123</v>
      </c>
      <c r="H3166" s="33">
        <f t="shared" si="751"/>
        <v>22</v>
      </c>
      <c r="I3166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ECP\Cantagallo\Cristalina\[CRISTALINA_CF_SEC_New_09-Feb-2024.xlsx]D-PRB'!$DT$22</v>
      </c>
      <c r="J3166" s="37" t="s">
        <v>1545</v>
      </c>
    </row>
    <row r="3167" spans="1:10" x14ac:dyDescent="0.35">
      <c r="A3167" s="32" t="s">
        <v>20</v>
      </c>
      <c r="B3167" s="32">
        <f t="shared" si="752"/>
        <v>2034</v>
      </c>
      <c r="C3167" s="33" t="s">
        <v>110</v>
      </c>
      <c r="D3167" s="34" t="s">
        <v>128</v>
      </c>
      <c r="E3167" s="35" t="str">
        <f t="shared" si="719"/>
        <v>PRB'!</v>
      </c>
      <c r="F3167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67" s="32" t="s">
        <v>123</v>
      </c>
      <c r="H3167" s="33">
        <f t="shared" si="751"/>
        <v>23</v>
      </c>
      <c r="I3167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ECP\Cantagallo\Cristalina\[CRISTALINA_CF_SEC_New_09-Feb-2024.xlsx]D-PRB'!$DT$23</v>
      </c>
      <c r="J3167" s="37" t="s">
        <v>1546</v>
      </c>
    </row>
    <row r="3168" spans="1:10" x14ac:dyDescent="0.35">
      <c r="A3168" s="32" t="s">
        <v>20</v>
      </c>
      <c r="B3168" s="32">
        <f t="shared" si="752"/>
        <v>2035</v>
      </c>
      <c r="C3168" s="33" t="s">
        <v>110</v>
      </c>
      <c r="D3168" s="34" t="s">
        <v>128</v>
      </c>
      <c r="E3168" s="35" t="str">
        <f t="shared" si="719"/>
        <v>PRB'!</v>
      </c>
      <c r="F3168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68" s="32" t="s">
        <v>123</v>
      </c>
      <c r="H3168" s="33">
        <f t="shared" si="751"/>
        <v>24</v>
      </c>
      <c r="I3168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ECP\Cantagallo\Cristalina\[CRISTALINA_CF_SEC_New_09-Feb-2024.xlsx]D-PRB'!$DT$24</v>
      </c>
      <c r="J3168" s="37" t="s">
        <v>1547</v>
      </c>
    </row>
    <row r="3169" spans="1:10" x14ac:dyDescent="0.35">
      <c r="A3169" s="32" t="s">
        <v>20</v>
      </c>
      <c r="B3169" s="32">
        <f t="shared" si="752"/>
        <v>2036</v>
      </c>
      <c r="C3169" s="33" t="s">
        <v>110</v>
      </c>
      <c r="D3169" s="34" t="s">
        <v>128</v>
      </c>
      <c r="E3169" s="35" t="str">
        <f t="shared" si="719"/>
        <v>PRB'!</v>
      </c>
      <c r="F3169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69" s="32" t="s">
        <v>123</v>
      </c>
      <c r="H3169" s="33">
        <f t="shared" si="751"/>
        <v>25</v>
      </c>
      <c r="I3169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ECP\Cantagallo\Cristalina\[CRISTALINA_CF_SEC_New_09-Feb-2024.xlsx]D-PRB'!$DT$25</v>
      </c>
      <c r="J3169" s="37" t="s">
        <v>1548</v>
      </c>
    </row>
    <row r="3170" spans="1:10" x14ac:dyDescent="0.35">
      <c r="A3170" s="32" t="s">
        <v>20</v>
      </c>
      <c r="B3170" s="32">
        <f>+B3169+1</f>
        <v>2037</v>
      </c>
      <c r="C3170" s="33" t="s">
        <v>110</v>
      </c>
      <c r="D3170" s="34" t="s">
        <v>128</v>
      </c>
      <c r="E3170" s="35" t="str">
        <f t="shared" si="719"/>
        <v>PRB'!</v>
      </c>
      <c r="F3170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70" s="32" t="s">
        <v>123</v>
      </c>
      <c r="H3170" s="33">
        <f t="shared" si="751"/>
        <v>26</v>
      </c>
      <c r="I3170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ECP\Cantagallo\Cristalina\[CRISTALINA_CF_SEC_New_09-Feb-2024.xlsx]D-PRB'!$DT$26</v>
      </c>
      <c r="J3170" s="37" t="s">
        <v>1549</v>
      </c>
    </row>
    <row r="3171" spans="1:10" x14ac:dyDescent="0.35">
      <c r="A3171" s="32" t="s">
        <v>20</v>
      </c>
      <c r="B3171" s="32">
        <f t="shared" ref="B3171:B3173" si="753">+B3170+1</f>
        <v>2038</v>
      </c>
      <c r="C3171" s="33" t="s">
        <v>110</v>
      </c>
      <c r="D3171" s="34" t="s">
        <v>128</v>
      </c>
      <c r="E3171" s="35" t="str">
        <f t="shared" si="719"/>
        <v>PRB'!</v>
      </c>
      <c r="F3171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71" s="32" t="s">
        <v>123</v>
      </c>
      <c r="H3171" s="33">
        <f t="shared" si="751"/>
        <v>27</v>
      </c>
      <c r="I3171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ECP\Cantagallo\Cristalina\[CRISTALINA_CF_SEC_New_09-Feb-2024.xlsx]D-PRB'!$DT$27</v>
      </c>
      <c r="J3171" s="37" t="s">
        <v>1550</v>
      </c>
    </row>
    <row r="3172" spans="1:10" x14ac:dyDescent="0.35">
      <c r="A3172" s="32" t="s">
        <v>20</v>
      </c>
      <c r="B3172" s="32">
        <f t="shared" si="753"/>
        <v>2039</v>
      </c>
      <c r="C3172" s="33" t="s">
        <v>110</v>
      </c>
      <c r="D3172" s="34" t="s">
        <v>128</v>
      </c>
      <c r="E3172" s="35" t="str">
        <f t="shared" si="719"/>
        <v>PRB'!</v>
      </c>
      <c r="F3172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72" s="32" t="s">
        <v>123</v>
      </c>
      <c r="H3172" s="33">
        <f t="shared" si="751"/>
        <v>28</v>
      </c>
      <c r="I3172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ECP\Cantagallo\Cristalina\[CRISTALINA_CF_SEC_New_09-Feb-2024.xlsx]D-PRB'!$DT$28</v>
      </c>
      <c r="J3172" s="37" t="s">
        <v>1551</v>
      </c>
    </row>
    <row r="3173" spans="1:10" x14ac:dyDescent="0.35">
      <c r="A3173" s="32" t="s">
        <v>20</v>
      </c>
      <c r="B3173" s="32">
        <f t="shared" si="753"/>
        <v>2040</v>
      </c>
      <c r="C3173" s="33" t="s">
        <v>110</v>
      </c>
      <c r="D3173" s="34" t="s">
        <v>128</v>
      </c>
      <c r="E3173" s="35" t="str">
        <f t="shared" si="719"/>
        <v>PRB'!</v>
      </c>
      <c r="F3173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73" s="32" t="s">
        <v>123</v>
      </c>
      <c r="H3173" s="33">
        <f t="shared" si="751"/>
        <v>29</v>
      </c>
      <c r="I3173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ECP\Cantagallo\Cristalina\[CRISTALINA_CF_SEC_New_09-Feb-2024.xlsx]D-PRB'!$DT$29</v>
      </c>
      <c r="J3173" s="37" t="s">
        <v>1552</v>
      </c>
    </row>
    <row r="3174" spans="1:10" x14ac:dyDescent="0.35">
      <c r="A3174" s="32" t="s">
        <v>20</v>
      </c>
      <c r="B3174" s="32">
        <f>+B3173+1</f>
        <v>2041</v>
      </c>
      <c r="C3174" s="33" t="s">
        <v>110</v>
      </c>
      <c r="D3174" s="34" t="s">
        <v>128</v>
      </c>
      <c r="E3174" s="35" t="str">
        <f t="shared" si="719"/>
        <v>PRB'!</v>
      </c>
      <c r="F3174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74" s="32" t="s">
        <v>123</v>
      </c>
      <c r="H3174" s="33">
        <f t="shared" si="751"/>
        <v>30</v>
      </c>
      <c r="I3174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ECP\Cantagallo\Cristalina\[CRISTALINA_CF_SEC_New_09-Feb-2024.xlsx]D-PRB'!$DT$30</v>
      </c>
      <c r="J3174" s="37" t="s">
        <v>1553</v>
      </c>
    </row>
    <row r="3175" spans="1:10" x14ac:dyDescent="0.35">
      <c r="A3175" s="32" t="s">
        <v>20</v>
      </c>
      <c r="B3175" s="32">
        <f t="shared" ref="B3175:B3176" si="754">+B3174+1</f>
        <v>2042</v>
      </c>
      <c r="C3175" s="33" t="s">
        <v>110</v>
      </c>
      <c r="D3175" s="34" t="s">
        <v>128</v>
      </c>
      <c r="E3175" s="35" t="str">
        <f t="shared" si="719"/>
        <v>PRB'!</v>
      </c>
      <c r="F3175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75" s="32" t="s">
        <v>123</v>
      </c>
      <c r="H3175" s="33">
        <f t="shared" si="751"/>
        <v>31</v>
      </c>
      <c r="I3175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ECP\Cantagallo\Cristalina\[CRISTALINA_CF_SEC_New_09-Feb-2024.xlsx]D-PRB'!$DT$31</v>
      </c>
      <c r="J3175" s="37" t="s">
        <v>1554</v>
      </c>
    </row>
    <row r="3176" spans="1:10" x14ac:dyDescent="0.35">
      <c r="A3176" s="32" t="s">
        <v>20</v>
      </c>
      <c r="B3176" s="32">
        <f t="shared" si="754"/>
        <v>2043</v>
      </c>
      <c r="C3176" s="33" t="s">
        <v>110</v>
      </c>
      <c r="D3176" s="34" t="s">
        <v>128</v>
      </c>
      <c r="E3176" s="35" t="str">
        <f t="shared" si="719"/>
        <v>PRB'!</v>
      </c>
      <c r="F3176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76" s="32" t="s">
        <v>123</v>
      </c>
      <c r="H3176" s="33">
        <f t="shared" si="751"/>
        <v>32</v>
      </c>
      <c r="I3176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ECP\Cantagallo\Cristalina\[CRISTALINA_CF_SEC_New_09-Feb-2024.xlsx]D-PRB'!$DT$32</v>
      </c>
      <c r="J3176" s="37" t="s">
        <v>1555</v>
      </c>
    </row>
    <row r="3177" spans="1:10" x14ac:dyDescent="0.35">
      <c r="A3177" s="32" t="s">
        <v>20</v>
      </c>
      <c r="B3177" s="32">
        <f>+B3176+1</f>
        <v>2044</v>
      </c>
      <c r="C3177" s="33" t="s">
        <v>110</v>
      </c>
      <c r="D3177" s="34" t="s">
        <v>128</v>
      </c>
      <c r="E3177" s="35" t="str">
        <f t="shared" ref="E3177:E3192" si="755">_xlfn.CONCAT(A3177,"'!")</f>
        <v>PRB'!</v>
      </c>
      <c r="F3177" s="34" t="str">
        <f t="shared" ref="F3177:F3192" si="756">_xlfn.CONCAT(D3177:E3177)</f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77" s="32" t="s">
        <v>123</v>
      </c>
      <c r="H3177" s="33">
        <f t="shared" ref="H3177:H3192" si="757">IF(A3177&lt;&gt;A3176,12,H3176+1)</f>
        <v>33</v>
      </c>
      <c r="I3177" s="33" t="str">
        <f t="shared" ref="I3177:I3192" si="758">_xlfn.CONCAT("='",F3177:H3177)</f>
        <v>='C:\Users\jaime.benazar\Quorum Business Solutions\Ecopetrol Prometeo - Documents\Planning Space Implementation\3. Analysis &amp; Design\Design\FC22\DRR Jaime\Por presentar a ECP\Cantagallo\Cristalina\[CRISTALINA_CF_SEC_New_09-Feb-2024.xlsx]D-PRB'!$DT$33</v>
      </c>
      <c r="J3177" s="37" t="s">
        <v>1556</v>
      </c>
    </row>
    <row r="3178" spans="1:10" x14ac:dyDescent="0.35">
      <c r="A3178" s="32" t="s">
        <v>20</v>
      </c>
      <c r="B3178" s="32">
        <f t="shared" ref="B3178:B3192" si="759">+B3177+1</f>
        <v>2045</v>
      </c>
      <c r="C3178" s="33" t="s">
        <v>110</v>
      </c>
      <c r="D3178" s="34" t="s">
        <v>128</v>
      </c>
      <c r="E3178" s="35" t="str">
        <f t="shared" si="755"/>
        <v>PRB'!</v>
      </c>
      <c r="F3178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78" s="32" t="s">
        <v>123</v>
      </c>
      <c r="H3178" s="33">
        <f t="shared" si="757"/>
        <v>34</v>
      </c>
      <c r="I3178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ECP\Cantagallo\Cristalina\[CRISTALINA_CF_SEC_New_09-Feb-2024.xlsx]D-PRB'!$DT$34</v>
      </c>
      <c r="J3178" s="37" t="s">
        <v>1557</v>
      </c>
    </row>
    <row r="3179" spans="1:10" x14ac:dyDescent="0.35">
      <c r="A3179" s="32" t="s">
        <v>20</v>
      </c>
      <c r="B3179" s="32">
        <f t="shared" si="759"/>
        <v>2046</v>
      </c>
      <c r="C3179" s="33" t="s">
        <v>110</v>
      </c>
      <c r="D3179" s="34" t="s">
        <v>128</v>
      </c>
      <c r="E3179" s="35" t="str">
        <f t="shared" si="755"/>
        <v>PRB'!</v>
      </c>
      <c r="F3179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79" s="32" t="s">
        <v>123</v>
      </c>
      <c r="H3179" s="33">
        <f t="shared" si="757"/>
        <v>35</v>
      </c>
      <c r="I3179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ECP\Cantagallo\Cristalina\[CRISTALINA_CF_SEC_New_09-Feb-2024.xlsx]D-PRB'!$DT$35</v>
      </c>
      <c r="J3179" s="37" t="s">
        <v>1558</v>
      </c>
    </row>
    <row r="3180" spans="1:10" x14ac:dyDescent="0.35">
      <c r="A3180" s="32" t="s">
        <v>20</v>
      </c>
      <c r="B3180" s="32">
        <f t="shared" si="759"/>
        <v>2047</v>
      </c>
      <c r="C3180" s="33" t="s">
        <v>110</v>
      </c>
      <c r="D3180" s="34" t="s">
        <v>128</v>
      </c>
      <c r="E3180" s="35" t="str">
        <f t="shared" si="755"/>
        <v>PRB'!</v>
      </c>
      <c r="F3180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80" s="32" t="s">
        <v>123</v>
      </c>
      <c r="H3180" s="33">
        <f t="shared" si="757"/>
        <v>36</v>
      </c>
      <c r="I3180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ECP\Cantagallo\Cristalina\[CRISTALINA_CF_SEC_New_09-Feb-2024.xlsx]D-PRB'!$DT$36</v>
      </c>
      <c r="J3180" s="37" t="s">
        <v>1559</v>
      </c>
    </row>
    <row r="3181" spans="1:10" x14ac:dyDescent="0.35">
      <c r="A3181" s="32" t="s">
        <v>20</v>
      </c>
      <c r="B3181" s="32">
        <f t="shared" si="759"/>
        <v>2048</v>
      </c>
      <c r="C3181" s="33" t="s">
        <v>110</v>
      </c>
      <c r="D3181" s="34" t="s">
        <v>128</v>
      </c>
      <c r="E3181" s="35" t="str">
        <f t="shared" si="755"/>
        <v>PRB'!</v>
      </c>
      <c r="F3181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81" s="32" t="s">
        <v>123</v>
      </c>
      <c r="H3181" s="33">
        <f t="shared" si="757"/>
        <v>37</v>
      </c>
      <c r="I3181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ECP\Cantagallo\Cristalina\[CRISTALINA_CF_SEC_New_09-Feb-2024.xlsx]D-PRB'!$DT$37</v>
      </c>
      <c r="J3181" s="37" t="s">
        <v>1560</v>
      </c>
    </row>
    <row r="3182" spans="1:10" x14ac:dyDescent="0.35">
      <c r="A3182" s="32" t="s">
        <v>20</v>
      </c>
      <c r="B3182" s="32">
        <f t="shared" si="759"/>
        <v>2049</v>
      </c>
      <c r="C3182" s="33" t="s">
        <v>110</v>
      </c>
      <c r="D3182" s="34" t="s">
        <v>128</v>
      </c>
      <c r="E3182" s="35" t="str">
        <f t="shared" si="755"/>
        <v>PRB'!</v>
      </c>
      <c r="F3182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82" s="32" t="s">
        <v>123</v>
      </c>
      <c r="H3182" s="33">
        <f t="shared" si="757"/>
        <v>38</v>
      </c>
      <c r="I3182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ECP\Cantagallo\Cristalina\[CRISTALINA_CF_SEC_New_09-Feb-2024.xlsx]D-PRB'!$DT$38</v>
      </c>
      <c r="J3182" s="37" t="s">
        <v>1561</v>
      </c>
    </row>
    <row r="3183" spans="1:10" x14ac:dyDescent="0.35">
      <c r="A3183" s="32" t="s">
        <v>20</v>
      </c>
      <c r="B3183" s="32">
        <f t="shared" si="759"/>
        <v>2050</v>
      </c>
      <c r="C3183" s="33" t="s">
        <v>110</v>
      </c>
      <c r="D3183" s="34" t="s">
        <v>128</v>
      </c>
      <c r="E3183" s="35" t="str">
        <f t="shared" si="755"/>
        <v>PRB'!</v>
      </c>
      <c r="F3183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83" s="32" t="s">
        <v>123</v>
      </c>
      <c r="H3183" s="33">
        <f t="shared" si="757"/>
        <v>39</v>
      </c>
      <c r="I3183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ECP\Cantagallo\Cristalina\[CRISTALINA_CF_SEC_New_09-Feb-2024.xlsx]D-PRB'!$DT$39</v>
      </c>
      <c r="J3183" s="37" t="s">
        <v>1562</v>
      </c>
    </row>
    <row r="3184" spans="1:10" x14ac:dyDescent="0.35">
      <c r="A3184" s="32" t="s">
        <v>20</v>
      </c>
      <c r="B3184" s="32">
        <f t="shared" si="759"/>
        <v>2051</v>
      </c>
      <c r="C3184" s="33" t="s">
        <v>110</v>
      </c>
      <c r="D3184" s="34" t="s">
        <v>128</v>
      </c>
      <c r="E3184" s="35" t="str">
        <f t="shared" si="755"/>
        <v>PRB'!</v>
      </c>
      <c r="F3184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84" s="32" t="s">
        <v>123</v>
      </c>
      <c r="H3184" s="33">
        <f t="shared" si="757"/>
        <v>40</v>
      </c>
      <c r="I3184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ECP\Cantagallo\Cristalina\[CRISTALINA_CF_SEC_New_09-Feb-2024.xlsx]D-PRB'!$DT$40</v>
      </c>
      <c r="J3184" s="37" t="s">
        <v>1563</v>
      </c>
    </row>
    <row r="3185" spans="1:10" x14ac:dyDescent="0.35">
      <c r="A3185" s="32" t="s">
        <v>20</v>
      </c>
      <c r="B3185" s="32">
        <f t="shared" si="759"/>
        <v>2052</v>
      </c>
      <c r="C3185" s="33" t="s">
        <v>110</v>
      </c>
      <c r="D3185" s="34" t="s">
        <v>128</v>
      </c>
      <c r="E3185" s="35" t="str">
        <f t="shared" si="755"/>
        <v>PRB'!</v>
      </c>
      <c r="F3185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85" s="32" t="s">
        <v>123</v>
      </c>
      <c r="H3185" s="33">
        <f t="shared" si="757"/>
        <v>41</v>
      </c>
      <c r="I3185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ECP\Cantagallo\Cristalina\[CRISTALINA_CF_SEC_New_09-Feb-2024.xlsx]D-PRB'!$DT$41</v>
      </c>
      <c r="J3185" s="37" t="s">
        <v>1564</v>
      </c>
    </row>
    <row r="3186" spans="1:10" x14ac:dyDescent="0.35">
      <c r="A3186" s="32" t="s">
        <v>20</v>
      </c>
      <c r="B3186" s="32">
        <f t="shared" si="759"/>
        <v>2053</v>
      </c>
      <c r="C3186" s="33" t="s">
        <v>110</v>
      </c>
      <c r="D3186" s="34" t="s">
        <v>128</v>
      </c>
      <c r="E3186" s="35" t="str">
        <f t="shared" si="755"/>
        <v>PRB'!</v>
      </c>
      <c r="F3186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86" s="32" t="s">
        <v>123</v>
      </c>
      <c r="H3186" s="33">
        <f t="shared" si="757"/>
        <v>42</v>
      </c>
      <c r="I3186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ECP\Cantagallo\Cristalina\[CRISTALINA_CF_SEC_New_09-Feb-2024.xlsx]D-PRB'!$DT$42</v>
      </c>
      <c r="J3186" s="37" t="s">
        <v>1565</v>
      </c>
    </row>
    <row r="3187" spans="1:10" x14ac:dyDescent="0.35">
      <c r="A3187" s="32" t="s">
        <v>20</v>
      </c>
      <c r="B3187" s="32">
        <f t="shared" si="759"/>
        <v>2054</v>
      </c>
      <c r="C3187" s="33" t="s">
        <v>110</v>
      </c>
      <c r="D3187" s="34" t="s">
        <v>128</v>
      </c>
      <c r="E3187" s="35" t="str">
        <f t="shared" si="755"/>
        <v>PRB'!</v>
      </c>
      <c r="F3187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87" s="32" t="s">
        <v>123</v>
      </c>
      <c r="H3187" s="33">
        <f t="shared" si="757"/>
        <v>43</v>
      </c>
      <c r="I3187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ECP\Cantagallo\Cristalina\[CRISTALINA_CF_SEC_New_09-Feb-2024.xlsx]D-PRB'!$DT$43</v>
      </c>
      <c r="J3187" s="37" t="s">
        <v>1566</v>
      </c>
    </row>
    <row r="3188" spans="1:10" x14ac:dyDescent="0.35">
      <c r="A3188" s="32" t="s">
        <v>20</v>
      </c>
      <c r="B3188" s="32">
        <f t="shared" si="759"/>
        <v>2055</v>
      </c>
      <c r="C3188" s="33" t="s">
        <v>110</v>
      </c>
      <c r="D3188" s="34" t="s">
        <v>128</v>
      </c>
      <c r="E3188" s="35" t="str">
        <f t="shared" si="755"/>
        <v>PRB'!</v>
      </c>
      <c r="F3188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88" s="32" t="s">
        <v>123</v>
      </c>
      <c r="H3188" s="33">
        <f t="shared" si="757"/>
        <v>44</v>
      </c>
      <c r="I3188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ECP\Cantagallo\Cristalina\[CRISTALINA_CF_SEC_New_09-Feb-2024.xlsx]D-PRB'!$DT$44</v>
      </c>
      <c r="J3188" s="37" t="s">
        <v>1567</v>
      </c>
    </row>
    <row r="3189" spans="1:10" x14ac:dyDescent="0.35">
      <c r="A3189" s="32" t="s">
        <v>20</v>
      </c>
      <c r="B3189" s="32">
        <f t="shared" si="759"/>
        <v>2056</v>
      </c>
      <c r="C3189" s="33" t="s">
        <v>110</v>
      </c>
      <c r="D3189" s="34" t="s">
        <v>128</v>
      </c>
      <c r="E3189" s="35" t="str">
        <f t="shared" si="755"/>
        <v>PRB'!</v>
      </c>
      <c r="F3189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89" s="32" t="s">
        <v>123</v>
      </c>
      <c r="H3189" s="33">
        <f t="shared" si="757"/>
        <v>45</v>
      </c>
      <c r="I3189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ECP\Cantagallo\Cristalina\[CRISTALINA_CF_SEC_New_09-Feb-2024.xlsx]D-PRB'!$DT$45</v>
      </c>
      <c r="J3189" s="37" t="s">
        <v>1568</v>
      </c>
    </row>
    <row r="3190" spans="1:10" x14ac:dyDescent="0.35">
      <c r="A3190" s="32" t="s">
        <v>20</v>
      </c>
      <c r="B3190" s="32">
        <f t="shared" si="759"/>
        <v>2057</v>
      </c>
      <c r="C3190" s="33" t="s">
        <v>110</v>
      </c>
      <c r="D3190" s="34" t="s">
        <v>128</v>
      </c>
      <c r="E3190" s="35" t="str">
        <f t="shared" si="755"/>
        <v>PRB'!</v>
      </c>
      <c r="F3190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90" s="32" t="s">
        <v>123</v>
      </c>
      <c r="H3190" s="33">
        <f t="shared" si="757"/>
        <v>46</v>
      </c>
      <c r="I3190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ECP\Cantagallo\Cristalina\[CRISTALINA_CF_SEC_New_09-Feb-2024.xlsx]D-PRB'!$DT$46</v>
      </c>
      <c r="J3190" s="37" t="s">
        <v>1569</v>
      </c>
    </row>
    <row r="3191" spans="1:10" x14ac:dyDescent="0.35">
      <c r="A3191" s="32" t="s">
        <v>20</v>
      </c>
      <c r="B3191" s="32">
        <f t="shared" si="759"/>
        <v>2058</v>
      </c>
      <c r="C3191" s="33" t="s">
        <v>110</v>
      </c>
      <c r="D3191" s="34" t="s">
        <v>128</v>
      </c>
      <c r="E3191" s="35" t="str">
        <f t="shared" si="755"/>
        <v>PRB'!</v>
      </c>
      <c r="F3191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91" s="32" t="s">
        <v>123</v>
      </c>
      <c r="H3191" s="33">
        <f t="shared" si="757"/>
        <v>47</v>
      </c>
      <c r="I3191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ECP\Cantagallo\Cristalina\[CRISTALINA_CF_SEC_New_09-Feb-2024.xlsx]D-PRB'!$DT$47</v>
      </c>
      <c r="J3191" s="37" t="s">
        <v>1570</v>
      </c>
    </row>
    <row r="3192" spans="1:10" x14ac:dyDescent="0.35">
      <c r="A3192" s="32" t="s">
        <v>20</v>
      </c>
      <c r="B3192" s="32">
        <f t="shared" si="759"/>
        <v>2059</v>
      </c>
      <c r="C3192" s="33" t="s">
        <v>110</v>
      </c>
      <c r="D3192" s="34" t="s">
        <v>128</v>
      </c>
      <c r="E3192" s="35" t="str">
        <f t="shared" si="755"/>
        <v>PRB'!</v>
      </c>
      <c r="F3192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92" s="32" t="s">
        <v>123</v>
      </c>
      <c r="H3192" s="33">
        <f t="shared" si="757"/>
        <v>48</v>
      </c>
      <c r="I3192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ECP\Cantagallo\Cristalina\[CRISTALINA_CF_SEC_New_09-Feb-2024.xlsx]D-PRB'!$DT$48</v>
      </c>
      <c r="J3192" s="37" t="s">
        <v>1571</v>
      </c>
    </row>
    <row r="3193" spans="1:10" x14ac:dyDescent="0.35">
      <c r="A3193" s="32" t="s">
        <v>26</v>
      </c>
      <c r="B3193" s="32"/>
      <c r="C3193" s="33" t="s">
        <v>110</v>
      </c>
      <c r="D3193" s="34"/>
      <c r="E3193" s="35"/>
      <c r="F3193" s="34"/>
      <c r="G3193" s="32"/>
      <c r="H3193" s="33"/>
      <c r="I3193" s="33"/>
      <c r="J3193" s="33"/>
    </row>
    <row r="3194" spans="1:10" x14ac:dyDescent="0.35">
      <c r="A3194" s="32" t="s">
        <v>21</v>
      </c>
      <c r="B3194" s="32">
        <v>2023</v>
      </c>
      <c r="C3194" s="33" t="s">
        <v>110</v>
      </c>
      <c r="D3194" s="34" t="s">
        <v>128</v>
      </c>
      <c r="E3194" s="35" t="str">
        <f t="shared" ref="E3194:E3285" si="760">_xlfn.CONCAT(A3194,"'!")</f>
        <v>PSDP'!</v>
      </c>
      <c r="F3194" s="34" t="str">
        <f t="shared" ref="F3194:F3214" si="761">_xlfn.CONCAT(D3194:E3194)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194" s="32" t="s">
        <v>123</v>
      </c>
      <c r="H3194" s="33"/>
      <c r="I3194" s="33"/>
      <c r="J3194" s="37"/>
    </row>
    <row r="3195" spans="1:10" x14ac:dyDescent="0.35">
      <c r="A3195" s="32" t="s">
        <v>21</v>
      </c>
      <c r="B3195" s="32">
        <f>+B3194+1</f>
        <v>2024</v>
      </c>
      <c r="C3195" s="33" t="s">
        <v>110</v>
      </c>
      <c r="D3195" s="34" t="s">
        <v>128</v>
      </c>
      <c r="E3195" s="35" t="str">
        <f t="shared" si="760"/>
        <v>PSDP'!</v>
      </c>
      <c r="F3195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195" s="32" t="s">
        <v>123</v>
      </c>
      <c r="H3195" s="33"/>
      <c r="I3195" s="33"/>
      <c r="J3195" s="37"/>
    </row>
    <row r="3196" spans="1:10" x14ac:dyDescent="0.35">
      <c r="A3196" s="32" t="s">
        <v>21</v>
      </c>
      <c r="B3196" s="32">
        <f t="shared" ref="B3196:B3207" si="762">+B3195+1</f>
        <v>2025</v>
      </c>
      <c r="C3196" s="33" t="s">
        <v>110</v>
      </c>
      <c r="D3196" s="34" t="s">
        <v>128</v>
      </c>
      <c r="E3196" s="35" t="str">
        <f t="shared" si="760"/>
        <v>PSDP'!</v>
      </c>
      <c r="F3196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196" s="32" t="s">
        <v>123</v>
      </c>
      <c r="H3196" s="33"/>
      <c r="I3196" s="33"/>
      <c r="J3196" s="37"/>
    </row>
    <row r="3197" spans="1:10" x14ac:dyDescent="0.35">
      <c r="A3197" s="32" t="s">
        <v>21</v>
      </c>
      <c r="B3197" s="32">
        <f t="shared" si="762"/>
        <v>2026</v>
      </c>
      <c r="C3197" s="33" t="s">
        <v>110</v>
      </c>
      <c r="D3197" s="34" t="s">
        <v>128</v>
      </c>
      <c r="E3197" s="35" t="str">
        <f t="shared" si="760"/>
        <v>PSDP'!</v>
      </c>
      <c r="F3197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197" s="32" t="s">
        <v>123</v>
      </c>
      <c r="H3197" s="33"/>
      <c r="I3197" s="33"/>
      <c r="J3197" s="37"/>
    </row>
    <row r="3198" spans="1:10" x14ac:dyDescent="0.35">
      <c r="A3198" s="32" t="s">
        <v>21</v>
      </c>
      <c r="B3198" s="32">
        <f t="shared" si="762"/>
        <v>2027</v>
      </c>
      <c r="C3198" s="33" t="s">
        <v>110</v>
      </c>
      <c r="D3198" s="34" t="s">
        <v>128</v>
      </c>
      <c r="E3198" s="35" t="str">
        <f t="shared" si="760"/>
        <v>PSDP'!</v>
      </c>
      <c r="F3198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198" s="32" t="s">
        <v>123</v>
      </c>
      <c r="H3198" s="33"/>
      <c r="I3198" s="33"/>
      <c r="J3198" s="37"/>
    </row>
    <row r="3199" spans="1:10" x14ac:dyDescent="0.35">
      <c r="A3199" s="32" t="s">
        <v>21</v>
      </c>
      <c r="B3199" s="32">
        <f t="shared" si="762"/>
        <v>2028</v>
      </c>
      <c r="C3199" s="33" t="s">
        <v>110</v>
      </c>
      <c r="D3199" s="34" t="s">
        <v>128</v>
      </c>
      <c r="E3199" s="35" t="str">
        <f t="shared" si="760"/>
        <v>PSDP'!</v>
      </c>
      <c r="F3199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199" s="32" t="s">
        <v>123</v>
      </c>
      <c r="H3199" s="33"/>
      <c r="I3199" s="33"/>
      <c r="J3199" s="37"/>
    </row>
    <row r="3200" spans="1:10" x14ac:dyDescent="0.35">
      <c r="A3200" s="32" t="s">
        <v>21</v>
      </c>
      <c r="B3200" s="32">
        <f t="shared" si="762"/>
        <v>2029</v>
      </c>
      <c r="C3200" s="33" t="s">
        <v>110</v>
      </c>
      <c r="D3200" s="34" t="s">
        <v>128</v>
      </c>
      <c r="E3200" s="35" t="str">
        <f t="shared" si="760"/>
        <v>PSDP'!</v>
      </c>
      <c r="F3200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00" s="32" t="s">
        <v>123</v>
      </c>
      <c r="H3200" s="33"/>
      <c r="I3200" s="33"/>
      <c r="J3200" s="37"/>
    </row>
    <row r="3201" spans="1:10" x14ac:dyDescent="0.35">
      <c r="A3201" s="32" t="s">
        <v>21</v>
      </c>
      <c r="B3201" s="32">
        <f t="shared" si="762"/>
        <v>2030</v>
      </c>
      <c r="C3201" s="33" t="s">
        <v>110</v>
      </c>
      <c r="D3201" s="34" t="s">
        <v>128</v>
      </c>
      <c r="E3201" s="35" t="str">
        <f t="shared" si="760"/>
        <v>PSDP'!</v>
      </c>
      <c r="F3201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01" s="32" t="s">
        <v>123</v>
      </c>
      <c r="H3201" s="33"/>
      <c r="I3201" s="33"/>
      <c r="J3201" s="37"/>
    </row>
    <row r="3202" spans="1:10" x14ac:dyDescent="0.35">
      <c r="A3202" s="32" t="s">
        <v>21</v>
      </c>
      <c r="B3202" s="32">
        <f t="shared" si="762"/>
        <v>2031</v>
      </c>
      <c r="C3202" s="33" t="s">
        <v>110</v>
      </c>
      <c r="D3202" s="34" t="s">
        <v>128</v>
      </c>
      <c r="E3202" s="35" t="str">
        <f t="shared" si="760"/>
        <v>PSDP'!</v>
      </c>
      <c r="F3202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02" s="32" t="s">
        <v>123</v>
      </c>
      <c r="H3202" s="33"/>
      <c r="I3202" s="33"/>
      <c r="J3202" s="37"/>
    </row>
    <row r="3203" spans="1:10" x14ac:dyDescent="0.35">
      <c r="A3203" s="32" t="s">
        <v>21</v>
      </c>
      <c r="B3203" s="32">
        <f t="shared" si="762"/>
        <v>2032</v>
      </c>
      <c r="C3203" s="33" t="s">
        <v>110</v>
      </c>
      <c r="D3203" s="34" t="s">
        <v>128</v>
      </c>
      <c r="E3203" s="35" t="str">
        <f t="shared" si="760"/>
        <v>PSDP'!</v>
      </c>
      <c r="F3203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03" s="32" t="s">
        <v>123</v>
      </c>
      <c r="H3203" s="33"/>
      <c r="I3203" s="33"/>
      <c r="J3203" s="37"/>
    </row>
    <row r="3204" spans="1:10" x14ac:dyDescent="0.35">
      <c r="A3204" s="32" t="s">
        <v>21</v>
      </c>
      <c r="B3204" s="32">
        <f t="shared" si="762"/>
        <v>2033</v>
      </c>
      <c r="C3204" s="33" t="s">
        <v>110</v>
      </c>
      <c r="D3204" s="34" t="s">
        <v>128</v>
      </c>
      <c r="E3204" s="35" t="str">
        <f t="shared" si="760"/>
        <v>PSDP'!</v>
      </c>
      <c r="F3204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04" s="32" t="s">
        <v>123</v>
      </c>
      <c r="H3204" s="33"/>
      <c r="I3204" s="33"/>
      <c r="J3204" s="37"/>
    </row>
    <row r="3205" spans="1:10" x14ac:dyDescent="0.35">
      <c r="A3205" s="32" t="s">
        <v>21</v>
      </c>
      <c r="B3205" s="32">
        <f t="shared" si="762"/>
        <v>2034</v>
      </c>
      <c r="C3205" s="33" t="s">
        <v>110</v>
      </c>
      <c r="D3205" s="34" t="s">
        <v>128</v>
      </c>
      <c r="E3205" s="35" t="str">
        <f t="shared" si="760"/>
        <v>PSDP'!</v>
      </c>
      <c r="F3205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05" s="32" t="s">
        <v>123</v>
      </c>
      <c r="H3205" s="33"/>
      <c r="I3205" s="33"/>
      <c r="J3205" s="37"/>
    </row>
    <row r="3206" spans="1:10" x14ac:dyDescent="0.35">
      <c r="A3206" s="32" t="s">
        <v>21</v>
      </c>
      <c r="B3206" s="32">
        <f t="shared" si="762"/>
        <v>2035</v>
      </c>
      <c r="C3206" s="33" t="s">
        <v>110</v>
      </c>
      <c r="D3206" s="34" t="s">
        <v>128</v>
      </c>
      <c r="E3206" s="35" t="str">
        <f t="shared" si="760"/>
        <v>PSDP'!</v>
      </c>
      <c r="F3206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06" s="32" t="s">
        <v>123</v>
      </c>
      <c r="H3206" s="33"/>
      <c r="I3206" s="33"/>
      <c r="J3206" s="37"/>
    </row>
    <row r="3207" spans="1:10" x14ac:dyDescent="0.35">
      <c r="A3207" s="32" t="s">
        <v>21</v>
      </c>
      <c r="B3207" s="32">
        <f t="shared" si="762"/>
        <v>2036</v>
      </c>
      <c r="C3207" s="33" t="s">
        <v>110</v>
      </c>
      <c r="D3207" s="34" t="s">
        <v>128</v>
      </c>
      <c r="E3207" s="35" t="str">
        <f t="shared" si="760"/>
        <v>PSDP'!</v>
      </c>
      <c r="F3207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07" s="32" t="s">
        <v>123</v>
      </c>
      <c r="H3207" s="33"/>
      <c r="I3207" s="33"/>
      <c r="J3207" s="37"/>
    </row>
    <row r="3208" spans="1:10" x14ac:dyDescent="0.35">
      <c r="A3208" s="32" t="s">
        <v>21</v>
      </c>
      <c r="B3208" s="32">
        <f>+B3207+1</f>
        <v>2037</v>
      </c>
      <c r="C3208" s="33" t="s">
        <v>110</v>
      </c>
      <c r="D3208" s="34" t="s">
        <v>128</v>
      </c>
      <c r="E3208" s="35" t="str">
        <f t="shared" si="760"/>
        <v>PSDP'!</v>
      </c>
      <c r="F3208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08" s="32" t="s">
        <v>123</v>
      </c>
      <c r="H3208" s="33"/>
      <c r="I3208" s="33"/>
      <c r="J3208" s="37"/>
    </row>
    <row r="3209" spans="1:10" x14ac:dyDescent="0.35">
      <c r="A3209" s="32" t="s">
        <v>21</v>
      </c>
      <c r="B3209" s="32">
        <f t="shared" ref="B3209:B3211" si="763">+B3208+1</f>
        <v>2038</v>
      </c>
      <c r="C3209" s="33" t="s">
        <v>110</v>
      </c>
      <c r="D3209" s="34" t="s">
        <v>128</v>
      </c>
      <c r="E3209" s="35" t="str">
        <f t="shared" si="760"/>
        <v>PSDP'!</v>
      </c>
      <c r="F3209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09" s="32" t="s">
        <v>123</v>
      </c>
      <c r="H3209" s="33"/>
      <c r="I3209" s="33"/>
      <c r="J3209" s="37"/>
    </row>
    <row r="3210" spans="1:10" x14ac:dyDescent="0.35">
      <c r="A3210" s="32" t="s">
        <v>21</v>
      </c>
      <c r="B3210" s="32">
        <f t="shared" si="763"/>
        <v>2039</v>
      </c>
      <c r="C3210" s="33" t="s">
        <v>110</v>
      </c>
      <c r="D3210" s="34" t="s">
        <v>128</v>
      </c>
      <c r="E3210" s="35" t="str">
        <f t="shared" si="760"/>
        <v>PSDP'!</v>
      </c>
      <c r="F3210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10" s="32" t="s">
        <v>123</v>
      </c>
      <c r="H3210" s="33"/>
      <c r="I3210" s="33"/>
      <c r="J3210" s="37"/>
    </row>
    <row r="3211" spans="1:10" x14ac:dyDescent="0.35">
      <c r="A3211" s="32" t="s">
        <v>21</v>
      </c>
      <c r="B3211" s="32">
        <f t="shared" si="763"/>
        <v>2040</v>
      </c>
      <c r="C3211" s="33" t="s">
        <v>110</v>
      </c>
      <c r="D3211" s="34" t="s">
        <v>128</v>
      </c>
      <c r="E3211" s="35" t="str">
        <f t="shared" si="760"/>
        <v>PSDP'!</v>
      </c>
      <c r="F3211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11" s="32" t="s">
        <v>123</v>
      </c>
      <c r="H3211" s="33"/>
      <c r="I3211" s="33"/>
      <c r="J3211" s="37"/>
    </row>
    <row r="3212" spans="1:10" x14ac:dyDescent="0.35">
      <c r="A3212" s="32" t="s">
        <v>21</v>
      </c>
      <c r="B3212" s="32">
        <f>+B3211+1</f>
        <v>2041</v>
      </c>
      <c r="C3212" s="33" t="s">
        <v>110</v>
      </c>
      <c r="D3212" s="34" t="s">
        <v>128</v>
      </c>
      <c r="E3212" s="35" t="str">
        <f t="shared" si="760"/>
        <v>PSDP'!</v>
      </c>
      <c r="F3212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12" s="32" t="s">
        <v>123</v>
      </c>
      <c r="H3212" s="33"/>
      <c r="I3212" s="33"/>
      <c r="J3212" s="37"/>
    </row>
    <row r="3213" spans="1:10" x14ac:dyDescent="0.35">
      <c r="A3213" s="32" t="s">
        <v>21</v>
      </c>
      <c r="B3213" s="32">
        <f t="shared" ref="B3213:B3214" si="764">+B3212+1</f>
        <v>2042</v>
      </c>
      <c r="C3213" s="33" t="s">
        <v>110</v>
      </c>
      <c r="D3213" s="34" t="s">
        <v>128</v>
      </c>
      <c r="E3213" s="35" t="str">
        <f t="shared" si="760"/>
        <v>PSDP'!</v>
      </c>
      <c r="F3213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13" s="32" t="s">
        <v>123</v>
      </c>
      <c r="H3213" s="33"/>
      <c r="I3213" s="33"/>
      <c r="J3213" s="37"/>
    </row>
    <row r="3214" spans="1:10" x14ac:dyDescent="0.35">
      <c r="A3214" s="32" t="s">
        <v>21</v>
      </c>
      <c r="B3214" s="32">
        <f t="shared" si="764"/>
        <v>2043</v>
      </c>
      <c r="C3214" s="33" t="s">
        <v>110</v>
      </c>
      <c r="D3214" s="34" t="s">
        <v>128</v>
      </c>
      <c r="E3214" s="35" t="str">
        <f t="shared" si="760"/>
        <v>PSDP'!</v>
      </c>
      <c r="F3214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14" s="32" t="s">
        <v>123</v>
      </c>
      <c r="H3214" s="33"/>
      <c r="I3214" s="33"/>
      <c r="J3214" s="37"/>
    </row>
    <row r="3215" spans="1:10" x14ac:dyDescent="0.35">
      <c r="A3215" s="32" t="s">
        <v>21</v>
      </c>
      <c r="B3215" s="32">
        <f>+B3214+1</f>
        <v>2044</v>
      </c>
      <c r="C3215" s="33" t="s">
        <v>110</v>
      </c>
      <c r="D3215" s="34" t="s">
        <v>128</v>
      </c>
      <c r="E3215" s="35" t="str">
        <f t="shared" ref="E3215:E3230" si="765">_xlfn.CONCAT(A3215,"'!")</f>
        <v>PSDP'!</v>
      </c>
      <c r="F3215" s="34" t="str">
        <f t="shared" ref="F3215:F3230" si="766">_xlfn.CONCAT(D3215:E3215)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15" s="32" t="s">
        <v>123</v>
      </c>
      <c r="H3215" s="33"/>
      <c r="I3215" s="33"/>
      <c r="J3215" s="37"/>
    </row>
    <row r="3216" spans="1:10" x14ac:dyDescent="0.35">
      <c r="A3216" s="32" t="s">
        <v>21</v>
      </c>
      <c r="B3216" s="32">
        <f t="shared" ref="B3216:B3230" si="767">+B3215+1</f>
        <v>2045</v>
      </c>
      <c r="C3216" s="33" t="s">
        <v>110</v>
      </c>
      <c r="D3216" s="34" t="s">
        <v>128</v>
      </c>
      <c r="E3216" s="35" t="str">
        <f t="shared" si="765"/>
        <v>PSDP'!</v>
      </c>
      <c r="F3216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16" s="32" t="s">
        <v>123</v>
      </c>
      <c r="H3216" s="33"/>
      <c r="I3216" s="33"/>
      <c r="J3216" s="37"/>
    </row>
    <row r="3217" spans="1:10" x14ac:dyDescent="0.35">
      <c r="A3217" s="32" t="s">
        <v>21</v>
      </c>
      <c r="B3217" s="32">
        <f t="shared" si="767"/>
        <v>2046</v>
      </c>
      <c r="C3217" s="33" t="s">
        <v>110</v>
      </c>
      <c r="D3217" s="34" t="s">
        <v>128</v>
      </c>
      <c r="E3217" s="35" t="str">
        <f t="shared" si="765"/>
        <v>PSDP'!</v>
      </c>
      <c r="F3217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17" s="32" t="s">
        <v>123</v>
      </c>
      <c r="H3217" s="33"/>
      <c r="I3217" s="33"/>
      <c r="J3217" s="37"/>
    </row>
    <row r="3218" spans="1:10" x14ac:dyDescent="0.35">
      <c r="A3218" s="32" t="s">
        <v>21</v>
      </c>
      <c r="B3218" s="32">
        <f t="shared" si="767"/>
        <v>2047</v>
      </c>
      <c r="C3218" s="33" t="s">
        <v>110</v>
      </c>
      <c r="D3218" s="34" t="s">
        <v>128</v>
      </c>
      <c r="E3218" s="35" t="str">
        <f t="shared" si="765"/>
        <v>PSDP'!</v>
      </c>
      <c r="F3218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18" s="32" t="s">
        <v>123</v>
      </c>
      <c r="H3218" s="33"/>
      <c r="I3218" s="33"/>
      <c r="J3218" s="37"/>
    </row>
    <row r="3219" spans="1:10" x14ac:dyDescent="0.35">
      <c r="A3219" s="32" t="s">
        <v>21</v>
      </c>
      <c r="B3219" s="32">
        <f t="shared" si="767"/>
        <v>2048</v>
      </c>
      <c r="C3219" s="33" t="s">
        <v>110</v>
      </c>
      <c r="D3219" s="34" t="s">
        <v>128</v>
      </c>
      <c r="E3219" s="35" t="str">
        <f t="shared" si="765"/>
        <v>PSDP'!</v>
      </c>
      <c r="F3219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19" s="32" t="s">
        <v>123</v>
      </c>
      <c r="H3219" s="33"/>
      <c r="I3219" s="33"/>
      <c r="J3219" s="37"/>
    </row>
    <row r="3220" spans="1:10" x14ac:dyDescent="0.35">
      <c r="A3220" s="32" t="s">
        <v>21</v>
      </c>
      <c r="B3220" s="32">
        <f t="shared" si="767"/>
        <v>2049</v>
      </c>
      <c r="C3220" s="33" t="s">
        <v>110</v>
      </c>
      <c r="D3220" s="34" t="s">
        <v>128</v>
      </c>
      <c r="E3220" s="35" t="str">
        <f t="shared" si="765"/>
        <v>PSDP'!</v>
      </c>
      <c r="F3220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20" s="32" t="s">
        <v>123</v>
      </c>
      <c r="H3220" s="33"/>
      <c r="I3220" s="33"/>
      <c r="J3220" s="37"/>
    </row>
    <row r="3221" spans="1:10" x14ac:dyDescent="0.35">
      <c r="A3221" s="32" t="s">
        <v>21</v>
      </c>
      <c r="B3221" s="32">
        <f t="shared" si="767"/>
        <v>2050</v>
      </c>
      <c r="C3221" s="33" t="s">
        <v>110</v>
      </c>
      <c r="D3221" s="34" t="s">
        <v>128</v>
      </c>
      <c r="E3221" s="35" t="str">
        <f t="shared" si="765"/>
        <v>PSDP'!</v>
      </c>
      <c r="F3221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21" s="32" t="s">
        <v>123</v>
      </c>
      <c r="H3221" s="33"/>
      <c r="I3221" s="33"/>
      <c r="J3221" s="37"/>
    </row>
    <row r="3222" spans="1:10" x14ac:dyDescent="0.35">
      <c r="A3222" s="32" t="s">
        <v>21</v>
      </c>
      <c r="B3222" s="32">
        <f t="shared" si="767"/>
        <v>2051</v>
      </c>
      <c r="C3222" s="33" t="s">
        <v>110</v>
      </c>
      <c r="D3222" s="34" t="s">
        <v>128</v>
      </c>
      <c r="E3222" s="35" t="str">
        <f t="shared" si="765"/>
        <v>PSDP'!</v>
      </c>
      <c r="F3222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22" s="32" t="s">
        <v>123</v>
      </c>
      <c r="H3222" s="33"/>
      <c r="I3222" s="33"/>
      <c r="J3222" s="37"/>
    </row>
    <row r="3223" spans="1:10" x14ac:dyDescent="0.35">
      <c r="A3223" s="32" t="s">
        <v>21</v>
      </c>
      <c r="B3223" s="32">
        <f t="shared" si="767"/>
        <v>2052</v>
      </c>
      <c r="C3223" s="33" t="s">
        <v>110</v>
      </c>
      <c r="D3223" s="34" t="s">
        <v>128</v>
      </c>
      <c r="E3223" s="35" t="str">
        <f t="shared" si="765"/>
        <v>PSDP'!</v>
      </c>
      <c r="F3223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23" s="32" t="s">
        <v>123</v>
      </c>
      <c r="H3223" s="33"/>
      <c r="I3223" s="33"/>
      <c r="J3223" s="37"/>
    </row>
    <row r="3224" spans="1:10" x14ac:dyDescent="0.35">
      <c r="A3224" s="32" t="s">
        <v>21</v>
      </c>
      <c r="B3224" s="32">
        <f t="shared" si="767"/>
        <v>2053</v>
      </c>
      <c r="C3224" s="33" t="s">
        <v>110</v>
      </c>
      <c r="D3224" s="34" t="s">
        <v>128</v>
      </c>
      <c r="E3224" s="35" t="str">
        <f t="shared" si="765"/>
        <v>PSDP'!</v>
      </c>
      <c r="F3224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24" s="32" t="s">
        <v>123</v>
      </c>
      <c r="H3224" s="33"/>
      <c r="I3224" s="33"/>
      <c r="J3224" s="37"/>
    </row>
    <row r="3225" spans="1:10" x14ac:dyDescent="0.35">
      <c r="A3225" s="32" t="s">
        <v>21</v>
      </c>
      <c r="B3225" s="32">
        <f t="shared" si="767"/>
        <v>2054</v>
      </c>
      <c r="C3225" s="33" t="s">
        <v>110</v>
      </c>
      <c r="D3225" s="34" t="s">
        <v>128</v>
      </c>
      <c r="E3225" s="35" t="str">
        <f t="shared" si="765"/>
        <v>PSDP'!</v>
      </c>
      <c r="F3225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25" s="32" t="s">
        <v>123</v>
      </c>
      <c r="H3225" s="33"/>
      <c r="I3225" s="33"/>
      <c r="J3225" s="37"/>
    </row>
    <row r="3226" spans="1:10" x14ac:dyDescent="0.35">
      <c r="A3226" s="32" t="s">
        <v>21</v>
      </c>
      <c r="B3226" s="32">
        <f t="shared" si="767"/>
        <v>2055</v>
      </c>
      <c r="C3226" s="33" t="s">
        <v>110</v>
      </c>
      <c r="D3226" s="34" t="s">
        <v>128</v>
      </c>
      <c r="E3226" s="35" t="str">
        <f t="shared" si="765"/>
        <v>PSDP'!</v>
      </c>
      <c r="F3226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26" s="32" t="s">
        <v>123</v>
      </c>
      <c r="H3226" s="33"/>
      <c r="I3226" s="33"/>
      <c r="J3226" s="37"/>
    </row>
    <row r="3227" spans="1:10" x14ac:dyDescent="0.35">
      <c r="A3227" s="32" t="s">
        <v>21</v>
      </c>
      <c r="B3227" s="32">
        <f t="shared" si="767"/>
        <v>2056</v>
      </c>
      <c r="C3227" s="33" t="s">
        <v>110</v>
      </c>
      <c r="D3227" s="34" t="s">
        <v>128</v>
      </c>
      <c r="E3227" s="35" t="str">
        <f t="shared" si="765"/>
        <v>PSDP'!</v>
      </c>
      <c r="F3227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27" s="32" t="s">
        <v>123</v>
      </c>
      <c r="H3227" s="33"/>
      <c r="I3227" s="33"/>
      <c r="J3227" s="37"/>
    </row>
    <row r="3228" spans="1:10" x14ac:dyDescent="0.35">
      <c r="A3228" s="32" t="s">
        <v>21</v>
      </c>
      <c r="B3228" s="32">
        <f t="shared" si="767"/>
        <v>2057</v>
      </c>
      <c r="C3228" s="33" t="s">
        <v>110</v>
      </c>
      <c r="D3228" s="34" t="s">
        <v>128</v>
      </c>
      <c r="E3228" s="35" t="str">
        <f t="shared" si="765"/>
        <v>PSDP'!</v>
      </c>
      <c r="F3228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28" s="32" t="s">
        <v>123</v>
      </c>
      <c r="H3228" s="33"/>
      <c r="I3228" s="33"/>
      <c r="J3228" s="37"/>
    </row>
    <row r="3229" spans="1:10" x14ac:dyDescent="0.35">
      <c r="A3229" s="32" t="s">
        <v>21</v>
      </c>
      <c r="B3229" s="32">
        <f t="shared" si="767"/>
        <v>2058</v>
      </c>
      <c r="C3229" s="33" t="s">
        <v>110</v>
      </c>
      <c r="D3229" s="34" t="s">
        <v>128</v>
      </c>
      <c r="E3229" s="35" t="str">
        <f t="shared" si="765"/>
        <v>PSDP'!</v>
      </c>
      <c r="F3229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29" s="32" t="s">
        <v>123</v>
      </c>
      <c r="H3229" s="33"/>
      <c r="I3229" s="33"/>
      <c r="J3229" s="37"/>
    </row>
    <row r="3230" spans="1:10" x14ac:dyDescent="0.35">
      <c r="A3230" s="32" t="s">
        <v>21</v>
      </c>
      <c r="B3230" s="32">
        <f t="shared" si="767"/>
        <v>2059</v>
      </c>
      <c r="C3230" s="33" t="s">
        <v>110</v>
      </c>
      <c r="D3230" s="34" t="s">
        <v>128</v>
      </c>
      <c r="E3230" s="35" t="str">
        <f t="shared" si="765"/>
        <v>PSDP'!</v>
      </c>
      <c r="F3230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30" s="32" t="s">
        <v>123</v>
      </c>
      <c r="H3230" s="33"/>
      <c r="I3230" s="33"/>
      <c r="J3230" s="37"/>
    </row>
    <row r="3231" spans="1:10" x14ac:dyDescent="0.35">
      <c r="A3231" s="32" t="s">
        <v>26</v>
      </c>
      <c r="B3231" s="32"/>
      <c r="C3231" s="33" t="s">
        <v>110</v>
      </c>
      <c r="D3231" s="34"/>
      <c r="E3231" s="32" t="str">
        <f t="shared" si="760"/>
        <v>Total'!</v>
      </c>
      <c r="F3231" s="33"/>
      <c r="G3231" s="32"/>
      <c r="H3231" s="33"/>
      <c r="I3231" s="33"/>
      <c r="J3231" s="33"/>
    </row>
    <row r="3232" spans="1:10" x14ac:dyDescent="0.35">
      <c r="A3232" s="32" t="s">
        <v>22</v>
      </c>
      <c r="B3232" s="32">
        <v>2023</v>
      </c>
      <c r="C3232" s="33" t="s">
        <v>110</v>
      </c>
      <c r="D3232" s="34" t="s">
        <v>128</v>
      </c>
      <c r="E3232" s="35" t="str">
        <f t="shared" si="760"/>
        <v>PSNP'!</v>
      </c>
      <c r="F3232" s="34" t="str">
        <f t="shared" ref="F3232:F3252" si="768">_xlfn.CONCAT(D3232:E3232)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32" s="32" t="s">
        <v>123</v>
      </c>
      <c r="H3232" s="33"/>
      <c r="I3232" s="33"/>
      <c r="J3232" s="37"/>
    </row>
    <row r="3233" spans="1:10" x14ac:dyDescent="0.35">
      <c r="A3233" s="32" t="s">
        <v>22</v>
      </c>
      <c r="B3233" s="32">
        <f>+B3232+1</f>
        <v>2024</v>
      </c>
      <c r="C3233" s="33" t="s">
        <v>110</v>
      </c>
      <c r="D3233" s="34" t="s">
        <v>128</v>
      </c>
      <c r="E3233" s="35" t="str">
        <f t="shared" si="760"/>
        <v>PSNP'!</v>
      </c>
      <c r="F3233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33" s="32" t="s">
        <v>123</v>
      </c>
      <c r="H3233" s="33"/>
      <c r="I3233" s="33"/>
      <c r="J3233" s="37"/>
    </row>
    <row r="3234" spans="1:10" x14ac:dyDescent="0.35">
      <c r="A3234" s="32" t="s">
        <v>22</v>
      </c>
      <c r="B3234" s="32">
        <f t="shared" ref="B3234:B3245" si="769">+B3233+1</f>
        <v>2025</v>
      </c>
      <c r="C3234" s="33" t="s">
        <v>110</v>
      </c>
      <c r="D3234" s="34" t="s">
        <v>128</v>
      </c>
      <c r="E3234" s="35" t="str">
        <f t="shared" si="760"/>
        <v>PSNP'!</v>
      </c>
      <c r="F3234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34" s="32" t="s">
        <v>123</v>
      </c>
      <c r="H3234" s="33"/>
      <c r="I3234" s="33"/>
      <c r="J3234" s="37"/>
    </row>
    <row r="3235" spans="1:10" x14ac:dyDescent="0.35">
      <c r="A3235" s="32" t="s">
        <v>22</v>
      </c>
      <c r="B3235" s="32">
        <f t="shared" si="769"/>
        <v>2026</v>
      </c>
      <c r="C3235" s="33" t="s">
        <v>110</v>
      </c>
      <c r="D3235" s="34" t="s">
        <v>128</v>
      </c>
      <c r="E3235" s="35" t="str">
        <f t="shared" si="760"/>
        <v>PSNP'!</v>
      </c>
      <c r="F3235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35" s="32" t="s">
        <v>123</v>
      </c>
      <c r="H3235" s="33"/>
      <c r="I3235" s="33"/>
      <c r="J3235" s="37"/>
    </row>
    <row r="3236" spans="1:10" x14ac:dyDescent="0.35">
      <c r="A3236" s="32" t="s">
        <v>22</v>
      </c>
      <c r="B3236" s="32">
        <f t="shared" si="769"/>
        <v>2027</v>
      </c>
      <c r="C3236" s="33" t="s">
        <v>110</v>
      </c>
      <c r="D3236" s="34" t="s">
        <v>128</v>
      </c>
      <c r="E3236" s="35" t="str">
        <f t="shared" si="760"/>
        <v>PSNP'!</v>
      </c>
      <c r="F3236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36" s="32" t="s">
        <v>123</v>
      </c>
      <c r="H3236" s="33"/>
      <c r="I3236" s="33"/>
      <c r="J3236" s="37"/>
    </row>
    <row r="3237" spans="1:10" x14ac:dyDescent="0.35">
      <c r="A3237" s="32" t="s">
        <v>22</v>
      </c>
      <c r="B3237" s="32">
        <f t="shared" si="769"/>
        <v>2028</v>
      </c>
      <c r="C3237" s="33" t="s">
        <v>110</v>
      </c>
      <c r="D3237" s="34" t="s">
        <v>128</v>
      </c>
      <c r="E3237" s="35" t="str">
        <f t="shared" si="760"/>
        <v>PSNP'!</v>
      </c>
      <c r="F3237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37" s="32" t="s">
        <v>123</v>
      </c>
      <c r="H3237" s="33"/>
      <c r="I3237" s="33"/>
      <c r="J3237" s="37"/>
    </row>
    <row r="3238" spans="1:10" x14ac:dyDescent="0.35">
      <c r="A3238" s="32" t="s">
        <v>22</v>
      </c>
      <c r="B3238" s="32">
        <f t="shared" si="769"/>
        <v>2029</v>
      </c>
      <c r="C3238" s="33" t="s">
        <v>110</v>
      </c>
      <c r="D3238" s="34" t="s">
        <v>128</v>
      </c>
      <c r="E3238" s="35" t="str">
        <f t="shared" si="760"/>
        <v>PSNP'!</v>
      </c>
      <c r="F3238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38" s="32" t="s">
        <v>123</v>
      </c>
      <c r="H3238" s="33"/>
      <c r="I3238" s="33"/>
      <c r="J3238" s="37"/>
    </row>
    <row r="3239" spans="1:10" x14ac:dyDescent="0.35">
      <c r="A3239" s="32" t="s">
        <v>22</v>
      </c>
      <c r="B3239" s="32">
        <f t="shared" si="769"/>
        <v>2030</v>
      </c>
      <c r="C3239" s="33" t="s">
        <v>110</v>
      </c>
      <c r="D3239" s="34" t="s">
        <v>128</v>
      </c>
      <c r="E3239" s="35" t="str">
        <f t="shared" si="760"/>
        <v>PSNP'!</v>
      </c>
      <c r="F3239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39" s="32" t="s">
        <v>123</v>
      </c>
      <c r="H3239" s="33"/>
      <c r="I3239" s="33"/>
      <c r="J3239" s="37"/>
    </row>
    <row r="3240" spans="1:10" x14ac:dyDescent="0.35">
      <c r="A3240" s="32" t="s">
        <v>22</v>
      </c>
      <c r="B3240" s="32">
        <f t="shared" si="769"/>
        <v>2031</v>
      </c>
      <c r="C3240" s="33" t="s">
        <v>110</v>
      </c>
      <c r="D3240" s="34" t="s">
        <v>128</v>
      </c>
      <c r="E3240" s="35" t="str">
        <f t="shared" si="760"/>
        <v>PSNP'!</v>
      </c>
      <c r="F3240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40" s="32" t="s">
        <v>123</v>
      </c>
      <c r="H3240" s="33"/>
      <c r="I3240" s="33"/>
      <c r="J3240" s="37"/>
    </row>
    <row r="3241" spans="1:10" x14ac:dyDescent="0.35">
      <c r="A3241" s="32" t="s">
        <v>22</v>
      </c>
      <c r="B3241" s="32">
        <f t="shared" si="769"/>
        <v>2032</v>
      </c>
      <c r="C3241" s="33" t="s">
        <v>110</v>
      </c>
      <c r="D3241" s="34" t="s">
        <v>128</v>
      </c>
      <c r="E3241" s="35" t="str">
        <f t="shared" si="760"/>
        <v>PSNP'!</v>
      </c>
      <c r="F3241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41" s="32" t="s">
        <v>123</v>
      </c>
      <c r="H3241" s="33"/>
      <c r="I3241" s="33"/>
      <c r="J3241" s="37"/>
    </row>
    <row r="3242" spans="1:10" x14ac:dyDescent="0.35">
      <c r="A3242" s="32" t="s">
        <v>22</v>
      </c>
      <c r="B3242" s="32">
        <f t="shared" si="769"/>
        <v>2033</v>
      </c>
      <c r="C3242" s="33" t="s">
        <v>110</v>
      </c>
      <c r="D3242" s="34" t="s">
        <v>128</v>
      </c>
      <c r="E3242" s="35" t="str">
        <f t="shared" si="760"/>
        <v>PSNP'!</v>
      </c>
      <c r="F3242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42" s="32" t="s">
        <v>123</v>
      </c>
      <c r="H3242" s="33"/>
      <c r="I3242" s="33"/>
      <c r="J3242" s="37"/>
    </row>
    <row r="3243" spans="1:10" x14ac:dyDescent="0.35">
      <c r="A3243" s="32" t="s">
        <v>22</v>
      </c>
      <c r="B3243" s="32">
        <f t="shared" si="769"/>
        <v>2034</v>
      </c>
      <c r="C3243" s="33" t="s">
        <v>110</v>
      </c>
      <c r="D3243" s="34" t="s">
        <v>128</v>
      </c>
      <c r="E3243" s="35" t="str">
        <f t="shared" si="760"/>
        <v>PSNP'!</v>
      </c>
      <c r="F3243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43" s="32" t="s">
        <v>123</v>
      </c>
      <c r="H3243" s="33"/>
      <c r="I3243" s="33"/>
      <c r="J3243" s="37"/>
    </row>
    <row r="3244" spans="1:10" x14ac:dyDescent="0.35">
      <c r="A3244" s="32" t="s">
        <v>22</v>
      </c>
      <c r="B3244" s="32">
        <f t="shared" si="769"/>
        <v>2035</v>
      </c>
      <c r="C3244" s="33" t="s">
        <v>110</v>
      </c>
      <c r="D3244" s="34" t="s">
        <v>128</v>
      </c>
      <c r="E3244" s="35" t="str">
        <f t="shared" si="760"/>
        <v>PSNP'!</v>
      </c>
      <c r="F3244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44" s="32" t="s">
        <v>123</v>
      </c>
      <c r="H3244" s="33"/>
      <c r="I3244" s="33"/>
      <c r="J3244" s="37"/>
    </row>
    <row r="3245" spans="1:10" x14ac:dyDescent="0.35">
      <c r="A3245" s="32" t="s">
        <v>22</v>
      </c>
      <c r="B3245" s="32">
        <f t="shared" si="769"/>
        <v>2036</v>
      </c>
      <c r="C3245" s="33" t="s">
        <v>110</v>
      </c>
      <c r="D3245" s="34" t="s">
        <v>128</v>
      </c>
      <c r="E3245" s="35" t="str">
        <f t="shared" si="760"/>
        <v>PSNP'!</v>
      </c>
      <c r="F3245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45" s="32" t="s">
        <v>123</v>
      </c>
      <c r="H3245" s="33"/>
      <c r="I3245" s="33"/>
      <c r="J3245" s="37"/>
    </row>
    <row r="3246" spans="1:10" x14ac:dyDescent="0.35">
      <c r="A3246" s="32" t="s">
        <v>22</v>
      </c>
      <c r="B3246" s="32">
        <f>+B3245+1</f>
        <v>2037</v>
      </c>
      <c r="C3246" s="33" t="s">
        <v>110</v>
      </c>
      <c r="D3246" s="34" t="s">
        <v>128</v>
      </c>
      <c r="E3246" s="35" t="str">
        <f t="shared" si="760"/>
        <v>PSNP'!</v>
      </c>
      <c r="F3246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46" s="32" t="s">
        <v>123</v>
      </c>
      <c r="H3246" s="33"/>
      <c r="I3246" s="33"/>
      <c r="J3246" s="37"/>
    </row>
    <row r="3247" spans="1:10" x14ac:dyDescent="0.35">
      <c r="A3247" s="32" t="s">
        <v>22</v>
      </c>
      <c r="B3247" s="32">
        <f t="shared" ref="B3247:B3249" si="770">+B3246+1</f>
        <v>2038</v>
      </c>
      <c r="C3247" s="33" t="s">
        <v>110</v>
      </c>
      <c r="D3247" s="34" t="s">
        <v>128</v>
      </c>
      <c r="E3247" s="35" t="str">
        <f t="shared" si="760"/>
        <v>PSNP'!</v>
      </c>
      <c r="F3247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47" s="32" t="s">
        <v>123</v>
      </c>
      <c r="H3247" s="33"/>
      <c r="I3247" s="33"/>
      <c r="J3247" s="37"/>
    </row>
    <row r="3248" spans="1:10" x14ac:dyDescent="0.35">
      <c r="A3248" s="32" t="s">
        <v>22</v>
      </c>
      <c r="B3248" s="32">
        <f t="shared" si="770"/>
        <v>2039</v>
      </c>
      <c r="C3248" s="33" t="s">
        <v>110</v>
      </c>
      <c r="D3248" s="34" t="s">
        <v>128</v>
      </c>
      <c r="E3248" s="35" t="str">
        <f t="shared" si="760"/>
        <v>PSNP'!</v>
      </c>
      <c r="F3248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48" s="32" t="s">
        <v>123</v>
      </c>
      <c r="H3248" s="33"/>
      <c r="I3248" s="33"/>
      <c r="J3248" s="37"/>
    </row>
    <row r="3249" spans="1:10" x14ac:dyDescent="0.35">
      <c r="A3249" s="32" t="s">
        <v>22</v>
      </c>
      <c r="B3249" s="32">
        <f t="shared" si="770"/>
        <v>2040</v>
      </c>
      <c r="C3249" s="33" t="s">
        <v>110</v>
      </c>
      <c r="D3249" s="34" t="s">
        <v>128</v>
      </c>
      <c r="E3249" s="35" t="str">
        <f t="shared" si="760"/>
        <v>PSNP'!</v>
      </c>
      <c r="F3249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49" s="32" t="s">
        <v>123</v>
      </c>
      <c r="H3249" s="33"/>
      <c r="I3249" s="33"/>
      <c r="J3249" s="37"/>
    </row>
    <row r="3250" spans="1:10" x14ac:dyDescent="0.35">
      <c r="A3250" s="32" t="s">
        <v>22</v>
      </c>
      <c r="B3250" s="32">
        <f>+B3249+1</f>
        <v>2041</v>
      </c>
      <c r="C3250" s="33" t="s">
        <v>110</v>
      </c>
      <c r="D3250" s="34" t="s">
        <v>128</v>
      </c>
      <c r="E3250" s="35" t="str">
        <f t="shared" si="760"/>
        <v>PSNP'!</v>
      </c>
      <c r="F3250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50" s="32" t="s">
        <v>123</v>
      </c>
      <c r="H3250" s="33"/>
      <c r="I3250" s="33"/>
      <c r="J3250" s="37"/>
    </row>
    <row r="3251" spans="1:10" x14ac:dyDescent="0.35">
      <c r="A3251" s="32" t="s">
        <v>22</v>
      </c>
      <c r="B3251" s="32">
        <f t="shared" ref="B3251:B3252" si="771">+B3250+1</f>
        <v>2042</v>
      </c>
      <c r="C3251" s="33" t="s">
        <v>110</v>
      </c>
      <c r="D3251" s="34" t="s">
        <v>128</v>
      </c>
      <c r="E3251" s="35" t="str">
        <f t="shared" si="760"/>
        <v>PSNP'!</v>
      </c>
      <c r="F3251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51" s="32" t="s">
        <v>123</v>
      </c>
      <c r="H3251" s="33"/>
      <c r="I3251" s="33"/>
      <c r="J3251" s="37"/>
    </row>
    <row r="3252" spans="1:10" x14ac:dyDescent="0.35">
      <c r="A3252" s="32" t="s">
        <v>22</v>
      </c>
      <c r="B3252" s="32">
        <f t="shared" si="771"/>
        <v>2043</v>
      </c>
      <c r="C3252" s="33" t="s">
        <v>110</v>
      </c>
      <c r="D3252" s="34" t="s">
        <v>128</v>
      </c>
      <c r="E3252" s="35" t="str">
        <f t="shared" si="760"/>
        <v>PSNP'!</v>
      </c>
      <c r="F3252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52" s="32" t="s">
        <v>123</v>
      </c>
      <c r="H3252" s="33"/>
      <c r="I3252" s="33"/>
      <c r="J3252" s="37"/>
    </row>
    <row r="3253" spans="1:10" x14ac:dyDescent="0.35">
      <c r="A3253" s="32" t="s">
        <v>22</v>
      </c>
      <c r="B3253" s="32">
        <f>+B3252+1</f>
        <v>2044</v>
      </c>
      <c r="C3253" s="33" t="s">
        <v>110</v>
      </c>
      <c r="D3253" s="34" t="s">
        <v>128</v>
      </c>
      <c r="E3253" s="35" t="str">
        <f t="shared" ref="E3253:E3268" si="772">_xlfn.CONCAT(A3253,"'!")</f>
        <v>PSNP'!</v>
      </c>
      <c r="F3253" s="34" t="str">
        <f t="shared" ref="F3253:F3268" si="773">_xlfn.CONCAT(D3253:E3253)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53" s="32" t="s">
        <v>123</v>
      </c>
      <c r="H3253" s="33"/>
      <c r="I3253" s="33"/>
      <c r="J3253" s="37"/>
    </row>
    <row r="3254" spans="1:10" x14ac:dyDescent="0.35">
      <c r="A3254" s="32" t="s">
        <v>22</v>
      </c>
      <c r="B3254" s="32">
        <f t="shared" ref="B3254:B3268" si="774">+B3253+1</f>
        <v>2045</v>
      </c>
      <c r="C3254" s="33" t="s">
        <v>110</v>
      </c>
      <c r="D3254" s="34" t="s">
        <v>128</v>
      </c>
      <c r="E3254" s="35" t="str">
        <f t="shared" si="772"/>
        <v>PSNP'!</v>
      </c>
      <c r="F3254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54" s="32" t="s">
        <v>123</v>
      </c>
      <c r="H3254" s="33"/>
      <c r="I3254" s="33"/>
      <c r="J3254" s="37"/>
    </row>
    <row r="3255" spans="1:10" x14ac:dyDescent="0.35">
      <c r="A3255" s="32" t="s">
        <v>22</v>
      </c>
      <c r="B3255" s="32">
        <f t="shared" si="774"/>
        <v>2046</v>
      </c>
      <c r="C3255" s="33" t="s">
        <v>110</v>
      </c>
      <c r="D3255" s="34" t="s">
        <v>128</v>
      </c>
      <c r="E3255" s="35" t="str">
        <f t="shared" si="772"/>
        <v>PSNP'!</v>
      </c>
      <c r="F3255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55" s="32" t="s">
        <v>123</v>
      </c>
      <c r="H3255" s="33"/>
      <c r="I3255" s="33"/>
      <c r="J3255" s="37"/>
    </row>
    <row r="3256" spans="1:10" x14ac:dyDescent="0.35">
      <c r="A3256" s="32" t="s">
        <v>22</v>
      </c>
      <c r="B3256" s="32">
        <f t="shared" si="774"/>
        <v>2047</v>
      </c>
      <c r="C3256" s="33" t="s">
        <v>110</v>
      </c>
      <c r="D3256" s="34" t="s">
        <v>128</v>
      </c>
      <c r="E3256" s="35" t="str">
        <f t="shared" si="772"/>
        <v>PSNP'!</v>
      </c>
      <c r="F3256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56" s="32" t="s">
        <v>123</v>
      </c>
      <c r="H3256" s="33"/>
      <c r="I3256" s="33"/>
      <c r="J3256" s="37"/>
    </row>
    <row r="3257" spans="1:10" x14ac:dyDescent="0.35">
      <c r="A3257" s="32" t="s">
        <v>22</v>
      </c>
      <c r="B3257" s="32">
        <f t="shared" si="774"/>
        <v>2048</v>
      </c>
      <c r="C3257" s="33" t="s">
        <v>110</v>
      </c>
      <c r="D3257" s="34" t="s">
        <v>128</v>
      </c>
      <c r="E3257" s="35" t="str">
        <f t="shared" si="772"/>
        <v>PSNP'!</v>
      </c>
      <c r="F3257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57" s="32" t="s">
        <v>123</v>
      </c>
      <c r="H3257" s="33"/>
      <c r="I3257" s="33"/>
      <c r="J3257" s="37"/>
    </row>
    <row r="3258" spans="1:10" x14ac:dyDescent="0.35">
      <c r="A3258" s="32" t="s">
        <v>22</v>
      </c>
      <c r="B3258" s="32">
        <f t="shared" si="774"/>
        <v>2049</v>
      </c>
      <c r="C3258" s="33" t="s">
        <v>110</v>
      </c>
      <c r="D3258" s="34" t="s">
        <v>128</v>
      </c>
      <c r="E3258" s="35" t="str">
        <f t="shared" si="772"/>
        <v>PSNP'!</v>
      </c>
      <c r="F3258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58" s="32" t="s">
        <v>123</v>
      </c>
      <c r="H3258" s="33"/>
      <c r="I3258" s="33"/>
      <c r="J3258" s="37"/>
    </row>
    <row r="3259" spans="1:10" x14ac:dyDescent="0.35">
      <c r="A3259" s="32" t="s">
        <v>22</v>
      </c>
      <c r="B3259" s="32">
        <f t="shared" si="774"/>
        <v>2050</v>
      </c>
      <c r="C3259" s="33" t="s">
        <v>110</v>
      </c>
      <c r="D3259" s="34" t="s">
        <v>128</v>
      </c>
      <c r="E3259" s="35" t="str">
        <f t="shared" si="772"/>
        <v>PSNP'!</v>
      </c>
      <c r="F3259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59" s="32" t="s">
        <v>123</v>
      </c>
      <c r="H3259" s="33"/>
      <c r="I3259" s="33"/>
      <c r="J3259" s="37"/>
    </row>
    <row r="3260" spans="1:10" x14ac:dyDescent="0.35">
      <c r="A3260" s="32" t="s">
        <v>22</v>
      </c>
      <c r="B3260" s="32">
        <f t="shared" si="774"/>
        <v>2051</v>
      </c>
      <c r="C3260" s="33" t="s">
        <v>110</v>
      </c>
      <c r="D3260" s="34" t="s">
        <v>128</v>
      </c>
      <c r="E3260" s="35" t="str">
        <f t="shared" si="772"/>
        <v>PSNP'!</v>
      </c>
      <c r="F3260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60" s="32" t="s">
        <v>123</v>
      </c>
      <c r="H3260" s="33"/>
      <c r="I3260" s="33"/>
      <c r="J3260" s="37"/>
    </row>
    <row r="3261" spans="1:10" x14ac:dyDescent="0.35">
      <c r="A3261" s="32" t="s">
        <v>22</v>
      </c>
      <c r="B3261" s="32">
        <f t="shared" si="774"/>
        <v>2052</v>
      </c>
      <c r="C3261" s="33" t="s">
        <v>110</v>
      </c>
      <c r="D3261" s="34" t="s">
        <v>128</v>
      </c>
      <c r="E3261" s="35" t="str">
        <f t="shared" si="772"/>
        <v>PSNP'!</v>
      </c>
      <c r="F3261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61" s="32" t="s">
        <v>123</v>
      </c>
      <c r="H3261" s="33"/>
      <c r="I3261" s="33"/>
      <c r="J3261" s="37"/>
    </row>
    <row r="3262" spans="1:10" x14ac:dyDescent="0.35">
      <c r="A3262" s="32" t="s">
        <v>22</v>
      </c>
      <c r="B3262" s="32">
        <f t="shared" si="774"/>
        <v>2053</v>
      </c>
      <c r="C3262" s="33" t="s">
        <v>110</v>
      </c>
      <c r="D3262" s="34" t="s">
        <v>128</v>
      </c>
      <c r="E3262" s="35" t="str">
        <f t="shared" si="772"/>
        <v>PSNP'!</v>
      </c>
      <c r="F3262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62" s="32" t="s">
        <v>123</v>
      </c>
      <c r="H3262" s="33"/>
      <c r="I3262" s="33"/>
      <c r="J3262" s="37"/>
    </row>
    <row r="3263" spans="1:10" x14ac:dyDescent="0.35">
      <c r="A3263" s="32" t="s">
        <v>22</v>
      </c>
      <c r="B3263" s="32">
        <f t="shared" si="774"/>
        <v>2054</v>
      </c>
      <c r="C3263" s="33" t="s">
        <v>110</v>
      </c>
      <c r="D3263" s="34" t="s">
        <v>128</v>
      </c>
      <c r="E3263" s="35" t="str">
        <f t="shared" si="772"/>
        <v>PSNP'!</v>
      </c>
      <c r="F3263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63" s="32" t="s">
        <v>123</v>
      </c>
      <c r="H3263" s="33"/>
      <c r="I3263" s="33"/>
      <c r="J3263" s="37"/>
    </row>
    <row r="3264" spans="1:10" x14ac:dyDescent="0.35">
      <c r="A3264" s="32" t="s">
        <v>22</v>
      </c>
      <c r="B3264" s="32">
        <f t="shared" si="774"/>
        <v>2055</v>
      </c>
      <c r="C3264" s="33" t="s">
        <v>110</v>
      </c>
      <c r="D3264" s="34" t="s">
        <v>128</v>
      </c>
      <c r="E3264" s="35" t="str">
        <f t="shared" si="772"/>
        <v>PSNP'!</v>
      </c>
      <c r="F3264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64" s="32" t="s">
        <v>123</v>
      </c>
      <c r="H3264" s="33"/>
      <c r="I3264" s="33"/>
      <c r="J3264" s="37"/>
    </row>
    <row r="3265" spans="1:10" x14ac:dyDescent="0.35">
      <c r="A3265" s="32" t="s">
        <v>22</v>
      </c>
      <c r="B3265" s="32">
        <f t="shared" si="774"/>
        <v>2056</v>
      </c>
      <c r="C3265" s="33" t="s">
        <v>110</v>
      </c>
      <c r="D3265" s="34" t="s">
        <v>128</v>
      </c>
      <c r="E3265" s="35" t="str">
        <f t="shared" si="772"/>
        <v>PSNP'!</v>
      </c>
      <c r="F3265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65" s="32" t="s">
        <v>123</v>
      </c>
      <c r="H3265" s="33"/>
      <c r="I3265" s="33"/>
      <c r="J3265" s="37"/>
    </row>
    <row r="3266" spans="1:10" x14ac:dyDescent="0.35">
      <c r="A3266" s="32" t="s">
        <v>22</v>
      </c>
      <c r="B3266" s="32">
        <f t="shared" si="774"/>
        <v>2057</v>
      </c>
      <c r="C3266" s="33" t="s">
        <v>110</v>
      </c>
      <c r="D3266" s="34" t="s">
        <v>128</v>
      </c>
      <c r="E3266" s="35" t="str">
        <f t="shared" si="772"/>
        <v>PSNP'!</v>
      </c>
      <c r="F3266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66" s="32" t="s">
        <v>123</v>
      </c>
      <c r="H3266" s="33"/>
      <c r="I3266" s="33"/>
      <c r="J3266" s="37"/>
    </row>
    <row r="3267" spans="1:10" x14ac:dyDescent="0.35">
      <c r="A3267" s="32" t="s">
        <v>22</v>
      </c>
      <c r="B3267" s="32">
        <f t="shared" si="774"/>
        <v>2058</v>
      </c>
      <c r="C3267" s="33" t="s">
        <v>110</v>
      </c>
      <c r="D3267" s="34" t="s">
        <v>128</v>
      </c>
      <c r="E3267" s="35" t="str">
        <f t="shared" si="772"/>
        <v>PSNP'!</v>
      </c>
      <c r="F3267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67" s="32" t="s">
        <v>123</v>
      </c>
      <c r="H3267" s="33"/>
      <c r="I3267" s="33"/>
      <c r="J3267" s="37"/>
    </row>
    <row r="3268" spans="1:10" x14ac:dyDescent="0.35">
      <c r="A3268" s="32" t="s">
        <v>22</v>
      </c>
      <c r="B3268" s="32">
        <f t="shared" si="774"/>
        <v>2059</v>
      </c>
      <c r="C3268" s="33" t="s">
        <v>110</v>
      </c>
      <c r="D3268" s="34" t="s">
        <v>128</v>
      </c>
      <c r="E3268" s="35" t="str">
        <f t="shared" si="772"/>
        <v>PSNP'!</v>
      </c>
      <c r="F3268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68" s="32" t="s">
        <v>123</v>
      </c>
      <c r="H3268" s="33"/>
      <c r="I3268" s="33"/>
      <c r="J3268" s="37"/>
    </row>
    <row r="3269" spans="1:10" x14ac:dyDescent="0.35">
      <c r="A3269" s="32" t="s">
        <v>26</v>
      </c>
      <c r="B3269" s="32"/>
      <c r="C3269" s="33" t="s">
        <v>110</v>
      </c>
      <c r="D3269" s="34"/>
      <c r="E3269" s="32" t="str">
        <f t="shared" si="760"/>
        <v>Total'!</v>
      </c>
      <c r="F3269" s="33"/>
      <c r="G3269" s="32"/>
      <c r="H3269" s="33"/>
      <c r="I3269" s="33"/>
      <c r="J3269" s="33"/>
    </row>
    <row r="3270" spans="1:10" x14ac:dyDescent="0.35">
      <c r="A3270" s="32" t="s">
        <v>23</v>
      </c>
      <c r="B3270" s="32">
        <v>2023</v>
      </c>
      <c r="C3270" s="33" t="s">
        <v>110</v>
      </c>
      <c r="D3270" s="34" t="s">
        <v>128</v>
      </c>
      <c r="E3270" s="35" t="str">
        <f t="shared" si="760"/>
        <v>PSND'!</v>
      </c>
      <c r="F3270" s="34" t="str">
        <f t="shared" ref="F3270:F3290" si="775">_xlfn.CONCAT(D3270:E3270)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70" s="32" t="s">
        <v>123</v>
      </c>
      <c r="H3270" s="33"/>
      <c r="I3270" s="33"/>
      <c r="J3270" s="37"/>
    </row>
    <row r="3271" spans="1:10" x14ac:dyDescent="0.35">
      <c r="A3271" s="32" t="s">
        <v>23</v>
      </c>
      <c r="B3271" s="32">
        <f>+B3270+1</f>
        <v>2024</v>
      </c>
      <c r="C3271" s="33" t="s">
        <v>110</v>
      </c>
      <c r="D3271" s="34" t="s">
        <v>128</v>
      </c>
      <c r="E3271" s="35" t="str">
        <f t="shared" si="760"/>
        <v>PSND'!</v>
      </c>
      <c r="F3271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71" s="32" t="s">
        <v>123</v>
      </c>
      <c r="H3271" s="33"/>
      <c r="I3271" s="33"/>
      <c r="J3271" s="37"/>
    </row>
    <row r="3272" spans="1:10" x14ac:dyDescent="0.35">
      <c r="A3272" s="32" t="s">
        <v>23</v>
      </c>
      <c r="B3272" s="32">
        <f t="shared" ref="B3272:B3283" si="776">+B3271+1</f>
        <v>2025</v>
      </c>
      <c r="C3272" s="33" t="s">
        <v>110</v>
      </c>
      <c r="D3272" s="34" t="s">
        <v>128</v>
      </c>
      <c r="E3272" s="35" t="str">
        <f t="shared" si="760"/>
        <v>PSND'!</v>
      </c>
      <c r="F3272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72" s="32" t="s">
        <v>123</v>
      </c>
      <c r="H3272" s="33"/>
      <c r="I3272" s="33"/>
      <c r="J3272" s="37"/>
    </row>
    <row r="3273" spans="1:10" x14ac:dyDescent="0.35">
      <c r="A3273" s="32" t="s">
        <v>23</v>
      </c>
      <c r="B3273" s="32">
        <f t="shared" si="776"/>
        <v>2026</v>
      </c>
      <c r="C3273" s="33" t="s">
        <v>110</v>
      </c>
      <c r="D3273" s="34" t="s">
        <v>128</v>
      </c>
      <c r="E3273" s="35" t="str">
        <f t="shared" si="760"/>
        <v>PSND'!</v>
      </c>
      <c r="F3273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73" s="32" t="s">
        <v>123</v>
      </c>
      <c r="H3273" s="33"/>
      <c r="I3273" s="33"/>
      <c r="J3273" s="37"/>
    </row>
    <row r="3274" spans="1:10" x14ac:dyDescent="0.35">
      <c r="A3274" s="32" t="s">
        <v>23</v>
      </c>
      <c r="B3274" s="32">
        <f t="shared" si="776"/>
        <v>2027</v>
      </c>
      <c r="C3274" s="33" t="s">
        <v>110</v>
      </c>
      <c r="D3274" s="34" t="s">
        <v>128</v>
      </c>
      <c r="E3274" s="35" t="str">
        <f t="shared" si="760"/>
        <v>PSND'!</v>
      </c>
      <c r="F3274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74" s="32" t="s">
        <v>123</v>
      </c>
      <c r="H3274" s="33"/>
      <c r="I3274" s="33"/>
      <c r="J3274" s="37"/>
    </row>
    <row r="3275" spans="1:10" x14ac:dyDescent="0.35">
      <c r="A3275" s="32" t="s">
        <v>23</v>
      </c>
      <c r="B3275" s="32">
        <f t="shared" si="776"/>
        <v>2028</v>
      </c>
      <c r="C3275" s="33" t="s">
        <v>110</v>
      </c>
      <c r="D3275" s="34" t="s">
        <v>128</v>
      </c>
      <c r="E3275" s="35" t="str">
        <f t="shared" si="760"/>
        <v>PSND'!</v>
      </c>
      <c r="F3275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75" s="32" t="s">
        <v>123</v>
      </c>
      <c r="H3275" s="33"/>
      <c r="I3275" s="33"/>
      <c r="J3275" s="37"/>
    </row>
    <row r="3276" spans="1:10" x14ac:dyDescent="0.35">
      <c r="A3276" s="32" t="s">
        <v>23</v>
      </c>
      <c r="B3276" s="32">
        <f t="shared" si="776"/>
        <v>2029</v>
      </c>
      <c r="C3276" s="33" t="s">
        <v>110</v>
      </c>
      <c r="D3276" s="34" t="s">
        <v>128</v>
      </c>
      <c r="E3276" s="35" t="str">
        <f t="shared" si="760"/>
        <v>PSND'!</v>
      </c>
      <c r="F3276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76" s="32" t="s">
        <v>123</v>
      </c>
      <c r="H3276" s="33"/>
      <c r="I3276" s="33"/>
      <c r="J3276" s="37"/>
    </row>
    <row r="3277" spans="1:10" x14ac:dyDescent="0.35">
      <c r="A3277" s="32" t="s">
        <v>23</v>
      </c>
      <c r="B3277" s="32">
        <f t="shared" si="776"/>
        <v>2030</v>
      </c>
      <c r="C3277" s="33" t="s">
        <v>110</v>
      </c>
      <c r="D3277" s="34" t="s">
        <v>128</v>
      </c>
      <c r="E3277" s="35" t="str">
        <f t="shared" si="760"/>
        <v>PSND'!</v>
      </c>
      <c r="F3277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77" s="32" t="s">
        <v>123</v>
      </c>
      <c r="H3277" s="33"/>
      <c r="I3277" s="33"/>
      <c r="J3277" s="37"/>
    </row>
    <row r="3278" spans="1:10" x14ac:dyDescent="0.35">
      <c r="A3278" s="32" t="s">
        <v>23</v>
      </c>
      <c r="B3278" s="32">
        <f t="shared" si="776"/>
        <v>2031</v>
      </c>
      <c r="C3278" s="33" t="s">
        <v>110</v>
      </c>
      <c r="D3278" s="34" t="s">
        <v>128</v>
      </c>
      <c r="E3278" s="35" t="str">
        <f t="shared" si="760"/>
        <v>PSND'!</v>
      </c>
      <c r="F3278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78" s="32" t="s">
        <v>123</v>
      </c>
      <c r="H3278" s="33"/>
      <c r="I3278" s="33"/>
      <c r="J3278" s="37"/>
    </row>
    <row r="3279" spans="1:10" x14ac:dyDescent="0.35">
      <c r="A3279" s="32" t="s">
        <v>23</v>
      </c>
      <c r="B3279" s="32">
        <f t="shared" si="776"/>
        <v>2032</v>
      </c>
      <c r="C3279" s="33" t="s">
        <v>110</v>
      </c>
      <c r="D3279" s="34" t="s">
        <v>128</v>
      </c>
      <c r="E3279" s="35" t="str">
        <f t="shared" si="760"/>
        <v>PSND'!</v>
      </c>
      <c r="F3279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79" s="32" t="s">
        <v>123</v>
      </c>
      <c r="H3279" s="33"/>
      <c r="I3279" s="33"/>
      <c r="J3279" s="37"/>
    </row>
    <row r="3280" spans="1:10" x14ac:dyDescent="0.35">
      <c r="A3280" s="32" t="s">
        <v>23</v>
      </c>
      <c r="B3280" s="32">
        <f t="shared" si="776"/>
        <v>2033</v>
      </c>
      <c r="C3280" s="33" t="s">
        <v>110</v>
      </c>
      <c r="D3280" s="34" t="s">
        <v>128</v>
      </c>
      <c r="E3280" s="35" t="str">
        <f t="shared" si="760"/>
        <v>PSND'!</v>
      </c>
      <c r="F3280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80" s="32" t="s">
        <v>123</v>
      </c>
      <c r="H3280" s="33"/>
      <c r="I3280" s="33"/>
      <c r="J3280" s="37"/>
    </row>
    <row r="3281" spans="1:10" x14ac:dyDescent="0.35">
      <c r="A3281" s="32" t="s">
        <v>23</v>
      </c>
      <c r="B3281" s="32">
        <f t="shared" si="776"/>
        <v>2034</v>
      </c>
      <c r="C3281" s="33" t="s">
        <v>110</v>
      </c>
      <c r="D3281" s="34" t="s">
        <v>128</v>
      </c>
      <c r="E3281" s="35" t="str">
        <f t="shared" si="760"/>
        <v>PSND'!</v>
      </c>
      <c r="F3281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81" s="32" t="s">
        <v>123</v>
      </c>
      <c r="H3281" s="33"/>
      <c r="I3281" s="33"/>
      <c r="J3281" s="37"/>
    </row>
    <row r="3282" spans="1:10" x14ac:dyDescent="0.35">
      <c r="A3282" s="32" t="s">
        <v>23</v>
      </c>
      <c r="B3282" s="32">
        <f t="shared" si="776"/>
        <v>2035</v>
      </c>
      <c r="C3282" s="33" t="s">
        <v>110</v>
      </c>
      <c r="D3282" s="34" t="s">
        <v>128</v>
      </c>
      <c r="E3282" s="35" t="str">
        <f t="shared" si="760"/>
        <v>PSND'!</v>
      </c>
      <c r="F3282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82" s="32" t="s">
        <v>123</v>
      </c>
      <c r="H3282" s="33"/>
      <c r="I3282" s="33"/>
      <c r="J3282" s="37"/>
    </row>
    <row r="3283" spans="1:10" x14ac:dyDescent="0.35">
      <c r="A3283" s="32" t="s">
        <v>23</v>
      </c>
      <c r="B3283" s="32">
        <f t="shared" si="776"/>
        <v>2036</v>
      </c>
      <c r="C3283" s="33" t="s">
        <v>110</v>
      </c>
      <c r="D3283" s="34" t="s">
        <v>128</v>
      </c>
      <c r="E3283" s="35" t="str">
        <f t="shared" si="760"/>
        <v>PSND'!</v>
      </c>
      <c r="F3283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83" s="32" t="s">
        <v>123</v>
      </c>
      <c r="H3283" s="33"/>
      <c r="I3283" s="33"/>
      <c r="J3283" s="37"/>
    </row>
    <row r="3284" spans="1:10" x14ac:dyDescent="0.35">
      <c r="A3284" s="32" t="s">
        <v>23</v>
      </c>
      <c r="B3284" s="32">
        <f>+B3283+1</f>
        <v>2037</v>
      </c>
      <c r="C3284" s="33" t="s">
        <v>110</v>
      </c>
      <c r="D3284" s="34" t="s">
        <v>128</v>
      </c>
      <c r="E3284" s="35" t="str">
        <f t="shared" si="760"/>
        <v>PSND'!</v>
      </c>
      <c r="F3284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84" s="32" t="s">
        <v>123</v>
      </c>
      <c r="H3284" s="33"/>
      <c r="I3284" s="33"/>
      <c r="J3284" s="37"/>
    </row>
    <row r="3285" spans="1:10" x14ac:dyDescent="0.35">
      <c r="A3285" s="32" t="s">
        <v>23</v>
      </c>
      <c r="B3285" s="32">
        <f t="shared" ref="B3285:B3287" si="777">+B3284+1</f>
        <v>2038</v>
      </c>
      <c r="C3285" s="33" t="s">
        <v>110</v>
      </c>
      <c r="D3285" s="34" t="s">
        <v>128</v>
      </c>
      <c r="E3285" s="35" t="str">
        <f t="shared" si="760"/>
        <v>PSND'!</v>
      </c>
      <c r="F3285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85" s="32" t="s">
        <v>123</v>
      </c>
      <c r="H3285" s="33"/>
      <c r="I3285" s="33"/>
      <c r="J3285" s="37"/>
    </row>
    <row r="3286" spans="1:10" x14ac:dyDescent="0.35">
      <c r="A3286" s="32" t="s">
        <v>23</v>
      </c>
      <c r="B3286" s="32">
        <f t="shared" si="777"/>
        <v>2039</v>
      </c>
      <c r="C3286" s="33" t="s">
        <v>110</v>
      </c>
      <c r="D3286" s="34" t="s">
        <v>128</v>
      </c>
      <c r="E3286" s="35" t="str">
        <f t="shared" ref="E3286:E3307" si="778">_xlfn.CONCAT(A3286,"'!")</f>
        <v>PSND'!</v>
      </c>
      <c r="F3286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86" s="32" t="s">
        <v>123</v>
      </c>
      <c r="H3286" s="33"/>
      <c r="I3286" s="33"/>
      <c r="J3286" s="37"/>
    </row>
    <row r="3287" spans="1:10" x14ac:dyDescent="0.35">
      <c r="A3287" s="32" t="s">
        <v>23</v>
      </c>
      <c r="B3287" s="32">
        <f t="shared" si="777"/>
        <v>2040</v>
      </c>
      <c r="C3287" s="33" t="s">
        <v>110</v>
      </c>
      <c r="D3287" s="34" t="s">
        <v>128</v>
      </c>
      <c r="E3287" s="35" t="str">
        <f t="shared" si="778"/>
        <v>PSND'!</v>
      </c>
      <c r="F3287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87" s="32" t="s">
        <v>123</v>
      </c>
      <c r="H3287" s="33"/>
      <c r="I3287" s="33"/>
      <c r="J3287" s="37"/>
    </row>
    <row r="3288" spans="1:10" x14ac:dyDescent="0.35">
      <c r="A3288" s="32" t="s">
        <v>23</v>
      </c>
      <c r="B3288" s="32">
        <f>+B3287+1</f>
        <v>2041</v>
      </c>
      <c r="C3288" s="33" t="s">
        <v>110</v>
      </c>
      <c r="D3288" s="34" t="s">
        <v>128</v>
      </c>
      <c r="E3288" s="35" t="str">
        <f t="shared" si="778"/>
        <v>PSND'!</v>
      </c>
      <c r="F3288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88" s="32" t="s">
        <v>123</v>
      </c>
      <c r="H3288" s="33"/>
      <c r="I3288" s="33"/>
      <c r="J3288" s="37"/>
    </row>
    <row r="3289" spans="1:10" x14ac:dyDescent="0.35">
      <c r="A3289" s="32" t="s">
        <v>23</v>
      </c>
      <c r="B3289" s="32">
        <f t="shared" ref="B3289:B3290" si="779">+B3288+1</f>
        <v>2042</v>
      </c>
      <c r="C3289" s="33" t="s">
        <v>110</v>
      </c>
      <c r="D3289" s="34" t="s">
        <v>128</v>
      </c>
      <c r="E3289" s="35" t="str">
        <f t="shared" si="778"/>
        <v>PSND'!</v>
      </c>
      <c r="F3289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89" s="32" t="s">
        <v>123</v>
      </c>
      <c r="H3289" s="33"/>
      <c r="I3289" s="33"/>
      <c r="J3289" s="37"/>
    </row>
    <row r="3290" spans="1:10" x14ac:dyDescent="0.35">
      <c r="A3290" s="32" t="s">
        <v>23</v>
      </c>
      <c r="B3290" s="32">
        <f t="shared" si="779"/>
        <v>2043</v>
      </c>
      <c r="C3290" s="33" t="s">
        <v>110</v>
      </c>
      <c r="D3290" s="34" t="s">
        <v>128</v>
      </c>
      <c r="E3290" s="35" t="str">
        <f t="shared" si="778"/>
        <v>PSND'!</v>
      </c>
      <c r="F3290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90" s="32" t="s">
        <v>123</v>
      </c>
      <c r="H3290" s="33"/>
      <c r="I3290" s="33"/>
      <c r="J3290" s="37"/>
    </row>
    <row r="3291" spans="1:10" x14ac:dyDescent="0.35">
      <c r="A3291" s="32" t="s">
        <v>23</v>
      </c>
      <c r="B3291" s="32">
        <f>+B3290+1</f>
        <v>2044</v>
      </c>
      <c r="C3291" s="33" t="s">
        <v>110</v>
      </c>
      <c r="D3291" s="34" t="s">
        <v>128</v>
      </c>
      <c r="E3291" s="35" t="str">
        <f t="shared" ref="E3291:E3306" si="780">_xlfn.CONCAT(A3291,"'!")</f>
        <v>PSND'!</v>
      </c>
      <c r="F3291" s="34" t="str">
        <f t="shared" ref="F3291:F3306" si="781">_xlfn.CONCAT(D3291:E3291)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91" s="32" t="s">
        <v>123</v>
      </c>
      <c r="H3291" s="33"/>
      <c r="I3291" s="33"/>
      <c r="J3291" s="37"/>
    </row>
    <row r="3292" spans="1:10" x14ac:dyDescent="0.35">
      <c r="A3292" s="32" t="s">
        <v>23</v>
      </c>
      <c r="B3292" s="32">
        <f t="shared" ref="B3292:B3306" si="782">+B3291+1</f>
        <v>2045</v>
      </c>
      <c r="C3292" s="33" t="s">
        <v>110</v>
      </c>
      <c r="D3292" s="34" t="s">
        <v>128</v>
      </c>
      <c r="E3292" s="35" t="str">
        <f t="shared" si="780"/>
        <v>PSND'!</v>
      </c>
      <c r="F3292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92" s="32" t="s">
        <v>123</v>
      </c>
      <c r="H3292" s="33"/>
      <c r="I3292" s="33"/>
      <c r="J3292" s="37"/>
    </row>
    <row r="3293" spans="1:10" x14ac:dyDescent="0.35">
      <c r="A3293" s="32" t="s">
        <v>23</v>
      </c>
      <c r="B3293" s="32">
        <f t="shared" si="782"/>
        <v>2046</v>
      </c>
      <c r="C3293" s="33" t="s">
        <v>110</v>
      </c>
      <c r="D3293" s="34" t="s">
        <v>128</v>
      </c>
      <c r="E3293" s="35" t="str">
        <f t="shared" si="780"/>
        <v>PSND'!</v>
      </c>
      <c r="F3293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93" s="32" t="s">
        <v>123</v>
      </c>
      <c r="H3293" s="33"/>
      <c r="I3293" s="33"/>
      <c r="J3293" s="37"/>
    </row>
    <row r="3294" spans="1:10" x14ac:dyDescent="0.35">
      <c r="A3294" s="32" t="s">
        <v>23</v>
      </c>
      <c r="B3294" s="32">
        <f t="shared" si="782"/>
        <v>2047</v>
      </c>
      <c r="C3294" s="33" t="s">
        <v>110</v>
      </c>
      <c r="D3294" s="34" t="s">
        <v>128</v>
      </c>
      <c r="E3294" s="35" t="str">
        <f t="shared" si="780"/>
        <v>PSND'!</v>
      </c>
      <c r="F3294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94" s="32" t="s">
        <v>123</v>
      </c>
      <c r="H3294" s="33"/>
      <c r="I3294" s="33"/>
      <c r="J3294" s="37"/>
    </row>
    <row r="3295" spans="1:10" x14ac:dyDescent="0.35">
      <c r="A3295" s="32" t="s">
        <v>23</v>
      </c>
      <c r="B3295" s="32">
        <f t="shared" si="782"/>
        <v>2048</v>
      </c>
      <c r="C3295" s="33" t="s">
        <v>110</v>
      </c>
      <c r="D3295" s="34" t="s">
        <v>128</v>
      </c>
      <c r="E3295" s="35" t="str">
        <f t="shared" si="780"/>
        <v>PSND'!</v>
      </c>
      <c r="F3295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95" s="32" t="s">
        <v>123</v>
      </c>
      <c r="H3295" s="33"/>
      <c r="I3295" s="33"/>
      <c r="J3295" s="37"/>
    </row>
    <row r="3296" spans="1:10" x14ac:dyDescent="0.35">
      <c r="A3296" s="32" t="s">
        <v>23</v>
      </c>
      <c r="B3296" s="32">
        <f t="shared" si="782"/>
        <v>2049</v>
      </c>
      <c r="C3296" s="33" t="s">
        <v>110</v>
      </c>
      <c r="D3296" s="34" t="s">
        <v>128</v>
      </c>
      <c r="E3296" s="35" t="str">
        <f t="shared" si="780"/>
        <v>PSND'!</v>
      </c>
      <c r="F3296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96" s="32" t="s">
        <v>123</v>
      </c>
      <c r="H3296" s="33"/>
      <c r="I3296" s="33"/>
      <c r="J3296" s="37"/>
    </row>
    <row r="3297" spans="1:10" x14ac:dyDescent="0.35">
      <c r="A3297" s="32" t="s">
        <v>23</v>
      </c>
      <c r="B3297" s="32">
        <f t="shared" si="782"/>
        <v>2050</v>
      </c>
      <c r="C3297" s="33" t="s">
        <v>110</v>
      </c>
      <c r="D3297" s="34" t="s">
        <v>128</v>
      </c>
      <c r="E3297" s="35" t="str">
        <f t="shared" si="780"/>
        <v>PSND'!</v>
      </c>
      <c r="F3297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97" s="32" t="s">
        <v>123</v>
      </c>
      <c r="H3297" s="33"/>
      <c r="I3297" s="33"/>
      <c r="J3297" s="37"/>
    </row>
    <row r="3298" spans="1:10" x14ac:dyDescent="0.35">
      <c r="A3298" s="32" t="s">
        <v>23</v>
      </c>
      <c r="B3298" s="32">
        <f t="shared" si="782"/>
        <v>2051</v>
      </c>
      <c r="C3298" s="33" t="s">
        <v>110</v>
      </c>
      <c r="D3298" s="34" t="s">
        <v>128</v>
      </c>
      <c r="E3298" s="35" t="str">
        <f t="shared" si="780"/>
        <v>PSND'!</v>
      </c>
      <c r="F3298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98" s="32" t="s">
        <v>123</v>
      </c>
      <c r="H3298" s="33"/>
      <c r="I3298" s="33"/>
      <c r="J3298" s="37"/>
    </row>
    <row r="3299" spans="1:10" x14ac:dyDescent="0.35">
      <c r="A3299" s="32" t="s">
        <v>23</v>
      </c>
      <c r="B3299" s="32">
        <f t="shared" si="782"/>
        <v>2052</v>
      </c>
      <c r="C3299" s="33" t="s">
        <v>110</v>
      </c>
      <c r="D3299" s="34" t="s">
        <v>128</v>
      </c>
      <c r="E3299" s="35" t="str">
        <f t="shared" si="780"/>
        <v>PSND'!</v>
      </c>
      <c r="F3299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99" s="32" t="s">
        <v>123</v>
      </c>
      <c r="H3299" s="33"/>
      <c r="I3299" s="33"/>
      <c r="J3299" s="37"/>
    </row>
    <row r="3300" spans="1:10" x14ac:dyDescent="0.35">
      <c r="A3300" s="32" t="s">
        <v>23</v>
      </c>
      <c r="B3300" s="32">
        <f t="shared" si="782"/>
        <v>2053</v>
      </c>
      <c r="C3300" s="33" t="s">
        <v>110</v>
      </c>
      <c r="D3300" s="34" t="s">
        <v>128</v>
      </c>
      <c r="E3300" s="35" t="str">
        <f t="shared" si="780"/>
        <v>PSND'!</v>
      </c>
      <c r="F3300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300" s="32" t="s">
        <v>123</v>
      </c>
      <c r="H3300" s="33"/>
      <c r="I3300" s="33"/>
      <c r="J3300" s="37"/>
    </row>
    <row r="3301" spans="1:10" x14ac:dyDescent="0.35">
      <c r="A3301" s="32" t="s">
        <v>23</v>
      </c>
      <c r="B3301" s="32">
        <f t="shared" si="782"/>
        <v>2054</v>
      </c>
      <c r="C3301" s="33" t="s">
        <v>110</v>
      </c>
      <c r="D3301" s="34" t="s">
        <v>128</v>
      </c>
      <c r="E3301" s="35" t="str">
        <f t="shared" si="780"/>
        <v>PSND'!</v>
      </c>
      <c r="F3301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301" s="32" t="s">
        <v>123</v>
      </c>
      <c r="H3301" s="33"/>
      <c r="I3301" s="33"/>
      <c r="J3301" s="37"/>
    </row>
    <row r="3302" spans="1:10" x14ac:dyDescent="0.35">
      <c r="A3302" s="32" t="s">
        <v>23</v>
      </c>
      <c r="B3302" s="32">
        <f t="shared" si="782"/>
        <v>2055</v>
      </c>
      <c r="C3302" s="33" t="s">
        <v>110</v>
      </c>
      <c r="D3302" s="34" t="s">
        <v>128</v>
      </c>
      <c r="E3302" s="35" t="str">
        <f t="shared" si="780"/>
        <v>PSND'!</v>
      </c>
      <c r="F3302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302" s="32" t="s">
        <v>123</v>
      </c>
      <c r="H3302" s="33"/>
      <c r="I3302" s="33"/>
      <c r="J3302" s="37"/>
    </row>
    <row r="3303" spans="1:10" x14ac:dyDescent="0.35">
      <c r="A3303" s="32" t="s">
        <v>23</v>
      </c>
      <c r="B3303" s="32">
        <f t="shared" si="782"/>
        <v>2056</v>
      </c>
      <c r="C3303" s="33" t="s">
        <v>110</v>
      </c>
      <c r="D3303" s="34" t="s">
        <v>128</v>
      </c>
      <c r="E3303" s="35" t="str">
        <f t="shared" si="780"/>
        <v>PSND'!</v>
      </c>
      <c r="F3303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303" s="32" t="s">
        <v>123</v>
      </c>
      <c r="H3303" s="33"/>
      <c r="I3303" s="33"/>
      <c r="J3303" s="37"/>
    </row>
    <row r="3304" spans="1:10" x14ac:dyDescent="0.35">
      <c r="A3304" s="32" t="s">
        <v>23</v>
      </c>
      <c r="B3304" s="32">
        <f t="shared" si="782"/>
        <v>2057</v>
      </c>
      <c r="C3304" s="33" t="s">
        <v>110</v>
      </c>
      <c r="D3304" s="34" t="s">
        <v>128</v>
      </c>
      <c r="E3304" s="35" t="str">
        <f t="shared" si="780"/>
        <v>PSND'!</v>
      </c>
      <c r="F3304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304" s="32" t="s">
        <v>123</v>
      </c>
      <c r="H3304" s="33"/>
      <c r="I3304" s="33"/>
      <c r="J3304" s="37"/>
    </row>
    <row r="3305" spans="1:10" x14ac:dyDescent="0.35">
      <c r="A3305" s="32" t="s">
        <v>23</v>
      </c>
      <c r="B3305" s="32">
        <f t="shared" si="782"/>
        <v>2058</v>
      </c>
      <c r="C3305" s="33" t="s">
        <v>110</v>
      </c>
      <c r="D3305" s="34" t="s">
        <v>128</v>
      </c>
      <c r="E3305" s="35" t="str">
        <f t="shared" si="780"/>
        <v>PSND'!</v>
      </c>
      <c r="F3305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305" s="32" t="s">
        <v>123</v>
      </c>
      <c r="H3305" s="33"/>
      <c r="I3305" s="33"/>
      <c r="J3305" s="37"/>
    </row>
    <row r="3306" spans="1:10" x14ac:dyDescent="0.35">
      <c r="A3306" s="32" t="s">
        <v>23</v>
      </c>
      <c r="B3306" s="32">
        <f t="shared" si="782"/>
        <v>2059</v>
      </c>
      <c r="C3306" s="33" t="s">
        <v>110</v>
      </c>
      <c r="D3306" s="34" t="s">
        <v>128</v>
      </c>
      <c r="E3306" s="35" t="str">
        <f t="shared" si="780"/>
        <v>PSND'!</v>
      </c>
      <c r="F3306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306" s="32" t="s">
        <v>123</v>
      </c>
      <c r="H3306" s="33"/>
      <c r="I3306" s="33"/>
      <c r="J3306" s="37"/>
    </row>
    <row r="3307" spans="1:10" x14ac:dyDescent="0.35">
      <c r="A3307" s="32" t="s">
        <v>26</v>
      </c>
      <c r="B3307" s="32"/>
      <c r="C3307" s="33" t="s">
        <v>110</v>
      </c>
      <c r="D3307" s="34"/>
      <c r="E3307" s="32" t="str">
        <f t="shared" si="778"/>
        <v>Total'!</v>
      </c>
      <c r="F3307" s="33"/>
      <c r="G3307" s="32"/>
      <c r="H3307" s="33"/>
      <c r="I3307" s="33"/>
      <c r="J3307" s="33"/>
    </row>
    <row r="3308" spans="1:10" x14ac:dyDescent="0.35">
      <c r="A3308" s="32" t="s">
        <v>24</v>
      </c>
      <c r="B3308" s="32">
        <v>2023</v>
      </c>
      <c r="C3308" s="33" t="s">
        <v>110</v>
      </c>
      <c r="D3308" s="34" t="s">
        <v>128</v>
      </c>
      <c r="E3308" s="35" t="str">
        <f t="shared" si="719"/>
        <v>PS'!</v>
      </c>
      <c r="F3308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08" s="32" t="s">
        <v>123</v>
      </c>
      <c r="H3308" s="33">
        <v>12</v>
      </c>
      <c r="I3308" s="33" t="str">
        <f t="shared" ref="I3308:I3328" si="783">_xlfn.CONCAT("='",F3308:H3308)</f>
        <v>='C:\Users\jaime.benazar\Quorum Business Solutions\Ecopetrol Prometeo - Documents\Planning Space Implementation\3. Analysis &amp; Design\Design\FC22\DRR Jaime\Por presentar a ECP\Cantagallo\Cristalina\[CRISTALINA_CF_SEC_New_09-Feb-2024.xlsx]D-PS'!$DT$12</v>
      </c>
      <c r="J3308" s="37" t="s">
        <v>1572</v>
      </c>
    </row>
    <row r="3309" spans="1:10" x14ac:dyDescent="0.35">
      <c r="A3309" s="32" t="s">
        <v>24</v>
      </c>
      <c r="B3309" s="32">
        <f>+B3308+1</f>
        <v>2024</v>
      </c>
      <c r="C3309" s="33" t="s">
        <v>110</v>
      </c>
      <c r="D3309" s="34" t="s">
        <v>128</v>
      </c>
      <c r="E3309" s="35" t="str">
        <f t="shared" si="719"/>
        <v>PS'!</v>
      </c>
      <c r="F3309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09" s="32" t="s">
        <v>123</v>
      </c>
      <c r="H3309" s="33">
        <f t="shared" ref="H3309:H3328" si="784">IF(A3309&lt;&gt;A3308,12,H3308+1)</f>
        <v>13</v>
      </c>
      <c r="I3309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ECP\Cantagallo\Cristalina\[CRISTALINA_CF_SEC_New_09-Feb-2024.xlsx]D-PS'!$DT$13</v>
      </c>
      <c r="J3309" s="37" t="s">
        <v>1573</v>
      </c>
    </row>
    <row r="3310" spans="1:10" x14ac:dyDescent="0.35">
      <c r="A3310" s="32" t="s">
        <v>24</v>
      </c>
      <c r="B3310" s="32">
        <f t="shared" ref="B3310:B3321" si="785">+B3309+1</f>
        <v>2025</v>
      </c>
      <c r="C3310" s="33" t="s">
        <v>110</v>
      </c>
      <c r="D3310" s="34" t="s">
        <v>128</v>
      </c>
      <c r="E3310" s="35" t="str">
        <f t="shared" si="719"/>
        <v>PS'!</v>
      </c>
      <c r="F3310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10" s="32" t="s">
        <v>123</v>
      </c>
      <c r="H3310" s="33">
        <f t="shared" si="784"/>
        <v>14</v>
      </c>
      <c r="I3310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ECP\Cantagallo\Cristalina\[CRISTALINA_CF_SEC_New_09-Feb-2024.xlsx]D-PS'!$DT$14</v>
      </c>
      <c r="J3310" s="37" t="s">
        <v>1574</v>
      </c>
    </row>
    <row r="3311" spans="1:10" x14ac:dyDescent="0.35">
      <c r="A3311" s="32" t="s">
        <v>24</v>
      </c>
      <c r="B3311" s="32">
        <f t="shared" si="785"/>
        <v>2026</v>
      </c>
      <c r="C3311" s="33" t="s">
        <v>110</v>
      </c>
      <c r="D3311" s="34" t="s">
        <v>128</v>
      </c>
      <c r="E3311" s="35" t="str">
        <f t="shared" si="719"/>
        <v>PS'!</v>
      </c>
      <c r="F3311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11" s="32" t="s">
        <v>123</v>
      </c>
      <c r="H3311" s="33">
        <f t="shared" si="784"/>
        <v>15</v>
      </c>
      <c r="I3311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ECP\Cantagallo\Cristalina\[CRISTALINA_CF_SEC_New_09-Feb-2024.xlsx]D-PS'!$DT$15</v>
      </c>
      <c r="J3311" s="37" t="s">
        <v>1575</v>
      </c>
    </row>
    <row r="3312" spans="1:10" x14ac:dyDescent="0.35">
      <c r="A3312" s="32" t="s">
        <v>24</v>
      </c>
      <c r="B3312" s="32">
        <f t="shared" si="785"/>
        <v>2027</v>
      </c>
      <c r="C3312" s="33" t="s">
        <v>110</v>
      </c>
      <c r="D3312" s="34" t="s">
        <v>128</v>
      </c>
      <c r="E3312" s="35" t="str">
        <f t="shared" si="719"/>
        <v>PS'!</v>
      </c>
      <c r="F3312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12" s="32" t="s">
        <v>123</v>
      </c>
      <c r="H3312" s="33">
        <f t="shared" si="784"/>
        <v>16</v>
      </c>
      <c r="I3312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ECP\Cantagallo\Cristalina\[CRISTALINA_CF_SEC_New_09-Feb-2024.xlsx]D-PS'!$DT$16</v>
      </c>
      <c r="J3312" s="37" t="s">
        <v>1576</v>
      </c>
    </row>
    <row r="3313" spans="1:10" x14ac:dyDescent="0.35">
      <c r="A3313" s="32" t="s">
        <v>24</v>
      </c>
      <c r="B3313" s="32">
        <f t="shared" si="785"/>
        <v>2028</v>
      </c>
      <c r="C3313" s="33" t="s">
        <v>110</v>
      </c>
      <c r="D3313" s="34" t="s">
        <v>128</v>
      </c>
      <c r="E3313" s="35" t="str">
        <f t="shared" si="719"/>
        <v>PS'!</v>
      </c>
      <c r="F3313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13" s="32" t="s">
        <v>123</v>
      </c>
      <c r="H3313" s="33">
        <f t="shared" si="784"/>
        <v>17</v>
      </c>
      <c r="I3313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ECP\Cantagallo\Cristalina\[CRISTALINA_CF_SEC_New_09-Feb-2024.xlsx]D-PS'!$DT$17</v>
      </c>
      <c r="J3313" s="37" t="s">
        <v>1577</v>
      </c>
    </row>
    <row r="3314" spans="1:10" x14ac:dyDescent="0.35">
      <c r="A3314" s="32" t="s">
        <v>24</v>
      </c>
      <c r="B3314" s="32">
        <f t="shared" si="785"/>
        <v>2029</v>
      </c>
      <c r="C3314" s="33" t="s">
        <v>110</v>
      </c>
      <c r="D3314" s="34" t="s">
        <v>128</v>
      </c>
      <c r="E3314" s="35" t="str">
        <f t="shared" si="719"/>
        <v>PS'!</v>
      </c>
      <c r="F3314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14" s="32" t="s">
        <v>123</v>
      </c>
      <c r="H3314" s="33">
        <f t="shared" si="784"/>
        <v>18</v>
      </c>
      <c r="I3314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ECP\Cantagallo\Cristalina\[CRISTALINA_CF_SEC_New_09-Feb-2024.xlsx]D-PS'!$DT$18</v>
      </c>
      <c r="J3314" s="37" t="s">
        <v>1578</v>
      </c>
    </row>
    <row r="3315" spans="1:10" x14ac:dyDescent="0.35">
      <c r="A3315" s="32" t="s">
        <v>24</v>
      </c>
      <c r="B3315" s="32">
        <f t="shared" si="785"/>
        <v>2030</v>
      </c>
      <c r="C3315" s="33" t="s">
        <v>110</v>
      </c>
      <c r="D3315" s="34" t="s">
        <v>128</v>
      </c>
      <c r="E3315" s="35" t="str">
        <f t="shared" si="719"/>
        <v>PS'!</v>
      </c>
      <c r="F3315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15" s="32" t="s">
        <v>123</v>
      </c>
      <c r="H3315" s="33">
        <f t="shared" si="784"/>
        <v>19</v>
      </c>
      <c r="I3315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ECP\Cantagallo\Cristalina\[CRISTALINA_CF_SEC_New_09-Feb-2024.xlsx]D-PS'!$DT$19</v>
      </c>
      <c r="J3315" s="37" t="s">
        <v>1579</v>
      </c>
    </row>
    <row r="3316" spans="1:10" x14ac:dyDescent="0.35">
      <c r="A3316" s="32" t="s">
        <v>24</v>
      </c>
      <c r="B3316" s="32">
        <f t="shared" si="785"/>
        <v>2031</v>
      </c>
      <c r="C3316" s="33" t="s">
        <v>110</v>
      </c>
      <c r="D3316" s="34" t="s">
        <v>128</v>
      </c>
      <c r="E3316" s="35" t="str">
        <f t="shared" si="719"/>
        <v>PS'!</v>
      </c>
      <c r="F3316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16" s="32" t="s">
        <v>123</v>
      </c>
      <c r="H3316" s="33">
        <f t="shared" si="784"/>
        <v>20</v>
      </c>
      <c r="I3316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ECP\Cantagallo\Cristalina\[CRISTALINA_CF_SEC_New_09-Feb-2024.xlsx]D-PS'!$DT$20</v>
      </c>
      <c r="J3316" s="37" t="s">
        <v>1580</v>
      </c>
    </row>
    <row r="3317" spans="1:10" x14ac:dyDescent="0.35">
      <c r="A3317" s="32" t="s">
        <v>24</v>
      </c>
      <c r="B3317" s="32">
        <f t="shared" si="785"/>
        <v>2032</v>
      </c>
      <c r="C3317" s="33" t="s">
        <v>110</v>
      </c>
      <c r="D3317" s="34" t="s">
        <v>128</v>
      </c>
      <c r="E3317" s="35" t="str">
        <f t="shared" si="719"/>
        <v>PS'!</v>
      </c>
      <c r="F3317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17" s="32" t="s">
        <v>123</v>
      </c>
      <c r="H3317" s="33">
        <f t="shared" si="784"/>
        <v>21</v>
      </c>
      <c r="I3317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ECP\Cantagallo\Cristalina\[CRISTALINA_CF_SEC_New_09-Feb-2024.xlsx]D-PS'!$DT$21</v>
      </c>
      <c r="J3317" s="37" t="s">
        <v>1581</v>
      </c>
    </row>
    <row r="3318" spans="1:10" x14ac:dyDescent="0.35">
      <c r="A3318" s="32" t="s">
        <v>24</v>
      </c>
      <c r="B3318" s="32">
        <f t="shared" si="785"/>
        <v>2033</v>
      </c>
      <c r="C3318" s="33" t="s">
        <v>110</v>
      </c>
      <c r="D3318" s="34" t="s">
        <v>128</v>
      </c>
      <c r="E3318" s="35" t="str">
        <f t="shared" si="719"/>
        <v>PS'!</v>
      </c>
      <c r="F3318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18" s="32" t="s">
        <v>123</v>
      </c>
      <c r="H3318" s="33">
        <f t="shared" si="784"/>
        <v>22</v>
      </c>
      <c r="I3318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ECP\Cantagallo\Cristalina\[CRISTALINA_CF_SEC_New_09-Feb-2024.xlsx]D-PS'!$DT$22</v>
      </c>
      <c r="J3318" s="37" t="s">
        <v>1582</v>
      </c>
    </row>
    <row r="3319" spans="1:10" x14ac:dyDescent="0.35">
      <c r="A3319" s="32" t="s">
        <v>24</v>
      </c>
      <c r="B3319" s="32">
        <f t="shared" si="785"/>
        <v>2034</v>
      </c>
      <c r="C3319" s="33" t="s">
        <v>110</v>
      </c>
      <c r="D3319" s="34" t="s">
        <v>128</v>
      </c>
      <c r="E3319" s="35" t="str">
        <f t="shared" si="719"/>
        <v>PS'!</v>
      </c>
      <c r="F3319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19" s="32" t="s">
        <v>123</v>
      </c>
      <c r="H3319" s="33">
        <f t="shared" si="784"/>
        <v>23</v>
      </c>
      <c r="I3319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ECP\Cantagallo\Cristalina\[CRISTALINA_CF_SEC_New_09-Feb-2024.xlsx]D-PS'!$DT$23</v>
      </c>
      <c r="J3319" s="37" t="s">
        <v>1583</v>
      </c>
    </row>
    <row r="3320" spans="1:10" x14ac:dyDescent="0.35">
      <c r="A3320" s="32" t="s">
        <v>24</v>
      </c>
      <c r="B3320" s="32">
        <f t="shared" si="785"/>
        <v>2035</v>
      </c>
      <c r="C3320" s="33" t="s">
        <v>110</v>
      </c>
      <c r="D3320" s="34" t="s">
        <v>128</v>
      </c>
      <c r="E3320" s="35" t="str">
        <f t="shared" si="719"/>
        <v>PS'!</v>
      </c>
      <c r="F3320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20" s="32" t="s">
        <v>123</v>
      </c>
      <c r="H3320" s="33">
        <f t="shared" si="784"/>
        <v>24</v>
      </c>
      <c r="I3320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ECP\Cantagallo\Cristalina\[CRISTALINA_CF_SEC_New_09-Feb-2024.xlsx]D-PS'!$DT$24</v>
      </c>
      <c r="J3320" s="37" t="s">
        <v>1584</v>
      </c>
    </row>
    <row r="3321" spans="1:10" x14ac:dyDescent="0.35">
      <c r="A3321" s="32" t="s">
        <v>24</v>
      </c>
      <c r="B3321" s="32">
        <f t="shared" si="785"/>
        <v>2036</v>
      </c>
      <c r="C3321" s="33" t="s">
        <v>110</v>
      </c>
      <c r="D3321" s="34" t="s">
        <v>128</v>
      </c>
      <c r="E3321" s="35" t="str">
        <f t="shared" si="719"/>
        <v>PS'!</v>
      </c>
      <c r="F3321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21" s="32" t="s">
        <v>123</v>
      </c>
      <c r="H3321" s="33">
        <f t="shared" si="784"/>
        <v>25</v>
      </c>
      <c r="I3321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ECP\Cantagallo\Cristalina\[CRISTALINA_CF_SEC_New_09-Feb-2024.xlsx]D-PS'!$DT$25</v>
      </c>
      <c r="J3321" s="37" t="s">
        <v>1585</v>
      </c>
    </row>
    <row r="3322" spans="1:10" x14ac:dyDescent="0.35">
      <c r="A3322" s="32" t="s">
        <v>24</v>
      </c>
      <c r="B3322" s="32">
        <f>+B3321+1</f>
        <v>2037</v>
      </c>
      <c r="C3322" s="33" t="s">
        <v>110</v>
      </c>
      <c r="D3322" s="34" t="s">
        <v>128</v>
      </c>
      <c r="E3322" s="35" t="str">
        <f t="shared" si="719"/>
        <v>PS'!</v>
      </c>
      <c r="F3322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22" s="32" t="s">
        <v>123</v>
      </c>
      <c r="H3322" s="33">
        <f t="shared" si="784"/>
        <v>26</v>
      </c>
      <c r="I3322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ECP\Cantagallo\Cristalina\[CRISTALINA_CF_SEC_New_09-Feb-2024.xlsx]D-PS'!$DT$26</v>
      </c>
      <c r="J3322" s="37" t="s">
        <v>1586</v>
      </c>
    </row>
    <row r="3323" spans="1:10" x14ac:dyDescent="0.35">
      <c r="A3323" s="32" t="s">
        <v>24</v>
      </c>
      <c r="B3323" s="32">
        <f t="shared" ref="B3323:B3325" si="786">+B3322+1</f>
        <v>2038</v>
      </c>
      <c r="C3323" s="33" t="s">
        <v>110</v>
      </c>
      <c r="D3323" s="34" t="s">
        <v>128</v>
      </c>
      <c r="E3323" s="35" t="str">
        <f t="shared" si="719"/>
        <v>PS'!</v>
      </c>
      <c r="F3323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23" s="32" t="s">
        <v>123</v>
      </c>
      <c r="H3323" s="33">
        <f t="shared" si="784"/>
        <v>27</v>
      </c>
      <c r="I3323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ECP\Cantagallo\Cristalina\[CRISTALINA_CF_SEC_New_09-Feb-2024.xlsx]D-PS'!$DT$27</v>
      </c>
      <c r="J3323" s="37" t="s">
        <v>1587</v>
      </c>
    </row>
    <row r="3324" spans="1:10" x14ac:dyDescent="0.35">
      <c r="A3324" s="32" t="s">
        <v>24</v>
      </c>
      <c r="B3324" s="32">
        <f t="shared" si="786"/>
        <v>2039</v>
      </c>
      <c r="C3324" s="33" t="s">
        <v>110</v>
      </c>
      <c r="D3324" s="34" t="s">
        <v>128</v>
      </c>
      <c r="E3324" s="35" t="str">
        <f t="shared" si="719"/>
        <v>PS'!</v>
      </c>
      <c r="F3324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24" s="32" t="s">
        <v>123</v>
      </c>
      <c r="H3324" s="33">
        <f t="shared" si="784"/>
        <v>28</v>
      </c>
      <c r="I3324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ECP\Cantagallo\Cristalina\[CRISTALINA_CF_SEC_New_09-Feb-2024.xlsx]D-PS'!$DT$28</v>
      </c>
      <c r="J3324" s="37" t="s">
        <v>1588</v>
      </c>
    </row>
    <row r="3325" spans="1:10" x14ac:dyDescent="0.35">
      <c r="A3325" s="32" t="s">
        <v>24</v>
      </c>
      <c r="B3325" s="32">
        <f t="shared" si="786"/>
        <v>2040</v>
      </c>
      <c r="C3325" s="33" t="s">
        <v>110</v>
      </c>
      <c r="D3325" s="34" t="s">
        <v>128</v>
      </c>
      <c r="E3325" s="35" t="str">
        <f t="shared" si="719"/>
        <v>PS'!</v>
      </c>
      <c r="F3325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25" s="32" t="s">
        <v>123</v>
      </c>
      <c r="H3325" s="33">
        <f t="shared" si="784"/>
        <v>29</v>
      </c>
      <c r="I3325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ECP\Cantagallo\Cristalina\[CRISTALINA_CF_SEC_New_09-Feb-2024.xlsx]D-PS'!$DT$29</v>
      </c>
      <c r="J3325" s="37" t="s">
        <v>1589</v>
      </c>
    </row>
    <row r="3326" spans="1:10" x14ac:dyDescent="0.35">
      <c r="A3326" s="32" t="s">
        <v>24</v>
      </c>
      <c r="B3326" s="32">
        <f>+B3325+1</f>
        <v>2041</v>
      </c>
      <c r="C3326" s="33" t="s">
        <v>110</v>
      </c>
      <c r="D3326" s="34" t="s">
        <v>128</v>
      </c>
      <c r="E3326" s="35" t="str">
        <f t="shared" si="719"/>
        <v>PS'!</v>
      </c>
      <c r="F3326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26" s="32" t="s">
        <v>123</v>
      </c>
      <c r="H3326" s="33">
        <f t="shared" si="784"/>
        <v>30</v>
      </c>
      <c r="I3326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ECP\Cantagallo\Cristalina\[CRISTALINA_CF_SEC_New_09-Feb-2024.xlsx]D-PS'!$DT$30</v>
      </c>
      <c r="J3326" s="37" t="s">
        <v>1590</v>
      </c>
    </row>
    <row r="3327" spans="1:10" x14ac:dyDescent="0.35">
      <c r="A3327" s="32" t="s">
        <v>24</v>
      </c>
      <c r="B3327" s="32">
        <f t="shared" ref="B3327:B3328" si="787">+B3326+1</f>
        <v>2042</v>
      </c>
      <c r="C3327" s="33" t="s">
        <v>110</v>
      </c>
      <c r="D3327" s="34" t="s">
        <v>128</v>
      </c>
      <c r="E3327" s="35" t="str">
        <f t="shared" si="719"/>
        <v>PS'!</v>
      </c>
      <c r="F3327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27" s="32" t="s">
        <v>123</v>
      </c>
      <c r="H3327" s="33">
        <f t="shared" si="784"/>
        <v>31</v>
      </c>
      <c r="I3327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ECP\Cantagallo\Cristalina\[CRISTALINA_CF_SEC_New_09-Feb-2024.xlsx]D-PS'!$DT$31</v>
      </c>
      <c r="J3327" s="37" t="s">
        <v>1591</v>
      </c>
    </row>
    <row r="3328" spans="1:10" x14ac:dyDescent="0.35">
      <c r="A3328" s="32" t="s">
        <v>24</v>
      </c>
      <c r="B3328" s="32">
        <f t="shared" si="787"/>
        <v>2043</v>
      </c>
      <c r="C3328" s="33" t="s">
        <v>110</v>
      </c>
      <c r="D3328" s="34" t="s">
        <v>128</v>
      </c>
      <c r="E3328" s="35" t="str">
        <f t="shared" si="719"/>
        <v>PS'!</v>
      </c>
      <c r="F3328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28" s="32" t="s">
        <v>123</v>
      </c>
      <c r="H3328" s="33">
        <f t="shared" si="784"/>
        <v>32</v>
      </c>
      <c r="I3328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ECP\Cantagallo\Cristalina\[CRISTALINA_CF_SEC_New_09-Feb-2024.xlsx]D-PS'!$DT$32</v>
      </c>
      <c r="J3328" s="37" t="s">
        <v>1592</v>
      </c>
    </row>
    <row r="3329" spans="1:10" x14ac:dyDescent="0.35">
      <c r="A3329" s="32" t="s">
        <v>24</v>
      </c>
      <c r="B3329" s="32">
        <f>+B3328+1</f>
        <v>2044</v>
      </c>
      <c r="C3329" s="33" t="s">
        <v>110</v>
      </c>
      <c r="D3329" s="34" t="s">
        <v>128</v>
      </c>
      <c r="E3329" s="35" t="str">
        <f t="shared" ref="E3329:E3344" si="788">_xlfn.CONCAT(A3329,"'!")</f>
        <v>PS'!</v>
      </c>
      <c r="F3329" s="34" t="str">
        <f t="shared" ref="F3329:F3344" si="789">_xlfn.CONCAT(D3329:E3329)</f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29" s="32" t="s">
        <v>123</v>
      </c>
      <c r="H3329" s="33">
        <f t="shared" ref="H3329:H3344" si="790">IF(A3329&lt;&gt;A3328,12,H3328+1)</f>
        <v>33</v>
      </c>
      <c r="I3329" s="33" t="str">
        <f t="shared" ref="I3329:I3344" si="791">_xlfn.CONCAT("='",F3329:H3329)</f>
        <v>='C:\Users\jaime.benazar\Quorum Business Solutions\Ecopetrol Prometeo - Documents\Planning Space Implementation\3. Analysis &amp; Design\Design\FC22\DRR Jaime\Por presentar a ECP\Cantagallo\Cristalina\[CRISTALINA_CF_SEC_New_09-Feb-2024.xlsx]D-PS'!$DT$33</v>
      </c>
      <c r="J3329" s="37" t="s">
        <v>1593</v>
      </c>
    </row>
    <row r="3330" spans="1:10" x14ac:dyDescent="0.35">
      <c r="A3330" s="32" t="s">
        <v>24</v>
      </c>
      <c r="B3330" s="32">
        <f t="shared" ref="B3330:B3344" si="792">+B3329+1</f>
        <v>2045</v>
      </c>
      <c r="C3330" s="33" t="s">
        <v>110</v>
      </c>
      <c r="D3330" s="34" t="s">
        <v>128</v>
      </c>
      <c r="E3330" s="35" t="str">
        <f t="shared" si="788"/>
        <v>PS'!</v>
      </c>
      <c r="F3330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30" s="32" t="s">
        <v>123</v>
      </c>
      <c r="H3330" s="33">
        <f t="shared" si="790"/>
        <v>34</v>
      </c>
      <c r="I3330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ECP\Cantagallo\Cristalina\[CRISTALINA_CF_SEC_New_09-Feb-2024.xlsx]D-PS'!$DT$34</v>
      </c>
      <c r="J3330" s="37" t="s">
        <v>1594</v>
      </c>
    </row>
    <row r="3331" spans="1:10" x14ac:dyDescent="0.35">
      <c r="A3331" s="32" t="s">
        <v>24</v>
      </c>
      <c r="B3331" s="32">
        <f t="shared" si="792"/>
        <v>2046</v>
      </c>
      <c r="C3331" s="33" t="s">
        <v>110</v>
      </c>
      <c r="D3331" s="34" t="s">
        <v>128</v>
      </c>
      <c r="E3331" s="35" t="str">
        <f t="shared" si="788"/>
        <v>PS'!</v>
      </c>
      <c r="F3331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31" s="32" t="s">
        <v>123</v>
      </c>
      <c r="H3331" s="33">
        <f t="shared" si="790"/>
        <v>35</v>
      </c>
      <c r="I3331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ECP\Cantagallo\Cristalina\[CRISTALINA_CF_SEC_New_09-Feb-2024.xlsx]D-PS'!$DT$35</v>
      </c>
      <c r="J3331" s="37" t="s">
        <v>1595</v>
      </c>
    </row>
    <row r="3332" spans="1:10" x14ac:dyDescent="0.35">
      <c r="A3332" s="32" t="s">
        <v>24</v>
      </c>
      <c r="B3332" s="32">
        <f t="shared" si="792"/>
        <v>2047</v>
      </c>
      <c r="C3332" s="33" t="s">
        <v>110</v>
      </c>
      <c r="D3332" s="34" t="s">
        <v>128</v>
      </c>
      <c r="E3332" s="35" t="str">
        <f t="shared" si="788"/>
        <v>PS'!</v>
      </c>
      <c r="F3332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32" s="32" t="s">
        <v>123</v>
      </c>
      <c r="H3332" s="33">
        <f t="shared" si="790"/>
        <v>36</v>
      </c>
      <c r="I3332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ECP\Cantagallo\Cristalina\[CRISTALINA_CF_SEC_New_09-Feb-2024.xlsx]D-PS'!$DT$36</v>
      </c>
      <c r="J3332" s="37" t="s">
        <v>1596</v>
      </c>
    </row>
    <row r="3333" spans="1:10" x14ac:dyDescent="0.35">
      <c r="A3333" s="32" t="s">
        <v>24</v>
      </c>
      <c r="B3333" s="32">
        <f t="shared" si="792"/>
        <v>2048</v>
      </c>
      <c r="C3333" s="33" t="s">
        <v>110</v>
      </c>
      <c r="D3333" s="34" t="s">
        <v>128</v>
      </c>
      <c r="E3333" s="35" t="str">
        <f t="shared" si="788"/>
        <v>PS'!</v>
      </c>
      <c r="F3333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33" s="32" t="s">
        <v>123</v>
      </c>
      <c r="H3333" s="33">
        <f t="shared" si="790"/>
        <v>37</v>
      </c>
      <c r="I3333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ECP\Cantagallo\Cristalina\[CRISTALINA_CF_SEC_New_09-Feb-2024.xlsx]D-PS'!$DT$37</v>
      </c>
      <c r="J3333" s="37" t="s">
        <v>1597</v>
      </c>
    </row>
    <row r="3334" spans="1:10" x14ac:dyDescent="0.35">
      <c r="A3334" s="32" t="s">
        <v>24</v>
      </c>
      <c r="B3334" s="32">
        <f t="shared" si="792"/>
        <v>2049</v>
      </c>
      <c r="C3334" s="33" t="s">
        <v>110</v>
      </c>
      <c r="D3334" s="34" t="s">
        <v>128</v>
      </c>
      <c r="E3334" s="35" t="str">
        <f t="shared" si="788"/>
        <v>PS'!</v>
      </c>
      <c r="F3334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34" s="32" t="s">
        <v>123</v>
      </c>
      <c r="H3334" s="33">
        <f t="shared" si="790"/>
        <v>38</v>
      </c>
      <c r="I3334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ECP\Cantagallo\Cristalina\[CRISTALINA_CF_SEC_New_09-Feb-2024.xlsx]D-PS'!$DT$38</v>
      </c>
      <c r="J3334" s="37" t="s">
        <v>1598</v>
      </c>
    </row>
    <row r="3335" spans="1:10" x14ac:dyDescent="0.35">
      <c r="A3335" s="32" t="s">
        <v>24</v>
      </c>
      <c r="B3335" s="32">
        <f t="shared" si="792"/>
        <v>2050</v>
      </c>
      <c r="C3335" s="33" t="s">
        <v>110</v>
      </c>
      <c r="D3335" s="34" t="s">
        <v>128</v>
      </c>
      <c r="E3335" s="35" t="str">
        <f t="shared" si="788"/>
        <v>PS'!</v>
      </c>
      <c r="F3335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35" s="32" t="s">
        <v>123</v>
      </c>
      <c r="H3335" s="33">
        <f t="shared" si="790"/>
        <v>39</v>
      </c>
      <c r="I3335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ECP\Cantagallo\Cristalina\[CRISTALINA_CF_SEC_New_09-Feb-2024.xlsx]D-PS'!$DT$39</v>
      </c>
      <c r="J3335" s="37" t="s">
        <v>1599</v>
      </c>
    </row>
    <row r="3336" spans="1:10" x14ac:dyDescent="0.35">
      <c r="A3336" s="32" t="s">
        <v>24</v>
      </c>
      <c r="B3336" s="32">
        <f t="shared" si="792"/>
        <v>2051</v>
      </c>
      <c r="C3336" s="33" t="s">
        <v>110</v>
      </c>
      <c r="D3336" s="34" t="s">
        <v>128</v>
      </c>
      <c r="E3336" s="35" t="str">
        <f t="shared" si="788"/>
        <v>PS'!</v>
      </c>
      <c r="F3336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36" s="32" t="s">
        <v>123</v>
      </c>
      <c r="H3336" s="33">
        <f t="shared" si="790"/>
        <v>40</v>
      </c>
      <c r="I3336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ECP\Cantagallo\Cristalina\[CRISTALINA_CF_SEC_New_09-Feb-2024.xlsx]D-PS'!$DT$40</v>
      </c>
      <c r="J3336" s="37" t="s">
        <v>1600</v>
      </c>
    </row>
    <row r="3337" spans="1:10" x14ac:dyDescent="0.35">
      <c r="A3337" s="32" t="s">
        <v>24</v>
      </c>
      <c r="B3337" s="32">
        <f t="shared" si="792"/>
        <v>2052</v>
      </c>
      <c r="C3337" s="33" t="s">
        <v>110</v>
      </c>
      <c r="D3337" s="34" t="s">
        <v>128</v>
      </c>
      <c r="E3337" s="35" t="str">
        <f t="shared" si="788"/>
        <v>PS'!</v>
      </c>
      <c r="F3337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37" s="32" t="s">
        <v>123</v>
      </c>
      <c r="H3337" s="33">
        <f t="shared" si="790"/>
        <v>41</v>
      </c>
      <c r="I3337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ECP\Cantagallo\Cristalina\[CRISTALINA_CF_SEC_New_09-Feb-2024.xlsx]D-PS'!$DT$41</v>
      </c>
      <c r="J3337" s="37" t="s">
        <v>1601</v>
      </c>
    </row>
    <row r="3338" spans="1:10" x14ac:dyDescent="0.35">
      <c r="A3338" s="32" t="s">
        <v>24</v>
      </c>
      <c r="B3338" s="32">
        <f t="shared" si="792"/>
        <v>2053</v>
      </c>
      <c r="C3338" s="33" t="s">
        <v>110</v>
      </c>
      <c r="D3338" s="34" t="s">
        <v>128</v>
      </c>
      <c r="E3338" s="35" t="str">
        <f t="shared" si="788"/>
        <v>PS'!</v>
      </c>
      <c r="F3338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38" s="32" t="s">
        <v>123</v>
      </c>
      <c r="H3338" s="33">
        <f t="shared" si="790"/>
        <v>42</v>
      </c>
      <c r="I3338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ECP\Cantagallo\Cristalina\[CRISTALINA_CF_SEC_New_09-Feb-2024.xlsx]D-PS'!$DT$42</v>
      </c>
      <c r="J3338" s="37" t="s">
        <v>1602</v>
      </c>
    </row>
    <row r="3339" spans="1:10" x14ac:dyDescent="0.35">
      <c r="A3339" s="32" t="s">
        <v>24</v>
      </c>
      <c r="B3339" s="32">
        <f t="shared" si="792"/>
        <v>2054</v>
      </c>
      <c r="C3339" s="33" t="s">
        <v>110</v>
      </c>
      <c r="D3339" s="34" t="s">
        <v>128</v>
      </c>
      <c r="E3339" s="35" t="str">
        <f t="shared" si="788"/>
        <v>PS'!</v>
      </c>
      <c r="F3339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39" s="32" t="s">
        <v>123</v>
      </c>
      <c r="H3339" s="33">
        <f t="shared" si="790"/>
        <v>43</v>
      </c>
      <c r="I3339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ECP\Cantagallo\Cristalina\[CRISTALINA_CF_SEC_New_09-Feb-2024.xlsx]D-PS'!$DT$43</v>
      </c>
      <c r="J3339" s="37" t="s">
        <v>1603</v>
      </c>
    </row>
    <row r="3340" spans="1:10" x14ac:dyDescent="0.35">
      <c r="A3340" s="32" t="s">
        <v>24</v>
      </c>
      <c r="B3340" s="32">
        <f t="shared" si="792"/>
        <v>2055</v>
      </c>
      <c r="C3340" s="33" t="s">
        <v>110</v>
      </c>
      <c r="D3340" s="34" t="s">
        <v>128</v>
      </c>
      <c r="E3340" s="35" t="str">
        <f t="shared" si="788"/>
        <v>PS'!</v>
      </c>
      <c r="F3340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40" s="32" t="s">
        <v>123</v>
      </c>
      <c r="H3340" s="33">
        <f t="shared" si="790"/>
        <v>44</v>
      </c>
      <c r="I3340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ECP\Cantagallo\Cristalina\[CRISTALINA_CF_SEC_New_09-Feb-2024.xlsx]D-PS'!$DT$44</v>
      </c>
      <c r="J3340" s="37" t="s">
        <v>1604</v>
      </c>
    </row>
    <row r="3341" spans="1:10" x14ac:dyDescent="0.35">
      <c r="A3341" s="32" t="s">
        <v>24</v>
      </c>
      <c r="B3341" s="32">
        <f t="shared" si="792"/>
        <v>2056</v>
      </c>
      <c r="C3341" s="33" t="s">
        <v>110</v>
      </c>
      <c r="D3341" s="34" t="s">
        <v>128</v>
      </c>
      <c r="E3341" s="35" t="str">
        <f t="shared" si="788"/>
        <v>PS'!</v>
      </c>
      <c r="F3341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41" s="32" t="s">
        <v>123</v>
      </c>
      <c r="H3341" s="33">
        <f t="shared" si="790"/>
        <v>45</v>
      </c>
      <c r="I3341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ECP\Cantagallo\Cristalina\[CRISTALINA_CF_SEC_New_09-Feb-2024.xlsx]D-PS'!$DT$45</v>
      </c>
      <c r="J3341" s="37" t="s">
        <v>1605</v>
      </c>
    </row>
    <row r="3342" spans="1:10" x14ac:dyDescent="0.35">
      <c r="A3342" s="32" t="s">
        <v>24</v>
      </c>
      <c r="B3342" s="32">
        <f t="shared" si="792"/>
        <v>2057</v>
      </c>
      <c r="C3342" s="33" t="s">
        <v>110</v>
      </c>
      <c r="D3342" s="34" t="s">
        <v>128</v>
      </c>
      <c r="E3342" s="35" t="str">
        <f t="shared" si="788"/>
        <v>PS'!</v>
      </c>
      <c r="F3342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42" s="32" t="s">
        <v>123</v>
      </c>
      <c r="H3342" s="33">
        <f t="shared" si="790"/>
        <v>46</v>
      </c>
      <c r="I3342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ECP\Cantagallo\Cristalina\[CRISTALINA_CF_SEC_New_09-Feb-2024.xlsx]D-PS'!$DT$46</v>
      </c>
      <c r="J3342" s="37" t="s">
        <v>1606</v>
      </c>
    </row>
    <row r="3343" spans="1:10" x14ac:dyDescent="0.35">
      <c r="A3343" s="32" t="s">
        <v>24</v>
      </c>
      <c r="B3343" s="32">
        <f t="shared" si="792"/>
        <v>2058</v>
      </c>
      <c r="C3343" s="33" t="s">
        <v>110</v>
      </c>
      <c r="D3343" s="34" t="s">
        <v>128</v>
      </c>
      <c r="E3343" s="35" t="str">
        <f t="shared" si="788"/>
        <v>PS'!</v>
      </c>
      <c r="F3343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43" s="32" t="s">
        <v>123</v>
      </c>
      <c r="H3343" s="33">
        <f t="shared" si="790"/>
        <v>47</v>
      </c>
      <c r="I3343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ECP\Cantagallo\Cristalina\[CRISTALINA_CF_SEC_New_09-Feb-2024.xlsx]D-PS'!$DT$47</v>
      </c>
      <c r="J3343" s="37" t="s">
        <v>1607</v>
      </c>
    </row>
    <row r="3344" spans="1:10" x14ac:dyDescent="0.35">
      <c r="A3344" s="32" t="s">
        <v>24</v>
      </c>
      <c r="B3344" s="32">
        <f t="shared" si="792"/>
        <v>2059</v>
      </c>
      <c r="C3344" s="33" t="s">
        <v>110</v>
      </c>
      <c r="D3344" s="34" t="s">
        <v>128</v>
      </c>
      <c r="E3344" s="35" t="str">
        <f t="shared" si="788"/>
        <v>PS'!</v>
      </c>
      <c r="F3344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44" s="32" t="s">
        <v>123</v>
      </c>
      <c r="H3344" s="33">
        <f t="shared" si="790"/>
        <v>48</v>
      </c>
      <c r="I3344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ECP\Cantagallo\Cristalina\[CRISTALINA_CF_SEC_New_09-Feb-2024.xlsx]D-PS'!$DT$48</v>
      </c>
      <c r="J3344" s="37" t="s">
        <v>1608</v>
      </c>
    </row>
    <row r="3345" spans="1:10" x14ac:dyDescent="0.35">
      <c r="A3345" s="32" t="s">
        <v>26</v>
      </c>
      <c r="B3345" s="32"/>
      <c r="C3345" s="33" t="s">
        <v>110</v>
      </c>
      <c r="D3345" s="34"/>
      <c r="E3345" s="32" t="str">
        <f t="shared" si="719"/>
        <v>Total'!</v>
      </c>
      <c r="F3345" s="33"/>
      <c r="G3345" s="32"/>
      <c r="H3345" s="33"/>
      <c r="I3345" s="33"/>
      <c r="J3345" s="33"/>
    </row>
    <row r="3346" spans="1:10" x14ac:dyDescent="0.35">
      <c r="A3346" s="32" t="s">
        <v>14</v>
      </c>
      <c r="B3346" s="32">
        <v>2023</v>
      </c>
      <c r="C3346" s="33" t="s">
        <v>28</v>
      </c>
      <c r="D3346" s="34" t="s">
        <v>128</v>
      </c>
      <c r="E3346" s="35" t="str">
        <f>_xlfn.CONCAT(A3346,"'!")</f>
        <v>PDP'!</v>
      </c>
      <c r="F3346" s="34" t="str">
        <f>_xlfn.CONCAT(D3346:E3346)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46" s="32" t="s">
        <v>124</v>
      </c>
      <c r="H3346" s="33">
        <f>IF(A3346&lt;&gt;A3345,12,H3345+1)</f>
        <v>12</v>
      </c>
      <c r="I3346" s="33" t="str">
        <f t="shared" ref="I3346:I3366" si="793">_xlfn.CONCAT("='",F3346:H3346)</f>
        <v>='C:\Users\jaime.benazar\Quorum Business Solutions\Ecopetrol Prometeo - Documents\Planning Space Implementation\3. Analysis &amp; Design\Design\FC22\DRR Jaime\Por presentar a ECP\Cantagallo\Cristalina\[CRISTALINA_CF_SEC_New_09-Feb-2024.xlsx]D-PDP'!$BE$12</v>
      </c>
      <c r="J3346" s="36" t="s">
        <v>1609</v>
      </c>
    </row>
    <row r="3347" spans="1:10" x14ac:dyDescent="0.35">
      <c r="A3347" s="32" t="s">
        <v>14</v>
      </c>
      <c r="B3347" s="32">
        <f>+B3346+1</f>
        <v>2024</v>
      </c>
      <c r="C3347" s="33" t="s">
        <v>28</v>
      </c>
      <c r="D3347" s="34" t="s">
        <v>128</v>
      </c>
      <c r="E3347" s="35" t="str">
        <f t="shared" ref="E3347:E3404" si="794">_xlfn.CONCAT(A3347,"'!")</f>
        <v>PDP'!</v>
      </c>
      <c r="F3347" s="34" t="str">
        <f t="shared" ref="F3347:F3366" si="795">_xlfn.CONCAT(D3347:E3347)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47" s="32" t="s">
        <v>124</v>
      </c>
      <c r="H3347" s="33">
        <f>IF(A3347&lt;&gt;A3346,36,H3346+1)</f>
        <v>13</v>
      </c>
      <c r="I3347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ECP\Cantagallo\Cristalina\[CRISTALINA_CF_SEC_New_09-Feb-2024.xlsx]D-PDP'!$BE$13</v>
      </c>
      <c r="J3347" s="37" t="s">
        <v>1610</v>
      </c>
    </row>
    <row r="3348" spans="1:10" x14ac:dyDescent="0.35">
      <c r="A3348" s="32" t="s">
        <v>14</v>
      </c>
      <c r="B3348" s="32">
        <f t="shared" ref="B3348:B3382" si="796">+B3347+1</f>
        <v>2025</v>
      </c>
      <c r="C3348" s="33" t="s">
        <v>28</v>
      </c>
      <c r="D3348" s="34" t="s">
        <v>128</v>
      </c>
      <c r="E3348" s="35" t="str">
        <f t="shared" si="794"/>
        <v>PDP'!</v>
      </c>
      <c r="F3348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48" s="32" t="s">
        <v>124</v>
      </c>
      <c r="H3348" s="33">
        <f t="shared" ref="H3348:H3366" si="797">IF(A3348&lt;&gt;A3347,36,H3347+1)</f>
        <v>14</v>
      </c>
      <c r="I3348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ECP\Cantagallo\Cristalina\[CRISTALINA_CF_SEC_New_09-Feb-2024.xlsx]D-PDP'!$BE$14</v>
      </c>
      <c r="J3348" s="37" t="s">
        <v>1611</v>
      </c>
    </row>
    <row r="3349" spans="1:10" x14ac:dyDescent="0.35">
      <c r="A3349" s="32" t="s">
        <v>14</v>
      </c>
      <c r="B3349" s="32">
        <f t="shared" si="796"/>
        <v>2026</v>
      </c>
      <c r="C3349" s="33" t="s">
        <v>28</v>
      </c>
      <c r="D3349" s="34" t="s">
        <v>128</v>
      </c>
      <c r="E3349" s="35" t="str">
        <f t="shared" si="794"/>
        <v>PDP'!</v>
      </c>
      <c r="F3349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49" s="32" t="s">
        <v>124</v>
      </c>
      <c r="H3349" s="33">
        <f t="shared" si="797"/>
        <v>15</v>
      </c>
      <c r="I3349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ECP\Cantagallo\Cristalina\[CRISTALINA_CF_SEC_New_09-Feb-2024.xlsx]D-PDP'!$BE$15</v>
      </c>
      <c r="J3349" s="37" t="s">
        <v>1612</v>
      </c>
    </row>
    <row r="3350" spans="1:10" x14ac:dyDescent="0.35">
      <c r="A3350" s="32" t="s">
        <v>14</v>
      </c>
      <c r="B3350" s="32">
        <f t="shared" si="796"/>
        <v>2027</v>
      </c>
      <c r="C3350" s="33" t="s">
        <v>28</v>
      </c>
      <c r="D3350" s="34" t="s">
        <v>128</v>
      </c>
      <c r="E3350" s="35" t="str">
        <f t="shared" si="794"/>
        <v>PDP'!</v>
      </c>
      <c r="F3350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50" s="32" t="s">
        <v>124</v>
      </c>
      <c r="H3350" s="33">
        <f t="shared" si="797"/>
        <v>16</v>
      </c>
      <c r="I3350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ECP\Cantagallo\Cristalina\[CRISTALINA_CF_SEC_New_09-Feb-2024.xlsx]D-PDP'!$BE$16</v>
      </c>
      <c r="J3350" s="37" t="s">
        <v>1613</v>
      </c>
    </row>
    <row r="3351" spans="1:10" x14ac:dyDescent="0.35">
      <c r="A3351" s="32" t="s">
        <v>14</v>
      </c>
      <c r="B3351" s="32">
        <f t="shared" si="796"/>
        <v>2028</v>
      </c>
      <c r="C3351" s="33" t="s">
        <v>28</v>
      </c>
      <c r="D3351" s="34" t="s">
        <v>128</v>
      </c>
      <c r="E3351" s="35" t="str">
        <f t="shared" si="794"/>
        <v>PDP'!</v>
      </c>
      <c r="F3351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51" s="32" t="s">
        <v>124</v>
      </c>
      <c r="H3351" s="33">
        <f t="shared" si="797"/>
        <v>17</v>
      </c>
      <c r="I3351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ECP\Cantagallo\Cristalina\[CRISTALINA_CF_SEC_New_09-Feb-2024.xlsx]D-PDP'!$BE$17</v>
      </c>
      <c r="J3351" s="37" t="s">
        <v>1614</v>
      </c>
    </row>
    <row r="3352" spans="1:10" x14ac:dyDescent="0.35">
      <c r="A3352" s="32" t="s">
        <v>14</v>
      </c>
      <c r="B3352" s="32">
        <f t="shared" si="796"/>
        <v>2029</v>
      </c>
      <c r="C3352" s="33" t="s">
        <v>28</v>
      </c>
      <c r="D3352" s="34" t="s">
        <v>128</v>
      </c>
      <c r="E3352" s="35" t="str">
        <f t="shared" si="794"/>
        <v>PDP'!</v>
      </c>
      <c r="F3352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52" s="32" t="s">
        <v>124</v>
      </c>
      <c r="H3352" s="33">
        <f t="shared" si="797"/>
        <v>18</v>
      </c>
      <c r="I3352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ECP\Cantagallo\Cristalina\[CRISTALINA_CF_SEC_New_09-Feb-2024.xlsx]D-PDP'!$BE$18</v>
      </c>
      <c r="J3352" s="37" t="s">
        <v>1615</v>
      </c>
    </row>
    <row r="3353" spans="1:10" x14ac:dyDescent="0.35">
      <c r="A3353" s="32" t="s">
        <v>14</v>
      </c>
      <c r="B3353" s="32">
        <f t="shared" si="796"/>
        <v>2030</v>
      </c>
      <c r="C3353" s="33" t="s">
        <v>28</v>
      </c>
      <c r="D3353" s="34" t="s">
        <v>128</v>
      </c>
      <c r="E3353" s="35" t="str">
        <f t="shared" si="794"/>
        <v>PDP'!</v>
      </c>
      <c r="F3353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53" s="32" t="s">
        <v>124</v>
      </c>
      <c r="H3353" s="33">
        <f t="shared" si="797"/>
        <v>19</v>
      </c>
      <c r="I3353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ECP\Cantagallo\Cristalina\[CRISTALINA_CF_SEC_New_09-Feb-2024.xlsx]D-PDP'!$BE$19</v>
      </c>
      <c r="J3353" s="37" t="s">
        <v>1616</v>
      </c>
    </row>
    <row r="3354" spans="1:10" x14ac:dyDescent="0.35">
      <c r="A3354" s="32" t="s">
        <v>14</v>
      </c>
      <c r="B3354" s="32">
        <f t="shared" si="796"/>
        <v>2031</v>
      </c>
      <c r="C3354" s="33" t="s">
        <v>28</v>
      </c>
      <c r="D3354" s="34" t="s">
        <v>128</v>
      </c>
      <c r="E3354" s="35" t="str">
        <f t="shared" si="794"/>
        <v>PDP'!</v>
      </c>
      <c r="F3354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54" s="32" t="s">
        <v>124</v>
      </c>
      <c r="H3354" s="33">
        <f t="shared" si="797"/>
        <v>20</v>
      </c>
      <c r="I3354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ECP\Cantagallo\Cristalina\[CRISTALINA_CF_SEC_New_09-Feb-2024.xlsx]D-PDP'!$BE$20</v>
      </c>
      <c r="J3354" s="37" t="s">
        <v>1617</v>
      </c>
    </row>
    <row r="3355" spans="1:10" x14ac:dyDescent="0.35">
      <c r="A3355" s="32" t="s">
        <v>14</v>
      </c>
      <c r="B3355" s="32">
        <f t="shared" si="796"/>
        <v>2032</v>
      </c>
      <c r="C3355" s="33" t="s">
        <v>28</v>
      </c>
      <c r="D3355" s="34" t="s">
        <v>128</v>
      </c>
      <c r="E3355" s="35" t="str">
        <f t="shared" si="794"/>
        <v>PDP'!</v>
      </c>
      <c r="F3355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55" s="32" t="s">
        <v>124</v>
      </c>
      <c r="H3355" s="33">
        <f t="shared" si="797"/>
        <v>21</v>
      </c>
      <c r="I3355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ECP\Cantagallo\Cristalina\[CRISTALINA_CF_SEC_New_09-Feb-2024.xlsx]D-PDP'!$BE$21</v>
      </c>
      <c r="J3355" s="37" t="s">
        <v>1618</v>
      </c>
    </row>
    <row r="3356" spans="1:10" x14ac:dyDescent="0.35">
      <c r="A3356" s="32" t="s">
        <v>14</v>
      </c>
      <c r="B3356" s="32">
        <f t="shared" si="796"/>
        <v>2033</v>
      </c>
      <c r="C3356" s="33" t="s">
        <v>28</v>
      </c>
      <c r="D3356" s="34" t="s">
        <v>128</v>
      </c>
      <c r="E3356" s="35" t="str">
        <f t="shared" si="794"/>
        <v>PDP'!</v>
      </c>
      <c r="F3356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56" s="32" t="s">
        <v>124</v>
      </c>
      <c r="H3356" s="33">
        <f t="shared" si="797"/>
        <v>22</v>
      </c>
      <c r="I3356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ECP\Cantagallo\Cristalina\[CRISTALINA_CF_SEC_New_09-Feb-2024.xlsx]D-PDP'!$BE$22</v>
      </c>
      <c r="J3356" s="37" t="s">
        <v>1619</v>
      </c>
    </row>
    <row r="3357" spans="1:10" x14ac:dyDescent="0.35">
      <c r="A3357" s="32" t="s">
        <v>14</v>
      </c>
      <c r="B3357" s="32">
        <f t="shared" si="796"/>
        <v>2034</v>
      </c>
      <c r="C3357" s="33" t="s">
        <v>28</v>
      </c>
      <c r="D3357" s="34" t="s">
        <v>128</v>
      </c>
      <c r="E3357" s="35" t="str">
        <f t="shared" si="794"/>
        <v>PDP'!</v>
      </c>
      <c r="F3357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57" s="32" t="s">
        <v>124</v>
      </c>
      <c r="H3357" s="33">
        <f t="shared" si="797"/>
        <v>23</v>
      </c>
      <c r="I3357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ECP\Cantagallo\Cristalina\[CRISTALINA_CF_SEC_New_09-Feb-2024.xlsx]D-PDP'!$BE$23</v>
      </c>
      <c r="J3357" s="37" t="s">
        <v>1620</v>
      </c>
    </row>
    <row r="3358" spans="1:10" x14ac:dyDescent="0.35">
      <c r="A3358" s="32" t="s">
        <v>14</v>
      </c>
      <c r="B3358" s="32">
        <f t="shared" si="796"/>
        <v>2035</v>
      </c>
      <c r="C3358" s="33" t="s">
        <v>28</v>
      </c>
      <c r="D3358" s="34" t="s">
        <v>128</v>
      </c>
      <c r="E3358" s="35" t="str">
        <f t="shared" si="794"/>
        <v>PDP'!</v>
      </c>
      <c r="F3358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58" s="32" t="s">
        <v>124</v>
      </c>
      <c r="H3358" s="33">
        <f t="shared" si="797"/>
        <v>24</v>
      </c>
      <c r="I3358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ECP\Cantagallo\Cristalina\[CRISTALINA_CF_SEC_New_09-Feb-2024.xlsx]D-PDP'!$BE$24</v>
      </c>
      <c r="J3358" s="37" t="s">
        <v>1621</v>
      </c>
    </row>
    <row r="3359" spans="1:10" x14ac:dyDescent="0.35">
      <c r="A3359" s="32" t="s">
        <v>14</v>
      </c>
      <c r="B3359" s="32">
        <f t="shared" si="796"/>
        <v>2036</v>
      </c>
      <c r="C3359" s="33" t="s">
        <v>28</v>
      </c>
      <c r="D3359" s="34" t="s">
        <v>128</v>
      </c>
      <c r="E3359" s="35" t="str">
        <f t="shared" si="794"/>
        <v>PDP'!</v>
      </c>
      <c r="F3359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59" s="32" t="s">
        <v>124</v>
      </c>
      <c r="H3359" s="33">
        <f t="shared" si="797"/>
        <v>25</v>
      </c>
      <c r="I3359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ECP\Cantagallo\Cristalina\[CRISTALINA_CF_SEC_New_09-Feb-2024.xlsx]D-PDP'!$BE$25</v>
      </c>
      <c r="J3359" s="37" t="s">
        <v>1622</v>
      </c>
    </row>
    <row r="3360" spans="1:10" x14ac:dyDescent="0.35">
      <c r="A3360" s="32" t="s">
        <v>14</v>
      </c>
      <c r="B3360" s="32">
        <f>+B3359+1</f>
        <v>2037</v>
      </c>
      <c r="C3360" s="33" t="s">
        <v>28</v>
      </c>
      <c r="D3360" s="34" t="s">
        <v>128</v>
      </c>
      <c r="E3360" s="35" t="str">
        <f t="shared" si="794"/>
        <v>PDP'!</v>
      </c>
      <c r="F3360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60" s="32" t="s">
        <v>124</v>
      </c>
      <c r="H3360" s="33">
        <f t="shared" si="797"/>
        <v>26</v>
      </c>
      <c r="I3360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ECP\Cantagallo\Cristalina\[CRISTALINA_CF_SEC_New_09-Feb-2024.xlsx]D-PDP'!$BE$26</v>
      </c>
      <c r="J3360" s="37" t="s">
        <v>1623</v>
      </c>
    </row>
    <row r="3361" spans="1:10" x14ac:dyDescent="0.35">
      <c r="A3361" s="32" t="s">
        <v>14</v>
      </c>
      <c r="B3361" s="32">
        <f t="shared" si="796"/>
        <v>2038</v>
      </c>
      <c r="C3361" s="33" t="s">
        <v>28</v>
      </c>
      <c r="D3361" s="34" t="s">
        <v>128</v>
      </c>
      <c r="E3361" s="35" t="str">
        <f t="shared" si="794"/>
        <v>PDP'!</v>
      </c>
      <c r="F3361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61" s="32" t="s">
        <v>124</v>
      </c>
      <c r="H3361" s="33">
        <f t="shared" si="797"/>
        <v>27</v>
      </c>
      <c r="I3361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ECP\Cantagallo\Cristalina\[CRISTALINA_CF_SEC_New_09-Feb-2024.xlsx]D-PDP'!$BE$27</v>
      </c>
      <c r="J3361" s="37" t="s">
        <v>1624</v>
      </c>
    </row>
    <row r="3362" spans="1:10" x14ac:dyDescent="0.35">
      <c r="A3362" s="32" t="s">
        <v>14</v>
      </c>
      <c r="B3362" s="32">
        <f t="shared" si="796"/>
        <v>2039</v>
      </c>
      <c r="C3362" s="33" t="s">
        <v>28</v>
      </c>
      <c r="D3362" s="34" t="s">
        <v>128</v>
      </c>
      <c r="E3362" s="35" t="str">
        <f t="shared" si="794"/>
        <v>PDP'!</v>
      </c>
      <c r="F3362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62" s="32" t="s">
        <v>124</v>
      </c>
      <c r="H3362" s="33">
        <f t="shared" si="797"/>
        <v>28</v>
      </c>
      <c r="I3362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ECP\Cantagallo\Cristalina\[CRISTALINA_CF_SEC_New_09-Feb-2024.xlsx]D-PDP'!$BE$28</v>
      </c>
      <c r="J3362" s="37" t="s">
        <v>1625</v>
      </c>
    </row>
    <row r="3363" spans="1:10" x14ac:dyDescent="0.35">
      <c r="A3363" s="32" t="s">
        <v>14</v>
      </c>
      <c r="B3363" s="32">
        <f t="shared" si="796"/>
        <v>2040</v>
      </c>
      <c r="C3363" s="33" t="s">
        <v>28</v>
      </c>
      <c r="D3363" s="34" t="s">
        <v>128</v>
      </c>
      <c r="E3363" s="35" t="str">
        <f t="shared" si="794"/>
        <v>PDP'!</v>
      </c>
      <c r="F3363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63" s="32" t="s">
        <v>124</v>
      </c>
      <c r="H3363" s="33">
        <f t="shared" si="797"/>
        <v>29</v>
      </c>
      <c r="I3363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ECP\Cantagallo\Cristalina\[CRISTALINA_CF_SEC_New_09-Feb-2024.xlsx]D-PDP'!$BE$29</v>
      </c>
      <c r="J3363" s="37" t="s">
        <v>1626</v>
      </c>
    </row>
    <row r="3364" spans="1:10" x14ac:dyDescent="0.35">
      <c r="A3364" s="32" t="s">
        <v>14</v>
      </c>
      <c r="B3364" s="32">
        <f>+B3363+1</f>
        <v>2041</v>
      </c>
      <c r="C3364" s="33" t="s">
        <v>28</v>
      </c>
      <c r="D3364" s="34" t="s">
        <v>128</v>
      </c>
      <c r="E3364" s="35" t="str">
        <f t="shared" si="794"/>
        <v>PDP'!</v>
      </c>
      <c r="F3364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64" s="32" t="s">
        <v>124</v>
      </c>
      <c r="H3364" s="33">
        <f t="shared" si="797"/>
        <v>30</v>
      </c>
      <c r="I3364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ECP\Cantagallo\Cristalina\[CRISTALINA_CF_SEC_New_09-Feb-2024.xlsx]D-PDP'!$BE$30</v>
      </c>
      <c r="J3364" s="37" t="s">
        <v>1627</v>
      </c>
    </row>
    <row r="3365" spans="1:10" x14ac:dyDescent="0.35">
      <c r="A3365" s="32" t="s">
        <v>14</v>
      </c>
      <c r="B3365" s="32">
        <f t="shared" si="796"/>
        <v>2042</v>
      </c>
      <c r="C3365" s="33" t="s">
        <v>28</v>
      </c>
      <c r="D3365" s="34" t="s">
        <v>128</v>
      </c>
      <c r="E3365" s="35" t="str">
        <f t="shared" si="794"/>
        <v>PDP'!</v>
      </c>
      <c r="F3365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65" s="32" t="s">
        <v>124</v>
      </c>
      <c r="H3365" s="33">
        <f t="shared" si="797"/>
        <v>31</v>
      </c>
      <c r="I3365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ECP\Cantagallo\Cristalina\[CRISTALINA_CF_SEC_New_09-Feb-2024.xlsx]D-PDP'!$BE$31</v>
      </c>
      <c r="J3365" s="37" t="s">
        <v>1628</v>
      </c>
    </row>
    <row r="3366" spans="1:10" x14ac:dyDescent="0.35">
      <c r="A3366" s="32" t="s">
        <v>14</v>
      </c>
      <c r="B3366" s="32">
        <f t="shared" si="796"/>
        <v>2043</v>
      </c>
      <c r="C3366" s="33" t="s">
        <v>28</v>
      </c>
      <c r="D3366" s="34" t="s">
        <v>128</v>
      </c>
      <c r="E3366" s="35" t="str">
        <f t="shared" si="794"/>
        <v>PDP'!</v>
      </c>
      <c r="F3366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66" s="32" t="s">
        <v>124</v>
      </c>
      <c r="H3366" s="33">
        <f t="shared" si="797"/>
        <v>32</v>
      </c>
      <c r="I3366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ECP\Cantagallo\Cristalina\[CRISTALINA_CF_SEC_New_09-Feb-2024.xlsx]D-PDP'!$BE$32</v>
      </c>
      <c r="J3366" s="37" t="s">
        <v>1629</v>
      </c>
    </row>
    <row r="3367" spans="1:10" x14ac:dyDescent="0.35">
      <c r="A3367" s="32" t="s">
        <v>14</v>
      </c>
      <c r="B3367" s="32">
        <f>+B3366+1</f>
        <v>2044</v>
      </c>
      <c r="C3367" s="33" t="s">
        <v>28</v>
      </c>
      <c r="D3367" s="34" t="s">
        <v>128</v>
      </c>
      <c r="E3367" s="35" t="str">
        <f t="shared" ref="E3367:E3382" si="798">_xlfn.CONCAT(A3367,"'!")</f>
        <v>PDP'!</v>
      </c>
      <c r="F3367" s="34" t="str">
        <f t="shared" ref="F3367:F3382" si="799">_xlfn.CONCAT(D3367:E3367)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67" s="32" t="s">
        <v>124</v>
      </c>
      <c r="H3367" s="33">
        <f t="shared" ref="H3367:H3382" si="800">IF(A3367&lt;&gt;A3366,36,H3366+1)</f>
        <v>33</v>
      </c>
      <c r="I3367" s="33" t="str">
        <f t="shared" ref="I3367:I3382" si="801">_xlfn.CONCAT("='",F3367:H3367)</f>
        <v>='C:\Users\jaime.benazar\Quorum Business Solutions\Ecopetrol Prometeo - Documents\Planning Space Implementation\3. Analysis &amp; Design\Design\FC22\DRR Jaime\Por presentar a ECP\Cantagallo\Cristalina\[CRISTALINA_CF_SEC_New_09-Feb-2024.xlsx]D-PDP'!$BE$33</v>
      </c>
      <c r="J3367" s="37" t="s">
        <v>1630</v>
      </c>
    </row>
    <row r="3368" spans="1:10" x14ac:dyDescent="0.35">
      <c r="A3368" s="32" t="s">
        <v>14</v>
      </c>
      <c r="B3368" s="32">
        <f t="shared" si="796"/>
        <v>2045</v>
      </c>
      <c r="C3368" s="33" t="s">
        <v>28</v>
      </c>
      <c r="D3368" s="34" t="s">
        <v>128</v>
      </c>
      <c r="E3368" s="35" t="str">
        <f t="shared" si="798"/>
        <v>PDP'!</v>
      </c>
      <c r="F3368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68" s="32" t="s">
        <v>124</v>
      </c>
      <c r="H3368" s="33">
        <f t="shared" si="800"/>
        <v>34</v>
      </c>
      <c r="I3368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ECP\Cantagallo\Cristalina\[CRISTALINA_CF_SEC_New_09-Feb-2024.xlsx]D-PDP'!$BE$34</v>
      </c>
      <c r="J3368" s="37" t="s">
        <v>1631</v>
      </c>
    </row>
    <row r="3369" spans="1:10" x14ac:dyDescent="0.35">
      <c r="A3369" s="32" t="s">
        <v>14</v>
      </c>
      <c r="B3369" s="32">
        <f t="shared" si="796"/>
        <v>2046</v>
      </c>
      <c r="C3369" s="33" t="s">
        <v>28</v>
      </c>
      <c r="D3369" s="34" t="s">
        <v>128</v>
      </c>
      <c r="E3369" s="35" t="str">
        <f t="shared" si="798"/>
        <v>PDP'!</v>
      </c>
      <c r="F3369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69" s="32" t="s">
        <v>124</v>
      </c>
      <c r="H3369" s="33">
        <f t="shared" si="800"/>
        <v>35</v>
      </c>
      <c r="I3369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ECP\Cantagallo\Cristalina\[CRISTALINA_CF_SEC_New_09-Feb-2024.xlsx]D-PDP'!$BE$35</v>
      </c>
      <c r="J3369" s="37" t="s">
        <v>1632</v>
      </c>
    </row>
    <row r="3370" spans="1:10" x14ac:dyDescent="0.35">
      <c r="A3370" s="32" t="s">
        <v>14</v>
      </c>
      <c r="B3370" s="32">
        <f t="shared" si="796"/>
        <v>2047</v>
      </c>
      <c r="C3370" s="33" t="s">
        <v>28</v>
      </c>
      <c r="D3370" s="34" t="s">
        <v>128</v>
      </c>
      <c r="E3370" s="35" t="str">
        <f t="shared" si="798"/>
        <v>PDP'!</v>
      </c>
      <c r="F3370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70" s="32" t="s">
        <v>124</v>
      </c>
      <c r="H3370" s="33">
        <f t="shared" si="800"/>
        <v>36</v>
      </c>
      <c r="I3370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ECP\Cantagallo\Cristalina\[CRISTALINA_CF_SEC_New_09-Feb-2024.xlsx]D-PDP'!$BE$36</v>
      </c>
      <c r="J3370" s="37" t="s">
        <v>1633</v>
      </c>
    </row>
    <row r="3371" spans="1:10" x14ac:dyDescent="0.35">
      <c r="A3371" s="32" t="s">
        <v>14</v>
      </c>
      <c r="B3371" s="32">
        <f t="shared" si="796"/>
        <v>2048</v>
      </c>
      <c r="C3371" s="33" t="s">
        <v>28</v>
      </c>
      <c r="D3371" s="34" t="s">
        <v>128</v>
      </c>
      <c r="E3371" s="35" t="str">
        <f t="shared" si="798"/>
        <v>PDP'!</v>
      </c>
      <c r="F3371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71" s="32" t="s">
        <v>124</v>
      </c>
      <c r="H3371" s="33">
        <f t="shared" si="800"/>
        <v>37</v>
      </c>
      <c r="I3371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ECP\Cantagallo\Cristalina\[CRISTALINA_CF_SEC_New_09-Feb-2024.xlsx]D-PDP'!$BE$37</v>
      </c>
      <c r="J3371" s="37" t="s">
        <v>1634</v>
      </c>
    </row>
    <row r="3372" spans="1:10" x14ac:dyDescent="0.35">
      <c r="A3372" s="32" t="s">
        <v>14</v>
      </c>
      <c r="B3372" s="32">
        <f t="shared" si="796"/>
        <v>2049</v>
      </c>
      <c r="C3372" s="33" t="s">
        <v>28</v>
      </c>
      <c r="D3372" s="34" t="s">
        <v>128</v>
      </c>
      <c r="E3372" s="35" t="str">
        <f t="shared" si="798"/>
        <v>PDP'!</v>
      </c>
      <c r="F3372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72" s="32" t="s">
        <v>124</v>
      </c>
      <c r="H3372" s="33">
        <f t="shared" si="800"/>
        <v>38</v>
      </c>
      <c r="I3372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ECP\Cantagallo\Cristalina\[CRISTALINA_CF_SEC_New_09-Feb-2024.xlsx]D-PDP'!$BE$38</v>
      </c>
      <c r="J3372" s="37" t="s">
        <v>1635</v>
      </c>
    </row>
    <row r="3373" spans="1:10" x14ac:dyDescent="0.35">
      <c r="A3373" s="32" t="s">
        <v>14</v>
      </c>
      <c r="B3373" s="32">
        <f t="shared" si="796"/>
        <v>2050</v>
      </c>
      <c r="C3373" s="33" t="s">
        <v>28</v>
      </c>
      <c r="D3373" s="34" t="s">
        <v>128</v>
      </c>
      <c r="E3373" s="35" t="str">
        <f t="shared" si="798"/>
        <v>PDP'!</v>
      </c>
      <c r="F3373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73" s="32" t="s">
        <v>124</v>
      </c>
      <c r="H3373" s="33">
        <f t="shared" si="800"/>
        <v>39</v>
      </c>
      <c r="I3373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ECP\Cantagallo\Cristalina\[CRISTALINA_CF_SEC_New_09-Feb-2024.xlsx]D-PDP'!$BE$39</v>
      </c>
      <c r="J3373" s="37" t="s">
        <v>1636</v>
      </c>
    </row>
    <row r="3374" spans="1:10" x14ac:dyDescent="0.35">
      <c r="A3374" s="32" t="s">
        <v>14</v>
      </c>
      <c r="B3374" s="32">
        <f t="shared" si="796"/>
        <v>2051</v>
      </c>
      <c r="C3374" s="33" t="s">
        <v>28</v>
      </c>
      <c r="D3374" s="34" t="s">
        <v>128</v>
      </c>
      <c r="E3374" s="35" t="str">
        <f t="shared" si="798"/>
        <v>PDP'!</v>
      </c>
      <c r="F3374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74" s="32" t="s">
        <v>124</v>
      </c>
      <c r="H3374" s="33">
        <f t="shared" si="800"/>
        <v>40</v>
      </c>
      <c r="I3374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ECP\Cantagallo\Cristalina\[CRISTALINA_CF_SEC_New_09-Feb-2024.xlsx]D-PDP'!$BE$40</v>
      </c>
      <c r="J3374" s="37" t="s">
        <v>1637</v>
      </c>
    </row>
    <row r="3375" spans="1:10" x14ac:dyDescent="0.35">
      <c r="A3375" s="32" t="s">
        <v>14</v>
      </c>
      <c r="B3375" s="32">
        <f t="shared" si="796"/>
        <v>2052</v>
      </c>
      <c r="C3375" s="33" t="s">
        <v>28</v>
      </c>
      <c r="D3375" s="34" t="s">
        <v>128</v>
      </c>
      <c r="E3375" s="35" t="str">
        <f t="shared" si="798"/>
        <v>PDP'!</v>
      </c>
      <c r="F3375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75" s="32" t="s">
        <v>124</v>
      </c>
      <c r="H3375" s="33">
        <f t="shared" si="800"/>
        <v>41</v>
      </c>
      <c r="I3375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ECP\Cantagallo\Cristalina\[CRISTALINA_CF_SEC_New_09-Feb-2024.xlsx]D-PDP'!$BE$41</v>
      </c>
      <c r="J3375" s="37" t="s">
        <v>1638</v>
      </c>
    </row>
    <row r="3376" spans="1:10" x14ac:dyDescent="0.35">
      <c r="A3376" s="32" t="s">
        <v>14</v>
      </c>
      <c r="B3376" s="32">
        <f t="shared" si="796"/>
        <v>2053</v>
      </c>
      <c r="C3376" s="33" t="s">
        <v>28</v>
      </c>
      <c r="D3376" s="34" t="s">
        <v>128</v>
      </c>
      <c r="E3376" s="35" t="str">
        <f t="shared" si="798"/>
        <v>PDP'!</v>
      </c>
      <c r="F3376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76" s="32" t="s">
        <v>124</v>
      </c>
      <c r="H3376" s="33">
        <f t="shared" si="800"/>
        <v>42</v>
      </c>
      <c r="I3376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ECP\Cantagallo\Cristalina\[CRISTALINA_CF_SEC_New_09-Feb-2024.xlsx]D-PDP'!$BE$42</v>
      </c>
      <c r="J3376" s="37" t="s">
        <v>1639</v>
      </c>
    </row>
    <row r="3377" spans="1:10" x14ac:dyDescent="0.35">
      <c r="A3377" s="32" t="s">
        <v>14</v>
      </c>
      <c r="B3377" s="32">
        <f t="shared" si="796"/>
        <v>2054</v>
      </c>
      <c r="C3377" s="33" t="s">
        <v>28</v>
      </c>
      <c r="D3377" s="34" t="s">
        <v>128</v>
      </c>
      <c r="E3377" s="35" t="str">
        <f t="shared" si="798"/>
        <v>PDP'!</v>
      </c>
      <c r="F3377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77" s="32" t="s">
        <v>124</v>
      </c>
      <c r="H3377" s="33">
        <f t="shared" si="800"/>
        <v>43</v>
      </c>
      <c r="I3377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ECP\Cantagallo\Cristalina\[CRISTALINA_CF_SEC_New_09-Feb-2024.xlsx]D-PDP'!$BE$43</v>
      </c>
      <c r="J3377" s="37" t="s">
        <v>1640</v>
      </c>
    </row>
    <row r="3378" spans="1:10" x14ac:dyDescent="0.35">
      <c r="A3378" s="32" t="s">
        <v>14</v>
      </c>
      <c r="B3378" s="32">
        <f t="shared" si="796"/>
        <v>2055</v>
      </c>
      <c r="C3378" s="33" t="s">
        <v>28</v>
      </c>
      <c r="D3378" s="34" t="s">
        <v>128</v>
      </c>
      <c r="E3378" s="35" t="str">
        <f t="shared" si="798"/>
        <v>PDP'!</v>
      </c>
      <c r="F3378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78" s="32" t="s">
        <v>124</v>
      </c>
      <c r="H3378" s="33">
        <f t="shared" si="800"/>
        <v>44</v>
      </c>
      <c r="I3378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ECP\Cantagallo\Cristalina\[CRISTALINA_CF_SEC_New_09-Feb-2024.xlsx]D-PDP'!$BE$44</v>
      </c>
      <c r="J3378" s="37" t="s">
        <v>1641</v>
      </c>
    </row>
    <row r="3379" spans="1:10" x14ac:dyDescent="0.35">
      <c r="A3379" s="32" t="s">
        <v>14</v>
      </c>
      <c r="B3379" s="32">
        <f t="shared" si="796"/>
        <v>2056</v>
      </c>
      <c r="C3379" s="33" t="s">
        <v>28</v>
      </c>
      <c r="D3379" s="34" t="s">
        <v>128</v>
      </c>
      <c r="E3379" s="35" t="str">
        <f t="shared" si="798"/>
        <v>PDP'!</v>
      </c>
      <c r="F3379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79" s="32" t="s">
        <v>124</v>
      </c>
      <c r="H3379" s="33">
        <f t="shared" si="800"/>
        <v>45</v>
      </c>
      <c r="I3379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ECP\Cantagallo\Cristalina\[CRISTALINA_CF_SEC_New_09-Feb-2024.xlsx]D-PDP'!$BE$45</v>
      </c>
      <c r="J3379" s="37" t="s">
        <v>1642</v>
      </c>
    </row>
    <row r="3380" spans="1:10" x14ac:dyDescent="0.35">
      <c r="A3380" s="32" t="s">
        <v>14</v>
      </c>
      <c r="B3380" s="32">
        <f t="shared" si="796"/>
        <v>2057</v>
      </c>
      <c r="C3380" s="33" t="s">
        <v>28</v>
      </c>
      <c r="D3380" s="34" t="s">
        <v>128</v>
      </c>
      <c r="E3380" s="35" t="str">
        <f t="shared" si="798"/>
        <v>PDP'!</v>
      </c>
      <c r="F3380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80" s="32" t="s">
        <v>124</v>
      </c>
      <c r="H3380" s="33">
        <f t="shared" si="800"/>
        <v>46</v>
      </c>
      <c r="I3380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ECP\Cantagallo\Cristalina\[CRISTALINA_CF_SEC_New_09-Feb-2024.xlsx]D-PDP'!$BE$46</v>
      </c>
      <c r="J3380" s="37" t="s">
        <v>1643</v>
      </c>
    </row>
    <row r="3381" spans="1:10" x14ac:dyDescent="0.35">
      <c r="A3381" s="32" t="s">
        <v>14</v>
      </c>
      <c r="B3381" s="32">
        <f t="shared" si="796"/>
        <v>2058</v>
      </c>
      <c r="C3381" s="33" t="s">
        <v>28</v>
      </c>
      <c r="D3381" s="34" t="s">
        <v>128</v>
      </c>
      <c r="E3381" s="35" t="str">
        <f t="shared" si="798"/>
        <v>PDP'!</v>
      </c>
      <c r="F3381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81" s="32" t="s">
        <v>124</v>
      </c>
      <c r="H3381" s="33">
        <f t="shared" si="800"/>
        <v>47</v>
      </c>
      <c r="I3381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ECP\Cantagallo\Cristalina\[CRISTALINA_CF_SEC_New_09-Feb-2024.xlsx]D-PDP'!$BE$47</v>
      </c>
      <c r="J3381" s="37" t="s">
        <v>1644</v>
      </c>
    </row>
    <row r="3382" spans="1:10" x14ac:dyDescent="0.35">
      <c r="A3382" s="32" t="s">
        <v>14</v>
      </c>
      <c r="B3382" s="32">
        <f t="shared" si="796"/>
        <v>2059</v>
      </c>
      <c r="C3382" s="33" t="s">
        <v>28</v>
      </c>
      <c r="D3382" s="34" t="s">
        <v>128</v>
      </c>
      <c r="E3382" s="35" t="str">
        <f t="shared" si="798"/>
        <v>PDP'!</v>
      </c>
      <c r="F3382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82" s="32" t="s">
        <v>124</v>
      </c>
      <c r="H3382" s="33">
        <f t="shared" si="800"/>
        <v>48</v>
      </c>
      <c r="I3382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ECP\Cantagallo\Cristalina\[CRISTALINA_CF_SEC_New_09-Feb-2024.xlsx]D-PDP'!$BE$48</v>
      </c>
      <c r="J3382" s="37" t="s">
        <v>1645</v>
      </c>
    </row>
    <row r="3383" spans="1:10" x14ac:dyDescent="0.35">
      <c r="A3383" s="32" t="s">
        <v>26</v>
      </c>
      <c r="B3383" s="32"/>
      <c r="C3383" s="33" t="s">
        <v>28</v>
      </c>
      <c r="D3383" s="34"/>
      <c r="E3383" s="35" t="str">
        <f t="shared" si="794"/>
        <v>Total'!</v>
      </c>
      <c r="F3383" s="34"/>
      <c r="G3383" s="32"/>
      <c r="H3383" s="33"/>
      <c r="I3383" s="33"/>
      <c r="J3383" s="33"/>
    </row>
    <row r="3384" spans="1:10" x14ac:dyDescent="0.35">
      <c r="A3384" s="32" t="s">
        <v>15</v>
      </c>
      <c r="B3384" s="32">
        <v>2023</v>
      </c>
      <c r="C3384" s="33" t="s">
        <v>28</v>
      </c>
      <c r="D3384" s="34" t="s">
        <v>128</v>
      </c>
      <c r="E3384" s="35" t="str">
        <f t="shared" si="794"/>
        <v>PNP'!</v>
      </c>
      <c r="F3384" s="34" t="str">
        <f t="shared" ref="F3384:F3404" si="802">_xlfn.CONCAT(D3384:E3384)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84" s="32" t="s">
        <v>124</v>
      </c>
      <c r="H3384" s="33">
        <f>IF(A3384&lt;&gt;A3368,12,H3368+1)</f>
        <v>12</v>
      </c>
      <c r="I3384" s="33" t="str">
        <f t="shared" ref="I3384:I3404" si="803">_xlfn.CONCAT("='",F3384:H3384)</f>
        <v>='C:\Users\jaime.benazar\Quorum Business Solutions\Ecopetrol Prometeo - Documents\Planning Space Implementation\3. Analysis &amp; Design\Design\FC22\DRR Jaime\Por presentar a ECP\Cantagallo\Cristalina\[CRISTALINA_CF_SEC_New_09-Feb-2024.xlsx]D-PNP'!$BE$12</v>
      </c>
      <c r="J3384" s="37" t="s">
        <v>1646</v>
      </c>
    </row>
    <row r="3385" spans="1:10" x14ac:dyDescent="0.35">
      <c r="A3385" s="32" t="s">
        <v>15</v>
      </c>
      <c r="B3385" s="32">
        <f>+B3384+1</f>
        <v>2024</v>
      </c>
      <c r="C3385" s="33" t="s">
        <v>28</v>
      </c>
      <c r="D3385" s="34" t="s">
        <v>128</v>
      </c>
      <c r="E3385" s="35" t="str">
        <f t="shared" si="794"/>
        <v>PNP'!</v>
      </c>
      <c r="F3385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85" s="32" t="s">
        <v>124</v>
      </c>
      <c r="H3385" s="33">
        <f t="shared" ref="H3385:H3404" si="804">IF(A3385&lt;&gt;A3384,36,H3384+1)</f>
        <v>13</v>
      </c>
      <c r="I3385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ECP\Cantagallo\Cristalina\[CRISTALINA_CF_SEC_New_09-Feb-2024.xlsx]D-PNP'!$BE$13</v>
      </c>
      <c r="J3385" s="37" t="s">
        <v>1647</v>
      </c>
    </row>
    <row r="3386" spans="1:10" x14ac:dyDescent="0.35">
      <c r="A3386" s="32" t="s">
        <v>15</v>
      </c>
      <c r="B3386" s="32">
        <f t="shared" ref="B3386:B3397" si="805">+B3385+1</f>
        <v>2025</v>
      </c>
      <c r="C3386" s="33" t="s">
        <v>28</v>
      </c>
      <c r="D3386" s="34" t="s">
        <v>128</v>
      </c>
      <c r="E3386" s="35" t="str">
        <f t="shared" si="794"/>
        <v>PNP'!</v>
      </c>
      <c r="F3386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86" s="32" t="s">
        <v>124</v>
      </c>
      <c r="H3386" s="33">
        <f t="shared" si="804"/>
        <v>14</v>
      </c>
      <c r="I3386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ECP\Cantagallo\Cristalina\[CRISTALINA_CF_SEC_New_09-Feb-2024.xlsx]D-PNP'!$BE$14</v>
      </c>
      <c r="J3386" s="37" t="s">
        <v>1648</v>
      </c>
    </row>
    <row r="3387" spans="1:10" x14ac:dyDescent="0.35">
      <c r="A3387" s="32" t="s">
        <v>15</v>
      </c>
      <c r="B3387" s="32">
        <f t="shared" si="805"/>
        <v>2026</v>
      </c>
      <c r="C3387" s="33" t="s">
        <v>28</v>
      </c>
      <c r="D3387" s="34" t="s">
        <v>128</v>
      </c>
      <c r="E3387" s="35" t="str">
        <f t="shared" si="794"/>
        <v>PNP'!</v>
      </c>
      <c r="F3387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87" s="32" t="s">
        <v>124</v>
      </c>
      <c r="H3387" s="33">
        <f t="shared" si="804"/>
        <v>15</v>
      </c>
      <c r="I3387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ECP\Cantagallo\Cristalina\[CRISTALINA_CF_SEC_New_09-Feb-2024.xlsx]D-PNP'!$BE$15</v>
      </c>
      <c r="J3387" s="37" t="s">
        <v>1649</v>
      </c>
    </row>
    <row r="3388" spans="1:10" x14ac:dyDescent="0.35">
      <c r="A3388" s="32" t="s">
        <v>15</v>
      </c>
      <c r="B3388" s="32">
        <f t="shared" si="805"/>
        <v>2027</v>
      </c>
      <c r="C3388" s="33" t="s">
        <v>28</v>
      </c>
      <c r="D3388" s="34" t="s">
        <v>128</v>
      </c>
      <c r="E3388" s="35" t="str">
        <f t="shared" si="794"/>
        <v>PNP'!</v>
      </c>
      <c r="F3388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88" s="32" t="s">
        <v>124</v>
      </c>
      <c r="H3388" s="33">
        <f t="shared" si="804"/>
        <v>16</v>
      </c>
      <c r="I3388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ECP\Cantagallo\Cristalina\[CRISTALINA_CF_SEC_New_09-Feb-2024.xlsx]D-PNP'!$BE$16</v>
      </c>
      <c r="J3388" s="37" t="s">
        <v>1650</v>
      </c>
    </row>
    <row r="3389" spans="1:10" x14ac:dyDescent="0.35">
      <c r="A3389" s="32" t="s">
        <v>15</v>
      </c>
      <c r="B3389" s="32">
        <f t="shared" si="805"/>
        <v>2028</v>
      </c>
      <c r="C3389" s="33" t="s">
        <v>28</v>
      </c>
      <c r="D3389" s="34" t="s">
        <v>128</v>
      </c>
      <c r="E3389" s="35" t="str">
        <f t="shared" si="794"/>
        <v>PNP'!</v>
      </c>
      <c r="F3389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89" s="32" t="s">
        <v>124</v>
      </c>
      <c r="H3389" s="33">
        <f t="shared" si="804"/>
        <v>17</v>
      </c>
      <c r="I3389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ECP\Cantagallo\Cristalina\[CRISTALINA_CF_SEC_New_09-Feb-2024.xlsx]D-PNP'!$BE$17</v>
      </c>
      <c r="J3389" s="37" t="s">
        <v>1651</v>
      </c>
    </row>
    <row r="3390" spans="1:10" x14ac:dyDescent="0.35">
      <c r="A3390" s="32" t="s">
        <v>15</v>
      </c>
      <c r="B3390" s="32">
        <f t="shared" si="805"/>
        <v>2029</v>
      </c>
      <c r="C3390" s="33" t="s">
        <v>28</v>
      </c>
      <c r="D3390" s="34" t="s">
        <v>128</v>
      </c>
      <c r="E3390" s="35" t="str">
        <f t="shared" si="794"/>
        <v>PNP'!</v>
      </c>
      <c r="F3390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90" s="32" t="s">
        <v>124</v>
      </c>
      <c r="H3390" s="33">
        <f t="shared" si="804"/>
        <v>18</v>
      </c>
      <c r="I3390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ECP\Cantagallo\Cristalina\[CRISTALINA_CF_SEC_New_09-Feb-2024.xlsx]D-PNP'!$BE$18</v>
      </c>
      <c r="J3390" s="37" t="s">
        <v>1652</v>
      </c>
    </row>
    <row r="3391" spans="1:10" x14ac:dyDescent="0.35">
      <c r="A3391" s="32" t="s">
        <v>15</v>
      </c>
      <c r="B3391" s="32">
        <f t="shared" si="805"/>
        <v>2030</v>
      </c>
      <c r="C3391" s="33" t="s">
        <v>28</v>
      </c>
      <c r="D3391" s="34" t="s">
        <v>128</v>
      </c>
      <c r="E3391" s="35" t="str">
        <f t="shared" si="794"/>
        <v>PNP'!</v>
      </c>
      <c r="F3391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91" s="32" t="s">
        <v>124</v>
      </c>
      <c r="H3391" s="33">
        <f t="shared" si="804"/>
        <v>19</v>
      </c>
      <c r="I3391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ECP\Cantagallo\Cristalina\[CRISTALINA_CF_SEC_New_09-Feb-2024.xlsx]D-PNP'!$BE$19</v>
      </c>
      <c r="J3391" s="37" t="s">
        <v>1653</v>
      </c>
    </row>
    <row r="3392" spans="1:10" x14ac:dyDescent="0.35">
      <c r="A3392" s="32" t="s">
        <v>15</v>
      </c>
      <c r="B3392" s="32">
        <f t="shared" si="805"/>
        <v>2031</v>
      </c>
      <c r="C3392" s="33" t="s">
        <v>28</v>
      </c>
      <c r="D3392" s="34" t="s">
        <v>128</v>
      </c>
      <c r="E3392" s="35" t="str">
        <f t="shared" si="794"/>
        <v>PNP'!</v>
      </c>
      <c r="F3392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92" s="32" t="s">
        <v>124</v>
      </c>
      <c r="H3392" s="33">
        <f t="shared" si="804"/>
        <v>20</v>
      </c>
      <c r="I3392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ECP\Cantagallo\Cristalina\[CRISTALINA_CF_SEC_New_09-Feb-2024.xlsx]D-PNP'!$BE$20</v>
      </c>
      <c r="J3392" s="37" t="s">
        <v>1654</v>
      </c>
    </row>
    <row r="3393" spans="1:10" x14ac:dyDescent="0.35">
      <c r="A3393" s="32" t="s">
        <v>15</v>
      </c>
      <c r="B3393" s="32">
        <f t="shared" si="805"/>
        <v>2032</v>
      </c>
      <c r="C3393" s="33" t="s">
        <v>28</v>
      </c>
      <c r="D3393" s="34" t="s">
        <v>128</v>
      </c>
      <c r="E3393" s="35" t="str">
        <f t="shared" si="794"/>
        <v>PNP'!</v>
      </c>
      <c r="F3393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93" s="32" t="s">
        <v>124</v>
      </c>
      <c r="H3393" s="33">
        <f t="shared" si="804"/>
        <v>21</v>
      </c>
      <c r="I3393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ECP\Cantagallo\Cristalina\[CRISTALINA_CF_SEC_New_09-Feb-2024.xlsx]D-PNP'!$BE$21</v>
      </c>
      <c r="J3393" s="37" t="s">
        <v>1655</v>
      </c>
    </row>
    <row r="3394" spans="1:10" x14ac:dyDescent="0.35">
      <c r="A3394" s="32" t="s">
        <v>15</v>
      </c>
      <c r="B3394" s="32">
        <f t="shared" si="805"/>
        <v>2033</v>
      </c>
      <c r="C3394" s="33" t="s">
        <v>28</v>
      </c>
      <c r="D3394" s="34" t="s">
        <v>128</v>
      </c>
      <c r="E3394" s="35" t="str">
        <f t="shared" si="794"/>
        <v>PNP'!</v>
      </c>
      <c r="F3394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94" s="32" t="s">
        <v>124</v>
      </c>
      <c r="H3394" s="33">
        <f t="shared" si="804"/>
        <v>22</v>
      </c>
      <c r="I3394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ECP\Cantagallo\Cristalina\[CRISTALINA_CF_SEC_New_09-Feb-2024.xlsx]D-PNP'!$BE$22</v>
      </c>
      <c r="J3394" s="37" t="s">
        <v>1656</v>
      </c>
    </row>
    <row r="3395" spans="1:10" x14ac:dyDescent="0.35">
      <c r="A3395" s="32" t="s">
        <v>15</v>
      </c>
      <c r="B3395" s="32">
        <f t="shared" si="805"/>
        <v>2034</v>
      </c>
      <c r="C3395" s="33" t="s">
        <v>28</v>
      </c>
      <c r="D3395" s="34" t="s">
        <v>128</v>
      </c>
      <c r="E3395" s="35" t="str">
        <f t="shared" si="794"/>
        <v>PNP'!</v>
      </c>
      <c r="F3395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95" s="32" t="s">
        <v>124</v>
      </c>
      <c r="H3395" s="33">
        <f t="shared" si="804"/>
        <v>23</v>
      </c>
      <c r="I3395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ECP\Cantagallo\Cristalina\[CRISTALINA_CF_SEC_New_09-Feb-2024.xlsx]D-PNP'!$BE$23</v>
      </c>
      <c r="J3395" s="37" t="s">
        <v>1657</v>
      </c>
    </row>
    <row r="3396" spans="1:10" x14ac:dyDescent="0.35">
      <c r="A3396" s="32" t="s">
        <v>15</v>
      </c>
      <c r="B3396" s="32">
        <f t="shared" si="805"/>
        <v>2035</v>
      </c>
      <c r="C3396" s="33" t="s">
        <v>28</v>
      </c>
      <c r="D3396" s="34" t="s">
        <v>128</v>
      </c>
      <c r="E3396" s="35" t="str">
        <f t="shared" si="794"/>
        <v>PNP'!</v>
      </c>
      <c r="F3396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96" s="32" t="s">
        <v>124</v>
      </c>
      <c r="H3396" s="33">
        <f t="shared" si="804"/>
        <v>24</v>
      </c>
      <c r="I3396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ECP\Cantagallo\Cristalina\[CRISTALINA_CF_SEC_New_09-Feb-2024.xlsx]D-PNP'!$BE$24</v>
      </c>
      <c r="J3396" s="37" t="s">
        <v>1658</v>
      </c>
    </row>
    <row r="3397" spans="1:10" x14ac:dyDescent="0.35">
      <c r="A3397" s="32" t="s">
        <v>15</v>
      </c>
      <c r="B3397" s="32">
        <f t="shared" si="805"/>
        <v>2036</v>
      </c>
      <c r="C3397" s="33" t="s">
        <v>28</v>
      </c>
      <c r="D3397" s="34" t="s">
        <v>128</v>
      </c>
      <c r="E3397" s="35" t="str">
        <f t="shared" si="794"/>
        <v>PNP'!</v>
      </c>
      <c r="F3397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97" s="32" t="s">
        <v>124</v>
      </c>
      <c r="H3397" s="33">
        <f t="shared" si="804"/>
        <v>25</v>
      </c>
      <c r="I3397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ECP\Cantagallo\Cristalina\[CRISTALINA_CF_SEC_New_09-Feb-2024.xlsx]D-PNP'!$BE$25</v>
      </c>
      <c r="J3397" s="37" t="s">
        <v>1659</v>
      </c>
    </row>
    <row r="3398" spans="1:10" x14ac:dyDescent="0.35">
      <c r="A3398" s="32" t="s">
        <v>15</v>
      </c>
      <c r="B3398" s="32">
        <f>+B3397+1</f>
        <v>2037</v>
      </c>
      <c r="C3398" s="33" t="s">
        <v>28</v>
      </c>
      <c r="D3398" s="34" t="s">
        <v>128</v>
      </c>
      <c r="E3398" s="35" t="str">
        <f t="shared" si="794"/>
        <v>PNP'!</v>
      </c>
      <c r="F3398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98" s="32" t="s">
        <v>124</v>
      </c>
      <c r="H3398" s="33">
        <f t="shared" si="804"/>
        <v>26</v>
      </c>
      <c r="I3398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ECP\Cantagallo\Cristalina\[CRISTALINA_CF_SEC_New_09-Feb-2024.xlsx]D-PNP'!$BE$26</v>
      </c>
      <c r="J3398" s="37" t="s">
        <v>1660</v>
      </c>
    </row>
    <row r="3399" spans="1:10" x14ac:dyDescent="0.35">
      <c r="A3399" s="32" t="s">
        <v>15</v>
      </c>
      <c r="B3399" s="32">
        <f t="shared" ref="B3399:B3401" si="806">+B3398+1</f>
        <v>2038</v>
      </c>
      <c r="C3399" s="33" t="s">
        <v>28</v>
      </c>
      <c r="D3399" s="34" t="s">
        <v>128</v>
      </c>
      <c r="E3399" s="35" t="str">
        <f t="shared" si="794"/>
        <v>PNP'!</v>
      </c>
      <c r="F3399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99" s="32" t="s">
        <v>124</v>
      </c>
      <c r="H3399" s="33">
        <f t="shared" si="804"/>
        <v>27</v>
      </c>
      <c r="I3399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ECP\Cantagallo\Cristalina\[CRISTALINA_CF_SEC_New_09-Feb-2024.xlsx]D-PNP'!$BE$27</v>
      </c>
      <c r="J3399" s="37" t="s">
        <v>1661</v>
      </c>
    </row>
    <row r="3400" spans="1:10" x14ac:dyDescent="0.35">
      <c r="A3400" s="32" t="s">
        <v>15</v>
      </c>
      <c r="B3400" s="32">
        <f t="shared" si="806"/>
        <v>2039</v>
      </c>
      <c r="C3400" s="33" t="s">
        <v>28</v>
      </c>
      <c r="D3400" s="34" t="s">
        <v>128</v>
      </c>
      <c r="E3400" s="35" t="str">
        <f t="shared" si="794"/>
        <v>PNP'!</v>
      </c>
      <c r="F3400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00" s="32" t="s">
        <v>124</v>
      </c>
      <c r="H3400" s="33">
        <f t="shared" si="804"/>
        <v>28</v>
      </c>
      <c r="I3400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ECP\Cantagallo\Cristalina\[CRISTALINA_CF_SEC_New_09-Feb-2024.xlsx]D-PNP'!$BE$28</v>
      </c>
      <c r="J3400" s="37" t="s">
        <v>1662</v>
      </c>
    </row>
    <row r="3401" spans="1:10" x14ac:dyDescent="0.35">
      <c r="A3401" s="32" t="s">
        <v>15</v>
      </c>
      <c r="B3401" s="32">
        <f t="shared" si="806"/>
        <v>2040</v>
      </c>
      <c r="C3401" s="33" t="s">
        <v>28</v>
      </c>
      <c r="D3401" s="34" t="s">
        <v>128</v>
      </c>
      <c r="E3401" s="35" t="str">
        <f t="shared" si="794"/>
        <v>PNP'!</v>
      </c>
      <c r="F3401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01" s="32" t="s">
        <v>124</v>
      </c>
      <c r="H3401" s="33">
        <f t="shared" si="804"/>
        <v>29</v>
      </c>
      <c r="I3401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ECP\Cantagallo\Cristalina\[CRISTALINA_CF_SEC_New_09-Feb-2024.xlsx]D-PNP'!$BE$29</v>
      </c>
      <c r="J3401" s="37" t="s">
        <v>1663</v>
      </c>
    </row>
    <row r="3402" spans="1:10" x14ac:dyDescent="0.35">
      <c r="A3402" s="32" t="s">
        <v>15</v>
      </c>
      <c r="B3402" s="32">
        <f>+B3401+1</f>
        <v>2041</v>
      </c>
      <c r="C3402" s="33" t="s">
        <v>28</v>
      </c>
      <c r="D3402" s="34" t="s">
        <v>128</v>
      </c>
      <c r="E3402" s="35" t="str">
        <f t="shared" si="794"/>
        <v>PNP'!</v>
      </c>
      <c r="F3402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02" s="32" t="s">
        <v>124</v>
      </c>
      <c r="H3402" s="33">
        <f t="shared" si="804"/>
        <v>30</v>
      </c>
      <c r="I3402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ECP\Cantagallo\Cristalina\[CRISTALINA_CF_SEC_New_09-Feb-2024.xlsx]D-PNP'!$BE$30</v>
      </c>
      <c r="J3402" s="37" t="s">
        <v>1664</v>
      </c>
    </row>
    <row r="3403" spans="1:10" x14ac:dyDescent="0.35">
      <c r="A3403" s="32" t="s">
        <v>15</v>
      </c>
      <c r="B3403" s="32">
        <f t="shared" ref="B3403:B3404" si="807">+B3402+1</f>
        <v>2042</v>
      </c>
      <c r="C3403" s="33" t="s">
        <v>28</v>
      </c>
      <c r="D3403" s="34" t="s">
        <v>128</v>
      </c>
      <c r="E3403" s="35" t="str">
        <f t="shared" si="794"/>
        <v>PNP'!</v>
      </c>
      <c r="F3403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03" s="32" t="s">
        <v>124</v>
      </c>
      <c r="H3403" s="33">
        <f t="shared" si="804"/>
        <v>31</v>
      </c>
      <c r="I3403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ECP\Cantagallo\Cristalina\[CRISTALINA_CF_SEC_New_09-Feb-2024.xlsx]D-PNP'!$BE$31</v>
      </c>
      <c r="J3403" s="37" t="s">
        <v>1665</v>
      </c>
    </row>
    <row r="3404" spans="1:10" x14ac:dyDescent="0.35">
      <c r="A3404" s="32" t="s">
        <v>15</v>
      </c>
      <c r="B3404" s="32">
        <f t="shared" si="807"/>
        <v>2043</v>
      </c>
      <c r="C3404" s="33" t="s">
        <v>28</v>
      </c>
      <c r="D3404" s="34" t="s">
        <v>128</v>
      </c>
      <c r="E3404" s="35" t="str">
        <f t="shared" si="794"/>
        <v>PNP'!</v>
      </c>
      <c r="F3404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04" s="32" t="s">
        <v>124</v>
      </c>
      <c r="H3404" s="33">
        <f t="shared" si="804"/>
        <v>32</v>
      </c>
      <c r="I3404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ECP\Cantagallo\Cristalina\[CRISTALINA_CF_SEC_New_09-Feb-2024.xlsx]D-PNP'!$BE$32</v>
      </c>
      <c r="J3404" s="37" t="s">
        <v>1666</v>
      </c>
    </row>
    <row r="3405" spans="1:10" x14ac:dyDescent="0.35">
      <c r="A3405" s="32" t="s">
        <v>15</v>
      </c>
      <c r="B3405" s="32">
        <f>+B3404+1</f>
        <v>2044</v>
      </c>
      <c r="C3405" s="33" t="s">
        <v>28</v>
      </c>
      <c r="D3405" s="34" t="s">
        <v>128</v>
      </c>
      <c r="E3405" s="35" t="str">
        <f t="shared" ref="E3405:E3420" si="808">_xlfn.CONCAT(A3405,"'!")</f>
        <v>PNP'!</v>
      </c>
      <c r="F3405" s="34" t="str">
        <f t="shared" ref="F3405:F3420" si="809">_xlfn.CONCAT(D3405:E3405)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05" s="32" t="s">
        <v>124</v>
      </c>
      <c r="H3405" s="33">
        <f t="shared" ref="H3405:H3420" si="810">IF(A3405&lt;&gt;A3404,36,H3404+1)</f>
        <v>33</v>
      </c>
      <c r="I3405" s="33" t="str">
        <f t="shared" ref="I3405:I3420" si="811">_xlfn.CONCAT("='",F3405:H3405)</f>
        <v>='C:\Users\jaime.benazar\Quorum Business Solutions\Ecopetrol Prometeo - Documents\Planning Space Implementation\3. Analysis &amp; Design\Design\FC22\DRR Jaime\Por presentar a ECP\Cantagallo\Cristalina\[CRISTALINA_CF_SEC_New_09-Feb-2024.xlsx]D-PNP'!$BE$33</v>
      </c>
      <c r="J3405" s="37" t="s">
        <v>1667</v>
      </c>
    </row>
    <row r="3406" spans="1:10" x14ac:dyDescent="0.35">
      <c r="A3406" s="32" t="s">
        <v>15</v>
      </c>
      <c r="B3406" s="32">
        <f t="shared" ref="B3406:B3420" si="812">+B3405+1</f>
        <v>2045</v>
      </c>
      <c r="C3406" s="33" t="s">
        <v>28</v>
      </c>
      <c r="D3406" s="34" t="s">
        <v>128</v>
      </c>
      <c r="E3406" s="35" t="str">
        <f t="shared" si="808"/>
        <v>PNP'!</v>
      </c>
      <c r="F3406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06" s="32" t="s">
        <v>124</v>
      </c>
      <c r="H3406" s="33">
        <f t="shared" si="810"/>
        <v>34</v>
      </c>
      <c r="I3406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ECP\Cantagallo\Cristalina\[CRISTALINA_CF_SEC_New_09-Feb-2024.xlsx]D-PNP'!$BE$34</v>
      </c>
      <c r="J3406" s="37" t="s">
        <v>1668</v>
      </c>
    </row>
    <row r="3407" spans="1:10" x14ac:dyDescent="0.35">
      <c r="A3407" s="32" t="s">
        <v>15</v>
      </c>
      <c r="B3407" s="32">
        <f t="shared" si="812"/>
        <v>2046</v>
      </c>
      <c r="C3407" s="33" t="s">
        <v>28</v>
      </c>
      <c r="D3407" s="34" t="s">
        <v>128</v>
      </c>
      <c r="E3407" s="35" t="str">
        <f t="shared" si="808"/>
        <v>PNP'!</v>
      </c>
      <c r="F3407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07" s="32" t="s">
        <v>124</v>
      </c>
      <c r="H3407" s="33">
        <f t="shared" si="810"/>
        <v>35</v>
      </c>
      <c r="I3407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ECP\Cantagallo\Cristalina\[CRISTALINA_CF_SEC_New_09-Feb-2024.xlsx]D-PNP'!$BE$35</v>
      </c>
      <c r="J3407" s="37" t="s">
        <v>1669</v>
      </c>
    </row>
    <row r="3408" spans="1:10" x14ac:dyDescent="0.35">
      <c r="A3408" s="32" t="s">
        <v>15</v>
      </c>
      <c r="B3408" s="32">
        <f t="shared" si="812"/>
        <v>2047</v>
      </c>
      <c r="C3408" s="33" t="s">
        <v>28</v>
      </c>
      <c r="D3408" s="34" t="s">
        <v>128</v>
      </c>
      <c r="E3408" s="35" t="str">
        <f t="shared" si="808"/>
        <v>PNP'!</v>
      </c>
      <c r="F3408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08" s="32" t="s">
        <v>124</v>
      </c>
      <c r="H3408" s="33">
        <f t="shared" si="810"/>
        <v>36</v>
      </c>
      <c r="I3408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ECP\Cantagallo\Cristalina\[CRISTALINA_CF_SEC_New_09-Feb-2024.xlsx]D-PNP'!$BE$36</v>
      </c>
      <c r="J3408" s="37" t="s">
        <v>1670</v>
      </c>
    </row>
    <row r="3409" spans="1:10" x14ac:dyDescent="0.35">
      <c r="A3409" s="32" t="s">
        <v>15</v>
      </c>
      <c r="B3409" s="32">
        <f t="shared" si="812"/>
        <v>2048</v>
      </c>
      <c r="C3409" s="33" t="s">
        <v>28</v>
      </c>
      <c r="D3409" s="34" t="s">
        <v>128</v>
      </c>
      <c r="E3409" s="35" t="str">
        <f t="shared" si="808"/>
        <v>PNP'!</v>
      </c>
      <c r="F3409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09" s="32" t="s">
        <v>124</v>
      </c>
      <c r="H3409" s="33">
        <f t="shared" si="810"/>
        <v>37</v>
      </c>
      <c r="I3409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ECP\Cantagallo\Cristalina\[CRISTALINA_CF_SEC_New_09-Feb-2024.xlsx]D-PNP'!$BE$37</v>
      </c>
      <c r="J3409" s="37" t="s">
        <v>1671</v>
      </c>
    </row>
    <row r="3410" spans="1:10" x14ac:dyDescent="0.35">
      <c r="A3410" s="32" t="s">
        <v>15</v>
      </c>
      <c r="B3410" s="32">
        <f t="shared" si="812"/>
        <v>2049</v>
      </c>
      <c r="C3410" s="33" t="s">
        <v>28</v>
      </c>
      <c r="D3410" s="34" t="s">
        <v>128</v>
      </c>
      <c r="E3410" s="35" t="str">
        <f t="shared" si="808"/>
        <v>PNP'!</v>
      </c>
      <c r="F3410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10" s="32" t="s">
        <v>124</v>
      </c>
      <c r="H3410" s="33">
        <f t="shared" si="810"/>
        <v>38</v>
      </c>
      <c r="I3410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ECP\Cantagallo\Cristalina\[CRISTALINA_CF_SEC_New_09-Feb-2024.xlsx]D-PNP'!$BE$38</v>
      </c>
      <c r="J3410" s="37" t="s">
        <v>1672</v>
      </c>
    </row>
    <row r="3411" spans="1:10" x14ac:dyDescent="0.35">
      <c r="A3411" s="32" t="s">
        <v>15</v>
      </c>
      <c r="B3411" s="32">
        <f t="shared" si="812"/>
        <v>2050</v>
      </c>
      <c r="C3411" s="33" t="s">
        <v>28</v>
      </c>
      <c r="D3411" s="34" t="s">
        <v>128</v>
      </c>
      <c r="E3411" s="35" t="str">
        <f t="shared" si="808"/>
        <v>PNP'!</v>
      </c>
      <c r="F3411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11" s="32" t="s">
        <v>124</v>
      </c>
      <c r="H3411" s="33">
        <f t="shared" si="810"/>
        <v>39</v>
      </c>
      <c r="I3411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ECP\Cantagallo\Cristalina\[CRISTALINA_CF_SEC_New_09-Feb-2024.xlsx]D-PNP'!$BE$39</v>
      </c>
      <c r="J3411" s="37" t="s">
        <v>1673</v>
      </c>
    </row>
    <row r="3412" spans="1:10" x14ac:dyDescent="0.35">
      <c r="A3412" s="32" t="s">
        <v>15</v>
      </c>
      <c r="B3412" s="32">
        <f t="shared" si="812"/>
        <v>2051</v>
      </c>
      <c r="C3412" s="33" t="s">
        <v>28</v>
      </c>
      <c r="D3412" s="34" t="s">
        <v>128</v>
      </c>
      <c r="E3412" s="35" t="str">
        <f t="shared" si="808"/>
        <v>PNP'!</v>
      </c>
      <c r="F3412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12" s="32" t="s">
        <v>124</v>
      </c>
      <c r="H3412" s="33">
        <f t="shared" si="810"/>
        <v>40</v>
      </c>
      <c r="I3412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ECP\Cantagallo\Cristalina\[CRISTALINA_CF_SEC_New_09-Feb-2024.xlsx]D-PNP'!$BE$40</v>
      </c>
      <c r="J3412" s="37" t="s">
        <v>1674</v>
      </c>
    </row>
    <row r="3413" spans="1:10" x14ac:dyDescent="0.35">
      <c r="A3413" s="32" t="s">
        <v>15</v>
      </c>
      <c r="B3413" s="32">
        <f t="shared" si="812"/>
        <v>2052</v>
      </c>
      <c r="C3413" s="33" t="s">
        <v>28</v>
      </c>
      <c r="D3413" s="34" t="s">
        <v>128</v>
      </c>
      <c r="E3413" s="35" t="str">
        <f t="shared" si="808"/>
        <v>PNP'!</v>
      </c>
      <c r="F3413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13" s="32" t="s">
        <v>124</v>
      </c>
      <c r="H3413" s="33">
        <f t="shared" si="810"/>
        <v>41</v>
      </c>
      <c r="I3413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ECP\Cantagallo\Cristalina\[CRISTALINA_CF_SEC_New_09-Feb-2024.xlsx]D-PNP'!$BE$41</v>
      </c>
      <c r="J3413" s="37" t="s">
        <v>1675</v>
      </c>
    </row>
    <row r="3414" spans="1:10" x14ac:dyDescent="0.35">
      <c r="A3414" s="32" t="s">
        <v>15</v>
      </c>
      <c r="B3414" s="32">
        <f t="shared" si="812"/>
        <v>2053</v>
      </c>
      <c r="C3414" s="33" t="s">
        <v>28</v>
      </c>
      <c r="D3414" s="34" t="s">
        <v>128</v>
      </c>
      <c r="E3414" s="35" t="str">
        <f t="shared" si="808"/>
        <v>PNP'!</v>
      </c>
      <c r="F3414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14" s="32" t="s">
        <v>124</v>
      </c>
      <c r="H3414" s="33">
        <f t="shared" si="810"/>
        <v>42</v>
      </c>
      <c r="I3414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ECP\Cantagallo\Cristalina\[CRISTALINA_CF_SEC_New_09-Feb-2024.xlsx]D-PNP'!$BE$42</v>
      </c>
      <c r="J3414" s="37" t="s">
        <v>1676</v>
      </c>
    </row>
    <row r="3415" spans="1:10" x14ac:dyDescent="0.35">
      <c r="A3415" s="32" t="s">
        <v>15</v>
      </c>
      <c r="B3415" s="32">
        <f t="shared" si="812"/>
        <v>2054</v>
      </c>
      <c r="C3415" s="33" t="s">
        <v>28</v>
      </c>
      <c r="D3415" s="34" t="s">
        <v>128</v>
      </c>
      <c r="E3415" s="35" t="str">
        <f t="shared" si="808"/>
        <v>PNP'!</v>
      </c>
      <c r="F3415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15" s="32" t="s">
        <v>124</v>
      </c>
      <c r="H3415" s="33">
        <f t="shared" si="810"/>
        <v>43</v>
      </c>
      <c r="I3415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ECP\Cantagallo\Cristalina\[CRISTALINA_CF_SEC_New_09-Feb-2024.xlsx]D-PNP'!$BE$43</v>
      </c>
      <c r="J3415" s="37" t="s">
        <v>1677</v>
      </c>
    </row>
    <row r="3416" spans="1:10" x14ac:dyDescent="0.35">
      <c r="A3416" s="32" t="s">
        <v>15</v>
      </c>
      <c r="B3416" s="32">
        <f t="shared" si="812"/>
        <v>2055</v>
      </c>
      <c r="C3416" s="33" t="s">
        <v>28</v>
      </c>
      <c r="D3416" s="34" t="s">
        <v>128</v>
      </c>
      <c r="E3416" s="35" t="str">
        <f t="shared" si="808"/>
        <v>PNP'!</v>
      </c>
      <c r="F3416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16" s="32" t="s">
        <v>124</v>
      </c>
      <c r="H3416" s="33">
        <f t="shared" si="810"/>
        <v>44</v>
      </c>
      <c r="I3416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ECP\Cantagallo\Cristalina\[CRISTALINA_CF_SEC_New_09-Feb-2024.xlsx]D-PNP'!$BE$44</v>
      </c>
      <c r="J3416" s="37" t="s">
        <v>1678</v>
      </c>
    </row>
    <row r="3417" spans="1:10" x14ac:dyDescent="0.35">
      <c r="A3417" s="32" t="s">
        <v>15</v>
      </c>
      <c r="B3417" s="32">
        <f t="shared" si="812"/>
        <v>2056</v>
      </c>
      <c r="C3417" s="33" t="s">
        <v>28</v>
      </c>
      <c r="D3417" s="34" t="s">
        <v>128</v>
      </c>
      <c r="E3417" s="35" t="str">
        <f t="shared" si="808"/>
        <v>PNP'!</v>
      </c>
      <c r="F3417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17" s="32" t="s">
        <v>124</v>
      </c>
      <c r="H3417" s="33">
        <f t="shared" si="810"/>
        <v>45</v>
      </c>
      <c r="I3417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ECP\Cantagallo\Cristalina\[CRISTALINA_CF_SEC_New_09-Feb-2024.xlsx]D-PNP'!$BE$45</v>
      </c>
      <c r="J3417" s="37" t="s">
        <v>1679</v>
      </c>
    </row>
    <row r="3418" spans="1:10" x14ac:dyDescent="0.35">
      <c r="A3418" s="32" t="s">
        <v>15</v>
      </c>
      <c r="B3418" s="32">
        <f t="shared" si="812"/>
        <v>2057</v>
      </c>
      <c r="C3418" s="33" t="s">
        <v>28</v>
      </c>
      <c r="D3418" s="34" t="s">
        <v>128</v>
      </c>
      <c r="E3418" s="35" t="str">
        <f t="shared" si="808"/>
        <v>PNP'!</v>
      </c>
      <c r="F3418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18" s="32" t="s">
        <v>124</v>
      </c>
      <c r="H3418" s="33">
        <f t="shared" si="810"/>
        <v>46</v>
      </c>
      <c r="I3418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ECP\Cantagallo\Cristalina\[CRISTALINA_CF_SEC_New_09-Feb-2024.xlsx]D-PNP'!$BE$46</v>
      </c>
      <c r="J3418" s="37" t="s">
        <v>1680</v>
      </c>
    </row>
    <row r="3419" spans="1:10" x14ac:dyDescent="0.35">
      <c r="A3419" s="32" t="s">
        <v>15</v>
      </c>
      <c r="B3419" s="32">
        <f t="shared" si="812"/>
        <v>2058</v>
      </c>
      <c r="C3419" s="33" t="s">
        <v>28</v>
      </c>
      <c r="D3419" s="34" t="s">
        <v>128</v>
      </c>
      <c r="E3419" s="35" t="str">
        <f t="shared" si="808"/>
        <v>PNP'!</v>
      </c>
      <c r="F3419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19" s="32" t="s">
        <v>124</v>
      </c>
      <c r="H3419" s="33">
        <f t="shared" si="810"/>
        <v>47</v>
      </c>
      <c r="I3419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ECP\Cantagallo\Cristalina\[CRISTALINA_CF_SEC_New_09-Feb-2024.xlsx]D-PNP'!$BE$47</v>
      </c>
      <c r="J3419" s="37" t="s">
        <v>1681</v>
      </c>
    </row>
    <row r="3420" spans="1:10" x14ac:dyDescent="0.35">
      <c r="A3420" s="32" t="s">
        <v>15</v>
      </c>
      <c r="B3420" s="32">
        <f t="shared" si="812"/>
        <v>2059</v>
      </c>
      <c r="C3420" s="33" t="s">
        <v>28</v>
      </c>
      <c r="D3420" s="34" t="s">
        <v>128</v>
      </c>
      <c r="E3420" s="35" t="str">
        <f t="shared" si="808"/>
        <v>PNP'!</v>
      </c>
      <c r="F3420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20" s="32" t="s">
        <v>124</v>
      </c>
      <c r="H3420" s="33">
        <f t="shared" si="810"/>
        <v>48</v>
      </c>
      <c r="I3420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ECP\Cantagallo\Cristalina\[CRISTALINA_CF_SEC_New_09-Feb-2024.xlsx]D-PNP'!$BE$48</v>
      </c>
      <c r="J3420" s="37" t="s">
        <v>1682</v>
      </c>
    </row>
    <row r="3421" spans="1:10" x14ac:dyDescent="0.35">
      <c r="A3421" s="32" t="s">
        <v>26</v>
      </c>
      <c r="B3421" s="32"/>
      <c r="C3421" s="33" t="s">
        <v>28</v>
      </c>
      <c r="D3421" s="34"/>
      <c r="E3421" s="35"/>
      <c r="F3421" s="34"/>
      <c r="G3421" s="32"/>
      <c r="H3421" s="33"/>
      <c r="I3421" s="33"/>
      <c r="J3421" s="33"/>
    </row>
    <row r="3422" spans="1:10" x14ac:dyDescent="0.35">
      <c r="A3422" s="32" t="s">
        <v>16</v>
      </c>
      <c r="B3422" s="32">
        <v>2023</v>
      </c>
      <c r="C3422" s="33" t="s">
        <v>28</v>
      </c>
      <c r="D3422" s="34" t="s">
        <v>128</v>
      </c>
      <c r="E3422" s="35" t="str">
        <f t="shared" ref="E3422:E3442" si="813">_xlfn.CONCAT(A3422,"'!")</f>
        <v>PND'!</v>
      </c>
      <c r="F3422" s="34" t="str">
        <f t="shared" ref="F3422:F3442" si="814">_xlfn.CONCAT(D3422:E3422)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22" s="32" t="s">
        <v>124</v>
      </c>
      <c r="H3422" s="33">
        <f>IF(A3422&lt;&gt;A3406,12,H3406+1)</f>
        <v>12</v>
      </c>
      <c r="I3422" s="33" t="str">
        <f t="shared" ref="I3422:I3442" si="815">_xlfn.CONCAT("='",F3422:H3422)</f>
        <v>='C:\Users\jaime.benazar\Quorum Business Solutions\Ecopetrol Prometeo - Documents\Planning Space Implementation\3. Analysis &amp; Design\Design\FC22\DRR Jaime\Por presentar a ECP\Cantagallo\Cristalina\[CRISTALINA_CF_SEC_New_09-Feb-2024.xlsx]D-PND'!$BE$12</v>
      </c>
      <c r="J3422" s="37" t="s">
        <v>1683</v>
      </c>
    </row>
    <row r="3423" spans="1:10" x14ac:dyDescent="0.35">
      <c r="A3423" s="32" t="s">
        <v>16</v>
      </c>
      <c r="B3423" s="32">
        <f>+B3422+1</f>
        <v>2024</v>
      </c>
      <c r="C3423" s="33" t="s">
        <v>28</v>
      </c>
      <c r="D3423" s="34" t="s">
        <v>128</v>
      </c>
      <c r="E3423" s="35" t="str">
        <f t="shared" si="813"/>
        <v>PND'!</v>
      </c>
      <c r="F3423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23" s="32" t="s">
        <v>124</v>
      </c>
      <c r="H3423" s="33">
        <f t="shared" ref="H3423:H3442" si="816">IF(A3423&lt;&gt;A3422,36,H3422+1)</f>
        <v>13</v>
      </c>
      <c r="I3423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ECP\Cantagallo\Cristalina\[CRISTALINA_CF_SEC_New_09-Feb-2024.xlsx]D-PND'!$BE$13</v>
      </c>
      <c r="J3423" s="37" t="s">
        <v>1684</v>
      </c>
    </row>
    <row r="3424" spans="1:10" x14ac:dyDescent="0.35">
      <c r="A3424" s="32" t="s">
        <v>16</v>
      </c>
      <c r="B3424" s="32">
        <f t="shared" ref="B3424:B3435" si="817">+B3423+1</f>
        <v>2025</v>
      </c>
      <c r="C3424" s="33" t="s">
        <v>28</v>
      </c>
      <c r="D3424" s="34" t="s">
        <v>128</v>
      </c>
      <c r="E3424" s="35" t="str">
        <f t="shared" si="813"/>
        <v>PND'!</v>
      </c>
      <c r="F3424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24" s="32" t="s">
        <v>124</v>
      </c>
      <c r="H3424" s="33">
        <f t="shared" si="816"/>
        <v>14</v>
      </c>
      <c r="I3424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ECP\Cantagallo\Cristalina\[CRISTALINA_CF_SEC_New_09-Feb-2024.xlsx]D-PND'!$BE$14</v>
      </c>
      <c r="J3424" s="37" t="s">
        <v>1685</v>
      </c>
    </row>
    <row r="3425" spans="1:10" x14ac:dyDescent="0.35">
      <c r="A3425" s="32" t="s">
        <v>16</v>
      </c>
      <c r="B3425" s="32">
        <f t="shared" si="817"/>
        <v>2026</v>
      </c>
      <c r="C3425" s="33" t="s">
        <v>28</v>
      </c>
      <c r="D3425" s="34" t="s">
        <v>128</v>
      </c>
      <c r="E3425" s="35" t="str">
        <f t="shared" si="813"/>
        <v>PND'!</v>
      </c>
      <c r="F3425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25" s="32" t="s">
        <v>124</v>
      </c>
      <c r="H3425" s="33">
        <f t="shared" si="816"/>
        <v>15</v>
      </c>
      <c r="I3425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ECP\Cantagallo\Cristalina\[CRISTALINA_CF_SEC_New_09-Feb-2024.xlsx]D-PND'!$BE$15</v>
      </c>
      <c r="J3425" s="37" t="s">
        <v>1686</v>
      </c>
    </row>
    <row r="3426" spans="1:10" x14ac:dyDescent="0.35">
      <c r="A3426" s="32" t="s">
        <v>16</v>
      </c>
      <c r="B3426" s="32">
        <f t="shared" si="817"/>
        <v>2027</v>
      </c>
      <c r="C3426" s="33" t="s">
        <v>28</v>
      </c>
      <c r="D3426" s="34" t="s">
        <v>128</v>
      </c>
      <c r="E3426" s="35" t="str">
        <f t="shared" si="813"/>
        <v>PND'!</v>
      </c>
      <c r="F3426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26" s="32" t="s">
        <v>124</v>
      </c>
      <c r="H3426" s="33">
        <f t="shared" si="816"/>
        <v>16</v>
      </c>
      <c r="I3426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ECP\Cantagallo\Cristalina\[CRISTALINA_CF_SEC_New_09-Feb-2024.xlsx]D-PND'!$BE$16</v>
      </c>
      <c r="J3426" s="37" t="s">
        <v>1687</v>
      </c>
    </row>
    <row r="3427" spans="1:10" x14ac:dyDescent="0.35">
      <c r="A3427" s="32" t="s">
        <v>16</v>
      </c>
      <c r="B3427" s="32">
        <f t="shared" si="817"/>
        <v>2028</v>
      </c>
      <c r="C3427" s="33" t="s">
        <v>28</v>
      </c>
      <c r="D3427" s="34" t="s">
        <v>128</v>
      </c>
      <c r="E3427" s="35" t="str">
        <f t="shared" si="813"/>
        <v>PND'!</v>
      </c>
      <c r="F3427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27" s="32" t="s">
        <v>124</v>
      </c>
      <c r="H3427" s="33">
        <f t="shared" si="816"/>
        <v>17</v>
      </c>
      <c r="I3427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ECP\Cantagallo\Cristalina\[CRISTALINA_CF_SEC_New_09-Feb-2024.xlsx]D-PND'!$BE$17</v>
      </c>
      <c r="J3427" s="37" t="s">
        <v>1688</v>
      </c>
    </row>
    <row r="3428" spans="1:10" x14ac:dyDescent="0.35">
      <c r="A3428" s="32" t="s">
        <v>16</v>
      </c>
      <c r="B3428" s="32">
        <f t="shared" si="817"/>
        <v>2029</v>
      </c>
      <c r="C3428" s="33" t="s">
        <v>28</v>
      </c>
      <c r="D3428" s="34" t="s">
        <v>128</v>
      </c>
      <c r="E3428" s="35" t="str">
        <f t="shared" si="813"/>
        <v>PND'!</v>
      </c>
      <c r="F3428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28" s="32" t="s">
        <v>124</v>
      </c>
      <c r="H3428" s="33">
        <f t="shared" si="816"/>
        <v>18</v>
      </c>
      <c r="I3428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ECP\Cantagallo\Cristalina\[CRISTALINA_CF_SEC_New_09-Feb-2024.xlsx]D-PND'!$BE$18</v>
      </c>
      <c r="J3428" s="37" t="s">
        <v>1689</v>
      </c>
    </row>
    <row r="3429" spans="1:10" x14ac:dyDescent="0.35">
      <c r="A3429" s="32" t="s">
        <v>16</v>
      </c>
      <c r="B3429" s="32">
        <f t="shared" si="817"/>
        <v>2030</v>
      </c>
      <c r="C3429" s="33" t="s">
        <v>28</v>
      </c>
      <c r="D3429" s="34" t="s">
        <v>128</v>
      </c>
      <c r="E3429" s="35" t="str">
        <f t="shared" si="813"/>
        <v>PND'!</v>
      </c>
      <c r="F3429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29" s="32" t="s">
        <v>124</v>
      </c>
      <c r="H3429" s="33">
        <f t="shared" si="816"/>
        <v>19</v>
      </c>
      <c r="I3429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ECP\Cantagallo\Cristalina\[CRISTALINA_CF_SEC_New_09-Feb-2024.xlsx]D-PND'!$BE$19</v>
      </c>
      <c r="J3429" s="37" t="s">
        <v>1690</v>
      </c>
    </row>
    <row r="3430" spans="1:10" x14ac:dyDescent="0.35">
      <c r="A3430" s="32" t="s">
        <v>16</v>
      </c>
      <c r="B3430" s="32">
        <f t="shared" si="817"/>
        <v>2031</v>
      </c>
      <c r="C3430" s="33" t="s">
        <v>28</v>
      </c>
      <c r="D3430" s="34" t="s">
        <v>128</v>
      </c>
      <c r="E3430" s="35" t="str">
        <f t="shared" si="813"/>
        <v>PND'!</v>
      </c>
      <c r="F3430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30" s="32" t="s">
        <v>124</v>
      </c>
      <c r="H3430" s="33">
        <f t="shared" si="816"/>
        <v>20</v>
      </c>
      <c r="I3430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ECP\Cantagallo\Cristalina\[CRISTALINA_CF_SEC_New_09-Feb-2024.xlsx]D-PND'!$BE$20</v>
      </c>
      <c r="J3430" s="37" t="s">
        <v>1691</v>
      </c>
    </row>
    <row r="3431" spans="1:10" x14ac:dyDescent="0.35">
      <c r="A3431" s="32" t="s">
        <v>16</v>
      </c>
      <c r="B3431" s="32">
        <f t="shared" si="817"/>
        <v>2032</v>
      </c>
      <c r="C3431" s="33" t="s">
        <v>28</v>
      </c>
      <c r="D3431" s="34" t="s">
        <v>128</v>
      </c>
      <c r="E3431" s="35" t="str">
        <f t="shared" si="813"/>
        <v>PND'!</v>
      </c>
      <c r="F3431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31" s="32" t="s">
        <v>124</v>
      </c>
      <c r="H3431" s="33">
        <f t="shared" si="816"/>
        <v>21</v>
      </c>
      <c r="I3431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ECP\Cantagallo\Cristalina\[CRISTALINA_CF_SEC_New_09-Feb-2024.xlsx]D-PND'!$BE$21</v>
      </c>
      <c r="J3431" s="37" t="s">
        <v>1692</v>
      </c>
    </row>
    <row r="3432" spans="1:10" x14ac:dyDescent="0.35">
      <c r="A3432" s="32" t="s">
        <v>16</v>
      </c>
      <c r="B3432" s="32">
        <f t="shared" si="817"/>
        <v>2033</v>
      </c>
      <c r="C3432" s="33" t="s">
        <v>28</v>
      </c>
      <c r="D3432" s="34" t="s">
        <v>128</v>
      </c>
      <c r="E3432" s="35" t="str">
        <f t="shared" si="813"/>
        <v>PND'!</v>
      </c>
      <c r="F3432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32" s="32" t="s">
        <v>124</v>
      </c>
      <c r="H3432" s="33">
        <f t="shared" si="816"/>
        <v>22</v>
      </c>
      <c r="I3432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ECP\Cantagallo\Cristalina\[CRISTALINA_CF_SEC_New_09-Feb-2024.xlsx]D-PND'!$BE$22</v>
      </c>
      <c r="J3432" s="37" t="s">
        <v>1693</v>
      </c>
    </row>
    <row r="3433" spans="1:10" x14ac:dyDescent="0.35">
      <c r="A3433" s="32" t="s">
        <v>16</v>
      </c>
      <c r="B3433" s="32">
        <f t="shared" si="817"/>
        <v>2034</v>
      </c>
      <c r="C3433" s="33" t="s">
        <v>28</v>
      </c>
      <c r="D3433" s="34" t="s">
        <v>128</v>
      </c>
      <c r="E3433" s="35" t="str">
        <f t="shared" si="813"/>
        <v>PND'!</v>
      </c>
      <c r="F3433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33" s="32" t="s">
        <v>124</v>
      </c>
      <c r="H3433" s="33">
        <f t="shared" si="816"/>
        <v>23</v>
      </c>
      <c r="I3433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ECP\Cantagallo\Cristalina\[CRISTALINA_CF_SEC_New_09-Feb-2024.xlsx]D-PND'!$BE$23</v>
      </c>
      <c r="J3433" s="37" t="s">
        <v>1694</v>
      </c>
    </row>
    <row r="3434" spans="1:10" x14ac:dyDescent="0.35">
      <c r="A3434" s="32" t="s">
        <v>16</v>
      </c>
      <c r="B3434" s="32">
        <f t="shared" si="817"/>
        <v>2035</v>
      </c>
      <c r="C3434" s="33" t="s">
        <v>28</v>
      </c>
      <c r="D3434" s="34" t="s">
        <v>128</v>
      </c>
      <c r="E3434" s="35" t="str">
        <f t="shared" si="813"/>
        <v>PND'!</v>
      </c>
      <c r="F3434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34" s="32" t="s">
        <v>124</v>
      </c>
      <c r="H3434" s="33">
        <f t="shared" si="816"/>
        <v>24</v>
      </c>
      <c r="I3434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ECP\Cantagallo\Cristalina\[CRISTALINA_CF_SEC_New_09-Feb-2024.xlsx]D-PND'!$BE$24</v>
      </c>
      <c r="J3434" s="37" t="s">
        <v>1695</v>
      </c>
    </row>
    <row r="3435" spans="1:10" x14ac:dyDescent="0.35">
      <c r="A3435" s="32" t="s">
        <v>16</v>
      </c>
      <c r="B3435" s="32">
        <f t="shared" si="817"/>
        <v>2036</v>
      </c>
      <c r="C3435" s="33" t="s">
        <v>28</v>
      </c>
      <c r="D3435" s="34" t="s">
        <v>128</v>
      </c>
      <c r="E3435" s="35" t="str">
        <f t="shared" si="813"/>
        <v>PND'!</v>
      </c>
      <c r="F3435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35" s="32" t="s">
        <v>124</v>
      </c>
      <c r="H3435" s="33">
        <f t="shared" si="816"/>
        <v>25</v>
      </c>
      <c r="I3435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ECP\Cantagallo\Cristalina\[CRISTALINA_CF_SEC_New_09-Feb-2024.xlsx]D-PND'!$BE$25</v>
      </c>
      <c r="J3435" s="37" t="s">
        <v>1696</v>
      </c>
    </row>
    <row r="3436" spans="1:10" x14ac:dyDescent="0.35">
      <c r="A3436" s="32" t="s">
        <v>16</v>
      </c>
      <c r="B3436" s="32">
        <f>+B3435+1</f>
        <v>2037</v>
      </c>
      <c r="C3436" s="33" t="s">
        <v>28</v>
      </c>
      <c r="D3436" s="34" t="s">
        <v>128</v>
      </c>
      <c r="E3436" s="35" t="str">
        <f t="shared" si="813"/>
        <v>PND'!</v>
      </c>
      <c r="F3436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36" s="32" t="s">
        <v>124</v>
      </c>
      <c r="H3436" s="33">
        <f t="shared" si="816"/>
        <v>26</v>
      </c>
      <c r="I3436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ECP\Cantagallo\Cristalina\[CRISTALINA_CF_SEC_New_09-Feb-2024.xlsx]D-PND'!$BE$26</v>
      </c>
      <c r="J3436" s="37" t="s">
        <v>1697</v>
      </c>
    </row>
    <row r="3437" spans="1:10" x14ac:dyDescent="0.35">
      <c r="A3437" s="32" t="s">
        <v>16</v>
      </c>
      <c r="B3437" s="32">
        <f t="shared" ref="B3437:B3439" si="818">+B3436+1</f>
        <v>2038</v>
      </c>
      <c r="C3437" s="33" t="s">
        <v>28</v>
      </c>
      <c r="D3437" s="34" t="s">
        <v>128</v>
      </c>
      <c r="E3437" s="35" t="str">
        <f t="shared" si="813"/>
        <v>PND'!</v>
      </c>
      <c r="F3437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37" s="32" t="s">
        <v>124</v>
      </c>
      <c r="H3437" s="33">
        <f t="shared" si="816"/>
        <v>27</v>
      </c>
      <c r="I3437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ECP\Cantagallo\Cristalina\[CRISTALINA_CF_SEC_New_09-Feb-2024.xlsx]D-PND'!$BE$27</v>
      </c>
      <c r="J3437" s="37" t="s">
        <v>1698</v>
      </c>
    </row>
    <row r="3438" spans="1:10" x14ac:dyDescent="0.35">
      <c r="A3438" s="32" t="s">
        <v>16</v>
      </c>
      <c r="B3438" s="32">
        <f t="shared" si="818"/>
        <v>2039</v>
      </c>
      <c r="C3438" s="33" t="s">
        <v>28</v>
      </c>
      <c r="D3438" s="34" t="s">
        <v>128</v>
      </c>
      <c r="E3438" s="35" t="str">
        <f t="shared" si="813"/>
        <v>PND'!</v>
      </c>
      <c r="F3438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38" s="32" t="s">
        <v>124</v>
      </c>
      <c r="H3438" s="33">
        <f t="shared" si="816"/>
        <v>28</v>
      </c>
      <c r="I3438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ECP\Cantagallo\Cristalina\[CRISTALINA_CF_SEC_New_09-Feb-2024.xlsx]D-PND'!$BE$28</v>
      </c>
      <c r="J3438" s="37" t="s">
        <v>1699</v>
      </c>
    </row>
    <row r="3439" spans="1:10" x14ac:dyDescent="0.35">
      <c r="A3439" s="32" t="s">
        <v>16</v>
      </c>
      <c r="B3439" s="32">
        <f t="shared" si="818"/>
        <v>2040</v>
      </c>
      <c r="C3439" s="33" t="s">
        <v>28</v>
      </c>
      <c r="D3439" s="34" t="s">
        <v>128</v>
      </c>
      <c r="E3439" s="35" t="str">
        <f t="shared" si="813"/>
        <v>PND'!</v>
      </c>
      <c r="F3439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39" s="32" t="s">
        <v>124</v>
      </c>
      <c r="H3439" s="33">
        <f t="shared" si="816"/>
        <v>29</v>
      </c>
      <c r="I3439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ECP\Cantagallo\Cristalina\[CRISTALINA_CF_SEC_New_09-Feb-2024.xlsx]D-PND'!$BE$29</v>
      </c>
      <c r="J3439" s="37" t="s">
        <v>1700</v>
      </c>
    </row>
    <row r="3440" spans="1:10" x14ac:dyDescent="0.35">
      <c r="A3440" s="32" t="s">
        <v>16</v>
      </c>
      <c r="B3440" s="32">
        <f>+B3439+1</f>
        <v>2041</v>
      </c>
      <c r="C3440" s="33" t="s">
        <v>28</v>
      </c>
      <c r="D3440" s="34" t="s">
        <v>128</v>
      </c>
      <c r="E3440" s="35" t="str">
        <f t="shared" si="813"/>
        <v>PND'!</v>
      </c>
      <c r="F3440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40" s="32" t="s">
        <v>124</v>
      </c>
      <c r="H3440" s="33">
        <f t="shared" si="816"/>
        <v>30</v>
      </c>
      <c r="I3440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ECP\Cantagallo\Cristalina\[CRISTALINA_CF_SEC_New_09-Feb-2024.xlsx]D-PND'!$BE$30</v>
      </c>
      <c r="J3440" s="37" t="s">
        <v>1701</v>
      </c>
    </row>
    <row r="3441" spans="1:10" x14ac:dyDescent="0.35">
      <c r="A3441" s="32" t="s">
        <v>16</v>
      </c>
      <c r="B3441" s="32">
        <f t="shared" ref="B3441:B3442" si="819">+B3440+1</f>
        <v>2042</v>
      </c>
      <c r="C3441" s="33" t="s">
        <v>28</v>
      </c>
      <c r="D3441" s="34" t="s">
        <v>128</v>
      </c>
      <c r="E3441" s="35" t="str">
        <f t="shared" si="813"/>
        <v>PND'!</v>
      </c>
      <c r="F3441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41" s="32" t="s">
        <v>124</v>
      </c>
      <c r="H3441" s="33">
        <f t="shared" si="816"/>
        <v>31</v>
      </c>
      <c r="I3441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ECP\Cantagallo\Cristalina\[CRISTALINA_CF_SEC_New_09-Feb-2024.xlsx]D-PND'!$BE$31</v>
      </c>
      <c r="J3441" s="37" t="s">
        <v>1702</v>
      </c>
    </row>
    <row r="3442" spans="1:10" x14ac:dyDescent="0.35">
      <c r="A3442" s="32" t="s">
        <v>16</v>
      </c>
      <c r="B3442" s="32">
        <f t="shared" si="819"/>
        <v>2043</v>
      </c>
      <c r="C3442" s="33" t="s">
        <v>28</v>
      </c>
      <c r="D3442" s="34" t="s">
        <v>128</v>
      </c>
      <c r="E3442" s="35" t="str">
        <f t="shared" si="813"/>
        <v>PND'!</v>
      </c>
      <c r="F3442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42" s="32" t="s">
        <v>124</v>
      </c>
      <c r="H3442" s="33">
        <f t="shared" si="816"/>
        <v>32</v>
      </c>
      <c r="I3442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ECP\Cantagallo\Cristalina\[CRISTALINA_CF_SEC_New_09-Feb-2024.xlsx]D-PND'!$BE$32</v>
      </c>
      <c r="J3442" s="37" t="s">
        <v>1703</v>
      </c>
    </row>
    <row r="3443" spans="1:10" x14ac:dyDescent="0.35">
      <c r="A3443" s="32" t="s">
        <v>16</v>
      </c>
      <c r="B3443" s="32">
        <f>+B3442+1</f>
        <v>2044</v>
      </c>
      <c r="C3443" s="33" t="s">
        <v>28</v>
      </c>
      <c r="D3443" s="34" t="s">
        <v>128</v>
      </c>
      <c r="E3443" s="35" t="str">
        <f t="shared" ref="E3443:E3458" si="820">_xlfn.CONCAT(A3443,"'!")</f>
        <v>PND'!</v>
      </c>
      <c r="F3443" s="34" t="str">
        <f t="shared" ref="F3443:F3458" si="821">_xlfn.CONCAT(D3443:E3443)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43" s="32" t="s">
        <v>124</v>
      </c>
      <c r="H3443" s="33">
        <f t="shared" ref="H3443:H3458" si="822">IF(A3443&lt;&gt;A3442,36,H3442+1)</f>
        <v>33</v>
      </c>
      <c r="I3443" s="33" t="str">
        <f t="shared" ref="I3443:I3458" si="823">_xlfn.CONCAT("='",F3443:H3443)</f>
        <v>='C:\Users\jaime.benazar\Quorum Business Solutions\Ecopetrol Prometeo - Documents\Planning Space Implementation\3. Analysis &amp; Design\Design\FC22\DRR Jaime\Por presentar a ECP\Cantagallo\Cristalina\[CRISTALINA_CF_SEC_New_09-Feb-2024.xlsx]D-PND'!$BE$33</v>
      </c>
      <c r="J3443" s="37" t="s">
        <v>1704</v>
      </c>
    </row>
    <row r="3444" spans="1:10" x14ac:dyDescent="0.35">
      <c r="A3444" s="32" t="s">
        <v>16</v>
      </c>
      <c r="B3444" s="32">
        <f t="shared" ref="B3444:B3458" si="824">+B3443+1</f>
        <v>2045</v>
      </c>
      <c r="C3444" s="33" t="s">
        <v>28</v>
      </c>
      <c r="D3444" s="34" t="s">
        <v>128</v>
      </c>
      <c r="E3444" s="35" t="str">
        <f t="shared" si="820"/>
        <v>PND'!</v>
      </c>
      <c r="F3444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44" s="32" t="s">
        <v>124</v>
      </c>
      <c r="H3444" s="33">
        <f t="shared" si="822"/>
        <v>34</v>
      </c>
      <c r="I3444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ECP\Cantagallo\Cristalina\[CRISTALINA_CF_SEC_New_09-Feb-2024.xlsx]D-PND'!$BE$34</v>
      </c>
      <c r="J3444" s="37" t="s">
        <v>1705</v>
      </c>
    </row>
    <row r="3445" spans="1:10" x14ac:dyDescent="0.35">
      <c r="A3445" s="32" t="s">
        <v>16</v>
      </c>
      <c r="B3445" s="32">
        <f t="shared" si="824"/>
        <v>2046</v>
      </c>
      <c r="C3445" s="33" t="s">
        <v>28</v>
      </c>
      <c r="D3445" s="34" t="s">
        <v>128</v>
      </c>
      <c r="E3445" s="35" t="str">
        <f t="shared" si="820"/>
        <v>PND'!</v>
      </c>
      <c r="F3445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45" s="32" t="s">
        <v>124</v>
      </c>
      <c r="H3445" s="33">
        <f t="shared" si="822"/>
        <v>35</v>
      </c>
      <c r="I3445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ECP\Cantagallo\Cristalina\[CRISTALINA_CF_SEC_New_09-Feb-2024.xlsx]D-PND'!$BE$35</v>
      </c>
      <c r="J3445" s="37" t="s">
        <v>1706</v>
      </c>
    </row>
    <row r="3446" spans="1:10" x14ac:dyDescent="0.35">
      <c r="A3446" s="32" t="s">
        <v>16</v>
      </c>
      <c r="B3446" s="32">
        <f t="shared" si="824"/>
        <v>2047</v>
      </c>
      <c r="C3446" s="33" t="s">
        <v>28</v>
      </c>
      <c r="D3446" s="34" t="s">
        <v>128</v>
      </c>
      <c r="E3446" s="35" t="str">
        <f t="shared" si="820"/>
        <v>PND'!</v>
      </c>
      <c r="F3446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46" s="32" t="s">
        <v>124</v>
      </c>
      <c r="H3446" s="33">
        <f t="shared" si="822"/>
        <v>36</v>
      </c>
      <c r="I3446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ECP\Cantagallo\Cristalina\[CRISTALINA_CF_SEC_New_09-Feb-2024.xlsx]D-PND'!$BE$36</v>
      </c>
      <c r="J3446" s="37" t="s">
        <v>1707</v>
      </c>
    </row>
    <row r="3447" spans="1:10" x14ac:dyDescent="0.35">
      <c r="A3447" s="32" t="s">
        <v>16</v>
      </c>
      <c r="B3447" s="32">
        <f t="shared" si="824"/>
        <v>2048</v>
      </c>
      <c r="C3447" s="33" t="s">
        <v>28</v>
      </c>
      <c r="D3447" s="34" t="s">
        <v>128</v>
      </c>
      <c r="E3447" s="35" t="str">
        <f t="shared" si="820"/>
        <v>PND'!</v>
      </c>
      <c r="F3447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47" s="32" t="s">
        <v>124</v>
      </c>
      <c r="H3447" s="33">
        <f t="shared" si="822"/>
        <v>37</v>
      </c>
      <c r="I3447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ECP\Cantagallo\Cristalina\[CRISTALINA_CF_SEC_New_09-Feb-2024.xlsx]D-PND'!$BE$37</v>
      </c>
      <c r="J3447" s="37" t="s">
        <v>1708</v>
      </c>
    </row>
    <row r="3448" spans="1:10" x14ac:dyDescent="0.35">
      <c r="A3448" s="32" t="s">
        <v>16</v>
      </c>
      <c r="B3448" s="32">
        <f t="shared" si="824"/>
        <v>2049</v>
      </c>
      <c r="C3448" s="33" t="s">
        <v>28</v>
      </c>
      <c r="D3448" s="34" t="s">
        <v>128</v>
      </c>
      <c r="E3448" s="35" t="str">
        <f t="shared" si="820"/>
        <v>PND'!</v>
      </c>
      <c r="F3448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48" s="32" t="s">
        <v>124</v>
      </c>
      <c r="H3448" s="33">
        <f t="shared" si="822"/>
        <v>38</v>
      </c>
      <c r="I3448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ECP\Cantagallo\Cristalina\[CRISTALINA_CF_SEC_New_09-Feb-2024.xlsx]D-PND'!$BE$38</v>
      </c>
      <c r="J3448" s="37" t="s">
        <v>1709</v>
      </c>
    </row>
    <row r="3449" spans="1:10" x14ac:dyDescent="0.35">
      <c r="A3449" s="32" t="s">
        <v>16</v>
      </c>
      <c r="B3449" s="32">
        <f t="shared" si="824"/>
        <v>2050</v>
      </c>
      <c r="C3449" s="33" t="s">
        <v>28</v>
      </c>
      <c r="D3449" s="34" t="s">
        <v>128</v>
      </c>
      <c r="E3449" s="35" t="str">
        <f t="shared" si="820"/>
        <v>PND'!</v>
      </c>
      <c r="F3449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49" s="32" t="s">
        <v>124</v>
      </c>
      <c r="H3449" s="33">
        <f t="shared" si="822"/>
        <v>39</v>
      </c>
      <c r="I3449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ECP\Cantagallo\Cristalina\[CRISTALINA_CF_SEC_New_09-Feb-2024.xlsx]D-PND'!$BE$39</v>
      </c>
      <c r="J3449" s="37" t="s">
        <v>1710</v>
      </c>
    </row>
    <row r="3450" spans="1:10" x14ac:dyDescent="0.35">
      <c r="A3450" s="32" t="s">
        <v>16</v>
      </c>
      <c r="B3450" s="32">
        <f t="shared" si="824"/>
        <v>2051</v>
      </c>
      <c r="C3450" s="33" t="s">
        <v>28</v>
      </c>
      <c r="D3450" s="34" t="s">
        <v>128</v>
      </c>
      <c r="E3450" s="35" t="str">
        <f t="shared" si="820"/>
        <v>PND'!</v>
      </c>
      <c r="F3450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50" s="32" t="s">
        <v>124</v>
      </c>
      <c r="H3450" s="33">
        <f t="shared" si="822"/>
        <v>40</v>
      </c>
      <c r="I3450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ECP\Cantagallo\Cristalina\[CRISTALINA_CF_SEC_New_09-Feb-2024.xlsx]D-PND'!$BE$40</v>
      </c>
      <c r="J3450" s="37" t="s">
        <v>1711</v>
      </c>
    </row>
    <row r="3451" spans="1:10" x14ac:dyDescent="0.35">
      <c r="A3451" s="32" t="s">
        <v>16</v>
      </c>
      <c r="B3451" s="32">
        <f t="shared" si="824"/>
        <v>2052</v>
      </c>
      <c r="C3451" s="33" t="s">
        <v>28</v>
      </c>
      <c r="D3451" s="34" t="s">
        <v>128</v>
      </c>
      <c r="E3451" s="35" t="str">
        <f t="shared" si="820"/>
        <v>PND'!</v>
      </c>
      <c r="F3451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51" s="32" t="s">
        <v>124</v>
      </c>
      <c r="H3451" s="33">
        <f t="shared" si="822"/>
        <v>41</v>
      </c>
      <c r="I3451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ECP\Cantagallo\Cristalina\[CRISTALINA_CF_SEC_New_09-Feb-2024.xlsx]D-PND'!$BE$41</v>
      </c>
      <c r="J3451" s="37" t="s">
        <v>1712</v>
      </c>
    </row>
    <row r="3452" spans="1:10" x14ac:dyDescent="0.35">
      <c r="A3452" s="32" t="s">
        <v>16</v>
      </c>
      <c r="B3452" s="32">
        <f t="shared" si="824"/>
        <v>2053</v>
      </c>
      <c r="C3452" s="33" t="s">
        <v>28</v>
      </c>
      <c r="D3452" s="34" t="s">
        <v>128</v>
      </c>
      <c r="E3452" s="35" t="str">
        <f t="shared" si="820"/>
        <v>PND'!</v>
      </c>
      <c r="F3452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52" s="32" t="s">
        <v>124</v>
      </c>
      <c r="H3452" s="33">
        <f t="shared" si="822"/>
        <v>42</v>
      </c>
      <c r="I3452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ECP\Cantagallo\Cristalina\[CRISTALINA_CF_SEC_New_09-Feb-2024.xlsx]D-PND'!$BE$42</v>
      </c>
      <c r="J3452" s="37" t="s">
        <v>1713</v>
      </c>
    </row>
    <row r="3453" spans="1:10" x14ac:dyDescent="0.35">
      <c r="A3453" s="32" t="s">
        <v>16</v>
      </c>
      <c r="B3453" s="32">
        <f t="shared" si="824"/>
        <v>2054</v>
      </c>
      <c r="C3453" s="33" t="s">
        <v>28</v>
      </c>
      <c r="D3453" s="34" t="s">
        <v>128</v>
      </c>
      <c r="E3453" s="35" t="str">
        <f t="shared" si="820"/>
        <v>PND'!</v>
      </c>
      <c r="F3453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53" s="32" t="s">
        <v>124</v>
      </c>
      <c r="H3453" s="33">
        <f t="shared" si="822"/>
        <v>43</v>
      </c>
      <c r="I3453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ECP\Cantagallo\Cristalina\[CRISTALINA_CF_SEC_New_09-Feb-2024.xlsx]D-PND'!$BE$43</v>
      </c>
      <c r="J3453" s="37" t="s">
        <v>1714</v>
      </c>
    </row>
    <row r="3454" spans="1:10" x14ac:dyDescent="0.35">
      <c r="A3454" s="32" t="s">
        <v>16</v>
      </c>
      <c r="B3454" s="32">
        <f t="shared" si="824"/>
        <v>2055</v>
      </c>
      <c r="C3454" s="33" t="s">
        <v>28</v>
      </c>
      <c r="D3454" s="34" t="s">
        <v>128</v>
      </c>
      <c r="E3454" s="35" t="str">
        <f t="shared" si="820"/>
        <v>PND'!</v>
      </c>
      <c r="F3454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54" s="32" t="s">
        <v>124</v>
      </c>
      <c r="H3454" s="33">
        <f t="shared" si="822"/>
        <v>44</v>
      </c>
      <c r="I3454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ECP\Cantagallo\Cristalina\[CRISTALINA_CF_SEC_New_09-Feb-2024.xlsx]D-PND'!$BE$44</v>
      </c>
      <c r="J3454" s="37" t="s">
        <v>1715</v>
      </c>
    </row>
    <row r="3455" spans="1:10" x14ac:dyDescent="0.35">
      <c r="A3455" s="32" t="s">
        <v>16</v>
      </c>
      <c r="B3455" s="32">
        <f t="shared" si="824"/>
        <v>2056</v>
      </c>
      <c r="C3455" s="33" t="s">
        <v>28</v>
      </c>
      <c r="D3455" s="34" t="s">
        <v>128</v>
      </c>
      <c r="E3455" s="35" t="str">
        <f t="shared" si="820"/>
        <v>PND'!</v>
      </c>
      <c r="F3455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55" s="32" t="s">
        <v>124</v>
      </c>
      <c r="H3455" s="33">
        <f t="shared" si="822"/>
        <v>45</v>
      </c>
      <c r="I3455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ECP\Cantagallo\Cristalina\[CRISTALINA_CF_SEC_New_09-Feb-2024.xlsx]D-PND'!$BE$45</v>
      </c>
      <c r="J3455" s="37" t="s">
        <v>1716</v>
      </c>
    </row>
    <row r="3456" spans="1:10" x14ac:dyDescent="0.35">
      <c r="A3456" s="32" t="s">
        <v>16</v>
      </c>
      <c r="B3456" s="32">
        <f t="shared" si="824"/>
        <v>2057</v>
      </c>
      <c r="C3456" s="33" t="s">
        <v>28</v>
      </c>
      <c r="D3456" s="34" t="s">
        <v>128</v>
      </c>
      <c r="E3456" s="35" t="str">
        <f t="shared" si="820"/>
        <v>PND'!</v>
      </c>
      <c r="F3456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56" s="32" t="s">
        <v>124</v>
      </c>
      <c r="H3456" s="33">
        <f t="shared" si="822"/>
        <v>46</v>
      </c>
      <c r="I3456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ECP\Cantagallo\Cristalina\[CRISTALINA_CF_SEC_New_09-Feb-2024.xlsx]D-PND'!$BE$46</v>
      </c>
      <c r="J3456" s="37" t="s">
        <v>1717</v>
      </c>
    </row>
    <row r="3457" spans="1:10" x14ac:dyDescent="0.35">
      <c r="A3457" s="32" t="s">
        <v>16</v>
      </c>
      <c r="B3457" s="32">
        <f t="shared" si="824"/>
        <v>2058</v>
      </c>
      <c r="C3457" s="33" t="s">
        <v>28</v>
      </c>
      <c r="D3457" s="34" t="s">
        <v>128</v>
      </c>
      <c r="E3457" s="35" t="str">
        <f t="shared" si="820"/>
        <v>PND'!</v>
      </c>
      <c r="F3457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57" s="32" t="s">
        <v>124</v>
      </c>
      <c r="H3457" s="33">
        <f t="shared" si="822"/>
        <v>47</v>
      </c>
      <c r="I3457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ECP\Cantagallo\Cristalina\[CRISTALINA_CF_SEC_New_09-Feb-2024.xlsx]D-PND'!$BE$47</v>
      </c>
      <c r="J3457" s="37" t="s">
        <v>1718</v>
      </c>
    </row>
    <row r="3458" spans="1:10" x14ac:dyDescent="0.35">
      <c r="A3458" s="32" t="s">
        <v>16</v>
      </c>
      <c r="B3458" s="32">
        <f t="shared" si="824"/>
        <v>2059</v>
      </c>
      <c r="C3458" s="33" t="s">
        <v>28</v>
      </c>
      <c r="D3458" s="34" t="s">
        <v>128</v>
      </c>
      <c r="E3458" s="35" t="str">
        <f t="shared" si="820"/>
        <v>PND'!</v>
      </c>
      <c r="F3458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58" s="32" t="s">
        <v>124</v>
      </c>
      <c r="H3458" s="33">
        <f t="shared" si="822"/>
        <v>48</v>
      </c>
      <c r="I3458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ECP\Cantagallo\Cristalina\[CRISTALINA_CF_SEC_New_09-Feb-2024.xlsx]D-PND'!$BE$48</v>
      </c>
      <c r="J3458" s="37" t="s">
        <v>1719</v>
      </c>
    </row>
    <row r="3459" spans="1:10" x14ac:dyDescent="0.35">
      <c r="A3459" s="32" t="s">
        <v>26</v>
      </c>
      <c r="B3459" s="32"/>
      <c r="C3459" s="33" t="s">
        <v>28</v>
      </c>
      <c r="D3459" s="34"/>
      <c r="E3459" s="35"/>
      <c r="F3459" s="34"/>
      <c r="G3459" s="32"/>
      <c r="H3459" s="33"/>
      <c r="I3459" s="33"/>
      <c r="J3459" s="33"/>
    </row>
    <row r="3460" spans="1:10" x14ac:dyDescent="0.35">
      <c r="A3460" s="32" t="s">
        <v>17</v>
      </c>
      <c r="B3460" s="32">
        <v>2023</v>
      </c>
      <c r="C3460" s="33" t="s">
        <v>28</v>
      </c>
      <c r="D3460" s="34" t="s">
        <v>128</v>
      </c>
      <c r="E3460" s="35" t="str">
        <f t="shared" ref="E3460:E3480" si="825">_xlfn.CONCAT(A3460,"'!")</f>
        <v>PRBDP'!</v>
      </c>
      <c r="F3460" s="34" t="str">
        <f t="shared" ref="F3460:F3480" si="826">_xlfn.CONCAT(D3460:E3460)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60" s="32" t="s">
        <v>124</v>
      </c>
      <c r="H3460" s="33"/>
      <c r="I3460" s="33"/>
      <c r="J3460" s="37"/>
    </row>
    <row r="3461" spans="1:10" x14ac:dyDescent="0.35">
      <c r="A3461" s="32" t="s">
        <v>17</v>
      </c>
      <c r="B3461" s="32">
        <f>+B3460+1</f>
        <v>2024</v>
      </c>
      <c r="C3461" s="33" t="s">
        <v>28</v>
      </c>
      <c r="D3461" s="34" t="s">
        <v>128</v>
      </c>
      <c r="E3461" s="35" t="str">
        <f t="shared" si="825"/>
        <v>PRBDP'!</v>
      </c>
      <c r="F3461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61" s="32" t="s">
        <v>124</v>
      </c>
      <c r="H3461" s="33"/>
      <c r="I3461" s="33"/>
      <c r="J3461" s="37"/>
    </row>
    <row r="3462" spans="1:10" x14ac:dyDescent="0.35">
      <c r="A3462" s="32" t="s">
        <v>17</v>
      </c>
      <c r="B3462" s="32">
        <f t="shared" ref="B3462:B3473" si="827">+B3461+1</f>
        <v>2025</v>
      </c>
      <c r="C3462" s="33" t="s">
        <v>28</v>
      </c>
      <c r="D3462" s="34" t="s">
        <v>128</v>
      </c>
      <c r="E3462" s="35" t="str">
        <f t="shared" si="825"/>
        <v>PRBDP'!</v>
      </c>
      <c r="F3462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62" s="32" t="s">
        <v>124</v>
      </c>
      <c r="H3462" s="33"/>
      <c r="I3462" s="33"/>
      <c r="J3462" s="37"/>
    </row>
    <row r="3463" spans="1:10" x14ac:dyDescent="0.35">
      <c r="A3463" s="32" t="s">
        <v>17</v>
      </c>
      <c r="B3463" s="32">
        <f t="shared" si="827"/>
        <v>2026</v>
      </c>
      <c r="C3463" s="33" t="s">
        <v>28</v>
      </c>
      <c r="D3463" s="34" t="s">
        <v>128</v>
      </c>
      <c r="E3463" s="35" t="str">
        <f t="shared" si="825"/>
        <v>PRBDP'!</v>
      </c>
      <c r="F3463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63" s="32" t="s">
        <v>124</v>
      </c>
      <c r="H3463" s="33"/>
      <c r="I3463" s="33"/>
      <c r="J3463" s="37"/>
    </row>
    <row r="3464" spans="1:10" x14ac:dyDescent="0.35">
      <c r="A3464" s="32" t="s">
        <v>17</v>
      </c>
      <c r="B3464" s="32">
        <f t="shared" si="827"/>
        <v>2027</v>
      </c>
      <c r="C3464" s="33" t="s">
        <v>28</v>
      </c>
      <c r="D3464" s="34" t="s">
        <v>128</v>
      </c>
      <c r="E3464" s="35" t="str">
        <f t="shared" si="825"/>
        <v>PRBDP'!</v>
      </c>
      <c r="F3464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64" s="32" t="s">
        <v>124</v>
      </c>
      <c r="H3464" s="33"/>
      <c r="I3464" s="33"/>
      <c r="J3464" s="37"/>
    </row>
    <row r="3465" spans="1:10" x14ac:dyDescent="0.35">
      <c r="A3465" s="32" t="s">
        <v>17</v>
      </c>
      <c r="B3465" s="32">
        <f t="shared" si="827"/>
        <v>2028</v>
      </c>
      <c r="C3465" s="33" t="s">
        <v>28</v>
      </c>
      <c r="D3465" s="34" t="s">
        <v>128</v>
      </c>
      <c r="E3465" s="35" t="str">
        <f t="shared" si="825"/>
        <v>PRBDP'!</v>
      </c>
      <c r="F3465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65" s="32" t="s">
        <v>124</v>
      </c>
      <c r="H3465" s="33"/>
      <c r="I3465" s="33"/>
      <c r="J3465" s="37"/>
    </row>
    <row r="3466" spans="1:10" x14ac:dyDescent="0.35">
      <c r="A3466" s="32" t="s">
        <v>17</v>
      </c>
      <c r="B3466" s="32">
        <f t="shared" si="827"/>
        <v>2029</v>
      </c>
      <c r="C3466" s="33" t="s">
        <v>28</v>
      </c>
      <c r="D3466" s="34" t="s">
        <v>128</v>
      </c>
      <c r="E3466" s="35" t="str">
        <f t="shared" si="825"/>
        <v>PRBDP'!</v>
      </c>
      <c r="F3466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66" s="32" t="s">
        <v>124</v>
      </c>
      <c r="H3466" s="33"/>
      <c r="I3466" s="33"/>
      <c r="J3466" s="37"/>
    </row>
    <row r="3467" spans="1:10" x14ac:dyDescent="0.35">
      <c r="A3467" s="32" t="s">
        <v>17</v>
      </c>
      <c r="B3467" s="32">
        <f t="shared" si="827"/>
        <v>2030</v>
      </c>
      <c r="C3467" s="33" t="s">
        <v>28</v>
      </c>
      <c r="D3467" s="34" t="s">
        <v>128</v>
      </c>
      <c r="E3467" s="35" t="str">
        <f t="shared" si="825"/>
        <v>PRBDP'!</v>
      </c>
      <c r="F3467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67" s="32" t="s">
        <v>124</v>
      </c>
      <c r="H3467" s="33"/>
      <c r="I3467" s="33"/>
      <c r="J3467" s="37"/>
    </row>
    <row r="3468" spans="1:10" x14ac:dyDescent="0.35">
      <c r="A3468" s="32" t="s">
        <v>17</v>
      </c>
      <c r="B3468" s="32">
        <f t="shared" si="827"/>
        <v>2031</v>
      </c>
      <c r="C3468" s="33" t="s">
        <v>28</v>
      </c>
      <c r="D3468" s="34" t="s">
        <v>128</v>
      </c>
      <c r="E3468" s="35" t="str">
        <f t="shared" si="825"/>
        <v>PRBDP'!</v>
      </c>
      <c r="F3468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68" s="32" t="s">
        <v>124</v>
      </c>
      <c r="H3468" s="33"/>
      <c r="I3468" s="33"/>
      <c r="J3468" s="37"/>
    </row>
    <row r="3469" spans="1:10" x14ac:dyDescent="0.35">
      <c r="A3469" s="32" t="s">
        <v>17</v>
      </c>
      <c r="B3469" s="32">
        <f t="shared" si="827"/>
        <v>2032</v>
      </c>
      <c r="C3469" s="33" t="s">
        <v>28</v>
      </c>
      <c r="D3469" s="34" t="s">
        <v>128</v>
      </c>
      <c r="E3469" s="35" t="str">
        <f t="shared" si="825"/>
        <v>PRBDP'!</v>
      </c>
      <c r="F3469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69" s="32" t="s">
        <v>124</v>
      </c>
      <c r="H3469" s="33"/>
      <c r="I3469" s="33"/>
      <c r="J3469" s="37"/>
    </row>
    <row r="3470" spans="1:10" x14ac:dyDescent="0.35">
      <c r="A3470" s="32" t="s">
        <v>17</v>
      </c>
      <c r="B3470" s="32">
        <f t="shared" si="827"/>
        <v>2033</v>
      </c>
      <c r="C3470" s="33" t="s">
        <v>28</v>
      </c>
      <c r="D3470" s="34" t="s">
        <v>128</v>
      </c>
      <c r="E3470" s="35" t="str">
        <f t="shared" si="825"/>
        <v>PRBDP'!</v>
      </c>
      <c r="F3470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70" s="32" t="s">
        <v>124</v>
      </c>
      <c r="H3470" s="33"/>
      <c r="I3470" s="33"/>
      <c r="J3470" s="37"/>
    </row>
    <row r="3471" spans="1:10" x14ac:dyDescent="0.35">
      <c r="A3471" s="32" t="s">
        <v>17</v>
      </c>
      <c r="B3471" s="32">
        <f t="shared" si="827"/>
        <v>2034</v>
      </c>
      <c r="C3471" s="33" t="s">
        <v>28</v>
      </c>
      <c r="D3471" s="34" t="s">
        <v>128</v>
      </c>
      <c r="E3471" s="35" t="str">
        <f t="shared" si="825"/>
        <v>PRBDP'!</v>
      </c>
      <c r="F3471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71" s="32" t="s">
        <v>124</v>
      </c>
      <c r="H3471" s="33"/>
      <c r="I3471" s="33"/>
      <c r="J3471" s="37"/>
    </row>
    <row r="3472" spans="1:10" x14ac:dyDescent="0.35">
      <c r="A3472" s="32" t="s">
        <v>17</v>
      </c>
      <c r="B3472" s="32">
        <f t="shared" si="827"/>
        <v>2035</v>
      </c>
      <c r="C3472" s="33" t="s">
        <v>28</v>
      </c>
      <c r="D3472" s="34" t="s">
        <v>128</v>
      </c>
      <c r="E3472" s="35" t="str">
        <f t="shared" si="825"/>
        <v>PRBDP'!</v>
      </c>
      <c r="F3472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72" s="32" t="s">
        <v>124</v>
      </c>
      <c r="H3472" s="33"/>
      <c r="I3472" s="33"/>
      <c r="J3472" s="37"/>
    </row>
    <row r="3473" spans="1:10" x14ac:dyDescent="0.35">
      <c r="A3473" s="32" t="s">
        <v>17</v>
      </c>
      <c r="B3473" s="32">
        <f t="shared" si="827"/>
        <v>2036</v>
      </c>
      <c r="C3473" s="33" t="s">
        <v>28</v>
      </c>
      <c r="D3473" s="34" t="s">
        <v>128</v>
      </c>
      <c r="E3473" s="35" t="str">
        <f t="shared" si="825"/>
        <v>PRBDP'!</v>
      </c>
      <c r="F3473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73" s="32" t="s">
        <v>124</v>
      </c>
      <c r="H3473" s="33"/>
      <c r="I3473" s="33"/>
      <c r="J3473" s="37"/>
    </row>
    <row r="3474" spans="1:10" x14ac:dyDescent="0.35">
      <c r="A3474" s="32" t="s">
        <v>17</v>
      </c>
      <c r="B3474" s="32">
        <f>+B3473+1</f>
        <v>2037</v>
      </c>
      <c r="C3474" s="33" t="s">
        <v>28</v>
      </c>
      <c r="D3474" s="34" t="s">
        <v>128</v>
      </c>
      <c r="E3474" s="35" t="str">
        <f t="shared" si="825"/>
        <v>PRBDP'!</v>
      </c>
      <c r="F3474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74" s="32" t="s">
        <v>124</v>
      </c>
      <c r="H3474" s="33"/>
      <c r="I3474" s="33"/>
      <c r="J3474" s="37"/>
    </row>
    <row r="3475" spans="1:10" x14ac:dyDescent="0.35">
      <c r="A3475" s="32" t="s">
        <v>17</v>
      </c>
      <c r="B3475" s="32">
        <f t="shared" ref="B3475:B3477" si="828">+B3474+1</f>
        <v>2038</v>
      </c>
      <c r="C3475" s="33" t="s">
        <v>28</v>
      </c>
      <c r="D3475" s="34" t="s">
        <v>128</v>
      </c>
      <c r="E3475" s="35" t="str">
        <f t="shared" si="825"/>
        <v>PRBDP'!</v>
      </c>
      <c r="F3475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75" s="32" t="s">
        <v>124</v>
      </c>
      <c r="H3475" s="33"/>
      <c r="I3475" s="33"/>
      <c r="J3475" s="37"/>
    </row>
    <row r="3476" spans="1:10" x14ac:dyDescent="0.35">
      <c r="A3476" s="32" t="s">
        <v>17</v>
      </c>
      <c r="B3476" s="32">
        <f t="shared" si="828"/>
        <v>2039</v>
      </c>
      <c r="C3476" s="33" t="s">
        <v>28</v>
      </c>
      <c r="D3476" s="34" t="s">
        <v>128</v>
      </c>
      <c r="E3476" s="35" t="str">
        <f t="shared" si="825"/>
        <v>PRBDP'!</v>
      </c>
      <c r="F3476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76" s="32" t="s">
        <v>124</v>
      </c>
      <c r="H3476" s="33"/>
      <c r="I3476" s="33"/>
      <c r="J3476" s="37"/>
    </row>
    <row r="3477" spans="1:10" x14ac:dyDescent="0.35">
      <c r="A3477" s="32" t="s">
        <v>17</v>
      </c>
      <c r="B3477" s="32">
        <f t="shared" si="828"/>
        <v>2040</v>
      </c>
      <c r="C3477" s="33" t="s">
        <v>28</v>
      </c>
      <c r="D3477" s="34" t="s">
        <v>128</v>
      </c>
      <c r="E3477" s="35" t="str">
        <f t="shared" si="825"/>
        <v>PRBDP'!</v>
      </c>
      <c r="F3477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77" s="32" t="s">
        <v>124</v>
      </c>
      <c r="H3477" s="33"/>
      <c r="I3477" s="33"/>
      <c r="J3477" s="37"/>
    </row>
    <row r="3478" spans="1:10" x14ac:dyDescent="0.35">
      <c r="A3478" s="32" t="s">
        <v>17</v>
      </c>
      <c r="B3478" s="32">
        <f>+B3477+1</f>
        <v>2041</v>
      </c>
      <c r="C3478" s="33" t="s">
        <v>28</v>
      </c>
      <c r="D3478" s="34" t="s">
        <v>128</v>
      </c>
      <c r="E3478" s="35" t="str">
        <f t="shared" si="825"/>
        <v>PRBDP'!</v>
      </c>
      <c r="F3478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78" s="32" t="s">
        <v>124</v>
      </c>
      <c r="H3478" s="33"/>
      <c r="I3478" s="33"/>
      <c r="J3478" s="37"/>
    </row>
    <row r="3479" spans="1:10" x14ac:dyDescent="0.35">
      <c r="A3479" s="32" t="s">
        <v>17</v>
      </c>
      <c r="B3479" s="32">
        <f t="shared" ref="B3479:B3480" si="829">+B3478+1</f>
        <v>2042</v>
      </c>
      <c r="C3479" s="33" t="s">
        <v>28</v>
      </c>
      <c r="D3479" s="34" t="s">
        <v>128</v>
      </c>
      <c r="E3479" s="35" t="str">
        <f t="shared" si="825"/>
        <v>PRBDP'!</v>
      </c>
      <c r="F3479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79" s="32" t="s">
        <v>124</v>
      </c>
      <c r="H3479" s="33"/>
      <c r="I3479" s="33"/>
      <c r="J3479" s="37"/>
    </row>
    <row r="3480" spans="1:10" x14ac:dyDescent="0.35">
      <c r="A3480" s="32" t="s">
        <v>17</v>
      </c>
      <c r="B3480" s="32">
        <f t="shared" si="829"/>
        <v>2043</v>
      </c>
      <c r="C3480" s="33" t="s">
        <v>28</v>
      </c>
      <c r="D3480" s="34" t="s">
        <v>128</v>
      </c>
      <c r="E3480" s="35" t="str">
        <f t="shared" si="825"/>
        <v>PRBDP'!</v>
      </c>
      <c r="F3480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80" s="32" t="s">
        <v>124</v>
      </c>
      <c r="H3480" s="33"/>
      <c r="I3480" s="33"/>
      <c r="J3480" s="37"/>
    </row>
    <row r="3481" spans="1:10" x14ac:dyDescent="0.35">
      <c r="A3481" s="32" t="s">
        <v>17</v>
      </c>
      <c r="B3481" s="32">
        <f>+B3480+1</f>
        <v>2044</v>
      </c>
      <c r="C3481" s="33" t="s">
        <v>28</v>
      </c>
      <c r="D3481" s="34" t="s">
        <v>128</v>
      </c>
      <c r="E3481" s="35" t="str">
        <f t="shared" ref="E3481:E3496" si="830">_xlfn.CONCAT(A3481,"'!")</f>
        <v>PRBDP'!</v>
      </c>
      <c r="F3481" s="34" t="str">
        <f t="shared" ref="F3481:F3496" si="831">_xlfn.CONCAT(D3481:E3481)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81" s="32" t="s">
        <v>124</v>
      </c>
      <c r="H3481" s="33"/>
      <c r="I3481" s="33"/>
      <c r="J3481" s="37"/>
    </row>
    <row r="3482" spans="1:10" x14ac:dyDescent="0.35">
      <c r="A3482" s="32" t="s">
        <v>17</v>
      </c>
      <c r="B3482" s="32">
        <f t="shared" ref="B3482:B3496" si="832">+B3481+1</f>
        <v>2045</v>
      </c>
      <c r="C3482" s="33" t="s">
        <v>28</v>
      </c>
      <c r="D3482" s="34" t="s">
        <v>128</v>
      </c>
      <c r="E3482" s="35" t="str">
        <f t="shared" si="830"/>
        <v>PRBDP'!</v>
      </c>
      <c r="F3482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82" s="32" t="s">
        <v>124</v>
      </c>
      <c r="H3482" s="33"/>
      <c r="I3482" s="33"/>
      <c r="J3482" s="37"/>
    </row>
    <row r="3483" spans="1:10" x14ac:dyDescent="0.35">
      <c r="A3483" s="32" t="s">
        <v>17</v>
      </c>
      <c r="B3483" s="32">
        <f t="shared" si="832"/>
        <v>2046</v>
      </c>
      <c r="C3483" s="33" t="s">
        <v>28</v>
      </c>
      <c r="D3483" s="34" t="s">
        <v>128</v>
      </c>
      <c r="E3483" s="35" t="str">
        <f t="shared" si="830"/>
        <v>PRBDP'!</v>
      </c>
      <c r="F3483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83" s="32" t="s">
        <v>124</v>
      </c>
      <c r="H3483" s="33"/>
      <c r="I3483" s="33"/>
      <c r="J3483" s="37"/>
    </row>
    <row r="3484" spans="1:10" x14ac:dyDescent="0.35">
      <c r="A3484" s="32" t="s">
        <v>17</v>
      </c>
      <c r="B3484" s="32">
        <f t="shared" si="832"/>
        <v>2047</v>
      </c>
      <c r="C3484" s="33" t="s">
        <v>28</v>
      </c>
      <c r="D3484" s="34" t="s">
        <v>128</v>
      </c>
      <c r="E3484" s="35" t="str">
        <f t="shared" si="830"/>
        <v>PRBDP'!</v>
      </c>
      <c r="F3484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84" s="32" t="s">
        <v>124</v>
      </c>
      <c r="H3484" s="33"/>
      <c r="I3484" s="33"/>
      <c r="J3484" s="37"/>
    </row>
    <row r="3485" spans="1:10" x14ac:dyDescent="0.35">
      <c r="A3485" s="32" t="s">
        <v>17</v>
      </c>
      <c r="B3485" s="32">
        <f t="shared" si="832"/>
        <v>2048</v>
      </c>
      <c r="C3485" s="33" t="s">
        <v>28</v>
      </c>
      <c r="D3485" s="34" t="s">
        <v>128</v>
      </c>
      <c r="E3485" s="35" t="str">
        <f t="shared" si="830"/>
        <v>PRBDP'!</v>
      </c>
      <c r="F3485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85" s="32" t="s">
        <v>124</v>
      </c>
      <c r="H3485" s="33"/>
      <c r="I3485" s="33"/>
      <c r="J3485" s="37"/>
    </row>
    <row r="3486" spans="1:10" x14ac:dyDescent="0.35">
      <c r="A3486" s="32" t="s">
        <v>17</v>
      </c>
      <c r="B3486" s="32">
        <f t="shared" si="832"/>
        <v>2049</v>
      </c>
      <c r="C3486" s="33" t="s">
        <v>28</v>
      </c>
      <c r="D3486" s="34" t="s">
        <v>128</v>
      </c>
      <c r="E3486" s="35" t="str">
        <f t="shared" si="830"/>
        <v>PRBDP'!</v>
      </c>
      <c r="F3486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86" s="32" t="s">
        <v>124</v>
      </c>
      <c r="H3486" s="33"/>
      <c r="I3486" s="33"/>
      <c r="J3486" s="37"/>
    </row>
    <row r="3487" spans="1:10" x14ac:dyDescent="0.35">
      <c r="A3487" s="32" t="s">
        <v>17</v>
      </c>
      <c r="B3487" s="32">
        <f t="shared" si="832"/>
        <v>2050</v>
      </c>
      <c r="C3487" s="33" t="s">
        <v>28</v>
      </c>
      <c r="D3487" s="34" t="s">
        <v>128</v>
      </c>
      <c r="E3487" s="35" t="str">
        <f t="shared" si="830"/>
        <v>PRBDP'!</v>
      </c>
      <c r="F3487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87" s="32" t="s">
        <v>124</v>
      </c>
      <c r="H3487" s="33"/>
      <c r="I3487" s="33"/>
      <c r="J3487" s="37"/>
    </row>
    <row r="3488" spans="1:10" x14ac:dyDescent="0.35">
      <c r="A3488" s="32" t="s">
        <v>17</v>
      </c>
      <c r="B3488" s="32">
        <f t="shared" si="832"/>
        <v>2051</v>
      </c>
      <c r="C3488" s="33" t="s">
        <v>28</v>
      </c>
      <c r="D3488" s="34" t="s">
        <v>128</v>
      </c>
      <c r="E3488" s="35" t="str">
        <f t="shared" si="830"/>
        <v>PRBDP'!</v>
      </c>
      <c r="F3488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88" s="32" t="s">
        <v>124</v>
      </c>
      <c r="H3488" s="33"/>
      <c r="I3488" s="33"/>
      <c r="J3488" s="37"/>
    </row>
    <row r="3489" spans="1:10" x14ac:dyDescent="0.35">
      <c r="A3489" s="32" t="s">
        <v>17</v>
      </c>
      <c r="B3489" s="32">
        <f t="shared" si="832"/>
        <v>2052</v>
      </c>
      <c r="C3489" s="33" t="s">
        <v>28</v>
      </c>
      <c r="D3489" s="34" t="s">
        <v>128</v>
      </c>
      <c r="E3489" s="35" t="str">
        <f t="shared" si="830"/>
        <v>PRBDP'!</v>
      </c>
      <c r="F3489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89" s="32" t="s">
        <v>124</v>
      </c>
      <c r="H3489" s="33"/>
      <c r="I3489" s="33"/>
      <c r="J3489" s="37"/>
    </row>
    <row r="3490" spans="1:10" x14ac:dyDescent="0.35">
      <c r="A3490" s="32" t="s">
        <v>17</v>
      </c>
      <c r="B3490" s="32">
        <f t="shared" si="832"/>
        <v>2053</v>
      </c>
      <c r="C3490" s="33" t="s">
        <v>28</v>
      </c>
      <c r="D3490" s="34" t="s">
        <v>128</v>
      </c>
      <c r="E3490" s="35" t="str">
        <f t="shared" si="830"/>
        <v>PRBDP'!</v>
      </c>
      <c r="F3490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90" s="32" t="s">
        <v>124</v>
      </c>
      <c r="H3490" s="33"/>
      <c r="I3490" s="33"/>
      <c r="J3490" s="37"/>
    </row>
    <row r="3491" spans="1:10" x14ac:dyDescent="0.35">
      <c r="A3491" s="32" t="s">
        <v>17</v>
      </c>
      <c r="B3491" s="32">
        <f t="shared" si="832"/>
        <v>2054</v>
      </c>
      <c r="C3491" s="33" t="s">
        <v>28</v>
      </c>
      <c r="D3491" s="34" t="s">
        <v>128</v>
      </c>
      <c r="E3491" s="35" t="str">
        <f t="shared" si="830"/>
        <v>PRBDP'!</v>
      </c>
      <c r="F3491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91" s="32" t="s">
        <v>124</v>
      </c>
      <c r="H3491" s="33"/>
      <c r="I3491" s="33"/>
      <c r="J3491" s="37"/>
    </row>
    <row r="3492" spans="1:10" x14ac:dyDescent="0.35">
      <c r="A3492" s="32" t="s">
        <v>17</v>
      </c>
      <c r="B3492" s="32">
        <f t="shared" si="832"/>
        <v>2055</v>
      </c>
      <c r="C3492" s="33" t="s">
        <v>28</v>
      </c>
      <c r="D3492" s="34" t="s">
        <v>128</v>
      </c>
      <c r="E3492" s="35" t="str">
        <f t="shared" si="830"/>
        <v>PRBDP'!</v>
      </c>
      <c r="F3492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92" s="32" t="s">
        <v>124</v>
      </c>
      <c r="H3492" s="33"/>
      <c r="I3492" s="33"/>
      <c r="J3492" s="37"/>
    </row>
    <row r="3493" spans="1:10" x14ac:dyDescent="0.35">
      <c r="A3493" s="32" t="s">
        <v>17</v>
      </c>
      <c r="B3493" s="32">
        <f t="shared" si="832"/>
        <v>2056</v>
      </c>
      <c r="C3493" s="33" t="s">
        <v>28</v>
      </c>
      <c r="D3493" s="34" t="s">
        <v>128</v>
      </c>
      <c r="E3493" s="35" t="str">
        <f t="shared" si="830"/>
        <v>PRBDP'!</v>
      </c>
      <c r="F3493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93" s="32" t="s">
        <v>124</v>
      </c>
      <c r="H3493" s="33"/>
      <c r="I3493" s="33"/>
      <c r="J3493" s="37"/>
    </row>
    <row r="3494" spans="1:10" x14ac:dyDescent="0.35">
      <c r="A3494" s="32" t="s">
        <v>17</v>
      </c>
      <c r="B3494" s="32">
        <f t="shared" si="832"/>
        <v>2057</v>
      </c>
      <c r="C3494" s="33" t="s">
        <v>28</v>
      </c>
      <c r="D3494" s="34" t="s">
        <v>128</v>
      </c>
      <c r="E3494" s="35" t="str">
        <f t="shared" si="830"/>
        <v>PRBDP'!</v>
      </c>
      <c r="F3494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94" s="32" t="s">
        <v>124</v>
      </c>
      <c r="H3494" s="33"/>
      <c r="I3494" s="33"/>
      <c r="J3494" s="37"/>
    </row>
    <row r="3495" spans="1:10" x14ac:dyDescent="0.35">
      <c r="A3495" s="32" t="s">
        <v>17</v>
      </c>
      <c r="B3495" s="32">
        <f t="shared" si="832"/>
        <v>2058</v>
      </c>
      <c r="C3495" s="33" t="s">
        <v>28</v>
      </c>
      <c r="D3495" s="34" t="s">
        <v>128</v>
      </c>
      <c r="E3495" s="35" t="str">
        <f t="shared" si="830"/>
        <v>PRBDP'!</v>
      </c>
      <c r="F3495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95" s="32" t="s">
        <v>124</v>
      </c>
      <c r="H3495" s="33"/>
      <c r="I3495" s="33"/>
      <c r="J3495" s="37"/>
    </row>
    <row r="3496" spans="1:10" x14ac:dyDescent="0.35">
      <c r="A3496" s="32" t="s">
        <v>17</v>
      </c>
      <c r="B3496" s="32">
        <f t="shared" si="832"/>
        <v>2059</v>
      </c>
      <c r="C3496" s="33" t="s">
        <v>28</v>
      </c>
      <c r="D3496" s="34" t="s">
        <v>128</v>
      </c>
      <c r="E3496" s="35" t="str">
        <f t="shared" si="830"/>
        <v>PRBDP'!</v>
      </c>
      <c r="F3496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96" s="32" t="s">
        <v>124</v>
      </c>
      <c r="H3496" s="33"/>
      <c r="I3496" s="33"/>
      <c r="J3496" s="37"/>
    </row>
    <row r="3497" spans="1:10" x14ac:dyDescent="0.35">
      <c r="A3497" s="32" t="s">
        <v>26</v>
      </c>
      <c r="B3497" s="32"/>
      <c r="C3497" s="33" t="s">
        <v>28</v>
      </c>
      <c r="D3497" s="34"/>
      <c r="E3497" s="35"/>
      <c r="F3497" s="34"/>
      <c r="G3497" s="32"/>
      <c r="H3497" s="33"/>
      <c r="I3497" s="33"/>
      <c r="J3497" s="36"/>
    </row>
    <row r="3498" spans="1:10" x14ac:dyDescent="0.35">
      <c r="A3498" s="32" t="s">
        <v>18</v>
      </c>
      <c r="B3498" s="32">
        <v>2023</v>
      </c>
      <c r="C3498" s="33" t="s">
        <v>28</v>
      </c>
      <c r="D3498" s="34" t="s">
        <v>128</v>
      </c>
      <c r="E3498" s="35" t="str">
        <f t="shared" ref="E3498:E3518" si="833">_xlfn.CONCAT(A3498,"'!")</f>
        <v>PRBNP'!</v>
      </c>
      <c r="F3498" s="34" t="str">
        <f t="shared" ref="F3498:F3518" si="834">_xlfn.CONCAT(D3498:E3498)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498" s="32" t="s">
        <v>124</v>
      </c>
      <c r="H3498" s="33"/>
      <c r="I3498" s="33"/>
      <c r="J3498" s="37"/>
    </row>
    <row r="3499" spans="1:10" x14ac:dyDescent="0.35">
      <c r="A3499" s="32" t="s">
        <v>18</v>
      </c>
      <c r="B3499" s="32">
        <f>+B3498+1</f>
        <v>2024</v>
      </c>
      <c r="C3499" s="33" t="s">
        <v>28</v>
      </c>
      <c r="D3499" s="34" t="s">
        <v>128</v>
      </c>
      <c r="E3499" s="35" t="str">
        <f t="shared" si="833"/>
        <v>PRBNP'!</v>
      </c>
      <c r="F3499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499" s="32" t="s">
        <v>124</v>
      </c>
      <c r="H3499" s="33"/>
      <c r="I3499" s="33"/>
      <c r="J3499" s="37"/>
    </row>
    <row r="3500" spans="1:10" x14ac:dyDescent="0.35">
      <c r="A3500" s="32" t="s">
        <v>18</v>
      </c>
      <c r="B3500" s="32">
        <f t="shared" ref="B3500:B3511" si="835">+B3499+1</f>
        <v>2025</v>
      </c>
      <c r="C3500" s="33" t="s">
        <v>28</v>
      </c>
      <c r="D3500" s="34" t="s">
        <v>128</v>
      </c>
      <c r="E3500" s="35" t="str">
        <f t="shared" si="833"/>
        <v>PRBNP'!</v>
      </c>
      <c r="F3500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00" s="32" t="s">
        <v>124</v>
      </c>
      <c r="H3500" s="33"/>
      <c r="I3500" s="33"/>
      <c r="J3500" s="37"/>
    </row>
    <row r="3501" spans="1:10" x14ac:dyDescent="0.35">
      <c r="A3501" s="32" t="s">
        <v>18</v>
      </c>
      <c r="B3501" s="32">
        <f t="shared" si="835"/>
        <v>2026</v>
      </c>
      <c r="C3501" s="33" t="s">
        <v>28</v>
      </c>
      <c r="D3501" s="34" t="s">
        <v>128</v>
      </c>
      <c r="E3501" s="35" t="str">
        <f t="shared" si="833"/>
        <v>PRBNP'!</v>
      </c>
      <c r="F3501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01" s="32" t="s">
        <v>124</v>
      </c>
      <c r="H3501" s="33"/>
      <c r="I3501" s="33"/>
      <c r="J3501" s="37"/>
    </row>
    <row r="3502" spans="1:10" x14ac:dyDescent="0.35">
      <c r="A3502" s="32" t="s">
        <v>18</v>
      </c>
      <c r="B3502" s="32">
        <f t="shared" si="835"/>
        <v>2027</v>
      </c>
      <c r="C3502" s="33" t="s">
        <v>28</v>
      </c>
      <c r="D3502" s="34" t="s">
        <v>128</v>
      </c>
      <c r="E3502" s="35" t="str">
        <f t="shared" si="833"/>
        <v>PRBNP'!</v>
      </c>
      <c r="F3502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02" s="32" t="s">
        <v>124</v>
      </c>
      <c r="H3502" s="33"/>
      <c r="I3502" s="33"/>
      <c r="J3502" s="37"/>
    </row>
    <row r="3503" spans="1:10" x14ac:dyDescent="0.35">
      <c r="A3503" s="32" t="s">
        <v>18</v>
      </c>
      <c r="B3503" s="32">
        <f t="shared" si="835"/>
        <v>2028</v>
      </c>
      <c r="C3503" s="33" t="s">
        <v>28</v>
      </c>
      <c r="D3503" s="34" t="s">
        <v>128</v>
      </c>
      <c r="E3503" s="35" t="str">
        <f t="shared" si="833"/>
        <v>PRBNP'!</v>
      </c>
      <c r="F3503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03" s="32" t="s">
        <v>124</v>
      </c>
      <c r="H3503" s="33"/>
      <c r="I3503" s="33"/>
      <c r="J3503" s="37"/>
    </row>
    <row r="3504" spans="1:10" x14ac:dyDescent="0.35">
      <c r="A3504" s="32" t="s">
        <v>18</v>
      </c>
      <c r="B3504" s="32">
        <f t="shared" si="835"/>
        <v>2029</v>
      </c>
      <c r="C3504" s="33" t="s">
        <v>28</v>
      </c>
      <c r="D3504" s="34" t="s">
        <v>128</v>
      </c>
      <c r="E3504" s="35" t="str">
        <f t="shared" si="833"/>
        <v>PRBNP'!</v>
      </c>
      <c r="F3504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04" s="32" t="s">
        <v>124</v>
      </c>
      <c r="H3504" s="33"/>
      <c r="I3504" s="33"/>
      <c r="J3504" s="37"/>
    </row>
    <row r="3505" spans="1:10" x14ac:dyDescent="0.35">
      <c r="A3505" s="32" t="s">
        <v>18</v>
      </c>
      <c r="B3505" s="32">
        <f t="shared" si="835"/>
        <v>2030</v>
      </c>
      <c r="C3505" s="33" t="s">
        <v>28</v>
      </c>
      <c r="D3505" s="34" t="s">
        <v>128</v>
      </c>
      <c r="E3505" s="35" t="str">
        <f t="shared" si="833"/>
        <v>PRBNP'!</v>
      </c>
      <c r="F3505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05" s="32" t="s">
        <v>124</v>
      </c>
      <c r="H3505" s="33"/>
      <c r="I3505" s="33"/>
      <c r="J3505" s="37"/>
    </row>
    <row r="3506" spans="1:10" x14ac:dyDescent="0.35">
      <c r="A3506" s="32" t="s">
        <v>18</v>
      </c>
      <c r="B3506" s="32">
        <f t="shared" si="835"/>
        <v>2031</v>
      </c>
      <c r="C3506" s="33" t="s">
        <v>28</v>
      </c>
      <c r="D3506" s="34" t="s">
        <v>128</v>
      </c>
      <c r="E3506" s="35" t="str">
        <f t="shared" si="833"/>
        <v>PRBNP'!</v>
      </c>
      <c r="F3506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06" s="32" t="s">
        <v>124</v>
      </c>
      <c r="H3506" s="33"/>
      <c r="I3506" s="33"/>
      <c r="J3506" s="37"/>
    </row>
    <row r="3507" spans="1:10" x14ac:dyDescent="0.35">
      <c r="A3507" s="32" t="s">
        <v>18</v>
      </c>
      <c r="B3507" s="32">
        <f t="shared" si="835"/>
        <v>2032</v>
      </c>
      <c r="C3507" s="33" t="s">
        <v>28</v>
      </c>
      <c r="D3507" s="34" t="s">
        <v>128</v>
      </c>
      <c r="E3507" s="35" t="str">
        <f t="shared" si="833"/>
        <v>PRBNP'!</v>
      </c>
      <c r="F3507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07" s="32" t="s">
        <v>124</v>
      </c>
      <c r="H3507" s="33"/>
      <c r="I3507" s="33"/>
      <c r="J3507" s="37"/>
    </row>
    <row r="3508" spans="1:10" x14ac:dyDescent="0.35">
      <c r="A3508" s="32" t="s">
        <v>18</v>
      </c>
      <c r="B3508" s="32">
        <f t="shared" si="835"/>
        <v>2033</v>
      </c>
      <c r="C3508" s="33" t="s">
        <v>28</v>
      </c>
      <c r="D3508" s="34" t="s">
        <v>128</v>
      </c>
      <c r="E3508" s="35" t="str">
        <f t="shared" si="833"/>
        <v>PRBNP'!</v>
      </c>
      <c r="F3508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08" s="32" t="s">
        <v>124</v>
      </c>
      <c r="H3508" s="33"/>
      <c r="I3508" s="33"/>
      <c r="J3508" s="37"/>
    </row>
    <row r="3509" spans="1:10" x14ac:dyDescent="0.35">
      <c r="A3509" s="32" t="s">
        <v>18</v>
      </c>
      <c r="B3509" s="32">
        <f t="shared" si="835"/>
        <v>2034</v>
      </c>
      <c r="C3509" s="33" t="s">
        <v>28</v>
      </c>
      <c r="D3509" s="34" t="s">
        <v>128</v>
      </c>
      <c r="E3509" s="35" t="str">
        <f t="shared" si="833"/>
        <v>PRBNP'!</v>
      </c>
      <c r="F3509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09" s="32" t="s">
        <v>124</v>
      </c>
      <c r="H3509" s="33"/>
      <c r="I3509" s="33"/>
      <c r="J3509" s="37"/>
    </row>
    <row r="3510" spans="1:10" x14ac:dyDescent="0.35">
      <c r="A3510" s="32" t="s">
        <v>18</v>
      </c>
      <c r="B3510" s="32">
        <f t="shared" si="835"/>
        <v>2035</v>
      </c>
      <c r="C3510" s="33" t="s">
        <v>28</v>
      </c>
      <c r="D3510" s="34" t="s">
        <v>128</v>
      </c>
      <c r="E3510" s="35" t="str">
        <f t="shared" si="833"/>
        <v>PRBNP'!</v>
      </c>
      <c r="F3510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10" s="32" t="s">
        <v>124</v>
      </c>
      <c r="H3510" s="33"/>
      <c r="I3510" s="33"/>
      <c r="J3510" s="37"/>
    </row>
    <row r="3511" spans="1:10" x14ac:dyDescent="0.35">
      <c r="A3511" s="32" t="s">
        <v>18</v>
      </c>
      <c r="B3511" s="32">
        <f t="shared" si="835"/>
        <v>2036</v>
      </c>
      <c r="C3511" s="33" t="s">
        <v>28</v>
      </c>
      <c r="D3511" s="34" t="s">
        <v>128</v>
      </c>
      <c r="E3511" s="35" t="str">
        <f t="shared" si="833"/>
        <v>PRBNP'!</v>
      </c>
      <c r="F3511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11" s="32" t="s">
        <v>124</v>
      </c>
      <c r="H3511" s="33"/>
      <c r="I3511" s="33"/>
      <c r="J3511" s="37"/>
    </row>
    <row r="3512" spans="1:10" x14ac:dyDescent="0.35">
      <c r="A3512" s="32" t="s">
        <v>18</v>
      </c>
      <c r="B3512" s="32">
        <f>+B3511+1</f>
        <v>2037</v>
      </c>
      <c r="C3512" s="33" t="s">
        <v>28</v>
      </c>
      <c r="D3512" s="34" t="s">
        <v>128</v>
      </c>
      <c r="E3512" s="35" t="str">
        <f t="shared" si="833"/>
        <v>PRBNP'!</v>
      </c>
      <c r="F3512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12" s="32" t="s">
        <v>124</v>
      </c>
      <c r="H3512" s="33"/>
      <c r="I3512" s="33"/>
      <c r="J3512" s="37"/>
    </row>
    <row r="3513" spans="1:10" x14ac:dyDescent="0.35">
      <c r="A3513" s="32" t="s">
        <v>18</v>
      </c>
      <c r="B3513" s="32">
        <f t="shared" ref="B3513:B3515" si="836">+B3512+1</f>
        <v>2038</v>
      </c>
      <c r="C3513" s="33" t="s">
        <v>28</v>
      </c>
      <c r="D3513" s="34" t="s">
        <v>128</v>
      </c>
      <c r="E3513" s="35" t="str">
        <f t="shared" si="833"/>
        <v>PRBNP'!</v>
      </c>
      <c r="F3513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13" s="32" t="s">
        <v>124</v>
      </c>
      <c r="H3513" s="33"/>
      <c r="I3513" s="33"/>
      <c r="J3513" s="37"/>
    </row>
    <row r="3514" spans="1:10" x14ac:dyDescent="0.35">
      <c r="A3514" s="32" t="s">
        <v>18</v>
      </c>
      <c r="B3514" s="32">
        <f t="shared" si="836"/>
        <v>2039</v>
      </c>
      <c r="C3514" s="33" t="s">
        <v>28</v>
      </c>
      <c r="D3514" s="34" t="s">
        <v>128</v>
      </c>
      <c r="E3514" s="35" t="str">
        <f t="shared" si="833"/>
        <v>PRBNP'!</v>
      </c>
      <c r="F3514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14" s="32" t="s">
        <v>124</v>
      </c>
      <c r="H3514" s="33"/>
      <c r="I3514" s="33"/>
      <c r="J3514" s="37"/>
    </row>
    <row r="3515" spans="1:10" x14ac:dyDescent="0.35">
      <c r="A3515" s="32" t="s">
        <v>18</v>
      </c>
      <c r="B3515" s="32">
        <f t="shared" si="836"/>
        <v>2040</v>
      </c>
      <c r="C3515" s="33" t="s">
        <v>28</v>
      </c>
      <c r="D3515" s="34" t="s">
        <v>128</v>
      </c>
      <c r="E3515" s="35" t="str">
        <f t="shared" si="833"/>
        <v>PRBNP'!</v>
      </c>
      <c r="F3515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15" s="32" t="s">
        <v>124</v>
      </c>
      <c r="H3515" s="33"/>
      <c r="I3515" s="33"/>
      <c r="J3515" s="37"/>
    </row>
    <row r="3516" spans="1:10" x14ac:dyDescent="0.35">
      <c r="A3516" s="32" t="s">
        <v>18</v>
      </c>
      <c r="B3516" s="32">
        <f>+B3515+1</f>
        <v>2041</v>
      </c>
      <c r="C3516" s="33" t="s">
        <v>28</v>
      </c>
      <c r="D3516" s="34" t="s">
        <v>128</v>
      </c>
      <c r="E3516" s="35" t="str">
        <f t="shared" si="833"/>
        <v>PRBNP'!</v>
      </c>
      <c r="F3516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16" s="32" t="s">
        <v>124</v>
      </c>
      <c r="H3516" s="33"/>
      <c r="I3516" s="33"/>
      <c r="J3516" s="37"/>
    </row>
    <row r="3517" spans="1:10" x14ac:dyDescent="0.35">
      <c r="A3517" s="32" t="s">
        <v>18</v>
      </c>
      <c r="B3517" s="32">
        <f t="shared" ref="B3517:B3518" si="837">+B3516+1</f>
        <v>2042</v>
      </c>
      <c r="C3517" s="33" t="s">
        <v>28</v>
      </c>
      <c r="D3517" s="34" t="s">
        <v>128</v>
      </c>
      <c r="E3517" s="35" t="str">
        <f t="shared" si="833"/>
        <v>PRBNP'!</v>
      </c>
      <c r="F3517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17" s="32" t="s">
        <v>124</v>
      </c>
      <c r="H3517" s="33"/>
      <c r="I3517" s="33"/>
      <c r="J3517" s="37"/>
    </row>
    <row r="3518" spans="1:10" x14ac:dyDescent="0.35">
      <c r="A3518" s="32" t="s">
        <v>18</v>
      </c>
      <c r="B3518" s="32">
        <f t="shared" si="837"/>
        <v>2043</v>
      </c>
      <c r="C3518" s="33" t="s">
        <v>28</v>
      </c>
      <c r="D3518" s="34" t="s">
        <v>128</v>
      </c>
      <c r="E3518" s="35" t="str">
        <f t="shared" si="833"/>
        <v>PRBNP'!</v>
      </c>
      <c r="F3518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18" s="32" t="s">
        <v>124</v>
      </c>
      <c r="H3518" s="33"/>
      <c r="I3518" s="33"/>
      <c r="J3518" s="37"/>
    </row>
    <row r="3519" spans="1:10" x14ac:dyDescent="0.35">
      <c r="A3519" s="32" t="s">
        <v>18</v>
      </c>
      <c r="B3519" s="32">
        <f>+B3518+1</f>
        <v>2044</v>
      </c>
      <c r="C3519" s="33" t="s">
        <v>28</v>
      </c>
      <c r="D3519" s="34" t="s">
        <v>128</v>
      </c>
      <c r="E3519" s="35" t="str">
        <f t="shared" ref="E3519:E3534" si="838">_xlfn.CONCAT(A3519,"'!")</f>
        <v>PRBNP'!</v>
      </c>
      <c r="F3519" s="34" t="str">
        <f t="shared" ref="F3519:F3534" si="839">_xlfn.CONCAT(D3519:E3519)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19" s="32" t="s">
        <v>124</v>
      </c>
      <c r="H3519" s="33"/>
      <c r="I3519" s="33"/>
      <c r="J3519" s="37"/>
    </row>
    <row r="3520" spans="1:10" x14ac:dyDescent="0.35">
      <c r="A3520" s="32" t="s">
        <v>18</v>
      </c>
      <c r="B3520" s="32">
        <f t="shared" ref="B3520:B3534" si="840">+B3519+1</f>
        <v>2045</v>
      </c>
      <c r="C3520" s="33" t="s">
        <v>28</v>
      </c>
      <c r="D3520" s="34" t="s">
        <v>128</v>
      </c>
      <c r="E3520" s="35" t="str">
        <f t="shared" si="838"/>
        <v>PRBNP'!</v>
      </c>
      <c r="F3520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20" s="32" t="s">
        <v>124</v>
      </c>
      <c r="H3520" s="33"/>
      <c r="I3520" s="33"/>
      <c r="J3520" s="37"/>
    </row>
    <row r="3521" spans="1:10" x14ac:dyDescent="0.35">
      <c r="A3521" s="32" t="s">
        <v>18</v>
      </c>
      <c r="B3521" s="32">
        <f t="shared" si="840"/>
        <v>2046</v>
      </c>
      <c r="C3521" s="33" t="s">
        <v>28</v>
      </c>
      <c r="D3521" s="34" t="s">
        <v>128</v>
      </c>
      <c r="E3521" s="35" t="str">
        <f t="shared" si="838"/>
        <v>PRBNP'!</v>
      </c>
      <c r="F3521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21" s="32" t="s">
        <v>124</v>
      </c>
      <c r="H3521" s="33"/>
      <c r="I3521" s="33"/>
      <c r="J3521" s="37"/>
    </row>
    <row r="3522" spans="1:10" x14ac:dyDescent="0.35">
      <c r="A3522" s="32" t="s">
        <v>18</v>
      </c>
      <c r="B3522" s="32">
        <f t="shared" si="840"/>
        <v>2047</v>
      </c>
      <c r="C3522" s="33" t="s">
        <v>28</v>
      </c>
      <c r="D3522" s="34" t="s">
        <v>128</v>
      </c>
      <c r="E3522" s="35" t="str">
        <f t="shared" si="838"/>
        <v>PRBNP'!</v>
      </c>
      <c r="F3522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22" s="32" t="s">
        <v>124</v>
      </c>
      <c r="H3522" s="33"/>
      <c r="I3522" s="33"/>
      <c r="J3522" s="37"/>
    </row>
    <row r="3523" spans="1:10" x14ac:dyDescent="0.35">
      <c r="A3523" s="32" t="s">
        <v>18</v>
      </c>
      <c r="B3523" s="32">
        <f t="shared" si="840"/>
        <v>2048</v>
      </c>
      <c r="C3523" s="33" t="s">
        <v>28</v>
      </c>
      <c r="D3523" s="34" t="s">
        <v>128</v>
      </c>
      <c r="E3523" s="35" t="str">
        <f t="shared" si="838"/>
        <v>PRBNP'!</v>
      </c>
      <c r="F3523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23" s="32" t="s">
        <v>124</v>
      </c>
      <c r="H3523" s="33"/>
      <c r="I3523" s="33"/>
      <c r="J3523" s="37"/>
    </row>
    <row r="3524" spans="1:10" x14ac:dyDescent="0.35">
      <c r="A3524" s="32" t="s">
        <v>18</v>
      </c>
      <c r="B3524" s="32">
        <f t="shared" si="840"/>
        <v>2049</v>
      </c>
      <c r="C3524" s="33" t="s">
        <v>28</v>
      </c>
      <c r="D3524" s="34" t="s">
        <v>128</v>
      </c>
      <c r="E3524" s="35" t="str">
        <f t="shared" si="838"/>
        <v>PRBNP'!</v>
      </c>
      <c r="F3524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24" s="32" t="s">
        <v>124</v>
      </c>
      <c r="H3524" s="33"/>
      <c r="I3524" s="33"/>
      <c r="J3524" s="37"/>
    </row>
    <row r="3525" spans="1:10" x14ac:dyDescent="0.35">
      <c r="A3525" s="32" t="s">
        <v>18</v>
      </c>
      <c r="B3525" s="32">
        <f t="shared" si="840"/>
        <v>2050</v>
      </c>
      <c r="C3525" s="33" t="s">
        <v>28</v>
      </c>
      <c r="D3525" s="34" t="s">
        <v>128</v>
      </c>
      <c r="E3525" s="35" t="str">
        <f t="shared" si="838"/>
        <v>PRBNP'!</v>
      </c>
      <c r="F3525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25" s="32" t="s">
        <v>124</v>
      </c>
      <c r="H3525" s="33"/>
      <c r="I3525" s="33"/>
      <c r="J3525" s="37"/>
    </row>
    <row r="3526" spans="1:10" x14ac:dyDescent="0.35">
      <c r="A3526" s="32" t="s">
        <v>18</v>
      </c>
      <c r="B3526" s="32">
        <f t="shared" si="840"/>
        <v>2051</v>
      </c>
      <c r="C3526" s="33" t="s">
        <v>28</v>
      </c>
      <c r="D3526" s="34" t="s">
        <v>128</v>
      </c>
      <c r="E3526" s="35" t="str">
        <f t="shared" si="838"/>
        <v>PRBNP'!</v>
      </c>
      <c r="F3526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26" s="32" t="s">
        <v>124</v>
      </c>
      <c r="H3526" s="33"/>
      <c r="I3526" s="33"/>
      <c r="J3526" s="37"/>
    </row>
    <row r="3527" spans="1:10" x14ac:dyDescent="0.35">
      <c r="A3527" s="32" t="s">
        <v>18</v>
      </c>
      <c r="B3527" s="32">
        <f t="shared" si="840"/>
        <v>2052</v>
      </c>
      <c r="C3527" s="33" t="s">
        <v>28</v>
      </c>
      <c r="D3527" s="34" t="s">
        <v>128</v>
      </c>
      <c r="E3527" s="35" t="str">
        <f t="shared" si="838"/>
        <v>PRBNP'!</v>
      </c>
      <c r="F3527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27" s="32" t="s">
        <v>124</v>
      </c>
      <c r="H3527" s="33"/>
      <c r="I3527" s="33"/>
      <c r="J3527" s="37"/>
    </row>
    <row r="3528" spans="1:10" x14ac:dyDescent="0.35">
      <c r="A3528" s="32" t="s">
        <v>18</v>
      </c>
      <c r="B3528" s="32">
        <f t="shared" si="840"/>
        <v>2053</v>
      </c>
      <c r="C3528" s="33" t="s">
        <v>28</v>
      </c>
      <c r="D3528" s="34" t="s">
        <v>128</v>
      </c>
      <c r="E3528" s="35" t="str">
        <f t="shared" si="838"/>
        <v>PRBNP'!</v>
      </c>
      <c r="F3528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28" s="32" t="s">
        <v>124</v>
      </c>
      <c r="H3528" s="33"/>
      <c r="I3528" s="33"/>
      <c r="J3528" s="37"/>
    </row>
    <row r="3529" spans="1:10" x14ac:dyDescent="0.35">
      <c r="A3529" s="32" t="s">
        <v>18</v>
      </c>
      <c r="B3529" s="32">
        <f t="shared" si="840"/>
        <v>2054</v>
      </c>
      <c r="C3529" s="33" t="s">
        <v>28</v>
      </c>
      <c r="D3529" s="34" t="s">
        <v>128</v>
      </c>
      <c r="E3529" s="35" t="str">
        <f t="shared" si="838"/>
        <v>PRBNP'!</v>
      </c>
      <c r="F3529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29" s="32" t="s">
        <v>124</v>
      </c>
      <c r="H3529" s="33"/>
      <c r="I3529" s="33"/>
      <c r="J3529" s="37"/>
    </row>
    <row r="3530" spans="1:10" x14ac:dyDescent="0.35">
      <c r="A3530" s="32" t="s">
        <v>18</v>
      </c>
      <c r="B3530" s="32">
        <f t="shared" si="840"/>
        <v>2055</v>
      </c>
      <c r="C3530" s="33" t="s">
        <v>28</v>
      </c>
      <c r="D3530" s="34" t="s">
        <v>128</v>
      </c>
      <c r="E3530" s="35" t="str">
        <f t="shared" si="838"/>
        <v>PRBNP'!</v>
      </c>
      <c r="F3530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30" s="32" t="s">
        <v>124</v>
      </c>
      <c r="H3530" s="33"/>
      <c r="I3530" s="33"/>
      <c r="J3530" s="37"/>
    </row>
    <row r="3531" spans="1:10" x14ac:dyDescent="0.35">
      <c r="A3531" s="32" t="s">
        <v>18</v>
      </c>
      <c r="B3531" s="32">
        <f t="shared" si="840"/>
        <v>2056</v>
      </c>
      <c r="C3531" s="33" t="s">
        <v>28</v>
      </c>
      <c r="D3531" s="34" t="s">
        <v>128</v>
      </c>
      <c r="E3531" s="35" t="str">
        <f t="shared" si="838"/>
        <v>PRBNP'!</v>
      </c>
      <c r="F3531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31" s="32" t="s">
        <v>124</v>
      </c>
      <c r="H3531" s="33"/>
      <c r="I3531" s="33"/>
      <c r="J3531" s="37"/>
    </row>
    <row r="3532" spans="1:10" x14ac:dyDescent="0.35">
      <c r="A3532" s="32" t="s">
        <v>18</v>
      </c>
      <c r="B3532" s="32">
        <f t="shared" si="840"/>
        <v>2057</v>
      </c>
      <c r="C3532" s="33" t="s">
        <v>28</v>
      </c>
      <c r="D3532" s="34" t="s">
        <v>128</v>
      </c>
      <c r="E3532" s="35" t="str">
        <f t="shared" si="838"/>
        <v>PRBNP'!</v>
      </c>
      <c r="F3532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32" s="32" t="s">
        <v>124</v>
      </c>
      <c r="H3532" s="33"/>
      <c r="I3532" s="33"/>
      <c r="J3532" s="37"/>
    </row>
    <row r="3533" spans="1:10" x14ac:dyDescent="0.35">
      <c r="A3533" s="32" t="s">
        <v>18</v>
      </c>
      <c r="B3533" s="32">
        <f t="shared" si="840"/>
        <v>2058</v>
      </c>
      <c r="C3533" s="33" t="s">
        <v>28</v>
      </c>
      <c r="D3533" s="34" t="s">
        <v>128</v>
      </c>
      <c r="E3533" s="35" t="str">
        <f t="shared" si="838"/>
        <v>PRBNP'!</v>
      </c>
      <c r="F3533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33" s="32" t="s">
        <v>124</v>
      </c>
      <c r="H3533" s="33"/>
      <c r="I3533" s="33"/>
      <c r="J3533" s="37"/>
    </row>
    <row r="3534" spans="1:10" x14ac:dyDescent="0.35">
      <c r="A3534" s="32" t="s">
        <v>18</v>
      </c>
      <c r="B3534" s="32">
        <f t="shared" si="840"/>
        <v>2059</v>
      </c>
      <c r="C3534" s="33" t="s">
        <v>28</v>
      </c>
      <c r="D3534" s="34" t="s">
        <v>128</v>
      </c>
      <c r="E3534" s="35" t="str">
        <f t="shared" si="838"/>
        <v>PRBNP'!</v>
      </c>
      <c r="F3534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34" s="32" t="s">
        <v>124</v>
      </c>
      <c r="H3534" s="33"/>
      <c r="I3534" s="33"/>
      <c r="J3534" s="37"/>
    </row>
    <row r="3535" spans="1:10" x14ac:dyDescent="0.35">
      <c r="A3535" s="32" t="s">
        <v>26</v>
      </c>
      <c r="B3535" s="32"/>
      <c r="C3535" s="33" t="s">
        <v>28</v>
      </c>
      <c r="D3535" s="34"/>
      <c r="E3535" s="35"/>
      <c r="F3535" s="34"/>
      <c r="G3535" s="32"/>
      <c r="H3535" s="33"/>
      <c r="I3535" s="33"/>
      <c r="J3535" s="36"/>
    </row>
    <row r="3536" spans="1:10" x14ac:dyDescent="0.35">
      <c r="A3536" s="32" t="s">
        <v>19</v>
      </c>
      <c r="B3536" s="32">
        <v>2023</v>
      </c>
      <c r="C3536" s="33" t="s">
        <v>28</v>
      </c>
      <c r="D3536" s="34" t="s">
        <v>128</v>
      </c>
      <c r="E3536" s="35" t="str">
        <f t="shared" ref="E3536:E3556" si="841">_xlfn.CONCAT(A3536,"'!")</f>
        <v>PRBND'!</v>
      </c>
      <c r="F3536" s="34" t="str">
        <f t="shared" ref="F3536:F3556" si="842">_xlfn.CONCAT(D3536:E3536)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36" s="32" t="s">
        <v>124</v>
      </c>
      <c r="H3536" s="33"/>
      <c r="I3536" s="33"/>
      <c r="J3536" s="37"/>
    </row>
    <row r="3537" spans="1:10" x14ac:dyDescent="0.35">
      <c r="A3537" s="32" t="s">
        <v>19</v>
      </c>
      <c r="B3537" s="32">
        <f>+B3536+1</f>
        <v>2024</v>
      </c>
      <c r="C3537" s="33" t="s">
        <v>28</v>
      </c>
      <c r="D3537" s="34" t="s">
        <v>128</v>
      </c>
      <c r="E3537" s="35" t="str">
        <f t="shared" si="841"/>
        <v>PRBND'!</v>
      </c>
      <c r="F3537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37" s="32" t="s">
        <v>124</v>
      </c>
      <c r="H3537" s="33"/>
      <c r="I3537" s="33"/>
      <c r="J3537" s="37"/>
    </row>
    <row r="3538" spans="1:10" x14ac:dyDescent="0.35">
      <c r="A3538" s="32" t="s">
        <v>19</v>
      </c>
      <c r="B3538" s="32">
        <f t="shared" ref="B3538:B3549" si="843">+B3537+1</f>
        <v>2025</v>
      </c>
      <c r="C3538" s="33" t="s">
        <v>28</v>
      </c>
      <c r="D3538" s="34" t="s">
        <v>128</v>
      </c>
      <c r="E3538" s="35" t="str">
        <f t="shared" si="841"/>
        <v>PRBND'!</v>
      </c>
      <c r="F3538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38" s="32" t="s">
        <v>124</v>
      </c>
      <c r="H3538" s="33"/>
      <c r="I3538" s="33"/>
      <c r="J3538" s="37"/>
    </row>
    <row r="3539" spans="1:10" x14ac:dyDescent="0.35">
      <c r="A3539" s="32" t="s">
        <v>19</v>
      </c>
      <c r="B3539" s="32">
        <f t="shared" si="843"/>
        <v>2026</v>
      </c>
      <c r="C3539" s="33" t="s">
        <v>28</v>
      </c>
      <c r="D3539" s="34" t="s">
        <v>128</v>
      </c>
      <c r="E3539" s="35" t="str">
        <f t="shared" si="841"/>
        <v>PRBND'!</v>
      </c>
      <c r="F3539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39" s="32" t="s">
        <v>124</v>
      </c>
      <c r="H3539" s="33"/>
      <c r="I3539" s="33"/>
      <c r="J3539" s="37"/>
    </row>
    <row r="3540" spans="1:10" x14ac:dyDescent="0.35">
      <c r="A3540" s="32" t="s">
        <v>19</v>
      </c>
      <c r="B3540" s="32">
        <f t="shared" si="843"/>
        <v>2027</v>
      </c>
      <c r="C3540" s="33" t="s">
        <v>28</v>
      </c>
      <c r="D3540" s="34" t="s">
        <v>128</v>
      </c>
      <c r="E3540" s="35" t="str">
        <f t="shared" si="841"/>
        <v>PRBND'!</v>
      </c>
      <c r="F3540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40" s="32" t="s">
        <v>124</v>
      </c>
      <c r="H3540" s="33"/>
      <c r="I3540" s="33"/>
      <c r="J3540" s="37"/>
    </row>
    <row r="3541" spans="1:10" x14ac:dyDescent="0.35">
      <c r="A3541" s="32" t="s">
        <v>19</v>
      </c>
      <c r="B3541" s="32">
        <f t="shared" si="843"/>
        <v>2028</v>
      </c>
      <c r="C3541" s="33" t="s">
        <v>28</v>
      </c>
      <c r="D3541" s="34" t="s">
        <v>128</v>
      </c>
      <c r="E3541" s="35" t="str">
        <f t="shared" si="841"/>
        <v>PRBND'!</v>
      </c>
      <c r="F3541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41" s="32" t="s">
        <v>124</v>
      </c>
      <c r="H3541" s="33"/>
      <c r="I3541" s="33"/>
      <c r="J3541" s="37"/>
    </row>
    <row r="3542" spans="1:10" x14ac:dyDescent="0.35">
      <c r="A3542" s="32" t="s">
        <v>19</v>
      </c>
      <c r="B3542" s="32">
        <f t="shared" si="843"/>
        <v>2029</v>
      </c>
      <c r="C3542" s="33" t="s">
        <v>28</v>
      </c>
      <c r="D3542" s="34" t="s">
        <v>128</v>
      </c>
      <c r="E3542" s="35" t="str">
        <f t="shared" si="841"/>
        <v>PRBND'!</v>
      </c>
      <c r="F3542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42" s="32" t="s">
        <v>124</v>
      </c>
      <c r="H3542" s="33"/>
      <c r="I3542" s="33"/>
      <c r="J3542" s="37"/>
    </row>
    <row r="3543" spans="1:10" x14ac:dyDescent="0.35">
      <c r="A3543" s="32" t="s">
        <v>19</v>
      </c>
      <c r="B3543" s="32">
        <f t="shared" si="843"/>
        <v>2030</v>
      </c>
      <c r="C3543" s="33" t="s">
        <v>28</v>
      </c>
      <c r="D3543" s="34" t="s">
        <v>128</v>
      </c>
      <c r="E3543" s="35" t="str">
        <f t="shared" si="841"/>
        <v>PRBND'!</v>
      </c>
      <c r="F3543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43" s="32" t="s">
        <v>124</v>
      </c>
      <c r="H3543" s="33"/>
      <c r="I3543" s="33"/>
      <c r="J3543" s="37"/>
    </row>
    <row r="3544" spans="1:10" x14ac:dyDescent="0.35">
      <c r="A3544" s="32" t="s">
        <v>19</v>
      </c>
      <c r="B3544" s="32">
        <f t="shared" si="843"/>
        <v>2031</v>
      </c>
      <c r="C3544" s="33" t="s">
        <v>28</v>
      </c>
      <c r="D3544" s="34" t="s">
        <v>128</v>
      </c>
      <c r="E3544" s="35" t="str">
        <f t="shared" si="841"/>
        <v>PRBND'!</v>
      </c>
      <c r="F3544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44" s="32" t="s">
        <v>124</v>
      </c>
      <c r="H3544" s="33"/>
      <c r="I3544" s="33"/>
      <c r="J3544" s="37"/>
    </row>
    <row r="3545" spans="1:10" x14ac:dyDescent="0.35">
      <c r="A3545" s="32" t="s">
        <v>19</v>
      </c>
      <c r="B3545" s="32">
        <f t="shared" si="843"/>
        <v>2032</v>
      </c>
      <c r="C3545" s="33" t="s">
        <v>28</v>
      </c>
      <c r="D3545" s="34" t="s">
        <v>128</v>
      </c>
      <c r="E3545" s="35" t="str">
        <f t="shared" si="841"/>
        <v>PRBND'!</v>
      </c>
      <c r="F3545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45" s="32" t="s">
        <v>124</v>
      </c>
      <c r="H3545" s="33"/>
      <c r="I3545" s="33"/>
      <c r="J3545" s="37"/>
    </row>
    <row r="3546" spans="1:10" x14ac:dyDescent="0.35">
      <c r="A3546" s="32" t="s">
        <v>19</v>
      </c>
      <c r="B3546" s="32">
        <f t="shared" si="843"/>
        <v>2033</v>
      </c>
      <c r="C3546" s="33" t="s">
        <v>28</v>
      </c>
      <c r="D3546" s="34" t="s">
        <v>128</v>
      </c>
      <c r="E3546" s="35" t="str">
        <f t="shared" si="841"/>
        <v>PRBND'!</v>
      </c>
      <c r="F3546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46" s="32" t="s">
        <v>124</v>
      </c>
      <c r="H3546" s="33"/>
      <c r="I3546" s="33"/>
      <c r="J3546" s="37"/>
    </row>
    <row r="3547" spans="1:10" x14ac:dyDescent="0.35">
      <c r="A3547" s="32" t="s">
        <v>19</v>
      </c>
      <c r="B3547" s="32">
        <f t="shared" si="843"/>
        <v>2034</v>
      </c>
      <c r="C3547" s="33" t="s">
        <v>28</v>
      </c>
      <c r="D3547" s="34" t="s">
        <v>128</v>
      </c>
      <c r="E3547" s="35" t="str">
        <f t="shared" si="841"/>
        <v>PRBND'!</v>
      </c>
      <c r="F3547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47" s="32" t="s">
        <v>124</v>
      </c>
      <c r="H3547" s="33"/>
      <c r="I3547" s="33"/>
      <c r="J3547" s="37"/>
    </row>
    <row r="3548" spans="1:10" x14ac:dyDescent="0.35">
      <c r="A3548" s="32" t="s">
        <v>19</v>
      </c>
      <c r="B3548" s="32">
        <f t="shared" si="843"/>
        <v>2035</v>
      </c>
      <c r="C3548" s="33" t="s">
        <v>28</v>
      </c>
      <c r="D3548" s="34" t="s">
        <v>128</v>
      </c>
      <c r="E3548" s="35" t="str">
        <f t="shared" si="841"/>
        <v>PRBND'!</v>
      </c>
      <c r="F3548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48" s="32" t="s">
        <v>124</v>
      </c>
      <c r="H3548" s="33"/>
      <c r="I3548" s="33"/>
      <c r="J3548" s="37"/>
    </row>
    <row r="3549" spans="1:10" x14ac:dyDescent="0.35">
      <c r="A3549" s="32" t="s">
        <v>19</v>
      </c>
      <c r="B3549" s="32">
        <f t="shared" si="843"/>
        <v>2036</v>
      </c>
      <c r="C3549" s="33" t="s">
        <v>28</v>
      </c>
      <c r="D3549" s="34" t="s">
        <v>128</v>
      </c>
      <c r="E3549" s="35" t="str">
        <f t="shared" si="841"/>
        <v>PRBND'!</v>
      </c>
      <c r="F3549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49" s="32" t="s">
        <v>124</v>
      </c>
      <c r="H3549" s="33"/>
      <c r="I3549" s="33"/>
      <c r="J3549" s="37"/>
    </row>
    <row r="3550" spans="1:10" x14ac:dyDescent="0.35">
      <c r="A3550" s="32" t="s">
        <v>19</v>
      </c>
      <c r="B3550" s="32">
        <f>+B3549+1</f>
        <v>2037</v>
      </c>
      <c r="C3550" s="33" t="s">
        <v>28</v>
      </c>
      <c r="D3550" s="34" t="s">
        <v>128</v>
      </c>
      <c r="E3550" s="35" t="str">
        <f t="shared" si="841"/>
        <v>PRBND'!</v>
      </c>
      <c r="F3550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50" s="32" t="s">
        <v>124</v>
      </c>
      <c r="H3550" s="33"/>
      <c r="I3550" s="33"/>
      <c r="J3550" s="37"/>
    </row>
    <row r="3551" spans="1:10" x14ac:dyDescent="0.35">
      <c r="A3551" s="32" t="s">
        <v>19</v>
      </c>
      <c r="B3551" s="32">
        <f t="shared" ref="B3551:B3553" si="844">+B3550+1</f>
        <v>2038</v>
      </c>
      <c r="C3551" s="33" t="s">
        <v>28</v>
      </c>
      <c r="D3551" s="34" t="s">
        <v>128</v>
      </c>
      <c r="E3551" s="35" t="str">
        <f t="shared" si="841"/>
        <v>PRBND'!</v>
      </c>
      <c r="F3551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51" s="32" t="s">
        <v>124</v>
      </c>
      <c r="H3551" s="33"/>
      <c r="I3551" s="33"/>
      <c r="J3551" s="37"/>
    </row>
    <row r="3552" spans="1:10" x14ac:dyDescent="0.35">
      <c r="A3552" s="32" t="s">
        <v>19</v>
      </c>
      <c r="B3552" s="32">
        <f t="shared" si="844"/>
        <v>2039</v>
      </c>
      <c r="C3552" s="33" t="s">
        <v>28</v>
      </c>
      <c r="D3552" s="34" t="s">
        <v>128</v>
      </c>
      <c r="E3552" s="35" t="str">
        <f t="shared" si="841"/>
        <v>PRBND'!</v>
      </c>
      <c r="F3552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52" s="32" t="s">
        <v>124</v>
      </c>
      <c r="H3552" s="33"/>
      <c r="I3552" s="33"/>
      <c r="J3552" s="37"/>
    </row>
    <row r="3553" spans="1:10" x14ac:dyDescent="0.35">
      <c r="A3553" s="32" t="s">
        <v>19</v>
      </c>
      <c r="B3553" s="32">
        <f t="shared" si="844"/>
        <v>2040</v>
      </c>
      <c r="C3553" s="33" t="s">
        <v>28</v>
      </c>
      <c r="D3553" s="34" t="s">
        <v>128</v>
      </c>
      <c r="E3553" s="35" t="str">
        <f t="shared" si="841"/>
        <v>PRBND'!</v>
      </c>
      <c r="F3553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53" s="32" t="s">
        <v>124</v>
      </c>
      <c r="H3553" s="33"/>
      <c r="I3553" s="33"/>
      <c r="J3553" s="37"/>
    </row>
    <row r="3554" spans="1:10" x14ac:dyDescent="0.35">
      <c r="A3554" s="32" t="s">
        <v>19</v>
      </c>
      <c r="B3554" s="32">
        <f>+B3553+1</f>
        <v>2041</v>
      </c>
      <c r="C3554" s="33" t="s">
        <v>28</v>
      </c>
      <c r="D3554" s="34" t="s">
        <v>128</v>
      </c>
      <c r="E3554" s="35" t="str">
        <f t="shared" si="841"/>
        <v>PRBND'!</v>
      </c>
      <c r="F3554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54" s="32" t="s">
        <v>124</v>
      </c>
      <c r="H3554" s="33"/>
      <c r="I3554" s="33"/>
      <c r="J3554" s="37"/>
    </row>
    <row r="3555" spans="1:10" x14ac:dyDescent="0.35">
      <c r="A3555" s="32" t="s">
        <v>19</v>
      </c>
      <c r="B3555" s="32">
        <f t="shared" ref="B3555:B3556" si="845">+B3554+1</f>
        <v>2042</v>
      </c>
      <c r="C3555" s="33" t="s">
        <v>28</v>
      </c>
      <c r="D3555" s="34" t="s">
        <v>128</v>
      </c>
      <c r="E3555" s="35" t="str">
        <f t="shared" si="841"/>
        <v>PRBND'!</v>
      </c>
      <c r="F3555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55" s="32" t="s">
        <v>124</v>
      </c>
      <c r="H3555" s="33"/>
      <c r="I3555" s="33"/>
      <c r="J3555" s="37"/>
    </row>
    <row r="3556" spans="1:10" x14ac:dyDescent="0.35">
      <c r="A3556" s="32" t="s">
        <v>19</v>
      </c>
      <c r="B3556" s="32">
        <f t="shared" si="845"/>
        <v>2043</v>
      </c>
      <c r="C3556" s="33" t="s">
        <v>28</v>
      </c>
      <c r="D3556" s="34" t="s">
        <v>128</v>
      </c>
      <c r="E3556" s="35" t="str">
        <f t="shared" si="841"/>
        <v>PRBND'!</v>
      </c>
      <c r="F3556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56" s="32" t="s">
        <v>124</v>
      </c>
      <c r="H3556" s="33"/>
      <c r="I3556" s="33"/>
      <c r="J3556" s="37"/>
    </row>
    <row r="3557" spans="1:10" x14ac:dyDescent="0.35">
      <c r="A3557" s="32" t="s">
        <v>19</v>
      </c>
      <c r="B3557" s="32">
        <f>+B3556+1</f>
        <v>2044</v>
      </c>
      <c r="C3557" s="33" t="s">
        <v>28</v>
      </c>
      <c r="D3557" s="34" t="s">
        <v>128</v>
      </c>
      <c r="E3557" s="35" t="str">
        <f t="shared" ref="E3557:E3572" si="846">_xlfn.CONCAT(A3557,"'!")</f>
        <v>PRBND'!</v>
      </c>
      <c r="F3557" s="34" t="str">
        <f t="shared" ref="F3557:F3572" si="847">_xlfn.CONCAT(D3557:E3557)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57" s="32" t="s">
        <v>124</v>
      </c>
      <c r="H3557" s="33"/>
      <c r="I3557" s="33"/>
      <c r="J3557" s="37"/>
    </row>
    <row r="3558" spans="1:10" x14ac:dyDescent="0.35">
      <c r="A3558" s="32" t="s">
        <v>19</v>
      </c>
      <c r="B3558" s="32">
        <f t="shared" ref="B3558:B3572" si="848">+B3557+1</f>
        <v>2045</v>
      </c>
      <c r="C3558" s="33" t="s">
        <v>28</v>
      </c>
      <c r="D3558" s="34" t="s">
        <v>128</v>
      </c>
      <c r="E3558" s="35" t="str">
        <f t="shared" si="846"/>
        <v>PRBND'!</v>
      </c>
      <c r="F3558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58" s="32" t="s">
        <v>124</v>
      </c>
      <c r="H3558" s="33"/>
      <c r="I3558" s="33"/>
      <c r="J3558" s="37"/>
    </row>
    <row r="3559" spans="1:10" x14ac:dyDescent="0.35">
      <c r="A3559" s="32" t="s">
        <v>19</v>
      </c>
      <c r="B3559" s="32">
        <f t="shared" si="848"/>
        <v>2046</v>
      </c>
      <c r="C3559" s="33" t="s">
        <v>28</v>
      </c>
      <c r="D3559" s="34" t="s">
        <v>128</v>
      </c>
      <c r="E3559" s="35" t="str">
        <f t="shared" si="846"/>
        <v>PRBND'!</v>
      </c>
      <c r="F3559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59" s="32" t="s">
        <v>124</v>
      </c>
      <c r="H3559" s="33"/>
      <c r="I3559" s="33"/>
      <c r="J3559" s="37"/>
    </row>
    <row r="3560" spans="1:10" x14ac:dyDescent="0.35">
      <c r="A3560" s="32" t="s">
        <v>19</v>
      </c>
      <c r="B3560" s="32">
        <f t="shared" si="848"/>
        <v>2047</v>
      </c>
      <c r="C3560" s="33" t="s">
        <v>28</v>
      </c>
      <c r="D3560" s="34" t="s">
        <v>128</v>
      </c>
      <c r="E3560" s="35" t="str">
        <f t="shared" si="846"/>
        <v>PRBND'!</v>
      </c>
      <c r="F3560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60" s="32" t="s">
        <v>124</v>
      </c>
      <c r="H3560" s="33"/>
      <c r="I3560" s="33"/>
      <c r="J3560" s="37"/>
    </row>
    <row r="3561" spans="1:10" x14ac:dyDescent="0.35">
      <c r="A3561" s="32" t="s">
        <v>19</v>
      </c>
      <c r="B3561" s="32">
        <f t="shared" si="848"/>
        <v>2048</v>
      </c>
      <c r="C3561" s="33" t="s">
        <v>28</v>
      </c>
      <c r="D3561" s="34" t="s">
        <v>128</v>
      </c>
      <c r="E3561" s="35" t="str">
        <f t="shared" si="846"/>
        <v>PRBND'!</v>
      </c>
      <c r="F3561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61" s="32" t="s">
        <v>124</v>
      </c>
      <c r="H3561" s="33"/>
      <c r="I3561" s="33"/>
      <c r="J3561" s="37"/>
    </row>
    <row r="3562" spans="1:10" x14ac:dyDescent="0.35">
      <c r="A3562" s="32" t="s">
        <v>19</v>
      </c>
      <c r="B3562" s="32">
        <f t="shared" si="848"/>
        <v>2049</v>
      </c>
      <c r="C3562" s="33" t="s">
        <v>28</v>
      </c>
      <c r="D3562" s="34" t="s">
        <v>128</v>
      </c>
      <c r="E3562" s="35" t="str">
        <f t="shared" si="846"/>
        <v>PRBND'!</v>
      </c>
      <c r="F3562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62" s="32" t="s">
        <v>124</v>
      </c>
      <c r="H3562" s="33"/>
      <c r="I3562" s="33"/>
      <c r="J3562" s="37"/>
    </row>
    <row r="3563" spans="1:10" x14ac:dyDescent="0.35">
      <c r="A3563" s="32" t="s">
        <v>19</v>
      </c>
      <c r="B3563" s="32">
        <f t="shared" si="848"/>
        <v>2050</v>
      </c>
      <c r="C3563" s="33" t="s">
        <v>28</v>
      </c>
      <c r="D3563" s="34" t="s">
        <v>128</v>
      </c>
      <c r="E3563" s="35" t="str">
        <f t="shared" si="846"/>
        <v>PRBND'!</v>
      </c>
      <c r="F3563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63" s="32" t="s">
        <v>124</v>
      </c>
      <c r="H3563" s="33"/>
      <c r="I3563" s="33"/>
      <c r="J3563" s="37"/>
    </row>
    <row r="3564" spans="1:10" x14ac:dyDescent="0.35">
      <c r="A3564" s="32" t="s">
        <v>19</v>
      </c>
      <c r="B3564" s="32">
        <f t="shared" si="848"/>
        <v>2051</v>
      </c>
      <c r="C3564" s="33" t="s">
        <v>28</v>
      </c>
      <c r="D3564" s="34" t="s">
        <v>128</v>
      </c>
      <c r="E3564" s="35" t="str">
        <f t="shared" si="846"/>
        <v>PRBND'!</v>
      </c>
      <c r="F3564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64" s="32" t="s">
        <v>124</v>
      </c>
      <c r="H3564" s="33"/>
      <c r="I3564" s="33"/>
      <c r="J3564" s="37"/>
    </row>
    <row r="3565" spans="1:10" x14ac:dyDescent="0.35">
      <c r="A3565" s="32" t="s">
        <v>19</v>
      </c>
      <c r="B3565" s="32">
        <f t="shared" si="848"/>
        <v>2052</v>
      </c>
      <c r="C3565" s="33" t="s">
        <v>28</v>
      </c>
      <c r="D3565" s="34" t="s">
        <v>128</v>
      </c>
      <c r="E3565" s="35" t="str">
        <f t="shared" si="846"/>
        <v>PRBND'!</v>
      </c>
      <c r="F3565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65" s="32" t="s">
        <v>124</v>
      </c>
      <c r="H3565" s="33"/>
      <c r="I3565" s="33"/>
      <c r="J3565" s="37"/>
    </row>
    <row r="3566" spans="1:10" x14ac:dyDescent="0.35">
      <c r="A3566" s="32" t="s">
        <v>19</v>
      </c>
      <c r="B3566" s="32">
        <f t="shared" si="848"/>
        <v>2053</v>
      </c>
      <c r="C3566" s="33" t="s">
        <v>28</v>
      </c>
      <c r="D3566" s="34" t="s">
        <v>128</v>
      </c>
      <c r="E3566" s="35" t="str">
        <f t="shared" si="846"/>
        <v>PRBND'!</v>
      </c>
      <c r="F3566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66" s="32" t="s">
        <v>124</v>
      </c>
      <c r="H3566" s="33"/>
      <c r="I3566" s="33"/>
      <c r="J3566" s="37"/>
    </row>
    <row r="3567" spans="1:10" x14ac:dyDescent="0.35">
      <c r="A3567" s="32" t="s">
        <v>19</v>
      </c>
      <c r="B3567" s="32">
        <f t="shared" si="848"/>
        <v>2054</v>
      </c>
      <c r="C3567" s="33" t="s">
        <v>28</v>
      </c>
      <c r="D3567" s="34" t="s">
        <v>128</v>
      </c>
      <c r="E3567" s="35" t="str">
        <f t="shared" si="846"/>
        <v>PRBND'!</v>
      </c>
      <c r="F3567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67" s="32" t="s">
        <v>124</v>
      </c>
      <c r="H3567" s="33"/>
      <c r="I3567" s="33"/>
      <c r="J3567" s="37"/>
    </row>
    <row r="3568" spans="1:10" x14ac:dyDescent="0.35">
      <c r="A3568" s="32" t="s">
        <v>19</v>
      </c>
      <c r="B3568" s="32">
        <f t="shared" si="848"/>
        <v>2055</v>
      </c>
      <c r="C3568" s="33" t="s">
        <v>28</v>
      </c>
      <c r="D3568" s="34" t="s">
        <v>128</v>
      </c>
      <c r="E3568" s="35" t="str">
        <f t="shared" si="846"/>
        <v>PRBND'!</v>
      </c>
      <c r="F3568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68" s="32" t="s">
        <v>124</v>
      </c>
      <c r="H3568" s="33"/>
      <c r="I3568" s="33"/>
      <c r="J3568" s="37"/>
    </row>
    <row r="3569" spans="1:10" x14ac:dyDescent="0.35">
      <c r="A3569" s="32" t="s">
        <v>19</v>
      </c>
      <c r="B3569" s="32">
        <f t="shared" si="848"/>
        <v>2056</v>
      </c>
      <c r="C3569" s="33" t="s">
        <v>28</v>
      </c>
      <c r="D3569" s="34" t="s">
        <v>128</v>
      </c>
      <c r="E3569" s="35" t="str">
        <f t="shared" si="846"/>
        <v>PRBND'!</v>
      </c>
      <c r="F3569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69" s="32" t="s">
        <v>124</v>
      </c>
      <c r="H3569" s="33"/>
      <c r="I3569" s="33"/>
      <c r="J3569" s="37"/>
    </row>
    <row r="3570" spans="1:10" x14ac:dyDescent="0.35">
      <c r="A3570" s="32" t="s">
        <v>19</v>
      </c>
      <c r="B3570" s="32">
        <f t="shared" si="848"/>
        <v>2057</v>
      </c>
      <c r="C3570" s="33" t="s">
        <v>28</v>
      </c>
      <c r="D3570" s="34" t="s">
        <v>128</v>
      </c>
      <c r="E3570" s="35" t="str">
        <f t="shared" si="846"/>
        <v>PRBND'!</v>
      </c>
      <c r="F3570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70" s="32" t="s">
        <v>124</v>
      </c>
      <c r="H3570" s="33"/>
      <c r="I3570" s="33"/>
      <c r="J3570" s="37"/>
    </row>
    <row r="3571" spans="1:10" x14ac:dyDescent="0.35">
      <c r="A3571" s="32" t="s">
        <v>19</v>
      </c>
      <c r="B3571" s="32">
        <f t="shared" si="848"/>
        <v>2058</v>
      </c>
      <c r="C3571" s="33" t="s">
        <v>28</v>
      </c>
      <c r="D3571" s="34" t="s">
        <v>128</v>
      </c>
      <c r="E3571" s="35" t="str">
        <f t="shared" si="846"/>
        <v>PRBND'!</v>
      </c>
      <c r="F3571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71" s="32" t="s">
        <v>124</v>
      </c>
      <c r="H3571" s="33"/>
      <c r="I3571" s="33"/>
      <c r="J3571" s="37"/>
    </row>
    <row r="3572" spans="1:10" x14ac:dyDescent="0.35">
      <c r="A3572" s="32" t="s">
        <v>19</v>
      </c>
      <c r="B3572" s="32">
        <f t="shared" si="848"/>
        <v>2059</v>
      </c>
      <c r="C3572" s="33" t="s">
        <v>28</v>
      </c>
      <c r="D3572" s="34" t="s">
        <v>128</v>
      </c>
      <c r="E3572" s="35" t="str">
        <f t="shared" si="846"/>
        <v>PRBND'!</v>
      </c>
      <c r="F3572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72" s="32" t="s">
        <v>124</v>
      </c>
      <c r="H3572" s="33"/>
      <c r="I3572" s="33"/>
      <c r="J3572" s="37"/>
    </row>
    <row r="3573" spans="1:10" x14ac:dyDescent="0.35">
      <c r="A3573" s="32" t="s">
        <v>26</v>
      </c>
      <c r="B3573" s="32"/>
      <c r="C3573" s="33" t="s">
        <v>28</v>
      </c>
      <c r="D3573" s="34"/>
      <c r="E3573" s="35"/>
      <c r="F3573" s="34"/>
      <c r="G3573" s="32"/>
      <c r="H3573" s="33"/>
      <c r="I3573" s="33"/>
      <c r="J3573" s="36"/>
    </row>
    <row r="3574" spans="1:10" x14ac:dyDescent="0.35">
      <c r="A3574" s="32" t="s">
        <v>20</v>
      </c>
      <c r="B3574" s="32">
        <v>2023</v>
      </c>
      <c r="C3574" s="33" t="s">
        <v>28</v>
      </c>
      <c r="D3574" s="34" t="s">
        <v>128</v>
      </c>
      <c r="E3574" s="35" t="str">
        <f t="shared" ref="E3574:E3594" si="849">_xlfn.CONCAT(A3574,"'!")</f>
        <v>PRB'!</v>
      </c>
      <c r="F3574" s="34" t="str">
        <f t="shared" ref="F3574:F3594" si="850">_xlfn.CONCAT(D3574:E3574)</f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74" s="32" t="s">
        <v>124</v>
      </c>
      <c r="H3574" s="33">
        <f>IF(A3574&lt;&gt;A3558,12,H3558+1)</f>
        <v>12</v>
      </c>
      <c r="I3574" s="33" t="str">
        <f t="shared" ref="I3574:I3594" si="851">_xlfn.CONCAT("='",F3574:H3574)</f>
        <v>='C:\Users\jaime.benazar\Quorum Business Solutions\Ecopetrol Prometeo - Documents\Planning Space Implementation\3. Analysis &amp; Design\Design\FC22\DRR Jaime\Por presentar a ECP\Cantagallo\Cristalina\[CRISTALINA_CF_SEC_New_09-Feb-2024.xlsx]D-PRB'!$BE$12</v>
      </c>
      <c r="J3574" s="37" t="s">
        <v>1720</v>
      </c>
    </row>
    <row r="3575" spans="1:10" x14ac:dyDescent="0.35">
      <c r="A3575" s="32" t="s">
        <v>20</v>
      </c>
      <c r="B3575" s="32">
        <f>+B3574+1</f>
        <v>2024</v>
      </c>
      <c r="C3575" s="33" t="s">
        <v>28</v>
      </c>
      <c r="D3575" s="34" t="s">
        <v>128</v>
      </c>
      <c r="E3575" s="35" t="str">
        <f t="shared" si="849"/>
        <v>PRB'!</v>
      </c>
      <c r="F3575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75" s="32" t="s">
        <v>124</v>
      </c>
      <c r="H3575" s="33">
        <f t="shared" ref="H3575:H3594" si="852">IF(A3575&lt;&gt;A3574,36,H3574+1)</f>
        <v>13</v>
      </c>
      <c r="I3575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ECP\Cantagallo\Cristalina\[CRISTALINA_CF_SEC_New_09-Feb-2024.xlsx]D-PRB'!$BE$13</v>
      </c>
      <c r="J3575" s="37" t="s">
        <v>1721</v>
      </c>
    </row>
    <row r="3576" spans="1:10" x14ac:dyDescent="0.35">
      <c r="A3576" s="32" t="s">
        <v>20</v>
      </c>
      <c r="B3576" s="32">
        <f t="shared" ref="B3576:B3587" si="853">+B3575+1</f>
        <v>2025</v>
      </c>
      <c r="C3576" s="33" t="s">
        <v>28</v>
      </c>
      <c r="D3576" s="34" t="s">
        <v>128</v>
      </c>
      <c r="E3576" s="35" t="str">
        <f t="shared" si="849"/>
        <v>PRB'!</v>
      </c>
      <c r="F3576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76" s="32" t="s">
        <v>124</v>
      </c>
      <c r="H3576" s="33">
        <f t="shared" si="852"/>
        <v>14</v>
      </c>
      <c r="I3576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ECP\Cantagallo\Cristalina\[CRISTALINA_CF_SEC_New_09-Feb-2024.xlsx]D-PRB'!$BE$14</v>
      </c>
      <c r="J3576" s="37" t="s">
        <v>1722</v>
      </c>
    </row>
    <row r="3577" spans="1:10" x14ac:dyDescent="0.35">
      <c r="A3577" s="32" t="s">
        <v>20</v>
      </c>
      <c r="B3577" s="32">
        <f t="shared" si="853"/>
        <v>2026</v>
      </c>
      <c r="C3577" s="33" t="s">
        <v>28</v>
      </c>
      <c r="D3577" s="34" t="s">
        <v>128</v>
      </c>
      <c r="E3577" s="35" t="str">
        <f t="shared" si="849"/>
        <v>PRB'!</v>
      </c>
      <c r="F3577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77" s="32" t="s">
        <v>124</v>
      </c>
      <c r="H3577" s="33">
        <f t="shared" si="852"/>
        <v>15</v>
      </c>
      <c r="I3577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ECP\Cantagallo\Cristalina\[CRISTALINA_CF_SEC_New_09-Feb-2024.xlsx]D-PRB'!$BE$15</v>
      </c>
      <c r="J3577" s="37" t="s">
        <v>1723</v>
      </c>
    </row>
    <row r="3578" spans="1:10" x14ac:dyDescent="0.35">
      <c r="A3578" s="32" t="s">
        <v>20</v>
      </c>
      <c r="B3578" s="32">
        <f t="shared" si="853"/>
        <v>2027</v>
      </c>
      <c r="C3578" s="33" t="s">
        <v>28</v>
      </c>
      <c r="D3578" s="34" t="s">
        <v>128</v>
      </c>
      <c r="E3578" s="35" t="str">
        <f t="shared" si="849"/>
        <v>PRB'!</v>
      </c>
      <c r="F3578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78" s="32" t="s">
        <v>124</v>
      </c>
      <c r="H3578" s="33">
        <f t="shared" si="852"/>
        <v>16</v>
      </c>
      <c r="I3578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ECP\Cantagallo\Cristalina\[CRISTALINA_CF_SEC_New_09-Feb-2024.xlsx]D-PRB'!$BE$16</v>
      </c>
      <c r="J3578" s="37" t="s">
        <v>1724</v>
      </c>
    </row>
    <row r="3579" spans="1:10" x14ac:dyDescent="0.35">
      <c r="A3579" s="32" t="s">
        <v>20</v>
      </c>
      <c r="B3579" s="32">
        <f t="shared" si="853"/>
        <v>2028</v>
      </c>
      <c r="C3579" s="33" t="s">
        <v>28</v>
      </c>
      <c r="D3579" s="34" t="s">
        <v>128</v>
      </c>
      <c r="E3579" s="35" t="str">
        <f t="shared" si="849"/>
        <v>PRB'!</v>
      </c>
      <c r="F3579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79" s="32" t="s">
        <v>124</v>
      </c>
      <c r="H3579" s="33">
        <f t="shared" si="852"/>
        <v>17</v>
      </c>
      <c r="I3579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ECP\Cantagallo\Cristalina\[CRISTALINA_CF_SEC_New_09-Feb-2024.xlsx]D-PRB'!$BE$17</v>
      </c>
      <c r="J3579" s="37" t="s">
        <v>1725</v>
      </c>
    </row>
    <row r="3580" spans="1:10" x14ac:dyDescent="0.35">
      <c r="A3580" s="32" t="s">
        <v>20</v>
      </c>
      <c r="B3580" s="32">
        <f t="shared" si="853"/>
        <v>2029</v>
      </c>
      <c r="C3580" s="33" t="s">
        <v>28</v>
      </c>
      <c r="D3580" s="34" t="s">
        <v>128</v>
      </c>
      <c r="E3580" s="35" t="str">
        <f t="shared" si="849"/>
        <v>PRB'!</v>
      </c>
      <c r="F3580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80" s="32" t="s">
        <v>124</v>
      </c>
      <c r="H3580" s="33">
        <f t="shared" si="852"/>
        <v>18</v>
      </c>
      <c r="I3580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ECP\Cantagallo\Cristalina\[CRISTALINA_CF_SEC_New_09-Feb-2024.xlsx]D-PRB'!$BE$18</v>
      </c>
      <c r="J3580" s="37" t="s">
        <v>1726</v>
      </c>
    </row>
    <row r="3581" spans="1:10" x14ac:dyDescent="0.35">
      <c r="A3581" s="32" t="s">
        <v>20</v>
      </c>
      <c r="B3581" s="32">
        <f t="shared" si="853"/>
        <v>2030</v>
      </c>
      <c r="C3581" s="33" t="s">
        <v>28</v>
      </c>
      <c r="D3581" s="34" t="s">
        <v>128</v>
      </c>
      <c r="E3581" s="35" t="str">
        <f t="shared" si="849"/>
        <v>PRB'!</v>
      </c>
      <c r="F3581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81" s="32" t="s">
        <v>124</v>
      </c>
      <c r="H3581" s="33">
        <f t="shared" si="852"/>
        <v>19</v>
      </c>
      <c r="I3581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ECP\Cantagallo\Cristalina\[CRISTALINA_CF_SEC_New_09-Feb-2024.xlsx]D-PRB'!$BE$19</v>
      </c>
      <c r="J3581" s="37" t="s">
        <v>1727</v>
      </c>
    </row>
    <row r="3582" spans="1:10" x14ac:dyDescent="0.35">
      <c r="A3582" s="32" t="s">
        <v>20</v>
      </c>
      <c r="B3582" s="32">
        <f t="shared" si="853"/>
        <v>2031</v>
      </c>
      <c r="C3582" s="33" t="s">
        <v>28</v>
      </c>
      <c r="D3582" s="34" t="s">
        <v>128</v>
      </c>
      <c r="E3582" s="35" t="str">
        <f t="shared" si="849"/>
        <v>PRB'!</v>
      </c>
      <c r="F3582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82" s="32" t="s">
        <v>124</v>
      </c>
      <c r="H3582" s="33">
        <f t="shared" si="852"/>
        <v>20</v>
      </c>
      <c r="I3582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ECP\Cantagallo\Cristalina\[CRISTALINA_CF_SEC_New_09-Feb-2024.xlsx]D-PRB'!$BE$20</v>
      </c>
      <c r="J3582" s="37" t="s">
        <v>1728</v>
      </c>
    </row>
    <row r="3583" spans="1:10" x14ac:dyDescent="0.35">
      <c r="A3583" s="32" t="s">
        <v>20</v>
      </c>
      <c r="B3583" s="32">
        <f t="shared" si="853"/>
        <v>2032</v>
      </c>
      <c r="C3583" s="33" t="s">
        <v>28</v>
      </c>
      <c r="D3583" s="34" t="s">
        <v>128</v>
      </c>
      <c r="E3583" s="35" t="str">
        <f t="shared" si="849"/>
        <v>PRB'!</v>
      </c>
      <c r="F3583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83" s="32" t="s">
        <v>124</v>
      </c>
      <c r="H3583" s="33">
        <f t="shared" si="852"/>
        <v>21</v>
      </c>
      <c r="I3583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ECP\Cantagallo\Cristalina\[CRISTALINA_CF_SEC_New_09-Feb-2024.xlsx]D-PRB'!$BE$21</v>
      </c>
      <c r="J3583" s="37" t="s">
        <v>1729</v>
      </c>
    </row>
    <row r="3584" spans="1:10" x14ac:dyDescent="0.35">
      <c r="A3584" s="32" t="s">
        <v>20</v>
      </c>
      <c r="B3584" s="32">
        <f t="shared" si="853"/>
        <v>2033</v>
      </c>
      <c r="C3584" s="33" t="s">
        <v>28</v>
      </c>
      <c r="D3584" s="34" t="s">
        <v>128</v>
      </c>
      <c r="E3584" s="35" t="str">
        <f t="shared" si="849"/>
        <v>PRB'!</v>
      </c>
      <c r="F3584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84" s="32" t="s">
        <v>124</v>
      </c>
      <c r="H3584" s="33">
        <f t="shared" si="852"/>
        <v>22</v>
      </c>
      <c r="I3584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ECP\Cantagallo\Cristalina\[CRISTALINA_CF_SEC_New_09-Feb-2024.xlsx]D-PRB'!$BE$22</v>
      </c>
      <c r="J3584" s="37" t="s">
        <v>1730</v>
      </c>
    </row>
    <row r="3585" spans="1:10" x14ac:dyDescent="0.35">
      <c r="A3585" s="32" t="s">
        <v>20</v>
      </c>
      <c r="B3585" s="32">
        <f t="shared" si="853"/>
        <v>2034</v>
      </c>
      <c r="C3585" s="33" t="s">
        <v>28</v>
      </c>
      <c r="D3585" s="34" t="s">
        <v>128</v>
      </c>
      <c r="E3585" s="35" t="str">
        <f t="shared" si="849"/>
        <v>PRB'!</v>
      </c>
      <c r="F3585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85" s="32" t="s">
        <v>124</v>
      </c>
      <c r="H3585" s="33">
        <f t="shared" si="852"/>
        <v>23</v>
      </c>
      <c r="I3585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ECP\Cantagallo\Cristalina\[CRISTALINA_CF_SEC_New_09-Feb-2024.xlsx]D-PRB'!$BE$23</v>
      </c>
      <c r="J3585" s="37" t="s">
        <v>1731</v>
      </c>
    </row>
    <row r="3586" spans="1:10" x14ac:dyDescent="0.35">
      <c r="A3586" s="32" t="s">
        <v>20</v>
      </c>
      <c r="B3586" s="32">
        <f t="shared" si="853"/>
        <v>2035</v>
      </c>
      <c r="C3586" s="33" t="s">
        <v>28</v>
      </c>
      <c r="D3586" s="34" t="s">
        <v>128</v>
      </c>
      <c r="E3586" s="35" t="str">
        <f t="shared" si="849"/>
        <v>PRB'!</v>
      </c>
      <c r="F3586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86" s="32" t="s">
        <v>124</v>
      </c>
      <c r="H3586" s="33">
        <f t="shared" si="852"/>
        <v>24</v>
      </c>
      <c r="I3586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ECP\Cantagallo\Cristalina\[CRISTALINA_CF_SEC_New_09-Feb-2024.xlsx]D-PRB'!$BE$24</v>
      </c>
      <c r="J3586" s="37" t="s">
        <v>1732</v>
      </c>
    </row>
    <row r="3587" spans="1:10" x14ac:dyDescent="0.35">
      <c r="A3587" s="32" t="s">
        <v>20</v>
      </c>
      <c r="B3587" s="32">
        <f t="shared" si="853"/>
        <v>2036</v>
      </c>
      <c r="C3587" s="33" t="s">
        <v>28</v>
      </c>
      <c r="D3587" s="34" t="s">
        <v>128</v>
      </c>
      <c r="E3587" s="35" t="str">
        <f t="shared" si="849"/>
        <v>PRB'!</v>
      </c>
      <c r="F3587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87" s="32" t="s">
        <v>124</v>
      </c>
      <c r="H3587" s="33">
        <f t="shared" si="852"/>
        <v>25</v>
      </c>
      <c r="I3587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ECP\Cantagallo\Cristalina\[CRISTALINA_CF_SEC_New_09-Feb-2024.xlsx]D-PRB'!$BE$25</v>
      </c>
      <c r="J3587" s="37" t="s">
        <v>1733</v>
      </c>
    </row>
    <row r="3588" spans="1:10" x14ac:dyDescent="0.35">
      <c r="A3588" s="32" t="s">
        <v>20</v>
      </c>
      <c r="B3588" s="32">
        <f>+B3587+1</f>
        <v>2037</v>
      </c>
      <c r="C3588" s="33" t="s">
        <v>28</v>
      </c>
      <c r="D3588" s="34" t="s">
        <v>128</v>
      </c>
      <c r="E3588" s="35" t="str">
        <f t="shared" si="849"/>
        <v>PRB'!</v>
      </c>
      <c r="F3588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88" s="32" t="s">
        <v>124</v>
      </c>
      <c r="H3588" s="33">
        <f t="shared" si="852"/>
        <v>26</v>
      </c>
      <c r="I3588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ECP\Cantagallo\Cristalina\[CRISTALINA_CF_SEC_New_09-Feb-2024.xlsx]D-PRB'!$BE$26</v>
      </c>
      <c r="J3588" s="37" t="s">
        <v>1734</v>
      </c>
    </row>
    <row r="3589" spans="1:10" x14ac:dyDescent="0.35">
      <c r="A3589" s="32" t="s">
        <v>20</v>
      </c>
      <c r="B3589" s="32">
        <f t="shared" ref="B3589:B3591" si="854">+B3588+1</f>
        <v>2038</v>
      </c>
      <c r="C3589" s="33" t="s">
        <v>28</v>
      </c>
      <c r="D3589" s="34" t="s">
        <v>128</v>
      </c>
      <c r="E3589" s="35" t="str">
        <f t="shared" si="849"/>
        <v>PRB'!</v>
      </c>
      <c r="F3589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89" s="32" t="s">
        <v>124</v>
      </c>
      <c r="H3589" s="33">
        <f t="shared" si="852"/>
        <v>27</v>
      </c>
      <c r="I3589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ECP\Cantagallo\Cristalina\[CRISTALINA_CF_SEC_New_09-Feb-2024.xlsx]D-PRB'!$BE$27</v>
      </c>
      <c r="J3589" s="37" t="s">
        <v>1735</v>
      </c>
    </row>
    <row r="3590" spans="1:10" x14ac:dyDescent="0.35">
      <c r="A3590" s="32" t="s">
        <v>20</v>
      </c>
      <c r="B3590" s="32">
        <f t="shared" si="854"/>
        <v>2039</v>
      </c>
      <c r="C3590" s="33" t="s">
        <v>28</v>
      </c>
      <c r="D3590" s="34" t="s">
        <v>128</v>
      </c>
      <c r="E3590" s="35" t="str">
        <f t="shared" si="849"/>
        <v>PRB'!</v>
      </c>
      <c r="F3590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90" s="32" t="s">
        <v>124</v>
      </c>
      <c r="H3590" s="33">
        <f t="shared" si="852"/>
        <v>28</v>
      </c>
      <c r="I3590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ECP\Cantagallo\Cristalina\[CRISTALINA_CF_SEC_New_09-Feb-2024.xlsx]D-PRB'!$BE$28</v>
      </c>
      <c r="J3590" s="37" t="s">
        <v>1736</v>
      </c>
    </row>
    <row r="3591" spans="1:10" x14ac:dyDescent="0.35">
      <c r="A3591" s="32" t="s">
        <v>20</v>
      </c>
      <c r="B3591" s="32">
        <f t="shared" si="854"/>
        <v>2040</v>
      </c>
      <c r="C3591" s="33" t="s">
        <v>28</v>
      </c>
      <c r="D3591" s="34" t="s">
        <v>128</v>
      </c>
      <c r="E3591" s="35" t="str">
        <f t="shared" si="849"/>
        <v>PRB'!</v>
      </c>
      <c r="F3591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91" s="32" t="s">
        <v>124</v>
      </c>
      <c r="H3591" s="33">
        <f t="shared" si="852"/>
        <v>29</v>
      </c>
      <c r="I3591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ECP\Cantagallo\Cristalina\[CRISTALINA_CF_SEC_New_09-Feb-2024.xlsx]D-PRB'!$BE$29</v>
      </c>
      <c r="J3591" s="37" t="s">
        <v>1737</v>
      </c>
    </row>
    <row r="3592" spans="1:10" x14ac:dyDescent="0.35">
      <c r="A3592" s="32" t="s">
        <v>20</v>
      </c>
      <c r="B3592" s="32">
        <f>+B3591+1</f>
        <v>2041</v>
      </c>
      <c r="C3592" s="33" t="s">
        <v>28</v>
      </c>
      <c r="D3592" s="34" t="s">
        <v>128</v>
      </c>
      <c r="E3592" s="35" t="str">
        <f t="shared" si="849"/>
        <v>PRB'!</v>
      </c>
      <c r="F3592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92" s="32" t="s">
        <v>124</v>
      </c>
      <c r="H3592" s="33">
        <f t="shared" si="852"/>
        <v>30</v>
      </c>
      <c r="I3592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ECP\Cantagallo\Cristalina\[CRISTALINA_CF_SEC_New_09-Feb-2024.xlsx]D-PRB'!$BE$30</v>
      </c>
      <c r="J3592" s="37" t="s">
        <v>1738</v>
      </c>
    </row>
    <row r="3593" spans="1:10" x14ac:dyDescent="0.35">
      <c r="A3593" s="32" t="s">
        <v>20</v>
      </c>
      <c r="B3593" s="32">
        <f t="shared" ref="B3593:B3594" si="855">+B3592+1</f>
        <v>2042</v>
      </c>
      <c r="C3593" s="33" t="s">
        <v>28</v>
      </c>
      <c r="D3593" s="34" t="s">
        <v>128</v>
      </c>
      <c r="E3593" s="35" t="str">
        <f t="shared" si="849"/>
        <v>PRB'!</v>
      </c>
      <c r="F3593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93" s="32" t="s">
        <v>124</v>
      </c>
      <c r="H3593" s="33">
        <f t="shared" si="852"/>
        <v>31</v>
      </c>
      <c r="I3593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ECP\Cantagallo\Cristalina\[CRISTALINA_CF_SEC_New_09-Feb-2024.xlsx]D-PRB'!$BE$31</v>
      </c>
      <c r="J3593" s="37" t="s">
        <v>1739</v>
      </c>
    </row>
    <row r="3594" spans="1:10" x14ac:dyDescent="0.35">
      <c r="A3594" s="32" t="s">
        <v>20</v>
      </c>
      <c r="B3594" s="32">
        <f t="shared" si="855"/>
        <v>2043</v>
      </c>
      <c r="C3594" s="33" t="s">
        <v>28</v>
      </c>
      <c r="D3594" s="34" t="s">
        <v>128</v>
      </c>
      <c r="E3594" s="35" t="str">
        <f t="shared" si="849"/>
        <v>PRB'!</v>
      </c>
      <c r="F3594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94" s="32" t="s">
        <v>124</v>
      </c>
      <c r="H3594" s="33">
        <f t="shared" si="852"/>
        <v>32</v>
      </c>
      <c r="I3594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ECP\Cantagallo\Cristalina\[CRISTALINA_CF_SEC_New_09-Feb-2024.xlsx]D-PRB'!$BE$32</v>
      </c>
      <c r="J3594" s="37" t="s">
        <v>1740</v>
      </c>
    </row>
    <row r="3595" spans="1:10" x14ac:dyDescent="0.35">
      <c r="A3595" s="32" t="s">
        <v>20</v>
      </c>
      <c r="B3595" s="32">
        <f>+B3594+1</f>
        <v>2044</v>
      </c>
      <c r="C3595" s="33" t="s">
        <v>28</v>
      </c>
      <c r="D3595" s="34" t="s">
        <v>128</v>
      </c>
      <c r="E3595" s="35" t="str">
        <f t="shared" ref="E3595:E3610" si="856">_xlfn.CONCAT(A3595,"'!")</f>
        <v>PRB'!</v>
      </c>
      <c r="F3595" s="34" t="str">
        <f t="shared" ref="F3595:F3610" si="857">_xlfn.CONCAT(D3595:E3595)</f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95" s="32" t="s">
        <v>124</v>
      </c>
      <c r="H3595" s="33">
        <f t="shared" ref="H3595:H3610" si="858">IF(A3595&lt;&gt;A3594,36,H3594+1)</f>
        <v>33</v>
      </c>
      <c r="I3595" s="33" t="str">
        <f t="shared" ref="I3595:I3610" si="859">_xlfn.CONCAT("='",F3595:H3595)</f>
        <v>='C:\Users\jaime.benazar\Quorum Business Solutions\Ecopetrol Prometeo - Documents\Planning Space Implementation\3. Analysis &amp; Design\Design\FC22\DRR Jaime\Por presentar a ECP\Cantagallo\Cristalina\[CRISTALINA_CF_SEC_New_09-Feb-2024.xlsx]D-PRB'!$BE$33</v>
      </c>
      <c r="J3595" s="37" t="s">
        <v>1741</v>
      </c>
    </row>
    <row r="3596" spans="1:10" x14ac:dyDescent="0.35">
      <c r="A3596" s="32" t="s">
        <v>20</v>
      </c>
      <c r="B3596" s="32">
        <f t="shared" ref="B3596:B3610" si="860">+B3595+1</f>
        <v>2045</v>
      </c>
      <c r="C3596" s="33" t="s">
        <v>28</v>
      </c>
      <c r="D3596" s="34" t="s">
        <v>128</v>
      </c>
      <c r="E3596" s="35" t="str">
        <f t="shared" si="856"/>
        <v>PRB'!</v>
      </c>
      <c r="F3596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96" s="32" t="s">
        <v>124</v>
      </c>
      <c r="H3596" s="33">
        <f t="shared" si="858"/>
        <v>34</v>
      </c>
      <c r="I3596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ECP\Cantagallo\Cristalina\[CRISTALINA_CF_SEC_New_09-Feb-2024.xlsx]D-PRB'!$BE$34</v>
      </c>
      <c r="J3596" s="37" t="s">
        <v>1742</v>
      </c>
    </row>
    <row r="3597" spans="1:10" x14ac:dyDescent="0.35">
      <c r="A3597" s="32" t="s">
        <v>20</v>
      </c>
      <c r="B3597" s="32">
        <f t="shared" si="860"/>
        <v>2046</v>
      </c>
      <c r="C3597" s="33" t="s">
        <v>28</v>
      </c>
      <c r="D3597" s="34" t="s">
        <v>128</v>
      </c>
      <c r="E3597" s="35" t="str">
        <f t="shared" si="856"/>
        <v>PRB'!</v>
      </c>
      <c r="F3597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97" s="32" t="s">
        <v>124</v>
      </c>
      <c r="H3597" s="33">
        <f t="shared" si="858"/>
        <v>35</v>
      </c>
      <c r="I3597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ECP\Cantagallo\Cristalina\[CRISTALINA_CF_SEC_New_09-Feb-2024.xlsx]D-PRB'!$BE$35</v>
      </c>
      <c r="J3597" s="37" t="s">
        <v>1743</v>
      </c>
    </row>
    <row r="3598" spans="1:10" x14ac:dyDescent="0.35">
      <c r="A3598" s="32" t="s">
        <v>20</v>
      </c>
      <c r="B3598" s="32">
        <f t="shared" si="860"/>
        <v>2047</v>
      </c>
      <c r="C3598" s="33" t="s">
        <v>28</v>
      </c>
      <c r="D3598" s="34" t="s">
        <v>128</v>
      </c>
      <c r="E3598" s="35" t="str">
        <f t="shared" si="856"/>
        <v>PRB'!</v>
      </c>
      <c r="F3598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98" s="32" t="s">
        <v>124</v>
      </c>
      <c r="H3598" s="33">
        <f t="shared" si="858"/>
        <v>36</v>
      </c>
      <c r="I3598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ECP\Cantagallo\Cristalina\[CRISTALINA_CF_SEC_New_09-Feb-2024.xlsx]D-PRB'!$BE$36</v>
      </c>
      <c r="J3598" s="37" t="s">
        <v>1744</v>
      </c>
    </row>
    <row r="3599" spans="1:10" x14ac:dyDescent="0.35">
      <c r="A3599" s="32" t="s">
        <v>20</v>
      </c>
      <c r="B3599" s="32">
        <f t="shared" si="860"/>
        <v>2048</v>
      </c>
      <c r="C3599" s="33" t="s">
        <v>28</v>
      </c>
      <c r="D3599" s="34" t="s">
        <v>128</v>
      </c>
      <c r="E3599" s="35" t="str">
        <f t="shared" si="856"/>
        <v>PRB'!</v>
      </c>
      <c r="F3599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99" s="32" t="s">
        <v>124</v>
      </c>
      <c r="H3599" s="33">
        <f t="shared" si="858"/>
        <v>37</v>
      </c>
      <c r="I3599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ECP\Cantagallo\Cristalina\[CRISTALINA_CF_SEC_New_09-Feb-2024.xlsx]D-PRB'!$BE$37</v>
      </c>
      <c r="J3599" s="37" t="s">
        <v>1745</v>
      </c>
    </row>
    <row r="3600" spans="1:10" x14ac:dyDescent="0.35">
      <c r="A3600" s="32" t="s">
        <v>20</v>
      </c>
      <c r="B3600" s="32">
        <f t="shared" si="860"/>
        <v>2049</v>
      </c>
      <c r="C3600" s="33" t="s">
        <v>28</v>
      </c>
      <c r="D3600" s="34" t="s">
        <v>128</v>
      </c>
      <c r="E3600" s="35" t="str">
        <f t="shared" si="856"/>
        <v>PRB'!</v>
      </c>
      <c r="F3600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600" s="32" t="s">
        <v>124</v>
      </c>
      <c r="H3600" s="33">
        <f t="shared" si="858"/>
        <v>38</v>
      </c>
      <c r="I3600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ECP\Cantagallo\Cristalina\[CRISTALINA_CF_SEC_New_09-Feb-2024.xlsx]D-PRB'!$BE$38</v>
      </c>
      <c r="J3600" s="37" t="s">
        <v>1746</v>
      </c>
    </row>
    <row r="3601" spans="1:10" x14ac:dyDescent="0.35">
      <c r="A3601" s="32" t="s">
        <v>20</v>
      </c>
      <c r="B3601" s="32">
        <f t="shared" si="860"/>
        <v>2050</v>
      </c>
      <c r="C3601" s="33" t="s">
        <v>28</v>
      </c>
      <c r="D3601" s="34" t="s">
        <v>128</v>
      </c>
      <c r="E3601" s="35" t="str">
        <f t="shared" si="856"/>
        <v>PRB'!</v>
      </c>
      <c r="F3601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601" s="32" t="s">
        <v>124</v>
      </c>
      <c r="H3601" s="33">
        <f t="shared" si="858"/>
        <v>39</v>
      </c>
      <c r="I3601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ECP\Cantagallo\Cristalina\[CRISTALINA_CF_SEC_New_09-Feb-2024.xlsx]D-PRB'!$BE$39</v>
      </c>
      <c r="J3601" s="37" t="s">
        <v>1747</v>
      </c>
    </row>
    <row r="3602" spans="1:10" x14ac:dyDescent="0.35">
      <c r="A3602" s="32" t="s">
        <v>20</v>
      </c>
      <c r="B3602" s="32">
        <f t="shared" si="860"/>
        <v>2051</v>
      </c>
      <c r="C3602" s="33" t="s">
        <v>28</v>
      </c>
      <c r="D3602" s="34" t="s">
        <v>128</v>
      </c>
      <c r="E3602" s="35" t="str">
        <f t="shared" si="856"/>
        <v>PRB'!</v>
      </c>
      <c r="F3602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602" s="32" t="s">
        <v>124</v>
      </c>
      <c r="H3602" s="33">
        <f t="shared" si="858"/>
        <v>40</v>
      </c>
      <c r="I3602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ECP\Cantagallo\Cristalina\[CRISTALINA_CF_SEC_New_09-Feb-2024.xlsx]D-PRB'!$BE$40</v>
      </c>
      <c r="J3602" s="37" t="s">
        <v>1748</v>
      </c>
    </row>
    <row r="3603" spans="1:10" x14ac:dyDescent="0.35">
      <c r="A3603" s="32" t="s">
        <v>20</v>
      </c>
      <c r="B3603" s="32">
        <f t="shared" si="860"/>
        <v>2052</v>
      </c>
      <c r="C3603" s="33" t="s">
        <v>28</v>
      </c>
      <c r="D3603" s="34" t="s">
        <v>128</v>
      </c>
      <c r="E3603" s="35" t="str">
        <f t="shared" si="856"/>
        <v>PRB'!</v>
      </c>
      <c r="F3603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603" s="32" t="s">
        <v>124</v>
      </c>
      <c r="H3603" s="33">
        <f t="shared" si="858"/>
        <v>41</v>
      </c>
      <c r="I3603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ECP\Cantagallo\Cristalina\[CRISTALINA_CF_SEC_New_09-Feb-2024.xlsx]D-PRB'!$BE$41</v>
      </c>
      <c r="J3603" s="37" t="s">
        <v>1749</v>
      </c>
    </row>
    <row r="3604" spans="1:10" x14ac:dyDescent="0.35">
      <c r="A3604" s="32" t="s">
        <v>20</v>
      </c>
      <c r="B3604" s="32">
        <f t="shared" si="860"/>
        <v>2053</v>
      </c>
      <c r="C3604" s="33" t="s">
        <v>28</v>
      </c>
      <c r="D3604" s="34" t="s">
        <v>128</v>
      </c>
      <c r="E3604" s="35" t="str">
        <f t="shared" si="856"/>
        <v>PRB'!</v>
      </c>
      <c r="F3604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604" s="32" t="s">
        <v>124</v>
      </c>
      <c r="H3604" s="33">
        <f t="shared" si="858"/>
        <v>42</v>
      </c>
      <c r="I3604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ECP\Cantagallo\Cristalina\[CRISTALINA_CF_SEC_New_09-Feb-2024.xlsx]D-PRB'!$BE$42</v>
      </c>
      <c r="J3604" s="37" t="s">
        <v>1750</v>
      </c>
    </row>
    <row r="3605" spans="1:10" x14ac:dyDescent="0.35">
      <c r="A3605" s="32" t="s">
        <v>20</v>
      </c>
      <c r="B3605" s="32">
        <f t="shared" si="860"/>
        <v>2054</v>
      </c>
      <c r="C3605" s="33" t="s">
        <v>28</v>
      </c>
      <c r="D3605" s="34" t="s">
        <v>128</v>
      </c>
      <c r="E3605" s="35" t="str">
        <f t="shared" si="856"/>
        <v>PRB'!</v>
      </c>
      <c r="F3605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605" s="32" t="s">
        <v>124</v>
      </c>
      <c r="H3605" s="33">
        <f t="shared" si="858"/>
        <v>43</v>
      </c>
      <c r="I3605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ECP\Cantagallo\Cristalina\[CRISTALINA_CF_SEC_New_09-Feb-2024.xlsx]D-PRB'!$BE$43</v>
      </c>
      <c r="J3605" s="37" t="s">
        <v>1751</v>
      </c>
    </row>
    <row r="3606" spans="1:10" x14ac:dyDescent="0.35">
      <c r="A3606" s="32" t="s">
        <v>20</v>
      </c>
      <c r="B3606" s="32">
        <f t="shared" si="860"/>
        <v>2055</v>
      </c>
      <c r="C3606" s="33" t="s">
        <v>28</v>
      </c>
      <c r="D3606" s="34" t="s">
        <v>128</v>
      </c>
      <c r="E3606" s="35" t="str">
        <f t="shared" si="856"/>
        <v>PRB'!</v>
      </c>
      <c r="F3606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606" s="32" t="s">
        <v>124</v>
      </c>
      <c r="H3606" s="33">
        <f t="shared" si="858"/>
        <v>44</v>
      </c>
      <c r="I3606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ECP\Cantagallo\Cristalina\[CRISTALINA_CF_SEC_New_09-Feb-2024.xlsx]D-PRB'!$BE$44</v>
      </c>
      <c r="J3606" s="37" t="s">
        <v>1752</v>
      </c>
    </row>
    <row r="3607" spans="1:10" x14ac:dyDescent="0.35">
      <c r="A3607" s="32" t="s">
        <v>20</v>
      </c>
      <c r="B3607" s="32">
        <f t="shared" si="860"/>
        <v>2056</v>
      </c>
      <c r="C3607" s="33" t="s">
        <v>28</v>
      </c>
      <c r="D3607" s="34" t="s">
        <v>128</v>
      </c>
      <c r="E3607" s="35" t="str">
        <f t="shared" si="856"/>
        <v>PRB'!</v>
      </c>
      <c r="F3607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607" s="32" t="s">
        <v>124</v>
      </c>
      <c r="H3607" s="33">
        <f t="shared" si="858"/>
        <v>45</v>
      </c>
      <c r="I3607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ECP\Cantagallo\Cristalina\[CRISTALINA_CF_SEC_New_09-Feb-2024.xlsx]D-PRB'!$BE$45</v>
      </c>
      <c r="J3607" s="37" t="s">
        <v>1753</v>
      </c>
    </row>
    <row r="3608" spans="1:10" x14ac:dyDescent="0.35">
      <c r="A3608" s="32" t="s">
        <v>20</v>
      </c>
      <c r="B3608" s="32">
        <f t="shared" si="860"/>
        <v>2057</v>
      </c>
      <c r="C3608" s="33" t="s">
        <v>28</v>
      </c>
      <c r="D3608" s="34" t="s">
        <v>128</v>
      </c>
      <c r="E3608" s="35" t="str">
        <f t="shared" si="856"/>
        <v>PRB'!</v>
      </c>
      <c r="F3608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608" s="32" t="s">
        <v>124</v>
      </c>
      <c r="H3608" s="33">
        <f t="shared" si="858"/>
        <v>46</v>
      </c>
      <c r="I3608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ECP\Cantagallo\Cristalina\[CRISTALINA_CF_SEC_New_09-Feb-2024.xlsx]D-PRB'!$BE$46</v>
      </c>
      <c r="J3608" s="37" t="s">
        <v>1754</v>
      </c>
    </row>
    <row r="3609" spans="1:10" x14ac:dyDescent="0.35">
      <c r="A3609" s="32" t="s">
        <v>20</v>
      </c>
      <c r="B3609" s="32">
        <f t="shared" si="860"/>
        <v>2058</v>
      </c>
      <c r="C3609" s="33" t="s">
        <v>28</v>
      </c>
      <c r="D3609" s="34" t="s">
        <v>128</v>
      </c>
      <c r="E3609" s="35" t="str">
        <f t="shared" si="856"/>
        <v>PRB'!</v>
      </c>
      <c r="F3609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609" s="32" t="s">
        <v>124</v>
      </c>
      <c r="H3609" s="33">
        <f t="shared" si="858"/>
        <v>47</v>
      </c>
      <c r="I3609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ECP\Cantagallo\Cristalina\[CRISTALINA_CF_SEC_New_09-Feb-2024.xlsx]D-PRB'!$BE$47</v>
      </c>
      <c r="J3609" s="37" t="s">
        <v>1755</v>
      </c>
    </row>
    <row r="3610" spans="1:10" x14ac:dyDescent="0.35">
      <c r="A3610" s="32" t="s">
        <v>20</v>
      </c>
      <c r="B3610" s="32">
        <f t="shared" si="860"/>
        <v>2059</v>
      </c>
      <c r="C3610" s="33" t="s">
        <v>28</v>
      </c>
      <c r="D3610" s="34" t="s">
        <v>128</v>
      </c>
      <c r="E3610" s="35" t="str">
        <f t="shared" si="856"/>
        <v>PRB'!</v>
      </c>
      <c r="F3610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610" s="32" t="s">
        <v>124</v>
      </c>
      <c r="H3610" s="33">
        <f t="shared" si="858"/>
        <v>48</v>
      </c>
      <c r="I3610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ECP\Cantagallo\Cristalina\[CRISTALINA_CF_SEC_New_09-Feb-2024.xlsx]D-PRB'!$BE$48</v>
      </c>
      <c r="J3610" s="37" t="s">
        <v>1756</v>
      </c>
    </row>
    <row r="3611" spans="1:10" x14ac:dyDescent="0.35">
      <c r="A3611" s="32" t="s">
        <v>26</v>
      </c>
      <c r="B3611" s="32"/>
      <c r="C3611" s="33" t="s">
        <v>28</v>
      </c>
      <c r="D3611" s="34"/>
      <c r="E3611" s="35"/>
      <c r="F3611" s="34"/>
      <c r="G3611" s="32"/>
      <c r="H3611" s="33"/>
      <c r="I3611" s="33"/>
      <c r="J3611" s="33"/>
    </row>
    <row r="3612" spans="1:10" x14ac:dyDescent="0.35">
      <c r="A3612" s="32" t="s">
        <v>21</v>
      </c>
      <c r="B3612" s="32">
        <v>2023</v>
      </c>
      <c r="C3612" s="33" t="s">
        <v>28</v>
      </c>
      <c r="D3612" s="34" t="s">
        <v>128</v>
      </c>
      <c r="E3612" s="35" t="str">
        <f t="shared" ref="E3612:E3632" si="861">_xlfn.CONCAT(A3612,"'!")</f>
        <v>PSDP'!</v>
      </c>
      <c r="F3612" s="34" t="str">
        <f t="shared" ref="F3612:F3632" si="862">_xlfn.CONCAT(D3612:E3612)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12" s="32" t="s">
        <v>124</v>
      </c>
      <c r="H3612" s="33"/>
      <c r="I3612" s="33"/>
      <c r="J3612" s="37"/>
    </row>
    <row r="3613" spans="1:10" x14ac:dyDescent="0.35">
      <c r="A3613" s="32" t="s">
        <v>21</v>
      </c>
      <c r="B3613" s="32">
        <f>+B3612+1</f>
        <v>2024</v>
      </c>
      <c r="C3613" s="33" t="s">
        <v>28</v>
      </c>
      <c r="D3613" s="34" t="s">
        <v>128</v>
      </c>
      <c r="E3613" s="35" t="str">
        <f t="shared" si="861"/>
        <v>PSDP'!</v>
      </c>
      <c r="F3613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13" s="32" t="s">
        <v>124</v>
      </c>
      <c r="H3613" s="33"/>
      <c r="I3613" s="33"/>
      <c r="J3613" s="37"/>
    </row>
    <row r="3614" spans="1:10" x14ac:dyDescent="0.35">
      <c r="A3614" s="32" t="s">
        <v>21</v>
      </c>
      <c r="B3614" s="32">
        <f t="shared" ref="B3614:B3625" si="863">+B3613+1</f>
        <v>2025</v>
      </c>
      <c r="C3614" s="33" t="s">
        <v>28</v>
      </c>
      <c r="D3614" s="34" t="s">
        <v>128</v>
      </c>
      <c r="E3614" s="35" t="str">
        <f t="shared" si="861"/>
        <v>PSDP'!</v>
      </c>
      <c r="F3614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14" s="32" t="s">
        <v>124</v>
      </c>
      <c r="H3614" s="33"/>
      <c r="I3614" s="33"/>
      <c r="J3614" s="37"/>
    </row>
    <row r="3615" spans="1:10" x14ac:dyDescent="0.35">
      <c r="A3615" s="32" t="s">
        <v>21</v>
      </c>
      <c r="B3615" s="32">
        <f t="shared" si="863"/>
        <v>2026</v>
      </c>
      <c r="C3615" s="33" t="s">
        <v>28</v>
      </c>
      <c r="D3615" s="34" t="s">
        <v>128</v>
      </c>
      <c r="E3615" s="35" t="str">
        <f t="shared" si="861"/>
        <v>PSDP'!</v>
      </c>
      <c r="F3615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15" s="32" t="s">
        <v>124</v>
      </c>
      <c r="H3615" s="33"/>
      <c r="I3615" s="33"/>
      <c r="J3615" s="37"/>
    </row>
    <row r="3616" spans="1:10" x14ac:dyDescent="0.35">
      <c r="A3616" s="32" t="s">
        <v>21</v>
      </c>
      <c r="B3616" s="32">
        <f t="shared" si="863"/>
        <v>2027</v>
      </c>
      <c r="C3616" s="33" t="s">
        <v>28</v>
      </c>
      <c r="D3616" s="34" t="s">
        <v>128</v>
      </c>
      <c r="E3616" s="35" t="str">
        <f t="shared" si="861"/>
        <v>PSDP'!</v>
      </c>
      <c r="F3616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16" s="32" t="s">
        <v>124</v>
      </c>
      <c r="H3616" s="33"/>
      <c r="I3616" s="33"/>
      <c r="J3616" s="37"/>
    </row>
    <row r="3617" spans="1:10" x14ac:dyDescent="0.35">
      <c r="A3617" s="32" t="s">
        <v>21</v>
      </c>
      <c r="B3617" s="32">
        <f t="shared" si="863"/>
        <v>2028</v>
      </c>
      <c r="C3617" s="33" t="s">
        <v>28</v>
      </c>
      <c r="D3617" s="34" t="s">
        <v>128</v>
      </c>
      <c r="E3617" s="35" t="str">
        <f t="shared" si="861"/>
        <v>PSDP'!</v>
      </c>
      <c r="F3617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17" s="32" t="s">
        <v>124</v>
      </c>
      <c r="H3617" s="33"/>
      <c r="I3617" s="33"/>
      <c r="J3617" s="37"/>
    </row>
    <row r="3618" spans="1:10" x14ac:dyDescent="0.35">
      <c r="A3618" s="32" t="s">
        <v>21</v>
      </c>
      <c r="B3618" s="32">
        <f t="shared" si="863"/>
        <v>2029</v>
      </c>
      <c r="C3618" s="33" t="s">
        <v>28</v>
      </c>
      <c r="D3618" s="34" t="s">
        <v>128</v>
      </c>
      <c r="E3618" s="35" t="str">
        <f t="shared" si="861"/>
        <v>PSDP'!</v>
      </c>
      <c r="F3618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18" s="32" t="s">
        <v>124</v>
      </c>
      <c r="H3618" s="33"/>
      <c r="I3618" s="33"/>
      <c r="J3618" s="37"/>
    </row>
    <row r="3619" spans="1:10" x14ac:dyDescent="0.35">
      <c r="A3619" s="32" t="s">
        <v>21</v>
      </c>
      <c r="B3619" s="32">
        <f t="shared" si="863"/>
        <v>2030</v>
      </c>
      <c r="C3619" s="33" t="s">
        <v>28</v>
      </c>
      <c r="D3619" s="34" t="s">
        <v>128</v>
      </c>
      <c r="E3619" s="35" t="str">
        <f t="shared" si="861"/>
        <v>PSDP'!</v>
      </c>
      <c r="F3619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19" s="32" t="s">
        <v>124</v>
      </c>
      <c r="H3619" s="33"/>
      <c r="I3619" s="33"/>
      <c r="J3619" s="37"/>
    </row>
    <row r="3620" spans="1:10" x14ac:dyDescent="0.35">
      <c r="A3620" s="32" t="s">
        <v>21</v>
      </c>
      <c r="B3620" s="32">
        <f t="shared" si="863"/>
        <v>2031</v>
      </c>
      <c r="C3620" s="33" t="s">
        <v>28</v>
      </c>
      <c r="D3620" s="34" t="s">
        <v>128</v>
      </c>
      <c r="E3620" s="35" t="str">
        <f t="shared" si="861"/>
        <v>PSDP'!</v>
      </c>
      <c r="F3620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20" s="32" t="s">
        <v>124</v>
      </c>
      <c r="H3620" s="33"/>
      <c r="I3620" s="33"/>
      <c r="J3620" s="37"/>
    </row>
    <row r="3621" spans="1:10" x14ac:dyDescent="0.35">
      <c r="A3621" s="32" t="s">
        <v>21</v>
      </c>
      <c r="B3621" s="32">
        <f t="shared" si="863"/>
        <v>2032</v>
      </c>
      <c r="C3621" s="33" t="s">
        <v>28</v>
      </c>
      <c r="D3621" s="34" t="s">
        <v>128</v>
      </c>
      <c r="E3621" s="35" t="str">
        <f t="shared" si="861"/>
        <v>PSDP'!</v>
      </c>
      <c r="F3621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21" s="32" t="s">
        <v>124</v>
      </c>
      <c r="H3621" s="33"/>
      <c r="I3621" s="33"/>
      <c r="J3621" s="37"/>
    </row>
    <row r="3622" spans="1:10" x14ac:dyDescent="0.35">
      <c r="A3622" s="32" t="s">
        <v>21</v>
      </c>
      <c r="B3622" s="32">
        <f t="shared" si="863"/>
        <v>2033</v>
      </c>
      <c r="C3622" s="33" t="s">
        <v>28</v>
      </c>
      <c r="D3622" s="34" t="s">
        <v>128</v>
      </c>
      <c r="E3622" s="35" t="str">
        <f t="shared" si="861"/>
        <v>PSDP'!</v>
      </c>
      <c r="F3622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22" s="32" t="s">
        <v>124</v>
      </c>
      <c r="H3622" s="33"/>
      <c r="I3622" s="33"/>
      <c r="J3622" s="37"/>
    </row>
    <row r="3623" spans="1:10" x14ac:dyDescent="0.35">
      <c r="A3623" s="32" t="s">
        <v>21</v>
      </c>
      <c r="B3623" s="32">
        <f t="shared" si="863"/>
        <v>2034</v>
      </c>
      <c r="C3623" s="33" t="s">
        <v>28</v>
      </c>
      <c r="D3623" s="34" t="s">
        <v>128</v>
      </c>
      <c r="E3623" s="35" t="str">
        <f t="shared" si="861"/>
        <v>PSDP'!</v>
      </c>
      <c r="F3623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23" s="32" t="s">
        <v>124</v>
      </c>
      <c r="H3623" s="33"/>
      <c r="I3623" s="33"/>
      <c r="J3623" s="37"/>
    </row>
    <row r="3624" spans="1:10" x14ac:dyDescent="0.35">
      <c r="A3624" s="32" t="s">
        <v>21</v>
      </c>
      <c r="B3624" s="32">
        <f t="shared" si="863"/>
        <v>2035</v>
      </c>
      <c r="C3624" s="33" t="s">
        <v>28</v>
      </c>
      <c r="D3624" s="34" t="s">
        <v>128</v>
      </c>
      <c r="E3624" s="35" t="str">
        <f t="shared" si="861"/>
        <v>PSDP'!</v>
      </c>
      <c r="F3624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24" s="32" t="s">
        <v>124</v>
      </c>
      <c r="H3624" s="33"/>
      <c r="I3624" s="33"/>
      <c r="J3624" s="37"/>
    </row>
    <row r="3625" spans="1:10" x14ac:dyDescent="0.35">
      <c r="A3625" s="32" t="s">
        <v>21</v>
      </c>
      <c r="B3625" s="32">
        <f t="shared" si="863"/>
        <v>2036</v>
      </c>
      <c r="C3625" s="33" t="s">
        <v>28</v>
      </c>
      <c r="D3625" s="34" t="s">
        <v>128</v>
      </c>
      <c r="E3625" s="35" t="str">
        <f t="shared" si="861"/>
        <v>PSDP'!</v>
      </c>
      <c r="F3625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25" s="32" t="s">
        <v>124</v>
      </c>
      <c r="H3625" s="33"/>
      <c r="I3625" s="33"/>
      <c r="J3625" s="37"/>
    </row>
    <row r="3626" spans="1:10" x14ac:dyDescent="0.35">
      <c r="A3626" s="32" t="s">
        <v>21</v>
      </c>
      <c r="B3626" s="32">
        <f>+B3625+1</f>
        <v>2037</v>
      </c>
      <c r="C3626" s="33" t="s">
        <v>28</v>
      </c>
      <c r="D3626" s="34" t="s">
        <v>128</v>
      </c>
      <c r="E3626" s="35" t="str">
        <f t="shared" si="861"/>
        <v>PSDP'!</v>
      </c>
      <c r="F3626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26" s="32" t="s">
        <v>124</v>
      </c>
      <c r="H3626" s="33"/>
      <c r="I3626" s="33"/>
      <c r="J3626" s="37"/>
    </row>
    <row r="3627" spans="1:10" x14ac:dyDescent="0.35">
      <c r="A3627" s="32" t="s">
        <v>21</v>
      </c>
      <c r="B3627" s="32">
        <f t="shared" ref="B3627:B3629" si="864">+B3626+1</f>
        <v>2038</v>
      </c>
      <c r="C3627" s="33" t="s">
        <v>28</v>
      </c>
      <c r="D3627" s="34" t="s">
        <v>128</v>
      </c>
      <c r="E3627" s="35" t="str">
        <f t="shared" si="861"/>
        <v>PSDP'!</v>
      </c>
      <c r="F3627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27" s="32" t="s">
        <v>124</v>
      </c>
      <c r="H3627" s="33"/>
      <c r="I3627" s="33"/>
      <c r="J3627" s="37"/>
    </row>
    <row r="3628" spans="1:10" x14ac:dyDescent="0.35">
      <c r="A3628" s="32" t="s">
        <v>21</v>
      </c>
      <c r="B3628" s="32">
        <f t="shared" si="864"/>
        <v>2039</v>
      </c>
      <c r="C3628" s="33" t="s">
        <v>28</v>
      </c>
      <c r="D3628" s="34" t="s">
        <v>128</v>
      </c>
      <c r="E3628" s="35" t="str">
        <f t="shared" si="861"/>
        <v>PSDP'!</v>
      </c>
      <c r="F3628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28" s="32" t="s">
        <v>124</v>
      </c>
      <c r="H3628" s="33"/>
      <c r="I3628" s="33"/>
      <c r="J3628" s="37"/>
    </row>
    <row r="3629" spans="1:10" x14ac:dyDescent="0.35">
      <c r="A3629" s="32" t="s">
        <v>21</v>
      </c>
      <c r="B3629" s="32">
        <f t="shared" si="864"/>
        <v>2040</v>
      </c>
      <c r="C3629" s="33" t="s">
        <v>28</v>
      </c>
      <c r="D3629" s="34" t="s">
        <v>128</v>
      </c>
      <c r="E3629" s="35" t="str">
        <f t="shared" si="861"/>
        <v>PSDP'!</v>
      </c>
      <c r="F3629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29" s="32" t="s">
        <v>124</v>
      </c>
      <c r="H3629" s="33"/>
      <c r="I3629" s="33"/>
      <c r="J3629" s="37"/>
    </row>
    <row r="3630" spans="1:10" x14ac:dyDescent="0.35">
      <c r="A3630" s="32" t="s">
        <v>21</v>
      </c>
      <c r="B3630" s="32">
        <f>+B3629+1</f>
        <v>2041</v>
      </c>
      <c r="C3630" s="33" t="s">
        <v>28</v>
      </c>
      <c r="D3630" s="34" t="s">
        <v>128</v>
      </c>
      <c r="E3630" s="35" t="str">
        <f t="shared" si="861"/>
        <v>PSDP'!</v>
      </c>
      <c r="F3630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30" s="32" t="s">
        <v>124</v>
      </c>
      <c r="H3630" s="33"/>
      <c r="I3630" s="33"/>
      <c r="J3630" s="37"/>
    </row>
    <row r="3631" spans="1:10" x14ac:dyDescent="0.35">
      <c r="A3631" s="32" t="s">
        <v>21</v>
      </c>
      <c r="B3631" s="32">
        <f t="shared" ref="B3631:B3632" si="865">+B3630+1</f>
        <v>2042</v>
      </c>
      <c r="C3631" s="33" t="s">
        <v>28</v>
      </c>
      <c r="D3631" s="34" t="s">
        <v>128</v>
      </c>
      <c r="E3631" s="35" t="str">
        <f t="shared" si="861"/>
        <v>PSDP'!</v>
      </c>
      <c r="F3631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31" s="32" t="s">
        <v>124</v>
      </c>
      <c r="H3631" s="33"/>
      <c r="I3631" s="33"/>
      <c r="J3631" s="37"/>
    </row>
    <row r="3632" spans="1:10" x14ac:dyDescent="0.35">
      <c r="A3632" s="32" t="s">
        <v>21</v>
      </c>
      <c r="B3632" s="32">
        <f t="shared" si="865"/>
        <v>2043</v>
      </c>
      <c r="C3632" s="33" t="s">
        <v>28</v>
      </c>
      <c r="D3632" s="34" t="s">
        <v>128</v>
      </c>
      <c r="E3632" s="35" t="str">
        <f t="shared" si="861"/>
        <v>PSDP'!</v>
      </c>
      <c r="F3632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32" s="32" t="s">
        <v>124</v>
      </c>
      <c r="H3632" s="33"/>
      <c r="I3632" s="33"/>
      <c r="J3632" s="37"/>
    </row>
    <row r="3633" spans="1:10" x14ac:dyDescent="0.35">
      <c r="A3633" s="32" t="s">
        <v>21</v>
      </c>
      <c r="B3633" s="32">
        <f>+B3632+1</f>
        <v>2044</v>
      </c>
      <c r="C3633" s="33" t="s">
        <v>28</v>
      </c>
      <c r="D3633" s="34" t="s">
        <v>128</v>
      </c>
      <c r="E3633" s="35" t="str">
        <f t="shared" ref="E3633:E3648" si="866">_xlfn.CONCAT(A3633,"'!")</f>
        <v>PSDP'!</v>
      </c>
      <c r="F3633" s="34" t="str">
        <f t="shared" ref="F3633:F3648" si="867">_xlfn.CONCAT(D3633:E3633)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33" s="32" t="s">
        <v>124</v>
      </c>
      <c r="H3633" s="33"/>
      <c r="I3633" s="33"/>
      <c r="J3633" s="37"/>
    </row>
    <row r="3634" spans="1:10" x14ac:dyDescent="0.35">
      <c r="A3634" s="32" t="s">
        <v>21</v>
      </c>
      <c r="B3634" s="32">
        <f t="shared" ref="B3634:B3648" si="868">+B3633+1</f>
        <v>2045</v>
      </c>
      <c r="C3634" s="33" t="s">
        <v>28</v>
      </c>
      <c r="D3634" s="34" t="s">
        <v>128</v>
      </c>
      <c r="E3634" s="35" t="str">
        <f t="shared" si="866"/>
        <v>PSDP'!</v>
      </c>
      <c r="F3634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34" s="32" t="s">
        <v>124</v>
      </c>
      <c r="H3634" s="33"/>
      <c r="I3634" s="33"/>
      <c r="J3634" s="37"/>
    </row>
    <row r="3635" spans="1:10" x14ac:dyDescent="0.35">
      <c r="A3635" s="32" t="s">
        <v>21</v>
      </c>
      <c r="B3635" s="32">
        <f t="shared" si="868"/>
        <v>2046</v>
      </c>
      <c r="C3635" s="33" t="s">
        <v>28</v>
      </c>
      <c r="D3635" s="34" t="s">
        <v>128</v>
      </c>
      <c r="E3635" s="35" t="str">
        <f t="shared" si="866"/>
        <v>PSDP'!</v>
      </c>
      <c r="F3635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35" s="32" t="s">
        <v>124</v>
      </c>
      <c r="H3635" s="33"/>
      <c r="I3635" s="33"/>
      <c r="J3635" s="37"/>
    </row>
    <row r="3636" spans="1:10" x14ac:dyDescent="0.35">
      <c r="A3636" s="32" t="s">
        <v>21</v>
      </c>
      <c r="B3636" s="32">
        <f t="shared" si="868"/>
        <v>2047</v>
      </c>
      <c r="C3636" s="33" t="s">
        <v>28</v>
      </c>
      <c r="D3636" s="34" t="s">
        <v>128</v>
      </c>
      <c r="E3636" s="35" t="str">
        <f t="shared" si="866"/>
        <v>PSDP'!</v>
      </c>
      <c r="F3636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36" s="32" t="s">
        <v>124</v>
      </c>
      <c r="H3636" s="33"/>
      <c r="I3636" s="33"/>
      <c r="J3636" s="37"/>
    </row>
    <row r="3637" spans="1:10" x14ac:dyDescent="0.35">
      <c r="A3637" s="32" t="s">
        <v>21</v>
      </c>
      <c r="B3637" s="32">
        <f t="shared" si="868"/>
        <v>2048</v>
      </c>
      <c r="C3637" s="33" t="s">
        <v>28</v>
      </c>
      <c r="D3637" s="34" t="s">
        <v>128</v>
      </c>
      <c r="E3637" s="35" t="str">
        <f t="shared" si="866"/>
        <v>PSDP'!</v>
      </c>
      <c r="F3637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37" s="32" t="s">
        <v>124</v>
      </c>
      <c r="H3637" s="33"/>
      <c r="I3637" s="33"/>
      <c r="J3637" s="37"/>
    </row>
    <row r="3638" spans="1:10" x14ac:dyDescent="0.35">
      <c r="A3638" s="32" t="s">
        <v>21</v>
      </c>
      <c r="B3638" s="32">
        <f t="shared" si="868"/>
        <v>2049</v>
      </c>
      <c r="C3638" s="33" t="s">
        <v>28</v>
      </c>
      <c r="D3638" s="34" t="s">
        <v>128</v>
      </c>
      <c r="E3638" s="35" t="str">
        <f t="shared" si="866"/>
        <v>PSDP'!</v>
      </c>
      <c r="F3638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38" s="32" t="s">
        <v>124</v>
      </c>
      <c r="H3638" s="33"/>
      <c r="I3638" s="33"/>
      <c r="J3638" s="37"/>
    </row>
    <row r="3639" spans="1:10" x14ac:dyDescent="0.35">
      <c r="A3639" s="32" t="s">
        <v>21</v>
      </c>
      <c r="B3639" s="32">
        <f t="shared" si="868"/>
        <v>2050</v>
      </c>
      <c r="C3639" s="33" t="s">
        <v>28</v>
      </c>
      <c r="D3639" s="34" t="s">
        <v>128</v>
      </c>
      <c r="E3639" s="35" t="str">
        <f t="shared" si="866"/>
        <v>PSDP'!</v>
      </c>
      <c r="F3639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39" s="32" t="s">
        <v>124</v>
      </c>
      <c r="H3639" s="33"/>
      <c r="I3639" s="33"/>
      <c r="J3639" s="37"/>
    </row>
    <row r="3640" spans="1:10" x14ac:dyDescent="0.35">
      <c r="A3640" s="32" t="s">
        <v>21</v>
      </c>
      <c r="B3640" s="32">
        <f t="shared" si="868"/>
        <v>2051</v>
      </c>
      <c r="C3640" s="33" t="s">
        <v>28</v>
      </c>
      <c r="D3640" s="34" t="s">
        <v>128</v>
      </c>
      <c r="E3640" s="35" t="str">
        <f t="shared" si="866"/>
        <v>PSDP'!</v>
      </c>
      <c r="F3640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40" s="32" t="s">
        <v>124</v>
      </c>
      <c r="H3640" s="33"/>
      <c r="I3640" s="33"/>
      <c r="J3640" s="37"/>
    </row>
    <row r="3641" spans="1:10" x14ac:dyDescent="0.35">
      <c r="A3641" s="32" t="s">
        <v>21</v>
      </c>
      <c r="B3641" s="32">
        <f t="shared" si="868"/>
        <v>2052</v>
      </c>
      <c r="C3641" s="33" t="s">
        <v>28</v>
      </c>
      <c r="D3641" s="34" t="s">
        <v>128</v>
      </c>
      <c r="E3641" s="35" t="str">
        <f t="shared" si="866"/>
        <v>PSDP'!</v>
      </c>
      <c r="F3641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41" s="32" t="s">
        <v>124</v>
      </c>
      <c r="H3641" s="33"/>
      <c r="I3641" s="33"/>
      <c r="J3641" s="37"/>
    </row>
    <row r="3642" spans="1:10" x14ac:dyDescent="0.35">
      <c r="A3642" s="32" t="s">
        <v>21</v>
      </c>
      <c r="B3642" s="32">
        <f t="shared" si="868"/>
        <v>2053</v>
      </c>
      <c r="C3642" s="33" t="s">
        <v>28</v>
      </c>
      <c r="D3642" s="34" t="s">
        <v>128</v>
      </c>
      <c r="E3642" s="35" t="str">
        <f t="shared" si="866"/>
        <v>PSDP'!</v>
      </c>
      <c r="F3642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42" s="32" t="s">
        <v>124</v>
      </c>
      <c r="H3642" s="33"/>
      <c r="I3642" s="33"/>
      <c r="J3642" s="37"/>
    </row>
    <row r="3643" spans="1:10" x14ac:dyDescent="0.35">
      <c r="A3643" s="32" t="s">
        <v>21</v>
      </c>
      <c r="B3643" s="32">
        <f t="shared" si="868"/>
        <v>2054</v>
      </c>
      <c r="C3643" s="33" t="s">
        <v>28</v>
      </c>
      <c r="D3643" s="34" t="s">
        <v>128</v>
      </c>
      <c r="E3643" s="35" t="str">
        <f t="shared" si="866"/>
        <v>PSDP'!</v>
      </c>
      <c r="F3643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43" s="32" t="s">
        <v>124</v>
      </c>
      <c r="H3643" s="33"/>
      <c r="I3643" s="33"/>
      <c r="J3643" s="37"/>
    </row>
    <row r="3644" spans="1:10" x14ac:dyDescent="0.35">
      <c r="A3644" s="32" t="s">
        <v>21</v>
      </c>
      <c r="B3644" s="32">
        <f t="shared" si="868"/>
        <v>2055</v>
      </c>
      <c r="C3644" s="33" t="s">
        <v>28</v>
      </c>
      <c r="D3644" s="34" t="s">
        <v>128</v>
      </c>
      <c r="E3644" s="35" t="str">
        <f t="shared" si="866"/>
        <v>PSDP'!</v>
      </c>
      <c r="F3644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44" s="32" t="s">
        <v>124</v>
      </c>
      <c r="H3644" s="33"/>
      <c r="I3644" s="33"/>
      <c r="J3644" s="37"/>
    </row>
    <row r="3645" spans="1:10" x14ac:dyDescent="0.35">
      <c r="A3645" s="32" t="s">
        <v>21</v>
      </c>
      <c r="B3645" s="32">
        <f t="shared" si="868"/>
        <v>2056</v>
      </c>
      <c r="C3645" s="33" t="s">
        <v>28</v>
      </c>
      <c r="D3645" s="34" t="s">
        <v>128</v>
      </c>
      <c r="E3645" s="35" t="str">
        <f t="shared" si="866"/>
        <v>PSDP'!</v>
      </c>
      <c r="F3645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45" s="32" t="s">
        <v>124</v>
      </c>
      <c r="H3645" s="33"/>
      <c r="I3645" s="33"/>
      <c r="J3645" s="37"/>
    </row>
    <row r="3646" spans="1:10" x14ac:dyDescent="0.35">
      <c r="A3646" s="32" t="s">
        <v>21</v>
      </c>
      <c r="B3646" s="32">
        <f t="shared" si="868"/>
        <v>2057</v>
      </c>
      <c r="C3646" s="33" t="s">
        <v>28</v>
      </c>
      <c r="D3646" s="34" t="s">
        <v>128</v>
      </c>
      <c r="E3646" s="35" t="str">
        <f t="shared" si="866"/>
        <v>PSDP'!</v>
      </c>
      <c r="F3646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46" s="32" t="s">
        <v>124</v>
      </c>
      <c r="H3646" s="33"/>
      <c r="I3646" s="33"/>
      <c r="J3646" s="37"/>
    </row>
    <row r="3647" spans="1:10" x14ac:dyDescent="0.35">
      <c r="A3647" s="32" t="s">
        <v>21</v>
      </c>
      <c r="B3647" s="32">
        <f t="shared" si="868"/>
        <v>2058</v>
      </c>
      <c r="C3647" s="33" t="s">
        <v>28</v>
      </c>
      <c r="D3647" s="34" t="s">
        <v>128</v>
      </c>
      <c r="E3647" s="35" t="str">
        <f t="shared" si="866"/>
        <v>PSDP'!</v>
      </c>
      <c r="F3647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47" s="32" t="s">
        <v>124</v>
      </c>
      <c r="H3647" s="33"/>
      <c r="I3647" s="33"/>
      <c r="J3647" s="37"/>
    </row>
    <row r="3648" spans="1:10" x14ac:dyDescent="0.35">
      <c r="A3648" s="32" t="s">
        <v>21</v>
      </c>
      <c r="B3648" s="32">
        <f t="shared" si="868"/>
        <v>2059</v>
      </c>
      <c r="C3648" s="33" t="s">
        <v>28</v>
      </c>
      <c r="D3648" s="34" t="s">
        <v>128</v>
      </c>
      <c r="E3648" s="35" t="str">
        <f t="shared" si="866"/>
        <v>PSDP'!</v>
      </c>
      <c r="F3648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48" s="32" t="s">
        <v>124</v>
      </c>
      <c r="H3648" s="33"/>
      <c r="I3648" s="33"/>
      <c r="J3648" s="37"/>
    </row>
    <row r="3649" spans="1:10" x14ac:dyDescent="0.35">
      <c r="A3649" s="32" t="s">
        <v>26</v>
      </c>
      <c r="B3649" s="32"/>
      <c r="C3649" s="33" t="s">
        <v>28</v>
      </c>
      <c r="D3649" s="34"/>
      <c r="E3649" s="35"/>
      <c r="F3649" s="34"/>
      <c r="G3649" s="32"/>
      <c r="H3649" s="33"/>
      <c r="I3649" s="33"/>
      <c r="J3649" s="36"/>
    </row>
    <row r="3650" spans="1:10" x14ac:dyDescent="0.35">
      <c r="A3650" s="32" t="s">
        <v>22</v>
      </c>
      <c r="B3650" s="32">
        <v>2023</v>
      </c>
      <c r="C3650" s="33" t="s">
        <v>28</v>
      </c>
      <c r="D3650" s="34" t="s">
        <v>128</v>
      </c>
      <c r="E3650" s="35" t="str">
        <f t="shared" ref="E3650:E3670" si="869">_xlfn.CONCAT(A3650,"'!")</f>
        <v>PSNP'!</v>
      </c>
      <c r="F3650" s="34" t="str">
        <f t="shared" ref="F3650:F3670" si="870">_xlfn.CONCAT(D3650:E3650)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50" s="32" t="s">
        <v>124</v>
      </c>
      <c r="H3650" s="33"/>
      <c r="I3650" s="33"/>
      <c r="J3650" s="37"/>
    </row>
    <row r="3651" spans="1:10" x14ac:dyDescent="0.35">
      <c r="A3651" s="32" t="s">
        <v>22</v>
      </c>
      <c r="B3651" s="32">
        <f>+B3650+1</f>
        <v>2024</v>
      </c>
      <c r="C3651" s="33" t="s">
        <v>28</v>
      </c>
      <c r="D3651" s="34" t="s">
        <v>128</v>
      </c>
      <c r="E3651" s="35" t="str">
        <f t="shared" si="869"/>
        <v>PSNP'!</v>
      </c>
      <c r="F3651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51" s="32" t="s">
        <v>124</v>
      </c>
      <c r="H3651" s="33"/>
      <c r="I3651" s="33"/>
      <c r="J3651" s="37"/>
    </row>
    <row r="3652" spans="1:10" x14ac:dyDescent="0.35">
      <c r="A3652" s="32" t="s">
        <v>22</v>
      </c>
      <c r="B3652" s="32">
        <f t="shared" ref="B3652:B3663" si="871">+B3651+1</f>
        <v>2025</v>
      </c>
      <c r="C3652" s="33" t="s">
        <v>28</v>
      </c>
      <c r="D3652" s="34" t="s">
        <v>128</v>
      </c>
      <c r="E3652" s="35" t="str">
        <f t="shared" si="869"/>
        <v>PSNP'!</v>
      </c>
      <c r="F3652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52" s="32" t="s">
        <v>124</v>
      </c>
      <c r="H3652" s="33"/>
      <c r="I3652" s="33"/>
      <c r="J3652" s="37"/>
    </row>
    <row r="3653" spans="1:10" x14ac:dyDescent="0.35">
      <c r="A3653" s="32" t="s">
        <v>22</v>
      </c>
      <c r="B3653" s="32">
        <f t="shared" si="871"/>
        <v>2026</v>
      </c>
      <c r="C3653" s="33" t="s">
        <v>28</v>
      </c>
      <c r="D3653" s="34" t="s">
        <v>128</v>
      </c>
      <c r="E3653" s="35" t="str">
        <f t="shared" si="869"/>
        <v>PSNP'!</v>
      </c>
      <c r="F3653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53" s="32" t="s">
        <v>124</v>
      </c>
      <c r="H3653" s="33"/>
      <c r="I3653" s="33"/>
      <c r="J3653" s="37"/>
    </row>
    <row r="3654" spans="1:10" x14ac:dyDescent="0.35">
      <c r="A3654" s="32" t="s">
        <v>22</v>
      </c>
      <c r="B3654" s="32">
        <f t="shared" si="871"/>
        <v>2027</v>
      </c>
      <c r="C3654" s="33" t="s">
        <v>28</v>
      </c>
      <c r="D3654" s="34" t="s">
        <v>128</v>
      </c>
      <c r="E3654" s="35" t="str">
        <f t="shared" si="869"/>
        <v>PSNP'!</v>
      </c>
      <c r="F3654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54" s="32" t="s">
        <v>124</v>
      </c>
      <c r="H3654" s="33"/>
      <c r="I3654" s="33"/>
      <c r="J3654" s="37"/>
    </row>
    <row r="3655" spans="1:10" x14ac:dyDescent="0.35">
      <c r="A3655" s="32" t="s">
        <v>22</v>
      </c>
      <c r="B3655" s="32">
        <f t="shared" si="871"/>
        <v>2028</v>
      </c>
      <c r="C3655" s="33" t="s">
        <v>28</v>
      </c>
      <c r="D3655" s="34" t="s">
        <v>128</v>
      </c>
      <c r="E3655" s="35" t="str">
        <f t="shared" si="869"/>
        <v>PSNP'!</v>
      </c>
      <c r="F3655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55" s="32" t="s">
        <v>124</v>
      </c>
      <c r="H3655" s="33"/>
      <c r="I3655" s="33"/>
      <c r="J3655" s="37"/>
    </row>
    <row r="3656" spans="1:10" x14ac:dyDescent="0.35">
      <c r="A3656" s="32" t="s">
        <v>22</v>
      </c>
      <c r="B3656" s="32">
        <f t="shared" si="871"/>
        <v>2029</v>
      </c>
      <c r="C3656" s="33" t="s">
        <v>28</v>
      </c>
      <c r="D3656" s="34" t="s">
        <v>128</v>
      </c>
      <c r="E3656" s="35" t="str">
        <f t="shared" si="869"/>
        <v>PSNP'!</v>
      </c>
      <c r="F3656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56" s="32" t="s">
        <v>124</v>
      </c>
      <c r="H3656" s="33"/>
      <c r="I3656" s="33"/>
      <c r="J3656" s="37"/>
    </row>
    <row r="3657" spans="1:10" x14ac:dyDescent="0.35">
      <c r="A3657" s="32" t="s">
        <v>22</v>
      </c>
      <c r="B3657" s="32">
        <f t="shared" si="871"/>
        <v>2030</v>
      </c>
      <c r="C3657" s="33" t="s">
        <v>28</v>
      </c>
      <c r="D3657" s="34" t="s">
        <v>128</v>
      </c>
      <c r="E3657" s="35" t="str">
        <f t="shared" si="869"/>
        <v>PSNP'!</v>
      </c>
      <c r="F3657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57" s="32" t="s">
        <v>124</v>
      </c>
      <c r="H3657" s="33"/>
      <c r="I3657" s="33"/>
      <c r="J3657" s="37"/>
    </row>
    <row r="3658" spans="1:10" x14ac:dyDescent="0.35">
      <c r="A3658" s="32" t="s">
        <v>22</v>
      </c>
      <c r="B3658" s="32">
        <f t="shared" si="871"/>
        <v>2031</v>
      </c>
      <c r="C3658" s="33" t="s">
        <v>28</v>
      </c>
      <c r="D3658" s="34" t="s">
        <v>128</v>
      </c>
      <c r="E3658" s="35" t="str">
        <f t="shared" si="869"/>
        <v>PSNP'!</v>
      </c>
      <c r="F3658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58" s="32" t="s">
        <v>124</v>
      </c>
      <c r="H3658" s="33"/>
      <c r="I3658" s="33"/>
      <c r="J3658" s="37"/>
    </row>
    <row r="3659" spans="1:10" x14ac:dyDescent="0.35">
      <c r="A3659" s="32" t="s">
        <v>22</v>
      </c>
      <c r="B3659" s="32">
        <f t="shared" si="871"/>
        <v>2032</v>
      </c>
      <c r="C3659" s="33" t="s">
        <v>28</v>
      </c>
      <c r="D3659" s="34" t="s">
        <v>128</v>
      </c>
      <c r="E3659" s="35" t="str">
        <f t="shared" si="869"/>
        <v>PSNP'!</v>
      </c>
      <c r="F3659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59" s="32" t="s">
        <v>124</v>
      </c>
      <c r="H3659" s="33"/>
      <c r="I3659" s="33"/>
      <c r="J3659" s="37"/>
    </row>
    <row r="3660" spans="1:10" x14ac:dyDescent="0.35">
      <c r="A3660" s="32" t="s">
        <v>22</v>
      </c>
      <c r="B3660" s="32">
        <f t="shared" si="871"/>
        <v>2033</v>
      </c>
      <c r="C3660" s="33" t="s">
        <v>28</v>
      </c>
      <c r="D3660" s="34" t="s">
        <v>128</v>
      </c>
      <c r="E3660" s="35" t="str">
        <f t="shared" si="869"/>
        <v>PSNP'!</v>
      </c>
      <c r="F3660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60" s="32" t="s">
        <v>124</v>
      </c>
      <c r="H3660" s="33"/>
      <c r="I3660" s="33"/>
      <c r="J3660" s="37"/>
    </row>
    <row r="3661" spans="1:10" x14ac:dyDescent="0.35">
      <c r="A3661" s="32" t="s">
        <v>22</v>
      </c>
      <c r="B3661" s="32">
        <f t="shared" si="871"/>
        <v>2034</v>
      </c>
      <c r="C3661" s="33" t="s">
        <v>28</v>
      </c>
      <c r="D3661" s="34" t="s">
        <v>128</v>
      </c>
      <c r="E3661" s="35" t="str">
        <f t="shared" si="869"/>
        <v>PSNP'!</v>
      </c>
      <c r="F3661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61" s="32" t="s">
        <v>124</v>
      </c>
      <c r="H3661" s="33"/>
      <c r="I3661" s="33"/>
      <c r="J3661" s="37"/>
    </row>
    <row r="3662" spans="1:10" x14ac:dyDescent="0.35">
      <c r="A3662" s="32" t="s">
        <v>22</v>
      </c>
      <c r="B3662" s="32">
        <f t="shared" si="871"/>
        <v>2035</v>
      </c>
      <c r="C3662" s="33" t="s">
        <v>28</v>
      </c>
      <c r="D3662" s="34" t="s">
        <v>128</v>
      </c>
      <c r="E3662" s="35" t="str">
        <f t="shared" si="869"/>
        <v>PSNP'!</v>
      </c>
      <c r="F3662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62" s="32" t="s">
        <v>124</v>
      </c>
      <c r="H3662" s="33"/>
      <c r="I3662" s="33"/>
      <c r="J3662" s="37"/>
    </row>
    <row r="3663" spans="1:10" x14ac:dyDescent="0.35">
      <c r="A3663" s="32" t="s">
        <v>22</v>
      </c>
      <c r="B3663" s="32">
        <f t="shared" si="871"/>
        <v>2036</v>
      </c>
      <c r="C3663" s="33" t="s">
        <v>28</v>
      </c>
      <c r="D3663" s="34" t="s">
        <v>128</v>
      </c>
      <c r="E3663" s="35" t="str">
        <f t="shared" si="869"/>
        <v>PSNP'!</v>
      </c>
      <c r="F3663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63" s="32" t="s">
        <v>124</v>
      </c>
      <c r="H3663" s="33"/>
      <c r="I3663" s="33"/>
      <c r="J3663" s="37"/>
    </row>
    <row r="3664" spans="1:10" x14ac:dyDescent="0.35">
      <c r="A3664" s="32" t="s">
        <v>22</v>
      </c>
      <c r="B3664" s="32">
        <f>+B3663+1</f>
        <v>2037</v>
      </c>
      <c r="C3664" s="33" t="s">
        <v>28</v>
      </c>
      <c r="D3664" s="34" t="s">
        <v>128</v>
      </c>
      <c r="E3664" s="35" t="str">
        <f t="shared" si="869"/>
        <v>PSNP'!</v>
      </c>
      <c r="F3664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64" s="32" t="s">
        <v>124</v>
      </c>
      <c r="H3664" s="33"/>
      <c r="I3664" s="33"/>
      <c r="J3664" s="37"/>
    </row>
    <row r="3665" spans="1:10" x14ac:dyDescent="0.35">
      <c r="A3665" s="32" t="s">
        <v>22</v>
      </c>
      <c r="B3665" s="32">
        <f t="shared" ref="B3665:B3667" si="872">+B3664+1</f>
        <v>2038</v>
      </c>
      <c r="C3665" s="33" t="s">
        <v>28</v>
      </c>
      <c r="D3665" s="34" t="s">
        <v>128</v>
      </c>
      <c r="E3665" s="35" t="str">
        <f t="shared" si="869"/>
        <v>PSNP'!</v>
      </c>
      <c r="F3665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65" s="32" t="s">
        <v>124</v>
      </c>
      <c r="H3665" s="33"/>
      <c r="I3665" s="33"/>
      <c r="J3665" s="37"/>
    </row>
    <row r="3666" spans="1:10" x14ac:dyDescent="0.35">
      <c r="A3666" s="32" t="s">
        <v>22</v>
      </c>
      <c r="B3666" s="32">
        <f t="shared" si="872"/>
        <v>2039</v>
      </c>
      <c r="C3666" s="33" t="s">
        <v>28</v>
      </c>
      <c r="D3666" s="34" t="s">
        <v>128</v>
      </c>
      <c r="E3666" s="35" t="str">
        <f t="shared" si="869"/>
        <v>PSNP'!</v>
      </c>
      <c r="F3666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66" s="32" t="s">
        <v>124</v>
      </c>
      <c r="H3666" s="33"/>
      <c r="I3666" s="33"/>
      <c r="J3666" s="37"/>
    </row>
    <row r="3667" spans="1:10" x14ac:dyDescent="0.35">
      <c r="A3667" s="32" t="s">
        <v>22</v>
      </c>
      <c r="B3667" s="32">
        <f t="shared" si="872"/>
        <v>2040</v>
      </c>
      <c r="C3667" s="33" t="s">
        <v>28</v>
      </c>
      <c r="D3667" s="34" t="s">
        <v>128</v>
      </c>
      <c r="E3667" s="35" t="str">
        <f t="shared" si="869"/>
        <v>PSNP'!</v>
      </c>
      <c r="F3667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67" s="32" t="s">
        <v>124</v>
      </c>
      <c r="H3667" s="33"/>
      <c r="I3667" s="33"/>
      <c r="J3667" s="37"/>
    </row>
    <row r="3668" spans="1:10" x14ac:dyDescent="0.35">
      <c r="A3668" s="32" t="s">
        <v>22</v>
      </c>
      <c r="B3668" s="32">
        <f>+B3667+1</f>
        <v>2041</v>
      </c>
      <c r="C3668" s="33" t="s">
        <v>28</v>
      </c>
      <c r="D3668" s="34" t="s">
        <v>128</v>
      </c>
      <c r="E3668" s="35" t="str">
        <f t="shared" si="869"/>
        <v>PSNP'!</v>
      </c>
      <c r="F3668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68" s="32" t="s">
        <v>124</v>
      </c>
      <c r="H3668" s="33"/>
      <c r="I3668" s="33"/>
      <c r="J3668" s="37"/>
    </row>
    <row r="3669" spans="1:10" x14ac:dyDescent="0.35">
      <c r="A3669" s="32" t="s">
        <v>22</v>
      </c>
      <c r="B3669" s="32">
        <f t="shared" ref="B3669:B3670" si="873">+B3668+1</f>
        <v>2042</v>
      </c>
      <c r="C3669" s="33" t="s">
        <v>28</v>
      </c>
      <c r="D3669" s="34" t="s">
        <v>128</v>
      </c>
      <c r="E3669" s="35" t="str">
        <f t="shared" si="869"/>
        <v>PSNP'!</v>
      </c>
      <c r="F3669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69" s="32" t="s">
        <v>124</v>
      </c>
      <c r="H3669" s="33"/>
      <c r="I3669" s="33"/>
      <c r="J3669" s="37"/>
    </row>
    <row r="3670" spans="1:10" x14ac:dyDescent="0.35">
      <c r="A3670" s="32" t="s">
        <v>22</v>
      </c>
      <c r="B3670" s="32">
        <f t="shared" si="873"/>
        <v>2043</v>
      </c>
      <c r="C3670" s="33" t="s">
        <v>28</v>
      </c>
      <c r="D3670" s="34" t="s">
        <v>128</v>
      </c>
      <c r="E3670" s="35" t="str">
        <f t="shared" si="869"/>
        <v>PSNP'!</v>
      </c>
      <c r="F3670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70" s="32" t="s">
        <v>124</v>
      </c>
      <c r="H3670" s="33"/>
      <c r="I3670" s="33"/>
      <c r="J3670" s="37"/>
    </row>
    <row r="3671" spans="1:10" x14ac:dyDescent="0.35">
      <c r="A3671" s="32" t="s">
        <v>22</v>
      </c>
      <c r="B3671" s="32">
        <f>+B3670+1</f>
        <v>2044</v>
      </c>
      <c r="C3671" s="33" t="s">
        <v>28</v>
      </c>
      <c r="D3671" s="34" t="s">
        <v>128</v>
      </c>
      <c r="E3671" s="35" t="str">
        <f t="shared" ref="E3671:E3686" si="874">_xlfn.CONCAT(A3671,"'!")</f>
        <v>PSNP'!</v>
      </c>
      <c r="F3671" s="34" t="str">
        <f t="shared" ref="F3671:F3686" si="875">_xlfn.CONCAT(D3671:E3671)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71" s="32" t="s">
        <v>124</v>
      </c>
      <c r="H3671" s="33"/>
      <c r="I3671" s="33"/>
      <c r="J3671" s="37"/>
    </row>
    <row r="3672" spans="1:10" x14ac:dyDescent="0.35">
      <c r="A3672" s="32" t="s">
        <v>22</v>
      </c>
      <c r="B3672" s="32">
        <f t="shared" ref="B3672:B3686" si="876">+B3671+1</f>
        <v>2045</v>
      </c>
      <c r="C3672" s="33" t="s">
        <v>28</v>
      </c>
      <c r="D3672" s="34" t="s">
        <v>128</v>
      </c>
      <c r="E3672" s="35" t="str">
        <f t="shared" si="874"/>
        <v>PSNP'!</v>
      </c>
      <c r="F3672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72" s="32" t="s">
        <v>124</v>
      </c>
      <c r="H3672" s="33"/>
      <c r="I3672" s="33"/>
      <c r="J3672" s="37"/>
    </row>
    <row r="3673" spans="1:10" x14ac:dyDescent="0.35">
      <c r="A3673" s="32" t="s">
        <v>22</v>
      </c>
      <c r="B3673" s="32">
        <f t="shared" si="876"/>
        <v>2046</v>
      </c>
      <c r="C3673" s="33" t="s">
        <v>28</v>
      </c>
      <c r="D3673" s="34" t="s">
        <v>128</v>
      </c>
      <c r="E3673" s="35" t="str">
        <f t="shared" si="874"/>
        <v>PSNP'!</v>
      </c>
      <c r="F3673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73" s="32" t="s">
        <v>124</v>
      </c>
      <c r="H3673" s="33"/>
      <c r="I3673" s="33"/>
      <c r="J3673" s="37"/>
    </row>
    <row r="3674" spans="1:10" x14ac:dyDescent="0.35">
      <c r="A3674" s="32" t="s">
        <v>22</v>
      </c>
      <c r="B3674" s="32">
        <f t="shared" si="876"/>
        <v>2047</v>
      </c>
      <c r="C3674" s="33" t="s">
        <v>28</v>
      </c>
      <c r="D3674" s="34" t="s">
        <v>128</v>
      </c>
      <c r="E3674" s="35" t="str">
        <f t="shared" si="874"/>
        <v>PSNP'!</v>
      </c>
      <c r="F3674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74" s="32" t="s">
        <v>124</v>
      </c>
      <c r="H3674" s="33"/>
      <c r="I3674" s="33"/>
      <c r="J3674" s="37"/>
    </row>
    <row r="3675" spans="1:10" x14ac:dyDescent="0.35">
      <c r="A3675" s="32" t="s">
        <v>22</v>
      </c>
      <c r="B3675" s="32">
        <f t="shared" si="876"/>
        <v>2048</v>
      </c>
      <c r="C3675" s="33" t="s">
        <v>28</v>
      </c>
      <c r="D3675" s="34" t="s">
        <v>128</v>
      </c>
      <c r="E3675" s="35" t="str">
        <f t="shared" si="874"/>
        <v>PSNP'!</v>
      </c>
      <c r="F3675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75" s="32" t="s">
        <v>124</v>
      </c>
      <c r="H3675" s="33"/>
      <c r="I3675" s="33"/>
      <c r="J3675" s="37"/>
    </row>
    <row r="3676" spans="1:10" x14ac:dyDescent="0.35">
      <c r="A3676" s="32" t="s">
        <v>22</v>
      </c>
      <c r="B3676" s="32">
        <f t="shared" si="876"/>
        <v>2049</v>
      </c>
      <c r="C3676" s="33" t="s">
        <v>28</v>
      </c>
      <c r="D3676" s="34" t="s">
        <v>128</v>
      </c>
      <c r="E3676" s="35" t="str">
        <f t="shared" si="874"/>
        <v>PSNP'!</v>
      </c>
      <c r="F3676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76" s="32" t="s">
        <v>124</v>
      </c>
      <c r="H3676" s="33"/>
      <c r="I3676" s="33"/>
      <c r="J3676" s="37"/>
    </row>
    <row r="3677" spans="1:10" x14ac:dyDescent="0.35">
      <c r="A3677" s="32" t="s">
        <v>22</v>
      </c>
      <c r="B3677" s="32">
        <f t="shared" si="876"/>
        <v>2050</v>
      </c>
      <c r="C3677" s="33" t="s">
        <v>28</v>
      </c>
      <c r="D3677" s="34" t="s">
        <v>128</v>
      </c>
      <c r="E3677" s="35" t="str">
        <f t="shared" si="874"/>
        <v>PSNP'!</v>
      </c>
      <c r="F3677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77" s="32" t="s">
        <v>124</v>
      </c>
      <c r="H3677" s="33"/>
      <c r="I3677" s="33"/>
      <c r="J3677" s="37"/>
    </row>
    <row r="3678" spans="1:10" x14ac:dyDescent="0.35">
      <c r="A3678" s="32" t="s">
        <v>22</v>
      </c>
      <c r="B3678" s="32">
        <f t="shared" si="876"/>
        <v>2051</v>
      </c>
      <c r="C3678" s="33" t="s">
        <v>28</v>
      </c>
      <c r="D3678" s="34" t="s">
        <v>128</v>
      </c>
      <c r="E3678" s="35" t="str">
        <f t="shared" si="874"/>
        <v>PSNP'!</v>
      </c>
      <c r="F3678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78" s="32" t="s">
        <v>124</v>
      </c>
      <c r="H3678" s="33"/>
      <c r="I3678" s="33"/>
      <c r="J3678" s="37"/>
    </row>
    <row r="3679" spans="1:10" x14ac:dyDescent="0.35">
      <c r="A3679" s="32" t="s">
        <v>22</v>
      </c>
      <c r="B3679" s="32">
        <f t="shared" si="876"/>
        <v>2052</v>
      </c>
      <c r="C3679" s="33" t="s">
        <v>28</v>
      </c>
      <c r="D3679" s="34" t="s">
        <v>128</v>
      </c>
      <c r="E3679" s="35" t="str">
        <f t="shared" si="874"/>
        <v>PSNP'!</v>
      </c>
      <c r="F3679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79" s="32" t="s">
        <v>124</v>
      </c>
      <c r="H3679" s="33"/>
      <c r="I3679" s="33"/>
      <c r="J3679" s="37"/>
    </row>
    <row r="3680" spans="1:10" x14ac:dyDescent="0.35">
      <c r="A3680" s="32" t="s">
        <v>22</v>
      </c>
      <c r="B3680" s="32">
        <f t="shared" si="876"/>
        <v>2053</v>
      </c>
      <c r="C3680" s="33" t="s">
        <v>28</v>
      </c>
      <c r="D3680" s="34" t="s">
        <v>128</v>
      </c>
      <c r="E3680" s="35" t="str">
        <f t="shared" si="874"/>
        <v>PSNP'!</v>
      </c>
      <c r="F3680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80" s="32" t="s">
        <v>124</v>
      </c>
      <c r="H3680" s="33"/>
      <c r="I3680" s="33"/>
      <c r="J3680" s="37"/>
    </row>
    <row r="3681" spans="1:10" x14ac:dyDescent="0.35">
      <c r="A3681" s="32" t="s">
        <v>22</v>
      </c>
      <c r="B3681" s="32">
        <f t="shared" si="876"/>
        <v>2054</v>
      </c>
      <c r="C3681" s="33" t="s">
        <v>28</v>
      </c>
      <c r="D3681" s="34" t="s">
        <v>128</v>
      </c>
      <c r="E3681" s="35" t="str">
        <f t="shared" si="874"/>
        <v>PSNP'!</v>
      </c>
      <c r="F3681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81" s="32" t="s">
        <v>124</v>
      </c>
      <c r="H3681" s="33"/>
      <c r="I3681" s="33"/>
      <c r="J3681" s="37"/>
    </row>
    <row r="3682" spans="1:10" x14ac:dyDescent="0.35">
      <c r="A3682" s="32" t="s">
        <v>22</v>
      </c>
      <c r="B3682" s="32">
        <f t="shared" si="876"/>
        <v>2055</v>
      </c>
      <c r="C3682" s="33" t="s">
        <v>28</v>
      </c>
      <c r="D3682" s="34" t="s">
        <v>128</v>
      </c>
      <c r="E3682" s="35" t="str">
        <f t="shared" si="874"/>
        <v>PSNP'!</v>
      </c>
      <c r="F3682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82" s="32" t="s">
        <v>124</v>
      </c>
      <c r="H3682" s="33"/>
      <c r="I3682" s="33"/>
      <c r="J3682" s="37"/>
    </row>
    <row r="3683" spans="1:10" x14ac:dyDescent="0.35">
      <c r="A3683" s="32" t="s">
        <v>22</v>
      </c>
      <c r="B3683" s="32">
        <f t="shared" si="876"/>
        <v>2056</v>
      </c>
      <c r="C3683" s="33" t="s">
        <v>28</v>
      </c>
      <c r="D3683" s="34" t="s">
        <v>128</v>
      </c>
      <c r="E3683" s="35" t="str">
        <f t="shared" si="874"/>
        <v>PSNP'!</v>
      </c>
      <c r="F3683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83" s="32" t="s">
        <v>124</v>
      </c>
      <c r="H3683" s="33"/>
      <c r="I3683" s="33"/>
      <c r="J3683" s="37"/>
    </row>
    <row r="3684" spans="1:10" x14ac:dyDescent="0.35">
      <c r="A3684" s="32" t="s">
        <v>22</v>
      </c>
      <c r="B3684" s="32">
        <f t="shared" si="876"/>
        <v>2057</v>
      </c>
      <c r="C3684" s="33" t="s">
        <v>28</v>
      </c>
      <c r="D3684" s="34" t="s">
        <v>128</v>
      </c>
      <c r="E3684" s="35" t="str">
        <f t="shared" si="874"/>
        <v>PSNP'!</v>
      </c>
      <c r="F3684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84" s="32" t="s">
        <v>124</v>
      </c>
      <c r="H3684" s="33"/>
      <c r="I3684" s="33"/>
      <c r="J3684" s="37"/>
    </row>
    <row r="3685" spans="1:10" x14ac:dyDescent="0.35">
      <c r="A3685" s="32" t="s">
        <v>22</v>
      </c>
      <c r="B3685" s="32">
        <f t="shared" si="876"/>
        <v>2058</v>
      </c>
      <c r="C3685" s="33" t="s">
        <v>28</v>
      </c>
      <c r="D3685" s="34" t="s">
        <v>128</v>
      </c>
      <c r="E3685" s="35" t="str">
        <f t="shared" si="874"/>
        <v>PSNP'!</v>
      </c>
      <c r="F3685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85" s="32" t="s">
        <v>124</v>
      </c>
      <c r="H3685" s="33"/>
      <c r="I3685" s="33"/>
      <c r="J3685" s="37"/>
    </row>
    <row r="3686" spans="1:10" x14ac:dyDescent="0.35">
      <c r="A3686" s="32" t="s">
        <v>22</v>
      </c>
      <c r="B3686" s="32">
        <f t="shared" si="876"/>
        <v>2059</v>
      </c>
      <c r="C3686" s="33" t="s">
        <v>28</v>
      </c>
      <c r="D3686" s="34" t="s">
        <v>128</v>
      </c>
      <c r="E3686" s="35" t="str">
        <f t="shared" si="874"/>
        <v>PSNP'!</v>
      </c>
      <c r="F3686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86" s="32" t="s">
        <v>124</v>
      </c>
      <c r="H3686" s="33"/>
      <c r="I3686" s="33"/>
      <c r="J3686" s="37"/>
    </row>
    <row r="3687" spans="1:10" x14ac:dyDescent="0.35">
      <c r="A3687" s="32" t="s">
        <v>26</v>
      </c>
      <c r="B3687" s="32"/>
      <c r="C3687" s="33" t="s">
        <v>28</v>
      </c>
      <c r="D3687" s="34"/>
      <c r="E3687" s="35"/>
      <c r="F3687" s="34"/>
      <c r="G3687" s="32"/>
      <c r="H3687" s="33"/>
      <c r="I3687" s="33"/>
      <c r="J3687" s="36"/>
    </row>
    <row r="3688" spans="1:10" x14ac:dyDescent="0.35">
      <c r="A3688" s="32" t="s">
        <v>23</v>
      </c>
      <c r="B3688" s="32">
        <v>2023</v>
      </c>
      <c r="C3688" s="33" t="s">
        <v>28</v>
      </c>
      <c r="D3688" s="34" t="s">
        <v>128</v>
      </c>
      <c r="E3688" s="35" t="str">
        <f t="shared" ref="E3688:E3708" si="877">_xlfn.CONCAT(A3688,"'!")</f>
        <v>PSND'!</v>
      </c>
      <c r="F3688" s="34" t="str">
        <f t="shared" ref="F3688:F3708" si="878">_xlfn.CONCAT(D3688:E3688)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88" s="32" t="s">
        <v>124</v>
      </c>
      <c r="H3688" s="33"/>
      <c r="I3688" s="33"/>
      <c r="J3688" s="37"/>
    </row>
    <row r="3689" spans="1:10" x14ac:dyDescent="0.35">
      <c r="A3689" s="32" t="s">
        <v>23</v>
      </c>
      <c r="B3689" s="32">
        <f>+B3688+1</f>
        <v>2024</v>
      </c>
      <c r="C3689" s="33" t="s">
        <v>28</v>
      </c>
      <c r="D3689" s="34" t="s">
        <v>128</v>
      </c>
      <c r="E3689" s="35" t="str">
        <f t="shared" si="877"/>
        <v>PSND'!</v>
      </c>
      <c r="F3689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89" s="32" t="s">
        <v>124</v>
      </c>
      <c r="H3689" s="33"/>
      <c r="I3689" s="33"/>
      <c r="J3689" s="37"/>
    </row>
    <row r="3690" spans="1:10" x14ac:dyDescent="0.35">
      <c r="A3690" s="32" t="s">
        <v>23</v>
      </c>
      <c r="B3690" s="32">
        <f t="shared" ref="B3690:B3701" si="879">+B3689+1</f>
        <v>2025</v>
      </c>
      <c r="C3690" s="33" t="s">
        <v>28</v>
      </c>
      <c r="D3690" s="34" t="s">
        <v>128</v>
      </c>
      <c r="E3690" s="35" t="str">
        <f t="shared" si="877"/>
        <v>PSND'!</v>
      </c>
      <c r="F3690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90" s="32" t="s">
        <v>124</v>
      </c>
      <c r="H3690" s="33"/>
      <c r="I3690" s="33"/>
      <c r="J3690" s="37"/>
    </row>
    <row r="3691" spans="1:10" x14ac:dyDescent="0.35">
      <c r="A3691" s="32" t="s">
        <v>23</v>
      </c>
      <c r="B3691" s="32">
        <f t="shared" si="879"/>
        <v>2026</v>
      </c>
      <c r="C3691" s="33" t="s">
        <v>28</v>
      </c>
      <c r="D3691" s="34" t="s">
        <v>128</v>
      </c>
      <c r="E3691" s="35" t="str">
        <f t="shared" si="877"/>
        <v>PSND'!</v>
      </c>
      <c r="F3691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91" s="32" t="s">
        <v>124</v>
      </c>
      <c r="H3691" s="33"/>
      <c r="I3691" s="33"/>
      <c r="J3691" s="37"/>
    </row>
    <row r="3692" spans="1:10" x14ac:dyDescent="0.35">
      <c r="A3692" s="32" t="s">
        <v>23</v>
      </c>
      <c r="B3692" s="32">
        <f t="shared" si="879"/>
        <v>2027</v>
      </c>
      <c r="C3692" s="33" t="s">
        <v>28</v>
      </c>
      <c r="D3692" s="34" t="s">
        <v>128</v>
      </c>
      <c r="E3692" s="35" t="str">
        <f t="shared" si="877"/>
        <v>PSND'!</v>
      </c>
      <c r="F3692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92" s="32" t="s">
        <v>124</v>
      </c>
      <c r="H3692" s="33"/>
      <c r="I3692" s="33"/>
      <c r="J3692" s="37"/>
    </row>
    <row r="3693" spans="1:10" x14ac:dyDescent="0.35">
      <c r="A3693" s="32" t="s">
        <v>23</v>
      </c>
      <c r="B3693" s="32">
        <f t="shared" si="879"/>
        <v>2028</v>
      </c>
      <c r="C3693" s="33" t="s">
        <v>28</v>
      </c>
      <c r="D3693" s="34" t="s">
        <v>128</v>
      </c>
      <c r="E3693" s="35" t="str">
        <f t="shared" si="877"/>
        <v>PSND'!</v>
      </c>
      <c r="F3693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93" s="32" t="s">
        <v>124</v>
      </c>
      <c r="H3693" s="33"/>
      <c r="I3693" s="33"/>
      <c r="J3693" s="37"/>
    </row>
    <row r="3694" spans="1:10" x14ac:dyDescent="0.35">
      <c r="A3694" s="32" t="s">
        <v>23</v>
      </c>
      <c r="B3694" s="32">
        <f t="shared" si="879"/>
        <v>2029</v>
      </c>
      <c r="C3694" s="33" t="s">
        <v>28</v>
      </c>
      <c r="D3694" s="34" t="s">
        <v>128</v>
      </c>
      <c r="E3694" s="35" t="str">
        <f t="shared" si="877"/>
        <v>PSND'!</v>
      </c>
      <c r="F3694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94" s="32" t="s">
        <v>124</v>
      </c>
      <c r="H3694" s="33"/>
      <c r="I3694" s="33"/>
      <c r="J3694" s="37"/>
    </row>
    <row r="3695" spans="1:10" x14ac:dyDescent="0.35">
      <c r="A3695" s="32" t="s">
        <v>23</v>
      </c>
      <c r="B3695" s="32">
        <f t="shared" si="879"/>
        <v>2030</v>
      </c>
      <c r="C3695" s="33" t="s">
        <v>28</v>
      </c>
      <c r="D3695" s="34" t="s">
        <v>128</v>
      </c>
      <c r="E3695" s="35" t="str">
        <f t="shared" si="877"/>
        <v>PSND'!</v>
      </c>
      <c r="F3695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95" s="32" t="s">
        <v>124</v>
      </c>
      <c r="H3695" s="33"/>
      <c r="I3695" s="33"/>
      <c r="J3695" s="37"/>
    </row>
    <row r="3696" spans="1:10" x14ac:dyDescent="0.35">
      <c r="A3696" s="32" t="s">
        <v>23</v>
      </c>
      <c r="B3696" s="32">
        <f t="shared" si="879"/>
        <v>2031</v>
      </c>
      <c r="C3696" s="33" t="s">
        <v>28</v>
      </c>
      <c r="D3696" s="34" t="s">
        <v>128</v>
      </c>
      <c r="E3696" s="35" t="str">
        <f t="shared" si="877"/>
        <v>PSND'!</v>
      </c>
      <c r="F3696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96" s="32" t="s">
        <v>124</v>
      </c>
      <c r="H3696" s="33"/>
      <c r="I3696" s="33"/>
      <c r="J3696" s="37"/>
    </row>
    <row r="3697" spans="1:10" x14ac:dyDescent="0.35">
      <c r="A3697" s="32" t="s">
        <v>23</v>
      </c>
      <c r="B3697" s="32">
        <f t="shared" si="879"/>
        <v>2032</v>
      </c>
      <c r="C3697" s="33" t="s">
        <v>28</v>
      </c>
      <c r="D3697" s="34" t="s">
        <v>128</v>
      </c>
      <c r="E3697" s="35" t="str">
        <f t="shared" si="877"/>
        <v>PSND'!</v>
      </c>
      <c r="F3697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97" s="32" t="s">
        <v>124</v>
      </c>
      <c r="H3697" s="33"/>
      <c r="I3697" s="33"/>
      <c r="J3697" s="37"/>
    </row>
    <row r="3698" spans="1:10" x14ac:dyDescent="0.35">
      <c r="A3698" s="32" t="s">
        <v>23</v>
      </c>
      <c r="B3698" s="32">
        <f t="shared" si="879"/>
        <v>2033</v>
      </c>
      <c r="C3698" s="33" t="s">
        <v>28</v>
      </c>
      <c r="D3698" s="34" t="s">
        <v>128</v>
      </c>
      <c r="E3698" s="35" t="str">
        <f t="shared" si="877"/>
        <v>PSND'!</v>
      </c>
      <c r="F3698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98" s="32" t="s">
        <v>124</v>
      </c>
      <c r="H3698" s="33"/>
      <c r="I3698" s="33"/>
      <c r="J3698" s="37"/>
    </row>
    <row r="3699" spans="1:10" x14ac:dyDescent="0.35">
      <c r="A3699" s="32" t="s">
        <v>23</v>
      </c>
      <c r="B3699" s="32">
        <f t="shared" si="879"/>
        <v>2034</v>
      </c>
      <c r="C3699" s="33" t="s">
        <v>28</v>
      </c>
      <c r="D3699" s="34" t="s">
        <v>128</v>
      </c>
      <c r="E3699" s="35" t="str">
        <f t="shared" si="877"/>
        <v>PSND'!</v>
      </c>
      <c r="F3699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99" s="32" t="s">
        <v>124</v>
      </c>
      <c r="H3699" s="33"/>
      <c r="I3699" s="33"/>
      <c r="J3699" s="37"/>
    </row>
    <row r="3700" spans="1:10" x14ac:dyDescent="0.35">
      <c r="A3700" s="32" t="s">
        <v>23</v>
      </c>
      <c r="B3700" s="32">
        <f t="shared" si="879"/>
        <v>2035</v>
      </c>
      <c r="C3700" s="33" t="s">
        <v>28</v>
      </c>
      <c r="D3700" s="34" t="s">
        <v>128</v>
      </c>
      <c r="E3700" s="35" t="str">
        <f t="shared" si="877"/>
        <v>PSND'!</v>
      </c>
      <c r="F3700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00" s="32" t="s">
        <v>124</v>
      </c>
      <c r="H3700" s="33"/>
      <c r="I3700" s="33"/>
      <c r="J3700" s="37"/>
    </row>
    <row r="3701" spans="1:10" x14ac:dyDescent="0.35">
      <c r="A3701" s="32" t="s">
        <v>23</v>
      </c>
      <c r="B3701" s="32">
        <f t="shared" si="879"/>
        <v>2036</v>
      </c>
      <c r="C3701" s="33" t="s">
        <v>28</v>
      </c>
      <c r="D3701" s="34" t="s">
        <v>128</v>
      </c>
      <c r="E3701" s="35" t="str">
        <f t="shared" si="877"/>
        <v>PSND'!</v>
      </c>
      <c r="F3701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01" s="32" t="s">
        <v>124</v>
      </c>
      <c r="H3701" s="33"/>
      <c r="I3701" s="33"/>
      <c r="J3701" s="37"/>
    </row>
    <row r="3702" spans="1:10" x14ac:dyDescent="0.35">
      <c r="A3702" s="32" t="s">
        <v>23</v>
      </c>
      <c r="B3702" s="32">
        <f>+B3701+1</f>
        <v>2037</v>
      </c>
      <c r="C3702" s="33" t="s">
        <v>28</v>
      </c>
      <c r="D3702" s="34" t="s">
        <v>128</v>
      </c>
      <c r="E3702" s="35" t="str">
        <f t="shared" si="877"/>
        <v>PSND'!</v>
      </c>
      <c r="F3702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02" s="32" t="s">
        <v>124</v>
      </c>
      <c r="H3702" s="33"/>
      <c r="I3702" s="33"/>
      <c r="J3702" s="37"/>
    </row>
    <row r="3703" spans="1:10" x14ac:dyDescent="0.35">
      <c r="A3703" s="32" t="s">
        <v>23</v>
      </c>
      <c r="B3703" s="32">
        <f t="shared" ref="B3703:B3705" si="880">+B3702+1</f>
        <v>2038</v>
      </c>
      <c r="C3703" s="33" t="s">
        <v>28</v>
      </c>
      <c r="D3703" s="34" t="s">
        <v>128</v>
      </c>
      <c r="E3703" s="35" t="str">
        <f t="shared" si="877"/>
        <v>PSND'!</v>
      </c>
      <c r="F3703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03" s="32" t="s">
        <v>124</v>
      </c>
      <c r="H3703" s="33"/>
      <c r="I3703" s="33"/>
      <c r="J3703" s="37"/>
    </row>
    <row r="3704" spans="1:10" x14ac:dyDescent="0.35">
      <c r="A3704" s="32" t="s">
        <v>23</v>
      </c>
      <c r="B3704" s="32">
        <f t="shared" si="880"/>
        <v>2039</v>
      </c>
      <c r="C3704" s="33" t="s">
        <v>28</v>
      </c>
      <c r="D3704" s="34" t="s">
        <v>128</v>
      </c>
      <c r="E3704" s="35" t="str">
        <f t="shared" si="877"/>
        <v>PSND'!</v>
      </c>
      <c r="F3704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04" s="32" t="s">
        <v>124</v>
      </c>
      <c r="H3704" s="33"/>
      <c r="I3704" s="33"/>
      <c r="J3704" s="37"/>
    </row>
    <row r="3705" spans="1:10" x14ac:dyDescent="0.35">
      <c r="A3705" s="32" t="s">
        <v>23</v>
      </c>
      <c r="B3705" s="32">
        <f t="shared" si="880"/>
        <v>2040</v>
      </c>
      <c r="C3705" s="33" t="s">
        <v>28</v>
      </c>
      <c r="D3705" s="34" t="s">
        <v>128</v>
      </c>
      <c r="E3705" s="35" t="str">
        <f t="shared" si="877"/>
        <v>PSND'!</v>
      </c>
      <c r="F3705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05" s="32" t="s">
        <v>124</v>
      </c>
      <c r="H3705" s="33"/>
      <c r="I3705" s="33"/>
      <c r="J3705" s="37"/>
    </row>
    <row r="3706" spans="1:10" x14ac:dyDescent="0.35">
      <c r="A3706" s="32" t="s">
        <v>23</v>
      </c>
      <c r="B3706" s="32">
        <f>+B3705+1</f>
        <v>2041</v>
      </c>
      <c r="C3706" s="33" t="s">
        <v>28</v>
      </c>
      <c r="D3706" s="34" t="s">
        <v>128</v>
      </c>
      <c r="E3706" s="35" t="str">
        <f t="shared" si="877"/>
        <v>PSND'!</v>
      </c>
      <c r="F3706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06" s="32" t="s">
        <v>124</v>
      </c>
      <c r="H3706" s="33"/>
      <c r="I3706" s="33"/>
      <c r="J3706" s="37"/>
    </row>
    <row r="3707" spans="1:10" x14ac:dyDescent="0.35">
      <c r="A3707" s="32" t="s">
        <v>23</v>
      </c>
      <c r="B3707" s="32">
        <f t="shared" ref="B3707:B3708" si="881">+B3706+1</f>
        <v>2042</v>
      </c>
      <c r="C3707" s="33" t="s">
        <v>28</v>
      </c>
      <c r="D3707" s="34" t="s">
        <v>128</v>
      </c>
      <c r="E3707" s="35" t="str">
        <f t="shared" si="877"/>
        <v>PSND'!</v>
      </c>
      <c r="F3707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07" s="32" t="s">
        <v>124</v>
      </c>
      <c r="H3707" s="33"/>
      <c r="I3707" s="33"/>
      <c r="J3707" s="37"/>
    </row>
    <row r="3708" spans="1:10" x14ac:dyDescent="0.35">
      <c r="A3708" s="32" t="s">
        <v>23</v>
      </c>
      <c r="B3708" s="32">
        <f t="shared" si="881"/>
        <v>2043</v>
      </c>
      <c r="C3708" s="33" t="s">
        <v>28</v>
      </c>
      <c r="D3708" s="34" t="s">
        <v>128</v>
      </c>
      <c r="E3708" s="35" t="str">
        <f t="shared" si="877"/>
        <v>PSND'!</v>
      </c>
      <c r="F3708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08" s="32" t="s">
        <v>124</v>
      </c>
      <c r="H3708" s="33"/>
      <c r="I3708" s="33"/>
      <c r="J3708" s="37"/>
    </row>
    <row r="3709" spans="1:10" x14ac:dyDescent="0.35">
      <c r="A3709" s="32" t="s">
        <v>23</v>
      </c>
      <c r="B3709" s="32">
        <f>+B3708+1</f>
        <v>2044</v>
      </c>
      <c r="C3709" s="33" t="s">
        <v>28</v>
      </c>
      <c r="D3709" s="34" t="s">
        <v>128</v>
      </c>
      <c r="E3709" s="35" t="str">
        <f t="shared" ref="E3709:E3724" si="882">_xlfn.CONCAT(A3709,"'!")</f>
        <v>PSND'!</v>
      </c>
      <c r="F3709" s="34" t="str">
        <f t="shared" ref="F3709:F3724" si="883">_xlfn.CONCAT(D3709:E3709)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09" s="32" t="s">
        <v>124</v>
      </c>
      <c r="H3709" s="33"/>
      <c r="I3709" s="33"/>
      <c r="J3709" s="37"/>
    </row>
    <row r="3710" spans="1:10" x14ac:dyDescent="0.35">
      <c r="A3710" s="32" t="s">
        <v>23</v>
      </c>
      <c r="B3710" s="32">
        <f t="shared" ref="B3710:B3724" si="884">+B3709+1</f>
        <v>2045</v>
      </c>
      <c r="C3710" s="33" t="s">
        <v>28</v>
      </c>
      <c r="D3710" s="34" t="s">
        <v>128</v>
      </c>
      <c r="E3710" s="35" t="str">
        <f t="shared" si="882"/>
        <v>PSND'!</v>
      </c>
      <c r="F3710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10" s="32" t="s">
        <v>124</v>
      </c>
      <c r="H3710" s="33"/>
      <c r="I3710" s="33"/>
      <c r="J3710" s="37"/>
    </row>
    <row r="3711" spans="1:10" x14ac:dyDescent="0.35">
      <c r="A3711" s="32" t="s">
        <v>23</v>
      </c>
      <c r="B3711" s="32">
        <f t="shared" si="884"/>
        <v>2046</v>
      </c>
      <c r="C3711" s="33" t="s">
        <v>28</v>
      </c>
      <c r="D3711" s="34" t="s">
        <v>128</v>
      </c>
      <c r="E3711" s="35" t="str">
        <f t="shared" si="882"/>
        <v>PSND'!</v>
      </c>
      <c r="F3711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11" s="32" t="s">
        <v>124</v>
      </c>
      <c r="H3711" s="33"/>
      <c r="I3711" s="33"/>
      <c r="J3711" s="37"/>
    </row>
    <row r="3712" spans="1:10" x14ac:dyDescent="0.35">
      <c r="A3712" s="32" t="s">
        <v>23</v>
      </c>
      <c r="B3712" s="32">
        <f t="shared" si="884"/>
        <v>2047</v>
      </c>
      <c r="C3712" s="33" t="s">
        <v>28</v>
      </c>
      <c r="D3712" s="34" t="s">
        <v>128</v>
      </c>
      <c r="E3712" s="35" t="str">
        <f t="shared" si="882"/>
        <v>PSND'!</v>
      </c>
      <c r="F3712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12" s="32" t="s">
        <v>124</v>
      </c>
      <c r="H3712" s="33"/>
      <c r="I3712" s="33"/>
      <c r="J3712" s="37"/>
    </row>
    <row r="3713" spans="1:10" x14ac:dyDescent="0.35">
      <c r="A3713" s="32" t="s">
        <v>23</v>
      </c>
      <c r="B3713" s="32">
        <f t="shared" si="884"/>
        <v>2048</v>
      </c>
      <c r="C3713" s="33" t="s">
        <v>28</v>
      </c>
      <c r="D3713" s="34" t="s">
        <v>128</v>
      </c>
      <c r="E3713" s="35" t="str">
        <f t="shared" si="882"/>
        <v>PSND'!</v>
      </c>
      <c r="F3713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13" s="32" t="s">
        <v>124</v>
      </c>
      <c r="H3713" s="33"/>
      <c r="I3713" s="33"/>
      <c r="J3713" s="37"/>
    </row>
    <row r="3714" spans="1:10" x14ac:dyDescent="0.35">
      <c r="A3714" s="32" t="s">
        <v>23</v>
      </c>
      <c r="B3714" s="32">
        <f t="shared" si="884"/>
        <v>2049</v>
      </c>
      <c r="C3714" s="33" t="s">
        <v>28</v>
      </c>
      <c r="D3714" s="34" t="s">
        <v>128</v>
      </c>
      <c r="E3714" s="35" t="str">
        <f t="shared" si="882"/>
        <v>PSND'!</v>
      </c>
      <c r="F3714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14" s="32" t="s">
        <v>124</v>
      </c>
      <c r="H3714" s="33"/>
      <c r="I3714" s="33"/>
      <c r="J3714" s="37"/>
    </row>
    <row r="3715" spans="1:10" x14ac:dyDescent="0.35">
      <c r="A3715" s="32" t="s">
        <v>23</v>
      </c>
      <c r="B3715" s="32">
        <f t="shared" si="884"/>
        <v>2050</v>
      </c>
      <c r="C3715" s="33" t="s">
        <v>28</v>
      </c>
      <c r="D3715" s="34" t="s">
        <v>128</v>
      </c>
      <c r="E3715" s="35" t="str">
        <f t="shared" si="882"/>
        <v>PSND'!</v>
      </c>
      <c r="F3715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15" s="32" t="s">
        <v>124</v>
      </c>
      <c r="H3715" s="33"/>
      <c r="I3715" s="33"/>
      <c r="J3715" s="37"/>
    </row>
    <row r="3716" spans="1:10" x14ac:dyDescent="0.35">
      <c r="A3716" s="32" t="s">
        <v>23</v>
      </c>
      <c r="B3716" s="32">
        <f t="shared" si="884"/>
        <v>2051</v>
      </c>
      <c r="C3716" s="33" t="s">
        <v>28</v>
      </c>
      <c r="D3716" s="34" t="s">
        <v>128</v>
      </c>
      <c r="E3716" s="35" t="str">
        <f t="shared" si="882"/>
        <v>PSND'!</v>
      </c>
      <c r="F3716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16" s="32" t="s">
        <v>124</v>
      </c>
      <c r="H3716" s="33"/>
      <c r="I3716" s="33"/>
      <c r="J3716" s="37"/>
    </row>
    <row r="3717" spans="1:10" x14ac:dyDescent="0.35">
      <c r="A3717" s="32" t="s">
        <v>23</v>
      </c>
      <c r="B3717" s="32">
        <f t="shared" si="884"/>
        <v>2052</v>
      </c>
      <c r="C3717" s="33" t="s">
        <v>28</v>
      </c>
      <c r="D3717" s="34" t="s">
        <v>128</v>
      </c>
      <c r="E3717" s="35" t="str">
        <f t="shared" si="882"/>
        <v>PSND'!</v>
      </c>
      <c r="F3717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17" s="32" t="s">
        <v>124</v>
      </c>
      <c r="H3717" s="33"/>
      <c r="I3717" s="33"/>
      <c r="J3717" s="37"/>
    </row>
    <row r="3718" spans="1:10" x14ac:dyDescent="0.35">
      <c r="A3718" s="32" t="s">
        <v>23</v>
      </c>
      <c r="B3718" s="32">
        <f t="shared" si="884"/>
        <v>2053</v>
      </c>
      <c r="C3718" s="33" t="s">
        <v>28</v>
      </c>
      <c r="D3718" s="34" t="s">
        <v>128</v>
      </c>
      <c r="E3718" s="35" t="str">
        <f t="shared" si="882"/>
        <v>PSND'!</v>
      </c>
      <c r="F3718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18" s="32" t="s">
        <v>124</v>
      </c>
      <c r="H3718" s="33"/>
      <c r="I3718" s="33"/>
      <c r="J3718" s="37"/>
    </row>
    <row r="3719" spans="1:10" x14ac:dyDescent="0.35">
      <c r="A3719" s="32" t="s">
        <v>23</v>
      </c>
      <c r="B3719" s="32">
        <f t="shared" si="884"/>
        <v>2054</v>
      </c>
      <c r="C3719" s="33" t="s">
        <v>28</v>
      </c>
      <c r="D3719" s="34" t="s">
        <v>128</v>
      </c>
      <c r="E3719" s="35" t="str">
        <f t="shared" si="882"/>
        <v>PSND'!</v>
      </c>
      <c r="F3719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19" s="32" t="s">
        <v>124</v>
      </c>
      <c r="H3719" s="33"/>
      <c r="I3719" s="33"/>
      <c r="J3719" s="37"/>
    </row>
    <row r="3720" spans="1:10" x14ac:dyDescent="0.35">
      <c r="A3720" s="32" t="s">
        <v>23</v>
      </c>
      <c r="B3720" s="32">
        <f t="shared" si="884"/>
        <v>2055</v>
      </c>
      <c r="C3720" s="33" t="s">
        <v>28</v>
      </c>
      <c r="D3720" s="34" t="s">
        <v>128</v>
      </c>
      <c r="E3720" s="35" t="str">
        <f t="shared" si="882"/>
        <v>PSND'!</v>
      </c>
      <c r="F3720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20" s="32" t="s">
        <v>124</v>
      </c>
      <c r="H3720" s="33"/>
      <c r="I3720" s="33"/>
      <c r="J3720" s="37"/>
    </row>
    <row r="3721" spans="1:10" x14ac:dyDescent="0.35">
      <c r="A3721" s="32" t="s">
        <v>23</v>
      </c>
      <c r="B3721" s="32">
        <f t="shared" si="884"/>
        <v>2056</v>
      </c>
      <c r="C3721" s="33" t="s">
        <v>28</v>
      </c>
      <c r="D3721" s="34" t="s">
        <v>128</v>
      </c>
      <c r="E3721" s="35" t="str">
        <f t="shared" si="882"/>
        <v>PSND'!</v>
      </c>
      <c r="F3721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21" s="32" t="s">
        <v>124</v>
      </c>
      <c r="H3721" s="33"/>
      <c r="I3721" s="33"/>
      <c r="J3721" s="37"/>
    </row>
    <row r="3722" spans="1:10" x14ac:dyDescent="0.35">
      <c r="A3722" s="32" t="s">
        <v>23</v>
      </c>
      <c r="B3722" s="32">
        <f t="shared" si="884"/>
        <v>2057</v>
      </c>
      <c r="C3722" s="33" t="s">
        <v>28</v>
      </c>
      <c r="D3722" s="34" t="s">
        <v>128</v>
      </c>
      <c r="E3722" s="35" t="str">
        <f t="shared" si="882"/>
        <v>PSND'!</v>
      </c>
      <c r="F3722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22" s="32" t="s">
        <v>124</v>
      </c>
      <c r="H3722" s="33"/>
      <c r="I3722" s="33"/>
      <c r="J3722" s="37"/>
    </row>
    <row r="3723" spans="1:10" x14ac:dyDescent="0.35">
      <c r="A3723" s="32" t="s">
        <v>23</v>
      </c>
      <c r="B3723" s="32">
        <f t="shared" si="884"/>
        <v>2058</v>
      </c>
      <c r="C3723" s="33" t="s">
        <v>28</v>
      </c>
      <c r="D3723" s="34" t="s">
        <v>128</v>
      </c>
      <c r="E3723" s="35" t="str">
        <f t="shared" si="882"/>
        <v>PSND'!</v>
      </c>
      <c r="F3723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23" s="32" t="s">
        <v>124</v>
      </c>
      <c r="H3723" s="33"/>
      <c r="I3723" s="33"/>
      <c r="J3723" s="37"/>
    </row>
    <row r="3724" spans="1:10" x14ac:dyDescent="0.35">
      <c r="A3724" s="32" t="s">
        <v>23</v>
      </c>
      <c r="B3724" s="32">
        <f t="shared" si="884"/>
        <v>2059</v>
      </c>
      <c r="C3724" s="33" t="s">
        <v>28</v>
      </c>
      <c r="D3724" s="34" t="s">
        <v>128</v>
      </c>
      <c r="E3724" s="35" t="str">
        <f t="shared" si="882"/>
        <v>PSND'!</v>
      </c>
      <c r="F3724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24" s="32" t="s">
        <v>124</v>
      </c>
      <c r="H3724" s="33"/>
      <c r="I3724" s="33"/>
      <c r="J3724" s="37"/>
    </row>
    <row r="3725" spans="1:10" x14ac:dyDescent="0.35">
      <c r="A3725" s="32" t="s">
        <v>26</v>
      </c>
      <c r="B3725" s="32"/>
      <c r="C3725" s="33" t="s">
        <v>28</v>
      </c>
      <c r="D3725" s="34"/>
      <c r="E3725" s="35"/>
      <c r="F3725" s="34"/>
      <c r="G3725" s="32"/>
      <c r="H3725" s="33"/>
      <c r="I3725" s="33"/>
      <c r="J3725" s="36"/>
    </row>
    <row r="3726" spans="1:10" x14ac:dyDescent="0.35">
      <c r="A3726" s="32" t="s">
        <v>24</v>
      </c>
      <c r="B3726" s="32">
        <v>2023</v>
      </c>
      <c r="C3726" s="33" t="s">
        <v>28</v>
      </c>
      <c r="D3726" s="34" t="s">
        <v>128</v>
      </c>
      <c r="E3726" s="35" t="str">
        <f t="shared" ref="E3726:E3746" si="885">_xlfn.CONCAT(A3726,"'!")</f>
        <v>PS'!</v>
      </c>
      <c r="F3726" s="34" t="str">
        <f t="shared" ref="F3726:F3746" si="886">_xlfn.CONCAT(D3726:E3726)</f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26" s="32" t="s">
        <v>124</v>
      </c>
      <c r="H3726" s="33">
        <f>IF(A3726&lt;&gt;A3710,12,H3710+1)</f>
        <v>12</v>
      </c>
      <c r="I3726" s="33" t="str">
        <f t="shared" ref="I3726:I3746" si="887">_xlfn.CONCAT("='",F3726:H3726)</f>
        <v>='C:\Users\jaime.benazar\Quorum Business Solutions\Ecopetrol Prometeo - Documents\Planning Space Implementation\3. Analysis &amp; Design\Design\FC22\DRR Jaime\Por presentar a ECP\Cantagallo\Cristalina\[CRISTALINA_CF_SEC_New_09-Feb-2024.xlsx]D-PS'!$BE$12</v>
      </c>
      <c r="J3726" s="37" t="s">
        <v>1757</v>
      </c>
    </row>
    <row r="3727" spans="1:10" x14ac:dyDescent="0.35">
      <c r="A3727" s="32" t="s">
        <v>24</v>
      </c>
      <c r="B3727" s="32">
        <f>+B3726+1</f>
        <v>2024</v>
      </c>
      <c r="C3727" s="33" t="s">
        <v>28</v>
      </c>
      <c r="D3727" s="34" t="s">
        <v>128</v>
      </c>
      <c r="E3727" s="35" t="str">
        <f t="shared" si="885"/>
        <v>PS'!</v>
      </c>
      <c r="F3727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27" s="32" t="s">
        <v>124</v>
      </c>
      <c r="H3727" s="33">
        <f t="shared" ref="H3727:H3746" si="888">IF(A3727&lt;&gt;A3726,36,H3726+1)</f>
        <v>13</v>
      </c>
      <c r="I3727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ECP\Cantagallo\Cristalina\[CRISTALINA_CF_SEC_New_09-Feb-2024.xlsx]D-PS'!$BE$13</v>
      </c>
      <c r="J3727" s="37" t="s">
        <v>1758</v>
      </c>
    </row>
    <row r="3728" spans="1:10" x14ac:dyDescent="0.35">
      <c r="A3728" s="32" t="s">
        <v>24</v>
      </c>
      <c r="B3728" s="32">
        <f t="shared" ref="B3728:B3739" si="889">+B3727+1</f>
        <v>2025</v>
      </c>
      <c r="C3728" s="33" t="s">
        <v>28</v>
      </c>
      <c r="D3728" s="34" t="s">
        <v>128</v>
      </c>
      <c r="E3728" s="35" t="str">
        <f t="shared" si="885"/>
        <v>PS'!</v>
      </c>
      <c r="F3728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28" s="32" t="s">
        <v>124</v>
      </c>
      <c r="H3728" s="33">
        <f t="shared" si="888"/>
        <v>14</v>
      </c>
      <c r="I3728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ECP\Cantagallo\Cristalina\[CRISTALINA_CF_SEC_New_09-Feb-2024.xlsx]D-PS'!$BE$14</v>
      </c>
      <c r="J3728" s="37" t="s">
        <v>1759</v>
      </c>
    </row>
    <row r="3729" spans="1:10" x14ac:dyDescent="0.35">
      <c r="A3729" s="32" t="s">
        <v>24</v>
      </c>
      <c r="B3729" s="32">
        <f t="shared" si="889"/>
        <v>2026</v>
      </c>
      <c r="C3729" s="33" t="s">
        <v>28</v>
      </c>
      <c r="D3729" s="34" t="s">
        <v>128</v>
      </c>
      <c r="E3729" s="35" t="str">
        <f t="shared" si="885"/>
        <v>PS'!</v>
      </c>
      <c r="F3729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29" s="32" t="s">
        <v>124</v>
      </c>
      <c r="H3729" s="33">
        <f t="shared" si="888"/>
        <v>15</v>
      </c>
      <c r="I3729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ECP\Cantagallo\Cristalina\[CRISTALINA_CF_SEC_New_09-Feb-2024.xlsx]D-PS'!$BE$15</v>
      </c>
      <c r="J3729" s="37" t="s">
        <v>1760</v>
      </c>
    </row>
    <row r="3730" spans="1:10" x14ac:dyDescent="0.35">
      <c r="A3730" s="32" t="s">
        <v>24</v>
      </c>
      <c r="B3730" s="32">
        <f t="shared" si="889"/>
        <v>2027</v>
      </c>
      <c r="C3730" s="33" t="s">
        <v>28</v>
      </c>
      <c r="D3730" s="34" t="s">
        <v>128</v>
      </c>
      <c r="E3730" s="35" t="str">
        <f t="shared" si="885"/>
        <v>PS'!</v>
      </c>
      <c r="F3730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30" s="32" t="s">
        <v>124</v>
      </c>
      <c r="H3730" s="33">
        <f t="shared" si="888"/>
        <v>16</v>
      </c>
      <c r="I3730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ECP\Cantagallo\Cristalina\[CRISTALINA_CF_SEC_New_09-Feb-2024.xlsx]D-PS'!$BE$16</v>
      </c>
      <c r="J3730" s="37" t="s">
        <v>1761</v>
      </c>
    </row>
    <row r="3731" spans="1:10" x14ac:dyDescent="0.35">
      <c r="A3731" s="32" t="s">
        <v>24</v>
      </c>
      <c r="B3731" s="32">
        <f t="shared" si="889"/>
        <v>2028</v>
      </c>
      <c r="C3731" s="33" t="s">
        <v>28</v>
      </c>
      <c r="D3731" s="34" t="s">
        <v>128</v>
      </c>
      <c r="E3731" s="35" t="str">
        <f t="shared" si="885"/>
        <v>PS'!</v>
      </c>
      <c r="F3731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31" s="32" t="s">
        <v>124</v>
      </c>
      <c r="H3731" s="33">
        <f t="shared" si="888"/>
        <v>17</v>
      </c>
      <c r="I3731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ECP\Cantagallo\Cristalina\[CRISTALINA_CF_SEC_New_09-Feb-2024.xlsx]D-PS'!$BE$17</v>
      </c>
      <c r="J3731" s="37" t="s">
        <v>1762</v>
      </c>
    </row>
    <row r="3732" spans="1:10" x14ac:dyDescent="0.35">
      <c r="A3732" s="32" t="s">
        <v>24</v>
      </c>
      <c r="B3732" s="32">
        <f t="shared" si="889"/>
        <v>2029</v>
      </c>
      <c r="C3732" s="33" t="s">
        <v>28</v>
      </c>
      <c r="D3732" s="34" t="s">
        <v>128</v>
      </c>
      <c r="E3732" s="35" t="str">
        <f t="shared" si="885"/>
        <v>PS'!</v>
      </c>
      <c r="F3732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32" s="32" t="s">
        <v>124</v>
      </c>
      <c r="H3732" s="33">
        <f t="shared" si="888"/>
        <v>18</v>
      </c>
      <c r="I3732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ECP\Cantagallo\Cristalina\[CRISTALINA_CF_SEC_New_09-Feb-2024.xlsx]D-PS'!$BE$18</v>
      </c>
      <c r="J3732" s="37" t="s">
        <v>1763</v>
      </c>
    </row>
    <row r="3733" spans="1:10" x14ac:dyDescent="0.35">
      <c r="A3733" s="32" t="s">
        <v>24</v>
      </c>
      <c r="B3733" s="32">
        <f t="shared" si="889"/>
        <v>2030</v>
      </c>
      <c r="C3733" s="33" t="s">
        <v>28</v>
      </c>
      <c r="D3733" s="34" t="s">
        <v>128</v>
      </c>
      <c r="E3733" s="35" t="str">
        <f t="shared" si="885"/>
        <v>PS'!</v>
      </c>
      <c r="F3733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33" s="32" t="s">
        <v>124</v>
      </c>
      <c r="H3733" s="33">
        <f t="shared" si="888"/>
        <v>19</v>
      </c>
      <c r="I3733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ECP\Cantagallo\Cristalina\[CRISTALINA_CF_SEC_New_09-Feb-2024.xlsx]D-PS'!$BE$19</v>
      </c>
      <c r="J3733" s="37" t="s">
        <v>1764</v>
      </c>
    </row>
    <row r="3734" spans="1:10" x14ac:dyDescent="0.35">
      <c r="A3734" s="32" t="s">
        <v>24</v>
      </c>
      <c r="B3734" s="32">
        <f t="shared" si="889"/>
        <v>2031</v>
      </c>
      <c r="C3734" s="33" t="s">
        <v>28</v>
      </c>
      <c r="D3734" s="34" t="s">
        <v>128</v>
      </c>
      <c r="E3734" s="35" t="str">
        <f t="shared" si="885"/>
        <v>PS'!</v>
      </c>
      <c r="F3734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34" s="32" t="s">
        <v>124</v>
      </c>
      <c r="H3734" s="33">
        <f t="shared" si="888"/>
        <v>20</v>
      </c>
      <c r="I3734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ECP\Cantagallo\Cristalina\[CRISTALINA_CF_SEC_New_09-Feb-2024.xlsx]D-PS'!$BE$20</v>
      </c>
      <c r="J3734" s="37" t="s">
        <v>1765</v>
      </c>
    </row>
    <row r="3735" spans="1:10" x14ac:dyDescent="0.35">
      <c r="A3735" s="32" t="s">
        <v>24</v>
      </c>
      <c r="B3735" s="32">
        <f t="shared" si="889"/>
        <v>2032</v>
      </c>
      <c r="C3735" s="33" t="s">
        <v>28</v>
      </c>
      <c r="D3735" s="34" t="s">
        <v>128</v>
      </c>
      <c r="E3735" s="35" t="str">
        <f t="shared" si="885"/>
        <v>PS'!</v>
      </c>
      <c r="F3735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35" s="32" t="s">
        <v>124</v>
      </c>
      <c r="H3735" s="33">
        <f t="shared" si="888"/>
        <v>21</v>
      </c>
      <c r="I3735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ECP\Cantagallo\Cristalina\[CRISTALINA_CF_SEC_New_09-Feb-2024.xlsx]D-PS'!$BE$21</v>
      </c>
      <c r="J3735" s="37" t="s">
        <v>1766</v>
      </c>
    </row>
    <row r="3736" spans="1:10" x14ac:dyDescent="0.35">
      <c r="A3736" s="32" t="s">
        <v>24</v>
      </c>
      <c r="B3736" s="32">
        <f t="shared" si="889"/>
        <v>2033</v>
      </c>
      <c r="C3736" s="33" t="s">
        <v>28</v>
      </c>
      <c r="D3736" s="34" t="s">
        <v>128</v>
      </c>
      <c r="E3736" s="35" t="str">
        <f t="shared" si="885"/>
        <v>PS'!</v>
      </c>
      <c r="F3736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36" s="32" t="s">
        <v>124</v>
      </c>
      <c r="H3736" s="33">
        <f t="shared" si="888"/>
        <v>22</v>
      </c>
      <c r="I3736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ECP\Cantagallo\Cristalina\[CRISTALINA_CF_SEC_New_09-Feb-2024.xlsx]D-PS'!$BE$22</v>
      </c>
      <c r="J3736" s="37" t="s">
        <v>1767</v>
      </c>
    </row>
    <row r="3737" spans="1:10" x14ac:dyDescent="0.35">
      <c r="A3737" s="32" t="s">
        <v>24</v>
      </c>
      <c r="B3737" s="32">
        <f t="shared" si="889"/>
        <v>2034</v>
      </c>
      <c r="C3737" s="33" t="s">
        <v>28</v>
      </c>
      <c r="D3737" s="34" t="s">
        <v>128</v>
      </c>
      <c r="E3737" s="35" t="str">
        <f t="shared" si="885"/>
        <v>PS'!</v>
      </c>
      <c r="F3737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37" s="32" t="s">
        <v>124</v>
      </c>
      <c r="H3737" s="33">
        <f t="shared" si="888"/>
        <v>23</v>
      </c>
      <c r="I3737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ECP\Cantagallo\Cristalina\[CRISTALINA_CF_SEC_New_09-Feb-2024.xlsx]D-PS'!$BE$23</v>
      </c>
      <c r="J3737" s="37" t="s">
        <v>1768</v>
      </c>
    </row>
    <row r="3738" spans="1:10" x14ac:dyDescent="0.35">
      <c r="A3738" s="32" t="s">
        <v>24</v>
      </c>
      <c r="B3738" s="32">
        <f t="shared" si="889"/>
        <v>2035</v>
      </c>
      <c r="C3738" s="33" t="s">
        <v>28</v>
      </c>
      <c r="D3738" s="34" t="s">
        <v>128</v>
      </c>
      <c r="E3738" s="35" t="str">
        <f t="shared" si="885"/>
        <v>PS'!</v>
      </c>
      <c r="F3738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38" s="32" t="s">
        <v>124</v>
      </c>
      <c r="H3738" s="33">
        <f t="shared" si="888"/>
        <v>24</v>
      </c>
      <c r="I3738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ECP\Cantagallo\Cristalina\[CRISTALINA_CF_SEC_New_09-Feb-2024.xlsx]D-PS'!$BE$24</v>
      </c>
      <c r="J3738" s="37" t="s">
        <v>1769</v>
      </c>
    </row>
    <row r="3739" spans="1:10" x14ac:dyDescent="0.35">
      <c r="A3739" s="32" t="s">
        <v>24</v>
      </c>
      <c r="B3739" s="32">
        <f t="shared" si="889"/>
        <v>2036</v>
      </c>
      <c r="C3739" s="33" t="s">
        <v>28</v>
      </c>
      <c r="D3739" s="34" t="s">
        <v>128</v>
      </c>
      <c r="E3739" s="35" t="str">
        <f t="shared" si="885"/>
        <v>PS'!</v>
      </c>
      <c r="F3739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39" s="32" t="s">
        <v>124</v>
      </c>
      <c r="H3739" s="33">
        <f t="shared" si="888"/>
        <v>25</v>
      </c>
      <c r="I3739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ECP\Cantagallo\Cristalina\[CRISTALINA_CF_SEC_New_09-Feb-2024.xlsx]D-PS'!$BE$25</v>
      </c>
      <c r="J3739" s="37" t="s">
        <v>1770</v>
      </c>
    </row>
    <row r="3740" spans="1:10" x14ac:dyDescent="0.35">
      <c r="A3740" s="32" t="s">
        <v>24</v>
      </c>
      <c r="B3740" s="32">
        <f>+B3739+1</f>
        <v>2037</v>
      </c>
      <c r="C3740" s="33" t="s">
        <v>28</v>
      </c>
      <c r="D3740" s="34" t="s">
        <v>128</v>
      </c>
      <c r="E3740" s="35" t="str">
        <f t="shared" si="885"/>
        <v>PS'!</v>
      </c>
      <c r="F3740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40" s="32" t="s">
        <v>124</v>
      </c>
      <c r="H3740" s="33">
        <f t="shared" si="888"/>
        <v>26</v>
      </c>
      <c r="I3740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ECP\Cantagallo\Cristalina\[CRISTALINA_CF_SEC_New_09-Feb-2024.xlsx]D-PS'!$BE$26</v>
      </c>
      <c r="J3740" s="37" t="s">
        <v>1771</v>
      </c>
    </row>
    <row r="3741" spans="1:10" x14ac:dyDescent="0.35">
      <c r="A3741" s="32" t="s">
        <v>24</v>
      </c>
      <c r="B3741" s="32">
        <f t="shared" ref="B3741:B3743" si="890">+B3740+1</f>
        <v>2038</v>
      </c>
      <c r="C3741" s="33" t="s">
        <v>28</v>
      </c>
      <c r="D3741" s="34" t="s">
        <v>128</v>
      </c>
      <c r="E3741" s="35" t="str">
        <f t="shared" si="885"/>
        <v>PS'!</v>
      </c>
      <c r="F3741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41" s="32" t="s">
        <v>124</v>
      </c>
      <c r="H3741" s="33">
        <f t="shared" si="888"/>
        <v>27</v>
      </c>
      <c r="I3741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ECP\Cantagallo\Cristalina\[CRISTALINA_CF_SEC_New_09-Feb-2024.xlsx]D-PS'!$BE$27</v>
      </c>
      <c r="J3741" s="37" t="s">
        <v>1772</v>
      </c>
    </row>
    <row r="3742" spans="1:10" x14ac:dyDescent="0.35">
      <c r="A3742" s="32" t="s">
        <v>24</v>
      </c>
      <c r="B3742" s="32">
        <f t="shared" si="890"/>
        <v>2039</v>
      </c>
      <c r="C3742" s="33" t="s">
        <v>28</v>
      </c>
      <c r="D3742" s="34" t="s">
        <v>128</v>
      </c>
      <c r="E3742" s="35" t="str">
        <f t="shared" si="885"/>
        <v>PS'!</v>
      </c>
      <c r="F3742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42" s="32" t="s">
        <v>124</v>
      </c>
      <c r="H3742" s="33">
        <f t="shared" si="888"/>
        <v>28</v>
      </c>
      <c r="I3742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ECP\Cantagallo\Cristalina\[CRISTALINA_CF_SEC_New_09-Feb-2024.xlsx]D-PS'!$BE$28</v>
      </c>
      <c r="J3742" s="37" t="s">
        <v>1773</v>
      </c>
    </row>
    <row r="3743" spans="1:10" x14ac:dyDescent="0.35">
      <c r="A3743" s="32" t="s">
        <v>24</v>
      </c>
      <c r="B3743" s="32">
        <f t="shared" si="890"/>
        <v>2040</v>
      </c>
      <c r="C3743" s="33" t="s">
        <v>28</v>
      </c>
      <c r="D3743" s="34" t="s">
        <v>128</v>
      </c>
      <c r="E3743" s="35" t="str">
        <f t="shared" si="885"/>
        <v>PS'!</v>
      </c>
      <c r="F3743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43" s="32" t="s">
        <v>124</v>
      </c>
      <c r="H3743" s="33">
        <f t="shared" si="888"/>
        <v>29</v>
      </c>
      <c r="I3743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ECP\Cantagallo\Cristalina\[CRISTALINA_CF_SEC_New_09-Feb-2024.xlsx]D-PS'!$BE$29</v>
      </c>
      <c r="J3743" s="37" t="s">
        <v>1774</v>
      </c>
    </row>
    <row r="3744" spans="1:10" x14ac:dyDescent="0.35">
      <c r="A3744" s="32" t="s">
        <v>24</v>
      </c>
      <c r="B3744" s="32">
        <f>+B3743+1</f>
        <v>2041</v>
      </c>
      <c r="C3744" s="33" t="s">
        <v>28</v>
      </c>
      <c r="D3744" s="34" t="s">
        <v>128</v>
      </c>
      <c r="E3744" s="35" t="str">
        <f t="shared" si="885"/>
        <v>PS'!</v>
      </c>
      <c r="F3744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44" s="32" t="s">
        <v>124</v>
      </c>
      <c r="H3744" s="33">
        <f t="shared" si="888"/>
        <v>30</v>
      </c>
      <c r="I3744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ECP\Cantagallo\Cristalina\[CRISTALINA_CF_SEC_New_09-Feb-2024.xlsx]D-PS'!$BE$30</v>
      </c>
      <c r="J3744" s="37" t="s">
        <v>1775</v>
      </c>
    </row>
    <row r="3745" spans="1:10" x14ac:dyDescent="0.35">
      <c r="A3745" s="32" t="s">
        <v>24</v>
      </c>
      <c r="B3745" s="32">
        <f t="shared" ref="B3745:B3746" si="891">+B3744+1</f>
        <v>2042</v>
      </c>
      <c r="C3745" s="33" t="s">
        <v>28</v>
      </c>
      <c r="D3745" s="34" t="s">
        <v>128</v>
      </c>
      <c r="E3745" s="35" t="str">
        <f t="shared" si="885"/>
        <v>PS'!</v>
      </c>
      <c r="F3745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45" s="32" t="s">
        <v>124</v>
      </c>
      <c r="H3745" s="33">
        <f t="shared" si="888"/>
        <v>31</v>
      </c>
      <c r="I3745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ECP\Cantagallo\Cristalina\[CRISTALINA_CF_SEC_New_09-Feb-2024.xlsx]D-PS'!$BE$31</v>
      </c>
      <c r="J3745" s="37" t="s">
        <v>1776</v>
      </c>
    </row>
    <row r="3746" spans="1:10" x14ac:dyDescent="0.35">
      <c r="A3746" s="32" t="s">
        <v>24</v>
      </c>
      <c r="B3746" s="32">
        <f t="shared" si="891"/>
        <v>2043</v>
      </c>
      <c r="C3746" s="33" t="s">
        <v>28</v>
      </c>
      <c r="D3746" s="34" t="s">
        <v>128</v>
      </c>
      <c r="E3746" s="35" t="str">
        <f t="shared" si="885"/>
        <v>PS'!</v>
      </c>
      <c r="F3746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46" s="32" t="s">
        <v>124</v>
      </c>
      <c r="H3746" s="33">
        <f t="shared" si="888"/>
        <v>32</v>
      </c>
      <c r="I3746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ECP\Cantagallo\Cristalina\[CRISTALINA_CF_SEC_New_09-Feb-2024.xlsx]D-PS'!$BE$32</v>
      </c>
      <c r="J3746" s="37" t="s">
        <v>1777</v>
      </c>
    </row>
    <row r="3747" spans="1:10" x14ac:dyDescent="0.35">
      <c r="A3747" s="32" t="s">
        <v>24</v>
      </c>
      <c r="B3747" s="32">
        <f>+B3746+1</f>
        <v>2044</v>
      </c>
      <c r="C3747" s="33" t="s">
        <v>28</v>
      </c>
      <c r="D3747" s="34" t="s">
        <v>128</v>
      </c>
      <c r="E3747" s="35" t="str">
        <f t="shared" ref="E3747:E3762" si="892">_xlfn.CONCAT(A3747,"'!")</f>
        <v>PS'!</v>
      </c>
      <c r="F3747" s="34" t="str">
        <f t="shared" ref="F3747:F3762" si="893">_xlfn.CONCAT(D3747:E3747)</f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47" s="32" t="s">
        <v>124</v>
      </c>
      <c r="H3747" s="33">
        <f t="shared" ref="H3747:H3762" si="894">IF(A3747&lt;&gt;A3746,36,H3746+1)</f>
        <v>33</v>
      </c>
      <c r="I3747" s="33" t="str">
        <f t="shared" ref="I3747:I3762" si="895">_xlfn.CONCAT("='",F3747:H3747)</f>
        <v>='C:\Users\jaime.benazar\Quorum Business Solutions\Ecopetrol Prometeo - Documents\Planning Space Implementation\3. Analysis &amp; Design\Design\FC22\DRR Jaime\Por presentar a ECP\Cantagallo\Cristalina\[CRISTALINA_CF_SEC_New_09-Feb-2024.xlsx]D-PS'!$BE$33</v>
      </c>
      <c r="J3747" s="37" t="s">
        <v>1778</v>
      </c>
    </row>
    <row r="3748" spans="1:10" x14ac:dyDescent="0.35">
      <c r="A3748" s="32" t="s">
        <v>24</v>
      </c>
      <c r="B3748" s="32">
        <f t="shared" ref="B3748:B3762" si="896">+B3747+1</f>
        <v>2045</v>
      </c>
      <c r="C3748" s="33" t="s">
        <v>28</v>
      </c>
      <c r="D3748" s="34" t="s">
        <v>128</v>
      </c>
      <c r="E3748" s="35" t="str">
        <f t="shared" si="892"/>
        <v>PS'!</v>
      </c>
      <c r="F3748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48" s="32" t="s">
        <v>124</v>
      </c>
      <c r="H3748" s="33">
        <f t="shared" si="894"/>
        <v>34</v>
      </c>
      <c r="I3748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ECP\Cantagallo\Cristalina\[CRISTALINA_CF_SEC_New_09-Feb-2024.xlsx]D-PS'!$BE$34</v>
      </c>
      <c r="J3748" s="37" t="s">
        <v>1779</v>
      </c>
    </row>
    <row r="3749" spans="1:10" x14ac:dyDescent="0.35">
      <c r="A3749" s="32" t="s">
        <v>24</v>
      </c>
      <c r="B3749" s="32">
        <f t="shared" si="896"/>
        <v>2046</v>
      </c>
      <c r="C3749" s="33" t="s">
        <v>28</v>
      </c>
      <c r="D3749" s="34" t="s">
        <v>128</v>
      </c>
      <c r="E3749" s="35" t="str">
        <f t="shared" si="892"/>
        <v>PS'!</v>
      </c>
      <c r="F3749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49" s="32" t="s">
        <v>124</v>
      </c>
      <c r="H3749" s="33">
        <f t="shared" si="894"/>
        <v>35</v>
      </c>
      <c r="I3749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ECP\Cantagallo\Cristalina\[CRISTALINA_CF_SEC_New_09-Feb-2024.xlsx]D-PS'!$BE$35</v>
      </c>
      <c r="J3749" s="37" t="s">
        <v>1780</v>
      </c>
    </row>
    <row r="3750" spans="1:10" x14ac:dyDescent="0.35">
      <c r="A3750" s="32" t="s">
        <v>24</v>
      </c>
      <c r="B3750" s="32">
        <f t="shared" si="896"/>
        <v>2047</v>
      </c>
      <c r="C3750" s="33" t="s">
        <v>28</v>
      </c>
      <c r="D3750" s="34" t="s">
        <v>128</v>
      </c>
      <c r="E3750" s="35" t="str">
        <f t="shared" si="892"/>
        <v>PS'!</v>
      </c>
      <c r="F3750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50" s="32" t="s">
        <v>124</v>
      </c>
      <c r="H3750" s="33">
        <f t="shared" si="894"/>
        <v>36</v>
      </c>
      <c r="I3750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ECP\Cantagallo\Cristalina\[CRISTALINA_CF_SEC_New_09-Feb-2024.xlsx]D-PS'!$BE$36</v>
      </c>
      <c r="J3750" s="37" t="s">
        <v>1781</v>
      </c>
    </row>
    <row r="3751" spans="1:10" x14ac:dyDescent="0.35">
      <c r="A3751" s="32" t="s">
        <v>24</v>
      </c>
      <c r="B3751" s="32">
        <f t="shared" si="896"/>
        <v>2048</v>
      </c>
      <c r="C3751" s="33" t="s">
        <v>28</v>
      </c>
      <c r="D3751" s="34" t="s">
        <v>128</v>
      </c>
      <c r="E3751" s="35" t="str">
        <f t="shared" si="892"/>
        <v>PS'!</v>
      </c>
      <c r="F3751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51" s="32" t="s">
        <v>124</v>
      </c>
      <c r="H3751" s="33">
        <f t="shared" si="894"/>
        <v>37</v>
      </c>
      <c r="I3751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ECP\Cantagallo\Cristalina\[CRISTALINA_CF_SEC_New_09-Feb-2024.xlsx]D-PS'!$BE$37</v>
      </c>
      <c r="J3751" s="37" t="s">
        <v>1782</v>
      </c>
    </row>
    <row r="3752" spans="1:10" x14ac:dyDescent="0.35">
      <c r="A3752" s="32" t="s">
        <v>24</v>
      </c>
      <c r="B3752" s="32">
        <f t="shared" si="896"/>
        <v>2049</v>
      </c>
      <c r="C3752" s="33" t="s">
        <v>28</v>
      </c>
      <c r="D3752" s="34" t="s">
        <v>128</v>
      </c>
      <c r="E3752" s="35" t="str">
        <f t="shared" si="892"/>
        <v>PS'!</v>
      </c>
      <c r="F3752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52" s="32" t="s">
        <v>124</v>
      </c>
      <c r="H3752" s="33">
        <f t="shared" si="894"/>
        <v>38</v>
      </c>
      <c r="I3752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ECP\Cantagallo\Cristalina\[CRISTALINA_CF_SEC_New_09-Feb-2024.xlsx]D-PS'!$BE$38</v>
      </c>
      <c r="J3752" s="37" t="s">
        <v>1783</v>
      </c>
    </row>
    <row r="3753" spans="1:10" x14ac:dyDescent="0.35">
      <c r="A3753" s="32" t="s">
        <v>24</v>
      </c>
      <c r="B3753" s="32">
        <f t="shared" si="896"/>
        <v>2050</v>
      </c>
      <c r="C3753" s="33" t="s">
        <v>28</v>
      </c>
      <c r="D3753" s="34" t="s">
        <v>128</v>
      </c>
      <c r="E3753" s="35" t="str">
        <f t="shared" si="892"/>
        <v>PS'!</v>
      </c>
      <c r="F3753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53" s="32" t="s">
        <v>124</v>
      </c>
      <c r="H3753" s="33">
        <f t="shared" si="894"/>
        <v>39</v>
      </c>
      <c r="I3753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ECP\Cantagallo\Cristalina\[CRISTALINA_CF_SEC_New_09-Feb-2024.xlsx]D-PS'!$BE$39</v>
      </c>
      <c r="J3753" s="37" t="s">
        <v>1784</v>
      </c>
    </row>
    <row r="3754" spans="1:10" x14ac:dyDescent="0.35">
      <c r="A3754" s="32" t="s">
        <v>24</v>
      </c>
      <c r="B3754" s="32">
        <f t="shared" si="896"/>
        <v>2051</v>
      </c>
      <c r="C3754" s="33" t="s">
        <v>28</v>
      </c>
      <c r="D3754" s="34" t="s">
        <v>128</v>
      </c>
      <c r="E3754" s="35" t="str">
        <f t="shared" si="892"/>
        <v>PS'!</v>
      </c>
      <c r="F3754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54" s="32" t="s">
        <v>124</v>
      </c>
      <c r="H3754" s="33">
        <f t="shared" si="894"/>
        <v>40</v>
      </c>
      <c r="I3754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ECP\Cantagallo\Cristalina\[CRISTALINA_CF_SEC_New_09-Feb-2024.xlsx]D-PS'!$BE$40</v>
      </c>
      <c r="J3754" s="37" t="s">
        <v>1785</v>
      </c>
    </row>
    <row r="3755" spans="1:10" x14ac:dyDescent="0.35">
      <c r="A3755" s="32" t="s">
        <v>24</v>
      </c>
      <c r="B3755" s="32">
        <f t="shared" si="896"/>
        <v>2052</v>
      </c>
      <c r="C3755" s="33" t="s">
        <v>28</v>
      </c>
      <c r="D3755" s="34" t="s">
        <v>128</v>
      </c>
      <c r="E3755" s="35" t="str">
        <f t="shared" si="892"/>
        <v>PS'!</v>
      </c>
      <c r="F3755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55" s="32" t="s">
        <v>124</v>
      </c>
      <c r="H3755" s="33">
        <f t="shared" si="894"/>
        <v>41</v>
      </c>
      <c r="I3755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ECP\Cantagallo\Cristalina\[CRISTALINA_CF_SEC_New_09-Feb-2024.xlsx]D-PS'!$BE$41</v>
      </c>
      <c r="J3755" s="37" t="s">
        <v>1786</v>
      </c>
    </row>
    <row r="3756" spans="1:10" x14ac:dyDescent="0.35">
      <c r="A3756" s="32" t="s">
        <v>24</v>
      </c>
      <c r="B3756" s="32">
        <f t="shared" si="896"/>
        <v>2053</v>
      </c>
      <c r="C3756" s="33" t="s">
        <v>28</v>
      </c>
      <c r="D3756" s="34" t="s">
        <v>128</v>
      </c>
      <c r="E3756" s="35" t="str">
        <f t="shared" si="892"/>
        <v>PS'!</v>
      </c>
      <c r="F3756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56" s="32" t="s">
        <v>124</v>
      </c>
      <c r="H3756" s="33">
        <f t="shared" si="894"/>
        <v>42</v>
      </c>
      <c r="I3756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ECP\Cantagallo\Cristalina\[CRISTALINA_CF_SEC_New_09-Feb-2024.xlsx]D-PS'!$BE$42</v>
      </c>
      <c r="J3756" s="37" t="s">
        <v>1787</v>
      </c>
    </row>
    <row r="3757" spans="1:10" x14ac:dyDescent="0.35">
      <c r="A3757" s="32" t="s">
        <v>24</v>
      </c>
      <c r="B3757" s="32">
        <f t="shared" si="896"/>
        <v>2054</v>
      </c>
      <c r="C3757" s="33" t="s">
        <v>28</v>
      </c>
      <c r="D3757" s="34" t="s">
        <v>128</v>
      </c>
      <c r="E3757" s="35" t="str">
        <f t="shared" si="892"/>
        <v>PS'!</v>
      </c>
      <c r="F3757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57" s="32" t="s">
        <v>124</v>
      </c>
      <c r="H3757" s="33">
        <f t="shared" si="894"/>
        <v>43</v>
      </c>
      <c r="I3757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ECP\Cantagallo\Cristalina\[CRISTALINA_CF_SEC_New_09-Feb-2024.xlsx]D-PS'!$BE$43</v>
      </c>
      <c r="J3757" s="37" t="s">
        <v>1788</v>
      </c>
    </row>
    <row r="3758" spans="1:10" x14ac:dyDescent="0.35">
      <c r="A3758" s="32" t="s">
        <v>24</v>
      </c>
      <c r="B3758" s="32">
        <f t="shared" si="896"/>
        <v>2055</v>
      </c>
      <c r="C3758" s="33" t="s">
        <v>28</v>
      </c>
      <c r="D3758" s="34" t="s">
        <v>128</v>
      </c>
      <c r="E3758" s="35" t="str">
        <f t="shared" si="892"/>
        <v>PS'!</v>
      </c>
      <c r="F3758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58" s="32" t="s">
        <v>124</v>
      </c>
      <c r="H3758" s="33">
        <f t="shared" si="894"/>
        <v>44</v>
      </c>
      <c r="I3758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ECP\Cantagallo\Cristalina\[CRISTALINA_CF_SEC_New_09-Feb-2024.xlsx]D-PS'!$BE$44</v>
      </c>
      <c r="J3758" s="37" t="s">
        <v>1789</v>
      </c>
    </row>
    <row r="3759" spans="1:10" x14ac:dyDescent="0.35">
      <c r="A3759" s="32" t="s">
        <v>24</v>
      </c>
      <c r="B3759" s="32">
        <f t="shared" si="896"/>
        <v>2056</v>
      </c>
      <c r="C3759" s="33" t="s">
        <v>28</v>
      </c>
      <c r="D3759" s="34" t="s">
        <v>128</v>
      </c>
      <c r="E3759" s="35" t="str">
        <f t="shared" si="892"/>
        <v>PS'!</v>
      </c>
      <c r="F3759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59" s="32" t="s">
        <v>124</v>
      </c>
      <c r="H3759" s="33">
        <f t="shared" si="894"/>
        <v>45</v>
      </c>
      <c r="I3759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ECP\Cantagallo\Cristalina\[CRISTALINA_CF_SEC_New_09-Feb-2024.xlsx]D-PS'!$BE$45</v>
      </c>
      <c r="J3759" s="37" t="s">
        <v>1790</v>
      </c>
    </row>
    <row r="3760" spans="1:10" x14ac:dyDescent="0.35">
      <c r="A3760" s="32" t="s">
        <v>24</v>
      </c>
      <c r="B3760" s="32">
        <f t="shared" si="896"/>
        <v>2057</v>
      </c>
      <c r="C3760" s="33" t="s">
        <v>28</v>
      </c>
      <c r="D3760" s="34" t="s">
        <v>128</v>
      </c>
      <c r="E3760" s="35" t="str">
        <f t="shared" si="892"/>
        <v>PS'!</v>
      </c>
      <c r="F3760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60" s="32" t="s">
        <v>124</v>
      </c>
      <c r="H3760" s="33">
        <f t="shared" si="894"/>
        <v>46</v>
      </c>
      <c r="I3760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ECP\Cantagallo\Cristalina\[CRISTALINA_CF_SEC_New_09-Feb-2024.xlsx]D-PS'!$BE$46</v>
      </c>
      <c r="J3760" s="37" t="s">
        <v>1791</v>
      </c>
    </row>
    <row r="3761" spans="1:10" x14ac:dyDescent="0.35">
      <c r="A3761" s="32" t="s">
        <v>24</v>
      </c>
      <c r="B3761" s="32">
        <f t="shared" si="896"/>
        <v>2058</v>
      </c>
      <c r="C3761" s="33" t="s">
        <v>28</v>
      </c>
      <c r="D3761" s="34" t="s">
        <v>128</v>
      </c>
      <c r="E3761" s="35" t="str">
        <f t="shared" si="892"/>
        <v>PS'!</v>
      </c>
      <c r="F3761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61" s="32" t="s">
        <v>124</v>
      </c>
      <c r="H3761" s="33">
        <f t="shared" si="894"/>
        <v>47</v>
      </c>
      <c r="I3761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ECP\Cantagallo\Cristalina\[CRISTALINA_CF_SEC_New_09-Feb-2024.xlsx]D-PS'!$BE$47</v>
      </c>
      <c r="J3761" s="37" t="s">
        <v>1792</v>
      </c>
    </row>
    <row r="3762" spans="1:10" x14ac:dyDescent="0.35">
      <c r="A3762" s="32" t="s">
        <v>24</v>
      </c>
      <c r="B3762" s="32">
        <f t="shared" si="896"/>
        <v>2059</v>
      </c>
      <c r="C3762" s="33" t="s">
        <v>28</v>
      </c>
      <c r="D3762" s="34" t="s">
        <v>128</v>
      </c>
      <c r="E3762" s="35" t="str">
        <f t="shared" si="892"/>
        <v>PS'!</v>
      </c>
      <c r="F3762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62" s="32" t="s">
        <v>124</v>
      </c>
      <c r="H3762" s="33">
        <f t="shared" si="894"/>
        <v>48</v>
      </c>
      <c r="I3762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ECP\Cantagallo\Cristalina\[CRISTALINA_CF_SEC_New_09-Feb-2024.xlsx]D-PS'!$BE$48</v>
      </c>
      <c r="J3762" s="37" t="s">
        <v>1793</v>
      </c>
    </row>
    <row r="3763" spans="1:10" x14ac:dyDescent="0.35">
      <c r="A3763" s="32" t="s">
        <v>26</v>
      </c>
      <c r="B3763" s="32"/>
      <c r="C3763" s="33" t="s">
        <v>28</v>
      </c>
      <c r="D3763" s="34"/>
      <c r="E3763" s="35"/>
      <c r="F3763" s="34"/>
      <c r="G3763" s="32"/>
      <c r="H3763" s="33"/>
      <c r="I3763" s="33"/>
      <c r="J3763" s="33"/>
    </row>
    <row r="3764" spans="1:10" x14ac:dyDescent="0.35">
      <c r="A3764" s="32" t="s">
        <v>14</v>
      </c>
      <c r="B3764" s="32">
        <v>2023</v>
      </c>
      <c r="C3764" s="33" t="s">
        <v>43</v>
      </c>
      <c r="D3764" s="34" t="s">
        <v>128</v>
      </c>
      <c r="E3764" s="35" t="str">
        <f>_xlfn.CONCAT(A3764,"'!")</f>
        <v>PDP'!</v>
      </c>
      <c r="F3764" s="34" t="str">
        <f>_xlfn.CONCAT(D3764:E3764)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64" s="32" t="s">
        <v>125</v>
      </c>
      <c r="H3764" s="33">
        <v>12</v>
      </c>
      <c r="I3764" s="33" t="str">
        <f>_xlfn.CONCAT("='",F3764:H3764)</f>
        <v>='C:\Users\jaime.benazar\Quorum Business Solutions\Ecopetrol Prometeo - Documents\Planning Space Implementation\3. Analysis &amp; Design\Design\FC22\DRR Jaime\Por presentar a ECP\Cantagallo\Cristalina\[CRISTALINA_CF_SEC_New_09-Feb-2024.xlsx]D-PDP'!$CB$12</v>
      </c>
      <c r="J3764" s="36" t="s">
        <v>1794</v>
      </c>
    </row>
    <row r="3765" spans="1:10" x14ac:dyDescent="0.35">
      <c r="A3765" s="32" t="s">
        <v>14</v>
      </c>
      <c r="B3765" s="32">
        <f>+B3764+1</f>
        <v>2024</v>
      </c>
      <c r="C3765" s="33" t="s">
        <v>43</v>
      </c>
      <c r="D3765" s="34" t="s">
        <v>128</v>
      </c>
      <c r="E3765" s="35" t="str">
        <f t="shared" ref="E3765:E3822" si="897">_xlfn.CONCAT(A3765,"'!")</f>
        <v>PDP'!</v>
      </c>
      <c r="F3765" s="34" t="str">
        <f t="shared" ref="F3765:F3784" si="898">_xlfn.CONCAT(D3765:E3765)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65" s="32" t="s">
        <v>125</v>
      </c>
      <c r="H3765" s="33">
        <f t="shared" ref="H3765:H3784" si="899">IF(A3765&lt;&gt;A3764,12,H3764+1)</f>
        <v>13</v>
      </c>
      <c r="I3765" s="33" t="str">
        <f t="shared" ref="I3765:I3784" si="900">_xlfn.CONCAT("='",F3765:H3765)</f>
        <v>='C:\Users\jaime.benazar\Quorum Business Solutions\Ecopetrol Prometeo - Documents\Planning Space Implementation\3. Analysis &amp; Design\Design\FC22\DRR Jaime\Por presentar a ECP\Cantagallo\Cristalina\[CRISTALINA_CF_SEC_New_09-Feb-2024.xlsx]D-PDP'!$CB$13</v>
      </c>
      <c r="J3765" s="37" t="s">
        <v>1795</v>
      </c>
    </row>
    <row r="3766" spans="1:10" x14ac:dyDescent="0.35">
      <c r="A3766" s="32" t="s">
        <v>14</v>
      </c>
      <c r="B3766" s="32">
        <f t="shared" ref="B3766:B3800" si="901">+B3765+1</f>
        <v>2025</v>
      </c>
      <c r="C3766" s="33" t="s">
        <v>43</v>
      </c>
      <c r="D3766" s="34" t="s">
        <v>128</v>
      </c>
      <c r="E3766" s="35" t="str">
        <f t="shared" si="897"/>
        <v>PDP'!</v>
      </c>
      <c r="F3766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66" s="32" t="s">
        <v>125</v>
      </c>
      <c r="H3766" s="33">
        <f t="shared" si="899"/>
        <v>14</v>
      </c>
      <c r="I3766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ECP\Cantagallo\Cristalina\[CRISTALINA_CF_SEC_New_09-Feb-2024.xlsx]D-PDP'!$CB$14</v>
      </c>
      <c r="J3766" s="37" t="s">
        <v>1796</v>
      </c>
    </row>
    <row r="3767" spans="1:10" x14ac:dyDescent="0.35">
      <c r="A3767" s="32" t="s">
        <v>14</v>
      </c>
      <c r="B3767" s="32">
        <f t="shared" si="901"/>
        <v>2026</v>
      </c>
      <c r="C3767" s="33" t="s">
        <v>43</v>
      </c>
      <c r="D3767" s="34" t="s">
        <v>128</v>
      </c>
      <c r="E3767" s="35" t="str">
        <f t="shared" si="897"/>
        <v>PDP'!</v>
      </c>
      <c r="F3767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67" s="32" t="s">
        <v>125</v>
      </c>
      <c r="H3767" s="33">
        <f t="shared" si="899"/>
        <v>15</v>
      </c>
      <c r="I3767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ECP\Cantagallo\Cristalina\[CRISTALINA_CF_SEC_New_09-Feb-2024.xlsx]D-PDP'!$CB$15</v>
      </c>
      <c r="J3767" s="37" t="s">
        <v>1797</v>
      </c>
    </row>
    <row r="3768" spans="1:10" x14ac:dyDescent="0.35">
      <c r="A3768" s="32" t="s">
        <v>14</v>
      </c>
      <c r="B3768" s="32">
        <f t="shared" si="901"/>
        <v>2027</v>
      </c>
      <c r="C3768" s="33" t="s">
        <v>43</v>
      </c>
      <c r="D3768" s="34" t="s">
        <v>128</v>
      </c>
      <c r="E3768" s="35" t="str">
        <f t="shared" si="897"/>
        <v>PDP'!</v>
      </c>
      <c r="F3768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68" s="32" t="s">
        <v>125</v>
      </c>
      <c r="H3768" s="33">
        <f t="shared" si="899"/>
        <v>16</v>
      </c>
      <c r="I3768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ECP\Cantagallo\Cristalina\[CRISTALINA_CF_SEC_New_09-Feb-2024.xlsx]D-PDP'!$CB$16</v>
      </c>
      <c r="J3768" s="37" t="s">
        <v>1798</v>
      </c>
    </row>
    <row r="3769" spans="1:10" x14ac:dyDescent="0.35">
      <c r="A3769" s="32" t="s">
        <v>14</v>
      </c>
      <c r="B3769" s="32">
        <f t="shared" si="901"/>
        <v>2028</v>
      </c>
      <c r="C3769" s="33" t="s">
        <v>43</v>
      </c>
      <c r="D3769" s="34" t="s">
        <v>128</v>
      </c>
      <c r="E3769" s="35" t="str">
        <f t="shared" si="897"/>
        <v>PDP'!</v>
      </c>
      <c r="F3769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69" s="32" t="s">
        <v>125</v>
      </c>
      <c r="H3769" s="33">
        <f t="shared" si="899"/>
        <v>17</v>
      </c>
      <c r="I3769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ECP\Cantagallo\Cristalina\[CRISTALINA_CF_SEC_New_09-Feb-2024.xlsx]D-PDP'!$CB$17</v>
      </c>
      <c r="J3769" s="37" t="s">
        <v>1799</v>
      </c>
    </row>
    <row r="3770" spans="1:10" x14ac:dyDescent="0.35">
      <c r="A3770" s="32" t="s">
        <v>14</v>
      </c>
      <c r="B3770" s="32">
        <f t="shared" si="901"/>
        <v>2029</v>
      </c>
      <c r="C3770" s="33" t="s">
        <v>43</v>
      </c>
      <c r="D3770" s="34" t="s">
        <v>128</v>
      </c>
      <c r="E3770" s="35" t="str">
        <f t="shared" si="897"/>
        <v>PDP'!</v>
      </c>
      <c r="F3770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70" s="32" t="s">
        <v>125</v>
      </c>
      <c r="H3770" s="33">
        <f t="shared" si="899"/>
        <v>18</v>
      </c>
      <c r="I3770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ECP\Cantagallo\Cristalina\[CRISTALINA_CF_SEC_New_09-Feb-2024.xlsx]D-PDP'!$CB$18</v>
      </c>
      <c r="J3770" s="37" t="s">
        <v>1800</v>
      </c>
    </row>
    <row r="3771" spans="1:10" x14ac:dyDescent="0.35">
      <c r="A3771" s="32" t="s">
        <v>14</v>
      </c>
      <c r="B3771" s="32">
        <f t="shared" si="901"/>
        <v>2030</v>
      </c>
      <c r="C3771" s="33" t="s">
        <v>43</v>
      </c>
      <c r="D3771" s="34" t="s">
        <v>128</v>
      </c>
      <c r="E3771" s="35" t="str">
        <f t="shared" si="897"/>
        <v>PDP'!</v>
      </c>
      <c r="F3771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71" s="32" t="s">
        <v>125</v>
      </c>
      <c r="H3771" s="33">
        <f t="shared" si="899"/>
        <v>19</v>
      </c>
      <c r="I3771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ECP\Cantagallo\Cristalina\[CRISTALINA_CF_SEC_New_09-Feb-2024.xlsx]D-PDP'!$CB$19</v>
      </c>
      <c r="J3771" s="37" t="s">
        <v>1801</v>
      </c>
    </row>
    <row r="3772" spans="1:10" x14ac:dyDescent="0.35">
      <c r="A3772" s="32" t="s">
        <v>14</v>
      </c>
      <c r="B3772" s="32">
        <f t="shared" si="901"/>
        <v>2031</v>
      </c>
      <c r="C3772" s="33" t="s">
        <v>43</v>
      </c>
      <c r="D3772" s="34" t="s">
        <v>128</v>
      </c>
      <c r="E3772" s="35" t="str">
        <f t="shared" si="897"/>
        <v>PDP'!</v>
      </c>
      <c r="F3772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72" s="32" t="s">
        <v>125</v>
      </c>
      <c r="H3772" s="33">
        <f t="shared" si="899"/>
        <v>20</v>
      </c>
      <c r="I3772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ECP\Cantagallo\Cristalina\[CRISTALINA_CF_SEC_New_09-Feb-2024.xlsx]D-PDP'!$CB$20</v>
      </c>
      <c r="J3772" s="37" t="s">
        <v>1802</v>
      </c>
    </row>
    <row r="3773" spans="1:10" x14ac:dyDescent="0.35">
      <c r="A3773" s="32" t="s">
        <v>14</v>
      </c>
      <c r="B3773" s="32">
        <f t="shared" si="901"/>
        <v>2032</v>
      </c>
      <c r="C3773" s="33" t="s">
        <v>43</v>
      </c>
      <c r="D3773" s="34" t="s">
        <v>128</v>
      </c>
      <c r="E3773" s="35" t="str">
        <f t="shared" si="897"/>
        <v>PDP'!</v>
      </c>
      <c r="F3773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73" s="32" t="s">
        <v>125</v>
      </c>
      <c r="H3773" s="33">
        <f t="shared" si="899"/>
        <v>21</v>
      </c>
      <c r="I3773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ECP\Cantagallo\Cristalina\[CRISTALINA_CF_SEC_New_09-Feb-2024.xlsx]D-PDP'!$CB$21</v>
      </c>
      <c r="J3773" s="37" t="s">
        <v>1803</v>
      </c>
    </row>
    <row r="3774" spans="1:10" x14ac:dyDescent="0.35">
      <c r="A3774" s="32" t="s">
        <v>14</v>
      </c>
      <c r="B3774" s="32">
        <f t="shared" si="901"/>
        <v>2033</v>
      </c>
      <c r="C3774" s="33" t="s">
        <v>43</v>
      </c>
      <c r="D3774" s="34" t="s">
        <v>128</v>
      </c>
      <c r="E3774" s="35" t="str">
        <f t="shared" si="897"/>
        <v>PDP'!</v>
      </c>
      <c r="F3774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74" s="32" t="s">
        <v>125</v>
      </c>
      <c r="H3774" s="33">
        <f t="shared" si="899"/>
        <v>22</v>
      </c>
      <c r="I3774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ECP\Cantagallo\Cristalina\[CRISTALINA_CF_SEC_New_09-Feb-2024.xlsx]D-PDP'!$CB$22</v>
      </c>
      <c r="J3774" s="37" t="s">
        <v>1804</v>
      </c>
    </row>
    <row r="3775" spans="1:10" x14ac:dyDescent="0.35">
      <c r="A3775" s="32" t="s">
        <v>14</v>
      </c>
      <c r="B3775" s="32">
        <f t="shared" si="901"/>
        <v>2034</v>
      </c>
      <c r="C3775" s="33" t="s">
        <v>43</v>
      </c>
      <c r="D3775" s="34" t="s">
        <v>128</v>
      </c>
      <c r="E3775" s="35" t="str">
        <f t="shared" si="897"/>
        <v>PDP'!</v>
      </c>
      <c r="F3775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75" s="32" t="s">
        <v>125</v>
      </c>
      <c r="H3775" s="33">
        <f t="shared" si="899"/>
        <v>23</v>
      </c>
      <c r="I3775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ECP\Cantagallo\Cristalina\[CRISTALINA_CF_SEC_New_09-Feb-2024.xlsx]D-PDP'!$CB$23</v>
      </c>
      <c r="J3775" s="37" t="s">
        <v>1805</v>
      </c>
    </row>
    <row r="3776" spans="1:10" x14ac:dyDescent="0.35">
      <c r="A3776" s="32" t="s">
        <v>14</v>
      </c>
      <c r="B3776" s="32">
        <f t="shared" si="901"/>
        <v>2035</v>
      </c>
      <c r="C3776" s="33" t="s">
        <v>43</v>
      </c>
      <c r="D3776" s="34" t="s">
        <v>128</v>
      </c>
      <c r="E3776" s="35" t="str">
        <f t="shared" si="897"/>
        <v>PDP'!</v>
      </c>
      <c r="F3776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76" s="32" t="s">
        <v>125</v>
      </c>
      <c r="H3776" s="33">
        <f t="shared" si="899"/>
        <v>24</v>
      </c>
      <c r="I3776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ECP\Cantagallo\Cristalina\[CRISTALINA_CF_SEC_New_09-Feb-2024.xlsx]D-PDP'!$CB$24</v>
      </c>
      <c r="J3776" s="37" t="s">
        <v>1806</v>
      </c>
    </row>
    <row r="3777" spans="1:10" x14ac:dyDescent="0.35">
      <c r="A3777" s="32" t="s">
        <v>14</v>
      </c>
      <c r="B3777" s="32">
        <f t="shared" si="901"/>
        <v>2036</v>
      </c>
      <c r="C3777" s="33" t="s">
        <v>43</v>
      </c>
      <c r="D3777" s="34" t="s">
        <v>128</v>
      </c>
      <c r="E3777" s="35" t="str">
        <f t="shared" si="897"/>
        <v>PDP'!</v>
      </c>
      <c r="F3777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77" s="32" t="s">
        <v>125</v>
      </c>
      <c r="H3777" s="33">
        <f t="shared" si="899"/>
        <v>25</v>
      </c>
      <c r="I3777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ECP\Cantagallo\Cristalina\[CRISTALINA_CF_SEC_New_09-Feb-2024.xlsx]D-PDP'!$CB$25</v>
      </c>
      <c r="J3777" s="37" t="s">
        <v>1807</v>
      </c>
    </row>
    <row r="3778" spans="1:10" x14ac:dyDescent="0.35">
      <c r="A3778" s="32" t="s">
        <v>14</v>
      </c>
      <c r="B3778" s="32">
        <f>+B3777+1</f>
        <v>2037</v>
      </c>
      <c r="C3778" s="33" t="s">
        <v>43</v>
      </c>
      <c r="D3778" s="34" t="s">
        <v>128</v>
      </c>
      <c r="E3778" s="35" t="str">
        <f t="shared" si="897"/>
        <v>PDP'!</v>
      </c>
      <c r="F3778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78" s="32" t="s">
        <v>125</v>
      </c>
      <c r="H3778" s="33">
        <f t="shared" si="899"/>
        <v>26</v>
      </c>
      <c r="I3778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ECP\Cantagallo\Cristalina\[CRISTALINA_CF_SEC_New_09-Feb-2024.xlsx]D-PDP'!$CB$26</v>
      </c>
      <c r="J3778" s="37" t="s">
        <v>1808</v>
      </c>
    </row>
    <row r="3779" spans="1:10" x14ac:dyDescent="0.35">
      <c r="A3779" s="32" t="s">
        <v>14</v>
      </c>
      <c r="B3779" s="32">
        <f t="shared" si="901"/>
        <v>2038</v>
      </c>
      <c r="C3779" s="33" t="s">
        <v>43</v>
      </c>
      <c r="D3779" s="34" t="s">
        <v>128</v>
      </c>
      <c r="E3779" s="35" t="str">
        <f t="shared" si="897"/>
        <v>PDP'!</v>
      </c>
      <c r="F3779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79" s="32" t="s">
        <v>125</v>
      </c>
      <c r="H3779" s="33">
        <f t="shared" si="899"/>
        <v>27</v>
      </c>
      <c r="I3779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ECP\Cantagallo\Cristalina\[CRISTALINA_CF_SEC_New_09-Feb-2024.xlsx]D-PDP'!$CB$27</v>
      </c>
      <c r="J3779" s="37" t="s">
        <v>1809</v>
      </c>
    </row>
    <row r="3780" spans="1:10" x14ac:dyDescent="0.35">
      <c r="A3780" s="32" t="s">
        <v>14</v>
      </c>
      <c r="B3780" s="32">
        <f t="shared" si="901"/>
        <v>2039</v>
      </c>
      <c r="C3780" s="33" t="s">
        <v>43</v>
      </c>
      <c r="D3780" s="34" t="s">
        <v>128</v>
      </c>
      <c r="E3780" s="35" t="str">
        <f t="shared" si="897"/>
        <v>PDP'!</v>
      </c>
      <c r="F3780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80" s="32" t="s">
        <v>125</v>
      </c>
      <c r="H3780" s="33">
        <f t="shared" si="899"/>
        <v>28</v>
      </c>
      <c r="I3780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ECP\Cantagallo\Cristalina\[CRISTALINA_CF_SEC_New_09-Feb-2024.xlsx]D-PDP'!$CB$28</v>
      </c>
      <c r="J3780" s="37" t="s">
        <v>1810</v>
      </c>
    </row>
    <row r="3781" spans="1:10" x14ac:dyDescent="0.35">
      <c r="A3781" s="32" t="s">
        <v>14</v>
      </c>
      <c r="B3781" s="32">
        <f t="shared" si="901"/>
        <v>2040</v>
      </c>
      <c r="C3781" s="33" t="s">
        <v>43</v>
      </c>
      <c r="D3781" s="34" t="s">
        <v>128</v>
      </c>
      <c r="E3781" s="35" t="str">
        <f t="shared" si="897"/>
        <v>PDP'!</v>
      </c>
      <c r="F3781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81" s="32" t="s">
        <v>125</v>
      </c>
      <c r="H3781" s="33">
        <f t="shared" si="899"/>
        <v>29</v>
      </c>
      <c r="I3781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ECP\Cantagallo\Cristalina\[CRISTALINA_CF_SEC_New_09-Feb-2024.xlsx]D-PDP'!$CB$29</v>
      </c>
      <c r="J3781" s="37" t="s">
        <v>1811</v>
      </c>
    </row>
    <row r="3782" spans="1:10" x14ac:dyDescent="0.35">
      <c r="A3782" s="32" t="s">
        <v>14</v>
      </c>
      <c r="B3782" s="32">
        <f>+B3781+1</f>
        <v>2041</v>
      </c>
      <c r="C3782" s="33" t="s">
        <v>43</v>
      </c>
      <c r="D3782" s="34" t="s">
        <v>128</v>
      </c>
      <c r="E3782" s="35" t="str">
        <f t="shared" si="897"/>
        <v>PDP'!</v>
      </c>
      <c r="F3782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82" s="32" t="s">
        <v>125</v>
      </c>
      <c r="H3782" s="33">
        <f t="shared" si="899"/>
        <v>30</v>
      </c>
      <c r="I3782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ECP\Cantagallo\Cristalina\[CRISTALINA_CF_SEC_New_09-Feb-2024.xlsx]D-PDP'!$CB$30</v>
      </c>
      <c r="J3782" s="37" t="s">
        <v>1812</v>
      </c>
    </row>
    <row r="3783" spans="1:10" x14ac:dyDescent="0.35">
      <c r="A3783" s="32" t="s">
        <v>14</v>
      </c>
      <c r="B3783" s="32">
        <f t="shared" si="901"/>
        <v>2042</v>
      </c>
      <c r="C3783" s="33" t="s">
        <v>43</v>
      </c>
      <c r="D3783" s="34" t="s">
        <v>128</v>
      </c>
      <c r="E3783" s="35" t="str">
        <f t="shared" si="897"/>
        <v>PDP'!</v>
      </c>
      <c r="F3783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83" s="32" t="s">
        <v>125</v>
      </c>
      <c r="H3783" s="33">
        <f t="shared" si="899"/>
        <v>31</v>
      </c>
      <c r="I3783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ECP\Cantagallo\Cristalina\[CRISTALINA_CF_SEC_New_09-Feb-2024.xlsx]D-PDP'!$CB$31</v>
      </c>
      <c r="J3783" s="37" t="s">
        <v>1813</v>
      </c>
    </row>
    <row r="3784" spans="1:10" x14ac:dyDescent="0.35">
      <c r="A3784" s="32" t="s">
        <v>14</v>
      </c>
      <c r="B3784" s="32">
        <f t="shared" si="901"/>
        <v>2043</v>
      </c>
      <c r="C3784" s="33" t="s">
        <v>43</v>
      </c>
      <c r="D3784" s="34" t="s">
        <v>128</v>
      </c>
      <c r="E3784" s="35" t="str">
        <f t="shared" si="897"/>
        <v>PDP'!</v>
      </c>
      <c r="F3784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84" s="32" t="s">
        <v>125</v>
      </c>
      <c r="H3784" s="33">
        <f t="shared" si="899"/>
        <v>32</v>
      </c>
      <c r="I3784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ECP\Cantagallo\Cristalina\[CRISTALINA_CF_SEC_New_09-Feb-2024.xlsx]D-PDP'!$CB$32</v>
      </c>
      <c r="J3784" s="37" t="s">
        <v>1814</v>
      </c>
    </row>
    <row r="3785" spans="1:10" x14ac:dyDescent="0.35">
      <c r="A3785" s="32" t="s">
        <v>14</v>
      </c>
      <c r="B3785" s="32">
        <f>+B3784+1</f>
        <v>2044</v>
      </c>
      <c r="C3785" s="33" t="s">
        <v>43</v>
      </c>
      <c r="D3785" s="34" t="s">
        <v>128</v>
      </c>
      <c r="E3785" s="35" t="str">
        <f t="shared" ref="E3785:E3800" si="902">_xlfn.CONCAT(A3785,"'!")</f>
        <v>PDP'!</v>
      </c>
      <c r="F3785" s="34" t="str">
        <f t="shared" ref="F3785:F3800" si="903">_xlfn.CONCAT(D3785:E3785)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85" s="32" t="s">
        <v>125</v>
      </c>
      <c r="H3785" s="33">
        <f t="shared" ref="H3785:H3800" si="904">IF(A3785&lt;&gt;A3784,12,H3784+1)</f>
        <v>33</v>
      </c>
      <c r="I3785" s="33" t="str">
        <f t="shared" ref="I3785:I3800" si="905">_xlfn.CONCAT("='",F3785:H3785)</f>
        <v>='C:\Users\jaime.benazar\Quorum Business Solutions\Ecopetrol Prometeo - Documents\Planning Space Implementation\3. Analysis &amp; Design\Design\FC22\DRR Jaime\Por presentar a ECP\Cantagallo\Cristalina\[CRISTALINA_CF_SEC_New_09-Feb-2024.xlsx]D-PDP'!$CB$33</v>
      </c>
      <c r="J3785" s="37" t="s">
        <v>1815</v>
      </c>
    </row>
    <row r="3786" spans="1:10" x14ac:dyDescent="0.35">
      <c r="A3786" s="32" t="s">
        <v>14</v>
      </c>
      <c r="B3786" s="32">
        <f t="shared" si="901"/>
        <v>2045</v>
      </c>
      <c r="C3786" s="33" t="s">
        <v>43</v>
      </c>
      <c r="D3786" s="34" t="s">
        <v>128</v>
      </c>
      <c r="E3786" s="35" t="str">
        <f t="shared" si="902"/>
        <v>PDP'!</v>
      </c>
      <c r="F3786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86" s="32" t="s">
        <v>125</v>
      </c>
      <c r="H3786" s="33">
        <f t="shared" si="904"/>
        <v>34</v>
      </c>
      <c r="I3786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ECP\Cantagallo\Cristalina\[CRISTALINA_CF_SEC_New_09-Feb-2024.xlsx]D-PDP'!$CB$34</v>
      </c>
      <c r="J3786" s="37" t="s">
        <v>1816</v>
      </c>
    </row>
    <row r="3787" spans="1:10" x14ac:dyDescent="0.35">
      <c r="A3787" s="32" t="s">
        <v>14</v>
      </c>
      <c r="B3787" s="32">
        <f t="shared" si="901"/>
        <v>2046</v>
      </c>
      <c r="C3787" s="33" t="s">
        <v>43</v>
      </c>
      <c r="D3787" s="34" t="s">
        <v>128</v>
      </c>
      <c r="E3787" s="35" t="str">
        <f t="shared" si="902"/>
        <v>PDP'!</v>
      </c>
      <c r="F3787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87" s="32" t="s">
        <v>125</v>
      </c>
      <c r="H3787" s="33">
        <f t="shared" si="904"/>
        <v>35</v>
      </c>
      <c r="I3787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ECP\Cantagallo\Cristalina\[CRISTALINA_CF_SEC_New_09-Feb-2024.xlsx]D-PDP'!$CB$35</v>
      </c>
      <c r="J3787" s="37" t="s">
        <v>1817</v>
      </c>
    </row>
    <row r="3788" spans="1:10" x14ac:dyDescent="0.35">
      <c r="A3788" s="32" t="s">
        <v>14</v>
      </c>
      <c r="B3788" s="32">
        <f t="shared" si="901"/>
        <v>2047</v>
      </c>
      <c r="C3788" s="33" t="s">
        <v>43</v>
      </c>
      <c r="D3788" s="34" t="s">
        <v>128</v>
      </c>
      <c r="E3788" s="35" t="str">
        <f t="shared" si="902"/>
        <v>PDP'!</v>
      </c>
      <c r="F3788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88" s="32" t="s">
        <v>125</v>
      </c>
      <c r="H3788" s="33">
        <f t="shared" si="904"/>
        <v>36</v>
      </c>
      <c r="I3788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ECP\Cantagallo\Cristalina\[CRISTALINA_CF_SEC_New_09-Feb-2024.xlsx]D-PDP'!$CB$36</v>
      </c>
      <c r="J3788" s="37" t="s">
        <v>1818</v>
      </c>
    </row>
    <row r="3789" spans="1:10" x14ac:dyDescent="0.35">
      <c r="A3789" s="32" t="s">
        <v>14</v>
      </c>
      <c r="B3789" s="32">
        <f t="shared" si="901"/>
        <v>2048</v>
      </c>
      <c r="C3789" s="33" t="s">
        <v>43</v>
      </c>
      <c r="D3789" s="34" t="s">
        <v>128</v>
      </c>
      <c r="E3789" s="35" t="str">
        <f t="shared" si="902"/>
        <v>PDP'!</v>
      </c>
      <c r="F3789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89" s="32" t="s">
        <v>125</v>
      </c>
      <c r="H3789" s="33">
        <f t="shared" si="904"/>
        <v>37</v>
      </c>
      <c r="I3789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ECP\Cantagallo\Cristalina\[CRISTALINA_CF_SEC_New_09-Feb-2024.xlsx]D-PDP'!$CB$37</v>
      </c>
      <c r="J3789" s="37" t="s">
        <v>1819</v>
      </c>
    </row>
    <row r="3790" spans="1:10" x14ac:dyDescent="0.35">
      <c r="A3790" s="32" t="s">
        <v>14</v>
      </c>
      <c r="B3790" s="32">
        <f t="shared" si="901"/>
        <v>2049</v>
      </c>
      <c r="C3790" s="33" t="s">
        <v>43</v>
      </c>
      <c r="D3790" s="34" t="s">
        <v>128</v>
      </c>
      <c r="E3790" s="35" t="str">
        <f t="shared" si="902"/>
        <v>PDP'!</v>
      </c>
      <c r="F3790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90" s="32" t="s">
        <v>125</v>
      </c>
      <c r="H3790" s="33">
        <f t="shared" si="904"/>
        <v>38</v>
      </c>
      <c r="I3790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ECP\Cantagallo\Cristalina\[CRISTALINA_CF_SEC_New_09-Feb-2024.xlsx]D-PDP'!$CB$38</v>
      </c>
      <c r="J3790" s="37" t="s">
        <v>1820</v>
      </c>
    </row>
    <row r="3791" spans="1:10" x14ac:dyDescent="0.35">
      <c r="A3791" s="32" t="s">
        <v>14</v>
      </c>
      <c r="B3791" s="32">
        <f t="shared" si="901"/>
        <v>2050</v>
      </c>
      <c r="C3791" s="33" t="s">
        <v>43</v>
      </c>
      <c r="D3791" s="34" t="s">
        <v>128</v>
      </c>
      <c r="E3791" s="35" t="str">
        <f t="shared" si="902"/>
        <v>PDP'!</v>
      </c>
      <c r="F3791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91" s="32" t="s">
        <v>125</v>
      </c>
      <c r="H3791" s="33">
        <f t="shared" si="904"/>
        <v>39</v>
      </c>
      <c r="I3791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ECP\Cantagallo\Cristalina\[CRISTALINA_CF_SEC_New_09-Feb-2024.xlsx]D-PDP'!$CB$39</v>
      </c>
      <c r="J3791" s="37" t="s">
        <v>1821</v>
      </c>
    </row>
    <row r="3792" spans="1:10" x14ac:dyDescent="0.35">
      <c r="A3792" s="32" t="s">
        <v>14</v>
      </c>
      <c r="B3792" s="32">
        <f t="shared" si="901"/>
        <v>2051</v>
      </c>
      <c r="C3792" s="33" t="s">
        <v>43</v>
      </c>
      <c r="D3792" s="34" t="s">
        <v>128</v>
      </c>
      <c r="E3792" s="35" t="str">
        <f t="shared" si="902"/>
        <v>PDP'!</v>
      </c>
      <c r="F3792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92" s="32" t="s">
        <v>125</v>
      </c>
      <c r="H3792" s="33">
        <f t="shared" si="904"/>
        <v>40</v>
      </c>
      <c r="I3792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ECP\Cantagallo\Cristalina\[CRISTALINA_CF_SEC_New_09-Feb-2024.xlsx]D-PDP'!$CB$40</v>
      </c>
      <c r="J3792" s="37" t="s">
        <v>1822</v>
      </c>
    </row>
    <row r="3793" spans="1:10" x14ac:dyDescent="0.35">
      <c r="A3793" s="32" t="s">
        <v>14</v>
      </c>
      <c r="B3793" s="32">
        <f t="shared" si="901"/>
        <v>2052</v>
      </c>
      <c r="C3793" s="33" t="s">
        <v>43</v>
      </c>
      <c r="D3793" s="34" t="s">
        <v>128</v>
      </c>
      <c r="E3793" s="35" t="str">
        <f t="shared" si="902"/>
        <v>PDP'!</v>
      </c>
      <c r="F3793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93" s="32" t="s">
        <v>125</v>
      </c>
      <c r="H3793" s="33">
        <f t="shared" si="904"/>
        <v>41</v>
      </c>
      <c r="I3793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ECP\Cantagallo\Cristalina\[CRISTALINA_CF_SEC_New_09-Feb-2024.xlsx]D-PDP'!$CB$41</v>
      </c>
      <c r="J3793" s="37" t="s">
        <v>1823</v>
      </c>
    </row>
    <row r="3794" spans="1:10" x14ac:dyDescent="0.35">
      <c r="A3794" s="32" t="s">
        <v>14</v>
      </c>
      <c r="B3794" s="32">
        <f t="shared" si="901"/>
        <v>2053</v>
      </c>
      <c r="C3794" s="33" t="s">
        <v>43</v>
      </c>
      <c r="D3794" s="34" t="s">
        <v>128</v>
      </c>
      <c r="E3794" s="35" t="str">
        <f t="shared" si="902"/>
        <v>PDP'!</v>
      </c>
      <c r="F3794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94" s="32" t="s">
        <v>125</v>
      </c>
      <c r="H3794" s="33">
        <f t="shared" si="904"/>
        <v>42</v>
      </c>
      <c r="I3794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ECP\Cantagallo\Cristalina\[CRISTALINA_CF_SEC_New_09-Feb-2024.xlsx]D-PDP'!$CB$42</v>
      </c>
      <c r="J3794" s="37" t="s">
        <v>1824</v>
      </c>
    </row>
    <row r="3795" spans="1:10" x14ac:dyDescent="0.35">
      <c r="A3795" s="32" t="s">
        <v>14</v>
      </c>
      <c r="B3795" s="32">
        <f t="shared" si="901"/>
        <v>2054</v>
      </c>
      <c r="C3795" s="33" t="s">
        <v>43</v>
      </c>
      <c r="D3795" s="34" t="s">
        <v>128</v>
      </c>
      <c r="E3795" s="35" t="str">
        <f t="shared" si="902"/>
        <v>PDP'!</v>
      </c>
      <c r="F3795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95" s="32" t="s">
        <v>125</v>
      </c>
      <c r="H3795" s="33">
        <f t="shared" si="904"/>
        <v>43</v>
      </c>
      <c r="I3795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ECP\Cantagallo\Cristalina\[CRISTALINA_CF_SEC_New_09-Feb-2024.xlsx]D-PDP'!$CB$43</v>
      </c>
      <c r="J3795" s="37" t="s">
        <v>1825</v>
      </c>
    </row>
    <row r="3796" spans="1:10" x14ac:dyDescent="0.35">
      <c r="A3796" s="32" t="s">
        <v>14</v>
      </c>
      <c r="B3796" s="32">
        <f t="shared" si="901"/>
        <v>2055</v>
      </c>
      <c r="C3796" s="33" t="s">
        <v>43</v>
      </c>
      <c r="D3796" s="34" t="s">
        <v>128</v>
      </c>
      <c r="E3796" s="35" t="str">
        <f t="shared" si="902"/>
        <v>PDP'!</v>
      </c>
      <c r="F3796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96" s="32" t="s">
        <v>125</v>
      </c>
      <c r="H3796" s="33">
        <f t="shared" si="904"/>
        <v>44</v>
      </c>
      <c r="I3796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ECP\Cantagallo\Cristalina\[CRISTALINA_CF_SEC_New_09-Feb-2024.xlsx]D-PDP'!$CB$44</v>
      </c>
      <c r="J3796" s="37" t="s">
        <v>1826</v>
      </c>
    </row>
    <row r="3797" spans="1:10" x14ac:dyDescent="0.35">
      <c r="A3797" s="32" t="s">
        <v>14</v>
      </c>
      <c r="B3797" s="32">
        <f t="shared" si="901"/>
        <v>2056</v>
      </c>
      <c r="C3797" s="33" t="s">
        <v>43</v>
      </c>
      <c r="D3797" s="34" t="s">
        <v>128</v>
      </c>
      <c r="E3797" s="35" t="str">
        <f t="shared" si="902"/>
        <v>PDP'!</v>
      </c>
      <c r="F3797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97" s="32" t="s">
        <v>125</v>
      </c>
      <c r="H3797" s="33">
        <f t="shared" si="904"/>
        <v>45</v>
      </c>
      <c r="I3797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ECP\Cantagallo\Cristalina\[CRISTALINA_CF_SEC_New_09-Feb-2024.xlsx]D-PDP'!$CB$45</v>
      </c>
      <c r="J3797" s="37" t="s">
        <v>1827</v>
      </c>
    </row>
    <row r="3798" spans="1:10" x14ac:dyDescent="0.35">
      <c r="A3798" s="32" t="s">
        <v>14</v>
      </c>
      <c r="B3798" s="32">
        <f t="shared" si="901"/>
        <v>2057</v>
      </c>
      <c r="C3798" s="33" t="s">
        <v>43</v>
      </c>
      <c r="D3798" s="34" t="s">
        <v>128</v>
      </c>
      <c r="E3798" s="35" t="str">
        <f t="shared" si="902"/>
        <v>PDP'!</v>
      </c>
      <c r="F3798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98" s="32" t="s">
        <v>125</v>
      </c>
      <c r="H3798" s="33">
        <f t="shared" si="904"/>
        <v>46</v>
      </c>
      <c r="I3798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ECP\Cantagallo\Cristalina\[CRISTALINA_CF_SEC_New_09-Feb-2024.xlsx]D-PDP'!$CB$46</v>
      </c>
      <c r="J3798" s="37" t="s">
        <v>1828</v>
      </c>
    </row>
    <row r="3799" spans="1:10" x14ac:dyDescent="0.35">
      <c r="A3799" s="32" t="s">
        <v>14</v>
      </c>
      <c r="B3799" s="32">
        <f t="shared" si="901"/>
        <v>2058</v>
      </c>
      <c r="C3799" s="33" t="s">
        <v>43</v>
      </c>
      <c r="D3799" s="34" t="s">
        <v>128</v>
      </c>
      <c r="E3799" s="35" t="str">
        <f t="shared" si="902"/>
        <v>PDP'!</v>
      </c>
      <c r="F3799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99" s="32" t="s">
        <v>125</v>
      </c>
      <c r="H3799" s="33">
        <f t="shared" si="904"/>
        <v>47</v>
      </c>
      <c r="I3799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ECP\Cantagallo\Cristalina\[CRISTALINA_CF_SEC_New_09-Feb-2024.xlsx]D-PDP'!$CB$47</v>
      </c>
      <c r="J3799" s="37" t="s">
        <v>1829</v>
      </c>
    </row>
    <row r="3800" spans="1:10" x14ac:dyDescent="0.35">
      <c r="A3800" s="32" t="s">
        <v>14</v>
      </c>
      <c r="B3800" s="32">
        <f t="shared" si="901"/>
        <v>2059</v>
      </c>
      <c r="C3800" s="33" t="s">
        <v>43</v>
      </c>
      <c r="D3800" s="34" t="s">
        <v>128</v>
      </c>
      <c r="E3800" s="35" t="str">
        <f t="shared" si="902"/>
        <v>PDP'!</v>
      </c>
      <c r="F3800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800" s="32" t="s">
        <v>125</v>
      </c>
      <c r="H3800" s="33">
        <f t="shared" si="904"/>
        <v>48</v>
      </c>
      <c r="I3800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ECP\Cantagallo\Cristalina\[CRISTALINA_CF_SEC_New_09-Feb-2024.xlsx]D-PDP'!$CB$48</v>
      </c>
      <c r="J3800" s="37" t="s">
        <v>1830</v>
      </c>
    </row>
    <row r="3801" spans="1:10" x14ac:dyDescent="0.35">
      <c r="A3801" s="32" t="s">
        <v>26</v>
      </c>
      <c r="B3801" s="32"/>
      <c r="C3801" s="33" t="s">
        <v>43</v>
      </c>
      <c r="D3801" s="34"/>
      <c r="E3801" s="35" t="str">
        <f t="shared" si="897"/>
        <v>Total'!</v>
      </c>
      <c r="F3801" s="34"/>
      <c r="G3801" s="32"/>
      <c r="H3801" s="33"/>
      <c r="I3801" s="33"/>
      <c r="J3801" s="33"/>
    </row>
    <row r="3802" spans="1:10" x14ac:dyDescent="0.35">
      <c r="A3802" s="32" t="s">
        <v>15</v>
      </c>
      <c r="B3802" s="32">
        <v>2023</v>
      </c>
      <c r="C3802" s="33" t="s">
        <v>43</v>
      </c>
      <c r="D3802" s="34" t="s">
        <v>128</v>
      </c>
      <c r="E3802" s="35" t="str">
        <f t="shared" si="897"/>
        <v>PNP'!</v>
      </c>
      <c r="F3802" s="34" t="str">
        <f t="shared" ref="F3802:F3822" si="906">_xlfn.CONCAT(D3802:E3802)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02" s="32" t="s">
        <v>125</v>
      </c>
      <c r="H3802" s="33">
        <v>12</v>
      </c>
      <c r="I3802" s="33" t="str">
        <f t="shared" ref="I3802:I3822" si="907">_xlfn.CONCAT("='",F3802:H3802)</f>
        <v>='C:\Users\jaime.benazar\Quorum Business Solutions\Ecopetrol Prometeo - Documents\Planning Space Implementation\3. Analysis &amp; Design\Design\FC22\DRR Jaime\Por presentar a ECP\Cantagallo\Cristalina\[CRISTALINA_CF_SEC_New_09-Feb-2024.xlsx]D-PNP'!$CB$12</v>
      </c>
      <c r="J3802" s="37" t="s">
        <v>1831</v>
      </c>
    </row>
    <row r="3803" spans="1:10" x14ac:dyDescent="0.35">
      <c r="A3803" s="32" t="s">
        <v>15</v>
      </c>
      <c r="B3803" s="32">
        <f>+B3802+1</f>
        <v>2024</v>
      </c>
      <c r="C3803" s="33" t="s">
        <v>43</v>
      </c>
      <c r="D3803" s="34" t="s">
        <v>128</v>
      </c>
      <c r="E3803" s="35" t="str">
        <f t="shared" si="897"/>
        <v>PNP'!</v>
      </c>
      <c r="F3803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03" s="32" t="s">
        <v>125</v>
      </c>
      <c r="H3803" s="33">
        <f t="shared" ref="H3803:H3822" si="908">IF(A3803&lt;&gt;A3802,12,H3802+1)</f>
        <v>13</v>
      </c>
      <c r="I3803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ECP\Cantagallo\Cristalina\[CRISTALINA_CF_SEC_New_09-Feb-2024.xlsx]D-PNP'!$CB$13</v>
      </c>
      <c r="J3803" s="37" t="s">
        <v>1832</v>
      </c>
    </row>
    <row r="3804" spans="1:10" x14ac:dyDescent="0.35">
      <c r="A3804" s="32" t="s">
        <v>15</v>
      </c>
      <c r="B3804" s="32">
        <f t="shared" ref="B3804:B3815" si="909">+B3803+1</f>
        <v>2025</v>
      </c>
      <c r="C3804" s="33" t="s">
        <v>43</v>
      </c>
      <c r="D3804" s="34" t="s">
        <v>128</v>
      </c>
      <c r="E3804" s="35" t="str">
        <f t="shared" si="897"/>
        <v>PNP'!</v>
      </c>
      <c r="F3804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04" s="32" t="s">
        <v>125</v>
      </c>
      <c r="H3804" s="33">
        <f t="shared" si="908"/>
        <v>14</v>
      </c>
      <c r="I3804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ECP\Cantagallo\Cristalina\[CRISTALINA_CF_SEC_New_09-Feb-2024.xlsx]D-PNP'!$CB$14</v>
      </c>
      <c r="J3804" s="37" t="s">
        <v>1833</v>
      </c>
    </row>
    <row r="3805" spans="1:10" x14ac:dyDescent="0.35">
      <c r="A3805" s="32" t="s">
        <v>15</v>
      </c>
      <c r="B3805" s="32">
        <f t="shared" si="909"/>
        <v>2026</v>
      </c>
      <c r="C3805" s="33" t="s">
        <v>43</v>
      </c>
      <c r="D3805" s="34" t="s">
        <v>128</v>
      </c>
      <c r="E3805" s="35" t="str">
        <f t="shared" si="897"/>
        <v>PNP'!</v>
      </c>
      <c r="F3805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05" s="32" t="s">
        <v>125</v>
      </c>
      <c r="H3805" s="33">
        <f t="shared" si="908"/>
        <v>15</v>
      </c>
      <c r="I3805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ECP\Cantagallo\Cristalina\[CRISTALINA_CF_SEC_New_09-Feb-2024.xlsx]D-PNP'!$CB$15</v>
      </c>
      <c r="J3805" s="37" t="s">
        <v>1834</v>
      </c>
    </row>
    <row r="3806" spans="1:10" x14ac:dyDescent="0.35">
      <c r="A3806" s="32" t="s">
        <v>15</v>
      </c>
      <c r="B3806" s="32">
        <f t="shared" si="909"/>
        <v>2027</v>
      </c>
      <c r="C3806" s="33" t="s">
        <v>43</v>
      </c>
      <c r="D3806" s="34" t="s">
        <v>128</v>
      </c>
      <c r="E3806" s="35" t="str">
        <f t="shared" si="897"/>
        <v>PNP'!</v>
      </c>
      <c r="F3806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06" s="32" t="s">
        <v>125</v>
      </c>
      <c r="H3806" s="33">
        <f t="shared" si="908"/>
        <v>16</v>
      </c>
      <c r="I3806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ECP\Cantagallo\Cristalina\[CRISTALINA_CF_SEC_New_09-Feb-2024.xlsx]D-PNP'!$CB$16</v>
      </c>
      <c r="J3806" s="37" t="s">
        <v>1835</v>
      </c>
    </row>
    <row r="3807" spans="1:10" x14ac:dyDescent="0.35">
      <c r="A3807" s="32" t="s">
        <v>15</v>
      </c>
      <c r="B3807" s="32">
        <f t="shared" si="909"/>
        <v>2028</v>
      </c>
      <c r="C3807" s="33" t="s">
        <v>43</v>
      </c>
      <c r="D3807" s="34" t="s">
        <v>128</v>
      </c>
      <c r="E3807" s="35" t="str">
        <f t="shared" si="897"/>
        <v>PNP'!</v>
      </c>
      <c r="F3807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07" s="32" t="s">
        <v>125</v>
      </c>
      <c r="H3807" s="33">
        <f t="shared" si="908"/>
        <v>17</v>
      </c>
      <c r="I3807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ECP\Cantagallo\Cristalina\[CRISTALINA_CF_SEC_New_09-Feb-2024.xlsx]D-PNP'!$CB$17</v>
      </c>
      <c r="J3807" s="37" t="s">
        <v>1836</v>
      </c>
    </row>
    <row r="3808" spans="1:10" x14ac:dyDescent="0.35">
      <c r="A3808" s="32" t="s">
        <v>15</v>
      </c>
      <c r="B3808" s="32">
        <f t="shared" si="909"/>
        <v>2029</v>
      </c>
      <c r="C3808" s="33" t="s">
        <v>43</v>
      </c>
      <c r="D3808" s="34" t="s">
        <v>128</v>
      </c>
      <c r="E3808" s="35" t="str">
        <f t="shared" si="897"/>
        <v>PNP'!</v>
      </c>
      <c r="F3808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08" s="32" t="s">
        <v>125</v>
      </c>
      <c r="H3808" s="33">
        <f t="shared" si="908"/>
        <v>18</v>
      </c>
      <c r="I3808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ECP\Cantagallo\Cristalina\[CRISTALINA_CF_SEC_New_09-Feb-2024.xlsx]D-PNP'!$CB$18</v>
      </c>
      <c r="J3808" s="37" t="s">
        <v>1837</v>
      </c>
    </row>
    <row r="3809" spans="1:10" x14ac:dyDescent="0.35">
      <c r="A3809" s="32" t="s">
        <v>15</v>
      </c>
      <c r="B3809" s="32">
        <f t="shared" si="909"/>
        <v>2030</v>
      </c>
      <c r="C3809" s="33" t="s">
        <v>43</v>
      </c>
      <c r="D3809" s="34" t="s">
        <v>128</v>
      </c>
      <c r="E3809" s="35" t="str">
        <f t="shared" si="897"/>
        <v>PNP'!</v>
      </c>
      <c r="F3809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09" s="32" t="s">
        <v>125</v>
      </c>
      <c r="H3809" s="33">
        <f t="shared" si="908"/>
        <v>19</v>
      </c>
      <c r="I3809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ECP\Cantagallo\Cristalina\[CRISTALINA_CF_SEC_New_09-Feb-2024.xlsx]D-PNP'!$CB$19</v>
      </c>
      <c r="J3809" s="37" t="s">
        <v>1838</v>
      </c>
    </row>
    <row r="3810" spans="1:10" x14ac:dyDescent="0.35">
      <c r="A3810" s="32" t="s">
        <v>15</v>
      </c>
      <c r="B3810" s="32">
        <f t="shared" si="909"/>
        <v>2031</v>
      </c>
      <c r="C3810" s="33" t="s">
        <v>43</v>
      </c>
      <c r="D3810" s="34" t="s">
        <v>128</v>
      </c>
      <c r="E3810" s="35" t="str">
        <f t="shared" si="897"/>
        <v>PNP'!</v>
      </c>
      <c r="F3810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10" s="32" t="s">
        <v>125</v>
      </c>
      <c r="H3810" s="33">
        <f t="shared" si="908"/>
        <v>20</v>
      </c>
      <c r="I3810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ECP\Cantagallo\Cristalina\[CRISTALINA_CF_SEC_New_09-Feb-2024.xlsx]D-PNP'!$CB$20</v>
      </c>
      <c r="J3810" s="37" t="s">
        <v>1839</v>
      </c>
    </row>
    <row r="3811" spans="1:10" x14ac:dyDescent="0.35">
      <c r="A3811" s="32" t="s">
        <v>15</v>
      </c>
      <c r="B3811" s="32">
        <f t="shared" si="909"/>
        <v>2032</v>
      </c>
      <c r="C3811" s="33" t="s">
        <v>43</v>
      </c>
      <c r="D3811" s="34" t="s">
        <v>128</v>
      </c>
      <c r="E3811" s="35" t="str">
        <f t="shared" si="897"/>
        <v>PNP'!</v>
      </c>
      <c r="F3811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11" s="32" t="s">
        <v>125</v>
      </c>
      <c r="H3811" s="33">
        <f t="shared" si="908"/>
        <v>21</v>
      </c>
      <c r="I3811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ECP\Cantagallo\Cristalina\[CRISTALINA_CF_SEC_New_09-Feb-2024.xlsx]D-PNP'!$CB$21</v>
      </c>
      <c r="J3811" s="37" t="s">
        <v>1840</v>
      </c>
    </row>
    <row r="3812" spans="1:10" x14ac:dyDescent="0.35">
      <c r="A3812" s="32" t="s">
        <v>15</v>
      </c>
      <c r="B3812" s="32">
        <f t="shared" si="909"/>
        <v>2033</v>
      </c>
      <c r="C3812" s="33" t="s">
        <v>43</v>
      </c>
      <c r="D3812" s="34" t="s">
        <v>128</v>
      </c>
      <c r="E3812" s="35" t="str">
        <f t="shared" si="897"/>
        <v>PNP'!</v>
      </c>
      <c r="F3812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12" s="32" t="s">
        <v>125</v>
      </c>
      <c r="H3812" s="33">
        <f t="shared" si="908"/>
        <v>22</v>
      </c>
      <c r="I3812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ECP\Cantagallo\Cristalina\[CRISTALINA_CF_SEC_New_09-Feb-2024.xlsx]D-PNP'!$CB$22</v>
      </c>
      <c r="J3812" s="37" t="s">
        <v>1841</v>
      </c>
    </row>
    <row r="3813" spans="1:10" x14ac:dyDescent="0.35">
      <c r="A3813" s="32" t="s">
        <v>15</v>
      </c>
      <c r="B3813" s="32">
        <f t="shared" si="909"/>
        <v>2034</v>
      </c>
      <c r="C3813" s="33" t="s">
        <v>43</v>
      </c>
      <c r="D3813" s="34" t="s">
        <v>128</v>
      </c>
      <c r="E3813" s="35" t="str">
        <f t="shared" si="897"/>
        <v>PNP'!</v>
      </c>
      <c r="F3813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13" s="32" t="s">
        <v>125</v>
      </c>
      <c r="H3813" s="33">
        <f t="shared" si="908"/>
        <v>23</v>
      </c>
      <c r="I3813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ECP\Cantagallo\Cristalina\[CRISTALINA_CF_SEC_New_09-Feb-2024.xlsx]D-PNP'!$CB$23</v>
      </c>
      <c r="J3813" s="37" t="s">
        <v>1842</v>
      </c>
    </row>
    <row r="3814" spans="1:10" x14ac:dyDescent="0.35">
      <c r="A3814" s="32" t="s">
        <v>15</v>
      </c>
      <c r="B3814" s="32">
        <f t="shared" si="909"/>
        <v>2035</v>
      </c>
      <c r="C3814" s="33" t="s">
        <v>43</v>
      </c>
      <c r="D3814" s="34" t="s">
        <v>128</v>
      </c>
      <c r="E3814" s="35" t="str">
        <f t="shared" si="897"/>
        <v>PNP'!</v>
      </c>
      <c r="F3814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14" s="32" t="s">
        <v>125</v>
      </c>
      <c r="H3814" s="33">
        <f t="shared" si="908"/>
        <v>24</v>
      </c>
      <c r="I3814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ECP\Cantagallo\Cristalina\[CRISTALINA_CF_SEC_New_09-Feb-2024.xlsx]D-PNP'!$CB$24</v>
      </c>
      <c r="J3814" s="37" t="s">
        <v>1843</v>
      </c>
    </row>
    <row r="3815" spans="1:10" x14ac:dyDescent="0.35">
      <c r="A3815" s="32" t="s">
        <v>15</v>
      </c>
      <c r="B3815" s="32">
        <f t="shared" si="909"/>
        <v>2036</v>
      </c>
      <c r="C3815" s="33" t="s">
        <v>43</v>
      </c>
      <c r="D3815" s="34" t="s">
        <v>128</v>
      </c>
      <c r="E3815" s="35" t="str">
        <f t="shared" si="897"/>
        <v>PNP'!</v>
      </c>
      <c r="F3815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15" s="32" t="s">
        <v>125</v>
      </c>
      <c r="H3815" s="33">
        <f t="shared" si="908"/>
        <v>25</v>
      </c>
      <c r="I3815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ECP\Cantagallo\Cristalina\[CRISTALINA_CF_SEC_New_09-Feb-2024.xlsx]D-PNP'!$CB$25</v>
      </c>
      <c r="J3815" s="37" t="s">
        <v>1844</v>
      </c>
    </row>
    <row r="3816" spans="1:10" x14ac:dyDescent="0.35">
      <c r="A3816" s="32" t="s">
        <v>15</v>
      </c>
      <c r="B3816" s="32">
        <f>+B3815+1</f>
        <v>2037</v>
      </c>
      <c r="C3816" s="33" t="s">
        <v>43</v>
      </c>
      <c r="D3816" s="34" t="s">
        <v>128</v>
      </c>
      <c r="E3816" s="35" t="str">
        <f t="shared" si="897"/>
        <v>PNP'!</v>
      </c>
      <c r="F3816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16" s="32" t="s">
        <v>125</v>
      </c>
      <c r="H3816" s="33">
        <f t="shared" si="908"/>
        <v>26</v>
      </c>
      <c r="I3816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ECP\Cantagallo\Cristalina\[CRISTALINA_CF_SEC_New_09-Feb-2024.xlsx]D-PNP'!$CB$26</v>
      </c>
      <c r="J3816" s="37" t="s">
        <v>1845</v>
      </c>
    </row>
    <row r="3817" spans="1:10" x14ac:dyDescent="0.35">
      <c r="A3817" s="32" t="s">
        <v>15</v>
      </c>
      <c r="B3817" s="32">
        <f t="shared" ref="B3817:B3819" si="910">+B3816+1</f>
        <v>2038</v>
      </c>
      <c r="C3817" s="33" t="s">
        <v>43</v>
      </c>
      <c r="D3817" s="34" t="s">
        <v>128</v>
      </c>
      <c r="E3817" s="35" t="str">
        <f t="shared" si="897"/>
        <v>PNP'!</v>
      </c>
      <c r="F3817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17" s="32" t="s">
        <v>125</v>
      </c>
      <c r="H3817" s="33">
        <f t="shared" si="908"/>
        <v>27</v>
      </c>
      <c r="I3817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ECP\Cantagallo\Cristalina\[CRISTALINA_CF_SEC_New_09-Feb-2024.xlsx]D-PNP'!$CB$27</v>
      </c>
      <c r="J3817" s="37" t="s">
        <v>1846</v>
      </c>
    </row>
    <row r="3818" spans="1:10" x14ac:dyDescent="0.35">
      <c r="A3818" s="32" t="s">
        <v>15</v>
      </c>
      <c r="B3818" s="32">
        <f t="shared" si="910"/>
        <v>2039</v>
      </c>
      <c r="C3818" s="33" t="s">
        <v>43</v>
      </c>
      <c r="D3818" s="34" t="s">
        <v>128</v>
      </c>
      <c r="E3818" s="35" t="str">
        <f t="shared" si="897"/>
        <v>PNP'!</v>
      </c>
      <c r="F3818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18" s="32" t="s">
        <v>125</v>
      </c>
      <c r="H3818" s="33">
        <f t="shared" si="908"/>
        <v>28</v>
      </c>
      <c r="I3818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ECP\Cantagallo\Cristalina\[CRISTALINA_CF_SEC_New_09-Feb-2024.xlsx]D-PNP'!$CB$28</v>
      </c>
      <c r="J3818" s="37" t="s">
        <v>1847</v>
      </c>
    </row>
    <row r="3819" spans="1:10" x14ac:dyDescent="0.35">
      <c r="A3819" s="32" t="s">
        <v>15</v>
      </c>
      <c r="B3819" s="32">
        <f t="shared" si="910"/>
        <v>2040</v>
      </c>
      <c r="C3819" s="33" t="s">
        <v>43</v>
      </c>
      <c r="D3819" s="34" t="s">
        <v>128</v>
      </c>
      <c r="E3819" s="35" t="str">
        <f t="shared" si="897"/>
        <v>PNP'!</v>
      </c>
      <c r="F3819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19" s="32" t="s">
        <v>125</v>
      </c>
      <c r="H3819" s="33">
        <f t="shared" si="908"/>
        <v>29</v>
      </c>
      <c r="I3819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ECP\Cantagallo\Cristalina\[CRISTALINA_CF_SEC_New_09-Feb-2024.xlsx]D-PNP'!$CB$29</v>
      </c>
      <c r="J3819" s="37" t="s">
        <v>1848</v>
      </c>
    </row>
    <row r="3820" spans="1:10" x14ac:dyDescent="0.35">
      <c r="A3820" s="32" t="s">
        <v>15</v>
      </c>
      <c r="B3820" s="32">
        <f>+B3819+1</f>
        <v>2041</v>
      </c>
      <c r="C3820" s="33" t="s">
        <v>43</v>
      </c>
      <c r="D3820" s="34" t="s">
        <v>128</v>
      </c>
      <c r="E3820" s="35" t="str">
        <f t="shared" si="897"/>
        <v>PNP'!</v>
      </c>
      <c r="F3820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20" s="32" t="s">
        <v>125</v>
      </c>
      <c r="H3820" s="33">
        <f t="shared" si="908"/>
        <v>30</v>
      </c>
      <c r="I3820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ECP\Cantagallo\Cristalina\[CRISTALINA_CF_SEC_New_09-Feb-2024.xlsx]D-PNP'!$CB$30</v>
      </c>
      <c r="J3820" s="37" t="s">
        <v>1849</v>
      </c>
    </row>
    <row r="3821" spans="1:10" x14ac:dyDescent="0.35">
      <c r="A3821" s="32" t="s">
        <v>15</v>
      </c>
      <c r="B3821" s="32">
        <f t="shared" ref="B3821:B3822" si="911">+B3820+1</f>
        <v>2042</v>
      </c>
      <c r="C3821" s="33" t="s">
        <v>43</v>
      </c>
      <c r="D3821" s="34" t="s">
        <v>128</v>
      </c>
      <c r="E3821" s="35" t="str">
        <f t="shared" si="897"/>
        <v>PNP'!</v>
      </c>
      <c r="F3821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21" s="32" t="s">
        <v>125</v>
      </c>
      <c r="H3821" s="33">
        <f t="shared" si="908"/>
        <v>31</v>
      </c>
      <c r="I3821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ECP\Cantagallo\Cristalina\[CRISTALINA_CF_SEC_New_09-Feb-2024.xlsx]D-PNP'!$CB$31</v>
      </c>
      <c r="J3821" s="37" t="s">
        <v>1850</v>
      </c>
    </row>
    <row r="3822" spans="1:10" x14ac:dyDescent="0.35">
      <c r="A3822" s="32" t="s">
        <v>15</v>
      </c>
      <c r="B3822" s="32">
        <f t="shared" si="911"/>
        <v>2043</v>
      </c>
      <c r="C3822" s="33" t="s">
        <v>43</v>
      </c>
      <c r="D3822" s="34" t="s">
        <v>128</v>
      </c>
      <c r="E3822" s="35" t="str">
        <f t="shared" si="897"/>
        <v>PNP'!</v>
      </c>
      <c r="F3822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22" s="32" t="s">
        <v>125</v>
      </c>
      <c r="H3822" s="33">
        <f t="shared" si="908"/>
        <v>32</v>
      </c>
      <c r="I3822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ECP\Cantagallo\Cristalina\[CRISTALINA_CF_SEC_New_09-Feb-2024.xlsx]D-PNP'!$CB$32</v>
      </c>
      <c r="J3822" s="37" t="s">
        <v>1851</v>
      </c>
    </row>
    <row r="3823" spans="1:10" x14ac:dyDescent="0.35">
      <c r="A3823" s="32" t="s">
        <v>15</v>
      </c>
      <c r="B3823" s="32">
        <f>+B3822+1</f>
        <v>2044</v>
      </c>
      <c r="C3823" s="33" t="s">
        <v>43</v>
      </c>
      <c r="D3823" s="34" t="s">
        <v>128</v>
      </c>
      <c r="E3823" s="35" t="str">
        <f t="shared" ref="E3823:E3838" si="912">_xlfn.CONCAT(A3823,"'!")</f>
        <v>PNP'!</v>
      </c>
      <c r="F3823" s="34" t="str">
        <f t="shared" ref="F3823:F3838" si="913">_xlfn.CONCAT(D3823:E3823)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23" s="32" t="s">
        <v>125</v>
      </c>
      <c r="H3823" s="33">
        <f t="shared" ref="H3823:H3838" si="914">IF(A3823&lt;&gt;A3822,12,H3822+1)</f>
        <v>33</v>
      </c>
      <c r="I3823" s="33" t="str">
        <f t="shared" ref="I3823:I3838" si="915">_xlfn.CONCAT("='",F3823:H3823)</f>
        <v>='C:\Users\jaime.benazar\Quorum Business Solutions\Ecopetrol Prometeo - Documents\Planning Space Implementation\3. Analysis &amp; Design\Design\FC22\DRR Jaime\Por presentar a ECP\Cantagallo\Cristalina\[CRISTALINA_CF_SEC_New_09-Feb-2024.xlsx]D-PNP'!$CB$33</v>
      </c>
      <c r="J3823" s="37" t="s">
        <v>1852</v>
      </c>
    </row>
    <row r="3824" spans="1:10" x14ac:dyDescent="0.35">
      <c r="A3824" s="32" t="s">
        <v>15</v>
      </c>
      <c r="B3824" s="32">
        <f t="shared" ref="B3824:B3838" si="916">+B3823+1</f>
        <v>2045</v>
      </c>
      <c r="C3824" s="33" t="s">
        <v>43</v>
      </c>
      <c r="D3824" s="34" t="s">
        <v>128</v>
      </c>
      <c r="E3824" s="35" t="str">
        <f t="shared" si="912"/>
        <v>PNP'!</v>
      </c>
      <c r="F3824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24" s="32" t="s">
        <v>125</v>
      </c>
      <c r="H3824" s="33">
        <f t="shared" si="914"/>
        <v>34</v>
      </c>
      <c r="I3824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ECP\Cantagallo\Cristalina\[CRISTALINA_CF_SEC_New_09-Feb-2024.xlsx]D-PNP'!$CB$34</v>
      </c>
      <c r="J3824" s="37" t="s">
        <v>1853</v>
      </c>
    </row>
    <row r="3825" spans="1:10" x14ac:dyDescent="0.35">
      <c r="A3825" s="32" t="s">
        <v>15</v>
      </c>
      <c r="B3825" s="32">
        <f t="shared" si="916"/>
        <v>2046</v>
      </c>
      <c r="C3825" s="33" t="s">
        <v>43</v>
      </c>
      <c r="D3825" s="34" t="s">
        <v>128</v>
      </c>
      <c r="E3825" s="35" t="str">
        <f t="shared" si="912"/>
        <v>PNP'!</v>
      </c>
      <c r="F3825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25" s="32" t="s">
        <v>125</v>
      </c>
      <c r="H3825" s="33">
        <f t="shared" si="914"/>
        <v>35</v>
      </c>
      <c r="I3825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ECP\Cantagallo\Cristalina\[CRISTALINA_CF_SEC_New_09-Feb-2024.xlsx]D-PNP'!$CB$35</v>
      </c>
      <c r="J3825" s="37" t="s">
        <v>1854</v>
      </c>
    </row>
    <row r="3826" spans="1:10" x14ac:dyDescent="0.35">
      <c r="A3826" s="32" t="s">
        <v>15</v>
      </c>
      <c r="B3826" s="32">
        <f t="shared" si="916"/>
        <v>2047</v>
      </c>
      <c r="C3826" s="33" t="s">
        <v>43</v>
      </c>
      <c r="D3826" s="34" t="s">
        <v>128</v>
      </c>
      <c r="E3826" s="35" t="str">
        <f t="shared" si="912"/>
        <v>PNP'!</v>
      </c>
      <c r="F3826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26" s="32" t="s">
        <v>125</v>
      </c>
      <c r="H3826" s="33">
        <f t="shared" si="914"/>
        <v>36</v>
      </c>
      <c r="I3826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ECP\Cantagallo\Cristalina\[CRISTALINA_CF_SEC_New_09-Feb-2024.xlsx]D-PNP'!$CB$36</v>
      </c>
      <c r="J3826" s="37" t="s">
        <v>1855</v>
      </c>
    </row>
    <row r="3827" spans="1:10" x14ac:dyDescent="0.35">
      <c r="A3827" s="32" t="s">
        <v>15</v>
      </c>
      <c r="B3827" s="32">
        <f t="shared" si="916"/>
        <v>2048</v>
      </c>
      <c r="C3827" s="33" t="s">
        <v>43</v>
      </c>
      <c r="D3827" s="34" t="s">
        <v>128</v>
      </c>
      <c r="E3827" s="35" t="str">
        <f t="shared" si="912"/>
        <v>PNP'!</v>
      </c>
      <c r="F3827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27" s="32" t="s">
        <v>125</v>
      </c>
      <c r="H3827" s="33">
        <f t="shared" si="914"/>
        <v>37</v>
      </c>
      <c r="I3827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ECP\Cantagallo\Cristalina\[CRISTALINA_CF_SEC_New_09-Feb-2024.xlsx]D-PNP'!$CB$37</v>
      </c>
      <c r="J3827" s="37" t="s">
        <v>1856</v>
      </c>
    </row>
    <row r="3828" spans="1:10" x14ac:dyDescent="0.35">
      <c r="A3828" s="32" t="s">
        <v>15</v>
      </c>
      <c r="B3828" s="32">
        <f t="shared" si="916"/>
        <v>2049</v>
      </c>
      <c r="C3828" s="33" t="s">
        <v>43</v>
      </c>
      <c r="D3828" s="34" t="s">
        <v>128</v>
      </c>
      <c r="E3828" s="35" t="str">
        <f t="shared" si="912"/>
        <v>PNP'!</v>
      </c>
      <c r="F3828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28" s="32" t="s">
        <v>125</v>
      </c>
      <c r="H3828" s="33">
        <f t="shared" si="914"/>
        <v>38</v>
      </c>
      <c r="I3828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ECP\Cantagallo\Cristalina\[CRISTALINA_CF_SEC_New_09-Feb-2024.xlsx]D-PNP'!$CB$38</v>
      </c>
      <c r="J3828" s="37" t="s">
        <v>1857</v>
      </c>
    </row>
    <row r="3829" spans="1:10" x14ac:dyDescent="0.35">
      <c r="A3829" s="32" t="s">
        <v>15</v>
      </c>
      <c r="B3829" s="32">
        <f t="shared" si="916"/>
        <v>2050</v>
      </c>
      <c r="C3829" s="33" t="s">
        <v>43</v>
      </c>
      <c r="D3829" s="34" t="s">
        <v>128</v>
      </c>
      <c r="E3829" s="35" t="str">
        <f t="shared" si="912"/>
        <v>PNP'!</v>
      </c>
      <c r="F3829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29" s="32" t="s">
        <v>125</v>
      </c>
      <c r="H3829" s="33">
        <f t="shared" si="914"/>
        <v>39</v>
      </c>
      <c r="I3829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ECP\Cantagallo\Cristalina\[CRISTALINA_CF_SEC_New_09-Feb-2024.xlsx]D-PNP'!$CB$39</v>
      </c>
      <c r="J3829" s="37" t="s">
        <v>1858</v>
      </c>
    </row>
    <row r="3830" spans="1:10" x14ac:dyDescent="0.35">
      <c r="A3830" s="32" t="s">
        <v>15</v>
      </c>
      <c r="B3830" s="32">
        <f t="shared" si="916"/>
        <v>2051</v>
      </c>
      <c r="C3830" s="33" t="s">
        <v>43</v>
      </c>
      <c r="D3830" s="34" t="s">
        <v>128</v>
      </c>
      <c r="E3830" s="35" t="str">
        <f t="shared" si="912"/>
        <v>PNP'!</v>
      </c>
      <c r="F3830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30" s="32" t="s">
        <v>125</v>
      </c>
      <c r="H3830" s="33">
        <f t="shared" si="914"/>
        <v>40</v>
      </c>
      <c r="I3830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ECP\Cantagallo\Cristalina\[CRISTALINA_CF_SEC_New_09-Feb-2024.xlsx]D-PNP'!$CB$40</v>
      </c>
      <c r="J3830" s="37" t="s">
        <v>1859</v>
      </c>
    </row>
    <row r="3831" spans="1:10" x14ac:dyDescent="0.35">
      <c r="A3831" s="32" t="s">
        <v>15</v>
      </c>
      <c r="B3831" s="32">
        <f t="shared" si="916"/>
        <v>2052</v>
      </c>
      <c r="C3831" s="33" t="s">
        <v>43</v>
      </c>
      <c r="D3831" s="34" t="s">
        <v>128</v>
      </c>
      <c r="E3831" s="35" t="str">
        <f t="shared" si="912"/>
        <v>PNP'!</v>
      </c>
      <c r="F3831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31" s="32" t="s">
        <v>125</v>
      </c>
      <c r="H3831" s="33">
        <f t="shared" si="914"/>
        <v>41</v>
      </c>
      <c r="I3831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ECP\Cantagallo\Cristalina\[CRISTALINA_CF_SEC_New_09-Feb-2024.xlsx]D-PNP'!$CB$41</v>
      </c>
      <c r="J3831" s="37" t="s">
        <v>1860</v>
      </c>
    </row>
    <row r="3832" spans="1:10" x14ac:dyDescent="0.35">
      <c r="A3832" s="32" t="s">
        <v>15</v>
      </c>
      <c r="B3832" s="32">
        <f t="shared" si="916"/>
        <v>2053</v>
      </c>
      <c r="C3832" s="33" t="s">
        <v>43</v>
      </c>
      <c r="D3832" s="34" t="s">
        <v>128</v>
      </c>
      <c r="E3832" s="35" t="str">
        <f t="shared" si="912"/>
        <v>PNP'!</v>
      </c>
      <c r="F3832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32" s="32" t="s">
        <v>125</v>
      </c>
      <c r="H3832" s="33">
        <f t="shared" si="914"/>
        <v>42</v>
      </c>
      <c r="I3832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ECP\Cantagallo\Cristalina\[CRISTALINA_CF_SEC_New_09-Feb-2024.xlsx]D-PNP'!$CB$42</v>
      </c>
      <c r="J3832" s="37" t="s">
        <v>1861</v>
      </c>
    </row>
    <row r="3833" spans="1:10" x14ac:dyDescent="0.35">
      <c r="A3833" s="32" t="s">
        <v>15</v>
      </c>
      <c r="B3833" s="32">
        <f t="shared" si="916"/>
        <v>2054</v>
      </c>
      <c r="C3833" s="33" t="s">
        <v>43</v>
      </c>
      <c r="D3833" s="34" t="s">
        <v>128</v>
      </c>
      <c r="E3833" s="35" t="str">
        <f t="shared" si="912"/>
        <v>PNP'!</v>
      </c>
      <c r="F3833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33" s="32" t="s">
        <v>125</v>
      </c>
      <c r="H3833" s="33">
        <f t="shared" si="914"/>
        <v>43</v>
      </c>
      <c r="I3833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ECP\Cantagallo\Cristalina\[CRISTALINA_CF_SEC_New_09-Feb-2024.xlsx]D-PNP'!$CB$43</v>
      </c>
      <c r="J3833" s="37" t="s">
        <v>1862</v>
      </c>
    </row>
    <row r="3834" spans="1:10" x14ac:dyDescent="0.35">
      <c r="A3834" s="32" t="s">
        <v>15</v>
      </c>
      <c r="B3834" s="32">
        <f t="shared" si="916"/>
        <v>2055</v>
      </c>
      <c r="C3834" s="33" t="s">
        <v>43</v>
      </c>
      <c r="D3834" s="34" t="s">
        <v>128</v>
      </c>
      <c r="E3834" s="35" t="str">
        <f t="shared" si="912"/>
        <v>PNP'!</v>
      </c>
      <c r="F3834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34" s="32" t="s">
        <v>125</v>
      </c>
      <c r="H3834" s="33">
        <f t="shared" si="914"/>
        <v>44</v>
      </c>
      <c r="I3834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ECP\Cantagallo\Cristalina\[CRISTALINA_CF_SEC_New_09-Feb-2024.xlsx]D-PNP'!$CB$44</v>
      </c>
      <c r="J3834" s="37" t="s">
        <v>1863</v>
      </c>
    </row>
    <row r="3835" spans="1:10" x14ac:dyDescent="0.35">
      <c r="A3835" s="32" t="s">
        <v>15</v>
      </c>
      <c r="B3835" s="32">
        <f t="shared" si="916"/>
        <v>2056</v>
      </c>
      <c r="C3835" s="33" t="s">
        <v>43</v>
      </c>
      <c r="D3835" s="34" t="s">
        <v>128</v>
      </c>
      <c r="E3835" s="35" t="str">
        <f t="shared" si="912"/>
        <v>PNP'!</v>
      </c>
      <c r="F3835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35" s="32" t="s">
        <v>125</v>
      </c>
      <c r="H3835" s="33">
        <f t="shared" si="914"/>
        <v>45</v>
      </c>
      <c r="I3835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ECP\Cantagallo\Cristalina\[CRISTALINA_CF_SEC_New_09-Feb-2024.xlsx]D-PNP'!$CB$45</v>
      </c>
      <c r="J3835" s="37" t="s">
        <v>1864</v>
      </c>
    </row>
    <row r="3836" spans="1:10" x14ac:dyDescent="0.35">
      <c r="A3836" s="32" t="s">
        <v>15</v>
      </c>
      <c r="B3836" s="32">
        <f t="shared" si="916"/>
        <v>2057</v>
      </c>
      <c r="C3836" s="33" t="s">
        <v>43</v>
      </c>
      <c r="D3836" s="34" t="s">
        <v>128</v>
      </c>
      <c r="E3836" s="35" t="str">
        <f t="shared" si="912"/>
        <v>PNP'!</v>
      </c>
      <c r="F3836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36" s="32" t="s">
        <v>125</v>
      </c>
      <c r="H3836" s="33">
        <f t="shared" si="914"/>
        <v>46</v>
      </c>
      <c r="I3836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ECP\Cantagallo\Cristalina\[CRISTALINA_CF_SEC_New_09-Feb-2024.xlsx]D-PNP'!$CB$46</v>
      </c>
      <c r="J3836" s="37" t="s">
        <v>1865</v>
      </c>
    </row>
    <row r="3837" spans="1:10" x14ac:dyDescent="0.35">
      <c r="A3837" s="32" t="s">
        <v>15</v>
      </c>
      <c r="B3837" s="32">
        <f t="shared" si="916"/>
        <v>2058</v>
      </c>
      <c r="C3837" s="33" t="s">
        <v>43</v>
      </c>
      <c r="D3837" s="34" t="s">
        <v>128</v>
      </c>
      <c r="E3837" s="35" t="str">
        <f t="shared" si="912"/>
        <v>PNP'!</v>
      </c>
      <c r="F3837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37" s="32" t="s">
        <v>125</v>
      </c>
      <c r="H3837" s="33">
        <f t="shared" si="914"/>
        <v>47</v>
      </c>
      <c r="I3837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ECP\Cantagallo\Cristalina\[CRISTALINA_CF_SEC_New_09-Feb-2024.xlsx]D-PNP'!$CB$47</v>
      </c>
      <c r="J3837" s="37" t="s">
        <v>1866</v>
      </c>
    </row>
    <row r="3838" spans="1:10" x14ac:dyDescent="0.35">
      <c r="A3838" s="32" t="s">
        <v>15</v>
      </c>
      <c r="B3838" s="32">
        <f t="shared" si="916"/>
        <v>2059</v>
      </c>
      <c r="C3838" s="33" t="s">
        <v>43</v>
      </c>
      <c r="D3838" s="34" t="s">
        <v>128</v>
      </c>
      <c r="E3838" s="35" t="str">
        <f t="shared" si="912"/>
        <v>PNP'!</v>
      </c>
      <c r="F3838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38" s="32" t="s">
        <v>125</v>
      </c>
      <c r="H3838" s="33">
        <f t="shared" si="914"/>
        <v>48</v>
      </c>
      <c r="I3838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ECP\Cantagallo\Cristalina\[CRISTALINA_CF_SEC_New_09-Feb-2024.xlsx]D-PNP'!$CB$48</v>
      </c>
      <c r="J3838" s="37" t="s">
        <v>1867</v>
      </c>
    </row>
    <row r="3839" spans="1:10" x14ac:dyDescent="0.35">
      <c r="A3839" s="32" t="s">
        <v>26</v>
      </c>
      <c r="B3839" s="32"/>
      <c r="C3839" s="33" t="s">
        <v>43</v>
      </c>
      <c r="D3839" s="34"/>
      <c r="E3839" s="35"/>
      <c r="F3839" s="34"/>
      <c r="G3839" s="32"/>
      <c r="H3839" s="33"/>
      <c r="I3839" s="33"/>
      <c r="J3839" s="33"/>
    </row>
    <row r="3840" spans="1:10" x14ac:dyDescent="0.35">
      <c r="A3840" s="32" t="s">
        <v>16</v>
      </c>
      <c r="B3840" s="32">
        <v>2023</v>
      </c>
      <c r="C3840" s="33" t="s">
        <v>43</v>
      </c>
      <c r="D3840" s="34" t="s">
        <v>128</v>
      </c>
      <c r="E3840" s="35" t="str">
        <f t="shared" ref="E3840:E3860" si="917">_xlfn.CONCAT(A3840,"'!")</f>
        <v>PND'!</v>
      </c>
      <c r="F3840" s="34" t="str">
        <f t="shared" ref="F3840:F3860" si="918">_xlfn.CONCAT(D3840:E3840)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40" s="32" t="s">
        <v>125</v>
      </c>
      <c r="H3840" s="33">
        <v>12</v>
      </c>
      <c r="I3840" s="33" t="str">
        <f t="shared" ref="I3840:I3860" si="919">_xlfn.CONCAT("='",F3840:H3840)</f>
        <v>='C:\Users\jaime.benazar\Quorum Business Solutions\Ecopetrol Prometeo - Documents\Planning Space Implementation\3. Analysis &amp; Design\Design\FC22\DRR Jaime\Por presentar a ECP\Cantagallo\Cristalina\[CRISTALINA_CF_SEC_New_09-Feb-2024.xlsx]D-PND'!$CB$12</v>
      </c>
      <c r="J3840" s="37" t="s">
        <v>1868</v>
      </c>
    </row>
    <row r="3841" spans="1:10" x14ac:dyDescent="0.35">
      <c r="A3841" s="32" t="s">
        <v>16</v>
      </c>
      <c r="B3841" s="32">
        <f>+B3840+1</f>
        <v>2024</v>
      </c>
      <c r="C3841" s="33" t="s">
        <v>43</v>
      </c>
      <c r="D3841" s="34" t="s">
        <v>128</v>
      </c>
      <c r="E3841" s="35" t="str">
        <f t="shared" si="917"/>
        <v>PND'!</v>
      </c>
      <c r="F3841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41" s="32" t="s">
        <v>125</v>
      </c>
      <c r="H3841" s="33">
        <f t="shared" ref="H3841:H3860" si="920">IF(A3841&lt;&gt;A3840,12,H3840+1)</f>
        <v>13</v>
      </c>
      <c r="I3841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ECP\Cantagallo\Cristalina\[CRISTALINA_CF_SEC_New_09-Feb-2024.xlsx]D-PND'!$CB$13</v>
      </c>
      <c r="J3841" s="37" t="s">
        <v>1869</v>
      </c>
    </row>
    <row r="3842" spans="1:10" x14ac:dyDescent="0.35">
      <c r="A3842" s="32" t="s">
        <v>16</v>
      </c>
      <c r="B3842" s="32">
        <f t="shared" ref="B3842:B3853" si="921">+B3841+1</f>
        <v>2025</v>
      </c>
      <c r="C3842" s="33" t="s">
        <v>43</v>
      </c>
      <c r="D3842" s="34" t="s">
        <v>128</v>
      </c>
      <c r="E3842" s="35" t="str">
        <f t="shared" si="917"/>
        <v>PND'!</v>
      </c>
      <c r="F3842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42" s="32" t="s">
        <v>125</v>
      </c>
      <c r="H3842" s="33">
        <f t="shared" si="920"/>
        <v>14</v>
      </c>
      <c r="I3842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ECP\Cantagallo\Cristalina\[CRISTALINA_CF_SEC_New_09-Feb-2024.xlsx]D-PND'!$CB$14</v>
      </c>
      <c r="J3842" s="37" t="s">
        <v>1870</v>
      </c>
    </row>
    <row r="3843" spans="1:10" x14ac:dyDescent="0.35">
      <c r="A3843" s="32" t="s">
        <v>16</v>
      </c>
      <c r="B3843" s="32">
        <f t="shared" si="921"/>
        <v>2026</v>
      </c>
      <c r="C3843" s="33" t="s">
        <v>43</v>
      </c>
      <c r="D3843" s="34" t="s">
        <v>128</v>
      </c>
      <c r="E3843" s="35" t="str">
        <f t="shared" si="917"/>
        <v>PND'!</v>
      </c>
      <c r="F3843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43" s="32" t="s">
        <v>125</v>
      </c>
      <c r="H3843" s="33">
        <f t="shared" si="920"/>
        <v>15</v>
      </c>
      <c r="I3843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ECP\Cantagallo\Cristalina\[CRISTALINA_CF_SEC_New_09-Feb-2024.xlsx]D-PND'!$CB$15</v>
      </c>
      <c r="J3843" s="37" t="s">
        <v>1871</v>
      </c>
    </row>
    <row r="3844" spans="1:10" x14ac:dyDescent="0.35">
      <c r="A3844" s="32" t="s">
        <v>16</v>
      </c>
      <c r="B3844" s="32">
        <f t="shared" si="921"/>
        <v>2027</v>
      </c>
      <c r="C3844" s="33" t="s">
        <v>43</v>
      </c>
      <c r="D3844" s="34" t="s">
        <v>128</v>
      </c>
      <c r="E3844" s="35" t="str">
        <f t="shared" si="917"/>
        <v>PND'!</v>
      </c>
      <c r="F3844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44" s="32" t="s">
        <v>125</v>
      </c>
      <c r="H3844" s="33">
        <f t="shared" si="920"/>
        <v>16</v>
      </c>
      <c r="I3844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ECP\Cantagallo\Cristalina\[CRISTALINA_CF_SEC_New_09-Feb-2024.xlsx]D-PND'!$CB$16</v>
      </c>
      <c r="J3844" s="37" t="s">
        <v>1872</v>
      </c>
    </row>
    <row r="3845" spans="1:10" x14ac:dyDescent="0.35">
      <c r="A3845" s="32" t="s">
        <v>16</v>
      </c>
      <c r="B3845" s="32">
        <f t="shared" si="921"/>
        <v>2028</v>
      </c>
      <c r="C3845" s="33" t="s">
        <v>43</v>
      </c>
      <c r="D3845" s="34" t="s">
        <v>128</v>
      </c>
      <c r="E3845" s="35" t="str">
        <f t="shared" si="917"/>
        <v>PND'!</v>
      </c>
      <c r="F3845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45" s="32" t="s">
        <v>125</v>
      </c>
      <c r="H3845" s="33">
        <f t="shared" si="920"/>
        <v>17</v>
      </c>
      <c r="I3845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ECP\Cantagallo\Cristalina\[CRISTALINA_CF_SEC_New_09-Feb-2024.xlsx]D-PND'!$CB$17</v>
      </c>
      <c r="J3845" s="37" t="s">
        <v>1873</v>
      </c>
    </row>
    <row r="3846" spans="1:10" x14ac:dyDescent="0.35">
      <c r="A3846" s="32" t="s">
        <v>16</v>
      </c>
      <c r="B3846" s="32">
        <f t="shared" si="921"/>
        <v>2029</v>
      </c>
      <c r="C3846" s="33" t="s">
        <v>43</v>
      </c>
      <c r="D3846" s="34" t="s">
        <v>128</v>
      </c>
      <c r="E3846" s="35" t="str">
        <f t="shared" si="917"/>
        <v>PND'!</v>
      </c>
      <c r="F3846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46" s="32" t="s">
        <v>125</v>
      </c>
      <c r="H3846" s="33">
        <f t="shared" si="920"/>
        <v>18</v>
      </c>
      <c r="I3846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ECP\Cantagallo\Cristalina\[CRISTALINA_CF_SEC_New_09-Feb-2024.xlsx]D-PND'!$CB$18</v>
      </c>
      <c r="J3846" s="37" t="s">
        <v>1874</v>
      </c>
    </row>
    <row r="3847" spans="1:10" x14ac:dyDescent="0.35">
      <c r="A3847" s="32" t="s">
        <v>16</v>
      </c>
      <c r="B3847" s="32">
        <f t="shared" si="921"/>
        <v>2030</v>
      </c>
      <c r="C3847" s="33" t="s">
        <v>43</v>
      </c>
      <c r="D3847" s="34" t="s">
        <v>128</v>
      </c>
      <c r="E3847" s="35" t="str">
        <f t="shared" si="917"/>
        <v>PND'!</v>
      </c>
      <c r="F3847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47" s="32" t="s">
        <v>125</v>
      </c>
      <c r="H3847" s="33">
        <f t="shared" si="920"/>
        <v>19</v>
      </c>
      <c r="I3847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ECP\Cantagallo\Cristalina\[CRISTALINA_CF_SEC_New_09-Feb-2024.xlsx]D-PND'!$CB$19</v>
      </c>
      <c r="J3847" s="37" t="s">
        <v>1875</v>
      </c>
    </row>
    <row r="3848" spans="1:10" x14ac:dyDescent="0.35">
      <c r="A3848" s="32" t="s">
        <v>16</v>
      </c>
      <c r="B3848" s="32">
        <f t="shared" si="921"/>
        <v>2031</v>
      </c>
      <c r="C3848" s="33" t="s">
        <v>43</v>
      </c>
      <c r="D3848" s="34" t="s">
        <v>128</v>
      </c>
      <c r="E3848" s="35" t="str">
        <f t="shared" si="917"/>
        <v>PND'!</v>
      </c>
      <c r="F3848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48" s="32" t="s">
        <v>125</v>
      </c>
      <c r="H3848" s="33">
        <f t="shared" si="920"/>
        <v>20</v>
      </c>
      <c r="I3848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ECP\Cantagallo\Cristalina\[CRISTALINA_CF_SEC_New_09-Feb-2024.xlsx]D-PND'!$CB$20</v>
      </c>
      <c r="J3848" s="37" t="s">
        <v>1876</v>
      </c>
    </row>
    <row r="3849" spans="1:10" x14ac:dyDescent="0.35">
      <c r="A3849" s="32" t="s">
        <v>16</v>
      </c>
      <c r="B3849" s="32">
        <f t="shared" si="921"/>
        <v>2032</v>
      </c>
      <c r="C3849" s="33" t="s">
        <v>43</v>
      </c>
      <c r="D3849" s="34" t="s">
        <v>128</v>
      </c>
      <c r="E3849" s="35" t="str">
        <f t="shared" si="917"/>
        <v>PND'!</v>
      </c>
      <c r="F3849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49" s="32" t="s">
        <v>125</v>
      </c>
      <c r="H3849" s="33">
        <f t="shared" si="920"/>
        <v>21</v>
      </c>
      <c r="I3849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ECP\Cantagallo\Cristalina\[CRISTALINA_CF_SEC_New_09-Feb-2024.xlsx]D-PND'!$CB$21</v>
      </c>
      <c r="J3849" s="37" t="s">
        <v>1877</v>
      </c>
    </row>
    <row r="3850" spans="1:10" x14ac:dyDescent="0.35">
      <c r="A3850" s="32" t="s">
        <v>16</v>
      </c>
      <c r="B3850" s="32">
        <f t="shared" si="921"/>
        <v>2033</v>
      </c>
      <c r="C3850" s="33" t="s">
        <v>43</v>
      </c>
      <c r="D3850" s="34" t="s">
        <v>128</v>
      </c>
      <c r="E3850" s="35" t="str">
        <f t="shared" si="917"/>
        <v>PND'!</v>
      </c>
      <c r="F3850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50" s="32" t="s">
        <v>125</v>
      </c>
      <c r="H3850" s="33">
        <f t="shared" si="920"/>
        <v>22</v>
      </c>
      <c r="I3850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ECP\Cantagallo\Cristalina\[CRISTALINA_CF_SEC_New_09-Feb-2024.xlsx]D-PND'!$CB$22</v>
      </c>
      <c r="J3850" s="37" t="s">
        <v>1878</v>
      </c>
    </row>
    <row r="3851" spans="1:10" x14ac:dyDescent="0.35">
      <c r="A3851" s="32" t="s">
        <v>16</v>
      </c>
      <c r="B3851" s="32">
        <f t="shared" si="921"/>
        <v>2034</v>
      </c>
      <c r="C3851" s="33" t="s">
        <v>43</v>
      </c>
      <c r="D3851" s="34" t="s">
        <v>128</v>
      </c>
      <c r="E3851" s="35" t="str">
        <f t="shared" si="917"/>
        <v>PND'!</v>
      </c>
      <c r="F3851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51" s="32" t="s">
        <v>125</v>
      </c>
      <c r="H3851" s="33">
        <f t="shared" si="920"/>
        <v>23</v>
      </c>
      <c r="I3851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ECP\Cantagallo\Cristalina\[CRISTALINA_CF_SEC_New_09-Feb-2024.xlsx]D-PND'!$CB$23</v>
      </c>
      <c r="J3851" s="37" t="s">
        <v>1879</v>
      </c>
    </row>
    <row r="3852" spans="1:10" x14ac:dyDescent="0.35">
      <c r="A3852" s="32" t="s">
        <v>16</v>
      </c>
      <c r="B3852" s="32">
        <f t="shared" si="921"/>
        <v>2035</v>
      </c>
      <c r="C3852" s="33" t="s">
        <v>43</v>
      </c>
      <c r="D3852" s="34" t="s">
        <v>128</v>
      </c>
      <c r="E3852" s="35" t="str">
        <f t="shared" si="917"/>
        <v>PND'!</v>
      </c>
      <c r="F3852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52" s="32" t="s">
        <v>125</v>
      </c>
      <c r="H3852" s="33">
        <f t="shared" si="920"/>
        <v>24</v>
      </c>
      <c r="I3852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ECP\Cantagallo\Cristalina\[CRISTALINA_CF_SEC_New_09-Feb-2024.xlsx]D-PND'!$CB$24</v>
      </c>
      <c r="J3852" s="37" t="s">
        <v>1880</v>
      </c>
    </row>
    <row r="3853" spans="1:10" x14ac:dyDescent="0.35">
      <c r="A3853" s="32" t="s">
        <v>16</v>
      </c>
      <c r="B3853" s="32">
        <f t="shared" si="921"/>
        <v>2036</v>
      </c>
      <c r="C3853" s="33" t="s">
        <v>43</v>
      </c>
      <c r="D3853" s="34" t="s">
        <v>128</v>
      </c>
      <c r="E3853" s="35" t="str">
        <f t="shared" si="917"/>
        <v>PND'!</v>
      </c>
      <c r="F3853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53" s="32" t="s">
        <v>125</v>
      </c>
      <c r="H3853" s="33">
        <f t="shared" si="920"/>
        <v>25</v>
      </c>
      <c r="I3853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ECP\Cantagallo\Cristalina\[CRISTALINA_CF_SEC_New_09-Feb-2024.xlsx]D-PND'!$CB$25</v>
      </c>
      <c r="J3853" s="37" t="s">
        <v>1881</v>
      </c>
    </row>
    <row r="3854" spans="1:10" x14ac:dyDescent="0.35">
      <c r="A3854" s="32" t="s">
        <v>16</v>
      </c>
      <c r="B3854" s="32">
        <f>+B3853+1</f>
        <v>2037</v>
      </c>
      <c r="C3854" s="33" t="s">
        <v>43</v>
      </c>
      <c r="D3854" s="34" t="s">
        <v>128</v>
      </c>
      <c r="E3854" s="35" t="str">
        <f t="shared" si="917"/>
        <v>PND'!</v>
      </c>
      <c r="F3854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54" s="32" t="s">
        <v>125</v>
      </c>
      <c r="H3854" s="33">
        <f t="shared" si="920"/>
        <v>26</v>
      </c>
      <c r="I3854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ECP\Cantagallo\Cristalina\[CRISTALINA_CF_SEC_New_09-Feb-2024.xlsx]D-PND'!$CB$26</v>
      </c>
      <c r="J3854" s="37" t="s">
        <v>1882</v>
      </c>
    </row>
    <row r="3855" spans="1:10" x14ac:dyDescent="0.35">
      <c r="A3855" s="32" t="s">
        <v>16</v>
      </c>
      <c r="B3855" s="32">
        <f t="shared" ref="B3855:B3857" si="922">+B3854+1</f>
        <v>2038</v>
      </c>
      <c r="C3855" s="33" t="s">
        <v>43</v>
      </c>
      <c r="D3855" s="34" t="s">
        <v>128</v>
      </c>
      <c r="E3855" s="35" t="str">
        <f t="shared" si="917"/>
        <v>PND'!</v>
      </c>
      <c r="F3855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55" s="32" t="s">
        <v>125</v>
      </c>
      <c r="H3855" s="33">
        <f t="shared" si="920"/>
        <v>27</v>
      </c>
      <c r="I3855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ECP\Cantagallo\Cristalina\[CRISTALINA_CF_SEC_New_09-Feb-2024.xlsx]D-PND'!$CB$27</v>
      </c>
      <c r="J3855" s="37" t="s">
        <v>1883</v>
      </c>
    </row>
    <row r="3856" spans="1:10" x14ac:dyDescent="0.35">
      <c r="A3856" s="32" t="s">
        <v>16</v>
      </c>
      <c r="B3856" s="32">
        <f t="shared" si="922"/>
        <v>2039</v>
      </c>
      <c r="C3856" s="33" t="s">
        <v>43</v>
      </c>
      <c r="D3856" s="34" t="s">
        <v>128</v>
      </c>
      <c r="E3856" s="35" t="str">
        <f t="shared" si="917"/>
        <v>PND'!</v>
      </c>
      <c r="F3856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56" s="32" t="s">
        <v>125</v>
      </c>
      <c r="H3856" s="33">
        <f t="shared" si="920"/>
        <v>28</v>
      </c>
      <c r="I3856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ECP\Cantagallo\Cristalina\[CRISTALINA_CF_SEC_New_09-Feb-2024.xlsx]D-PND'!$CB$28</v>
      </c>
      <c r="J3856" s="37" t="s">
        <v>1884</v>
      </c>
    </row>
    <row r="3857" spans="1:10" x14ac:dyDescent="0.35">
      <c r="A3857" s="32" t="s">
        <v>16</v>
      </c>
      <c r="B3857" s="32">
        <f t="shared" si="922"/>
        <v>2040</v>
      </c>
      <c r="C3857" s="33" t="s">
        <v>43</v>
      </c>
      <c r="D3857" s="34" t="s">
        <v>128</v>
      </c>
      <c r="E3857" s="35" t="str">
        <f t="shared" si="917"/>
        <v>PND'!</v>
      </c>
      <c r="F3857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57" s="32" t="s">
        <v>125</v>
      </c>
      <c r="H3857" s="33">
        <f t="shared" si="920"/>
        <v>29</v>
      </c>
      <c r="I3857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ECP\Cantagallo\Cristalina\[CRISTALINA_CF_SEC_New_09-Feb-2024.xlsx]D-PND'!$CB$29</v>
      </c>
      <c r="J3857" s="37" t="s">
        <v>1885</v>
      </c>
    </row>
    <row r="3858" spans="1:10" x14ac:dyDescent="0.35">
      <c r="A3858" s="32" t="s">
        <v>16</v>
      </c>
      <c r="B3858" s="32">
        <f>+B3857+1</f>
        <v>2041</v>
      </c>
      <c r="C3858" s="33" t="s">
        <v>43</v>
      </c>
      <c r="D3858" s="34" t="s">
        <v>128</v>
      </c>
      <c r="E3858" s="35" t="str">
        <f t="shared" si="917"/>
        <v>PND'!</v>
      </c>
      <c r="F3858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58" s="32" t="s">
        <v>125</v>
      </c>
      <c r="H3858" s="33">
        <f t="shared" si="920"/>
        <v>30</v>
      </c>
      <c r="I3858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ECP\Cantagallo\Cristalina\[CRISTALINA_CF_SEC_New_09-Feb-2024.xlsx]D-PND'!$CB$30</v>
      </c>
      <c r="J3858" s="37" t="s">
        <v>1886</v>
      </c>
    </row>
    <row r="3859" spans="1:10" x14ac:dyDescent="0.35">
      <c r="A3859" s="32" t="s">
        <v>16</v>
      </c>
      <c r="B3859" s="32">
        <f t="shared" ref="B3859:B3860" si="923">+B3858+1</f>
        <v>2042</v>
      </c>
      <c r="C3859" s="33" t="s">
        <v>43</v>
      </c>
      <c r="D3859" s="34" t="s">
        <v>128</v>
      </c>
      <c r="E3859" s="35" t="str">
        <f t="shared" si="917"/>
        <v>PND'!</v>
      </c>
      <c r="F3859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59" s="32" t="s">
        <v>125</v>
      </c>
      <c r="H3859" s="33">
        <f t="shared" si="920"/>
        <v>31</v>
      </c>
      <c r="I3859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ECP\Cantagallo\Cristalina\[CRISTALINA_CF_SEC_New_09-Feb-2024.xlsx]D-PND'!$CB$31</v>
      </c>
      <c r="J3859" s="37" t="s">
        <v>1887</v>
      </c>
    </row>
    <row r="3860" spans="1:10" x14ac:dyDescent="0.35">
      <c r="A3860" s="32" t="s">
        <v>16</v>
      </c>
      <c r="B3860" s="32">
        <f t="shared" si="923"/>
        <v>2043</v>
      </c>
      <c r="C3860" s="33" t="s">
        <v>43</v>
      </c>
      <c r="D3860" s="34" t="s">
        <v>128</v>
      </c>
      <c r="E3860" s="35" t="str">
        <f t="shared" si="917"/>
        <v>PND'!</v>
      </c>
      <c r="F3860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60" s="32" t="s">
        <v>125</v>
      </c>
      <c r="H3860" s="33">
        <f t="shared" si="920"/>
        <v>32</v>
      </c>
      <c r="I3860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ECP\Cantagallo\Cristalina\[CRISTALINA_CF_SEC_New_09-Feb-2024.xlsx]D-PND'!$CB$32</v>
      </c>
      <c r="J3860" s="37" t="s">
        <v>1888</v>
      </c>
    </row>
    <row r="3861" spans="1:10" x14ac:dyDescent="0.35">
      <c r="A3861" s="32" t="s">
        <v>16</v>
      </c>
      <c r="B3861" s="32">
        <f>+B3860+1</f>
        <v>2044</v>
      </c>
      <c r="C3861" s="33" t="s">
        <v>43</v>
      </c>
      <c r="D3861" s="34" t="s">
        <v>128</v>
      </c>
      <c r="E3861" s="35" t="str">
        <f t="shared" ref="E3861:E3876" si="924">_xlfn.CONCAT(A3861,"'!")</f>
        <v>PND'!</v>
      </c>
      <c r="F3861" s="34" t="str">
        <f t="shared" ref="F3861:F3876" si="925">_xlfn.CONCAT(D3861:E3861)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61" s="32" t="s">
        <v>125</v>
      </c>
      <c r="H3861" s="33">
        <f t="shared" ref="H3861:H3876" si="926">IF(A3861&lt;&gt;A3860,12,H3860+1)</f>
        <v>33</v>
      </c>
      <c r="I3861" s="33" t="str">
        <f t="shared" ref="I3861:I3876" si="927">_xlfn.CONCAT("='",F3861:H3861)</f>
        <v>='C:\Users\jaime.benazar\Quorum Business Solutions\Ecopetrol Prometeo - Documents\Planning Space Implementation\3. Analysis &amp; Design\Design\FC22\DRR Jaime\Por presentar a ECP\Cantagallo\Cristalina\[CRISTALINA_CF_SEC_New_09-Feb-2024.xlsx]D-PND'!$CB$33</v>
      </c>
      <c r="J3861" s="37" t="s">
        <v>1889</v>
      </c>
    </row>
    <row r="3862" spans="1:10" x14ac:dyDescent="0.35">
      <c r="A3862" s="32" t="s">
        <v>16</v>
      </c>
      <c r="B3862" s="32">
        <f t="shared" ref="B3862:B3876" si="928">+B3861+1</f>
        <v>2045</v>
      </c>
      <c r="C3862" s="33" t="s">
        <v>43</v>
      </c>
      <c r="D3862" s="34" t="s">
        <v>128</v>
      </c>
      <c r="E3862" s="35" t="str">
        <f t="shared" si="924"/>
        <v>PND'!</v>
      </c>
      <c r="F3862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62" s="32" t="s">
        <v>125</v>
      </c>
      <c r="H3862" s="33">
        <f t="shared" si="926"/>
        <v>34</v>
      </c>
      <c r="I3862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ECP\Cantagallo\Cristalina\[CRISTALINA_CF_SEC_New_09-Feb-2024.xlsx]D-PND'!$CB$34</v>
      </c>
      <c r="J3862" s="37" t="s">
        <v>1890</v>
      </c>
    </row>
    <row r="3863" spans="1:10" x14ac:dyDescent="0.35">
      <c r="A3863" s="32" t="s">
        <v>16</v>
      </c>
      <c r="B3863" s="32">
        <f t="shared" si="928"/>
        <v>2046</v>
      </c>
      <c r="C3863" s="33" t="s">
        <v>43</v>
      </c>
      <c r="D3863" s="34" t="s">
        <v>128</v>
      </c>
      <c r="E3863" s="35" t="str">
        <f t="shared" si="924"/>
        <v>PND'!</v>
      </c>
      <c r="F3863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63" s="32" t="s">
        <v>125</v>
      </c>
      <c r="H3863" s="33">
        <f t="shared" si="926"/>
        <v>35</v>
      </c>
      <c r="I3863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ECP\Cantagallo\Cristalina\[CRISTALINA_CF_SEC_New_09-Feb-2024.xlsx]D-PND'!$CB$35</v>
      </c>
      <c r="J3863" s="37" t="s">
        <v>1891</v>
      </c>
    </row>
    <row r="3864" spans="1:10" x14ac:dyDescent="0.35">
      <c r="A3864" s="32" t="s">
        <v>16</v>
      </c>
      <c r="B3864" s="32">
        <f t="shared" si="928"/>
        <v>2047</v>
      </c>
      <c r="C3864" s="33" t="s">
        <v>43</v>
      </c>
      <c r="D3864" s="34" t="s">
        <v>128</v>
      </c>
      <c r="E3864" s="35" t="str">
        <f t="shared" si="924"/>
        <v>PND'!</v>
      </c>
      <c r="F3864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64" s="32" t="s">
        <v>125</v>
      </c>
      <c r="H3864" s="33">
        <f t="shared" si="926"/>
        <v>36</v>
      </c>
      <c r="I3864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ECP\Cantagallo\Cristalina\[CRISTALINA_CF_SEC_New_09-Feb-2024.xlsx]D-PND'!$CB$36</v>
      </c>
      <c r="J3864" s="37" t="s">
        <v>1892</v>
      </c>
    </row>
    <row r="3865" spans="1:10" x14ac:dyDescent="0.35">
      <c r="A3865" s="32" t="s">
        <v>16</v>
      </c>
      <c r="B3865" s="32">
        <f t="shared" si="928"/>
        <v>2048</v>
      </c>
      <c r="C3865" s="33" t="s">
        <v>43</v>
      </c>
      <c r="D3865" s="34" t="s">
        <v>128</v>
      </c>
      <c r="E3865" s="35" t="str">
        <f t="shared" si="924"/>
        <v>PND'!</v>
      </c>
      <c r="F3865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65" s="32" t="s">
        <v>125</v>
      </c>
      <c r="H3865" s="33">
        <f t="shared" si="926"/>
        <v>37</v>
      </c>
      <c r="I3865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ECP\Cantagallo\Cristalina\[CRISTALINA_CF_SEC_New_09-Feb-2024.xlsx]D-PND'!$CB$37</v>
      </c>
      <c r="J3865" s="37" t="s">
        <v>1893</v>
      </c>
    </row>
    <row r="3866" spans="1:10" x14ac:dyDescent="0.35">
      <c r="A3866" s="32" t="s">
        <v>16</v>
      </c>
      <c r="B3866" s="32">
        <f t="shared" si="928"/>
        <v>2049</v>
      </c>
      <c r="C3866" s="33" t="s">
        <v>43</v>
      </c>
      <c r="D3866" s="34" t="s">
        <v>128</v>
      </c>
      <c r="E3866" s="35" t="str">
        <f t="shared" si="924"/>
        <v>PND'!</v>
      </c>
      <c r="F3866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66" s="32" t="s">
        <v>125</v>
      </c>
      <c r="H3866" s="33">
        <f t="shared" si="926"/>
        <v>38</v>
      </c>
      <c r="I3866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ECP\Cantagallo\Cristalina\[CRISTALINA_CF_SEC_New_09-Feb-2024.xlsx]D-PND'!$CB$38</v>
      </c>
      <c r="J3866" s="37" t="s">
        <v>1894</v>
      </c>
    </row>
    <row r="3867" spans="1:10" x14ac:dyDescent="0.35">
      <c r="A3867" s="32" t="s">
        <v>16</v>
      </c>
      <c r="B3867" s="32">
        <f t="shared" si="928"/>
        <v>2050</v>
      </c>
      <c r="C3867" s="33" t="s">
        <v>43</v>
      </c>
      <c r="D3867" s="34" t="s">
        <v>128</v>
      </c>
      <c r="E3867" s="35" t="str">
        <f t="shared" si="924"/>
        <v>PND'!</v>
      </c>
      <c r="F3867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67" s="32" t="s">
        <v>125</v>
      </c>
      <c r="H3867" s="33">
        <f t="shared" si="926"/>
        <v>39</v>
      </c>
      <c r="I3867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ECP\Cantagallo\Cristalina\[CRISTALINA_CF_SEC_New_09-Feb-2024.xlsx]D-PND'!$CB$39</v>
      </c>
      <c r="J3867" s="37" t="s">
        <v>1895</v>
      </c>
    </row>
    <row r="3868" spans="1:10" x14ac:dyDescent="0.35">
      <c r="A3868" s="32" t="s">
        <v>16</v>
      </c>
      <c r="B3868" s="32">
        <f t="shared" si="928"/>
        <v>2051</v>
      </c>
      <c r="C3868" s="33" t="s">
        <v>43</v>
      </c>
      <c r="D3868" s="34" t="s">
        <v>128</v>
      </c>
      <c r="E3868" s="35" t="str">
        <f t="shared" si="924"/>
        <v>PND'!</v>
      </c>
      <c r="F3868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68" s="32" t="s">
        <v>125</v>
      </c>
      <c r="H3868" s="33">
        <f t="shared" si="926"/>
        <v>40</v>
      </c>
      <c r="I3868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ECP\Cantagallo\Cristalina\[CRISTALINA_CF_SEC_New_09-Feb-2024.xlsx]D-PND'!$CB$40</v>
      </c>
      <c r="J3868" s="37" t="s">
        <v>1896</v>
      </c>
    </row>
    <row r="3869" spans="1:10" x14ac:dyDescent="0.35">
      <c r="A3869" s="32" t="s">
        <v>16</v>
      </c>
      <c r="B3869" s="32">
        <f t="shared" si="928"/>
        <v>2052</v>
      </c>
      <c r="C3869" s="33" t="s">
        <v>43</v>
      </c>
      <c r="D3869" s="34" t="s">
        <v>128</v>
      </c>
      <c r="E3869" s="35" t="str">
        <f t="shared" si="924"/>
        <v>PND'!</v>
      </c>
      <c r="F3869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69" s="32" t="s">
        <v>125</v>
      </c>
      <c r="H3869" s="33">
        <f t="shared" si="926"/>
        <v>41</v>
      </c>
      <c r="I3869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ECP\Cantagallo\Cristalina\[CRISTALINA_CF_SEC_New_09-Feb-2024.xlsx]D-PND'!$CB$41</v>
      </c>
      <c r="J3869" s="37" t="s">
        <v>1897</v>
      </c>
    </row>
    <row r="3870" spans="1:10" x14ac:dyDescent="0.35">
      <c r="A3870" s="32" t="s">
        <v>16</v>
      </c>
      <c r="B3870" s="32">
        <f t="shared" si="928"/>
        <v>2053</v>
      </c>
      <c r="C3870" s="33" t="s">
        <v>43</v>
      </c>
      <c r="D3870" s="34" t="s">
        <v>128</v>
      </c>
      <c r="E3870" s="35" t="str">
        <f t="shared" si="924"/>
        <v>PND'!</v>
      </c>
      <c r="F3870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70" s="32" t="s">
        <v>125</v>
      </c>
      <c r="H3870" s="33">
        <f t="shared" si="926"/>
        <v>42</v>
      </c>
      <c r="I3870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ECP\Cantagallo\Cristalina\[CRISTALINA_CF_SEC_New_09-Feb-2024.xlsx]D-PND'!$CB$42</v>
      </c>
      <c r="J3870" s="37" t="s">
        <v>1898</v>
      </c>
    </row>
    <row r="3871" spans="1:10" x14ac:dyDescent="0.35">
      <c r="A3871" s="32" t="s">
        <v>16</v>
      </c>
      <c r="B3871" s="32">
        <f t="shared" si="928"/>
        <v>2054</v>
      </c>
      <c r="C3871" s="33" t="s">
        <v>43</v>
      </c>
      <c r="D3871" s="34" t="s">
        <v>128</v>
      </c>
      <c r="E3871" s="35" t="str">
        <f t="shared" si="924"/>
        <v>PND'!</v>
      </c>
      <c r="F3871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71" s="32" t="s">
        <v>125</v>
      </c>
      <c r="H3871" s="33">
        <f t="shared" si="926"/>
        <v>43</v>
      </c>
      <c r="I3871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ECP\Cantagallo\Cristalina\[CRISTALINA_CF_SEC_New_09-Feb-2024.xlsx]D-PND'!$CB$43</v>
      </c>
      <c r="J3871" s="37" t="s">
        <v>1899</v>
      </c>
    </row>
    <row r="3872" spans="1:10" x14ac:dyDescent="0.35">
      <c r="A3872" s="32" t="s">
        <v>16</v>
      </c>
      <c r="B3872" s="32">
        <f t="shared" si="928"/>
        <v>2055</v>
      </c>
      <c r="C3872" s="33" t="s">
        <v>43</v>
      </c>
      <c r="D3872" s="34" t="s">
        <v>128</v>
      </c>
      <c r="E3872" s="35" t="str">
        <f t="shared" si="924"/>
        <v>PND'!</v>
      </c>
      <c r="F3872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72" s="32" t="s">
        <v>125</v>
      </c>
      <c r="H3872" s="33">
        <f t="shared" si="926"/>
        <v>44</v>
      </c>
      <c r="I3872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ECP\Cantagallo\Cristalina\[CRISTALINA_CF_SEC_New_09-Feb-2024.xlsx]D-PND'!$CB$44</v>
      </c>
      <c r="J3872" s="37" t="s">
        <v>1900</v>
      </c>
    </row>
    <row r="3873" spans="1:10" x14ac:dyDescent="0.35">
      <c r="A3873" s="32" t="s">
        <v>16</v>
      </c>
      <c r="B3873" s="32">
        <f t="shared" si="928"/>
        <v>2056</v>
      </c>
      <c r="C3873" s="33" t="s">
        <v>43</v>
      </c>
      <c r="D3873" s="34" t="s">
        <v>128</v>
      </c>
      <c r="E3873" s="35" t="str">
        <f t="shared" si="924"/>
        <v>PND'!</v>
      </c>
      <c r="F3873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73" s="32" t="s">
        <v>125</v>
      </c>
      <c r="H3873" s="33">
        <f t="shared" si="926"/>
        <v>45</v>
      </c>
      <c r="I3873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ECP\Cantagallo\Cristalina\[CRISTALINA_CF_SEC_New_09-Feb-2024.xlsx]D-PND'!$CB$45</v>
      </c>
      <c r="J3873" s="37" t="s">
        <v>1901</v>
      </c>
    </row>
    <row r="3874" spans="1:10" x14ac:dyDescent="0.35">
      <c r="A3874" s="32" t="s">
        <v>16</v>
      </c>
      <c r="B3874" s="32">
        <f t="shared" si="928"/>
        <v>2057</v>
      </c>
      <c r="C3874" s="33" t="s">
        <v>43</v>
      </c>
      <c r="D3874" s="34" t="s">
        <v>128</v>
      </c>
      <c r="E3874" s="35" t="str">
        <f t="shared" si="924"/>
        <v>PND'!</v>
      </c>
      <c r="F3874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74" s="32" t="s">
        <v>125</v>
      </c>
      <c r="H3874" s="33">
        <f t="shared" si="926"/>
        <v>46</v>
      </c>
      <c r="I3874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ECP\Cantagallo\Cristalina\[CRISTALINA_CF_SEC_New_09-Feb-2024.xlsx]D-PND'!$CB$46</v>
      </c>
      <c r="J3874" s="37" t="s">
        <v>1902</v>
      </c>
    </row>
    <row r="3875" spans="1:10" x14ac:dyDescent="0.35">
      <c r="A3875" s="32" t="s">
        <v>16</v>
      </c>
      <c r="B3875" s="32">
        <f t="shared" si="928"/>
        <v>2058</v>
      </c>
      <c r="C3875" s="33" t="s">
        <v>43</v>
      </c>
      <c r="D3875" s="34" t="s">
        <v>128</v>
      </c>
      <c r="E3875" s="35" t="str">
        <f t="shared" si="924"/>
        <v>PND'!</v>
      </c>
      <c r="F3875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75" s="32" t="s">
        <v>125</v>
      </c>
      <c r="H3875" s="33">
        <f t="shared" si="926"/>
        <v>47</v>
      </c>
      <c r="I3875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ECP\Cantagallo\Cristalina\[CRISTALINA_CF_SEC_New_09-Feb-2024.xlsx]D-PND'!$CB$47</v>
      </c>
      <c r="J3875" s="37" t="s">
        <v>1903</v>
      </c>
    </row>
    <row r="3876" spans="1:10" x14ac:dyDescent="0.35">
      <c r="A3876" s="32" t="s">
        <v>16</v>
      </c>
      <c r="B3876" s="32">
        <f t="shared" si="928"/>
        <v>2059</v>
      </c>
      <c r="C3876" s="33" t="s">
        <v>43</v>
      </c>
      <c r="D3876" s="34" t="s">
        <v>128</v>
      </c>
      <c r="E3876" s="35" t="str">
        <f t="shared" si="924"/>
        <v>PND'!</v>
      </c>
      <c r="F3876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76" s="32" t="s">
        <v>125</v>
      </c>
      <c r="H3876" s="33">
        <f t="shared" si="926"/>
        <v>48</v>
      </c>
      <c r="I3876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ECP\Cantagallo\Cristalina\[CRISTALINA_CF_SEC_New_09-Feb-2024.xlsx]D-PND'!$CB$48</v>
      </c>
      <c r="J3876" s="37" t="s">
        <v>1904</v>
      </c>
    </row>
    <row r="3877" spans="1:10" x14ac:dyDescent="0.35">
      <c r="A3877" s="32" t="s">
        <v>26</v>
      </c>
      <c r="B3877" s="32"/>
      <c r="C3877" s="33" t="s">
        <v>43</v>
      </c>
      <c r="D3877" s="34"/>
      <c r="E3877" s="35"/>
      <c r="F3877" s="34"/>
      <c r="G3877" s="32"/>
      <c r="H3877" s="33"/>
      <c r="I3877" s="33"/>
      <c r="J3877" s="33"/>
    </row>
    <row r="3878" spans="1:10" x14ac:dyDescent="0.35">
      <c r="A3878" s="32" t="s">
        <v>17</v>
      </c>
      <c r="B3878" s="32">
        <v>2023</v>
      </c>
      <c r="C3878" s="33" t="s">
        <v>43</v>
      </c>
      <c r="D3878" s="34" t="s">
        <v>128</v>
      </c>
      <c r="E3878" s="35" t="str">
        <f t="shared" ref="E3878:E3898" si="929">_xlfn.CONCAT(A3878,"'!")</f>
        <v>PRBDP'!</v>
      </c>
      <c r="F3878" s="34" t="str">
        <f t="shared" ref="F3878:F3898" si="930">_xlfn.CONCAT(D3878:E3878)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78" s="32" t="s">
        <v>125</v>
      </c>
      <c r="H3878" s="33"/>
      <c r="I3878" s="33"/>
      <c r="J3878" s="37"/>
    </row>
    <row r="3879" spans="1:10" x14ac:dyDescent="0.35">
      <c r="A3879" s="32" t="s">
        <v>17</v>
      </c>
      <c r="B3879" s="32">
        <f>+B3878+1</f>
        <v>2024</v>
      </c>
      <c r="C3879" s="33" t="s">
        <v>43</v>
      </c>
      <c r="D3879" s="34" t="s">
        <v>128</v>
      </c>
      <c r="E3879" s="35" t="str">
        <f t="shared" si="929"/>
        <v>PRBDP'!</v>
      </c>
      <c r="F3879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79" s="32" t="s">
        <v>125</v>
      </c>
      <c r="H3879" s="33"/>
      <c r="I3879" s="33"/>
      <c r="J3879" s="37"/>
    </row>
    <row r="3880" spans="1:10" x14ac:dyDescent="0.35">
      <c r="A3880" s="32" t="s">
        <v>17</v>
      </c>
      <c r="B3880" s="32">
        <f t="shared" ref="B3880:B3891" si="931">+B3879+1</f>
        <v>2025</v>
      </c>
      <c r="C3880" s="33" t="s">
        <v>43</v>
      </c>
      <c r="D3880" s="34" t="s">
        <v>128</v>
      </c>
      <c r="E3880" s="35" t="str">
        <f t="shared" si="929"/>
        <v>PRBDP'!</v>
      </c>
      <c r="F3880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80" s="32" t="s">
        <v>125</v>
      </c>
      <c r="H3880" s="33"/>
      <c r="I3880" s="33"/>
      <c r="J3880" s="37"/>
    </row>
    <row r="3881" spans="1:10" x14ac:dyDescent="0.35">
      <c r="A3881" s="32" t="s">
        <v>17</v>
      </c>
      <c r="B3881" s="32">
        <f t="shared" si="931"/>
        <v>2026</v>
      </c>
      <c r="C3881" s="33" t="s">
        <v>43</v>
      </c>
      <c r="D3881" s="34" t="s">
        <v>128</v>
      </c>
      <c r="E3881" s="35" t="str">
        <f t="shared" si="929"/>
        <v>PRBDP'!</v>
      </c>
      <c r="F3881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81" s="32" t="s">
        <v>125</v>
      </c>
      <c r="H3881" s="33"/>
      <c r="I3881" s="33"/>
      <c r="J3881" s="37"/>
    </row>
    <row r="3882" spans="1:10" x14ac:dyDescent="0.35">
      <c r="A3882" s="32" t="s">
        <v>17</v>
      </c>
      <c r="B3882" s="32">
        <f t="shared" si="931"/>
        <v>2027</v>
      </c>
      <c r="C3882" s="33" t="s">
        <v>43</v>
      </c>
      <c r="D3882" s="34" t="s">
        <v>128</v>
      </c>
      <c r="E3882" s="35" t="str">
        <f t="shared" si="929"/>
        <v>PRBDP'!</v>
      </c>
      <c r="F3882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82" s="32" t="s">
        <v>125</v>
      </c>
      <c r="H3882" s="33"/>
      <c r="I3882" s="33"/>
      <c r="J3882" s="37"/>
    </row>
    <row r="3883" spans="1:10" x14ac:dyDescent="0.35">
      <c r="A3883" s="32" t="s">
        <v>17</v>
      </c>
      <c r="B3883" s="32">
        <f t="shared" si="931"/>
        <v>2028</v>
      </c>
      <c r="C3883" s="33" t="s">
        <v>43</v>
      </c>
      <c r="D3883" s="34" t="s">
        <v>128</v>
      </c>
      <c r="E3883" s="35" t="str">
        <f t="shared" si="929"/>
        <v>PRBDP'!</v>
      </c>
      <c r="F3883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83" s="32" t="s">
        <v>125</v>
      </c>
      <c r="H3883" s="33"/>
      <c r="I3883" s="33"/>
      <c r="J3883" s="37"/>
    </row>
    <row r="3884" spans="1:10" x14ac:dyDescent="0.35">
      <c r="A3884" s="32" t="s">
        <v>17</v>
      </c>
      <c r="B3884" s="32">
        <f t="shared" si="931"/>
        <v>2029</v>
      </c>
      <c r="C3884" s="33" t="s">
        <v>43</v>
      </c>
      <c r="D3884" s="34" t="s">
        <v>128</v>
      </c>
      <c r="E3884" s="35" t="str">
        <f t="shared" si="929"/>
        <v>PRBDP'!</v>
      </c>
      <c r="F3884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84" s="32" t="s">
        <v>125</v>
      </c>
      <c r="H3884" s="33"/>
      <c r="I3884" s="33"/>
      <c r="J3884" s="37"/>
    </row>
    <row r="3885" spans="1:10" x14ac:dyDescent="0.35">
      <c r="A3885" s="32" t="s">
        <v>17</v>
      </c>
      <c r="B3885" s="32">
        <f t="shared" si="931"/>
        <v>2030</v>
      </c>
      <c r="C3885" s="33" t="s">
        <v>43</v>
      </c>
      <c r="D3885" s="34" t="s">
        <v>128</v>
      </c>
      <c r="E3885" s="35" t="str">
        <f t="shared" si="929"/>
        <v>PRBDP'!</v>
      </c>
      <c r="F3885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85" s="32" t="s">
        <v>125</v>
      </c>
      <c r="H3885" s="33"/>
      <c r="I3885" s="33"/>
      <c r="J3885" s="37"/>
    </row>
    <row r="3886" spans="1:10" x14ac:dyDescent="0.35">
      <c r="A3886" s="32" t="s">
        <v>17</v>
      </c>
      <c r="B3886" s="32">
        <f t="shared" si="931"/>
        <v>2031</v>
      </c>
      <c r="C3886" s="33" t="s">
        <v>43</v>
      </c>
      <c r="D3886" s="34" t="s">
        <v>128</v>
      </c>
      <c r="E3886" s="35" t="str">
        <f t="shared" si="929"/>
        <v>PRBDP'!</v>
      </c>
      <c r="F3886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86" s="32" t="s">
        <v>125</v>
      </c>
      <c r="H3886" s="33"/>
      <c r="I3886" s="33"/>
      <c r="J3886" s="37"/>
    </row>
    <row r="3887" spans="1:10" x14ac:dyDescent="0.35">
      <c r="A3887" s="32" t="s">
        <v>17</v>
      </c>
      <c r="B3887" s="32">
        <f t="shared" si="931"/>
        <v>2032</v>
      </c>
      <c r="C3887" s="33" t="s">
        <v>43</v>
      </c>
      <c r="D3887" s="34" t="s">
        <v>128</v>
      </c>
      <c r="E3887" s="35" t="str">
        <f t="shared" si="929"/>
        <v>PRBDP'!</v>
      </c>
      <c r="F3887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87" s="32" t="s">
        <v>125</v>
      </c>
      <c r="H3887" s="33"/>
      <c r="I3887" s="33"/>
      <c r="J3887" s="37"/>
    </row>
    <row r="3888" spans="1:10" x14ac:dyDescent="0.35">
      <c r="A3888" s="32" t="s">
        <v>17</v>
      </c>
      <c r="B3888" s="32">
        <f t="shared" si="931"/>
        <v>2033</v>
      </c>
      <c r="C3888" s="33" t="s">
        <v>43</v>
      </c>
      <c r="D3888" s="34" t="s">
        <v>128</v>
      </c>
      <c r="E3888" s="35" t="str">
        <f t="shared" si="929"/>
        <v>PRBDP'!</v>
      </c>
      <c r="F3888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88" s="32" t="s">
        <v>125</v>
      </c>
      <c r="H3888" s="33"/>
      <c r="I3888" s="33"/>
      <c r="J3888" s="37"/>
    </row>
    <row r="3889" spans="1:10" x14ac:dyDescent="0.35">
      <c r="A3889" s="32" t="s">
        <v>17</v>
      </c>
      <c r="B3889" s="32">
        <f t="shared" si="931"/>
        <v>2034</v>
      </c>
      <c r="C3889" s="33" t="s">
        <v>43</v>
      </c>
      <c r="D3889" s="34" t="s">
        <v>128</v>
      </c>
      <c r="E3889" s="35" t="str">
        <f t="shared" si="929"/>
        <v>PRBDP'!</v>
      </c>
      <c r="F3889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89" s="32" t="s">
        <v>125</v>
      </c>
      <c r="H3889" s="33"/>
      <c r="I3889" s="33"/>
      <c r="J3889" s="37"/>
    </row>
    <row r="3890" spans="1:10" x14ac:dyDescent="0.35">
      <c r="A3890" s="32" t="s">
        <v>17</v>
      </c>
      <c r="B3890" s="32">
        <f t="shared" si="931"/>
        <v>2035</v>
      </c>
      <c r="C3890" s="33" t="s">
        <v>43</v>
      </c>
      <c r="D3890" s="34" t="s">
        <v>128</v>
      </c>
      <c r="E3890" s="35" t="str">
        <f t="shared" si="929"/>
        <v>PRBDP'!</v>
      </c>
      <c r="F3890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90" s="32" t="s">
        <v>125</v>
      </c>
      <c r="H3890" s="33"/>
      <c r="I3890" s="33"/>
      <c r="J3890" s="37"/>
    </row>
    <row r="3891" spans="1:10" x14ac:dyDescent="0.35">
      <c r="A3891" s="32" t="s">
        <v>17</v>
      </c>
      <c r="B3891" s="32">
        <f t="shared" si="931"/>
        <v>2036</v>
      </c>
      <c r="C3891" s="33" t="s">
        <v>43</v>
      </c>
      <c r="D3891" s="34" t="s">
        <v>128</v>
      </c>
      <c r="E3891" s="35" t="str">
        <f t="shared" si="929"/>
        <v>PRBDP'!</v>
      </c>
      <c r="F3891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91" s="32" t="s">
        <v>125</v>
      </c>
      <c r="H3891" s="33"/>
      <c r="I3891" s="33"/>
      <c r="J3891" s="37"/>
    </row>
    <row r="3892" spans="1:10" x14ac:dyDescent="0.35">
      <c r="A3892" s="32" t="s">
        <v>17</v>
      </c>
      <c r="B3892" s="32">
        <f>+B3891+1</f>
        <v>2037</v>
      </c>
      <c r="C3892" s="33" t="s">
        <v>43</v>
      </c>
      <c r="D3892" s="34" t="s">
        <v>128</v>
      </c>
      <c r="E3892" s="35" t="str">
        <f t="shared" si="929"/>
        <v>PRBDP'!</v>
      </c>
      <c r="F3892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92" s="32" t="s">
        <v>125</v>
      </c>
      <c r="H3892" s="33"/>
      <c r="I3892" s="33"/>
      <c r="J3892" s="37"/>
    </row>
    <row r="3893" spans="1:10" x14ac:dyDescent="0.35">
      <c r="A3893" s="32" t="s">
        <v>17</v>
      </c>
      <c r="B3893" s="32">
        <f t="shared" ref="B3893:B3895" si="932">+B3892+1</f>
        <v>2038</v>
      </c>
      <c r="C3893" s="33" t="s">
        <v>43</v>
      </c>
      <c r="D3893" s="34" t="s">
        <v>128</v>
      </c>
      <c r="E3893" s="35" t="str">
        <f t="shared" si="929"/>
        <v>PRBDP'!</v>
      </c>
      <c r="F3893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93" s="32" t="s">
        <v>125</v>
      </c>
      <c r="H3893" s="33"/>
      <c r="I3893" s="33"/>
      <c r="J3893" s="37"/>
    </row>
    <row r="3894" spans="1:10" x14ac:dyDescent="0.35">
      <c r="A3894" s="32" t="s">
        <v>17</v>
      </c>
      <c r="B3894" s="32">
        <f t="shared" si="932"/>
        <v>2039</v>
      </c>
      <c r="C3894" s="33" t="s">
        <v>43</v>
      </c>
      <c r="D3894" s="34" t="s">
        <v>128</v>
      </c>
      <c r="E3894" s="35" t="str">
        <f t="shared" si="929"/>
        <v>PRBDP'!</v>
      </c>
      <c r="F3894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94" s="32" t="s">
        <v>125</v>
      </c>
      <c r="H3894" s="33"/>
      <c r="I3894" s="33"/>
      <c r="J3894" s="37"/>
    </row>
    <row r="3895" spans="1:10" x14ac:dyDescent="0.35">
      <c r="A3895" s="32" t="s">
        <v>17</v>
      </c>
      <c r="B3895" s="32">
        <f t="shared" si="932"/>
        <v>2040</v>
      </c>
      <c r="C3895" s="33" t="s">
        <v>43</v>
      </c>
      <c r="D3895" s="34" t="s">
        <v>128</v>
      </c>
      <c r="E3895" s="35" t="str">
        <f t="shared" si="929"/>
        <v>PRBDP'!</v>
      </c>
      <c r="F3895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95" s="32" t="s">
        <v>125</v>
      </c>
      <c r="H3895" s="33"/>
      <c r="I3895" s="33"/>
      <c r="J3895" s="37"/>
    </row>
    <row r="3896" spans="1:10" x14ac:dyDescent="0.35">
      <c r="A3896" s="32" t="s">
        <v>17</v>
      </c>
      <c r="B3896" s="32">
        <f>+B3895+1</f>
        <v>2041</v>
      </c>
      <c r="C3896" s="33" t="s">
        <v>43</v>
      </c>
      <c r="D3896" s="34" t="s">
        <v>128</v>
      </c>
      <c r="E3896" s="35" t="str">
        <f t="shared" si="929"/>
        <v>PRBDP'!</v>
      </c>
      <c r="F3896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96" s="32" t="s">
        <v>125</v>
      </c>
      <c r="H3896" s="33"/>
      <c r="I3896" s="33"/>
      <c r="J3896" s="37"/>
    </row>
    <row r="3897" spans="1:10" x14ac:dyDescent="0.35">
      <c r="A3897" s="32" t="s">
        <v>17</v>
      </c>
      <c r="B3897" s="32">
        <f t="shared" ref="B3897:B3898" si="933">+B3896+1</f>
        <v>2042</v>
      </c>
      <c r="C3897" s="33" t="s">
        <v>43</v>
      </c>
      <c r="D3897" s="34" t="s">
        <v>128</v>
      </c>
      <c r="E3897" s="35" t="str">
        <f t="shared" si="929"/>
        <v>PRBDP'!</v>
      </c>
      <c r="F3897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97" s="32" t="s">
        <v>125</v>
      </c>
      <c r="H3897" s="33"/>
      <c r="I3897" s="33"/>
      <c r="J3897" s="37"/>
    </row>
    <row r="3898" spans="1:10" x14ac:dyDescent="0.35">
      <c r="A3898" s="32" t="s">
        <v>17</v>
      </c>
      <c r="B3898" s="32">
        <f t="shared" si="933"/>
        <v>2043</v>
      </c>
      <c r="C3898" s="33" t="s">
        <v>43</v>
      </c>
      <c r="D3898" s="34" t="s">
        <v>128</v>
      </c>
      <c r="E3898" s="35" t="str">
        <f t="shared" si="929"/>
        <v>PRBDP'!</v>
      </c>
      <c r="F3898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98" s="32" t="s">
        <v>125</v>
      </c>
      <c r="H3898" s="33"/>
      <c r="I3898" s="33"/>
      <c r="J3898" s="37"/>
    </row>
    <row r="3899" spans="1:10" x14ac:dyDescent="0.35">
      <c r="A3899" s="32" t="s">
        <v>17</v>
      </c>
      <c r="B3899" s="32">
        <f>+B3898+1</f>
        <v>2044</v>
      </c>
      <c r="C3899" s="33" t="s">
        <v>43</v>
      </c>
      <c r="D3899" s="34" t="s">
        <v>128</v>
      </c>
      <c r="E3899" s="35" t="str">
        <f t="shared" ref="E3899:E3914" si="934">_xlfn.CONCAT(A3899,"'!")</f>
        <v>PRBDP'!</v>
      </c>
      <c r="F3899" s="34" t="str">
        <f t="shared" ref="F3899:F3914" si="935">_xlfn.CONCAT(D3899:E3899)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99" s="32" t="s">
        <v>125</v>
      </c>
      <c r="H3899" s="33"/>
      <c r="I3899" s="33"/>
      <c r="J3899" s="37"/>
    </row>
    <row r="3900" spans="1:10" x14ac:dyDescent="0.35">
      <c r="A3900" s="32" t="s">
        <v>17</v>
      </c>
      <c r="B3900" s="32">
        <f t="shared" ref="B3900:B3914" si="936">+B3899+1</f>
        <v>2045</v>
      </c>
      <c r="C3900" s="33" t="s">
        <v>43</v>
      </c>
      <c r="D3900" s="34" t="s">
        <v>128</v>
      </c>
      <c r="E3900" s="35" t="str">
        <f t="shared" si="934"/>
        <v>PRBDP'!</v>
      </c>
      <c r="F3900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00" s="32" t="s">
        <v>125</v>
      </c>
      <c r="H3900" s="33"/>
      <c r="I3900" s="33"/>
      <c r="J3900" s="37"/>
    </row>
    <row r="3901" spans="1:10" x14ac:dyDescent="0.35">
      <c r="A3901" s="32" t="s">
        <v>17</v>
      </c>
      <c r="B3901" s="32">
        <f t="shared" si="936"/>
        <v>2046</v>
      </c>
      <c r="C3901" s="33" t="s">
        <v>43</v>
      </c>
      <c r="D3901" s="34" t="s">
        <v>128</v>
      </c>
      <c r="E3901" s="35" t="str">
        <f t="shared" si="934"/>
        <v>PRBDP'!</v>
      </c>
      <c r="F3901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01" s="32" t="s">
        <v>125</v>
      </c>
      <c r="H3901" s="33"/>
      <c r="I3901" s="33"/>
      <c r="J3901" s="37"/>
    </row>
    <row r="3902" spans="1:10" x14ac:dyDescent="0.35">
      <c r="A3902" s="32" t="s">
        <v>17</v>
      </c>
      <c r="B3902" s="32">
        <f t="shared" si="936"/>
        <v>2047</v>
      </c>
      <c r="C3902" s="33" t="s">
        <v>43</v>
      </c>
      <c r="D3902" s="34" t="s">
        <v>128</v>
      </c>
      <c r="E3902" s="35" t="str">
        <f t="shared" si="934"/>
        <v>PRBDP'!</v>
      </c>
      <c r="F3902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02" s="32" t="s">
        <v>125</v>
      </c>
      <c r="H3902" s="33"/>
      <c r="I3902" s="33"/>
      <c r="J3902" s="37"/>
    </row>
    <row r="3903" spans="1:10" x14ac:dyDescent="0.35">
      <c r="A3903" s="32" t="s">
        <v>17</v>
      </c>
      <c r="B3903" s="32">
        <f t="shared" si="936"/>
        <v>2048</v>
      </c>
      <c r="C3903" s="33" t="s">
        <v>43</v>
      </c>
      <c r="D3903" s="34" t="s">
        <v>128</v>
      </c>
      <c r="E3903" s="35" t="str">
        <f t="shared" si="934"/>
        <v>PRBDP'!</v>
      </c>
      <c r="F3903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03" s="32" t="s">
        <v>125</v>
      </c>
      <c r="H3903" s="33"/>
      <c r="I3903" s="33"/>
      <c r="J3903" s="37"/>
    </row>
    <row r="3904" spans="1:10" x14ac:dyDescent="0.35">
      <c r="A3904" s="32" t="s">
        <v>17</v>
      </c>
      <c r="B3904" s="32">
        <f t="shared" si="936"/>
        <v>2049</v>
      </c>
      <c r="C3904" s="33" t="s">
        <v>43</v>
      </c>
      <c r="D3904" s="34" t="s">
        <v>128</v>
      </c>
      <c r="E3904" s="35" t="str">
        <f t="shared" si="934"/>
        <v>PRBDP'!</v>
      </c>
      <c r="F3904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04" s="32" t="s">
        <v>125</v>
      </c>
      <c r="H3904" s="33"/>
      <c r="I3904" s="33"/>
      <c r="J3904" s="37"/>
    </row>
    <row r="3905" spans="1:10" x14ac:dyDescent="0.35">
      <c r="A3905" s="32" t="s">
        <v>17</v>
      </c>
      <c r="B3905" s="32">
        <f t="shared" si="936"/>
        <v>2050</v>
      </c>
      <c r="C3905" s="33" t="s">
        <v>43</v>
      </c>
      <c r="D3905" s="34" t="s">
        <v>128</v>
      </c>
      <c r="E3905" s="35" t="str">
        <f t="shared" si="934"/>
        <v>PRBDP'!</v>
      </c>
      <c r="F3905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05" s="32" t="s">
        <v>125</v>
      </c>
      <c r="H3905" s="33"/>
      <c r="I3905" s="33"/>
      <c r="J3905" s="37"/>
    </row>
    <row r="3906" spans="1:10" x14ac:dyDescent="0.35">
      <c r="A3906" s="32" t="s">
        <v>17</v>
      </c>
      <c r="B3906" s="32">
        <f t="shared" si="936"/>
        <v>2051</v>
      </c>
      <c r="C3906" s="33" t="s">
        <v>43</v>
      </c>
      <c r="D3906" s="34" t="s">
        <v>128</v>
      </c>
      <c r="E3906" s="35" t="str">
        <f t="shared" si="934"/>
        <v>PRBDP'!</v>
      </c>
      <c r="F3906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06" s="32" t="s">
        <v>125</v>
      </c>
      <c r="H3906" s="33"/>
      <c r="I3906" s="33"/>
      <c r="J3906" s="37"/>
    </row>
    <row r="3907" spans="1:10" x14ac:dyDescent="0.35">
      <c r="A3907" s="32" t="s">
        <v>17</v>
      </c>
      <c r="B3907" s="32">
        <f t="shared" si="936"/>
        <v>2052</v>
      </c>
      <c r="C3907" s="33" t="s">
        <v>43</v>
      </c>
      <c r="D3907" s="34" t="s">
        <v>128</v>
      </c>
      <c r="E3907" s="35" t="str">
        <f t="shared" si="934"/>
        <v>PRBDP'!</v>
      </c>
      <c r="F3907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07" s="32" t="s">
        <v>125</v>
      </c>
      <c r="H3907" s="33"/>
      <c r="I3907" s="33"/>
      <c r="J3907" s="37"/>
    </row>
    <row r="3908" spans="1:10" x14ac:dyDescent="0.35">
      <c r="A3908" s="32" t="s">
        <v>17</v>
      </c>
      <c r="B3908" s="32">
        <f t="shared" si="936"/>
        <v>2053</v>
      </c>
      <c r="C3908" s="33" t="s">
        <v>43</v>
      </c>
      <c r="D3908" s="34" t="s">
        <v>128</v>
      </c>
      <c r="E3908" s="35" t="str">
        <f t="shared" si="934"/>
        <v>PRBDP'!</v>
      </c>
      <c r="F3908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08" s="32" t="s">
        <v>125</v>
      </c>
      <c r="H3908" s="33"/>
      <c r="I3908" s="33"/>
      <c r="J3908" s="37"/>
    </row>
    <row r="3909" spans="1:10" x14ac:dyDescent="0.35">
      <c r="A3909" s="32" t="s">
        <v>17</v>
      </c>
      <c r="B3909" s="32">
        <f t="shared" si="936"/>
        <v>2054</v>
      </c>
      <c r="C3909" s="33" t="s">
        <v>43</v>
      </c>
      <c r="D3909" s="34" t="s">
        <v>128</v>
      </c>
      <c r="E3909" s="35" t="str">
        <f t="shared" si="934"/>
        <v>PRBDP'!</v>
      </c>
      <c r="F3909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09" s="32" t="s">
        <v>125</v>
      </c>
      <c r="H3909" s="33"/>
      <c r="I3909" s="33"/>
      <c r="J3909" s="37"/>
    </row>
    <row r="3910" spans="1:10" x14ac:dyDescent="0.35">
      <c r="A3910" s="32" t="s">
        <v>17</v>
      </c>
      <c r="B3910" s="32">
        <f t="shared" si="936"/>
        <v>2055</v>
      </c>
      <c r="C3910" s="33" t="s">
        <v>43</v>
      </c>
      <c r="D3910" s="34" t="s">
        <v>128</v>
      </c>
      <c r="E3910" s="35" t="str">
        <f t="shared" si="934"/>
        <v>PRBDP'!</v>
      </c>
      <c r="F3910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10" s="32" t="s">
        <v>125</v>
      </c>
      <c r="H3910" s="33"/>
      <c r="I3910" s="33"/>
      <c r="J3910" s="37"/>
    </row>
    <row r="3911" spans="1:10" x14ac:dyDescent="0.35">
      <c r="A3911" s="32" t="s">
        <v>17</v>
      </c>
      <c r="B3911" s="32">
        <f t="shared" si="936"/>
        <v>2056</v>
      </c>
      <c r="C3911" s="33" t="s">
        <v>43</v>
      </c>
      <c r="D3911" s="34" t="s">
        <v>128</v>
      </c>
      <c r="E3911" s="35" t="str">
        <f t="shared" si="934"/>
        <v>PRBDP'!</v>
      </c>
      <c r="F3911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11" s="32" t="s">
        <v>125</v>
      </c>
      <c r="H3911" s="33"/>
      <c r="I3911" s="33"/>
      <c r="J3911" s="37"/>
    </row>
    <row r="3912" spans="1:10" x14ac:dyDescent="0.35">
      <c r="A3912" s="32" t="s">
        <v>17</v>
      </c>
      <c r="B3912" s="32">
        <f t="shared" si="936"/>
        <v>2057</v>
      </c>
      <c r="C3912" s="33" t="s">
        <v>43</v>
      </c>
      <c r="D3912" s="34" t="s">
        <v>128</v>
      </c>
      <c r="E3912" s="35" t="str">
        <f t="shared" si="934"/>
        <v>PRBDP'!</v>
      </c>
      <c r="F3912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12" s="32" t="s">
        <v>125</v>
      </c>
      <c r="H3912" s="33"/>
      <c r="I3912" s="33"/>
      <c r="J3912" s="37"/>
    </row>
    <row r="3913" spans="1:10" x14ac:dyDescent="0.35">
      <c r="A3913" s="32" t="s">
        <v>17</v>
      </c>
      <c r="B3913" s="32">
        <f t="shared" si="936"/>
        <v>2058</v>
      </c>
      <c r="C3913" s="33" t="s">
        <v>43</v>
      </c>
      <c r="D3913" s="34" t="s">
        <v>128</v>
      </c>
      <c r="E3913" s="35" t="str">
        <f t="shared" si="934"/>
        <v>PRBDP'!</v>
      </c>
      <c r="F3913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13" s="32" t="s">
        <v>125</v>
      </c>
      <c r="H3913" s="33"/>
      <c r="I3913" s="33"/>
      <c r="J3913" s="37"/>
    </row>
    <row r="3914" spans="1:10" x14ac:dyDescent="0.35">
      <c r="A3914" s="32" t="s">
        <v>17</v>
      </c>
      <c r="B3914" s="32">
        <f t="shared" si="936"/>
        <v>2059</v>
      </c>
      <c r="C3914" s="33" t="s">
        <v>43</v>
      </c>
      <c r="D3914" s="34" t="s">
        <v>128</v>
      </c>
      <c r="E3914" s="35" t="str">
        <f t="shared" si="934"/>
        <v>PRBDP'!</v>
      </c>
      <c r="F3914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14" s="32" t="s">
        <v>125</v>
      </c>
      <c r="H3914" s="33"/>
      <c r="I3914" s="33"/>
      <c r="J3914" s="37"/>
    </row>
    <row r="3915" spans="1:10" x14ac:dyDescent="0.35">
      <c r="A3915" s="32" t="s">
        <v>26</v>
      </c>
      <c r="B3915" s="32"/>
      <c r="C3915" s="33" t="s">
        <v>43</v>
      </c>
      <c r="D3915" s="34"/>
      <c r="E3915" s="35"/>
      <c r="F3915" s="34"/>
      <c r="G3915" s="32"/>
      <c r="H3915" s="33"/>
      <c r="I3915" s="33"/>
      <c r="J3915" s="36"/>
    </row>
    <row r="3916" spans="1:10" x14ac:dyDescent="0.35">
      <c r="A3916" s="32" t="s">
        <v>18</v>
      </c>
      <c r="B3916" s="32">
        <v>2023</v>
      </c>
      <c r="C3916" s="33" t="s">
        <v>43</v>
      </c>
      <c r="D3916" s="34" t="s">
        <v>128</v>
      </c>
      <c r="E3916" s="35" t="str">
        <f t="shared" ref="E3916:E3936" si="937">_xlfn.CONCAT(A3916,"'!")</f>
        <v>PRBNP'!</v>
      </c>
      <c r="F3916" s="34" t="str">
        <f t="shared" ref="F3916:F3936" si="938">_xlfn.CONCAT(D3916:E3916)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16" s="32" t="s">
        <v>125</v>
      </c>
      <c r="H3916" s="33"/>
      <c r="I3916" s="33"/>
      <c r="J3916" s="37"/>
    </row>
    <row r="3917" spans="1:10" x14ac:dyDescent="0.35">
      <c r="A3917" s="32" t="s">
        <v>18</v>
      </c>
      <c r="B3917" s="32">
        <f>+B3916+1</f>
        <v>2024</v>
      </c>
      <c r="C3917" s="33" t="s">
        <v>43</v>
      </c>
      <c r="D3917" s="34" t="s">
        <v>128</v>
      </c>
      <c r="E3917" s="35" t="str">
        <f t="shared" si="937"/>
        <v>PRBNP'!</v>
      </c>
      <c r="F3917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17" s="32" t="s">
        <v>125</v>
      </c>
      <c r="H3917" s="33"/>
      <c r="I3917" s="33"/>
      <c r="J3917" s="37"/>
    </row>
    <row r="3918" spans="1:10" x14ac:dyDescent="0.35">
      <c r="A3918" s="32" t="s">
        <v>18</v>
      </c>
      <c r="B3918" s="32">
        <f t="shared" ref="B3918:B3929" si="939">+B3917+1</f>
        <v>2025</v>
      </c>
      <c r="C3918" s="33" t="s">
        <v>43</v>
      </c>
      <c r="D3918" s="34" t="s">
        <v>128</v>
      </c>
      <c r="E3918" s="35" t="str">
        <f t="shared" si="937"/>
        <v>PRBNP'!</v>
      </c>
      <c r="F3918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18" s="32" t="s">
        <v>125</v>
      </c>
      <c r="H3918" s="33"/>
      <c r="I3918" s="33"/>
      <c r="J3918" s="37"/>
    </row>
    <row r="3919" spans="1:10" x14ac:dyDescent="0.35">
      <c r="A3919" s="32" t="s">
        <v>18</v>
      </c>
      <c r="B3919" s="32">
        <f t="shared" si="939"/>
        <v>2026</v>
      </c>
      <c r="C3919" s="33" t="s">
        <v>43</v>
      </c>
      <c r="D3919" s="34" t="s">
        <v>128</v>
      </c>
      <c r="E3919" s="35" t="str">
        <f t="shared" si="937"/>
        <v>PRBNP'!</v>
      </c>
      <c r="F3919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19" s="32" t="s">
        <v>125</v>
      </c>
      <c r="H3919" s="33"/>
      <c r="I3919" s="33"/>
      <c r="J3919" s="37"/>
    </row>
    <row r="3920" spans="1:10" x14ac:dyDescent="0.35">
      <c r="A3920" s="32" t="s">
        <v>18</v>
      </c>
      <c r="B3920" s="32">
        <f t="shared" si="939"/>
        <v>2027</v>
      </c>
      <c r="C3920" s="33" t="s">
        <v>43</v>
      </c>
      <c r="D3920" s="34" t="s">
        <v>128</v>
      </c>
      <c r="E3920" s="35" t="str">
        <f t="shared" si="937"/>
        <v>PRBNP'!</v>
      </c>
      <c r="F3920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20" s="32" t="s">
        <v>125</v>
      </c>
      <c r="H3920" s="33"/>
      <c r="I3920" s="33"/>
      <c r="J3920" s="37"/>
    </row>
    <row r="3921" spans="1:10" x14ac:dyDescent="0.35">
      <c r="A3921" s="32" t="s">
        <v>18</v>
      </c>
      <c r="B3921" s="32">
        <f t="shared" si="939"/>
        <v>2028</v>
      </c>
      <c r="C3921" s="33" t="s">
        <v>43</v>
      </c>
      <c r="D3921" s="34" t="s">
        <v>128</v>
      </c>
      <c r="E3921" s="35" t="str">
        <f t="shared" si="937"/>
        <v>PRBNP'!</v>
      </c>
      <c r="F3921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21" s="32" t="s">
        <v>125</v>
      </c>
      <c r="H3921" s="33"/>
      <c r="I3921" s="33"/>
      <c r="J3921" s="37"/>
    </row>
    <row r="3922" spans="1:10" x14ac:dyDescent="0.35">
      <c r="A3922" s="32" t="s">
        <v>18</v>
      </c>
      <c r="B3922" s="32">
        <f t="shared" si="939"/>
        <v>2029</v>
      </c>
      <c r="C3922" s="33" t="s">
        <v>43</v>
      </c>
      <c r="D3922" s="34" t="s">
        <v>128</v>
      </c>
      <c r="E3922" s="35" t="str">
        <f t="shared" si="937"/>
        <v>PRBNP'!</v>
      </c>
      <c r="F3922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22" s="32" t="s">
        <v>125</v>
      </c>
      <c r="H3922" s="33"/>
      <c r="I3922" s="33"/>
      <c r="J3922" s="37"/>
    </row>
    <row r="3923" spans="1:10" x14ac:dyDescent="0.35">
      <c r="A3923" s="32" t="s">
        <v>18</v>
      </c>
      <c r="B3923" s="32">
        <f t="shared" si="939"/>
        <v>2030</v>
      </c>
      <c r="C3923" s="33" t="s">
        <v>43</v>
      </c>
      <c r="D3923" s="34" t="s">
        <v>128</v>
      </c>
      <c r="E3923" s="35" t="str">
        <f t="shared" si="937"/>
        <v>PRBNP'!</v>
      </c>
      <c r="F3923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23" s="32" t="s">
        <v>125</v>
      </c>
      <c r="H3923" s="33"/>
      <c r="I3923" s="33"/>
      <c r="J3923" s="37"/>
    </row>
    <row r="3924" spans="1:10" x14ac:dyDescent="0.35">
      <c r="A3924" s="32" t="s">
        <v>18</v>
      </c>
      <c r="B3924" s="32">
        <f t="shared" si="939"/>
        <v>2031</v>
      </c>
      <c r="C3924" s="33" t="s">
        <v>43</v>
      </c>
      <c r="D3924" s="34" t="s">
        <v>128</v>
      </c>
      <c r="E3924" s="35" t="str">
        <f t="shared" si="937"/>
        <v>PRBNP'!</v>
      </c>
      <c r="F3924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24" s="32" t="s">
        <v>125</v>
      </c>
      <c r="H3924" s="33"/>
      <c r="I3924" s="33"/>
      <c r="J3924" s="37"/>
    </row>
    <row r="3925" spans="1:10" x14ac:dyDescent="0.35">
      <c r="A3925" s="32" t="s">
        <v>18</v>
      </c>
      <c r="B3925" s="32">
        <f t="shared" si="939"/>
        <v>2032</v>
      </c>
      <c r="C3925" s="33" t="s">
        <v>43</v>
      </c>
      <c r="D3925" s="34" t="s">
        <v>128</v>
      </c>
      <c r="E3925" s="35" t="str">
        <f t="shared" si="937"/>
        <v>PRBNP'!</v>
      </c>
      <c r="F3925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25" s="32" t="s">
        <v>125</v>
      </c>
      <c r="H3925" s="33"/>
      <c r="I3925" s="33"/>
      <c r="J3925" s="37"/>
    </row>
    <row r="3926" spans="1:10" x14ac:dyDescent="0.35">
      <c r="A3926" s="32" t="s">
        <v>18</v>
      </c>
      <c r="B3926" s="32">
        <f t="shared" si="939"/>
        <v>2033</v>
      </c>
      <c r="C3926" s="33" t="s">
        <v>43</v>
      </c>
      <c r="D3926" s="34" t="s">
        <v>128</v>
      </c>
      <c r="E3926" s="35" t="str">
        <f t="shared" si="937"/>
        <v>PRBNP'!</v>
      </c>
      <c r="F3926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26" s="32" t="s">
        <v>125</v>
      </c>
      <c r="H3926" s="33"/>
      <c r="I3926" s="33"/>
      <c r="J3926" s="37"/>
    </row>
    <row r="3927" spans="1:10" x14ac:dyDescent="0.35">
      <c r="A3927" s="32" t="s">
        <v>18</v>
      </c>
      <c r="B3927" s="32">
        <f t="shared" si="939"/>
        <v>2034</v>
      </c>
      <c r="C3927" s="33" t="s">
        <v>43</v>
      </c>
      <c r="D3927" s="34" t="s">
        <v>128</v>
      </c>
      <c r="E3927" s="35" t="str">
        <f t="shared" si="937"/>
        <v>PRBNP'!</v>
      </c>
      <c r="F3927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27" s="32" t="s">
        <v>125</v>
      </c>
      <c r="H3927" s="33"/>
      <c r="I3927" s="33"/>
      <c r="J3927" s="37"/>
    </row>
    <row r="3928" spans="1:10" x14ac:dyDescent="0.35">
      <c r="A3928" s="32" t="s">
        <v>18</v>
      </c>
      <c r="B3928" s="32">
        <f t="shared" si="939"/>
        <v>2035</v>
      </c>
      <c r="C3928" s="33" t="s">
        <v>43</v>
      </c>
      <c r="D3928" s="34" t="s">
        <v>128</v>
      </c>
      <c r="E3928" s="35" t="str">
        <f t="shared" si="937"/>
        <v>PRBNP'!</v>
      </c>
      <c r="F3928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28" s="32" t="s">
        <v>125</v>
      </c>
      <c r="H3928" s="33"/>
      <c r="I3928" s="33"/>
      <c r="J3928" s="37"/>
    </row>
    <row r="3929" spans="1:10" x14ac:dyDescent="0.35">
      <c r="A3929" s="32" t="s">
        <v>18</v>
      </c>
      <c r="B3929" s="32">
        <f t="shared" si="939"/>
        <v>2036</v>
      </c>
      <c r="C3929" s="33" t="s">
        <v>43</v>
      </c>
      <c r="D3929" s="34" t="s">
        <v>128</v>
      </c>
      <c r="E3929" s="35" t="str">
        <f t="shared" si="937"/>
        <v>PRBNP'!</v>
      </c>
      <c r="F3929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29" s="32" t="s">
        <v>125</v>
      </c>
      <c r="H3929" s="33"/>
      <c r="I3929" s="33"/>
      <c r="J3929" s="37"/>
    </row>
    <row r="3930" spans="1:10" x14ac:dyDescent="0.35">
      <c r="A3930" s="32" t="s">
        <v>18</v>
      </c>
      <c r="B3930" s="32">
        <f>+B3929+1</f>
        <v>2037</v>
      </c>
      <c r="C3930" s="33" t="s">
        <v>43</v>
      </c>
      <c r="D3930" s="34" t="s">
        <v>128</v>
      </c>
      <c r="E3930" s="35" t="str">
        <f t="shared" si="937"/>
        <v>PRBNP'!</v>
      </c>
      <c r="F3930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30" s="32" t="s">
        <v>125</v>
      </c>
      <c r="H3930" s="33"/>
      <c r="I3930" s="33"/>
      <c r="J3930" s="37"/>
    </row>
    <row r="3931" spans="1:10" x14ac:dyDescent="0.35">
      <c r="A3931" s="32" t="s">
        <v>18</v>
      </c>
      <c r="B3931" s="32">
        <f t="shared" ref="B3931:B3933" si="940">+B3930+1</f>
        <v>2038</v>
      </c>
      <c r="C3931" s="33" t="s">
        <v>43</v>
      </c>
      <c r="D3931" s="34" t="s">
        <v>128</v>
      </c>
      <c r="E3931" s="35" t="str">
        <f t="shared" si="937"/>
        <v>PRBNP'!</v>
      </c>
      <c r="F3931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31" s="32" t="s">
        <v>125</v>
      </c>
      <c r="H3931" s="33"/>
      <c r="I3931" s="33"/>
      <c r="J3931" s="37"/>
    </row>
    <row r="3932" spans="1:10" x14ac:dyDescent="0.35">
      <c r="A3932" s="32" t="s">
        <v>18</v>
      </c>
      <c r="B3932" s="32">
        <f t="shared" si="940"/>
        <v>2039</v>
      </c>
      <c r="C3932" s="33" t="s">
        <v>43</v>
      </c>
      <c r="D3932" s="34" t="s">
        <v>128</v>
      </c>
      <c r="E3932" s="35" t="str">
        <f t="shared" si="937"/>
        <v>PRBNP'!</v>
      </c>
      <c r="F3932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32" s="32" t="s">
        <v>125</v>
      </c>
      <c r="H3932" s="33"/>
      <c r="I3932" s="33"/>
      <c r="J3932" s="37"/>
    </row>
    <row r="3933" spans="1:10" x14ac:dyDescent="0.35">
      <c r="A3933" s="32" t="s">
        <v>18</v>
      </c>
      <c r="B3933" s="32">
        <f t="shared" si="940"/>
        <v>2040</v>
      </c>
      <c r="C3933" s="33" t="s">
        <v>43</v>
      </c>
      <c r="D3933" s="34" t="s">
        <v>128</v>
      </c>
      <c r="E3933" s="35" t="str">
        <f t="shared" si="937"/>
        <v>PRBNP'!</v>
      </c>
      <c r="F3933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33" s="32" t="s">
        <v>125</v>
      </c>
      <c r="H3933" s="33"/>
      <c r="I3933" s="33"/>
      <c r="J3933" s="37"/>
    </row>
    <row r="3934" spans="1:10" x14ac:dyDescent="0.35">
      <c r="A3934" s="32" t="s">
        <v>18</v>
      </c>
      <c r="B3934" s="32">
        <f>+B3933+1</f>
        <v>2041</v>
      </c>
      <c r="C3934" s="33" t="s">
        <v>43</v>
      </c>
      <c r="D3934" s="34" t="s">
        <v>128</v>
      </c>
      <c r="E3934" s="35" t="str">
        <f t="shared" si="937"/>
        <v>PRBNP'!</v>
      </c>
      <c r="F3934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34" s="32" t="s">
        <v>125</v>
      </c>
      <c r="H3934" s="33"/>
      <c r="I3934" s="33"/>
      <c r="J3934" s="37"/>
    </row>
    <row r="3935" spans="1:10" x14ac:dyDescent="0.35">
      <c r="A3935" s="32" t="s">
        <v>18</v>
      </c>
      <c r="B3935" s="32">
        <f t="shared" ref="B3935:B3936" si="941">+B3934+1</f>
        <v>2042</v>
      </c>
      <c r="C3935" s="33" t="s">
        <v>43</v>
      </c>
      <c r="D3935" s="34" t="s">
        <v>128</v>
      </c>
      <c r="E3935" s="35" t="str">
        <f t="shared" si="937"/>
        <v>PRBNP'!</v>
      </c>
      <c r="F3935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35" s="32" t="s">
        <v>125</v>
      </c>
      <c r="H3935" s="33"/>
      <c r="I3935" s="33"/>
      <c r="J3935" s="37"/>
    </row>
    <row r="3936" spans="1:10" x14ac:dyDescent="0.35">
      <c r="A3936" s="32" t="s">
        <v>18</v>
      </c>
      <c r="B3936" s="32">
        <f t="shared" si="941"/>
        <v>2043</v>
      </c>
      <c r="C3936" s="33" t="s">
        <v>43</v>
      </c>
      <c r="D3936" s="34" t="s">
        <v>128</v>
      </c>
      <c r="E3936" s="35" t="str">
        <f t="shared" si="937"/>
        <v>PRBNP'!</v>
      </c>
      <c r="F3936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36" s="32" t="s">
        <v>125</v>
      </c>
      <c r="H3936" s="33"/>
      <c r="I3936" s="33"/>
      <c r="J3936" s="37"/>
    </row>
    <row r="3937" spans="1:10" x14ac:dyDescent="0.35">
      <c r="A3937" s="32" t="s">
        <v>18</v>
      </c>
      <c r="B3937" s="32">
        <f>+B3936+1</f>
        <v>2044</v>
      </c>
      <c r="C3937" s="33" t="s">
        <v>43</v>
      </c>
      <c r="D3937" s="34" t="s">
        <v>128</v>
      </c>
      <c r="E3937" s="35" t="str">
        <f t="shared" ref="E3937:E3952" si="942">_xlfn.CONCAT(A3937,"'!")</f>
        <v>PRBNP'!</v>
      </c>
      <c r="F3937" s="34" t="str">
        <f t="shared" ref="F3937:F3952" si="943">_xlfn.CONCAT(D3937:E3937)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37" s="32" t="s">
        <v>125</v>
      </c>
      <c r="H3937" s="33"/>
      <c r="I3937" s="33"/>
      <c r="J3937" s="37"/>
    </row>
    <row r="3938" spans="1:10" x14ac:dyDescent="0.35">
      <c r="A3938" s="32" t="s">
        <v>18</v>
      </c>
      <c r="B3938" s="32">
        <f t="shared" ref="B3938:B3952" si="944">+B3937+1</f>
        <v>2045</v>
      </c>
      <c r="C3938" s="33" t="s">
        <v>43</v>
      </c>
      <c r="D3938" s="34" t="s">
        <v>128</v>
      </c>
      <c r="E3938" s="35" t="str">
        <f t="shared" si="942"/>
        <v>PRBNP'!</v>
      </c>
      <c r="F3938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38" s="32" t="s">
        <v>125</v>
      </c>
      <c r="H3938" s="33"/>
      <c r="I3938" s="33"/>
      <c r="J3938" s="37"/>
    </row>
    <row r="3939" spans="1:10" x14ac:dyDescent="0.35">
      <c r="A3939" s="32" t="s">
        <v>18</v>
      </c>
      <c r="B3939" s="32">
        <f t="shared" si="944"/>
        <v>2046</v>
      </c>
      <c r="C3939" s="33" t="s">
        <v>43</v>
      </c>
      <c r="D3939" s="34" t="s">
        <v>128</v>
      </c>
      <c r="E3939" s="35" t="str">
        <f t="shared" si="942"/>
        <v>PRBNP'!</v>
      </c>
      <c r="F3939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39" s="32" t="s">
        <v>125</v>
      </c>
      <c r="H3939" s="33"/>
      <c r="I3939" s="33"/>
      <c r="J3939" s="37"/>
    </row>
    <row r="3940" spans="1:10" x14ac:dyDescent="0.35">
      <c r="A3940" s="32" t="s">
        <v>18</v>
      </c>
      <c r="B3940" s="32">
        <f t="shared" si="944"/>
        <v>2047</v>
      </c>
      <c r="C3940" s="33" t="s">
        <v>43</v>
      </c>
      <c r="D3940" s="34" t="s">
        <v>128</v>
      </c>
      <c r="E3940" s="35" t="str">
        <f t="shared" si="942"/>
        <v>PRBNP'!</v>
      </c>
      <c r="F3940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40" s="32" t="s">
        <v>125</v>
      </c>
      <c r="H3940" s="33"/>
      <c r="I3940" s="33"/>
      <c r="J3940" s="37"/>
    </row>
    <row r="3941" spans="1:10" x14ac:dyDescent="0.35">
      <c r="A3941" s="32" t="s">
        <v>18</v>
      </c>
      <c r="B3941" s="32">
        <f t="shared" si="944"/>
        <v>2048</v>
      </c>
      <c r="C3941" s="33" t="s">
        <v>43</v>
      </c>
      <c r="D3941" s="34" t="s">
        <v>128</v>
      </c>
      <c r="E3941" s="35" t="str">
        <f t="shared" si="942"/>
        <v>PRBNP'!</v>
      </c>
      <c r="F3941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41" s="32" t="s">
        <v>125</v>
      </c>
      <c r="H3941" s="33"/>
      <c r="I3941" s="33"/>
      <c r="J3941" s="37"/>
    </row>
    <row r="3942" spans="1:10" x14ac:dyDescent="0.35">
      <c r="A3942" s="32" t="s">
        <v>18</v>
      </c>
      <c r="B3942" s="32">
        <f t="shared" si="944"/>
        <v>2049</v>
      </c>
      <c r="C3942" s="33" t="s">
        <v>43</v>
      </c>
      <c r="D3942" s="34" t="s">
        <v>128</v>
      </c>
      <c r="E3942" s="35" t="str">
        <f t="shared" si="942"/>
        <v>PRBNP'!</v>
      </c>
      <c r="F3942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42" s="32" t="s">
        <v>125</v>
      </c>
      <c r="H3942" s="33"/>
      <c r="I3942" s="33"/>
      <c r="J3942" s="37"/>
    </row>
    <row r="3943" spans="1:10" x14ac:dyDescent="0.35">
      <c r="A3943" s="32" t="s">
        <v>18</v>
      </c>
      <c r="B3943" s="32">
        <f t="shared" si="944"/>
        <v>2050</v>
      </c>
      <c r="C3943" s="33" t="s">
        <v>43</v>
      </c>
      <c r="D3943" s="34" t="s">
        <v>128</v>
      </c>
      <c r="E3943" s="35" t="str">
        <f t="shared" si="942"/>
        <v>PRBNP'!</v>
      </c>
      <c r="F3943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43" s="32" t="s">
        <v>125</v>
      </c>
      <c r="H3943" s="33"/>
      <c r="I3943" s="33"/>
      <c r="J3943" s="37"/>
    </row>
    <row r="3944" spans="1:10" x14ac:dyDescent="0.35">
      <c r="A3944" s="32" t="s">
        <v>18</v>
      </c>
      <c r="B3944" s="32">
        <f t="shared" si="944"/>
        <v>2051</v>
      </c>
      <c r="C3944" s="33" t="s">
        <v>43</v>
      </c>
      <c r="D3944" s="34" t="s">
        <v>128</v>
      </c>
      <c r="E3944" s="35" t="str">
        <f t="shared" si="942"/>
        <v>PRBNP'!</v>
      </c>
      <c r="F3944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44" s="32" t="s">
        <v>125</v>
      </c>
      <c r="H3944" s="33"/>
      <c r="I3944" s="33"/>
      <c r="J3944" s="37"/>
    </row>
    <row r="3945" spans="1:10" x14ac:dyDescent="0.35">
      <c r="A3945" s="32" t="s">
        <v>18</v>
      </c>
      <c r="B3945" s="32">
        <f t="shared" si="944"/>
        <v>2052</v>
      </c>
      <c r="C3945" s="33" t="s">
        <v>43</v>
      </c>
      <c r="D3945" s="34" t="s">
        <v>128</v>
      </c>
      <c r="E3945" s="35" t="str">
        <f t="shared" si="942"/>
        <v>PRBNP'!</v>
      </c>
      <c r="F3945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45" s="32" t="s">
        <v>125</v>
      </c>
      <c r="H3945" s="33"/>
      <c r="I3945" s="33"/>
      <c r="J3945" s="37"/>
    </row>
    <row r="3946" spans="1:10" x14ac:dyDescent="0.35">
      <c r="A3946" s="32" t="s">
        <v>18</v>
      </c>
      <c r="B3946" s="32">
        <f t="shared" si="944"/>
        <v>2053</v>
      </c>
      <c r="C3946" s="33" t="s">
        <v>43</v>
      </c>
      <c r="D3946" s="34" t="s">
        <v>128</v>
      </c>
      <c r="E3946" s="35" t="str">
        <f t="shared" si="942"/>
        <v>PRBNP'!</v>
      </c>
      <c r="F3946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46" s="32" t="s">
        <v>125</v>
      </c>
      <c r="H3946" s="33"/>
      <c r="I3946" s="33"/>
      <c r="J3946" s="37"/>
    </row>
    <row r="3947" spans="1:10" x14ac:dyDescent="0.35">
      <c r="A3947" s="32" t="s">
        <v>18</v>
      </c>
      <c r="B3947" s="32">
        <f t="shared" si="944"/>
        <v>2054</v>
      </c>
      <c r="C3947" s="33" t="s">
        <v>43</v>
      </c>
      <c r="D3947" s="34" t="s">
        <v>128</v>
      </c>
      <c r="E3947" s="35" t="str">
        <f t="shared" si="942"/>
        <v>PRBNP'!</v>
      </c>
      <c r="F3947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47" s="32" t="s">
        <v>125</v>
      </c>
      <c r="H3947" s="33"/>
      <c r="I3947" s="33"/>
      <c r="J3947" s="37"/>
    </row>
    <row r="3948" spans="1:10" x14ac:dyDescent="0.35">
      <c r="A3948" s="32" t="s">
        <v>18</v>
      </c>
      <c r="B3948" s="32">
        <f t="shared" si="944"/>
        <v>2055</v>
      </c>
      <c r="C3948" s="33" t="s">
        <v>43</v>
      </c>
      <c r="D3948" s="34" t="s">
        <v>128</v>
      </c>
      <c r="E3948" s="35" t="str">
        <f t="shared" si="942"/>
        <v>PRBNP'!</v>
      </c>
      <c r="F3948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48" s="32" t="s">
        <v>125</v>
      </c>
      <c r="H3948" s="33"/>
      <c r="I3948" s="33"/>
      <c r="J3948" s="37"/>
    </row>
    <row r="3949" spans="1:10" x14ac:dyDescent="0.35">
      <c r="A3949" s="32" t="s">
        <v>18</v>
      </c>
      <c r="B3949" s="32">
        <f t="shared" si="944"/>
        <v>2056</v>
      </c>
      <c r="C3949" s="33" t="s">
        <v>43</v>
      </c>
      <c r="D3949" s="34" t="s">
        <v>128</v>
      </c>
      <c r="E3949" s="35" t="str">
        <f t="shared" si="942"/>
        <v>PRBNP'!</v>
      </c>
      <c r="F3949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49" s="32" t="s">
        <v>125</v>
      </c>
      <c r="H3949" s="33"/>
      <c r="I3949" s="33"/>
      <c r="J3949" s="37"/>
    </row>
    <row r="3950" spans="1:10" x14ac:dyDescent="0.35">
      <c r="A3950" s="32" t="s">
        <v>18</v>
      </c>
      <c r="B3950" s="32">
        <f t="shared" si="944"/>
        <v>2057</v>
      </c>
      <c r="C3950" s="33" t="s">
        <v>43</v>
      </c>
      <c r="D3950" s="34" t="s">
        <v>128</v>
      </c>
      <c r="E3950" s="35" t="str">
        <f t="shared" si="942"/>
        <v>PRBNP'!</v>
      </c>
      <c r="F3950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50" s="32" t="s">
        <v>125</v>
      </c>
      <c r="H3950" s="33"/>
      <c r="I3950" s="33"/>
      <c r="J3950" s="37"/>
    </row>
    <row r="3951" spans="1:10" x14ac:dyDescent="0.35">
      <c r="A3951" s="32" t="s">
        <v>18</v>
      </c>
      <c r="B3951" s="32">
        <f t="shared" si="944"/>
        <v>2058</v>
      </c>
      <c r="C3951" s="33" t="s">
        <v>43</v>
      </c>
      <c r="D3951" s="34" t="s">
        <v>128</v>
      </c>
      <c r="E3951" s="35" t="str">
        <f t="shared" si="942"/>
        <v>PRBNP'!</v>
      </c>
      <c r="F3951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51" s="32" t="s">
        <v>125</v>
      </c>
      <c r="H3951" s="33"/>
      <c r="I3951" s="33"/>
      <c r="J3951" s="37"/>
    </row>
    <row r="3952" spans="1:10" x14ac:dyDescent="0.35">
      <c r="A3952" s="32" t="s">
        <v>18</v>
      </c>
      <c r="B3952" s="32">
        <f t="shared" si="944"/>
        <v>2059</v>
      </c>
      <c r="C3952" s="33" t="s">
        <v>43</v>
      </c>
      <c r="D3952" s="34" t="s">
        <v>128</v>
      </c>
      <c r="E3952" s="35" t="str">
        <f t="shared" si="942"/>
        <v>PRBNP'!</v>
      </c>
      <c r="F3952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52" s="32" t="s">
        <v>125</v>
      </c>
      <c r="H3952" s="33"/>
      <c r="I3952" s="33"/>
      <c r="J3952" s="37"/>
    </row>
    <row r="3953" spans="1:10" x14ac:dyDescent="0.35">
      <c r="A3953" s="32" t="s">
        <v>26</v>
      </c>
      <c r="B3953" s="32"/>
      <c r="C3953" s="33" t="s">
        <v>43</v>
      </c>
      <c r="D3953" s="34"/>
      <c r="E3953" s="35"/>
      <c r="F3953" s="34"/>
      <c r="G3953" s="32"/>
      <c r="H3953" s="33"/>
      <c r="I3953" s="33"/>
      <c r="J3953" s="36"/>
    </row>
    <row r="3954" spans="1:10" x14ac:dyDescent="0.35">
      <c r="A3954" s="32" t="s">
        <v>19</v>
      </c>
      <c r="B3954" s="32">
        <v>2023</v>
      </c>
      <c r="C3954" s="33" t="s">
        <v>43</v>
      </c>
      <c r="D3954" s="34" t="s">
        <v>128</v>
      </c>
      <c r="E3954" s="35" t="str">
        <f t="shared" ref="E3954:E3974" si="945">_xlfn.CONCAT(A3954,"'!")</f>
        <v>PRBND'!</v>
      </c>
      <c r="F3954" s="34" t="str">
        <f t="shared" ref="F3954:F3974" si="946">_xlfn.CONCAT(D3954:E3954)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54" s="32" t="s">
        <v>125</v>
      </c>
      <c r="H3954" s="33"/>
      <c r="I3954" s="33"/>
      <c r="J3954" s="37"/>
    </row>
    <row r="3955" spans="1:10" x14ac:dyDescent="0.35">
      <c r="A3955" s="32" t="s">
        <v>19</v>
      </c>
      <c r="B3955" s="32">
        <f>+B3954+1</f>
        <v>2024</v>
      </c>
      <c r="C3955" s="33" t="s">
        <v>43</v>
      </c>
      <c r="D3955" s="34" t="s">
        <v>128</v>
      </c>
      <c r="E3955" s="35" t="str">
        <f t="shared" si="945"/>
        <v>PRBND'!</v>
      </c>
      <c r="F3955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55" s="32" t="s">
        <v>125</v>
      </c>
      <c r="H3955" s="33"/>
      <c r="I3955" s="33"/>
      <c r="J3955" s="37"/>
    </row>
    <row r="3956" spans="1:10" x14ac:dyDescent="0.35">
      <c r="A3956" s="32" t="s">
        <v>19</v>
      </c>
      <c r="B3956" s="32">
        <f t="shared" ref="B3956:B3967" si="947">+B3955+1</f>
        <v>2025</v>
      </c>
      <c r="C3956" s="33" t="s">
        <v>43</v>
      </c>
      <c r="D3956" s="34" t="s">
        <v>128</v>
      </c>
      <c r="E3956" s="35" t="str">
        <f t="shared" si="945"/>
        <v>PRBND'!</v>
      </c>
      <c r="F3956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56" s="32" t="s">
        <v>125</v>
      </c>
      <c r="H3956" s="33"/>
      <c r="I3956" s="33"/>
      <c r="J3956" s="37"/>
    </row>
    <row r="3957" spans="1:10" x14ac:dyDescent="0.35">
      <c r="A3957" s="32" t="s">
        <v>19</v>
      </c>
      <c r="B3957" s="32">
        <f t="shared" si="947"/>
        <v>2026</v>
      </c>
      <c r="C3957" s="33" t="s">
        <v>43</v>
      </c>
      <c r="D3957" s="34" t="s">
        <v>128</v>
      </c>
      <c r="E3957" s="35" t="str">
        <f t="shared" si="945"/>
        <v>PRBND'!</v>
      </c>
      <c r="F3957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57" s="32" t="s">
        <v>125</v>
      </c>
      <c r="H3957" s="33"/>
      <c r="I3957" s="33"/>
      <c r="J3957" s="37"/>
    </row>
    <row r="3958" spans="1:10" x14ac:dyDescent="0.35">
      <c r="A3958" s="32" t="s">
        <v>19</v>
      </c>
      <c r="B3958" s="32">
        <f t="shared" si="947"/>
        <v>2027</v>
      </c>
      <c r="C3958" s="33" t="s">
        <v>43</v>
      </c>
      <c r="D3958" s="34" t="s">
        <v>128</v>
      </c>
      <c r="E3958" s="35" t="str">
        <f t="shared" si="945"/>
        <v>PRBND'!</v>
      </c>
      <c r="F3958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58" s="32" t="s">
        <v>125</v>
      </c>
      <c r="H3958" s="33"/>
      <c r="I3958" s="33"/>
      <c r="J3958" s="37"/>
    </row>
    <row r="3959" spans="1:10" x14ac:dyDescent="0.35">
      <c r="A3959" s="32" t="s">
        <v>19</v>
      </c>
      <c r="B3959" s="32">
        <f t="shared" si="947"/>
        <v>2028</v>
      </c>
      <c r="C3959" s="33" t="s">
        <v>43</v>
      </c>
      <c r="D3959" s="34" t="s">
        <v>128</v>
      </c>
      <c r="E3959" s="35" t="str">
        <f t="shared" si="945"/>
        <v>PRBND'!</v>
      </c>
      <c r="F3959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59" s="32" t="s">
        <v>125</v>
      </c>
      <c r="H3959" s="33"/>
      <c r="I3959" s="33"/>
      <c r="J3959" s="37"/>
    </row>
    <row r="3960" spans="1:10" x14ac:dyDescent="0.35">
      <c r="A3960" s="32" t="s">
        <v>19</v>
      </c>
      <c r="B3960" s="32">
        <f t="shared" si="947"/>
        <v>2029</v>
      </c>
      <c r="C3960" s="33" t="s">
        <v>43</v>
      </c>
      <c r="D3960" s="34" t="s">
        <v>128</v>
      </c>
      <c r="E3960" s="35" t="str">
        <f t="shared" si="945"/>
        <v>PRBND'!</v>
      </c>
      <c r="F3960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60" s="32" t="s">
        <v>125</v>
      </c>
      <c r="H3960" s="33"/>
      <c r="I3960" s="33"/>
      <c r="J3960" s="37"/>
    </row>
    <row r="3961" spans="1:10" x14ac:dyDescent="0.35">
      <c r="A3961" s="32" t="s">
        <v>19</v>
      </c>
      <c r="B3961" s="32">
        <f t="shared" si="947"/>
        <v>2030</v>
      </c>
      <c r="C3961" s="33" t="s">
        <v>43</v>
      </c>
      <c r="D3961" s="34" t="s">
        <v>128</v>
      </c>
      <c r="E3961" s="35" t="str">
        <f t="shared" si="945"/>
        <v>PRBND'!</v>
      </c>
      <c r="F3961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61" s="32" t="s">
        <v>125</v>
      </c>
      <c r="H3961" s="33"/>
      <c r="I3961" s="33"/>
      <c r="J3961" s="37"/>
    </row>
    <row r="3962" spans="1:10" x14ac:dyDescent="0.35">
      <c r="A3962" s="32" t="s">
        <v>19</v>
      </c>
      <c r="B3962" s="32">
        <f t="shared" si="947"/>
        <v>2031</v>
      </c>
      <c r="C3962" s="33" t="s">
        <v>43</v>
      </c>
      <c r="D3962" s="34" t="s">
        <v>128</v>
      </c>
      <c r="E3962" s="35" t="str">
        <f t="shared" si="945"/>
        <v>PRBND'!</v>
      </c>
      <c r="F3962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62" s="32" t="s">
        <v>125</v>
      </c>
      <c r="H3962" s="33"/>
      <c r="I3962" s="33"/>
      <c r="J3962" s="37"/>
    </row>
    <row r="3963" spans="1:10" x14ac:dyDescent="0.35">
      <c r="A3963" s="32" t="s">
        <v>19</v>
      </c>
      <c r="B3963" s="32">
        <f t="shared" si="947"/>
        <v>2032</v>
      </c>
      <c r="C3963" s="33" t="s">
        <v>43</v>
      </c>
      <c r="D3963" s="34" t="s">
        <v>128</v>
      </c>
      <c r="E3963" s="35" t="str">
        <f t="shared" si="945"/>
        <v>PRBND'!</v>
      </c>
      <c r="F3963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63" s="32" t="s">
        <v>125</v>
      </c>
      <c r="H3963" s="33"/>
      <c r="I3963" s="33"/>
      <c r="J3963" s="37"/>
    </row>
    <row r="3964" spans="1:10" x14ac:dyDescent="0.35">
      <c r="A3964" s="32" t="s">
        <v>19</v>
      </c>
      <c r="B3964" s="32">
        <f t="shared" si="947"/>
        <v>2033</v>
      </c>
      <c r="C3964" s="33" t="s">
        <v>43</v>
      </c>
      <c r="D3964" s="34" t="s">
        <v>128</v>
      </c>
      <c r="E3964" s="35" t="str">
        <f t="shared" si="945"/>
        <v>PRBND'!</v>
      </c>
      <c r="F3964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64" s="32" t="s">
        <v>125</v>
      </c>
      <c r="H3964" s="33"/>
      <c r="I3964" s="33"/>
      <c r="J3964" s="37"/>
    </row>
    <row r="3965" spans="1:10" x14ac:dyDescent="0.35">
      <c r="A3965" s="32" t="s">
        <v>19</v>
      </c>
      <c r="B3965" s="32">
        <f t="shared" si="947"/>
        <v>2034</v>
      </c>
      <c r="C3965" s="33" t="s">
        <v>43</v>
      </c>
      <c r="D3965" s="34" t="s">
        <v>128</v>
      </c>
      <c r="E3965" s="35" t="str">
        <f t="shared" si="945"/>
        <v>PRBND'!</v>
      </c>
      <c r="F3965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65" s="32" t="s">
        <v>125</v>
      </c>
      <c r="H3965" s="33"/>
      <c r="I3965" s="33"/>
      <c r="J3965" s="37"/>
    </row>
    <row r="3966" spans="1:10" x14ac:dyDescent="0.35">
      <c r="A3966" s="32" t="s">
        <v>19</v>
      </c>
      <c r="B3966" s="32">
        <f t="shared" si="947"/>
        <v>2035</v>
      </c>
      <c r="C3966" s="33" t="s">
        <v>43</v>
      </c>
      <c r="D3966" s="34" t="s">
        <v>128</v>
      </c>
      <c r="E3966" s="35" t="str">
        <f t="shared" si="945"/>
        <v>PRBND'!</v>
      </c>
      <c r="F3966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66" s="32" t="s">
        <v>125</v>
      </c>
      <c r="H3966" s="33"/>
      <c r="I3966" s="33"/>
      <c r="J3966" s="37"/>
    </row>
    <row r="3967" spans="1:10" x14ac:dyDescent="0.35">
      <c r="A3967" s="32" t="s">
        <v>19</v>
      </c>
      <c r="B3967" s="32">
        <f t="shared" si="947"/>
        <v>2036</v>
      </c>
      <c r="C3967" s="33" t="s">
        <v>43</v>
      </c>
      <c r="D3967" s="34" t="s">
        <v>128</v>
      </c>
      <c r="E3967" s="35" t="str">
        <f t="shared" si="945"/>
        <v>PRBND'!</v>
      </c>
      <c r="F3967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67" s="32" t="s">
        <v>125</v>
      </c>
      <c r="H3967" s="33"/>
      <c r="I3967" s="33"/>
      <c r="J3967" s="37"/>
    </row>
    <row r="3968" spans="1:10" x14ac:dyDescent="0.35">
      <c r="A3968" s="32" t="s">
        <v>19</v>
      </c>
      <c r="B3968" s="32">
        <f>+B3967+1</f>
        <v>2037</v>
      </c>
      <c r="C3968" s="33" t="s">
        <v>43</v>
      </c>
      <c r="D3968" s="34" t="s">
        <v>128</v>
      </c>
      <c r="E3968" s="35" t="str">
        <f t="shared" si="945"/>
        <v>PRBND'!</v>
      </c>
      <c r="F3968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68" s="32" t="s">
        <v>125</v>
      </c>
      <c r="H3968" s="33"/>
      <c r="I3968" s="33"/>
      <c r="J3968" s="37"/>
    </row>
    <row r="3969" spans="1:10" x14ac:dyDescent="0.35">
      <c r="A3969" s="32" t="s">
        <v>19</v>
      </c>
      <c r="B3969" s="32">
        <f t="shared" ref="B3969:B3971" si="948">+B3968+1</f>
        <v>2038</v>
      </c>
      <c r="C3969" s="33" t="s">
        <v>43</v>
      </c>
      <c r="D3969" s="34" t="s">
        <v>128</v>
      </c>
      <c r="E3969" s="35" t="str">
        <f t="shared" si="945"/>
        <v>PRBND'!</v>
      </c>
      <c r="F3969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69" s="32" t="s">
        <v>125</v>
      </c>
      <c r="H3969" s="33"/>
      <c r="I3969" s="33"/>
      <c r="J3969" s="37"/>
    </row>
    <row r="3970" spans="1:10" x14ac:dyDescent="0.35">
      <c r="A3970" s="32" t="s">
        <v>19</v>
      </c>
      <c r="B3970" s="32">
        <f t="shared" si="948"/>
        <v>2039</v>
      </c>
      <c r="C3970" s="33" t="s">
        <v>43</v>
      </c>
      <c r="D3970" s="34" t="s">
        <v>128</v>
      </c>
      <c r="E3970" s="35" t="str">
        <f t="shared" si="945"/>
        <v>PRBND'!</v>
      </c>
      <c r="F3970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70" s="32" t="s">
        <v>125</v>
      </c>
      <c r="H3970" s="33"/>
      <c r="I3970" s="33"/>
      <c r="J3970" s="37"/>
    </row>
    <row r="3971" spans="1:10" x14ac:dyDescent="0.35">
      <c r="A3971" s="32" t="s">
        <v>19</v>
      </c>
      <c r="B3971" s="32">
        <f t="shared" si="948"/>
        <v>2040</v>
      </c>
      <c r="C3971" s="33" t="s">
        <v>43</v>
      </c>
      <c r="D3971" s="34" t="s">
        <v>128</v>
      </c>
      <c r="E3971" s="35" t="str">
        <f t="shared" si="945"/>
        <v>PRBND'!</v>
      </c>
      <c r="F3971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71" s="32" t="s">
        <v>125</v>
      </c>
      <c r="H3971" s="33"/>
      <c r="I3971" s="33"/>
      <c r="J3971" s="37"/>
    </row>
    <row r="3972" spans="1:10" x14ac:dyDescent="0.35">
      <c r="A3972" s="32" t="s">
        <v>19</v>
      </c>
      <c r="B3972" s="32">
        <f>+B3971+1</f>
        <v>2041</v>
      </c>
      <c r="C3972" s="33" t="s">
        <v>43</v>
      </c>
      <c r="D3972" s="34" t="s">
        <v>128</v>
      </c>
      <c r="E3972" s="35" t="str">
        <f t="shared" si="945"/>
        <v>PRBND'!</v>
      </c>
      <c r="F3972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72" s="32" t="s">
        <v>125</v>
      </c>
      <c r="H3972" s="33"/>
      <c r="I3972" s="33"/>
      <c r="J3972" s="37"/>
    </row>
    <row r="3973" spans="1:10" x14ac:dyDescent="0.35">
      <c r="A3973" s="32" t="s">
        <v>19</v>
      </c>
      <c r="B3973" s="32">
        <f t="shared" ref="B3973:B3974" si="949">+B3972+1</f>
        <v>2042</v>
      </c>
      <c r="C3973" s="33" t="s">
        <v>43</v>
      </c>
      <c r="D3973" s="34" t="s">
        <v>128</v>
      </c>
      <c r="E3973" s="35" t="str">
        <f t="shared" si="945"/>
        <v>PRBND'!</v>
      </c>
      <c r="F3973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73" s="32" t="s">
        <v>125</v>
      </c>
      <c r="H3973" s="33"/>
      <c r="I3973" s="33"/>
      <c r="J3973" s="37"/>
    </row>
    <row r="3974" spans="1:10" x14ac:dyDescent="0.35">
      <c r="A3974" s="32" t="s">
        <v>19</v>
      </c>
      <c r="B3974" s="32">
        <f t="shared" si="949"/>
        <v>2043</v>
      </c>
      <c r="C3974" s="33" t="s">
        <v>43</v>
      </c>
      <c r="D3974" s="34" t="s">
        <v>128</v>
      </c>
      <c r="E3974" s="35" t="str">
        <f t="shared" si="945"/>
        <v>PRBND'!</v>
      </c>
      <c r="F3974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74" s="32" t="s">
        <v>125</v>
      </c>
      <c r="H3974" s="33"/>
      <c r="I3974" s="33"/>
      <c r="J3974" s="37"/>
    </row>
    <row r="3975" spans="1:10" x14ac:dyDescent="0.35">
      <c r="A3975" s="32" t="s">
        <v>19</v>
      </c>
      <c r="B3975" s="32">
        <f>+B3974+1</f>
        <v>2044</v>
      </c>
      <c r="C3975" s="33" t="s">
        <v>43</v>
      </c>
      <c r="D3975" s="34" t="s">
        <v>128</v>
      </c>
      <c r="E3975" s="35" t="str">
        <f t="shared" ref="E3975:E3990" si="950">_xlfn.CONCAT(A3975,"'!")</f>
        <v>PRBND'!</v>
      </c>
      <c r="F3975" s="34" t="str">
        <f t="shared" ref="F3975:F3990" si="951">_xlfn.CONCAT(D3975:E3975)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75" s="32" t="s">
        <v>125</v>
      </c>
      <c r="H3975" s="33"/>
      <c r="I3975" s="33"/>
      <c r="J3975" s="37"/>
    </row>
    <row r="3976" spans="1:10" x14ac:dyDescent="0.35">
      <c r="A3976" s="32" t="s">
        <v>19</v>
      </c>
      <c r="B3976" s="32">
        <f t="shared" ref="B3976:B3990" si="952">+B3975+1</f>
        <v>2045</v>
      </c>
      <c r="C3976" s="33" t="s">
        <v>43</v>
      </c>
      <c r="D3976" s="34" t="s">
        <v>128</v>
      </c>
      <c r="E3976" s="35" t="str">
        <f t="shared" si="950"/>
        <v>PRBND'!</v>
      </c>
      <c r="F3976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76" s="32" t="s">
        <v>125</v>
      </c>
      <c r="H3976" s="33"/>
      <c r="I3976" s="33"/>
      <c r="J3976" s="37"/>
    </row>
    <row r="3977" spans="1:10" x14ac:dyDescent="0.35">
      <c r="A3977" s="32" t="s">
        <v>19</v>
      </c>
      <c r="B3977" s="32">
        <f t="shared" si="952"/>
        <v>2046</v>
      </c>
      <c r="C3977" s="33" t="s">
        <v>43</v>
      </c>
      <c r="D3977" s="34" t="s">
        <v>128</v>
      </c>
      <c r="E3977" s="35" t="str">
        <f t="shared" si="950"/>
        <v>PRBND'!</v>
      </c>
      <c r="F3977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77" s="32" t="s">
        <v>125</v>
      </c>
      <c r="H3977" s="33"/>
      <c r="I3977" s="33"/>
      <c r="J3977" s="37"/>
    </row>
    <row r="3978" spans="1:10" x14ac:dyDescent="0.35">
      <c r="A3978" s="32" t="s">
        <v>19</v>
      </c>
      <c r="B3978" s="32">
        <f t="shared" si="952"/>
        <v>2047</v>
      </c>
      <c r="C3978" s="33" t="s">
        <v>43</v>
      </c>
      <c r="D3978" s="34" t="s">
        <v>128</v>
      </c>
      <c r="E3978" s="35" t="str">
        <f t="shared" si="950"/>
        <v>PRBND'!</v>
      </c>
      <c r="F3978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78" s="32" t="s">
        <v>125</v>
      </c>
      <c r="H3978" s="33"/>
      <c r="I3978" s="33"/>
      <c r="J3978" s="37"/>
    </row>
    <row r="3979" spans="1:10" x14ac:dyDescent="0.35">
      <c r="A3979" s="32" t="s">
        <v>19</v>
      </c>
      <c r="B3979" s="32">
        <f t="shared" si="952"/>
        <v>2048</v>
      </c>
      <c r="C3979" s="33" t="s">
        <v>43</v>
      </c>
      <c r="D3979" s="34" t="s">
        <v>128</v>
      </c>
      <c r="E3979" s="35" t="str">
        <f t="shared" si="950"/>
        <v>PRBND'!</v>
      </c>
      <c r="F3979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79" s="32" t="s">
        <v>125</v>
      </c>
      <c r="H3979" s="33"/>
      <c r="I3979" s="33"/>
      <c r="J3979" s="37"/>
    </row>
    <row r="3980" spans="1:10" x14ac:dyDescent="0.35">
      <c r="A3980" s="32" t="s">
        <v>19</v>
      </c>
      <c r="B3980" s="32">
        <f t="shared" si="952"/>
        <v>2049</v>
      </c>
      <c r="C3980" s="33" t="s">
        <v>43</v>
      </c>
      <c r="D3980" s="34" t="s">
        <v>128</v>
      </c>
      <c r="E3980" s="35" t="str">
        <f t="shared" si="950"/>
        <v>PRBND'!</v>
      </c>
      <c r="F3980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80" s="32" t="s">
        <v>125</v>
      </c>
      <c r="H3980" s="33"/>
      <c r="I3980" s="33"/>
      <c r="J3980" s="37"/>
    </row>
    <row r="3981" spans="1:10" x14ac:dyDescent="0.35">
      <c r="A3981" s="32" t="s">
        <v>19</v>
      </c>
      <c r="B3981" s="32">
        <f t="shared" si="952"/>
        <v>2050</v>
      </c>
      <c r="C3981" s="33" t="s">
        <v>43</v>
      </c>
      <c r="D3981" s="34" t="s">
        <v>128</v>
      </c>
      <c r="E3981" s="35" t="str">
        <f t="shared" si="950"/>
        <v>PRBND'!</v>
      </c>
      <c r="F3981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81" s="32" t="s">
        <v>125</v>
      </c>
      <c r="H3981" s="33"/>
      <c r="I3981" s="33"/>
      <c r="J3981" s="37"/>
    </row>
    <row r="3982" spans="1:10" x14ac:dyDescent="0.35">
      <c r="A3982" s="32" t="s">
        <v>19</v>
      </c>
      <c r="B3982" s="32">
        <f t="shared" si="952"/>
        <v>2051</v>
      </c>
      <c r="C3982" s="33" t="s">
        <v>43</v>
      </c>
      <c r="D3982" s="34" t="s">
        <v>128</v>
      </c>
      <c r="E3982" s="35" t="str">
        <f t="shared" si="950"/>
        <v>PRBND'!</v>
      </c>
      <c r="F3982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82" s="32" t="s">
        <v>125</v>
      </c>
      <c r="H3982" s="33"/>
      <c r="I3982" s="33"/>
      <c r="J3982" s="37"/>
    </row>
    <row r="3983" spans="1:10" x14ac:dyDescent="0.35">
      <c r="A3983" s="32" t="s">
        <v>19</v>
      </c>
      <c r="B3983" s="32">
        <f t="shared" si="952"/>
        <v>2052</v>
      </c>
      <c r="C3983" s="33" t="s">
        <v>43</v>
      </c>
      <c r="D3983" s="34" t="s">
        <v>128</v>
      </c>
      <c r="E3983" s="35" t="str">
        <f t="shared" si="950"/>
        <v>PRBND'!</v>
      </c>
      <c r="F3983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83" s="32" t="s">
        <v>125</v>
      </c>
      <c r="H3983" s="33"/>
      <c r="I3983" s="33"/>
      <c r="J3983" s="37"/>
    </row>
    <row r="3984" spans="1:10" x14ac:dyDescent="0.35">
      <c r="A3984" s="32" t="s">
        <v>19</v>
      </c>
      <c r="B3984" s="32">
        <f t="shared" si="952"/>
        <v>2053</v>
      </c>
      <c r="C3984" s="33" t="s">
        <v>43</v>
      </c>
      <c r="D3984" s="34" t="s">
        <v>128</v>
      </c>
      <c r="E3984" s="35" t="str">
        <f t="shared" si="950"/>
        <v>PRBND'!</v>
      </c>
      <c r="F3984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84" s="32" t="s">
        <v>125</v>
      </c>
      <c r="H3984" s="33"/>
      <c r="I3984" s="33"/>
      <c r="J3984" s="37"/>
    </row>
    <row r="3985" spans="1:10" x14ac:dyDescent="0.35">
      <c r="A3985" s="32" t="s">
        <v>19</v>
      </c>
      <c r="B3985" s="32">
        <f t="shared" si="952"/>
        <v>2054</v>
      </c>
      <c r="C3985" s="33" t="s">
        <v>43</v>
      </c>
      <c r="D3985" s="34" t="s">
        <v>128</v>
      </c>
      <c r="E3985" s="35" t="str">
        <f t="shared" si="950"/>
        <v>PRBND'!</v>
      </c>
      <c r="F3985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85" s="32" t="s">
        <v>125</v>
      </c>
      <c r="H3985" s="33"/>
      <c r="I3985" s="33"/>
      <c r="J3985" s="37"/>
    </row>
    <row r="3986" spans="1:10" x14ac:dyDescent="0.35">
      <c r="A3986" s="32" t="s">
        <v>19</v>
      </c>
      <c r="B3986" s="32">
        <f t="shared" si="952"/>
        <v>2055</v>
      </c>
      <c r="C3986" s="33" t="s">
        <v>43</v>
      </c>
      <c r="D3986" s="34" t="s">
        <v>128</v>
      </c>
      <c r="E3986" s="35" t="str">
        <f t="shared" si="950"/>
        <v>PRBND'!</v>
      </c>
      <c r="F3986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86" s="32" t="s">
        <v>125</v>
      </c>
      <c r="H3986" s="33"/>
      <c r="I3986" s="33"/>
      <c r="J3986" s="37"/>
    </row>
    <row r="3987" spans="1:10" x14ac:dyDescent="0.35">
      <c r="A3987" s="32" t="s">
        <v>19</v>
      </c>
      <c r="B3987" s="32">
        <f t="shared" si="952"/>
        <v>2056</v>
      </c>
      <c r="C3987" s="33" t="s">
        <v>43</v>
      </c>
      <c r="D3987" s="34" t="s">
        <v>128</v>
      </c>
      <c r="E3987" s="35" t="str">
        <f t="shared" si="950"/>
        <v>PRBND'!</v>
      </c>
      <c r="F3987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87" s="32" t="s">
        <v>125</v>
      </c>
      <c r="H3987" s="33"/>
      <c r="I3987" s="33"/>
      <c r="J3987" s="37"/>
    </row>
    <row r="3988" spans="1:10" x14ac:dyDescent="0.35">
      <c r="A3988" s="32" t="s">
        <v>19</v>
      </c>
      <c r="B3988" s="32">
        <f t="shared" si="952"/>
        <v>2057</v>
      </c>
      <c r="C3988" s="33" t="s">
        <v>43</v>
      </c>
      <c r="D3988" s="34" t="s">
        <v>128</v>
      </c>
      <c r="E3988" s="35" t="str">
        <f t="shared" si="950"/>
        <v>PRBND'!</v>
      </c>
      <c r="F3988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88" s="32" t="s">
        <v>125</v>
      </c>
      <c r="H3988" s="33"/>
      <c r="I3988" s="33"/>
      <c r="J3988" s="37"/>
    </row>
    <row r="3989" spans="1:10" x14ac:dyDescent="0.35">
      <c r="A3989" s="32" t="s">
        <v>19</v>
      </c>
      <c r="B3989" s="32">
        <f t="shared" si="952"/>
        <v>2058</v>
      </c>
      <c r="C3989" s="33" t="s">
        <v>43</v>
      </c>
      <c r="D3989" s="34" t="s">
        <v>128</v>
      </c>
      <c r="E3989" s="35" t="str">
        <f t="shared" si="950"/>
        <v>PRBND'!</v>
      </c>
      <c r="F3989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89" s="32" t="s">
        <v>125</v>
      </c>
      <c r="H3989" s="33"/>
      <c r="I3989" s="33"/>
      <c r="J3989" s="37"/>
    </row>
    <row r="3990" spans="1:10" x14ac:dyDescent="0.35">
      <c r="A3990" s="32" t="s">
        <v>19</v>
      </c>
      <c r="B3990" s="32">
        <f t="shared" si="952"/>
        <v>2059</v>
      </c>
      <c r="C3990" s="33" t="s">
        <v>43</v>
      </c>
      <c r="D3990" s="34" t="s">
        <v>128</v>
      </c>
      <c r="E3990" s="35" t="str">
        <f t="shared" si="950"/>
        <v>PRBND'!</v>
      </c>
      <c r="F3990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90" s="32" t="s">
        <v>125</v>
      </c>
      <c r="H3990" s="33"/>
      <c r="I3990" s="33"/>
      <c r="J3990" s="37"/>
    </row>
    <row r="3991" spans="1:10" x14ac:dyDescent="0.35">
      <c r="A3991" s="32" t="s">
        <v>26</v>
      </c>
      <c r="B3991" s="32"/>
      <c r="C3991" s="33" t="s">
        <v>43</v>
      </c>
      <c r="D3991" s="34"/>
      <c r="E3991" s="35"/>
      <c r="F3991" s="34"/>
      <c r="G3991" s="32"/>
      <c r="H3991" s="33"/>
      <c r="I3991" s="33"/>
      <c r="J3991" s="36"/>
    </row>
    <row r="3992" spans="1:10" x14ac:dyDescent="0.35">
      <c r="A3992" s="32" t="s">
        <v>20</v>
      </c>
      <c r="B3992" s="32">
        <v>2023</v>
      </c>
      <c r="C3992" s="33" t="s">
        <v>43</v>
      </c>
      <c r="D3992" s="34" t="s">
        <v>128</v>
      </c>
      <c r="E3992" s="35" t="str">
        <f t="shared" ref="E3992:E4012" si="953">_xlfn.CONCAT(A3992,"'!")</f>
        <v>PRB'!</v>
      </c>
      <c r="F3992" s="34" t="str">
        <f t="shared" ref="F3992:F4012" si="954">_xlfn.CONCAT(D3992:E3992)</f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992" s="32" t="s">
        <v>125</v>
      </c>
      <c r="H3992" s="33">
        <v>12</v>
      </c>
      <c r="I3992" s="33" t="str">
        <f t="shared" ref="I3992:I4012" si="955">_xlfn.CONCAT("='",F3992:H3992)</f>
        <v>='C:\Users\jaime.benazar\Quorum Business Solutions\Ecopetrol Prometeo - Documents\Planning Space Implementation\3. Analysis &amp; Design\Design\FC22\DRR Jaime\Por presentar a ECP\Cantagallo\Cristalina\[CRISTALINA_CF_SEC_New_09-Feb-2024.xlsx]D-PRB'!$CB$12</v>
      </c>
      <c r="J3992" s="37" t="s">
        <v>1905</v>
      </c>
    </row>
    <row r="3993" spans="1:10" x14ac:dyDescent="0.35">
      <c r="A3993" s="32" t="s">
        <v>20</v>
      </c>
      <c r="B3993" s="32">
        <f>+B3992+1</f>
        <v>2024</v>
      </c>
      <c r="C3993" s="33" t="s">
        <v>43</v>
      </c>
      <c r="D3993" s="34" t="s">
        <v>128</v>
      </c>
      <c r="E3993" s="35" t="str">
        <f t="shared" si="953"/>
        <v>PRB'!</v>
      </c>
      <c r="F3993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993" s="32" t="s">
        <v>125</v>
      </c>
      <c r="H3993" s="33">
        <f t="shared" ref="H3993:H4012" si="956">IF(A3993&lt;&gt;A3992,12,H3992+1)</f>
        <v>13</v>
      </c>
      <c r="I3993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ECP\Cantagallo\Cristalina\[CRISTALINA_CF_SEC_New_09-Feb-2024.xlsx]D-PRB'!$CB$13</v>
      </c>
      <c r="J3993" s="37" t="s">
        <v>1906</v>
      </c>
    </row>
    <row r="3994" spans="1:10" x14ac:dyDescent="0.35">
      <c r="A3994" s="32" t="s">
        <v>20</v>
      </c>
      <c r="B3994" s="32">
        <f t="shared" ref="B3994:B4005" si="957">+B3993+1</f>
        <v>2025</v>
      </c>
      <c r="C3994" s="33" t="s">
        <v>43</v>
      </c>
      <c r="D3994" s="34" t="s">
        <v>128</v>
      </c>
      <c r="E3994" s="35" t="str">
        <f t="shared" si="953"/>
        <v>PRB'!</v>
      </c>
      <c r="F3994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994" s="32" t="s">
        <v>125</v>
      </c>
      <c r="H3994" s="33">
        <f t="shared" si="956"/>
        <v>14</v>
      </c>
      <c r="I3994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ECP\Cantagallo\Cristalina\[CRISTALINA_CF_SEC_New_09-Feb-2024.xlsx]D-PRB'!$CB$14</v>
      </c>
      <c r="J3994" s="37" t="s">
        <v>1907</v>
      </c>
    </row>
    <row r="3995" spans="1:10" x14ac:dyDescent="0.35">
      <c r="A3995" s="32" t="s">
        <v>20</v>
      </c>
      <c r="B3995" s="32">
        <f t="shared" si="957"/>
        <v>2026</v>
      </c>
      <c r="C3995" s="33" t="s">
        <v>43</v>
      </c>
      <c r="D3995" s="34" t="s">
        <v>128</v>
      </c>
      <c r="E3995" s="35" t="str">
        <f t="shared" si="953"/>
        <v>PRB'!</v>
      </c>
      <c r="F3995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995" s="32" t="s">
        <v>125</v>
      </c>
      <c r="H3995" s="33">
        <f t="shared" si="956"/>
        <v>15</v>
      </c>
      <c r="I3995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ECP\Cantagallo\Cristalina\[CRISTALINA_CF_SEC_New_09-Feb-2024.xlsx]D-PRB'!$CB$15</v>
      </c>
      <c r="J3995" s="37" t="s">
        <v>1908</v>
      </c>
    </row>
    <row r="3996" spans="1:10" x14ac:dyDescent="0.35">
      <c r="A3996" s="32" t="s">
        <v>20</v>
      </c>
      <c r="B3996" s="32">
        <f t="shared" si="957"/>
        <v>2027</v>
      </c>
      <c r="C3996" s="33" t="s">
        <v>43</v>
      </c>
      <c r="D3996" s="34" t="s">
        <v>128</v>
      </c>
      <c r="E3996" s="35" t="str">
        <f t="shared" si="953"/>
        <v>PRB'!</v>
      </c>
      <c r="F3996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996" s="32" t="s">
        <v>125</v>
      </c>
      <c r="H3996" s="33">
        <f t="shared" si="956"/>
        <v>16</v>
      </c>
      <c r="I3996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ECP\Cantagallo\Cristalina\[CRISTALINA_CF_SEC_New_09-Feb-2024.xlsx]D-PRB'!$CB$16</v>
      </c>
      <c r="J3996" s="37" t="s">
        <v>1909</v>
      </c>
    </row>
    <row r="3997" spans="1:10" x14ac:dyDescent="0.35">
      <c r="A3997" s="32" t="s">
        <v>20</v>
      </c>
      <c r="B3997" s="32">
        <f t="shared" si="957"/>
        <v>2028</v>
      </c>
      <c r="C3997" s="33" t="s">
        <v>43</v>
      </c>
      <c r="D3997" s="34" t="s">
        <v>128</v>
      </c>
      <c r="E3997" s="35" t="str">
        <f t="shared" si="953"/>
        <v>PRB'!</v>
      </c>
      <c r="F3997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997" s="32" t="s">
        <v>125</v>
      </c>
      <c r="H3997" s="33">
        <f t="shared" si="956"/>
        <v>17</v>
      </c>
      <c r="I3997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ECP\Cantagallo\Cristalina\[CRISTALINA_CF_SEC_New_09-Feb-2024.xlsx]D-PRB'!$CB$17</v>
      </c>
      <c r="J3997" s="37" t="s">
        <v>1910</v>
      </c>
    </row>
    <row r="3998" spans="1:10" x14ac:dyDescent="0.35">
      <c r="A3998" s="32" t="s">
        <v>20</v>
      </c>
      <c r="B3998" s="32">
        <f t="shared" si="957"/>
        <v>2029</v>
      </c>
      <c r="C3998" s="33" t="s">
        <v>43</v>
      </c>
      <c r="D3998" s="34" t="s">
        <v>128</v>
      </c>
      <c r="E3998" s="35" t="str">
        <f t="shared" si="953"/>
        <v>PRB'!</v>
      </c>
      <c r="F3998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998" s="32" t="s">
        <v>125</v>
      </c>
      <c r="H3998" s="33">
        <f t="shared" si="956"/>
        <v>18</v>
      </c>
      <c r="I3998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ECP\Cantagallo\Cristalina\[CRISTALINA_CF_SEC_New_09-Feb-2024.xlsx]D-PRB'!$CB$18</v>
      </c>
      <c r="J3998" s="37" t="s">
        <v>1911</v>
      </c>
    </row>
    <row r="3999" spans="1:10" x14ac:dyDescent="0.35">
      <c r="A3999" s="32" t="s">
        <v>20</v>
      </c>
      <c r="B3999" s="32">
        <f t="shared" si="957"/>
        <v>2030</v>
      </c>
      <c r="C3999" s="33" t="s">
        <v>43</v>
      </c>
      <c r="D3999" s="34" t="s">
        <v>128</v>
      </c>
      <c r="E3999" s="35" t="str">
        <f t="shared" si="953"/>
        <v>PRB'!</v>
      </c>
      <c r="F3999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999" s="32" t="s">
        <v>125</v>
      </c>
      <c r="H3999" s="33">
        <f t="shared" si="956"/>
        <v>19</v>
      </c>
      <c r="I3999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ECP\Cantagallo\Cristalina\[CRISTALINA_CF_SEC_New_09-Feb-2024.xlsx]D-PRB'!$CB$19</v>
      </c>
      <c r="J3999" s="37" t="s">
        <v>1912</v>
      </c>
    </row>
    <row r="4000" spans="1:10" x14ac:dyDescent="0.35">
      <c r="A4000" s="32" t="s">
        <v>20</v>
      </c>
      <c r="B4000" s="32">
        <f t="shared" si="957"/>
        <v>2031</v>
      </c>
      <c r="C4000" s="33" t="s">
        <v>43</v>
      </c>
      <c r="D4000" s="34" t="s">
        <v>128</v>
      </c>
      <c r="E4000" s="35" t="str">
        <f t="shared" si="953"/>
        <v>PRB'!</v>
      </c>
      <c r="F4000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00" s="32" t="s">
        <v>125</v>
      </c>
      <c r="H4000" s="33">
        <f t="shared" si="956"/>
        <v>20</v>
      </c>
      <c r="I4000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ECP\Cantagallo\Cristalina\[CRISTALINA_CF_SEC_New_09-Feb-2024.xlsx]D-PRB'!$CB$20</v>
      </c>
      <c r="J4000" s="37" t="s">
        <v>1913</v>
      </c>
    </row>
    <row r="4001" spans="1:10" x14ac:dyDescent="0.35">
      <c r="A4001" s="32" t="s">
        <v>20</v>
      </c>
      <c r="B4001" s="32">
        <f t="shared" si="957"/>
        <v>2032</v>
      </c>
      <c r="C4001" s="33" t="s">
        <v>43</v>
      </c>
      <c r="D4001" s="34" t="s">
        <v>128</v>
      </c>
      <c r="E4001" s="35" t="str">
        <f t="shared" si="953"/>
        <v>PRB'!</v>
      </c>
      <c r="F4001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01" s="32" t="s">
        <v>125</v>
      </c>
      <c r="H4001" s="33">
        <f t="shared" si="956"/>
        <v>21</v>
      </c>
      <c r="I4001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ECP\Cantagallo\Cristalina\[CRISTALINA_CF_SEC_New_09-Feb-2024.xlsx]D-PRB'!$CB$21</v>
      </c>
      <c r="J4001" s="37" t="s">
        <v>1914</v>
      </c>
    </row>
    <row r="4002" spans="1:10" x14ac:dyDescent="0.35">
      <c r="A4002" s="32" t="s">
        <v>20</v>
      </c>
      <c r="B4002" s="32">
        <f t="shared" si="957"/>
        <v>2033</v>
      </c>
      <c r="C4002" s="33" t="s">
        <v>43</v>
      </c>
      <c r="D4002" s="34" t="s">
        <v>128</v>
      </c>
      <c r="E4002" s="35" t="str">
        <f t="shared" si="953"/>
        <v>PRB'!</v>
      </c>
      <c r="F4002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02" s="32" t="s">
        <v>125</v>
      </c>
      <c r="H4002" s="33">
        <f t="shared" si="956"/>
        <v>22</v>
      </c>
      <c r="I4002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ECP\Cantagallo\Cristalina\[CRISTALINA_CF_SEC_New_09-Feb-2024.xlsx]D-PRB'!$CB$22</v>
      </c>
      <c r="J4002" s="37" t="s">
        <v>1915</v>
      </c>
    </row>
    <row r="4003" spans="1:10" x14ac:dyDescent="0.35">
      <c r="A4003" s="32" t="s">
        <v>20</v>
      </c>
      <c r="B4003" s="32">
        <f t="shared" si="957"/>
        <v>2034</v>
      </c>
      <c r="C4003" s="33" t="s">
        <v>43</v>
      </c>
      <c r="D4003" s="34" t="s">
        <v>128</v>
      </c>
      <c r="E4003" s="35" t="str">
        <f t="shared" si="953"/>
        <v>PRB'!</v>
      </c>
      <c r="F4003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03" s="32" t="s">
        <v>125</v>
      </c>
      <c r="H4003" s="33">
        <f t="shared" si="956"/>
        <v>23</v>
      </c>
      <c r="I4003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ECP\Cantagallo\Cristalina\[CRISTALINA_CF_SEC_New_09-Feb-2024.xlsx]D-PRB'!$CB$23</v>
      </c>
      <c r="J4003" s="37" t="s">
        <v>1916</v>
      </c>
    </row>
    <row r="4004" spans="1:10" x14ac:dyDescent="0.35">
      <c r="A4004" s="32" t="s">
        <v>20</v>
      </c>
      <c r="B4004" s="32">
        <f t="shared" si="957"/>
        <v>2035</v>
      </c>
      <c r="C4004" s="33" t="s">
        <v>43</v>
      </c>
      <c r="D4004" s="34" t="s">
        <v>128</v>
      </c>
      <c r="E4004" s="35" t="str">
        <f t="shared" si="953"/>
        <v>PRB'!</v>
      </c>
      <c r="F4004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04" s="32" t="s">
        <v>125</v>
      </c>
      <c r="H4004" s="33">
        <f t="shared" si="956"/>
        <v>24</v>
      </c>
      <c r="I4004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ECP\Cantagallo\Cristalina\[CRISTALINA_CF_SEC_New_09-Feb-2024.xlsx]D-PRB'!$CB$24</v>
      </c>
      <c r="J4004" s="37" t="s">
        <v>1917</v>
      </c>
    </row>
    <row r="4005" spans="1:10" x14ac:dyDescent="0.35">
      <c r="A4005" s="32" t="s">
        <v>20</v>
      </c>
      <c r="B4005" s="32">
        <f t="shared" si="957"/>
        <v>2036</v>
      </c>
      <c r="C4005" s="33" t="s">
        <v>43</v>
      </c>
      <c r="D4005" s="34" t="s">
        <v>128</v>
      </c>
      <c r="E4005" s="35" t="str">
        <f t="shared" si="953"/>
        <v>PRB'!</v>
      </c>
      <c r="F4005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05" s="32" t="s">
        <v>125</v>
      </c>
      <c r="H4005" s="33">
        <f t="shared" si="956"/>
        <v>25</v>
      </c>
      <c r="I4005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ECP\Cantagallo\Cristalina\[CRISTALINA_CF_SEC_New_09-Feb-2024.xlsx]D-PRB'!$CB$25</v>
      </c>
      <c r="J4005" s="37" t="s">
        <v>1918</v>
      </c>
    </row>
    <row r="4006" spans="1:10" x14ac:dyDescent="0.35">
      <c r="A4006" s="32" t="s">
        <v>20</v>
      </c>
      <c r="B4006" s="32">
        <f>+B4005+1</f>
        <v>2037</v>
      </c>
      <c r="C4006" s="33" t="s">
        <v>43</v>
      </c>
      <c r="D4006" s="34" t="s">
        <v>128</v>
      </c>
      <c r="E4006" s="35" t="str">
        <f t="shared" si="953"/>
        <v>PRB'!</v>
      </c>
      <c r="F4006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06" s="32" t="s">
        <v>125</v>
      </c>
      <c r="H4006" s="33">
        <f t="shared" si="956"/>
        <v>26</v>
      </c>
      <c r="I4006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ECP\Cantagallo\Cristalina\[CRISTALINA_CF_SEC_New_09-Feb-2024.xlsx]D-PRB'!$CB$26</v>
      </c>
      <c r="J4006" s="37" t="s">
        <v>1919</v>
      </c>
    </row>
    <row r="4007" spans="1:10" x14ac:dyDescent="0.35">
      <c r="A4007" s="32" t="s">
        <v>20</v>
      </c>
      <c r="B4007" s="32">
        <f t="shared" ref="B4007:B4009" si="958">+B4006+1</f>
        <v>2038</v>
      </c>
      <c r="C4007" s="33" t="s">
        <v>43</v>
      </c>
      <c r="D4007" s="34" t="s">
        <v>128</v>
      </c>
      <c r="E4007" s="35" t="str">
        <f t="shared" si="953"/>
        <v>PRB'!</v>
      </c>
      <c r="F4007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07" s="32" t="s">
        <v>125</v>
      </c>
      <c r="H4007" s="33">
        <f t="shared" si="956"/>
        <v>27</v>
      </c>
      <c r="I4007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ECP\Cantagallo\Cristalina\[CRISTALINA_CF_SEC_New_09-Feb-2024.xlsx]D-PRB'!$CB$27</v>
      </c>
      <c r="J4007" s="37" t="s">
        <v>1920</v>
      </c>
    </row>
    <row r="4008" spans="1:10" x14ac:dyDescent="0.35">
      <c r="A4008" s="32" t="s">
        <v>20</v>
      </c>
      <c r="B4008" s="32">
        <f t="shared" si="958"/>
        <v>2039</v>
      </c>
      <c r="C4008" s="33" t="s">
        <v>43</v>
      </c>
      <c r="D4008" s="34" t="s">
        <v>128</v>
      </c>
      <c r="E4008" s="35" t="str">
        <f t="shared" si="953"/>
        <v>PRB'!</v>
      </c>
      <c r="F4008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08" s="32" t="s">
        <v>125</v>
      </c>
      <c r="H4008" s="33">
        <f t="shared" si="956"/>
        <v>28</v>
      </c>
      <c r="I4008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ECP\Cantagallo\Cristalina\[CRISTALINA_CF_SEC_New_09-Feb-2024.xlsx]D-PRB'!$CB$28</v>
      </c>
      <c r="J4008" s="37" t="s">
        <v>1921</v>
      </c>
    </row>
    <row r="4009" spans="1:10" x14ac:dyDescent="0.35">
      <c r="A4009" s="32" t="s">
        <v>20</v>
      </c>
      <c r="B4009" s="32">
        <f t="shared" si="958"/>
        <v>2040</v>
      </c>
      <c r="C4009" s="33" t="s">
        <v>43</v>
      </c>
      <c r="D4009" s="34" t="s">
        <v>128</v>
      </c>
      <c r="E4009" s="35" t="str">
        <f t="shared" si="953"/>
        <v>PRB'!</v>
      </c>
      <c r="F4009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09" s="32" t="s">
        <v>125</v>
      </c>
      <c r="H4009" s="33">
        <f t="shared" si="956"/>
        <v>29</v>
      </c>
      <c r="I4009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ECP\Cantagallo\Cristalina\[CRISTALINA_CF_SEC_New_09-Feb-2024.xlsx]D-PRB'!$CB$29</v>
      </c>
      <c r="J4009" s="37" t="s">
        <v>1922</v>
      </c>
    </row>
    <row r="4010" spans="1:10" x14ac:dyDescent="0.35">
      <c r="A4010" s="32" t="s">
        <v>20</v>
      </c>
      <c r="B4010" s="32">
        <f>+B4009+1</f>
        <v>2041</v>
      </c>
      <c r="C4010" s="33" t="s">
        <v>43</v>
      </c>
      <c r="D4010" s="34" t="s">
        <v>128</v>
      </c>
      <c r="E4010" s="35" t="str">
        <f t="shared" si="953"/>
        <v>PRB'!</v>
      </c>
      <c r="F4010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10" s="32" t="s">
        <v>125</v>
      </c>
      <c r="H4010" s="33">
        <f t="shared" si="956"/>
        <v>30</v>
      </c>
      <c r="I4010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ECP\Cantagallo\Cristalina\[CRISTALINA_CF_SEC_New_09-Feb-2024.xlsx]D-PRB'!$CB$30</v>
      </c>
      <c r="J4010" s="37" t="s">
        <v>1923</v>
      </c>
    </row>
    <row r="4011" spans="1:10" x14ac:dyDescent="0.35">
      <c r="A4011" s="32" t="s">
        <v>20</v>
      </c>
      <c r="B4011" s="32">
        <f t="shared" ref="B4011:B4012" si="959">+B4010+1</f>
        <v>2042</v>
      </c>
      <c r="C4011" s="33" t="s">
        <v>43</v>
      </c>
      <c r="D4011" s="34" t="s">
        <v>128</v>
      </c>
      <c r="E4011" s="35" t="str">
        <f t="shared" si="953"/>
        <v>PRB'!</v>
      </c>
      <c r="F4011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11" s="32" t="s">
        <v>125</v>
      </c>
      <c r="H4011" s="33">
        <f t="shared" si="956"/>
        <v>31</v>
      </c>
      <c r="I4011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ECP\Cantagallo\Cristalina\[CRISTALINA_CF_SEC_New_09-Feb-2024.xlsx]D-PRB'!$CB$31</v>
      </c>
      <c r="J4011" s="37" t="s">
        <v>1924</v>
      </c>
    </row>
    <row r="4012" spans="1:10" x14ac:dyDescent="0.35">
      <c r="A4012" s="32" t="s">
        <v>20</v>
      </c>
      <c r="B4012" s="32">
        <f t="shared" si="959"/>
        <v>2043</v>
      </c>
      <c r="C4012" s="33" t="s">
        <v>43</v>
      </c>
      <c r="D4012" s="34" t="s">
        <v>128</v>
      </c>
      <c r="E4012" s="35" t="str">
        <f t="shared" si="953"/>
        <v>PRB'!</v>
      </c>
      <c r="F4012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12" s="32" t="s">
        <v>125</v>
      </c>
      <c r="H4012" s="33">
        <f t="shared" si="956"/>
        <v>32</v>
      </c>
      <c r="I4012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ECP\Cantagallo\Cristalina\[CRISTALINA_CF_SEC_New_09-Feb-2024.xlsx]D-PRB'!$CB$32</v>
      </c>
      <c r="J4012" s="37" t="s">
        <v>1925</v>
      </c>
    </row>
    <row r="4013" spans="1:10" x14ac:dyDescent="0.35">
      <c r="A4013" s="32" t="s">
        <v>20</v>
      </c>
      <c r="B4013" s="32">
        <f>+B4012+1</f>
        <v>2044</v>
      </c>
      <c r="C4013" s="33" t="s">
        <v>43</v>
      </c>
      <c r="D4013" s="34" t="s">
        <v>128</v>
      </c>
      <c r="E4013" s="35" t="str">
        <f t="shared" ref="E4013:E4028" si="960">_xlfn.CONCAT(A4013,"'!")</f>
        <v>PRB'!</v>
      </c>
      <c r="F4013" s="34" t="str">
        <f t="shared" ref="F4013:F4028" si="961">_xlfn.CONCAT(D4013:E4013)</f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13" s="32" t="s">
        <v>125</v>
      </c>
      <c r="H4013" s="33">
        <f t="shared" ref="H4013:H4028" si="962">IF(A4013&lt;&gt;A4012,12,H4012+1)</f>
        <v>33</v>
      </c>
      <c r="I4013" s="33" t="str">
        <f t="shared" ref="I4013:I4028" si="963">_xlfn.CONCAT("='",F4013:H4013)</f>
        <v>='C:\Users\jaime.benazar\Quorum Business Solutions\Ecopetrol Prometeo - Documents\Planning Space Implementation\3. Analysis &amp; Design\Design\FC22\DRR Jaime\Por presentar a ECP\Cantagallo\Cristalina\[CRISTALINA_CF_SEC_New_09-Feb-2024.xlsx]D-PRB'!$CB$33</v>
      </c>
      <c r="J4013" s="37" t="s">
        <v>1926</v>
      </c>
    </row>
    <row r="4014" spans="1:10" x14ac:dyDescent="0.35">
      <c r="A4014" s="32" t="s">
        <v>20</v>
      </c>
      <c r="B4014" s="32">
        <f t="shared" ref="B4014:B4028" si="964">+B4013+1</f>
        <v>2045</v>
      </c>
      <c r="C4014" s="33" t="s">
        <v>43</v>
      </c>
      <c r="D4014" s="34" t="s">
        <v>128</v>
      </c>
      <c r="E4014" s="35" t="str">
        <f t="shared" si="960"/>
        <v>PRB'!</v>
      </c>
      <c r="F4014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14" s="32" t="s">
        <v>125</v>
      </c>
      <c r="H4014" s="33">
        <f t="shared" si="962"/>
        <v>34</v>
      </c>
      <c r="I4014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ECP\Cantagallo\Cristalina\[CRISTALINA_CF_SEC_New_09-Feb-2024.xlsx]D-PRB'!$CB$34</v>
      </c>
      <c r="J4014" s="37" t="s">
        <v>1927</v>
      </c>
    </row>
    <row r="4015" spans="1:10" x14ac:dyDescent="0.35">
      <c r="A4015" s="32" t="s">
        <v>20</v>
      </c>
      <c r="B4015" s="32">
        <f t="shared" si="964"/>
        <v>2046</v>
      </c>
      <c r="C4015" s="33" t="s">
        <v>43</v>
      </c>
      <c r="D4015" s="34" t="s">
        <v>128</v>
      </c>
      <c r="E4015" s="35" t="str">
        <f t="shared" si="960"/>
        <v>PRB'!</v>
      </c>
      <c r="F4015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15" s="32" t="s">
        <v>125</v>
      </c>
      <c r="H4015" s="33">
        <f t="shared" si="962"/>
        <v>35</v>
      </c>
      <c r="I4015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ECP\Cantagallo\Cristalina\[CRISTALINA_CF_SEC_New_09-Feb-2024.xlsx]D-PRB'!$CB$35</v>
      </c>
      <c r="J4015" s="37" t="s">
        <v>1928</v>
      </c>
    </row>
    <row r="4016" spans="1:10" x14ac:dyDescent="0.35">
      <c r="A4016" s="32" t="s">
        <v>20</v>
      </c>
      <c r="B4016" s="32">
        <f t="shared" si="964"/>
        <v>2047</v>
      </c>
      <c r="C4016" s="33" t="s">
        <v>43</v>
      </c>
      <c r="D4016" s="34" t="s">
        <v>128</v>
      </c>
      <c r="E4016" s="35" t="str">
        <f t="shared" si="960"/>
        <v>PRB'!</v>
      </c>
      <c r="F4016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16" s="32" t="s">
        <v>125</v>
      </c>
      <c r="H4016" s="33">
        <f t="shared" si="962"/>
        <v>36</v>
      </c>
      <c r="I4016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ECP\Cantagallo\Cristalina\[CRISTALINA_CF_SEC_New_09-Feb-2024.xlsx]D-PRB'!$CB$36</v>
      </c>
      <c r="J4016" s="37" t="s">
        <v>1929</v>
      </c>
    </row>
    <row r="4017" spans="1:10" x14ac:dyDescent="0.35">
      <c r="A4017" s="32" t="s">
        <v>20</v>
      </c>
      <c r="B4017" s="32">
        <f t="shared" si="964"/>
        <v>2048</v>
      </c>
      <c r="C4017" s="33" t="s">
        <v>43</v>
      </c>
      <c r="D4017" s="34" t="s">
        <v>128</v>
      </c>
      <c r="E4017" s="35" t="str">
        <f t="shared" si="960"/>
        <v>PRB'!</v>
      </c>
      <c r="F4017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17" s="32" t="s">
        <v>125</v>
      </c>
      <c r="H4017" s="33">
        <f t="shared" si="962"/>
        <v>37</v>
      </c>
      <c r="I4017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ECP\Cantagallo\Cristalina\[CRISTALINA_CF_SEC_New_09-Feb-2024.xlsx]D-PRB'!$CB$37</v>
      </c>
      <c r="J4017" s="37" t="s">
        <v>1930</v>
      </c>
    </row>
    <row r="4018" spans="1:10" x14ac:dyDescent="0.35">
      <c r="A4018" s="32" t="s">
        <v>20</v>
      </c>
      <c r="B4018" s="32">
        <f t="shared" si="964"/>
        <v>2049</v>
      </c>
      <c r="C4018" s="33" t="s">
        <v>43</v>
      </c>
      <c r="D4018" s="34" t="s">
        <v>128</v>
      </c>
      <c r="E4018" s="35" t="str">
        <f t="shared" si="960"/>
        <v>PRB'!</v>
      </c>
      <c r="F4018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18" s="32" t="s">
        <v>125</v>
      </c>
      <c r="H4018" s="33">
        <f t="shared" si="962"/>
        <v>38</v>
      </c>
      <c r="I4018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ECP\Cantagallo\Cristalina\[CRISTALINA_CF_SEC_New_09-Feb-2024.xlsx]D-PRB'!$CB$38</v>
      </c>
      <c r="J4018" s="37" t="s">
        <v>1931</v>
      </c>
    </row>
    <row r="4019" spans="1:10" x14ac:dyDescent="0.35">
      <c r="A4019" s="32" t="s">
        <v>20</v>
      </c>
      <c r="B4019" s="32">
        <f t="shared" si="964"/>
        <v>2050</v>
      </c>
      <c r="C4019" s="33" t="s">
        <v>43</v>
      </c>
      <c r="D4019" s="34" t="s">
        <v>128</v>
      </c>
      <c r="E4019" s="35" t="str">
        <f t="shared" si="960"/>
        <v>PRB'!</v>
      </c>
      <c r="F4019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19" s="32" t="s">
        <v>125</v>
      </c>
      <c r="H4019" s="33">
        <f t="shared" si="962"/>
        <v>39</v>
      </c>
      <c r="I4019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ECP\Cantagallo\Cristalina\[CRISTALINA_CF_SEC_New_09-Feb-2024.xlsx]D-PRB'!$CB$39</v>
      </c>
      <c r="J4019" s="37" t="s">
        <v>1932</v>
      </c>
    </row>
    <row r="4020" spans="1:10" x14ac:dyDescent="0.35">
      <c r="A4020" s="32" t="s">
        <v>20</v>
      </c>
      <c r="B4020" s="32">
        <f t="shared" si="964"/>
        <v>2051</v>
      </c>
      <c r="C4020" s="33" t="s">
        <v>43</v>
      </c>
      <c r="D4020" s="34" t="s">
        <v>128</v>
      </c>
      <c r="E4020" s="35" t="str">
        <f t="shared" si="960"/>
        <v>PRB'!</v>
      </c>
      <c r="F4020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20" s="32" t="s">
        <v>125</v>
      </c>
      <c r="H4020" s="33">
        <f t="shared" si="962"/>
        <v>40</v>
      </c>
      <c r="I4020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ECP\Cantagallo\Cristalina\[CRISTALINA_CF_SEC_New_09-Feb-2024.xlsx]D-PRB'!$CB$40</v>
      </c>
      <c r="J4020" s="37" t="s">
        <v>1933</v>
      </c>
    </row>
    <row r="4021" spans="1:10" x14ac:dyDescent="0.35">
      <c r="A4021" s="32" t="s">
        <v>20</v>
      </c>
      <c r="B4021" s="32">
        <f t="shared" si="964"/>
        <v>2052</v>
      </c>
      <c r="C4021" s="33" t="s">
        <v>43</v>
      </c>
      <c r="D4021" s="34" t="s">
        <v>128</v>
      </c>
      <c r="E4021" s="35" t="str">
        <f t="shared" si="960"/>
        <v>PRB'!</v>
      </c>
      <c r="F4021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21" s="32" t="s">
        <v>125</v>
      </c>
      <c r="H4021" s="33">
        <f t="shared" si="962"/>
        <v>41</v>
      </c>
      <c r="I4021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ECP\Cantagallo\Cristalina\[CRISTALINA_CF_SEC_New_09-Feb-2024.xlsx]D-PRB'!$CB$41</v>
      </c>
      <c r="J4021" s="37" t="s">
        <v>1934</v>
      </c>
    </row>
    <row r="4022" spans="1:10" x14ac:dyDescent="0.35">
      <c r="A4022" s="32" t="s">
        <v>20</v>
      </c>
      <c r="B4022" s="32">
        <f t="shared" si="964"/>
        <v>2053</v>
      </c>
      <c r="C4022" s="33" t="s">
        <v>43</v>
      </c>
      <c r="D4022" s="34" t="s">
        <v>128</v>
      </c>
      <c r="E4022" s="35" t="str">
        <f t="shared" si="960"/>
        <v>PRB'!</v>
      </c>
      <c r="F4022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22" s="32" t="s">
        <v>125</v>
      </c>
      <c r="H4022" s="33">
        <f t="shared" si="962"/>
        <v>42</v>
      </c>
      <c r="I4022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ECP\Cantagallo\Cristalina\[CRISTALINA_CF_SEC_New_09-Feb-2024.xlsx]D-PRB'!$CB$42</v>
      </c>
      <c r="J4022" s="37" t="s">
        <v>1935</v>
      </c>
    </row>
    <row r="4023" spans="1:10" x14ac:dyDescent="0.35">
      <c r="A4023" s="32" t="s">
        <v>20</v>
      </c>
      <c r="B4023" s="32">
        <f t="shared" si="964"/>
        <v>2054</v>
      </c>
      <c r="C4023" s="33" t="s">
        <v>43</v>
      </c>
      <c r="D4023" s="34" t="s">
        <v>128</v>
      </c>
      <c r="E4023" s="35" t="str">
        <f t="shared" si="960"/>
        <v>PRB'!</v>
      </c>
      <c r="F4023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23" s="32" t="s">
        <v>125</v>
      </c>
      <c r="H4023" s="33">
        <f t="shared" si="962"/>
        <v>43</v>
      </c>
      <c r="I4023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ECP\Cantagallo\Cristalina\[CRISTALINA_CF_SEC_New_09-Feb-2024.xlsx]D-PRB'!$CB$43</v>
      </c>
      <c r="J4023" s="37" t="s">
        <v>1936</v>
      </c>
    </row>
    <row r="4024" spans="1:10" x14ac:dyDescent="0.35">
      <c r="A4024" s="32" t="s">
        <v>20</v>
      </c>
      <c r="B4024" s="32">
        <f t="shared" si="964"/>
        <v>2055</v>
      </c>
      <c r="C4024" s="33" t="s">
        <v>43</v>
      </c>
      <c r="D4024" s="34" t="s">
        <v>128</v>
      </c>
      <c r="E4024" s="35" t="str">
        <f t="shared" si="960"/>
        <v>PRB'!</v>
      </c>
      <c r="F4024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24" s="32" t="s">
        <v>125</v>
      </c>
      <c r="H4024" s="33">
        <f t="shared" si="962"/>
        <v>44</v>
      </c>
      <c r="I4024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ECP\Cantagallo\Cristalina\[CRISTALINA_CF_SEC_New_09-Feb-2024.xlsx]D-PRB'!$CB$44</v>
      </c>
      <c r="J4024" s="37" t="s">
        <v>1937</v>
      </c>
    </row>
    <row r="4025" spans="1:10" x14ac:dyDescent="0.35">
      <c r="A4025" s="32" t="s">
        <v>20</v>
      </c>
      <c r="B4025" s="32">
        <f t="shared" si="964"/>
        <v>2056</v>
      </c>
      <c r="C4025" s="33" t="s">
        <v>43</v>
      </c>
      <c r="D4025" s="34" t="s">
        <v>128</v>
      </c>
      <c r="E4025" s="35" t="str">
        <f t="shared" si="960"/>
        <v>PRB'!</v>
      </c>
      <c r="F4025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25" s="32" t="s">
        <v>125</v>
      </c>
      <c r="H4025" s="33">
        <f t="shared" si="962"/>
        <v>45</v>
      </c>
      <c r="I4025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ECP\Cantagallo\Cristalina\[CRISTALINA_CF_SEC_New_09-Feb-2024.xlsx]D-PRB'!$CB$45</v>
      </c>
      <c r="J4025" s="37" t="s">
        <v>1938</v>
      </c>
    </row>
    <row r="4026" spans="1:10" x14ac:dyDescent="0.35">
      <c r="A4026" s="32" t="s">
        <v>20</v>
      </c>
      <c r="B4026" s="32">
        <f t="shared" si="964"/>
        <v>2057</v>
      </c>
      <c r="C4026" s="33" t="s">
        <v>43</v>
      </c>
      <c r="D4026" s="34" t="s">
        <v>128</v>
      </c>
      <c r="E4026" s="35" t="str">
        <f t="shared" si="960"/>
        <v>PRB'!</v>
      </c>
      <c r="F4026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26" s="32" t="s">
        <v>125</v>
      </c>
      <c r="H4026" s="33">
        <f t="shared" si="962"/>
        <v>46</v>
      </c>
      <c r="I4026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ECP\Cantagallo\Cristalina\[CRISTALINA_CF_SEC_New_09-Feb-2024.xlsx]D-PRB'!$CB$46</v>
      </c>
      <c r="J4026" s="37" t="s">
        <v>1939</v>
      </c>
    </row>
    <row r="4027" spans="1:10" x14ac:dyDescent="0.35">
      <c r="A4027" s="32" t="s">
        <v>20</v>
      </c>
      <c r="B4027" s="32">
        <f t="shared" si="964"/>
        <v>2058</v>
      </c>
      <c r="C4027" s="33" t="s">
        <v>43</v>
      </c>
      <c r="D4027" s="34" t="s">
        <v>128</v>
      </c>
      <c r="E4027" s="35" t="str">
        <f t="shared" si="960"/>
        <v>PRB'!</v>
      </c>
      <c r="F4027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27" s="32" t="s">
        <v>125</v>
      </c>
      <c r="H4027" s="33">
        <f t="shared" si="962"/>
        <v>47</v>
      </c>
      <c r="I4027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ECP\Cantagallo\Cristalina\[CRISTALINA_CF_SEC_New_09-Feb-2024.xlsx]D-PRB'!$CB$47</v>
      </c>
      <c r="J4027" s="37" t="s">
        <v>1940</v>
      </c>
    </row>
    <row r="4028" spans="1:10" x14ac:dyDescent="0.35">
      <c r="A4028" s="32" t="s">
        <v>20</v>
      </c>
      <c r="B4028" s="32">
        <f t="shared" si="964"/>
        <v>2059</v>
      </c>
      <c r="C4028" s="33" t="s">
        <v>43</v>
      </c>
      <c r="D4028" s="34" t="s">
        <v>128</v>
      </c>
      <c r="E4028" s="35" t="str">
        <f t="shared" si="960"/>
        <v>PRB'!</v>
      </c>
      <c r="F4028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28" s="32" t="s">
        <v>125</v>
      </c>
      <c r="H4028" s="33">
        <f t="shared" si="962"/>
        <v>48</v>
      </c>
      <c r="I4028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ECP\Cantagallo\Cristalina\[CRISTALINA_CF_SEC_New_09-Feb-2024.xlsx]D-PRB'!$CB$48</v>
      </c>
      <c r="J4028" s="37" t="s">
        <v>1941</v>
      </c>
    </row>
    <row r="4029" spans="1:10" x14ac:dyDescent="0.35">
      <c r="A4029" s="32" t="s">
        <v>26</v>
      </c>
      <c r="B4029" s="32"/>
      <c r="C4029" s="33" t="s">
        <v>43</v>
      </c>
      <c r="D4029" s="34"/>
      <c r="E4029" s="35"/>
      <c r="F4029" s="34"/>
      <c r="G4029" s="32"/>
      <c r="H4029" s="33"/>
      <c r="I4029" s="33"/>
      <c r="J4029" s="33"/>
    </row>
    <row r="4030" spans="1:10" x14ac:dyDescent="0.35">
      <c r="A4030" s="32" t="s">
        <v>21</v>
      </c>
      <c r="B4030" s="32">
        <v>2023</v>
      </c>
      <c r="C4030" s="33" t="s">
        <v>43</v>
      </c>
      <c r="D4030" s="34" t="s">
        <v>128</v>
      </c>
      <c r="E4030" s="35" t="str">
        <f t="shared" ref="E4030:E4050" si="965">_xlfn.CONCAT(A4030,"'!")</f>
        <v>PSDP'!</v>
      </c>
      <c r="F4030" s="34" t="str">
        <f t="shared" ref="F4030:F4050" si="966">_xlfn.CONCAT(D4030:E4030)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30" s="32" t="s">
        <v>125</v>
      </c>
      <c r="H4030" s="33"/>
      <c r="I4030" s="33"/>
      <c r="J4030" s="37"/>
    </row>
    <row r="4031" spans="1:10" x14ac:dyDescent="0.35">
      <c r="A4031" s="32" t="s">
        <v>21</v>
      </c>
      <c r="B4031" s="32">
        <f>+B4030+1</f>
        <v>2024</v>
      </c>
      <c r="C4031" s="33" t="s">
        <v>43</v>
      </c>
      <c r="D4031" s="34" t="s">
        <v>128</v>
      </c>
      <c r="E4031" s="35" t="str">
        <f t="shared" si="965"/>
        <v>PSDP'!</v>
      </c>
      <c r="F4031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31" s="32" t="s">
        <v>125</v>
      </c>
      <c r="H4031" s="33"/>
      <c r="I4031" s="33"/>
      <c r="J4031" s="37"/>
    </row>
    <row r="4032" spans="1:10" x14ac:dyDescent="0.35">
      <c r="A4032" s="32" t="s">
        <v>21</v>
      </c>
      <c r="B4032" s="32">
        <f t="shared" ref="B4032:B4043" si="967">+B4031+1</f>
        <v>2025</v>
      </c>
      <c r="C4032" s="33" t="s">
        <v>43</v>
      </c>
      <c r="D4032" s="34" t="s">
        <v>128</v>
      </c>
      <c r="E4032" s="35" t="str">
        <f t="shared" si="965"/>
        <v>PSDP'!</v>
      </c>
      <c r="F4032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32" s="32" t="s">
        <v>125</v>
      </c>
      <c r="H4032" s="33"/>
      <c r="I4032" s="33"/>
      <c r="J4032" s="37"/>
    </row>
    <row r="4033" spans="1:10" x14ac:dyDescent="0.35">
      <c r="A4033" s="32" t="s">
        <v>21</v>
      </c>
      <c r="B4033" s="32">
        <f t="shared" si="967"/>
        <v>2026</v>
      </c>
      <c r="C4033" s="33" t="s">
        <v>43</v>
      </c>
      <c r="D4033" s="34" t="s">
        <v>128</v>
      </c>
      <c r="E4033" s="35" t="str">
        <f t="shared" si="965"/>
        <v>PSDP'!</v>
      </c>
      <c r="F4033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33" s="32" t="s">
        <v>125</v>
      </c>
      <c r="H4033" s="33"/>
      <c r="I4033" s="33"/>
      <c r="J4033" s="37"/>
    </row>
    <row r="4034" spans="1:10" x14ac:dyDescent="0.35">
      <c r="A4034" s="32" t="s">
        <v>21</v>
      </c>
      <c r="B4034" s="32">
        <f t="shared" si="967"/>
        <v>2027</v>
      </c>
      <c r="C4034" s="33" t="s">
        <v>43</v>
      </c>
      <c r="D4034" s="34" t="s">
        <v>128</v>
      </c>
      <c r="E4034" s="35" t="str">
        <f t="shared" si="965"/>
        <v>PSDP'!</v>
      </c>
      <c r="F4034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34" s="32" t="s">
        <v>125</v>
      </c>
      <c r="H4034" s="33"/>
      <c r="I4034" s="33"/>
      <c r="J4034" s="37"/>
    </row>
    <row r="4035" spans="1:10" x14ac:dyDescent="0.35">
      <c r="A4035" s="32" t="s">
        <v>21</v>
      </c>
      <c r="B4035" s="32">
        <f t="shared" si="967"/>
        <v>2028</v>
      </c>
      <c r="C4035" s="33" t="s">
        <v>43</v>
      </c>
      <c r="D4035" s="34" t="s">
        <v>128</v>
      </c>
      <c r="E4035" s="35" t="str">
        <f t="shared" si="965"/>
        <v>PSDP'!</v>
      </c>
      <c r="F4035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35" s="32" t="s">
        <v>125</v>
      </c>
      <c r="H4035" s="33"/>
      <c r="I4035" s="33"/>
      <c r="J4035" s="37"/>
    </row>
    <row r="4036" spans="1:10" x14ac:dyDescent="0.35">
      <c r="A4036" s="32" t="s">
        <v>21</v>
      </c>
      <c r="B4036" s="32">
        <f t="shared" si="967"/>
        <v>2029</v>
      </c>
      <c r="C4036" s="33" t="s">
        <v>43</v>
      </c>
      <c r="D4036" s="34" t="s">
        <v>128</v>
      </c>
      <c r="E4036" s="35" t="str">
        <f t="shared" si="965"/>
        <v>PSDP'!</v>
      </c>
      <c r="F4036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36" s="32" t="s">
        <v>125</v>
      </c>
      <c r="H4036" s="33"/>
      <c r="I4036" s="33"/>
      <c r="J4036" s="37"/>
    </row>
    <row r="4037" spans="1:10" x14ac:dyDescent="0.35">
      <c r="A4037" s="32" t="s">
        <v>21</v>
      </c>
      <c r="B4037" s="32">
        <f t="shared" si="967"/>
        <v>2030</v>
      </c>
      <c r="C4037" s="33" t="s">
        <v>43</v>
      </c>
      <c r="D4037" s="34" t="s">
        <v>128</v>
      </c>
      <c r="E4037" s="35" t="str">
        <f t="shared" si="965"/>
        <v>PSDP'!</v>
      </c>
      <c r="F4037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37" s="32" t="s">
        <v>125</v>
      </c>
      <c r="H4037" s="33"/>
      <c r="I4037" s="33"/>
      <c r="J4037" s="37"/>
    </row>
    <row r="4038" spans="1:10" x14ac:dyDescent="0.35">
      <c r="A4038" s="32" t="s">
        <v>21</v>
      </c>
      <c r="B4038" s="32">
        <f t="shared" si="967"/>
        <v>2031</v>
      </c>
      <c r="C4038" s="33" t="s">
        <v>43</v>
      </c>
      <c r="D4038" s="34" t="s">
        <v>128</v>
      </c>
      <c r="E4038" s="35" t="str">
        <f t="shared" si="965"/>
        <v>PSDP'!</v>
      </c>
      <c r="F4038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38" s="32" t="s">
        <v>125</v>
      </c>
      <c r="H4038" s="33"/>
      <c r="I4038" s="33"/>
      <c r="J4038" s="37"/>
    </row>
    <row r="4039" spans="1:10" x14ac:dyDescent="0.35">
      <c r="A4039" s="32" t="s">
        <v>21</v>
      </c>
      <c r="B4039" s="32">
        <f t="shared" si="967"/>
        <v>2032</v>
      </c>
      <c r="C4039" s="33" t="s">
        <v>43</v>
      </c>
      <c r="D4039" s="34" t="s">
        <v>128</v>
      </c>
      <c r="E4039" s="35" t="str">
        <f t="shared" si="965"/>
        <v>PSDP'!</v>
      </c>
      <c r="F4039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39" s="32" t="s">
        <v>125</v>
      </c>
      <c r="H4039" s="33"/>
      <c r="I4039" s="33"/>
      <c r="J4039" s="37"/>
    </row>
    <row r="4040" spans="1:10" x14ac:dyDescent="0.35">
      <c r="A4040" s="32" t="s">
        <v>21</v>
      </c>
      <c r="B4040" s="32">
        <f t="shared" si="967"/>
        <v>2033</v>
      </c>
      <c r="C4040" s="33" t="s">
        <v>43</v>
      </c>
      <c r="D4040" s="34" t="s">
        <v>128</v>
      </c>
      <c r="E4040" s="35" t="str">
        <f t="shared" si="965"/>
        <v>PSDP'!</v>
      </c>
      <c r="F4040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40" s="32" t="s">
        <v>125</v>
      </c>
      <c r="H4040" s="33"/>
      <c r="I4040" s="33"/>
      <c r="J4040" s="37"/>
    </row>
    <row r="4041" spans="1:10" x14ac:dyDescent="0.35">
      <c r="A4041" s="32" t="s">
        <v>21</v>
      </c>
      <c r="B4041" s="32">
        <f t="shared" si="967"/>
        <v>2034</v>
      </c>
      <c r="C4041" s="33" t="s">
        <v>43</v>
      </c>
      <c r="D4041" s="34" t="s">
        <v>128</v>
      </c>
      <c r="E4041" s="35" t="str">
        <f t="shared" si="965"/>
        <v>PSDP'!</v>
      </c>
      <c r="F4041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41" s="32" t="s">
        <v>125</v>
      </c>
      <c r="H4041" s="33"/>
      <c r="I4041" s="33"/>
      <c r="J4041" s="37"/>
    </row>
    <row r="4042" spans="1:10" x14ac:dyDescent="0.35">
      <c r="A4042" s="32" t="s">
        <v>21</v>
      </c>
      <c r="B4042" s="32">
        <f t="shared" si="967"/>
        <v>2035</v>
      </c>
      <c r="C4042" s="33" t="s">
        <v>43</v>
      </c>
      <c r="D4042" s="34" t="s">
        <v>128</v>
      </c>
      <c r="E4042" s="35" t="str">
        <f t="shared" si="965"/>
        <v>PSDP'!</v>
      </c>
      <c r="F4042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42" s="32" t="s">
        <v>125</v>
      </c>
      <c r="H4042" s="33"/>
      <c r="I4042" s="33"/>
      <c r="J4042" s="37"/>
    </row>
    <row r="4043" spans="1:10" x14ac:dyDescent="0.35">
      <c r="A4043" s="32" t="s">
        <v>21</v>
      </c>
      <c r="B4043" s="32">
        <f t="shared" si="967"/>
        <v>2036</v>
      </c>
      <c r="C4043" s="33" t="s">
        <v>43</v>
      </c>
      <c r="D4043" s="34" t="s">
        <v>128</v>
      </c>
      <c r="E4043" s="35" t="str">
        <f t="shared" si="965"/>
        <v>PSDP'!</v>
      </c>
      <c r="F4043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43" s="32" t="s">
        <v>125</v>
      </c>
      <c r="H4043" s="33"/>
      <c r="I4043" s="33"/>
      <c r="J4043" s="37"/>
    </row>
    <row r="4044" spans="1:10" x14ac:dyDescent="0.35">
      <c r="A4044" s="32" t="s">
        <v>21</v>
      </c>
      <c r="B4044" s="32">
        <f>+B4043+1</f>
        <v>2037</v>
      </c>
      <c r="C4044" s="33" t="s">
        <v>43</v>
      </c>
      <c r="D4044" s="34" t="s">
        <v>128</v>
      </c>
      <c r="E4044" s="35" t="str">
        <f t="shared" si="965"/>
        <v>PSDP'!</v>
      </c>
      <c r="F4044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44" s="32" t="s">
        <v>125</v>
      </c>
      <c r="H4044" s="33"/>
      <c r="I4044" s="33"/>
      <c r="J4044" s="37"/>
    </row>
    <row r="4045" spans="1:10" x14ac:dyDescent="0.35">
      <c r="A4045" s="32" t="s">
        <v>21</v>
      </c>
      <c r="B4045" s="32">
        <f t="shared" ref="B4045:B4047" si="968">+B4044+1</f>
        <v>2038</v>
      </c>
      <c r="C4045" s="33" t="s">
        <v>43</v>
      </c>
      <c r="D4045" s="34" t="s">
        <v>128</v>
      </c>
      <c r="E4045" s="35" t="str">
        <f t="shared" si="965"/>
        <v>PSDP'!</v>
      </c>
      <c r="F4045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45" s="32" t="s">
        <v>125</v>
      </c>
      <c r="H4045" s="33"/>
      <c r="I4045" s="33"/>
      <c r="J4045" s="37"/>
    </row>
    <row r="4046" spans="1:10" x14ac:dyDescent="0.35">
      <c r="A4046" s="32" t="s">
        <v>21</v>
      </c>
      <c r="B4046" s="32">
        <f t="shared" si="968"/>
        <v>2039</v>
      </c>
      <c r="C4046" s="33" t="s">
        <v>43</v>
      </c>
      <c r="D4046" s="34" t="s">
        <v>128</v>
      </c>
      <c r="E4046" s="35" t="str">
        <f t="shared" si="965"/>
        <v>PSDP'!</v>
      </c>
      <c r="F4046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46" s="32" t="s">
        <v>125</v>
      </c>
      <c r="H4046" s="33"/>
      <c r="I4046" s="33"/>
      <c r="J4046" s="37"/>
    </row>
    <row r="4047" spans="1:10" x14ac:dyDescent="0.35">
      <c r="A4047" s="32" t="s">
        <v>21</v>
      </c>
      <c r="B4047" s="32">
        <f t="shared" si="968"/>
        <v>2040</v>
      </c>
      <c r="C4047" s="33" t="s">
        <v>43</v>
      </c>
      <c r="D4047" s="34" t="s">
        <v>128</v>
      </c>
      <c r="E4047" s="35" t="str">
        <f t="shared" si="965"/>
        <v>PSDP'!</v>
      </c>
      <c r="F4047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47" s="32" t="s">
        <v>125</v>
      </c>
      <c r="H4047" s="33"/>
      <c r="I4047" s="33"/>
      <c r="J4047" s="37"/>
    </row>
    <row r="4048" spans="1:10" x14ac:dyDescent="0.35">
      <c r="A4048" s="32" t="s">
        <v>21</v>
      </c>
      <c r="B4048" s="32">
        <f>+B4047+1</f>
        <v>2041</v>
      </c>
      <c r="C4048" s="33" t="s">
        <v>43</v>
      </c>
      <c r="D4048" s="34" t="s">
        <v>128</v>
      </c>
      <c r="E4048" s="35" t="str">
        <f t="shared" si="965"/>
        <v>PSDP'!</v>
      </c>
      <c r="F4048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48" s="32" t="s">
        <v>125</v>
      </c>
      <c r="H4048" s="33"/>
      <c r="I4048" s="33"/>
      <c r="J4048" s="37"/>
    </row>
    <row r="4049" spans="1:10" x14ac:dyDescent="0.35">
      <c r="A4049" s="32" t="s">
        <v>21</v>
      </c>
      <c r="B4049" s="32">
        <f t="shared" ref="B4049:B4050" si="969">+B4048+1</f>
        <v>2042</v>
      </c>
      <c r="C4049" s="33" t="s">
        <v>43</v>
      </c>
      <c r="D4049" s="34" t="s">
        <v>128</v>
      </c>
      <c r="E4049" s="35" t="str">
        <f t="shared" si="965"/>
        <v>PSDP'!</v>
      </c>
      <c r="F4049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49" s="32" t="s">
        <v>125</v>
      </c>
      <c r="H4049" s="33"/>
      <c r="I4049" s="33"/>
      <c r="J4049" s="37"/>
    </row>
    <row r="4050" spans="1:10" x14ac:dyDescent="0.35">
      <c r="A4050" s="32" t="s">
        <v>21</v>
      </c>
      <c r="B4050" s="32">
        <f t="shared" si="969"/>
        <v>2043</v>
      </c>
      <c r="C4050" s="33" t="s">
        <v>43</v>
      </c>
      <c r="D4050" s="34" t="s">
        <v>128</v>
      </c>
      <c r="E4050" s="35" t="str">
        <f t="shared" si="965"/>
        <v>PSDP'!</v>
      </c>
      <c r="F4050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50" s="32" t="s">
        <v>125</v>
      </c>
      <c r="H4050" s="33"/>
      <c r="I4050" s="33"/>
      <c r="J4050" s="37"/>
    </row>
    <row r="4051" spans="1:10" x14ac:dyDescent="0.35">
      <c r="A4051" s="32" t="s">
        <v>21</v>
      </c>
      <c r="B4051" s="32">
        <f>+B4050+1</f>
        <v>2044</v>
      </c>
      <c r="C4051" s="33" t="s">
        <v>43</v>
      </c>
      <c r="D4051" s="34" t="s">
        <v>128</v>
      </c>
      <c r="E4051" s="35" t="str">
        <f t="shared" ref="E4051:E4066" si="970">_xlfn.CONCAT(A4051,"'!")</f>
        <v>PSDP'!</v>
      </c>
      <c r="F4051" s="34" t="str">
        <f t="shared" ref="F4051:F4066" si="971">_xlfn.CONCAT(D4051:E4051)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51" s="32" t="s">
        <v>125</v>
      </c>
      <c r="H4051" s="33"/>
      <c r="I4051" s="33"/>
      <c r="J4051" s="37"/>
    </row>
    <row r="4052" spans="1:10" x14ac:dyDescent="0.35">
      <c r="A4052" s="32" t="s">
        <v>21</v>
      </c>
      <c r="B4052" s="32">
        <f t="shared" ref="B4052:B4066" si="972">+B4051+1</f>
        <v>2045</v>
      </c>
      <c r="C4052" s="33" t="s">
        <v>43</v>
      </c>
      <c r="D4052" s="34" t="s">
        <v>128</v>
      </c>
      <c r="E4052" s="35" t="str">
        <f t="shared" si="970"/>
        <v>PSDP'!</v>
      </c>
      <c r="F4052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52" s="32" t="s">
        <v>125</v>
      </c>
      <c r="H4052" s="33"/>
      <c r="I4052" s="33"/>
      <c r="J4052" s="37"/>
    </row>
    <row r="4053" spans="1:10" x14ac:dyDescent="0.35">
      <c r="A4053" s="32" t="s">
        <v>21</v>
      </c>
      <c r="B4053" s="32">
        <f t="shared" si="972"/>
        <v>2046</v>
      </c>
      <c r="C4053" s="33" t="s">
        <v>43</v>
      </c>
      <c r="D4053" s="34" t="s">
        <v>128</v>
      </c>
      <c r="E4053" s="35" t="str">
        <f t="shared" si="970"/>
        <v>PSDP'!</v>
      </c>
      <c r="F4053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53" s="32" t="s">
        <v>125</v>
      </c>
      <c r="H4053" s="33"/>
      <c r="I4053" s="33"/>
      <c r="J4053" s="37"/>
    </row>
    <row r="4054" spans="1:10" x14ac:dyDescent="0.35">
      <c r="A4054" s="32" t="s">
        <v>21</v>
      </c>
      <c r="B4054" s="32">
        <f t="shared" si="972"/>
        <v>2047</v>
      </c>
      <c r="C4054" s="33" t="s">
        <v>43</v>
      </c>
      <c r="D4054" s="34" t="s">
        <v>128</v>
      </c>
      <c r="E4054" s="35" t="str">
        <f t="shared" si="970"/>
        <v>PSDP'!</v>
      </c>
      <c r="F4054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54" s="32" t="s">
        <v>125</v>
      </c>
      <c r="H4054" s="33"/>
      <c r="I4054" s="33"/>
      <c r="J4054" s="37"/>
    </row>
    <row r="4055" spans="1:10" x14ac:dyDescent="0.35">
      <c r="A4055" s="32" t="s">
        <v>21</v>
      </c>
      <c r="B4055" s="32">
        <f t="shared" si="972"/>
        <v>2048</v>
      </c>
      <c r="C4055" s="33" t="s">
        <v>43</v>
      </c>
      <c r="D4055" s="34" t="s">
        <v>128</v>
      </c>
      <c r="E4055" s="35" t="str">
        <f t="shared" si="970"/>
        <v>PSDP'!</v>
      </c>
      <c r="F4055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55" s="32" t="s">
        <v>125</v>
      </c>
      <c r="H4055" s="33"/>
      <c r="I4055" s="33"/>
      <c r="J4055" s="37"/>
    </row>
    <row r="4056" spans="1:10" x14ac:dyDescent="0.35">
      <c r="A4056" s="32" t="s">
        <v>21</v>
      </c>
      <c r="B4056" s="32">
        <f t="shared" si="972"/>
        <v>2049</v>
      </c>
      <c r="C4056" s="33" t="s">
        <v>43</v>
      </c>
      <c r="D4056" s="34" t="s">
        <v>128</v>
      </c>
      <c r="E4056" s="35" t="str">
        <f t="shared" si="970"/>
        <v>PSDP'!</v>
      </c>
      <c r="F4056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56" s="32" t="s">
        <v>125</v>
      </c>
      <c r="H4056" s="33"/>
      <c r="I4056" s="33"/>
      <c r="J4056" s="37"/>
    </row>
    <row r="4057" spans="1:10" x14ac:dyDescent="0.35">
      <c r="A4057" s="32" t="s">
        <v>21</v>
      </c>
      <c r="B4057" s="32">
        <f t="shared" si="972"/>
        <v>2050</v>
      </c>
      <c r="C4057" s="33" t="s">
        <v>43</v>
      </c>
      <c r="D4057" s="34" t="s">
        <v>128</v>
      </c>
      <c r="E4057" s="35" t="str">
        <f t="shared" si="970"/>
        <v>PSDP'!</v>
      </c>
      <c r="F4057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57" s="32" t="s">
        <v>125</v>
      </c>
      <c r="H4057" s="33"/>
      <c r="I4057" s="33"/>
      <c r="J4057" s="37"/>
    </row>
    <row r="4058" spans="1:10" x14ac:dyDescent="0.35">
      <c r="A4058" s="32" t="s">
        <v>21</v>
      </c>
      <c r="B4058" s="32">
        <f t="shared" si="972"/>
        <v>2051</v>
      </c>
      <c r="C4058" s="33" t="s">
        <v>43</v>
      </c>
      <c r="D4058" s="34" t="s">
        <v>128</v>
      </c>
      <c r="E4058" s="35" t="str">
        <f t="shared" si="970"/>
        <v>PSDP'!</v>
      </c>
      <c r="F4058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58" s="32" t="s">
        <v>125</v>
      </c>
      <c r="H4058" s="33"/>
      <c r="I4058" s="33"/>
      <c r="J4058" s="37"/>
    </row>
    <row r="4059" spans="1:10" x14ac:dyDescent="0.35">
      <c r="A4059" s="32" t="s">
        <v>21</v>
      </c>
      <c r="B4059" s="32">
        <f t="shared" si="972"/>
        <v>2052</v>
      </c>
      <c r="C4059" s="33" t="s">
        <v>43</v>
      </c>
      <c r="D4059" s="34" t="s">
        <v>128</v>
      </c>
      <c r="E4059" s="35" t="str">
        <f t="shared" si="970"/>
        <v>PSDP'!</v>
      </c>
      <c r="F4059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59" s="32" t="s">
        <v>125</v>
      </c>
      <c r="H4059" s="33"/>
      <c r="I4059" s="33"/>
      <c r="J4059" s="37"/>
    </row>
    <row r="4060" spans="1:10" x14ac:dyDescent="0.35">
      <c r="A4060" s="32" t="s">
        <v>21</v>
      </c>
      <c r="B4060" s="32">
        <f t="shared" si="972"/>
        <v>2053</v>
      </c>
      <c r="C4060" s="33" t="s">
        <v>43</v>
      </c>
      <c r="D4060" s="34" t="s">
        <v>128</v>
      </c>
      <c r="E4060" s="35" t="str">
        <f t="shared" si="970"/>
        <v>PSDP'!</v>
      </c>
      <c r="F4060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60" s="32" t="s">
        <v>125</v>
      </c>
      <c r="H4060" s="33"/>
      <c r="I4060" s="33"/>
      <c r="J4060" s="37"/>
    </row>
    <row r="4061" spans="1:10" x14ac:dyDescent="0.35">
      <c r="A4061" s="32" t="s">
        <v>21</v>
      </c>
      <c r="B4061" s="32">
        <f t="shared" si="972"/>
        <v>2054</v>
      </c>
      <c r="C4061" s="33" t="s">
        <v>43</v>
      </c>
      <c r="D4061" s="34" t="s">
        <v>128</v>
      </c>
      <c r="E4061" s="35" t="str">
        <f t="shared" si="970"/>
        <v>PSDP'!</v>
      </c>
      <c r="F4061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61" s="32" t="s">
        <v>125</v>
      </c>
      <c r="H4061" s="33"/>
      <c r="I4061" s="33"/>
      <c r="J4061" s="37"/>
    </row>
    <row r="4062" spans="1:10" x14ac:dyDescent="0.35">
      <c r="A4062" s="32" t="s">
        <v>21</v>
      </c>
      <c r="B4062" s="32">
        <f t="shared" si="972"/>
        <v>2055</v>
      </c>
      <c r="C4062" s="33" t="s">
        <v>43</v>
      </c>
      <c r="D4062" s="34" t="s">
        <v>128</v>
      </c>
      <c r="E4062" s="35" t="str">
        <f t="shared" si="970"/>
        <v>PSDP'!</v>
      </c>
      <c r="F4062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62" s="32" t="s">
        <v>125</v>
      </c>
      <c r="H4062" s="33"/>
      <c r="I4062" s="33"/>
      <c r="J4062" s="37"/>
    </row>
    <row r="4063" spans="1:10" x14ac:dyDescent="0.35">
      <c r="A4063" s="32" t="s">
        <v>21</v>
      </c>
      <c r="B4063" s="32">
        <f t="shared" si="972"/>
        <v>2056</v>
      </c>
      <c r="C4063" s="33" t="s">
        <v>43</v>
      </c>
      <c r="D4063" s="34" t="s">
        <v>128</v>
      </c>
      <c r="E4063" s="35" t="str">
        <f t="shared" si="970"/>
        <v>PSDP'!</v>
      </c>
      <c r="F4063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63" s="32" t="s">
        <v>125</v>
      </c>
      <c r="H4063" s="33"/>
      <c r="I4063" s="33"/>
      <c r="J4063" s="37"/>
    </row>
    <row r="4064" spans="1:10" x14ac:dyDescent="0.35">
      <c r="A4064" s="32" t="s">
        <v>21</v>
      </c>
      <c r="B4064" s="32">
        <f t="shared" si="972"/>
        <v>2057</v>
      </c>
      <c r="C4064" s="33" t="s">
        <v>43</v>
      </c>
      <c r="D4064" s="34" t="s">
        <v>128</v>
      </c>
      <c r="E4064" s="35" t="str">
        <f t="shared" si="970"/>
        <v>PSDP'!</v>
      </c>
      <c r="F4064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64" s="32" t="s">
        <v>125</v>
      </c>
      <c r="H4064" s="33"/>
      <c r="I4064" s="33"/>
      <c r="J4064" s="37"/>
    </row>
    <row r="4065" spans="1:10" x14ac:dyDescent="0.35">
      <c r="A4065" s="32" t="s">
        <v>21</v>
      </c>
      <c r="B4065" s="32">
        <f t="shared" si="972"/>
        <v>2058</v>
      </c>
      <c r="C4065" s="33" t="s">
        <v>43</v>
      </c>
      <c r="D4065" s="34" t="s">
        <v>128</v>
      </c>
      <c r="E4065" s="35" t="str">
        <f t="shared" si="970"/>
        <v>PSDP'!</v>
      </c>
      <c r="F4065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65" s="32" t="s">
        <v>125</v>
      </c>
      <c r="H4065" s="33"/>
      <c r="I4065" s="33"/>
      <c r="J4065" s="37"/>
    </row>
    <row r="4066" spans="1:10" x14ac:dyDescent="0.35">
      <c r="A4066" s="32" t="s">
        <v>21</v>
      </c>
      <c r="B4066" s="32">
        <f t="shared" si="972"/>
        <v>2059</v>
      </c>
      <c r="C4066" s="33" t="s">
        <v>43</v>
      </c>
      <c r="D4066" s="34" t="s">
        <v>128</v>
      </c>
      <c r="E4066" s="35" t="str">
        <f t="shared" si="970"/>
        <v>PSDP'!</v>
      </c>
      <c r="F4066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66" s="32" t="s">
        <v>125</v>
      </c>
      <c r="H4066" s="33"/>
      <c r="I4066" s="33"/>
      <c r="J4066" s="37"/>
    </row>
    <row r="4067" spans="1:10" x14ac:dyDescent="0.35">
      <c r="A4067" s="32" t="s">
        <v>26</v>
      </c>
      <c r="B4067" s="32"/>
      <c r="C4067" s="33" t="s">
        <v>43</v>
      </c>
      <c r="D4067" s="34"/>
      <c r="E4067" s="35"/>
      <c r="F4067" s="34"/>
      <c r="G4067" s="32"/>
      <c r="H4067" s="33"/>
      <c r="I4067" s="33"/>
      <c r="J4067" s="36"/>
    </row>
    <row r="4068" spans="1:10" x14ac:dyDescent="0.35">
      <c r="A4068" s="32" t="s">
        <v>22</v>
      </c>
      <c r="B4068" s="32">
        <v>2023</v>
      </c>
      <c r="C4068" s="33" t="s">
        <v>43</v>
      </c>
      <c r="D4068" s="34" t="s">
        <v>128</v>
      </c>
      <c r="E4068" s="35" t="str">
        <f t="shared" ref="E4068:E4088" si="973">_xlfn.CONCAT(A4068,"'!")</f>
        <v>PSNP'!</v>
      </c>
      <c r="F4068" s="34" t="str">
        <f t="shared" ref="F4068:F4088" si="974">_xlfn.CONCAT(D4068:E4068)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68" s="32" t="s">
        <v>125</v>
      </c>
      <c r="H4068" s="33"/>
      <c r="I4068" s="33"/>
      <c r="J4068" s="37"/>
    </row>
    <row r="4069" spans="1:10" x14ac:dyDescent="0.35">
      <c r="A4069" s="32" t="s">
        <v>22</v>
      </c>
      <c r="B4069" s="32">
        <f>+B4068+1</f>
        <v>2024</v>
      </c>
      <c r="C4069" s="33" t="s">
        <v>43</v>
      </c>
      <c r="D4069" s="34" t="s">
        <v>128</v>
      </c>
      <c r="E4069" s="35" t="str">
        <f t="shared" si="973"/>
        <v>PSNP'!</v>
      </c>
      <c r="F4069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69" s="32" t="s">
        <v>125</v>
      </c>
      <c r="H4069" s="33"/>
      <c r="I4069" s="33"/>
      <c r="J4069" s="37"/>
    </row>
    <row r="4070" spans="1:10" x14ac:dyDescent="0.35">
      <c r="A4070" s="32" t="s">
        <v>22</v>
      </c>
      <c r="B4070" s="32">
        <f t="shared" ref="B4070:B4081" si="975">+B4069+1</f>
        <v>2025</v>
      </c>
      <c r="C4070" s="33" t="s">
        <v>43</v>
      </c>
      <c r="D4070" s="34" t="s">
        <v>128</v>
      </c>
      <c r="E4070" s="35" t="str">
        <f t="shared" si="973"/>
        <v>PSNP'!</v>
      </c>
      <c r="F4070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70" s="32" t="s">
        <v>125</v>
      </c>
      <c r="H4070" s="33"/>
      <c r="I4070" s="33"/>
      <c r="J4070" s="37"/>
    </row>
    <row r="4071" spans="1:10" x14ac:dyDescent="0.35">
      <c r="A4071" s="32" t="s">
        <v>22</v>
      </c>
      <c r="B4071" s="32">
        <f t="shared" si="975"/>
        <v>2026</v>
      </c>
      <c r="C4071" s="33" t="s">
        <v>43</v>
      </c>
      <c r="D4071" s="34" t="s">
        <v>128</v>
      </c>
      <c r="E4071" s="35" t="str">
        <f t="shared" si="973"/>
        <v>PSNP'!</v>
      </c>
      <c r="F4071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71" s="32" t="s">
        <v>125</v>
      </c>
      <c r="H4071" s="33"/>
      <c r="I4071" s="33"/>
      <c r="J4071" s="37"/>
    </row>
    <row r="4072" spans="1:10" x14ac:dyDescent="0.35">
      <c r="A4072" s="32" t="s">
        <v>22</v>
      </c>
      <c r="B4072" s="32">
        <f t="shared" si="975"/>
        <v>2027</v>
      </c>
      <c r="C4072" s="33" t="s">
        <v>43</v>
      </c>
      <c r="D4072" s="34" t="s">
        <v>128</v>
      </c>
      <c r="E4072" s="35" t="str">
        <f t="shared" si="973"/>
        <v>PSNP'!</v>
      </c>
      <c r="F4072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72" s="32" t="s">
        <v>125</v>
      </c>
      <c r="H4072" s="33"/>
      <c r="I4072" s="33"/>
      <c r="J4072" s="37"/>
    </row>
    <row r="4073" spans="1:10" x14ac:dyDescent="0.35">
      <c r="A4073" s="32" t="s">
        <v>22</v>
      </c>
      <c r="B4073" s="32">
        <f t="shared" si="975"/>
        <v>2028</v>
      </c>
      <c r="C4073" s="33" t="s">
        <v>43</v>
      </c>
      <c r="D4073" s="34" t="s">
        <v>128</v>
      </c>
      <c r="E4073" s="35" t="str">
        <f t="shared" si="973"/>
        <v>PSNP'!</v>
      </c>
      <c r="F4073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73" s="32" t="s">
        <v>125</v>
      </c>
      <c r="H4073" s="33"/>
      <c r="I4073" s="33"/>
      <c r="J4073" s="37"/>
    </row>
    <row r="4074" spans="1:10" x14ac:dyDescent="0.35">
      <c r="A4074" s="32" t="s">
        <v>22</v>
      </c>
      <c r="B4074" s="32">
        <f t="shared" si="975"/>
        <v>2029</v>
      </c>
      <c r="C4074" s="33" t="s">
        <v>43</v>
      </c>
      <c r="D4074" s="34" t="s">
        <v>128</v>
      </c>
      <c r="E4074" s="35" t="str">
        <f t="shared" si="973"/>
        <v>PSNP'!</v>
      </c>
      <c r="F4074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74" s="32" t="s">
        <v>125</v>
      </c>
      <c r="H4074" s="33"/>
      <c r="I4074" s="33"/>
      <c r="J4074" s="37"/>
    </row>
    <row r="4075" spans="1:10" x14ac:dyDescent="0.35">
      <c r="A4075" s="32" t="s">
        <v>22</v>
      </c>
      <c r="B4075" s="32">
        <f t="shared" si="975"/>
        <v>2030</v>
      </c>
      <c r="C4075" s="33" t="s">
        <v>43</v>
      </c>
      <c r="D4075" s="34" t="s">
        <v>128</v>
      </c>
      <c r="E4075" s="35" t="str">
        <f t="shared" si="973"/>
        <v>PSNP'!</v>
      </c>
      <c r="F4075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75" s="32" t="s">
        <v>125</v>
      </c>
      <c r="H4075" s="33"/>
      <c r="I4075" s="33"/>
      <c r="J4075" s="37"/>
    </row>
    <row r="4076" spans="1:10" x14ac:dyDescent="0.35">
      <c r="A4076" s="32" t="s">
        <v>22</v>
      </c>
      <c r="B4076" s="32">
        <f t="shared" si="975"/>
        <v>2031</v>
      </c>
      <c r="C4076" s="33" t="s">
        <v>43</v>
      </c>
      <c r="D4076" s="34" t="s">
        <v>128</v>
      </c>
      <c r="E4076" s="35" t="str">
        <f t="shared" si="973"/>
        <v>PSNP'!</v>
      </c>
      <c r="F4076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76" s="32" t="s">
        <v>125</v>
      </c>
      <c r="H4076" s="33"/>
      <c r="I4076" s="33"/>
      <c r="J4076" s="37"/>
    </row>
    <row r="4077" spans="1:10" x14ac:dyDescent="0.35">
      <c r="A4077" s="32" t="s">
        <v>22</v>
      </c>
      <c r="B4077" s="32">
        <f t="shared" si="975"/>
        <v>2032</v>
      </c>
      <c r="C4077" s="33" t="s">
        <v>43</v>
      </c>
      <c r="D4077" s="34" t="s">
        <v>128</v>
      </c>
      <c r="E4077" s="35" t="str">
        <f t="shared" si="973"/>
        <v>PSNP'!</v>
      </c>
      <c r="F4077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77" s="32" t="s">
        <v>125</v>
      </c>
      <c r="H4077" s="33"/>
      <c r="I4077" s="33"/>
      <c r="J4077" s="37"/>
    </row>
    <row r="4078" spans="1:10" x14ac:dyDescent="0.35">
      <c r="A4078" s="32" t="s">
        <v>22</v>
      </c>
      <c r="B4078" s="32">
        <f t="shared" si="975"/>
        <v>2033</v>
      </c>
      <c r="C4078" s="33" t="s">
        <v>43</v>
      </c>
      <c r="D4078" s="34" t="s">
        <v>128</v>
      </c>
      <c r="E4078" s="35" t="str">
        <f t="shared" si="973"/>
        <v>PSNP'!</v>
      </c>
      <c r="F4078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78" s="32" t="s">
        <v>125</v>
      </c>
      <c r="H4078" s="33"/>
      <c r="I4078" s="33"/>
      <c r="J4078" s="37"/>
    </row>
    <row r="4079" spans="1:10" x14ac:dyDescent="0.35">
      <c r="A4079" s="32" t="s">
        <v>22</v>
      </c>
      <c r="B4079" s="32">
        <f t="shared" si="975"/>
        <v>2034</v>
      </c>
      <c r="C4079" s="33" t="s">
        <v>43</v>
      </c>
      <c r="D4079" s="34" t="s">
        <v>128</v>
      </c>
      <c r="E4079" s="35" t="str">
        <f t="shared" si="973"/>
        <v>PSNP'!</v>
      </c>
      <c r="F4079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79" s="32" t="s">
        <v>125</v>
      </c>
      <c r="H4079" s="33"/>
      <c r="I4079" s="33"/>
      <c r="J4079" s="37"/>
    </row>
    <row r="4080" spans="1:10" x14ac:dyDescent="0.35">
      <c r="A4080" s="32" t="s">
        <v>22</v>
      </c>
      <c r="B4080" s="32">
        <f t="shared" si="975"/>
        <v>2035</v>
      </c>
      <c r="C4080" s="33" t="s">
        <v>43</v>
      </c>
      <c r="D4080" s="34" t="s">
        <v>128</v>
      </c>
      <c r="E4080" s="35" t="str">
        <f t="shared" si="973"/>
        <v>PSNP'!</v>
      </c>
      <c r="F4080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80" s="32" t="s">
        <v>125</v>
      </c>
      <c r="H4080" s="33"/>
      <c r="I4080" s="33"/>
      <c r="J4080" s="37"/>
    </row>
    <row r="4081" spans="1:10" x14ac:dyDescent="0.35">
      <c r="A4081" s="32" t="s">
        <v>22</v>
      </c>
      <c r="B4081" s="32">
        <f t="shared" si="975"/>
        <v>2036</v>
      </c>
      <c r="C4081" s="33" t="s">
        <v>43</v>
      </c>
      <c r="D4081" s="34" t="s">
        <v>128</v>
      </c>
      <c r="E4081" s="35" t="str">
        <f t="shared" si="973"/>
        <v>PSNP'!</v>
      </c>
      <c r="F4081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81" s="32" t="s">
        <v>125</v>
      </c>
      <c r="H4081" s="33"/>
      <c r="I4081" s="33"/>
      <c r="J4081" s="37"/>
    </row>
    <row r="4082" spans="1:10" x14ac:dyDescent="0.35">
      <c r="A4082" s="32" t="s">
        <v>22</v>
      </c>
      <c r="B4082" s="32">
        <f>+B4081+1</f>
        <v>2037</v>
      </c>
      <c r="C4082" s="33" t="s">
        <v>43</v>
      </c>
      <c r="D4082" s="34" t="s">
        <v>128</v>
      </c>
      <c r="E4082" s="35" t="str">
        <f t="shared" si="973"/>
        <v>PSNP'!</v>
      </c>
      <c r="F4082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82" s="32" t="s">
        <v>125</v>
      </c>
      <c r="H4082" s="33"/>
      <c r="I4082" s="33"/>
      <c r="J4082" s="37"/>
    </row>
    <row r="4083" spans="1:10" x14ac:dyDescent="0.35">
      <c r="A4083" s="32" t="s">
        <v>22</v>
      </c>
      <c r="B4083" s="32">
        <f t="shared" ref="B4083:B4085" si="976">+B4082+1</f>
        <v>2038</v>
      </c>
      <c r="C4083" s="33" t="s">
        <v>43</v>
      </c>
      <c r="D4083" s="34" t="s">
        <v>128</v>
      </c>
      <c r="E4083" s="35" t="str">
        <f t="shared" si="973"/>
        <v>PSNP'!</v>
      </c>
      <c r="F4083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83" s="32" t="s">
        <v>125</v>
      </c>
      <c r="H4083" s="33"/>
      <c r="I4083" s="33"/>
      <c r="J4083" s="37"/>
    </row>
    <row r="4084" spans="1:10" x14ac:dyDescent="0.35">
      <c r="A4084" s="32" t="s">
        <v>22</v>
      </c>
      <c r="B4084" s="32">
        <f t="shared" si="976"/>
        <v>2039</v>
      </c>
      <c r="C4084" s="33" t="s">
        <v>43</v>
      </c>
      <c r="D4084" s="34" t="s">
        <v>128</v>
      </c>
      <c r="E4084" s="35" t="str">
        <f t="shared" si="973"/>
        <v>PSNP'!</v>
      </c>
      <c r="F4084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84" s="32" t="s">
        <v>125</v>
      </c>
      <c r="H4084" s="33"/>
      <c r="I4084" s="33"/>
      <c r="J4084" s="37"/>
    </row>
    <row r="4085" spans="1:10" x14ac:dyDescent="0.35">
      <c r="A4085" s="32" t="s">
        <v>22</v>
      </c>
      <c r="B4085" s="32">
        <f t="shared" si="976"/>
        <v>2040</v>
      </c>
      <c r="C4085" s="33" t="s">
        <v>43</v>
      </c>
      <c r="D4085" s="34" t="s">
        <v>128</v>
      </c>
      <c r="E4085" s="35" t="str">
        <f t="shared" si="973"/>
        <v>PSNP'!</v>
      </c>
      <c r="F4085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85" s="32" t="s">
        <v>125</v>
      </c>
      <c r="H4085" s="33"/>
      <c r="I4085" s="33"/>
      <c r="J4085" s="37"/>
    </row>
    <row r="4086" spans="1:10" x14ac:dyDescent="0.35">
      <c r="A4086" s="32" t="s">
        <v>22</v>
      </c>
      <c r="B4086" s="32">
        <f>+B4085+1</f>
        <v>2041</v>
      </c>
      <c r="C4086" s="33" t="s">
        <v>43</v>
      </c>
      <c r="D4086" s="34" t="s">
        <v>128</v>
      </c>
      <c r="E4086" s="35" t="str">
        <f t="shared" si="973"/>
        <v>PSNP'!</v>
      </c>
      <c r="F4086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86" s="32" t="s">
        <v>125</v>
      </c>
      <c r="H4086" s="33"/>
      <c r="I4086" s="33"/>
      <c r="J4086" s="37"/>
    </row>
    <row r="4087" spans="1:10" x14ac:dyDescent="0.35">
      <c r="A4087" s="32" t="s">
        <v>22</v>
      </c>
      <c r="B4087" s="32">
        <f t="shared" ref="B4087:B4088" si="977">+B4086+1</f>
        <v>2042</v>
      </c>
      <c r="C4087" s="33" t="s">
        <v>43</v>
      </c>
      <c r="D4087" s="34" t="s">
        <v>128</v>
      </c>
      <c r="E4087" s="35" t="str">
        <f t="shared" si="973"/>
        <v>PSNP'!</v>
      </c>
      <c r="F4087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87" s="32" t="s">
        <v>125</v>
      </c>
      <c r="H4087" s="33"/>
      <c r="I4087" s="33"/>
      <c r="J4087" s="37"/>
    </row>
    <row r="4088" spans="1:10" x14ac:dyDescent="0.35">
      <c r="A4088" s="32" t="s">
        <v>22</v>
      </c>
      <c r="B4088" s="32">
        <f t="shared" si="977"/>
        <v>2043</v>
      </c>
      <c r="C4088" s="33" t="s">
        <v>43</v>
      </c>
      <c r="D4088" s="34" t="s">
        <v>128</v>
      </c>
      <c r="E4088" s="35" t="str">
        <f t="shared" si="973"/>
        <v>PSNP'!</v>
      </c>
      <c r="F4088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88" s="32" t="s">
        <v>125</v>
      </c>
      <c r="H4088" s="33"/>
      <c r="I4088" s="33"/>
      <c r="J4088" s="37"/>
    </row>
    <row r="4089" spans="1:10" x14ac:dyDescent="0.35">
      <c r="A4089" s="32" t="s">
        <v>22</v>
      </c>
      <c r="B4089" s="32">
        <f>+B4088+1</f>
        <v>2044</v>
      </c>
      <c r="C4089" s="33" t="s">
        <v>43</v>
      </c>
      <c r="D4089" s="34" t="s">
        <v>128</v>
      </c>
      <c r="E4089" s="35" t="str">
        <f t="shared" ref="E4089:E4104" si="978">_xlfn.CONCAT(A4089,"'!")</f>
        <v>PSNP'!</v>
      </c>
      <c r="F4089" s="34" t="str">
        <f t="shared" ref="F4089:F4104" si="979">_xlfn.CONCAT(D4089:E4089)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89" s="32" t="s">
        <v>125</v>
      </c>
      <c r="H4089" s="33"/>
      <c r="I4089" s="33"/>
      <c r="J4089" s="37"/>
    </row>
    <row r="4090" spans="1:10" x14ac:dyDescent="0.35">
      <c r="A4090" s="32" t="s">
        <v>22</v>
      </c>
      <c r="B4090" s="32">
        <f t="shared" ref="B4090:B4104" si="980">+B4089+1</f>
        <v>2045</v>
      </c>
      <c r="C4090" s="33" t="s">
        <v>43</v>
      </c>
      <c r="D4090" s="34" t="s">
        <v>128</v>
      </c>
      <c r="E4090" s="35" t="str">
        <f t="shared" si="978"/>
        <v>PSNP'!</v>
      </c>
      <c r="F4090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90" s="32" t="s">
        <v>125</v>
      </c>
      <c r="H4090" s="33"/>
      <c r="I4090" s="33"/>
      <c r="J4090" s="37"/>
    </row>
    <row r="4091" spans="1:10" x14ac:dyDescent="0.35">
      <c r="A4091" s="32" t="s">
        <v>22</v>
      </c>
      <c r="B4091" s="32">
        <f t="shared" si="980"/>
        <v>2046</v>
      </c>
      <c r="C4091" s="33" t="s">
        <v>43</v>
      </c>
      <c r="D4091" s="34" t="s">
        <v>128</v>
      </c>
      <c r="E4091" s="35" t="str">
        <f t="shared" si="978"/>
        <v>PSNP'!</v>
      </c>
      <c r="F4091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91" s="32" t="s">
        <v>125</v>
      </c>
      <c r="H4091" s="33"/>
      <c r="I4091" s="33"/>
      <c r="J4091" s="37"/>
    </row>
    <row r="4092" spans="1:10" x14ac:dyDescent="0.35">
      <c r="A4092" s="32" t="s">
        <v>22</v>
      </c>
      <c r="B4092" s="32">
        <f t="shared" si="980"/>
        <v>2047</v>
      </c>
      <c r="C4092" s="33" t="s">
        <v>43</v>
      </c>
      <c r="D4092" s="34" t="s">
        <v>128</v>
      </c>
      <c r="E4092" s="35" t="str">
        <f t="shared" si="978"/>
        <v>PSNP'!</v>
      </c>
      <c r="F4092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92" s="32" t="s">
        <v>125</v>
      </c>
      <c r="H4092" s="33"/>
      <c r="I4092" s="33"/>
      <c r="J4092" s="37"/>
    </row>
    <row r="4093" spans="1:10" x14ac:dyDescent="0.35">
      <c r="A4093" s="32" t="s">
        <v>22</v>
      </c>
      <c r="B4093" s="32">
        <f t="shared" si="980"/>
        <v>2048</v>
      </c>
      <c r="C4093" s="33" t="s">
        <v>43</v>
      </c>
      <c r="D4093" s="34" t="s">
        <v>128</v>
      </c>
      <c r="E4093" s="35" t="str">
        <f t="shared" si="978"/>
        <v>PSNP'!</v>
      </c>
      <c r="F4093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93" s="32" t="s">
        <v>125</v>
      </c>
      <c r="H4093" s="33"/>
      <c r="I4093" s="33"/>
      <c r="J4093" s="37"/>
    </row>
    <row r="4094" spans="1:10" x14ac:dyDescent="0.35">
      <c r="A4094" s="32" t="s">
        <v>22</v>
      </c>
      <c r="B4094" s="32">
        <f t="shared" si="980"/>
        <v>2049</v>
      </c>
      <c r="C4094" s="33" t="s">
        <v>43</v>
      </c>
      <c r="D4094" s="34" t="s">
        <v>128</v>
      </c>
      <c r="E4094" s="35" t="str">
        <f t="shared" si="978"/>
        <v>PSNP'!</v>
      </c>
      <c r="F4094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94" s="32" t="s">
        <v>125</v>
      </c>
      <c r="H4094" s="33"/>
      <c r="I4094" s="33"/>
      <c r="J4094" s="37"/>
    </row>
    <row r="4095" spans="1:10" x14ac:dyDescent="0.35">
      <c r="A4095" s="32" t="s">
        <v>22</v>
      </c>
      <c r="B4095" s="32">
        <f t="shared" si="980"/>
        <v>2050</v>
      </c>
      <c r="C4095" s="33" t="s">
        <v>43</v>
      </c>
      <c r="D4095" s="34" t="s">
        <v>128</v>
      </c>
      <c r="E4095" s="35" t="str">
        <f t="shared" si="978"/>
        <v>PSNP'!</v>
      </c>
      <c r="F4095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95" s="32" t="s">
        <v>125</v>
      </c>
      <c r="H4095" s="33"/>
      <c r="I4095" s="33"/>
      <c r="J4095" s="37"/>
    </row>
    <row r="4096" spans="1:10" x14ac:dyDescent="0.35">
      <c r="A4096" s="32" t="s">
        <v>22</v>
      </c>
      <c r="B4096" s="32">
        <f t="shared" si="980"/>
        <v>2051</v>
      </c>
      <c r="C4096" s="33" t="s">
        <v>43</v>
      </c>
      <c r="D4096" s="34" t="s">
        <v>128</v>
      </c>
      <c r="E4096" s="35" t="str">
        <f t="shared" si="978"/>
        <v>PSNP'!</v>
      </c>
      <c r="F4096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96" s="32" t="s">
        <v>125</v>
      </c>
      <c r="H4096" s="33"/>
      <c r="I4096" s="33"/>
      <c r="J4096" s="37"/>
    </row>
    <row r="4097" spans="1:10" x14ac:dyDescent="0.35">
      <c r="A4097" s="32" t="s">
        <v>22</v>
      </c>
      <c r="B4097" s="32">
        <f t="shared" si="980"/>
        <v>2052</v>
      </c>
      <c r="C4097" s="33" t="s">
        <v>43</v>
      </c>
      <c r="D4097" s="34" t="s">
        <v>128</v>
      </c>
      <c r="E4097" s="35" t="str">
        <f t="shared" si="978"/>
        <v>PSNP'!</v>
      </c>
      <c r="F4097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97" s="32" t="s">
        <v>125</v>
      </c>
      <c r="H4097" s="33"/>
      <c r="I4097" s="33"/>
      <c r="J4097" s="37"/>
    </row>
    <row r="4098" spans="1:10" x14ac:dyDescent="0.35">
      <c r="A4098" s="32" t="s">
        <v>22</v>
      </c>
      <c r="B4098" s="32">
        <f t="shared" si="980"/>
        <v>2053</v>
      </c>
      <c r="C4098" s="33" t="s">
        <v>43</v>
      </c>
      <c r="D4098" s="34" t="s">
        <v>128</v>
      </c>
      <c r="E4098" s="35" t="str">
        <f t="shared" si="978"/>
        <v>PSNP'!</v>
      </c>
      <c r="F4098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98" s="32" t="s">
        <v>125</v>
      </c>
      <c r="H4098" s="33"/>
      <c r="I4098" s="33"/>
      <c r="J4098" s="37"/>
    </row>
    <row r="4099" spans="1:10" x14ac:dyDescent="0.35">
      <c r="A4099" s="32" t="s">
        <v>22</v>
      </c>
      <c r="B4099" s="32">
        <f t="shared" si="980"/>
        <v>2054</v>
      </c>
      <c r="C4099" s="33" t="s">
        <v>43</v>
      </c>
      <c r="D4099" s="34" t="s">
        <v>128</v>
      </c>
      <c r="E4099" s="35" t="str">
        <f t="shared" si="978"/>
        <v>PSNP'!</v>
      </c>
      <c r="F4099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99" s="32" t="s">
        <v>125</v>
      </c>
      <c r="H4099" s="33"/>
      <c r="I4099" s="33"/>
      <c r="J4099" s="37"/>
    </row>
    <row r="4100" spans="1:10" x14ac:dyDescent="0.35">
      <c r="A4100" s="32" t="s">
        <v>22</v>
      </c>
      <c r="B4100" s="32">
        <f t="shared" si="980"/>
        <v>2055</v>
      </c>
      <c r="C4100" s="33" t="s">
        <v>43</v>
      </c>
      <c r="D4100" s="34" t="s">
        <v>128</v>
      </c>
      <c r="E4100" s="35" t="str">
        <f t="shared" si="978"/>
        <v>PSNP'!</v>
      </c>
      <c r="F4100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100" s="32" t="s">
        <v>125</v>
      </c>
      <c r="H4100" s="33"/>
      <c r="I4100" s="33"/>
      <c r="J4100" s="37"/>
    </row>
    <row r="4101" spans="1:10" x14ac:dyDescent="0.35">
      <c r="A4101" s="32" t="s">
        <v>22</v>
      </c>
      <c r="B4101" s="32">
        <f t="shared" si="980"/>
        <v>2056</v>
      </c>
      <c r="C4101" s="33" t="s">
        <v>43</v>
      </c>
      <c r="D4101" s="34" t="s">
        <v>128</v>
      </c>
      <c r="E4101" s="35" t="str">
        <f t="shared" si="978"/>
        <v>PSNP'!</v>
      </c>
      <c r="F4101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101" s="32" t="s">
        <v>125</v>
      </c>
      <c r="H4101" s="33"/>
      <c r="I4101" s="33"/>
      <c r="J4101" s="37"/>
    </row>
    <row r="4102" spans="1:10" x14ac:dyDescent="0.35">
      <c r="A4102" s="32" t="s">
        <v>22</v>
      </c>
      <c r="B4102" s="32">
        <f t="shared" si="980"/>
        <v>2057</v>
      </c>
      <c r="C4102" s="33" t="s">
        <v>43</v>
      </c>
      <c r="D4102" s="34" t="s">
        <v>128</v>
      </c>
      <c r="E4102" s="35" t="str">
        <f t="shared" si="978"/>
        <v>PSNP'!</v>
      </c>
      <c r="F4102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102" s="32" t="s">
        <v>125</v>
      </c>
      <c r="H4102" s="33"/>
      <c r="I4102" s="33"/>
      <c r="J4102" s="37"/>
    </row>
    <row r="4103" spans="1:10" x14ac:dyDescent="0.35">
      <c r="A4103" s="32" t="s">
        <v>22</v>
      </c>
      <c r="B4103" s="32">
        <f t="shared" si="980"/>
        <v>2058</v>
      </c>
      <c r="C4103" s="33" t="s">
        <v>43</v>
      </c>
      <c r="D4103" s="34" t="s">
        <v>128</v>
      </c>
      <c r="E4103" s="35" t="str">
        <f t="shared" si="978"/>
        <v>PSNP'!</v>
      </c>
      <c r="F4103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103" s="32" t="s">
        <v>125</v>
      </c>
      <c r="H4103" s="33"/>
      <c r="I4103" s="33"/>
      <c r="J4103" s="37"/>
    </row>
    <row r="4104" spans="1:10" x14ac:dyDescent="0.35">
      <c r="A4104" s="32" t="s">
        <v>22</v>
      </c>
      <c r="B4104" s="32">
        <f t="shared" si="980"/>
        <v>2059</v>
      </c>
      <c r="C4104" s="33" t="s">
        <v>43</v>
      </c>
      <c r="D4104" s="34" t="s">
        <v>128</v>
      </c>
      <c r="E4104" s="35" t="str">
        <f t="shared" si="978"/>
        <v>PSNP'!</v>
      </c>
      <c r="F4104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104" s="32" t="s">
        <v>125</v>
      </c>
      <c r="H4104" s="33"/>
      <c r="I4104" s="33"/>
      <c r="J4104" s="37"/>
    </row>
    <row r="4105" spans="1:10" x14ac:dyDescent="0.35">
      <c r="A4105" s="32" t="s">
        <v>26</v>
      </c>
      <c r="B4105" s="32"/>
      <c r="C4105" s="33" t="s">
        <v>43</v>
      </c>
      <c r="D4105" s="34"/>
      <c r="E4105" s="35"/>
      <c r="F4105" s="34"/>
      <c r="G4105" s="32"/>
      <c r="H4105" s="33"/>
      <c r="I4105" s="33"/>
      <c r="J4105" s="36"/>
    </row>
    <row r="4106" spans="1:10" x14ac:dyDescent="0.35">
      <c r="A4106" s="32" t="s">
        <v>23</v>
      </c>
      <c r="B4106" s="32">
        <v>2023</v>
      </c>
      <c r="C4106" s="33" t="s">
        <v>43</v>
      </c>
      <c r="D4106" s="34" t="s">
        <v>128</v>
      </c>
      <c r="E4106" s="35" t="str">
        <f t="shared" ref="E4106:E4126" si="981">_xlfn.CONCAT(A4106,"'!")</f>
        <v>PSND'!</v>
      </c>
      <c r="F4106" s="34" t="str">
        <f t="shared" ref="F4106:F4126" si="982">_xlfn.CONCAT(D4106:E4106)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06" s="32" t="s">
        <v>125</v>
      </c>
      <c r="H4106" s="33"/>
      <c r="I4106" s="33"/>
      <c r="J4106" s="37"/>
    </row>
    <row r="4107" spans="1:10" x14ac:dyDescent="0.35">
      <c r="A4107" s="32" t="s">
        <v>23</v>
      </c>
      <c r="B4107" s="32">
        <f>+B4106+1</f>
        <v>2024</v>
      </c>
      <c r="C4107" s="33" t="s">
        <v>43</v>
      </c>
      <c r="D4107" s="34" t="s">
        <v>128</v>
      </c>
      <c r="E4107" s="35" t="str">
        <f t="shared" si="981"/>
        <v>PSND'!</v>
      </c>
      <c r="F4107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07" s="32" t="s">
        <v>125</v>
      </c>
      <c r="H4107" s="33"/>
      <c r="I4107" s="33"/>
      <c r="J4107" s="37"/>
    </row>
    <row r="4108" spans="1:10" x14ac:dyDescent="0.35">
      <c r="A4108" s="32" t="s">
        <v>23</v>
      </c>
      <c r="B4108" s="32">
        <f t="shared" ref="B4108:B4119" si="983">+B4107+1</f>
        <v>2025</v>
      </c>
      <c r="C4108" s="33" t="s">
        <v>43</v>
      </c>
      <c r="D4108" s="34" t="s">
        <v>128</v>
      </c>
      <c r="E4108" s="35" t="str">
        <f t="shared" si="981"/>
        <v>PSND'!</v>
      </c>
      <c r="F4108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08" s="32" t="s">
        <v>125</v>
      </c>
      <c r="H4108" s="33"/>
      <c r="I4108" s="33"/>
      <c r="J4108" s="37"/>
    </row>
    <row r="4109" spans="1:10" x14ac:dyDescent="0.35">
      <c r="A4109" s="32" t="s">
        <v>23</v>
      </c>
      <c r="B4109" s="32">
        <f t="shared" si="983"/>
        <v>2026</v>
      </c>
      <c r="C4109" s="33" t="s">
        <v>43</v>
      </c>
      <c r="D4109" s="34" t="s">
        <v>128</v>
      </c>
      <c r="E4109" s="35" t="str">
        <f t="shared" si="981"/>
        <v>PSND'!</v>
      </c>
      <c r="F4109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09" s="32" t="s">
        <v>125</v>
      </c>
      <c r="H4109" s="33"/>
      <c r="I4109" s="33"/>
      <c r="J4109" s="37"/>
    </row>
    <row r="4110" spans="1:10" x14ac:dyDescent="0.35">
      <c r="A4110" s="32" t="s">
        <v>23</v>
      </c>
      <c r="B4110" s="32">
        <f t="shared" si="983"/>
        <v>2027</v>
      </c>
      <c r="C4110" s="33" t="s">
        <v>43</v>
      </c>
      <c r="D4110" s="34" t="s">
        <v>128</v>
      </c>
      <c r="E4110" s="35" t="str">
        <f t="shared" si="981"/>
        <v>PSND'!</v>
      </c>
      <c r="F4110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10" s="32" t="s">
        <v>125</v>
      </c>
      <c r="H4110" s="33"/>
      <c r="I4110" s="33"/>
      <c r="J4110" s="37"/>
    </row>
    <row r="4111" spans="1:10" x14ac:dyDescent="0.35">
      <c r="A4111" s="32" t="s">
        <v>23</v>
      </c>
      <c r="B4111" s="32">
        <f t="shared" si="983"/>
        <v>2028</v>
      </c>
      <c r="C4111" s="33" t="s">
        <v>43</v>
      </c>
      <c r="D4111" s="34" t="s">
        <v>128</v>
      </c>
      <c r="E4111" s="35" t="str">
        <f t="shared" si="981"/>
        <v>PSND'!</v>
      </c>
      <c r="F4111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11" s="32" t="s">
        <v>125</v>
      </c>
      <c r="H4111" s="33"/>
      <c r="I4111" s="33"/>
      <c r="J4111" s="37"/>
    </row>
    <row r="4112" spans="1:10" x14ac:dyDescent="0.35">
      <c r="A4112" s="32" t="s">
        <v>23</v>
      </c>
      <c r="B4112" s="32">
        <f t="shared" si="983"/>
        <v>2029</v>
      </c>
      <c r="C4112" s="33" t="s">
        <v>43</v>
      </c>
      <c r="D4112" s="34" t="s">
        <v>128</v>
      </c>
      <c r="E4112" s="35" t="str">
        <f t="shared" si="981"/>
        <v>PSND'!</v>
      </c>
      <c r="F4112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12" s="32" t="s">
        <v>125</v>
      </c>
      <c r="H4112" s="33"/>
      <c r="I4112" s="33"/>
      <c r="J4112" s="37"/>
    </row>
    <row r="4113" spans="1:10" x14ac:dyDescent="0.35">
      <c r="A4113" s="32" t="s">
        <v>23</v>
      </c>
      <c r="B4113" s="32">
        <f t="shared" si="983"/>
        <v>2030</v>
      </c>
      <c r="C4113" s="33" t="s">
        <v>43</v>
      </c>
      <c r="D4113" s="34" t="s">
        <v>128</v>
      </c>
      <c r="E4113" s="35" t="str">
        <f t="shared" si="981"/>
        <v>PSND'!</v>
      </c>
      <c r="F4113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13" s="32" t="s">
        <v>125</v>
      </c>
      <c r="H4113" s="33"/>
      <c r="I4113" s="33"/>
      <c r="J4113" s="37"/>
    </row>
    <row r="4114" spans="1:10" x14ac:dyDescent="0.35">
      <c r="A4114" s="32" t="s">
        <v>23</v>
      </c>
      <c r="B4114" s="32">
        <f t="shared" si="983"/>
        <v>2031</v>
      </c>
      <c r="C4114" s="33" t="s">
        <v>43</v>
      </c>
      <c r="D4114" s="34" t="s">
        <v>128</v>
      </c>
      <c r="E4114" s="35" t="str">
        <f t="shared" si="981"/>
        <v>PSND'!</v>
      </c>
      <c r="F4114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14" s="32" t="s">
        <v>125</v>
      </c>
      <c r="H4114" s="33"/>
      <c r="I4114" s="33"/>
      <c r="J4114" s="37"/>
    </row>
    <row r="4115" spans="1:10" x14ac:dyDescent="0.35">
      <c r="A4115" s="32" t="s">
        <v>23</v>
      </c>
      <c r="B4115" s="32">
        <f t="shared" si="983"/>
        <v>2032</v>
      </c>
      <c r="C4115" s="33" t="s">
        <v>43</v>
      </c>
      <c r="D4115" s="34" t="s">
        <v>128</v>
      </c>
      <c r="E4115" s="35" t="str">
        <f t="shared" si="981"/>
        <v>PSND'!</v>
      </c>
      <c r="F4115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15" s="32" t="s">
        <v>125</v>
      </c>
      <c r="H4115" s="33"/>
      <c r="I4115" s="33"/>
      <c r="J4115" s="37"/>
    </row>
    <row r="4116" spans="1:10" x14ac:dyDescent="0.35">
      <c r="A4116" s="32" t="s">
        <v>23</v>
      </c>
      <c r="B4116" s="32">
        <f t="shared" si="983"/>
        <v>2033</v>
      </c>
      <c r="C4116" s="33" t="s">
        <v>43</v>
      </c>
      <c r="D4116" s="34" t="s">
        <v>128</v>
      </c>
      <c r="E4116" s="35" t="str">
        <f t="shared" si="981"/>
        <v>PSND'!</v>
      </c>
      <c r="F4116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16" s="32" t="s">
        <v>125</v>
      </c>
      <c r="H4116" s="33"/>
      <c r="I4116" s="33"/>
      <c r="J4116" s="37"/>
    </row>
    <row r="4117" spans="1:10" x14ac:dyDescent="0.35">
      <c r="A4117" s="32" t="s">
        <v>23</v>
      </c>
      <c r="B4117" s="32">
        <f t="shared" si="983"/>
        <v>2034</v>
      </c>
      <c r="C4117" s="33" t="s">
        <v>43</v>
      </c>
      <c r="D4117" s="34" t="s">
        <v>128</v>
      </c>
      <c r="E4117" s="35" t="str">
        <f t="shared" si="981"/>
        <v>PSND'!</v>
      </c>
      <c r="F4117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17" s="32" t="s">
        <v>125</v>
      </c>
      <c r="H4117" s="33"/>
      <c r="I4117" s="33"/>
      <c r="J4117" s="37"/>
    </row>
    <row r="4118" spans="1:10" x14ac:dyDescent="0.35">
      <c r="A4118" s="32" t="s">
        <v>23</v>
      </c>
      <c r="B4118" s="32">
        <f t="shared" si="983"/>
        <v>2035</v>
      </c>
      <c r="C4118" s="33" t="s">
        <v>43</v>
      </c>
      <c r="D4118" s="34" t="s">
        <v>128</v>
      </c>
      <c r="E4118" s="35" t="str">
        <f t="shared" si="981"/>
        <v>PSND'!</v>
      </c>
      <c r="F4118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18" s="32" t="s">
        <v>125</v>
      </c>
      <c r="H4118" s="33"/>
      <c r="I4118" s="33"/>
      <c r="J4118" s="37"/>
    </row>
    <row r="4119" spans="1:10" x14ac:dyDescent="0.35">
      <c r="A4119" s="32" t="s">
        <v>23</v>
      </c>
      <c r="B4119" s="32">
        <f t="shared" si="983"/>
        <v>2036</v>
      </c>
      <c r="C4119" s="33" t="s">
        <v>43</v>
      </c>
      <c r="D4119" s="34" t="s">
        <v>128</v>
      </c>
      <c r="E4119" s="35" t="str">
        <f t="shared" si="981"/>
        <v>PSND'!</v>
      </c>
      <c r="F4119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19" s="32" t="s">
        <v>125</v>
      </c>
      <c r="H4119" s="33"/>
      <c r="I4119" s="33"/>
      <c r="J4119" s="37"/>
    </row>
    <row r="4120" spans="1:10" x14ac:dyDescent="0.35">
      <c r="A4120" s="32" t="s">
        <v>23</v>
      </c>
      <c r="B4120" s="32">
        <f>+B4119+1</f>
        <v>2037</v>
      </c>
      <c r="C4120" s="33" t="s">
        <v>43</v>
      </c>
      <c r="D4120" s="34" t="s">
        <v>128</v>
      </c>
      <c r="E4120" s="35" t="str">
        <f t="shared" si="981"/>
        <v>PSND'!</v>
      </c>
      <c r="F4120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20" s="32" t="s">
        <v>125</v>
      </c>
      <c r="H4120" s="33"/>
      <c r="I4120" s="33"/>
      <c r="J4120" s="37"/>
    </row>
    <row r="4121" spans="1:10" x14ac:dyDescent="0.35">
      <c r="A4121" s="32" t="s">
        <v>23</v>
      </c>
      <c r="B4121" s="32">
        <f t="shared" ref="B4121:B4123" si="984">+B4120+1</f>
        <v>2038</v>
      </c>
      <c r="C4121" s="33" t="s">
        <v>43</v>
      </c>
      <c r="D4121" s="34" t="s">
        <v>128</v>
      </c>
      <c r="E4121" s="35" t="str">
        <f t="shared" si="981"/>
        <v>PSND'!</v>
      </c>
      <c r="F4121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21" s="32" t="s">
        <v>125</v>
      </c>
      <c r="H4121" s="33"/>
      <c r="I4121" s="33"/>
      <c r="J4121" s="37"/>
    </row>
    <row r="4122" spans="1:10" x14ac:dyDescent="0.35">
      <c r="A4122" s="32" t="s">
        <v>23</v>
      </c>
      <c r="B4122" s="32">
        <f t="shared" si="984"/>
        <v>2039</v>
      </c>
      <c r="C4122" s="33" t="s">
        <v>43</v>
      </c>
      <c r="D4122" s="34" t="s">
        <v>128</v>
      </c>
      <c r="E4122" s="35" t="str">
        <f t="shared" si="981"/>
        <v>PSND'!</v>
      </c>
      <c r="F4122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22" s="32" t="s">
        <v>125</v>
      </c>
      <c r="H4122" s="33"/>
      <c r="I4122" s="33"/>
      <c r="J4122" s="37"/>
    </row>
    <row r="4123" spans="1:10" x14ac:dyDescent="0.35">
      <c r="A4123" s="32" t="s">
        <v>23</v>
      </c>
      <c r="B4123" s="32">
        <f t="shared" si="984"/>
        <v>2040</v>
      </c>
      <c r="C4123" s="33" t="s">
        <v>43</v>
      </c>
      <c r="D4123" s="34" t="s">
        <v>128</v>
      </c>
      <c r="E4123" s="35" t="str">
        <f t="shared" si="981"/>
        <v>PSND'!</v>
      </c>
      <c r="F4123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23" s="32" t="s">
        <v>125</v>
      </c>
      <c r="H4123" s="33"/>
      <c r="I4123" s="33"/>
      <c r="J4123" s="37"/>
    </row>
    <row r="4124" spans="1:10" x14ac:dyDescent="0.35">
      <c r="A4124" s="32" t="s">
        <v>23</v>
      </c>
      <c r="B4124" s="32">
        <f>+B4123+1</f>
        <v>2041</v>
      </c>
      <c r="C4124" s="33" t="s">
        <v>43</v>
      </c>
      <c r="D4124" s="34" t="s">
        <v>128</v>
      </c>
      <c r="E4124" s="35" t="str">
        <f t="shared" si="981"/>
        <v>PSND'!</v>
      </c>
      <c r="F4124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24" s="32" t="s">
        <v>125</v>
      </c>
      <c r="H4124" s="33"/>
      <c r="I4124" s="33"/>
      <c r="J4124" s="37"/>
    </row>
    <row r="4125" spans="1:10" x14ac:dyDescent="0.35">
      <c r="A4125" s="32" t="s">
        <v>23</v>
      </c>
      <c r="B4125" s="32">
        <f t="shared" ref="B4125:B4126" si="985">+B4124+1</f>
        <v>2042</v>
      </c>
      <c r="C4125" s="33" t="s">
        <v>43</v>
      </c>
      <c r="D4125" s="34" t="s">
        <v>128</v>
      </c>
      <c r="E4125" s="35" t="str">
        <f t="shared" si="981"/>
        <v>PSND'!</v>
      </c>
      <c r="F4125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25" s="32" t="s">
        <v>125</v>
      </c>
      <c r="H4125" s="33"/>
      <c r="I4125" s="33"/>
      <c r="J4125" s="37"/>
    </row>
    <row r="4126" spans="1:10" x14ac:dyDescent="0.35">
      <c r="A4126" s="32" t="s">
        <v>23</v>
      </c>
      <c r="B4126" s="32">
        <f t="shared" si="985"/>
        <v>2043</v>
      </c>
      <c r="C4126" s="33" t="s">
        <v>43</v>
      </c>
      <c r="D4126" s="34" t="s">
        <v>128</v>
      </c>
      <c r="E4126" s="35" t="str">
        <f t="shared" si="981"/>
        <v>PSND'!</v>
      </c>
      <c r="F4126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26" s="32" t="s">
        <v>125</v>
      </c>
      <c r="H4126" s="33"/>
      <c r="I4126" s="33"/>
      <c r="J4126" s="37"/>
    </row>
    <row r="4127" spans="1:10" x14ac:dyDescent="0.35">
      <c r="A4127" s="32" t="s">
        <v>23</v>
      </c>
      <c r="B4127" s="32">
        <f>+B4126+1</f>
        <v>2044</v>
      </c>
      <c r="C4127" s="33" t="s">
        <v>43</v>
      </c>
      <c r="D4127" s="34" t="s">
        <v>128</v>
      </c>
      <c r="E4127" s="35" t="str">
        <f t="shared" ref="E4127:E4142" si="986">_xlfn.CONCAT(A4127,"'!")</f>
        <v>PSND'!</v>
      </c>
      <c r="F4127" s="34" t="str">
        <f t="shared" ref="F4127:F4142" si="987">_xlfn.CONCAT(D4127:E4127)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27" s="32" t="s">
        <v>125</v>
      </c>
      <c r="H4127" s="33"/>
      <c r="I4127" s="33"/>
      <c r="J4127" s="37"/>
    </row>
    <row r="4128" spans="1:10" x14ac:dyDescent="0.35">
      <c r="A4128" s="32" t="s">
        <v>23</v>
      </c>
      <c r="B4128" s="32">
        <f t="shared" ref="B4128:B4142" si="988">+B4127+1</f>
        <v>2045</v>
      </c>
      <c r="C4128" s="33" t="s">
        <v>43</v>
      </c>
      <c r="D4128" s="34" t="s">
        <v>128</v>
      </c>
      <c r="E4128" s="35" t="str">
        <f t="shared" si="986"/>
        <v>PSND'!</v>
      </c>
      <c r="F4128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28" s="32" t="s">
        <v>125</v>
      </c>
      <c r="H4128" s="33"/>
      <c r="I4128" s="33"/>
      <c r="J4128" s="37"/>
    </row>
    <row r="4129" spans="1:10" x14ac:dyDescent="0.35">
      <c r="A4129" s="32" t="s">
        <v>23</v>
      </c>
      <c r="B4129" s="32">
        <f t="shared" si="988"/>
        <v>2046</v>
      </c>
      <c r="C4129" s="33" t="s">
        <v>43</v>
      </c>
      <c r="D4129" s="34" t="s">
        <v>128</v>
      </c>
      <c r="E4129" s="35" t="str">
        <f t="shared" si="986"/>
        <v>PSND'!</v>
      </c>
      <c r="F4129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29" s="32" t="s">
        <v>125</v>
      </c>
      <c r="H4129" s="33"/>
      <c r="I4129" s="33"/>
      <c r="J4129" s="37"/>
    </row>
    <row r="4130" spans="1:10" x14ac:dyDescent="0.35">
      <c r="A4130" s="32" t="s">
        <v>23</v>
      </c>
      <c r="B4130" s="32">
        <f t="shared" si="988"/>
        <v>2047</v>
      </c>
      <c r="C4130" s="33" t="s">
        <v>43</v>
      </c>
      <c r="D4130" s="34" t="s">
        <v>128</v>
      </c>
      <c r="E4130" s="35" t="str">
        <f t="shared" si="986"/>
        <v>PSND'!</v>
      </c>
      <c r="F4130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30" s="32" t="s">
        <v>125</v>
      </c>
      <c r="H4130" s="33"/>
      <c r="I4130" s="33"/>
      <c r="J4130" s="37"/>
    </row>
    <row r="4131" spans="1:10" x14ac:dyDescent="0.35">
      <c r="A4131" s="32" t="s">
        <v>23</v>
      </c>
      <c r="B4131" s="32">
        <f t="shared" si="988"/>
        <v>2048</v>
      </c>
      <c r="C4131" s="33" t="s">
        <v>43</v>
      </c>
      <c r="D4131" s="34" t="s">
        <v>128</v>
      </c>
      <c r="E4131" s="35" t="str">
        <f t="shared" si="986"/>
        <v>PSND'!</v>
      </c>
      <c r="F4131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31" s="32" t="s">
        <v>125</v>
      </c>
      <c r="H4131" s="33"/>
      <c r="I4131" s="33"/>
      <c r="J4131" s="37"/>
    </row>
    <row r="4132" spans="1:10" x14ac:dyDescent="0.35">
      <c r="A4132" s="32" t="s">
        <v>23</v>
      </c>
      <c r="B4132" s="32">
        <f t="shared" si="988"/>
        <v>2049</v>
      </c>
      <c r="C4132" s="33" t="s">
        <v>43</v>
      </c>
      <c r="D4132" s="34" t="s">
        <v>128</v>
      </c>
      <c r="E4132" s="35" t="str">
        <f t="shared" si="986"/>
        <v>PSND'!</v>
      </c>
      <c r="F4132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32" s="32" t="s">
        <v>125</v>
      </c>
      <c r="H4132" s="33"/>
      <c r="I4132" s="33"/>
      <c r="J4132" s="37"/>
    </row>
    <row r="4133" spans="1:10" x14ac:dyDescent="0.35">
      <c r="A4133" s="32" t="s">
        <v>23</v>
      </c>
      <c r="B4133" s="32">
        <f t="shared" si="988"/>
        <v>2050</v>
      </c>
      <c r="C4133" s="33" t="s">
        <v>43</v>
      </c>
      <c r="D4133" s="34" t="s">
        <v>128</v>
      </c>
      <c r="E4133" s="35" t="str">
        <f t="shared" si="986"/>
        <v>PSND'!</v>
      </c>
      <c r="F4133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33" s="32" t="s">
        <v>125</v>
      </c>
      <c r="H4133" s="33"/>
      <c r="I4133" s="33"/>
      <c r="J4133" s="37"/>
    </row>
    <row r="4134" spans="1:10" x14ac:dyDescent="0.35">
      <c r="A4134" s="32" t="s">
        <v>23</v>
      </c>
      <c r="B4134" s="32">
        <f t="shared" si="988"/>
        <v>2051</v>
      </c>
      <c r="C4134" s="33" t="s">
        <v>43</v>
      </c>
      <c r="D4134" s="34" t="s">
        <v>128</v>
      </c>
      <c r="E4134" s="35" t="str">
        <f t="shared" si="986"/>
        <v>PSND'!</v>
      </c>
      <c r="F4134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34" s="32" t="s">
        <v>125</v>
      </c>
      <c r="H4134" s="33"/>
      <c r="I4134" s="33"/>
      <c r="J4134" s="37"/>
    </row>
    <row r="4135" spans="1:10" x14ac:dyDescent="0.35">
      <c r="A4135" s="32" t="s">
        <v>23</v>
      </c>
      <c r="B4135" s="32">
        <f t="shared" si="988"/>
        <v>2052</v>
      </c>
      <c r="C4135" s="33" t="s">
        <v>43</v>
      </c>
      <c r="D4135" s="34" t="s">
        <v>128</v>
      </c>
      <c r="E4135" s="35" t="str">
        <f t="shared" si="986"/>
        <v>PSND'!</v>
      </c>
      <c r="F4135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35" s="32" t="s">
        <v>125</v>
      </c>
      <c r="H4135" s="33"/>
      <c r="I4135" s="33"/>
      <c r="J4135" s="37"/>
    </row>
    <row r="4136" spans="1:10" x14ac:dyDescent="0.35">
      <c r="A4136" s="32" t="s">
        <v>23</v>
      </c>
      <c r="B4136" s="32">
        <f t="shared" si="988"/>
        <v>2053</v>
      </c>
      <c r="C4136" s="33" t="s">
        <v>43</v>
      </c>
      <c r="D4136" s="34" t="s">
        <v>128</v>
      </c>
      <c r="E4136" s="35" t="str">
        <f t="shared" si="986"/>
        <v>PSND'!</v>
      </c>
      <c r="F4136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36" s="32" t="s">
        <v>125</v>
      </c>
      <c r="H4136" s="33"/>
      <c r="I4136" s="33"/>
      <c r="J4136" s="37"/>
    </row>
    <row r="4137" spans="1:10" x14ac:dyDescent="0.35">
      <c r="A4137" s="32" t="s">
        <v>23</v>
      </c>
      <c r="B4137" s="32">
        <f t="shared" si="988"/>
        <v>2054</v>
      </c>
      <c r="C4137" s="33" t="s">
        <v>43</v>
      </c>
      <c r="D4137" s="34" t="s">
        <v>128</v>
      </c>
      <c r="E4137" s="35" t="str">
        <f t="shared" si="986"/>
        <v>PSND'!</v>
      </c>
      <c r="F4137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37" s="32" t="s">
        <v>125</v>
      </c>
      <c r="H4137" s="33"/>
      <c r="I4137" s="33"/>
      <c r="J4137" s="37"/>
    </row>
    <row r="4138" spans="1:10" x14ac:dyDescent="0.35">
      <c r="A4138" s="32" t="s">
        <v>23</v>
      </c>
      <c r="B4138" s="32">
        <f t="shared" si="988"/>
        <v>2055</v>
      </c>
      <c r="C4138" s="33" t="s">
        <v>43</v>
      </c>
      <c r="D4138" s="34" t="s">
        <v>128</v>
      </c>
      <c r="E4138" s="35" t="str">
        <f t="shared" si="986"/>
        <v>PSND'!</v>
      </c>
      <c r="F4138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38" s="32" t="s">
        <v>125</v>
      </c>
      <c r="H4138" s="33"/>
      <c r="I4138" s="33"/>
      <c r="J4138" s="37"/>
    </row>
    <row r="4139" spans="1:10" x14ac:dyDescent="0.35">
      <c r="A4139" s="32" t="s">
        <v>23</v>
      </c>
      <c r="B4139" s="32">
        <f t="shared" si="988"/>
        <v>2056</v>
      </c>
      <c r="C4139" s="33" t="s">
        <v>43</v>
      </c>
      <c r="D4139" s="34" t="s">
        <v>128</v>
      </c>
      <c r="E4139" s="35" t="str">
        <f t="shared" si="986"/>
        <v>PSND'!</v>
      </c>
      <c r="F4139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39" s="32" t="s">
        <v>125</v>
      </c>
      <c r="H4139" s="33"/>
      <c r="I4139" s="33"/>
      <c r="J4139" s="37"/>
    </row>
    <row r="4140" spans="1:10" x14ac:dyDescent="0.35">
      <c r="A4140" s="32" t="s">
        <v>23</v>
      </c>
      <c r="B4140" s="32">
        <f t="shared" si="988"/>
        <v>2057</v>
      </c>
      <c r="C4140" s="33" t="s">
        <v>43</v>
      </c>
      <c r="D4140" s="34" t="s">
        <v>128</v>
      </c>
      <c r="E4140" s="35" t="str">
        <f t="shared" si="986"/>
        <v>PSND'!</v>
      </c>
      <c r="F4140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40" s="32" t="s">
        <v>125</v>
      </c>
      <c r="H4140" s="33"/>
      <c r="I4140" s="33"/>
      <c r="J4140" s="37"/>
    </row>
    <row r="4141" spans="1:10" x14ac:dyDescent="0.35">
      <c r="A4141" s="32" t="s">
        <v>23</v>
      </c>
      <c r="B4141" s="32">
        <f t="shared" si="988"/>
        <v>2058</v>
      </c>
      <c r="C4141" s="33" t="s">
        <v>43</v>
      </c>
      <c r="D4141" s="34" t="s">
        <v>128</v>
      </c>
      <c r="E4141" s="35" t="str">
        <f t="shared" si="986"/>
        <v>PSND'!</v>
      </c>
      <c r="F4141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41" s="32" t="s">
        <v>125</v>
      </c>
      <c r="H4141" s="33"/>
      <c r="I4141" s="33"/>
      <c r="J4141" s="37"/>
    </row>
    <row r="4142" spans="1:10" x14ac:dyDescent="0.35">
      <c r="A4142" s="32" t="s">
        <v>23</v>
      </c>
      <c r="B4142" s="32">
        <f t="shared" si="988"/>
        <v>2059</v>
      </c>
      <c r="C4142" s="33" t="s">
        <v>43</v>
      </c>
      <c r="D4142" s="34" t="s">
        <v>128</v>
      </c>
      <c r="E4142" s="35" t="str">
        <f t="shared" si="986"/>
        <v>PSND'!</v>
      </c>
      <c r="F4142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42" s="32" t="s">
        <v>125</v>
      </c>
      <c r="H4142" s="33"/>
      <c r="I4142" s="33"/>
      <c r="J4142" s="37"/>
    </row>
    <row r="4143" spans="1:10" x14ac:dyDescent="0.35">
      <c r="A4143" s="32" t="s">
        <v>26</v>
      </c>
      <c r="B4143" s="32"/>
      <c r="C4143" s="33" t="s">
        <v>43</v>
      </c>
      <c r="D4143" s="34"/>
      <c r="E4143" s="35"/>
      <c r="F4143" s="34"/>
      <c r="G4143" s="32"/>
      <c r="H4143" s="33"/>
      <c r="I4143" s="33"/>
      <c r="J4143" s="36"/>
    </row>
    <row r="4144" spans="1:10" x14ac:dyDescent="0.35">
      <c r="A4144" s="32" t="s">
        <v>24</v>
      </c>
      <c r="B4144" s="32">
        <v>2023</v>
      </c>
      <c r="C4144" s="33" t="s">
        <v>43</v>
      </c>
      <c r="D4144" s="34" t="s">
        <v>128</v>
      </c>
      <c r="E4144" s="35" t="str">
        <f t="shared" ref="E4144:E4182" si="989">_xlfn.CONCAT(A4144,"'!")</f>
        <v>PS'!</v>
      </c>
      <c r="F4144" s="34" t="str">
        <f t="shared" ref="F4144:F4164" si="990">_xlfn.CONCAT(D4144:E4144)</f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44" s="32" t="s">
        <v>125</v>
      </c>
      <c r="H4144" s="33">
        <v>12</v>
      </c>
      <c r="I4144" s="33" t="str">
        <f t="shared" ref="I4144:I4164" si="991">_xlfn.CONCAT("='",F4144:H4144)</f>
        <v>='C:\Users\jaime.benazar\Quorum Business Solutions\Ecopetrol Prometeo - Documents\Planning Space Implementation\3. Analysis &amp; Design\Design\FC22\DRR Jaime\Por presentar a ECP\Cantagallo\Cristalina\[CRISTALINA_CF_SEC_New_09-Feb-2024.xlsx]D-PS'!$CB$12</v>
      </c>
      <c r="J4144" s="37" t="s">
        <v>1942</v>
      </c>
    </row>
    <row r="4145" spans="1:10" x14ac:dyDescent="0.35">
      <c r="A4145" s="32" t="s">
        <v>24</v>
      </c>
      <c r="B4145" s="32">
        <f>+B4144+1</f>
        <v>2024</v>
      </c>
      <c r="C4145" s="33" t="s">
        <v>43</v>
      </c>
      <c r="D4145" s="34" t="s">
        <v>128</v>
      </c>
      <c r="E4145" s="35" t="str">
        <f t="shared" si="989"/>
        <v>PS'!</v>
      </c>
      <c r="F4145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45" s="32" t="s">
        <v>125</v>
      </c>
      <c r="H4145" s="33">
        <f t="shared" ref="H4145:H4164" si="992">IF(A4145&lt;&gt;A4144,12,H4144+1)</f>
        <v>13</v>
      </c>
      <c r="I4145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ECP\Cantagallo\Cristalina\[CRISTALINA_CF_SEC_New_09-Feb-2024.xlsx]D-PS'!$CB$13</v>
      </c>
      <c r="J4145" s="37" t="s">
        <v>1943</v>
      </c>
    </row>
    <row r="4146" spans="1:10" x14ac:dyDescent="0.35">
      <c r="A4146" s="32" t="s">
        <v>24</v>
      </c>
      <c r="B4146" s="32">
        <f t="shared" ref="B4146:B4157" si="993">+B4145+1</f>
        <v>2025</v>
      </c>
      <c r="C4146" s="33" t="s">
        <v>43</v>
      </c>
      <c r="D4146" s="34" t="s">
        <v>128</v>
      </c>
      <c r="E4146" s="35" t="str">
        <f t="shared" si="989"/>
        <v>PS'!</v>
      </c>
      <c r="F4146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46" s="32" t="s">
        <v>125</v>
      </c>
      <c r="H4146" s="33">
        <f t="shared" si="992"/>
        <v>14</v>
      </c>
      <c r="I4146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ECP\Cantagallo\Cristalina\[CRISTALINA_CF_SEC_New_09-Feb-2024.xlsx]D-PS'!$CB$14</v>
      </c>
      <c r="J4146" s="37" t="s">
        <v>1944</v>
      </c>
    </row>
    <row r="4147" spans="1:10" x14ac:dyDescent="0.35">
      <c r="A4147" s="32" t="s">
        <v>24</v>
      </c>
      <c r="B4147" s="32">
        <f t="shared" si="993"/>
        <v>2026</v>
      </c>
      <c r="C4147" s="33" t="s">
        <v>43</v>
      </c>
      <c r="D4147" s="34" t="s">
        <v>128</v>
      </c>
      <c r="E4147" s="35" t="str">
        <f t="shared" si="989"/>
        <v>PS'!</v>
      </c>
      <c r="F4147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47" s="32" t="s">
        <v>125</v>
      </c>
      <c r="H4147" s="33">
        <f t="shared" si="992"/>
        <v>15</v>
      </c>
      <c r="I4147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ECP\Cantagallo\Cristalina\[CRISTALINA_CF_SEC_New_09-Feb-2024.xlsx]D-PS'!$CB$15</v>
      </c>
      <c r="J4147" s="37" t="s">
        <v>1945</v>
      </c>
    </row>
    <row r="4148" spans="1:10" x14ac:dyDescent="0.35">
      <c r="A4148" s="32" t="s">
        <v>24</v>
      </c>
      <c r="B4148" s="32">
        <f t="shared" si="993"/>
        <v>2027</v>
      </c>
      <c r="C4148" s="33" t="s">
        <v>43</v>
      </c>
      <c r="D4148" s="34" t="s">
        <v>128</v>
      </c>
      <c r="E4148" s="35" t="str">
        <f t="shared" si="989"/>
        <v>PS'!</v>
      </c>
      <c r="F4148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48" s="32" t="s">
        <v>125</v>
      </c>
      <c r="H4148" s="33">
        <f t="shared" si="992"/>
        <v>16</v>
      </c>
      <c r="I4148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ECP\Cantagallo\Cristalina\[CRISTALINA_CF_SEC_New_09-Feb-2024.xlsx]D-PS'!$CB$16</v>
      </c>
      <c r="J4148" s="37" t="s">
        <v>1946</v>
      </c>
    </row>
    <row r="4149" spans="1:10" x14ac:dyDescent="0.35">
      <c r="A4149" s="32" t="s">
        <v>24</v>
      </c>
      <c r="B4149" s="32">
        <f t="shared" si="993"/>
        <v>2028</v>
      </c>
      <c r="C4149" s="33" t="s">
        <v>43</v>
      </c>
      <c r="D4149" s="34" t="s">
        <v>128</v>
      </c>
      <c r="E4149" s="35" t="str">
        <f t="shared" si="989"/>
        <v>PS'!</v>
      </c>
      <c r="F4149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49" s="32" t="s">
        <v>125</v>
      </c>
      <c r="H4149" s="33">
        <f t="shared" si="992"/>
        <v>17</v>
      </c>
      <c r="I4149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ECP\Cantagallo\Cristalina\[CRISTALINA_CF_SEC_New_09-Feb-2024.xlsx]D-PS'!$CB$17</v>
      </c>
      <c r="J4149" s="37" t="s">
        <v>1947</v>
      </c>
    </row>
    <row r="4150" spans="1:10" x14ac:dyDescent="0.35">
      <c r="A4150" s="32" t="s">
        <v>24</v>
      </c>
      <c r="B4150" s="32">
        <f t="shared" si="993"/>
        <v>2029</v>
      </c>
      <c r="C4150" s="33" t="s">
        <v>43</v>
      </c>
      <c r="D4150" s="34" t="s">
        <v>128</v>
      </c>
      <c r="E4150" s="35" t="str">
        <f t="shared" si="989"/>
        <v>PS'!</v>
      </c>
      <c r="F4150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50" s="32" t="s">
        <v>125</v>
      </c>
      <c r="H4150" s="33">
        <f t="shared" si="992"/>
        <v>18</v>
      </c>
      <c r="I4150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ECP\Cantagallo\Cristalina\[CRISTALINA_CF_SEC_New_09-Feb-2024.xlsx]D-PS'!$CB$18</v>
      </c>
      <c r="J4150" s="37" t="s">
        <v>1948</v>
      </c>
    </row>
    <row r="4151" spans="1:10" x14ac:dyDescent="0.35">
      <c r="A4151" s="32" t="s">
        <v>24</v>
      </c>
      <c r="B4151" s="32">
        <f t="shared" si="993"/>
        <v>2030</v>
      </c>
      <c r="C4151" s="33" t="s">
        <v>43</v>
      </c>
      <c r="D4151" s="34" t="s">
        <v>128</v>
      </c>
      <c r="E4151" s="35" t="str">
        <f t="shared" si="989"/>
        <v>PS'!</v>
      </c>
      <c r="F4151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51" s="32" t="s">
        <v>125</v>
      </c>
      <c r="H4151" s="33">
        <f t="shared" si="992"/>
        <v>19</v>
      </c>
      <c r="I4151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ECP\Cantagallo\Cristalina\[CRISTALINA_CF_SEC_New_09-Feb-2024.xlsx]D-PS'!$CB$19</v>
      </c>
      <c r="J4151" s="37" t="s">
        <v>1949</v>
      </c>
    </row>
    <row r="4152" spans="1:10" x14ac:dyDescent="0.35">
      <c r="A4152" s="32" t="s">
        <v>24</v>
      </c>
      <c r="B4152" s="32">
        <f t="shared" si="993"/>
        <v>2031</v>
      </c>
      <c r="C4152" s="33" t="s">
        <v>43</v>
      </c>
      <c r="D4152" s="34" t="s">
        <v>128</v>
      </c>
      <c r="E4152" s="35" t="str">
        <f t="shared" si="989"/>
        <v>PS'!</v>
      </c>
      <c r="F4152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52" s="32" t="s">
        <v>125</v>
      </c>
      <c r="H4152" s="33">
        <f t="shared" si="992"/>
        <v>20</v>
      </c>
      <c r="I4152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ECP\Cantagallo\Cristalina\[CRISTALINA_CF_SEC_New_09-Feb-2024.xlsx]D-PS'!$CB$20</v>
      </c>
      <c r="J4152" s="37" t="s">
        <v>1950</v>
      </c>
    </row>
    <row r="4153" spans="1:10" x14ac:dyDescent="0.35">
      <c r="A4153" s="32" t="s">
        <v>24</v>
      </c>
      <c r="B4153" s="32">
        <f t="shared" si="993"/>
        <v>2032</v>
      </c>
      <c r="C4153" s="33" t="s">
        <v>43</v>
      </c>
      <c r="D4153" s="34" t="s">
        <v>128</v>
      </c>
      <c r="E4153" s="35" t="str">
        <f t="shared" si="989"/>
        <v>PS'!</v>
      </c>
      <c r="F4153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53" s="32" t="s">
        <v>125</v>
      </c>
      <c r="H4153" s="33">
        <f t="shared" si="992"/>
        <v>21</v>
      </c>
      <c r="I4153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ECP\Cantagallo\Cristalina\[CRISTALINA_CF_SEC_New_09-Feb-2024.xlsx]D-PS'!$CB$21</v>
      </c>
      <c r="J4153" s="37" t="s">
        <v>1951</v>
      </c>
    </row>
    <row r="4154" spans="1:10" x14ac:dyDescent="0.35">
      <c r="A4154" s="32" t="s">
        <v>24</v>
      </c>
      <c r="B4154" s="32">
        <f t="shared" si="993"/>
        <v>2033</v>
      </c>
      <c r="C4154" s="33" t="s">
        <v>43</v>
      </c>
      <c r="D4154" s="34" t="s">
        <v>128</v>
      </c>
      <c r="E4154" s="35" t="str">
        <f t="shared" si="989"/>
        <v>PS'!</v>
      </c>
      <c r="F4154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54" s="32" t="s">
        <v>125</v>
      </c>
      <c r="H4154" s="33">
        <f t="shared" si="992"/>
        <v>22</v>
      </c>
      <c r="I4154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ECP\Cantagallo\Cristalina\[CRISTALINA_CF_SEC_New_09-Feb-2024.xlsx]D-PS'!$CB$22</v>
      </c>
      <c r="J4154" s="37" t="s">
        <v>1952</v>
      </c>
    </row>
    <row r="4155" spans="1:10" x14ac:dyDescent="0.35">
      <c r="A4155" s="32" t="s">
        <v>24</v>
      </c>
      <c r="B4155" s="32">
        <f t="shared" si="993"/>
        <v>2034</v>
      </c>
      <c r="C4155" s="33" t="s">
        <v>43</v>
      </c>
      <c r="D4155" s="34" t="s">
        <v>128</v>
      </c>
      <c r="E4155" s="35" t="str">
        <f t="shared" si="989"/>
        <v>PS'!</v>
      </c>
      <c r="F4155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55" s="32" t="s">
        <v>125</v>
      </c>
      <c r="H4155" s="33">
        <f t="shared" si="992"/>
        <v>23</v>
      </c>
      <c r="I4155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ECP\Cantagallo\Cristalina\[CRISTALINA_CF_SEC_New_09-Feb-2024.xlsx]D-PS'!$CB$23</v>
      </c>
      <c r="J4155" s="37" t="s">
        <v>1953</v>
      </c>
    </row>
    <row r="4156" spans="1:10" x14ac:dyDescent="0.35">
      <c r="A4156" s="32" t="s">
        <v>24</v>
      </c>
      <c r="B4156" s="32">
        <f t="shared" si="993"/>
        <v>2035</v>
      </c>
      <c r="C4156" s="33" t="s">
        <v>43</v>
      </c>
      <c r="D4156" s="34" t="s">
        <v>128</v>
      </c>
      <c r="E4156" s="35" t="str">
        <f t="shared" si="989"/>
        <v>PS'!</v>
      </c>
      <c r="F4156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56" s="32" t="s">
        <v>125</v>
      </c>
      <c r="H4156" s="33">
        <f t="shared" si="992"/>
        <v>24</v>
      </c>
      <c r="I4156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ECP\Cantagallo\Cristalina\[CRISTALINA_CF_SEC_New_09-Feb-2024.xlsx]D-PS'!$CB$24</v>
      </c>
      <c r="J4156" s="37" t="s">
        <v>1954</v>
      </c>
    </row>
    <row r="4157" spans="1:10" x14ac:dyDescent="0.35">
      <c r="A4157" s="32" t="s">
        <v>24</v>
      </c>
      <c r="B4157" s="32">
        <f t="shared" si="993"/>
        <v>2036</v>
      </c>
      <c r="C4157" s="33" t="s">
        <v>43</v>
      </c>
      <c r="D4157" s="34" t="s">
        <v>128</v>
      </c>
      <c r="E4157" s="35" t="str">
        <f t="shared" si="989"/>
        <v>PS'!</v>
      </c>
      <c r="F4157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57" s="32" t="s">
        <v>125</v>
      </c>
      <c r="H4157" s="33">
        <f t="shared" si="992"/>
        <v>25</v>
      </c>
      <c r="I4157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ECP\Cantagallo\Cristalina\[CRISTALINA_CF_SEC_New_09-Feb-2024.xlsx]D-PS'!$CB$25</v>
      </c>
      <c r="J4157" s="37" t="s">
        <v>1955</v>
      </c>
    </row>
    <row r="4158" spans="1:10" x14ac:dyDescent="0.35">
      <c r="A4158" s="32" t="s">
        <v>24</v>
      </c>
      <c r="B4158" s="32">
        <f>+B4157+1</f>
        <v>2037</v>
      </c>
      <c r="C4158" s="33" t="s">
        <v>43</v>
      </c>
      <c r="D4158" s="34" t="s">
        <v>128</v>
      </c>
      <c r="E4158" s="35" t="str">
        <f t="shared" si="989"/>
        <v>PS'!</v>
      </c>
      <c r="F4158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58" s="32" t="s">
        <v>125</v>
      </c>
      <c r="H4158" s="33">
        <f t="shared" si="992"/>
        <v>26</v>
      </c>
      <c r="I4158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ECP\Cantagallo\Cristalina\[CRISTALINA_CF_SEC_New_09-Feb-2024.xlsx]D-PS'!$CB$26</v>
      </c>
      <c r="J4158" s="37" t="s">
        <v>1956</v>
      </c>
    </row>
    <row r="4159" spans="1:10" x14ac:dyDescent="0.35">
      <c r="A4159" s="32" t="s">
        <v>24</v>
      </c>
      <c r="B4159" s="32">
        <f t="shared" ref="B4159:B4161" si="994">+B4158+1</f>
        <v>2038</v>
      </c>
      <c r="C4159" s="33" t="s">
        <v>43</v>
      </c>
      <c r="D4159" s="34" t="s">
        <v>128</v>
      </c>
      <c r="E4159" s="35" t="str">
        <f t="shared" si="989"/>
        <v>PS'!</v>
      </c>
      <c r="F4159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59" s="32" t="s">
        <v>125</v>
      </c>
      <c r="H4159" s="33">
        <f t="shared" si="992"/>
        <v>27</v>
      </c>
      <c r="I4159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ECP\Cantagallo\Cristalina\[CRISTALINA_CF_SEC_New_09-Feb-2024.xlsx]D-PS'!$CB$27</v>
      </c>
      <c r="J4159" s="37" t="s">
        <v>1957</v>
      </c>
    </row>
    <row r="4160" spans="1:10" x14ac:dyDescent="0.35">
      <c r="A4160" s="32" t="s">
        <v>24</v>
      </c>
      <c r="B4160" s="32">
        <f t="shared" si="994"/>
        <v>2039</v>
      </c>
      <c r="C4160" s="33" t="s">
        <v>43</v>
      </c>
      <c r="D4160" s="34" t="s">
        <v>128</v>
      </c>
      <c r="E4160" s="35" t="str">
        <f t="shared" si="989"/>
        <v>PS'!</v>
      </c>
      <c r="F4160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60" s="32" t="s">
        <v>125</v>
      </c>
      <c r="H4160" s="33">
        <f t="shared" si="992"/>
        <v>28</v>
      </c>
      <c r="I4160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ECP\Cantagallo\Cristalina\[CRISTALINA_CF_SEC_New_09-Feb-2024.xlsx]D-PS'!$CB$28</v>
      </c>
      <c r="J4160" s="37" t="s">
        <v>1958</v>
      </c>
    </row>
    <row r="4161" spans="1:10" x14ac:dyDescent="0.35">
      <c r="A4161" s="32" t="s">
        <v>24</v>
      </c>
      <c r="B4161" s="32">
        <f t="shared" si="994"/>
        <v>2040</v>
      </c>
      <c r="C4161" s="33" t="s">
        <v>43</v>
      </c>
      <c r="D4161" s="34" t="s">
        <v>128</v>
      </c>
      <c r="E4161" s="35" t="str">
        <f t="shared" si="989"/>
        <v>PS'!</v>
      </c>
      <c r="F4161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61" s="32" t="s">
        <v>125</v>
      </c>
      <c r="H4161" s="33">
        <f t="shared" si="992"/>
        <v>29</v>
      </c>
      <c r="I4161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ECP\Cantagallo\Cristalina\[CRISTALINA_CF_SEC_New_09-Feb-2024.xlsx]D-PS'!$CB$29</v>
      </c>
      <c r="J4161" s="37" t="s">
        <v>1959</v>
      </c>
    </row>
    <row r="4162" spans="1:10" x14ac:dyDescent="0.35">
      <c r="A4162" s="32" t="s">
        <v>24</v>
      </c>
      <c r="B4162" s="32">
        <f>+B4161+1</f>
        <v>2041</v>
      </c>
      <c r="C4162" s="33" t="s">
        <v>43</v>
      </c>
      <c r="D4162" s="34" t="s">
        <v>128</v>
      </c>
      <c r="E4162" s="35" t="str">
        <f t="shared" si="989"/>
        <v>PS'!</v>
      </c>
      <c r="F4162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62" s="32" t="s">
        <v>125</v>
      </c>
      <c r="H4162" s="33">
        <f t="shared" si="992"/>
        <v>30</v>
      </c>
      <c r="I4162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ECP\Cantagallo\Cristalina\[CRISTALINA_CF_SEC_New_09-Feb-2024.xlsx]D-PS'!$CB$30</v>
      </c>
      <c r="J4162" s="37" t="s">
        <v>1960</v>
      </c>
    </row>
    <row r="4163" spans="1:10" x14ac:dyDescent="0.35">
      <c r="A4163" s="32" t="s">
        <v>24</v>
      </c>
      <c r="B4163" s="32">
        <f t="shared" ref="B4163:B4164" si="995">+B4162+1</f>
        <v>2042</v>
      </c>
      <c r="C4163" s="33" t="s">
        <v>43</v>
      </c>
      <c r="D4163" s="34" t="s">
        <v>128</v>
      </c>
      <c r="E4163" s="35" t="str">
        <f t="shared" si="989"/>
        <v>PS'!</v>
      </c>
      <c r="F4163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63" s="32" t="s">
        <v>125</v>
      </c>
      <c r="H4163" s="33">
        <f t="shared" si="992"/>
        <v>31</v>
      </c>
      <c r="I4163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ECP\Cantagallo\Cristalina\[CRISTALINA_CF_SEC_New_09-Feb-2024.xlsx]D-PS'!$CB$31</v>
      </c>
      <c r="J4163" s="37" t="s">
        <v>1961</v>
      </c>
    </row>
    <row r="4164" spans="1:10" x14ac:dyDescent="0.35">
      <c r="A4164" s="32" t="s">
        <v>24</v>
      </c>
      <c r="B4164" s="32">
        <f t="shared" si="995"/>
        <v>2043</v>
      </c>
      <c r="C4164" s="33" t="s">
        <v>43</v>
      </c>
      <c r="D4164" s="34" t="s">
        <v>128</v>
      </c>
      <c r="E4164" s="35" t="str">
        <f t="shared" si="989"/>
        <v>PS'!</v>
      </c>
      <c r="F4164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64" s="32" t="s">
        <v>125</v>
      </c>
      <c r="H4164" s="33">
        <f t="shared" si="992"/>
        <v>32</v>
      </c>
      <c r="I4164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ECP\Cantagallo\Cristalina\[CRISTALINA_CF_SEC_New_09-Feb-2024.xlsx]D-PS'!$CB$32</v>
      </c>
      <c r="J4164" s="37" t="s">
        <v>1962</v>
      </c>
    </row>
    <row r="4165" spans="1:10" x14ac:dyDescent="0.35">
      <c r="A4165" s="32" t="s">
        <v>24</v>
      </c>
      <c r="B4165" s="32">
        <f>+B4164+1</f>
        <v>2044</v>
      </c>
      <c r="C4165" s="33" t="s">
        <v>43</v>
      </c>
      <c r="D4165" s="34" t="s">
        <v>128</v>
      </c>
      <c r="E4165" s="35" t="str">
        <f t="shared" ref="E4165:E4180" si="996">_xlfn.CONCAT(A4165,"'!")</f>
        <v>PS'!</v>
      </c>
      <c r="F4165" s="34" t="str">
        <f t="shared" ref="F4165:F4180" si="997">_xlfn.CONCAT(D4165:E4165)</f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65" s="32" t="s">
        <v>125</v>
      </c>
      <c r="H4165" s="33">
        <f t="shared" ref="H4165:H4180" si="998">IF(A4165&lt;&gt;A4164,12,H4164+1)</f>
        <v>33</v>
      </c>
      <c r="I4165" s="33" t="str">
        <f t="shared" ref="I4165:I4180" si="999">_xlfn.CONCAT("='",F4165:H4165)</f>
        <v>='C:\Users\jaime.benazar\Quorum Business Solutions\Ecopetrol Prometeo - Documents\Planning Space Implementation\3. Analysis &amp; Design\Design\FC22\DRR Jaime\Por presentar a ECP\Cantagallo\Cristalina\[CRISTALINA_CF_SEC_New_09-Feb-2024.xlsx]D-PS'!$CB$33</v>
      </c>
      <c r="J4165" s="37" t="s">
        <v>1963</v>
      </c>
    </row>
    <row r="4166" spans="1:10" x14ac:dyDescent="0.35">
      <c r="A4166" s="32" t="s">
        <v>24</v>
      </c>
      <c r="B4166" s="32">
        <f t="shared" ref="B4166:B4180" si="1000">+B4165+1</f>
        <v>2045</v>
      </c>
      <c r="C4166" s="33" t="s">
        <v>43</v>
      </c>
      <c r="D4166" s="34" t="s">
        <v>128</v>
      </c>
      <c r="E4166" s="35" t="str">
        <f t="shared" si="996"/>
        <v>PS'!</v>
      </c>
      <c r="F4166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66" s="32" t="s">
        <v>125</v>
      </c>
      <c r="H4166" s="33">
        <f t="shared" si="998"/>
        <v>34</v>
      </c>
      <c r="I4166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ECP\Cantagallo\Cristalina\[CRISTALINA_CF_SEC_New_09-Feb-2024.xlsx]D-PS'!$CB$34</v>
      </c>
      <c r="J4166" s="37" t="s">
        <v>1964</v>
      </c>
    </row>
    <row r="4167" spans="1:10" x14ac:dyDescent="0.35">
      <c r="A4167" s="32" t="s">
        <v>24</v>
      </c>
      <c r="B4167" s="32">
        <f t="shared" si="1000"/>
        <v>2046</v>
      </c>
      <c r="C4167" s="33" t="s">
        <v>43</v>
      </c>
      <c r="D4167" s="34" t="s">
        <v>128</v>
      </c>
      <c r="E4167" s="35" t="str">
        <f t="shared" si="996"/>
        <v>PS'!</v>
      </c>
      <c r="F4167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67" s="32" t="s">
        <v>125</v>
      </c>
      <c r="H4167" s="33">
        <f t="shared" si="998"/>
        <v>35</v>
      </c>
      <c r="I4167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ECP\Cantagallo\Cristalina\[CRISTALINA_CF_SEC_New_09-Feb-2024.xlsx]D-PS'!$CB$35</v>
      </c>
      <c r="J4167" s="37" t="s">
        <v>1965</v>
      </c>
    </row>
    <row r="4168" spans="1:10" x14ac:dyDescent="0.35">
      <c r="A4168" s="32" t="s">
        <v>24</v>
      </c>
      <c r="B4168" s="32">
        <f t="shared" si="1000"/>
        <v>2047</v>
      </c>
      <c r="C4168" s="33" t="s">
        <v>43</v>
      </c>
      <c r="D4168" s="34" t="s">
        <v>128</v>
      </c>
      <c r="E4168" s="35" t="str">
        <f t="shared" si="996"/>
        <v>PS'!</v>
      </c>
      <c r="F4168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68" s="32" t="s">
        <v>125</v>
      </c>
      <c r="H4168" s="33">
        <f t="shared" si="998"/>
        <v>36</v>
      </c>
      <c r="I4168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ECP\Cantagallo\Cristalina\[CRISTALINA_CF_SEC_New_09-Feb-2024.xlsx]D-PS'!$CB$36</v>
      </c>
      <c r="J4168" s="37" t="s">
        <v>1966</v>
      </c>
    </row>
    <row r="4169" spans="1:10" x14ac:dyDescent="0.35">
      <c r="A4169" s="32" t="s">
        <v>24</v>
      </c>
      <c r="B4169" s="32">
        <f t="shared" si="1000"/>
        <v>2048</v>
      </c>
      <c r="C4169" s="33" t="s">
        <v>43</v>
      </c>
      <c r="D4169" s="34" t="s">
        <v>128</v>
      </c>
      <c r="E4169" s="35" t="str">
        <f t="shared" si="996"/>
        <v>PS'!</v>
      </c>
      <c r="F4169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69" s="32" t="s">
        <v>125</v>
      </c>
      <c r="H4169" s="33">
        <f t="shared" si="998"/>
        <v>37</v>
      </c>
      <c r="I4169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ECP\Cantagallo\Cristalina\[CRISTALINA_CF_SEC_New_09-Feb-2024.xlsx]D-PS'!$CB$37</v>
      </c>
      <c r="J4169" s="37" t="s">
        <v>1967</v>
      </c>
    </row>
    <row r="4170" spans="1:10" x14ac:dyDescent="0.35">
      <c r="A4170" s="32" t="s">
        <v>24</v>
      </c>
      <c r="B4170" s="32">
        <f t="shared" si="1000"/>
        <v>2049</v>
      </c>
      <c r="C4170" s="33" t="s">
        <v>43</v>
      </c>
      <c r="D4170" s="34" t="s">
        <v>128</v>
      </c>
      <c r="E4170" s="35" t="str">
        <f t="shared" si="996"/>
        <v>PS'!</v>
      </c>
      <c r="F4170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70" s="32" t="s">
        <v>125</v>
      </c>
      <c r="H4170" s="33">
        <f t="shared" si="998"/>
        <v>38</v>
      </c>
      <c r="I4170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ECP\Cantagallo\Cristalina\[CRISTALINA_CF_SEC_New_09-Feb-2024.xlsx]D-PS'!$CB$38</v>
      </c>
      <c r="J4170" s="37" t="s">
        <v>1968</v>
      </c>
    </row>
    <row r="4171" spans="1:10" x14ac:dyDescent="0.35">
      <c r="A4171" s="32" t="s">
        <v>24</v>
      </c>
      <c r="B4171" s="32">
        <f t="shared" si="1000"/>
        <v>2050</v>
      </c>
      <c r="C4171" s="33" t="s">
        <v>43</v>
      </c>
      <c r="D4171" s="34" t="s">
        <v>128</v>
      </c>
      <c r="E4171" s="35" t="str">
        <f t="shared" si="996"/>
        <v>PS'!</v>
      </c>
      <c r="F4171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71" s="32" t="s">
        <v>125</v>
      </c>
      <c r="H4171" s="33">
        <f t="shared" si="998"/>
        <v>39</v>
      </c>
      <c r="I4171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ECP\Cantagallo\Cristalina\[CRISTALINA_CF_SEC_New_09-Feb-2024.xlsx]D-PS'!$CB$39</v>
      </c>
      <c r="J4171" s="37" t="s">
        <v>1969</v>
      </c>
    </row>
    <row r="4172" spans="1:10" x14ac:dyDescent="0.35">
      <c r="A4172" s="32" t="s">
        <v>24</v>
      </c>
      <c r="B4172" s="32">
        <f t="shared" si="1000"/>
        <v>2051</v>
      </c>
      <c r="C4172" s="33" t="s">
        <v>43</v>
      </c>
      <c r="D4172" s="34" t="s">
        <v>128</v>
      </c>
      <c r="E4172" s="35" t="str">
        <f t="shared" si="996"/>
        <v>PS'!</v>
      </c>
      <c r="F4172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72" s="32" t="s">
        <v>125</v>
      </c>
      <c r="H4172" s="33">
        <f t="shared" si="998"/>
        <v>40</v>
      </c>
      <c r="I4172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ECP\Cantagallo\Cristalina\[CRISTALINA_CF_SEC_New_09-Feb-2024.xlsx]D-PS'!$CB$40</v>
      </c>
      <c r="J4172" s="37" t="s">
        <v>1970</v>
      </c>
    </row>
    <row r="4173" spans="1:10" x14ac:dyDescent="0.35">
      <c r="A4173" s="32" t="s">
        <v>24</v>
      </c>
      <c r="B4173" s="32">
        <f t="shared" si="1000"/>
        <v>2052</v>
      </c>
      <c r="C4173" s="33" t="s">
        <v>43</v>
      </c>
      <c r="D4173" s="34" t="s">
        <v>128</v>
      </c>
      <c r="E4173" s="35" t="str">
        <f t="shared" si="996"/>
        <v>PS'!</v>
      </c>
      <c r="F4173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73" s="32" t="s">
        <v>125</v>
      </c>
      <c r="H4173" s="33">
        <f t="shared" si="998"/>
        <v>41</v>
      </c>
      <c r="I4173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ECP\Cantagallo\Cristalina\[CRISTALINA_CF_SEC_New_09-Feb-2024.xlsx]D-PS'!$CB$41</v>
      </c>
      <c r="J4173" s="37" t="s">
        <v>1971</v>
      </c>
    </row>
    <row r="4174" spans="1:10" x14ac:dyDescent="0.35">
      <c r="A4174" s="32" t="s">
        <v>24</v>
      </c>
      <c r="B4174" s="32">
        <f t="shared" si="1000"/>
        <v>2053</v>
      </c>
      <c r="C4174" s="33" t="s">
        <v>43</v>
      </c>
      <c r="D4174" s="34" t="s">
        <v>128</v>
      </c>
      <c r="E4174" s="35" t="str">
        <f t="shared" si="996"/>
        <v>PS'!</v>
      </c>
      <c r="F4174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74" s="32" t="s">
        <v>125</v>
      </c>
      <c r="H4174" s="33">
        <f t="shared" si="998"/>
        <v>42</v>
      </c>
      <c r="I4174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ECP\Cantagallo\Cristalina\[CRISTALINA_CF_SEC_New_09-Feb-2024.xlsx]D-PS'!$CB$42</v>
      </c>
      <c r="J4174" s="37" t="s">
        <v>1972</v>
      </c>
    </row>
    <row r="4175" spans="1:10" x14ac:dyDescent="0.35">
      <c r="A4175" s="32" t="s">
        <v>24</v>
      </c>
      <c r="B4175" s="32">
        <f t="shared" si="1000"/>
        <v>2054</v>
      </c>
      <c r="C4175" s="33" t="s">
        <v>43</v>
      </c>
      <c r="D4175" s="34" t="s">
        <v>128</v>
      </c>
      <c r="E4175" s="35" t="str">
        <f t="shared" si="996"/>
        <v>PS'!</v>
      </c>
      <c r="F4175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75" s="32" t="s">
        <v>125</v>
      </c>
      <c r="H4175" s="33">
        <f t="shared" si="998"/>
        <v>43</v>
      </c>
      <c r="I4175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ECP\Cantagallo\Cristalina\[CRISTALINA_CF_SEC_New_09-Feb-2024.xlsx]D-PS'!$CB$43</v>
      </c>
      <c r="J4175" s="37" t="s">
        <v>1973</v>
      </c>
    </row>
    <row r="4176" spans="1:10" x14ac:dyDescent="0.35">
      <c r="A4176" s="32" t="s">
        <v>24</v>
      </c>
      <c r="B4176" s="32">
        <f t="shared" si="1000"/>
        <v>2055</v>
      </c>
      <c r="C4176" s="33" t="s">
        <v>43</v>
      </c>
      <c r="D4176" s="34" t="s">
        <v>128</v>
      </c>
      <c r="E4176" s="35" t="str">
        <f t="shared" si="996"/>
        <v>PS'!</v>
      </c>
      <c r="F4176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76" s="32" t="s">
        <v>125</v>
      </c>
      <c r="H4176" s="33">
        <f t="shared" si="998"/>
        <v>44</v>
      </c>
      <c r="I4176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ECP\Cantagallo\Cristalina\[CRISTALINA_CF_SEC_New_09-Feb-2024.xlsx]D-PS'!$CB$44</v>
      </c>
      <c r="J4176" s="37" t="s">
        <v>1974</v>
      </c>
    </row>
    <row r="4177" spans="1:10" x14ac:dyDescent="0.35">
      <c r="A4177" s="32" t="s">
        <v>24</v>
      </c>
      <c r="B4177" s="32">
        <f t="shared" si="1000"/>
        <v>2056</v>
      </c>
      <c r="C4177" s="33" t="s">
        <v>43</v>
      </c>
      <c r="D4177" s="34" t="s">
        <v>128</v>
      </c>
      <c r="E4177" s="35" t="str">
        <f t="shared" si="996"/>
        <v>PS'!</v>
      </c>
      <c r="F4177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77" s="32" t="s">
        <v>125</v>
      </c>
      <c r="H4177" s="33">
        <f t="shared" si="998"/>
        <v>45</v>
      </c>
      <c r="I4177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ECP\Cantagallo\Cristalina\[CRISTALINA_CF_SEC_New_09-Feb-2024.xlsx]D-PS'!$CB$45</v>
      </c>
      <c r="J4177" s="37" t="s">
        <v>1975</v>
      </c>
    </row>
    <row r="4178" spans="1:10" x14ac:dyDescent="0.35">
      <c r="A4178" s="32" t="s">
        <v>24</v>
      </c>
      <c r="B4178" s="32">
        <f t="shared" si="1000"/>
        <v>2057</v>
      </c>
      <c r="C4178" s="33" t="s">
        <v>43</v>
      </c>
      <c r="D4178" s="34" t="s">
        <v>128</v>
      </c>
      <c r="E4178" s="35" t="str">
        <f t="shared" si="996"/>
        <v>PS'!</v>
      </c>
      <c r="F4178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78" s="32" t="s">
        <v>125</v>
      </c>
      <c r="H4178" s="33">
        <f t="shared" si="998"/>
        <v>46</v>
      </c>
      <c r="I4178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ECP\Cantagallo\Cristalina\[CRISTALINA_CF_SEC_New_09-Feb-2024.xlsx]D-PS'!$CB$46</v>
      </c>
      <c r="J4178" s="37" t="s">
        <v>1976</v>
      </c>
    </row>
    <row r="4179" spans="1:10" x14ac:dyDescent="0.35">
      <c r="A4179" s="32" t="s">
        <v>24</v>
      </c>
      <c r="B4179" s="32">
        <f t="shared" si="1000"/>
        <v>2058</v>
      </c>
      <c r="C4179" s="33" t="s">
        <v>43</v>
      </c>
      <c r="D4179" s="34" t="s">
        <v>128</v>
      </c>
      <c r="E4179" s="35" t="str">
        <f t="shared" si="996"/>
        <v>PS'!</v>
      </c>
      <c r="F4179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79" s="32" t="s">
        <v>125</v>
      </c>
      <c r="H4179" s="33">
        <f t="shared" si="998"/>
        <v>47</v>
      </c>
      <c r="I4179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ECP\Cantagallo\Cristalina\[CRISTALINA_CF_SEC_New_09-Feb-2024.xlsx]D-PS'!$CB$47</v>
      </c>
      <c r="J4179" s="37" t="s">
        <v>1977</v>
      </c>
    </row>
    <row r="4180" spans="1:10" x14ac:dyDescent="0.35">
      <c r="A4180" s="32" t="s">
        <v>24</v>
      </c>
      <c r="B4180" s="32">
        <f t="shared" si="1000"/>
        <v>2059</v>
      </c>
      <c r="C4180" s="33" t="s">
        <v>43</v>
      </c>
      <c r="D4180" s="34" t="s">
        <v>128</v>
      </c>
      <c r="E4180" s="35" t="str">
        <f t="shared" si="996"/>
        <v>PS'!</v>
      </c>
      <c r="F4180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80" s="32" t="s">
        <v>125</v>
      </c>
      <c r="H4180" s="33">
        <f t="shared" si="998"/>
        <v>48</v>
      </c>
      <c r="I4180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ECP\Cantagallo\Cristalina\[CRISTALINA_CF_SEC_New_09-Feb-2024.xlsx]D-PS'!$CB$48</v>
      </c>
      <c r="J4180" s="37" t="s">
        <v>1978</v>
      </c>
    </row>
    <row r="4181" spans="1:10" x14ac:dyDescent="0.35">
      <c r="A4181" s="32" t="s">
        <v>26</v>
      </c>
      <c r="B4181" s="32"/>
      <c r="C4181" s="33" t="s">
        <v>43</v>
      </c>
      <c r="D4181" s="34"/>
      <c r="E4181" s="35"/>
      <c r="F4181" s="34"/>
      <c r="G4181" s="32"/>
      <c r="H4181" s="33"/>
      <c r="I4181" s="33"/>
      <c r="J4181" s="33"/>
    </row>
    <row r="4182" spans="1:10" x14ac:dyDescent="0.35">
      <c r="A4182" s="32" t="s">
        <v>114</v>
      </c>
      <c r="B4182" s="32" t="s">
        <v>14</v>
      </c>
      <c r="C4182" s="33" t="s">
        <v>115</v>
      </c>
      <c r="D4182" s="34" t="s">
        <v>127</v>
      </c>
      <c r="E4182" s="35" t="str">
        <f t="shared" si="989"/>
        <v>Consolidado'!</v>
      </c>
      <c r="F4182" s="34" t="str">
        <f>_xlfn.CONCAT(D4182:E4182)</f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82" s="32" t="s">
        <v>116</v>
      </c>
      <c r="H4182" s="33">
        <f t="shared" ref="H4182:H4183" si="1001">IF(A4182&lt;&gt;A4181,12,H4181+1)</f>
        <v>12</v>
      </c>
      <c r="I4182" s="33" t="str">
        <f t="shared" ref="I4182:I4203" si="1002">_xlfn.CONCAT("='",F4182:H4182)</f>
        <v>='C:\Users\jaime.benazar\Quorum Business Solutions\Ecopetrol Prometeo - Documents\Planning Space Implementation\3. Analysis &amp; Design\Design\FC22\DRR Jaime\Por presentar a ECP\Cantagallo\Cristalina\[CRISTALINA_CF_SEC_New_09-Feb-2024.xlsx]Consolidado'!$J$12</v>
      </c>
      <c r="J4182" s="33" t="s">
        <v>1979</v>
      </c>
    </row>
    <row r="4183" spans="1:10" x14ac:dyDescent="0.35">
      <c r="A4183" s="32" t="s">
        <v>114</v>
      </c>
      <c r="B4183" s="32" t="s">
        <v>15</v>
      </c>
      <c r="C4183" s="33" t="s">
        <v>115</v>
      </c>
      <c r="D4183" s="34" t="s">
        <v>127</v>
      </c>
      <c r="E4183" s="35" t="str">
        <f t="shared" ref="E4183:E4203" si="1003">_xlfn.CONCAT(A4183,"'!")</f>
        <v>Consolidado'!</v>
      </c>
      <c r="F4183" s="34" t="str">
        <f t="shared" ref="F4183:F4203" si="1004">_xlfn.CONCAT(D4183:E4183)</f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83" s="32" t="s">
        <v>116</v>
      </c>
      <c r="H4183" s="33">
        <f t="shared" si="1001"/>
        <v>13</v>
      </c>
      <c r="I4183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ECP\Cantagallo\Cristalina\[CRISTALINA_CF_SEC_New_09-Feb-2024.xlsx]Consolidado'!$J$13</v>
      </c>
      <c r="J4183" s="33" t="s">
        <v>1980</v>
      </c>
    </row>
    <row r="4184" spans="1:10" x14ac:dyDescent="0.35">
      <c r="A4184" s="32" t="s">
        <v>114</v>
      </c>
      <c r="B4184" s="32" t="s">
        <v>16</v>
      </c>
      <c r="C4184" s="33" t="s">
        <v>115</v>
      </c>
      <c r="D4184" s="34" t="s">
        <v>127</v>
      </c>
      <c r="E4184" s="35" t="str">
        <f t="shared" si="1003"/>
        <v>Consolidado'!</v>
      </c>
      <c r="F4184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84" s="32" t="s">
        <v>116</v>
      </c>
      <c r="H4184" s="33">
        <v>14</v>
      </c>
      <c r="I4184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ECP\Cantagallo\Cristalina\[CRISTALINA_CF_SEC_New_09-Feb-2024.xlsx]Consolidado'!$J$14</v>
      </c>
      <c r="J4184" t="s">
        <v>1981</v>
      </c>
    </row>
    <row r="4185" spans="1:10" x14ac:dyDescent="0.35">
      <c r="A4185" s="32" t="s">
        <v>114</v>
      </c>
      <c r="B4185" s="32" t="s">
        <v>17</v>
      </c>
      <c r="C4185" s="33" t="s">
        <v>115</v>
      </c>
      <c r="D4185" s="34" t="s">
        <v>127</v>
      </c>
      <c r="E4185" s="35" t="str">
        <f t="shared" si="1003"/>
        <v>Consolidado'!</v>
      </c>
      <c r="F4185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85" s="32" t="s">
        <v>116</v>
      </c>
      <c r="H4185" s="33">
        <v>17</v>
      </c>
      <c r="I4185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ECP\Cantagallo\Cristalina\[CRISTALINA_CF_SEC_New_09-Feb-2024.xlsx]Consolidado'!$J$17</v>
      </c>
      <c r="J4185" t="s">
        <v>1982</v>
      </c>
    </row>
    <row r="4186" spans="1:10" x14ac:dyDescent="0.35">
      <c r="A4186" s="32" t="s">
        <v>114</v>
      </c>
      <c r="B4186" s="32" t="s">
        <v>18</v>
      </c>
      <c r="C4186" s="33" t="s">
        <v>115</v>
      </c>
      <c r="D4186" s="34" t="s">
        <v>127</v>
      </c>
      <c r="E4186" s="35" t="str">
        <f t="shared" si="1003"/>
        <v>Consolidado'!</v>
      </c>
      <c r="F4186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86" s="32" t="s">
        <v>116</v>
      </c>
      <c r="H4186" s="33">
        <v>18</v>
      </c>
      <c r="I4186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ECP\Cantagallo\Cristalina\[CRISTALINA_CF_SEC_New_09-Feb-2024.xlsx]Consolidado'!$J$18</v>
      </c>
      <c r="J4186" t="s">
        <v>1983</v>
      </c>
    </row>
    <row r="4187" spans="1:10" x14ac:dyDescent="0.35">
      <c r="A4187" s="32" t="s">
        <v>114</v>
      </c>
      <c r="B4187" s="32" t="s">
        <v>19</v>
      </c>
      <c r="C4187" s="33" t="s">
        <v>115</v>
      </c>
      <c r="D4187" s="34" t="s">
        <v>127</v>
      </c>
      <c r="E4187" s="35" t="str">
        <f t="shared" si="1003"/>
        <v>Consolidado'!</v>
      </c>
      <c r="F4187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87" s="32" t="s">
        <v>116</v>
      </c>
      <c r="H4187" s="33">
        <v>19</v>
      </c>
      <c r="I4187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ECP\Cantagallo\Cristalina\[CRISTALINA_CF_SEC_New_09-Feb-2024.xlsx]Consolidado'!$J$19</v>
      </c>
      <c r="J4187" t="s">
        <v>1984</v>
      </c>
    </row>
    <row r="4188" spans="1:10" x14ac:dyDescent="0.35">
      <c r="A4188" s="32" t="s">
        <v>114</v>
      </c>
      <c r="B4188" s="32" t="s">
        <v>20</v>
      </c>
      <c r="C4188" s="33" t="s">
        <v>115</v>
      </c>
      <c r="D4188" s="34" t="s">
        <v>127</v>
      </c>
      <c r="E4188" s="35" t="str">
        <f t="shared" si="1003"/>
        <v>Consolidado'!</v>
      </c>
      <c r="F4188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88" s="32" t="s">
        <v>116</v>
      </c>
      <c r="H4188" s="33">
        <v>20</v>
      </c>
      <c r="I4188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ECP\Cantagallo\Cristalina\[CRISTALINA_CF_SEC_New_09-Feb-2024.xlsx]Consolidado'!$J$20</v>
      </c>
      <c r="J4188" t="s">
        <v>1985</v>
      </c>
    </row>
    <row r="4189" spans="1:10" x14ac:dyDescent="0.35">
      <c r="A4189" s="32" t="s">
        <v>114</v>
      </c>
      <c r="B4189" s="32" t="s">
        <v>21</v>
      </c>
      <c r="C4189" s="33" t="s">
        <v>115</v>
      </c>
      <c r="D4189" s="34" t="s">
        <v>127</v>
      </c>
      <c r="E4189" s="35" t="str">
        <f t="shared" si="1003"/>
        <v>Consolidado'!</v>
      </c>
      <c r="F4189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89" s="32" t="s">
        <v>116</v>
      </c>
      <c r="H4189" s="33">
        <v>22</v>
      </c>
      <c r="I4189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ECP\Cantagallo\Cristalina\[CRISTALINA_CF_SEC_New_09-Feb-2024.xlsx]Consolidado'!$J$22</v>
      </c>
      <c r="J4189" t="s">
        <v>1986</v>
      </c>
    </row>
    <row r="4190" spans="1:10" x14ac:dyDescent="0.35">
      <c r="A4190" s="32" t="s">
        <v>114</v>
      </c>
      <c r="B4190" s="32" t="s">
        <v>22</v>
      </c>
      <c r="C4190" s="33" t="s">
        <v>115</v>
      </c>
      <c r="D4190" s="34" t="s">
        <v>127</v>
      </c>
      <c r="E4190" s="35" t="str">
        <f t="shared" si="1003"/>
        <v>Consolidado'!</v>
      </c>
      <c r="F4190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90" s="32" t="s">
        <v>116</v>
      </c>
      <c r="H4190" s="33">
        <v>23</v>
      </c>
      <c r="I4190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ECP\Cantagallo\Cristalina\[CRISTALINA_CF_SEC_New_09-Feb-2024.xlsx]Consolidado'!$J$23</v>
      </c>
      <c r="J4190" t="s">
        <v>1987</v>
      </c>
    </row>
    <row r="4191" spans="1:10" x14ac:dyDescent="0.35">
      <c r="A4191" s="32" t="s">
        <v>114</v>
      </c>
      <c r="B4191" s="32" t="s">
        <v>23</v>
      </c>
      <c r="C4191" s="33" t="s">
        <v>115</v>
      </c>
      <c r="D4191" s="34" t="s">
        <v>127</v>
      </c>
      <c r="E4191" s="35" t="str">
        <f t="shared" si="1003"/>
        <v>Consolidado'!</v>
      </c>
      <c r="F4191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91" s="32" t="s">
        <v>116</v>
      </c>
      <c r="H4191" s="33">
        <v>24</v>
      </c>
      <c r="I4191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ECP\Cantagallo\Cristalina\[CRISTALINA_CF_SEC_New_09-Feb-2024.xlsx]Consolidado'!$J$24</v>
      </c>
      <c r="J4191" t="s">
        <v>1988</v>
      </c>
    </row>
    <row r="4192" spans="1:10" x14ac:dyDescent="0.35">
      <c r="A4192" s="32" t="s">
        <v>114</v>
      </c>
      <c r="B4192" s="32" t="s">
        <v>24</v>
      </c>
      <c r="C4192" s="33" t="s">
        <v>115</v>
      </c>
      <c r="D4192" s="34" t="s">
        <v>127</v>
      </c>
      <c r="E4192" s="35" t="str">
        <f t="shared" si="1003"/>
        <v>Consolidado'!</v>
      </c>
      <c r="F4192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92" s="32" t="s">
        <v>116</v>
      </c>
      <c r="H4192" s="33">
        <v>25</v>
      </c>
      <c r="I4192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ECP\Cantagallo\Cristalina\[CRISTALINA_CF_SEC_New_09-Feb-2024.xlsx]Consolidado'!$J$25</v>
      </c>
      <c r="J4192" t="s">
        <v>1989</v>
      </c>
    </row>
    <row r="4193" spans="1:10" x14ac:dyDescent="0.35">
      <c r="A4193" s="32" t="s">
        <v>114</v>
      </c>
      <c r="B4193" s="32" t="s">
        <v>14</v>
      </c>
      <c r="C4193" s="33" t="s">
        <v>117</v>
      </c>
      <c r="D4193" s="34" t="s">
        <v>127</v>
      </c>
      <c r="E4193" s="35" t="str">
        <f t="shared" si="1003"/>
        <v>Consolidado'!</v>
      </c>
      <c r="F4193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93" s="32" t="s">
        <v>118</v>
      </c>
      <c r="H4193" s="33">
        <f t="shared" ref="H4193:H4194" si="1005">IF(A4193&lt;&gt;A4192,12,H4192+1)</f>
        <v>26</v>
      </c>
      <c r="I4193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ECP\Cantagallo\Cristalina\[CRISTALINA_CF_SEC_New_09-Feb-2024.xlsx]Consolidado'!$L$26</v>
      </c>
      <c r="J4193" t="s">
        <v>1990</v>
      </c>
    </row>
    <row r="4194" spans="1:10" x14ac:dyDescent="0.35">
      <c r="A4194" s="32" t="s">
        <v>114</v>
      </c>
      <c r="B4194" s="32" t="s">
        <v>15</v>
      </c>
      <c r="C4194" s="33" t="s">
        <v>117</v>
      </c>
      <c r="D4194" s="34" t="s">
        <v>127</v>
      </c>
      <c r="E4194" s="35" t="str">
        <f t="shared" si="1003"/>
        <v>Consolidado'!</v>
      </c>
      <c r="F4194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94" s="32" t="s">
        <v>118</v>
      </c>
      <c r="H4194" s="33">
        <f t="shared" si="1005"/>
        <v>27</v>
      </c>
      <c r="I4194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ECP\Cantagallo\Cristalina\[CRISTALINA_CF_SEC_New_09-Feb-2024.xlsx]Consolidado'!$L$27</v>
      </c>
      <c r="J4194" t="s">
        <v>1991</v>
      </c>
    </row>
    <row r="4195" spans="1:10" x14ac:dyDescent="0.35">
      <c r="A4195" s="32" t="s">
        <v>114</v>
      </c>
      <c r="B4195" s="32" t="s">
        <v>16</v>
      </c>
      <c r="C4195" s="33" t="s">
        <v>117</v>
      </c>
      <c r="D4195" s="34" t="s">
        <v>127</v>
      </c>
      <c r="E4195" s="35" t="str">
        <f t="shared" si="1003"/>
        <v>Consolidado'!</v>
      </c>
      <c r="F4195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95" s="32" t="s">
        <v>118</v>
      </c>
      <c r="H4195" s="33">
        <v>14</v>
      </c>
      <c r="I4195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ECP\Cantagallo\Cristalina\[CRISTALINA_CF_SEC_New_09-Feb-2024.xlsx]Consolidado'!$L$14</v>
      </c>
      <c r="J4195" t="s">
        <v>1992</v>
      </c>
    </row>
    <row r="4196" spans="1:10" x14ac:dyDescent="0.35">
      <c r="A4196" s="32" t="s">
        <v>114</v>
      </c>
      <c r="B4196" s="32" t="s">
        <v>17</v>
      </c>
      <c r="C4196" s="33" t="s">
        <v>117</v>
      </c>
      <c r="D4196" s="34" t="s">
        <v>127</v>
      </c>
      <c r="E4196" s="35" t="str">
        <f t="shared" si="1003"/>
        <v>Consolidado'!</v>
      </c>
      <c r="F4196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96" s="32" t="s">
        <v>118</v>
      </c>
      <c r="H4196" s="33">
        <v>17</v>
      </c>
      <c r="I4196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ECP\Cantagallo\Cristalina\[CRISTALINA_CF_SEC_New_09-Feb-2024.xlsx]Consolidado'!$L$17</v>
      </c>
      <c r="J4196" t="s">
        <v>1993</v>
      </c>
    </row>
    <row r="4197" spans="1:10" x14ac:dyDescent="0.35">
      <c r="A4197" s="32" t="s">
        <v>114</v>
      </c>
      <c r="B4197" s="32" t="s">
        <v>18</v>
      </c>
      <c r="C4197" s="33" t="s">
        <v>117</v>
      </c>
      <c r="D4197" s="34" t="s">
        <v>127</v>
      </c>
      <c r="E4197" s="35" t="str">
        <f t="shared" si="1003"/>
        <v>Consolidado'!</v>
      </c>
      <c r="F4197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97" s="32" t="s">
        <v>118</v>
      </c>
      <c r="H4197" s="33">
        <v>18</v>
      </c>
      <c r="I4197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ECP\Cantagallo\Cristalina\[CRISTALINA_CF_SEC_New_09-Feb-2024.xlsx]Consolidado'!$L$18</v>
      </c>
      <c r="J4197" t="s">
        <v>1994</v>
      </c>
    </row>
    <row r="4198" spans="1:10" x14ac:dyDescent="0.35">
      <c r="A4198" s="32" t="s">
        <v>114</v>
      </c>
      <c r="B4198" s="32" t="s">
        <v>19</v>
      </c>
      <c r="C4198" s="33" t="s">
        <v>117</v>
      </c>
      <c r="D4198" s="34" t="s">
        <v>127</v>
      </c>
      <c r="E4198" s="35" t="str">
        <f t="shared" si="1003"/>
        <v>Consolidado'!</v>
      </c>
      <c r="F4198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98" s="32" t="s">
        <v>118</v>
      </c>
      <c r="H4198" s="33">
        <v>19</v>
      </c>
      <c r="I4198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ECP\Cantagallo\Cristalina\[CRISTALINA_CF_SEC_New_09-Feb-2024.xlsx]Consolidado'!$L$19</v>
      </c>
      <c r="J4198" t="s">
        <v>1995</v>
      </c>
    </row>
    <row r="4199" spans="1:10" x14ac:dyDescent="0.35">
      <c r="A4199" s="32" t="s">
        <v>114</v>
      </c>
      <c r="B4199" s="32" t="s">
        <v>20</v>
      </c>
      <c r="C4199" s="33" t="s">
        <v>117</v>
      </c>
      <c r="D4199" s="34" t="s">
        <v>127</v>
      </c>
      <c r="E4199" s="35" t="str">
        <f t="shared" si="1003"/>
        <v>Consolidado'!</v>
      </c>
      <c r="F4199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99" s="32" t="s">
        <v>118</v>
      </c>
      <c r="H4199" s="33">
        <v>20</v>
      </c>
      <c r="I4199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ECP\Cantagallo\Cristalina\[CRISTALINA_CF_SEC_New_09-Feb-2024.xlsx]Consolidado'!$L$20</v>
      </c>
      <c r="J4199" t="s">
        <v>1996</v>
      </c>
    </row>
    <row r="4200" spans="1:10" x14ac:dyDescent="0.35">
      <c r="A4200" s="32" t="s">
        <v>114</v>
      </c>
      <c r="B4200" s="32" t="s">
        <v>21</v>
      </c>
      <c r="C4200" s="33" t="s">
        <v>117</v>
      </c>
      <c r="D4200" s="34" t="s">
        <v>127</v>
      </c>
      <c r="E4200" s="35" t="str">
        <f t="shared" si="1003"/>
        <v>Consolidado'!</v>
      </c>
      <c r="F4200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200" s="32" t="s">
        <v>118</v>
      </c>
      <c r="H4200" s="33">
        <v>22</v>
      </c>
      <c r="I4200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ECP\Cantagallo\Cristalina\[CRISTALINA_CF_SEC_New_09-Feb-2024.xlsx]Consolidado'!$L$22</v>
      </c>
      <c r="J4200" t="s">
        <v>1997</v>
      </c>
    </row>
    <row r="4201" spans="1:10" x14ac:dyDescent="0.35">
      <c r="A4201" s="32" t="s">
        <v>114</v>
      </c>
      <c r="B4201" s="32" t="s">
        <v>22</v>
      </c>
      <c r="C4201" s="33" t="s">
        <v>117</v>
      </c>
      <c r="D4201" s="34" t="s">
        <v>127</v>
      </c>
      <c r="E4201" s="35" t="str">
        <f t="shared" si="1003"/>
        <v>Consolidado'!</v>
      </c>
      <c r="F4201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201" s="32" t="s">
        <v>118</v>
      </c>
      <c r="H4201" s="33">
        <v>23</v>
      </c>
      <c r="I4201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ECP\Cantagallo\Cristalina\[CRISTALINA_CF_SEC_New_09-Feb-2024.xlsx]Consolidado'!$L$23</v>
      </c>
      <c r="J4201" t="s">
        <v>1998</v>
      </c>
    </row>
    <row r="4202" spans="1:10" x14ac:dyDescent="0.35">
      <c r="A4202" s="32" t="s">
        <v>114</v>
      </c>
      <c r="B4202" s="32" t="s">
        <v>23</v>
      </c>
      <c r="C4202" s="33" t="s">
        <v>117</v>
      </c>
      <c r="D4202" s="34" t="s">
        <v>127</v>
      </c>
      <c r="E4202" s="35" t="str">
        <f t="shared" si="1003"/>
        <v>Consolidado'!</v>
      </c>
      <c r="F4202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202" s="32" t="s">
        <v>118</v>
      </c>
      <c r="H4202" s="33">
        <v>24</v>
      </c>
      <c r="I4202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ECP\Cantagallo\Cristalina\[CRISTALINA_CF_SEC_New_09-Feb-2024.xlsx]Consolidado'!$L$24</v>
      </c>
      <c r="J4202" t="s">
        <v>1999</v>
      </c>
    </row>
    <row r="4203" spans="1:10" x14ac:dyDescent="0.35">
      <c r="A4203" s="32" t="s">
        <v>114</v>
      </c>
      <c r="B4203" s="32" t="s">
        <v>24</v>
      </c>
      <c r="C4203" s="33" t="s">
        <v>117</v>
      </c>
      <c r="D4203" s="34" t="s">
        <v>127</v>
      </c>
      <c r="E4203" s="35" t="str">
        <f t="shared" si="1003"/>
        <v>Consolidado'!</v>
      </c>
      <c r="F4203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203" s="32" t="s">
        <v>118</v>
      </c>
      <c r="H4203" s="33">
        <v>25</v>
      </c>
      <c r="I4203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ECP\Cantagallo\Cristalina\[CRISTALINA_CF_SEC_New_09-Feb-2024.xlsx]Consolidado'!$L$25</v>
      </c>
      <c r="J4203" t="s">
        <v>2000</v>
      </c>
    </row>
  </sheetData>
  <autoFilter ref="A1:J4203" xr:uid="{48305698-2E7B-4571-838E-115510612712}"/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b44db4c-58ef-46ee-8a55-6d05fb8b3f8b" xsi:nil="true"/>
    <lcf76f155ced4ddcb4097134ff3c332f xmlns="6698821d-6e10-4a2b-a74f-0a52b52c4692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006E2BE7DDEF140A14EA49B3EF14461" ma:contentTypeVersion="18" ma:contentTypeDescription="Create a new document." ma:contentTypeScope="" ma:versionID="8ac02122ceabee326f0fe6b4010b3cd3">
  <xsd:schema xmlns:xsd="http://www.w3.org/2001/XMLSchema" xmlns:xs="http://www.w3.org/2001/XMLSchema" xmlns:p="http://schemas.microsoft.com/office/2006/metadata/properties" xmlns:ns2="6698821d-6e10-4a2b-a74f-0a52b52c4692" xmlns:ns3="cb44db4c-58ef-46ee-8a55-6d05fb8b3f8b" targetNamespace="http://schemas.microsoft.com/office/2006/metadata/properties" ma:root="true" ma:fieldsID="1c80002ebd0e45a76a153e49428d900a" ns2:_="" ns3:_="">
    <xsd:import namespace="6698821d-6e10-4a2b-a74f-0a52b52c4692"/>
    <xsd:import namespace="cb44db4c-58ef-46ee-8a55-6d05fb8b3f8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821d-6e10-4a2b-a74f-0a52b52c469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bc349d9a-284b-478a-af45-ecae560eed0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4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44db4c-58ef-46ee-8a55-6d05fb8b3f8b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8050449-45f2-470f-80ff-5b5f87c13052}" ma:internalName="TaxCatchAll" ma:showField="CatchAllData" ma:web="cb44db4c-58ef-46ee-8a55-6d05fb8b3f8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3F1D485-46B8-41E8-825C-59DDC6F6667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7AAAC6-8000-4D73-8DB4-BC334CE35FFE}">
  <ds:schemaRefs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schemas.microsoft.com/office/2006/documentManagement/types"/>
    <ds:schemaRef ds:uri="6698821d-6e10-4a2b-a74f-0a52b52c4692"/>
    <ds:schemaRef ds:uri="http://purl.org/dc/dcmitype/"/>
    <ds:schemaRef ds:uri="cb44db4c-58ef-46ee-8a55-6d05fb8b3f8b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3B2598-541C-4B59-BE40-111BAE2931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698821d-6e10-4a2b-a74f-0a52b52c4692"/>
    <ds:schemaRef ds:uri="cb44db4c-58ef-46ee-8a55-6d05fb8b3f8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ce68f836-c221-45ef-866b-38cda86b3d5e}" enabled="0" method="" siteId="{ce68f836-c221-45ef-866b-38cda86b3d5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Instrucciones</vt:lpstr>
      <vt:lpstr>BM</vt:lpstr>
      <vt:lpstr>Semifijos Activo_Anual</vt:lpstr>
      <vt:lpstr>Lista</vt:lpstr>
      <vt:lpstr>Formulas</vt:lpstr>
      <vt:lpstr>FormulasPS</vt:lpstr>
      <vt:lpstr>Reserves_Category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Daniela Manozca Cruz</dc:creator>
  <cp:keywords/>
  <dc:description/>
  <cp:lastModifiedBy>Juan Perez Ordoñez</cp:lastModifiedBy>
  <cp:revision/>
  <dcterms:created xsi:type="dcterms:W3CDTF">2023-11-03T20:09:58Z</dcterms:created>
  <dcterms:modified xsi:type="dcterms:W3CDTF">2024-04-09T22:35:42Z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0x010100B006E2BE7DDEF140A14EA49B3EF14461</vt:lpwstr>
  </property>
  <property fmtid="{D5CDD505-2E9C-101B-9397-08002B2CF9AE}" pid="3" name="MediaServiceImageTags">
    <vt:lpwstr/>
  </property>
</Properties>
</file>